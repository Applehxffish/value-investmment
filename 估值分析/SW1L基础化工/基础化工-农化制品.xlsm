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001Xiaofeng\value-investment-backup\估值分析\SW1L基础化工\"/>
    </mc:Choice>
  </mc:AlternateContent>
  <bookViews>
    <workbookView xWindow="-110" yWindow="-110" windowWidth="23260" windowHeight="12460"/>
  </bookViews>
  <sheets>
    <sheet name="化学制品" sheetId="15" r:id="rId1"/>
    <sheet name="估值-增速与年化收益" sheetId="14" r:id="rId2"/>
  </sheets>
  <functionGroups builtInGroupCount="18"/>
  <definedNames>
    <definedName name="_xlnm._FilterDatabase" localSheetId="0" hidden="1">化学制品!$BU$1:$BU$57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14" l="1"/>
  <c r="B8" i="14" s="1"/>
  <c r="B1" i="14"/>
  <c r="C1" i="14" s="1"/>
  <c r="D1" i="14" s="1"/>
  <c r="E1" i="14" s="1"/>
  <c r="F1" i="14" s="1"/>
  <c r="G1" i="14" s="1"/>
  <c r="H1" i="14" s="1"/>
  <c r="I1" i="14" s="1"/>
  <c r="J1" i="14" s="1"/>
  <c r="K1" i="14" s="1"/>
  <c r="L1" i="14" s="1"/>
  <c r="M1" i="14" s="1"/>
  <c r="N1" i="14" s="1"/>
  <c r="O1" i="14" s="1"/>
  <c r="P1" i="14" s="1"/>
  <c r="Q1" i="14" s="1"/>
  <c r="R1" i="14" s="1"/>
  <c r="S1" i="14" s="1"/>
  <c r="T1" i="14" s="1"/>
  <c r="U1" i="14" s="1"/>
  <c r="V1" i="14" s="1"/>
  <c r="W1" i="14" s="1"/>
  <c r="X1" i="14" s="1"/>
  <c r="Y1" i="14" s="1"/>
  <c r="Z1" i="14" s="1"/>
  <c r="AA1" i="14" s="1"/>
  <c r="AB1" i="14" s="1"/>
  <c r="AC1" i="14" s="1"/>
  <c r="AD1" i="14" s="1"/>
  <c r="C49" i="15"/>
  <c r="C27" i="15"/>
  <c r="C2" i="15"/>
  <c r="C36" i="15"/>
  <c r="C5" i="15"/>
  <c r="C29" i="15"/>
  <c r="C22" i="15"/>
  <c r="C24" i="15"/>
  <c r="C44" i="15"/>
  <c r="C23" i="15"/>
  <c r="C39" i="15"/>
  <c r="C53" i="15"/>
  <c r="C46" i="15"/>
  <c r="C31" i="15"/>
  <c r="C9" i="15"/>
  <c r="C40" i="15"/>
  <c r="C7" i="15"/>
  <c r="C8" i="15"/>
  <c r="C37" i="15"/>
  <c r="C47" i="15"/>
  <c r="C5" i="14" l="1"/>
  <c r="D5" i="14" l="1"/>
  <c r="C8" i="14"/>
  <c r="C20" i="15"/>
  <c r="C11" i="15"/>
  <c r="C35" i="15"/>
  <c r="C41" i="15"/>
  <c r="C33" i="15"/>
  <c r="C26" i="15"/>
  <c r="C15" i="15"/>
  <c r="C13" i="15"/>
  <c r="C54" i="15"/>
  <c r="C18" i="15"/>
  <c r="C10" i="15"/>
  <c r="C55" i="15"/>
  <c r="C57" i="15"/>
  <c r="C45" i="15"/>
  <c r="C30" i="15"/>
  <c r="C6" i="15"/>
  <c r="C12" i="15"/>
  <c r="C17" i="15"/>
  <c r="C16" i="15"/>
  <c r="C52" i="15"/>
  <c r="C21" i="15"/>
  <c r="C48" i="15"/>
  <c r="C19" i="15"/>
  <c r="C38" i="15"/>
  <c r="C25" i="15"/>
  <c r="C14" i="15"/>
  <c r="C3" i="15"/>
  <c r="C32" i="15"/>
  <c r="C43" i="15"/>
  <c r="C50" i="15"/>
  <c r="C51" i="15"/>
  <c r="C28" i="15"/>
  <c r="C56" i="15"/>
  <c r="C42" i="15"/>
  <c r="C34" i="15"/>
  <c r="C4" i="15"/>
  <c r="E5" i="14" l="1"/>
  <c r="D8" i="14"/>
  <c r="F5" i="14" l="1"/>
  <c r="E8" i="14"/>
  <c r="G5" i="14" l="1"/>
  <c r="F8" i="14"/>
  <c r="H5" i="14" l="1"/>
  <c r="G8" i="14"/>
  <c r="I5" i="14" l="1"/>
  <c r="H8" i="14"/>
  <c r="J5" i="14" l="1"/>
  <c r="I8" i="14"/>
  <c r="K5" i="14" l="1"/>
  <c r="J8" i="14"/>
  <c r="L5" i="14" l="1"/>
  <c r="K8" i="14"/>
  <c r="M5" i="14" l="1"/>
  <c r="L8" i="14"/>
  <c r="M8" i="14" l="1"/>
  <c r="N5" i="14"/>
  <c r="O5" i="14" s="1"/>
  <c r="P5" i="14" s="1"/>
  <c r="Q5" i="14" s="1"/>
  <c r="R5" i="14" s="1"/>
  <c r="S5" i="14" s="1"/>
  <c r="T5" i="14" s="1"/>
  <c r="U5" i="14" s="1"/>
  <c r="V5" i="14" s="1"/>
  <c r="W5" i="14" s="1"/>
  <c r="X5" i="14" s="1"/>
  <c r="Y5" i="14" s="1"/>
  <c r="Z5" i="14" s="1"/>
  <c r="AA5" i="14" s="1"/>
  <c r="AB5" i="14" s="1"/>
  <c r="AC5" i="14" s="1"/>
  <c r="AD5" i="14" s="1"/>
</calcChain>
</file>

<file path=xl/sharedStrings.xml><?xml version="1.0" encoding="utf-8"?>
<sst xmlns="http://schemas.openxmlformats.org/spreadsheetml/2006/main" count="3238" uniqueCount="2258">
  <si>
    <t>&lt;-增速</t>
    <phoneticPr fontId="1" type="noConversion"/>
  </si>
  <si>
    <t>&lt;-估值</t>
    <phoneticPr fontId="1" type="noConversion"/>
  </si>
  <si>
    <t>&lt;-折合年化收益</t>
    <phoneticPr fontId="1" type="noConversion"/>
  </si>
  <si>
    <t>现价</t>
  </si>
  <si>
    <t>市净率</t>
  </si>
  <si>
    <t>--</t>
  </si>
  <si>
    <t>1.26亿</t>
  </si>
  <si>
    <t>预期多</t>
    <phoneticPr fontId="1" type="noConversion"/>
  </si>
  <si>
    <t>预期空</t>
    <phoneticPr fontId="1" type="noConversion"/>
  </si>
  <si>
    <t>已知和基本信息</t>
    <phoneticPr fontId="1" type="noConversion"/>
  </si>
  <si>
    <t>代码</t>
  </si>
  <si>
    <t xml:space="preserve">    名称</t>
  </si>
  <si>
    <t>总市值</t>
  </si>
  <si>
    <t>TTM市盈率</t>
  </si>
  <si>
    <t>所属行业</t>
  </si>
  <si>
    <t>负债合计</t>
  </si>
  <si>
    <t>所有者权益合计</t>
  </si>
  <si>
    <t>主营业务收入</t>
  </si>
  <si>
    <t>净利润增长率</t>
  </si>
  <si>
    <t>总股本</t>
  </si>
  <si>
    <t>财务费用</t>
  </si>
  <si>
    <t>投资收益</t>
  </si>
  <si>
    <t>应收账款</t>
  </si>
  <si>
    <t>1.62亿</t>
  </si>
  <si>
    <t>1.79亿</t>
  </si>
  <si>
    <t>1.95亿</t>
  </si>
  <si>
    <t>1.28亿</t>
  </si>
  <si>
    <t>2.20亿</t>
  </si>
  <si>
    <t>3.14亿</t>
  </si>
  <si>
    <t>1.19亿</t>
  </si>
  <si>
    <t>1.21亿</t>
  </si>
  <si>
    <t>0亿</t>
  </si>
  <si>
    <t>1.90亿</t>
  </si>
  <si>
    <t>3.30亿</t>
  </si>
  <si>
    <t>2.70亿</t>
  </si>
  <si>
    <t>1.27亿</t>
  </si>
  <si>
    <t>1.29亿</t>
  </si>
  <si>
    <t>1.43亿</t>
  </si>
  <si>
    <t>1.32亿</t>
  </si>
  <si>
    <t>1.05亿</t>
  </si>
  <si>
    <t>1.23亿</t>
  </si>
  <si>
    <t>3.00亿</t>
  </si>
  <si>
    <t>1.12亿</t>
  </si>
  <si>
    <t>1.36亿</t>
  </si>
  <si>
    <t>1.08亿</t>
  </si>
  <si>
    <t>1.33亿</t>
  </si>
  <si>
    <t>1.61亿</t>
  </si>
  <si>
    <t>2.18亿</t>
  </si>
  <si>
    <t>1.31亿</t>
  </si>
  <si>
    <t>1.47亿</t>
  </si>
  <si>
    <t>1.30亿</t>
  </si>
  <si>
    <t>2.50亿</t>
  </si>
  <si>
    <t>1.44亿</t>
  </si>
  <si>
    <t>1.10亿</t>
  </si>
  <si>
    <t>1.20亿</t>
  </si>
  <si>
    <t>1.04亿</t>
  </si>
  <si>
    <t>2.16亿</t>
  </si>
  <si>
    <t>1.49亿</t>
  </si>
  <si>
    <t>2.06亿</t>
  </si>
  <si>
    <t>1.78亿</t>
  </si>
  <si>
    <t>1.57亿</t>
  </si>
  <si>
    <t>1.96亿</t>
  </si>
  <si>
    <t>1.35亿</t>
  </si>
  <si>
    <t>1.18亿</t>
  </si>
  <si>
    <t>2.00亿</t>
  </si>
  <si>
    <t>1.81亿</t>
  </si>
  <si>
    <t>3.08亿</t>
  </si>
  <si>
    <t>1.14亿</t>
  </si>
  <si>
    <t>1.40亿</t>
  </si>
  <si>
    <t>1.58亿</t>
  </si>
  <si>
    <t>1.76亿</t>
  </si>
  <si>
    <t>3.73亿</t>
  </si>
  <si>
    <t>1.15亿</t>
  </si>
  <si>
    <t>1.55亿</t>
  </si>
  <si>
    <t>1.17亿</t>
  </si>
  <si>
    <t>3.40亿</t>
  </si>
  <si>
    <t>1.42亿</t>
  </si>
  <si>
    <t>4.05亿</t>
  </si>
  <si>
    <t>3.52亿</t>
  </si>
  <si>
    <t>1.85亿</t>
  </si>
  <si>
    <t>4.48亿</t>
  </si>
  <si>
    <t>2.67亿</t>
  </si>
  <si>
    <t>1.06亿</t>
  </si>
  <si>
    <t>2.09亿</t>
  </si>
  <si>
    <t>2.55亿</t>
  </si>
  <si>
    <t>1.45亿</t>
  </si>
  <si>
    <t>3.11亿</t>
  </si>
  <si>
    <t>1.01亿</t>
  </si>
  <si>
    <t>5.20亿</t>
  </si>
  <si>
    <t>1.83亿</t>
  </si>
  <si>
    <t>1.63亿</t>
  </si>
  <si>
    <t>3.47亿</t>
  </si>
  <si>
    <t>20.19亿</t>
  </si>
  <si>
    <t>1.02亿</t>
  </si>
  <si>
    <t>2.74亿</t>
  </si>
  <si>
    <t>2.96亿</t>
  </si>
  <si>
    <t>1.71亿</t>
  </si>
  <si>
    <t>流动资产</t>
  </si>
  <si>
    <t>营业收入[20191231]</t>
  </si>
  <si>
    <t>营业收入[20181231]</t>
  </si>
  <si>
    <t>营业收入[20171231]</t>
  </si>
  <si>
    <t>净利润[20191231]</t>
  </si>
  <si>
    <t>净利润[20181231]</t>
  </si>
  <si>
    <t>净利润[20171231]</t>
  </si>
  <si>
    <t>3.13亿</t>
  </si>
  <si>
    <t>2.80亿</t>
  </si>
  <si>
    <t>1.03亿</t>
  </si>
  <si>
    <t>4.68亿</t>
  </si>
  <si>
    <t>12.08亿</t>
  </si>
  <si>
    <t>2.51亿</t>
  </si>
  <si>
    <t>2.25亿</t>
  </si>
  <si>
    <t>2.10亿</t>
  </si>
  <si>
    <t>1.11亿</t>
  </si>
  <si>
    <t>44.05亿</t>
  </si>
  <si>
    <t>47.81亿</t>
  </si>
  <si>
    <t>3.50亿</t>
  </si>
  <si>
    <t>3.19亿</t>
  </si>
  <si>
    <t>2.31亿</t>
  </si>
  <si>
    <t>2.52亿</t>
  </si>
  <si>
    <t>1.87亿</t>
  </si>
  <si>
    <t>1.91亿</t>
  </si>
  <si>
    <t>2.43亿</t>
  </si>
  <si>
    <t>6.31亿</t>
  </si>
  <si>
    <t>2.83亿</t>
  </si>
  <si>
    <t>2.01亿</t>
  </si>
  <si>
    <t>6.05亿</t>
  </si>
  <si>
    <t>4.14亿</t>
  </si>
  <si>
    <t>2.57亿</t>
  </si>
  <si>
    <t>1.59亿</t>
  </si>
  <si>
    <t>1.00亿</t>
  </si>
  <si>
    <t>2.82亿</t>
  </si>
  <si>
    <t>1.77亿</t>
  </si>
  <si>
    <t>1.09亿</t>
  </si>
  <si>
    <t>2.73亿</t>
  </si>
  <si>
    <t>4.33亿</t>
  </si>
  <si>
    <t>3.54亿</t>
  </si>
  <si>
    <t>7.14亿</t>
  </si>
  <si>
    <t>30.01亿</t>
  </si>
  <si>
    <t>1.93亿</t>
  </si>
  <si>
    <t>1.07亿</t>
  </si>
  <si>
    <t>1.97亿</t>
  </si>
  <si>
    <t>2.14亿</t>
  </si>
  <si>
    <t>1.52亿</t>
  </si>
  <si>
    <t>5.34亿</t>
  </si>
  <si>
    <t>4.57亿</t>
  </si>
  <si>
    <t>1.50亿</t>
  </si>
  <si>
    <t>2.93亿</t>
  </si>
  <si>
    <t>1.73亿</t>
  </si>
  <si>
    <t>5.02亿</t>
  </si>
  <si>
    <t>1.41亿</t>
  </si>
  <si>
    <t>8.54亿</t>
  </si>
  <si>
    <t>3.89亿</t>
  </si>
  <si>
    <t>1.64亿</t>
  </si>
  <si>
    <t>2.26亿</t>
  </si>
  <si>
    <t>6.71亿</t>
  </si>
  <si>
    <t>3.36亿</t>
  </si>
  <si>
    <t>2.41亿</t>
  </si>
  <si>
    <t>1.88亿</t>
  </si>
  <si>
    <t>6.83亿</t>
  </si>
  <si>
    <t>4.81亿</t>
  </si>
  <si>
    <t>1.92亿</t>
  </si>
  <si>
    <t>1.75亿</t>
  </si>
  <si>
    <t>6.58亿</t>
  </si>
  <si>
    <t>3.07亿</t>
  </si>
  <si>
    <t>2.44亿</t>
  </si>
  <si>
    <t>2.22亿</t>
  </si>
  <si>
    <t>3.02亿</t>
  </si>
  <si>
    <t>2.92亿</t>
  </si>
  <si>
    <t>2.11亿</t>
  </si>
  <si>
    <t>7.88亿</t>
  </si>
  <si>
    <t>1.68亿</t>
  </si>
  <si>
    <t>2.02亿</t>
  </si>
  <si>
    <t>2.38亿</t>
  </si>
  <si>
    <t>4.32亿</t>
  </si>
  <si>
    <t>4.03亿</t>
  </si>
  <si>
    <t>7.66亿</t>
  </si>
  <si>
    <t>1.22亿</t>
  </si>
  <si>
    <t>2.78亿</t>
  </si>
  <si>
    <t>2.29亿</t>
  </si>
  <si>
    <t>3.28亿</t>
  </si>
  <si>
    <t>1.84亿</t>
  </si>
  <si>
    <t>13.30亿</t>
  </si>
  <si>
    <t>2.03亿</t>
  </si>
  <si>
    <t>3.39亿</t>
  </si>
  <si>
    <t>3.18亿</t>
  </si>
  <si>
    <t>2.84亿</t>
  </si>
  <si>
    <t>2.61亿</t>
  </si>
  <si>
    <t>6.02亿</t>
  </si>
  <si>
    <t>4.09亿</t>
  </si>
  <si>
    <t>5.30亿</t>
  </si>
  <si>
    <t>5.17亿</t>
  </si>
  <si>
    <t>4.39亿</t>
  </si>
  <si>
    <t>1.38亿</t>
  </si>
  <si>
    <t>7.25亿</t>
  </si>
  <si>
    <t>3.67亿</t>
  </si>
  <si>
    <t>1.48亿</t>
  </si>
  <si>
    <t>3.95亿</t>
  </si>
  <si>
    <t>17.29亿</t>
  </si>
  <si>
    <t>3.15亿</t>
  </si>
  <si>
    <t>1.70亿</t>
  </si>
  <si>
    <t>6.56亿</t>
  </si>
  <si>
    <t>5.89亿</t>
  </si>
  <si>
    <t>1.34亿</t>
  </si>
  <si>
    <t>1.80亿</t>
  </si>
  <si>
    <t>15.18亿</t>
  </si>
  <si>
    <t>2.47亿</t>
  </si>
  <si>
    <t>28.47亿</t>
  </si>
  <si>
    <t>12.26亿</t>
  </si>
  <si>
    <t>1.39亿</t>
  </si>
  <si>
    <t>3.59亿</t>
  </si>
  <si>
    <t>2.35亿</t>
  </si>
  <si>
    <t>4.31亿</t>
  </si>
  <si>
    <t>1.25亿</t>
  </si>
  <si>
    <t>14.13亿</t>
  </si>
  <si>
    <t>10.66亿</t>
  </si>
  <si>
    <t>1.56亿</t>
  </si>
  <si>
    <t>3.80亿</t>
  </si>
  <si>
    <t>12.10亿</t>
  </si>
  <si>
    <t>4.21亿</t>
  </si>
  <si>
    <t>3.44亿</t>
  </si>
  <si>
    <t>2.86亿</t>
  </si>
  <si>
    <t>31.27亿</t>
  </si>
  <si>
    <t>2.49亿</t>
  </si>
  <si>
    <t>4.36亿</t>
  </si>
  <si>
    <t>3.48亿</t>
  </si>
  <si>
    <t>3.38亿</t>
  </si>
  <si>
    <t>6.22亿</t>
  </si>
  <si>
    <t>2.77亿</t>
  </si>
  <si>
    <t>3.98亿</t>
  </si>
  <si>
    <t>单季营收增速</t>
  </si>
  <si>
    <t>单季利润增速</t>
  </si>
  <si>
    <t>N-1年营收增速</t>
  </si>
  <si>
    <t>N-2年营收增速</t>
  </si>
  <si>
    <t>N-3年营收增速</t>
  </si>
  <si>
    <t>N-4年营收增速</t>
  </si>
  <si>
    <t>N-5年营收增速</t>
  </si>
  <si>
    <t>N-1年利润增速</t>
  </si>
  <si>
    <t>N-2年利润增速</t>
  </si>
  <si>
    <t>N-3年利润增速</t>
  </si>
  <si>
    <t>N-4年利润增速</t>
  </si>
  <si>
    <t>N-5年利润增速</t>
  </si>
  <si>
    <t>20增速</t>
  </si>
  <si>
    <t>当期自由现金流估计值</t>
  </si>
  <si>
    <t>自由现金流估计增速</t>
  </si>
  <si>
    <t>2.21亿</t>
  </si>
  <si>
    <t>销售毛利率%[20201231]</t>
  </si>
  <si>
    <t>销售净利率%[20201231]</t>
  </si>
  <si>
    <t>3.20亿</t>
  </si>
  <si>
    <t>4.82亿</t>
  </si>
  <si>
    <t>41.14亿</t>
  </si>
  <si>
    <t>3.27亿</t>
  </si>
  <si>
    <t>1.65亿</t>
  </si>
  <si>
    <t>4.04亿</t>
  </si>
  <si>
    <t>6.45亿</t>
  </si>
  <si>
    <t>3.93亿</t>
  </si>
  <si>
    <t>2.75亿</t>
  </si>
  <si>
    <t>57.76亿</t>
  </si>
  <si>
    <t>43.42亿</t>
  </si>
  <si>
    <t>3.03亿</t>
  </si>
  <si>
    <t>2.28亿</t>
  </si>
  <si>
    <t>4.85亿</t>
  </si>
  <si>
    <t>2.36亿</t>
  </si>
  <si>
    <t>4.37亿</t>
  </si>
  <si>
    <t>1.67亿</t>
  </si>
  <si>
    <t>5.22亿</t>
  </si>
  <si>
    <t>10.14亿</t>
  </si>
  <si>
    <t>3.68亿</t>
  </si>
  <si>
    <t>5.44亿</t>
  </si>
  <si>
    <t>4.06亿</t>
  </si>
  <si>
    <t>11.60亿</t>
  </si>
  <si>
    <t>4.79亿</t>
  </si>
  <si>
    <t>4.99亿</t>
  </si>
  <si>
    <t>4.41亿</t>
  </si>
  <si>
    <t>4.73亿</t>
  </si>
  <si>
    <t>23.16亿</t>
  </si>
  <si>
    <t>15.75亿</t>
  </si>
  <si>
    <t>37.35亿</t>
  </si>
  <si>
    <t>3.92亿</t>
  </si>
  <si>
    <t>15.65亿</t>
  </si>
  <si>
    <t>4.46亿</t>
  </si>
  <si>
    <t>1.60亿</t>
  </si>
  <si>
    <t>4.52亿</t>
  </si>
  <si>
    <t>8.00亿</t>
  </si>
  <si>
    <t>3.10亿</t>
  </si>
  <si>
    <t>8.16亿</t>
  </si>
  <si>
    <t>4.23亿</t>
  </si>
  <si>
    <t>3.33亿</t>
  </si>
  <si>
    <t>2.99亿</t>
  </si>
  <si>
    <t>5.45亿</t>
  </si>
  <si>
    <t>18.06亿</t>
  </si>
  <si>
    <t>3.26亿</t>
  </si>
  <si>
    <t>21.91亿</t>
  </si>
  <si>
    <t>2.19亿</t>
  </si>
  <si>
    <t>2.64亿</t>
  </si>
  <si>
    <t>2.95亿</t>
  </si>
  <si>
    <t>9.29亿</t>
  </si>
  <si>
    <t>6.25亿</t>
  </si>
  <si>
    <t>6.06亿</t>
  </si>
  <si>
    <t>8.02亿</t>
  </si>
  <si>
    <t>2.62亿</t>
  </si>
  <si>
    <t>11.94亿</t>
  </si>
  <si>
    <t>9.43亿</t>
  </si>
  <si>
    <t>4.70亿</t>
  </si>
  <si>
    <t>9.69亿</t>
  </si>
  <si>
    <t>20.29亿</t>
  </si>
  <si>
    <t>5.78亿</t>
  </si>
  <si>
    <t>4.91亿</t>
  </si>
  <si>
    <t>SZ000408</t>
  </si>
  <si>
    <t>26.81亿</t>
  </si>
  <si>
    <t>8.50亿</t>
  </si>
  <si>
    <t>SZ000422</t>
  </si>
  <si>
    <t>湖北宜化</t>
  </si>
  <si>
    <t>146.60亿</t>
  </si>
  <si>
    <t>128.12亿</t>
  </si>
  <si>
    <t>SZ000525</t>
  </si>
  <si>
    <t>ST红太阳</t>
  </si>
  <si>
    <t>3.09亿</t>
  </si>
  <si>
    <t>46.14亿</t>
  </si>
  <si>
    <t>59.08亿</t>
  </si>
  <si>
    <t>-3.40亿</t>
  </si>
  <si>
    <t>6.37亿</t>
  </si>
  <si>
    <t>1.82亿</t>
  </si>
  <si>
    <t>SZ000553</t>
  </si>
  <si>
    <t>安道麦A</t>
  </si>
  <si>
    <t>3.53亿</t>
  </si>
  <si>
    <t>3.22亿</t>
  </si>
  <si>
    <t>275.63亿</t>
  </si>
  <si>
    <t>268.67亿</t>
  </si>
  <si>
    <t>24.48亿</t>
  </si>
  <si>
    <t>2.05亿</t>
  </si>
  <si>
    <t>4.38亿</t>
  </si>
  <si>
    <t>4.27亿</t>
  </si>
  <si>
    <t>SZ000731</t>
  </si>
  <si>
    <t>四川美丰</t>
  </si>
  <si>
    <t>29.29亿</t>
  </si>
  <si>
    <t>26.40亿</t>
  </si>
  <si>
    <t>8635.82万</t>
  </si>
  <si>
    <t>5.28亿</t>
  </si>
  <si>
    <t>SZ000792</t>
  </si>
  <si>
    <t>盐湖股份</t>
  </si>
  <si>
    <t>178.49亿</t>
  </si>
  <si>
    <t>178.90亿</t>
  </si>
  <si>
    <t>116.99亿</t>
  </si>
  <si>
    <t>-458.60亿</t>
  </si>
  <si>
    <t>-34.47亿</t>
  </si>
  <si>
    <t>3.41亿</t>
  </si>
  <si>
    <t>3.12亿</t>
  </si>
  <si>
    <t>SZ000893</t>
  </si>
  <si>
    <t>亚钾国际</t>
  </si>
  <si>
    <t>3.63亿</t>
  </si>
  <si>
    <t>15.36亿</t>
  </si>
  <si>
    <t>4143.56万</t>
  </si>
  <si>
    <t>400.29万</t>
  </si>
  <si>
    <t>SZ000902</t>
  </si>
  <si>
    <t>新洋丰</t>
  </si>
  <si>
    <t>9.55亿</t>
  </si>
  <si>
    <t>93.27亿</t>
  </si>
  <si>
    <t>100.31亿</t>
  </si>
  <si>
    <t>6.51亿</t>
  </si>
  <si>
    <t>8.19亿</t>
  </si>
  <si>
    <t>SZ000912</t>
  </si>
  <si>
    <t>泸天化</t>
  </si>
  <si>
    <t>55.07亿</t>
  </si>
  <si>
    <t>11.26亿</t>
  </si>
  <si>
    <t>4.07亿</t>
  </si>
  <si>
    <t>3.21亿</t>
  </si>
  <si>
    <t>3.74亿</t>
  </si>
  <si>
    <t>24.67亿</t>
  </si>
  <si>
    <t>SZ002170</t>
  </si>
  <si>
    <t>芭田股份</t>
  </si>
  <si>
    <t>22.79亿</t>
  </si>
  <si>
    <t>22.91亿</t>
  </si>
  <si>
    <t>20.01亿</t>
  </si>
  <si>
    <t>3050.68万</t>
  </si>
  <si>
    <t>923.78万</t>
  </si>
  <si>
    <t>SZ002215</t>
  </si>
  <si>
    <t>诺 普 信</t>
  </si>
  <si>
    <t>8.66亿</t>
  </si>
  <si>
    <t>4.25亿</t>
  </si>
  <si>
    <t>40.58亿</t>
  </si>
  <si>
    <t>40.05亿</t>
  </si>
  <si>
    <t>3.29亿</t>
  </si>
  <si>
    <t>19.08亿</t>
  </si>
  <si>
    <t>1.89亿</t>
  </si>
  <si>
    <t>5.16亿</t>
  </si>
  <si>
    <t>22.69亿</t>
  </si>
  <si>
    <t>13.58亿</t>
  </si>
  <si>
    <t>5.76亿</t>
  </si>
  <si>
    <t>21.83亿</t>
  </si>
  <si>
    <t>21.93亿</t>
  </si>
  <si>
    <t>SZ002250</t>
  </si>
  <si>
    <t>联化科技</t>
  </si>
  <si>
    <t>7.11亿</t>
  </si>
  <si>
    <t>42.84亿</t>
  </si>
  <si>
    <t>3753.12万</t>
  </si>
  <si>
    <t>SZ002258</t>
  </si>
  <si>
    <t>利尔化学</t>
  </si>
  <si>
    <t>41.64亿</t>
  </si>
  <si>
    <t>40.27亿</t>
  </si>
  <si>
    <t>5.69亿</t>
  </si>
  <si>
    <t>4.94亿</t>
  </si>
  <si>
    <t>SZ002312</t>
  </si>
  <si>
    <t>川发龙蟒</t>
  </si>
  <si>
    <t>6.69亿</t>
  </si>
  <si>
    <t>3.05亿</t>
  </si>
  <si>
    <t>7.17亿</t>
  </si>
  <si>
    <t>8459.31万</t>
  </si>
  <si>
    <t>-2.19亿</t>
  </si>
  <si>
    <t>3.83亿</t>
  </si>
  <si>
    <t>15.19亿</t>
  </si>
  <si>
    <t>17.49亿</t>
  </si>
  <si>
    <t>6.50亿</t>
  </si>
  <si>
    <t>SZ002391</t>
  </si>
  <si>
    <t>长青股份</t>
  </si>
  <si>
    <t>30.08亿</t>
  </si>
  <si>
    <t>33.77亿</t>
  </si>
  <si>
    <t>3.71亿</t>
  </si>
  <si>
    <t>2.88亿</t>
  </si>
  <si>
    <t>39.13亿</t>
  </si>
  <si>
    <t>12.90亿</t>
  </si>
  <si>
    <t>7.41亿</t>
  </si>
  <si>
    <t>4.13亿</t>
  </si>
  <si>
    <t>45.22亿</t>
  </si>
  <si>
    <t>25.75亿</t>
  </si>
  <si>
    <t>SZ002470</t>
  </si>
  <si>
    <t>113.09亿</t>
  </si>
  <si>
    <t>SZ002496</t>
  </si>
  <si>
    <t>25.19亿</t>
  </si>
  <si>
    <t>-5.04亿</t>
  </si>
  <si>
    <t>-5.47亿</t>
  </si>
  <si>
    <t>4.65亿</t>
  </si>
  <si>
    <t>3.16亿</t>
  </si>
  <si>
    <t>6.72亿</t>
  </si>
  <si>
    <t>SZ002513</t>
  </si>
  <si>
    <t>蓝丰生化</t>
  </si>
  <si>
    <t>13.42亿</t>
  </si>
  <si>
    <t>15.04亿</t>
  </si>
  <si>
    <t>14.81亿</t>
  </si>
  <si>
    <t>-5.17亿</t>
  </si>
  <si>
    <t>-8.75亿</t>
  </si>
  <si>
    <t>SZ002538</t>
  </si>
  <si>
    <t>司尔特</t>
  </si>
  <si>
    <t>3.35亿</t>
  </si>
  <si>
    <t>30.16亿</t>
  </si>
  <si>
    <t>2.13亿</t>
  </si>
  <si>
    <t>SZ002539</t>
  </si>
  <si>
    <t>云图控股</t>
  </si>
  <si>
    <t>3.96亿</t>
  </si>
  <si>
    <t>86.26亿</t>
  </si>
  <si>
    <t>78.68亿</t>
  </si>
  <si>
    <t>SZ002545</t>
  </si>
  <si>
    <t>东方铁塔</t>
  </si>
  <si>
    <t>26.06亿</t>
  </si>
  <si>
    <t>21.97亿</t>
  </si>
  <si>
    <t>5.19亿</t>
  </si>
  <si>
    <t>SZ002588</t>
  </si>
  <si>
    <t>史丹利</t>
  </si>
  <si>
    <t>9.91亿</t>
  </si>
  <si>
    <t>56.86亿</t>
  </si>
  <si>
    <t>15.89亿</t>
  </si>
  <si>
    <t>10.22亿</t>
  </si>
  <si>
    <t>59.02亿</t>
  </si>
  <si>
    <t>39.85亿</t>
  </si>
  <si>
    <t>SZ002734</t>
  </si>
  <si>
    <t>利民股份</t>
  </si>
  <si>
    <t>3.86亿</t>
  </si>
  <si>
    <t>28.33亿</t>
  </si>
  <si>
    <t>SZ002749</t>
  </si>
  <si>
    <t>国光股份</t>
  </si>
  <si>
    <t>8.65亿</t>
  </si>
  <si>
    <t>9.66亿</t>
  </si>
  <si>
    <t>9.54亿</t>
  </si>
  <si>
    <t>11.58亿</t>
  </si>
  <si>
    <t>4.50亿</t>
  </si>
  <si>
    <t>SZ002895</t>
  </si>
  <si>
    <t>川恒股份</t>
  </si>
  <si>
    <t>7721.51万</t>
  </si>
  <si>
    <t>5.82亿</t>
  </si>
  <si>
    <t>7.90亿</t>
  </si>
  <si>
    <t>5.06亿</t>
  </si>
  <si>
    <t>4.01亿</t>
  </si>
  <si>
    <t>3.78亿</t>
  </si>
  <si>
    <t>SZ002942</t>
  </si>
  <si>
    <t>新农股份</t>
  </si>
  <si>
    <t>3.82亿</t>
  </si>
  <si>
    <t>10.86亿</t>
  </si>
  <si>
    <t>9.67亿</t>
  </si>
  <si>
    <t>8.08亿</t>
  </si>
  <si>
    <t>SZ002999</t>
  </si>
  <si>
    <t>天禾股份</t>
  </si>
  <si>
    <t>90.12亿</t>
  </si>
  <si>
    <t>71.91亿</t>
  </si>
  <si>
    <t>7739.69万</t>
  </si>
  <si>
    <t>9149.24万</t>
  </si>
  <si>
    <t>3.85亿</t>
  </si>
  <si>
    <t>SZ003042</t>
  </si>
  <si>
    <t>中农联合</t>
  </si>
  <si>
    <t>13.67亿</t>
  </si>
  <si>
    <t>11.22亿</t>
  </si>
  <si>
    <t>21.64亿</t>
  </si>
  <si>
    <t>2.90亿</t>
  </si>
  <si>
    <t>10.95亿</t>
  </si>
  <si>
    <t>SZ300261</t>
  </si>
  <si>
    <t>雅本化学</t>
  </si>
  <si>
    <t>16.64亿</t>
  </si>
  <si>
    <t>8164.37万</t>
  </si>
  <si>
    <t>17.98亿</t>
  </si>
  <si>
    <t>SZ300387</t>
  </si>
  <si>
    <t>富邦股份</t>
  </si>
  <si>
    <t>5.77亿</t>
  </si>
  <si>
    <t>6090.81万</t>
  </si>
  <si>
    <t>6540.69万</t>
  </si>
  <si>
    <t>4.60亿</t>
  </si>
  <si>
    <t>SZ300505</t>
  </si>
  <si>
    <t>川金诺</t>
  </si>
  <si>
    <t>10.50亿</t>
  </si>
  <si>
    <t>7281.13万</t>
  </si>
  <si>
    <t>6410.53万</t>
  </si>
  <si>
    <t>SZ300575</t>
  </si>
  <si>
    <t>中旗股份</t>
  </si>
  <si>
    <t>7.87亿</t>
  </si>
  <si>
    <t>15.69亿</t>
  </si>
  <si>
    <t>16.50亿</t>
  </si>
  <si>
    <t>11.70亿</t>
  </si>
  <si>
    <t>7.33亿</t>
  </si>
  <si>
    <t>12.35亿</t>
  </si>
  <si>
    <t>SZ300796</t>
  </si>
  <si>
    <t>贝斯美</t>
  </si>
  <si>
    <t>6365.28万</t>
  </si>
  <si>
    <t>7795.20万</t>
  </si>
  <si>
    <t>6.94亿</t>
  </si>
  <si>
    <t>4.17亿</t>
  </si>
  <si>
    <t>5.52亿</t>
  </si>
  <si>
    <t>6.57亿</t>
  </si>
  <si>
    <t>SZ301035</t>
  </si>
  <si>
    <t>润丰股份</t>
  </si>
  <si>
    <t>60.74亿</t>
  </si>
  <si>
    <t>54.02亿</t>
  </si>
  <si>
    <t>SH600078</t>
  </si>
  <si>
    <t>33.10亿</t>
  </si>
  <si>
    <t>31.46亿</t>
  </si>
  <si>
    <t>SH600096</t>
  </si>
  <si>
    <t>云天化</t>
  </si>
  <si>
    <t>539.76亿</t>
  </si>
  <si>
    <t>529.79亿</t>
  </si>
  <si>
    <t>SH600141</t>
  </si>
  <si>
    <t>兴发集团</t>
  </si>
  <si>
    <t>2.68亿</t>
  </si>
  <si>
    <t>178.55亿</t>
  </si>
  <si>
    <t>8.99亿</t>
  </si>
  <si>
    <t>12.48亿</t>
  </si>
  <si>
    <t>-1.92亿</t>
  </si>
  <si>
    <t>16.53亿</t>
  </si>
  <si>
    <t>12.83亿</t>
  </si>
  <si>
    <t>SH600389</t>
  </si>
  <si>
    <t>39.21亿</t>
  </si>
  <si>
    <t>SH600470</t>
  </si>
  <si>
    <t>六国化工</t>
  </si>
  <si>
    <t>43.54亿</t>
  </si>
  <si>
    <t>41.65亿</t>
  </si>
  <si>
    <t>-2.62亿</t>
  </si>
  <si>
    <t>-6.04亿</t>
  </si>
  <si>
    <t>SH600486</t>
  </si>
  <si>
    <t>扬农化工</t>
  </si>
  <si>
    <t>87.01亿</t>
  </si>
  <si>
    <t>85.83亿</t>
  </si>
  <si>
    <t>9.80亿</t>
  </si>
  <si>
    <t>120.07亿</t>
  </si>
  <si>
    <t>SH600691</t>
  </si>
  <si>
    <t>阳煤化工</t>
  </si>
  <si>
    <t>179.29亿</t>
  </si>
  <si>
    <t>217.75亿</t>
  </si>
  <si>
    <t>-5.24亿</t>
  </si>
  <si>
    <t>16.28亿</t>
  </si>
  <si>
    <t>SH600731</t>
  </si>
  <si>
    <t>湖南海利</t>
  </si>
  <si>
    <t>20.26亿</t>
  </si>
  <si>
    <t>21.49亿</t>
  </si>
  <si>
    <t>5149.84万</t>
  </si>
  <si>
    <t>8.59亿</t>
  </si>
  <si>
    <t>22.81亿</t>
  </si>
  <si>
    <t>SH603086</t>
  </si>
  <si>
    <t>先达股份</t>
  </si>
  <si>
    <t>16.36亿</t>
  </si>
  <si>
    <t>11.67亿</t>
  </si>
  <si>
    <t>SH603360</t>
  </si>
  <si>
    <t>百傲化学</t>
  </si>
  <si>
    <t>8.72亿</t>
  </si>
  <si>
    <t>1.69亿</t>
  </si>
  <si>
    <t>SH603585</t>
  </si>
  <si>
    <t>苏利股份</t>
  </si>
  <si>
    <t>18.13亿</t>
  </si>
  <si>
    <t>16.46亿</t>
  </si>
  <si>
    <t>3.23亿</t>
  </si>
  <si>
    <t>SH603599</t>
  </si>
  <si>
    <t>广信股份</t>
  </si>
  <si>
    <t>31.10亿</t>
  </si>
  <si>
    <t>4.69亿</t>
  </si>
  <si>
    <t>SH603639</t>
  </si>
  <si>
    <t>海利尔</t>
  </si>
  <si>
    <t>SH603810</t>
  </si>
  <si>
    <t>丰山集团</t>
  </si>
  <si>
    <t>13.17亿</t>
  </si>
  <si>
    <t>3475.89万</t>
  </si>
  <si>
    <t>4.54亿</t>
  </si>
  <si>
    <t>SH603970</t>
  </si>
  <si>
    <t>中农立华</t>
  </si>
  <si>
    <t>14.39亿</t>
  </si>
  <si>
    <t>5.65亿</t>
  </si>
  <si>
    <t>18.83亿</t>
  </si>
  <si>
    <t>SH605033</t>
  </si>
  <si>
    <t>美邦股份</t>
  </si>
  <si>
    <t>7625.70万</t>
  </si>
  <si>
    <t>5933.04万</t>
  </si>
  <si>
    <t>9.98亿</t>
  </si>
  <si>
    <t>10.05亿</t>
  </si>
  <si>
    <t>流通股本</t>
  </si>
  <si>
    <t>投入资本回报率roic%[20201231]</t>
  </si>
  <si>
    <t>净资产收益率%[20201231]</t>
  </si>
  <si>
    <t>藏格矿业</t>
  </si>
  <si>
    <t>19.93亿</t>
  </si>
  <si>
    <t>12.32亿</t>
  </si>
  <si>
    <t>2.63亿</t>
  </si>
  <si>
    <t>6.99亿</t>
  </si>
  <si>
    <t>187.37亿</t>
  </si>
  <si>
    <t>5.61亿</t>
  </si>
  <si>
    <t>2.37亿</t>
  </si>
  <si>
    <t>农药</t>
  </si>
  <si>
    <t>净利润?</t>
  </si>
  <si>
    <t>净利润[20201231]</t>
  </si>
  <si>
    <t>投入资本回报率roic%[20211231]</t>
  </si>
  <si>
    <t>净资产收益率%[20211231]</t>
  </si>
  <si>
    <t>36.23亿</t>
  </si>
  <si>
    <t>14.27亿</t>
  </si>
  <si>
    <t>19.03亿</t>
  </si>
  <si>
    <t/>
  </si>
  <si>
    <t>185.44亿</t>
  </si>
  <si>
    <t>138.05亿</t>
  </si>
  <si>
    <t>1-0</t>
  </si>
  <si>
    <t>46.83亿</t>
  </si>
  <si>
    <t>-37.44亿</t>
  </si>
  <si>
    <t>40.22亿</t>
  </si>
  <si>
    <t>-1.54亿</t>
  </si>
  <si>
    <t>扭亏</t>
  </si>
  <si>
    <t>310.39亿</t>
  </si>
  <si>
    <t>-5.74亿</t>
  </si>
  <si>
    <t>284.45亿</t>
  </si>
  <si>
    <t>2.48亿</t>
  </si>
  <si>
    <t>40.91亿</t>
  </si>
  <si>
    <t>29.12亿</t>
  </si>
  <si>
    <t>147.78亿</t>
  </si>
  <si>
    <t>44.78亿</t>
  </si>
  <si>
    <t>45.01亿</t>
  </si>
  <si>
    <t>140.16亿</t>
  </si>
  <si>
    <t>20.40亿</t>
  </si>
  <si>
    <t>7.50亿</t>
  </si>
  <si>
    <t>10.34亿</t>
  </si>
  <si>
    <t>5961.61万</t>
  </si>
  <si>
    <t>118.02亿</t>
  </si>
  <si>
    <t>100.69亿</t>
  </si>
  <si>
    <t>67.53亿</t>
  </si>
  <si>
    <t>56.18亿</t>
  </si>
  <si>
    <t>3.81亿</t>
  </si>
  <si>
    <t>10.06亿</t>
  </si>
  <si>
    <t>5.05亿</t>
  </si>
  <si>
    <t>-1.64亿</t>
  </si>
  <si>
    <t>开始亏损</t>
  </si>
  <si>
    <t>26.11亿</t>
  </si>
  <si>
    <t>24.85亿</t>
  </si>
  <si>
    <t>8078.57万</t>
  </si>
  <si>
    <t>21.27亿</t>
  </si>
  <si>
    <t>7738.45万</t>
  </si>
  <si>
    <t>2.07亿</t>
  </si>
  <si>
    <t>9.21亿</t>
  </si>
  <si>
    <t>亏损</t>
  </si>
  <si>
    <t>41.31亿</t>
  </si>
  <si>
    <t>65.87亿</t>
  </si>
  <si>
    <t>2.33亿</t>
  </si>
  <si>
    <t>47.82亿</t>
  </si>
  <si>
    <t>64.94亿</t>
  </si>
  <si>
    <t>10.72亿</t>
  </si>
  <si>
    <t>10.81亿</t>
  </si>
  <si>
    <t>49.69亿</t>
  </si>
  <si>
    <t>6.12亿</t>
  </si>
  <si>
    <t>6.33亿</t>
  </si>
  <si>
    <t>7.59亿</t>
  </si>
  <si>
    <t>51.80亿</t>
  </si>
  <si>
    <t>3.88亿</t>
  </si>
  <si>
    <t>1.53亿</t>
  </si>
  <si>
    <t>37.65亿</t>
  </si>
  <si>
    <t>4.90亿</t>
  </si>
  <si>
    <t>12.60亿</t>
  </si>
  <si>
    <t>21.87亿</t>
  </si>
  <si>
    <t>93.16亿</t>
  </si>
  <si>
    <t>93.55亿</t>
  </si>
  <si>
    <t>154.79亿</t>
  </si>
  <si>
    <t>-31.76亿</t>
  </si>
  <si>
    <t>-8.45亿</t>
  </si>
  <si>
    <t>辉丰股份</t>
  </si>
  <si>
    <t>16.89亿</t>
  </si>
  <si>
    <t>-2.85亿</t>
  </si>
  <si>
    <t>14.44亿</t>
  </si>
  <si>
    <t>-4.91亿</t>
  </si>
  <si>
    <t>1482.36万</t>
  </si>
  <si>
    <t>39.90亿</t>
  </si>
  <si>
    <t>37.92亿</t>
  </si>
  <si>
    <t>148.98亿</t>
  </si>
  <si>
    <t>91.54亿</t>
  </si>
  <si>
    <t>27.82亿</t>
  </si>
  <si>
    <t>26.51亿</t>
  </si>
  <si>
    <t>64.36亿</t>
  </si>
  <si>
    <t>4.80亿</t>
  </si>
  <si>
    <t>47.38亿</t>
  </si>
  <si>
    <t>43.88亿</t>
  </si>
  <si>
    <t>20.11亿</t>
  </si>
  <si>
    <t>13.09亿</t>
  </si>
  <si>
    <t>25.30亿</t>
  </si>
  <si>
    <t>17.77亿</t>
  </si>
  <si>
    <t>6.09亿</t>
  </si>
  <si>
    <t>8.15亿</t>
  </si>
  <si>
    <t>11.63亿</t>
  </si>
  <si>
    <t>130.00亿</t>
  </si>
  <si>
    <t>9802.42万</t>
  </si>
  <si>
    <t>100.37亿</t>
  </si>
  <si>
    <t>7951.37万</t>
  </si>
  <si>
    <t>16.25亿</t>
  </si>
  <si>
    <t>9859.49万</t>
  </si>
  <si>
    <t>15.68亿</t>
  </si>
  <si>
    <t>19.33亿</t>
  </si>
  <si>
    <t>6.28亿</t>
  </si>
  <si>
    <t>5.64亿</t>
  </si>
  <si>
    <t>3.06亿</t>
  </si>
  <si>
    <t>3.90亿</t>
  </si>
  <si>
    <t>20.72亿</t>
  </si>
  <si>
    <t>20.03亿</t>
  </si>
  <si>
    <t>3945.35万</t>
  </si>
  <si>
    <t>2.54亿</t>
  </si>
  <si>
    <t>6918.50万</t>
  </si>
  <si>
    <t>4147.69万</t>
  </si>
  <si>
    <t>4.53亿</t>
  </si>
  <si>
    <t>18.62亿</t>
  </si>
  <si>
    <t>10.11亿</t>
  </si>
  <si>
    <t>13.47亿</t>
  </si>
  <si>
    <t>5639.37万</t>
  </si>
  <si>
    <t>3841.15万</t>
  </si>
  <si>
    <t>8.42亿</t>
  </si>
  <si>
    <t>7.54亿</t>
  </si>
  <si>
    <t>7.57亿</t>
  </si>
  <si>
    <t>97.97亿</t>
  </si>
  <si>
    <t>72.90亿</t>
  </si>
  <si>
    <t>13.54亿</t>
  </si>
  <si>
    <t>4.95亿</t>
  </si>
  <si>
    <t>20.15亿</t>
  </si>
  <si>
    <t>31.37亿</t>
  </si>
  <si>
    <t>10.23亿</t>
  </si>
  <si>
    <t>521.11亿</t>
  </si>
  <si>
    <t>33.74亿</t>
  </si>
  <si>
    <t>64.84亿</t>
  </si>
  <si>
    <t>51.21亿</t>
  </si>
  <si>
    <t>59.85亿</t>
  </si>
  <si>
    <t>48.23亿</t>
  </si>
  <si>
    <t>118.41亿</t>
  </si>
  <si>
    <t>12.22亿</t>
  </si>
  <si>
    <t>36.99亿</t>
  </si>
  <si>
    <t>98.31亿</t>
  </si>
  <si>
    <t>179.50亿</t>
  </si>
  <si>
    <t>22.03亿</t>
  </si>
  <si>
    <t>18.96亿</t>
  </si>
  <si>
    <t>4.00亿</t>
  </si>
  <si>
    <t>15.59亿</t>
  </si>
  <si>
    <t>55.50亿</t>
  </si>
  <si>
    <t>14.79亿</t>
  </si>
  <si>
    <t>34.02亿</t>
  </si>
  <si>
    <t>8.47亿</t>
  </si>
  <si>
    <t>7.22亿</t>
  </si>
  <si>
    <t>32.27亿</t>
  </si>
  <si>
    <t>7.52亿</t>
  </si>
  <si>
    <t>20.65亿</t>
  </si>
  <si>
    <t>14.94亿</t>
  </si>
  <si>
    <t>2.59亿</t>
  </si>
  <si>
    <t>4.35亿</t>
  </si>
  <si>
    <t>88.22亿</t>
  </si>
  <si>
    <t>66.41亿</t>
  </si>
  <si>
    <t>19.88亿</t>
  </si>
  <si>
    <t>100.00万</t>
  </si>
  <si>
    <t>7873.43万</t>
  </si>
  <si>
    <t>1.问：公司磷肥目前有无出口？答：自2021年10月国家出台肥料出口法检政策以来，肥料出口受到一定程度限制。当前公司在保证国内客户正常需求的情况下有序出口，预计随着国内春季用肥季节结束，国家会有序放开出口；</t>
    <phoneticPr fontId="1" type="noConversion"/>
  </si>
  <si>
    <t>1.公司主要产品产能情况介绍如下：一是磷矿石板块，公司现有磷矿资源储量超过8亿吨，产能415万吨/年，在建产能200万吨/年；二是黄磷及磷硫化工板块，公司现有黄磷16万吨/年、精细磷酸盐超过20万吨/年、次磷酸钠5万吨/年、有机磷阻燃剂6.9万吨/年、二甲基亚砜4万吨/年等，在建二甲基亚砜2万吨/年等；三是硅化工板块，公司现有有机硅单体36万吨/年、硅橡胶15万吨/年、密封胶3万吨/年、硅油2万吨/年，在建有机硅单体40万吨/年、功能性硅橡胶（包括3万吨/年液体硅橡胶和5万吨/年光伏胶）8万吨/年等；四是草甘膦板块，公司现有草甘膦原药18万吨/年、水剂及颗粒剂7.4万吨/年等，在建草甘膦原药5万吨/年等；五是磷肥板块，公司现有磷酸一铵20万吨/年、磷酸二铵80万吨/年、湿法磷酸68万吨/年、精制净化磷酸（折百）10万吨/年等，在建20万吨/年磷酸铁项目（一期）配套10万吨/年湿法磷酸（折百）精制技术升级项目；六是电子化学品板块，公司现有电子级磷酸3万吨/年、电子级硫酸2万吨/年、电子级蚀刻液3万吨/年等，在建电子级硫酸7万吨/年、电子级蚀刻液2万吨/年、电子级双氧水1万吨/年等。</t>
    <phoneticPr fontId="1" type="noConversion"/>
  </si>
  <si>
    <t>4.83亿</t>
  </si>
  <si>
    <t>SZ001231</t>
  </si>
  <si>
    <t>农心科技</t>
  </si>
  <si>
    <t>8251.48万</t>
  </si>
  <si>
    <t>6813.45万</t>
  </si>
  <si>
    <t>5518.51万</t>
  </si>
  <si>
    <t>3646.44万</t>
  </si>
  <si>
    <t>SH603077</t>
  </si>
  <si>
    <t>和邦生物</t>
  </si>
  <si>
    <t>52.61亿</t>
  </si>
  <si>
    <t>59.69亿</t>
  </si>
  <si>
    <t>60.09亿</t>
  </si>
  <si>
    <t>4094.25万</t>
  </si>
  <si>
    <t>细分行业</t>
  </si>
  <si>
    <t>钾肥</t>
  </si>
  <si>
    <t>磷肥及磷化工</t>
  </si>
  <si>
    <t>氮肥</t>
  </si>
  <si>
    <t>4.40亿</t>
  </si>
  <si>
    <t>复合肥</t>
  </si>
  <si>
    <t>66.50亿</t>
  </si>
  <si>
    <t>18.44亿</t>
  </si>
  <si>
    <t>7.32亿</t>
  </si>
  <si>
    <t>14.73亿</t>
  </si>
  <si>
    <t>24.31亿</t>
  </si>
  <si>
    <t>8.48亿</t>
  </si>
  <si>
    <t>5.54亿</t>
  </si>
  <si>
    <t>6.67亿</t>
  </si>
  <si>
    <t>7.21亿</t>
  </si>
  <si>
    <t>34.20亿</t>
  </si>
  <si>
    <t>183.90亿</t>
  </si>
  <si>
    <t>180.50亿</t>
  </si>
  <si>
    <t>SH600227</t>
  </si>
  <si>
    <t>19.27亿</t>
  </si>
  <si>
    <t>SH600331</t>
  </si>
  <si>
    <t>宏达股份</t>
  </si>
  <si>
    <t>29.07亿</t>
  </si>
  <si>
    <t>25.45亿</t>
  </si>
  <si>
    <t>26.90亿</t>
  </si>
  <si>
    <t>-22.46亿</t>
  </si>
  <si>
    <t>8450.35万</t>
  </si>
  <si>
    <t>-26.72亿</t>
  </si>
  <si>
    <t>SH600426</t>
  </si>
  <si>
    <t>华鲁恒升</t>
  </si>
  <si>
    <t>131.15亿</t>
  </si>
  <si>
    <t>141.90亿</t>
  </si>
  <si>
    <t>143.57亿</t>
  </si>
  <si>
    <t>24.53亿</t>
  </si>
  <si>
    <t>30.20亿</t>
  </si>
  <si>
    <t>5.31亿</t>
  </si>
  <si>
    <t>-3.21亿</t>
  </si>
  <si>
    <t>12.38亿</t>
  </si>
  <si>
    <t>8.46亿</t>
  </si>
  <si>
    <t>6.54亿</t>
  </si>
  <si>
    <t>8.25亿</t>
  </si>
  <si>
    <t>8.39亿</t>
  </si>
  <si>
    <t>49.10亿</t>
  </si>
  <si>
    <t>-4.55亿</t>
  </si>
  <si>
    <t>24.66亿</t>
  </si>
  <si>
    <t>10.30亿</t>
  </si>
  <si>
    <t>6.04亿</t>
  </si>
  <si>
    <t>17.43亿</t>
  </si>
  <si>
    <t>9.06亿</t>
  </si>
  <si>
    <t>12.15亿</t>
  </si>
  <si>
    <t>10.65亿</t>
  </si>
  <si>
    <t>36.16亿</t>
  </si>
  <si>
    <t>5.10亿</t>
  </si>
  <si>
    <t>6.34亿</t>
  </si>
  <si>
    <t>34.66亿</t>
  </si>
  <si>
    <t>-1.07亿</t>
  </si>
  <si>
    <t>25.20亿</t>
  </si>
  <si>
    <t>江山股份</t>
  </si>
  <si>
    <t>-1.19亿</t>
  </si>
  <si>
    <t>6.65亿</t>
  </si>
  <si>
    <t>12.57亿</t>
  </si>
  <si>
    <t>-3.67亿</t>
  </si>
  <si>
    <t>17.09亿</t>
  </si>
  <si>
    <t>9.50亿</t>
  </si>
  <si>
    <t>不分配不转增</t>
  </si>
  <si>
    <t>10派2元(含税)</t>
  </si>
  <si>
    <t>10派0.6元(含税)</t>
  </si>
  <si>
    <t>10派0.5元(含税)</t>
  </si>
  <si>
    <t>10派3元(含税)</t>
  </si>
  <si>
    <t>10派6元(含税)</t>
  </si>
  <si>
    <t>17.94亿</t>
  </si>
  <si>
    <t>10派2.5元(含税)</t>
  </si>
  <si>
    <t>10派1.5元(含税)</t>
  </si>
  <si>
    <t>10派5元(含税)</t>
  </si>
  <si>
    <t>10派8元(含税)</t>
  </si>
  <si>
    <t>10派10元(含税)</t>
  </si>
  <si>
    <t>10派0.8元(含税)</t>
  </si>
  <si>
    <t>10派1.1元(含税)</t>
  </si>
  <si>
    <t>-1-1</t>
  </si>
  <si>
    <t>1-1</t>
  </si>
  <si>
    <t>2-0</t>
  </si>
  <si>
    <t>2-1</t>
  </si>
  <si>
    <t>9.64亿</t>
  </si>
  <si>
    <t>-2-1</t>
  </si>
  <si>
    <t>2.94亿</t>
  </si>
  <si>
    <t>-2-0</t>
  </si>
  <si>
    <t>81.94亿</t>
  </si>
  <si>
    <t>56.55亿</t>
  </si>
  <si>
    <t>207.13亿</t>
  </si>
  <si>
    <t>64.40亿</t>
  </si>
  <si>
    <t>373.82亿</t>
  </si>
  <si>
    <t>4.28亿</t>
  </si>
  <si>
    <t>10.44亿</t>
  </si>
  <si>
    <t>10派0.4元(含税)</t>
  </si>
  <si>
    <t>11.34亿</t>
  </si>
  <si>
    <t>5.23亿</t>
  </si>
  <si>
    <t>159.58亿</t>
  </si>
  <si>
    <t>75.34亿</t>
  </si>
  <si>
    <t>4.62亿</t>
  </si>
  <si>
    <t>28.55亿</t>
  </si>
  <si>
    <t>42.65亿</t>
  </si>
  <si>
    <t>78.65亿</t>
  </si>
  <si>
    <t>6.97亿</t>
  </si>
  <si>
    <t>101.36亿</t>
  </si>
  <si>
    <t>100.23亿</t>
  </si>
  <si>
    <t>42.44亿</t>
  </si>
  <si>
    <t>-2.40亿</t>
  </si>
  <si>
    <t>99.77亿</t>
  </si>
  <si>
    <t>-9.82亿</t>
  </si>
  <si>
    <t>14.45亿</t>
  </si>
  <si>
    <t>48.84亿</t>
  </si>
  <si>
    <t>205.02亿</t>
  </si>
  <si>
    <t>14.92亿</t>
  </si>
  <si>
    <t>90.38亿</t>
  </si>
  <si>
    <t>61.83亿</t>
  </si>
  <si>
    <t>7.68亿</t>
  </si>
  <si>
    <t>-1.02亿</t>
  </si>
  <si>
    <t>50.16亿</t>
  </si>
  <si>
    <t>-1.77亿</t>
  </si>
  <si>
    <t>16.48亿</t>
  </si>
  <si>
    <t>34.47亿</t>
  </si>
  <si>
    <t>145.04亿</t>
  </si>
  <si>
    <t>7313.79万</t>
  </si>
  <si>
    <t>-1.76亿</t>
  </si>
  <si>
    <t>7.42亿</t>
  </si>
  <si>
    <t>6.98亿</t>
  </si>
  <si>
    <t>31.76亿</t>
  </si>
  <si>
    <t>-1.06亿</t>
  </si>
  <si>
    <t>5385.12万</t>
  </si>
  <si>
    <t>29.70亿</t>
  </si>
  <si>
    <t>4.20亿</t>
  </si>
  <si>
    <t>11.83亿</t>
  </si>
  <si>
    <t>10派0.2元(含税)</t>
  </si>
  <si>
    <t>27.27亿</t>
  </si>
  <si>
    <t>14.42亿</t>
  </si>
  <si>
    <t>144.60亿</t>
  </si>
  <si>
    <t>10.41亿</t>
  </si>
  <si>
    <t>16.09亿</t>
  </si>
  <si>
    <t>45.38亿</t>
  </si>
  <si>
    <t>753.13亿</t>
  </si>
  <si>
    <t>60.21亿</t>
  </si>
  <si>
    <t>303.11亿</t>
  </si>
  <si>
    <t>58.52亿</t>
  </si>
  <si>
    <t>25.17亿</t>
  </si>
  <si>
    <t>29.40亿</t>
  </si>
  <si>
    <t>6015.85万</t>
  </si>
  <si>
    <t>83.49亿</t>
  </si>
  <si>
    <t>302.45亿</t>
  </si>
  <si>
    <t>62.89亿</t>
  </si>
  <si>
    <t>267.44亿</t>
  </si>
  <si>
    <t>72.71亿</t>
  </si>
  <si>
    <t>158.11亿</t>
  </si>
  <si>
    <t>21.54亿</t>
  </si>
  <si>
    <t>170.36亿</t>
  </si>
  <si>
    <t>31.30亿</t>
  </si>
  <si>
    <t>27.48亿</t>
  </si>
  <si>
    <t>44.06亿</t>
  </si>
  <si>
    <t>8.29亿</t>
  </si>
  <si>
    <t>32.02亿</t>
  </si>
  <si>
    <t>130.39亿</t>
  </si>
  <si>
    <t>38.07亿</t>
  </si>
  <si>
    <t>99.87亿</t>
  </si>
  <si>
    <t>30.18亿</t>
  </si>
  <si>
    <t>31.26亿</t>
  </si>
  <si>
    <t>10派0.9元(含税)</t>
  </si>
  <si>
    <t>-6.99亿</t>
  </si>
  <si>
    <t>8.21亿</t>
  </si>
  <si>
    <t>26.83亿</t>
  </si>
  <si>
    <t>10派8.8元(含税)</t>
  </si>
  <si>
    <t>31.50亿</t>
  </si>
  <si>
    <t>23.48亿</t>
  </si>
  <si>
    <t>90.62亿</t>
  </si>
  <si>
    <t>45.35亿</t>
  </si>
  <si>
    <t>9922.93万</t>
  </si>
  <si>
    <t>6.89亿</t>
  </si>
  <si>
    <t>21.52亿</t>
  </si>
  <si>
    <t>账面净赚</t>
  </si>
  <si>
    <t>5.95亿</t>
  </si>
  <si>
    <t>26.08亿</t>
  </si>
  <si>
    <t>涨幅%</t>
  </si>
  <si>
    <t>成交量[20230505]</t>
  </si>
  <si>
    <t>当季营业收入(同比增长率) %</t>
  </si>
  <si>
    <t>LYear营业总收入[20221231]</t>
  </si>
  <si>
    <t>LYear净利润[20221231]</t>
  </si>
  <si>
    <t>权益乘数[20220930]</t>
  </si>
  <si>
    <t>总资产周转率[20220930]</t>
  </si>
  <si>
    <t>净利润／营业总收入%[20220930]</t>
  </si>
  <si>
    <t>营业总成本[20220930]</t>
  </si>
  <si>
    <t>营业成本[20220930]</t>
  </si>
  <si>
    <t>销售费用[20230331]</t>
  </si>
  <si>
    <t>管理费用[20220930]</t>
  </si>
  <si>
    <t>研发费用总额</t>
  </si>
  <si>
    <t>其他收入[20230331]</t>
  </si>
  <si>
    <t>扣除非经常性损益后的净利润[20230331]</t>
  </si>
  <si>
    <t>货币资金[20230331]</t>
  </si>
  <si>
    <t>应收票据[20230331]</t>
  </si>
  <si>
    <t>固定资产[20230331]</t>
  </si>
  <si>
    <t>在建工程[20230331]</t>
  </si>
  <si>
    <t>短期借款[20230331]</t>
  </si>
  <si>
    <t>应付票据[20230331]</t>
  </si>
  <si>
    <t>应付账款[20230331]</t>
  </si>
  <si>
    <t>预收款项[20230331]</t>
  </si>
  <si>
    <t>流动负债[20230331]</t>
  </si>
  <si>
    <t>长期借款[20230331]</t>
  </si>
  <si>
    <t>经营活动产生的现金流量净额[20230331]</t>
  </si>
  <si>
    <t>投资活动产生的现金流量净额[20230331]</t>
  </si>
  <si>
    <t>筹资活动产生的现金流量净额[20230331]</t>
  </si>
  <si>
    <t>营业收入[20211231]</t>
  </si>
  <si>
    <t>营业收入[20201231]</t>
  </si>
  <si>
    <t>净利润[20211231]</t>
  </si>
  <si>
    <t>CYLQ营业收入[20221231]</t>
  </si>
  <si>
    <t>LYCQ营业收入[20220331]</t>
  </si>
  <si>
    <t>LYLQ营业收入[20211231]</t>
  </si>
  <si>
    <t>CYLQ净利润[20221231]</t>
  </si>
  <si>
    <t>LYCQ净利润[20220331]</t>
  </si>
  <si>
    <t>LYLQ净利润[20211231]</t>
  </si>
  <si>
    <t>投入资本回报率roic%[20221231]</t>
  </si>
  <si>
    <t>净资产收益率%[20221231]</t>
  </si>
  <si>
    <t>分红明细[20221231]</t>
  </si>
  <si>
    <t>销售毛利率%[20230331]</t>
  </si>
  <si>
    <t>销售毛利率%[20211231]</t>
  </si>
  <si>
    <t>销售净利率%[20230331]</t>
  </si>
  <si>
    <t>销售净利率%[20211231]</t>
  </si>
  <si>
    <t>区间涨跌幅:前复权%[20230426-20230505]</t>
  </si>
  <si>
    <t>区间涨跌幅:前复权%[20230321-20230505]</t>
  </si>
  <si>
    <t>区间成交量[20230426-20230505]</t>
  </si>
  <si>
    <t>区间成交量[20230321-20230505]</t>
  </si>
  <si>
    <t>6年PE</t>
    <phoneticPr fontId="1" type="noConversion"/>
  </si>
  <si>
    <t>5年营收增速PEG</t>
    <phoneticPr fontId="1" type="noConversion"/>
  </si>
  <si>
    <t>股利率</t>
    <phoneticPr fontId="1" type="noConversion"/>
  </si>
  <si>
    <t>过往营收增速均值</t>
    <phoneticPr fontId="1" type="noConversion"/>
  </si>
  <si>
    <t>过往利润增速均值</t>
    <phoneticPr fontId="1" type="noConversion"/>
  </si>
  <si>
    <t>折现率</t>
    <phoneticPr fontId="1" type="noConversion"/>
  </si>
  <si>
    <t>1年自由现金流折现</t>
    <phoneticPr fontId="1" type="noConversion"/>
  </si>
  <si>
    <t>1增速</t>
    <phoneticPr fontId="1" type="noConversion"/>
  </si>
  <si>
    <t>3年自由现金流折现</t>
    <phoneticPr fontId="1" type="noConversion"/>
  </si>
  <si>
    <t>3增速</t>
    <phoneticPr fontId="1" type="noConversion"/>
  </si>
  <si>
    <t>6年自由现金流折现</t>
    <phoneticPr fontId="1" type="noConversion"/>
  </si>
  <si>
    <t>6增速</t>
    <phoneticPr fontId="1" type="noConversion"/>
  </si>
  <si>
    <t>10年自由现金流折现</t>
    <phoneticPr fontId="1" type="noConversion"/>
  </si>
  <si>
    <t>10增速</t>
    <phoneticPr fontId="1" type="noConversion"/>
  </si>
  <si>
    <t>20年自由现金流折现</t>
    <phoneticPr fontId="1" type="noConversion"/>
  </si>
  <si>
    <t>承担负债现期溢价</t>
    <phoneticPr fontId="1" type="noConversion"/>
  </si>
  <si>
    <t>清算价格</t>
    <phoneticPr fontId="1" type="noConversion"/>
  </si>
  <si>
    <t>原始顺序</t>
    <phoneticPr fontId="1" type="noConversion"/>
  </si>
  <si>
    <t>策略1营收单季最佳增速</t>
    <phoneticPr fontId="1" type="noConversion"/>
  </si>
  <si>
    <t>策略1利润单季最佳增速</t>
    <phoneticPr fontId="1" type="noConversion"/>
  </si>
  <si>
    <t>营收成长策略</t>
    <phoneticPr fontId="1" type="noConversion"/>
  </si>
  <si>
    <t>利润成长策略</t>
    <phoneticPr fontId="1" type="noConversion"/>
  </si>
  <si>
    <t>营收和利润加权</t>
    <phoneticPr fontId="1" type="noConversion"/>
  </si>
  <si>
    <t>价格变动策略</t>
    <phoneticPr fontId="1" type="noConversion"/>
  </si>
  <si>
    <t>成交量综合策略</t>
    <phoneticPr fontId="1" type="noConversion"/>
  </si>
  <si>
    <t>量价齐升策略</t>
    <phoneticPr fontId="1" type="noConversion"/>
  </si>
  <si>
    <t>基本面排序</t>
    <phoneticPr fontId="1" type="noConversion"/>
  </si>
  <si>
    <t>综合策略</t>
    <phoneticPr fontId="1" type="noConversion"/>
  </si>
  <si>
    <t>机会区域号</t>
    <phoneticPr fontId="1" type="noConversion"/>
  </si>
  <si>
    <t>5日成交换手率</t>
    <phoneticPr fontId="1" type="noConversion"/>
  </si>
  <si>
    <t>30日成交换手率</t>
    <phoneticPr fontId="1" type="noConversion"/>
  </si>
  <si>
    <t>昨日价格累计指数</t>
    <phoneticPr fontId="1" type="noConversion"/>
  </si>
  <si>
    <t>今日价格累积指数</t>
    <phoneticPr fontId="1" type="noConversion"/>
  </si>
  <si>
    <t>成交量异动策略</t>
    <phoneticPr fontId="1" type="noConversion"/>
  </si>
  <si>
    <t>价格箱体形态过滤</t>
    <phoneticPr fontId="1" type="noConversion"/>
  </si>
  <si>
    <t>价格右侧初期策略</t>
    <phoneticPr fontId="1" type="noConversion"/>
  </si>
  <si>
    <t>N日期</t>
    <phoneticPr fontId="1" type="noConversion"/>
  </si>
  <si>
    <t>N-4</t>
    <phoneticPr fontId="1" type="noConversion"/>
  </si>
  <si>
    <t>N-3</t>
    <phoneticPr fontId="1" type="noConversion"/>
  </si>
  <si>
    <t>N-2</t>
    <phoneticPr fontId="1" type="noConversion"/>
  </si>
  <si>
    <t>N-1</t>
    <phoneticPr fontId="1" type="noConversion"/>
  </si>
  <si>
    <t>N</t>
    <phoneticPr fontId="1" type="noConversion"/>
  </si>
  <si>
    <t>37.15亿</t>
  </si>
  <si>
    <t>7.16亿</t>
  </si>
  <si>
    <t>SZ300804</t>
  </si>
  <si>
    <t>广康生化</t>
  </si>
  <si>
    <t>6.60亿</t>
  </si>
  <si>
    <t>9617.45万</t>
  </si>
  <si>
    <t>9819.79万</t>
  </si>
  <si>
    <t>12.19亿</t>
  </si>
  <si>
    <t>23.97亿</t>
  </si>
  <si>
    <t>22.84亿</t>
  </si>
  <si>
    <t>-3-1</t>
  </si>
  <si>
    <t>7.01亿</t>
  </si>
  <si>
    <t>3.66亿</t>
  </si>
  <si>
    <t>23.74亿</t>
  </si>
  <si>
    <t>2.98亿</t>
  </si>
  <si>
    <t>27.24亿</t>
  </si>
  <si>
    <t>18.27亿</t>
  </si>
  <si>
    <t>40.00亿</t>
  </si>
  <si>
    <t>13.31亿</t>
  </si>
  <si>
    <t>5.60亿</t>
  </si>
  <si>
    <t>5.58亿</t>
  </si>
  <si>
    <t>8.62亿</t>
  </si>
  <si>
    <t>5.81亿</t>
  </si>
  <si>
    <t>15.76亿</t>
  </si>
  <si>
    <t>26.29亿</t>
  </si>
  <si>
    <t>金正大</t>
  </si>
  <si>
    <t>13.75亿</t>
  </si>
  <si>
    <t>5.27亿</t>
  </si>
  <si>
    <t>5.15亿</t>
  </si>
  <si>
    <t>9.88亿</t>
  </si>
  <si>
    <t>13.91亿</t>
  </si>
  <si>
    <t>40.04亿</t>
  </si>
  <si>
    <t>27.14亿</t>
  </si>
  <si>
    <t>9.59亿</t>
  </si>
  <si>
    <t>2.97亿</t>
  </si>
  <si>
    <t>8.96亿</t>
  </si>
  <si>
    <t>7.02亿</t>
  </si>
  <si>
    <t>11.07亿</t>
  </si>
  <si>
    <t>7.04亿</t>
  </si>
  <si>
    <t>3-0</t>
  </si>
  <si>
    <t>13.82亿</t>
  </si>
  <si>
    <t>5.55亿</t>
  </si>
  <si>
    <t>12.07亿</t>
  </si>
  <si>
    <t>8.52亿</t>
  </si>
  <si>
    <t>13.46亿</t>
  </si>
  <si>
    <t>11.33亿</t>
  </si>
  <si>
    <t>41.74亿</t>
  </si>
  <si>
    <t>6.93亿</t>
  </si>
  <si>
    <t>5.87亿</t>
  </si>
  <si>
    <t>6977.05万</t>
  </si>
  <si>
    <t>-1706.18万</t>
  </si>
  <si>
    <t>8168.07万</t>
  </si>
  <si>
    <t>5.68亿</t>
  </si>
  <si>
    <t>6.14亿</t>
  </si>
  <si>
    <t>16.66亿</t>
  </si>
  <si>
    <t>13.06亿</t>
  </si>
  <si>
    <t>-1.35亿</t>
  </si>
  <si>
    <t>13.74亿</t>
  </si>
  <si>
    <t>-3-0</t>
  </si>
  <si>
    <t>22.46亿</t>
  </si>
  <si>
    <t>赤天化</t>
  </si>
  <si>
    <t>13.79亿</t>
  </si>
  <si>
    <t>52.26亿</t>
  </si>
  <si>
    <t>6.91亿</t>
  </si>
  <si>
    <t>10.63亿</t>
  </si>
  <si>
    <t>9.17亿</t>
  </si>
  <si>
    <t>17.39亿</t>
  </si>
  <si>
    <t>6.62亿</t>
  </si>
  <si>
    <t>24.81亿</t>
  </si>
  <si>
    <t>10.19亿</t>
  </si>
  <si>
    <t>11.31亿</t>
  </si>
  <si>
    <t>12.79亿</t>
  </si>
  <si>
    <t>13.56亿</t>
  </si>
  <si>
    <t>24.42亿</t>
  </si>
  <si>
    <t>7.94亿</t>
  </si>
  <si>
    <t>9.90亿</t>
  </si>
  <si>
    <t>8.92亿</t>
  </si>
  <si>
    <t>8.60亿</t>
  </si>
  <si>
    <t>-4-1</t>
  </si>
  <si>
    <t>-4-0</t>
  </si>
  <si>
    <t>3-1</t>
  </si>
  <si>
    <r>
      <t>0.钾元素是农作物生长三大必需的营养元素（</t>
    </r>
    <r>
      <rPr>
        <sz val="9"/>
        <color rgb="FFFF0000"/>
        <rFont val="宋体"/>
        <family val="3"/>
        <charset val="134"/>
        <scheme val="minor"/>
      </rPr>
      <t>氮、磷、钾</t>
    </r>
    <r>
      <rPr>
        <sz val="9"/>
        <color theme="1"/>
        <rFont val="宋体"/>
        <family val="2"/>
        <charset val="134"/>
        <scheme val="minor"/>
      </rPr>
      <t>）之一；1.当前拥有老挝甘蒙省 263.3 平方公里钾盐矿权，包括 东泰、彭下-农波、农龙村三大矿区，氯化钾折纯储量超过10亿吨，规划氯化钾产能合计达500万吨/年(200万已有，100万在建，200万拟建），其中拟建的200万吨是站全球新增钾肥产能的21%，因此作为</t>
    </r>
    <r>
      <rPr>
        <b/>
        <sz val="9"/>
        <color rgb="FFFF0000"/>
        <rFont val="宋体"/>
        <family val="3"/>
        <charset val="134"/>
        <scheme val="minor"/>
      </rPr>
      <t>存量的市场抢占</t>
    </r>
    <r>
      <rPr>
        <sz val="9"/>
        <color theme="1"/>
        <rFont val="宋体"/>
        <family val="2"/>
        <charset val="134"/>
        <scheme val="minor"/>
      </rPr>
      <t>才是关键机会。2.落实“</t>
    </r>
    <r>
      <rPr>
        <sz val="9"/>
        <color rgb="FFFF0000"/>
        <rFont val="宋体"/>
        <family val="3"/>
        <charset val="134"/>
        <scheme val="minor"/>
      </rPr>
      <t>减氮、控磷、增钾</t>
    </r>
    <r>
      <rPr>
        <sz val="9"/>
        <color theme="1"/>
        <rFont val="宋体"/>
        <family val="2"/>
        <charset val="134"/>
        <scheme val="minor"/>
      </rPr>
      <t>”的科学施肥方式是粮食增产增收的关键；3.</t>
    </r>
    <r>
      <rPr>
        <sz val="9"/>
        <color rgb="FFFF0000"/>
        <rFont val="宋体"/>
        <family val="3"/>
        <charset val="134"/>
        <scheme val="minor"/>
      </rPr>
      <t>颗粒钾投产+开发溴素</t>
    </r>
    <r>
      <rPr>
        <sz val="9"/>
        <color theme="1"/>
        <rFont val="宋体"/>
        <family val="2"/>
        <charset val="134"/>
        <scheme val="minor"/>
      </rPr>
      <t>等非钾产品，公司创造更多利润增长点。</t>
    </r>
    <phoneticPr fontId="1" type="noConversion"/>
  </si>
  <si>
    <r>
      <t>0.</t>
    </r>
    <r>
      <rPr>
        <b/>
        <sz val="9"/>
        <color theme="1"/>
        <rFont val="宋体"/>
        <family val="3"/>
        <charset val="134"/>
        <scheme val="minor"/>
      </rPr>
      <t>尿素中只含有氮元素</t>
    </r>
    <r>
      <rPr>
        <sz val="9"/>
        <color theme="1"/>
        <rFont val="宋体"/>
        <family val="3"/>
        <charset val="134"/>
        <scheme val="minor"/>
      </rPr>
      <t>，约46.7%；</t>
    </r>
    <r>
      <rPr>
        <sz val="9"/>
        <color theme="1"/>
        <rFont val="宋体"/>
        <family val="2"/>
        <charset val="134"/>
        <scheme val="minor"/>
      </rPr>
      <t>1.存疑地方：管理低效率，管理者问题多，老挝矿开采问题多；2.北美地区两大钾肥巨头Nutrien和Mosaic，2022年总产能合计约 3428万吨，占全球产能35%；中东地区的ICL与APC，总产能737 万吨，在全球产能中占比为8%；东欧地区的Belaruskali与 Uralkali，总产能2813万吨,占全球产能29%。3.国内对手全球市占率：</t>
    </r>
    <r>
      <rPr>
        <b/>
        <sz val="9"/>
        <color rgb="FFFF0000"/>
        <rFont val="宋体"/>
        <family val="3"/>
        <charset val="134"/>
        <scheme val="minor"/>
      </rPr>
      <t>藏格矿业2%，盐湖股份5%，亚钾国际2%</t>
    </r>
    <r>
      <rPr>
        <sz val="9"/>
        <color theme="1"/>
        <rFont val="宋体"/>
        <family val="2"/>
        <charset val="134"/>
        <scheme val="minor"/>
      </rPr>
      <t>，但另外两个对手还有</t>
    </r>
    <r>
      <rPr>
        <sz val="9"/>
        <color rgb="FFFF0000"/>
        <rFont val="宋体"/>
        <family val="3"/>
        <charset val="134"/>
        <scheme val="minor"/>
      </rPr>
      <t>接近一半的锂</t>
    </r>
    <r>
      <rPr>
        <sz val="9"/>
        <color theme="1"/>
        <rFont val="宋体"/>
        <family val="2"/>
        <charset val="134"/>
        <scheme val="minor"/>
      </rPr>
      <t>业务。</t>
    </r>
    <r>
      <rPr>
        <sz val="9"/>
        <color theme="1"/>
        <rFont val="宋体"/>
        <family val="3"/>
        <charset val="134"/>
        <scheme val="minor"/>
      </rPr>
      <t>4.俄乌（导致俄罗斯地区），巴以冲突（导致中东地区），加拿大减产；</t>
    </r>
    <phoneticPr fontId="1" type="noConversion"/>
  </si>
  <si>
    <t>5.86亿</t>
  </si>
  <si>
    <t>5.80亿</t>
  </si>
  <si>
    <t>343640280亿</t>
  </si>
  <si>
    <t>577806720亿</t>
  </si>
  <si>
    <t>9396933亿</t>
  </si>
  <si>
    <t>3092667400亿</t>
  </si>
  <si>
    <t>127.77亿</t>
  </si>
  <si>
    <t>41.98亿</t>
  </si>
  <si>
    <t>170.42亿</t>
  </si>
  <si>
    <t>134403420亿</t>
  </si>
  <si>
    <t>101157269亿</t>
  </si>
  <si>
    <t>134965110亿</t>
  </si>
  <si>
    <t>6302020200亿</t>
  </si>
  <si>
    <t>47.18亿</t>
  </si>
  <si>
    <t>10派3.20元(含税)</t>
  </si>
  <si>
    <t>88.65亿</t>
  </si>
  <si>
    <t>32.32亿</t>
  </si>
  <si>
    <t>-3.89亿</t>
  </si>
  <si>
    <t>3115003亿</t>
  </si>
  <si>
    <t>12653343亿</t>
  </si>
  <si>
    <t>628064940亿</t>
  </si>
  <si>
    <t>4733869400亿</t>
  </si>
  <si>
    <t>7.47亿</t>
  </si>
  <si>
    <t>1131.70万</t>
  </si>
  <si>
    <t>334.81亿</t>
  </si>
  <si>
    <t>75.09亿</t>
  </si>
  <si>
    <t>327.79亿</t>
  </si>
  <si>
    <t>-16.06亿</t>
  </si>
  <si>
    <t>4283000亿</t>
  </si>
  <si>
    <t>-1851491000亿</t>
  </si>
  <si>
    <t>9088939000亿</t>
  </si>
  <si>
    <t>28955458000亿</t>
  </si>
  <si>
    <t>28.86亿</t>
  </si>
  <si>
    <t>86.11亿</t>
  </si>
  <si>
    <t>8327.30万</t>
  </si>
  <si>
    <t>12645313亿</t>
  </si>
  <si>
    <t>65143730亿</t>
  </si>
  <si>
    <t>74577704亿</t>
  </si>
  <si>
    <t>3572573500亿</t>
  </si>
  <si>
    <t>12.04亿</t>
  </si>
  <si>
    <t>117.17亿</t>
  </si>
  <si>
    <t>215.79亿</t>
  </si>
  <si>
    <t>79.14亿</t>
  </si>
  <si>
    <t>3560804亿</t>
  </si>
  <si>
    <t>874779890亿</t>
  </si>
  <si>
    <t>127780392亿</t>
  </si>
  <si>
    <t>66.92亿</t>
  </si>
  <si>
    <t>30814440000亿</t>
  </si>
  <si>
    <t>307.39亿</t>
  </si>
  <si>
    <t>155.68亿</t>
  </si>
  <si>
    <t>47.07亿</t>
  </si>
  <si>
    <t>22.25亿</t>
  </si>
  <si>
    <t>63.53亿</t>
  </si>
  <si>
    <t>30.60亿</t>
  </si>
  <si>
    <t>38.98亿</t>
  </si>
  <si>
    <t>2470255亿</t>
  </si>
  <si>
    <t>80645755亿</t>
  </si>
  <si>
    <t>114305479亿</t>
  </si>
  <si>
    <t>1407695200亿</t>
  </si>
  <si>
    <t>18.60亿</t>
  </si>
  <si>
    <t>68.72亿</t>
  </si>
  <si>
    <t>33.35亿</t>
  </si>
  <si>
    <t>151.00亿</t>
  </si>
  <si>
    <t>4736947亿</t>
  </si>
  <si>
    <t>328243060亿</t>
  </si>
  <si>
    <t>349019710亿</t>
  </si>
  <si>
    <t>6226342000亿</t>
  </si>
  <si>
    <t>-6.85亿</t>
  </si>
  <si>
    <t>44.18亿</t>
  </si>
  <si>
    <t>12.88亿</t>
  </si>
  <si>
    <t>64.18亿</t>
  </si>
  <si>
    <t>8514063亿</t>
  </si>
  <si>
    <t>-13924872亿</t>
  </si>
  <si>
    <t>67401085亿</t>
  </si>
  <si>
    <t>5254830400亿</t>
  </si>
  <si>
    <t>21.18亿</t>
  </si>
  <si>
    <t>5230.97万</t>
  </si>
  <si>
    <t>140469亿</t>
  </si>
  <si>
    <t>15083897亿</t>
  </si>
  <si>
    <t>103533908亿</t>
  </si>
  <si>
    <t>805313870亿</t>
  </si>
  <si>
    <t>9375.53万</t>
  </si>
  <si>
    <t>1685.77万</t>
  </si>
  <si>
    <t>10.49亿</t>
  </si>
  <si>
    <t>21.34亿</t>
  </si>
  <si>
    <t>32.44亿</t>
  </si>
  <si>
    <t>-4962727亿</t>
  </si>
  <si>
    <t>52155997亿</t>
  </si>
  <si>
    <t>100540104亿</t>
  </si>
  <si>
    <t>1962577800亿</t>
  </si>
  <si>
    <t>7184.71万</t>
  </si>
  <si>
    <t>10派1.50元(含税)</t>
  </si>
  <si>
    <t>66.35亿</t>
  </si>
  <si>
    <t>41.20亿</t>
  </si>
  <si>
    <t>6128453亿</t>
  </si>
  <si>
    <t>444607930亿</t>
  </si>
  <si>
    <t>905255050亿</t>
  </si>
  <si>
    <t>4447881400亿</t>
  </si>
  <si>
    <t>11.82亿</t>
  </si>
  <si>
    <t>71.49亿</t>
  </si>
  <si>
    <t>14.66亿</t>
  </si>
  <si>
    <t>64.42亿</t>
  </si>
  <si>
    <t>-4.65亿</t>
  </si>
  <si>
    <t>-15021018亿</t>
  </si>
  <si>
    <t>11415036亿</t>
  </si>
  <si>
    <t>1467401300亿</t>
  </si>
  <si>
    <t>5265837200亿</t>
  </si>
  <si>
    <t>19.57亿</t>
  </si>
  <si>
    <t>4458.64万</t>
  </si>
  <si>
    <t>60.81亿</t>
  </si>
  <si>
    <t>78.51亿</t>
  </si>
  <si>
    <t>-43178亿</t>
  </si>
  <si>
    <t>37492098亿</t>
  </si>
  <si>
    <t>1211613810亿</t>
  </si>
  <si>
    <t>5020030700亿</t>
  </si>
  <si>
    <t>79.53亿</t>
  </si>
  <si>
    <t>16.72亿</t>
  </si>
  <si>
    <t>77.08亿</t>
  </si>
  <si>
    <t>53848624亿</t>
  </si>
  <si>
    <t>99570025亿</t>
  </si>
  <si>
    <t>283242590亿</t>
  </si>
  <si>
    <t>5871010900亿</t>
  </si>
  <si>
    <t>19.95亿</t>
  </si>
  <si>
    <t>34.70亿</t>
  </si>
  <si>
    <t>36.14亿</t>
  </si>
  <si>
    <t>7311.39万</t>
  </si>
  <si>
    <t>35.38亿</t>
  </si>
  <si>
    <t>-1679239亿</t>
  </si>
  <si>
    <t>10247850亿</t>
  </si>
  <si>
    <t>893278920亿</t>
  </si>
  <si>
    <t>3590111000亿</t>
  </si>
  <si>
    <t>9041.21万</t>
  </si>
  <si>
    <t>7.00亿</t>
  </si>
  <si>
    <t>41.12亿</t>
  </si>
  <si>
    <t>96.77亿</t>
  </si>
  <si>
    <t>19.62亿</t>
  </si>
  <si>
    <t>85.49亿</t>
  </si>
  <si>
    <t>-9.71亿</t>
  </si>
  <si>
    <t>8874602亿</t>
  </si>
  <si>
    <t>4003299亿</t>
  </si>
  <si>
    <t>594522070亿</t>
  </si>
  <si>
    <t>4797856600亿</t>
  </si>
  <si>
    <t>-4025.81万</t>
  </si>
  <si>
    <t>5721.99万</t>
  </si>
  <si>
    <t>-4.67亿</t>
  </si>
  <si>
    <t>3757849亿</t>
  </si>
  <si>
    <t>-8925396亿</t>
  </si>
  <si>
    <t>35702195亿</t>
  </si>
  <si>
    <t>338626400亿</t>
  </si>
  <si>
    <t>3906.07万</t>
  </si>
  <si>
    <t>6261.44万</t>
  </si>
  <si>
    <t>1071.11万</t>
  </si>
  <si>
    <t>31.49亿</t>
  </si>
  <si>
    <t>17.42亿</t>
  </si>
  <si>
    <t>-3.32亿</t>
  </si>
  <si>
    <t>-33150470亿</t>
  </si>
  <si>
    <t>261193450亿</t>
  </si>
  <si>
    <t>1462962200亿</t>
  </si>
  <si>
    <t>1.30万</t>
  </si>
  <si>
    <t>-1472.71万</t>
  </si>
  <si>
    <t>10.92亿</t>
  </si>
  <si>
    <t>1693519亿</t>
  </si>
  <si>
    <t>69028737亿</t>
  </si>
  <si>
    <t>76473304亿</t>
  </si>
  <si>
    <t>2572214700亿</t>
  </si>
  <si>
    <t>8.84亿</t>
  </si>
  <si>
    <t>9153.83万</t>
  </si>
  <si>
    <t>10派1.2元(含税)</t>
  </si>
  <si>
    <t>121.55亿</t>
  </si>
  <si>
    <t>49.54亿</t>
  </si>
  <si>
    <t>217.67亿</t>
  </si>
  <si>
    <t>40021913亿</t>
  </si>
  <si>
    <t>154663250亿</t>
  </si>
  <si>
    <t>377288020亿</t>
  </si>
  <si>
    <t>8289917200亿</t>
  </si>
  <si>
    <t>8.49亿</t>
  </si>
  <si>
    <t>56.77亿</t>
  </si>
  <si>
    <t>1065620亿</t>
  </si>
  <si>
    <t>163856660亿</t>
  </si>
  <si>
    <t>24.62亿</t>
  </si>
  <si>
    <t>712306930亿</t>
  </si>
  <si>
    <t>4764255200亿</t>
  </si>
  <si>
    <t>56.70亿</t>
  </si>
  <si>
    <t>99.91亿</t>
  </si>
  <si>
    <t>51438606亿</t>
  </si>
  <si>
    <t>208168700亿</t>
  </si>
  <si>
    <t>6679204亿</t>
  </si>
  <si>
    <t>5127192800亿</t>
  </si>
  <si>
    <t>6.15亿</t>
  </si>
  <si>
    <t>30.51亿</t>
  </si>
  <si>
    <t>10派1.3元(含税)</t>
  </si>
  <si>
    <t>50.37亿</t>
  </si>
  <si>
    <t>22.06亿</t>
  </si>
  <si>
    <t>42.24亿</t>
  </si>
  <si>
    <t>6205.18万</t>
  </si>
  <si>
    <t>-852687亿</t>
  </si>
  <si>
    <t>-9819496亿</t>
  </si>
  <si>
    <t>585084020亿</t>
  </si>
  <si>
    <t>2350991300亿</t>
  </si>
  <si>
    <t>5954.69万</t>
  </si>
  <si>
    <t>610850亿</t>
  </si>
  <si>
    <t>66316160亿</t>
  </si>
  <si>
    <t>54179354亿</t>
  </si>
  <si>
    <t>1801641200亿</t>
  </si>
  <si>
    <t>5453.58万</t>
  </si>
  <si>
    <t>57.03亿</t>
  </si>
  <si>
    <t>43.20亿</t>
  </si>
  <si>
    <t>-3515989亿</t>
  </si>
  <si>
    <t>133058004亿</t>
  </si>
  <si>
    <t>238830680亿</t>
  </si>
  <si>
    <t>3908616000亿</t>
  </si>
  <si>
    <t>13.21亿</t>
  </si>
  <si>
    <t>17.22亿</t>
  </si>
  <si>
    <t>-2537.43万</t>
  </si>
  <si>
    <t>6047118亿</t>
  </si>
  <si>
    <t>24381848亿</t>
  </si>
  <si>
    <t>149173930亿</t>
  </si>
  <si>
    <t>741015890亿</t>
  </si>
  <si>
    <t>1079.24万</t>
  </si>
  <si>
    <t>54.11亿</t>
  </si>
  <si>
    <t>32.36亿</t>
  </si>
  <si>
    <t>155.11亿</t>
  </si>
  <si>
    <t>65493亿</t>
  </si>
  <si>
    <t>5535086亿</t>
  </si>
  <si>
    <t>655312570亿</t>
  </si>
  <si>
    <t>7702176600亿</t>
  </si>
  <si>
    <t>38.97亿</t>
  </si>
  <si>
    <t>1157.86万</t>
  </si>
  <si>
    <t>16.81亿</t>
  </si>
  <si>
    <t>-22842519亿</t>
  </si>
  <si>
    <t>268054400亿</t>
  </si>
  <si>
    <t>1373296200亿</t>
  </si>
  <si>
    <t>-2.74亿</t>
  </si>
  <si>
    <t>1702.08万</t>
  </si>
  <si>
    <t>-2.20亿</t>
  </si>
  <si>
    <t>-3.04亿</t>
  </si>
  <si>
    <t>14.67亿</t>
  </si>
  <si>
    <t>10.35亿</t>
  </si>
  <si>
    <t>7.35亿</t>
  </si>
  <si>
    <t>17.17亿</t>
  </si>
  <si>
    <t>-8229.38万</t>
  </si>
  <si>
    <t>941210亿</t>
  </si>
  <si>
    <t>-40547118亿</t>
  </si>
  <si>
    <t>511030150亿</t>
  </si>
  <si>
    <t>1734147300亿</t>
  </si>
  <si>
    <t>-2.34亿</t>
  </si>
  <si>
    <t>5321.53万</t>
  </si>
  <si>
    <t>-4.33亿</t>
  </si>
  <si>
    <t>7154.81万</t>
  </si>
  <si>
    <t>389999亿</t>
  </si>
  <si>
    <t>24985469亿</t>
  </si>
  <si>
    <t>257568750亿</t>
  </si>
  <si>
    <t>794516680亿</t>
  </si>
  <si>
    <t>1902.13万</t>
  </si>
  <si>
    <t>11.10亿</t>
  </si>
  <si>
    <t>27.11亿</t>
  </si>
  <si>
    <t>-9145.95万</t>
  </si>
  <si>
    <t>109954亿</t>
  </si>
  <si>
    <t>18518861亿</t>
  </si>
  <si>
    <t>150607120亿</t>
  </si>
  <si>
    <t>1706136900亿</t>
  </si>
  <si>
    <t>11.15万</t>
  </si>
  <si>
    <t>397.77万</t>
  </si>
  <si>
    <t>6.82亿</t>
  </si>
  <si>
    <t>23.90亿</t>
  </si>
  <si>
    <t>-1158516亿</t>
  </si>
  <si>
    <t>-9390418亿</t>
  </si>
  <si>
    <t>307462400亿</t>
  </si>
  <si>
    <t>1402122900亿</t>
  </si>
  <si>
    <t>9269.74万</t>
  </si>
  <si>
    <t>9.47亿</t>
  </si>
  <si>
    <t>8.28亿</t>
  </si>
  <si>
    <t>13.85亿</t>
  </si>
  <si>
    <t>12.21亿</t>
  </si>
  <si>
    <t>8841.08万</t>
  </si>
  <si>
    <t>-1656201亿</t>
  </si>
  <si>
    <t>18121749亿</t>
  </si>
  <si>
    <t>102394295亿</t>
  </si>
  <si>
    <t>1108078580亿</t>
  </si>
  <si>
    <t>4952.98万</t>
  </si>
  <si>
    <t>-1.80亿</t>
  </si>
  <si>
    <t>3007.14万</t>
  </si>
  <si>
    <t>1570494亿</t>
  </si>
  <si>
    <t>16392710亿</t>
  </si>
  <si>
    <t>199586460亿</t>
  </si>
  <si>
    <t>995365200亿</t>
  </si>
  <si>
    <t>-2.04亿</t>
  </si>
  <si>
    <t>80.58亿</t>
  </si>
  <si>
    <t>26.93亿</t>
  </si>
  <si>
    <t>114.85亿</t>
  </si>
  <si>
    <t>7.71亿</t>
  </si>
  <si>
    <t>5221371亿</t>
  </si>
  <si>
    <t>151462100亿</t>
  </si>
  <si>
    <t>5137700400亿</t>
  </si>
  <si>
    <t>11891077600亿</t>
  </si>
  <si>
    <t>14.33亿</t>
  </si>
  <si>
    <t>4727.72万</t>
  </si>
  <si>
    <t>-12.51万</t>
  </si>
  <si>
    <t>-3.75亿</t>
  </si>
  <si>
    <t>119.26万</t>
  </si>
  <si>
    <t>32.41亿</t>
  </si>
  <si>
    <t>31.01亿</t>
  </si>
  <si>
    <t>-6082.91万</t>
  </si>
  <si>
    <t>8640147亿</t>
  </si>
  <si>
    <t>2103957600亿</t>
  </si>
  <si>
    <t>10派0.31元(含税)</t>
  </si>
  <si>
    <t>305.60亿</t>
  </si>
  <si>
    <t>138.57亿</t>
  </si>
  <si>
    <t>690.60亿</t>
  </si>
  <si>
    <t>165177930亿</t>
  </si>
  <si>
    <t>1435072700亿</t>
  </si>
  <si>
    <t>1841670000亿</t>
  </si>
  <si>
    <t>19194332000亿</t>
  </si>
  <si>
    <t>225.91亿</t>
  </si>
  <si>
    <t>68.88亿</t>
  </si>
  <si>
    <t>281.05亿</t>
  </si>
  <si>
    <t>9495711亿</t>
  </si>
  <si>
    <t>358041230亿</t>
  </si>
  <si>
    <t>1982188700亿</t>
  </si>
  <si>
    <t>7977847300亿</t>
  </si>
  <si>
    <t>11.05亿</t>
  </si>
  <si>
    <t>-50000亿</t>
  </si>
  <si>
    <t>-40766123亿</t>
  </si>
  <si>
    <t>104103315亿</t>
  </si>
  <si>
    <t>870861510亿</t>
  </si>
  <si>
    <t>103.65亿</t>
  </si>
  <si>
    <t>18.21亿</t>
  </si>
  <si>
    <t>30.26亿</t>
  </si>
  <si>
    <t>-9584.16万</t>
  </si>
  <si>
    <t>-150362亿</t>
  </si>
  <si>
    <t>-6329601亿</t>
  </si>
  <si>
    <t>35221105亿</t>
  </si>
  <si>
    <t>915416490亿</t>
  </si>
  <si>
    <t>29.76亿</t>
  </si>
  <si>
    <t>15.85亿</t>
  </si>
  <si>
    <t>50.86亿</t>
  </si>
  <si>
    <t>6831335亿</t>
  </si>
  <si>
    <t>79890658亿</t>
  </si>
  <si>
    <t>422094970亿</t>
  </si>
  <si>
    <t>3675618600亿</t>
  </si>
  <si>
    <t>136.14亿</t>
  </si>
  <si>
    <t>79.78亿</t>
  </si>
  <si>
    <t>272.60亿</t>
  </si>
  <si>
    <t>35.76亿</t>
  </si>
  <si>
    <t>-9393492亿</t>
  </si>
  <si>
    <t>1068201280亿</t>
  </si>
  <si>
    <t>121084410亿</t>
  </si>
  <si>
    <t>8709215200亿</t>
  </si>
  <si>
    <t>39.65亿</t>
  </si>
  <si>
    <t>69.33亿</t>
  </si>
  <si>
    <t>2275.16万</t>
  </si>
  <si>
    <t>-8203587亿</t>
  </si>
  <si>
    <t>207969880亿</t>
  </si>
  <si>
    <t>2836345600亿</t>
  </si>
  <si>
    <t>75.50亿</t>
  </si>
  <si>
    <t>60.26亿</t>
  </si>
  <si>
    <t>114.78亿</t>
  </si>
  <si>
    <t>-135434亿</t>
  </si>
  <si>
    <t>426747090亿</t>
  </si>
  <si>
    <t>2782495600亿</t>
  </si>
  <si>
    <t>10190111000亿</t>
  </si>
  <si>
    <t>299.82万</t>
  </si>
  <si>
    <t>180.27亿</t>
  </si>
  <si>
    <t>27.57亿</t>
  </si>
  <si>
    <t>136.21亿</t>
  </si>
  <si>
    <t>-13.66亿</t>
  </si>
  <si>
    <t>54961亿</t>
  </si>
  <si>
    <t>-58010417亿</t>
  </si>
  <si>
    <t>802943510亿</t>
  </si>
  <si>
    <t>10822821700亿</t>
  </si>
  <si>
    <t>7007.03万</t>
  </si>
  <si>
    <t>24.82亿</t>
  </si>
  <si>
    <t>25.02亿</t>
  </si>
  <si>
    <t>12.63亿</t>
  </si>
  <si>
    <t>6156717亿</t>
  </si>
  <si>
    <t>267458700亿</t>
  </si>
  <si>
    <t>2142579000亿</t>
  </si>
  <si>
    <t>20.00亿</t>
  </si>
  <si>
    <t>19.10亿</t>
  </si>
  <si>
    <t>43.24亿</t>
  </si>
  <si>
    <t>19.99亿</t>
  </si>
  <si>
    <t>88.24亿</t>
  </si>
  <si>
    <t>-735649亿</t>
  </si>
  <si>
    <t>28084784亿</t>
  </si>
  <si>
    <t>1264993480亿</t>
  </si>
  <si>
    <t>10808114500亿</t>
  </si>
  <si>
    <t>12.70亿</t>
  </si>
  <si>
    <t>-9788.67万</t>
  </si>
  <si>
    <t>-2261721亿</t>
  </si>
  <si>
    <t>-16014119亿</t>
  </si>
  <si>
    <t>337265750亿</t>
  </si>
  <si>
    <t>2007482900亿</t>
  </si>
  <si>
    <t>6.96亿</t>
  </si>
  <si>
    <t>5.67亿</t>
  </si>
  <si>
    <t>93921207亿</t>
  </si>
  <si>
    <t>215834350亿</t>
  </si>
  <si>
    <t>1433794700亿</t>
  </si>
  <si>
    <t>1600.00万</t>
  </si>
  <si>
    <t>10送4.0股派6.0元(含税)</t>
  </si>
  <si>
    <t>17.97亿</t>
  </si>
  <si>
    <t>19.58亿</t>
  </si>
  <si>
    <t>2007.66万</t>
  </si>
  <si>
    <t>1277121亿</t>
  </si>
  <si>
    <t>-3386466亿</t>
  </si>
  <si>
    <t>342700320亿</t>
  </si>
  <si>
    <t>2270060500亿</t>
  </si>
  <si>
    <t>58.68亿</t>
  </si>
  <si>
    <t>-62917786亿</t>
  </si>
  <si>
    <t>215024430亿</t>
  </si>
  <si>
    <t>336396610亿</t>
  </si>
  <si>
    <t>11932769500亿</t>
  </si>
  <si>
    <t>30.66亿</t>
  </si>
  <si>
    <t>11.47亿</t>
  </si>
  <si>
    <t>43.98亿</t>
  </si>
  <si>
    <t>-71197亿</t>
  </si>
  <si>
    <t>492632800亿</t>
  </si>
  <si>
    <t>1267842460亿</t>
  </si>
  <si>
    <t>3057716000亿</t>
  </si>
  <si>
    <t>11.96亿</t>
  </si>
  <si>
    <t>-3915.94万</t>
  </si>
  <si>
    <t>799687亿</t>
  </si>
  <si>
    <t>-12481986亿</t>
  </si>
  <si>
    <t>232873040亿</t>
  </si>
  <si>
    <t>1630101700亿</t>
  </si>
  <si>
    <t>10派4.5元(含税)</t>
  </si>
  <si>
    <t>20.84亿</t>
  </si>
  <si>
    <t>44.14亿</t>
  </si>
  <si>
    <t>104.60亿</t>
  </si>
  <si>
    <t>3541054亿</t>
  </si>
  <si>
    <t>54048075亿</t>
  </si>
  <si>
    <t>2283589100亿</t>
  </si>
  <si>
    <t>6928390800亿</t>
  </si>
  <si>
    <t>932.46万</t>
  </si>
  <si>
    <t>5755.70万</t>
  </si>
  <si>
    <t>1243647亿</t>
  </si>
  <si>
    <t>38394463亿</t>
  </si>
  <si>
    <t>275025420亿</t>
  </si>
  <si>
    <t>1032338610亿</t>
  </si>
  <si>
    <t>28.12亿</t>
  </si>
  <si>
    <t>-3.51亿</t>
  </si>
  <si>
    <t>1099.91万</t>
  </si>
  <si>
    <t>农化制品</t>
  </si>
  <si>
    <t>135.92亿</t>
  </si>
  <si>
    <t>1028.52万</t>
  </si>
  <si>
    <t>5801.49万</t>
  </si>
  <si>
    <t>12.32万</t>
  </si>
  <si>
    <t>6844.45万</t>
  </si>
  <si>
    <t>61.57万</t>
  </si>
  <si>
    <t>-2.38亿</t>
  </si>
  <si>
    <t>18.56万</t>
  </si>
  <si>
    <t>-212.97万</t>
  </si>
  <si>
    <t>8548.56万</t>
  </si>
  <si>
    <t>2533.79万</t>
  </si>
  <si>
    <t>85.55亿</t>
  </si>
  <si>
    <t>41.58亿</t>
  </si>
  <si>
    <t>37.50亿</t>
  </si>
  <si>
    <t>2905.03万</t>
  </si>
  <si>
    <t>875.69万</t>
  </si>
  <si>
    <t>38.29亿</t>
  </si>
  <si>
    <t>21.43亿</t>
  </si>
  <si>
    <t>91.92亿</t>
  </si>
  <si>
    <t>38.83亿</t>
  </si>
  <si>
    <t>10.61亿</t>
  </si>
  <si>
    <t>726.86万</t>
  </si>
  <si>
    <t>1269.91万</t>
  </si>
  <si>
    <t>30.07万</t>
  </si>
  <si>
    <t>32.58亿</t>
  </si>
  <si>
    <t>13.03亿</t>
  </si>
  <si>
    <t>71.32亿</t>
  </si>
  <si>
    <t>3672.21万</t>
  </si>
  <si>
    <t>-2821.54万</t>
  </si>
  <si>
    <t>-3316.76万</t>
  </si>
  <si>
    <t>4015.11万</t>
  </si>
  <si>
    <t>370.81万</t>
  </si>
  <si>
    <t>216.63亿</t>
  </si>
  <si>
    <t>75.53亿</t>
  </si>
  <si>
    <t>56.88亿</t>
  </si>
  <si>
    <t>3320.00万</t>
  </si>
  <si>
    <t>37.10亿</t>
  </si>
  <si>
    <t>6350.00万</t>
  </si>
  <si>
    <t>53.00亿</t>
  </si>
  <si>
    <t>48.34亿</t>
  </si>
  <si>
    <t>180.31亿</t>
  </si>
  <si>
    <t>-7.35亿</t>
  </si>
  <si>
    <t>-4.73亿</t>
  </si>
  <si>
    <t>1679.30万</t>
  </si>
  <si>
    <t>2400.80万</t>
  </si>
  <si>
    <t>247.42万</t>
  </si>
  <si>
    <t>45.69亿</t>
  </si>
  <si>
    <t>1932.17万</t>
  </si>
  <si>
    <t>6277.69万</t>
  </si>
  <si>
    <t>155.82万</t>
  </si>
  <si>
    <t>1040.64万</t>
  </si>
  <si>
    <t>1487.63万</t>
  </si>
  <si>
    <t>3550.00万</t>
  </si>
  <si>
    <t>9.99亿</t>
  </si>
  <si>
    <t>8045.64万</t>
  </si>
  <si>
    <t>-1768.60万</t>
  </si>
  <si>
    <t>3219.88万</t>
  </si>
  <si>
    <t>10派1.701575元(含税)</t>
  </si>
  <si>
    <t>1273.56万</t>
  </si>
  <si>
    <t>2367.80万</t>
  </si>
  <si>
    <t>357.34亿</t>
  </si>
  <si>
    <t>16.99亿</t>
  </si>
  <si>
    <t>13.97亿</t>
  </si>
  <si>
    <t>2121.57万</t>
  </si>
  <si>
    <t>67.12万</t>
  </si>
  <si>
    <t>190.78亿</t>
  </si>
  <si>
    <t>64.65亿</t>
  </si>
  <si>
    <t>900.00万</t>
  </si>
  <si>
    <t>2511.84万</t>
  </si>
  <si>
    <t>20.27亿</t>
  </si>
  <si>
    <t>371.17万</t>
  </si>
  <si>
    <t>89.73亿</t>
  </si>
  <si>
    <t>13.45亿</t>
  </si>
  <si>
    <t>-3.96亿</t>
  </si>
  <si>
    <t>7.24亿</t>
  </si>
  <si>
    <t>736.42万</t>
  </si>
  <si>
    <t>126.92亿</t>
  </si>
  <si>
    <t>640.64万</t>
  </si>
  <si>
    <t>80.80万</t>
  </si>
  <si>
    <t>34.94亿</t>
  </si>
  <si>
    <t>182.09万</t>
  </si>
  <si>
    <t>-7885.58万</t>
  </si>
  <si>
    <t>-8.23亿</t>
  </si>
  <si>
    <t>4623.98万</t>
  </si>
  <si>
    <t>673.65万</t>
  </si>
  <si>
    <t>27.35亿</t>
  </si>
  <si>
    <t>9176.75万</t>
  </si>
  <si>
    <t>4064.91万</t>
  </si>
  <si>
    <t>42.36万</t>
  </si>
  <si>
    <t>20.16亿</t>
  </si>
  <si>
    <t>-11.51亿</t>
  </si>
  <si>
    <t>3782.69万</t>
  </si>
  <si>
    <t>338.40万</t>
  </si>
  <si>
    <t>12.99亿</t>
  </si>
  <si>
    <t>1452.09万</t>
  </si>
  <si>
    <t>3857.18万</t>
  </si>
  <si>
    <t>23.33亿</t>
  </si>
  <si>
    <t>30.87亿</t>
  </si>
  <si>
    <t>1211.06万</t>
  </si>
  <si>
    <t>-7671.39万</t>
  </si>
  <si>
    <t>-4.99亿</t>
  </si>
  <si>
    <t>2040.46万</t>
  </si>
  <si>
    <t>57.35万</t>
  </si>
  <si>
    <t>9590.66万</t>
  </si>
  <si>
    <t>1757.99万</t>
  </si>
  <si>
    <t>1073.66万</t>
  </si>
  <si>
    <t>3469.41万</t>
  </si>
  <si>
    <t>-3206.02万</t>
  </si>
  <si>
    <t>5410.06万</t>
  </si>
  <si>
    <t>-935.70万</t>
  </si>
  <si>
    <t>314.28万</t>
  </si>
  <si>
    <t>3656.43万</t>
  </si>
  <si>
    <t>457.78万</t>
  </si>
  <si>
    <t>24.90亿</t>
  </si>
  <si>
    <t>2703.20万</t>
  </si>
  <si>
    <t>3609.83万</t>
  </si>
  <si>
    <t>17.38万</t>
  </si>
  <si>
    <t>2570.87万</t>
  </si>
  <si>
    <t>12.78亿</t>
  </si>
  <si>
    <t>28.09亿</t>
  </si>
  <si>
    <t>-1.29亿</t>
  </si>
  <si>
    <t>4216.44万</t>
  </si>
  <si>
    <t>3.17亿</t>
  </si>
  <si>
    <t>913.93万</t>
  </si>
  <si>
    <t>52.22万</t>
  </si>
  <si>
    <t>267.90万</t>
  </si>
  <si>
    <t>54.14万</t>
  </si>
  <si>
    <t>55.27亿</t>
  </si>
  <si>
    <t>-3.05亿</t>
  </si>
  <si>
    <t>4799.52万</t>
  </si>
  <si>
    <t>606.39万</t>
  </si>
  <si>
    <t>67.45亿</t>
  </si>
  <si>
    <t>10.96亿</t>
  </si>
  <si>
    <t>654.15万</t>
  </si>
  <si>
    <t>54.70万</t>
  </si>
  <si>
    <t>22.92亿</t>
  </si>
  <si>
    <t>7.28亿</t>
  </si>
  <si>
    <t>33.71亿</t>
  </si>
  <si>
    <t>31.74亿</t>
  </si>
  <si>
    <t>402.57万</t>
  </si>
  <si>
    <t>-2.65亿</t>
  </si>
  <si>
    <t>3919.95万</t>
  </si>
  <si>
    <t>376.83万</t>
  </si>
  <si>
    <t>88.26亿</t>
  </si>
  <si>
    <t>11.15亿</t>
  </si>
  <si>
    <t>2770.09万</t>
  </si>
  <si>
    <t>62.78万</t>
  </si>
  <si>
    <t>30.45亿</t>
  </si>
  <si>
    <t>379.79万</t>
  </si>
  <si>
    <t>37.11亿</t>
  </si>
  <si>
    <t>18.77亿</t>
  </si>
  <si>
    <t>-2.48亿</t>
  </si>
  <si>
    <t>-3.35亿</t>
  </si>
  <si>
    <t>2129.01万</t>
  </si>
  <si>
    <t>945.41万</t>
  </si>
  <si>
    <t>92.36亿</t>
  </si>
  <si>
    <t>16.12亿</t>
  </si>
  <si>
    <t>2598.12万</t>
  </si>
  <si>
    <t>7234.54万</t>
  </si>
  <si>
    <t>110.78万</t>
  </si>
  <si>
    <t>38.72亿</t>
  </si>
  <si>
    <t>15.97亿</t>
  </si>
  <si>
    <t>1156.30万</t>
  </si>
  <si>
    <t>29.17亿</t>
  </si>
  <si>
    <t>6042.41万</t>
  </si>
  <si>
    <t>45.45亿</t>
  </si>
  <si>
    <t>1586.59万</t>
  </si>
  <si>
    <t>3609.94万</t>
  </si>
  <si>
    <t>3.92万</t>
  </si>
  <si>
    <t>16.43亿</t>
  </si>
  <si>
    <t>-2.49亿</t>
  </si>
  <si>
    <t>683.55万</t>
  </si>
  <si>
    <t>6817.38万</t>
  </si>
  <si>
    <t>1538.74万</t>
  </si>
  <si>
    <t>20.06亿</t>
  </si>
  <si>
    <t>16.83亿</t>
  </si>
  <si>
    <t>7675.52万</t>
  </si>
  <si>
    <t>2677.26万</t>
  </si>
  <si>
    <t>36.12万</t>
  </si>
  <si>
    <t>26.01亿</t>
  </si>
  <si>
    <t>9.74亿</t>
  </si>
  <si>
    <t>71.61亿</t>
  </si>
  <si>
    <t>19.44亿</t>
  </si>
  <si>
    <t>-6147.05万</t>
  </si>
  <si>
    <t>-6357.90万</t>
  </si>
  <si>
    <t>1223.81万</t>
  </si>
  <si>
    <t>7227.69万</t>
  </si>
  <si>
    <t>3853.76万</t>
  </si>
  <si>
    <t>815.68万</t>
  </si>
  <si>
    <t>1855.47万</t>
  </si>
  <si>
    <t>7.33万</t>
  </si>
  <si>
    <t>5144.00万</t>
  </si>
  <si>
    <t>1364.83万</t>
  </si>
  <si>
    <t>-714.27万</t>
  </si>
  <si>
    <t>-452.77万</t>
  </si>
  <si>
    <t>-649.81万</t>
  </si>
  <si>
    <t>8688.93万</t>
  </si>
  <si>
    <t>266.53万</t>
  </si>
  <si>
    <t>880.93万</t>
  </si>
  <si>
    <t>2083.97万</t>
  </si>
  <si>
    <t>24.10亿</t>
  </si>
  <si>
    <t>-9867.54万</t>
  </si>
  <si>
    <t>-1503.95万</t>
  </si>
  <si>
    <t>1359.12万</t>
  </si>
  <si>
    <t>520.17万</t>
  </si>
  <si>
    <t>53.21亿</t>
  </si>
  <si>
    <t>1240.95万</t>
  </si>
  <si>
    <t>4119.45万</t>
  </si>
  <si>
    <t>1.56万</t>
  </si>
  <si>
    <t>2457.39万</t>
  </si>
  <si>
    <t>-5.33万</t>
  </si>
  <si>
    <t>3088.86万</t>
  </si>
  <si>
    <t>573.23万</t>
  </si>
  <si>
    <t>85.71亿</t>
  </si>
  <si>
    <t>48.07亿</t>
  </si>
  <si>
    <t>44.79亿</t>
  </si>
  <si>
    <t>6253.23万</t>
  </si>
  <si>
    <t>181.09万</t>
  </si>
  <si>
    <t>32.04亿</t>
  </si>
  <si>
    <t>39.41亿</t>
  </si>
  <si>
    <t>86.67亿</t>
  </si>
  <si>
    <t>33.97亿</t>
  </si>
  <si>
    <t>3869.60万</t>
  </si>
  <si>
    <t>732.14万</t>
  </si>
  <si>
    <t>87.76亿</t>
  </si>
  <si>
    <t>1138.99万</t>
  </si>
  <si>
    <t>3382.76万</t>
  </si>
  <si>
    <t>36.15万</t>
  </si>
  <si>
    <t>25.49亿</t>
  </si>
  <si>
    <t>4955.50万</t>
  </si>
  <si>
    <t>-9133.20万</t>
  </si>
  <si>
    <t>3709.26万</t>
  </si>
  <si>
    <t>1626.70万</t>
  </si>
  <si>
    <t>73.32亿</t>
  </si>
  <si>
    <t>21.71亿</t>
  </si>
  <si>
    <t>9716.00万</t>
  </si>
  <si>
    <t>404.79万</t>
  </si>
  <si>
    <t>26.28亿</t>
  </si>
  <si>
    <t>16.10亿</t>
  </si>
  <si>
    <t>292.32万</t>
  </si>
  <si>
    <t>-1059.21万</t>
  </si>
  <si>
    <t>7673.42万</t>
  </si>
  <si>
    <t>9674.01万</t>
  </si>
  <si>
    <t>245.87万</t>
  </si>
  <si>
    <t>2891.90万</t>
  </si>
  <si>
    <t>6113.79万</t>
  </si>
  <si>
    <t>28.19万</t>
  </si>
  <si>
    <t>42.88万</t>
  </si>
  <si>
    <t>24.86亿</t>
  </si>
  <si>
    <t>-3711.54万</t>
  </si>
  <si>
    <t>-5248.18万</t>
  </si>
  <si>
    <t>1251.98万</t>
  </si>
  <si>
    <t>8542.42万</t>
  </si>
  <si>
    <t>267.95万</t>
  </si>
  <si>
    <t>19.09亿</t>
  </si>
  <si>
    <t>3551.31万</t>
  </si>
  <si>
    <t>3265.56万</t>
  </si>
  <si>
    <t>19.62万</t>
  </si>
  <si>
    <t>3696.44万</t>
  </si>
  <si>
    <t>3695.98万</t>
  </si>
  <si>
    <t>2581.80万</t>
  </si>
  <si>
    <t>750.00万</t>
  </si>
  <si>
    <t>8583.92万</t>
  </si>
  <si>
    <t>-691.59万</t>
  </si>
  <si>
    <t>1624.62万</t>
  </si>
  <si>
    <t>269.13万</t>
  </si>
  <si>
    <t>1980.98万</t>
  </si>
  <si>
    <t>6589.34万</t>
  </si>
  <si>
    <t>37.32万</t>
  </si>
  <si>
    <t>21.62亿</t>
  </si>
  <si>
    <t>2547.95万</t>
  </si>
  <si>
    <t>6.43亿</t>
  </si>
  <si>
    <t>23.82亿</t>
  </si>
  <si>
    <t>18.40亿</t>
  </si>
  <si>
    <t>-1.30亿</t>
  </si>
  <si>
    <t>1965.47万</t>
  </si>
  <si>
    <t>114.16万</t>
  </si>
  <si>
    <t>11.55亿</t>
  </si>
  <si>
    <t>1366.84万</t>
  </si>
  <si>
    <t>2101.68万</t>
  </si>
  <si>
    <t>10.16万</t>
  </si>
  <si>
    <t>5846.19万</t>
  </si>
  <si>
    <t>10.60万</t>
  </si>
  <si>
    <t>-2794.25万</t>
  </si>
  <si>
    <t>-1429.50万</t>
  </si>
  <si>
    <t>-62.64万</t>
  </si>
  <si>
    <t>629.75万</t>
  </si>
  <si>
    <t>3227.66万</t>
  </si>
  <si>
    <t>335.64万</t>
  </si>
  <si>
    <t>32.16亿</t>
  </si>
  <si>
    <t>30.58亿</t>
  </si>
  <si>
    <t>9564.99万</t>
  </si>
  <si>
    <t>4718.05万</t>
  </si>
  <si>
    <t>48.06万</t>
  </si>
  <si>
    <t>8.75亿</t>
  </si>
  <si>
    <t>20.59亿</t>
  </si>
  <si>
    <t>70.51亿</t>
  </si>
  <si>
    <t>-13.55亿</t>
  </si>
  <si>
    <t>15.02亿</t>
  </si>
  <si>
    <t>2705.95万</t>
  </si>
  <si>
    <t>384.05万</t>
  </si>
  <si>
    <t>14.54亿</t>
  </si>
  <si>
    <t>1117.38万</t>
  </si>
  <si>
    <t>3775.01万</t>
  </si>
  <si>
    <t>1.69万</t>
  </si>
  <si>
    <t>259.36万</t>
  </si>
  <si>
    <t>3.43亿</t>
  </si>
  <si>
    <t>-6415.95万</t>
  </si>
  <si>
    <t>-470.84万</t>
  </si>
  <si>
    <t>3134.92万</t>
  </si>
  <si>
    <t>7413.13万</t>
  </si>
  <si>
    <t>782.14万</t>
  </si>
  <si>
    <t>24.15亿</t>
  </si>
  <si>
    <t>461.35万</t>
  </si>
  <si>
    <t>4468.35万</t>
  </si>
  <si>
    <t>15.96万</t>
  </si>
  <si>
    <t>4684.44万</t>
  </si>
  <si>
    <t>9225.78万</t>
  </si>
  <si>
    <t>15.17亿</t>
  </si>
  <si>
    <t>634.33万</t>
  </si>
  <si>
    <t>-3473.94万</t>
  </si>
  <si>
    <t>4841.06万</t>
  </si>
  <si>
    <t>727.57万</t>
  </si>
  <si>
    <t>1222.81万</t>
  </si>
  <si>
    <t>2023.35万</t>
  </si>
  <si>
    <t>4824.24万</t>
  </si>
  <si>
    <t>1726.77万</t>
  </si>
  <si>
    <t>3900.00万</t>
  </si>
  <si>
    <t>7574.57万</t>
  </si>
  <si>
    <t>-198.16万</t>
  </si>
  <si>
    <t>-3271.62万</t>
  </si>
  <si>
    <t>-89.70万</t>
  </si>
  <si>
    <t>6072.51万</t>
  </si>
  <si>
    <t>872.44万</t>
  </si>
  <si>
    <t>579.96万</t>
  </si>
  <si>
    <t>2310.75万</t>
  </si>
  <si>
    <t>6.68亿</t>
  </si>
  <si>
    <t>-5989.30万</t>
  </si>
  <si>
    <t>-1255.53万</t>
  </si>
  <si>
    <t>-4316.89万</t>
  </si>
  <si>
    <t>6889.02万</t>
  </si>
  <si>
    <t>930.45万</t>
  </si>
  <si>
    <t>22.57亿</t>
  </si>
  <si>
    <t>876.39万</t>
  </si>
  <si>
    <t>3801.32万</t>
  </si>
  <si>
    <t>12.72万</t>
  </si>
  <si>
    <t>3.91亿</t>
  </si>
  <si>
    <t>-5791.68万</t>
  </si>
  <si>
    <t>-6537.19万</t>
  </si>
  <si>
    <t>7021.20万</t>
  </si>
  <si>
    <t>220.37万</t>
  </si>
  <si>
    <t>1180.69万</t>
  </si>
  <si>
    <t>2885.06万</t>
  </si>
  <si>
    <t>1.14万</t>
  </si>
  <si>
    <t>1143.17万</t>
  </si>
  <si>
    <t>-4953.96万</t>
  </si>
  <si>
    <t>1129.20万</t>
  </si>
  <si>
    <t>36.39万</t>
  </si>
  <si>
    <t>13.05亿</t>
  </si>
  <si>
    <t>22.51亿</t>
  </si>
  <si>
    <t>3290.43万</t>
  </si>
  <si>
    <t>205.74万</t>
  </si>
  <si>
    <t>1399.50万</t>
  </si>
  <si>
    <t>2375.87万</t>
  </si>
  <si>
    <t>4059.80万</t>
  </si>
  <si>
    <t>-149.57万</t>
  </si>
  <si>
    <t>5847.12万</t>
  </si>
  <si>
    <t>381.01万</t>
  </si>
  <si>
    <t>481.90万</t>
  </si>
  <si>
    <t>218.23万</t>
  </si>
  <si>
    <t>1842.09万</t>
  </si>
  <si>
    <t>81.71万</t>
  </si>
  <si>
    <t>71.06亿</t>
  </si>
  <si>
    <t>9523.29万</t>
  </si>
  <si>
    <t>519.41万</t>
  </si>
  <si>
    <t>2689.49万</t>
  </si>
  <si>
    <t>30.07亿</t>
  </si>
  <si>
    <t>31.65亿</t>
  </si>
  <si>
    <t>49.04万</t>
  </si>
  <si>
    <t>77.70亿</t>
  </si>
  <si>
    <t>-2.98亿</t>
  </si>
  <si>
    <t>-2.01亿</t>
  </si>
  <si>
    <t>332.71万</t>
  </si>
  <si>
    <t>2430.19万</t>
  </si>
  <si>
    <t>澄星股份</t>
  </si>
  <si>
    <t>474.32万</t>
  </si>
  <si>
    <t>22.95亿</t>
  </si>
  <si>
    <t>245.25亿</t>
  </si>
  <si>
    <t>107.66万</t>
  </si>
  <si>
    <t>-18112100亿</t>
  </si>
  <si>
    <t>117290166亿</t>
  </si>
  <si>
    <t>8160.95万</t>
  </si>
  <si>
    <t>5266.95万</t>
  </si>
  <si>
    <t>-2385.54万</t>
  </si>
  <si>
    <t>-1.10亿</t>
  </si>
  <si>
    <t>62.26亿</t>
  </si>
  <si>
    <t>3196.51万</t>
  </si>
  <si>
    <t>1475.11万</t>
  </si>
  <si>
    <t>237.62亿</t>
  </si>
  <si>
    <t>78.70万</t>
  </si>
  <si>
    <t>82.62亿</t>
  </si>
  <si>
    <t>49.42亿</t>
  </si>
  <si>
    <t>4086.07万</t>
  </si>
  <si>
    <t>24.91亿</t>
  </si>
  <si>
    <t>-3.39亿</t>
  </si>
  <si>
    <t>37.72万</t>
  </si>
  <si>
    <t>7.91亿</t>
  </si>
  <si>
    <t>0148000000</t>
  </si>
  <si>
    <t>0444000000</t>
  </si>
  <si>
    <t>0888000000</t>
  </si>
  <si>
    <t>01480000000</t>
  </si>
  <si>
    <t>02960000000</t>
  </si>
  <si>
    <t>586.61万</t>
  </si>
  <si>
    <t>224.42亿</t>
  </si>
  <si>
    <t>479.41亿</t>
  </si>
  <si>
    <t>825.54万</t>
  </si>
  <si>
    <t>21.48亿</t>
  </si>
  <si>
    <t>50.94亿</t>
  </si>
  <si>
    <t>55.03亿</t>
  </si>
  <si>
    <t>4764.95万</t>
  </si>
  <si>
    <t>-5.27亿</t>
  </si>
  <si>
    <t>96.83亿</t>
  </si>
  <si>
    <t>4634.32万</t>
  </si>
  <si>
    <t>5005.47万</t>
  </si>
  <si>
    <t>26.32亿</t>
  </si>
  <si>
    <t>2543.52万</t>
  </si>
  <si>
    <t>23.34万</t>
  </si>
  <si>
    <t>4610.18万</t>
  </si>
  <si>
    <t>23.99万</t>
  </si>
  <si>
    <t>-1904.67万</t>
  </si>
  <si>
    <t>-8741.65万</t>
  </si>
  <si>
    <t>2405.96万</t>
  </si>
  <si>
    <t>7844.11万</t>
  </si>
  <si>
    <t>-33.71万</t>
  </si>
  <si>
    <t>076305600</t>
  </si>
  <si>
    <t>0152611200</t>
  </si>
  <si>
    <t>0254352000</t>
  </si>
  <si>
    <t>0508704000</t>
  </si>
  <si>
    <t>2136.60万</t>
  </si>
  <si>
    <t>755.15亿</t>
  </si>
  <si>
    <t>40.56亿</t>
  </si>
  <si>
    <t>592.30万</t>
  </si>
  <si>
    <t>3721.99万</t>
  </si>
  <si>
    <t>33.57万</t>
  </si>
  <si>
    <t>2350.27万</t>
  </si>
  <si>
    <t>5369.69万</t>
  </si>
  <si>
    <t>-1116.76万</t>
  </si>
  <si>
    <t>-1073.63万</t>
  </si>
  <si>
    <t>216.29亿</t>
  </si>
  <si>
    <t>270.66万</t>
  </si>
  <si>
    <t>37.99亿</t>
  </si>
  <si>
    <t>10.99亿</t>
  </si>
  <si>
    <t>22.56亿</t>
  </si>
  <si>
    <t>14.90亿</t>
  </si>
  <si>
    <t>2132.64万</t>
  </si>
  <si>
    <t>6240.65万</t>
  </si>
  <si>
    <t>6.63万</t>
  </si>
  <si>
    <t>791.46万</t>
  </si>
  <si>
    <t>740.81万</t>
  </si>
  <si>
    <t>66.32万</t>
  </si>
  <si>
    <t>23.56亿</t>
  </si>
  <si>
    <t>-6837.80万</t>
  </si>
  <si>
    <t>-1.72亿</t>
  </si>
  <si>
    <t>2387.89万</t>
  </si>
  <si>
    <t>1467.42万</t>
  </si>
  <si>
    <t>02256000000</t>
  </si>
  <si>
    <t>06768000000</t>
  </si>
  <si>
    <t>013536000000</t>
  </si>
  <si>
    <t>022560000000</t>
  </si>
  <si>
    <t>045120000000</t>
  </si>
  <si>
    <t>806.53万</t>
  </si>
  <si>
    <t>315.87亿</t>
  </si>
  <si>
    <t>10.64亿</t>
  </si>
  <si>
    <t>65.74亿</t>
  </si>
  <si>
    <t>62.32亿</t>
  </si>
  <si>
    <t>1984.85万</t>
  </si>
  <si>
    <t>9059.08万</t>
  </si>
  <si>
    <t>212.69万</t>
  </si>
  <si>
    <t>35.57亿</t>
  </si>
  <si>
    <t>26.87亿</t>
  </si>
  <si>
    <t>53.37亿</t>
  </si>
  <si>
    <t>78.03亿</t>
  </si>
  <si>
    <t>-13.60亿</t>
  </si>
  <si>
    <t>29.95亿</t>
  </si>
  <si>
    <t>5532.63万</t>
  </si>
  <si>
    <t>376.03万</t>
  </si>
  <si>
    <t>19.61亿</t>
  </si>
  <si>
    <t>105.13亿</t>
  </si>
  <si>
    <t>11.62亿</t>
  </si>
  <si>
    <t>10.31亿</t>
  </si>
  <si>
    <t>2757.71万</t>
  </si>
  <si>
    <t>3734.37万</t>
  </si>
  <si>
    <t>305.97万</t>
  </si>
  <si>
    <t>32.76亿</t>
  </si>
  <si>
    <t>-7672.96万</t>
  </si>
  <si>
    <t>2378.19万</t>
  </si>
  <si>
    <t>116.95万</t>
  </si>
  <si>
    <t>101.28亿</t>
  </si>
  <si>
    <t>476.22亿</t>
  </si>
  <si>
    <t>26.43亿</t>
  </si>
  <si>
    <t>24.03亿</t>
  </si>
  <si>
    <t>5134.44万</t>
  </si>
  <si>
    <t>20.62万</t>
  </si>
  <si>
    <t>30.42亿</t>
  </si>
  <si>
    <t>5.14亿</t>
  </si>
  <si>
    <t>23.85亿</t>
  </si>
  <si>
    <t>785.15万</t>
  </si>
  <si>
    <t>-1.01亿</t>
  </si>
  <si>
    <t>108.67亿</t>
  </si>
  <si>
    <t>837.76万</t>
  </si>
  <si>
    <t>5153.95万</t>
  </si>
  <si>
    <t>1399.85万</t>
  </si>
  <si>
    <t>44.43亿</t>
  </si>
  <si>
    <t>244.42万</t>
  </si>
  <si>
    <t>25.64亿</t>
  </si>
  <si>
    <t>2369.61万</t>
  </si>
  <si>
    <t>9502.99万</t>
  </si>
  <si>
    <t>256.13万</t>
  </si>
  <si>
    <t>56.44亿</t>
  </si>
  <si>
    <t>79.17亿</t>
  </si>
  <si>
    <t>20.35亿</t>
  </si>
  <si>
    <t>11.42亿</t>
  </si>
  <si>
    <t>143.62亿</t>
  </si>
  <si>
    <t>-7773.80万</t>
  </si>
  <si>
    <t>-1745.09万</t>
  </si>
  <si>
    <t>-7.03亿</t>
  </si>
  <si>
    <t>-1950.95万</t>
  </si>
  <si>
    <t>7098.12万</t>
  </si>
  <si>
    <t>07332600</t>
  </si>
  <si>
    <t>014665200</t>
  </si>
  <si>
    <t>024442000</t>
  </si>
  <si>
    <t>048884000</t>
  </si>
  <si>
    <t>166.13万</t>
  </si>
  <si>
    <t>271.70亿</t>
  </si>
  <si>
    <t>440.14万</t>
  </si>
  <si>
    <t>2950.88万</t>
  </si>
  <si>
    <t>16.36万</t>
  </si>
  <si>
    <t>8.32亿</t>
  </si>
  <si>
    <t>7986.05万</t>
  </si>
  <si>
    <t>153.18万</t>
  </si>
  <si>
    <t>-6090.42万</t>
  </si>
  <si>
    <t>-453.52万</t>
  </si>
  <si>
    <t>77.45亿</t>
  </si>
  <si>
    <t>1085.06万</t>
  </si>
  <si>
    <t>8705.88万</t>
  </si>
  <si>
    <t>4-1</t>
  </si>
  <si>
    <t>3314.55万</t>
  </si>
  <si>
    <t>196.74亿</t>
  </si>
  <si>
    <t>1637.17万</t>
  </si>
  <si>
    <t>27.85亿</t>
  </si>
  <si>
    <t>14.93亿</t>
  </si>
  <si>
    <t>17.36亿</t>
  </si>
  <si>
    <t>50.90亿</t>
  </si>
  <si>
    <t>4.19亿</t>
  </si>
  <si>
    <t>2680.85万</t>
  </si>
  <si>
    <t>20.62亿</t>
  </si>
  <si>
    <t>393.73万</t>
  </si>
  <si>
    <t>973.17万</t>
  </si>
  <si>
    <t>4236.46万</t>
  </si>
  <si>
    <t>1.27万</t>
  </si>
  <si>
    <t>997.63万</t>
  </si>
  <si>
    <t>4684.61万</t>
  </si>
  <si>
    <t>14.30亿</t>
  </si>
  <si>
    <t>7251.65万</t>
  </si>
  <si>
    <t>-2.30亿</t>
  </si>
  <si>
    <t>-146.61万</t>
  </si>
  <si>
    <t>4922.33万</t>
  </si>
  <si>
    <t>1505.99万</t>
  </si>
  <si>
    <t>470.59万</t>
  </si>
  <si>
    <t>194.58亿</t>
  </si>
  <si>
    <t>-36.51亿</t>
  </si>
  <si>
    <t>310.93万</t>
  </si>
  <si>
    <t>2806.71万</t>
  </si>
  <si>
    <t>1.76万</t>
  </si>
  <si>
    <t>1319.22万</t>
  </si>
  <si>
    <t>117.40万</t>
  </si>
  <si>
    <t>4881.36万</t>
  </si>
  <si>
    <t>-5371.70万</t>
  </si>
  <si>
    <t>-1491.59万</t>
  </si>
  <si>
    <t>9770.85万</t>
  </si>
  <si>
    <t>48.18亿</t>
  </si>
  <si>
    <t>2683.65万</t>
  </si>
  <si>
    <t>63.30万</t>
  </si>
  <si>
    <t>16.04亿</t>
  </si>
  <si>
    <t>626.14万</t>
  </si>
  <si>
    <t>2425.73万</t>
  </si>
  <si>
    <t>12.35万</t>
  </si>
  <si>
    <t>157.44万</t>
  </si>
  <si>
    <t>631.61万</t>
  </si>
  <si>
    <t>4.29亿</t>
  </si>
  <si>
    <t>-9408.14万</t>
  </si>
  <si>
    <t>4539.52万</t>
  </si>
  <si>
    <t>305.59万</t>
  </si>
  <si>
    <t>2167.27万</t>
  </si>
  <si>
    <t>584.90万</t>
  </si>
  <si>
    <t>97.08亿</t>
  </si>
  <si>
    <t>8.27亿</t>
  </si>
  <si>
    <t>1070.67万</t>
  </si>
  <si>
    <t>8836.03万</t>
  </si>
  <si>
    <t>295.77万</t>
  </si>
  <si>
    <t>81.14亿</t>
  </si>
  <si>
    <t>23.64亿</t>
  </si>
  <si>
    <t>12.54亿</t>
  </si>
  <si>
    <t>50.12亿</t>
  </si>
  <si>
    <t>14.08亿</t>
  </si>
  <si>
    <t>-4.22亿</t>
  </si>
  <si>
    <t>5172.71万</t>
  </si>
  <si>
    <t>2551.80万</t>
  </si>
  <si>
    <t>95.94万</t>
  </si>
  <si>
    <t>35.04亿</t>
  </si>
  <si>
    <t>16.32亿</t>
  </si>
  <si>
    <t>5253.81万</t>
  </si>
  <si>
    <t>5613.45万</t>
  </si>
  <si>
    <t>33.28万</t>
  </si>
  <si>
    <t>24.54亿</t>
  </si>
  <si>
    <t>-4671.06万</t>
  </si>
  <si>
    <t>4645.66万</t>
  </si>
  <si>
    <t>562.69万</t>
  </si>
  <si>
    <t>3735.27万</t>
  </si>
  <si>
    <t>159.64万</t>
  </si>
  <si>
    <t>780.83万</t>
  </si>
  <si>
    <t>1157.15万</t>
  </si>
  <si>
    <t>4.84万</t>
  </si>
  <si>
    <t>8.45亿</t>
  </si>
  <si>
    <t>5032.86万</t>
  </si>
  <si>
    <t>2836.34万</t>
  </si>
  <si>
    <t>-6621.97万</t>
  </si>
  <si>
    <t>7266.30万</t>
  </si>
  <si>
    <t>828.11万</t>
  </si>
  <si>
    <t>3974.96万</t>
  </si>
  <si>
    <t>968.13万</t>
  </si>
  <si>
    <t>8515.45万</t>
  </si>
  <si>
    <t>0489000000</t>
  </si>
  <si>
    <t>0978000000</t>
  </si>
  <si>
    <t>01630000000</t>
  </si>
  <si>
    <t>03260000000</t>
  </si>
  <si>
    <t>-5-1</t>
  </si>
  <si>
    <t>774.62万</t>
  </si>
  <si>
    <t>16.57亿</t>
  </si>
  <si>
    <t>9.01亿</t>
  </si>
  <si>
    <t>4026.77万</t>
  </si>
  <si>
    <t>23.05亿</t>
  </si>
  <si>
    <t>22.31亿</t>
  </si>
  <si>
    <t>3862.19万</t>
  </si>
  <si>
    <t>951.71万</t>
  </si>
  <si>
    <t>6.51万</t>
  </si>
  <si>
    <t>55.21亿</t>
  </si>
  <si>
    <t>1299.47万</t>
  </si>
  <si>
    <t>2042.35万</t>
  </si>
  <si>
    <t>6768.18万</t>
  </si>
  <si>
    <t>68.36万</t>
  </si>
  <si>
    <t>11.59亿</t>
  </si>
  <si>
    <t>97.62亿</t>
  </si>
  <si>
    <t>2387.58万</t>
  </si>
  <si>
    <t>838.65万</t>
  </si>
  <si>
    <t>2.32万</t>
  </si>
  <si>
    <t>7246.22万</t>
  </si>
  <si>
    <t>-2164.97万</t>
  </si>
  <si>
    <t>-1255.12万</t>
  </si>
  <si>
    <t>21.32亿</t>
  </si>
  <si>
    <t>8530.72万</t>
  </si>
  <si>
    <t>468.54万</t>
  </si>
  <si>
    <t>2589.69万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</si>
</sst>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color theme="1"/>
      <name val="宋体"/>
      <family val="2"/>
      <charset val="134"/>
      <scheme val="minor"/>
    </font>
    <font>
      <sz val="9"/>
      <color theme="1"/>
      <name val="宋体"/>
      <family val="3"/>
      <charset val="134"/>
      <scheme val="minor"/>
    </font>
    <font>
      <sz val="9"/>
      <color rgb="FFFF0000"/>
      <name val="宋体"/>
      <family val="3"/>
      <charset val="134"/>
      <scheme val="minor"/>
    </font>
    <font>
      <b/>
      <sz val="9"/>
      <color rgb="FFFF0000"/>
      <name val="宋体"/>
      <family val="3"/>
      <charset val="134"/>
      <scheme val="minor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b/>
      <sz val="9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1" xfId="0" applyBorder="1" applyAlignment="1">
      <alignment vertical="center" wrapText="1"/>
    </xf>
    <xf numFmtId="0" fontId="0" fillId="3" borderId="1" xfId="0" applyFill="1" applyBorder="1" applyAlignment="1">
      <alignment vertical="center" wrapText="1"/>
    </xf>
    <xf numFmtId="10" fontId="0" fillId="0" borderId="0" xfId="0" applyNumberFormat="1">
      <alignment vertical="center"/>
    </xf>
    <xf numFmtId="9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3" fillId="0" borderId="0" xfId="0" applyFont="1" applyAlignment="1">
      <alignment vertical="center" wrapText="1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7" fillId="0" borderId="0" xfId="0" applyFont="1">
      <alignment vertical="center"/>
    </xf>
    <xf numFmtId="0" fontId="6" fillId="0" borderId="0" xfId="0" applyFont="1">
      <alignment vertical="center"/>
    </xf>
    <xf numFmtId="0" fontId="2" fillId="0" borderId="0" xfId="0" applyFont="1">
      <alignment vertical="center"/>
    </xf>
    <xf numFmtId="14" fontId="0" fillId="0" borderId="0" xfId="0" applyNumberForma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147</xdr:col>
          <xdr:colOff>241300</xdr:colOff>
          <xdr:row>0</xdr:row>
          <xdr:rowOff>139700</xdr:rowOff>
        </xdr:from>
        <xdr:to>
          <xdr:col>147</xdr:col>
          <xdr:colOff>1193800</xdr:colOff>
          <xdr:row>0</xdr:row>
          <xdr:rowOff>444500</xdr:rowOff>
        </xdr:to>
        <xdr:sp macro="" textlink="">
          <xdr:nvSpPr>
            <xdr:cNvPr id="2050" name="Button 2" descr="更新基本面按钮&#10;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=""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更新基本面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P57"/>
  <sheetViews>
    <sheetView tabSelected="1" zoomScale="85" zoomScaleNormal="85" workbookViewId="0">
      <pane xSplit="5" ySplit="1" topLeftCell="F53" activePane="bottomRight" state="frozen"/>
      <selection pane="topRight" activeCell="F1" sqref="F1"/>
      <selection pane="bottomLeft" activeCell="A2" sqref="A2"/>
      <selection pane="bottomRight" activeCell="D57" sqref="D57:EP57"/>
    </sheetView>
  </sheetViews>
  <sheetFormatPr defaultRowHeight="14" x14ac:dyDescent="0.25"/>
  <cols>
    <col min="1" max="1" width="40.81640625" customWidth="1"/>
    <col min="2" max="2" width="47.1796875" customWidth="1"/>
    <col min="3" max="3" width="49.36328125" customWidth="1"/>
    <col min="9" max="9" width="11.54296875" customWidth="1"/>
    <col min="148" max="148" width="20.81640625" customWidth="1"/>
  </cols>
  <sheetData>
    <row r="1" spans="1:146" ht="43" customHeight="1" x14ac:dyDescent="0.25">
      <c r="A1" s="2" t="s">
        <v>7</v>
      </c>
      <c r="B1" s="3" t="s">
        <v>8</v>
      </c>
      <c r="C1" s="2" t="s">
        <v>9</v>
      </c>
      <c r="D1" t="s">
        <v>10</v>
      </c>
      <c r="E1" t="s">
        <v>11</v>
      </c>
      <c r="F1" t="s">
        <v>3</v>
      </c>
      <c r="G1" t="s">
        <v>980</v>
      </c>
      <c r="H1" t="s">
        <v>981</v>
      </c>
      <c r="I1" t="s">
        <v>12</v>
      </c>
      <c r="J1" t="s">
        <v>13</v>
      </c>
      <c r="K1" t="s">
        <v>4</v>
      </c>
      <c r="L1" t="s">
        <v>14</v>
      </c>
      <c r="M1" t="s">
        <v>15</v>
      </c>
      <c r="N1" t="s">
        <v>16</v>
      </c>
      <c r="O1" t="s">
        <v>17</v>
      </c>
      <c r="P1" t="s">
        <v>982</v>
      </c>
      <c r="Q1" t="s">
        <v>983</v>
      </c>
      <c r="R1" t="s">
        <v>628</v>
      </c>
      <c r="S1" t="s">
        <v>18</v>
      </c>
      <c r="T1" t="s">
        <v>984</v>
      </c>
      <c r="U1" t="s">
        <v>616</v>
      </c>
      <c r="V1" t="s">
        <v>19</v>
      </c>
      <c r="W1" t="s">
        <v>985</v>
      </c>
      <c r="X1" t="s">
        <v>986</v>
      </c>
      <c r="Y1" t="s">
        <v>987</v>
      </c>
      <c r="Z1" t="s">
        <v>988</v>
      </c>
      <c r="AA1" t="s">
        <v>989</v>
      </c>
      <c r="AB1" t="s">
        <v>990</v>
      </c>
      <c r="AC1" t="s">
        <v>991</v>
      </c>
      <c r="AD1" t="s">
        <v>992</v>
      </c>
      <c r="AE1" t="s">
        <v>20</v>
      </c>
      <c r="AF1" t="s">
        <v>21</v>
      </c>
      <c r="AG1" t="s">
        <v>993</v>
      </c>
      <c r="AH1" t="s">
        <v>994</v>
      </c>
      <c r="AI1" t="s">
        <v>995</v>
      </c>
      <c r="AJ1" t="s">
        <v>22</v>
      </c>
      <c r="AK1" t="s">
        <v>996</v>
      </c>
      <c r="AL1" t="s">
        <v>97</v>
      </c>
      <c r="AM1" t="s">
        <v>997</v>
      </c>
      <c r="AN1" t="s">
        <v>998</v>
      </c>
      <c r="AO1" t="s">
        <v>999</v>
      </c>
      <c r="AP1" t="s">
        <v>1000</v>
      </c>
      <c r="AQ1" t="s">
        <v>1001</v>
      </c>
      <c r="AR1" t="s">
        <v>1002</v>
      </c>
      <c r="AS1" t="s">
        <v>1003</v>
      </c>
      <c r="AT1" t="s">
        <v>1004</v>
      </c>
      <c r="AU1" t="s">
        <v>1005</v>
      </c>
      <c r="AV1" t="s">
        <v>1006</v>
      </c>
      <c r="AW1" t="s">
        <v>1007</v>
      </c>
      <c r="AX1" t="s">
        <v>1008</v>
      </c>
      <c r="AY1" t="s">
        <v>1009</v>
      </c>
      <c r="AZ1" t="s">
        <v>98</v>
      </c>
      <c r="BA1" t="s">
        <v>99</v>
      </c>
      <c r="BB1" t="s">
        <v>100</v>
      </c>
      <c r="BC1" t="s">
        <v>1010</v>
      </c>
      <c r="BD1" t="s">
        <v>629</v>
      </c>
      <c r="BE1" t="s">
        <v>101</v>
      </c>
      <c r="BF1" t="s">
        <v>102</v>
      </c>
      <c r="BG1" t="s">
        <v>103</v>
      </c>
      <c r="BH1" t="s">
        <v>1011</v>
      </c>
      <c r="BI1" t="s">
        <v>1012</v>
      </c>
      <c r="BJ1" t="s">
        <v>1013</v>
      </c>
      <c r="BK1" t="s">
        <v>1014</v>
      </c>
      <c r="BL1" t="s">
        <v>1015</v>
      </c>
      <c r="BM1" t="s">
        <v>1016</v>
      </c>
      <c r="BN1" t="s">
        <v>1017</v>
      </c>
      <c r="BO1" t="s">
        <v>630</v>
      </c>
      <c r="BP1" t="s">
        <v>617</v>
      </c>
      <c r="BQ1" t="s">
        <v>1018</v>
      </c>
      <c r="BR1" t="s">
        <v>631</v>
      </c>
      <c r="BS1" t="s">
        <v>618</v>
      </c>
      <c r="BT1" t="s">
        <v>1019</v>
      </c>
      <c r="BU1" t="s">
        <v>801</v>
      </c>
      <c r="BV1" t="s">
        <v>1020</v>
      </c>
      <c r="BW1" t="s">
        <v>1021</v>
      </c>
      <c r="BX1" t="s">
        <v>245</v>
      </c>
      <c r="BY1" t="s">
        <v>1022</v>
      </c>
      <c r="BZ1" t="s">
        <v>1023</v>
      </c>
      <c r="CA1" t="s">
        <v>246</v>
      </c>
      <c r="CB1" t="s">
        <v>1024</v>
      </c>
      <c r="CC1" t="s">
        <v>1025</v>
      </c>
      <c r="CD1" t="s">
        <v>1026</v>
      </c>
      <c r="CE1" t="s">
        <v>1027</v>
      </c>
      <c r="CF1" t="s">
        <v>229</v>
      </c>
      <c r="CG1" t="s">
        <v>230</v>
      </c>
      <c r="CH1" t="s">
        <v>231</v>
      </c>
      <c r="CI1" t="s">
        <v>232</v>
      </c>
      <c r="CJ1" t="s">
        <v>233</v>
      </c>
      <c r="CK1" t="s">
        <v>234</v>
      </c>
      <c r="CL1" t="s">
        <v>235</v>
      </c>
      <c r="CM1" t="s">
        <v>236</v>
      </c>
      <c r="CN1" t="s">
        <v>237</v>
      </c>
      <c r="CO1" t="s">
        <v>238</v>
      </c>
      <c r="CP1" t="s">
        <v>239</v>
      </c>
      <c r="CQ1" t="s">
        <v>240</v>
      </c>
      <c r="CR1" t="s">
        <v>1028</v>
      </c>
      <c r="CS1" t="s">
        <v>1029</v>
      </c>
      <c r="CT1" t="s">
        <v>1030</v>
      </c>
      <c r="CU1" t="s">
        <v>1031</v>
      </c>
      <c r="CV1" t="s">
        <v>1032</v>
      </c>
      <c r="CW1" t="s">
        <v>1033</v>
      </c>
      <c r="CX1">
        <v>1</v>
      </c>
      <c r="CY1" t="s">
        <v>1034</v>
      </c>
      <c r="CZ1" t="s">
        <v>1035</v>
      </c>
      <c r="DA1">
        <v>3</v>
      </c>
      <c r="DB1" t="s">
        <v>1036</v>
      </c>
      <c r="DC1" t="s">
        <v>1037</v>
      </c>
      <c r="DD1">
        <v>6</v>
      </c>
      <c r="DE1" t="s">
        <v>1038</v>
      </c>
      <c r="DF1" t="s">
        <v>1039</v>
      </c>
      <c r="DG1">
        <v>10</v>
      </c>
      <c r="DH1" t="s">
        <v>1040</v>
      </c>
      <c r="DI1" t="s">
        <v>1041</v>
      </c>
      <c r="DJ1">
        <v>20</v>
      </c>
      <c r="DK1" t="s">
        <v>1042</v>
      </c>
      <c r="DL1" t="s">
        <v>241</v>
      </c>
      <c r="DM1" t="s">
        <v>242</v>
      </c>
      <c r="DN1" s="1" t="s">
        <v>243</v>
      </c>
      <c r="DO1" t="s">
        <v>1043</v>
      </c>
      <c r="DP1" t="s">
        <v>1044</v>
      </c>
      <c r="DQ1" s="10" t="s">
        <v>1045</v>
      </c>
      <c r="DR1" t="s">
        <v>1046</v>
      </c>
      <c r="DS1" t="s">
        <v>1047</v>
      </c>
      <c r="DT1" t="s">
        <v>1048</v>
      </c>
      <c r="DU1" t="s">
        <v>1049</v>
      </c>
      <c r="DV1" t="s">
        <v>1050</v>
      </c>
      <c r="DW1" t="s">
        <v>1051</v>
      </c>
      <c r="DX1" t="s">
        <v>1052</v>
      </c>
      <c r="DY1" t="s">
        <v>1053</v>
      </c>
      <c r="DZ1" t="s">
        <v>1054</v>
      </c>
      <c r="EA1" t="s">
        <v>1055</v>
      </c>
      <c r="EB1" t="s">
        <v>1056</v>
      </c>
      <c r="EC1" t="s">
        <v>1057</v>
      </c>
      <c r="ED1" t="s">
        <v>1058</v>
      </c>
      <c r="EE1" t="s">
        <v>1059</v>
      </c>
      <c r="EF1" t="s">
        <v>1060</v>
      </c>
      <c r="EG1" t="s">
        <v>1061</v>
      </c>
      <c r="EH1" t="s">
        <v>1062</v>
      </c>
      <c r="EI1" t="s">
        <v>1063</v>
      </c>
      <c r="EK1" s="13" t="s">
        <v>1064</v>
      </c>
      <c r="EL1" t="s">
        <v>1065</v>
      </c>
      <c r="EM1" t="s">
        <v>1066</v>
      </c>
      <c r="EN1" t="s">
        <v>1067</v>
      </c>
      <c r="EO1" t="s">
        <v>1068</v>
      </c>
      <c r="EP1" t="s">
        <v>1069</v>
      </c>
    </row>
    <row r="2" spans="1:146" ht="144" x14ac:dyDescent="0.25">
      <c r="A2" s="6"/>
      <c r="B2" s="6"/>
      <c r="C2" s="6" t="str">
        <f>"公司主营业务是氯化钾、碳酸锂的研发、生产与销售。公司始终专注于钾肥行业的开发、生产和销售，现已发展成为国内第二大氯化钾生产企业。"&amp;CHAR(10)&amp;Basic_Fundamental_Information_Constructure(F2)&amp;CHAR(10)&amp;Basic_Fundamental_Information_Concatenate("氯化钾 18.01亿 51.30% 46.12% 73.10%
碳酸锂 16.94亿 48.25% 53.72% 90.52%
其他 1558.52万 0.44% 0.16% 28.71%")</f>
        <v>公司主营业务是氯化钾、碳酸锂的研发、生产与销售。公司始终专注于钾肥行业的开发、生产和销售，现已发展成为国内第二大氯化钾生产企业。
市值403.80116亿, 利润34.20亿; PE13.33; 平均PE20.38; 平均PEG.68, PB2.97; ROIC30.8367%; ROE30.0467%; 股利率3.1311%; 毛利68.6933%; 净利57.9033%; 上一年度营收增-36.22%, 利润增-39.52%; 当季营收增-55.31%, 利润增-42.53%; 过往5年营收增29.98%, 利润增138.1%
Income profile:
氯化钾 18.01亿 51.30% 46.12% 73.10%
碳酸锂 16.94亿 48.25% 53.72% 90.52%
其他 1558.52万 0.44% 0.16% 28.71%</v>
      </c>
      <c r="D2" t="s">
        <v>307</v>
      </c>
      <c r="E2" t="s">
        <v>619</v>
      </c>
      <c r="F2">
        <v>25.55</v>
      </c>
      <c r="G2">
        <v>1.75</v>
      </c>
      <c r="H2" t="s">
        <v>1593</v>
      </c>
      <c r="I2">
        <v>40380116000</v>
      </c>
      <c r="J2">
        <v>13.33</v>
      </c>
      <c r="K2">
        <v>2.97</v>
      </c>
      <c r="L2" t="s">
        <v>1594</v>
      </c>
      <c r="M2" t="s">
        <v>937</v>
      </c>
      <c r="N2" t="s">
        <v>1595</v>
      </c>
      <c r="O2" t="s">
        <v>1123</v>
      </c>
      <c r="P2">
        <v>-55.28</v>
      </c>
      <c r="Q2" t="s">
        <v>1132</v>
      </c>
      <c r="R2">
        <v>529267970</v>
      </c>
      <c r="S2" s="4">
        <v>-0.42509999999999998</v>
      </c>
      <c r="T2" t="s">
        <v>816</v>
      </c>
      <c r="U2">
        <v>1580418600</v>
      </c>
      <c r="V2">
        <v>1580435100</v>
      </c>
      <c r="W2">
        <v>1.05</v>
      </c>
      <c r="X2">
        <v>0.04</v>
      </c>
      <c r="Y2">
        <v>85.8</v>
      </c>
      <c r="Z2" t="s">
        <v>768</v>
      </c>
      <c r="AA2" t="s">
        <v>731</v>
      </c>
      <c r="AB2" t="s">
        <v>1596</v>
      </c>
      <c r="AC2" t="s">
        <v>1597</v>
      </c>
      <c r="AD2" t="s">
        <v>5</v>
      </c>
      <c r="AE2">
        <v>-5845715</v>
      </c>
      <c r="AF2" t="s">
        <v>1155</v>
      </c>
      <c r="AG2" t="s">
        <v>1598</v>
      </c>
      <c r="AH2" t="s">
        <v>1156</v>
      </c>
      <c r="AI2" t="s">
        <v>742</v>
      </c>
      <c r="AJ2" t="s">
        <v>1157</v>
      </c>
      <c r="AK2" t="s">
        <v>5</v>
      </c>
      <c r="AL2" t="s">
        <v>1158</v>
      </c>
      <c r="AM2" t="s">
        <v>5</v>
      </c>
      <c r="AN2" t="s">
        <v>1599</v>
      </c>
      <c r="AO2" t="s">
        <v>5</v>
      </c>
      <c r="AP2" t="s">
        <v>1600</v>
      </c>
      <c r="AQ2" t="s">
        <v>622</v>
      </c>
      <c r="AR2" t="s">
        <v>5</v>
      </c>
      <c r="AS2" t="s">
        <v>1546</v>
      </c>
      <c r="AT2" t="s">
        <v>5</v>
      </c>
      <c r="AU2" t="s">
        <v>1601</v>
      </c>
      <c r="AV2" t="s">
        <v>1602</v>
      </c>
      <c r="AW2" t="s">
        <v>1603</v>
      </c>
      <c r="AX2" t="s">
        <v>887</v>
      </c>
      <c r="AY2" t="s">
        <v>632</v>
      </c>
      <c r="AZ2" t="s">
        <v>634</v>
      </c>
      <c r="BA2" t="s">
        <v>92</v>
      </c>
      <c r="BB2" t="s">
        <v>308</v>
      </c>
      <c r="BC2" t="s">
        <v>888</v>
      </c>
      <c r="BD2" t="s">
        <v>633</v>
      </c>
      <c r="BE2" t="s">
        <v>178</v>
      </c>
      <c r="BF2" t="s">
        <v>66</v>
      </c>
      <c r="BG2" t="s">
        <v>309</v>
      </c>
      <c r="BH2" t="s">
        <v>1132</v>
      </c>
      <c r="BI2" t="s">
        <v>1127</v>
      </c>
      <c r="BJ2" t="s">
        <v>887</v>
      </c>
      <c r="BK2" t="s">
        <v>816</v>
      </c>
      <c r="BL2" t="s">
        <v>673</v>
      </c>
      <c r="BM2" t="s">
        <v>888</v>
      </c>
      <c r="BN2">
        <v>24.03</v>
      </c>
      <c r="BO2">
        <v>52.15</v>
      </c>
      <c r="BP2">
        <v>16.329999999999998</v>
      </c>
      <c r="BQ2">
        <v>23.66</v>
      </c>
      <c r="BR2">
        <v>50.09</v>
      </c>
      <c r="BS2">
        <v>16.39</v>
      </c>
      <c r="BT2" t="s">
        <v>875</v>
      </c>
      <c r="BU2" t="s">
        <v>802</v>
      </c>
      <c r="BV2">
        <v>65.25</v>
      </c>
      <c r="BW2">
        <v>82</v>
      </c>
      <c r="BX2">
        <v>58.83</v>
      </c>
      <c r="BY2">
        <v>65.3</v>
      </c>
      <c r="BZ2">
        <v>69.010000000000005</v>
      </c>
      <c r="CA2">
        <v>39.4</v>
      </c>
      <c r="CB2">
        <v>6.15</v>
      </c>
      <c r="CC2">
        <v>-3.07</v>
      </c>
      <c r="CD2" t="s">
        <v>1604</v>
      </c>
      <c r="CE2" t="s">
        <v>185</v>
      </c>
      <c r="CF2" s="8">
        <v>-0.55312954876273657</v>
      </c>
      <c r="CG2" s="9">
        <v>-0.4253333659066233</v>
      </c>
      <c r="CH2" s="8">
        <v>-0.36221626400947571</v>
      </c>
      <c r="CI2" s="8">
        <v>1.2616615295410156</v>
      </c>
      <c r="CJ2" s="8">
        <v>0.90383601188659668</v>
      </c>
      <c r="CK2" s="8">
        <v>-5.74541836977005E-2</v>
      </c>
      <c r="CL2" s="8">
        <v>-0.24692274630069733</v>
      </c>
      <c r="CM2" s="9">
        <v>-0.39522546529769897</v>
      </c>
      <c r="CN2" s="9">
        <v>2.9628589153289795</v>
      </c>
      <c r="CO2" s="9">
        <v>5.2314414978027344</v>
      </c>
      <c r="CP2" s="9">
        <v>-0.25649350881576538</v>
      </c>
      <c r="CQ2" s="9">
        <v>-0.63764703273773193</v>
      </c>
      <c r="CR2">
        <v>20.378559677012365</v>
      </c>
      <c r="CS2">
        <v>0.67978185906567878</v>
      </c>
      <c r="CT2">
        <v>3.131115459882583</v>
      </c>
      <c r="CU2" s="8">
        <v>0.29978086948394778</v>
      </c>
      <c r="CV2" s="9">
        <v>1.3809868812561035</v>
      </c>
      <c r="CW2">
        <v>0.06</v>
      </c>
      <c r="CX2">
        <v>6.6360405271546519</v>
      </c>
      <c r="CY2">
        <v>4193632616.6368885</v>
      </c>
      <c r="CZ2">
        <v>0.29978086948394778</v>
      </c>
      <c r="DA2">
        <v>1.8237269736420991</v>
      </c>
      <c r="DB2">
        <v>15259474911.65494</v>
      </c>
      <c r="DC2">
        <v>0.28479182600975039</v>
      </c>
      <c r="DD2">
        <v>0.70081919773670265</v>
      </c>
      <c r="DE2">
        <v>39709408774.580093</v>
      </c>
      <c r="DF2">
        <v>0.26380716514587405</v>
      </c>
      <c r="DG2">
        <v>0.31121423034552165</v>
      </c>
      <c r="DH2">
        <v>89421090960.728485</v>
      </c>
      <c r="DI2">
        <v>0.23982469558715824</v>
      </c>
      <c r="DJ2">
        <v>7.7073413806115737E-2</v>
      </c>
      <c r="DK2">
        <v>361072834661.33136</v>
      </c>
      <c r="DL2">
        <v>0.20984660863876342</v>
      </c>
      <c r="DM2">
        <v>3420000000.0000005</v>
      </c>
      <c r="DN2">
        <v>0.29978086948394778</v>
      </c>
      <c r="DO2">
        <v>27829116000</v>
      </c>
      <c r="DP2">
        <v>2525667400</v>
      </c>
      <c r="DQ2">
        <v>74</v>
      </c>
      <c r="DR2">
        <v>-0.85291041824668434</v>
      </c>
      <c r="DS2">
        <v>-1.8063202471627267</v>
      </c>
      <c r="DT2" s="10">
        <v>-0.14000000000000004</v>
      </c>
      <c r="DU2">
        <v>1.1666666666666639E-2</v>
      </c>
      <c r="DV2">
        <v>-0.12833333333333341</v>
      </c>
      <c r="DW2">
        <v>5.4991869918699186</v>
      </c>
      <c r="DX2">
        <v>0.44100563380281643</v>
      </c>
      <c r="DY2">
        <v>5.1502580968739267</v>
      </c>
      <c r="DZ2">
        <v>2023</v>
      </c>
      <c r="EA2">
        <v>5.0907723571526047</v>
      </c>
      <c r="EB2">
        <v>5</v>
      </c>
      <c r="EC2">
        <v>5.4089914859521915E-2</v>
      </c>
      <c r="ED2">
        <v>0.17969735043216897</v>
      </c>
      <c r="EE2" s="11">
        <v>1.0092000000000001</v>
      </c>
      <c r="EF2">
        <v>1.0132099999999999</v>
      </c>
      <c r="EG2">
        <v>14.301005633802816</v>
      </c>
      <c r="EH2" t="s">
        <v>880</v>
      </c>
      <c r="EI2">
        <v>1</v>
      </c>
      <c r="EJ2">
        <v>0</v>
      </c>
      <c r="EK2" s="13">
        <v>45470</v>
      </c>
      <c r="EL2">
        <v>-0.84</v>
      </c>
      <c r="EM2">
        <v>-0.85</v>
      </c>
      <c r="EN2">
        <v>-1.35</v>
      </c>
      <c r="EO2">
        <v>1.69</v>
      </c>
      <c r="EP2">
        <v>-2.2400000000000002</v>
      </c>
    </row>
    <row r="3" spans="1:146" ht="96" x14ac:dyDescent="0.25">
      <c r="A3" s="6"/>
      <c r="B3" s="6"/>
      <c r="C3" s="6" t="str">
        <f>""&amp;CHAR(10)&amp;Basic_Fundamental_Information_Constructure(F3)&amp;CHAR(10)&amp;Basic_Fundamental_Information_Concatenate("")</f>
        <v xml:space="preserve">
市值133.820139亿, 利润4.53亿; PE36.18; 平均PE16.94; 平均PEG2.3, PB1.87; ROIC12.8433%; ROE61.4033%; 股利率2.5296%; 毛利18.79%; 净利9.7067%; 上一年度营收增-17.72%, 利润增-79.07%; 当季营收增-11.02%, 利润增145.45%; 过往5年营收增7.38%, 利润增196.62%
Income profile:
</v>
      </c>
      <c r="D3" t="s">
        <v>310</v>
      </c>
      <c r="E3" t="s">
        <v>311</v>
      </c>
      <c r="F3">
        <v>12.65</v>
      </c>
      <c r="G3">
        <v>-0.16</v>
      </c>
      <c r="H3" t="s">
        <v>1605</v>
      </c>
      <c r="I3">
        <v>13382013900</v>
      </c>
      <c r="J3">
        <v>36.18</v>
      </c>
      <c r="K3">
        <v>1.87</v>
      </c>
      <c r="L3" t="s">
        <v>1594</v>
      </c>
      <c r="M3" t="s">
        <v>1159</v>
      </c>
      <c r="N3" t="s">
        <v>1606</v>
      </c>
      <c r="O3" t="s">
        <v>1160</v>
      </c>
      <c r="P3">
        <v>-11.03</v>
      </c>
      <c r="Q3" t="s">
        <v>1161</v>
      </c>
      <c r="R3">
        <v>540000000</v>
      </c>
      <c r="S3" s="4">
        <v>-0.37840000000000001</v>
      </c>
      <c r="T3" t="s">
        <v>739</v>
      </c>
      <c r="U3">
        <v>1007312140</v>
      </c>
      <c r="V3">
        <v>1057866710</v>
      </c>
      <c r="W3">
        <v>2.61</v>
      </c>
      <c r="X3">
        <v>0.19</v>
      </c>
      <c r="Y3">
        <v>4.6399999999999997</v>
      </c>
      <c r="Z3" t="s">
        <v>1607</v>
      </c>
      <c r="AA3" t="s">
        <v>1608</v>
      </c>
      <c r="AB3" t="s">
        <v>1609</v>
      </c>
      <c r="AC3" t="s">
        <v>160</v>
      </c>
      <c r="AD3" t="s">
        <v>5</v>
      </c>
      <c r="AE3">
        <v>45765417</v>
      </c>
      <c r="AF3" t="s">
        <v>1162</v>
      </c>
      <c r="AG3" t="s">
        <v>1610</v>
      </c>
      <c r="AH3" t="s">
        <v>1163</v>
      </c>
      <c r="AI3" t="s">
        <v>1611</v>
      </c>
      <c r="AJ3" t="s">
        <v>1164</v>
      </c>
      <c r="AK3" t="s">
        <v>283</v>
      </c>
      <c r="AL3" t="s">
        <v>1165</v>
      </c>
      <c r="AM3" t="s">
        <v>5</v>
      </c>
      <c r="AN3" t="s">
        <v>447</v>
      </c>
      <c r="AO3" t="s">
        <v>1612</v>
      </c>
      <c r="AP3" t="s">
        <v>1134</v>
      </c>
      <c r="AQ3" t="s">
        <v>714</v>
      </c>
      <c r="AR3" t="s">
        <v>5</v>
      </c>
      <c r="AS3" t="s">
        <v>1613</v>
      </c>
      <c r="AT3" t="s">
        <v>1614</v>
      </c>
      <c r="AU3" t="s">
        <v>1104</v>
      </c>
      <c r="AV3" t="s">
        <v>1220</v>
      </c>
      <c r="AW3" t="s">
        <v>1313</v>
      </c>
      <c r="AX3" t="s">
        <v>889</v>
      </c>
      <c r="AY3" t="s">
        <v>636</v>
      </c>
      <c r="AZ3" t="s">
        <v>637</v>
      </c>
      <c r="BA3" t="s">
        <v>312</v>
      </c>
      <c r="BB3" t="s">
        <v>313</v>
      </c>
      <c r="BC3" t="s">
        <v>499</v>
      </c>
      <c r="BD3" t="s">
        <v>521</v>
      </c>
      <c r="BE3" t="s">
        <v>45</v>
      </c>
      <c r="BF3" t="s">
        <v>128</v>
      </c>
      <c r="BG3" t="s">
        <v>186</v>
      </c>
      <c r="BH3" t="s">
        <v>1161</v>
      </c>
      <c r="BI3" t="s">
        <v>1166</v>
      </c>
      <c r="BJ3" t="s">
        <v>889</v>
      </c>
      <c r="BK3" t="s">
        <v>739</v>
      </c>
      <c r="BL3" t="s">
        <v>27</v>
      </c>
      <c r="BM3" t="s">
        <v>499</v>
      </c>
      <c r="BN3">
        <v>4.45</v>
      </c>
      <c r="BO3">
        <v>18.84</v>
      </c>
      <c r="BP3">
        <v>15.24</v>
      </c>
      <c r="BQ3">
        <v>7.47</v>
      </c>
      <c r="BR3">
        <v>60.82</v>
      </c>
      <c r="BS3">
        <v>115.92</v>
      </c>
      <c r="BT3" t="s">
        <v>1167</v>
      </c>
      <c r="BU3" t="s">
        <v>803</v>
      </c>
      <c r="BV3">
        <v>12.66</v>
      </c>
      <c r="BW3">
        <v>19.09</v>
      </c>
      <c r="BX3">
        <v>24.62</v>
      </c>
      <c r="BY3">
        <v>4.7300000000000004</v>
      </c>
      <c r="BZ3">
        <v>13.18</v>
      </c>
      <c r="CA3">
        <v>11.21</v>
      </c>
      <c r="CB3">
        <v>6.12</v>
      </c>
      <c r="CC3">
        <v>8.86</v>
      </c>
      <c r="CD3" t="s">
        <v>157</v>
      </c>
      <c r="CE3" t="s">
        <v>1615</v>
      </c>
      <c r="CF3" s="8">
        <v>-0.11021619330224681</v>
      </c>
      <c r="CG3" s="9">
        <v>1.4545454545454544</v>
      </c>
      <c r="CH3" s="8">
        <v>-0.17723172903060913</v>
      </c>
      <c r="CI3" s="8">
        <v>0.11696504801511765</v>
      </c>
      <c r="CJ3" s="8">
        <v>0.34328153729438782</v>
      </c>
      <c r="CK3" s="8">
        <v>-5.8321971446275711E-2</v>
      </c>
      <c r="CL3" s="8">
        <v>0.14423973858356476</v>
      </c>
      <c r="CM3" s="9">
        <v>-0.79066544771194458</v>
      </c>
      <c r="CN3" s="9">
        <v>0.37922248244285583</v>
      </c>
      <c r="CO3" s="9">
        <v>10.796992301940918</v>
      </c>
      <c r="CP3" s="9">
        <v>-0.16352201998233795</v>
      </c>
      <c r="CQ3" s="9">
        <v>-0.39080458879470825</v>
      </c>
      <c r="CR3">
        <v>16.942832538510235</v>
      </c>
      <c r="CS3">
        <v>2.2961960346072963</v>
      </c>
      <c r="CT3">
        <v>2.5296442687747036</v>
      </c>
      <c r="CU3" s="8">
        <v>7.378652468323707E-2</v>
      </c>
      <c r="CV3" s="9">
        <v>1.9662445455789566</v>
      </c>
      <c r="CW3">
        <v>0.06</v>
      </c>
      <c r="CX3">
        <v>38.362015503030207</v>
      </c>
      <c r="CY3">
        <v>458891788.37877959</v>
      </c>
      <c r="CZ3">
        <v>7.378652468323707E-2</v>
      </c>
      <c r="DA3">
        <v>12.709969574376666</v>
      </c>
      <c r="DB3">
        <v>1385055550.0533803</v>
      </c>
      <c r="DC3">
        <v>7.0097198449075207E-2</v>
      </c>
      <c r="DD3">
        <v>6.3722434222935691</v>
      </c>
      <c r="DE3">
        <v>2762608509.0239329</v>
      </c>
      <c r="DF3">
        <v>6.4932141721248629E-2</v>
      </c>
      <c r="DG3">
        <v>3.9057151806092256</v>
      </c>
      <c r="DH3">
        <v>4507244662.2321472</v>
      </c>
      <c r="DI3">
        <v>5.9029219746589659E-2</v>
      </c>
      <c r="DJ3">
        <v>2.1090813274673388</v>
      </c>
      <c r="DK3">
        <v>8346768647.9115229</v>
      </c>
      <c r="DL3">
        <v>5.1650567278265946E-2</v>
      </c>
      <c r="DM3">
        <v>453000000</v>
      </c>
      <c r="DN3">
        <v>7.378652468323707E-2</v>
      </c>
      <c r="DO3">
        <v>17604013900</v>
      </c>
      <c r="DP3">
        <v>-2889979800</v>
      </c>
      <c r="DQ3">
        <v>84</v>
      </c>
      <c r="DR3">
        <v>-0.1840027179854839</v>
      </c>
      <c r="DS3">
        <v>-0.5116990910335022</v>
      </c>
      <c r="DT3" s="10">
        <v>-0.47333333333333333</v>
      </c>
      <c r="DU3">
        <v>0.42166666666666669</v>
      </c>
      <c r="DV3">
        <v>-5.1666666666666639E-2</v>
      </c>
      <c r="DW3">
        <v>9.6907449209932288</v>
      </c>
      <c r="DX3">
        <v>0.32719132893496694</v>
      </c>
      <c r="DY3">
        <v>9.1223940105058681</v>
      </c>
      <c r="DZ3">
        <v>3222</v>
      </c>
      <c r="EA3">
        <v>9.0452211138620502</v>
      </c>
      <c r="EB3">
        <v>9</v>
      </c>
      <c r="EC3">
        <v>0.17771615102624791</v>
      </c>
      <c r="ED3">
        <v>1.0029618948874948</v>
      </c>
      <c r="EE3" s="11">
        <v>-2.0421999999999998</v>
      </c>
      <c r="EF3">
        <v>-2.0051000000000001</v>
      </c>
      <c r="EG3">
        <v>15.177191328934967</v>
      </c>
      <c r="EH3" t="s">
        <v>886</v>
      </c>
      <c r="EI3">
        <v>1</v>
      </c>
      <c r="EJ3">
        <v>0</v>
      </c>
      <c r="EK3" s="13">
        <v>45470</v>
      </c>
      <c r="EL3">
        <v>2.96</v>
      </c>
      <c r="EM3">
        <v>-4.47</v>
      </c>
      <c r="EN3">
        <v>2.5099999999999998</v>
      </c>
      <c r="EO3">
        <v>1.06</v>
      </c>
      <c r="EP3">
        <v>-3.71</v>
      </c>
    </row>
    <row r="4" spans="1:146" ht="96" x14ac:dyDescent="0.25">
      <c r="A4" s="6"/>
      <c r="B4" s="6"/>
      <c r="C4" s="6" t="str">
        <f>""&amp;CHAR(10)&amp;Basic_Fundamental_Information_Constructure(F4)&amp;CHAR(10)&amp;Basic_Fundamental_Information_Concatenate("")</f>
        <v xml:space="preserve">
市值36.298305亿, 利润-3.89亿; PE; 平均PE-6.68; 平均PEG-1.09, PB3.99; ROIC9.985%; ROE-43.1433%; 股利率0%; 毛利20.9267%; 净利-27%; 上一年度营收增-49.81%, 利润增-153.14%; 当季营收增13.25%, 利润增77.4%; 过往5年营收增-6.12%, 利润增-492.69%
Income profile:
</v>
      </c>
      <c r="D4" t="s">
        <v>314</v>
      </c>
      <c r="E4" t="s">
        <v>315</v>
      </c>
      <c r="F4">
        <v>6.25</v>
      </c>
      <c r="G4">
        <v>3.14</v>
      </c>
      <c r="H4" t="s">
        <v>1616</v>
      </c>
      <c r="I4">
        <v>3629830500</v>
      </c>
      <c r="K4">
        <v>3.99</v>
      </c>
      <c r="L4" t="s">
        <v>1594</v>
      </c>
      <c r="M4" t="s">
        <v>1168</v>
      </c>
      <c r="N4" t="s">
        <v>656</v>
      </c>
      <c r="O4" t="s">
        <v>839</v>
      </c>
      <c r="P4">
        <v>13.15</v>
      </c>
      <c r="Q4" t="s">
        <v>1169</v>
      </c>
      <c r="R4">
        <v>20076891</v>
      </c>
      <c r="S4" s="5">
        <v>0.77410000000000001</v>
      </c>
      <c r="T4" t="s">
        <v>1170</v>
      </c>
      <c r="U4">
        <v>580625080</v>
      </c>
      <c r="V4">
        <v>580772870</v>
      </c>
      <c r="W4">
        <v>9.52</v>
      </c>
      <c r="X4">
        <v>0.09</v>
      </c>
      <c r="Y4">
        <v>2.25</v>
      </c>
      <c r="Z4" t="s">
        <v>839</v>
      </c>
      <c r="AA4" t="s">
        <v>1341</v>
      </c>
      <c r="AB4" t="s">
        <v>1617</v>
      </c>
      <c r="AC4" t="s">
        <v>63</v>
      </c>
      <c r="AD4" t="s">
        <v>5</v>
      </c>
      <c r="AE4">
        <v>49924830</v>
      </c>
      <c r="AF4" t="s">
        <v>1171</v>
      </c>
      <c r="AG4" t="s">
        <v>1618</v>
      </c>
      <c r="AH4" t="s">
        <v>1172</v>
      </c>
      <c r="AI4" t="s">
        <v>167</v>
      </c>
      <c r="AJ4" t="s">
        <v>1173</v>
      </c>
      <c r="AK4" t="s">
        <v>5</v>
      </c>
      <c r="AL4" t="s">
        <v>1174</v>
      </c>
      <c r="AM4" t="s">
        <v>5</v>
      </c>
      <c r="AN4" t="s">
        <v>259</v>
      </c>
      <c r="AO4" t="s">
        <v>1619</v>
      </c>
      <c r="AP4" t="s">
        <v>5</v>
      </c>
      <c r="AQ4" t="s">
        <v>1620</v>
      </c>
      <c r="AR4" t="s">
        <v>5</v>
      </c>
      <c r="AS4" t="s">
        <v>1621</v>
      </c>
      <c r="AT4" t="s">
        <v>165</v>
      </c>
      <c r="AU4" t="s">
        <v>1622</v>
      </c>
      <c r="AV4" t="s">
        <v>1623</v>
      </c>
      <c r="AW4" t="s">
        <v>1624</v>
      </c>
      <c r="AX4" t="s">
        <v>890</v>
      </c>
      <c r="AY4" t="s">
        <v>639</v>
      </c>
      <c r="AZ4" t="s">
        <v>641</v>
      </c>
      <c r="BA4" t="s">
        <v>317</v>
      </c>
      <c r="BB4" t="s">
        <v>318</v>
      </c>
      <c r="BC4" t="s">
        <v>809</v>
      </c>
      <c r="BD4" t="s">
        <v>640</v>
      </c>
      <c r="BE4" t="s">
        <v>642</v>
      </c>
      <c r="BF4" t="s">
        <v>319</v>
      </c>
      <c r="BG4" t="s">
        <v>320</v>
      </c>
      <c r="BH4" t="s">
        <v>1169</v>
      </c>
      <c r="BI4" t="s">
        <v>1175</v>
      </c>
      <c r="BJ4" t="s">
        <v>890</v>
      </c>
      <c r="BK4" t="s">
        <v>1170</v>
      </c>
      <c r="BL4" t="s">
        <v>1176</v>
      </c>
      <c r="BM4" t="s">
        <v>809</v>
      </c>
      <c r="BN4">
        <v>2.4700000000000002</v>
      </c>
      <c r="BO4">
        <v>17.5</v>
      </c>
      <c r="BP4" t="s">
        <v>5</v>
      </c>
      <c r="BQ4">
        <v>1.83</v>
      </c>
      <c r="BR4">
        <v>43.47</v>
      </c>
      <c r="BS4">
        <v>-174.73</v>
      </c>
      <c r="BT4" t="s">
        <v>865</v>
      </c>
      <c r="BU4" t="s">
        <v>627</v>
      </c>
      <c r="BV4">
        <v>5.76</v>
      </c>
      <c r="BW4">
        <v>36.97</v>
      </c>
      <c r="BX4">
        <v>20.05</v>
      </c>
      <c r="BY4">
        <v>-11.96</v>
      </c>
      <c r="BZ4">
        <v>11.29</v>
      </c>
      <c r="CA4">
        <v>-80.33</v>
      </c>
      <c r="CB4">
        <v>10.23</v>
      </c>
      <c r="CC4">
        <v>1.96</v>
      </c>
      <c r="CD4" t="s">
        <v>1625</v>
      </c>
      <c r="CE4" t="s">
        <v>178</v>
      </c>
      <c r="CF4" s="8">
        <v>0.13253012048192786</v>
      </c>
      <c r="CG4" s="9">
        <v>0.77404709728726695</v>
      </c>
      <c r="CH4" s="8">
        <v>-0.49813663959503174</v>
      </c>
      <c r="CI4" s="8">
        <v>0.37518689036369324</v>
      </c>
      <c r="CJ4" s="8">
        <v>0.16434600949287415</v>
      </c>
      <c r="CK4" s="8">
        <v>-0.12830515205860138</v>
      </c>
      <c r="CL4" s="8">
        <v>-0.21902500092983246</v>
      </c>
      <c r="CM4" s="9">
        <v>-1.5314207077026367</v>
      </c>
      <c r="CN4" s="9">
        <v>1.1955128908157349</v>
      </c>
      <c r="CO4" s="9">
        <v>-23.311689376831055</v>
      </c>
      <c r="CP4" s="9">
        <v>0.5470588207244873</v>
      </c>
      <c r="CQ4" s="9">
        <v>-1.5337519645690918</v>
      </c>
      <c r="CR4">
        <v>-6.6847707182320439</v>
      </c>
      <c r="CS4">
        <v>-1.0925188214107779</v>
      </c>
      <c r="CT4">
        <v>0</v>
      </c>
      <c r="CU4" s="8">
        <v>-6.1186778545379641E-2</v>
      </c>
      <c r="CV4" s="9">
        <v>-4.9268580675125122</v>
      </c>
      <c r="CW4">
        <v>0.06</v>
      </c>
      <c r="CX4" t="e">
        <v>#VALUE!</v>
      </c>
      <c r="CY4" t="s">
        <v>643</v>
      </c>
      <c r="CZ4">
        <v>-6.1186778545379641E-2</v>
      </c>
      <c r="DA4" t="e">
        <v>#VALUE!</v>
      </c>
      <c r="DB4" t="s">
        <v>643</v>
      </c>
      <c r="DC4">
        <v>-5.8127439618110656E-2</v>
      </c>
      <c r="DD4" t="e">
        <v>#VALUE!</v>
      </c>
      <c r="DE4" t="s">
        <v>643</v>
      </c>
      <c r="DF4">
        <v>-5.3844365119934082E-2</v>
      </c>
      <c r="DG4" t="e">
        <v>#VALUE!</v>
      </c>
      <c r="DH4" t="s">
        <v>643</v>
      </c>
      <c r="DI4">
        <v>-4.8949422836303713E-2</v>
      </c>
      <c r="DJ4" t="e">
        <v>#VALUE!</v>
      </c>
      <c r="DK4" t="s">
        <v>643</v>
      </c>
      <c r="DL4">
        <v>-4.2830744981765749E-2</v>
      </c>
      <c r="DM4">
        <v>-389000000</v>
      </c>
      <c r="DN4">
        <v>-6.1186778545379641E-2</v>
      </c>
      <c r="DO4">
        <v>11460830500</v>
      </c>
      <c r="DP4">
        <v>-2398130599.999999</v>
      </c>
      <c r="DQ4">
        <v>111</v>
      </c>
      <c r="DR4">
        <v>0.19371689902730749</v>
      </c>
      <c r="DS4">
        <v>5.7009051647997788</v>
      </c>
      <c r="DT4" s="10">
        <v>-0.42333333333333334</v>
      </c>
      <c r="DU4">
        <v>-2.4900000000000002</v>
      </c>
      <c r="DV4">
        <v>-2.9133333333333336</v>
      </c>
      <c r="DW4">
        <v>5.1915933528836753</v>
      </c>
      <c r="DX4">
        <v>0.395332314410479</v>
      </c>
      <c r="DY4">
        <v>5.0335925059867588</v>
      </c>
      <c r="DZ4">
        <v>4877</v>
      </c>
      <c r="EA4">
        <v>5.0015317130909818</v>
      </c>
      <c r="EB4">
        <v>5</v>
      </c>
      <c r="EC4">
        <v>6.9133911162207004E-2</v>
      </c>
      <c r="ED4">
        <v>0.39430216497544041</v>
      </c>
      <c r="EE4" s="11">
        <v>1.1310100000000001</v>
      </c>
      <c r="EF4">
        <v>1.0817099999999999</v>
      </c>
      <c r="EG4">
        <v>22.175332314410479</v>
      </c>
      <c r="EH4" t="s">
        <v>880</v>
      </c>
      <c r="EI4">
        <v>1</v>
      </c>
      <c r="EJ4">
        <v>0</v>
      </c>
      <c r="EK4" s="13">
        <v>45470</v>
      </c>
      <c r="EL4">
        <v>2.16</v>
      </c>
      <c r="EM4">
        <v>-5.05</v>
      </c>
      <c r="EN4">
        <v>-4.97</v>
      </c>
      <c r="EO4">
        <v>-1.08</v>
      </c>
      <c r="EP4">
        <v>4.93</v>
      </c>
    </row>
    <row r="5" spans="1:146" ht="156" x14ac:dyDescent="0.25">
      <c r="A5" s="6"/>
      <c r="B5" s="6"/>
      <c r="C5" s="6" t="str">
        <f>"公司是主要从事非专利作物保护产品的开发、生产及销售；产品通常分为除草剂、杀虫剂、杀菌剂以及其他可保护农作物和其他作物的产品，主要用于除草、杀虫及防病，同时也利用自身专业优势为非农用途（消费者或专业解决方案）开发、生产、出售类似产品。"&amp;CHAR(10)&amp;Basic_Fundamental_Information_Constructure(F5)&amp;CHAR(10)&amp;Basic_Fundamental_Information_Concatenate("除草剂 88.30亿 46.98%
杀菌剂 48.20亿 25.64%
杀虫剂 31.93亿 16.99% ")</f>
        <v xml:space="preserve">公司是主要从事非专利作物保护产品的开发、生产及销售；产品通常分为除草剂、杀虫剂、杀菌剂以及其他可保护农作物和其他作物的产品，主要用于除草、杀虫及防病，同时也利用自身专业优势为非农用途（消费者或专业解决方案）开发、生产、出售类似产品。
市值106.006435亿, 利润-16.06亿; PE; 平均PE28.42; 平均PEG6.17, PB.489; ROIC1.17%; ROE-.35%; 股利率0%; 毛利23.48%; 净利-.9133%; 上一年度营收增-12.31%, 利润增-363.71%; 当季营收增-12.8%, 利润增-373.32%; 过往5年营收增4.61%, 利润增-38.52%
Income profile:
除草剂 88.30亿 46.98%
杀菌剂 48.20亿 25.64%
杀虫剂 31.93亿 16.99% </v>
      </c>
      <c r="D5" t="s">
        <v>322</v>
      </c>
      <c r="E5" t="s">
        <v>323</v>
      </c>
      <c r="F5">
        <v>4.55</v>
      </c>
      <c r="G5">
        <v>1.34</v>
      </c>
      <c r="H5" t="s">
        <v>1626</v>
      </c>
      <c r="I5">
        <v>10600643500</v>
      </c>
      <c r="K5">
        <v>0.48899999999999999</v>
      </c>
      <c r="L5" t="s">
        <v>1594</v>
      </c>
      <c r="M5" t="s">
        <v>1177</v>
      </c>
      <c r="N5" t="s">
        <v>1627</v>
      </c>
      <c r="O5" t="s">
        <v>1178</v>
      </c>
      <c r="P5">
        <v>-12.79</v>
      </c>
      <c r="Q5" t="s">
        <v>1179</v>
      </c>
      <c r="R5">
        <v>-227605000</v>
      </c>
      <c r="S5" s="4">
        <v>-3.7330000000000001</v>
      </c>
      <c r="T5" t="s">
        <v>1180</v>
      </c>
      <c r="U5">
        <v>2177067500</v>
      </c>
      <c r="V5">
        <v>2329811800</v>
      </c>
      <c r="W5">
        <v>2.5299999999999998</v>
      </c>
      <c r="X5">
        <v>0.14000000000000001</v>
      </c>
      <c r="Y5">
        <v>-3.03</v>
      </c>
      <c r="Z5" t="s">
        <v>1628</v>
      </c>
      <c r="AA5" t="s">
        <v>1629</v>
      </c>
      <c r="AB5" t="s">
        <v>681</v>
      </c>
      <c r="AC5" t="s">
        <v>105</v>
      </c>
      <c r="AD5" t="s">
        <v>5</v>
      </c>
      <c r="AE5">
        <v>367164000</v>
      </c>
      <c r="AF5" t="s">
        <v>1181</v>
      </c>
      <c r="AG5" t="s">
        <v>1630</v>
      </c>
      <c r="AH5" t="s">
        <v>1182</v>
      </c>
      <c r="AI5" t="s">
        <v>1631</v>
      </c>
      <c r="AJ5" t="s">
        <v>1183</v>
      </c>
      <c r="AK5" t="s">
        <v>1632</v>
      </c>
      <c r="AL5" t="s">
        <v>1184</v>
      </c>
      <c r="AM5" t="s">
        <v>5</v>
      </c>
      <c r="AN5" t="s">
        <v>968</v>
      </c>
      <c r="AO5" t="s">
        <v>1633</v>
      </c>
      <c r="AP5" t="s">
        <v>190</v>
      </c>
      <c r="AQ5" t="s">
        <v>1634</v>
      </c>
      <c r="AR5" t="s">
        <v>5</v>
      </c>
      <c r="AS5" t="s">
        <v>1635</v>
      </c>
      <c r="AT5" t="s">
        <v>756</v>
      </c>
      <c r="AU5" t="s">
        <v>1636</v>
      </c>
      <c r="AV5" t="s">
        <v>1637</v>
      </c>
      <c r="AW5" t="s">
        <v>1638</v>
      </c>
      <c r="AX5" t="s">
        <v>891</v>
      </c>
      <c r="AY5" t="s">
        <v>644</v>
      </c>
      <c r="AZ5" t="s">
        <v>646</v>
      </c>
      <c r="BA5" t="s">
        <v>326</v>
      </c>
      <c r="BB5" t="s">
        <v>327</v>
      </c>
      <c r="BC5" t="s">
        <v>718</v>
      </c>
      <c r="BD5" t="s">
        <v>60</v>
      </c>
      <c r="BE5" t="s">
        <v>324</v>
      </c>
      <c r="BF5" t="s">
        <v>227</v>
      </c>
      <c r="BG5" t="s">
        <v>328</v>
      </c>
      <c r="BH5" t="s">
        <v>1179</v>
      </c>
      <c r="BI5" t="s">
        <v>1186</v>
      </c>
      <c r="BJ5" t="s">
        <v>891</v>
      </c>
      <c r="BK5" t="s">
        <v>1180</v>
      </c>
      <c r="BL5" t="s">
        <v>1187</v>
      </c>
      <c r="BM5" t="s">
        <v>718</v>
      </c>
      <c r="BN5" t="s">
        <v>5</v>
      </c>
      <c r="BO5">
        <v>1.32</v>
      </c>
      <c r="BP5">
        <v>1.02</v>
      </c>
      <c r="BQ5">
        <v>-4.55</v>
      </c>
      <c r="BR5">
        <v>2.76</v>
      </c>
      <c r="BS5">
        <v>0.74</v>
      </c>
      <c r="BT5" t="s">
        <v>865</v>
      </c>
      <c r="BU5" t="s">
        <v>627</v>
      </c>
      <c r="BV5">
        <v>20.73</v>
      </c>
      <c r="BW5">
        <v>25.14</v>
      </c>
      <c r="BX5">
        <v>24.57</v>
      </c>
      <c r="BY5">
        <v>-4.9000000000000004</v>
      </c>
      <c r="BZ5">
        <v>1.63</v>
      </c>
      <c r="CA5">
        <v>0.53</v>
      </c>
      <c r="CB5">
        <v>0.22</v>
      </c>
      <c r="CC5">
        <v>-27.2</v>
      </c>
      <c r="CD5" t="s">
        <v>1639</v>
      </c>
      <c r="CE5" t="s">
        <v>119</v>
      </c>
      <c r="CF5" s="8">
        <v>-0.12797584484961097</v>
      </c>
      <c r="CG5" s="9">
        <v>-3.7332388649382153</v>
      </c>
      <c r="CH5" s="8">
        <v>-0.12313415110111237</v>
      </c>
      <c r="CI5" s="8">
        <v>0.20435580611228943</v>
      </c>
      <c r="CJ5" s="8">
        <v>9.1193564236164093E-2</v>
      </c>
      <c r="CK5" s="8">
        <v>3.1999416649341583E-2</v>
      </c>
      <c r="CL5" s="8">
        <v>2.5905406102538109E-2</v>
      </c>
      <c r="CM5" s="9">
        <v>-3.6371102333068848</v>
      </c>
      <c r="CN5" s="9">
        <v>2.8789808750152588</v>
      </c>
      <c r="CO5" s="9">
        <v>-0.55524080991744995</v>
      </c>
      <c r="CP5" s="9">
        <v>0.27436822652816772</v>
      </c>
      <c r="CQ5" s="9">
        <v>-0.88684642314910889</v>
      </c>
      <c r="CR5">
        <v>28.419955764075066</v>
      </c>
      <c r="CS5">
        <v>6.1696662429775015</v>
      </c>
      <c r="CT5">
        <v>0</v>
      </c>
      <c r="CU5" s="8">
        <v>4.6064008399844168E-2</v>
      </c>
      <c r="CV5" s="9">
        <v>-0.38516967296600341</v>
      </c>
      <c r="CW5">
        <v>0.06</v>
      </c>
      <c r="CX5" t="e">
        <v>#VALUE!</v>
      </c>
      <c r="CY5" t="s">
        <v>674</v>
      </c>
      <c r="CZ5">
        <v>4.6064008399844168E-2</v>
      </c>
      <c r="DA5" t="e">
        <v>#VALUE!</v>
      </c>
      <c r="DB5" t="s">
        <v>643</v>
      </c>
      <c r="DC5">
        <v>4.3760807979851955E-2</v>
      </c>
      <c r="DD5" t="e">
        <v>#VALUE!</v>
      </c>
      <c r="DE5" t="s">
        <v>643</v>
      </c>
      <c r="DF5">
        <v>4.0536327391862866E-2</v>
      </c>
      <c r="DG5" t="e">
        <v>#VALUE!</v>
      </c>
      <c r="DH5" t="s">
        <v>643</v>
      </c>
      <c r="DI5">
        <v>3.6851206719875337E-2</v>
      </c>
      <c r="DJ5" t="e">
        <v>#VALUE!</v>
      </c>
      <c r="DK5" t="s">
        <v>643</v>
      </c>
      <c r="DL5">
        <v>3.2244805879890918E-2</v>
      </c>
      <c r="DM5">
        <v>-1605999999.9999998</v>
      </c>
      <c r="DN5">
        <v>4.6064008399844168E-2</v>
      </c>
      <c r="DO5">
        <v>22418643500</v>
      </c>
      <c r="DP5">
        <v>10924458000</v>
      </c>
      <c r="DQ5">
        <v>134</v>
      </c>
      <c r="DR5">
        <v>-0.17403985324945515</v>
      </c>
      <c r="DS5">
        <v>-3.3480691919722121</v>
      </c>
      <c r="DT5" s="10">
        <v>-0.28999999999999998</v>
      </c>
      <c r="DU5">
        <v>-1.59</v>
      </c>
      <c r="DV5">
        <v>-1.8800000000000001</v>
      </c>
      <c r="DW5">
        <v>-3.1266666666666665</v>
      </c>
      <c r="DX5">
        <v>0.30838502673796625</v>
      </c>
      <c r="DY5">
        <v>-3.0162621033868091</v>
      </c>
      <c r="DZ5">
        <v>4313</v>
      </c>
      <c r="EA5">
        <v>-3.002536378943109</v>
      </c>
      <c r="EB5">
        <v>3</v>
      </c>
      <c r="EC5">
        <v>1.0304694997252568E-2</v>
      </c>
      <c r="ED5">
        <v>8.026399385564105E-2</v>
      </c>
      <c r="EE5" s="11">
        <v>5.1400000000000001E-2</v>
      </c>
      <c r="EF5">
        <v>2.01E-2</v>
      </c>
      <c r="EG5">
        <v>18.128385026737966</v>
      </c>
      <c r="EH5" t="s">
        <v>635</v>
      </c>
      <c r="EI5">
        <v>0</v>
      </c>
      <c r="EJ5">
        <v>0</v>
      </c>
      <c r="EK5" s="13">
        <v>45470</v>
      </c>
      <c r="EL5">
        <v>1.07</v>
      </c>
      <c r="EM5">
        <v>-3.16</v>
      </c>
      <c r="EN5">
        <v>1.31</v>
      </c>
      <c r="EO5">
        <v>3.01</v>
      </c>
      <c r="EP5">
        <v>-3.13</v>
      </c>
    </row>
    <row r="6" spans="1:146" ht="96" x14ac:dyDescent="0.25">
      <c r="A6" s="6"/>
      <c r="B6" s="6"/>
      <c r="C6" s="6" t="str">
        <f>""&amp;CHAR(10)&amp;Basic_Fundamental_Information_Constructure(F6)&amp;CHAR(10)&amp;Basic_Fundamental_Information_Concatenate("")</f>
        <v xml:space="preserve">
市值37.924061亿, 利润3.83亿; PE13.03; 平均PE11.47; 平均PEG1.03, PB.894; ROIC14.2167%; ROE14.2367%; 股利率2.5742%; 毛利25.3067%; 净利13.6267%; 上一年度营收增-14.99%, 利润增-38.42%; 当季营收增-28.41%, 利润增-54.67%; 过往5年营收增11.18%, 利润增75.54%
Income profile:
</v>
      </c>
      <c r="D6" t="s">
        <v>332</v>
      </c>
      <c r="E6" t="s">
        <v>333</v>
      </c>
      <c r="F6">
        <v>6.61</v>
      </c>
      <c r="G6">
        <v>0.3</v>
      </c>
      <c r="H6" t="s">
        <v>1640</v>
      </c>
      <c r="I6">
        <v>3792406100</v>
      </c>
      <c r="J6">
        <v>13.03</v>
      </c>
      <c r="K6">
        <v>0.89400000000000002</v>
      </c>
      <c r="L6" t="s">
        <v>1594</v>
      </c>
      <c r="M6" t="s">
        <v>1077</v>
      </c>
      <c r="N6" t="s">
        <v>1641</v>
      </c>
      <c r="O6" t="s">
        <v>1091</v>
      </c>
      <c r="P6">
        <v>-28.43</v>
      </c>
      <c r="Q6" t="s">
        <v>1116</v>
      </c>
      <c r="R6">
        <v>75709305</v>
      </c>
      <c r="S6" s="4">
        <v>-0.54720000000000002</v>
      </c>
      <c r="T6" t="s">
        <v>408</v>
      </c>
      <c r="U6">
        <v>573737680</v>
      </c>
      <c r="V6">
        <v>573737680</v>
      </c>
      <c r="W6">
        <v>1.28</v>
      </c>
      <c r="X6">
        <v>0.15</v>
      </c>
      <c r="Y6">
        <v>8.74</v>
      </c>
      <c r="Z6" t="s">
        <v>520</v>
      </c>
      <c r="AA6" t="s">
        <v>530</v>
      </c>
      <c r="AB6" t="s">
        <v>1642</v>
      </c>
      <c r="AC6" t="s">
        <v>1643</v>
      </c>
      <c r="AD6" t="s">
        <v>5</v>
      </c>
      <c r="AE6">
        <v>-581593</v>
      </c>
      <c r="AF6" t="s">
        <v>1188</v>
      </c>
      <c r="AG6" t="s">
        <v>1644</v>
      </c>
      <c r="AH6" t="s">
        <v>1189</v>
      </c>
      <c r="AI6" t="s">
        <v>1135</v>
      </c>
      <c r="AJ6" t="s">
        <v>1190</v>
      </c>
      <c r="AK6" t="s">
        <v>1645</v>
      </c>
      <c r="AL6" t="s">
        <v>1191</v>
      </c>
      <c r="AM6" t="s">
        <v>5</v>
      </c>
      <c r="AN6" t="s">
        <v>1646</v>
      </c>
      <c r="AO6" t="s">
        <v>5</v>
      </c>
      <c r="AP6" t="s">
        <v>1647</v>
      </c>
      <c r="AQ6" t="s">
        <v>152</v>
      </c>
      <c r="AR6" t="s">
        <v>5</v>
      </c>
      <c r="AS6" t="s">
        <v>1648</v>
      </c>
      <c r="AT6" t="s">
        <v>299</v>
      </c>
      <c r="AU6" t="s">
        <v>1649</v>
      </c>
      <c r="AV6" t="s">
        <v>1650</v>
      </c>
      <c r="AW6" t="s">
        <v>1651</v>
      </c>
      <c r="AX6" t="s">
        <v>843</v>
      </c>
      <c r="AY6" t="s">
        <v>648</v>
      </c>
      <c r="AZ6" t="s">
        <v>649</v>
      </c>
      <c r="BA6" t="s">
        <v>334</v>
      </c>
      <c r="BB6" t="s">
        <v>335</v>
      </c>
      <c r="BC6" t="s">
        <v>226</v>
      </c>
      <c r="BD6" t="s">
        <v>399</v>
      </c>
      <c r="BE6" t="s">
        <v>55</v>
      </c>
      <c r="BF6" t="s">
        <v>336</v>
      </c>
      <c r="BG6" t="s">
        <v>27</v>
      </c>
      <c r="BH6" t="s">
        <v>1116</v>
      </c>
      <c r="BI6" t="s">
        <v>1192</v>
      </c>
      <c r="BJ6" t="s">
        <v>843</v>
      </c>
      <c r="BK6" t="s">
        <v>408</v>
      </c>
      <c r="BL6" t="s">
        <v>263</v>
      </c>
      <c r="BM6" t="s">
        <v>226</v>
      </c>
      <c r="BN6">
        <v>7.14</v>
      </c>
      <c r="BO6">
        <v>17.48</v>
      </c>
      <c r="BP6">
        <v>18.03</v>
      </c>
      <c r="BQ6">
        <v>7.88</v>
      </c>
      <c r="BR6">
        <v>16.79</v>
      </c>
      <c r="BS6">
        <v>18.04</v>
      </c>
      <c r="BT6" t="s">
        <v>1652</v>
      </c>
      <c r="BU6" t="s">
        <v>804</v>
      </c>
      <c r="BV6">
        <v>20.420000000000002</v>
      </c>
      <c r="BW6">
        <v>25.62</v>
      </c>
      <c r="BX6">
        <v>29.88</v>
      </c>
      <c r="BY6">
        <v>9.81</v>
      </c>
      <c r="BZ6">
        <v>14.97</v>
      </c>
      <c r="CA6">
        <v>16.100000000000001</v>
      </c>
      <c r="CB6">
        <v>-0.3</v>
      </c>
      <c r="CC6">
        <v>-4.8899999999999997</v>
      </c>
      <c r="CD6" t="s">
        <v>1653</v>
      </c>
      <c r="CE6" t="s">
        <v>212</v>
      </c>
      <c r="CF6" s="8">
        <v>-0.28405315614617949</v>
      </c>
      <c r="CG6" s="9">
        <v>-0.54665086826347309</v>
      </c>
      <c r="CH6" s="8">
        <v>-0.14989815652370453</v>
      </c>
      <c r="CI6" s="8">
        <v>0.2001955658197403</v>
      </c>
      <c r="CJ6" s="8">
        <v>0.40487638115882874</v>
      </c>
      <c r="CK6" s="8">
        <v>-5.8040069416165352E-3</v>
      </c>
      <c r="CL6" s="8">
        <v>0.10946967452764511</v>
      </c>
      <c r="CM6" s="9">
        <v>-0.38424438238143921</v>
      </c>
      <c r="CN6" s="9">
        <v>9.3145869672298431E-2</v>
      </c>
      <c r="CO6" s="9">
        <v>4.471153736114502</v>
      </c>
      <c r="CP6" s="9">
        <v>0.20428633689880371</v>
      </c>
      <c r="CQ6" s="9">
        <v>-0.60746270418167114</v>
      </c>
      <c r="CR6">
        <v>11.466899776461728</v>
      </c>
      <c r="CS6">
        <v>1.025956525748996</v>
      </c>
      <c r="CT6">
        <v>2.5742435703479578</v>
      </c>
      <c r="CU6" s="8">
        <v>0.11176789160817861</v>
      </c>
      <c r="CV6" s="9">
        <v>0.75537577122449873</v>
      </c>
      <c r="CW6">
        <v>0.06</v>
      </c>
      <c r="CX6">
        <v>1.1013213806491002</v>
      </c>
      <c r="CY6">
        <v>401704813.66597396</v>
      </c>
      <c r="CZ6">
        <v>0.11176789160817861</v>
      </c>
      <c r="DA6">
        <v>0.35334454549946726</v>
      </c>
      <c r="DB6">
        <v>1252053005.0199034</v>
      </c>
      <c r="DC6">
        <v>0.10617949702776967</v>
      </c>
      <c r="DD6">
        <v>0.16968408681062946</v>
      </c>
      <c r="DE6">
        <v>2607233879.8259454</v>
      </c>
      <c r="DF6">
        <v>9.835574461519718E-2</v>
      </c>
      <c r="DG6">
        <v>9.9060694379091443E-2</v>
      </c>
      <c r="DH6">
        <v>4466010487.5398273</v>
      </c>
      <c r="DI6">
        <v>8.9414313286542896E-2</v>
      </c>
      <c r="DJ6">
        <v>4.8051087592609662E-2</v>
      </c>
      <c r="DK6">
        <v>9206994516.9782753</v>
      </c>
      <c r="DL6">
        <v>7.823752412572503E-2</v>
      </c>
      <c r="DM6">
        <v>383000000</v>
      </c>
      <c r="DN6">
        <v>0.11176789160817861</v>
      </c>
      <c r="DO6">
        <v>442406100</v>
      </c>
      <c r="DP6">
        <v>2573573500</v>
      </c>
      <c r="DQ6">
        <v>253</v>
      </c>
      <c r="DR6">
        <v>-0.39582104775435811</v>
      </c>
      <c r="DS6">
        <v>-1.3020266394879718</v>
      </c>
      <c r="DT6" s="10">
        <v>-0.15666666666666665</v>
      </c>
      <c r="DU6">
        <v>-8.666666666666667E-2</v>
      </c>
      <c r="DV6">
        <v>-0.24333333333333332</v>
      </c>
      <c r="DW6">
        <v>-1.0488999999999999</v>
      </c>
      <c r="DX6">
        <v>0.34188480000000054</v>
      </c>
      <c r="DY6">
        <v>-1.0049821667200001</v>
      </c>
      <c r="DZ6">
        <v>2310</v>
      </c>
      <c r="EA6">
        <v>-1.0027299543671233</v>
      </c>
      <c r="EB6">
        <v>1</v>
      </c>
      <c r="EC6">
        <v>2.219760082691449E-2</v>
      </c>
      <c r="ED6">
        <v>0.21786960201045188</v>
      </c>
      <c r="EE6" s="11">
        <v>1.23E-2</v>
      </c>
      <c r="EF6">
        <v>4.1099999999999973E-3</v>
      </c>
      <c r="EG6">
        <v>24.101884800000001</v>
      </c>
      <c r="EH6">
        <v>-1</v>
      </c>
      <c r="EI6">
        <v>0</v>
      </c>
      <c r="EJ6">
        <v>0</v>
      </c>
      <c r="EK6" s="13">
        <v>45470</v>
      </c>
      <c r="EL6">
        <v>0.15</v>
      </c>
      <c r="EM6">
        <v>-4.53</v>
      </c>
      <c r="EN6">
        <v>1.53</v>
      </c>
      <c r="EO6">
        <v>1.05</v>
      </c>
      <c r="EP6">
        <v>-1.64</v>
      </c>
    </row>
    <row r="7" spans="1:146" ht="168" x14ac:dyDescent="0.25">
      <c r="A7" s="6"/>
      <c r="B7" s="6"/>
      <c r="C7" s="6" t="str">
        <f>"公司地处青海省格尔木市察尔汗,是中国现有最大的钾肥生产基地,为集生产、经营、科研、综合开发为一体的大型、现代化钾肥生产企业.公司主导品盐桥牌钾肥是中国国内重要的支农产品,在化肥行业中的钾肥排名全国第一位,占我国钾肥生产量和国产钾肥销售额的96%."&amp;CHAR(10)&amp;Basic_Fundamental_Information_Constructure(F7)&amp;CHAR(10)&amp;Basic_Fundamental_Information_Concatenate("氯化钾 106.65亿 61.64% 64.11% 81.05%
碳酸锂 51.64亿 29.84% 35.47% 92.64%
贸易 12.42亿 7.18% 0.20% 2.22%")</f>
        <v>公司地处青海省格尔木市察尔汗,是中国现有最大的钾肥生产基地,为集生产、经营、科研、综合开发为一体的大型、现代化钾肥生产企业.公司主导品盐桥牌钾肥是中国国内重要的支农产品,在化肥行业中的钾肥排名全国第一位,占我国钾肥生产量和国产钾肥销售额的96%.
市值915.43972亿, 利润79.14亿; PE13.82; 平均PE-28.45; 平均PEG-2.3, PB2.79; ROIC39.1533%; ROE58.9233%; 股利率0%; 毛利64.9133%; 净利47.5767%; 上一年度营收增-29.8%, 利润增-49.16%; 当季营收增-42.13%, 利润增-58.02%; 过往5年营收增12.39%, 利润增-161.6%
Income profile:
氯化钾 106.65亿 61.64% 64.11% 81.05%
碳酸锂 51.64亿 29.84% 35.47% 92.64%
贸易 12.42亿 7.18% 0.20% 2.22%</v>
      </c>
      <c r="D7" t="s">
        <v>338</v>
      </c>
      <c r="E7" t="s">
        <v>339</v>
      </c>
      <c r="F7">
        <v>16.850000000000001</v>
      </c>
      <c r="G7">
        <v>1.81</v>
      </c>
      <c r="H7" t="s">
        <v>1654</v>
      </c>
      <c r="I7">
        <v>91543972000</v>
      </c>
      <c r="J7">
        <v>13.82</v>
      </c>
      <c r="K7">
        <v>2.79</v>
      </c>
      <c r="L7" t="s">
        <v>1594</v>
      </c>
      <c r="M7" t="s">
        <v>1193</v>
      </c>
      <c r="N7" t="s">
        <v>1655</v>
      </c>
      <c r="O7" t="s">
        <v>1085</v>
      </c>
      <c r="P7">
        <v>-42.12</v>
      </c>
      <c r="Q7" t="s">
        <v>1194</v>
      </c>
      <c r="R7">
        <v>934106460</v>
      </c>
      <c r="S7" s="4">
        <v>-0.58030000000000004</v>
      </c>
      <c r="T7" t="s">
        <v>1195</v>
      </c>
      <c r="U7">
        <v>5432786900</v>
      </c>
      <c r="V7">
        <v>5432876700</v>
      </c>
      <c r="W7">
        <v>1.32</v>
      </c>
      <c r="X7">
        <v>0.06</v>
      </c>
      <c r="Y7">
        <v>38.5</v>
      </c>
      <c r="Z7" t="s">
        <v>1656</v>
      </c>
      <c r="AA7" t="s">
        <v>1657</v>
      </c>
      <c r="AB7" t="s">
        <v>1658</v>
      </c>
      <c r="AC7" t="s">
        <v>170</v>
      </c>
      <c r="AD7" t="s">
        <v>5</v>
      </c>
      <c r="AE7">
        <v>-59723425</v>
      </c>
      <c r="AF7" t="s">
        <v>1196</v>
      </c>
      <c r="AG7" t="s">
        <v>1659</v>
      </c>
      <c r="AH7" t="s">
        <v>1197</v>
      </c>
      <c r="AI7" t="s">
        <v>1660</v>
      </c>
      <c r="AJ7" t="s">
        <v>1198</v>
      </c>
      <c r="AK7" t="s">
        <v>1661</v>
      </c>
      <c r="AL7" t="s">
        <v>1200</v>
      </c>
      <c r="AM7" t="s">
        <v>5</v>
      </c>
      <c r="AN7" t="s">
        <v>193</v>
      </c>
      <c r="AO7" t="s">
        <v>1662</v>
      </c>
      <c r="AP7" t="s">
        <v>1663</v>
      </c>
      <c r="AQ7" t="s">
        <v>1664</v>
      </c>
      <c r="AR7" t="s">
        <v>1665</v>
      </c>
      <c r="AS7" t="s">
        <v>1666</v>
      </c>
      <c r="AT7" t="s">
        <v>142</v>
      </c>
      <c r="AU7" t="s">
        <v>1667</v>
      </c>
      <c r="AV7" t="s">
        <v>260</v>
      </c>
      <c r="AW7" t="s">
        <v>1668</v>
      </c>
      <c r="AX7" t="s">
        <v>1201</v>
      </c>
      <c r="AY7" t="s">
        <v>650</v>
      </c>
      <c r="AZ7" t="s">
        <v>653</v>
      </c>
      <c r="BA7" t="s">
        <v>340</v>
      </c>
      <c r="BB7" t="s">
        <v>341</v>
      </c>
      <c r="BC7" t="s">
        <v>1202</v>
      </c>
      <c r="BD7" t="s">
        <v>651</v>
      </c>
      <c r="BE7" t="s">
        <v>654</v>
      </c>
      <c r="BF7" t="s">
        <v>343</v>
      </c>
      <c r="BG7" t="s">
        <v>344</v>
      </c>
      <c r="BH7" t="s">
        <v>1194</v>
      </c>
      <c r="BI7" t="s">
        <v>1203</v>
      </c>
      <c r="BJ7" t="s">
        <v>1201</v>
      </c>
      <c r="BK7" t="s">
        <v>1195</v>
      </c>
      <c r="BL7" t="s">
        <v>1204</v>
      </c>
      <c r="BM7" t="s">
        <v>1202</v>
      </c>
      <c r="BN7">
        <v>17.63</v>
      </c>
      <c r="BO7">
        <v>69.540000000000006</v>
      </c>
      <c r="BP7">
        <v>30.29</v>
      </c>
      <c r="BQ7">
        <v>20.47</v>
      </c>
      <c r="BR7">
        <v>89.46</v>
      </c>
      <c r="BS7">
        <v>66.84</v>
      </c>
      <c r="BT7" t="s">
        <v>865</v>
      </c>
      <c r="BU7" t="s">
        <v>802</v>
      </c>
      <c r="BV7">
        <v>56.05</v>
      </c>
      <c r="BW7">
        <v>79.099999999999994</v>
      </c>
      <c r="BX7">
        <v>59.59</v>
      </c>
      <c r="BY7">
        <v>43.4</v>
      </c>
      <c r="BZ7">
        <v>64</v>
      </c>
      <c r="CA7">
        <v>35.33</v>
      </c>
      <c r="CB7">
        <v>-3.44</v>
      </c>
      <c r="CC7">
        <v>-2.99</v>
      </c>
      <c r="CD7" t="s">
        <v>53</v>
      </c>
      <c r="CE7" t="s">
        <v>1669</v>
      </c>
      <c r="CF7" s="8">
        <v>-0.42128744423199488</v>
      </c>
      <c r="CG7" s="9">
        <v>-0.58017687191011236</v>
      </c>
      <c r="CH7" s="8">
        <v>-0.2979927659034729</v>
      </c>
      <c r="CI7" s="8">
        <v>1.0800513029098511</v>
      </c>
      <c r="CJ7" s="8">
        <v>5.4366465657949448E-2</v>
      </c>
      <c r="CK7" s="8">
        <v>-0.21474592387676239</v>
      </c>
      <c r="CL7" s="8">
        <v>-2.2918367758393288E-3</v>
      </c>
      <c r="CM7" s="9">
        <v>-0.49164953827857971</v>
      </c>
      <c r="CN7" s="9">
        <v>2.4765520095825195</v>
      </c>
      <c r="CO7" s="9">
        <v>1.1950980424880981</v>
      </c>
      <c r="CP7" s="9">
        <v>1.0444831848144531</v>
      </c>
      <c r="CQ7" s="9">
        <v>-12.304322242736816</v>
      </c>
      <c r="CR7">
        <v>-28.448947635572591</v>
      </c>
      <c r="CS7">
        <v>-2.2965396851872848</v>
      </c>
      <c r="CT7">
        <v>0</v>
      </c>
      <c r="CU7" s="8">
        <v>0.12387744840234519</v>
      </c>
      <c r="CV7" s="9">
        <v>-1.6159677088260651</v>
      </c>
      <c r="CW7">
        <v>0.06</v>
      </c>
      <c r="CX7">
        <v>8.0476325463465042</v>
      </c>
      <c r="CY7">
        <v>8390911440.2416601</v>
      </c>
      <c r="CZ7">
        <v>0.12387744840234519</v>
      </c>
      <c r="DA7">
        <v>2.5558042071481974</v>
      </c>
      <c r="DB7">
        <v>26421027014.173183</v>
      </c>
      <c r="DC7">
        <v>0.11768357598222792</v>
      </c>
      <c r="DD7">
        <v>1.2104037381010362</v>
      </c>
      <c r="DE7">
        <v>55788799946.983734</v>
      </c>
      <c r="DF7">
        <v>0.10901215459406377</v>
      </c>
      <c r="DG7">
        <v>0.69535469137970074</v>
      </c>
      <c r="DH7">
        <v>97111550173.070847</v>
      </c>
      <c r="DI7">
        <v>9.910195872187616E-2</v>
      </c>
      <c r="DJ7">
        <v>0.32515318686116634</v>
      </c>
      <c r="DK7">
        <v>207677410920.87964</v>
      </c>
      <c r="DL7">
        <v>8.6714213881641619E-2</v>
      </c>
      <c r="DM7">
        <v>7914000000</v>
      </c>
      <c r="DN7">
        <v>0.12387744840234519</v>
      </c>
      <c r="DO7">
        <v>67526972000</v>
      </c>
      <c r="DP7">
        <v>21841440000</v>
      </c>
      <c r="DQ7">
        <v>286</v>
      </c>
      <c r="DR7">
        <v>-0.54516489263434009</v>
      </c>
      <c r="DS7">
        <v>1.0357908369159528</v>
      </c>
      <c r="DT7" s="10">
        <v>-0.42333333333333334</v>
      </c>
      <c r="DU7">
        <v>-0.39000000000000007</v>
      </c>
      <c r="DV7">
        <v>-0.81333333333333346</v>
      </c>
      <c r="DW7">
        <v>-4.8691860465116283</v>
      </c>
      <c r="DX7">
        <v>0.42193370165745891</v>
      </c>
      <c r="DY7">
        <v>-4.1320586534755233</v>
      </c>
      <c r="DZ7">
        <v>3366</v>
      </c>
      <c r="EA7">
        <v>-4.0450705071744251</v>
      </c>
      <c r="EB7">
        <v>4</v>
      </c>
      <c r="EC7">
        <v>2.0247100398947029E-2</v>
      </c>
      <c r="ED7">
        <v>0.13326273353488768</v>
      </c>
      <c r="EE7" s="11">
        <v>-4.0364000000000004</v>
      </c>
      <c r="EF7">
        <v>-4.0387000000000004</v>
      </c>
      <c r="EG7">
        <v>27.151933701657459</v>
      </c>
      <c r="EH7" t="s">
        <v>1149</v>
      </c>
      <c r="EI7">
        <v>0</v>
      </c>
      <c r="EJ7">
        <v>0</v>
      </c>
      <c r="EK7" s="13">
        <v>45470</v>
      </c>
      <c r="EL7">
        <v>5.55</v>
      </c>
      <c r="EM7">
        <v>-3.2</v>
      </c>
      <c r="EN7">
        <v>-0.89</v>
      </c>
      <c r="EO7">
        <v>2.74</v>
      </c>
      <c r="EP7">
        <v>0.23</v>
      </c>
    </row>
    <row r="8" spans="1:146" ht="120" x14ac:dyDescent="0.25">
      <c r="A8" s="6" t="s">
        <v>1151</v>
      </c>
      <c r="B8" s="7" t="s">
        <v>1152</v>
      </c>
      <c r="C8" s="6" t="str">
        <f>"公司专注从事钾盐开采、钾肥生产销售业务，且目前公司钾肥业务生产、销售均集中在东南亚市场。"&amp;CHAR(10)&amp;Basic_Fundamental_Information_Constructure(F8)&amp;CHAR(10)&amp;Basic_Fundamental_Information_Concatenate("氯化钾 17.30亿 98.08% 100.00% 74.61%
卤水 3371.37万 1.91%")</f>
        <v>公司专注从事钾盐开采、钾肥生产销售业务，且目前公司钾肥业务生产、销售均集中在东南亚市场。
市值148.5233亿, 利润12.35亿; PE15.15; 平均PE20.88; 平均PEG.23, PB1.32; ROIC17.5533%; ROE19.78%; 股利率0%; 毛利65.5633%; 净利66.22%; 上一年度营收增12.46%, 利润增-39.13%; 当季营收增-25.88%, 利润增-75.84%; 过往5年营收增92.08%, 利润增494.71%
Income profile:
氯化钾 17.30亿 98.08% 100.00% 74.61%
卤水 3371.37万 1.91%</v>
      </c>
      <c r="D8" t="s">
        <v>347</v>
      </c>
      <c r="E8" t="s">
        <v>348</v>
      </c>
      <c r="F8">
        <v>15.99</v>
      </c>
      <c r="G8">
        <v>1.85</v>
      </c>
      <c r="H8" t="s">
        <v>1670</v>
      </c>
      <c r="I8">
        <v>14852330000</v>
      </c>
      <c r="J8">
        <v>15.15</v>
      </c>
      <c r="K8">
        <v>1.32</v>
      </c>
      <c r="L8" t="s">
        <v>1594</v>
      </c>
      <c r="M8" t="s">
        <v>1206</v>
      </c>
      <c r="N8" t="s">
        <v>1671</v>
      </c>
      <c r="O8" t="s">
        <v>684</v>
      </c>
      <c r="P8">
        <v>-25.89</v>
      </c>
      <c r="Q8" t="s">
        <v>1207</v>
      </c>
      <c r="R8">
        <v>81184003</v>
      </c>
      <c r="S8" s="4">
        <v>-0.75819999999999999</v>
      </c>
      <c r="T8" t="s">
        <v>525</v>
      </c>
      <c r="U8">
        <v>811838070</v>
      </c>
      <c r="V8">
        <v>928851190</v>
      </c>
      <c r="W8">
        <v>1.29</v>
      </c>
      <c r="X8">
        <v>0.04</v>
      </c>
      <c r="Y8">
        <v>11.46</v>
      </c>
      <c r="Z8" t="s">
        <v>813</v>
      </c>
      <c r="AA8" t="s">
        <v>1104</v>
      </c>
      <c r="AB8" t="s">
        <v>1672</v>
      </c>
      <c r="AC8" t="s">
        <v>280</v>
      </c>
      <c r="AD8" t="s">
        <v>5</v>
      </c>
      <c r="AE8">
        <v>9938800</v>
      </c>
      <c r="AF8" t="s">
        <v>1208</v>
      </c>
      <c r="AG8" t="s">
        <v>1673</v>
      </c>
      <c r="AH8" t="s">
        <v>1209</v>
      </c>
      <c r="AI8" t="s">
        <v>730</v>
      </c>
      <c r="AJ8" t="s">
        <v>1210</v>
      </c>
      <c r="AK8" t="s">
        <v>5</v>
      </c>
      <c r="AL8" t="s">
        <v>1211</v>
      </c>
      <c r="AM8" t="s">
        <v>5</v>
      </c>
      <c r="AN8" t="s">
        <v>1674</v>
      </c>
      <c r="AO8" t="s">
        <v>116</v>
      </c>
      <c r="AP8" t="s">
        <v>5</v>
      </c>
      <c r="AQ8" t="s">
        <v>214</v>
      </c>
      <c r="AR8" t="s">
        <v>1675</v>
      </c>
      <c r="AS8" t="s">
        <v>1578</v>
      </c>
      <c r="AT8" t="s">
        <v>497</v>
      </c>
      <c r="AU8" t="s">
        <v>1676</v>
      </c>
      <c r="AV8" t="s">
        <v>1677</v>
      </c>
      <c r="AW8" t="s">
        <v>1071</v>
      </c>
      <c r="AX8" t="s">
        <v>855</v>
      </c>
      <c r="AY8" t="s">
        <v>842</v>
      </c>
      <c r="AZ8" t="s">
        <v>349</v>
      </c>
      <c r="BA8" t="s">
        <v>125</v>
      </c>
      <c r="BB8" t="s">
        <v>218</v>
      </c>
      <c r="BC8" t="s">
        <v>304</v>
      </c>
      <c r="BD8" t="s">
        <v>549</v>
      </c>
      <c r="BE8" t="s">
        <v>657</v>
      </c>
      <c r="BF8" t="s">
        <v>351</v>
      </c>
      <c r="BG8" t="s">
        <v>352</v>
      </c>
      <c r="BH8" t="s">
        <v>1207</v>
      </c>
      <c r="BI8" t="s">
        <v>150</v>
      </c>
      <c r="BJ8" t="s">
        <v>855</v>
      </c>
      <c r="BK8" t="s">
        <v>525</v>
      </c>
      <c r="BL8" t="s">
        <v>155</v>
      </c>
      <c r="BM8" t="s">
        <v>304</v>
      </c>
      <c r="BN8">
        <v>8.06</v>
      </c>
      <c r="BO8">
        <v>24.32</v>
      </c>
      <c r="BP8">
        <v>20.28</v>
      </c>
      <c r="BQ8">
        <v>9.44</v>
      </c>
      <c r="BR8">
        <v>28.39</v>
      </c>
      <c r="BS8">
        <v>21.51</v>
      </c>
      <c r="BT8" t="s">
        <v>865</v>
      </c>
      <c r="BU8" t="s">
        <v>802</v>
      </c>
      <c r="BV8">
        <v>58.72</v>
      </c>
      <c r="BW8">
        <v>72.73</v>
      </c>
      <c r="BX8">
        <v>65.239999999999995</v>
      </c>
      <c r="BY8">
        <v>31.04</v>
      </c>
      <c r="BZ8">
        <v>58.51</v>
      </c>
      <c r="CA8">
        <v>109.11</v>
      </c>
      <c r="CB8">
        <v>-1.05</v>
      </c>
      <c r="CC8">
        <v>-14.95</v>
      </c>
      <c r="CD8" t="s">
        <v>1678</v>
      </c>
      <c r="CE8" t="s">
        <v>250</v>
      </c>
      <c r="CF8" s="8">
        <v>-0.25878220140515212</v>
      </c>
      <c r="CG8" s="9">
        <v>-0.75838094345238094</v>
      </c>
      <c r="CH8" s="8">
        <v>0.1246393546462059</v>
      </c>
      <c r="CI8" s="8">
        <v>3.131108283996582</v>
      </c>
      <c r="CJ8" s="8">
        <v>1.3112947940826416</v>
      </c>
      <c r="CK8" s="8">
        <v>-0.40000000596046448</v>
      </c>
      <c r="CL8" s="8">
        <v>0.43705463409423828</v>
      </c>
      <c r="CM8" s="9">
        <v>-0.39132571220397949</v>
      </c>
      <c r="CN8" s="9">
        <v>1.2569520473480225</v>
      </c>
      <c r="CO8" s="9">
        <v>14.079818725585937</v>
      </c>
      <c r="CP8" s="9">
        <v>0.43876522779464722</v>
      </c>
      <c r="CQ8" s="9">
        <v>9.3513956069946289</v>
      </c>
      <c r="CR8">
        <v>20.879297092403643</v>
      </c>
      <c r="CS8">
        <v>0.22674692579685982</v>
      </c>
      <c r="CT8">
        <v>0</v>
      </c>
      <c r="CU8" s="8">
        <v>0.92081941217184071</v>
      </c>
      <c r="CV8" s="9">
        <v>4.947121179103851</v>
      </c>
      <c r="CW8">
        <v>0.06</v>
      </c>
      <c r="CX8">
        <v>2.3326540210461117</v>
      </c>
      <c r="CY8">
        <v>2237935824.558701</v>
      </c>
      <c r="CZ8">
        <v>0.92081941217184071</v>
      </c>
      <c r="DA8">
        <v>0.40529340909902289</v>
      </c>
      <c r="DB8">
        <v>12880372300.168711</v>
      </c>
      <c r="DC8">
        <v>0.87477844156324869</v>
      </c>
      <c r="DD8">
        <v>7.3567912779838443E-2</v>
      </c>
      <c r="DE8">
        <v>70959332713.740524</v>
      </c>
      <c r="DF8">
        <v>0.81032108271121983</v>
      </c>
      <c r="DG8">
        <v>1.19051476737364E-2</v>
      </c>
      <c r="DH8">
        <v>438493510795.87347</v>
      </c>
      <c r="DI8">
        <v>0.73665552973747261</v>
      </c>
      <c r="DJ8">
        <v>2.3010945544887205E-4</v>
      </c>
      <c r="DK8">
        <v>22686290703772.941</v>
      </c>
      <c r="DL8">
        <v>0.64457358852028845</v>
      </c>
      <c r="DM8">
        <v>1235000000</v>
      </c>
      <c r="DN8">
        <v>0.92081941217184071</v>
      </c>
      <c r="DO8">
        <v>5220330000</v>
      </c>
      <c r="DP8">
        <v>-676304800</v>
      </c>
      <c r="DQ8">
        <v>350</v>
      </c>
      <c r="DR8">
        <v>-1.1796016135769929</v>
      </c>
      <c r="DS8">
        <v>-5.7055021225562319</v>
      </c>
      <c r="DT8" s="10">
        <v>0.15999999999999992</v>
      </c>
      <c r="DU8">
        <v>0.74966666666666681</v>
      </c>
      <c r="DV8">
        <v>0.90966666666666673</v>
      </c>
      <c r="DW8">
        <v>-2.1495000000000002</v>
      </c>
      <c r="DX8">
        <v>0.32140611620794984</v>
      </c>
      <c r="DY8">
        <v>-2.0211402143730886</v>
      </c>
      <c r="DZ8">
        <v>272</v>
      </c>
      <c r="EA8">
        <v>-2.0200149426882588</v>
      </c>
      <c r="EB8">
        <v>2</v>
      </c>
      <c r="EC8">
        <v>4.9781709382317733E-2</v>
      </c>
      <c r="ED8">
        <v>0.35204778065687786</v>
      </c>
      <c r="EE8" s="11">
        <v>-2.0259100000000001</v>
      </c>
      <c r="EF8">
        <v>-2.0503100000000001</v>
      </c>
      <c r="EG8">
        <v>18.14140611620795</v>
      </c>
      <c r="EH8" t="s">
        <v>884</v>
      </c>
      <c r="EI8">
        <v>0</v>
      </c>
      <c r="EJ8">
        <v>1</v>
      </c>
      <c r="EK8" s="13">
        <v>45470</v>
      </c>
      <c r="EL8">
        <v>0.75</v>
      </c>
      <c r="EM8">
        <v>-3.93</v>
      </c>
      <c r="EN8">
        <v>-0.53</v>
      </c>
      <c r="EO8">
        <v>0.24</v>
      </c>
      <c r="EP8">
        <v>-2.44</v>
      </c>
    </row>
    <row r="9" spans="1:146" ht="168" x14ac:dyDescent="0.25">
      <c r="A9" s="6"/>
      <c r="B9" s="6"/>
      <c r="C9" s="6" t="str">
        <f>"公司的主营业务为磷复肥、新型肥料的研发、生产和销售，以及现代农业产业解决方案提供业务。公司的主要产品有硫酸钾复合肥、尿基复合肥等等，公司是磷复肥行业龙头企业,产品销量连续多年排名全国前二。"&amp;CHAR(10)&amp;Basic_Fundamental_Information_Constructure(F9)&amp;CHAR(10)&amp;Basic_Fundamental_Information_Concatenate("常规复合肥 52.87亿 54.97% 42.74% 13.49%
新型复合肥 22.92亿 23.83% 27.94% 20.34%
磷肥 17.97亿 18.69% 26.24% 24.37%
其他业务 2.04亿 2.12% 2.84% 23.28%")</f>
        <v>公司的主营业务为磷复肥、新型肥料的研发、生产和销售，以及现代农业产业解决方案提供业务。公司的主要产品有硫酸钾复合肥、尿基复合肥等等，公司是磷复肥行业龙头企业,产品销量连续多年排名全国前二。
市值147.93303亿, 利润12.07亿; PE12.96; 平均PE14.46; 平均PEG1.51, PB1.5; ROIC12.7067%; ROE14.29%; 股利率2.5445%; 毛利16.11%; 净利8.96%; 上一年度营收增-5.38%, 利润增-7.79%; 当季营收增-24.51%, 利润增-15.91%; 过往5年营收增9.6%, 利润增10.6%
Income profile:
常规复合肥 52.87亿 54.97% 42.74% 13.49%
新型复合肥 22.92亿 23.83% 27.94% 20.34%
磷肥 17.97亿 18.69% 26.24% 24.37%
其他业务 2.04亿 2.12% 2.84% 23.28%</v>
      </c>
      <c r="D9" t="s">
        <v>353</v>
      </c>
      <c r="E9" t="s">
        <v>354</v>
      </c>
      <c r="F9">
        <v>11.79</v>
      </c>
      <c r="G9">
        <v>0.6</v>
      </c>
      <c r="H9" t="s">
        <v>1679</v>
      </c>
      <c r="I9">
        <v>14793303000</v>
      </c>
      <c r="J9">
        <v>12.96</v>
      </c>
      <c r="K9">
        <v>1.5</v>
      </c>
      <c r="L9" t="s">
        <v>1594</v>
      </c>
      <c r="M9" t="s">
        <v>1213</v>
      </c>
      <c r="N9" t="s">
        <v>1478</v>
      </c>
      <c r="O9" t="s">
        <v>1214</v>
      </c>
      <c r="P9">
        <v>-24.52</v>
      </c>
      <c r="Q9" t="s">
        <v>1215</v>
      </c>
      <c r="R9">
        <v>343921550</v>
      </c>
      <c r="S9" s="4">
        <v>-0.1583</v>
      </c>
      <c r="T9" t="s">
        <v>1112</v>
      </c>
      <c r="U9">
        <v>1142782240</v>
      </c>
      <c r="V9">
        <v>1254733050</v>
      </c>
      <c r="W9">
        <v>1.63</v>
      </c>
      <c r="X9">
        <v>0.2</v>
      </c>
      <c r="Y9">
        <v>10.27</v>
      </c>
      <c r="Z9" t="s">
        <v>649</v>
      </c>
      <c r="AA9" t="s">
        <v>1680</v>
      </c>
      <c r="AB9" t="s">
        <v>1681</v>
      </c>
      <c r="AC9" t="s">
        <v>1682</v>
      </c>
      <c r="AD9" t="s">
        <v>5</v>
      </c>
      <c r="AE9">
        <v>12976718</v>
      </c>
      <c r="AF9" t="s">
        <v>1216</v>
      </c>
      <c r="AG9" t="s">
        <v>1683</v>
      </c>
      <c r="AH9" t="s">
        <v>1217</v>
      </c>
      <c r="AI9" t="s">
        <v>1253</v>
      </c>
      <c r="AJ9" t="s">
        <v>1218</v>
      </c>
      <c r="AK9" t="s">
        <v>5</v>
      </c>
      <c r="AL9" t="s">
        <v>1219</v>
      </c>
      <c r="AM9" t="s">
        <v>5</v>
      </c>
      <c r="AN9" t="s">
        <v>1684</v>
      </c>
      <c r="AO9" t="s">
        <v>50</v>
      </c>
      <c r="AP9" t="s">
        <v>216</v>
      </c>
      <c r="AQ9" t="s">
        <v>197</v>
      </c>
      <c r="AR9" t="s">
        <v>5</v>
      </c>
      <c r="AS9" t="s">
        <v>257</v>
      </c>
      <c r="AT9" t="s">
        <v>729</v>
      </c>
      <c r="AU9" t="s">
        <v>1685</v>
      </c>
      <c r="AV9" t="s">
        <v>1423</v>
      </c>
      <c r="AW9" t="s">
        <v>216</v>
      </c>
      <c r="AX9" t="s">
        <v>897</v>
      </c>
      <c r="AY9" t="s">
        <v>658</v>
      </c>
      <c r="AZ9" t="s">
        <v>659</v>
      </c>
      <c r="BA9" t="s">
        <v>356</v>
      </c>
      <c r="BB9" t="s">
        <v>357</v>
      </c>
      <c r="BC9" t="s">
        <v>715</v>
      </c>
      <c r="BD9" t="s">
        <v>108</v>
      </c>
      <c r="BE9" t="s">
        <v>301</v>
      </c>
      <c r="BF9" t="s">
        <v>358</v>
      </c>
      <c r="BG9" t="s">
        <v>359</v>
      </c>
      <c r="BH9" t="s">
        <v>1215</v>
      </c>
      <c r="BI9" t="s">
        <v>1221</v>
      </c>
      <c r="BJ9" t="s">
        <v>897</v>
      </c>
      <c r="BK9" t="s">
        <v>1112</v>
      </c>
      <c r="BL9" t="s">
        <v>188</v>
      </c>
      <c r="BM9" t="s">
        <v>715</v>
      </c>
      <c r="BN9">
        <v>9.5500000000000007</v>
      </c>
      <c r="BO9">
        <v>14.13</v>
      </c>
      <c r="BP9">
        <v>14.44</v>
      </c>
      <c r="BQ9">
        <v>11.05</v>
      </c>
      <c r="BR9">
        <v>15.52</v>
      </c>
      <c r="BS9">
        <v>16.3</v>
      </c>
      <c r="BT9" t="s">
        <v>869</v>
      </c>
      <c r="BU9" t="s">
        <v>806</v>
      </c>
      <c r="BV9">
        <v>14.89</v>
      </c>
      <c r="BW9">
        <v>14.54</v>
      </c>
      <c r="BX9">
        <v>18.899999999999999</v>
      </c>
      <c r="BY9">
        <v>7.96</v>
      </c>
      <c r="BZ9">
        <v>8.48</v>
      </c>
      <c r="CA9">
        <v>10.44</v>
      </c>
      <c r="CB9">
        <v>-0.67</v>
      </c>
      <c r="CC9">
        <v>-3.36</v>
      </c>
      <c r="CD9" t="s">
        <v>1686</v>
      </c>
      <c r="CE9" t="s">
        <v>444</v>
      </c>
      <c r="CF9" s="8">
        <v>-0.24513354459031236</v>
      </c>
      <c r="CG9" s="9">
        <v>-0.15911601466992664</v>
      </c>
      <c r="CH9" s="8">
        <v>-5.3766097873449326E-2</v>
      </c>
      <c r="CI9" s="8">
        <v>0.35214361548423767</v>
      </c>
      <c r="CJ9" s="8">
        <v>0.17211243510246277</v>
      </c>
      <c r="CK9" s="8">
        <v>7.9554058611392975E-2</v>
      </c>
      <c r="CL9" s="8">
        <v>-7.0182435214519501E-2</v>
      </c>
      <c r="CM9" s="9">
        <v>-7.792198657989502E-2</v>
      </c>
      <c r="CN9" s="9">
        <v>8.3609215915203094E-2</v>
      </c>
      <c r="CO9" s="9">
        <v>0.28101801872253418</v>
      </c>
      <c r="CP9" s="9">
        <v>0.44854071736335754</v>
      </c>
      <c r="CQ9" s="9">
        <v>-0.20512820780277252</v>
      </c>
      <c r="CR9">
        <v>14.463063060127098</v>
      </c>
      <c r="CS9">
        <v>1.5070036631572201</v>
      </c>
      <c r="CT9">
        <v>2.5445292620865141</v>
      </c>
      <c r="CU9" s="8">
        <v>9.5972315222024915E-2</v>
      </c>
      <c r="CV9" s="9">
        <v>0.10602355152368545</v>
      </c>
      <c r="CW9">
        <v>0.06</v>
      </c>
      <c r="CX9">
        <v>9.0550134540958656</v>
      </c>
      <c r="CY9">
        <v>1247960928.7480981</v>
      </c>
      <c r="CZ9">
        <v>9.5972315222024915E-2</v>
      </c>
      <c r="DA9">
        <v>2.9441769088936978</v>
      </c>
      <c r="DB9">
        <v>3838187496.7717872</v>
      </c>
      <c r="DC9">
        <v>9.1173699460923671E-2</v>
      </c>
      <c r="DD9">
        <v>1.4395653223340259</v>
      </c>
      <c r="DE9">
        <v>7849802176.1724281</v>
      </c>
      <c r="DF9">
        <v>8.4455637395381922E-2</v>
      </c>
      <c r="DG9">
        <v>0.85788628872399952</v>
      </c>
      <c r="DH9">
        <v>13172262045.133991</v>
      </c>
      <c r="DI9">
        <v>7.677785217761994E-2</v>
      </c>
      <c r="DJ9">
        <v>0.43574969768752947</v>
      </c>
      <c r="DK9">
        <v>25933013975.613365</v>
      </c>
      <c r="DL9">
        <v>6.7180620655417439E-2</v>
      </c>
      <c r="DM9">
        <v>1207000000</v>
      </c>
      <c r="DN9">
        <v>9.5972315222024915E-2</v>
      </c>
      <c r="DO9">
        <v>11300303000</v>
      </c>
      <c r="DP9">
        <v>1884342000</v>
      </c>
      <c r="DQ9">
        <v>357</v>
      </c>
      <c r="DR9">
        <v>-0.34110585981233726</v>
      </c>
      <c r="DS9">
        <v>-0.26513956619361212</v>
      </c>
      <c r="DT9" s="10">
        <v>-0.15666666666666665</v>
      </c>
      <c r="DU9">
        <v>-7.0000000000000007E-2</v>
      </c>
      <c r="DV9">
        <v>-0.22666666666666666</v>
      </c>
      <c r="DW9">
        <v>-1.0336000000000001</v>
      </c>
      <c r="DX9">
        <v>0.3875910798122062</v>
      </c>
      <c r="DY9">
        <v>-1.0059670602816901</v>
      </c>
      <c r="DZ9">
        <v>2266</v>
      </c>
      <c r="EA9">
        <v>-1.0033210018475787</v>
      </c>
      <c r="EB9">
        <v>1</v>
      </c>
      <c r="EC9">
        <v>3.0147368796892695E-2</v>
      </c>
      <c r="ED9">
        <v>0.16975722445503447</v>
      </c>
      <c r="EE9" s="11">
        <v>1.05511</v>
      </c>
      <c r="EF9">
        <v>1.08081</v>
      </c>
      <c r="EG9">
        <v>21.177591079812206</v>
      </c>
      <c r="EH9" t="s">
        <v>880</v>
      </c>
      <c r="EI9">
        <v>0</v>
      </c>
      <c r="EJ9">
        <v>0</v>
      </c>
      <c r="EK9" s="13">
        <v>45470</v>
      </c>
      <c r="EL9">
        <v>0.17</v>
      </c>
      <c r="EM9">
        <v>-1.01</v>
      </c>
      <c r="EN9">
        <v>2.62</v>
      </c>
      <c r="EO9">
        <v>-0.33</v>
      </c>
      <c r="EP9">
        <v>-2.57</v>
      </c>
    </row>
    <row r="10" spans="1:146" ht="96" x14ac:dyDescent="0.25">
      <c r="A10" s="6"/>
      <c r="B10" s="6"/>
      <c r="C10" s="6" t="str">
        <f>""&amp;CHAR(10)&amp;Basic_Fundamental_Information_Constructure(F10)&amp;CHAR(10)&amp;Basic_Fundamental_Information_Concatenate("")</f>
        <v xml:space="preserve">
市值54.7232亿, 利润1.50亿; PE542.4; 平均PE16.59; 平均PEG1.89, PB.851; ROIC4.3367%; ROE5.8833%; 股利率0%; 毛利17.24%; 净利4.61%; 上一年度营收增-14.81%, 利润增-59.13%; 当季营收增-41.11%, 利润增-80.69%; 过往5年营收增8.8%, 利润增-8.95%
Income profile:
</v>
      </c>
      <c r="D10" t="s">
        <v>360</v>
      </c>
      <c r="E10" t="s">
        <v>361</v>
      </c>
      <c r="F10">
        <v>3.49</v>
      </c>
      <c r="G10">
        <v>0.28999999999999998</v>
      </c>
      <c r="H10" t="s">
        <v>1687</v>
      </c>
      <c r="I10">
        <v>5472320000</v>
      </c>
      <c r="J10">
        <v>542.4</v>
      </c>
      <c r="K10">
        <v>0.85099999999999998</v>
      </c>
      <c r="L10" t="s">
        <v>1594</v>
      </c>
      <c r="M10" t="s">
        <v>462</v>
      </c>
      <c r="N10" t="s">
        <v>710</v>
      </c>
      <c r="O10" t="s">
        <v>1222</v>
      </c>
      <c r="P10">
        <v>-41.1</v>
      </c>
      <c r="Q10" t="s">
        <v>1223</v>
      </c>
      <c r="R10">
        <v>33401139</v>
      </c>
      <c r="S10" s="4">
        <v>-0.80730000000000002</v>
      </c>
      <c r="T10" t="s">
        <v>145</v>
      </c>
      <c r="U10">
        <v>1568000000</v>
      </c>
      <c r="V10">
        <v>1568000000</v>
      </c>
      <c r="W10">
        <v>1.57</v>
      </c>
      <c r="X10">
        <v>0.13</v>
      </c>
      <c r="Y10">
        <v>2.59</v>
      </c>
      <c r="Z10" t="s">
        <v>1688</v>
      </c>
      <c r="AA10" t="s">
        <v>932</v>
      </c>
      <c r="AB10" t="s">
        <v>1689</v>
      </c>
      <c r="AC10" t="s">
        <v>129</v>
      </c>
      <c r="AD10" t="s">
        <v>5</v>
      </c>
      <c r="AE10">
        <v>-15722700</v>
      </c>
      <c r="AF10" t="s">
        <v>1224</v>
      </c>
      <c r="AG10" t="s">
        <v>1690</v>
      </c>
      <c r="AH10" t="s">
        <v>1225</v>
      </c>
      <c r="AI10" t="s">
        <v>1691</v>
      </c>
      <c r="AJ10" t="s">
        <v>1226</v>
      </c>
      <c r="AK10" t="s">
        <v>5</v>
      </c>
      <c r="AL10" t="s">
        <v>1227</v>
      </c>
      <c r="AM10" t="s">
        <v>5</v>
      </c>
      <c r="AN10" t="s">
        <v>683</v>
      </c>
      <c r="AO10" t="s">
        <v>5</v>
      </c>
      <c r="AP10" t="s">
        <v>1531</v>
      </c>
      <c r="AQ10" t="s">
        <v>677</v>
      </c>
      <c r="AR10" t="s">
        <v>5</v>
      </c>
      <c r="AS10" t="s">
        <v>1692</v>
      </c>
      <c r="AT10" t="s">
        <v>105</v>
      </c>
      <c r="AU10" t="s">
        <v>1693</v>
      </c>
      <c r="AV10" t="s">
        <v>1694</v>
      </c>
      <c r="AW10" t="s">
        <v>1695</v>
      </c>
      <c r="AX10" t="s">
        <v>898</v>
      </c>
      <c r="AY10" t="s">
        <v>660</v>
      </c>
      <c r="AZ10" t="s">
        <v>661</v>
      </c>
      <c r="BA10" t="s">
        <v>362</v>
      </c>
      <c r="BB10" t="s">
        <v>113</v>
      </c>
      <c r="BC10" t="s">
        <v>194</v>
      </c>
      <c r="BD10" t="s">
        <v>279</v>
      </c>
      <c r="BE10" t="s">
        <v>662</v>
      </c>
      <c r="BF10" t="s">
        <v>123</v>
      </c>
      <c r="BG10" t="s">
        <v>78</v>
      </c>
      <c r="BH10" t="s">
        <v>1223</v>
      </c>
      <c r="BI10" t="s">
        <v>692</v>
      </c>
      <c r="BJ10" t="s">
        <v>898</v>
      </c>
      <c r="BK10" t="s">
        <v>145</v>
      </c>
      <c r="BL10" t="s">
        <v>147</v>
      </c>
      <c r="BM10" t="s">
        <v>194</v>
      </c>
      <c r="BN10">
        <v>2.67</v>
      </c>
      <c r="BO10">
        <v>4.43</v>
      </c>
      <c r="BP10">
        <v>5.91</v>
      </c>
      <c r="BQ10">
        <v>3.7</v>
      </c>
      <c r="BR10">
        <v>6.05</v>
      </c>
      <c r="BS10">
        <v>7.9</v>
      </c>
      <c r="BT10" t="s">
        <v>865</v>
      </c>
      <c r="BU10" t="s">
        <v>804</v>
      </c>
      <c r="BV10">
        <v>14.59</v>
      </c>
      <c r="BW10">
        <v>17.739999999999998</v>
      </c>
      <c r="BX10">
        <v>19.39</v>
      </c>
      <c r="BY10">
        <v>2.2799999999999998</v>
      </c>
      <c r="BZ10">
        <v>4.8600000000000003</v>
      </c>
      <c r="CA10">
        <v>6.69</v>
      </c>
      <c r="CB10">
        <v>0.57999999999999996</v>
      </c>
      <c r="CC10">
        <v>-11.87</v>
      </c>
      <c r="CD10" t="s">
        <v>1696</v>
      </c>
      <c r="CE10" t="s">
        <v>251</v>
      </c>
      <c r="CF10" s="8">
        <v>-0.41106538637402834</v>
      </c>
      <c r="CG10" s="9">
        <v>-0.8069298323699422</v>
      </c>
      <c r="CH10" s="8">
        <v>-0.14812850952148438</v>
      </c>
      <c r="CI10" s="8">
        <v>0.11565233021974564</v>
      </c>
      <c r="CJ10" s="8">
        <v>0.20202921330928802</v>
      </c>
      <c r="CK10" s="8">
        <v>2.0156176760792732E-2</v>
      </c>
      <c r="CL10" s="8">
        <v>0.25017017126083374</v>
      </c>
      <c r="CM10" s="9">
        <v>-0.59128063917160034</v>
      </c>
      <c r="CN10" s="9">
        <v>-0.17713004350662231</v>
      </c>
      <c r="CO10" s="9">
        <v>0.1706036776304245</v>
      </c>
      <c r="CP10" s="9">
        <v>0.34628975391387939</v>
      </c>
      <c r="CQ10" s="9">
        <v>-0.19602273404598236</v>
      </c>
      <c r="CR10">
        <v>16.591167256189998</v>
      </c>
      <c r="CS10">
        <v>1.885876894212964</v>
      </c>
      <c r="CT10">
        <v>0</v>
      </c>
      <c r="CU10" s="8">
        <v>8.7975876405835152E-2</v>
      </c>
      <c r="CV10" s="9">
        <v>-8.9507997035980225E-2</v>
      </c>
      <c r="CW10">
        <v>0.06</v>
      </c>
      <c r="CX10">
        <v>19.624204723974177</v>
      </c>
      <c r="CY10">
        <v>153958850.43478799</v>
      </c>
      <c r="CZ10">
        <v>8.7975876405835152E-2</v>
      </c>
      <c r="DA10">
        <v>6.4240108284082886</v>
      </c>
      <c r="DB10">
        <v>470316766.37889612</v>
      </c>
      <c r="DC10">
        <v>8.3577082585543389E-2</v>
      </c>
      <c r="DD10">
        <v>3.1696449570138889</v>
      </c>
      <c r="DE10">
        <v>953204551.60579705</v>
      </c>
      <c r="DF10">
        <v>7.7418771237134934E-2</v>
      </c>
      <c r="DG10">
        <v>1.908345960581088</v>
      </c>
      <c r="DH10">
        <v>1583213978.1824536</v>
      </c>
      <c r="DI10">
        <v>7.0380701124668127E-2</v>
      </c>
      <c r="DJ10">
        <v>0.99141151379735082</v>
      </c>
      <c r="DK10">
        <v>3047493354.6288953</v>
      </c>
      <c r="DL10">
        <v>6.1583113484084601E-2</v>
      </c>
      <c r="DM10">
        <v>150000000</v>
      </c>
      <c r="DN10">
        <v>8.7975876405835152E-2</v>
      </c>
      <c r="DO10">
        <v>3021320000</v>
      </c>
      <c r="DP10">
        <v>2167830400</v>
      </c>
      <c r="DQ10">
        <v>365</v>
      </c>
      <c r="DR10">
        <v>-0.49904126277986349</v>
      </c>
      <c r="DS10">
        <v>-0.71742183533396198</v>
      </c>
      <c r="DT10" s="10">
        <v>-0.20666666666666669</v>
      </c>
      <c r="DU10">
        <v>-0.60666666666666669</v>
      </c>
      <c r="DV10">
        <v>-0.81333333333333335</v>
      </c>
      <c r="DW10">
        <v>-2.1187</v>
      </c>
      <c r="DX10">
        <v>0.31366424242424401</v>
      </c>
      <c r="DY10">
        <v>-2.0146789455757577</v>
      </c>
      <c r="DZ10">
        <v>3365</v>
      </c>
      <c r="EA10">
        <v>-2.0050126731956355</v>
      </c>
      <c r="EB10">
        <v>2</v>
      </c>
      <c r="EC10">
        <v>1.3013137755102041E-2</v>
      </c>
      <c r="ED10">
        <v>0.10522959183673469</v>
      </c>
      <c r="EE10" s="11">
        <v>-4.1340000000000003</v>
      </c>
      <c r="EF10">
        <v>-4.1116000000000001</v>
      </c>
      <c r="EG10">
        <v>19.123664242424244</v>
      </c>
      <c r="EH10" t="s">
        <v>1149</v>
      </c>
      <c r="EI10">
        <v>0</v>
      </c>
      <c r="EJ10">
        <v>0</v>
      </c>
      <c r="EK10" s="13">
        <v>45470</v>
      </c>
      <c r="EL10">
        <v>0.56000000000000005</v>
      </c>
      <c r="EM10">
        <v>-3.09</v>
      </c>
      <c r="EN10">
        <v>1.74</v>
      </c>
      <c r="EO10">
        <v>1.71</v>
      </c>
      <c r="EP10">
        <v>-2.2400000000000002</v>
      </c>
    </row>
    <row r="11" spans="1:146" ht="96" x14ac:dyDescent="0.25">
      <c r="A11" s="6"/>
      <c r="B11" s="6"/>
      <c r="C11" s="6" t="str">
        <f>""&amp;CHAR(10)&amp;Basic_Fundamental_Information_Constructure(F11)&amp;CHAR(10)&amp;Basic_Fundamental_Information_Concatenate("")</f>
        <v xml:space="preserve">
市值13.92亿, 利润5230.97万; PE27.47; 平均PE21.51; 平均PEG2.48, PB1.47; ROIC11.04%; ROE13.5767%; 股利率.5747%; 毛利33.8033%; 净利12.5433%; 上一年度营收增-4.42%, 利润增-44.21%; 当季营收增-6.88%, 利润增-9.75%; 过往5年营收增8.67%, 利润增13.07%
Income profile:
</v>
      </c>
      <c r="D11" t="s">
        <v>789</v>
      </c>
      <c r="E11" t="s">
        <v>790</v>
      </c>
      <c r="F11">
        <v>13.92</v>
      </c>
      <c r="G11">
        <v>1.61</v>
      </c>
      <c r="H11" t="s">
        <v>1697</v>
      </c>
      <c r="I11">
        <v>1392000000</v>
      </c>
      <c r="J11">
        <v>27.47</v>
      </c>
      <c r="K11">
        <v>1.47</v>
      </c>
      <c r="L11" t="s">
        <v>1594</v>
      </c>
      <c r="M11" t="s">
        <v>480</v>
      </c>
      <c r="N11" t="s">
        <v>1103</v>
      </c>
      <c r="O11" t="s">
        <v>57</v>
      </c>
      <c r="P11">
        <v>-6.78</v>
      </c>
      <c r="Q11" t="s">
        <v>297</v>
      </c>
      <c r="R11">
        <v>15214215</v>
      </c>
      <c r="S11" s="4">
        <v>-9.7500000000000003E-2</v>
      </c>
      <c r="T11" t="s">
        <v>1229</v>
      </c>
      <c r="U11">
        <v>36836500</v>
      </c>
      <c r="V11">
        <v>100000000</v>
      </c>
      <c r="W11">
        <v>1.38</v>
      </c>
      <c r="X11">
        <v>0.11</v>
      </c>
      <c r="Y11">
        <v>9.48</v>
      </c>
      <c r="Z11" t="s">
        <v>45</v>
      </c>
      <c r="AA11" t="s">
        <v>1698</v>
      </c>
      <c r="AB11" t="s">
        <v>1699</v>
      </c>
      <c r="AC11" t="s">
        <v>1700</v>
      </c>
      <c r="AD11" t="s">
        <v>5</v>
      </c>
      <c r="AE11">
        <v>-2956674</v>
      </c>
      <c r="AF11" t="s">
        <v>1230</v>
      </c>
      <c r="AG11">
        <v>5580.58</v>
      </c>
      <c r="AH11" t="s">
        <v>1231</v>
      </c>
      <c r="AI11" t="s">
        <v>148</v>
      </c>
      <c r="AJ11" t="s">
        <v>1232</v>
      </c>
      <c r="AK11" t="s">
        <v>5</v>
      </c>
      <c r="AL11" t="s">
        <v>1233</v>
      </c>
      <c r="AM11" t="s">
        <v>5</v>
      </c>
      <c r="AN11" t="s">
        <v>118</v>
      </c>
      <c r="AO11" t="s">
        <v>5</v>
      </c>
      <c r="AP11" t="s">
        <v>1701</v>
      </c>
      <c r="AQ11" t="s">
        <v>87</v>
      </c>
      <c r="AR11" t="s">
        <v>5</v>
      </c>
      <c r="AS11" t="s">
        <v>121</v>
      </c>
      <c r="AT11" t="s">
        <v>42</v>
      </c>
      <c r="AU11" t="s">
        <v>1702</v>
      </c>
      <c r="AV11" t="s">
        <v>1703</v>
      </c>
      <c r="AW11" t="s">
        <v>1704</v>
      </c>
      <c r="AX11" t="s">
        <v>854</v>
      </c>
      <c r="AY11" t="s">
        <v>267</v>
      </c>
      <c r="AZ11" t="s">
        <v>711</v>
      </c>
      <c r="BA11" t="s">
        <v>302</v>
      </c>
      <c r="BB11" t="s">
        <v>268</v>
      </c>
      <c r="BC11" t="s">
        <v>1234</v>
      </c>
      <c r="BD11" t="s">
        <v>791</v>
      </c>
      <c r="BE11" t="s">
        <v>792</v>
      </c>
      <c r="BF11" t="s">
        <v>793</v>
      </c>
      <c r="BG11" t="s">
        <v>794</v>
      </c>
      <c r="BH11" t="s">
        <v>297</v>
      </c>
      <c r="BI11" t="s">
        <v>280</v>
      </c>
      <c r="BJ11" t="s">
        <v>854</v>
      </c>
      <c r="BK11" t="s">
        <v>1229</v>
      </c>
      <c r="BL11" t="s">
        <v>1235</v>
      </c>
      <c r="BM11" t="s">
        <v>1234</v>
      </c>
      <c r="BN11">
        <v>2.72</v>
      </c>
      <c r="BO11">
        <v>11.8</v>
      </c>
      <c r="BP11">
        <v>18.600000000000001</v>
      </c>
      <c r="BQ11">
        <v>3.76</v>
      </c>
      <c r="BR11">
        <v>15.35</v>
      </c>
      <c r="BS11">
        <v>21.62</v>
      </c>
      <c r="BT11" t="s">
        <v>877</v>
      </c>
      <c r="BU11" t="s">
        <v>627</v>
      </c>
      <c r="BV11">
        <v>32.53</v>
      </c>
      <c r="BW11">
        <v>33.729999999999997</v>
      </c>
      <c r="BX11">
        <v>35.15</v>
      </c>
      <c r="BY11">
        <v>8.08</v>
      </c>
      <c r="BZ11">
        <v>14.55</v>
      </c>
      <c r="CA11">
        <v>15</v>
      </c>
      <c r="CB11">
        <v>-1.07</v>
      </c>
      <c r="CC11">
        <v>-14.5</v>
      </c>
      <c r="CD11" t="s">
        <v>1705</v>
      </c>
      <c r="CE11" t="s">
        <v>1706</v>
      </c>
      <c r="CF11" s="8">
        <v>-6.8750000000000006E-2</v>
      </c>
      <c r="CG11" s="9">
        <v>-9.7491650699680271E-2</v>
      </c>
      <c r="CH11" s="8">
        <v>-4.4164039194583893E-2</v>
      </c>
      <c r="CI11" s="8">
        <v>0.16544117033481598</v>
      </c>
      <c r="CJ11" s="8">
        <v>0.13333334028720856</v>
      </c>
      <c r="CK11" s="8">
        <v>2.1276595070958138E-2</v>
      </c>
      <c r="CL11" s="8">
        <v>0.15763546526432037</v>
      </c>
      <c r="CM11" s="9">
        <v>-0.44206139445304871</v>
      </c>
      <c r="CN11" s="9">
        <v>0.13622400164604187</v>
      </c>
      <c r="CO11" s="9">
        <v>0.21105761826038361</v>
      </c>
      <c r="CP11" s="9">
        <v>0.23465384542942047</v>
      </c>
      <c r="CQ11" s="9">
        <v>0.51339662075042725</v>
      </c>
      <c r="CR11">
        <v>21.505608916176019</v>
      </c>
      <c r="CS11">
        <v>2.4803334706426208</v>
      </c>
      <c r="CT11">
        <v>0.57471264367816099</v>
      </c>
      <c r="CU11" s="8">
        <v>8.6704506352543828E-2</v>
      </c>
      <c r="CV11" s="9">
        <v>0.13065413832664491</v>
      </c>
      <c r="CW11">
        <v>0.06</v>
      </c>
      <c r="CX11">
        <v>15.551712485658097</v>
      </c>
      <c r="CY11">
        <v>53627534.637688354</v>
      </c>
      <c r="CZ11">
        <v>8.6704506352543828E-2</v>
      </c>
      <c r="DA11">
        <v>5.096361761940555</v>
      </c>
      <c r="DB11">
        <v>163646153.65971109</v>
      </c>
      <c r="DC11">
        <v>8.2369281034916628E-2</v>
      </c>
      <c r="DD11">
        <v>2.5181927898781797</v>
      </c>
      <c r="DE11">
        <v>331189892.74857926</v>
      </c>
      <c r="DF11">
        <v>7.6299965590238564E-2</v>
      </c>
      <c r="DG11">
        <v>1.5185805276797</v>
      </c>
      <c r="DH11">
        <v>549197085.56667852</v>
      </c>
      <c r="DI11">
        <v>6.9363605082035068E-2</v>
      </c>
      <c r="DJ11">
        <v>0.79171665782416489</v>
      </c>
      <c r="DK11">
        <v>1053407164.9976903</v>
      </c>
      <c r="DL11">
        <v>6.0693154446780674E-2</v>
      </c>
      <c r="DM11">
        <v>52309700</v>
      </c>
      <c r="DN11">
        <v>8.6704506352543828E-2</v>
      </c>
      <c r="DO11">
        <v>834000000</v>
      </c>
      <c r="DP11">
        <v>562313870</v>
      </c>
      <c r="DQ11">
        <v>453</v>
      </c>
      <c r="DR11">
        <v>-0.15545450635254382</v>
      </c>
      <c r="DS11">
        <v>-0.22814578902632518</v>
      </c>
      <c r="DT11" s="10">
        <v>-0.19000000000000003</v>
      </c>
      <c r="DU11">
        <v>0.18333333333333326</v>
      </c>
      <c r="DV11">
        <v>-6.6666666666667651E-3</v>
      </c>
      <c r="DW11">
        <v>-2.145</v>
      </c>
      <c r="DX11">
        <v>0.30595269155980032</v>
      </c>
      <c r="DY11">
        <v>-2.012463140276171</v>
      </c>
      <c r="DZ11">
        <v>1732</v>
      </c>
      <c r="EA11">
        <v>-2.0082388430240519</v>
      </c>
      <c r="EB11">
        <v>2</v>
      </c>
      <c r="EC11">
        <v>3.1427999999999998E-2</v>
      </c>
      <c r="ED11">
        <v>0.365643</v>
      </c>
      <c r="EE11" s="11">
        <v>-2.0382099999999999</v>
      </c>
      <c r="EF11">
        <v>-2.0550099999999998</v>
      </c>
      <c r="EG11">
        <v>22.0859526915598</v>
      </c>
      <c r="EH11" t="s">
        <v>884</v>
      </c>
      <c r="EI11">
        <v>0</v>
      </c>
      <c r="EJ11">
        <v>0</v>
      </c>
      <c r="EK11" s="13">
        <v>45470</v>
      </c>
      <c r="EL11">
        <v>-0.71</v>
      </c>
      <c r="EM11">
        <v>-4.07</v>
      </c>
      <c r="EN11">
        <v>2.5299999999999998</v>
      </c>
      <c r="EO11">
        <v>3.78</v>
      </c>
      <c r="EP11">
        <v>-1.68</v>
      </c>
    </row>
    <row r="12" spans="1:146" ht="96" x14ac:dyDescent="0.25">
      <c r="A12" s="6"/>
      <c r="B12" s="6"/>
      <c r="C12" s="6" t="str">
        <f>""&amp;CHAR(10)&amp;Basic_Fundamental_Information_Constructure(F12)&amp;CHAR(10)&amp;Basic_Fundamental_Information_Concatenate("")</f>
        <v xml:space="preserve">
市值54.004616亿, 利润2.59亿; PE22.46; 平均PE56.07; 平均PEG7.35, PB2.17; ROIC4.7%; ROE6.0267%; 股利率2.4752%; 毛利18.03%; 净利5.17%; 上一年度营收增13.63%, 利润增114.05%; 当季营收增-17.38%, 利润增-26.57%; 过往5年营收增7.63%, 利润增110.43%
Income profile:
</v>
      </c>
      <c r="D12" t="s">
        <v>368</v>
      </c>
      <c r="E12" t="s">
        <v>369</v>
      </c>
      <c r="F12">
        <v>6.06</v>
      </c>
      <c r="G12">
        <v>0.5</v>
      </c>
      <c r="H12" t="s">
        <v>1707</v>
      </c>
      <c r="I12">
        <v>5400461600</v>
      </c>
      <c r="J12">
        <v>22.46</v>
      </c>
      <c r="K12">
        <v>2.17</v>
      </c>
      <c r="L12" t="s">
        <v>1594</v>
      </c>
      <c r="M12" t="s">
        <v>1185</v>
      </c>
      <c r="N12" t="s">
        <v>1708</v>
      </c>
      <c r="O12" t="s">
        <v>200</v>
      </c>
      <c r="P12">
        <v>-17.28</v>
      </c>
      <c r="Q12" t="s">
        <v>1238</v>
      </c>
      <c r="R12">
        <v>52758982</v>
      </c>
      <c r="S12" s="4">
        <v>-0.26569999999999999</v>
      </c>
      <c r="T12" t="s">
        <v>779</v>
      </c>
      <c r="U12">
        <v>710465780</v>
      </c>
      <c r="V12">
        <v>891165290</v>
      </c>
      <c r="W12">
        <v>2.2999999999999998</v>
      </c>
      <c r="X12">
        <v>0.12</v>
      </c>
      <c r="Y12">
        <v>8.06</v>
      </c>
      <c r="Z12" t="s">
        <v>477</v>
      </c>
      <c r="AA12" t="s">
        <v>788</v>
      </c>
      <c r="AB12" t="s">
        <v>1709</v>
      </c>
      <c r="AC12" t="s">
        <v>1710</v>
      </c>
      <c r="AD12" t="s">
        <v>5</v>
      </c>
      <c r="AE12">
        <v>17941732</v>
      </c>
      <c r="AF12" t="s">
        <v>1239</v>
      </c>
      <c r="AG12" t="s">
        <v>1711</v>
      </c>
      <c r="AH12" t="s">
        <v>1240</v>
      </c>
      <c r="AI12" t="s">
        <v>685</v>
      </c>
      <c r="AJ12" t="s">
        <v>1241</v>
      </c>
      <c r="AK12" t="s">
        <v>1712</v>
      </c>
      <c r="AL12" t="s">
        <v>1242</v>
      </c>
      <c r="AM12" t="s">
        <v>5</v>
      </c>
      <c r="AN12" t="s">
        <v>1713</v>
      </c>
      <c r="AO12" t="s">
        <v>1124</v>
      </c>
      <c r="AP12" t="s">
        <v>58</v>
      </c>
      <c r="AQ12" t="s">
        <v>381</v>
      </c>
      <c r="AR12" t="s">
        <v>5</v>
      </c>
      <c r="AS12" t="s">
        <v>1714</v>
      </c>
      <c r="AT12" t="s">
        <v>195</v>
      </c>
      <c r="AU12" t="s">
        <v>132</v>
      </c>
      <c r="AV12" t="s">
        <v>1715</v>
      </c>
      <c r="AW12" t="s">
        <v>118</v>
      </c>
      <c r="AX12" t="s">
        <v>900</v>
      </c>
      <c r="AY12" t="s">
        <v>668</v>
      </c>
      <c r="AZ12" t="s">
        <v>670</v>
      </c>
      <c r="BA12" t="s">
        <v>370</v>
      </c>
      <c r="BB12" t="s">
        <v>371</v>
      </c>
      <c r="BC12" t="s">
        <v>30</v>
      </c>
      <c r="BD12" t="s">
        <v>669</v>
      </c>
      <c r="BE12" t="s">
        <v>671</v>
      </c>
      <c r="BF12" t="s">
        <v>373</v>
      </c>
      <c r="BG12" t="s">
        <v>374</v>
      </c>
      <c r="BH12" t="s">
        <v>1238</v>
      </c>
      <c r="BI12" t="s">
        <v>1144</v>
      </c>
      <c r="BJ12" t="s">
        <v>900</v>
      </c>
      <c r="BK12" t="s">
        <v>779</v>
      </c>
      <c r="BL12" t="s">
        <v>1243</v>
      </c>
      <c r="BM12" t="s">
        <v>30</v>
      </c>
      <c r="BN12">
        <v>5.45</v>
      </c>
      <c r="BO12">
        <v>4.5999999999999996</v>
      </c>
      <c r="BP12">
        <v>4.05</v>
      </c>
      <c r="BQ12">
        <v>8.39</v>
      </c>
      <c r="BR12">
        <v>5.7</v>
      </c>
      <c r="BS12">
        <v>3.99</v>
      </c>
      <c r="BT12" t="s">
        <v>1244</v>
      </c>
      <c r="BU12" t="s">
        <v>806</v>
      </c>
      <c r="BV12">
        <v>22.97</v>
      </c>
      <c r="BW12">
        <v>15.23</v>
      </c>
      <c r="BX12">
        <v>15.89</v>
      </c>
      <c r="BY12">
        <v>8.01</v>
      </c>
      <c r="BZ12">
        <v>4.26</v>
      </c>
      <c r="CA12">
        <v>3.24</v>
      </c>
      <c r="CB12">
        <v>0.83</v>
      </c>
      <c r="CC12">
        <v>-4.72</v>
      </c>
      <c r="CD12" t="s">
        <v>1716</v>
      </c>
      <c r="CE12" t="s">
        <v>1717</v>
      </c>
      <c r="CF12" s="8">
        <v>-0.17380352644836272</v>
      </c>
      <c r="CG12" s="9">
        <v>-0.26567694451133034</v>
      </c>
      <c r="CH12" s="8">
        <v>0.13625216484069824</v>
      </c>
      <c r="CI12" s="8">
        <v>0.14889341592788696</v>
      </c>
      <c r="CJ12" s="8">
        <v>0.16831211745738983</v>
      </c>
      <c r="CK12" s="8">
        <v>-6.6695913672447205E-2</v>
      </c>
      <c r="CL12" s="8">
        <v>-5.2378871478140354E-3</v>
      </c>
      <c r="CM12" s="9">
        <v>1.1404958963394165</v>
      </c>
      <c r="CN12" s="9">
        <v>0.49778991937637329</v>
      </c>
      <c r="CO12" s="9">
        <v>4.3951954692602158E-2</v>
      </c>
      <c r="CP12" s="9">
        <v>1.5366309881210327</v>
      </c>
      <c r="CQ12" s="9">
        <v>2.3023879528045654</v>
      </c>
      <c r="CR12">
        <v>56.068419773987451</v>
      </c>
      <c r="CS12">
        <v>7.3479564655374796</v>
      </c>
      <c r="CT12">
        <v>2.4752475247524752</v>
      </c>
      <c r="CU12" s="8">
        <v>7.6304779481142754E-2</v>
      </c>
      <c r="CV12" s="9">
        <v>1.1042513422667981</v>
      </c>
      <c r="CW12">
        <v>0.06</v>
      </c>
      <c r="CX12">
        <v>22.041126925277112</v>
      </c>
      <c r="CY12">
        <v>262983903.6656754</v>
      </c>
      <c r="CZ12">
        <v>7.6304779481142754E-2</v>
      </c>
      <c r="DA12">
        <v>7.2869817347432448</v>
      </c>
      <c r="DB12">
        <v>795454388.52458394</v>
      </c>
      <c r="DC12">
        <v>7.2489540507085615E-2</v>
      </c>
      <c r="DD12">
        <v>3.6430680478882191</v>
      </c>
      <c r="DE12">
        <v>1591093420.1078238</v>
      </c>
      <c r="DF12">
        <v>6.714820594340562E-2</v>
      </c>
      <c r="DG12">
        <v>2.2259246220595528</v>
      </c>
      <c r="DH12">
        <v>2604069132.6900291</v>
      </c>
      <c r="DI12">
        <v>6.1043823584914204E-2</v>
      </c>
      <c r="DJ12">
        <v>1.1939241369038134</v>
      </c>
      <c r="DK12">
        <v>4854966426.118063</v>
      </c>
      <c r="DL12">
        <v>5.3413345636799926E-2</v>
      </c>
      <c r="DM12">
        <v>259000000</v>
      </c>
      <c r="DN12">
        <v>7.6304779481142754E-2</v>
      </c>
      <c r="DO12">
        <v>5796461600</v>
      </c>
      <c r="DP12">
        <v>-846422200</v>
      </c>
      <c r="DQ12">
        <v>680</v>
      </c>
      <c r="DR12">
        <v>-0.2501083059295055</v>
      </c>
      <c r="DS12">
        <v>-1.3699282867781284</v>
      </c>
      <c r="DT12" s="10">
        <v>-0.3066666666666667</v>
      </c>
      <c r="DU12">
        <v>1.0683333333333334</v>
      </c>
      <c r="DV12">
        <v>0.76166666666666671</v>
      </c>
      <c r="DW12">
        <v>-1.0471999999999999</v>
      </c>
      <c r="DX12">
        <v>0.25301072555205095</v>
      </c>
      <c r="DY12">
        <v>-1.0062781062460568</v>
      </c>
      <c r="DZ12">
        <v>393</v>
      </c>
      <c r="EA12">
        <v>-1.005795269503454</v>
      </c>
      <c r="EB12">
        <v>1</v>
      </c>
      <c r="EC12">
        <v>4.7313781711583486E-2</v>
      </c>
      <c r="ED12">
        <v>0.3557140337007515</v>
      </c>
      <c r="EE12" s="11">
        <v>1.05671</v>
      </c>
      <c r="EF12">
        <v>1.08941</v>
      </c>
      <c r="EG12">
        <v>12.133010725552051</v>
      </c>
      <c r="EH12" t="s">
        <v>880</v>
      </c>
      <c r="EI12">
        <v>0</v>
      </c>
      <c r="EJ12">
        <v>1</v>
      </c>
      <c r="EK12" s="13">
        <v>45470</v>
      </c>
      <c r="EL12">
        <v>0.98</v>
      </c>
      <c r="EM12">
        <v>-2.4300000000000002</v>
      </c>
      <c r="EN12">
        <v>-1.1599999999999999</v>
      </c>
      <c r="EO12">
        <v>2.86</v>
      </c>
      <c r="EP12">
        <v>-3.27</v>
      </c>
    </row>
    <row r="13" spans="1:146" ht="96" x14ac:dyDescent="0.25">
      <c r="A13" s="6"/>
      <c r="B13" s="6"/>
      <c r="C13" s="6" t="str">
        <f>""&amp;CHAR(10)&amp;Basic_Fundamental_Information_Constructure(F13)&amp;CHAR(10)&amp;Basic_Fundamental_Information_Concatenate("")</f>
        <v xml:space="preserve">
市值74.621318亿, 利润2.36亿; PE15.82; 平均PE27.97; 平均PEG40.7, PB1.77; ROIC6.01%; ROE9.75%; 股利率2.0353%; 毛利27.8267%; 净利6.4167%; 上一年度营收增-3.4%, 利润增-28.05%; 当季营收增35.74%, 利润增108.4%; 过往5年营收增.69%, 利润增.92%
Income profile:
</v>
      </c>
      <c r="D13" t="s">
        <v>375</v>
      </c>
      <c r="E13" t="s">
        <v>376</v>
      </c>
      <c r="F13">
        <v>7.37</v>
      </c>
      <c r="G13">
        <v>1.38</v>
      </c>
      <c r="H13" t="s">
        <v>1718</v>
      </c>
      <c r="I13">
        <v>7462131800</v>
      </c>
      <c r="J13">
        <v>15.82</v>
      </c>
      <c r="K13">
        <v>1.77</v>
      </c>
      <c r="L13" t="s">
        <v>1594</v>
      </c>
      <c r="M13" t="s">
        <v>1245</v>
      </c>
      <c r="N13" t="s">
        <v>639</v>
      </c>
      <c r="O13" t="s">
        <v>1086</v>
      </c>
      <c r="P13">
        <v>35.76</v>
      </c>
      <c r="Q13" t="s">
        <v>1246</v>
      </c>
      <c r="R13">
        <v>454314300</v>
      </c>
      <c r="S13" s="4">
        <v>1.08</v>
      </c>
      <c r="T13" t="s">
        <v>261</v>
      </c>
      <c r="U13">
        <v>794015820</v>
      </c>
      <c r="V13">
        <v>1012500930</v>
      </c>
      <c r="W13">
        <v>2.4500000000000002</v>
      </c>
      <c r="X13">
        <v>0.16</v>
      </c>
      <c r="Y13">
        <v>23.92</v>
      </c>
      <c r="Z13" t="s">
        <v>181</v>
      </c>
      <c r="AA13" t="s">
        <v>457</v>
      </c>
      <c r="AB13" t="s">
        <v>170</v>
      </c>
      <c r="AC13" t="s">
        <v>132</v>
      </c>
      <c r="AD13" t="s">
        <v>5</v>
      </c>
      <c r="AE13">
        <v>24275071</v>
      </c>
      <c r="AF13" t="s">
        <v>1247</v>
      </c>
      <c r="AG13" t="s">
        <v>1719</v>
      </c>
      <c r="AH13" t="s">
        <v>1248</v>
      </c>
      <c r="AI13" t="s">
        <v>750</v>
      </c>
      <c r="AJ13" t="s">
        <v>1249</v>
      </c>
      <c r="AK13" t="s">
        <v>1720</v>
      </c>
      <c r="AL13" t="s">
        <v>1250</v>
      </c>
      <c r="AM13" t="s">
        <v>5</v>
      </c>
      <c r="AN13" t="s">
        <v>171</v>
      </c>
      <c r="AO13" t="s">
        <v>1070</v>
      </c>
      <c r="AP13" t="s">
        <v>170</v>
      </c>
      <c r="AQ13" t="s">
        <v>739</v>
      </c>
      <c r="AR13" t="s">
        <v>1721</v>
      </c>
      <c r="AS13" t="s">
        <v>1722</v>
      </c>
      <c r="AT13" t="s">
        <v>23</v>
      </c>
      <c r="AU13" t="s">
        <v>805</v>
      </c>
      <c r="AV13" t="s">
        <v>1723</v>
      </c>
      <c r="AW13" t="s">
        <v>29</v>
      </c>
      <c r="AX13" t="s">
        <v>901</v>
      </c>
      <c r="AY13" t="s">
        <v>652</v>
      </c>
      <c r="AZ13" t="s">
        <v>675</v>
      </c>
      <c r="BA13" t="s">
        <v>379</v>
      </c>
      <c r="BB13" t="s">
        <v>380</v>
      </c>
      <c r="BC13" t="s">
        <v>179</v>
      </c>
      <c r="BD13" t="s">
        <v>404</v>
      </c>
      <c r="BE13" t="s">
        <v>263</v>
      </c>
      <c r="BF13" t="s">
        <v>261</v>
      </c>
      <c r="BG13" t="s">
        <v>381</v>
      </c>
      <c r="BH13" t="s">
        <v>1246</v>
      </c>
      <c r="BI13" t="s">
        <v>1114</v>
      </c>
      <c r="BJ13" t="s">
        <v>901</v>
      </c>
      <c r="BK13" t="s">
        <v>261</v>
      </c>
      <c r="BL13" t="s">
        <v>47</v>
      </c>
      <c r="BM13" t="s">
        <v>179</v>
      </c>
      <c r="BN13">
        <v>4.08</v>
      </c>
      <c r="BO13">
        <v>6.57</v>
      </c>
      <c r="BP13">
        <v>7.38</v>
      </c>
      <c r="BQ13">
        <v>7.24</v>
      </c>
      <c r="BR13">
        <v>10.19</v>
      </c>
      <c r="BS13">
        <v>11.82</v>
      </c>
      <c r="BT13" t="s">
        <v>873</v>
      </c>
      <c r="BU13" t="s">
        <v>627</v>
      </c>
      <c r="BV13">
        <v>29.45</v>
      </c>
      <c r="BW13">
        <v>27.11</v>
      </c>
      <c r="BX13">
        <v>26.92</v>
      </c>
      <c r="BY13">
        <v>4.97</v>
      </c>
      <c r="BZ13">
        <v>7.67</v>
      </c>
      <c r="CA13">
        <v>6.61</v>
      </c>
      <c r="CB13">
        <v>-1.07</v>
      </c>
      <c r="CC13">
        <v>-9.57</v>
      </c>
      <c r="CD13" t="s">
        <v>1724</v>
      </c>
      <c r="CE13" t="s">
        <v>78</v>
      </c>
      <c r="CF13" s="8">
        <v>0.3573551263001486</v>
      </c>
      <c r="CG13" s="9">
        <v>1.0840105504587154</v>
      </c>
      <c r="CH13" s="8">
        <v>-3.3997640013694763E-2</v>
      </c>
      <c r="CI13" s="8">
        <v>-5.2432846277952194E-2</v>
      </c>
      <c r="CJ13" s="8">
        <v>8.9566722512245178E-2</v>
      </c>
      <c r="CK13" s="8">
        <v>1.7989205196499825E-2</v>
      </c>
      <c r="CL13" s="8">
        <v>1.3233442790806293E-2</v>
      </c>
      <c r="CM13" s="9">
        <v>-0.28048780560493469</v>
      </c>
      <c r="CN13" s="9">
        <v>7.5409837067127228E-2</v>
      </c>
      <c r="CO13" s="9">
        <v>0.82634729146957397</v>
      </c>
      <c r="CP13" s="9">
        <v>-0.29237288236618042</v>
      </c>
      <c r="CQ13" s="9">
        <v>-0.28267475962638855</v>
      </c>
      <c r="CR13">
        <v>27.965515802623358</v>
      </c>
      <c r="CS13">
        <v>40.696193207854272</v>
      </c>
      <c r="CT13">
        <v>2.0352781546811398</v>
      </c>
      <c r="CU13" s="8">
        <v>6.8717768415808679E-3</v>
      </c>
      <c r="CV13" s="9">
        <v>9.2443361878395084E-3</v>
      </c>
      <c r="CW13">
        <v>0.06</v>
      </c>
      <c r="CX13">
        <v>41.995230469834439</v>
      </c>
      <c r="CY13">
        <v>224171452.20246518</v>
      </c>
      <c r="CZ13">
        <v>6.8717768415808679E-3</v>
      </c>
      <c r="DA13">
        <v>14.733946268488209</v>
      </c>
      <c r="DB13">
        <v>638941640.51176131</v>
      </c>
      <c r="DC13">
        <v>6.5281879995018246E-3</v>
      </c>
      <c r="DD13">
        <v>7.9505358138801068</v>
      </c>
      <c r="DE13">
        <v>1184087716.9013863</v>
      </c>
      <c r="DF13">
        <v>6.0471636205911639E-3</v>
      </c>
      <c r="DG13">
        <v>5.2719966718853266</v>
      </c>
      <c r="DH13">
        <v>1785686218.3172431</v>
      </c>
      <c r="DI13">
        <v>5.4974214732646945E-3</v>
      </c>
      <c r="DJ13">
        <v>3.3359395169767758</v>
      </c>
      <c r="DK13">
        <v>2822033119.0331769</v>
      </c>
      <c r="DL13">
        <v>4.810243789106607E-3</v>
      </c>
      <c r="DM13">
        <v>236000000</v>
      </c>
      <c r="DN13">
        <v>6.8717768415808679E-3</v>
      </c>
      <c r="DO13">
        <v>9414131800</v>
      </c>
      <c r="DP13">
        <v>-1079118600</v>
      </c>
      <c r="DQ13">
        <v>725</v>
      </c>
      <c r="DR13">
        <v>0.35048334945856774</v>
      </c>
      <c r="DS13">
        <v>1.0747662142708758</v>
      </c>
      <c r="DT13" s="10">
        <v>-0.44</v>
      </c>
      <c r="DU13">
        <v>0.48333333333333339</v>
      </c>
      <c r="DV13">
        <v>4.333333333333339E-2</v>
      </c>
      <c r="DW13">
        <v>-2.0956999999999999</v>
      </c>
      <c r="DX13">
        <v>0.36635000000000018</v>
      </c>
      <c r="DY13">
        <v>-2.0130486950000002</v>
      </c>
      <c r="DZ13">
        <v>1601</v>
      </c>
      <c r="EA13">
        <v>-2.0089604443747553</v>
      </c>
      <c r="EB13">
        <v>2</v>
      </c>
      <c r="EC13">
        <v>4.7402623126479505E-2</v>
      </c>
      <c r="ED13">
        <v>0.34765400166101573</v>
      </c>
      <c r="EE13" s="11">
        <v>2.0335999999999999</v>
      </c>
      <c r="EF13">
        <v>2.0101</v>
      </c>
      <c r="EG13">
        <v>23.13635</v>
      </c>
      <c r="EH13" t="s">
        <v>881</v>
      </c>
      <c r="EI13">
        <v>0</v>
      </c>
      <c r="EJ13">
        <v>0</v>
      </c>
      <c r="EK13" s="13">
        <v>45470</v>
      </c>
      <c r="EL13">
        <v>0.13</v>
      </c>
      <c r="EM13">
        <v>-3.65</v>
      </c>
      <c r="EN13">
        <v>1.08</v>
      </c>
      <c r="EO13">
        <v>2.68</v>
      </c>
      <c r="EP13">
        <v>-2.35</v>
      </c>
    </row>
    <row r="14" spans="1:146" ht="96" x14ac:dyDescent="0.25">
      <c r="A14" s="6"/>
      <c r="B14" s="6"/>
      <c r="C14" s="6" t="str">
        <f>""&amp;CHAR(10)&amp;Basic_Fundamental_Information_Constructure(F14)&amp;CHAR(10)&amp;Basic_Fundamental_Information_Concatenate("")</f>
        <v xml:space="preserve">
市值45.239067亿, 利润-4.65亿; PE; 平均PE32.37; 平均PEG2.95, PB.71; ROIC-.1533%; ROE4.8333%; 股利率.4082%; 毛利24.3067%; 净利2.53%; 上一年度营收增-18.09%, 利润增-166.71%; 当季营收增-25.09%, 利润增-93.96%; 过往5年营收增10.96%, 利润增80.2%
Income profile:
</v>
      </c>
      <c r="D14" t="s">
        <v>390</v>
      </c>
      <c r="E14" t="s">
        <v>391</v>
      </c>
      <c r="F14">
        <v>4.9000000000000004</v>
      </c>
      <c r="G14">
        <v>1.66</v>
      </c>
      <c r="H14" t="s">
        <v>1725</v>
      </c>
      <c r="I14">
        <v>4523906700</v>
      </c>
      <c r="K14">
        <v>0.71</v>
      </c>
      <c r="L14" t="s">
        <v>1594</v>
      </c>
      <c r="M14" t="s">
        <v>1252</v>
      </c>
      <c r="N14" t="s">
        <v>1726</v>
      </c>
      <c r="O14" t="s">
        <v>1253</v>
      </c>
      <c r="P14">
        <v>-25.12</v>
      </c>
      <c r="Q14" t="s">
        <v>1254</v>
      </c>
      <c r="R14">
        <v>2691632</v>
      </c>
      <c r="S14" s="4">
        <v>-0.93959999999999999</v>
      </c>
      <c r="T14" t="s">
        <v>1255</v>
      </c>
      <c r="U14">
        <v>919320150</v>
      </c>
      <c r="V14">
        <v>923246260</v>
      </c>
      <c r="W14">
        <v>2.0699999999999998</v>
      </c>
      <c r="X14">
        <v>0.11</v>
      </c>
      <c r="Y14">
        <v>1.65</v>
      </c>
      <c r="Z14" t="s">
        <v>1425</v>
      </c>
      <c r="AA14" t="s">
        <v>1727</v>
      </c>
      <c r="AB14" t="s">
        <v>1728</v>
      </c>
      <c r="AC14" t="s">
        <v>215</v>
      </c>
      <c r="AD14" t="s">
        <v>5</v>
      </c>
      <c r="AE14">
        <v>40362054</v>
      </c>
      <c r="AF14" t="s">
        <v>1256</v>
      </c>
      <c r="AG14" t="s">
        <v>1729</v>
      </c>
      <c r="AH14" t="s">
        <v>1257</v>
      </c>
      <c r="AI14" t="s">
        <v>746</v>
      </c>
      <c r="AJ14" t="s">
        <v>1258</v>
      </c>
      <c r="AK14" t="s">
        <v>5</v>
      </c>
      <c r="AL14" t="s">
        <v>1259</v>
      </c>
      <c r="AM14" t="s">
        <v>5</v>
      </c>
      <c r="AN14" t="s">
        <v>1730</v>
      </c>
      <c r="AO14" t="s">
        <v>359</v>
      </c>
      <c r="AP14" t="s">
        <v>1731</v>
      </c>
      <c r="AQ14" t="s">
        <v>1091</v>
      </c>
      <c r="AR14" t="s">
        <v>5</v>
      </c>
      <c r="AS14" t="s">
        <v>1732</v>
      </c>
      <c r="AT14" t="s">
        <v>1733</v>
      </c>
      <c r="AU14" t="s">
        <v>1734</v>
      </c>
      <c r="AV14" t="s">
        <v>1735</v>
      </c>
      <c r="AW14" t="s">
        <v>365</v>
      </c>
      <c r="AX14" t="s">
        <v>902</v>
      </c>
      <c r="AY14" t="s">
        <v>676</v>
      </c>
      <c r="AZ14" t="s">
        <v>678</v>
      </c>
      <c r="BA14" t="s">
        <v>393</v>
      </c>
      <c r="BB14" t="s">
        <v>249</v>
      </c>
      <c r="BC14" t="s">
        <v>903</v>
      </c>
      <c r="BD14" t="s">
        <v>198</v>
      </c>
      <c r="BE14" t="s">
        <v>53</v>
      </c>
      <c r="BF14" t="s">
        <v>52</v>
      </c>
      <c r="BG14" t="s">
        <v>394</v>
      </c>
      <c r="BH14" t="s">
        <v>1254</v>
      </c>
      <c r="BI14" t="s">
        <v>1260</v>
      </c>
      <c r="BJ14" t="s">
        <v>902</v>
      </c>
      <c r="BK14" t="s">
        <v>1255</v>
      </c>
      <c r="BL14" t="s">
        <v>1261</v>
      </c>
      <c r="BM14" t="s">
        <v>903</v>
      </c>
      <c r="BN14">
        <v>-12.99</v>
      </c>
      <c r="BO14">
        <v>8.06</v>
      </c>
      <c r="BP14">
        <v>4.47</v>
      </c>
      <c r="BQ14">
        <v>-1.0900000000000001</v>
      </c>
      <c r="BR14">
        <v>10.51</v>
      </c>
      <c r="BS14">
        <v>5.08</v>
      </c>
      <c r="BT14" t="s">
        <v>933</v>
      </c>
      <c r="BU14" t="s">
        <v>627</v>
      </c>
      <c r="BV14">
        <v>19.86</v>
      </c>
      <c r="BW14">
        <v>26.15</v>
      </c>
      <c r="BX14">
        <v>26.91</v>
      </c>
      <c r="BY14">
        <v>-6.67</v>
      </c>
      <c r="BZ14">
        <v>9.36</v>
      </c>
      <c r="CA14">
        <v>4.9000000000000004</v>
      </c>
      <c r="CB14">
        <v>2.08</v>
      </c>
      <c r="CC14">
        <v>-19.28</v>
      </c>
      <c r="CD14" t="s">
        <v>1736</v>
      </c>
      <c r="CE14" t="s">
        <v>123</v>
      </c>
      <c r="CF14" s="8">
        <v>-0.25089422585590188</v>
      </c>
      <c r="CG14" s="9">
        <v>-0.93963109827211888</v>
      </c>
      <c r="CH14" s="8">
        <v>-0.18092817068099976</v>
      </c>
      <c r="CI14" s="8">
        <v>0.19401854276657104</v>
      </c>
      <c r="CJ14" s="8">
        <v>0.37745705246925354</v>
      </c>
      <c r="CK14" s="8">
        <v>0.11624652892351151</v>
      </c>
      <c r="CL14" s="8">
        <v>4.1322346776723862E-2</v>
      </c>
      <c r="CM14" s="9">
        <v>-1.6671448945999146</v>
      </c>
      <c r="CN14" s="9">
        <v>1.2126984596252441</v>
      </c>
      <c r="CO14" s="9">
        <v>1.8636363744735718</v>
      </c>
      <c r="CP14" s="9">
        <v>-0.2361111044883728</v>
      </c>
      <c r="CQ14" s="9">
        <v>2.8368077278137207</v>
      </c>
      <c r="CR14">
        <v>32.370220929167573</v>
      </c>
      <c r="CS14">
        <v>2.9528606350608828</v>
      </c>
      <c r="CT14">
        <v>0.40816326530612246</v>
      </c>
      <c r="CU14" s="8">
        <v>0.10962326005101204</v>
      </c>
      <c r="CV14" s="9">
        <v>0.80197731256484983</v>
      </c>
      <c r="CW14">
        <v>0.06</v>
      </c>
      <c r="CX14" t="e">
        <v>#VALUE!</v>
      </c>
      <c r="CY14" t="s">
        <v>643</v>
      </c>
      <c r="CZ14">
        <v>0.10962326005101204</v>
      </c>
      <c r="DA14" t="e">
        <v>#VALUE!</v>
      </c>
      <c r="DB14" t="s">
        <v>643</v>
      </c>
      <c r="DC14">
        <v>0.10414209704846143</v>
      </c>
      <c r="DD14" t="e">
        <v>#VALUE!</v>
      </c>
      <c r="DE14" t="s">
        <v>643</v>
      </c>
      <c r="DF14">
        <v>9.6468468844890604E-2</v>
      </c>
      <c r="DG14" t="e">
        <v>#VALUE!</v>
      </c>
      <c r="DH14" t="s">
        <v>643</v>
      </c>
      <c r="DI14">
        <v>8.7698608040809645E-2</v>
      </c>
      <c r="DJ14" t="e">
        <v>#VALUE!</v>
      </c>
      <c r="DK14" t="s">
        <v>643</v>
      </c>
      <c r="DL14">
        <v>7.6736282035708425E-2</v>
      </c>
      <c r="DM14">
        <v>-465000000.00000006</v>
      </c>
      <c r="DN14">
        <v>0.10962326005101204</v>
      </c>
      <c r="DO14">
        <v>4927906700</v>
      </c>
      <c r="DP14">
        <v>1894837200</v>
      </c>
      <c r="DQ14">
        <v>759</v>
      </c>
      <c r="DR14">
        <v>-0.3605174859069139</v>
      </c>
      <c r="DS14">
        <v>-1.7416084108369687</v>
      </c>
      <c r="DT14" s="10">
        <v>-0.32333333333333331</v>
      </c>
      <c r="DU14">
        <v>-0.21283333333333335</v>
      </c>
      <c r="DV14">
        <v>-0.53616666666666668</v>
      </c>
      <c r="DW14">
        <v>-3.0370952380952381</v>
      </c>
      <c r="DX14">
        <v>0.31851413427561709</v>
      </c>
      <c r="DY14">
        <v>-3.0051382147905099</v>
      </c>
      <c r="DZ14">
        <v>2931</v>
      </c>
      <c r="EA14">
        <v>-3.0021910313167361</v>
      </c>
      <c r="EB14">
        <v>3</v>
      </c>
      <c r="EC14">
        <v>4.2458336089008362E-2</v>
      </c>
      <c r="ED14">
        <v>0.30652710144745132</v>
      </c>
      <c r="EE14" s="11">
        <v>-4.0082000000000004</v>
      </c>
      <c r="EF14">
        <v>-4.0337100000000001</v>
      </c>
      <c r="EG14">
        <v>18.138514134275617</v>
      </c>
      <c r="EH14" t="s">
        <v>1148</v>
      </c>
      <c r="EI14">
        <v>0</v>
      </c>
      <c r="EJ14">
        <v>0</v>
      </c>
      <c r="EK14" s="13">
        <v>45470</v>
      </c>
      <c r="EL14">
        <v>-1.41</v>
      </c>
      <c r="EM14">
        <v>-2.86</v>
      </c>
      <c r="EN14">
        <v>0.63</v>
      </c>
      <c r="EO14">
        <v>4.8099999999999996</v>
      </c>
      <c r="EP14">
        <v>-4.1900000000000004</v>
      </c>
    </row>
    <row r="15" spans="1:146" ht="96" x14ac:dyDescent="0.25">
      <c r="A15" s="6"/>
      <c r="B15" s="6"/>
      <c r="C15" s="6" t="str">
        <f>""&amp;CHAR(10)&amp;Basic_Fundamental_Information_Constructure(F15)&amp;CHAR(10)&amp;Basic_Fundamental_Information_Concatenate("")</f>
        <v xml:space="preserve">
市值62.434104亿, 利润6.04亿; PE16.56; 平均PE7.51; 平均PEG.43, PB.827; ROIC15.7733%; ROE21.0433%; 股利率0%; 毛利29.1067%; 净利15.8833%; 上一年度营收增-22.54%, 利润增-66.69%; 当季营收增-43.04%, 利润增-82.6%; 过往5年营收增17.39%, 利润增25.64%
Income profile:
</v>
      </c>
      <c r="D15" t="s">
        <v>395</v>
      </c>
      <c r="E15" t="s">
        <v>396</v>
      </c>
      <c r="F15">
        <v>7.8</v>
      </c>
      <c r="G15">
        <v>-0.13</v>
      </c>
      <c r="H15" t="s">
        <v>1737</v>
      </c>
      <c r="I15">
        <v>6243410400</v>
      </c>
      <c r="J15">
        <v>16.559999999999999</v>
      </c>
      <c r="K15">
        <v>0.82699999999999996</v>
      </c>
      <c r="L15" t="s">
        <v>1594</v>
      </c>
      <c r="M15" t="s">
        <v>1262</v>
      </c>
      <c r="N15" t="s">
        <v>1738</v>
      </c>
      <c r="O15" t="s">
        <v>1100</v>
      </c>
      <c r="P15">
        <v>-43.05</v>
      </c>
      <c r="Q15" t="s">
        <v>1263</v>
      </c>
      <c r="R15">
        <v>47841792</v>
      </c>
      <c r="S15" s="4">
        <v>-0.82589999999999997</v>
      </c>
      <c r="T15" t="s">
        <v>847</v>
      </c>
      <c r="U15">
        <v>799150350</v>
      </c>
      <c r="V15">
        <v>800437230</v>
      </c>
      <c r="W15">
        <v>1.69</v>
      </c>
      <c r="X15">
        <v>0.09</v>
      </c>
      <c r="Y15">
        <v>5.01</v>
      </c>
      <c r="Z15" t="s">
        <v>1364</v>
      </c>
      <c r="AA15" t="s">
        <v>1739</v>
      </c>
      <c r="AB15" t="s">
        <v>1740</v>
      </c>
      <c r="AC15" t="s">
        <v>39</v>
      </c>
      <c r="AD15" t="s">
        <v>5</v>
      </c>
      <c r="AE15">
        <v>4793631</v>
      </c>
      <c r="AF15" t="s">
        <v>1264</v>
      </c>
      <c r="AG15" t="s">
        <v>1741</v>
      </c>
      <c r="AH15" t="s">
        <v>1265</v>
      </c>
      <c r="AI15" t="s">
        <v>472</v>
      </c>
      <c r="AJ15" t="s">
        <v>1266</v>
      </c>
      <c r="AK15" t="s">
        <v>5</v>
      </c>
      <c r="AL15" t="s">
        <v>1267</v>
      </c>
      <c r="AM15" t="s">
        <v>5</v>
      </c>
      <c r="AN15" t="s">
        <v>1742</v>
      </c>
      <c r="AO15" t="s">
        <v>404</v>
      </c>
      <c r="AP15" t="s">
        <v>498</v>
      </c>
      <c r="AQ15" t="s">
        <v>460</v>
      </c>
      <c r="AR15" t="s">
        <v>1743</v>
      </c>
      <c r="AS15" t="s">
        <v>1744</v>
      </c>
      <c r="AT15" t="s">
        <v>1745</v>
      </c>
      <c r="AU15" t="s">
        <v>1746</v>
      </c>
      <c r="AV15" t="s">
        <v>1747</v>
      </c>
      <c r="AW15" t="s">
        <v>127</v>
      </c>
      <c r="AX15" t="s">
        <v>904</v>
      </c>
      <c r="AY15" t="s">
        <v>679</v>
      </c>
      <c r="AZ15" t="s">
        <v>682</v>
      </c>
      <c r="BA15" t="s">
        <v>397</v>
      </c>
      <c r="BB15" t="s">
        <v>398</v>
      </c>
      <c r="BC15" t="s">
        <v>591</v>
      </c>
      <c r="BD15" t="s">
        <v>680</v>
      </c>
      <c r="BE15" t="s">
        <v>683</v>
      </c>
      <c r="BF15" t="s">
        <v>86</v>
      </c>
      <c r="BG15" t="s">
        <v>305</v>
      </c>
      <c r="BH15" t="s">
        <v>1263</v>
      </c>
      <c r="BI15" t="s">
        <v>1143</v>
      </c>
      <c r="BJ15" t="s">
        <v>904</v>
      </c>
      <c r="BK15" t="s">
        <v>847</v>
      </c>
      <c r="BL15" t="s">
        <v>255</v>
      </c>
      <c r="BM15" t="s">
        <v>591</v>
      </c>
      <c r="BN15">
        <v>6.72</v>
      </c>
      <c r="BO15">
        <v>23.63</v>
      </c>
      <c r="BP15">
        <v>16.97</v>
      </c>
      <c r="BQ15">
        <v>7.69</v>
      </c>
      <c r="BR15">
        <v>31.32</v>
      </c>
      <c r="BS15">
        <v>24.12</v>
      </c>
      <c r="BT15" t="s">
        <v>865</v>
      </c>
      <c r="BU15" t="s">
        <v>627</v>
      </c>
      <c r="BV15">
        <v>23.34</v>
      </c>
      <c r="BW15">
        <v>31.98</v>
      </c>
      <c r="BX15">
        <v>32</v>
      </c>
      <c r="BY15">
        <v>9.77</v>
      </c>
      <c r="BZ15">
        <v>19.98</v>
      </c>
      <c r="CA15">
        <v>17.899999999999999</v>
      </c>
      <c r="CB15">
        <v>-2.74</v>
      </c>
      <c r="CC15">
        <v>-15.31</v>
      </c>
      <c r="CD15" t="s">
        <v>1748</v>
      </c>
      <c r="CE15" t="s">
        <v>36</v>
      </c>
      <c r="CF15" s="8">
        <v>-0.43038493038493036</v>
      </c>
      <c r="CG15" s="9">
        <v>-0.82602984727272732</v>
      </c>
      <c r="CH15" s="8">
        <v>-0.22543415427207947</v>
      </c>
      <c r="CI15" s="8">
        <v>0.5608254075050354</v>
      </c>
      <c r="CJ15" s="8">
        <v>0.30690282583236694</v>
      </c>
      <c r="CK15" s="8">
        <v>0.19332371652126312</v>
      </c>
      <c r="CL15" s="8">
        <v>3.4020345658063889E-2</v>
      </c>
      <c r="CM15" s="9">
        <v>-0.6668505072593689</v>
      </c>
      <c r="CN15" s="9">
        <v>0.69123131036758423</v>
      </c>
      <c r="CO15" s="9">
        <v>0.75163400173187256</v>
      </c>
      <c r="CP15" s="9">
        <v>0.96784567832946777</v>
      </c>
      <c r="CQ15" s="9">
        <v>-0.46193772554397583</v>
      </c>
      <c r="CR15">
        <v>7.5071066933867741</v>
      </c>
      <c r="CS15">
        <v>0.43162243796266786</v>
      </c>
      <c r="CT15">
        <v>0</v>
      </c>
      <c r="CU15" s="8">
        <v>0.17392762824892999</v>
      </c>
      <c r="CV15" s="9">
        <v>0.25638455152511597</v>
      </c>
      <c r="CW15">
        <v>0.06</v>
      </c>
      <c r="CX15">
        <v>5.2299598909296074</v>
      </c>
      <c r="CY15">
        <v>668917252.32297516</v>
      </c>
      <c r="CZ15">
        <v>0.17392762824892999</v>
      </c>
      <c r="DA15">
        <v>1.5929571877966129</v>
      </c>
      <c r="DB15">
        <v>2196173523.5577927</v>
      </c>
      <c r="DC15">
        <v>0.16523124683648349</v>
      </c>
      <c r="DD15">
        <v>0.71170738183068394</v>
      </c>
      <c r="DE15">
        <v>4915517935.1958389</v>
      </c>
      <c r="DF15">
        <v>0.15305631285905838</v>
      </c>
      <c r="DG15">
        <v>0.3815831362026863</v>
      </c>
      <c r="DH15">
        <v>9168147300.2563248</v>
      </c>
      <c r="DI15">
        <v>0.139142102599144</v>
      </c>
      <c r="DJ15">
        <v>0.15160216699376577</v>
      </c>
      <c r="DK15">
        <v>23076255896.420418</v>
      </c>
      <c r="DL15">
        <v>0.12174933977425098</v>
      </c>
      <c r="DM15">
        <v>604000000</v>
      </c>
      <c r="DN15">
        <v>0.17392762824892999</v>
      </c>
      <c r="DO15">
        <v>3498410400</v>
      </c>
      <c r="DP15">
        <v>1309030700</v>
      </c>
      <c r="DQ15">
        <v>766</v>
      </c>
      <c r="DR15">
        <v>-0.60431255863386035</v>
      </c>
      <c r="DS15">
        <v>-1.0824143987978432</v>
      </c>
      <c r="DT15" s="10">
        <v>-0.20666666666666669</v>
      </c>
      <c r="DU15">
        <v>-7.333333333333332E-2</v>
      </c>
      <c r="DV15">
        <v>-0.28000000000000003</v>
      </c>
      <c r="DW15">
        <v>-8.1789679947746574</v>
      </c>
      <c r="DX15">
        <v>0.37503953488372144</v>
      </c>
      <c r="DY15">
        <v>-8.029536794616682</v>
      </c>
      <c r="DZ15">
        <v>2388</v>
      </c>
      <c r="EA15">
        <v>-8.0157336898134268</v>
      </c>
      <c r="EB15">
        <v>8</v>
      </c>
      <c r="EC15">
        <v>2.6598088147399144E-2</v>
      </c>
      <c r="ED15">
        <v>0.16116191896771218</v>
      </c>
      <c r="EE15" s="11">
        <v>-2.0253999999999999</v>
      </c>
      <c r="EF15">
        <v>-2.00251</v>
      </c>
      <c r="EG15">
        <v>21.165039534883721</v>
      </c>
      <c r="EH15" t="s">
        <v>884</v>
      </c>
      <c r="EI15">
        <v>0</v>
      </c>
      <c r="EJ15">
        <v>0</v>
      </c>
      <c r="EK15" s="13">
        <v>45470</v>
      </c>
      <c r="EL15">
        <v>-0.12</v>
      </c>
      <c r="EM15">
        <v>-3.73</v>
      </c>
      <c r="EN15">
        <v>1.25</v>
      </c>
      <c r="EO15">
        <v>1.73</v>
      </c>
      <c r="EP15">
        <v>-2.79</v>
      </c>
    </row>
    <row r="16" spans="1:146" ht="96" x14ac:dyDescent="0.25">
      <c r="A16" s="6"/>
      <c r="B16" s="6"/>
      <c r="C16" s="6" t="str">
        <f>""&amp;CHAR(10)&amp;Basic_Fundamental_Information_Constructure(F16)&amp;CHAR(10)&amp;Basic_Fundamental_Information_Concatenate("")</f>
        <v xml:space="preserve">
市值128.238032亿, 利润4.14亿; PE34.88; 平均PE27.44; 平均PEG.35, PB1.39; ROIC8.1433%; ROE11.1533%; 股利率1.3274%; 毛利18.63%; 净利9.4067%; 上一年度营收增-23.1%, 利润增-61.13%; 当季营收增-16.19%, 利润增-30.99%; 过往5年营收增78.72%, 利润增164.25%
Income profile:
</v>
      </c>
      <c r="D16" t="s">
        <v>401</v>
      </c>
      <c r="E16" t="s">
        <v>402</v>
      </c>
      <c r="F16">
        <v>6.78</v>
      </c>
      <c r="G16">
        <v>0.44</v>
      </c>
      <c r="H16" t="s">
        <v>1749</v>
      </c>
      <c r="I16">
        <v>12823803200</v>
      </c>
      <c r="J16">
        <v>34.880000000000003</v>
      </c>
      <c r="K16">
        <v>1.39</v>
      </c>
      <c r="L16" t="s">
        <v>1594</v>
      </c>
      <c r="M16" t="s">
        <v>1268</v>
      </c>
      <c r="N16" t="s">
        <v>1750</v>
      </c>
      <c r="O16" t="s">
        <v>1269</v>
      </c>
      <c r="P16">
        <v>-16.22</v>
      </c>
      <c r="Q16" t="s">
        <v>1270</v>
      </c>
      <c r="R16">
        <v>103508333</v>
      </c>
      <c r="S16" s="4">
        <v>-0.31090000000000001</v>
      </c>
      <c r="T16" t="s">
        <v>126</v>
      </c>
      <c r="U16">
        <v>1369015100</v>
      </c>
      <c r="V16">
        <v>1891416400</v>
      </c>
      <c r="W16">
        <v>1.9</v>
      </c>
      <c r="X16">
        <v>0.1</v>
      </c>
      <c r="Y16">
        <v>6.22</v>
      </c>
      <c r="Z16" t="s">
        <v>1751</v>
      </c>
      <c r="AA16" t="s">
        <v>935</v>
      </c>
      <c r="AB16" t="s">
        <v>1752</v>
      </c>
      <c r="AC16" t="s">
        <v>1753</v>
      </c>
      <c r="AD16" t="s">
        <v>5</v>
      </c>
      <c r="AE16">
        <v>19153682</v>
      </c>
      <c r="AF16" t="s">
        <v>1271</v>
      </c>
      <c r="AG16" t="s">
        <v>1754</v>
      </c>
      <c r="AH16" t="s">
        <v>1272</v>
      </c>
      <c r="AI16" t="s">
        <v>1755</v>
      </c>
      <c r="AJ16" t="s">
        <v>1273</v>
      </c>
      <c r="AK16" t="s">
        <v>5</v>
      </c>
      <c r="AL16" t="s">
        <v>1274</v>
      </c>
      <c r="AM16" t="s">
        <v>5</v>
      </c>
      <c r="AN16" t="s">
        <v>615</v>
      </c>
      <c r="AO16" t="s">
        <v>1756</v>
      </c>
      <c r="AP16" t="s">
        <v>701</v>
      </c>
      <c r="AQ16" t="s">
        <v>814</v>
      </c>
      <c r="AR16" t="s">
        <v>1757</v>
      </c>
      <c r="AS16" t="s">
        <v>1344</v>
      </c>
      <c r="AT16" t="s">
        <v>1758</v>
      </c>
      <c r="AU16" t="s">
        <v>1385</v>
      </c>
      <c r="AV16" t="s">
        <v>924</v>
      </c>
      <c r="AW16" t="s">
        <v>978</v>
      </c>
      <c r="AX16" t="s">
        <v>905</v>
      </c>
      <c r="AY16" t="s">
        <v>807</v>
      </c>
      <c r="AZ16" t="s">
        <v>686</v>
      </c>
      <c r="BA16" t="s">
        <v>382</v>
      </c>
      <c r="BB16" t="s">
        <v>405</v>
      </c>
      <c r="BC16" t="s">
        <v>851</v>
      </c>
      <c r="BD16" t="s">
        <v>478</v>
      </c>
      <c r="BE16" t="s">
        <v>403</v>
      </c>
      <c r="BF16" t="s">
        <v>406</v>
      </c>
      <c r="BG16" t="s">
        <v>407</v>
      </c>
      <c r="BH16" t="s">
        <v>1270</v>
      </c>
      <c r="BI16" t="s">
        <v>1275</v>
      </c>
      <c r="BJ16" t="s">
        <v>905</v>
      </c>
      <c r="BK16" t="s">
        <v>126</v>
      </c>
      <c r="BL16" t="s">
        <v>145</v>
      </c>
      <c r="BM16" t="s">
        <v>851</v>
      </c>
      <c r="BN16">
        <v>2.98</v>
      </c>
      <c r="BO16">
        <v>10.42</v>
      </c>
      <c r="BP16">
        <v>11.03</v>
      </c>
      <c r="BQ16">
        <v>3.51</v>
      </c>
      <c r="BR16">
        <v>12.54</v>
      </c>
      <c r="BS16">
        <v>17.41</v>
      </c>
      <c r="BT16" t="s">
        <v>965</v>
      </c>
      <c r="BU16" t="s">
        <v>803</v>
      </c>
      <c r="BV16">
        <v>13.14</v>
      </c>
      <c r="BW16">
        <v>20.87</v>
      </c>
      <c r="BX16">
        <v>21.88</v>
      </c>
      <c r="BY16">
        <v>5.41</v>
      </c>
      <c r="BZ16">
        <v>10.62</v>
      </c>
      <c r="CA16">
        <v>12.19</v>
      </c>
      <c r="CB16">
        <v>0.74</v>
      </c>
      <c r="CC16">
        <v>-12.85</v>
      </c>
      <c r="CD16" t="s">
        <v>1759</v>
      </c>
      <c r="CE16" t="s">
        <v>533</v>
      </c>
      <c r="CF16" s="8">
        <v>-0.16190476190476191</v>
      </c>
      <c r="CG16" s="9">
        <v>-0.30994444666666665</v>
      </c>
      <c r="CH16" s="8">
        <v>-0.23096875846385956</v>
      </c>
      <c r="CI16" s="8">
        <v>0.50721806287765503</v>
      </c>
      <c r="CJ16" s="8">
        <v>0.28378370404243469</v>
      </c>
      <c r="CK16" s="8">
        <v>1.714884877204895</v>
      </c>
      <c r="CL16" s="8">
        <v>1.6610879898071289</v>
      </c>
      <c r="CM16" s="9">
        <v>-0.61126762628555298</v>
      </c>
      <c r="CN16" s="9">
        <v>0.34810125827789307</v>
      </c>
      <c r="CO16" s="9">
        <v>0.18086697161197662</v>
      </c>
      <c r="CP16" s="9">
        <v>6.9084463119506836</v>
      </c>
      <c r="CQ16" s="9">
        <v>1.3862698078155518</v>
      </c>
      <c r="CR16">
        <v>27.444360310346035</v>
      </c>
      <c r="CS16">
        <v>0.34863210547267115</v>
      </c>
      <c r="CT16">
        <v>1.3274336283185841</v>
      </c>
      <c r="CU16" s="8">
        <v>0.78720117509365084</v>
      </c>
      <c r="CV16" s="9">
        <v>1.6424833446741105</v>
      </c>
      <c r="CW16">
        <v>0.06</v>
      </c>
      <c r="CX16">
        <v>16.533626330146475</v>
      </c>
      <c r="CY16">
        <v>698020081.59318042</v>
      </c>
      <c r="CZ16">
        <v>0.78720117509365084</v>
      </c>
      <c r="DA16">
        <v>3.1495120680119304</v>
      </c>
      <c r="DB16">
        <v>3664314646.4540815</v>
      </c>
      <c r="DC16">
        <v>0.74784111633896821</v>
      </c>
      <c r="DD16">
        <v>0.66861669527131395</v>
      </c>
      <c r="DE16">
        <v>17260716463.738506</v>
      </c>
      <c r="DF16">
        <v>0.69273703408241272</v>
      </c>
      <c r="DG16">
        <v>0.13382810968053646</v>
      </c>
      <c r="DH16">
        <v>86236017437.213028</v>
      </c>
      <c r="DI16">
        <v>0.62976094007492067</v>
      </c>
      <c r="DJ16">
        <v>4.3611132056897576E-3</v>
      </c>
      <c r="DK16">
        <v>2646297551951.4624</v>
      </c>
      <c r="DL16">
        <v>0.55104082256555553</v>
      </c>
      <c r="DM16">
        <v>413999999.99999994</v>
      </c>
      <c r="DN16">
        <v>0.78720117509365084</v>
      </c>
      <c r="DO16">
        <v>11540803200</v>
      </c>
      <c r="DP16">
        <v>834010900</v>
      </c>
      <c r="DQ16">
        <v>819</v>
      </c>
      <c r="DR16">
        <v>-0.94910593699841272</v>
      </c>
      <c r="DS16">
        <v>-1.952427791340777</v>
      </c>
      <c r="DT16" s="10">
        <v>0.10999999999999995</v>
      </c>
      <c r="DU16">
        <v>0.37500000000000006</v>
      </c>
      <c r="DV16">
        <v>0.48499999999999999</v>
      </c>
      <c r="DW16">
        <v>-2.1284999999999998</v>
      </c>
      <c r="DX16">
        <v>0.27196971080669768</v>
      </c>
      <c r="DY16">
        <v>-2.0118181078386606</v>
      </c>
      <c r="DZ16">
        <v>731</v>
      </c>
      <c r="EA16">
        <v>-2.0101274939775919</v>
      </c>
      <c r="EB16">
        <v>2</v>
      </c>
      <c r="EC16">
        <v>3.1946482012104788E-2</v>
      </c>
      <c r="ED16">
        <v>0.34735873073745155</v>
      </c>
      <c r="EE16" s="11">
        <v>1.0095099999999999</v>
      </c>
      <c r="EF16">
        <v>1.0396099999999999</v>
      </c>
      <c r="EG16">
        <v>18.091969710806698</v>
      </c>
      <c r="EH16" t="s">
        <v>880</v>
      </c>
      <c r="EI16">
        <v>0</v>
      </c>
      <c r="EJ16">
        <v>1</v>
      </c>
      <c r="EK16" s="13">
        <v>45470</v>
      </c>
      <c r="EL16">
        <v>-0.14000000000000001</v>
      </c>
      <c r="EM16">
        <v>-3.02</v>
      </c>
      <c r="EN16">
        <v>1.04</v>
      </c>
      <c r="EO16">
        <v>2.2000000000000002</v>
      </c>
      <c r="EP16">
        <v>-3.01</v>
      </c>
    </row>
    <row r="17" spans="1:146" ht="84" x14ac:dyDescent="0.25">
      <c r="A17" s="6"/>
      <c r="B17" s="6"/>
      <c r="C17" s="6" t="str">
        <f>""&amp;CHAR(10)&amp;Basic_Fundamental_Information_Constructure(F17)&amp;CHAR(10)&amp;Basic_Fundamental_Information_Concatenate("")</f>
        <v xml:space="preserve">
市值29.556461亿, 利润7311.39万; PE; 平均PE12.07; 平均PEG2.45, PB.651; ROIC4.7767%; ROE5.32%; 股利率4.3956%; 毛利16.4233%; 净利4.9433%; 上一年度营收增-14.84%, 利润增-72.09%; 当季营收增-15.85%, 利润增-91.26%; 过往5年营收增4.93%, 利润增-14.06%
Income profile:
</v>
      </c>
      <c r="D17" t="s">
        <v>412</v>
      </c>
      <c r="E17" t="s">
        <v>413</v>
      </c>
      <c r="F17">
        <v>4.55</v>
      </c>
      <c r="G17">
        <v>1.1100000000000001</v>
      </c>
      <c r="H17" t="s">
        <v>1452</v>
      </c>
      <c r="I17">
        <v>2955646100</v>
      </c>
      <c r="K17">
        <v>0.65100000000000002</v>
      </c>
      <c r="L17" t="s">
        <v>1594</v>
      </c>
      <c r="M17" t="s">
        <v>1276</v>
      </c>
      <c r="N17" t="s">
        <v>1760</v>
      </c>
      <c r="O17" t="s">
        <v>1147</v>
      </c>
      <c r="P17">
        <v>-15.84</v>
      </c>
      <c r="Q17" t="s">
        <v>1277</v>
      </c>
      <c r="R17">
        <v>7903610</v>
      </c>
      <c r="S17" s="4">
        <v>-0.91259999999999997</v>
      </c>
      <c r="T17" t="s">
        <v>1278</v>
      </c>
      <c r="U17">
        <v>464120810</v>
      </c>
      <c r="V17">
        <v>649592550</v>
      </c>
      <c r="W17">
        <v>1.89</v>
      </c>
      <c r="X17">
        <v>0.1</v>
      </c>
      <c r="Y17">
        <v>0.92</v>
      </c>
      <c r="Z17" t="s">
        <v>812</v>
      </c>
      <c r="AA17" t="s">
        <v>809</v>
      </c>
      <c r="AB17" t="s">
        <v>1761</v>
      </c>
      <c r="AC17" t="s">
        <v>1762</v>
      </c>
      <c r="AD17" t="s">
        <v>5</v>
      </c>
      <c r="AE17">
        <v>17335290</v>
      </c>
      <c r="AF17" t="s">
        <v>1280</v>
      </c>
      <c r="AG17" t="s">
        <v>1763</v>
      </c>
      <c r="AH17" t="s">
        <v>1281</v>
      </c>
      <c r="AI17" t="s">
        <v>687</v>
      </c>
      <c r="AJ17" t="s">
        <v>1282</v>
      </c>
      <c r="AK17" t="s">
        <v>5</v>
      </c>
      <c r="AL17" t="s">
        <v>1283</v>
      </c>
      <c r="AM17" t="s">
        <v>5</v>
      </c>
      <c r="AN17" t="s">
        <v>691</v>
      </c>
      <c r="AO17" t="s">
        <v>1764</v>
      </c>
      <c r="AP17" t="s">
        <v>64</v>
      </c>
      <c r="AQ17" t="s">
        <v>296</v>
      </c>
      <c r="AR17" t="s">
        <v>5</v>
      </c>
      <c r="AS17" t="s">
        <v>934</v>
      </c>
      <c r="AT17" t="s">
        <v>1107</v>
      </c>
      <c r="AU17" t="s">
        <v>1126</v>
      </c>
      <c r="AV17" t="s">
        <v>1765</v>
      </c>
      <c r="AW17" t="s">
        <v>494</v>
      </c>
      <c r="AX17" t="s">
        <v>906</v>
      </c>
      <c r="AY17" t="s">
        <v>689</v>
      </c>
      <c r="AZ17" t="s">
        <v>414</v>
      </c>
      <c r="BA17" t="s">
        <v>415</v>
      </c>
      <c r="BB17" t="s">
        <v>137</v>
      </c>
      <c r="BC17" t="s">
        <v>299</v>
      </c>
      <c r="BD17" t="s">
        <v>222</v>
      </c>
      <c r="BE17" t="s">
        <v>25</v>
      </c>
      <c r="BF17" t="s">
        <v>416</v>
      </c>
      <c r="BG17" t="s">
        <v>116</v>
      </c>
      <c r="BH17" t="s">
        <v>1277</v>
      </c>
      <c r="BI17" t="s">
        <v>460</v>
      </c>
      <c r="BJ17" t="s">
        <v>906</v>
      </c>
      <c r="BK17" t="s">
        <v>1278</v>
      </c>
      <c r="BL17" t="s">
        <v>1284</v>
      </c>
      <c r="BM17" t="s">
        <v>299</v>
      </c>
      <c r="BN17">
        <v>4.04</v>
      </c>
      <c r="BO17">
        <v>5.14</v>
      </c>
      <c r="BP17">
        <v>5.15</v>
      </c>
      <c r="BQ17">
        <v>4.59</v>
      </c>
      <c r="BR17">
        <v>5.74</v>
      </c>
      <c r="BS17">
        <v>5.63</v>
      </c>
      <c r="BT17" t="s">
        <v>866</v>
      </c>
      <c r="BU17" t="s">
        <v>627</v>
      </c>
      <c r="BV17">
        <v>14.53</v>
      </c>
      <c r="BW17">
        <v>17.23</v>
      </c>
      <c r="BX17">
        <v>17.510000000000002</v>
      </c>
      <c r="BY17">
        <v>2.02</v>
      </c>
      <c r="BZ17">
        <v>6.21</v>
      </c>
      <c r="CA17">
        <v>6.6</v>
      </c>
      <c r="CB17">
        <v>0.66</v>
      </c>
      <c r="CC17">
        <v>-8.82</v>
      </c>
      <c r="CD17" t="s">
        <v>1766</v>
      </c>
      <c r="CE17" t="s">
        <v>1767</v>
      </c>
      <c r="CF17" s="8">
        <v>-0.15851272015655588</v>
      </c>
      <c r="CG17" s="9">
        <v>-0.91258238664957458</v>
      </c>
      <c r="CH17" s="8">
        <v>-0.14844483137130737</v>
      </c>
      <c r="CI17" s="8">
        <v>0.12722446024417877</v>
      </c>
      <c r="CJ17" s="8">
        <v>0.25166222453117371</v>
      </c>
      <c r="CK17" s="8">
        <v>-0.10926856100559235</v>
      </c>
      <c r="CL17" s="8">
        <v>0.12529157102108002</v>
      </c>
      <c r="CM17" s="9">
        <v>-0.7209392786026001</v>
      </c>
      <c r="CN17" s="9">
        <v>5.2208837121725082E-2</v>
      </c>
      <c r="CO17" s="9">
        <v>0.27692309021949768</v>
      </c>
      <c r="CP17" s="9">
        <v>-0.47439351677894592</v>
      </c>
      <c r="CQ17" s="9">
        <v>0.1630094051361084</v>
      </c>
      <c r="CR17">
        <v>12.071137983242824</v>
      </c>
      <c r="CS17">
        <v>2.448855754886107</v>
      </c>
      <c r="CT17">
        <v>4.395604395604396</v>
      </c>
      <c r="CU17" s="8">
        <v>4.9292972683906554E-2</v>
      </c>
      <c r="CV17" s="9">
        <v>-0.14063829258084298</v>
      </c>
      <c r="CW17">
        <v>0.06</v>
      </c>
      <c r="CX17">
        <v>25.984611513862411</v>
      </c>
      <c r="CY17">
        <v>72375378.750484794</v>
      </c>
      <c r="CZ17">
        <v>4.9292972683906554E-2</v>
      </c>
      <c r="DA17">
        <v>8.7907117547505731</v>
      </c>
      <c r="DB17">
        <v>213935589.34334108</v>
      </c>
      <c r="DC17">
        <v>4.6828324049711226E-2</v>
      </c>
      <c r="DD17">
        <v>4.5292115125341805</v>
      </c>
      <c r="DE17">
        <v>415225938.28870285</v>
      </c>
      <c r="DF17">
        <v>4.3377815961837769E-2</v>
      </c>
      <c r="DG17">
        <v>2.8603424085845237</v>
      </c>
      <c r="DH17">
        <v>657489849.59135056</v>
      </c>
      <c r="DI17">
        <v>3.9434378147125249E-2</v>
      </c>
      <c r="DJ17">
        <v>1.6444666285963407</v>
      </c>
      <c r="DK17">
        <v>1143620714.0337374</v>
      </c>
      <c r="DL17">
        <v>3.4505080878734586E-2</v>
      </c>
      <c r="DM17">
        <v>73113900</v>
      </c>
      <c r="DN17">
        <v>4.9292972683906554E-2</v>
      </c>
      <c r="DO17">
        <v>1880646100</v>
      </c>
      <c r="DP17">
        <v>863111000</v>
      </c>
      <c r="DQ17">
        <v>897</v>
      </c>
      <c r="DR17">
        <v>-0.20780569284046244</v>
      </c>
      <c r="DS17">
        <v>-0.77194409406873166</v>
      </c>
      <c r="DT17" s="10">
        <v>-0.3066666666666667</v>
      </c>
      <c r="DU17">
        <v>-0.65666666666666662</v>
      </c>
      <c r="DV17">
        <v>-0.96333333333333337</v>
      </c>
      <c r="DW17">
        <v>-2.0882000000000001</v>
      </c>
      <c r="DX17">
        <v>0.31026579125705123</v>
      </c>
      <c r="DY17">
        <v>-2.0088434427888719</v>
      </c>
      <c r="DZ17">
        <v>3527</v>
      </c>
      <c r="EA17">
        <v>-2.0027395635880203</v>
      </c>
      <c r="EB17">
        <v>2</v>
      </c>
      <c r="EC17">
        <v>1.0522749991513911E-2</v>
      </c>
      <c r="ED17">
        <v>0.10494855582934257</v>
      </c>
      <c r="EE17" s="11">
        <v>-2.1061000000000001</v>
      </c>
      <c r="EF17">
        <v>-2.0994999999999999</v>
      </c>
      <c r="EG17">
        <v>21.100265791257051</v>
      </c>
      <c r="EH17" t="s">
        <v>886</v>
      </c>
      <c r="EI17">
        <v>0</v>
      </c>
      <c r="EJ17">
        <v>0</v>
      </c>
      <c r="EK17" s="13">
        <v>45470</v>
      </c>
      <c r="EL17">
        <v>-1.54</v>
      </c>
      <c r="EM17">
        <v>-2.0099999999999998</v>
      </c>
      <c r="EN17">
        <v>2.2799999999999998</v>
      </c>
      <c r="EO17">
        <v>0.89</v>
      </c>
      <c r="EP17">
        <v>-0.66</v>
      </c>
    </row>
    <row r="18" spans="1:146" ht="84" x14ac:dyDescent="0.25">
      <c r="A18" s="7"/>
      <c r="B18" s="7"/>
      <c r="C18" s="6" t="str">
        <f>""&amp;CHAR(10)&amp;Basic_Fundamental_Information_Constructure(F18)&amp;CHAR(10)&amp;Basic_Fundamental_Information_Concatenate("")</f>
        <v xml:space="preserve">
市值45.01858亿, 利润-9.71亿; PE; 平均PE-4.37; 平均PEG-.42, PB2.2; ROIC0%; ROE-19.6433%; 股利率0%; 毛利10.2167%; 净利-9.1167%; 上一年度营收增-14.31%, 利润增1.12%; 当季营收增-27.71%, 利润增166.79%; 过往5年营收增-10.37%, 利润增-117.97%
Income profile:
</v>
      </c>
      <c r="D18" t="s">
        <v>424</v>
      </c>
      <c r="E18" t="s">
        <v>1095</v>
      </c>
      <c r="F18">
        <v>1.37</v>
      </c>
      <c r="G18">
        <v>0.74</v>
      </c>
      <c r="H18" t="s">
        <v>1768</v>
      </c>
      <c r="I18">
        <v>4501858000</v>
      </c>
      <c r="K18">
        <v>2.2000000000000002</v>
      </c>
      <c r="L18" t="s">
        <v>1594</v>
      </c>
      <c r="M18" t="s">
        <v>1287</v>
      </c>
      <c r="N18" t="s">
        <v>1228</v>
      </c>
      <c r="O18" t="s">
        <v>1288</v>
      </c>
      <c r="P18">
        <v>-27.73</v>
      </c>
      <c r="Q18" t="s">
        <v>1289</v>
      </c>
      <c r="R18">
        <v>26887276</v>
      </c>
      <c r="S18" s="4">
        <v>1.6679999999999999</v>
      </c>
      <c r="T18" t="s">
        <v>1290</v>
      </c>
      <c r="U18">
        <v>3285749400</v>
      </c>
      <c r="V18">
        <v>3286027700</v>
      </c>
      <c r="W18">
        <v>5.43</v>
      </c>
      <c r="X18">
        <v>0.17</v>
      </c>
      <c r="Y18">
        <v>1.45</v>
      </c>
      <c r="Z18" t="s">
        <v>1769</v>
      </c>
      <c r="AA18" t="s">
        <v>1770</v>
      </c>
      <c r="AB18" t="s">
        <v>1771</v>
      </c>
      <c r="AC18" t="s">
        <v>54</v>
      </c>
      <c r="AD18" t="s">
        <v>5</v>
      </c>
      <c r="AE18">
        <v>47365708</v>
      </c>
      <c r="AF18" t="s">
        <v>1291</v>
      </c>
      <c r="AG18" t="s">
        <v>1772</v>
      </c>
      <c r="AH18" t="s">
        <v>1292</v>
      </c>
      <c r="AI18" t="s">
        <v>1099</v>
      </c>
      <c r="AJ18" t="s">
        <v>1293</v>
      </c>
      <c r="AK18" t="s">
        <v>1773</v>
      </c>
      <c r="AL18" t="s">
        <v>1294</v>
      </c>
      <c r="AM18" t="s">
        <v>5</v>
      </c>
      <c r="AN18" t="s">
        <v>224</v>
      </c>
      <c r="AO18" t="s">
        <v>1774</v>
      </c>
      <c r="AP18" t="s">
        <v>1775</v>
      </c>
      <c r="AQ18" t="s">
        <v>1424</v>
      </c>
      <c r="AR18" t="s">
        <v>5</v>
      </c>
      <c r="AS18" t="s">
        <v>1776</v>
      </c>
      <c r="AT18" t="s">
        <v>1777</v>
      </c>
      <c r="AU18" t="s">
        <v>321</v>
      </c>
      <c r="AV18" t="s">
        <v>1778</v>
      </c>
      <c r="AW18" t="s">
        <v>1779</v>
      </c>
      <c r="AX18" t="s">
        <v>908</v>
      </c>
      <c r="AY18" t="s">
        <v>693</v>
      </c>
      <c r="AZ18" t="s">
        <v>694</v>
      </c>
      <c r="BA18" t="s">
        <v>425</v>
      </c>
      <c r="BB18" t="s">
        <v>695</v>
      </c>
      <c r="BC18" t="s">
        <v>909</v>
      </c>
      <c r="BD18" t="s">
        <v>645</v>
      </c>
      <c r="BE18" t="s">
        <v>696</v>
      </c>
      <c r="BF18" t="s">
        <v>697</v>
      </c>
      <c r="BG18" t="s">
        <v>366</v>
      </c>
      <c r="BH18" t="s">
        <v>1289</v>
      </c>
      <c r="BI18" t="s">
        <v>1102</v>
      </c>
      <c r="BJ18" t="s">
        <v>908</v>
      </c>
      <c r="BK18" t="s">
        <v>1290</v>
      </c>
      <c r="BL18" t="s">
        <v>1295</v>
      </c>
      <c r="BM18" t="s">
        <v>909</v>
      </c>
      <c r="BN18" t="s">
        <v>5</v>
      </c>
      <c r="BO18" t="s">
        <v>5</v>
      </c>
      <c r="BP18" t="s">
        <v>5</v>
      </c>
      <c r="BQ18">
        <v>-17.03</v>
      </c>
      <c r="BR18">
        <v>-28.41</v>
      </c>
      <c r="BS18">
        <v>-13.49</v>
      </c>
      <c r="BT18" t="s">
        <v>865</v>
      </c>
      <c r="BU18" t="s">
        <v>806</v>
      </c>
      <c r="BV18">
        <v>8.2799999999999994</v>
      </c>
      <c r="BW18">
        <v>6.67</v>
      </c>
      <c r="BX18">
        <v>15.7</v>
      </c>
      <c r="BY18">
        <v>-11.46</v>
      </c>
      <c r="BZ18">
        <v>-9.8800000000000008</v>
      </c>
      <c r="CA18">
        <v>-6.01</v>
      </c>
      <c r="CB18">
        <v>2.2400000000000002</v>
      </c>
      <c r="CC18">
        <v>-10.46</v>
      </c>
      <c r="CD18" t="s">
        <v>87</v>
      </c>
      <c r="CE18" t="s">
        <v>683</v>
      </c>
      <c r="CF18" s="8">
        <v>-0.27708179808400885</v>
      </c>
      <c r="CG18" s="9">
        <v>1.6678724529970366</v>
      </c>
      <c r="CH18" s="8">
        <v>-0.14312916994094849</v>
      </c>
      <c r="CI18" s="8">
        <v>7.0953220129013062E-2</v>
      </c>
      <c r="CJ18" s="8">
        <v>-4.1689006611704826E-3</v>
      </c>
      <c r="CK18" s="8">
        <v>-0.17278273403644562</v>
      </c>
      <c r="CL18" s="8">
        <v>-0.26939725875854492</v>
      </c>
      <c r="CM18" s="9">
        <v>1.1201629415154457E-2</v>
      </c>
      <c r="CN18" s="9">
        <v>-0.71080142259597778</v>
      </c>
      <c r="CO18" s="9">
        <v>0.81926947832107544</v>
      </c>
      <c r="CP18" s="9">
        <v>-2.7585799694061279</v>
      </c>
      <c r="CQ18" s="9">
        <v>-3.2593584060668945</v>
      </c>
      <c r="CR18">
        <v>-4.3749834791059277</v>
      </c>
      <c r="CS18">
        <v>-0.42186826107808106</v>
      </c>
      <c r="CT18">
        <v>0</v>
      </c>
      <c r="CU18" s="8">
        <v>-0.10370496865361929</v>
      </c>
      <c r="CV18" s="9">
        <v>-1.1796537380665542</v>
      </c>
      <c r="CW18">
        <v>0.06</v>
      </c>
      <c r="CX18" t="e">
        <v>#VALUE!</v>
      </c>
      <c r="CY18" t="s">
        <v>643</v>
      </c>
      <c r="CZ18">
        <v>-0.10370496865361929</v>
      </c>
      <c r="DA18" t="e">
        <v>#VALUE!</v>
      </c>
      <c r="DB18" t="s">
        <v>643</v>
      </c>
      <c r="DC18">
        <v>-9.8519720220938328E-2</v>
      </c>
      <c r="DD18" t="e">
        <v>#VALUE!</v>
      </c>
      <c r="DE18" t="s">
        <v>643</v>
      </c>
      <c r="DF18">
        <v>-9.1260372415184976E-2</v>
      </c>
      <c r="DG18" t="e">
        <v>#VALUE!</v>
      </c>
      <c r="DH18" t="s">
        <v>643</v>
      </c>
      <c r="DI18">
        <v>-8.2963974922895437E-2</v>
      </c>
      <c r="DJ18" t="e">
        <v>#VALUE!</v>
      </c>
      <c r="DK18" t="s">
        <v>643</v>
      </c>
      <c r="DL18">
        <v>-7.2593478057533495E-2</v>
      </c>
      <c r="DM18">
        <v>-971000000.00000012</v>
      </c>
      <c r="DN18">
        <v>-0.10370496865361929</v>
      </c>
      <c r="DO18">
        <v>12060858000</v>
      </c>
      <c r="DP18">
        <v>-2363143400</v>
      </c>
      <c r="DQ18">
        <v>970</v>
      </c>
      <c r="DR18">
        <v>-0.17337682943038957</v>
      </c>
      <c r="DS18">
        <v>2.847526191063591</v>
      </c>
      <c r="DT18" s="10">
        <v>-0.65666666666666662</v>
      </c>
      <c r="DU18">
        <v>-2.11</v>
      </c>
      <c r="DV18">
        <v>-2.7666666666666666</v>
      </c>
      <c r="DW18">
        <v>-2.1046</v>
      </c>
      <c r="DX18">
        <v>0.33503267973856243</v>
      </c>
      <c r="DY18">
        <v>-2.0172624183006538</v>
      </c>
      <c r="DZ18">
        <v>4818</v>
      </c>
      <c r="EA18">
        <v>-2.0009864239028947</v>
      </c>
      <c r="EB18">
        <v>2</v>
      </c>
      <c r="EC18">
        <v>3.0736198602342883E-2</v>
      </c>
      <c r="ED18">
        <v>0.18624310440231528</v>
      </c>
      <c r="EE18" s="11">
        <v>1.6809999999999999E-2</v>
      </c>
      <c r="EF18">
        <v>2.4209999999999999E-2</v>
      </c>
      <c r="EG18">
        <v>17.165032679738562</v>
      </c>
      <c r="EH18">
        <v>-1</v>
      </c>
      <c r="EI18">
        <v>0</v>
      </c>
      <c r="EJ18">
        <v>0</v>
      </c>
      <c r="EK18" s="13">
        <v>45470</v>
      </c>
      <c r="EL18">
        <v>-0.73</v>
      </c>
      <c r="EM18">
        <v>-2.21</v>
      </c>
      <c r="EN18">
        <v>1.5</v>
      </c>
      <c r="EO18">
        <v>0</v>
      </c>
      <c r="EP18">
        <v>-0.74</v>
      </c>
    </row>
    <row r="19" spans="1:146" ht="84" x14ac:dyDescent="0.25">
      <c r="A19" s="7"/>
      <c r="B19" s="7"/>
      <c r="C19" s="6" t="str">
        <f>""&amp;CHAR(10)&amp;Basic_Fundamental_Information_Constructure(F19)&amp;CHAR(10)&amp;Basic_Fundamental_Information_Concatenate("")</f>
        <v xml:space="preserve">
市值32.262419亿, 利润-4.67亿; PE; 平均PE-9.93; 平均PEG-.36, PB2.1; ROIC7.58%; ROE-4.54%; 股利率0%; 毛利27.4767%; 净利-108.0267%; 上一年度营收增-13.81%, 利润增-2.64%; 当季营收增-8.62%, 利润增351.65%; 过往5年营收增-27.61%, 利润增1.8%
Income profile:
</v>
      </c>
      <c r="D19" t="s">
        <v>426</v>
      </c>
      <c r="E19" t="s">
        <v>698</v>
      </c>
      <c r="F19">
        <v>2.14</v>
      </c>
      <c r="G19">
        <v>1.42</v>
      </c>
      <c r="H19" t="s">
        <v>1780</v>
      </c>
      <c r="I19">
        <v>3226241900</v>
      </c>
      <c r="K19">
        <v>2.1</v>
      </c>
      <c r="L19" t="s">
        <v>1594</v>
      </c>
      <c r="M19" t="s">
        <v>1088</v>
      </c>
      <c r="N19" t="s">
        <v>1389</v>
      </c>
      <c r="O19" t="s">
        <v>1296</v>
      </c>
      <c r="P19">
        <v>-8.6199999999999992</v>
      </c>
      <c r="Q19" t="s">
        <v>117</v>
      </c>
      <c r="R19">
        <v>48376333</v>
      </c>
      <c r="S19" s="4">
        <v>3.516</v>
      </c>
      <c r="T19" t="s">
        <v>1297</v>
      </c>
      <c r="U19">
        <v>1173183040</v>
      </c>
      <c r="V19">
        <v>1507589700</v>
      </c>
      <c r="W19">
        <v>1.85</v>
      </c>
      <c r="X19">
        <v>0.02</v>
      </c>
      <c r="Y19">
        <v>85.82</v>
      </c>
      <c r="Z19" t="s">
        <v>1781</v>
      </c>
      <c r="AA19" t="s">
        <v>1782</v>
      </c>
      <c r="AB19" t="s">
        <v>1783</v>
      </c>
      <c r="AC19" t="s">
        <v>1784</v>
      </c>
      <c r="AD19" t="s">
        <v>5</v>
      </c>
      <c r="AE19">
        <v>5248570</v>
      </c>
      <c r="AF19" t="s">
        <v>1298</v>
      </c>
      <c r="AG19" t="s">
        <v>1785</v>
      </c>
      <c r="AH19" t="s">
        <v>1299</v>
      </c>
      <c r="AI19" t="s">
        <v>1786</v>
      </c>
      <c r="AJ19" t="s">
        <v>1300</v>
      </c>
      <c r="AK19" t="s">
        <v>5</v>
      </c>
      <c r="AL19" t="s">
        <v>1301</v>
      </c>
      <c r="AM19" t="s">
        <v>5</v>
      </c>
      <c r="AN19" t="s">
        <v>1787</v>
      </c>
      <c r="AO19" t="s">
        <v>500</v>
      </c>
      <c r="AP19" t="s">
        <v>5</v>
      </c>
      <c r="AQ19" t="s">
        <v>292</v>
      </c>
      <c r="AR19" t="s">
        <v>5</v>
      </c>
      <c r="AS19" t="s">
        <v>673</v>
      </c>
      <c r="AT19" t="s">
        <v>1302</v>
      </c>
      <c r="AU19" t="s">
        <v>1788</v>
      </c>
      <c r="AV19" t="s">
        <v>1789</v>
      </c>
      <c r="AW19" t="s">
        <v>1790</v>
      </c>
      <c r="AX19" t="s">
        <v>547</v>
      </c>
      <c r="AY19" t="s">
        <v>501</v>
      </c>
      <c r="AZ19" t="s">
        <v>699</v>
      </c>
      <c r="BA19" t="s">
        <v>207</v>
      </c>
      <c r="BB19" t="s">
        <v>427</v>
      </c>
      <c r="BC19" t="s">
        <v>844</v>
      </c>
      <c r="BD19" t="s">
        <v>66</v>
      </c>
      <c r="BE19" t="s">
        <v>700</v>
      </c>
      <c r="BF19" t="s">
        <v>428</v>
      </c>
      <c r="BG19" t="s">
        <v>429</v>
      </c>
      <c r="BH19" t="s">
        <v>117</v>
      </c>
      <c r="BI19" t="s">
        <v>1303</v>
      </c>
      <c r="BJ19" t="s">
        <v>547</v>
      </c>
      <c r="BK19" t="s">
        <v>1297</v>
      </c>
      <c r="BL19" t="s">
        <v>1304</v>
      </c>
      <c r="BM19" t="s">
        <v>844</v>
      </c>
      <c r="BN19" t="s">
        <v>5</v>
      </c>
      <c r="BO19" t="s">
        <v>5</v>
      </c>
      <c r="BP19">
        <v>7.58</v>
      </c>
      <c r="BQ19">
        <v>-5.34</v>
      </c>
      <c r="BR19">
        <v>-20.82</v>
      </c>
      <c r="BS19">
        <v>12.54</v>
      </c>
      <c r="BT19" t="s">
        <v>865</v>
      </c>
      <c r="BU19" t="s">
        <v>627</v>
      </c>
      <c r="BV19">
        <v>29.88</v>
      </c>
      <c r="BW19">
        <v>33.46</v>
      </c>
      <c r="BX19">
        <v>19.09</v>
      </c>
      <c r="BY19">
        <v>-203.01</v>
      </c>
      <c r="BZ19">
        <v>-139.61000000000001</v>
      </c>
      <c r="CA19">
        <v>18.54</v>
      </c>
      <c r="CB19">
        <v>-4.46</v>
      </c>
      <c r="CC19">
        <v>-19.850000000000001</v>
      </c>
      <c r="CD19" t="s">
        <v>1791</v>
      </c>
      <c r="CE19" t="s">
        <v>1423</v>
      </c>
      <c r="CF19" s="8">
        <v>-8.6154303163489446E-2</v>
      </c>
      <c r="CG19" s="9">
        <v>3.5164673096133923</v>
      </c>
      <c r="CH19" s="8">
        <v>-0.13805970549583435</v>
      </c>
      <c r="CI19" s="8">
        <v>-0.75525116920471191</v>
      </c>
      <c r="CJ19" s="8">
        <v>-0.35168731212615967</v>
      </c>
      <c r="CK19" s="8">
        <v>0.37765085697174072</v>
      </c>
      <c r="CL19" s="8">
        <v>-0.51329892873764038</v>
      </c>
      <c r="CM19" s="9">
        <v>-2.6373626664280891E-2</v>
      </c>
      <c r="CN19" s="9">
        <v>-2.4772727489471436</v>
      </c>
      <c r="CO19" s="9">
        <v>2.0807018280029297</v>
      </c>
      <c r="CP19" s="9">
        <v>0.4345238208770752</v>
      </c>
      <c r="CQ19" s="9">
        <v>7.8610606491565704E-2</v>
      </c>
      <c r="CR19">
        <v>-9.9268981538461531</v>
      </c>
      <c r="CS19">
        <v>-0.35950186704469012</v>
      </c>
      <c r="CT19">
        <v>0</v>
      </c>
      <c r="CU19" s="8">
        <v>-0.2761292517185211</v>
      </c>
      <c r="CV19" s="9">
        <v>1.8037975952029228E-2</v>
      </c>
      <c r="CW19">
        <v>0.06</v>
      </c>
      <c r="CX19" t="e">
        <v>#VALUE!</v>
      </c>
      <c r="CY19" t="s">
        <v>643</v>
      </c>
      <c r="CZ19">
        <v>-0.2761292517185211</v>
      </c>
      <c r="DA19" t="e">
        <v>#VALUE!</v>
      </c>
      <c r="DB19" t="s">
        <v>643</v>
      </c>
      <c r="DC19">
        <v>-0.26232278913259505</v>
      </c>
      <c r="DD19" t="e">
        <v>#VALUE!</v>
      </c>
      <c r="DE19" t="s">
        <v>643</v>
      </c>
      <c r="DF19">
        <v>-0.24299374151229858</v>
      </c>
      <c r="DG19" t="e">
        <v>#VALUE!</v>
      </c>
      <c r="DH19" t="s">
        <v>643</v>
      </c>
      <c r="DI19">
        <v>-0.2209034013748169</v>
      </c>
      <c r="DJ19" t="e">
        <v>#VALUE!</v>
      </c>
      <c r="DK19" t="s">
        <v>643</v>
      </c>
      <c r="DL19">
        <v>-0.19329047620296474</v>
      </c>
      <c r="DM19">
        <v>-467000000</v>
      </c>
      <c r="DN19">
        <v>-0.2761292517185211</v>
      </c>
      <c r="DO19">
        <v>3090241900</v>
      </c>
      <c r="DP19">
        <v>-582373600.00000012</v>
      </c>
      <c r="DQ19">
        <v>994</v>
      </c>
      <c r="DR19">
        <v>0.18997494855503166</v>
      </c>
      <c r="DS19">
        <v>3.4984293336613632</v>
      </c>
      <c r="DT19" s="10">
        <v>-0.85666666666666658</v>
      </c>
      <c r="DU19">
        <v>-1.1233333333333335</v>
      </c>
      <c r="DV19">
        <v>-1.98</v>
      </c>
      <c r="DW19">
        <v>-8.2246851385390425</v>
      </c>
      <c r="DX19">
        <v>0.25175216050686433</v>
      </c>
      <c r="DY19">
        <v>-8.0206153468947416</v>
      </c>
      <c r="DZ19">
        <v>4371</v>
      </c>
      <c r="EA19">
        <v>-8.0029813583865383</v>
      </c>
      <c r="EB19">
        <v>8</v>
      </c>
      <c r="EC19">
        <v>5.763458054933647E-2</v>
      </c>
      <c r="ED19">
        <v>0.62815499469119496</v>
      </c>
      <c r="EE19" s="11">
        <v>3.6910000000000005E-2</v>
      </c>
      <c r="EF19">
        <v>9.5509999999999998E-2</v>
      </c>
      <c r="EG19">
        <v>16.091752160506864</v>
      </c>
      <c r="EH19">
        <v>-1</v>
      </c>
      <c r="EI19">
        <v>0</v>
      </c>
      <c r="EJ19">
        <v>0</v>
      </c>
      <c r="EK19" s="13">
        <v>45470</v>
      </c>
      <c r="EL19">
        <v>-3.17</v>
      </c>
      <c r="EM19">
        <v>-2.87</v>
      </c>
      <c r="EN19">
        <v>-3.38</v>
      </c>
      <c r="EO19">
        <v>4.37</v>
      </c>
      <c r="EP19">
        <v>-5.86</v>
      </c>
    </row>
    <row r="20" spans="1:146" ht="84" x14ac:dyDescent="0.25">
      <c r="A20" s="7"/>
      <c r="B20" s="7"/>
      <c r="C20" s="6" t="str">
        <f>""&amp;CHAR(10)&amp;Basic_Fundamental_Information_Constructure(F20)&amp;CHAR(10)&amp;Basic_Fundamental_Information_Concatenate("")</f>
        <v xml:space="preserve">
市值12.458227亿, 利润-3.32亿; PE; 平均PE-2.96; 平均PEG-.78, PB; ROIC0%; ROE-51.9733%; 股利率0%; 毛利-.5767%; 净利-25.3933%; 上一年度营收增20.55%, 利润增-3.43%; 当季营收增-1.05%, 利润增-107.17%; 过往5年营收增3.8%, 利润增-647.46%
Income profile:
</v>
      </c>
      <c r="D20" t="s">
        <v>433</v>
      </c>
      <c r="E20" t="s">
        <v>434</v>
      </c>
      <c r="F20">
        <v>3.53</v>
      </c>
      <c r="G20">
        <v>2.3199999999999998</v>
      </c>
      <c r="H20" t="s">
        <v>1792</v>
      </c>
      <c r="I20">
        <v>1245822700</v>
      </c>
      <c r="L20" t="s">
        <v>1594</v>
      </c>
      <c r="M20" t="s">
        <v>1305</v>
      </c>
      <c r="N20" t="s">
        <v>111</v>
      </c>
      <c r="O20" t="s">
        <v>481</v>
      </c>
      <c r="P20">
        <v>-0.94</v>
      </c>
      <c r="Q20" t="s">
        <v>1306</v>
      </c>
      <c r="R20">
        <v>-30509968</v>
      </c>
      <c r="S20" s="4">
        <v>-1.0720000000000001</v>
      </c>
      <c r="T20" t="s">
        <v>1307</v>
      </c>
      <c r="U20">
        <v>263908150</v>
      </c>
      <c r="V20">
        <v>352924280</v>
      </c>
      <c r="W20">
        <v>15.61</v>
      </c>
      <c r="X20">
        <v>0.11</v>
      </c>
      <c r="Y20">
        <v>-11.23</v>
      </c>
      <c r="Z20" t="s">
        <v>805</v>
      </c>
      <c r="AA20" t="s">
        <v>71</v>
      </c>
      <c r="AB20" t="s">
        <v>1793</v>
      </c>
      <c r="AC20" t="s">
        <v>1794</v>
      </c>
      <c r="AD20" t="s">
        <v>5</v>
      </c>
      <c r="AE20">
        <v>8403967</v>
      </c>
      <c r="AF20" t="s">
        <v>31</v>
      </c>
      <c r="AG20">
        <v>0.05</v>
      </c>
      <c r="AH20" t="s">
        <v>1308</v>
      </c>
      <c r="AI20" t="s">
        <v>853</v>
      </c>
      <c r="AJ20" t="s">
        <v>1309</v>
      </c>
      <c r="AK20" t="s">
        <v>5</v>
      </c>
      <c r="AL20" t="s">
        <v>1310</v>
      </c>
      <c r="AM20" t="s">
        <v>5</v>
      </c>
      <c r="AN20" t="s">
        <v>768</v>
      </c>
      <c r="AO20" t="s">
        <v>56</v>
      </c>
      <c r="AP20" t="s">
        <v>788</v>
      </c>
      <c r="AQ20" t="s">
        <v>926</v>
      </c>
      <c r="AR20" t="s">
        <v>1311</v>
      </c>
      <c r="AS20" t="s">
        <v>1795</v>
      </c>
      <c r="AT20" t="s">
        <v>223</v>
      </c>
      <c r="AU20" t="s">
        <v>1796</v>
      </c>
      <c r="AV20" t="s">
        <v>1797</v>
      </c>
      <c r="AW20" t="s">
        <v>38</v>
      </c>
      <c r="AX20" t="s">
        <v>910</v>
      </c>
      <c r="AY20" t="s">
        <v>701</v>
      </c>
      <c r="AZ20" t="s">
        <v>435</v>
      </c>
      <c r="BA20" t="s">
        <v>436</v>
      </c>
      <c r="BB20" t="s">
        <v>437</v>
      </c>
      <c r="BC20" t="s">
        <v>837</v>
      </c>
      <c r="BD20" t="s">
        <v>702</v>
      </c>
      <c r="BE20" t="s">
        <v>703</v>
      </c>
      <c r="BF20" t="s">
        <v>438</v>
      </c>
      <c r="BG20" t="s">
        <v>439</v>
      </c>
      <c r="BH20" t="s">
        <v>1306</v>
      </c>
      <c r="BI20" t="s">
        <v>484</v>
      </c>
      <c r="BJ20" t="s">
        <v>910</v>
      </c>
      <c r="BK20" t="s">
        <v>1307</v>
      </c>
      <c r="BL20" t="s">
        <v>1312</v>
      </c>
      <c r="BM20" t="s">
        <v>837</v>
      </c>
      <c r="BN20" t="s">
        <v>5</v>
      </c>
      <c r="BO20" t="s">
        <v>5</v>
      </c>
      <c r="BP20" t="s">
        <v>5</v>
      </c>
      <c r="BQ20">
        <v>-46.83</v>
      </c>
      <c r="BR20">
        <v>-55.31</v>
      </c>
      <c r="BS20">
        <v>-53.78</v>
      </c>
      <c r="BT20" t="s">
        <v>865</v>
      </c>
      <c r="BU20" t="s">
        <v>627</v>
      </c>
      <c r="BV20">
        <v>-2.0499999999999998</v>
      </c>
      <c r="BW20">
        <v>0.65</v>
      </c>
      <c r="BX20">
        <v>-0.33</v>
      </c>
      <c r="BY20">
        <v>-19.97</v>
      </c>
      <c r="BZ20">
        <v>-22.19</v>
      </c>
      <c r="CA20">
        <v>-34.020000000000003</v>
      </c>
      <c r="CB20">
        <v>0</v>
      </c>
      <c r="CC20">
        <v>-14.94</v>
      </c>
      <c r="CD20" t="s">
        <v>1798</v>
      </c>
      <c r="CE20" t="s">
        <v>42</v>
      </c>
      <c r="CF20" s="8">
        <v>-1.0471204188481676E-2</v>
      </c>
      <c r="CG20" s="9">
        <v>-1.0716887914117512</v>
      </c>
      <c r="CH20" s="8">
        <v>0.2055363804101944</v>
      </c>
      <c r="CI20" s="8">
        <v>6.924764602445066E-4</v>
      </c>
      <c r="CJ20" s="8">
        <v>7.6005958020687103E-2</v>
      </c>
      <c r="CK20" s="8">
        <v>-0.1077127680182457</v>
      </c>
      <c r="CL20" s="8">
        <v>1.5530090779066086E-2</v>
      </c>
      <c r="CM20" s="9">
        <v>-3.4267913550138474E-2</v>
      </c>
      <c r="CN20" s="9">
        <v>0.34623217582702637</v>
      </c>
      <c r="CO20" s="9">
        <v>-34.122859954833984</v>
      </c>
      <c r="CP20" s="9">
        <v>1.0286723375320435</v>
      </c>
      <c r="CQ20" s="9">
        <v>0.40914285182952881</v>
      </c>
      <c r="CR20">
        <v>-2.9648604516526489</v>
      </c>
      <c r="CS20">
        <v>-0.78001239246315957</v>
      </c>
      <c r="CT20">
        <v>0</v>
      </c>
      <c r="CU20" s="8">
        <v>3.8010427530389281E-2</v>
      </c>
      <c r="CV20" s="9">
        <v>-6.4746161006391052</v>
      </c>
      <c r="CW20">
        <v>0.06</v>
      </c>
      <c r="CX20" t="e">
        <v>#VALUE!</v>
      </c>
      <c r="CY20" t="s">
        <v>674</v>
      </c>
      <c r="CZ20">
        <v>3.8010427530389281E-2</v>
      </c>
      <c r="DA20" t="e">
        <v>#VALUE!</v>
      </c>
      <c r="DB20" t="s">
        <v>643</v>
      </c>
      <c r="DC20">
        <v>3.6109906153869817E-2</v>
      </c>
      <c r="DD20" t="e">
        <v>#VALUE!</v>
      </c>
      <c r="DE20" t="s">
        <v>643</v>
      </c>
      <c r="DF20">
        <v>3.3449176226742566E-2</v>
      </c>
      <c r="DG20" t="e">
        <v>#VALUE!</v>
      </c>
      <c r="DH20" t="s">
        <v>643</v>
      </c>
      <c r="DI20">
        <v>3.0408342024311426E-2</v>
      </c>
      <c r="DJ20" t="e">
        <v>#VALUE!</v>
      </c>
      <c r="DK20" t="s">
        <v>643</v>
      </c>
      <c r="DL20">
        <v>2.6607299271272495E-2</v>
      </c>
      <c r="DM20">
        <v>-332000000</v>
      </c>
      <c r="DN20">
        <v>3.8010427530389281E-2</v>
      </c>
      <c r="DO20">
        <v>4184822700</v>
      </c>
      <c r="DP20">
        <v>-947037800</v>
      </c>
      <c r="DQ20">
        <v>1007</v>
      </c>
      <c r="DR20">
        <v>-4.848163171887096E-2</v>
      </c>
      <c r="DS20">
        <v>5.402927309227354</v>
      </c>
      <c r="DT20" s="10">
        <v>-0.27333333333333337</v>
      </c>
      <c r="DU20">
        <v>-2.3483333333333332</v>
      </c>
      <c r="DV20">
        <v>-2.6216666666666666</v>
      </c>
      <c r="DW20">
        <v>-2.1494</v>
      </c>
      <c r="DX20">
        <v>0.36134999999999962</v>
      </c>
      <c r="DY20">
        <v>-2.0181296899999999</v>
      </c>
      <c r="DZ20">
        <v>4746</v>
      </c>
      <c r="EA20">
        <v>-2.0012914299726026</v>
      </c>
      <c r="EB20">
        <v>2</v>
      </c>
      <c r="EC20">
        <v>3.8510243613729261E-2</v>
      </c>
      <c r="ED20">
        <v>0.31734852586509493</v>
      </c>
      <c r="EE20" s="11">
        <v>-3.0488</v>
      </c>
      <c r="EF20">
        <v>-3.0318999999999998</v>
      </c>
      <c r="EG20">
        <v>24.12135</v>
      </c>
      <c r="EH20" t="s">
        <v>1128</v>
      </c>
      <c r="EI20">
        <v>0</v>
      </c>
      <c r="EJ20">
        <v>0</v>
      </c>
      <c r="EK20" s="13">
        <v>45470</v>
      </c>
      <c r="EL20">
        <v>-1.1399999999999999</v>
      </c>
      <c r="EM20">
        <v>-4.0199999999999996</v>
      </c>
      <c r="EN20">
        <v>2.69</v>
      </c>
      <c r="EO20">
        <v>3.79</v>
      </c>
      <c r="EP20">
        <v>-1.69</v>
      </c>
    </row>
    <row r="21" spans="1:146" ht="96" x14ac:dyDescent="0.25">
      <c r="A21" s="7"/>
      <c r="B21" s="7"/>
      <c r="C21" s="6" t="str">
        <f>""&amp;CHAR(10)&amp;Basic_Fundamental_Information_Constructure(F21)&amp;CHAR(10)&amp;Basic_Fundamental_Information_Concatenate("")</f>
        <v xml:space="preserve">
市值38.324654亿, 利润1.22亿; PE36.61; 平均PE11.83; 平均PEG1.98, PB.72; ROIC6.5833%; ROE7.8267%; 股利率2.6726%; 毛利21.8333%; 净利8.4867%; 上一年度营收增-19.88%, 利润增-77.02%; 当季营收增-8.6%, 利润增-18.8%; 过往5年营收增5.99%, 利润增-.53%
Income profile:
</v>
      </c>
      <c r="D21" t="s">
        <v>440</v>
      </c>
      <c r="E21" t="s">
        <v>441</v>
      </c>
      <c r="F21">
        <v>4.49</v>
      </c>
      <c r="G21">
        <v>1.1299999999999999</v>
      </c>
      <c r="H21" t="s">
        <v>1799</v>
      </c>
      <c r="I21">
        <v>3832465400</v>
      </c>
      <c r="J21">
        <v>36.61</v>
      </c>
      <c r="K21">
        <v>0.72</v>
      </c>
      <c r="L21" t="s">
        <v>1594</v>
      </c>
      <c r="M21" t="s">
        <v>1313</v>
      </c>
      <c r="N21" t="s">
        <v>1800</v>
      </c>
      <c r="O21" t="s">
        <v>487</v>
      </c>
      <c r="P21">
        <v>-8.51</v>
      </c>
      <c r="Q21" t="s">
        <v>418</v>
      </c>
      <c r="R21">
        <v>74325063</v>
      </c>
      <c r="S21" s="4">
        <v>-0.188</v>
      </c>
      <c r="T21" t="s">
        <v>176</v>
      </c>
      <c r="U21">
        <v>853555760</v>
      </c>
      <c r="V21">
        <v>853555760</v>
      </c>
      <c r="W21">
        <v>1.24</v>
      </c>
      <c r="X21">
        <v>0.13</v>
      </c>
      <c r="Y21">
        <v>9.19</v>
      </c>
      <c r="Z21" t="s">
        <v>774</v>
      </c>
      <c r="AA21" t="s">
        <v>122</v>
      </c>
      <c r="AB21" t="s">
        <v>1801</v>
      </c>
      <c r="AC21" t="s">
        <v>1802</v>
      </c>
      <c r="AD21" t="s">
        <v>5</v>
      </c>
      <c r="AE21">
        <v>-4484838</v>
      </c>
      <c r="AF21" t="s">
        <v>1314</v>
      </c>
      <c r="AG21" t="s">
        <v>1803</v>
      </c>
      <c r="AH21" t="s">
        <v>1315</v>
      </c>
      <c r="AI21" t="s">
        <v>159</v>
      </c>
      <c r="AJ21" t="s">
        <v>1316</v>
      </c>
      <c r="AK21" t="s">
        <v>5</v>
      </c>
      <c r="AL21" t="s">
        <v>1317</v>
      </c>
      <c r="AM21" t="s">
        <v>5</v>
      </c>
      <c r="AN21" t="s">
        <v>62</v>
      </c>
      <c r="AO21" t="s">
        <v>5</v>
      </c>
      <c r="AP21" t="s">
        <v>67</v>
      </c>
      <c r="AQ21" t="s">
        <v>672</v>
      </c>
      <c r="AR21">
        <v>9523.83</v>
      </c>
      <c r="AS21" t="s">
        <v>1390</v>
      </c>
      <c r="AT21" t="s">
        <v>5</v>
      </c>
      <c r="AU21" t="s">
        <v>1804</v>
      </c>
      <c r="AV21" t="s">
        <v>220</v>
      </c>
      <c r="AW21" t="s">
        <v>1805</v>
      </c>
      <c r="AX21" t="s">
        <v>911</v>
      </c>
      <c r="AY21" t="s">
        <v>704</v>
      </c>
      <c r="AZ21" t="s">
        <v>705</v>
      </c>
      <c r="BA21" t="s">
        <v>443</v>
      </c>
      <c r="BB21" t="s">
        <v>221</v>
      </c>
      <c r="BC21" t="s">
        <v>836</v>
      </c>
      <c r="BD21" t="s">
        <v>144</v>
      </c>
      <c r="BE21" t="s">
        <v>294</v>
      </c>
      <c r="BF21" t="s">
        <v>172</v>
      </c>
      <c r="BG21" t="s">
        <v>41</v>
      </c>
      <c r="BH21" t="s">
        <v>418</v>
      </c>
      <c r="BI21" t="s">
        <v>1318</v>
      </c>
      <c r="BJ21" t="s">
        <v>911</v>
      </c>
      <c r="BK21" t="s">
        <v>176</v>
      </c>
      <c r="BL21" t="s">
        <v>1319</v>
      </c>
      <c r="BM21" t="s">
        <v>836</v>
      </c>
      <c r="BN21">
        <v>1.94</v>
      </c>
      <c r="BO21">
        <v>9.16</v>
      </c>
      <c r="BP21">
        <v>8.65</v>
      </c>
      <c r="BQ21">
        <v>2.38</v>
      </c>
      <c r="BR21">
        <v>10.220000000000001</v>
      </c>
      <c r="BS21">
        <v>10.88</v>
      </c>
      <c r="BT21" t="s">
        <v>1320</v>
      </c>
      <c r="BU21" t="s">
        <v>806</v>
      </c>
      <c r="BV21">
        <v>15.67</v>
      </c>
      <c r="BW21">
        <v>21.89</v>
      </c>
      <c r="BX21">
        <v>27.94</v>
      </c>
      <c r="BY21">
        <v>3.11</v>
      </c>
      <c r="BZ21">
        <v>10.86</v>
      </c>
      <c r="CA21">
        <v>11.49</v>
      </c>
      <c r="CB21">
        <v>0.22</v>
      </c>
      <c r="CC21">
        <v>-9.48</v>
      </c>
      <c r="CD21" t="s">
        <v>1806</v>
      </c>
      <c r="CE21" t="s">
        <v>84</v>
      </c>
      <c r="CF21" s="8">
        <v>-8.5972850678733032E-2</v>
      </c>
      <c r="CG21" s="9">
        <v>-0.18804409738874328</v>
      </c>
      <c r="CH21" s="8">
        <v>-0.19881242513656616</v>
      </c>
      <c r="CI21" s="8">
        <v>0.22406004369258881</v>
      </c>
      <c r="CJ21" s="8">
        <v>5.2215222269296646E-2</v>
      </c>
      <c r="CK21" s="8">
        <v>0.2572944164276123</v>
      </c>
      <c r="CL21" s="8">
        <v>-3.5497300326824188E-2</v>
      </c>
      <c r="CM21" s="9">
        <v>-0.77024483680725098</v>
      </c>
      <c r="CN21" s="9">
        <v>0.16192559897899628</v>
      </c>
      <c r="CO21" s="9">
        <v>0.54915255308151245</v>
      </c>
      <c r="CP21" s="9">
        <v>0.23949579894542694</v>
      </c>
      <c r="CQ21" s="9">
        <v>-0.20666666328907013</v>
      </c>
      <c r="CR21">
        <v>11.83468471435924</v>
      </c>
      <c r="CS21">
        <v>1.9773251383046602</v>
      </c>
      <c r="CT21">
        <v>2.6726057906458793</v>
      </c>
      <c r="CU21" s="8">
        <v>5.985199138522148E-2</v>
      </c>
      <c r="CV21" s="9">
        <v>-5.2675098180770871E-3</v>
      </c>
      <c r="CW21">
        <v>0.06</v>
      </c>
      <c r="CX21" t="s">
        <v>977</v>
      </c>
      <c r="CY21">
        <v>121982965.04622361</v>
      </c>
      <c r="CZ21">
        <v>5.985199138522148E-2</v>
      </c>
      <c r="DA21" t="s">
        <v>977</v>
      </c>
      <c r="DB21">
        <v>363835483.3405059</v>
      </c>
      <c r="DC21">
        <v>5.6859391815960406E-2</v>
      </c>
      <c r="DD21" t="s">
        <v>977</v>
      </c>
      <c r="DE21">
        <v>714485722.56184745</v>
      </c>
      <c r="DF21">
        <v>5.2669752418994902E-2</v>
      </c>
      <c r="DG21" t="s">
        <v>977</v>
      </c>
      <c r="DH21">
        <v>1145860005.57883</v>
      </c>
      <c r="DI21">
        <v>4.7881593108177189E-2</v>
      </c>
      <c r="DJ21" t="s">
        <v>977</v>
      </c>
      <c r="DK21">
        <v>2046332996.0719526</v>
      </c>
      <c r="DL21">
        <v>4.1896393969655034E-2</v>
      </c>
      <c r="DM21">
        <v>122000000</v>
      </c>
      <c r="DN21">
        <v>5.985199138522148E-2</v>
      </c>
      <c r="DO21">
        <v>-396534600</v>
      </c>
      <c r="DP21">
        <v>1537214700</v>
      </c>
      <c r="DQ21">
        <v>1031</v>
      </c>
      <c r="DR21">
        <v>-0.14582484206395452</v>
      </c>
      <c r="DS21">
        <v>-0.1827765875706662</v>
      </c>
      <c r="DT21" s="10">
        <v>-0.34</v>
      </c>
      <c r="DU21">
        <v>-0.25333333333333335</v>
      </c>
      <c r="DV21">
        <v>-0.59333333333333338</v>
      </c>
      <c r="DW21">
        <v>-2.0948000000000002</v>
      </c>
      <c r="DX21">
        <v>0.32113176470588273</v>
      </c>
      <c r="DY21">
        <v>-2.0114832912941178</v>
      </c>
      <c r="DZ21">
        <v>3029</v>
      </c>
      <c r="EA21">
        <v>-2.0046764636366063</v>
      </c>
      <c r="EB21">
        <v>2</v>
      </c>
      <c r="EC21">
        <v>3.6188145458710276E-2</v>
      </c>
      <c r="ED21">
        <v>0.29875025387913728</v>
      </c>
      <c r="EE21" s="11">
        <v>-2.0548000000000002</v>
      </c>
      <c r="EF21">
        <v>-2.0352000000000001</v>
      </c>
      <c r="EG21">
        <v>20.121131764705883</v>
      </c>
      <c r="EH21" t="s">
        <v>886</v>
      </c>
      <c r="EI21">
        <v>0</v>
      </c>
      <c r="EJ21">
        <v>0</v>
      </c>
      <c r="EK21" s="13">
        <v>45470</v>
      </c>
      <c r="EL21">
        <v>0.43</v>
      </c>
      <c r="EM21">
        <v>-3.21</v>
      </c>
      <c r="EN21">
        <v>0.66</v>
      </c>
      <c r="EO21">
        <v>0.88</v>
      </c>
      <c r="EP21">
        <v>-1.96</v>
      </c>
    </row>
    <row r="22" spans="1:146" ht="168" x14ac:dyDescent="0.25">
      <c r="A22" s="7"/>
      <c r="B22" s="7"/>
      <c r="C22" s="6" t="str">
        <f>"公司主营业务是复合肥的生产和销售。公司主要产品复合肥、纯碱、氯化铵、磷酸一铵、黄磷、食用盐、工业盐等。"&amp;CHAR(10)&amp;Basic_Fundamental_Information_Constructure(F22)&amp;CHAR(10)&amp;Basic_Fundamental_Information_Concatenate("常规复合肥 30.05亿 26.97% 24.28% 14.94%
新型复合肥 24.30亿 21.81% 29.63% 22.54%
贸易 24.00亿 21.54% 3.86% 2.97%
磷化工产品 10.42亿 9.35% 20.87% 37.04%
磷酸一铵 7.17亿 6.44% 7.96% 20.53%
联碱 6.76亿 6.07% 8.94% 24.47%")</f>
        <v>公司主营业务是复合肥的生产和销售。公司主要产品复合肥、纯碱、氯化铵、磷酸一铵、黄磷、食用盐、工业盐等。
市值86.231477亿, 利润8.92亿; PE11.48; 平均PE11.49; 平均PEG.47, PB1.01; ROIC12.35%; ROE23.4967%; 股利率2.8011%; 毛利14.6467%; 净利6.53%; 上一年度营收增6.17%, 利润增-40.21%; 当季营收增-12.74%, 利润增-39.76%; 过往5年营收增24.46%, 利润增56.62%
Income profile:
常规复合肥 30.05亿 26.97% 24.28% 14.94%
新型复合肥 24.30亿 21.81% 29.63% 22.54%
贸易 24.00亿 21.54% 3.86% 2.97%
磷化工产品 10.42亿 9.35% 20.87% 37.04%
磷酸一铵 7.17亿 6.44% 7.96% 20.53%
联碱 6.76亿 6.07% 8.94% 24.47%</v>
      </c>
      <c r="D22" t="s">
        <v>445</v>
      </c>
      <c r="E22" t="s">
        <v>446</v>
      </c>
      <c r="F22">
        <v>7.14</v>
      </c>
      <c r="G22">
        <v>0.71</v>
      </c>
      <c r="H22" t="s">
        <v>1807</v>
      </c>
      <c r="I22">
        <v>8623147700</v>
      </c>
      <c r="J22">
        <v>11.48</v>
      </c>
      <c r="K22">
        <v>1.01</v>
      </c>
      <c r="L22" t="s">
        <v>1594</v>
      </c>
      <c r="M22" t="s">
        <v>1321</v>
      </c>
      <c r="N22" t="s">
        <v>1808</v>
      </c>
      <c r="O22" t="s">
        <v>1322</v>
      </c>
      <c r="P22">
        <v>-12.73</v>
      </c>
      <c r="Q22" t="s">
        <v>1323</v>
      </c>
      <c r="R22">
        <v>213257430</v>
      </c>
      <c r="S22" s="4">
        <v>-0.3972</v>
      </c>
      <c r="T22" t="s">
        <v>1146</v>
      </c>
      <c r="U22">
        <v>882940060</v>
      </c>
      <c r="V22">
        <v>1207723760</v>
      </c>
      <c r="W22">
        <v>2.4300000000000002</v>
      </c>
      <c r="X22">
        <v>0.24</v>
      </c>
      <c r="Y22">
        <v>4.33</v>
      </c>
      <c r="Z22" t="s">
        <v>1809</v>
      </c>
      <c r="AA22" t="s">
        <v>1810</v>
      </c>
      <c r="AB22" t="s">
        <v>1811</v>
      </c>
      <c r="AC22" t="s">
        <v>145</v>
      </c>
      <c r="AD22" t="s">
        <v>5</v>
      </c>
      <c r="AE22">
        <v>28804962</v>
      </c>
      <c r="AF22" t="s">
        <v>1324</v>
      </c>
      <c r="AG22" t="s">
        <v>1812</v>
      </c>
      <c r="AH22" t="s">
        <v>1325</v>
      </c>
      <c r="AI22" t="s">
        <v>1813</v>
      </c>
      <c r="AJ22" t="s">
        <v>1326</v>
      </c>
      <c r="AK22" t="s">
        <v>5</v>
      </c>
      <c r="AL22" t="s">
        <v>1327</v>
      </c>
      <c r="AM22" t="s">
        <v>5</v>
      </c>
      <c r="AN22" t="s">
        <v>838</v>
      </c>
      <c r="AO22" t="s">
        <v>1814</v>
      </c>
      <c r="AP22" t="s">
        <v>1139</v>
      </c>
      <c r="AQ22" t="s">
        <v>975</v>
      </c>
      <c r="AR22" t="s">
        <v>5</v>
      </c>
      <c r="AS22" t="s">
        <v>1815</v>
      </c>
      <c r="AT22" t="s">
        <v>1816</v>
      </c>
      <c r="AU22" t="s">
        <v>115</v>
      </c>
      <c r="AV22" t="s">
        <v>1592</v>
      </c>
      <c r="AW22" t="s">
        <v>608</v>
      </c>
      <c r="AX22" t="s">
        <v>912</v>
      </c>
      <c r="AY22" t="s">
        <v>706</v>
      </c>
      <c r="AZ22" t="s">
        <v>707</v>
      </c>
      <c r="BA22" t="s">
        <v>448</v>
      </c>
      <c r="BB22" t="s">
        <v>449</v>
      </c>
      <c r="BC22" t="s">
        <v>913</v>
      </c>
      <c r="BD22" t="s">
        <v>621</v>
      </c>
      <c r="BE22" t="s">
        <v>271</v>
      </c>
      <c r="BF22" t="s">
        <v>444</v>
      </c>
      <c r="BG22" t="s">
        <v>70</v>
      </c>
      <c r="BH22" t="s">
        <v>1323</v>
      </c>
      <c r="BI22" t="s">
        <v>1329</v>
      </c>
      <c r="BJ22" t="s">
        <v>912</v>
      </c>
      <c r="BK22" t="s">
        <v>1146</v>
      </c>
      <c r="BL22" t="s">
        <v>135</v>
      </c>
      <c r="BM22" t="s">
        <v>913</v>
      </c>
      <c r="BN22">
        <v>5.24</v>
      </c>
      <c r="BO22">
        <v>14.65</v>
      </c>
      <c r="BP22">
        <v>17.16</v>
      </c>
      <c r="BQ22">
        <v>9.0299999999999994</v>
      </c>
      <c r="BR22">
        <v>29.87</v>
      </c>
      <c r="BS22">
        <v>31.59</v>
      </c>
      <c r="BT22" t="s">
        <v>866</v>
      </c>
      <c r="BU22" t="s">
        <v>806</v>
      </c>
      <c r="BV22">
        <v>10.18</v>
      </c>
      <c r="BW22">
        <v>15.22</v>
      </c>
      <c r="BX22">
        <v>18.54</v>
      </c>
      <c r="BY22">
        <v>4.01</v>
      </c>
      <c r="BZ22">
        <v>7.28</v>
      </c>
      <c r="CA22">
        <v>8.3000000000000007</v>
      </c>
      <c r="CB22">
        <v>0.14000000000000001</v>
      </c>
      <c r="CC22">
        <v>-16.690000000000001</v>
      </c>
      <c r="CD22" t="s">
        <v>1817</v>
      </c>
      <c r="CE22" t="s">
        <v>33</v>
      </c>
      <c r="CF22" s="8">
        <v>-0.12735599788620749</v>
      </c>
      <c r="CG22" s="9">
        <v>-0.39757788135593219</v>
      </c>
      <c r="CH22" s="8">
        <v>6.1701320111751556E-2</v>
      </c>
      <c r="CI22" s="8">
        <v>0.37615785002708435</v>
      </c>
      <c r="CJ22" s="8">
        <v>0.62748527526855469</v>
      </c>
      <c r="CK22" s="8">
        <v>6.1210297048091888E-2</v>
      </c>
      <c r="CL22" s="8">
        <v>9.6339553594589233E-2</v>
      </c>
      <c r="CM22" s="9">
        <v>-0.40214475989341736</v>
      </c>
      <c r="CN22" s="9">
        <v>0.21103896200656891</v>
      </c>
      <c r="CO22" s="9">
        <v>1.468937873840332</v>
      </c>
      <c r="CP22" s="9">
        <v>1.34272301197052</v>
      </c>
      <c r="CQ22" s="9">
        <v>0.21022726595401764</v>
      </c>
      <c r="CR22">
        <v>11.487319316163411</v>
      </c>
      <c r="CS22">
        <v>0.46967752459338724</v>
      </c>
      <c r="CT22">
        <v>2.801120448179272</v>
      </c>
      <c r="CU22" s="8">
        <v>0.24457885921001435</v>
      </c>
      <c r="CV22" s="9">
        <v>0.56615647077560427</v>
      </c>
      <c r="CW22">
        <v>0.06</v>
      </c>
      <c r="CX22">
        <v>11.655550505115274</v>
      </c>
      <c r="CY22">
        <v>1047324851.3352197</v>
      </c>
      <c r="CZ22">
        <v>0.24457885921001435</v>
      </c>
      <c r="DA22">
        <v>3.3495947282646914</v>
      </c>
      <c r="DB22">
        <v>3644365569.6592579</v>
      </c>
      <c r="DC22">
        <v>0.23234991624951362</v>
      </c>
      <c r="DD22">
        <v>1.3759513029328017</v>
      </c>
      <c r="DE22">
        <v>8871787594.5033855</v>
      </c>
      <c r="DF22">
        <v>0.21522939610481262</v>
      </c>
      <c r="DG22">
        <v>0.66513529184055853</v>
      </c>
      <c r="DH22">
        <v>18352879255.918674</v>
      </c>
      <c r="DI22">
        <v>0.1956630873680115</v>
      </c>
      <c r="DJ22">
        <v>0.20449012825369678</v>
      </c>
      <c r="DK22">
        <v>59695535448.31971</v>
      </c>
      <c r="DL22">
        <v>0.17120520144701004</v>
      </c>
      <c r="DM22">
        <v>892000000</v>
      </c>
      <c r="DN22">
        <v>0.24457885921001435</v>
      </c>
      <c r="DO22">
        <v>12207147700</v>
      </c>
      <c r="DP22">
        <v>-377082800</v>
      </c>
      <c r="DQ22">
        <v>1032</v>
      </c>
      <c r="DR22">
        <v>-0.37193485709622187</v>
      </c>
      <c r="DS22">
        <v>-0.96373435213153646</v>
      </c>
      <c r="DT22" s="10">
        <v>-2.3333333333333355E-2</v>
      </c>
      <c r="DU22">
        <v>0.36333333333333334</v>
      </c>
      <c r="DV22">
        <v>0.33999999999999997</v>
      </c>
      <c r="DW22">
        <v>-3.0078035714285716</v>
      </c>
      <c r="DX22">
        <v>0.28726060606060433</v>
      </c>
      <c r="DY22">
        <v>-3.0009150515151517</v>
      </c>
      <c r="DZ22">
        <v>978</v>
      </c>
      <c r="EA22">
        <v>-3.0007399203249721</v>
      </c>
      <c r="EB22">
        <v>3</v>
      </c>
      <c r="EC22">
        <v>3.2040439446185939E-2</v>
      </c>
      <c r="ED22">
        <v>0.27324129153507754</v>
      </c>
      <c r="EE22" s="11">
        <v>-3.0251100000000002</v>
      </c>
      <c r="EF22">
        <v>-3.0564100000000001</v>
      </c>
      <c r="EG22">
        <v>17.117260606060604</v>
      </c>
      <c r="EH22" t="s">
        <v>1080</v>
      </c>
      <c r="EI22">
        <v>0</v>
      </c>
      <c r="EJ22">
        <v>1</v>
      </c>
      <c r="EK22" s="13">
        <v>45470</v>
      </c>
      <c r="EL22">
        <v>0.27</v>
      </c>
      <c r="EM22">
        <v>-2.58</v>
      </c>
      <c r="EN22">
        <v>1.26</v>
      </c>
      <c r="EO22">
        <v>1.1000000000000001</v>
      </c>
      <c r="EP22">
        <v>-3.13</v>
      </c>
    </row>
    <row r="23" spans="1:146" ht="120" x14ac:dyDescent="0.25">
      <c r="A23" s="7"/>
      <c r="B23" s="7"/>
      <c r="C23" s="6" t="str">
        <f>"公司主营钢结构与钾肥业务。"&amp;CHAR(10)&amp;Basic_Fundamental_Information_Constructure(F23)&amp;CHAR(10)&amp;Basic_Fundamental_Information_Concatenate("氯化钾 9.96亿 51.51% 90.61% 67.94%
角钢塔 3.33亿 17.21% 5.30% 11.89%
钢管塔 3.02亿 15.64% 5.83% 14.39%")</f>
        <v>公司主营钢结构与钾肥业务。
市值86.586721亿, 利润6.34亿; PE13.7; 平均PE17.77; 平均PEG1.35, PB.988; ROIC5.99%; ROE7.0733%; 股利率4.3103%; 毛利29.6233%; 净利17.6633%; 上一年度营收增10.73%, 利润增-23.15%; 当季营收增13.85%, 利润增-.72%; 过往5年营收增13.2%, 利润增16.3%
Income profile:
氯化钾 9.96亿 51.51% 90.61% 67.94%
角钢塔 3.33亿 17.21% 5.30% 11.89%
钢管塔 3.02亿 15.64% 5.83% 14.39%</v>
      </c>
      <c r="D23" t="s">
        <v>450</v>
      </c>
      <c r="E23" t="s">
        <v>451</v>
      </c>
      <c r="F23">
        <v>6.96</v>
      </c>
      <c r="G23">
        <v>1.61</v>
      </c>
      <c r="H23" t="s">
        <v>1818</v>
      </c>
      <c r="I23">
        <v>8658672100</v>
      </c>
      <c r="J23">
        <v>13.7</v>
      </c>
      <c r="K23">
        <v>0.98799999999999999</v>
      </c>
      <c r="L23" t="s">
        <v>1594</v>
      </c>
      <c r="M23" t="s">
        <v>957</v>
      </c>
      <c r="N23" t="s">
        <v>1819</v>
      </c>
      <c r="O23" t="s">
        <v>1105</v>
      </c>
      <c r="P23">
        <v>13.85</v>
      </c>
      <c r="Q23" t="s">
        <v>1101</v>
      </c>
      <c r="R23">
        <v>167777790</v>
      </c>
      <c r="S23" s="4">
        <v>-9.58E-3</v>
      </c>
      <c r="T23" t="s">
        <v>854</v>
      </c>
      <c r="U23">
        <v>1130163710</v>
      </c>
      <c r="V23">
        <v>1244062080</v>
      </c>
      <c r="W23">
        <v>1.5</v>
      </c>
      <c r="X23">
        <v>7.0000000000000007E-2</v>
      </c>
      <c r="Y23">
        <v>18.72</v>
      </c>
      <c r="Z23" t="s">
        <v>1081</v>
      </c>
      <c r="AA23" t="s">
        <v>683</v>
      </c>
      <c r="AB23" t="s">
        <v>1820</v>
      </c>
      <c r="AC23" t="s">
        <v>1821</v>
      </c>
      <c r="AD23" t="s">
        <v>5</v>
      </c>
      <c r="AE23">
        <v>6598135</v>
      </c>
      <c r="AF23" t="s">
        <v>1330</v>
      </c>
      <c r="AG23" t="s">
        <v>1822</v>
      </c>
      <c r="AH23" t="s">
        <v>1331</v>
      </c>
      <c r="AI23" t="s">
        <v>1823</v>
      </c>
      <c r="AJ23" t="s">
        <v>1333</v>
      </c>
      <c r="AK23" t="s">
        <v>1824</v>
      </c>
      <c r="AL23" t="s">
        <v>1334</v>
      </c>
      <c r="AM23" t="s">
        <v>5</v>
      </c>
      <c r="AN23" t="s">
        <v>254</v>
      </c>
      <c r="AO23" t="s">
        <v>162</v>
      </c>
      <c r="AP23" t="s">
        <v>145</v>
      </c>
      <c r="AQ23" t="s">
        <v>684</v>
      </c>
      <c r="AR23" t="s">
        <v>5</v>
      </c>
      <c r="AS23" t="s">
        <v>423</v>
      </c>
      <c r="AT23" t="s">
        <v>297</v>
      </c>
      <c r="AU23" t="s">
        <v>329</v>
      </c>
      <c r="AV23" t="s">
        <v>32</v>
      </c>
      <c r="AW23" t="s">
        <v>1825</v>
      </c>
      <c r="AX23" t="s">
        <v>852</v>
      </c>
      <c r="AY23" t="s">
        <v>708</v>
      </c>
      <c r="AZ23" t="s">
        <v>709</v>
      </c>
      <c r="BA23" t="s">
        <v>452</v>
      </c>
      <c r="BB23" t="s">
        <v>453</v>
      </c>
      <c r="BC23" t="s">
        <v>841</v>
      </c>
      <c r="BD23" t="s">
        <v>252</v>
      </c>
      <c r="BE23" t="s">
        <v>316</v>
      </c>
      <c r="BF23" t="s">
        <v>404</v>
      </c>
      <c r="BG23" t="s">
        <v>279</v>
      </c>
      <c r="BH23" t="s">
        <v>1101</v>
      </c>
      <c r="BI23" t="s">
        <v>520</v>
      </c>
      <c r="BJ23" t="s">
        <v>852</v>
      </c>
      <c r="BK23" t="s">
        <v>854</v>
      </c>
      <c r="BL23" t="s">
        <v>588</v>
      </c>
      <c r="BM23" t="s">
        <v>841</v>
      </c>
      <c r="BN23">
        <v>4.8</v>
      </c>
      <c r="BO23">
        <v>8.49</v>
      </c>
      <c r="BP23">
        <v>4.68</v>
      </c>
      <c r="BQ23">
        <v>6</v>
      </c>
      <c r="BR23">
        <v>10.09</v>
      </c>
      <c r="BS23">
        <v>5.13</v>
      </c>
      <c r="BT23" t="s">
        <v>869</v>
      </c>
      <c r="BU23" t="s">
        <v>802</v>
      </c>
      <c r="BV23">
        <v>27.2</v>
      </c>
      <c r="BW23">
        <v>36</v>
      </c>
      <c r="BX23">
        <v>25.67</v>
      </c>
      <c r="BY23">
        <v>15.83</v>
      </c>
      <c r="BZ23">
        <v>22.72</v>
      </c>
      <c r="CA23">
        <v>14.44</v>
      </c>
      <c r="CB23">
        <v>2.2000000000000002</v>
      </c>
      <c r="CC23">
        <v>-9.02</v>
      </c>
      <c r="CD23" t="s">
        <v>1826</v>
      </c>
      <c r="CE23" t="s">
        <v>626</v>
      </c>
      <c r="CF23" s="8">
        <v>0.13850063532401541</v>
      </c>
      <c r="CG23" s="9">
        <v>-7.2320118343195267E-3</v>
      </c>
      <c r="CH23" s="8">
        <v>0.10730088502168655</v>
      </c>
      <c r="CI23" s="8">
        <v>0.29978427290916443</v>
      </c>
      <c r="CJ23" s="8">
        <v>4.9415338784456253E-2</v>
      </c>
      <c r="CK23" s="8">
        <v>1.7267817631363869E-2</v>
      </c>
      <c r="CL23" s="8">
        <v>0.1861630380153656</v>
      </c>
      <c r="CM23" s="9">
        <v>-0.23151515424251556</v>
      </c>
      <c r="CN23" s="9">
        <v>1.0420792102813721</v>
      </c>
      <c r="CO23" s="9">
        <v>0.30744338035583496</v>
      </c>
      <c r="CP23" s="9">
        <v>1.3114754110574722E-2</v>
      </c>
      <c r="CQ23" s="9">
        <v>-0.31614348292350769</v>
      </c>
      <c r="CR23">
        <v>17.773531508723913</v>
      </c>
      <c r="CS23">
        <v>1.3466197237870732</v>
      </c>
      <c r="CT23">
        <v>4.3103448275862073</v>
      </c>
      <c r="CU23" s="8">
        <v>0.13198627047240735</v>
      </c>
      <c r="CV23" s="9">
        <v>0.16299574151635171</v>
      </c>
      <c r="CW23">
        <v>0.06</v>
      </c>
      <c r="CX23">
        <v>6.3342950739057695</v>
      </c>
      <c r="CY23">
        <v>677055939.13160968</v>
      </c>
      <c r="CZ23">
        <v>0.13198627047240735</v>
      </c>
      <c r="DA23">
        <v>1.998028921510101</v>
      </c>
      <c r="DB23">
        <v>2146451462.1533313</v>
      </c>
      <c r="DC23">
        <v>0.12538695694878699</v>
      </c>
      <c r="DD23">
        <v>0.93743430020825524</v>
      </c>
      <c r="DE23">
        <v>4574904181.6021156</v>
      </c>
      <c r="DF23">
        <v>0.11614791801571847</v>
      </c>
      <c r="DG23">
        <v>0.53269487474358346</v>
      </c>
      <c r="DH23">
        <v>8050897996.8399048</v>
      </c>
      <c r="DI23">
        <v>0.10558901637792589</v>
      </c>
      <c r="DJ23">
        <v>0.24289912895788143</v>
      </c>
      <c r="DK23">
        <v>17656185587.819267</v>
      </c>
      <c r="DL23">
        <v>9.2390389330685135E-2</v>
      </c>
      <c r="DM23">
        <v>634000000</v>
      </c>
      <c r="DN23">
        <v>0.13198627047240735</v>
      </c>
      <c r="DO23">
        <v>4288672100</v>
      </c>
      <c r="DP23">
        <v>2189255200</v>
      </c>
      <c r="DQ23">
        <v>1038</v>
      </c>
      <c r="DR23">
        <v>6.5143648516080566E-3</v>
      </c>
      <c r="DS23">
        <v>-0.17022775335067125</v>
      </c>
      <c r="DT23" s="10">
        <v>-0.19000000000000003</v>
      </c>
      <c r="DU23">
        <v>0.16666666666666666</v>
      </c>
      <c r="DV23">
        <v>-2.3333333333333373E-2</v>
      </c>
      <c r="DW23">
        <v>-2.0901999999999998</v>
      </c>
      <c r="DX23">
        <v>0.39650886075949443</v>
      </c>
      <c r="DY23">
        <v>-2.0141170992405062</v>
      </c>
      <c r="DZ23">
        <v>1764</v>
      </c>
      <c r="EA23">
        <v>-2.0092437992287149</v>
      </c>
      <c r="EB23">
        <v>2</v>
      </c>
      <c r="EC23">
        <v>2.9815714662728084E-2</v>
      </c>
      <c r="ED23">
        <v>0.19050496258193161</v>
      </c>
      <c r="EE23" s="11">
        <v>-1.00491</v>
      </c>
      <c r="EF23">
        <v>-1.04051</v>
      </c>
      <c r="EG23">
        <v>24.156508860759494</v>
      </c>
      <c r="EH23" t="s">
        <v>879</v>
      </c>
      <c r="EI23">
        <v>0</v>
      </c>
      <c r="EJ23">
        <v>0</v>
      </c>
      <c r="EK23" s="13">
        <v>45470</v>
      </c>
      <c r="EL23">
        <v>1.3</v>
      </c>
      <c r="EM23">
        <v>-2.4300000000000002</v>
      </c>
      <c r="EN23">
        <v>1.03</v>
      </c>
      <c r="EO23">
        <v>1.89</v>
      </c>
      <c r="EP23">
        <v>-3.56</v>
      </c>
    </row>
    <row r="24" spans="1:146" ht="144" x14ac:dyDescent="0.25">
      <c r="A24" s="7"/>
      <c r="B24" s="7"/>
      <c r="C24" s="6" t="str">
        <f>"公司的主营业务为复合肥料的研发生产销售，公司的主要产品包括高塔氯基复合肥、高塔硫基复合肥、滚筒氯基复合肥、滚筒硫基复合肥和其他系列复合肥等产品系列。"&amp;CHAR(10)&amp;Basic_Fundamental_Information_Constructure(F24)&amp;CHAR(10)&amp;Basic_Fundamental_Information_Concatenate("氯基复合肥 33.36亿 59.79% 55.57% 15.59%
新型肥料及其他 11.85亿 21.23% 23.88% 18.87%
硫基复合肥 9.80亿 17.57% 18.30% 17.47%")</f>
        <v>公司的主营业务为复合肥料的研发生产销售，公司的主要产品包括高塔氯基复合肥、高塔硫基复合肥、滚筒氯基复合肥、滚筒硫基复合肥和其他系列复合肥等产品系列。
市值84.683909亿, 利润7.01亿; PE11.68; 平均PE23.58; 平均PEG1.85, PB1.33; ROIC7.44%; ROE9.15%; 股利率1.776%; 毛利16.66%; 净利6.2233%; 上一年度营收增10.54%, 利润增58.96%; 当季营收增-13.83%, 利润增11.44%; 过往5年营收增12.74%, 利润增46.64%
Income profile:
氯基复合肥 33.36亿 59.79% 55.57% 15.59%
新型肥料及其他 11.85亿 21.23% 23.88% 18.87%
硫基复合肥 9.80亿 17.57% 18.30% 17.47%</v>
      </c>
      <c r="D24" t="s">
        <v>455</v>
      </c>
      <c r="E24" t="s">
        <v>456</v>
      </c>
      <c r="F24">
        <v>7.32</v>
      </c>
      <c r="G24">
        <v>0.69</v>
      </c>
      <c r="H24" t="s">
        <v>1827</v>
      </c>
      <c r="I24">
        <v>8468390900</v>
      </c>
      <c r="J24">
        <v>11.68</v>
      </c>
      <c r="K24">
        <v>1.33</v>
      </c>
      <c r="L24" t="s">
        <v>1594</v>
      </c>
      <c r="M24" t="s">
        <v>1335</v>
      </c>
      <c r="N24" t="s">
        <v>1828</v>
      </c>
      <c r="O24" t="s">
        <v>1094</v>
      </c>
      <c r="P24">
        <v>-13.86</v>
      </c>
      <c r="Q24" t="s">
        <v>1336</v>
      </c>
      <c r="R24">
        <v>238491510</v>
      </c>
      <c r="S24" s="4">
        <v>0.11269999999999999</v>
      </c>
      <c r="T24" t="s">
        <v>1081</v>
      </c>
      <c r="U24">
        <v>1024589870</v>
      </c>
      <c r="V24">
        <v>1156884000</v>
      </c>
      <c r="W24">
        <v>1.68</v>
      </c>
      <c r="X24">
        <v>0.21</v>
      </c>
      <c r="Y24">
        <v>8.4600000000000009</v>
      </c>
      <c r="Z24" t="s">
        <v>1332</v>
      </c>
      <c r="AA24" t="s">
        <v>1829</v>
      </c>
      <c r="AB24" t="s">
        <v>1830</v>
      </c>
      <c r="AC24" t="s">
        <v>106</v>
      </c>
      <c r="AD24" t="s">
        <v>5</v>
      </c>
      <c r="AE24">
        <v>-13437439</v>
      </c>
      <c r="AF24" t="s">
        <v>1337</v>
      </c>
      <c r="AG24" t="s">
        <v>1831</v>
      </c>
      <c r="AH24" t="s">
        <v>1338</v>
      </c>
      <c r="AI24" t="s">
        <v>1832</v>
      </c>
      <c r="AJ24" t="s">
        <v>1339</v>
      </c>
      <c r="AK24" t="s">
        <v>5</v>
      </c>
      <c r="AL24" t="s">
        <v>1340</v>
      </c>
      <c r="AM24" t="s">
        <v>5</v>
      </c>
      <c r="AN24" t="s">
        <v>1552</v>
      </c>
      <c r="AO24" t="s">
        <v>199</v>
      </c>
      <c r="AP24" t="s">
        <v>1833</v>
      </c>
      <c r="AQ24" t="s">
        <v>320</v>
      </c>
      <c r="AR24" t="s">
        <v>1834</v>
      </c>
      <c r="AS24" t="s">
        <v>1286</v>
      </c>
      <c r="AT24" t="s">
        <v>840</v>
      </c>
      <c r="AU24" t="s">
        <v>1835</v>
      </c>
      <c r="AV24" t="s">
        <v>1836</v>
      </c>
      <c r="AW24" t="s">
        <v>1104</v>
      </c>
      <c r="AX24" t="s">
        <v>914</v>
      </c>
      <c r="AY24" t="s">
        <v>710</v>
      </c>
      <c r="AZ24" t="s">
        <v>915</v>
      </c>
      <c r="BA24" t="s">
        <v>256</v>
      </c>
      <c r="BB24" t="s">
        <v>458</v>
      </c>
      <c r="BC24" t="s">
        <v>272</v>
      </c>
      <c r="BD24" t="s">
        <v>378</v>
      </c>
      <c r="BE24" t="s">
        <v>417</v>
      </c>
      <c r="BF24" t="s">
        <v>44</v>
      </c>
      <c r="BG24" t="s">
        <v>160</v>
      </c>
      <c r="BH24" t="s">
        <v>1336</v>
      </c>
      <c r="BI24" t="s">
        <v>1342</v>
      </c>
      <c r="BJ24" t="s">
        <v>914</v>
      </c>
      <c r="BK24" t="s">
        <v>1081</v>
      </c>
      <c r="BL24" t="s">
        <v>141</v>
      </c>
      <c r="BM24" t="s">
        <v>272</v>
      </c>
      <c r="BN24">
        <v>8.07</v>
      </c>
      <c r="BO24">
        <v>6.86</v>
      </c>
      <c r="BP24">
        <v>7.39</v>
      </c>
      <c r="BQ24">
        <v>10.19</v>
      </c>
      <c r="BR24">
        <v>8.4600000000000009</v>
      </c>
      <c r="BS24">
        <v>8.8000000000000007</v>
      </c>
      <c r="BT24" t="s">
        <v>1343</v>
      </c>
      <c r="BU24" t="s">
        <v>806</v>
      </c>
      <c r="BV24">
        <v>17.48</v>
      </c>
      <c r="BW24">
        <v>14.23</v>
      </c>
      <c r="BX24">
        <v>18.27</v>
      </c>
      <c r="BY24">
        <v>7.23</v>
      </c>
      <c r="BZ24">
        <v>5.0199999999999996</v>
      </c>
      <c r="CA24">
        <v>6.42</v>
      </c>
      <c r="CB24">
        <v>-2.79</v>
      </c>
      <c r="CC24">
        <v>9.91</v>
      </c>
      <c r="CD24" t="s">
        <v>1837</v>
      </c>
      <c r="CE24" t="s">
        <v>1074</v>
      </c>
      <c r="CF24" s="8">
        <v>-0.13831530645689938</v>
      </c>
      <c r="CG24" s="9">
        <v>0.11444630841121495</v>
      </c>
      <c r="CH24" s="8">
        <v>0.10544367134571075</v>
      </c>
      <c r="CI24" s="8">
        <v>0.40428844094276428</v>
      </c>
      <c r="CJ24" s="8">
        <v>4.0918596088886261E-2</v>
      </c>
      <c r="CK24" s="8">
        <v>7.0464000105857849E-2</v>
      </c>
      <c r="CL24" s="8">
        <v>1.5828328207135201E-2</v>
      </c>
      <c r="CM24" s="9">
        <v>0.58956915140151978</v>
      </c>
      <c r="CN24" s="9">
        <v>3.7647057324647903E-2</v>
      </c>
      <c r="CO24" s="9">
        <v>0.4756944477558136</v>
      </c>
      <c r="CP24" s="9">
        <v>1.6666666269302368</v>
      </c>
      <c r="CQ24" s="9">
        <v>-0.4375</v>
      </c>
      <c r="CR24">
        <v>23.577886496519721</v>
      </c>
      <c r="CS24">
        <v>1.8508630394197993</v>
      </c>
      <c r="CT24">
        <v>1.7759562841530054</v>
      </c>
      <c r="CU24" s="8">
        <v>0.12738860733807086</v>
      </c>
      <c r="CV24" s="9">
        <v>0.46641545668244361</v>
      </c>
      <c r="CW24">
        <v>0.06</v>
      </c>
      <c r="CX24">
        <v>9.1291657674659259</v>
      </c>
      <c r="CY24">
        <v>745565484.66413915</v>
      </c>
      <c r="CZ24">
        <v>0.12738860733807086</v>
      </c>
      <c r="DA24">
        <v>2.8907457389295854</v>
      </c>
      <c r="DB24">
        <v>2354544991.0514579</v>
      </c>
      <c r="DC24">
        <v>0.12101917697116732</v>
      </c>
      <c r="DD24">
        <v>1.3634990663393356</v>
      </c>
      <c r="DE24">
        <v>4991855930.1059961</v>
      </c>
      <c r="DF24">
        <v>0.11210197445750236</v>
      </c>
      <c r="DG24">
        <v>0.77962397889490975</v>
      </c>
      <c r="DH24">
        <v>8730350892.5518513</v>
      </c>
      <c r="DI24">
        <v>0.1019108858704567</v>
      </c>
      <c r="DJ24">
        <v>0.36062745615409036</v>
      </c>
      <c r="DK24">
        <v>18873745700.304466</v>
      </c>
      <c r="DL24">
        <v>8.9172025136649596E-2</v>
      </c>
      <c r="DM24">
        <v>701000000</v>
      </c>
      <c r="DN24">
        <v>0.12738860733807086</v>
      </c>
      <c r="DO24">
        <v>6806390900.000001</v>
      </c>
      <c r="DP24">
        <v>1015192800.0000005</v>
      </c>
      <c r="DQ24">
        <v>1081</v>
      </c>
      <c r="DR24">
        <v>-0.26570391379497027</v>
      </c>
      <c r="DS24">
        <v>-0.35196914827122866</v>
      </c>
      <c r="DT24" s="10">
        <v>-0.28999999999999998</v>
      </c>
      <c r="DU24">
        <v>0.43333333333333335</v>
      </c>
      <c r="DV24">
        <v>0.14333333333333337</v>
      </c>
      <c r="DW24">
        <v>-6.2196850393700789</v>
      </c>
      <c r="DX24">
        <v>0.34657590303030333</v>
      </c>
      <c r="DY24">
        <v>-6.0322005330279174</v>
      </c>
      <c r="DZ24">
        <v>1374</v>
      </c>
      <c r="EA24">
        <v>-6.0235423075131704</v>
      </c>
      <c r="EB24">
        <v>6</v>
      </c>
      <c r="EC24">
        <v>8.3621261941560263E-2</v>
      </c>
      <c r="ED24">
        <v>0.57049799288433412</v>
      </c>
      <c r="EE24" s="11">
        <v>1.0697000000000001</v>
      </c>
      <c r="EF24">
        <v>1.0550999999999999</v>
      </c>
      <c r="EG24">
        <v>20.146575903030303</v>
      </c>
      <c r="EH24" t="s">
        <v>638</v>
      </c>
      <c r="EI24">
        <v>0</v>
      </c>
      <c r="EJ24">
        <v>1</v>
      </c>
      <c r="EK24" s="13">
        <v>45470</v>
      </c>
      <c r="EL24">
        <v>1.97</v>
      </c>
      <c r="EM24">
        <v>-1.1100000000000001</v>
      </c>
      <c r="EN24">
        <v>3.78</v>
      </c>
      <c r="EO24">
        <v>1.21</v>
      </c>
      <c r="EP24">
        <v>-1.46</v>
      </c>
    </row>
    <row r="25" spans="1:146" ht="96" x14ac:dyDescent="0.25">
      <c r="A25" s="6"/>
      <c r="B25" s="6"/>
      <c r="C25" s="6" t="str">
        <f>""&amp;CHAR(10)&amp;Basic_Fundamental_Information_Constructure(F25)&amp;CHAR(10)&amp;Basic_Fundamental_Information_Concatenate("")</f>
        <v xml:space="preserve">
市值25.533617亿, 利润6205.18万; PE; 平均PE10.2; 平均PEG.37, PB.985; ROIC5.22%; ROE6.9133%; 股利率2.8736%; 毛利19.4733%; 净利4.3667%; 上一年度营收增-15.79%, 利润增-71.67%; 当季营收增-16.24%, 利润增-114.26%; 过往5年营收增27.89%, 利润增-8.92%
Income profile:
</v>
      </c>
      <c r="D25" t="s">
        <v>463</v>
      </c>
      <c r="E25" t="s">
        <v>464</v>
      </c>
      <c r="F25">
        <v>6.96</v>
      </c>
      <c r="G25">
        <v>0.72</v>
      </c>
      <c r="H25" t="s">
        <v>1838</v>
      </c>
      <c r="I25">
        <v>2553361700</v>
      </c>
      <c r="K25">
        <v>0.98499999999999999</v>
      </c>
      <c r="L25" t="s">
        <v>1594</v>
      </c>
      <c r="M25" t="s">
        <v>1087</v>
      </c>
      <c r="N25" t="s">
        <v>1591</v>
      </c>
      <c r="O25" t="s">
        <v>1145</v>
      </c>
      <c r="P25">
        <v>-16.21</v>
      </c>
      <c r="Q25" t="s">
        <v>1346</v>
      </c>
      <c r="R25">
        <v>-8491732</v>
      </c>
      <c r="S25" s="4">
        <v>-1.143</v>
      </c>
      <c r="T25" t="s">
        <v>1347</v>
      </c>
      <c r="U25">
        <v>324821020</v>
      </c>
      <c r="V25">
        <v>366862310</v>
      </c>
      <c r="W25">
        <v>2.42</v>
      </c>
      <c r="X25">
        <v>0.15</v>
      </c>
      <c r="Y25">
        <v>-0.61</v>
      </c>
      <c r="Z25" t="s">
        <v>864</v>
      </c>
      <c r="AA25" t="s">
        <v>298</v>
      </c>
      <c r="AB25" t="s">
        <v>1839</v>
      </c>
      <c r="AC25" t="s">
        <v>1840</v>
      </c>
      <c r="AD25" t="s">
        <v>5</v>
      </c>
      <c r="AE25">
        <v>20806511</v>
      </c>
      <c r="AF25" t="s">
        <v>1348</v>
      </c>
      <c r="AG25" t="s">
        <v>1841</v>
      </c>
      <c r="AH25" t="s">
        <v>1349</v>
      </c>
      <c r="AI25" t="s">
        <v>187</v>
      </c>
      <c r="AJ25" t="s">
        <v>1350</v>
      </c>
      <c r="AK25" t="s">
        <v>140</v>
      </c>
      <c r="AL25" t="s">
        <v>1351</v>
      </c>
      <c r="AM25" t="s">
        <v>5</v>
      </c>
      <c r="AN25" t="s">
        <v>24</v>
      </c>
      <c r="AO25" t="s">
        <v>1545</v>
      </c>
      <c r="AP25" t="s">
        <v>219</v>
      </c>
      <c r="AQ25" t="s">
        <v>524</v>
      </c>
      <c r="AR25" t="s">
        <v>1842</v>
      </c>
      <c r="AS25" t="s">
        <v>1843</v>
      </c>
      <c r="AT25" t="s">
        <v>896</v>
      </c>
      <c r="AU25" t="s">
        <v>1439</v>
      </c>
      <c r="AV25" t="s">
        <v>1844</v>
      </c>
      <c r="AW25" t="s">
        <v>1845</v>
      </c>
      <c r="AX25" t="s">
        <v>918</v>
      </c>
      <c r="AY25" t="s">
        <v>712</v>
      </c>
      <c r="AZ25" t="s">
        <v>713</v>
      </c>
      <c r="BA25" t="s">
        <v>466</v>
      </c>
      <c r="BB25" t="s">
        <v>409</v>
      </c>
      <c r="BC25" t="s">
        <v>292</v>
      </c>
      <c r="BD25" t="s">
        <v>163</v>
      </c>
      <c r="BE25" t="s">
        <v>465</v>
      </c>
      <c r="BF25" t="s">
        <v>325</v>
      </c>
      <c r="BG25" t="s">
        <v>58</v>
      </c>
      <c r="BH25" t="s">
        <v>1346</v>
      </c>
      <c r="BI25" t="s">
        <v>1251</v>
      </c>
      <c r="BJ25" t="s">
        <v>918</v>
      </c>
      <c r="BK25" t="s">
        <v>1347</v>
      </c>
      <c r="BL25" t="s">
        <v>1352</v>
      </c>
      <c r="BM25" t="s">
        <v>292</v>
      </c>
      <c r="BN25">
        <v>1.1100000000000001</v>
      </c>
      <c r="BO25">
        <v>5.58</v>
      </c>
      <c r="BP25">
        <v>8.9700000000000006</v>
      </c>
      <c r="BQ25">
        <v>0.8</v>
      </c>
      <c r="BR25">
        <v>8.01</v>
      </c>
      <c r="BS25">
        <v>11.93</v>
      </c>
      <c r="BT25" t="s">
        <v>866</v>
      </c>
      <c r="BU25" t="s">
        <v>627</v>
      </c>
      <c r="BV25">
        <v>16.98</v>
      </c>
      <c r="BW25">
        <v>18.84</v>
      </c>
      <c r="BX25">
        <v>22.6</v>
      </c>
      <c r="BY25">
        <v>1.5</v>
      </c>
      <c r="BZ25">
        <v>4.53</v>
      </c>
      <c r="CA25">
        <v>7.07</v>
      </c>
      <c r="CB25">
        <v>1.02</v>
      </c>
      <c r="CC25">
        <v>1.31</v>
      </c>
      <c r="CD25" t="s">
        <v>1846</v>
      </c>
      <c r="CE25" t="s">
        <v>1847</v>
      </c>
      <c r="CF25" s="8">
        <v>-0.16243654822335024</v>
      </c>
      <c r="CG25" s="9">
        <v>-1.1426057779666112</v>
      </c>
      <c r="CH25" s="8">
        <v>-0.15789473056793213</v>
      </c>
      <c r="CI25" s="8">
        <v>5.867457389831543E-2</v>
      </c>
      <c r="CJ25" s="8">
        <v>7.9763025045394897E-2</v>
      </c>
      <c r="CK25" s="8">
        <v>0.54888802766799927</v>
      </c>
      <c r="CL25" s="8">
        <v>0.86504268646240234</v>
      </c>
      <c r="CM25" s="9">
        <v>-0.71665841341018677</v>
      </c>
      <c r="CN25" s="9">
        <v>-0.28664496541023254</v>
      </c>
      <c r="CO25" s="9">
        <v>-0.20466321706771851</v>
      </c>
      <c r="CP25" s="9">
        <v>0.19875776767730713</v>
      </c>
      <c r="CQ25" s="9">
        <v>0.56310677528381348</v>
      </c>
      <c r="CR25">
        <v>10.199495250430113</v>
      </c>
      <c r="CS25">
        <v>0.36571131136451313</v>
      </c>
      <c r="CT25">
        <v>2.8735632183908044</v>
      </c>
      <c r="CU25" s="8">
        <v>0.27889471650123598</v>
      </c>
      <c r="CV25" s="9">
        <v>-8.9220410585403448E-2</v>
      </c>
      <c r="CW25">
        <v>0.06</v>
      </c>
      <c r="CX25">
        <v>49.974261401525297</v>
      </c>
      <c r="CY25">
        <v>74865772.801312625</v>
      </c>
      <c r="CZ25">
        <v>0.27889471650123598</v>
      </c>
      <c r="DA25">
        <v>13.96714277696918</v>
      </c>
      <c r="DB25">
        <v>267868794.6234242</v>
      </c>
      <c r="DC25">
        <v>0.26494998067617415</v>
      </c>
      <c r="DD25">
        <v>5.5049119908153505</v>
      </c>
      <c r="DE25">
        <v>679640602.10994482</v>
      </c>
      <c r="DF25">
        <v>0.24542735052108766</v>
      </c>
      <c r="DG25">
        <v>2.5252091088503783</v>
      </c>
      <c r="DH25">
        <v>1481604706.2745173</v>
      </c>
      <c r="DI25">
        <v>0.2231157732009888</v>
      </c>
      <c r="DJ25">
        <v>0.67958612037853472</v>
      </c>
      <c r="DK25">
        <v>5505353314.0377159</v>
      </c>
      <c r="DL25">
        <v>0.19522630155086518</v>
      </c>
      <c r="DM25">
        <v>62051800</v>
      </c>
      <c r="DN25">
        <v>0.27889471650123598</v>
      </c>
      <c r="DO25">
        <v>3741361700</v>
      </c>
      <c r="DP25">
        <v>-135008700</v>
      </c>
      <c r="DQ25">
        <v>1217</v>
      </c>
      <c r="DR25">
        <v>-0.44133126472458623</v>
      </c>
      <c r="DS25">
        <v>-1.0533853673812077</v>
      </c>
      <c r="DT25" s="10">
        <v>-0.29000000000000004</v>
      </c>
      <c r="DU25">
        <v>-1.2983333333333333</v>
      </c>
      <c r="DV25">
        <v>-1.5883333333333334</v>
      </c>
      <c r="DW25">
        <v>1.3100000000000001E-2</v>
      </c>
      <c r="DX25">
        <v>0.38656034238541337</v>
      </c>
      <c r="DY25">
        <v>1.9199404852489109E-3</v>
      </c>
      <c r="DZ25">
        <v>4087</v>
      </c>
      <c r="EA25">
        <v>3.8436381925824575E-4</v>
      </c>
      <c r="EB25">
        <v>0</v>
      </c>
      <c r="EC25">
        <v>3.4126700014509528E-2</v>
      </c>
      <c r="ED25">
        <v>0.23285084804705067</v>
      </c>
      <c r="EE25" s="11">
        <v>2.9709999999999997E-2</v>
      </c>
      <c r="EF25">
        <v>4.8510000000000005E-2</v>
      </c>
      <c r="EG25">
        <v>24.146560342385413</v>
      </c>
      <c r="EH25">
        <v>-1</v>
      </c>
      <c r="EI25">
        <v>0</v>
      </c>
      <c r="EJ25">
        <v>0</v>
      </c>
      <c r="EK25" s="13">
        <v>45470</v>
      </c>
      <c r="EL25">
        <v>0</v>
      </c>
      <c r="EM25">
        <v>-4.2300000000000004</v>
      </c>
      <c r="EN25">
        <v>-0.15</v>
      </c>
      <c r="EO25">
        <v>2.06</v>
      </c>
      <c r="EP25">
        <v>-1.88</v>
      </c>
    </row>
    <row r="26" spans="1:146" ht="96" x14ac:dyDescent="0.25">
      <c r="A26" s="6"/>
      <c r="B26" s="6"/>
      <c r="C26" s="6" t="str">
        <f>""&amp;CHAR(10)&amp;Basic_Fundamental_Information_Constructure(F26)&amp;CHAR(10)&amp;Basic_Fundamental_Information_Concatenate("")</f>
        <v xml:space="preserve">
市值71.269673亿, 利润3.02亿; PE22.61; 平均PE34.79; 平均PEG2.1, PB4.09; ROIC9.8%; ROE12.6367%; 股利率1.6308%; 毛利41.3333%; 净利13.0833%; 上一年度营收增12.86%, 利润增164.91%; 当季营收增9.25%, 利润增24.24%; 过往5年营收增16.58%, 利润增22.27%
Income profile:
</v>
      </c>
      <c r="D26" t="s">
        <v>467</v>
      </c>
      <c r="E26" t="s">
        <v>468</v>
      </c>
      <c r="F26">
        <v>15.33</v>
      </c>
      <c r="G26">
        <v>0.92</v>
      </c>
      <c r="H26" t="s">
        <v>1848</v>
      </c>
      <c r="I26">
        <v>7126967300</v>
      </c>
      <c r="J26">
        <v>22.61</v>
      </c>
      <c r="K26">
        <v>4.09</v>
      </c>
      <c r="L26" t="s">
        <v>1594</v>
      </c>
      <c r="M26" t="s">
        <v>926</v>
      </c>
      <c r="N26" t="s">
        <v>1849</v>
      </c>
      <c r="O26" t="s">
        <v>1082</v>
      </c>
      <c r="P26">
        <v>9.25</v>
      </c>
      <c r="Q26" t="s">
        <v>1212</v>
      </c>
      <c r="R26">
        <v>67756313</v>
      </c>
      <c r="S26" s="4">
        <v>0.2424</v>
      </c>
      <c r="T26" t="s">
        <v>166</v>
      </c>
      <c r="U26">
        <v>419162160</v>
      </c>
      <c r="V26">
        <v>464903280</v>
      </c>
      <c r="W26">
        <v>1.36</v>
      </c>
      <c r="X26">
        <v>0.14000000000000001</v>
      </c>
      <c r="Y26">
        <v>19.48</v>
      </c>
      <c r="Z26" t="s">
        <v>185</v>
      </c>
      <c r="AA26" t="s">
        <v>58</v>
      </c>
      <c r="AB26" t="s">
        <v>1850</v>
      </c>
      <c r="AC26" t="s">
        <v>1851</v>
      </c>
      <c r="AD26" t="s">
        <v>5</v>
      </c>
      <c r="AE26">
        <v>-2973313</v>
      </c>
      <c r="AF26" t="s">
        <v>1353</v>
      </c>
      <c r="AG26" t="s">
        <v>1852</v>
      </c>
      <c r="AH26" t="s">
        <v>1354</v>
      </c>
      <c r="AI26" t="s">
        <v>1539</v>
      </c>
      <c r="AJ26" t="s">
        <v>1355</v>
      </c>
      <c r="AK26" t="s">
        <v>1853</v>
      </c>
      <c r="AL26" t="s">
        <v>1356</v>
      </c>
      <c r="AM26" t="s">
        <v>5</v>
      </c>
      <c r="AN26" t="s">
        <v>1854</v>
      </c>
      <c r="AO26" t="s">
        <v>1855</v>
      </c>
      <c r="AP26" t="s">
        <v>1856</v>
      </c>
      <c r="AQ26" t="s">
        <v>1857</v>
      </c>
      <c r="AR26" t="s">
        <v>5</v>
      </c>
      <c r="AS26" t="s">
        <v>28</v>
      </c>
      <c r="AT26" t="s">
        <v>5</v>
      </c>
      <c r="AU26" t="s">
        <v>1858</v>
      </c>
      <c r="AV26" t="s">
        <v>120</v>
      </c>
      <c r="AW26" t="s">
        <v>856</v>
      </c>
      <c r="AX26" t="s">
        <v>920</v>
      </c>
      <c r="AY26" t="s">
        <v>386</v>
      </c>
      <c r="AZ26" t="s">
        <v>269</v>
      </c>
      <c r="BA26" t="s">
        <v>265</v>
      </c>
      <c r="BB26" t="s">
        <v>469</v>
      </c>
      <c r="BC26" t="s">
        <v>67</v>
      </c>
      <c r="BD26" t="s">
        <v>58</v>
      </c>
      <c r="BE26" t="s">
        <v>96</v>
      </c>
      <c r="BF26" t="s">
        <v>124</v>
      </c>
      <c r="BG26" t="s">
        <v>210</v>
      </c>
      <c r="BH26" t="s">
        <v>1212</v>
      </c>
      <c r="BI26" t="s">
        <v>442</v>
      </c>
      <c r="BJ26" t="s">
        <v>920</v>
      </c>
      <c r="BK26" t="s">
        <v>166</v>
      </c>
      <c r="BL26" t="s">
        <v>1357</v>
      </c>
      <c r="BM26" t="s">
        <v>67</v>
      </c>
      <c r="BN26">
        <v>10.94</v>
      </c>
      <c r="BO26">
        <v>6.15</v>
      </c>
      <c r="BP26">
        <v>12.31</v>
      </c>
      <c r="BQ26">
        <v>14.35</v>
      </c>
      <c r="BR26">
        <v>8.0399999999999991</v>
      </c>
      <c r="BS26">
        <v>15.52</v>
      </c>
      <c r="BT26" t="s">
        <v>872</v>
      </c>
      <c r="BU26" t="s">
        <v>627</v>
      </c>
      <c r="BV26">
        <v>41.55</v>
      </c>
      <c r="BW26">
        <v>37.869999999999997</v>
      </c>
      <c r="BX26">
        <v>44.58</v>
      </c>
      <c r="BY26">
        <v>17.25</v>
      </c>
      <c r="BZ26">
        <v>6.99</v>
      </c>
      <c r="CA26">
        <v>15.01</v>
      </c>
      <c r="CB26">
        <v>1.93</v>
      </c>
      <c r="CC26">
        <v>-1.35</v>
      </c>
      <c r="CD26" t="s">
        <v>1859</v>
      </c>
      <c r="CE26" t="s">
        <v>74</v>
      </c>
      <c r="CF26" s="8">
        <v>9.2537313432835819E-2</v>
      </c>
      <c r="CG26" s="9">
        <v>0.24241897982609589</v>
      </c>
      <c r="CH26" s="8">
        <v>0.12864077091217041</v>
      </c>
      <c r="CI26" s="8">
        <v>0.21354933083057404</v>
      </c>
      <c r="CJ26" s="8">
        <v>0.170689657330513</v>
      </c>
      <c r="CK26" s="8">
        <v>0.14398421347141266</v>
      </c>
      <c r="CL26" s="8">
        <v>0.17225433886051178</v>
      </c>
      <c r="CM26" s="9">
        <v>1.6491228342056274</v>
      </c>
      <c r="CN26" s="9">
        <v>-0.44660192728042603</v>
      </c>
      <c r="CO26" s="9">
        <v>0.20467835664749146</v>
      </c>
      <c r="CP26" s="9">
        <v>-0.1492537260055542</v>
      </c>
      <c r="CQ26" s="9">
        <v>-0.14468085765838623</v>
      </c>
      <c r="CR26">
        <v>34.793981936533768</v>
      </c>
      <c r="CS26">
        <v>2.0982519296652162</v>
      </c>
      <c r="CT26">
        <v>1.6307893020221786</v>
      </c>
      <c r="CU26" s="8">
        <v>0.16582366228103637</v>
      </c>
      <c r="CV26" s="9">
        <v>0.22265293598175048</v>
      </c>
      <c r="CW26">
        <v>0.06</v>
      </c>
      <c r="CX26">
        <v>17.811144265555757</v>
      </c>
      <c r="CY26">
        <v>332149760.38572919</v>
      </c>
      <c r="CZ26">
        <v>0.16582366228103637</v>
      </c>
      <c r="DA26">
        <v>5.4616270258508015</v>
      </c>
      <c r="DB26">
        <v>1083187715.3087769</v>
      </c>
      <c r="DC26">
        <v>0.15753247916698454</v>
      </c>
      <c r="DD26">
        <v>2.4634921257984144</v>
      </c>
      <c r="DE26">
        <v>2401455737.5874066</v>
      </c>
      <c r="DF26">
        <v>0.145924822807312</v>
      </c>
      <c r="DG26">
        <v>1.3360114598507509</v>
      </c>
      <c r="DH26">
        <v>4428081253.6300306</v>
      </c>
      <c r="DI26">
        <v>0.1326589298248291</v>
      </c>
      <c r="DJ26">
        <v>0.54562448760158522</v>
      </c>
      <c r="DK26">
        <v>10842561934.866526</v>
      </c>
      <c r="DL26">
        <v>0.11607656359672545</v>
      </c>
      <c r="DM26">
        <v>302000000</v>
      </c>
      <c r="DN26">
        <v>0.16582366228103637</v>
      </c>
      <c r="DO26">
        <v>5915967300</v>
      </c>
      <c r="DP26">
        <v>1487641200</v>
      </c>
      <c r="DQ26">
        <v>1230</v>
      </c>
      <c r="DR26">
        <v>-7.3286348848200553E-2</v>
      </c>
      <c r="DS26">
        <v>1.976604384434541E-2</v>
      </c>
      <c r="DT26" s="10">
        <v>-5.6666666666666719E-2</v>
      </c>
      <c r="DU26">
        <v>0.53666666666666663</v>
      </c>
      <c r="DV26">
        <v>0.47999999999999993</v>
      </c>
      <c r="DW26">
        <v>-1.3500000000000002E-2</v>
      </c>
      <c r="DX26">
        <v>0.32885641025640894</v>
      </c>
      <c r="DY26">
        <v>-1.8745615384615389E-3</v>
      </c>
      <c r="DZ26">
        <v>741</v>
      </c>
      <c r="EA26">
        <v>-1.6027317732951983E-3</v>
      </c>
      <c r="EB26">
        <v>0</v>
      </c>
      <c r="EC26">
        <v>3.494533314542328E-2</v>
      </c>
      <c r="ED26">
        <v>0.2516652495977228</v>
      </c>
      <c r="EE26" s="11">
        <v>3.0556100000000002</v>
      </c>
      <c r="EF26">
        <v>3.09131</v>
      </c>
      <c r="EG26">
        <v>19.138856410256409</v>
      </c>
      <c r="EH26" t="s">
        <v>1150</v>
      </c>
      <c r="EI26">
        <v>0</v>
      </c>
      <c r="EJ26">
        <v>1</v>
      </c>
      <c r="EK26" s="13">
        <v>45470</v>
      </c>
      <c r="EL26">
        <v>-0.74</v>
      </c>
      <c r="EM26">
        <v>-3.06</v>
      </c>
      <c r="EN26">
        <v>-0.77</v>
      </c>
      <c r="EO26">
        <v>2.02</v>
      </c>
      <c r="EP26">
        <v>-3.57</v>
      </c>
    </row>
    <row r="27" spans="1:146" ht="144" x14ac:dyDescent="0.25">
      <c r="A27" s="6"/>
      <c r="B27" s="6"/>
      <c r="C27" s="6" t="str">
        <f>"公司主营业务为磷酸二氢钙,磷酸一铵与少量掺混肥,水溶肥及聚磷酸铵的生产，销售,公司主要产品为磷酸二氢钙,磷酸一铵，其中：磷酸二氢钙为饲料级，磷酸一铵主要为消防用，少量为肥料用。"&amp;CHAR(10)&amp;Basic_Fundamental_Information_Constructure(F27)&amp;CHAR(10)&amp;Basic_Fundamental_Information_Concatenate("磷化工 18.21亿 71.97% 68.64% 27.06%
其他 4.00亿 15.81% 4.66% 8.37%
磷矿石开采 3.09亿 12.22% 26.70% 61.99%")</f>
        <v>公司主营业务为磷酸二氢钙,磷酸一铵与少量掺混肥,水溶肥及聚磷酸铵的生产，销售,公司主要产品为磷酸二氢钙,磷酸一铵，其中：磷酸二氢钙为饲料级，磷酸一铵主要为消防用，少量为肥料用。
市值96.862278亿, 利润7.66亿; PE13.04; 平均PE25.34; 平均PEG.9, PB1.71; ROIC9.21%; ROE13.8333%; 股利率5.596%; 毛利37.4467%; 净利18.7767%; 上一年度营收增25.33%, 利润增.92%; 当季营收增4.61%, 利润增-14.78%; 过往5年营收增28.23%, 利润增75.41%
Income profile:
磷化工 18.21亿 71.97% 68.64% 27.06%
其他 4.00亿 15.81% 4.66% 8.37%
磷矿石开采 3.09亿 12.22% 26.70% 61.99%</v>
      </c>
      <c r="D27" t="s">
        <v>474</v>
      </c>
      <c r="E27" t="s">
        <v>475</v>
      </c>
      <c r="F27">
        <v>17.87</v>
      </c>
      <c r="G27">
        <v>0.56000000000000005</v>
      </c>
      <c r="H27" t="s">
        <v>1860</v>
      </c>
      <c r="I27">
        <v>9686227800</v>
      </c>
      <c r="J27">
        <v>13.04</v>
      </c>
      <c r="K27">
        <v>1.71</v>
      </c>
      <c r="L27" t="s">
        <v>1594</v>
      </c>
      <c r="M27" t="s">
        <v>1358</v>
      </c>
      <c r="N27" t="s">
        <v>1205</v>
      </c>
      <c r="O27" t="s">
        <v>893</v>
      </c>
      <c r="P27">
        <v>4.53</v>
      </c>
      <c r="Q27" t="s">
        <v>1359</v>
      </c>
      <c r="R27">
        <v>134641450</v>
      </c>
      <c r="S27" s="4">
        <v>-0.1497</v>
      </c>
      <c r="T27" t="s">
        <v>175</v>
      </c>
      <c r="U27">
        <v>499679990</v>
      </c>
      <c r="V27">
        <v>542038490</v>
      </c>
      <c r="W27">
        <v>1.86</v>
      </c>
      <c r="X27">
        <v>0.09</v>
      </c>
      <c r="Y27">
        <v>11.88</v>
      </c>
      <c r="Z27" t="s">
        <v>1328</v>
      </c>
      <c r="AA27" t="s">
        <v>1133</v>
      </c>
      <c r="AB27" t="s">
        <v>1861</v>
      </c>
      <c r="AC27" t="s">
        <v>1862</v>
      </c>
      <c r="AD27" t="s">
        <v>5</v>
      </c>
      <c r="AE27">
        <v>32712438</v>
      </c>
      <c r="AF27" t="s">
        <v>1360</v>
      </c>
      <c r="AG27" t="s">
        <v>1863</v>
      </c>
      <c r="AH27" t="s">
        <v>1361</v>
      </c>
      <c r="AI27" t="s">
        <v>1864</v>
      </c>
      <c r="AJ27" t="s">
        <v>1362</v>
      </c>
      <c r="AK27" t="s">
        <v>211</v>
      </c>
      <c r="AL27" t="s">
        <v>1363</v>
      </c>
      <c r="AM27" t="s">
        <v>5</v>
      </c>
      <c r="AN27" t="s">
        <v>788</v>
      </c>
      <c r="AO27" t="s">
        <v>773</v>
      </c>
      <c r="AP27" t="s">
        <v>1865</v>
      </c>
      <c r="AQ27" t="s">
        <v>1866</v>
      </c>
      <c r="AR27" t="s">
        <v>5</v>
      </c>
      <c r="AS27" t="s">
        <v>1867</v>
      </c>
      <c r="AT27" t="s">
        <v>1868</v>
      </c>
      <c r="AU27" t="s">
        <v>1387</v>
      </c>
      <c r="AV27" t="s">
        <v>1869</v>
      </c>
      <c r="AW27" t="s">
        <v>331</v>
      </c>
      <c r="AX27" t="s">
        <v>921</v>
      </c>
      <c r="AY27" t="s">
        <v>716</v>
      </c>
      <c r="AZ27" t="s">
        <v>717</v>
      </c>
      <c r="BA27" t="s">
        <v>410</v>
      </c>
      <c r="BB27" t="s">
        <v>419</v>
      </c>
      <c r="BC27" t="s">
        <v>685</v>
      </c>
      <c r="BD27" t="s">
        <v>266</v>
      </c>
      <c r="BE27" t="s">
        <v>37</v>
      </c>
      <c r="BF27" t="s">
        <v>203</v>
      </c>
      <c r="BG27" t="s">
        <v>476</v>
      </c>
      <c r="BH27" t="s">
        <v>1359</v>
      </c>
      <c r="BI27" t="s">
        <v>614</v>
      </c>
      <c r="BJ27" t="s">
        <v>921</v>
      </c>
      <c r="BK27" t="s">
        <v>175</v>
      </c>
      <c r="BL27" t="s">
        <v>69</v>
      </c>
      <c r="BM27" t="s">
        <v>685</v>
      </c>
      <c r="BN27">
        <v>6.47</v>
      </c>
      <c r="BO27">
        <v>12.11</v>
      </c>
      <c r="BP27">
        <v>9.0500000000000007</v>
      </c>
      <c r="BQ27">
        <v>10.88</v>
      </c>
      <c r="BR27">
        <v>19.14</v>
      </c>
      <c r="BS27">
        <v>11.48</v>
      </c>
      <c r="BT27" t="s">
        <v>876</v>
      </c>
      <c r="BU27" t="s">
        <v>803</v>
      </c>
      <c r="BV27">
        <v>39.04</v>
      </c>
      <c r="BW27">
        <v>44.93</v>
      </c>
      <c r="BX27">
        <v>28.37</v>
      </c>
      <c r="BY27">
        <v>18.260000000000002</v>
      </c>
      <c r="BZ27">
        <v>22.87</v>
      </c>
      <c r="CA27">
        <v>15.2</v>
      </c>
      <c r="CB27">
        <v>-2.4</v>
      </c>
      <c r="CC27">
        <v>-13.04</v>
      </c>
      <c r="CD27" t="s">
        <v>1870</v>
      </c>
      <c r="CE27" t="s">
        <v>588</v>
      </c>
      <c r="CF27" s="8">
        <v>4.6092184368737472E-2</v>
      </c>
      <c r="CG27" s="9">
        <v>-0.14783892405063292</v>
      </c>
      <c r="CH27" s="8">
        <v>0.2532636821269989</v>
      </c>
      <c r="CI27" s="8">
        <v>0.36245068907737732</v>
      </c>
      <c r="CJ27" s="8">
        <v>0.42374786734580994</v>
      </c>
      <c r="CK27" s="8">
        <v>1.6009148210287094E-2</v>
      </c>
      <c r="CL27" s="8">
        <v>0.3558138906955719</v>
      </c>
      <c r="CM27" s="9">
        <v>9.2226611450314522E-3</v>
      </c>
      <c r="CN27" s="9">
        <v>1.0625</v>
      </c>
      <c r="CO27" s="9">
        <v>1.5734266042709351</v>
      </c>
      <c r="CP27" s="9">
        <v>-0.20555555820465088</v>
      </c>
      <c r="CQ27" s="9">
        <v>1.3311501741409302</v>
      </c>
      <c r="CR27">
        <v>25.343181631762324</v>
      </c>
      <c r="CS27">
        <v>0.8978759304229913</v>
      </c>
      <c r="CT27">
        <v>5.5959709009513148</v>
      </c>
      <c r="CU27" s="8">
        <v>0.28225705549120905</v>
      </c>
      <c r="CV27" s="9">
        <v>0.75414877627044918</v>
      </c>
      <c r="CW27">
        <v>0.06</v>
      </c>
      <c r="CX27">
        <v>9.7518984241085089</v>
      </c>
      <c r="CY27">
        <v>926612174.06251502</v>
      </c>
      <c r="CZ27">
        <v>0.28225705549120905</v>
      </c>
      <c r="DA27">
        <v>2.7181334537976465</v>
      </c>
      <c r="DB27">
        <v>3324423893.6741729</v>
      </c>
      <c r="DC27">
        <v>0.26814420271664857</v>
      </c>
      <c r="DD27">
        <v>1.0669550629817846</v>
      </c>
      <c r="DE27">
        <v>8469173738.9077549</v>
      </c>
      <c r="DF27">
        <v>0.24838620883226398</v>
      </c>
      <c r="DG27">
        <v>0.48689556115524524</v>
      </c>
      <c r="DH27">
        <v>18558862558.861622</v>
      </c>
      <c r="DI27">
        <v>0.22580564439296724</v>
      </c>
      <c r="DJ27">
        <v>0.12930451854794575</v>
      </c>
      <c r="DK27">
        <v>69883310355.077744</v>
      </c>
      <c r="DL27">
        <v>0.19757993884384634</v>
      </c>
      <c r="DM27">
        <v>766000000</v>
      </c>
      <c r="DN27">
        <v>0.28225705549120905</v>
      </c>
      <c r="DO27">
        <v>9036227800</v>
      </c>
      <c r="DP27">
        <v>1526616000</v>
      </c>
      <c r="DQ27">
        <v>1361</v>
      </c>
      <c r="DR27">
        <v>-0.23616487112247159</v>
      </c>
      <c r="DS27">
        <v>-0.90198770032108211</v>
      </c>
      <c r="DT27" s="10">
        <v>0.10999999999999995</v>
      </c>
      <c r="DU27">
        <v>0.65</v>
      </c>
      <c r="DV27">
        <v>0.76</v>
      </c>
      <c r="DW27">
        <v>-2.1303999999999998</v>
      </c>
      <c r="DX27">
        <v>0.26630000000000076</v>
      </c>
      <c r="DY27">
        <v>-2.01516552</v>
      </c>
      <c r="DZ27">
        <v>396</v>
      </c>
      <c r="EA27">
        <v>-2.0139902663953033</v>
      </c>
      <c r="EB27">
        <v>2</v>
      </c>
      <c r="EC27">
        <v>3.6260709087282711E-2</v>
      </c>
      <c r="ED27">
        <v>0.31178597667482988</v>
      </c>
      <c r="EE27" s="11">
        <v>1.0134000000000001</v>
      </c>
      <c r="EF27">
        <v>1.0275099999999999</v>
      </c>
      <c r="EG27">
        <v>15.116300000000001</v>
      </c>
      <c r="EH27" t="s">
        <v>880</v>
      </c>
      <c r="EI27">
        <v>0</v>
      </c>
      <c r="EJ27">
        <v>1</v>
      </c>
      <c r="EK27" s="13">
        <v>45470</v>
      </c>
      <c r="EL27">
        <v>-1.19</v>
      </c>
      <c r="EM27">
        <v>-2.69</v>
      </c>
      <c r="EN27">
        <v>2.65</v>
      </c>
      <c r="EO27">
        <v>5.98</v>
      </c>
      <c r="EP27">
        <v>-4.09</v>
      </c>
    </row>
    <row r="28" spans="1:146" ht="96" x14ac:dyDescent="0.25">
      <c r="A28" s="6"/>
      <c r="B28" s="6"/>
      <c r="C28" s="6" t="str">
        <f>""&amp;CHAR(10)&amp;Basic_Fundamental_Information_Constructure(F28)&amp;CHAR(10)&amp;Basic_Fundamental_Information_Concatenate("")</f>
        <v xml:space="preserve">
市值18.7044亿, 利润-2537.43万; PE; 平均PE16.71; 平均PEG11.52, PB1.62; ROIC7.5967%; ROE7.6733%; 股利率1.6681%; 毛利26.0467%; 净利5.63%; 上一年度营收增-34.21%, 利润增-125.12%; 当季营收增.73%, 利润增525.44%; 过往5年营收增-1.45%, 利润增-27.82%
Income profile:
</v>
      </c>
      <c r="D28" t="s">
        <v>482</v>
      </c>
      <c r="E28" t="s">
        <v>483</v>
      </c>
      <c r="F28">
        <v>11.99</v>
      </c>
      <c r="G28">
        <v>3.63</v>
      </c>
      <c r="H28" t="s">
        <v>1871</v>
      </c>
      <c r="I28">
        <v>1870440000</v>
      </c>
      <c r="K28">
        <v>1.62</v>
      </c>
      <c r="L28" t="s">
        <v>1594</v>
      </c>
      <c r="M28" t="s">
        <v>135</v>
      </c>
      <c r="N28" t="s">
        <v>1872</v>
      </c>
      <c r="O28" t="s">
        <v>227</v>
      </c>
      <c r="P28">
        <v>0.63</v>
      </c>
      <c r="Q28" t="s">
        <v>967</v>
      </c>
      <c r="R28">
        <v>67500000</v>
      </c>
      <c r="S28" s="4">
        <v>1.7589999999999999</v>
      </c>
      <c r="T28" t="s">
        <v>1366</v>
      </c>
      <c r="U28">
        <v>139780880</v>
      </c>
      <c r="V28">
        <v>156000000</v>
      </c>
      <c r="W28">
        <v>1.29</v>
      </c>
      <c r="X28">
        <v>0.19</v>
      </c>
      <c r="Y28">
        <v>10.75</v>
      </c>
      <c r="Z28" t="s">
        <v>164</v>
      </c>
      <c r="AA28" t="s">
        <v>138</v>
      </c>
      <c r="AB28" t="s">
        <v>1873</v>
      </c>
      <c r="AC28" t="s">
        <v>1874</v>
      </c>
      <c r="AD28" t="s">
        <v>5</v>
      </c>
      <c r="AE28">
        <v>-648011</v>
      </c>
      <c r="AF28" t="s">
        <v>1367</v>
      </c>
      <c r="AG28" t="s">
        <v>1875</v>
      </c>
      <c r="AH28" t="s">
        <v>1368</v>
      </c>
      <c r="AI28" t="s">
        <v>1876</v>
      </c>
      <c r="AJ28" t="s">
        <v>1369</v>
      </c>
      <c r="AK28" t="s">
        <v>5</v>
      </c>
      <c r="AL28" t="s">
        <v>1370</v>
      </c>
      <c r="AM28" t="s">
        <v>5</v>
      </c>
      <c r="AN28" t="s">
        <v>68</v>
      </c>
      <c r="AO28" t="s">
        <v>5</v>
      </c>
      <c r="AP28" t="s">
        <v>67</v>
      </c>
      <c r="AQ28" t="s">
        <v>149</v>
      </c>
      <c r="AR28" t="s">
        <v>1877</v>
      </c>
      <c r="AS28" t="s">
        <v>346</v>
      </c>
      <c r="AT28" t="s">
        <v>5</v>
      </c>
      <c r="AU28" t="s">
        <v>1878</v>
      </c>
      <c r="AV28" t="s">
        <v>1879</v>
      </c>
      <c r="AW28" t="s">
        <v>1880</v>
      </c>
      <c r="AX28" t="s">
        <v>550</v>
      </c>
      <c r="AY28" t="s">
        <v>720</v>
      </c>
      <c r="AZ28" t="s">
        <v>300</v>
      </c>
      <c r="BA28" t="s">
        <v>485</v>
      </c>
      <c r="BB28" t="s">
        <v>486</v>
      </c>
      <c r="BC28" t="s">
        <v>87</v>
      </c>
      <c r="BD28" t="s">
        <v>192</v>
      </c>
      <c r="BE28" t="s">
        <v>161</v>
      </c>
      <c r="BF28" t="s">
        <v>73</v>
      </c>
      <c r="BG28" t="s">
        <v>26</v>
      </c>
      <c r="BH28" t="s">
        <v>967</v>
      </c>
      <c r="BI28" t="s">
        <v>255</v>
      </c>
      <c r="BJ28" t="s">
        <v>550</v>
      </c>
      <c r="BK28" t="s">
        <v>1366</v>
      </c>
      <c r="BL28" t="s">
        <v>1371</v>
      </c>
      <c r="BM28" t="s">
        <v>87</v>
      </c>
      <c r="BN28">
        <v>1.65</v>
      </c>
      <c r="BO28">
        <v>8.65</v>
      </c>
      <c r="BP28">
        <v>12.49</v>
      </c>
      <c r="BQ28">
        <v>1.89</v>
      </c>
      <c r="BR28">
        <v>8.7899999999999991</v>
      </c>
      <c r="BS28">
        <v>12.34</v>
      </c>
      <c r="BT28" t="s">
        <v>866</v>
      </c>
      <c r="BU28" t="s">
        <v>627</v>
      </c>
      <c r="BV28">
        <v>22</v>
      </c>
      <c r="BW28">
        <v>25.53</v>
      </c>
      <c r="BX28">
        <v>30.61</v>
      </c>
      <c r="BY28">
        <v>-3.09</v>
      </c>
      <c r="BZ28">
        <v>8.1199999999999992</v>
      </c>
      <c r="CA28">
        <v>11.86</v>
      </c>
      <c r="CB28">
        <v>1.7</v>
      </c>
      <c r="CC28">
        <v>-15.21</v>
      </c>
      <c r="CD28" t="s">
        <v>1881</v>
      </c>
      <c r="CE28" t="s">
        <v>1882</v>
      </c>
      <c r="CF28" s="8">
        <v>7.2727272727272727E-3</v>
      </c>
      <c r="CG28" s="9">
        <v>5.2544012453207811</v>
      </c>
      <c r="CH28" s="8">
        <v>-0.34214743971824646</v>
      </c>
      <c r="CI28" s="8">
        <v>7.3086783289909363E-2</v>
      </c>
      <c r="CJ28" s="8">
        <v>-2.596309594810009E-2</v>
      </c>
      <c r="CK28" s="8">
        <v>9.944751113653183E-2</v>
      </c>
      <c r="CL28" s="8">
        <v>0.12306101620197296</v>
      </c>
      <c r="CM28" s="9">
        <v>-1.2512307167053223</v>
      </c>
      <c r="CN28" s="9">
        <v>-0.26811593770980835</v>
      </c>
      <c r="CO28" s="9">
        <v>-0.21142856776714325</v>
      </c>
      <c r="CP28" s="9">
        <v>0.12903225421905518</v>
      </c>
      <c r="CQ28" s="9">
        <v>0.2109375</v>
      </c>
      <c r="CR28">
        <v>16.709664326424672</v>
      </c>
      <c r="CS28">
        <v>11.521486913737025</v>
      </c>
      <c r="CT28">
        <v>1.6680567139282736</v>
      </c>
      <c r="CU28" s="8">
        <v>-1.4503045007586479E-2</v>
      </c>
      <c r="CV28" s="9">
        <v>-0.27816109359264374</v>
      </c>
      <c r="CW28">
        <v>0.06</v>
      </c>
      <c r="CX28" t="e">
        <v>#VALUE!</v>
      </c>
      <c r="CY28" t="s">
        <v>643</v>
      </c>
      <c r="CZ28">
        <v>-1.4503045007586479E-2</v>
      </c>
      <c r="DA28" t="e">
        <v>#VALUE!</v>
      </c>
      <c r="DB28" t="s">
        <v>643</v>
      </c>
      <c r="DC28">
        <v>-1.3777892757207155E-2</v>
      </c>
      <c r="DD28" t="e">
        <v>#VALUE!</v>
      </c>
      <c r="DE28" t="s">
        <v>643</v>
      </c>
      <c r="DF28">
        <v>-1.2762679606676102E-2</v>
      </c>
      <c r="DG28" t="e">
        <v>#VALUE!</v>
      </c>
      <c r="DH28" t="s">
        <v>643</v>
      </c>
      <c r="DI28">
        <v>-1.1602436006069184E-2</v>
      </c>
      <c r="DJ28" t="e">
        <v>#VALUE!</v>
      </c>
      <c r="DK28" t="s">
        <v>643</v>
      </c>
      <c r="DL28">
        <v>-1.0152131505310535E-2</v>
      </c>
      <c r="DM28">
        <v>-25374300</v>
      </c>
      <c r="DN28">
        <v>-1.4503045007586479E-2</v>
      </c>
      <c r="DO28">
        <v>1069440000</v>
      </c>
      <c r="DP28">
        <v>429015890</v>
      </c>
      <c r="DQ28">
        <v>1404</v>
      </c>
      <c r="DR28">
        <v>2.177577228031375E-2</v>
      </c>
      <c r="DS28">
        <v>5.5325623389134249</v>
      </c>
      <c r="DT28" s="10">
        <v>-0.60666666666666669</v>
      </c>
      <c r="DU28">
        <v>-0.49333333333333323</v>
      </c>
      <c r="DV28">
        <v>-1.0999999999999999</v>
      </c>
      <c r="DW28">
        <v>-2.1520999999999999</v>
      </c>
      <c r="DX28">
        <v>0.41511038957015356</v>
      </c>
      <c r="DY28">
        <v>-2.0296762902536201</v>
      </c>
      <c r="DZ28">
        <v>4224</v>
      </c>
      <c r="EA28">
        <v>-2.005145438975481</v>
      </c>
      <c r="EB28">
        <v>2</v>
      </c>
      <c r="EC28">
        <v>4.0368589743589742E-2</v>
      </c>
      <c r="ED28">
        <v>0.20690128205128205</v>
      </c>
      <c r="EE28" s="11">
        <v>-2.0868000000000002</v>
      </c>
      <c r="EF28">
        <v>-2.0573000000000001</v>
      </c>
      <c r="EG28">
        <v>22.195110389570154</v>
      </c>
      <c r="EH28" t="s">
        <v>886</v>
      </c>
      <c r="EI28">
        <v>0</v>
      </c>
      <c r="EJ28">
        <v>0</v>
      </c>
      <c r="EK28" s="13">
        <v>45470</v>
      </c>
      <c r="EL28">
        <v>0.64</v>
      </c>
      <c r="EM28">
        <v>-5.61</v>
      </c>
      <c r="EN28">
        <v>1.51</v>
      </c>
      <c r="EO28">
        <v>2.35</v>
      </c>
      <c r="EP28">
        <v>-2.95</v>
      </c>
    </row>
    <row r="29" spans="1:146" ht="132" x14ac:dyDescent="0.25">
      <c r="A29" s="6"/>
      <c r="B29" s="6"/>
      <c r="C29" s="6" t="str">
        <f>"公司的主营业务是化肥、农药等农资产品的销售并提供专业农技服务,主要产品为氮肥、钾肥、复混肥、中低毒农药。"&amp;CHAR(10)&amp;Basic_Fundamental_Information_Constructure(F29)&amp;CHAR(10)&amp;Basic_Fundamental_Information_Concatenate("化肥 68.42亿 72.90% 72.49% 7.07%
农药 15.65亿 16.67% 26.98% 11.51%
化工 9.24亿 9.85% 1.39% 1.01%")</f>
        <v>公司的主营业务是化肥、农药等农资产品的销售并提供专业农技服务,主要产品为氮肥、钾肥、复混肥、中低毒农药。
市值18.943764亿, 利润1.00亿; PE19.84; 平均PE20.58; 平均PEG1.21, PB1.53; ROIC5.5767%; ROE7.6067%; 股利率2.2018%; 毛利6.92%; 净利.93%; 上一年度营收增6.94%, 利润增-5.66%; 当季营收增-16.96%, 利润增-40.58%; 过往5年营收增16.95%, 利润增2.62%
Income profile:
化肥 68.42亿 72.90% 72.49% 7.07%
农药 15.65亿 16.67% 26.98% 11.51%
化工 9.24亿 9.85% 1.39% 1.01%</v>
      </c>
      <c r="D29" t="s">
        <v>488</v>
      </c>
      <c r="E29" t="s">
        <v>489</v>
      </c>
      <c r="F29">
        <v>5.45</v>
      </c>
      <c r="G29">
        <v>1.3</v>
      </c>
      <c r="H29" t="s">
        <v>1883</v>
      </c>
      <c r="I29">
        <v>1894376400</v>
      </c>
      <c r="J29">
        <v>19.84</v>
      </c>
      <c r="K29">
        <v>1.53</v>
      </c>
      <c r="L29" t="s">
        <v>1594</v>
      </c>
      <c r="M29" t="s">
        <v>1372</v>
      </c>
      <c r="N29" t="s">
        <v>810</v>
      </c>
      <c r="O29" t="s">
        <v>1373</v>
      </c>
      <c r="P29">
        <v>-16.97</v>
      </c>
      <c r="Q29" t="s">
        <v>1374</v>
      </c>
      <c r="R29">
        <v>6880224</v>
      </c>
      <c r="S29" s="4">
        <v>-0.40579999999999999</v>
      </c>
      <c r="T29" t="s">
        <v>129</v>
      </c>
      <c r="U29">
        <v>341477150</v>
      </c>
      <c r="V29">
        <v>347592000</v>
      </c>
      <c r="W29">
        <v>6.25</v>
      </c>
      <c r="X29">
        <v>0.4</v>
      </c>
      <c r="Y29">
        <v>0.21</v>
      </c>
      <c r="Z29" t="s">
        <v>1884</v>
      </c>
      <c r="AA29" t="s">
        <v>1885</v>
      </c>
      <c r="AB29" t="s">
        <v>1886</v>
      </c>
      <c r="AC29" t="s">
        <v>1887</v>
      </c>
      <c r="AD29" t="s">
        <v>5</v>
      </c>
      <c r="AE29">
        <v>9807969</v>
      </c>
      <c r="AF29" t="s">
        <v>1375</v>
      </c>
      <c r="AG29" t="s">
        <v>1888</v>
      </c>
      <c r="AH29" t="s">
        <v>1376</v>
      </c>
      <c r="AI29" t="s">
        <v>1889</v>
      </c>
      <c r="AJ29" t="s">
        <v>1377</v>
      </c>
      <c r="AK29" t="s">
        <v>5</v>
      </c>
      <c r="AL29" t="s">
        <v>1378</v>
      </c>
      <c r="AM29" t="s">
        <v>5</v>
      </c>
      <c r="AN29" t="s">
        <v>1097</v>
      </c>
      <c r="AO29" t="s">
        <v>1890</v>
      </c>
      <c r="AP29" t="s">
        <v>1441</v>
      </c>
      <c r="AQ29" t="s">
        <v>175</v>
      </c>
      <c r="AR29" t="s">
        <v>5</v>
      </c>
      <c r="AS29" t="s">
        <v>1891</v>
      </c>
      <c r="AT29" t="s">
        <v>5</v>
      </c>
      <c r="AU29" t="s">
        <v>1892</v>
      </c>
      <c r="AV29" t="s">
        <v>928</v>
      </c>
      <c r="AW29" t="s">
        <v>1893</v>
      </c>
      <c r="AX29" t="s">
        <v>922</v>
      </c>
      <c r="AY29" t="s">
        <v>721</v>
      </c>
      <c r="AZ29" t="s">
        <v>723</v>
      </c>
      <c r="BA29" t="s">
        <v>490</v>
      </c>
      <c r="BB29" t="s">
        <v>491</v>
      </c>
      <c r="BC29" t="s">
        <v>82</v>
      </c>
      <c r="BD29" t="s">
        <v>722</v>
      </c>
      <c r="BE29" t="s">
        <v>724</v>
      </c>
      <c r="BF29" t="s">
        <v>492</v>
      </c>
      <c r="BG29" t="s">
        <v>493</v>
      </c>
      <c r="BH29" t="s">
        <v>1374</v>
      </c>
      <c r="BI29" t="s">
        <v>1379</v>
      </c>
      <c r="BJ29" t="s">
        <v>922</v>
      </c>
      <c r="BK29" t="s">
        <v>129</v>
      </c>
      <c r="BL29" t="s">
        <v>1380</v>
      </c>
      <c r="BM29" t="s">
        <v>82</v>
      </c>
      <c r="BN29">
        <v>2.4900000000000002</v>
      </c>
      <c r="BO29">
        <v>6.79</v>
      </c>
      <c r="BP29">
        <v>7.45</v>
      </c>
      <c r="BQ29">
        <v>4.16</v>
      </c>
      <c r="BR29">
        <v>9.41</v>
      </c>
      <c r="BS29">
        <v>9.25</v>
      </c>
      <c r="BT29" t="s">
        <v>1320</v>
      </c>
      <c r="BU29" t="s">
        <v>806</v>
      </c>
      <c r="BV29">
        <v>5.99</v>
      </c>
      <c r="BW29">
        <v>7.11</v>
      </c>
      <c r="BX29">
        <v>7.66</v>
      </c>
      <c r="BY29">
        <v>0.6</v>
      </c>
      <c r="BZ29">
        <v>1.01</v>
      </c>
      <c r="CA29">
        <v>1.18</v>
      </c>
      <c r="CB29">
        <v>1.87</v>
      </c>
      <c r="CC29">
        <v>-19.14</v>
      </c>
      <c r="CD29" t="s">
        <v>1894</v>
      </c>
      <c r="CE29" t="s">
        <v>119</v>
      </c>
      <c r="CF29" s="8">
        <v>-0.16961765460610725</v>
      </c>
      <c r="CG29" s="9">
        <v>-0.40578100979393006</v>
      </c>
      <c r="CH29" s="8">
        <v>6.9429166615009308E-2</v>
      </c>
      <c r="CI29" s="8">
        <v>0.11569231003522873</v>
      </c>
      <c r="CJ29" s="8">
        <v>0.29520764946937561</v>
      </c>
      <c r="CK29" s="8">
        <v>0.11373729258775711</v>
      </c>
      <c r="CL29" s="8">
        <v>0.2532331645488739</v>
      </c>
      <c r="CM29" s="9">
        <v>-5.6603774428367615E-2</v>
      </c>
      <c r="CN29" s="9">
        <v>8.1365622580051422E-2</v>
      </c>
      <c r="CO29" s="9">
        <v>0.23279641568660736</v>
      </c>
      <c r="CP29" s="9">
        <v>2.7349933981895447E-2</v>
      </c>
      <c r="CQ29" s="9">
        <v>-0.15406201779842377</v>
      </c>
      <c r="CR29">
        <v>20.575124468889296</v>
      </c>
      <c r="CS29">
        <v>1.2141587742683253</v>
      </c>
      <c r="CT29">
        <v>2.2018348623853208</v>
      </c>
      <c r="CU29" s="8">
        <v>0.16945991665124893</v>
      </c>
      <c r="CV29" s="9">
        <v>2.6169236004352569E-2</v>
      </c>
      <c r="CW29">
        <v>0.06</v>
      </c>
      <c r="CX29">
        <v>52.864736071528512</v>
      </c>
      <c r="CY29">
        <v>110326407.23124988</v>
      </c>
      <c r="CZ29">
        <v>0.16945991665124893</v>
      </c>
      <c r="DA29">
        <v>16.161562792323245</v>
      </c>
      <c r="DB29">
        <v>360879481.45524538</v>
      </c>
      <c r="DC29">
        <v>0.16098692081868649</v>
      </c>
      <c r="DD29">
        <v>7.2587208893924933</v>
      </c>
      <c r="DE29">
        <v>803499196.19076729</v>
      </c>
      <c r="DF29">
        <v>0.14912472665309906</v>
      </c>
      <c r="DG29">
        <v>3.9164602537478634</v>
      </c>
      <c r="DH29">
        <v>1489195861.0887721</v>
      </c>
      <c r="DI29">
        <v>0.13556793332099915</v>
      </c>
      <c r="DJ29">
        <v>1.5799034018579126</v>
      </c>
      <c r="DK29">
        <v>3691603165.8273058</v>
      </c>
      <c r="DL29">
        <v>0.11862194165587424</v>
      </c>
      <c r="DM29">
        <v>100000000</v>
      </c>
      <c r="DN29">
        <v>0.16945991665124893</v>
      </c>
      <c r="DO29">
        <v>5832376400</v>
      </c>
      <c r="DP29">
        <v>651176599.99999905</v>
      </c>
      <c r="DQ29">
        <v>1456</v>
      </c>
      <c r="DR29">
        <v>-0.33907757125735616</v>
      </c>
      <c r="DS29">
        <v>-0.43195024579828262</v>
      </c>
      <c r="DT29" s="10">
        <v>-0.20666666666666669</v>
      </c>
      <c r="DU29">
        <v>-0.18666666666666665</v>
      </c>
      <c r="DV29">
        <v>-0.39333333333333331</v>
      </c>
      <c r="DW29">
        <v>-3.0355119047619046</v>
      </c>
      <c r="DX29">
        <v>0.28470320855614994</v>
      </c>
      <c r="DY29">
        <v>-3.0051386865609881</v>
      </c>
      <c r="DZ29">
        <v>2665</v>
      </c>
      <c r="EA29">
        <v>-3.0024587257615689</v>
      </c>
      <c r="EB29">
        <v>3</v>
      </c>
      <c r="EC29">
        <v>7.7848454509885159E-2</v>
      </c>
      <c r="ED29">
        <v>0.53798706529494345</v>
      </c>
      <c r="EE29" s="11">
        <v>2.0224099999999998</v>
      </c>
      <c r="EF29">
        <v>2.0481099999999999</v>
      </c>
      <c r="EG29">
        <v>14.14470320855615</v>
      </c>
      <c r="EH29" t="s">
        <v>882</v>
      </c>
      <c r="EI29">
        <v>0</v>
      </c>
      <c r="EJ29">
        <v>0</v>
      </c>
      <c r="EK29" s="13">
        <v>45470</v>
      </c>
      <c r="EL29">
        <v>-0.54</v>
      </c>
      <c r="EM29">
        <v>-3.99</v>
      </c>
      <c r="EN29">
        <v>0.94</v>
      </c>
      <c r="EO29">
        <v>1.87</v>
      </c>
      <c r="EP29">
        <v>-2.57</v>
      </c>
    </row>
    <row r="30" spans="1:146" ht="84" x14ac:dyDescent="0.25">
      <c r="A30" s="6"/>
      <c r="B30" s="6"/>
      <c r="C30" s="6" t="str">
        <f>""&amp;CHAR(10)&amp;Basic_Fundamental_Information_Constructure(F30)&amp;CHAR(10)&amp;Basic_Fundamental_Information_Concatenate("")</f>
        <v xml:space="preserve">
市值18.009472亿, 利润-1.92亿; PE; 平均PE22.76; 平均PEG5.42, PB1.24; ROIC5.245%; ROE1.8733%; 股利率0%; 毛利18.4333%; 净利-.5333%; 上一年度营收增-13.04%, 利润增-362.52%; 当季营收增-12.87%, 利润增-226.52%; 过往5年营收增4.2%, 利润增-92.51%
Income profile:
</v>
      </c>
      <c r="D30" t="s">
        <v>495</v>
      </c>
      <c r="E30" t="s">
        <v>496</v>
      </c>
      <c r="F30">
        <v>12.64</v>
      </c>
      <c r="G30">
        <v>0.96</v>
      </c>
      <c r="H30" t="s">
        <v>1895</v>
      </c>
      <c r="I30">
        <v>1800947200</v>
      </c>
      <c r="K30">
        <v>1.24</v>
      </c>
      <c r="L30" t="s">
        <v>1594</v>
      </c>
      <c r="M30" t="s">
        <v>385</v>
      </c>
      <c r="N30" t="s">
        <v>1896</v>
      </c>
      <c r="O30" t="s">
        <v>805</v>
      </c>
      <c r="P30">
        <v>-12.78</v>
      </c>
      <c r="Q30" t="s">
        <v>1381</v>
      </c>
      <c r="R30">
        <v>-21535377</v>
      </c>
      <c r="S30" s="4">
        <v>-2.2650000000000001</v>
      </c>
      <c r="T30" t="s">
        <v>551</v>
      </c>
      <c r="U30">
        <v>127365745</v>
      </c>
      <c r="V30">
        <v>142480000</v>
      </c>
      <c r="W30">
        <v>2.5099999999999998</v>
      </c>
      <c r="X30">
        <v>0.12</v>
      </c>
      <c r="Y30">
        <v>-4.8899999999999997</v>
      </c>
      <c r="Z30" t="s">
        <v>597</v>
      </c>
      <c r="AA30" t="s">
        <v>480</v>
      </c>
      <c r="AB30" t="s">
        <v>1897</v>
      </c>
      <c r="AC30" t="s">
        <v>1898</v>
      </c>
      <c r="AD30" t="s">
        <v>5</v>
      </c>
      <c r="AE30">
        <v>6823671</v>
      </c>
      <c r="AF30" t="s">
        <v>31</v>
      </c>
      <c r="AG30" t="s">
        <v>1899</v>
      </c>
      <c r="AH30" t="s">
        <v>1382</v>
      </c>
      <c r="AI30" t="s">
        <v>421</v>
      </c>
      <c r="AJ30" t="s">
        <v>1383</v>
      </c>
      <c r="AK30" t="s">
        <v>1900</v>
      </c>
      <c r="AL30" t="s">
        <v>1384</v>
      </c>
      <c r="AM30" t="s">
        <v>5</v>
      </c>
      <c r="AN30" t="s">
        <v>1137</v>
      </c>
      <c r="AO30" t="s">
        <v>1901</v>
      </c>
      <c r="AP30" t="s">
        <v>252</v>
      </c>
      <c r="AQ30" t="s">
        <v>189</v>
      </c>
      <c r="AR30" t="s">
        <v>5</v>
      </c>
      <c r="AS30" t="s">
        <v>1093</v>
      </c>
      <c r="AT30" t="s">
        <v>107</v>
      </c>
      <c r="AU30" t="s">
        <v>1902</v>
      </c>
      <c r="AV30" t="s">
        <v>917</v>
      </c>
      <c r="AW30" t="s">
        <v>1903</v>
      </c>
      <c r="AX30" t="s">
        <v>728</v>
      </c>
      <c r="AY30" t="s">
        <v>725</v>
      </c>
      <c r="AZ30" t="s">
        <v>727</v>
      </c>
      <c r="BA30" t="s">
        <v>497</v>
      </c>
      <c r="BB30" t="s">
        <v>213</v>
      </c>
      <c r="BC30" t="s">
        <v>923</v>
      </c>
      <c r="BD30" t="s">
        <v>726</v>
      </c>
      <c r="BE30" t="s">
        <v>55</v>
      </c>
      <c r="BF30" t="s">
        <v>49</v>
      </c>
      <c r="BG30" t="s">
        <v>164</v>
      </c>
      <c r="BH30" t="s">
        <v>1381</v>
      </c>
      <c r="BI30" t="s">
        <v>664</v>
      </c>
      <c r="BJ30" t="s">
        <v>728</v>
      </c>
      <c r="BK30" t="s">
        <v>551</v>
      </c>
      <c r="BL30" t="s">
        <v>1386</v>
      </c>
      <c r="BM30" t="s">
        <v>923</v>
      </c>
      <c r="BN30" t="s">
        <v>5</v>
      </c>
      <c r="BO30">
        <v>4.2</v>
      </c>
      <c r="BP30">
        <v>6.29</v>
      </c>
      <c r="BQ30">
        <v>-5.49</v>
      </c>
      <c r="BR30">
        <v>4.3</v>
      </c>
      <c r="BS30">
        <v>6.81</v>
      </c>
      <c r="BT30" t="s">
        <v>865</v>
      </c>
      <c r="BU30" t="s">
        <v>627</v>
      </c>
      <c r="BV30">
        <v>9</v>
      </c>
      <c r="BW30">
        <v>21.1</v>
      </c>
      <c r="BX30">
        <v>25.2</v>
      </c>
      <c r="BY30">
        <v>-11.45</v>
      </c>
      <c r="BZ30">
        <v>3.78</v>
      </c>
      <c r="CA30">
        <v>6.07</v>
      </c>
      <c r="CB30">
        <v>7.94</v>
      </c>
      <c r="CC30">
        <v>-12.77</v>
      </c>
      <c r="CD30" t="s">
        <v>1904</v>
      </c>
      <c r="CE30" t="s">
        <v>1905</v>
      </c>
      <c r="CF30" s="8">
        <v>-0.12871287128712861</v>
      </c>
      <c r="CG30" s="9">
        <v>-2.2652388254371121</v>
      </c>
      <c r="CH30" s="8">
        <v>-0.13036730885505676</v>
      </c>
      <c r="CI30" s="8">
        <v>0.18953846395015717</v>
      </c>
      <c r="CJ30" s="8">
        <v>3.6352001130580902E-2</v>
      </c>
      <c r="CK30" s="8">
        <v>0.14703725278377533</v>
      </c>
      <c r="CL30" s="8">
        <v>-3.2554760575294495E-2</v>
      </c>
      <c r="CM30" s="9">
        <v>-3.6251778602600098</v>
      </c>
      <c r="CN30" s="9">
        <v>-0.25819787383079529</v>
      </c>
      <c r="CO30" s="9">
        <v>-5.1972154527902603E-2</v>
      </c>
      <c r="CP30" s="9">
        <v>-0.29251700639724731</v>
      </c>
      <c r="CQ30" s="9">
        <v>-0.39754098653793335</v>
      </c>
      <c r="CR30">
        <v>22.761610741874168</v>
      </c>
      <c r="CS30">
        <v>5.4192853648434252</v>
      </c>
      <c r="CT30">
        <v>0</v>
      </c>
      <c r="CU30" s="8">
        <v>4.2001129686832429E-2</v>
      </c>
      <c r="CV30" s="9">
        <v>-0.92508117631077769</v>
      </c>
      <c r="CW30">
        <v>0.06</v>
      </c>
      <c r="CX30" t="e">
        <v>#VALUE!</v>
      </c>
      <c r="CY30" t="s">
        <v>674</v>
      </c>
      <c r="CZ30">
        <v>4.2001129686832429E-2</v>
      </c>
      <c r="DA30" t="e">
        <v>#VALUE!</v>
      </c>
      <c r="DB30" t="s">
        <v>643</v>
      </c>
      <c r="DC30">
        <v>3.9901073202490804E-2</v>
      </c>
      <c r="DD30" t="e">
        <v>#VALUE!</v>
      </c>
      <c r="DE30" t="s">
        <v>643</v>
      </c>
      <c r="DF30">
        <v>3.696099412441254E-2</v>
      </c>
      <c r="DG30" t="e">
        <v>#VALUE!</v>
      </c>
      <c r="DH30" t="s">
        <v>643</v>
      </c>
      <c r="DI30">
        <v>3.3600903749465942E-2</v>
      </c>
      <c r="DJ30" t="e">
        <v>#VALUE!</v>
      </c>
      <c r="DK30" t="s">
        <v>643</v>
      </c>
      <c r="DL30">
        <v>2.9400790780782698E-2</v>
      </c>
      <c r="DM30">
        <v>-192000000</v>
      </c>
      <c r="DN30">
        <v>4.2001129686832429E-2</v>
      </c>
      <c r="DO30">
        <v>2615947200</v>
      </c>
      <c r="DP30">
        <v>-202703800</v>
      </c>
      <c r="DQ30">
        <v>1496</v>
      </c>
      <c r="DR30">
        <v>-0.17071400097396103</v>
      </c>
      <c r="DS30">
        <v>-1.3401576491263345</v>
      </c>
      <c r="DT30" s="10">
        <v>-0.28999999999999998</v>
      </c>
      <c r="DU30">
        <v>-2.0150000000000001</v>
      </c>
      <c r="DV30">
        <v>-2.3050000000000002</v>
      </c>
      <c r="DW30">
        <v>7.38338966682762</v>
      </c>
      <c r="DX30">
        <v>0.55288752108151507</v>
      </c>
      <c r="DY30">
        <v>7.1621307058129995</v>
      </c>
      <c r="DZ30">
        <v>4580</v>
      </c>
      <c r="EA30">
        <v>7.0168159049081975</v>
      </c>
      <c r="EB30">
        <v>7</v>
      </c>
      <c r="EC30">
        <v>0.22002526670409883</v>
      </c>
      <c r="ED30">
        <v>0.52029267265581136</v>
      </c>
      <c r="EE30" s="11">
        <v>-1.08761</v>
      </c>
      <c r="EF30">
        <v>-1.09781</v>
      </c>
      <c r="EG30">
        <v>13.422887521081515</v>
      </c>
      <c r="EH30" t="s">
        <v>879</v>
      </c>
      <c r="EI30">
        <v>1</v>
      </c>
      <c r="EJ30">
        <v>0</v>
      </c>
      <c r="EK30" s="13">
        <v>45470</v>
      </c>
      <c r="EL30">
        <v>-1.46</v>
      </c>
      <c r="EM30">
        <v>-5.27</v>
      </c>
      <c r="EN30">
        <v>0</v>
      </c>
      <c r="EO30">
        <v>1.91</v>
      </c>
      <c r="EP30">
        <v>-1.02</v>
      </c>
    </row>
    <row r="31" spans="1:146" ht="168" x14ac:dyDescent="0.25">
      <c r="C31" s="6" t="str">
        <f>"公司的主营业务是从事创新农药中间体、医药中间体的研发、生产和销售。公司主要产品可划分为两大系列四大类,即农药中间体系列(含杀虫剂中间体和除草剂中间体)和医药中间体系列(含抗肿瘤药中间体和抗癫痫药中间体)。"&amp;CHAR(10)&amp;Basic_Fundamental_Information_Constructure(F31)&amp;CHAR(10)&amp;Basic_Fundamental_Information_Concatenate("农药中间体 6.79亿 61.90% 61.33% 28.54%
医药中间体 2.98亿 27.11% 26.60% 28.26%
环保产品 7326.52万 6.68% 8.73% 37.65%
特种化学品 3480.77万 3.17% 1.04% 9.44%")</f>
        <v>公司的主营业务是从事创新农药中间体、医药中间体的研发、生产和销售。公司主要产品可划分为两大系列四大类,即农药中间体系列(含杀虫剂中间体和除草剂中间体)和医药中间体系列(含抗肿瘤药中间体和抗癫痫药中间体)。
市值51.82605亿, 利润-8229.38万; PE; 平均PE44.02; 平均PEG9.35, PB2.29; ROIC5.8233%; ROE6.8967%; 股利率0%; 毛利27.7033%; 净利4.9167%; 上一年度营收增-36.08%, 利润增-140.54%; 当季营收增-54.07%, 利润增-185.65%; 过往5年营收增-4.71%, 利润增-13.61%
Income profile:
农药中间体 6.79亿 61.90% 61.33% 28.54%
医药中间体 2.98亿 27.11% 26.60% 28.26%
环保产品 7326.52万 6.68% 8.73% 37.65%
特种化学品 3480.77万 3.17% 1.04% 9.44%</v>
      </c>
      <c r="D31" t="s">
        <v>502</v>
      </c>
      <c r="E31" t="s">
        <v>503</v>
      </c>
      <c r="F31">
        <v>5.38</v>
      </c>
      <c r="G31">
        <v>2.09</v>
      </c>
      <c r="H31" t="s">
        <v>1906</v>
      </c>
      <c r="I31">
        <v>5182605000</v>
      </c>
      <c r="K31">
        <v>2.29</v>
      </c>
      <c r="L31" t="s">
        <v>1594</v>
      </c>
      <c r="M31" t="s">
        <v>1392</v>
      </c>
      <c r="N31" t="s">
        <v>1907</v>
      </c>
      <c r="O31" t="s">
        <v>27</v>
      </c>
      <c r="P31">
        <v>-54.06</v>
      </c>
      <c r="Q31" t="s">
        <v>1141</v>
      </c>
      <c r="R31">
        <v>-45576668</v>
      </c>
      <c r="S31" s="4">
        <v>-1.8560000000000001</v>
      </c>
      <c r="T31" t="s">
        <v>1393</v>
      </c>
      <c r="U31">
        <v>937079380</v>
      </c>
      <c r="V31">
        <v>963309470</v>
      </c>
      <c r="W31">
        <v>1.74</v>
      </c>
      <c r="X31">
        <v>0.05</v>
      </c>
      <c r="Y31">
        <v>-20.14</v>
      </c>
      <c r="Z31" t="s">
        <v>293</v>
      </c>
      <c r="AA31" t="s">
        <v>180</v>
      </c>
      <c r="AB31" t="s">
        <v>1908</v>
      </c>
      <c r="AC31" t="s">
        <v>1909</v>
      </c>
      <c r="AD31" t="s">
        <v>5</v>
      </c>
      <c r="AE31">
        <v>10328358</v>
      </c>
      <c r="AF31" t="s">
        <v>1394</v>
      </c>
      <c r="AG31" t="s">
        <v>1910</v>
      </c>
      <c r="AH31" t="s">
        <v>1395</v>
      </c>
      <c r="AI31" t="s">
        <v>91</v>
      </c>
      <c r="AJ31" t="s">
        <v>1396</v>
      </c>
      <c r="AK31" t="s">
        <v>1911</v>
      </c>
      <c r="AL31" t="s">
        <v>1397</v>
      </c>
      <c r="AM31" t="s">
        <v>5</v>
      </c>
      <c r="AN31" t="s">
        <v>130</v>
      </c>
      <c r="AO31" t="s">
        <v>776</v>
      </c>
      <c r="AP31" t="s">
        <v>1912</v>
      </c>
      <c r="AQ31" t="s">
        <v>247</v>
      </c>
      <c r="AR31" t="s">
        <v>5</v>
      </c>
      <c r="AS31" t="s">
        <v>1913</v>
      </c>
      <c r="AT31" t="s">
        <v>60</v>
      </c>
      <c r="AU31" t="s">
        <v>1914</v>
      </c>
      <c r="AV31" t="s">
        <v>1915</v>
      </c>
      <c r="AW31" t="s">
        <v>74</v>
      </c>
      <c r="AX31" t="s">
        <v>372</v>
      </c>
      <c r="AY31" t="s">
        <v>733</v>
      </c>
      <c r="AZ31" t="s">
        <v>734</v>
      </c>
      <c r="BA31" t="s">
        <v>504</v>
      </c>
      <c r="BB31" t="s">
        <v>289</v>
      </c>
      <c r="BC31" t="s">
        <v>182</v>
      </c>
      <c r="BD31" t="s">
        <v>321</v>
      </c>
      <c r="BE31" t="s">
        <v>46</v>
      </c>
      <c r="BF31" t="s">
        <v>505</v>
      </c>
      <c r="BG31" t="s">
        <v>46</v>
      </c>
      <c r="BH31" t="s">
        <v>1141</v>
      </c>
      <c r="BI31" t="s">
        <v>270</v>
      </c>
      <c r="BJ31" t="s">
        <v>372</v>
      </c>
      <c r="BK31" t="s">
        <v>1393</v>
      </c>
      <c r="BL31" t="s">
        <v>1399</v>
      </c>
      <c r="BM31" t="s">
        <v>182</v>
      </c>
      <c r="BN31">
        <v>2.59</v>
      </c>
      <c r="BO31">
        <v>7.71</v>
      </c>
      <c r="BP31">
        <v>7.17</v>
      </c>
      <c r="BQ31">
        <v>3.17</v>
      </c>
      <c r="BR31">
        <v>8.9</v>
      </c>
      <c r="BS31">
        <v>8.6199999999999992</v>
      </c>
      <c r="BT31" t="s">
        <v>865</v>
      </c>
      <c r="BU31" t="s">
        <v>627</v>
      </c>
      <c r="BV31">
        <v>23.47</v>
      </c>
      <c r="BW31">
        <v>31.04</v>
      </c>
      <c r="BX31">
        <v>28.6</v>
      </c>
      <c r="BY31">
        <v>-5.66</v>
      </c>
      <c r="BZ31">
        <v>10.97</v>
      </c>
      <c r="CA31">
        <v>9.44</v>
      </c>
      <c r="CB31">
        <v>1.51</v>
      </c>
      <c r="CC31">
        <v>-13.09</v>
      </c>
      <c r="CD31" t="s">
        <v>1916</v>
      </c>
      <c r="CE31" t="s">
        <v>211</v>
      </c>
      <c r="CF31" s="8">
        <v>-0.5407098121085594</v>
      </c>
      <c r="CG31" s="9">
        <v>-1.8564579735527189</v>
      </c>
      <c r="CH31" s="8">
        <v>-0.36081957817077637</v>
      </c>
      <c r="CI31" s="8">
        <v>-3.4266378730535507E-2</v>
      </c>
      <c r="CJ31" s="8">
        <v>3.4448295831680298E-2</v>
      </c>
      <c r="CK31" s="8">
        <v>0.20372599363327026</v>
      </c>
      <c r="CL31" s="8">
        <v>-7.862679660320282E-2</v>
      </c>
      <c r="CM31" s="9">
        <v>-1.4053881168365479</v>
      </c>
      <c r="CN31" s="9">
        <v>0.11538461595773697</v>
      </c>
      <c r="CO31" s="9">
        <v>0.1304347813129425</v>
      </c>
      <c r="CP31" s="9">
        <v>0.97198325395584106</v>
      </c>
      <c r="CQ31" s="9">
        <v>-0.49289628863334656</v>
      </c>
      <c r="CR31">
        <v>44.022983510013951</v>
      </c>
      <c r="CS31">
        <v>9.3451792872817734</v>
      </c>
      <c r="CT31">
        <v>0</v>
      </c>
      <c r="CU31" s="8">
        <v>-4.7107692807912827E-2</v>
      </c>
      <c r="CV31" s="9">
        <v>-0.13609635084867477</v>
      </c>
      <c r="CW31">
        <v>0.06</v>
      </c>
      <c r="CX31" t="e">
        <v>#VALUE!</v>
      </c>
      <c r="CY31" t="s">
        <v>674</v>
      </c>
      <c r="CZ31">
        <v>-4.7107692807912827E-2</v>
      </c>
      <c r="DA31" t="e">
        <v>#VALUE!</v>
      </c>
      <c r="DB31" t="s">
        <v>643</v>
      </c>
      <c r="DC31">
        <v>-4.4752308167517185E-2</v>
      </c>
      <c r="DD31" t="e">
        <v>#VALUE!</v>
      </c>
      <c r="DE31" t="s">
        <v>643</v>
      </c>
      <c r="DF31">
        <v>-4.1454769670963287E-2</v>
      </c>
      <c r="DG31" t="e">
        <v>#VALUE!</v>
      </c>
      <c r="DH31" t="s">
        <v>643</v>
      </c>
      <c r="DI31">
        <v>-3.7686154246330261E-2</v>
      </c>
      <c r="DJ31" t="e">
        <v>#VALUE!</v>
      </c>
      <c r="DK31" t="s">
        <v>643</v>
      </c>
      <c r="DL31">
        <v>-3.2975384965538979E-2</v>
      </c>
      <c r="DM31">
        <v>-82293799.999999985</v>
      </c>
      <c r="DN31">
        <v>-4.7107692807912827E-2</v>
      </c>
      <c r="DO31">
        <v>4484605000</v>
      </c>
      <c r="DP31">
        <v>217147300</v>
      </c>
      <c r="DQ31">
        <v>1746</v>
      </c>
      <c r="DR31">
        <v>-0.49360211930064657</v>
      </c>
      <c r="DS31">
        <v>-1.7203616227040441</v>
      </c>
      <c r="DT31" s="10">
        <v>-0.49</v>
      </c>
      <c r="DU31">
        <v>-1.5149999999999999</v>
      </c>
      <c r="DV31">
        <v>-2.0049999999999999</v>
      </c>
      <c r="DW31">
        <v>-2.1309</v>
      </c>
      <c r="DX31">
        <v>0.30232157772621676</v>
      </c>
      <c r="DY31">
        <v>-2.0147028945243619</v>
      </c>
      <c r="DZ31">
        <v>4391</v>
      </c>
      <c r="EA31">
        <v>-2.0020687634369896</v>
      </c>
      <c r="EB31">
        <v>2</v>
      </c>
      <c r="EC31">
        <v>5.0254462877853789E-2</v>
      </c>
      <c r="ED31">
        <v>0.44741592751081327</v>
      </c>
      <c r="EE31" s="11">
        <v>-3.0562</v>
      </c>
      <c r="EF31">
        <v>-3.0234000000000001</v>
      </c>
      <c r="EG31">
        <v>19.112321577726217</v>
      </c>
      <c r="EH31" t="s">
        <v>1128</v>
      </c>
      <c r="EI31">
        <v>0</v>
      </c>
      <c r="EJ31">
        <v>0</v>
      </c>
      <c r="EK31" s="13">
        <v>45470</v>
      </c>
      <c r="EL31">
        <v>-1.92</v>
      </c>
      <c r="EM31">
        <v>-4.9800000000000004</v>
      </c>
      <c r="EN31">
        <v>0</v>
      </c>
      <c r="EO31">
        <v>2.81</v>
      </c>
      <c r="EP31">
        <v>-3.28</v>
      </c>
    </row>
    <row r="32" spans="1:146" ht="96" x14ac:dyDescent="0.25">
      <c r="C32" s="6" t="str">
        <f>""&amp;CHAR(10)&amp;Basic_Fundamental_Information_Constructure(F32)&amp;CHAR(10)&amp;Basic_Fundamental_Information_Concatenate("")</f>
        <v xml:space="preserve">
市值17.343421亿, 利润7154.81万; PE22.03; 平均PE28.88; 平均PEG2.21, PB1.3; ROIC3.9967%; ROE4.1667%; 股利率1%; 毛利26.1567%; 净利6.33%; 上一年度营收增23.7%, 利润增32.86%; 当季营收增27.94%, 利润增37.74%; 过往5年营收增13.09%, 利润增6.62%
Income profile:
</v>
      </c>
      <c r="D32" t="s">
        <v>507</v>
      </c>
      <c r="E32" t="s">
        <v>508</v>
      </c>
      <c r="F32">
        <v>6</v>
      </c>
      <c r="G32">
        <v>2.21</v>
      </c>
      <c r="H32" t="s">
        <v>1917</v>
      </c>
      <c r="I32">
        <v>1734342100</v>
      </c>
      <c r="J32">
        <v>22.03</v>
      </c>
      <c r="K32">
        <v>1.3</v>
      </c>
      <c r="L32" t="s">
        <v>1594</v>
      </c>
      <c r="M32" t="s">
        <v>1122</v>
      </c>
      <c r="N32" t="s">
        <v>1110</v>
      </c>
      <c r="O32" t="s">
        <v>431</v>
      </c>
      <c r="P32">
        <v>27.84</v>
      </c>
      <c r="Q32" t="s">
        <v>1236</v>
      </c>
      <c r="R32">
        <v>26200443</v>
      </c>
      <c r="S32" s="4">
        <v>0.37740000000000001</v>
      </c>
      <c r="T32" t="s">
        <v>1401</v>
      </c>
      <c r="U32">
        <v>288956650</v>
      </c>
      <c r="V32">
        <v>289057020</v>
      </c>
      <c r="W32">
        <v>1.36</v>
      </c>
      <c r="X32">
        <v>0.17</v>
      </c>
      <c r="Y32">
        <v>8.6</v>
      </c>
      <c r="Z32" t="s">
        <v>177</v>
      </c>
      <c r="AA32" t="s">
        <v>117</v>
      </c>
      <c r="AB32" t="s">
        <v>1918</v>
      </c>
      <c r="AC32" t="s">
        <v>1919</v>
      </c>
      <c r="AD32" t="s">
        <v>5</v>
      </c>
      <c r="AE32">
        <v>2484012</v>
      </c>
      <c r="AF32" t="s">
        <v>1402</v>
      </c>
      <c r="AG32">
        <v>2808.24</v>
      </c>
      <c r="AH32" t="s">
        <v>1403</v>
      </c>
      <c r="AI32" t="s">
        <v>736</v>
      </c>
      <c r="AJ32" t="s">
        <v>1404</v>
      </c>
      <c r="AK32" t="s">
        <v>1920</v>
      </c>
      <c r="AL32" t="s">
        <v>1405</v>
      </c>
      <c r="AM32" t="s">
        <v>5</v>
      </c>
      <c r="AN32" t="s">
        <v>1921</v>
      </c>
      <c r="AO32" t="s">
        <v>1922</v>
      </c>
      <c r="AP32" t="s">
        <v>5</v>
      </c>
      <c r="AQ32" t="s">
        <v>1923</v>
      </c>
      <c r="AR32" t="s">
        <v>5</v>
      </c>
      <c r="AS32" t="s">
        <v>121</v>
      </c>
      <c r="AT32" t="s">
        <v>156</v>
      </c>
      <c r="AU32" t="s">
        <v>1924</v>
      </c>
      <c r="AV32" t="s">
        <v>1925</v>
      </c>
      <c r="AW32" t="s">
        <v>1926</v>
      </c>
      <c r="AX32" t="s">
        <v>812</v>
      </c>
      <c r="AY32" t="s">
        <v>158</v>
      </c>
      <c r="AZ32" t="s">
        <v>253</v>
      </c>
      <c r="BA32" t="s">
        <v>477</v>
      </c>
      <c r="BB32" t="s">
        <v>509</v>
      </c>
      <c r="BC32" t="s">
        <v>929</v>
      </c>
      <c r="BD32" t="s">
        <v>735</v>
      </c>
      <c r="BE32" t="s">
        <v>737</v>
      </c>
      <c r="BF32" t="s">
        <v>510</v>
      </c>
      <c r="BG32" t="s">
        <v>511</v>
      </c>
      <c r="BH32" t="s">
        <v>1236</v>
      </c>
      <c r="BI32" t="s">
        <v>205</v>
      </c>
      <c r="BJ32" t="s">
        <v>812</v>
      </c>
      <c r="BK32" t="s">
        <v>1401</v>
      </c>
      <c r="BL32" t="s">
        <v>1406</v>
      </c>
      <c r="BM32" t="s">
        <v>929</v>
      </c>
      <c r="BN32">
        <v>4.13</v>
      </c>
      <c r="BO32">
        <v>4.53</v>
      </c>
      <c r="BP32">
        <v>3.33</v>
      </c>
      <c r="BQ32">
        <v>4.8</v>
      </c>
      <c r="BR32">
        <v>4.42</v>
      </c>
      <c r="BS32">
        <v>3.28</v>
      </c>
      <c r="BT32" t="s">
        <v>867</v>
      </c>
      <c r="BU32" t="s">
        <v>806</v>
      </c>
      <c r="BV32">
        <v>25.7</v>
      </c>
      <c r="BW32">
        <v>24.81</v>
      </c>
      <c r="BX32">
        <v>27.96</v>
      </c>
      <c r="BY32">
        <v>6.36</v>
      </c>
      <c r="BZ32">
        <v>6.81</v>
      </c>
      <c r="CA32">
        <v>5.82</v>
      </c>
      <c r="CB32">
        <v>0.17</v>
      </c>
      <c r="CC32">
        <v>-9.23</v>
      </c>
      <c r="CD32" t="s">
        <v>1927</v>
      </c>
      <c r="CE32" t="s">
        <v>84</v>
      </c>
      <c r="CF32" s="8">
        <v>0.27935222672064763</v>
      </c>
      <c r="CG32" s="9">
        <v>0.37742651658929727</v>
      </c>
      <c r="CH32" s="8">
        <v>0.23702830076217651</v>
      </c>
      <c r="CI32" s="8">
        <v>0.2415812611579895</v>
      </c>
      <c r="CJ32" s="8">
        <v>5.8914728462696075E-2</v>
      </c>
      <c r="CK32" s="8">
        <v>0.10824742168188095</v>
      </c>
      <c r="CL32" s="8">
        <v>8.6655113846063614E-3</v>
      </c>
      <c r="CM32" s="9">
        <v>0.32862585783004761</v>
      </c>
      <c r="CN32" s="9">
        <v>0.36492833495140076</v>
      </c>
      <c r="CO32" s="9">
        <v>-0.42973911762237549</v>
      </c>
      <c r="CP32" s="9">
        <v>0.1358916163444519</v>
      </c>
      <c r="CQ32" s="9">
        <v>-6.8781733512878418E-2</v>
      </c>
      <c r="CR32">
        <v>28.877401812890035</v>
      </c>
      <c r="CS32">
        <v>2.206277453220463</v>
      </c>
      <c r="CT32">
        <v>1</v>
      </c>
      <c r="CU32" s="8">
        <v>0.13088744468986988</v>
      </c>
      <c r="CV32" s="9">
        <v>6.6184991598129267E-2</v>
      </c>
      <c r="CW32">
        <v>0.06</v>
      </c>
      <c r="CX32">
        <v>12.056955728762325</v>
      </c>
      <c r="CY32">
        <v>76332875.454165354</v>
      </c>
      <c r="CZ32">
        <v>0.13088744468986988</v>
      </c>
      <c r="DA32">
        <v>3.8066362261204669</v>
      </c>
      <c r="DB32">
        <v>241773062.96955162</v>
      </c>
      <c r="DC32">
        <v>0.12434307245537637</v>
      </c>
      <c r="DD32">
        <v>1.7882654119916293</v>
      </c>
      <c r="DE32">
        <v>514656322.17031777</v>
      </c>
      <c r="DF32">
        <v>0.11518095132708549</v>
      </c>
      <c r="DG32">
        <v>1.0176878923771604</v>
      </c>
      <c r="DH32">
        <v>904346123.10285449</v>
      </c>
      <c r="DI32">
        <v>0.1047099557518959</v>
      </c>
      <c r="DJ32">
        <v>0.46564650820555409</v>
      </c>
      <c r="DK32">
        <v>1976482339.6758425</v>
      </c>
      <c r="DL32">
        <v>9.1621211282908913E-2</v>
      </c>
      <c r="DM32">
        <v>71548100</v>
      </c>
      <c r="DN32">
        <v>0.13088744468986988</v>
      </c>
      <c r="DO32">
        <v>920342100</v>
      </c>
      <c r="DP32">
        <v>551516680</v>
      </c>
      <c r="DQ32">
        <v>1860</v>
      </c>
      <c r="DR32">
        <v>0.14846478203077776</v>
      </c>
      <c r="DS32">
        <v>0.31124152499116797</v>
      </c>
      <c r="DT32" s="10">
        <v>-0.12333333333333336</v>
      </c>
      <c r="DU32">
        <v>0.40333333333333332</v>
      </c>
      <c r="DV32">
        <v>0.27999999999999997</v>
      </c>
      <c r="DW32">
        <v>-2.0922999999999998</v>
      </c>
      <c r="DX32">
        <v>0.36813764705882435</v>
      </c>
      <c r="DY32">
        <v>-2.0219801048235295</v>
      </c>
      <c r="DZ32">
        <v>1086</v>
      </c>
      <c r="EA32">
        <v>-2.0173087948747326</v>
      </c>
      <c r="EB32">
        <v>2</v>
      </c>
      <c r="EC32">
        <v>0.21008000428427581</v>
      </c>
      <c r="ED32">
        <v>0.88217888636643371</v>
      </c>
      <c r="EE32" s="11">
        <v>-2.0468000000000002</v>
      </c>
      <c r="EF32">
        <v>-2.0205000000000002</v>
      </c>
      <c r="EG32">
        <v>13.238137647058824</v>
      </c>
      <c r="EH32" t="s">
        <v>886</v>
      </c>
      <c r="EI32">
        <v>0</v>
      </c>
      <c r="EJ32">
        <v>1</v>
      </c>
      <c r="EK32" s="13">
        <v>45470</v>
      </c>
      <c r="EL32">
        <v>0.17</v>
      </c>
      <c r="EM32">
        <v>-3.7</v>
      </c>
      <c r="EN32">
        <v>2.1</v>
      </c>
      <c r="EO32">
        <v>4.28</v>
      </c>
      <c r="EP32">
        <v>-2.63</v>
      </c>
    </row>
    <row r="33" spans="1:146" ht="96" x14ac:dyDescent="0.25">
      <c r="C33" s="6" t="str">
        <f>""&amp;CHAR(10)&amp;Basic_Fundamental_Information_Constructure(F33)&amp;CHAR(10)&amp;Basic_Fundamental_Information_Concatenate("")</f>
        <v xml:space="preserve">
市值34.19352亿, 利润-9145.95万; PE; 平均PE32.93; 平均PEG1.29, PB1.41; ROIC14.03%; ROE10.46%; 股利率.8842%; 毛利14.46%; 净利7.7933%; 上一年度营收增7.58%, 利润增-126.36%; 当季营收增11.73%, 利润增412.33%; 过往5年营收增25.55%, 利润增56.69%
Income profile:
</v>
      </c>
      <c r="D33" t="s">
        <v>513</v>
      </c>
      <c r="E33" t="s">
        <v>514</v>
      </c>
      <c r="F33">
        <v>12.44</v>
      </c>
      <c r="G33">
        <v>2.4700000000000002</v>
      </c>
      <c r="H33" t="s">
        <v>1928</v>
      </c>
      <c r="I33">
        <v>3419352000</v>
      </c>
      <c r="K33">
        <v>1.41</v>
      </c>
      <c r="L33" t="s">
        <v>1594</v>
      </c>
      <c r="M33" t="s">
        <v>1407</v>
      </c>
      <c r="N33" t="s">
        <v>845</v>
      </c>
      <c r="O33" t="s">
        <v>1092</v>
      </c>
      <c r="P33">
        <v>11.76</v>
      </c>
      <c r="Q33" t="s">
        <v>1408</v>
      </c>
      <c r="R33">
        <v>20378980</v>
      </c>
      <c r="S33" s="4">
        <v>4.1230000000000002</v>
      </c>
      <c r="T33" t="s">
        <v>1409</v>
      </c>
      <c r="U33">
        <v>217361220</v>
      </c>
      <c r="V33">
        <v>274867520</v>
      </c>
      <c r="W33">
        <v>1.42</v>
      </c>
      <c r="X33">
        <v>0.16</v>
      </c>
      <c r="Y33">
        <v>3.58</v>
      </c>
      <c r="Z33" t="s">
        <v>1089</v>
      </c>
      <c r="AA33" t="s">
        <v>454</v>
      </c>
      <c r="AB33" t="s">
        <v>1929</v>
      </c>
      <c r="AC33" t="s">
        <v>1930</v>
      </c>
      <c r="AD33" t="s">
        <v>5</v>
      </c>
      <c r="AE33">
        <v>1174007</v>
      </c>
      <c r="AF33" t="s">
        <v>1410</v>
      </c>
      <c r="AG33">
        <v>3760.03</v>
      </c>
      <c r="AH33" t="s">
        <v>1411</v>
      </c>
      <c r="AI33" t="s">
        <v>1931</v>
      </c>
      <c r="AJ33" t="s">
        <v>1412</v>
      </c>
      <c r="AK33" t="s">
        <v>48</v>
      </c>
      <c r="AL33" t="s">
        <v>1413</v>
      </c>
      <c r="AM33" t="s">
        <v>5</v>
      </c>
      <c r="AN33" t="s">
        <v>53</v>
      </c>
      <c r="AO33" t="s">
        <v>732</v>
      </c>
      <c r="AP33" t="s">
        <v>5</v>
      </c>
      <c r="AQ33" t="s">
        <v>142</v>
      </c>
      <c r="AR33" t="s">
        <v>1414</v>
      </c>
      <c r="AS33" t="s">
        <v>719</v>
      </c>
      <c r="AT33" t="s">
        <v>168</v>
      </c>
      <c r="AU33" t="s">
        <v>1932</v>
      </c>
      <c r="AV33" t="s">
        <v>1933</v>
      </c>
      <c r="AW33" t="s">
        <v>1934</v>
      </c>
      <c r="AX33" t="s">
        <v>857</v>
      </c>
      <c r="AY33" t="s">
        <v>350</v>
      </c>
      <c r="AZ33" t="s">
        <v>515</v>
      </c>
      <c r="BA33" t="s">
        <v>363</v>
      </c>
      <c r="BB33" t="s">
        <v>470</v>
      </c>
      <c r="BC33" t="s">
        <v>91</v>
      </c>
      <c r="BD33" t="s">
        <v>383</v>
      </c>
      <c r="BE33" t="s">
        <v>738</v>
      </c>
      <c r="BF33" t="s">
        <v>516</v>
      </c>
      <c r="BG33" t="s">
        <v>517</v>
      </c>
      <c r="BH33" t="s">
        <v>1408</v>
      </c>
      <c r="BI33" t="s">
        <v>88</v>
      </c>
      <c r="BJ33" t="s">
        <v>857</v>
      </c>
      <c r="BK33" t="s">
        <v>1409</v>
      </c>
      <c r="BL33" t="s">
        <v>1415</v>
      </c>
      <c r="BM33" t="s">
        <v>91</v>
      </c>
      <c r="BN33" t="s">
        <v>5</v>
      </c>
      <c r="BO33">
        <v>16.489999999999998</v>
      </c>
      <c r="BP33">
        <v>11.57</v>
      </c>
      <c r="BQ33">
        <v>-5.65</v>
      </c>
      <c r="BR33">
        <v>20.97</v>
      </c>
      <c r="BS33">
        <v>16.059999999999999</v>
      </c>
      <c r="BT33" t="s">
        <v>878</v>
      </c>
      <c r="BU33" t="s">
        <v>803</v>
      </c>
      <c r="BV33">
        <v>1.95</v>
      </c>
      <c r="BW33">
        <v>20.84</v>
      </c>
      <c r="BX33">
        <v>20.59</v>
      </c>
      <c r="BY33">
        <v>-3.63</v>
      </c>
      <c r="BZ33">
        <v>14.37</v>
      </c>
      <c r="CA33">
        <v>12.64</v>
      </c>
      <c r="CB33">
        <v>2.0499999999999998</v>
      </c>
      <c r="CC33">
        <v>-15.43</v>
      </c>
      <c r="CD33" t="s">
        <v>1935</v>
      </c>
      <c r="CE33" t="s">
        <v>481</v>
      </c>
      <c r="CF33" s="8">
        <v>0.11730769230769231</v>
      </c>
      <c r="CG33" s="9">
        <v>4.1233074389722706</v>
      </c>
      <c r="CH33" s="8">
        <v>7.579367607831955E-2</v>
      </c>
      <c r="CI33" s="8">
        <v>0.640625</v>
      </c>
      <c r="CJ33" s="8">
        <v>0.46285715699195862</v>
      </c>
      <c r="CK33" s="8">
        <v>-6.7495562136173248E-2</v>
      </c>
      <c r="CL33" s="8">
        <v>0.16563147306442261</v>
      </c>
      <c r="CM33" s="9">
        <v>-1.263572096824646</v>
      </c>
      <c r="CN33" s="9">
        <v>0.83597886562347412</v>
      </c>
      <c r="CO33" s="9">
        <v>3.556753396987915</v>
      </c>
      <c r="CP33" s="9">
        <v>-0.43035075068473816</v>
      </c>
      <c r="CQ33" s="9">
        <v>0.13580773770809174</v>
      </c>
      <c r="CR33">
        <v>32.934647972337359</v>
      </c>
      <c r="CS33">
        <v>1.289116376417756</v>
      </c>
      <c r="CT33">
        <v>0.88424437299035386</v>
      </c>
      <c r="CU33" s="8">
        <v>0.25548234879970549</v>
      </c>
      <c r="CV33" s="9">
        <v>0.56692343056201933</v>
      </c>
      <c r="CW33">
        <v>0.06</v>
      </c>
      <c r="CX33" t="e">
        <v>#VALUE!</v>
      </c>
      <c r="CY33" t="s">
        <v>643</v>
      </c>
      <c r="CZ33">
        <v>0.25548234879970549</v>
      </c>
      <c r="DA33" t="e">
        <v>#VALUE!</v>
      </c>
      <c r="DB33" t="s">
        <v>643</v>
      </c>
      <c r="DC33">
        <v>0.24270823135972019</v>
      </c>
      <c r="DD33" t="e">
        <v>#VALUE!</v>
      </c>
      <c r="DE33" t="s">
        <v>643</v>
      </c>
      <c r="DF33">
        <v>0.22482446694374084</v>
      </c>
      <c r="DG33" t="e">
        <v>#VALUE!</v>
      </c>
      <c r="DH33" t="s">
        <v>643</v>
      </c>
      <c r="DI33">
        <v>0.20438587903976441</v>
      </c>
      <c r="DJ33" t="e">
        <v>#VALUE!</v>
      </c>
      <c r="DK33" t="s">
        <v>643</v>
      </c>
      <c r="DL33">
        <v>0.17883764415979383</v>
      </c>
      <c r="DM33">
        <v>-91459500</v>
      </c>
      <c r="DN33">
        <v>0.25548234879970549</v>
      </c>
      <c r="DO33">
        <v>2063352000</v>
      </c>
      <c r="DP33">
        <v>891136900</v>
      </c>
      <c r="DQ33">
        <v>1976</v>
      </c>
      <c r="DR33">
        <v>-0.13817465649201319</v>
      </c>
      <c r="DS33">
        <v>3.5563840084102512</v>
      </c>
      <c r="DT33" s="10">
        <v>9.3333333333333338E-2</v>
      </c>
      <c r="DU33">
        <v>8.3333333333333766E-3</v>
      </c>
      <c r="DV33">
        <v>0.10166666666666671</v>
      </c>
      <c r="DW33">
        <v>-2.1543000000000001</v>
      </c>
      <c r="DX33">
        <v>0.32224920634920673</v>
      </c>
      <c r="DY33">
        <v>-2.0281210525396824</v>
      </c>
      <c r="DZ33">
        <v>1476</v>
      </c>
      <c r="EA33">
        <v>-2.019998415837418</v>
      </c>
      <c r="EB33">
        <v>2</v>
      </c>
      <c r="EC33">
        <v>0.25063055831405617</v>
      </c>
      <c r="ED33">
        <v>1.3752079547266989</v>
      </c>
      <c r="EE33" s="11">
        <v>-2.1189999999999998</v>
      </c>
      <c r="EF33">
        <v>-2.0794000000000001</v>
      </c>
      <c r="EG33">
        <v>14.182249206349207</v>
      </c>
      <c r="EH33" t="s">
        <v>886</v>
      </c>
      <c r="EI33">
        <v>0</v>
      </c>
      <c r="EJ33">
        <v>1</v>
      </c>
      <c r="EK33" s="13">
        <v>45470</v>
      </c>
      <c r="EL33">
        <v>-1.39</v>
      </c>
      <c r="EM33">
        <v>-4.24</v>
      </c>
      <c r="EN33">
        <v>0.98</v>
      </c>
      <c r="EO33">
        <v>2.52</v>
      </c>
      <c r="EP33">
        <v>-3.96</v>
      </c>
    </row>
    <row r="34" spans="1:146" ht="96" x14ac:dyDescent="0.25">
      <c r="C34" s="6" t="str">
        <f>""&amp;CHAR(10)&amp;Basic_Fundamental_Information_Constructure(F34)&amp;CHAR(10)&amp;Basic_Fundamental_Information_Concatenate("")</f>
        <v xml:space="preserve">
市值30.48802亿, 利润1.92亿; PE34.24; 平均PE13.25; 平均PEG1.4, PB1.41; ROIC11.0433%; ROE15.5767%; 股利率1.8293%; 毛利23.2633%; 净利10.72%; 上一年度营收增-19.53%, 利润增-54.29%; 当季营收增-38.81%, 利润增-110.66%; 过往5年营收增9.49%, 利润增10.72%
Income profile:
</v>
      </c>
      <c r="D34" t="s">
        <v>518</v>
      </c>
      <c r="E34" t="s">
        <v>519</v>
      </c>
      <c r="F34">
        <v>6.56</v>
      </c>
      <c r="G34">
        <v>0.46</v>
      </c>
      <c r="H34" t="s">
        <v>1936</v>
      </c>
      <c r="I34">
        <v>3048802000</v>
      </c>
      <c r="J34">
        <v>34.24</v>
      </c>
      <c r="K34">
        <v>1.41</v>
      </c>
      <c r="L34" t="s">
        <v>1594</v>
      </c>
      <c r="M34" t="s">
        <v>459</v>
      </c>
      <c r="N34" t="s">
        <v>1937</v>
      </c>
      <c r="O34" t="s">
        <v>604</v>
      </c>
      <c r="P34">
        <v>-38.81</v>
      </c>
      <c r="Q34" t="s">
        <v>1417</v>
      </c>
      <c r="R34">
        <v>-9883434</v>
      </c>
      <c r="S34" s="4">
        <v>-1.107</v>
      </c>
      <c r="T34" t="s">
        <v>160</v>
      </c>
      <c r="U34">
        <v>344125580</v>
      </c>
      <c r="V34">
        <v>464756400</v>
      </c>
      <c r="W34">
        <v>1.73</v>
      </c>
      <c r="X34">
        <v>0.12</v>
      </c>
      <c r="Y34">
        <v>-2.31</v>
      </c>
      <c r="Z34" t="s">
        <v>899</v>
      </c>
      <c r="AA34" t="s">
        <v>768</v>
      </c>
      <c r="AB34" t="s">
        <v>1938</v>
      </c>
      <c r="AC34" t="s">
        <v>1939</v>
      </c>
      <c r="AD34" t="s">
        <v>5</v>
      </c>
      <c r="AE34">
        <v>-4027042</v>
      </c>
      <c r="AF34" t="s">
        <v>1418</v>
      </c>
      <c r="AG34" t="s">
        <v>1940</v>
      </c>
      <c r="AH34" t="s">
        <v>1419</v>
      </c>
      <c r="AI34" t="s">
        <v>378</v>
      </c>
      <c r="AJ34" t="s">
        <v>1420</v>
      </c>
      <c r="AK34" t="s">
        <v>5</v>
      </c>
      <c r="AL34" t="s">
        <v>1421</v>
      </c>
      <c r="AM34" t="s">
        <v>5</v>
      </c>
      <c r="AN34" t="s">
        <v>885</v>
      </c>
      <c r="AO34" t="s">
        <v>130</v>
      </c>
      <c r="AP34" t="s">
        <v>203</v>
      </c>
      <c r="AQ34" t="s">
        <v>1941</v>
      </c>
      <c r="AR34" t="s">
        <v>5</v>
      </c>
      <c r="AS34" t="s">
        <v>680</v>
      </c>
      <c r="AT34" t="s">
        <v>143</v>
      </c>
      <c r="AU34" t="s">
        <v>132</v>
      </c>
      <c r="AV34" t="s">
        <v>1942</v>
      </c>
      <c r="AW34" t="s">
        <v>1943</v>
      </c>
      <c r="AX34" t="s">
        <v>930</v>
      </c>
      <c r="AY34" t="s">
        <v>389</v>
      </c>
      <c r="AZ34" t="s">
        <v>740</v>
      </c>
      <c r="BA34" t="s">
        <v>521</v>
      </c>
      <c r="BB34" t="s">
        <v>522</v>
      </c>
      <c r="BC34" t="s">
        <v>931</v>
      </c>
      <c r="BD34" t="s">
        <v>141</v>
      </c>
      <c r="BE34" t="s">
        <v>61</v>
      </c>
      <c r="BF34" t="s">
        <v>145</v>
      </c>
      <c r="BG34" t="s">
        <v>83</v>
      </c>
      <c r="BH34" t="s">
        <v>1417</v>
      </c>
      <c r="BI34" t="s">
        <v>925</v>
      </c>
      <c r="BJ34" t="s">
        <v>930</v>
      </c>
      <c r="BK34" t="s">
        <v>160</v>
      </c>
      <c r="BL34" t="s">
        <v>1422</v>
      </c>
      <c r="BM34" t="s">
        <v>931</v>
      </c>
      <c r="BN34">
        <v>6.41</v>
      </c>
      <c r="BO34">
        <v>16.53</v>
      </c>
      <c r="BP34">
        <v>10.19</v>
      </c>
      <c r="BQ34">
        <v>9.6999999999999993</v>
      </c>
      <c r="BR34">
        <v>23.04</v>
      </c>
      <c r="BS34">
        <v>13.99</v>
      </c>
      <c r="BT34" t="s">
        <v>1320</v>
      </c>
      <c r="BU34" t="s">
        <v>627</v>
      </c>
      <c r="BV34">
        <v>22.41</v>
      </c>
      <c r="BW34">
        <v>25.55</v>
      </c>
      <c r="BX34">
        <v>21.83</v>
      </c>
      <c r="BY34">
        <v>8.0500000000000007</v>
      </c>
      <c r="BZ34">
        <v>14.27</v>
      </c>
      <c r="CA34">
        <v>9.84</v>
      </c>
      <c r="CB34">
        <v>-1.2</v>
      </c>
      <c r="CC34">
        <v>11.19</v>
      </c>
      <c r="CD34" t="s">
        <v>1944</v>
      </c>
      <c r="CE34" t="s">
        <v>222</v>
      </c>
      <c r="CF34" s="8">
        <v>-0.38814016172506738</v>
      </c>
      <c r="CG34" s="9">
        <v>-1.1066204014352075</v>
      </c>
      <c r="CH34" s="8">
        <v>-0.19528612494468689</v>
      </c>
      <c r="CI34" s="8">
        <v>0.35430914163589478</v>
      </c>
      <c r="CJ34" s="8">
        <v>0.17776580154895782</v>
      </c>
      <c r="CK34" s="8">
        <v>0.18674319982528687</v>
      </c>
      <c r="CL34" s="8">
        <v>-4.9090947955846786E-2</v>
      </c>
      <c r="CM34" s="9">
        <v>-0.54285717010498047</v>
      </c>
      <c r="CN34" s="9">
        <v>0.96261680126190186</v>
      </c>
      <c r="CO34" s="9">
        <v>9.1836735606193542E-2</v>
      </c>
      <c r="CP34" s="9">
        <v>0.30666667222976685</v>
      </c>
      <c r="CQ34" s="9">
        <v>-0.28229665756225586</v>
      </c>
      <c r="CR34">
        <v>13.246062273714701</v>
      </c>
      <c r="CS34">
        <v>1.3959649689111637</v>
      </c>
      <c r="CT34">
        <v>1.8292682926829269</v>
      </c>
      <c r="CU34" s="8">
        <v>9.4888214021921158E-2</v>
      </c>
      <c r="CV34" s="9">
        <v>0.10719327628612518</v>
      </c>
      <c r="CW34">
        <v>0.06</v>
      </c>
      <c r="CX34">
        <v>12.004888602630903</v>
      </c>
      <c r="CY34">
        <v>198319374.61529139</v>
      </c>
      <c r="CZ34">
        <v>9.4888214021921158E-2</v>
      </c>
      <c r="DA34">
        <v>3.9068894849254807</v>
      </c>
      <c r="DB34">
        <v>609385550.62440193</v>
      </c>
      <c r="DC34">
        <v>9.0143803320825097E-2</v>
      </c>
      <c r="DD34">
        <v>1.9126403607619074</v>
      </c>
      <c r="DE34">
        <v>1244772435.4470899</v>
      </c>
      <c r="DF34">
        <v>8.3501628339290618E-2</v>
      </c>
      <c r="DG34">
        <v>1.1413997760512653</v>
      </c>
      <c r="DH34">
        <v>2085861632.3165176</v>
      </c>
      <c r="DI34">
        <v>7.5910571217536929E-2</v>
      </c>
      <c r="DJ34">
        <v>0.58154835867312171</v>
      </c>
      <c r="DK34">
        <v>4093902019.4848623</v>
      </c>
      <c r="DL34">
        <v>6.6421749815344808E-2</v>
      </c>
      <c r="DM34">
        <v>192000000</v>
      </c>
      <c r="DN34">
        <v>9.4888214021921158E-2</v>
      </c>
      <c r="DO34">
        <v>2380802000</v>
      </c>
      <c r="DP34">
        <v>330122899.99999988</v>
      </c>
      <c r="DQ34">
        <v>2042</v>
      </c>
      <c r="DR34">
        <v>-0.48302837574698854</v>
      </c>
      <c r="DS34">
        <v>-1.2138136777213326</v>
      </c>
      <c r="DT34" s="10">
        <v>-0.20666666666666669</v>
      </c>
      <c r="DU34">
        <v>-0.74833333333333341</v>
      </c>
      <c r="DV34">
        <v>-0.95500000000000007</v>
      </c>
      <c r="DW34">
        <v>2.1118999999999999</v>
      </c>
      <c r="DX34">
        <v>0.43197590361445715</v>
      </c>
      <c r="DY34">
        <v>2.0315531036144576</v>
      </c>
      <c r="DZ34">
        <v>3517</v>
      </c>
      <c r="EA34">
        <v>2.0098364176238417</v>
      </c>
      <c r="EB34">
        <v>2</v>
      </c>
      <c r="EC34">
        <v>0.1510726909839219</v>
      </c>
      <c r="ED34">
        <v>0.53576454245708083</v>
      </c>
      <c r="EE34" s="11">
        <v>1.0767</v>
      </c>
      <c r="EF34">
        <v>1.0413000000000001</v>
      </c>
      <c r="EG34">
        <v>15.281975903614457</v>
      </c>
      <c r="EH34" t="s">
        <v>638</v>
      </c>
      <c r="EI34">
        <v>1</v>
      </c>
      <c r="EJ34">
        <v>0</v>
      </c>
      <c r="EK34" s="13">
        <v>45470</v>
      </c>
      <c r="EL34">
        <v>6.22</v>
      </c>
      <c r="EM34">
        <v>0.32</v>
      </c>
      <c r="EN34">
        <v>7.1</v>
      </c>
      <c r="EO34">
        <v>-0.15</v>
      </c>
      <c r="EP34">
        <v>-3.54</v>
      </c>
    </row>
    <row r="35" spans="1:146" ht="96" x14ac:dyDescent="0.25">
      <c r="A35" s="6"/>
      <c r="B35" s="6"/>
      <c r="C35" s="6" t="str">
        <f>""&amp;CHAR(10)&amp;Basic_Fundamental_Information_Constructure(F35)&amp;CHAR(10)&amp;Basic_Fundamental_Information_Concatenate("")</f>
        <v xml:space="preserve">
市值52.365716亿, 利润8841.08万; PE88.75; 平均PE65.76; 平均PEG5.98, PB3.09; ROIC6.3333%; ROE6.99%; 股利率.2759%; 毛利34.2567%; 净利14.82%; 上一年度营收增-8.98%, 利润增-42.22%; 当季营收增62.39%, 利润增-59.37%; 过往5年营收增11%, 利润增23.58%
Income profile:
</v>
      </c>
      <c r="D35" t="s">
        <v>526</v>
      </c>
      <c r="E35" t="s">
        <v>527</v>
      </c>
      <c r="F35">
        <v>14.5</v>
      </c>
      <c r="G35">
        <v>-0.28000000000000003</v>
      </c>
      <c r="H35" t="s">
        <v>1945</v>
      </c>
      <c r="I35">
        <v>5236571600</v>
      </c>
      <c r="J35">
        <v>88.75</v>
      </c>
      <c r="K35">
        <v>3.09</v>
      </c>
      <c r="L35" t="s">
        <v>1594</v>
      </c>
      <c r="M35" t="s">
        <v>1426</v>
      </c>
      <c r="N35" t="s">
        <v>1365</v>
      </c>
      <c r="O35" t="s">
        <v>135</v>
      </c>
      <c r="P35">
        <v>62.3</v>
      </c>
      <c r="Q35" t="s">
        <v>623</v>
      </c>
      <c r="R35">
        <v>20125230</v>
      </c>
      <c r="S35" s="4">
        <v>-0.59370000000000001</v>
      </c>
      <c r="T35" t="s">
        <v>1427</v>
      </c>
      <c r="U35">
        <v>361142870</v>
      </c>
      <c r="V35">
        <v>361142870</v>
      </c>
      <c r="W35">
        <v>1.72</v>
      </c>
      <c r="X35">
        <v>0.12</v>
      </c>
      <c r="Y35">
        <v>5.79</v>
      </c>
      <c r="Z35" t="s">
        <v>250</v>
      </c>
      <c r="AA35" t="s">
        <v>133</v>
      </c>
      <c r="AB35" t="s">
        <v>1946</v>
      </c>
      <c r="AC35" t="s">
        <v>1947</v>
      </c>
      <c r="AD35" t="s">
        <v>5</v>
      </c>
      <c r="AE35">
        <v>1694474</v>
      </c>
      <c r="AF35" t="s">
        <v>1428</v>
      </c>
      <c r="AG35" t="s">
        <v>1948</v>
      </c>
      <c r="AH35" t="s">
        <v>1429</v>
      </c>
      <c r="AI35" t="s">
        <v>154</v>
      </c>
      <c r="AJ35" t="s">
        <v>1430</v>
      </c>
      <c r="AK35" t="s">
        <v>5</v>
      </c>
      <c r="AL35" t="s">
        <v>1431</v>
      </c>
      <c r="AM35" t="s">
        <v>5</v>
      </c>
      <c r="AN35" t="s">
        <v>272</v>
      </c>
      <c r="AO35" t="s">
        <v>138</v>
      </c>
      <c r="AP35" t="s">
        <v>117</v>
      </c>
      <c r="AQ35" t="s">
        <v>65</v>
      </c>
      <c r="AR35" t="s">
        <v>5</v>
      </c>
      <c r="AS35" t="s">
        <v>487</v>
      </c>
      <c r="AT35" t="s">
        <v>593</v>
      </c>
      <c r="AU35" t="s">
        <v>1949</v>
      </c>
      <c r="AV35" t="s">
        <v>1950</v>
      </c>
      <c r="AW35" t="s">
        <v>93</v>
      </c>
      <c r="AX35" t="s">
        <v>916</v>
      </c>
      <c r="AY35" t="s">
        <v>189</v>
      </c>
      <c r="AZ35" t="s">
        <v>77</v>
      </c>
      <c r="BA35" t="s">
        <v>400</v>
      </c>
      <c r="BB35" t="s">
        <v>430</v>
      </c>
      <c r="BC35" t="s">
        <v>688</v>
      </c>
      <c r="BD35" t="s">
        <v>743</v>
      </c>
      <c r="BE35" t="s">
        <v>744</v>
      </c>
      <c r="BF35" t="s">
        <v>528</v>
      </c>
      <c r="BG35" t="s">
        <v>529</v>
      </c>
      <c r="BH35" t="s">
        <v>623</v>
      </c>
      <c r="BI35" t="s">
        <v>47</v>
      </c>
      <c r="BJ35" t="s">
        <v>916</v>
      </c>
      <c r="BK35" t="s">
        <v>1427</v>
      </c>
      <c r="BL35" t="s">
        <v>1432</v>
      </c>
      <c r="BM35" t="s">
        <v>688</v>
      </c>
      <c r="BN35">
        <v>4.1100000000000003</v>
      </c>
      <c r="BO35">
        <v>10.07</v>
      </c>
      <c r="BP35">
        <v>4.82</v>
      </c>
      <c r="BQ35">
        <v>4.74</v>
      </c>
      <c r="BR35">
        <v>10.83</v>
      </c>
      <c r="BS35">
        <v>5.4</v>
      </c>
      <c r="BT35" t="s">
        <v>894</v>
      </c>
      <c r="BU35" t="s">
        <v>627</v>
      </c>
      <c r="BV35">
        <v>35.200000000000003</v>
      </c>
      <c r="BW35">
        <v>38.19</v>
      </c>
      <c r="BX35">
        <v>29.38</v>
      </c>
      <c r="BY35">
        <v>13.19</v>
      </c>
      <c r="BZ35">
        <v>20.46</v>
      </c>
      <c r="CA35">
        <v>10.81</v>
      </c>
      <c r="CB35">
        <v>0.21</v>
      </c>
      <c r="CC35">
        <v>2.76</v>
      </c>
      <c r="CD35" t="s">
        <v>1951</v>
      </c>
      <c r="CE35" t="s">
        <v>40</v>
      </c>
      <c r="CF35" s="8">
        <v>0.62385321100917412</v>
      </c>
      <c r="CG35" s="9">
        <v>-0.59367431324172515</v>
      </c>
      <c r="CH35" s="8">
        <v>-8.984375E-2</v>
      </c>
      <c r="CI35" s="8">
        <v>0.44905659556388855</v>
      </c>
      <c r="CJ35" s="8">
        <v>0.30864197015762329</v>
      </c>
      <c r="CK35" s="8">
        <v>-0.18016193807125092</v>
      </c>
      <c r="CL35" s="8">
        <v>6.2365591526031494E-2</v>
      </c>
      <c r="CM35" s="9">
        <v>-0.42215162515640259</v>
      </c>
      <c r="CN35" s="9">
        <v>1.7130690813064575</v>
      </c>
      <c r="CO35" s="9">
        <v>0.46814626455307007</v>
      </c>
      <c r="CP35" s="9">
        <v>-0.39654657244682312</v>
      </c>
      <c r="CQ35" s="9">
        <v>-0.18343596160411835</v>
      </c>
      <c r="CR35">
        <v>65.755675767986659</v>
      </c>
      <c r="CS35">
        <v>5.9771532893998698</v>
      </c>
      <c r="CT35">
        <v>0.27586206896551724</v>
      </c>
      <c r="CU35" s="8">
        <v>0.11001169383525848</v>
      </c>
      <c r="CV35" s="9">
        <v>0.23581623733043672</v>
      </c>
      <c r="CW35">
        <v>0.06</v>
      </c>
      <c r="CX35">
        <v>51.149971751669348</v>
      </c>
      <c r="CY35">
        <v>92582096.095594585</v>
      </c>
      <c r="CZ35">
        <v>0.11001169383525848</v>
      </c>
      <c r="DA35">
        <v>16.435104845044989</v>
      </c>
      <c r="DB35">
        <v>288137595.99639702</v>
      </c>
      <c r="DC35">
        <v>0.10451110914349555</v>
      </c>
      <c r="DD35">
        <v>7.9083930936758344</v>
      </c>
      <c r="DE35">
        <v>598803264.31761861</v>
      </c>
      <c r="DF35">
        <v>9.6810290575027463E-2</v>
      </c>
      <c r="DG35">
        <v>4.6275594584835655</v>
      </c>
      <c r="DH35">
        <v>1023341059.6850179</v>
      </c>
      <c r="DI35">
        <v>8.8009355068206785E-2</v>
      </c>
      <c r="DJ35">
        <v>2.2564265384883928</v>
      </c>
      <c r="DK35">
        <v>2098704087.7352984</v>
      </c>
      <c r="DL35">
        <v>7.700818568468093E-2</v>
      </c>
      <c r="DM35">
        <v>88410800</v>
      </c>
      <c r="DN35">
        <v>0.11001169383525848</v>
      </c>
      <c r="DO35">
        <v>4735571600</v>
      </c>
      <c r="DP35">
        <v>300078580</v>
      </c>
      <c r="DQ35">
        <v>2253</v>
      </c>
      <c r="DR35">
        <v>0.51384151717391569</v>
      </c>
      <c r="DS35">
        <v>-0.82949055057216192</v>
      </c>
      <c r="DT35" s="10">
        <v>-0.27333333333333337</v>
      </c>
      <c r="DU35">
        <v>-0.16999999999999996</v>
      </c>
      <c r="DV35">
        <v>-0.44333333333333336</v>
      </c>
      <c r="DW35">
        <v>1.0276000000000001</v>
      </c>
      <c r="DX35">
        <v>0.33180487804878012</v>
      </c>
      <c r="DY35">
        <v>1.0025338146341463</v>
      </c>
      <c r="DZ35">
        <v>1644</v>
      </c>
      <c r="EA35">
        <v>1.001718630434824</v>
      </c>
      <c r="EB35">
        <v>1</v>
      </c>
      <c r="EC35">
        <v>3.1267403950131979E-2</v>
      </c>
      <c r="ED35">
        <v>0.34058543091270221</v>
      </c>
      <c r="EE35" s="11">
        <v>1.0384100000000001</v>
      </c>
      <c r="EF35">
        <v>1.0105999999999999</v>
      </c>
      <c r="EG35">
        <v>24.09180487804878</v>
      </c>
      <c r="EH35" t="s">
        <v>638</v>
      </c>
      <c r="EI35">
        <v>0</v>
      </c>
      <c r="EJ35">
        <v>0</v>
      </c>
      <c r="EK35" s="13">
        <v>45470</v>
      </c>
      <c r="EL35">
        <v>-2.2400000000000002</v>
      </c>
      <c r="EM35">
        <v>-4.75</v>
      </c>
      <c r="EN35">
        <v>3.42</v>
      </c>
      <c r="EO35">
        <v>0.75</v>
      </c>
      <c r="EP35">
        <v>4.9000000000000004</v>
      </c>
    </row>
    <row r="36" spans="1:146" ht="96" x14ac:dyDescent="0.25">
      <c r="A36" s="6"/>
      <c r="B36" s="6"/>
      <c r="C36" s="6" t="str">
        <f>""&amp;CHAR(10)&amp;Basic_Fundamental_Information_Constructure(F36)&amp;CHAR(10)&amp;Basic_Fundamental_Information_Concatenate("")</f>
        <v xml:space="preserve">
市值15.7546亿, 利润3290.43万; PE60.58; 平均PE26.14; 平均PEG.45, PB1.21; ROIC11.7467%; ROE9.79%; 股利率0%; 毛利28.3067%; 净利12.1%; 上一年度营收增241.06%, 利润增-65.79%; 当季营收增-68.27%, 利润增266.68%; 过往5年营收增57.8%, 利润增72.19%
Income profile:
</v>
      </c>
      <c r="D36" t="s">
        <v>1072</v>
      </c>
      <c r="E36" t="s">
        <v>1073</v>
      </c>
      <c r="F36">
        <v>21.29</v>
      </c>
      <c r="G36">
        <v>2.16</v>
      </c>
      <c r="H36" t="s">
        <v>1952</v>
      </c>
      <c r="I36">
        <v>1575460000</v>
      </c>
      <c r="J36">
        <v>60.58</v>
      </c>
      <c r="K36">
        <v>1.21</v>
      </c>
      <c r="L36" t="s">
        <v>1594</v>
      </c>
      <c r="M36" t="s">
        <v>288</v>
      </c>
      <c r="N36" t="s">
        <v>1953</v>
      </c>
      <c r="O36" t="s">
        <v>59</v>
      </c>
      <c r="P36" s="4">
        <v>14.02</v>
      </c>
      <c r="Q36" t="s">
        <v>1954</v>
      </c>
      <c r="R36">
        <v>17670253</v>
      </c>
      <c r="S36">
        <v>-0.187</v>
      </c>
      <c r="T36" t="s">
        <v>1955</v>
      </c>
      <c r="U36">
        <v>27500000</v>
      </c>
      <c r="V36">
        <v>74000000</v>
      </c>
      <c r="W36">
        <v>1.41</v>
      </c>
      <c r="X36">
        <v>0.1</v>
      </c>
      <c r="Y36">
        <v>9.91</v>
      </c>
      <c r="Z36" t="s">
        <v>215</v>
      </c>
      <c r="AA36" t="s">
        <v>202</v>
      </c>
      <c r="AB36" t="s">
        <v>1956</v>
      </c>
      <c r="AC36" t="s">
        <v>1957</v>
      </c>
      <c r="AD36" t="s">
        <v>5</v>
      </c>
      <c r="AE36">
        <v>1394119</v>
      </c>
      <c r="AF36" t="s">
        <v>1435</v>
      </c>
      <c r="AG36">
        <v>6175.02</v>
      </c>
      <c r="AH36" t="s">
        <v>1436</v>
      </c>
      <c r="AI36" t="s">
        <v>134</v>
      </c>
      <c r="AJ36" t="s">
        <v>1437</v>
      </c>
      <c r="AK36" t="s">
        <v>1958</v>
      </c>
      <c r="AL36" t="s">
        <v>1438</v>
      </c>
      <c r="AM36" t="s">
        <v>5</v>
      </c>
      <c r="AN36" t="s">
        <v>62</v>
      </c>
      <c r="AO36" t="s">
        <v>321</v>
      </c>
      <c r="AP36" t="s">
        <v>192</v>
      </c>
      <c r="AQ36" t="s">
        <v>39</v>
      </c>
      <c r="AR36" t="s">
        <v>5</v>
      </c>
      <c r="AS36" t="s">
        <v>248</v>
      </c>
      <c r="AT36" t="s">
        <v>1959</v>
      </c>
      <c r="AU36" t="s">
        <v>1960</v>
      </c>
      <c r="AV36" t="s">
        <v>1961</v>
      </c>
      <c r="AW36" t="s">
        <v>1962</v>
      </c>
      <c r="AX36" t="s">
        <v>1074</v>
      </c>
      <c r="AY36" t="s">
        <v>358</v>
      </c>
      <c r="AZ36" t="s">
        <v>281</v>
      </c>
      <c r="BA36" t="s">
        <v>780</v>
      </c>
      <c r="BB36" t="s">
        <v>272</v>
      </c>
      <c r="BC36" t="s">
        <v>1075</v>
      </c>
      <c r="BD36" t="s">
        <v>1076</v>
      </c>
      <c r="BE36" t="s">
        <v>1119</v>
      </c>
      <c r="BF36" t="s">
        <v>1120</v>
      </c>
      <c r="BG36" t="s">
        <v>1121</v>
      </c>
      <c r="BH36" t="s">
        <v>751</v>
      </c>
      <c r="BI36" t="s">
        <v>625</v>
      </c>
      <c r="BJ36" t="s">
        <v>1074</v>
      </c>
      <c r="BK36" t="s">
        <v>1434</v>
      </c>
      <c r="BL36" t="s">
        <v>1963</v>
      </c>
      <c r="BM36" t="s">
        <v>1075</v>
      </c>
      <c r="BN36">
        <v>2.0499999999999998</v>
      </c>
      <c r="BO36">
        <v>14.44</v>
      </c>
      <c r="BP36">
        <v>18.75</v>
      </c>
      <c r="BQ36">
        <v>2.36</v>
      </c>
      <c r="BR36">
        <v>17.22</v>
      </c>
      <c r="BS36" t="s">
        <v>5</v>
      </c>
      <c r="BT36" t="s">
        <v>865</v>
      </c>
      <c r="BU36" t="s">
        <v>627</v>
      </c>
      <c r="BV36">
        <v>24.03</v>
      </c>
      <c r="BW36">
        <v>29.28</v>
      </c>
      <c r="BX36">
        <v>31.61</v>
      </c>
      <c r="BY36">
        <v>6.07</v>
      </c>
      <c r="BZ36">
        <v>14.57</v>
      </c>
      <c r="CA36">
        <v>15.66</v>
      </c>
      <c r="CB36">
        <v>-2.34</v>
      </c>
      <c r="CC36" s="8">
        <v>-9.48</v>
      </c>
      <c r="CD36" s="9" t="s">
        <v>1964</v>
      </c>
      <c r="CE36" s="8" t="s">
        <v>1965</v>
      </c>
      <c r="CF36" s="8">
        <v>-0.6827094474153298</v>
      </c>
      <c r="CG36" s="8">
        <v>2.6667883378294253</v>
      </c>
      <c r="CH36" s="8">
        <v>2.4106061458587646</v>
      </c>
      <c r="CI36" s="8">
        <v>1.3824884779751301E-2</v>
      </c>
      <c r="CJ36" s="9">
        <v>0.4402654767036438</v>
      </c>
      <c r="CK36" s="9">
        <v>3.9080459624528885E-2</v>
      </c>
      <c r="CL36" s="9">
        <v>-1.3605441898107529E-2</v>
      </c>
      <c r="CM36" s="9">
        <v>-0.65786874294281006</v>
      </c>
      <c r="CN36" s="9">
        <v>-2.0605409517884254E-2</v>
      </c>
      <c r="CO36">
        <v>0.40744167566299438</v>
      </c>
      <c r="CP36">
        <v>5.0892810821533203</v>
      </c>
      <c r="CQ36">
        <v>-1.2088841199874878</v>
      </c>
      <c r="CR36" s="8">
        <v>26.136704545988689</v>
      </c>
      <c r="CS36" s="9">
        <v>0.45216528360489761</v>
      </c>
      <c r="CT36">
        <v>0</v>
      </c>
      <c r="CU36">
        <v>0.57803430501371622</v>
      </c>
      <c r="CV36">
        <v>0.72187289707362656</v>
      </c>
      <c r="CW36">
        <v>0.06</v>
      </c>
      <c r="CX36">
        <v>16.647132331666118</v>
      </c>
      <c r="CY36">
        <v>48985013.3796819</v>
      </c>
      <c r="CZ36">
        <v>0.57803430501371622</v>
      </c>
      <c r="DA36">
        <v>3.6886486623940509</v>
      </c>
      <c r="DB36">
        <v>221072830.36024916</v>
      </c>
      <c r="DC36">
        <v>0.54913258976303037</v>
      </c>
      <c r="DD36">
        <v>1.0079016756766546</v>
      </c>
      <c r="DE36">
        <v>809067014.84799218</v>
      </c>
      <c r="DF36">
        <v>0.50867018841207023</v>
      </c>
      <c r="DG36">
        <v>0.28432696380881312</v>
      </c>
      <c r="DH36">
        <v>2868036112.6366153</v>
      </c>
      <c r="DI36">
        <v>0.46242744401097302</v>
      </c>
      <c r="DJ36">
        <v>2.1898393722999974E-2</v>
      </c>
      <c r="DK36">
        <v>37238347721.528038</v>
      </c>
      <c r="DL36">
        <v>0.40462401350960131</v>
      </c>
      <c r="DM36">
        <v>32904300</v>
      </c>
      <c r="DN36">
        <v>0.57803430501371622</v>
      </c>
      <c r="DO36">
        <v>815460000</v>
      </c>
      <c r="DP36">
        <v>513365200</v>
      </c>
      <c r="DQ36" s="10">
        <v>2261</v>
      </c>
      <c r="DR36">
        <v>-1.2607437524290459</v>
      </c>
      <c r="DS36">
        <v>1.9449154407557987</v>
      </c>
      <c r="DT36">
        <v>-6.6666666666666714E-3</v>
      </c>
      <c r="DU36">
        <v>5.3333333333333309E-2</v>
      </c>
      <c r="DV36">
        <v>4.6666666666666634E-2</v>
      </c>
      <c r="DW36">
        <v>-2.0948000000000002</v>
      </c>
      <c r="DX36">
        <v>0.31846869588347887</v>
      </c>
      <c r="DY36">
        <v>-2.0112308323697539</v>
      </c>
      <c r="DZ36">
        <v>3106</v>
      </c>
      <c r="EA36">
        <v>-2.0044044203657507</v>
      </c>
      <c r="EB36" s="11">
        <v>2</v>
      </c>
      <c r="EC36" s="11">
        <v>2.9490540540540542E-2</v>
      </c>
      <c r="ED36">
        <v>0.24893108108108108</v>
      </c>
      <c r="EE36">
        <v>-2.0122100000000001</v>
      </c>
      <c r="EF36">
        <v>-2.0336099999999999</v>
      </c>
      <c r="EG36">
        <v>20.118468695883479</v>
      </c>
      <c r="EH36" s="13" t="s">
        <v>884</v>
      </c>
      <c r="EI36">
        <v>0</v>
      </c>
      <c r="EJ36">
        <v>0</v>
      </c>
      <c r="EK36">
        <v>45470</v>
      </c>
      <c r="EL36">
        <v>0.39</v>
      </c>
      <c r="EM36">
        <v>-3.26</v>
      </c>
      <c r="EN36">
        <v>-2.94</v>
      </c>
      <c r="EO36">
        <v>2.67</v>
      </c>
      <c r="EP36">
        <v>-2.14</v>
      </c>
    </row>
    <row r="37" spans="1:146" ht="132" x14ac:dyDescent="0.25">
      <c r="A37" s="6"/>
      <c r="B37" s="6"/>
      <c r="C37" s="6" t="str">
        <f>"公司的主营业务为农药原药及制剂的研发、生产和销售。主要产品包括除草剂、杀虫剂、杀菌剂等。"&amp;CHAR(10)&amp;Basic_Fundamental_Information_Constructure(F37)&amp;CHAR(10)&amp;Basic_Fundamental_Information_Concatenate("除草剂 67.60亿 86.90% 99.60% 20.87%
杀菌剂 4.11亿 5.28%
杀虫剂 3.89亿 5.00%")</f>
        <v>公司的主营业务为农药原药及制剂的研发、生产和销售。主要产品包括除草剂、杀虫剂、杀菌剂等。
市值113.861332亿, 利润4727.72万; PE15.36; 平均PE20.41; 平均PEG4.19, PB1.68; ROIC16.9467%; ROE19.4467%; 股利率2.4474%; 毛利20.1333%; 净利8.7767%; 上一年度营收增-90.09%, 利润增-96.65%; 当季营收增757.64%, 利润增122276.94%; 过往5年营收增4.87%, 利润增20.24%
Income profile:
除草剂 67.60亿 86.90% 99.60% 20.87%
杀菌剂 4.11亿 5.28%
杀虫剂 3.89亿 5.00%</v>
      </c>
      <c r="D37" t="s">
        <v>534</v>
      </c>
      <c r="E37" t="s">
        <v>535</v>
      </c>
      <c r="F37">
        <v>40.86</v>
      </c>
      <c r="G37">
        <v>-1.3</v>
      </c>
      <c r="H37" t="s">
        <v>1966</v>
      </c>
      <c r="I37">
        <v>11386133200</v>
      </c>
      <c r="J37">
        <v>15.36</v>
      </c>
      <c r="K37">
        <v>1.68</v>
      </c>
      <c r="L37" t="s">
        <v>1594</v>
      </c>
      <c r="M37" t="s">
        <v>1440</v>
      </c>
      <c r="N37" t="s">
        <v>1967</v>
      </c>
      <c r="O37" t="s">
        <v>1441</v>
      </c>
      <c r="P37">
        <v>20.59</v>
      </c>
      <c r="Q37" t="s">
        <v>1448</v>
      </c>
      <c r="R37">
        <v>152843350</v>
      </c>
      <c r="S37" s="4">
        <v>-0.16389999999999999</v>
      </c>
      <c r="T37" t="s">
        <v>1449</v>
      </c>
      <c r="U37">
        <v>89345090</v>
      </c>
      <c r="V37">
        <v>278662090</v>
      </c>
      <c r="W37">
        <v>2.12</v>
      </c>
      <c r="X37">
        <v>0.18</v>
      </c>
      <c r="Y37">
        <v>6.14</v>
      </c>
      <c r="Z37" t="s">
        <v>1525</v>
      </c>
      <c r="AA37" t="s">
        <v>976</v>
      </c>
      <c r="AB37" t="s">
        <v>43</v>
      </c>
      <c r="AC37" t="s">
        <v>1968</v>
      </c>
      <c r="AD37" t="s">
        <v>5</v>
      </c>
      <c r="AE37">
        <v>73548552</v>
      </c>
      <c r="AF37" t="s">
        <v>1444</v>
      </c>
      <c r="AG37" t="s">
        <v>1969</v>
      </c>
      <c r="AH37" t="s">
        <v>1445</v>
      </c>
      <c r="AI37" t="s">
        <v>667</v>
      </c>
      <c r="AJ37" t="s">
        <v>1446</v>
      </c>
      <c r="AK37" t="s">
        <v>1970</v>
      </c>
      <c r="AL37" t="s">
        <v>1447</v>
      </c>
      <c r="AM37" t="s">
        <v>5</v>
      </c>
      <c r="AN37" t="s">
        <v>95</v>
      </c>
      <c r="AO37" t="s">
        <v>1971</v>
      </c>
      <c r="AP37" t="s">
        <v>1972</v>
      </c>
      <c r="AQ37" t="s">
        <v>269</v>
      </c>
      <c r="AR37" t="s">
        <v>1973</v>
      </c>
      <c r="AS37" t="s">
        <v>1974</v>
      </c>
      <c r="AT37" t="s">
        <v>112</v>
      </c>
      <c r="AU37" t="s">
        <v>1975</v>
      </c>
      <c r="AV37" t="s">
        <v>1976</v>
      </c>
      <c r="AW37" t="s">
        <v>123</v>
      </c>
      <c r="AX37" t="s">
        <v>936</v>
      </c>
      <c r="AY37" t="s">
        <v>748</v>
      </c>
      <c r="AZ37" t="s">
        <v>749</v>
      </c>
      <c r="BA37" t="s">
        <v>536</v>
      </c>
      <c r="BB37" t="s">
        <v>537</v>
      </c>
      <c r="BC37" t="s">
        <v>213</v>
      </c>
      <c r="BD37" t="s">
        <v>282</v>
      </c>
      <c r="BE37" t="s">
        <v>330</v>
      </c>
      <c r="BF37" t="s">
        <v>183</v>
      </c>
      <c r="BG37" t="s">
        <v>283</v>
      </c>
      <c r="BH37" t="s">
        <v>1442</v>
      </c>
      <c r="BI37" t="s">
        <v>28</v>
      </c>
      <c r="BJ37" t="s">
        <v>936</v>
      </c>
      <c r="BK37" t="s">
        <v>1443</v>
      </c>
      <c r="BL37" t="s">
        <v>1450</v>
      </c>
      <c r="BM37" t="s">
        <v>213</v>
      </c>
      <c r="BN37">
        <v>9.4499999999999993</v>
      </c>
      <c r="BO37">
        <v>23.22</v>
      </c>
      <c r="BP37">
        <v>18.170000000000002</v>
      </c>
      <c r="BQ37">
        <v>11.42</v>
      </c>
      <c r="BR37">
        <v>25.7</v>
      </c>
      <c r="BS37">
        <v>21.22</v>
      </c>
      <c r="BT37" t="s">
        <v>876</v>
      </c>
      <c r="BU37" t="s">
        <v>627</v>
      </c>
      <c r="BV37">
        <v>21.19</v>
      </c>
      <c r="BW37">
        <v>20.239999999999998</v>
      </c>
      <c r="BX37">
        <v>18.97</v>
      </c>
      <c r="BY37">
        <v>7.4</v>
      </c>
      <c r="BZ37">
        <v>10.29</v>
      </c>
      <c r="CA37">
        <v>8.64</v>
      </c>
      <c r="CB37">
        <v>-8.26</v>
      </c>
      <c r="CC37">
        <v>-20.34</v>
      </c>
      <c r="CD37" t="s">
        <v>1977</v>
      </c>
      <c r="CE37" t="s">
        <v>1978</v>
      </c>
      <c r="CF37" s="8">
        <v>7.5764331210191083</v>
      </c>
      <c r="CG37" s="9">
        <v>1222.7693844924061</v>
      </c>
      <c r="CH37" s="8">
        <v>-0.90089905261993408</v>
      </c>
      <c r="CI37" s="8">
        <v>0.47596201300621033</v>
      </c>
      <c r="CJ37" s="8">
        <v>0.34389579296112061</v>
      </c>
      <c r="CK37" s="8">
        <v>0.20019756257534027</v>
      </c>
      <c r="CL37" s="8">
        <v>0.124398373067379</v>
      </c>
      <c r="CM37" s="9">
        <v>-0.96654129028320313</v>
      </c>
      <c r="CN37" s="9">
        <v>0.7662498950958252</v>
      </c>
      <c r="CO37" s="9">
        <v>0.82648402452468872</v>
      </c>
      <c r="CP37" s="9">
        <v>0.29203540086746216</v>
      </c>
      <c r="CQ37" s="9">
        <v>9.3548387289047241E-2</v>
      </c>
      <c r="CR37">
        <v>20.409662874649282</v>
      </c>
      <c r="CS37">
        <v>4.189954822729268</v>
      </c>
      <c r="CT37">
        <v>2.4473813020068529</v>
      </c>
      <c r="CU37" s="8">
        <v>4.8710937798023227E-2</v>
      </c>
      <c r="CV37" s="9">
        <v>0.20235528349876403</v>
      </c>
      <c r="CW37">
        <v>0.06</v>
      </c>
      <c r="CX37">
        <v>263.78359007000495</v>
      </c>
      <c r="CY37">
        <v>46773695.045721419</v>
      </c>
      <c r="CZ37">
        <v>4.8710937798023227E-2</v>
      </c>
      <c r="DA37">
        <v>89.283575741334204</v>
      </c>
      <c r="DB37">
        <v>138190401.73463851</v>
      </c>
      <c r="DC37">
        <v>4.6275390908122063E-2</v>
      </c>
      <c r="DD37">
        <v>46.030910121913472</v>
      </c>
      <c r="DE37">
        <v>268040174.90252292</v>
      </c>
      <c r="DF37">
        <v>4.286562526226044E-2</v>
      </c>
      <c r="DG37">
        <v>29.090224024265343</v>
      </c>
      <c r="DH37">
        <v>424133316.73583055</v>
      </c>
      <c r="DI37">
        <v>3.8968750238418587E-2</v>
      </c>
      <c r="DJ37">
        <v>16.748382741787346</v>
      </c>
      <c r="DK37">
        <v>736676095.25164843</v>
      </c>
      <c r="DL37">
        <v>3.4097656458616253E-2</v>
      </c>
      <c r="DM37">
        <v>47277200</v>
      </c>
      <c r="DN37">
        <v>4.8710937798023227E-2</v>
      </c>
      <c r="DO37">
        <v>12338133200</v>
      </c>
      <c r="DP37">
        <v>4121077600</v>
      </c>
      <c r="DQ37">
        <v>2483</v>
      </c>
      <c r="DR37">
        <v>7.5277221832210852</v>
      </c>
      <c r="DS37">
        <v>1222.5670292089073</v>
      </c>
      <c r="DT37" s="10">
        <v>-0.37333333333333335</v>
      </c>
      <c r="DU37">
        <v>0.56999999999999995</v>
      </c>
      <c r="DV37">
        <v>0.1966666666666666</v>
      </c>
      <c r="DW37">
        <v>-9.406096361848574</v>
      </c>
      <c r="DX37">
        <v>0.45690699081141845</v>
      </c>
      <c r="DY37">
        <v>-9.0555974308801535</v>
      </c>
      <c r="DZ37">
        <v>140</v>
      </c>
      <c r="EA37">
        <v>-9.054074213595765</v>
      </c>
      <c r="EB37">
        <v>9</v>
      </c>
      <c r="EC37">
        <v>1.1939550155530665E-2</v>
      </c>
      <c r="ED37">
        <v>8.7209207395236285E-2</v>
      </c>
      <c r="EE37" s="11">
        <v>2.0531000000000001</v>
      </c>
      <c r="EF37">
        <v>2.0390999999999999</v>
      </c>
      <c r="EG37">
        <v>32.136906990811418</v>
      </c>
      <c r="EH37" t="s">
        <v>881</v>
      </c>
      <c r="EI37">
        <v>0</v>
      </c>
      <c r="EJ37">
        <v>1</v>
      </c>
      <c r="EK37" s="13">
        <v>45470</v>
      </c>
      <c r="EL37">
        <v>0.88</v>
      </c>
      <c r="EM37">
        <v>-1.1499999999999999</v>
      </c>
      <c r="EN37">
        <v>0.56999999999999995</v>
      </c>
      <c r="EO37">
        <v>2.4</v>
      </c>
      <c r="EP37">
        <v>-1.4</v>
      </c>
    </row>
    <row r="38" spans="1:146" ht="96" x14ac:dyDescent="0.25">
      <c r="A38" s="6"/>
      <c r="B38" s="6"/>
      <c r="C38" s="6" t="str">
        <f>""&amp;CHAR(10)&amp;Basic_Fundamental_Information_Constructure(F38)&amp;CHAR(10)&amp;Basic_Fundamental_Information_Concatenate("")</f>
        <v xml:space="preserve">
市值40.483202亿, 利润21.34亿; PE; 平均PE3.05; 平均PEG.02, PB2.19; ROIC31.145%; ROE158.5167%; 股利率.5074%; 毛利17.2233%; 净利27.4067%; 上一年度营收增440.44%, 利润增308.81%; 当季营收增-88.19%, 利润增-101.11%; 过往5年营收增146.81%, 利润增308.81%
Income profile:
</v>
      </c>
      <c r="D38" t="s">
        <v>538</v>
      </c>
      <c r="E38" t="s">
        <v>1979</v>
      </c>
      <c r="F38">
        <v>6.11</v>
      </c>
      <c r="G38">
        <v>-0.16</v>
      </c>
      <c r="H38" t="s">
        <v>1980</v>
      </c>
      <c r="I38">
        <v>4048320200</v>
      </c>
      <c r="K38">
        <v>2.19</v>
      </c>
      <c r="L38" t="s">
        <v>1594</v>
      </c>
      <c r="M38" t="s">
        <v>1453</v>
      </c>
      <c r="N38" t="s">
        <v>1981</v>
      </c>
      <c r="O38" t="s">
        <v>1391</v>
      </c>
      <c r="P38">
        <v>-9.48</v>
      </c>
      <c r="Q38" t="s">
        <v>1982</v>
      </c>
      <c r="R38">
        <v>-7388892</v>
      </c>
      <c r="S38" s="5">
        <v>-1.3720000000000001</v>
      </c>
      <c r="T38" t="s">
        <v>1237</v>
      </c>
      <c r="U38">
        <v>662572860</v>
      </c>
      <c r="V38">
        <v>662572860</v>
      </c>
      <c r="W38">
        <v>2.38</v>
      </c>
      <c r="X38" t="s">
        <v>5</v>
      </c>
      <c r="Y38">
        <v>0.28000000000000003</v>
      </c>
      <c r="Z38" t="s">
        <v>5</v>
      </c>
      <c r="AA38" t="s">
        <v>5</v>
      </c>
      <c r="AB38" t="s">
        <v>5</v>
      </c>
      <c r="AC38" t="s">
        <v>5</v>
      </c>
      <c r="AD38" t="s">
        <v>5</v>
      </c>
      <c r="AE38">
        <v>26209374</v>
      </c>
      <c r="AF38" t="s">
        <v>1456</v>
      </c>
      <c r="AG38" t="s">
        <v>1983</v>
      </c>
      <c r="AH38" t="s">
        <v>1984</v>
      </c>
      <c r="AI38" t="s">
        <v>1153</v>
      </c>
      <c r="AJ38" t="s">
        <v>1985</v>
      </c>
      <c r="AK38" t="s">
        <v>5</v>
      </c>
      <c r="AL38" t="s">
        <v>1457</v>
      </c>
      <c r="AM38" t="s">
        <v>5</v>
      </c>
      <c r="AN38" t="s">
        <v>260</v>
      </c>
      <c r="AO38" t="s">
        <v>5</v>
      </c>
      <c r="AP38" t="s">
        <v>1986</v>
      </c>
      <c r="AQ38" t="s">
        <v>378</v>
      </c>
      <c r="AR38" t="s">
        <v>5</v>
      </c>
      <c r="AS38" t="s">
        <v>5</v>
      </c>
      <c r="AT38" t="s">
        <v>5</v>
      </c>
      <c r="AU38" t="s">
        <v>1987</v>
      </c>
      <c r="AV38" t="s">
        <v>1988</v>
      </c>
      <c r="AW38" t="s">
        <v>1989</v>
      </c>
      <c r="AX38" t="s">
        <v>939</v>
      </c>
      <c r="AY38" t="s">
        <v>5</v>
      </c>
      <c r="AZ38" t="s">
        <v>753</v>
      </c>
      <c r="BA38" t="s">
        <v>539</v>
      </c>
      <c r="BB38" t="s">
        <v>540</v>
      </c>
      <c r="BC38" t="s">
        <v>264</v>
      </c>
      <c r="BD38" t="s">
        <v>5</v>
      </c>
      <c r="BE38" t="s">
        <v>5</v>
      </c>
      <c r="BF38" t="s">
        <v>5</v>
      </c>
      <c r="BG38" t="s">
        <v>5</v>
      </c>
      <c r="BH38" t="s">
        <v>1454</v>
      </c>
      <c r="BI38" t="s">
        <v>1990</v>
      </c>
      <c r="BJ38" t="s">
        <v>939</v>
      </c>
      <c r="BK38" t="s">
        <v>1455</v>
      </c>
      <c r="BL38" t="s">
        <v>860</v>
      </c>
      <c r="BM38" t="s">
        <v>264</v>
      </c>
      <c r="BN38" t="s">
        <v>5</v>
      </c>
      <c r="BO38">
        <v>16.920000000000002</v>
      </c>
      <c r="BP38">
        <v>45.37</v>
      </c>
      <c r="BQ38">
        <v>-5.88</v>
      </c>
      <c r="BR38">
        <v>30.38</v>
      </c>
      <c r="BS38">
        <v>451.05</v>
      </c>
      <c r="BT38" t="s">
        <v>1458</v>
      </c>
      <c r="BU38" t="s">
        <v>803</v>
      </c>
      <c r="BV38">
        <v>9.7799999999999994</v>
      </c>
      <c r="BW38">
        <v>21.77</v>
      </c>
      <c r="BX38">
        <v>20.12</v>
      </c>
      <c r="BY38">
        <v>0.98</v>
      </c>
      <c r="BZ38">
        <v>17.2</v>
      </c>
      <c r="CA38">
        <v>64.040000000000006</v>
      </c>
      <c r="CB38">
        <v>-2.08</v>
      </c>
      <c r="CC38">
        <v>-24.94</v>
      </c>
      <c r="CD38" t="s">
        <v>1991</v>
      </c>
      <c r="CE38" t="s">
        <v>444</v>
      </c>
      <c r="CF38" s="8">
        <v>-0.88194667523289427</v>
      </c>
      <c r="CG38" s="9">
        <v>-1.0111111157894737</v>
      </c>
      <c r="CH38" s="8">
        <v>4.4043636322021484</v>
      </c>
      <c r="CI38" s="8" t="s">
        <v>5</v>
      </c>
      <c r="CJ38" s="8" t="s">
        <v>5</v>
      </c>
      <c r="CK38" s="8">
        <v>-5.2265916019678116E-2</v>
      </c>
      <c r="CL38" s="8">
        <v>5.2129771560430527E-2</v>
      </c>
      <c r="CM38" s="9">
        <v>3.0881226062774658</v>
      </c>
      <c r="CN38" s="9" t="s">
        <v>5</v>
      </c>
      <c r="CO38" s="9" t="s">
        <v>5</v>
      </c>
      <c r="CP38" s="9" t="s">
        <v>5</v>
      </c>
      <c r="CQ38" s="9" t="s">
        <v>5</v>
      </c>
      <c r="CR38">
        <v>3.0484338855421687</v>
      </c>
      <c r="CS38">
        <v>2.0764825799934626E-2</v>
      </c>
      <c r="CT38">
        <v>0.50736497545008186</v>
      </c>
      <c r="CU38" s="8">
        <v>1.4680758292476337</v>
      </c>
      <c r="CV38" s="9">
        <v>3.0881226062774658</v>
      </c>
      <c r="CW38">
        <v>0.06</v>
      </c>
      <c r="CX38">
        <v>1.0051464290419498</v>
      </c>
      <c r="CY38">
        <v>4968748886.4287271</v>
      </c>
      <c r="CZ38">
        <v>1.4680758292476337</v>
      </c>
      <c r="DA38">
        <v>0.12387729756705623</v>
      </c>
      <c r="DB38">
        <v>40316670593.306381</v>
      </c>
      <c r="DC38">
        <v>1.394672037785252</v>
      </c>
      <c r="DD38">
        <v>1.2433340393251571E-2</v>
      </c>
      <c r="DE38">
        <v>401687723655.56409</v>
      </c>
      <c r="DF38">
        <v>1.2919067297379176</v>
      </c>
      <c r="DG38">
        <v>9.0963566012534198E-4</v>
      </c>
      <c r="DH38">
        <v>5490462191545.8047</v>
      </c>
      <c r="DI38">
        <v>1.174460663398107</v>
      </c>
      <c r="DJ38">
        <v>2.5956927156021463E-6</v>
      </c>
      <c r="DK38">
        <v>1924079907448298.5</v>
      </c>
      <c r="DL38">
        <v>1.0276530804733435</v>
      </c>
      <c r="DM38">
        <v>2134000000</v>
      </c>
      <c r="DN38">
        <v>1.4680758292476337</v>
      </c>
      <c r="DO38">
        <v>4994320200</v>
      </c>
      <c r="DP38">
        <v>2103957600</v>
      </c>
      <c r="DQ38">
        <v>2902</v>
      </c>
      <c r="DR38">
        <v>-2.3500225044805281</v>
      </c>
      <c r="DS38">
        <v>-4.0992337220669395</v>
      </c>
      <c r="DT38" s="10">
        <v>-0.21000000000000008</v>
      </c>
      <c r="DU38">
        <v>-1.7950000000000002</v>
      </c>
      <c r="DV38">
        <v>-2.0050000000000003</v>
      </c>
      <c r="DW38">
        <v>-3.1011071428571428</v>
      </c>
      <c r="DX38">
        <v>0.32007089201877836</v>
      </c>
      <c r="DY38">
        <v>-3.0151732391180417</v>
      </c>
      <c r="DZ38">
        <v>4876</v>
      </c>
      <c r="EA38">
        <v>-3.0006948215173428</v>
      </c>
      <c r="EB38">
        <v>3</v>
      </c>
      <c r="EC38">
        <v>4.8243901810285442E-2</v>
      </c>
      <c r="ED38">
        <v>0.32147407909222242</v>
      </c>
      <c r="EE38" s="11">
        <v>-3.0240999999999998</v>
      </c>
      <c r="EF38">
        <v>-3.0316000000000001</v>
      </c>
      <c r="EG38">
        <v>17.150070892018778</v>
      </c>
      <c r="EH38" t="s">
        <v>1128</v>
      </c>
      <c r="EI38">
        <v>0</v>
      </c>
      <c r="EJ38">
        <v>0</v>
      </c>
      <c r="EK38" s="13">
        <v>45470</v>
      </c>
      <c r="EL38">
        <v>0</v>
      </c>
      <c r="EM38">
        <v>-6.67</v>
      </c>
      <c r="EN38">
        <v>0</v>
      </c>
      <c r="EO38">
        <v>5.56</v>
      </c>
      <c r="EP38">
        <v>0.75</v>
      </c>
    </row>
    <row r="39" spans="1:146" ht="192" x14ac:dyDescent="0.25">
      <c r="A39" s="6"/>
      <c r="B39" s="6"/>
      <c r="C39" s="6" t="str">
        <f>"公司主营业务为肥料及现代农业、磷矿采选、精细化工、商贸物流。主要产品有磷酸一铵、磷酸二铵、尿素、复合肥、水溶肥、功能肥、磷矿石、聚甲醛、季戊四醇、锂离子电池隔膜等。"&amp;CHAR(10)&amp;Basic_Fundamental_Information_Constructure(F39)&amp;CHAR(10)&amp;Basic_Fundamental_Information_Concatenate("商贸物流 368.60亿 58.28% 6.02% 1.41%
化肥 205.62亿 32.51% 69.09% 29.07%
磷化工 23.70亿 3.75% 7.14% 26.05%
工程材料 18.63亿 2.95% 6.94% 32.24%
磷矿采选 5.86亿 0.93% 4.40% 65.07%
煤炭采掘 5.10亿 0.81% 3.95% 66.98%
其他业务 4.99亿 0.79% 2.46% 42.69%")</f>
        <v>公司主营业务为肥料及现代农业、磷矿采选、精细化工、商贸物流。主要产品有磷酸一铵、磷酸二铵、尿素、复合肥、水溶肥、功能肥、磷矿石、聚甲醛、季戊四醇、锂离子电池隔膜等。
市值364.29769亿, 利润1.48亿; PE8.26; 平均PE11.81; 平均PEG.36, PB1.8; ROIC13.9733%; ROE36.7633%; 股利率5.0352%; 毛利15.0267%; 净利7.9867%; 上一年度营收增-97.32%, 利润增-97.54%; 当季营收增4257.55%, 利润增386788.89%; 过往5年营收增-32.97%, 利润增-97.54%
Income profile:
商贸物流 368.60亿 58.28% 6.02% 1.41%
化肥 205.62亿 32.51% 69.09% 29.07%
磷化工 23.70亿 3.75% 7.14% 26.05%
工程材料 18.63亿 2.95% 6.94% 32.24%
磷矿采选 5.86亿 0.93% 4.40% 65.07%
煤炭采掘 5.10亿 0.81% 3.95% 66.98%
其他业务 4.99亿 0.79% 2.46% 42.69%</v>
      </c>
      <c r="D39" t="s">
        <v>541</v>
      </c>
      <c r="E39" t="s">
        <v>542</v>
      </c>
      <c r="F39">
        <v>19.86</v>
      </c>
      <c r="G39">
        <v>1.07</v>
      </c>
      <c r="H39" t="s">
        <v>1992</v>
      </c>
      <c r="I39">
        <v>36429769000</v>
      </c>
      <c r="J39">
        <v>8.26</v>
      </c>
      <c r="K39">
        <v>1.8</v>
      </c>
      <c r="L39" t="s">
        <v>1594</v>
      </c>
      <c r="M39" t="s">
        <v>1459</v>
      </c>
      <c r="N39" t="s">
        <v>1993</v>
      </c>
      <c r="O39" t="s">
        <v>1460</v>
      </c>
      <c r="P39">
        <v>-12.77</v>
      </c>
      <c r="Q39" t="s">
        <v>752</v>
      </c>
      <c r="R39">
        <v>1459344900</v>
      </c>
      <c r="S39" s="4">
        <v>-7.1800000000000003E-2</v>
      </c>
      <c r="T39" t="s">
        <v>195</v>
      </c>
      <c r="U39">
        <v>1834328700</v>
      </c>
      <c r="V39">
        <v>1834328700</v>
      </c>
      <c r="W39">
        <v>2.29</v>
      </c>
      <c r="X39" t="s">
        <v>5</v>
      </c>
      <c r="Y39">
        <v>12.3</v>
      </c>
      <c r="Z39" t="s">
        <v>5</v>
      </c>
      <c r="AA39" t="s">
        <v>5</v>
      </c>
      <c r="AB39" t="s">
        <v>5</v>
      </c>
      <c r="AC39" t="s">
        <v>5</v>
      </c>
      <c r="AD39" t="s">
        <v>5</v>
      </c>
      <c r="AE39">
        <v>144706440</v>
      </c>
      <c r="AF39" t="s">
        <v>1462</v>
      </c>
      <c r="AG39" t="s">
        <v>1994</v>
      </c>
      <c r="AH39" t="s">
        <v>1463</v>
      </c>
      <c r="AI39" t="s">
        <v>1995</v>
      </c>
      <c r="AJ39" t="s">
        <v>1464</v>
      </c>
      <c r="AK39" t="s">
        <v>5</v>
      </c>
      <c r="AL39" t="s">
        <v>1465</v>
      </c>
      <c r="AM39" t="s">
        <v>5</v>
      </c>
      <c r="AN39" t="s">
        <v>552</v>
      </c>
      <c r="AO39" t="s">
        <v>5</v>
      </c>
      <c r="AP39" t="s">
        <v>212</v>
      </c>
      <c r="AQ39" t="s">
        <v>1996</v>
      </c>
      <c r="AR39" t="s">
        <v>1997</v>
      </c>
      <c r="AS39" t="s">
        <v>5</v>
      </c>
      <c r="AT39" t="s">
        <v>5</v>
      </c>
      <c r="AU39" t="s">
        <v>1998</v>
      </c>
      <c r="AV39" t="s">
        <v>1388</v>
      </c>
      <c r="AW39" t="s">
        <v>1999</v>
      </c>
      <c r="AX39" t="s">
        <v>940</v>
      </c>
      <c r="AY39" t="s">
        <v>5</v>
      </c>
      <c r="AZ39" t="s">
        <v>755</v>
      </c>
      <c r="BA39" t="s">
        <v>543</v>
      </c>
      <c r="BB39" t="s">
        <v>544</v>
      </c>
      <c r="BC39" t="s">
        <v>941</v>
      </c>
      <c r="BD39" t="s">
        <v>5</v>
      </c>
      <c r="BE39" t="s">
        <v>5</v>
      </c>
      <c r="BF39" t="s">
        <v>5</v>
      </c>
      <c r="BG39" t="s">
        <v>5</v>
      </c>
      <c r="BH39" t="s">
        <v>1461</v>
      </c>
      <c r="BI39" t="s">
        <v>184</v>
      </c>
      <c r="BJ39" t="s">
        <v>940</v>
      </c>
      <c r="BK39" t="s">
        <v>422</v>
      </c>
      <c r="BL39" t="s">
        <v>2000</v>
      </c>
      <c r="BM39" t="s">
        <v>941</v>
      </c>
      <c r="BN39">
        <v>11.41</v>
      </c>
      <c r="BO39">
        <v>18.350000000000001</v>
      </c>
      <c r="BP39">
        <v>12.16</v>
      </c>
      <c r="BQ39">
        <v>21.23</v>
      </c>
      <c r="BR39">
        <v>45.3</v>
      </c>
      <c r="BS39">
        <v>43.76</v>
      </c>
      <c r="BT39" t="s">
        <v>876</v>
      </c>
      <c r="BU39" t="s">
        <v>803</v>
      </c>
      <c r="BV39">
        <v>15.18</v>
      </c>
      <c r="BW39">
        <v>16.22</v>
      </c>
      <c r="BX39">
        <v>13.68</v>
      </c>
      <c r="BY39">
        <v>7.95</v>
      </c>
      <c r="BZ39">
        <v>9.36</v>
      </c>
      <c r="CA39">
        <v>6.65</v>
      </c>
      <c r="CB39">
        <v>2.27</v>
      </c>
      <c r="CC39">
        <v>-2.02</v>
      </c>
      <c r="CD39" t="s">
        <v>132</v>
      </c>
      <c r="CE39" t="s">
        <v>2001</v>
      </c>
      <c r="CF39" s="8">
        <v>42.575471698113205</v>
      </c>
      <c r="CG39" s="9">
        <v>3867.8889183457054</v>
      </c>
      <c r="CH39" s="8">
        <v>-0.97324496507644653</v>
      </c>
      <c r="CI39" s="8" t="s">
        <v>5</v>
      </c>
      <c r="CJ39" s="8" t="s">
        <v>5</v>
      </c>
      <c r="CK39" s="8">
        <v>-3.4552372992038727E-2</v>
      </c>
      <c r="CL39" s="8">
        <v>1.881876215338707E-2</v>
      </c>
      <c r="CM39" s="9">
        <v>-0.97541940212249756</v>
      </c>
      <c r="CN39" s="9" t="s">
        <v>5</v>
      </c>
      <c r="CO39" s="9" t="s">
        <v>5</v>
      </c>
      <c r="CP39" s="9" t="s">
        <v>5</v>
      </c>
      <c r="CQ39" s="9" t="s">
        <v>5</v>
      </c>
      <c r="CR39">
        <v>11.810591343815853</v>
      </c>
      <c r="CS39">
        <v>0.35826634564517912</v>
      </c>
      <c r="CT39">
        <v>5.0352467270896275</v>
      </c>
      <c r="CU39" s="8">
        <v>-0.32965952530503273</v>
      </c>
      <c r="CV39" s="9">
        <v>-0.97541940212249756</v>
      </c>
      <c r="CW39">
        <v>0.06</v>
      </c>
      <c r="CX39">
        <v>292.07952027027028</v>
      </c>
      <c r="CY39" t="s">
        <v>2002</v>
      </c>
      <c r="CZ39">
        <v>-0.32965952530503273</v>
      </c>
      <c r="DA39">
        <v>97.359840090090088</v>
      </c>
      <c r="DB39" t="s">
        <v>2003</v>
      </c>
      <c r="DC39">
        <v>-0.31317654903978109</v>
      </c>
      <c r="DD39">
        <v>48.679920045045044</v>
      </c>
      <c r="DE39" t="s">
        <v>2004</v>
      </c>
      <c r="DF39">
        <v>-0.29010038226842882</v>
      </c>
      <c r="DG39">
        <v>29.207952027027027</v>
      </c>
      <c r="DH39" t="s">
        <v>2005</v>
      </c>
      <c r="DI39">
        <v>-0.26372762024402618</v>
      </c>
      <c r="DJ39">
        <v>14.603976013513513</v>
      </c>
      <c r="DK39" t="s">
        <v>2006</v>
      </c>
      <c r="DL39">
        <v>-0.23076166771352288</v>
      </c>
      <c r="DM39">
        <v>148000000</v>
      </c>
      <c r="DN39">
        <v>-0.32965952530503273</v>
      </c>
      <c r="DO39">
        <v>43227769000</v>
      </c>
      <c r="DP39">
        <v>19194332000</v>
      </c>
      <c r="DQ39">
        <v>2914</v>
      </c>
      <c r="DR39">
        <v>42.905131223418238</v>
      </c>
      <c r="DS39">
        <v>3868.8643377478279</v>
      </c>
      <c r="DT39" s="10">
        <v>-1.1599999999999999</v>
      </c>
      <c r="DU39">
        <v>-2.3199999999999998</v>
      </c>
      <c r="DV39">
        <v>-3.4799999999999995</v>
      </c>
      <c r="DW39">
        <v>-2.0199999999999999E-2</v>
      </c>
      <c r="DX39">
        <v>0.28780025284450128</v>
      </c>
      <c r="DY39">
        <v>-2.7835651074589124E-3</v>
      </c>
      <c r="DZ39">
        <v>2573</v>
      </c>
      <c r="EA39">
        <v>-1.3819774320202077E-3</v>
      </c>
      <c r="EB39">
        <v>0</v>
      </c>
      <c r="EC39">
        <v>5.9422283476238479E-2</v>
      </c>
      <c r="ED39">
        <v>0.43122042412573058</v>
      </c>
      <c r="EE39" s="11">
        <v>3.0750000000000002</v>
      </c>
      <c r="EF39">
        <v>3.0605000000000002</v>
      </c>
      <c r="EG39">
        <v>15.137800252844501</v>
      </c>
      <c r="EH39" t="s">
        <v>1109</v>
      </c>
      <c r="EI39">
        <v>0</v>
      </c>
      <c r="EJ39">
        <v>0</v>
      </c>
      <c r="EK39" s="13">
        <v>45470</v>
      </c>
      <c r="EL39">
        <v>1.45</v>
      </c>
      <c r="EM39">
        <v>-2.38</v>
      </c>
      <c r="EN39">
        <v>-0.49</v>
      </c>
      <c r="EO39">
        <v>1.47</v>
      </c>
      <c r="EP39">
        <v>-1.45</v>
      </c>
    </row>
    <row r="40" spans="1:146" ht="228" x14ac:dyDescent="0.25">
      <c r="A40" s="6" t="s">
        <v>787</v>
      </c>
      <c r="B40" s="6" t="s">
        <v>786</v>
      </c>
      <c r="C40" s="6" t="str">
        <f>"公司主营业务是磷矿石、磷酸盐等精细磷化工产品、草甘膦及其副产品、有机硅产品、肥料产品、电子化学品等的生产、销售及相关化工产品的贸易业务。公司主导产品有磷矿石、黄磷、磷酸、工业级和食品级三聚磷酸钠、工业级和食品级六偏磷酸钠、磷酸一铵、磷酸二铵、草甘膦、有机硅、烧碱。"&amp;CHAR(10)&amp;Basic_Fundamental_Information_Constructure(F40)&amp;CHAR(10)&amp;Basic_Fundamental_Information_Concatenate("草甘膦及副产品 75.48亿 31.98% 38.17% 39.83%
有机硅产品 48.68亿 20.62% 21.28% 34.44%
黄磷及精细磷产品 44.17亿 18.71% 22.06% 39.34%
肥料产品 25.36亿 10.74% 5.19% 16.11%
其他业务 12.07亿 5.11% 5.32% 34.72%
磷矿石 7.07亿 2.99% 4.94% 55.02%")</f>
        <v>公司主营业务是磷矿石、磷酸盐等精细磷化工产品、草甘膦及其副产品、有机硅产品、肥料产品、电子化学品等的生产、销售及相关化工产品的贸易业务。公司主导产品有磷矿石、黄磷、磷酸、工业级和食品级三聚磷酸钠、工业级和食品级六偏磷酸钠、磷酸一铵、磷酸二铵、草甘膦、有机硅、烧碱。
市值206.66961亿, 利润3.17亿; PE15.76; 平均PE6.7; 平均PEG.33, PB.975; ROIC15.14%; ROE25.5667%; 股利率3.2275%; 毛利28.4067%; 净利15.7167%; 上一年度营收增58.16%, 利润增-94.58%; 当季营收增-28.87%, 利润增27.62%; 过往5年营收增20.38%, 利润增-94.58%
Income profile:
草甘膦及副产品 75.48亿 31.98% 38.17% 39.83%
有机硅产品 48.68亿 20.62% 21.28% 34.44%
黄磷及精细磷产品 44.17亿 18.71% 22.06% 39.34%
肥料产品 25.36亿 10.74% 5.19% 16.11%
其他业务 12.07亿 5.11% 5.32% 34.72%
磷矿石 7.07亿 2.99% 4.94% 55.02%</v>
      </c>
      <c r="D40" t="s">
        <v>545</v>
      </c>
      <c r="E40" t="s">
        <v>546</v>
      </c>
      <c r="F40">
        <v>18.59</v>
      </c>
      <c r="G40">
        <v>0.6</v>
      </c>
      <c r="H40" t="s">
        <v>2007</v>
      </c>
      <c r="I40">
        <v>20666961000</v>
      </c>
      <c r="J40">
        <v>15.76</v>
      </c>
      <c r="K40">
        <v>0.97499999999999998</v>
      </c>
      <c r="L40" t="s">
        <v>1594</v>
      </c>
      <c r="M40" t="s">
        <v>1466</v>
      </c>
      <c r="N40" t="s">
        <v>2008</v>
      </c>
      <c r="O40" t="s">
        <v>1467</v>
      </c>
      <c r="P40">
        <v>4.82</v>
      </c>
      <c r="Q40" t="s">
        <v>2009</v>
      </c>
      <c r="R40">
        <v>381593320</v>
      </c>
      <c r="S40" s="4">
        <v>-0.1507</v>
      </c>
      <c r="T40" t="s">
        <v>1717</v>
      </c>
      <c r="U40">
        <v>1111724660</v>
      </c>
      <c r="V40">
        <v>1111724660</v>
      </c>
      <c r="W40">
        <v>2.0299999999999998</v>
      </c>
      <c r="X40" t="s">
        <v>5</v>
      </c>
      <c r="Y40">
        <v>5.54</v>
      </c>
      <c r="Z40" t="s">
        <v>5</v>
      </c>
      <c r="AA40" t="s">
        <v>5</v>
      </c>
      <c r="AB40" t="s">
        <v>5</v>
      </c>
      <c r="AC40" t="s">
        <v>5</v>
      </c>
      <c r="AD40" t="s">
        <v>5</v>
      </c>
      <c r="AE40">
        <v>89326487</v>
      </c>
      <c r="AF40" t="s">
        <v>1469</v>
      </c>
      <c r="AG40" t="s">
        <v>2010</v>
      </c>
      <c r="AH40" t="s">
        <v>1470</v>
      </c>
      <c r="AI40" t="s">
        <v>2011</v>
      </c>
      <c r="AJ40" t="s">
        <v>1471</v>
      </c>
      <c r="AK40" t="s">
        <v>5</v>
      </c>
      <c r="AL40" t="s">
        <v>1472</v>
      </c>
      <c r="AM40" t="s">
        <v>5</v>
      </c>
      <c r="AN40" t="s">
        <v>2012</v>
      </c>
      <c r="AO40" t="s">
        <v>5</v>
      </c>
      <c r="AP40" t="s">
        <v>148</v>
      </c>
      <c r="AQ40" t="s">
        <v>2013</v>
      </c>
      <c r="AR40" t="s">
        <v>2014</v>
      </c>
      <c r="AS40" t="s">
        <v>5</v>
      </c>
      <c r="AT40" t="s">
        <v>5</v>
      </c>
      <c r="AU40" t="s">
        <v>1695</v>
      </c>
      <c r="AV40" t="s">
        <v>2015</v>
      </c>
      <c r="AW40" t="s">
        <v>754</v>
      </c>
      <c r="AX40" t="s">
        <v>942</v>
      </c>
      <c r="AY40" t="s">
        <v>5</v>
      </c>
      <c r="AZ40" t="s">
        <v>817</v>
      </c>
      <c r="BA40" t="s">
        <v>818</v>
      </c>
      <c r="BB40" t="s">
        <v>548</v>
      </c>
      <c r="BC40" t="s">
        <v>943</v>
      </c>
      <c r="BD40" t="s">
        <v>5</v>
      </c>
      <c r="BE40" t="s">
        <v>5</v>
      </c>
      <c r="BF40" t="s">
        <v>5</v>
      </c>
      <c r="BG40" t="s">
        <v>5</v>
      </c>
      <c r="BH40" t="s">
        <v>1468</v>
      </c>
      <c r="BI40" t="s">
        <v>2016</v>
      </c>
      <c r="BJ40" t="s">
        <v>942</v>
      </c>
      <c r="BK40" t="s">
        <v>1131</v>
      </c>
      <c r="BL40" t="s">
        <v>287</v>
      </c>
      <c r="BM40" t="s">
        <v>943</v>
      </c>
      <c r="BN40">
        <v>3.41</v>
      </c>
      <c r="BO40">
        <v>22.62</v>
      </c>
      <c r="BP40">
        <v>19.39</v>
      </c>
      <c r="BQ40">
        <v>4.78</v>
      </c>
      <c r="BR40">
        <v>34.76</v>
      </c>
      <c r="BS40">
        <v>37.159999999999997</v>
      </c>
      <c r="BT40" t="s">
        <v>870</v>
      </c>
      <c r="BU40" t="s">
        <v>803</v>
      </c>
      <c r="BV40">
        <v>16.170000000000002</v>
      </c>
      <c r="BW40">
        <v>35.61</v>
      </c>
      <c r="BX40">
        <v>33.44</v>
      </c>
      <c r="BY40">
        <v>4.93</v>
      </c>
      <c r="BZ40">
        <v>22.42</v>
      </c>
      <c r="CA40">
        <v>19.8</v>
      </c>
      <c r="CB40">
        <v>-2.57</v>
      </c>
      <c r="CC40">
        <v>-12.93</v>
      </c>
      <c r="CD40" t="s">
        <v>2017</v>
      </c>
      <c r="CE40" t="s">
        <v>290</v>
      </c>
      <c r="CF40" s="8">
        <v>-0.2886502117112465</v>
      </c>
      <c r="CG40" s="9">
        <v>0.27623183946488294</v>
      </c>
      <c r="CH40" s="8">
        <v>0.58163708448410034</v>
      </c>
      <c r="CI40" s="8" t="s">
        <v>5</v>
      </c>
      <c r="CJ40" s="8" t="s">
        <v>5</v>
      </c>
      <c r="CK40" s="8">
        <v>1.8836492672562599E-2</v>
      </c>
      <c r="CL40" s="8">
        <v>1.0921328328549862E-2</v>
      </c>
      <c r="CM40" s="9">
        <v>-0.94583046436309814</v>
      </c>
      <c r="CN40" s="9" t="s">
        <v>5</v>
      </c>
      <c r="CO40" s="9" t="s">
        <v>5</v>
      </c>
      <c r="CP40" s="9" t="s">
        <v>5</v>
      </c>
      <c r="CQ40" s="9" t="s">
        <v>5</v>
      </c>
      <c r="CR40">
        <v>6.7002629275409307</v>
      </c>
      <c r="CS40">
        <v>0.32876932081516907</v>
      </c>
      <c r="CT40">
        <v>3.2275416890801507</v>
      </c>
      <c r="CU40" s="8">
        <v>0.20379830182840428</v>
      </c>
      <c r="CV40" s="9">
        <v>-0.94583046436309814</v>
      </c>
      <c r="CW40">
        <v>0.06</v>
      </c>
      <c r="CX40">
        <v>57.821498447586677</v>
      </c>
      <c r="CY40">
        <v>360003831.77321142</v>
      </c>
      <c r="CZ40">
        <v>0.20379830182840428</v>
      </c>
      <c r="DA40">
        <v>17.181704300236479</v>
      </c>
      <c r="DB40">
        <v>1211518987.6544144</v>
      </c>
      <c r="DC40">
        <v>0.19360838673698405</v>
      </c>
      <c r="DD40">
        <v>7.4102491434706419</v>
      </c>
      <c r="DE40">
        <v>2809077076.4895902</v>
      </c>
      <c r="DF40">
        <v>0.17934250560899576</v>
      </c>
      <c r="DG40">
        <v>3.8057909973643147</v>
      </c>
      <c r="DH40">
        <v>5469549172.4101534</v>
      </c>
      <c r="DI40">
        <v>0.16303864146272343</v>
      </c>
      <c r="DJ40">
        <v>1.3612120034952948</v>
      </c>
      <c r="DK40">
        <v>15292225565.561546</v>
      </c>
      <c r="DL40">
        <v>0.14265881127988297</v>
      </c>
      <c r="DM40">
        <v>317000000</v>
      </c>
      <c r="DN40">
        <v>0.20379830182840428</v>
      </c>
      <c r="DO40">
        <v>20815961000</v>
      </c>
      <c r="DP40">
        <v>7977847300</v>
      </c>
      <c r="DQ40">
        <v>2953</v>
      </c>
      <c r="DR40">
        <v>-0.4924485135396508</v>
      </c>
      <c r="DS40">
        <v>1.2220623038279812</v>
      </c>
      <c r="DT40" s="10">
        <v>-0.41000000000000003</v>
      </c>
      <c r="DU40">
        <v>-2.3199999999999998</v>
      </c>
      <c r="DV40">
        <v>-2.73</v>
      </c>
      <c r="DW40">
        <v>-8.1987625676720803</v>
      </c>
      <c r="DX40">
        <v>0.28215705521472445</v>
      </c>
      <c r="DY40">
        <v>-8.0282555013071804</v>
      </c>
      <c r="DZ40">
        <v>4436</v>
      </c>
      <c r="EA40">
        <v>-8.0037268508573458</v>
      </c>
      <c r="EB40">
        <v>8</v>
      </c>
      <c r="EC40">
        <v>4.1685861317495645E-2</v>
      </c>
      <c r="ED40">
        <v>0.29323807569403021</v>
      </c>
      <c r="EE40" s="11">
        <v>-1.12191</v>
      </c>
      <c r="EF40">
        <v>-1.1271100000000001</v>
      </c>
      <c r="EG40">
        <v>14.142157055214724</v>
      </c>
      <c r="EH40" t="s">
        <v>879</v>
      </c>
      <c r="EI40">
        <v>0</v>
      </c>
      <c r="EJ40">
        <v>0</v>
      </c>
      <c r="EK40" s="13">
        <v>45470</v>
      </c>
      <c r="EL40">
        <v>-0.1</v>
      </c>
      <c r="EM40">
        <v>-3.46</v>
      </c>
      <c r="EN40">
        <v>0.74</v>
      </c>
      <c r="EO40">
        <v>1.1499999999999999</v>
      </c>
      <c r="EP40">
        <v>-0.52</v>
      </c>
    </row>
    <row r="41" spans="1:146" ht="84" x14ac:dyDescent="0.25">
      <c r="A41" s="6"/>
      <c r="B41" s="6"/>
      <c r="C41" s="6" t="str">
        <f>""&amp;CHAR(10)&amp;Basic_Fundamental_Information_Constructure(F41)&amp;CHAR(10)&amp;Basic_Fundamental_Information_Concatenate("")</f>
        <v xml:space="preserve">
市值21.841431亿, 利润2543.52万; PE; 平均PE-12.79; 平均PEG-.35, PB.83; ROIC0%; ROE-7.7%; 股利率0%; 毛利11%; 净利-7.6267%; 上一年度营收增-88%, 利润增106.93%; 当季营收增457.11%, 利润增-11819.53%; 过往5年营收增-36.52%, 利润增106.93%
Income profile:
</v>
      </c>
      <c r="D41" t="s">
        <v>819</v>
      </c>
      <c r="E41" t="s">
        <v>1130</v>
      </c>
      <c r="F41">
        <v>1.29</v>
      </c>
      <c r="G41">
        <v>4.03</v>
      </c>
      <c r="H41" t="s">
        <v>2018</v>
      </c>
      <c r="I41">
        <v>2184143100</v>
      </c>
      <c r="K41">
        <v>0.83</v>
      </c>
      <c r="L41" t="s">
        <v>1594</v>
      </c>
      <c r="M41" t="s">
        <v>777</v>
      </c>
      <c r="N41" t="s">
        <v>2019</v>
      </c>
      <c r="O41" t="s">
        <v>262</v>
      </c>
      <c r="P41">
        <v>-11.77</v>
      </c>
      <c r="Q41" t="s">
        <v>166</v>
      </c>
      <c r="R41">
        <v>-40180723</v>
      </c>
      <c r="S41" s="4">
        <v>-0.15770000000000001</v>
      </c>
      <c r="T41" t="s">
        <v>2020</v>
      </c>
      <c r="U41">
        <v>1278179550</v>
      </c>
      <c r="V41">
        <v>1693134200</v>
      </c>
      <c r="W41">
        <v>1.82</v>
      </c>
      <c r="X41" t="s">
        <v>5</v>
      </c>
      <c r="Y41">
        <v>-9.19</v>
      </c>
      <c r="Z41" t="s">
        <v>5</v>
      </c>
      <c r="AA41" t="s">
        <v>5</v>
      </c>
      <c r="AB41" t="s">
        <v>5</v>
      </c>
      <c r="AC41" t="s">
        <v>5</v>
      </c>
      <c r="AD41" t="s">
        <v>5</v>
      </c>
      <c r="AE41">
        <v>14610603</v>
      </c>
      <c r="AF41" t="s">
        <v>1474</v>
      </c>
      <c r="AG41" t="s">
        <v>2021</v>
      </c>
      <c r="AH41" t="s">
        <v>1475</v>
      </c>
      <c r="AI41" t="s">
        <v>172</v>
      </c>
      <c r="AJ41" t="s">
        <v>1476</v>
      </c>
      <c r="AK41" t="s">
        <v>5</v>
      </c>
      <c r="AL41" t="s">
        <v>1477</v>
      </c>
      <c r="AM41" t="s">
        <v>5</v>
      </c>
      <c r="AN41" t="s">
        <v>2022</v>
      </c>
      <c r="AO41" t="s">
        <v>5</v>
      </c>
      <c r="AP41" t="s">
        <v>172</v>
      </c>
      <c r="AQ41" t="s">
        <v>287</v>
      </c>
      <c r="AR41" t="s">
        <v>2023</v>
      </c>
      <c r="AS41" t="s">
        <v>5</v>
      </c>
      <c r="AT41" t="s">
        <v>5</v>
      </c>
      <c r="AU41" t="s">
        <v>2024</v>
      </c>
      <c r="AV41" t="s">
        <v>2025</v>
      </c>
      <c r="AW41" t="s">
        <v>2026</v>
      </c>
      <c r="AX41" t="s">
        <v>944</v>
      </c>
      <c r="AY41" t="s">
        <v>5</v>
      </c>
      <c r="AZ41" t="s">
        <v>820</v>
      </c>
      <c r="BA41" t="s">
        <v>576</v>
      </c>
      <c r="BB41" t="s">
        <v>811</v>
      </c>
      <c r="BC41" t="s">
        <v>862</v>
      </c>
      <c r="BD41" t="s">
        <v>5</v>
      </c>
      <c r="BE41" t="s">
        <v>5</v>
      </c>
      <c r="BF41" t="s">
        <v>5</v>
      </c>
      <c r="BG41" t="s">
        <v>5</v>
      </c>
      <c r="BH41" t="s">
        <v>1129</v>
      </c>
      <c r="BI41" t="s">
        <v>2027</v>
      </c>
      <c r="BJ41" t="s">
        <v>944</v>
      </c>
      <c r="BK41" t="s">
        <v>859</v>
      </c>
      <c r="BL41" t="s">
        <v>2028</v>
      </c>
      <c r="BM41" t="s">
        <v>862</v>
      </c>
      <c r="BN41" t="s">
        <v>5</v>
      </c>
      <c r="BO41" t="s">
        <v>5</v>
      </c>
      <c r="BP41" t="s">
        <v>5</v>
      </c>
      <c r="BQ41">
        <v>-9.19</v>
      </c>
      <c r="BR41">
        <v>-12.29</v>
      </c>
      <c r="BS41">
        <v>-1.62</v>
      </c>
      <c r="BT41" t="s">
        <v>865</v>
      </c>
      <c r="BU41" t="s">
        <v>804</v>
      </c>
      <c r="BV41">
        <v>7.89</v>
      </c>
      <c r="BW41">
        <v>5.78</v>
      </c>
      <c r="BX41">
        <v>19.329999999999998</v>
      </c>
      <c r="BY41">
        <v>-5.52</v>
      </c>
      <c r="BZ41">
        <v>-14.76</v>
      </c>
      <c r="CA41">
        <v>-2.6</v>
      </c>
      <c r="CB41">
        <v>11.21</v>
      </c>
      <c r="CC41">
        <v>-26.7</v>
      </c>
      <c r="CD41" t="s">
        <v>647</v>
      </c>
      <c r="CE41" t="s">
        <v>1285</v>
      </c>
      <c r="CF41" s="8">
        <v>4.5710590494013976</v>
      </c>
      <c r="CG41" s="9">
        <v>-118.19526253337288</v>
      </c>
      <c r="CH41" s="8">
        <v>-0.88001596927642822</v>
      </c>
      <c r="CI41" s="8" t="s">
        <v>5</v>
      </c>
      <c r="CJ41" s="8" t="s">
        <v>5</v>
      </c>
      <c r="CK41" s="8">
        <v>-4.8864725977182388E-2</v>
      </c>
      <c r="CL41" s="8">
        <v>-0.1665981262922287</v>
      </c>
      <c r="CM41" s="9">
        <v>1.0693057775497437</v>
      </c>
      <c r="CN41" s="9" t="s">
        <v>5</v>
      </c>
      <c r="CO41" s="9" t="s">
        <v>5</v>
      </c>
      <c r="CP41" s="9" t="s">
        <v>5</v>
      </c>
      <c r="CQ41" s="9" t="s">
        <v>5</v>
      </c>
      <c r="CR41">
        <v>-12.789040908196629</v>
      </c>
      <c r="CS41">
        <v>-0.35023153318883621</v>
      </c>
      <c r="CT41">
        <v>0</v>
      </c>
      <c r="CU41" s="8">
        <v>-0.36515960718194646</v>
      </c>
      <c r="CV41" s="9">
        <v>1.0693057775497437</v>
      </c>
      <c r="CW41">
        <v>0.06</v>
      </c>
      <c r="CX41" t="e">
        <v>#VALUE!</v>
      </c>
      <c r="CY41" t="s">
        <v>666</v>
      </c>
      <c r="CZ41">
        <v>-0.36515960718194646</v>
      </c>
      <c r="DA41">
        <v>21.192980593822735</v>
      </c>
      <c r="DB41" t="s">
        <v>2029</v>
      </c>
      <c r="DC41">
        <v>-0.34690162682284914</v>
      </c>
      <c r="DD41">
        <v>10.596490296911368</v>
      </c>
      <c r="DE41" t="s">
        <v>2030</v>
      </c>
      <c r="DF41">
        <v>-0.32134045432011288</v>
      </c>
      <c r="DG41">
        <v>6.3578941781468199</v>
      </c>
      <c r="DH41" t="s">
        <v>2031</v>
      </c>
      <c r="DI41">
        <v>-0.2921276857455572</v>
      </c>
      <c r="DJ41">
        <v>3.1789470890734099</v>
      </c>
      <c r="DK41" t="s">
        <v>2032</v>
      </c>
      <c r="DL41">
        <v>-0.25561172502736251</v>
      </c>
      <c r="DM41">
        <v>25435200</v>
      </c>
      <c r="DN41">
        <v>-0.36515960718194646</v>
      </c>
      <c r="DO41">
        <v>1617143100</v>
      </c>
      <c r="DP41">
        <v>870861510</v>
      </c>
      <c r="DQ41">
        <v>3023</v>
      </c>
      <c r="DR41">
        <v>4.9362186565833444</v>
      </c>
      <c r="DS41">
        <v>-119.26456831092263</v>
      </c>
      <c r="DT41" s="10">
        <v>-1.1599999999999999</v>
      </c>
      <c r="DU41">
        <v>-1.6950000000000001</v>
      </c>
      <c r="DV41">
        <v>-2.855</v>
      </c>
      <c r="DW41">
        <v>7.2957003429174359</v>
      </c>
      <c r="DX41">
        <v>0.60428571428571587</v>
      </c>
      <c r="DY41">
        <v>7.1047624072050342</v>
      </c>
      <c r="DZ41">
        <v>4402</v>
      </c>
      <c r="EA41">
        <v>7.0145150262820284</v>
      </c>
      <c r="EB41">
        <v>7</v>
      </c>
      <c r="EC41">
        <v>0.14647391801547685</v>
      </c>
      <c r="ED41">
        <v>0.41343444601142659</v>
      </c>
      <c r="EE41" s="11">
        <v>4.9110000000000001E-2</v>
      </c>
      <c r="EF41">
        <v>7.3609999999999995E-2</v>
      </c>
      <c r="EG41">
        <v>25.354285714285716</v>
      </c>
      <c r="EH41">
        <v>-1</v>
      </c>
      <c r="EI41">
        <v>1</v>
      </c>
      <c r="EJ41">
        <v>0</v>
      </c>
      <c r="EK41" s="13">
        <v>45470</v>
      </c>
      <c r="EL41">
        <v>-0.48</v>
      </c>
      <c r="EM41">
        <v>-3.37</v>
      </c>
      <c r="EN41">
        <v>0.5</v>
      </c>
      <c r="EO41">
        <v>0.99</v>
      </c>
      <c r="EP41">
        <v>-2.4500000000000002</v>
      </c>
    </row>
    <row r="42" spans="1:146" ht="96" x14ac:dyDescent="0.25">
      <c r="A42" s="6"/>
      <c r="B42" s="6"/>
      <c r="C42" s="6" t="str">
        <f>""&amp;CHAR(10)&amp;Basic_Fundamental_Information_Constructure(F42)&amp;CHAR(10)&amp;Basic_Fundamental_Information_Concatenate("")</f>
        <v xml:space="preserve">
市值122.1232亿, 利润40.56亿; PE; 平均PE-178.14; 平均PEG-.36, PB38.62; ROIC23.875%; ROE49.8133%; 股利率0%; 毛利9.3167%; 净利3.1333%; 上一年度营收增2468.54%, 利润增6642.19%; 当季营收增-96.7%, 利润增-100.29%; 过往5年营收增496.27%, 利润增804.15%
Income profile:
</v>
      </c>
      <c r="D42" t="s">
        <v>821</v>
      </c>
      <c r="E42" t="s">
        <v>822</v>
      </c>
      <c r="F42">
        <v>6.01</v>
      </c>
      <c r="G42">
        <v>-1.64</v>
      </c>
      <c r="H42" t="s">
        <v>2033</v>
      </c>
      <c r="I42">
        <v>12212320000</v>
      </c>
      <c r="K42">
        <v>38.619999999999997</v>
      </c>
      <c r="L42" t="s">
        <v>1594</v>
      </c>
      <c r="M42" t="s">
        <v>1479</v>
      </c>
      <c r="N42" t="s">
        <v>431</v>
      </c>
      <c r="O42" t="s">
        <v>136</v>
      </c>
      <c r="P42">
        <v>-14.69</v>
      </c>
      <c r="Q42" t="s">
        <v>2034</v>
      </c>
      <c r="R42">
        <v>-5474070</v>
      </c>
      <c r="S42" s="4">
        <v>-1.605</v>
      </c>
      <c r="T42" t="s">
        <v>2035</v>
      </c>
      <c r="U42">
        <v>2032000000</v>
      </c>
      <c r="V42">
        <v>2032000000</v>
      </c>
      <c r="W42">
        <v>6.57</v>
      </c>
      <c r="X42">
        <v>0.34</v>
      </c>
      <c r="Y42">
        <v>-0.77</v>
      </c>
      <c r="Z42" t="s">
        <v>1071</v>
      </c>
      <c r="AA42" t="s">
        <v>200</v>
      </c>
      <c r="AB42" t="s">
        <v>2036</v>
      </c>
      <c r="AC42" t="s">
        <v>2037</v>
      </c>
      <c r="AD42" t="s">
        <v>5</v>
      </c>
      <c r="AE42">
        <v>15909220</v>
      </c>
      <c r="AF42" t="s">
        <v>1482</v>
      </c>
      <c r="AG42" t="s">
        <v>2038</v>
      </c>
      <c r="AH42" t="s">
        <v>1483</v>
      </c>
      <c r="AI42" t="s">
        <v>672</v>
      </c>
      <c r="AJ42" t="s">
        <v>1484</v>
      </c>
      <c r="AK42" t="s">
        <v>5</v>
      </c>
      <c r="AL42" t="s">
        <v>1485</v>
      </c>
      <c r="AM42" t="s">
        <v>5</v>
      </c>
      <c r="AN42" t="s">
        <v>2039</v>
      </c>
      <c r="AO42" t="s">
        <v>392</v>
      </c>
      <c r="AP42" t="s">
        <v>5</v>
      </c>
      <c r="AQ42" t="s">
        <v>37</v>
      </c>
      <c r="AR42" t="s">
        <v>5</v>
      </c>
      <c r="AS42" t="s">
        <v>848</v>
      </c>
      <c r="AT42" t="s">
        <v>5</v>
      </c>
      <c r="AU42" t="s">
        <v>2040</v>
      </c>
      <c r="AV42" t="s">
        <v>2041</v>
      </c>
      <c r="AW42" t="s">
        <v>2042</v>
      </c>
      <c r="AX42" t="s">
        <v>945</v>
      </c>
      <c r="AY42" t="s">
        <v>823</v>
      </c>
      <c r="AZ42" t="s">
        <v>580</v>
      </c>
      <c r="BA42" t="s">
        <v>824</v>
      </c>
      <c r="BB42" t="s">
        <v>825</v>
      </c>
      <c r="BC42" t="s">
        <v>946</v>
      </c>
      <c r="BD42" t="s">
        <v>731</v>
      </c>
      <c r="BE42" t="s">
        <v>826</v>
      </c>
      <c r="BF42" t="s">
        <v>827</v>
      </c>
      <c r="BG42" t="s">
        <v>828</v>
      </c>
      <c r="BH42" t="s">
        <v>1480</v>
      </c>
      <c r="BI42" t="s">
        <v>2043</v>
      </c>
      <c r="BJ42" t="s">
        <v>945</v>
      </c>
      <c r="BK42" t="s">
        <v>1481</v>
      </c>
      <c r="BL42" t="s">
        <v>1849</v>
      </c>
      <c r="BM42" t="s">
        <v>946</v>
      </c>
      <c r="BN42" t="s">
        <v>5</v>
      </c>
      <c r="BO42">
        <v>10.1</v>
      </c>
      <c r="BP42">
        <v>37.65</v>
      </c>
      <c r="BQ42">
        <v>-18.149999999999999</v>
      </c>
      <c r="BR42">
        <v>15.82</v>
      </c>
      <c r="BS42">
        <v>151.77000000000001</v>
      </c>
      <c r="BT42" t="s">
        <v>865</v>
      </c>
      <c r="BU42" t="s">
        <v>803</v>
      </c>
      <c r="BV42">
        <v>6.24</v>
      </c>
      <c r="BW42">
        <v>10.07</v>
      </c>
      <c r="BX42">
        <v>11.64</v>
      </c>
      <c r="BY42">
        <v>-3.17</v>
      </c>
      <c r="BZ42">
        <v>2.0499999999999998</v>
      </c>
      <c r="CA42">
        <v>10.52</v>
      </c>
      <c r="CB42">
        <v>3.8</v>
      </c>
      <c r="CC42">
        <v>-9.76</v>
      </c>
      <c r="CD42" t="s">
        <v>35</v>
      </c>
      <c r="CE42" t="s">
        <v>579</v>
      </c>
      <c r="CF42" s="8">
        <v>-0.96698876508391507</v>
      </c>
      <c r="CG42" s="9">
        <v>-1.0028675065479309</v>
      </c>
      <c r="CH42" s="8">
        <v>24.685375213623047</v>
      </c>
      <c r="CI42" s="8">
        <v>1.1351887136697769E-2</v>
      </c>
      <c r="CJ42" s="8">
        <v>0.27444109320640564</v>
      </c>
      <c r="CK42" s="8">
        <v>-0.10373280942440033</v>
      </c>
      <c r="CL42" s="8">
        <v>-5.3903322666883469E-2</v>
      </c>
      <c r="CM42" s="9">
        <v>66.421897888183594</v>
      </c>
      <c r="CN42" s="9">
        <v>-0.80340361595153809</v>
      </c>
      <c r="CO42" s="9">
        <v>1.136242151260376</v>
      </c>
      <c r="CP42" s="9">
        <v>-27.578781127929688</v>
      </c>
      <c r="CQ42" s="9">
        <v>1.0316256284713745</v>
      </c>
      <c r="CR42">
        <v>-178.13554789491855</v>
      </c>
      <c r="CS42">
        <v>-0.35894839044018578</v>
      </c>
      <c r="CT42">
        <v>0</v>
      </c>
      <c r="CU42" s="8">
        <v>4.9627064123749731</v>
      </c>
      <c r="CV42" s="9">
        <v>8.0415161848068237</v>
      </c>
      <c r="CW42">
        <v>0.06</v>
      </c>
      <c r="CX42">
        <v>0.60122047531836642</v>
      </c>
      <c r="CY42">
        <v>22815789819.427254</v>
      </c>
      <c r="CZ42">
        <v>4.9627064123749731</v>
      </c>
      <c r="DA42">
        <v>1.7693536277941277E-2</v>
      </c>
      <c r="DB42">
        <v>775272946262.38916</v>
      </c>
      <c r="DC42">
        <v>4.7145710917562242</v>
      </c>
      <c r="DD42">
        <v>1.6106509038441914E-4</v>
      </c>
      <c r="DE42">
        <v>85166313614330.953</v>
      </c>
      <c r="DF42">
        <v>4.3671816428899763</v>
      </c>
      <c r="DG42">
        <v>5.1801956228371228E-7</v>
      </c>
      <c r="DH42">
        <v>2.6480312711602212E+16</v>
      </c>
      <c r="DI42">
        <v>3.9701651298999785</v>
      </c>
      <c r="DJ42">
        <v>8.0193327530725768E-13</v>
      </c>
      <c r="DK42">
        <v>1.7105313399976153E+22</v>
      </c>
      <c r="DL42">
        <v>3.4738944886624812</v>
      </c>
      <c r="DM42">
        <v>4056000000</v>
      </c>
      <c r="DN42">
        <v>4.9627064123749731</v>
      </c>
      <c r="DO42">
        <v>13717320000</v>
      </c>
      <c r="DP42">
        <v>-827583510</v>
      </c>
      <c r="DQ42">
        <v>3103</v>
      </c>
      <c r="DR42">
        <v>-5.9296951774588882</v>
      </c>
      <c r="DS42">
        <v>-9.0443836913547546</v>
      </c>
      <c r="DT42" s="10">
        <v>-6.6666666666666714E-3</v>
      </c>
      <c r="DU42">
        <v>-1.0816666666666668</v>
      </c>
      <c r="DV42">
        <v>-1.0883333333333334</v>
      </c>
      <c r="DW42">
        <v>6.28023598820059</v>
      </c>
      <c r="DX42">
        <v>0.34784633294528505</v>
      </c>
      <c r="DY42">
        <v>6.041431863214755</v>
      </c>
      <c r="DZ42">
        <v>2732</v>
      </c>
      <c r="EA42">
        <v>6.0192808161887843</v>
      </c>
      <c r="EB42">
        <v>6</v>
      </c>
      <c r="EC42">
        <v>6.25E-2</v>
      </c>
      <c r="ED42">
        <v>0.42273622047244097</v>
      </c>
      <c r="EE42" s="11">
        <v>2.0055100000000001</v>
      </c>
      <c r="EF42">
        <v>2.03321</v>
      </c>
      <c r="EG42">
        <v>20.147846332945285</v>
      </c>
      <c r="EH42" t="s">
        <v>882</v>
      </c>
      <c r="EI42">
        <v>0</v>
      </c>
      <c r="EJ42">
        <v>0</v>
      </c>
      <c r="EK42" s="13">
        <v>45470</v>
      </c>
      <c r="EL42">
        <v>-0.86</v>
      </c>
      <c r="EM42">
        <v>-4.07</v>
      </c>
      <c r="EN42">
        <v>-1.36</v>
      </c>
      <c r="EO42">
        <v>5.38</v>
      </c>
      <c r="EP42">
        <v>-2.77</v>
      </c>
    </row>
    <row r="43" spans="1:146" ht="96" x14ac:dyDescent="0.25">
      <c r="A43" s="6"/>
      <c r="B43" s="6"/>
      <c r="C43" s="6" t="str">
        <f>""&amp;CHAR(10)&amp;Basic_Fundamental_Information_Constructure(F43)&amp;CHAR(10)&amp;Basic_Fundamental_Information_Concatenate("")</f>
        <v xml:space="preserve">
市值59.645025亿, 利润22.56亿; PE24.69; 平均PE6.02; 平均PEG12.48, PB1.67; ROIC29.5767%; ROE34.9867%; 股利率0%; 毛利23.17%; 净利13.5533%; 上一年度营收增-86.84%, 利润增22.34%; 当季营收增756.76%, 利润增-91.38%; 过往5年营收增-.48%, 利润增56.02%
Income profile:
</v>
      </c>
      <c r="D43" t="s">
        <v>554</v>
      </c>
      <c r="E43" t="s">
        <v>858</v>
      </c>
      <c r="F43">
        <v>13.85</v>
      </c>
      <c r="G43">
        <v>-0.14000000000000001</v>
      </c>
      <c r="H43" t="s">
        <v>2044</v>
      </c>
      <c r="I43">
        <v>5964502500</v>
      </c>
      <c r="J43">
        <v>24.69</v>
      </c>
      <c r="K43">
        <v>1.67</v>
      </c>
      <c r="L43" t="s">
        <v>1594</v>
      </c>
      <c r="M43" t="s">
        <v>1486</v>
      </c>
      <c r="N43" t="s">
        <v>2045</v>
      </c>
      <c r="O43" t="s">
        <v>1487</v>
      </c>
      <c r="P43">
        <v>17.18</v>
      </c>
      <c r="Q43" t="s">
        <v>2046</v>
      </c>
      <c r="R43">
        <v>82236390</v>
      </c>
      <c r="S43" s="4">
        <v>-0.33489999999999998</v>
      </c>
      <c r="T43" t="s">
        <v>2047</v>
      </c>
      <c r="U43">
        <v>430650000</v>
      </c>
      <c r="V43">
        <v>430650000</v>
      </c>
      <c r="W43">
        <v>1.74</v>
      </c>
      <c r="X43">
        <v>0.24</v>
      </c>
      <c r="Y43">
        <v>5.36</v>
      </c>
      <c r="Z43" t="s">
        <v>2048</v>
      </c>
      <c r="AA43" t="s">
        <v>1142</v>
      </c>
      <c r="AB43" t="s">
        <v>2049</v>
      </c>
      <c r="AC43" t="s">
        <v>2050</v>
      </c>
      <c r="AD43" t="s">
        <v>5</v>
      </c>
      <c r="AE43">
        <v>-4786071</v>
      </c>
      <c r="AF43" t="s">
        <v>1489</v>
      </c>
      <c r="AG43" t="s">
        <v>2051</v>
      </c>
      <c r="AH43" t="s">
        <v>1490</v>
      </c>
      <c r="AI43" t="s">
        <v>1079</v>
      </c>
      <c r="AJ43" t="s">
        <v>1491</v>
      </c>
      <c r="AK43" t="s">
        <v>2052</v>
      </c>
      <c r="AL43" t="s">
        <v>1492</v>
      </c>
      <c r="AM43" t="s">
        <v>5</v>
      </c>
      <c r="AN43" t="s">
        <v>228</v>
      </c>
      <c r="AO43" t="s">
        <v>2053</v>
      </c>
      <c r="AP43" t="s">
        <v>78</v>
      </c>
      <c r="AQ43" t="s">
        <v>1154</v>
      </c>
      <c r="AR43" t="s">
        <v>2054</v>
      </c>
      <c r="AS43" t="s">
        <v>2055</v>
      </c>
      <c r="AT43" t="s">
        <v>118</v>
      </c>
      <c r="AU43" t="s">
        <v>2056</v>
      </c>
      <c r="AV43" t="s">
        <v>2057</v>
      </c>
      <c r="AW43" t="s">
        <v>2058</v>
      </c>
      <c r="AX43" t="s">
        <v>947</v>
      </c>
      <c r="AY43" t="s">
        <v>757</v>
      </c>
      <c r="AZ43" t="s">
        <v>758</v>
      </c>
      <c r="BA43" t="s">
        <v>114</v>
      </c>
      <c r="BB43" t="s">
        <v>555</v>
      </c>
      <c r="BC43" t="s">
        <v>808</v>
      </c>
      <c r="BD43" t="s">
        <v>284</v>
      </c>
      <c r="BE43" t="s">
        <v>442</v>
      </c>
      <c r="BF43" t="s">
        <v>41</v>
      </c>
      <c r="BG43" t="s">
        <v>277</v>
      </c>
      <c r="BH43" t="s">
        <v>1488</v>
      </c>
      <c r="BI43" t="s">
        <v>79</v>
      </c>
      <c r="BJ43" t="s">
        <v>947</v>
      </c>
      <c r="BK43" t="s">
        <v>123</v>
      </c>
      <c r="BL43" t="s">
        <v>471</v>
      </c>
      <c r="BM43" t="s">
        <v>808</v>
      </c>
      <c r="BN43">
        <v>5.58</v>
      </c>
      <c r="BO43">
        <v>53.61</v>
      </c>
      <c r="BP43">
        <v>29.54</v>
      </c>
      <c r="BQ43">
        <v>7.43</v>
      </c>
      <c r="BR43">
        <v>60.85</v>
      </c>
      <c r="BS43">
        <v>36.68</v>
      </c>
      <c r="BT43" t="s">
        <v>865</v>
      </c>
      <c r="BU43" t="s">
        <v>627</v>
      </c>
      <c r="BV43">
        <v>13.43</v>
      </c>
      <c r="BW43">
        <v>32.03</v>
      </c>
      <c r="BX43">
        <v>24.05</v>
      </c>
      <c r="BY43">
        <v>5.59</v>
      </c>
      <c r="BZ43">
        <v>22.32</v>
      </c>
      <c r="CA43">
        <v>12.75</v>
      </c>
      <c r="CB43">
        <v>-1.84</v>
      </c>
      <c r="CC43">
        <v>-13.71</v>
      </c>
      <c r="CD43" t="s">
        <v>2059</v>
      </c>
      <c r="CE43" t="s">
        <v>38</v>
      </c>
      <c r="CF43" s="8">
        <v>7.5675675675675675</v>
      </c>
      <c r="CG43" s="9">
        <v>-0.91379833333333327</v>
      </c>
      <c r="CH43" s="8">
        <v>-0.86836743354797363</v>
      </c>
      <c r="CI43" s="8">
        <v>0.28763118386268616</v>
      </c>
      <c r="CJ43" s="8">
        <v>0.26615890860557556</v>
      </c>
      <c r="CK43" s="8">
        <v>7.1114771068096161E-2</v>
      </c>
      <c r="CL43" s="8">
        <v>0.21933187544345856</v>
      </c>
      <c r="CM43" s="9">
        <v>0.22342732548713684</v>
      </c>
      <c r="CN43" s="9">
        <v>1.2598038911819458</v>
      </c>
      <c r="CO43" s="9">
        <v>1.4358209371566772</v>
      </c>
      <c r="CP43" s="9">
        <v>0.11666666716337204</v>
      </c>
      <c r="CQ43" s="9">
        <v>-0.23469388484954834</v>
      </c>
      <c r="CR43">
        <v>6.02170873296315</v>
      </c>
      <c r="CS43">
        <v>12.477280162729716</v>
      </c>
      <c r="CT43">
        <v>0</v>
      </c>
      <c r="CU43" s="8">
        <v>-4.8261389136314394E-3</v>
      </c>
      <c r="CV43" s="9">
        <v>0.56020498722791667</v>
      </c>
      <c r="CW43">
        <v>0.06</v>
      </c>
      <c r="CX43">
        <v>2.2790347960992907</v>
      </c>
      <c r="CY43" t="s">
        <v>2060</v>
      </c>
      <c r="CZ43">
        <v>-4.8261389136314394E-3</v>
      </c>
      <c r="DA43">
        <v>0.75967826536643024</v>
      </c>
      <c r="DB43" t="s">
        <v>2061</v>
      </c>
      <c r="DC43">
        <v>-4.5848319679498671E-3</v>
      </c>
      <c r="DD43">
        <v>0.37983913268321512</v>
      </c>
      <c r="DE43" t="s">
        <v>2062</v>
      </c>
      <c r="DF43">
        <v>-4.2470022439956663E-3</v>
      </c>
      <c r="DG43">
        <v>0.22790347960992907</v>
      </c>
      <c r="DH43" t="s">
        <v>2063</v>
      </c>
      <c r="DI43">
        <v>-3.8609111309051516E-3</v>
      </c>
      <c r="DJ43">
        <v>0.11395173980496454</v>
      </c>
      <c r="DK43" t="s">
        <v>2064</v>
      </c>
      <c r="DL43">
        <v>-3.3782972395420075E-3</v>
      </c>
      <c r="DM43">
        <v>2256000000</v>
      </c>
      <c r="DN43">
        <v>-4.8261389136314394E-3</v>
      </c>
      <c r="DO43">
        <v>5141502500</v>
      </c>
      <c r="DP43">
        <v>1319618600</v>
      </c>
      <c r="DQ43">
        <v>3150</v>
      </c>
      <c r="DR43">
        <v>7.5723937064811988</v>
      </c>
      <c r="DS43">
        <v>-1.4740033205612499</v>
      </c>
      <c r="DT43" s="10">
        <v>-0.39000000000000007</v>
      </c>
      <c r="DU43">
        <v>0.19333333333333327</v>
      </c>
      <c r="DV43">
        <v>-0.1966666666666668</v>
      </c>
      <c r="DW43">
        <v>-2.1371000000000002</v>
      </c>
      <c r="DX43">
        <v>0.33116818181818286</v>
      </c>
      <c r="DY43">
        <v>-2.0152411577272726</v>
      </c>
      <c r="DZ43">
        <v>2862</v>
      </c>
      <c r="EA43">
        <v>-2.0067049163543853</v>
      </c>
      <c r="EB43">
        <v>2</v>
      </c>
      <c r="EC43">
        <v>3.4074538488331592E-2</v>
      </c>
      <c r="ED43">
        <v>0.3065134099616858</v>
      </c>
      <c r="EE43" s="11">
        <v>-3.0598999999999998</v>
      </c>
      <c r="EF43">
        <v>-3.0306000000000002</v>
      </c>
      <c r="EG43">
        <v>22.111168181818183</v>
      </c>
      <c r="EH43" t="s">
        <v>1128</v>
      </c>
      <c r="EI43">
        <v>0</v>
      </c>
      <c r="EJ43">
        <v>0</v>
      </c>
      <c r="EK43" s="13">
        <v>45470</v>
      </c>
      <c r="EL43">
        <v>-0.42</v>
      </c>
      <c r="EM43">
        <v>-0.76</v>
      </c>
      <c r="EN43">
        <v>0.85</v>
      </c>
      <c r="EO43">
        <v>1.27</v>
      </c>
      <c r="EP43">
        <v>-2.93</v>
      </c>
    </row>
    <row r="44" spans="1:146" ht="156" x14ac:dyDescent="0.25">
      <c r="A44" s="6"/>
      <c r="B44" s="6"/>
      <c r="C44" s="6" t="str">
        <f>"公司是全多业联产的新型化工企业，主要业务包括化工产品及化学肥料的生产、销售，发电及供热业务。主要产品：肥料、醋酸及衍生品、有机胺、己二酸及中间品、多元醇等。"&amp;CHAR(10)&amp;Basic_Fundamental_Information_Constructure(F44)&amp;CHAR(10)&amp;Basic_Fundamental_Information_Concatenate("新材料相关产品 111.61亿 48.51%
有机胺 49.26亿 21.41%
肥料 40.54亿 17.62%
醋酸及衍生品 17.01亿 7.39%")</f>
        <v>公司是全多业联产的新型化工企业，主要业务包括化工产品及化学肥料的生产、销售，发电及供热业务。主要产品：肥料、醋酸及衍生品、有机胺、己二酸及中间品、多元醇等。
市值546.33024亿, 利润10.64亿; PE14.16; 平均PE14.97; 平均PEG1.56, PB1.82; ROIC21.6433%; ROE24.8733%; 股利率2.3319%; 毛利28.4267%; 净利20.4367%; 上一年度营收增-60.3%, 利润增-83.08%; 当季营收增166.38%, 利润增173.87%; 过往5年营收增9.59%, 利润增32.47%
Income profile:
新材料相关产品 111.61亿 48.51%
有机胺 49.26亿 21.41%
肥料 40.54亿 17.62%
醋酸及衍生品 17.01亿 7.39%</v>
      </c>
      <c r="D44" t="s">
        <v>829</v>
      </c>
      <c r="E44" t="s">
        <v>830</v>
      </c>
      <c r="F44">
        <v>25.73</v>
      </c>
      <c r="G44">
        <v>-0.46</v>
      </c>
      <c r="H44" t="s">
        <v>2065</v>
      </c>
      <c r="I44">
        <v>54633024000</v>
      </c>
      <c r="J44">
        <v>14.16</v>
      </c>
      <c r="K44">
        <v>1.82</v>
      </c>
      <c r="L44" t="s">
        <v>1594</v>
      </c>
      <c r="M44" t="s">
        <v>1493</v>
      </c>
      <c r="N44" t="s">
        <v>2066</v>
      </c>
      <c r="O44" t="s">
        <v>1494</v>
      </c>
      <c r="P44">
        <v>31.8</v>
      </c>
      <c r="Q44" t="s">
        <v>567</v>
      </c>
      <c r="R44">
        <v>1065362340</v>
      </c>
      <c r="S44" s="4">
        <v>0.36299999999999999</v>
      </c>
      <c r="T44" t="s">
        <v>2067</v>
      </c>
      <c r="U44">
        <v>2115413300</v>
      </c>
      <c r="V44">
        <v>2123320000</v>
      </c>
      <c r="W44">
        <v>1.42</v>
      </c>
      <c r="X44">
        <v>0.18</v>
      </c>
      <c r="Y44">
        <v>14.25</v>
      </c>
      <c r="Z44" t="s">
        <v>2068</v>
      </c>
      <c r="AA44" t="s">
        <v>2069</v>
      </c>
      <c r="AB44" t="s">
        <v>2070</v>
      </c>
      <c r="AC44" t="s">
        <v>2071</v>
      </c>
      <c r="AD44" t="s">
        <v>5</v>
      </c>
      <c r="AE44">
        <v>57953617</v>
      </c>
      <c r="AF44" t="s">
        <v>1497</v>
      </c>
      <c r="AG44" t="s">
        <v>2072</v>
      </c>
      <c r="AH44" t="s">
        <v>1498</v>
      </c>
      <c r="AI44" t="s">
        <v>453</v>
      </c>
      <c r="AJ44" t="s">
        <v>1499</v>
      </c>
      <c r="AK44" t="s">
        <v>5</v>
      </c>
      <c r="AL44" t="s">
        <v>1500</v>
      </c>
      <c r="AM44" t="s">
        <v>5</v>
      </c>
      <c r="AN44" t="s">
        <v>2073</v>
      </c>
      <c r="AO44" t="s">
        <v>329</v>
      </c>
      <c r="AP44" t="s">
        <v>169</v>
      </c>
      <c r="AQ44" t="s">
        <v>2074</v>
      </c>
      <c r="AR44" t="s">
        <v>5</v>
      </c>
      <c r="AS44" t="s">
        <v>2075</v>
      </c>
      <c r="AT44" t="s">
        <v>2076</v>
      </c>
      <c r="AU44" t="s">
        <v>1140</v>
      </c>
      <c r="AV44" t="s">
        <v>2077</v>
      </c>
      <c r="AW44" t="s">
        <v>465</v>
      </c>
      <c r="AX44" t="s">
        <v>948</v>
      </c>
      <c r="AY44" t="s">
        <v>950</v>
      </c>
      <c r="AZ44" t="s">
        <v>831</v>
      </c>
      <c r="BA44" t="s">
        <v>832</v>
      </c>
      <c r="BB44" t="s">
        <v>833</v>
      </c>
      <c r="BC44" t="s">
        <v>949</v>
      </c>
      <c r="BD44" t="s">
        <v>951</v>
      </c>
      <c r="BE44" t="s">
        <v>506</v>
      </c>
      <c r="BF44" t="s">
        <v>834</v>
      </c>
      <c r="BG44" t="s">
        <v>835</v>
      </c>
      <c r="BH44" t="s">
        <v>1495</v>
      </c>
      <c r="BI44" t="s">
        <v>2078</v>
      </c>
      <c r="BJ44" t="s">
        <v>948</v>
      </c>
      <c r="BK44" t="s">
        <v>1496</v>
      </c>
      <c r="BL44" t="s">
        <v>151</v>
      </c>
      <c r="BM44" t="s">
        <v>949</v>
      </c>
      <c r="BN44">
        <v>8.6199999999999992</v>
      </c>
      <c r="BO44">
        <v>22.34</v>
      </c>
      <c r="BP44">
        <v>33.97</v>
      </c>
      <c r="BQ44">
        <v>10.51</v>
      </c>
      <c r="BR44">
        <v>25.58</v>
      </c>
      <c r="BS44">
        <v>38.53</v>
      </c>
      <c r="BT44" t="s">
        <v>870</v>
      </c>
      <c r="BU44" t="s">
        <v>804</v>
      </c>
      <c r="BV44">
        <v>20.85</v>
      </c>
      <c r="BW44">
        <v>28.94</v>
      </c>
      <c r="BX44">
        <v>35.49</v>
      </c>
      <c r="BY44">
        <v>13.29</v>
      </c>
      <c r="BZ44">
        <v>20.79</v>
      </c>
      <c r="CA44">
        <v>27.23</v>
      </c>
      <c r="CB44">
        <v>-3.42</v>
      </c>
      <c r="CC44">
        <v>-9.27</v>
      </c>
      <c r="CD44" t="s">
        <v>2079</v>
      </c>
      <c r="CE44" t="s">
        <v>104</v>
      </c>
      <c r="CF44" s="8">
        <v>1.6637729549248748</v>
      </c>
      <c r="CG44" s="9">
        <v>1.7387206683804628</v>
      </c>
      <c r="CH44" s="8">
        <v>-0.60300874710083008</v>
      </c>
      <c r="CI44" s="8">
        <v>0.1309078186750412</v>
      </c>
      <c r="CJ44" s="8">
        <v>1.0391918420791626</v>
      </c>
      <c r="CK44" s="8">
        <v>-7.5757600367069244E-2</v>
      </c>
      <c r="CL44" s="8">
        <v>-1.1631960980594158E-2</v>
      </c>
      <c r="CM44" s="9">
        <v>-0.83081573247909546</v>
      </c>
      <c r="CN44" s="9">
        <v>-0.13505709171295166</v>
      </c>
      <c r="CO44" s="9">
        <v>3.0439376831054687</v>
      </c>
      <c r="CP44" s="9">
        <v>-0.26701995730400085</v>
      </c>
      <c r="CQ44" s="9">
        <v>-0.18774837255477905</v>
      </c>
      <c r="CR44">
        <v>14.971369901804065</v>
      </c>
      <c r="CS44">
        <v>1.5604886071139232</v>
      </c>
      <c r="CT44">
        <v>2.3319082782743878</v>
      </c>
      <c r="CU44" s="8">
        <v>9.5940270461142063E-2</v>
      </c>
      <c r="CV44" s="9">
        <v>0.32465930581092833</v>
      </c>
      <c r="CW44">
        <v>0.06</v>
      </c>
      <c r="CX44">
        <v>33.324995298817427</v>
      </c>
      <c r="CY44">
        <v>1100075894.1232595</v>
      </c>
      <c r="CZ44">
        <v>9.5940270461142063E-2</v>
      </c>
      <c r="DA44">
        <v>10.835692394558194</v>
      </c>
      <c r="DB44">
        <v>3383265477.1937852</v>
      </c>
      <c r="DC44">
        <v>9.1143256938084949E-2</v>
      </c>
      <c r="DD44">
        <v>5.2983415595657535</v>
      </c>
      <c r="DE44">
        <v>6919150754.6003923</v>
      </c>
      <c r="DF44">
        <v>8.4427438005805017E-2</v>
      </c>
      <c r="DG44">
        <v>3.1575935913527902</v>
      </c>
      <c r="DH44">
        <v>11610114772.336472</v>
      </c>
      <c r="DI44">
        <v>7.6752216368913662E-2</v>
      </c>
      <c r="DJ44">
        <v>1.60399603021867</v>
      </c>
      <c r="DK44">
        <v>22855433124.109543</v>
      </c>
      <c r="DL44">
        <v>6.7158189322799433E-2</v>
      </c>
      <c r="DM44">
        <v>1064000000</v>
      </c>
      <c r="DN44">
        <v>9.5940270461142063E-2</v>
      </c>
      <c r="DO44">
        <v>36660024000</v>
      </c>
      <c r="DP44">
        <v>3372215200</v>
      </c>
      <c r="DQ44">
        <v>3175</v>
      </c>
      <c r="DR44">
        <v>1.5678326844637327</v>
      </c>
      <c r="DS44">
        <v>1.4140613625695344</v>
      </c>
      <c r="DT44" s="10">
        <v>-0.50666666666666671</v>
      </c>
      <c r="DU44">
        <v>3.6666666666666702E-2</v>
      </c>
      <c r="DV44">
        <v>-0.47000000000000003</v>
      </c>
      <c r="DW44">
        <v>-8.3689320388349522</v>
      </c>
      <c r="DX44">
        <v>0.34676134185303387</v>
      </c>
      <c r="DY44">
        <v>-8.0652129222370412</v>
      </c>
      <c r="DZ44">
        <v>3277</v>
      </c>
      <c r="EA44">
        <v>-8.0233924239648715</v>
      </c>
      <c r="EB44">
        <v>8</v>
      </c>
      <c r="EC44">
        <v>2.6056505849330294E-2</v>
      </c>
      <c r="ED44">
        <v>0.14741065877964696</v>
      </c>
      <c r="EE44" s="11">
        <v>2.31E-3</v>
      </c>
      <c r="EF44">
        <v>8.3099999999999997E-3</v>
      </c>
      <c r="EG44">
        <v>17.176761341853034</v>
      </c>
      <c r="EH44">
        <v>-1</v>
      </c>
      <c r="EI44">
        <v>0</v>
      </c>
      <c r="EJ44">
        <v>0</v>
      </c>
      <c r="EK44" s="13">
        <v>45470</v>
      </c>
      <c r="EL44">
        <v>1.21</v>
      </c>
      <c r="EM44">
        <v>-1.5</v>
      </c>
      <c r="EN44">
        <v>-0.91</v>
      </c>
      <c r="EO44">
        <v>1.53</v>
      </c>
      <c r="EP44">
        <v>-0.6</v>
      </c>
    </row>
    <row r="45" spans="1:146" ht="96" x14ac:dyDescent="0.25">
      <c r="A45" s="6"/>
      <c r="B45" s="6"/>
      <c r="C45" s="6" t="str">
        <f>""&amp;CHAR(10)&amp;Basic_Fundamental_Information_Constructure(F45)&amp;CHAR(10)&amp;Basic_Fundamental_Information_Concatenate("")</f>
        <v xml:space="preserve">
市值20.29024亿, 利润7.41亿; PE145.2; 平均PE25.85; 平均PEG1.23, PB1.12; ROIC7.03%; ROE8.8533%; 股利率0%; 毛利11.3633%; 净利3.2467%; 上一年度营收增39.25%, 利润增287.96%; 当季营收增-47.1%, 利润增-97.9%; 过往5年营收增20.96%, 利润增106.07%
Income profile:
</v>
      </c>
      <c r="D45" t="s">
        <v>556</v>
      </c>
      <c r="E45" t="s">
        <v>557</v>
      </c>
      <c r="F45">
        <v>3.89</v>
      </c>
      <c r="G45">
        <v>0</v>
      </c>
      <c r="H45" t="s">
        <v>2080</v>
      </c>
      <c r="I45">
        <v>2029024000</v>
      </c>
      <c r="J45">
        <v>145.19999999999999</v>
      </c>
      <c r="K45">
        <v>1.1200000000000001</v>
      </c>
      <c r="L45" t="s">
        <v>1594</v>
      </c>
      <c r="M45" t="s">
        <v>1501</v>
      </c>
      <c r="N45" t="s">
        <v>2081</v>
      </c>
      <c r="O45" t="s">
        <v>584</v>
      </c>
      <c r="P45">
        <v>-22.77</v>
      </c>
      <c r="Q45" t="s">
        <v>2082</v>
      </c>
      <c r="R45">
        <v>4646119</v>
      </c>
      <c r="S45" s="4">
        <v>-0.65380000000000005</v>
      </c>
      <c r="T45" t="s">
        <v>420</v>
      </c>
      <c r="U45">
        <v>521600000</v>
      </c>
      <c r="V45">
        <v>521600000</v>
      </c>
      <c r="W45">
        <v>3.03</v>
      </c>
      <c r="X45">
        <v>0.2</v>
      </c>
      <c r="Y45">
        <v>1.1100000000000001</v>
      </c>
      <c r="Z45" t="s">
        <v>2083</v>
      </c>
      <c r="AA45" t="s">
        <v>2084</v>
      </c>
      <c r="AB45" t="s">
        <v>2085</v>
      </c>
      <c r="AC45" t="s">
        <v>2086</v>
      </c>
      <c r="AD45" t="s">
        <v>5</v>
      </c>
      <c r="AE45">
        <v>14936427</v>
      </c>
      <c r="AF45" t="s">
        <v>31</v>
      </c>
      <c r="AG45" t="s">
        <v>2087</v>
      </c>
      <c r="AH45" t="s">
        <v>1504</v>
      </c>
      <c r="AI45" t="s">
        <v>1117</v>
      </c>
      <c r="AJ45" t="s">
        <v>1505</v>
      </c>
      <c r="AK45" t="s">
        <v>5</v>
      </c>
      <c r="AL45" t="s">
        <v>1506</v>
      </c>
      <c r="AM45" t="s">
        <v>5</v>
      </c>
      <c r="AN45" t="s">
        <v>547</v>
      </c>
      <c r="AO45" t="s">
        <v>895</v>
      </c>
      <c r="AP45" t="s">
        <v>1111</v>
      </c>
      <c r="AQ45" t="s">
        <v>1118</v>
      </c>
      <c r="AR45" t="s">
        <v>5</v>
      </c>
      <c r="AS45" t="s">
        <v>2088</v>
      </c>
      <c r="AT45" t="s">
        <v>387</v>
      </c>
      <c r="AU45" t="s">
        <v>1451</v>
      </c>
      <c r="AV45" t="s">
        <v>2089</v>
      </c>
      <c r="AW45" t="s">
        <v>280</v>
      </c>
      <c r="AX45" t="s">
        <v>1507</v>
      </c>
      <c r="AY45" t="s">
        <v>759</v>
      </c>
      <c r="AZ45" t="s">
        <v>760</v>
      </c>
      <c r="BA45" t="s">
        <v>558</v>
      </c>
      <c r="BB45" t="s">
        <v>559</v>
      </c>
      <c r="BC45" t="s">
        <v>120</v>
      </c>
      <c r="BD45" t="s">
        <v>626</v>
      </c>
      <c r="BE45" t="s">
        <v>170</v>
      </c>
      <c r="BF45" t="s">
        <v>560</v>
      </c>
      <c r="BG45" t="s">
        <v>561</v>
      </c>
      <c r="BH45" t="s">
        <v>1502</v>
      </c>
      <c r="BI45" t="s">
        <v>1345</v>
      </c>
      <c r="BJ45" t="s">
        <v>1507</v>
      </c>
      <c r="BK45" t="s">
        <v>1503</v>
      </c>
      <c r="BL45" t="s">
        <v>244</v>
      </c>
      <c r="BM45" t="s">
        <v>120</v>
      </c>
      <c r="BN45">
        <v>0.63</v>
      </c>
      <c r="BO45">
        <v>8.23</v>
      </c>
      <c r="BP45">
        <v>12.23</v>
      </c>
      <c r="BQ45">
        <v>-0.64</v>
      </c>
      <c r="BR45">
        <v>11.3</v>
      </c>
      <c r="BS45">
        <v>15.9</v>
      </c>
      <c r="BT45" t="s">
        <v>865</v>
      </c>
      <c r="BU45" t="s">
        <v>803</v>
      </c>
      <c r="BV45">
        <v>8.0500000000000007</v>
      </c>
      <c r="BW45">
        <v>11.19</v>
      </c>
      <c r="BX45">
        <v>14.85</v>
      </c>
      <c r="BY45">
        <v>0.75</v>
      </c>
      <c r="BZ45">
        <v>3.65</v>
      </c>
      <c r="CA45">
        <v>5.34</v>
      </c>
      <c r="CB45">
        <v>1.83</v>
      </c>
      <c r="CC45">
        <v>-11.59</v>
      </c>
      <c r="CD45" t="s">
        <v>2090</v>
      </c>
      <c r="CE45" t="s">
        <v>157</v>
      </c>
      <c r="CF45" s="8">
        <v>-0.47098821396192203</v>
      </c>
      <c r="CG45" s="9">
        <v>-0.97897683710407235</v>
      </c>
      <c r="CH45" s="8">
        <v>0.39245036244392395</v>
      </c>
      <c r="CI45" s="8">
        <v>0.26148709654808044</v>
      </c>
      <c r="CJ45" s="8">
        <v>0.24092885851860046</v>
      </c>
      <c r="CK45" s="8">
        <v>0.10771708935499191</v>
      </c>
      <c r="CL45" s="8">
        <v>4.537813737988472E-2</v>
      </c>
      <c r="CM45" s="9">
        <v>2.8795812129974365</v>
      </c>
      <c r="CN45" s="9">
        <v>-0.19409282505512238</v>
      </c>
      <c r="CO45" s="9">
        <v>0.41071429848670959</v>
      </c>
      <c r="CP45" s="9">
        <v>1.6412214040756226</v>
      </c>
      <c r="CQ45" s="9">
        <v>0.56622517108917236</v>
      </c>
      <c r="CR45">
        <v>25.847439490445861</v>
      </c>
      <c r="CS45">
        <v>1.2332246174670312</v>
      </c>
      <c r="CT45">
        <v>0</v>
      </c>
      <c r="CU45" s="8">
        <v>0.2095923088490963</v>
      </c>
      <c r="CV45" s="9">
        <v>1.0607298523187638</v>
      </c>
      <c r="CW45">
        <v>0.06</v>
      </c>
      <c r="CX45">
        <v>4.7695724158089163</v>
      </c>
      <c r="CY45">
        <v>845573491.3746984</v>
      </c>
      <c r="CZ45">
        <v>0.2095923088490963</v>
      </c>
      <c r="DA45">
        <v>1.4105372213101188</v>
      </c>
      <c r="DB45">
        <v>2859211326.7695932</v>
      </c>
      <c r="DC45">
        <v>0.19911269340664148</v>
      </c>
      <c r="DD45">
        <v>0.60417150235318995</v>
      </c>
      <c r="DE45">
        <v>6675296640.5925455</v>
      </c>
      <c r="DF45">
        <v>0.18444123178720476</v>
      </c>
      <c r="DG45">
        <v>0.30767286292657764</v>
      </c>
      <c r="DH45">
        <v>13108156376.347145</v>
      </c>
      <c r="DI45">
        <v>0.16767384707927704</v>
      </c>
      <c r="DJ45">
        <v>0.1077602517064937</v>
      </c>
      <c r="DK45">
        <v>37425896247.762451</v>
      </c>
      <c r="DL45">
        <v>0.1467146161943674</v>
      </c>
      <c r="DM45">
        <v>741000000</v>
      </c>
      <c r="DN45">
        <v>0.2095923088490963</v>
      </c>
      <c r="DO45">
        <v>4033024000</v>
      </c>
      <c r="DP45">
        <v>-439654400</v>
      </c>
      <c r="DQ45">
        <v>3199</v>
      </c>
      <c r="DR45">
        <v>-0.68058052281101833</v>
      </c>
      <c r="DS45">
        <v>-2.039706689422836</v>
      </c>
      <c r="DT45" s="10">
        <v>1.0000000000000011E-2</v>
      </c>
      <c r="DU45">
        <v>-0.24000000000000002</v>
      </c>
      <c r="DV45">
        <v>-0.23</v>
      </c>
      <c r="DW45">
        <v>-2.1158999999999999</v>
      </c>
      <c r="DX45">
        <v>0.30649946808510747</v>
      </c>
      <c r="DY45">
        <v>-2.0146612883510637</v>
      </c>
      <c r="DZ45">
        <v>1002</v>
      </c>
      <c r="EA45">
        <v>-2.0117864134141232</v>
      </c>
      <c r="EB45">
        <v>2</v>
      </c>
      <c r="EC45">
        <v>4.5594133435582822E-2</v>
      </c>
      <c r="ED45">
        <v>0.36042944785276071</v>
      </c>
      <c r="EE45" s="11">
        <v>-2.0032999999999999</v>
      </c>
      <c r="EF45">
        <v>-2.0203099999999998</v>
      </c>
      <c r="EG45">
        <v>18.126499468085107</v>
      </c>
      <c r="EH45" t="s">
        <v>884</v>
      </c>
      <c r="EI45">
        <v>0</v>
      </c>
      <c r="EJ45">
        <v>1</v>
      </c>
      <c r="EK45" s="13">
        <v>45470</v>
      </c>
      <c r="EL45">
        <v>0.34</v>
      </c>
      <c r="EM45">
        <v>-3.08</v>
      </c>
      <c r="EN45">
        <v>3.89</v>
      </c>
      <c r="EO45">
        <v>0.68</v>
      </c>
      <c r="EP45">
        <v>-2.36</v>
      </c>
    </row>
    <row r="46" spans="1:146" ht="156" x14ac:dyDescent="0.25">
      <c r="A46" s="6"/>
      <c r="B46" s="6"/>
      <c r="C46" s="6" t="str">
        <f>"公司主营农药产品的研发、生产和销售。公司的主要产品为杀虫剂、除草剂、杀菌剂。目前公司已成为全球菊酯领域具有核心优势的生产企业，菊酯类产品品种数量排名世界前列。目前公司卫生菊酯在国内的市场占有率约为70%，麦草畏产能居全球领先地位。"&amp;CHAR(10)&amp;Basic_Fundamental_Information_Constructure(F46)&amp;CHAR(10)&amp;Basic_Fundamental_Information_Concatenate("原药 75.62亿 57.72%
其他业务 39.99亿 30.52%
制剂(不折百) 15.41亿 11.76%")</f>
        <v>公司主营农药产品的研发、生产和销售。公司的主要产品为杀虫剂、除草剂、杀菌剂。目前公司已成为全球菊酯领域具有核心优势的生产企业，菊酯类产品品种数量排名世界前列。目前公司卫生菊酯在国内的市场占有率约为70%，麦草畏产能居全球领先地位。
市值224.24663亿, 利润21.54亿; PE18.09; 平均PE15.77; 平均PEG.29, PB2.21; ROIC17.0467%; ROE19.1033%; 股利率1.5962%; 毛利24.78%; 净利11.78%; 上一年度营收增201.2%, 利润增20.07%; 当季营收增-70.77%, 利润增8.64%; 过往5年营收增53.91%, 利润增18.13%
Income profile:
原药 75.62亿 57.72%
其他业务 39.99亿 30.52%
制剂(不折百) 15.41亿 11.76%</v>
      </c>
      <c r="D46" t="s">
        <v>562</v>
      </c>
      <c r="E46" t="s">
        <v>563</v>
      </c>
      <c r="F46">
        <v>55.13</v>
      </c>
      <c r="G46">
        <v>0.31</v>
      </c>
      <c r="H46" t="s">
        <v>2091</v>
      </c>
      <c r="I46">
        <v>22424663000</v>
      </c>
      <c r="J46">
        <v>18.09</v>
      </c>
      <c r="K46">
        <v>2.21</v>
      </c>
      <c r="L46" t="s">
        <v>1594</v>
      </c>
      <c r="M46" t="s">
        <v>1508</v>
      </c>
      <c r="N46" t="s">
        <v>2092</v>
      </c>
      <c r="O46" t="s">
        <v>927</v>
      </c>
      <c r="P46">
        <v>-29.43</v>
      </c>
      <c r="Q46" t="s">
        <v>2093</v>
      </c>
      <c r="R46">
        <v>429124710</v>
      </c>
      <c r="S46" s="4">
        <v>-0.43109999999999998</v>
      </c>
      <c r="T46" t="s">
        <v>953</v>
      </c>
      <c r="U46">
        <v>402868580</v>
      </c>
      <c r="V46">
        <v>406759710</v>
      </c>
      <c r="W46">
        <v>1.69</v>
      </c>
      <c r="X46">
        <v>0.19</v>
      </c>
      <c r="Y46">
        <v>13.52</v>
      </c>
      <c r="Z46" t="s">
        <v>2094</v>
      </c>
      <c r="AA46" t="s">
        <v>2095</v>
      </c>
      <c r="AB46" t="s">
        <v>2096</v>
      </c>
      <c r="AC46" t="s">
        <v>39</v>
      </c>
      <c r="AD46" t="s">
        <v>5</v>
      </c>
      <c r="AE46">
        <v>-743210</v>
      </c>
      <c r="AF46" t="s">
        <v>1510</v>
      </c>
      <c r="AG46" t="s">
        <v>2097</v>
      </c>
      <c r="AH46" t="s">
        <v>1511</v>
      </c>
      <c r="AI46" t="s">
        <v>2098</v>
      </c>
      <c r="AJ46" t="s">
        <v>1512</v>
      </c>
      <c r="AK46" t="s">
        <v>2099</v>
      </c>
      <c r="AL46" t="s">
        <v>1513</v>
      </c>
      <c r="AM46" t="s">
        <v>5</v>
      </c>
      <c r="AN46" t="s">
        <v>938</v>
      </c>
      <c r="AO46" t="s">
        <v>1416</v>
      </c>
      <c r="AP46" t="s">
        <v>783</v>
      </c>
      <c r="AQ46" t="s">
        <v>2100</v>
      </c>
      <c r="AR46" t="s">
        <v>2101</v>
      </c>
      <c r="AS46" t="s">
        <v>1199</v>
      </c>
      <c r="AT46" t="s">
        <v>1514</v>
      </c>
      <c r="AU46" t="s">
        <v>1115</v>
      </c>
      <c r="AV46" t="s">
        <v>2102</v>
      </c>
      <c r="AW46" t="s">
        <v>146</v>
      </c>
      <c r="AX46" t="s">
        <v>952</v>
      </c>
      <c r="AY46" t="s">
        <v>761</v>
      </c>
      <c r="AZ46" t="s">
        <v>764</v>
      </c>
      <c r="BA46" t="s">
        <v>564</v>
      </c>
      <c r="BB46" t="s">
        <v>565</v>
      </c>
      <c r="BC46" t="s">
        <v>871</v>
      </c>
      <c r="BD46" t="s">
        <v>762</v>
      </c>
      <c r="BE46" t="s">
        <v>217</v>
      </c>
      <c r="BF46" t="s">
        <v>523</v>
      </c>
      <c r="BG46" t="s">
        <v>566</v>
      </c>
      <c r="BH46" t="s">
        <v>1509</v>
      </c>
      <c r="BI46" t="s">
        <v>2103</v>
      </c>
      <c r="BJ46" t="s">
        <v>952</v>
      </c>
      <c r="BK46" t="s">
        <v>278</v>
      </c>
      <c r="BL46" t="s">
        <v>196</v>
      </c>
      <c r="BM46" t="s">
        <v>871</v>
      </c>
      <c r="BN46">
        <v>13.53</v>
      </c>
      <c r="BO46">
        <v>20.94</v>
      </c>
      <c r="BP46">
        <v>16.670000000000002</v>
      </c>
      <c r="BQ46">
        <v>15.05</v>
      </c>
      <c r="BR46">
        <v>23.18</v>
      </c>
      <c r="BS46">
        <v>19.079999999999998</v>
      </c>
      <c r="BT46" t="s">
        <v>969</v>
      </c>
      <c r="BU46" t="s">
        <v>627</v>
      </c>
      <c r="BV46">
        <v>25.6</v>
      </c>
      <c r="BW46">
        <v>25.68</v>
      </c>
      <c r="BX46">
        <v>23.06</v>
      </c>
      <c r="BY46">
        <v>13.65</v>
      </c>
      <c r="BZ46">
        <v>11.36</v>
      </c>
      <c r="CA46">
        <v>10.33</v>
      </c>
      <c r="CB46">
        <v>-2.34</v>
      </c>
      <c r="CC46">
        <v>-10.86</v>
      </c>
      <c r="CD46" t="s">
        <v>2104</v>
      </c>
      <c r="CE46" t="s">
        <v>2105</v>
      </c>
      <c r="CF46" s="8">
        <v>-0.70773902641023279</v>
      </c>
      <c r="CG46" s="9">
        <v>8.6391670886075952E-2</v>
      </c>
      <c r="CH46" s="8">
        <v>2.011953592300415</v>
      </c>
      <c r="CI46" s="8">
        <v>0.33527570962905884</v>
      </c>
      <c r="CJ46" s="8">
        <v>0.20445533096790314</v>
      </c>
      <c r="CK46" s="8">
        <v>0.12987017631530762</v>
      </c>
      <c r="CL46" s="8">
        <v>1.3748061843216419E-2</v>
      </c>
      <c r="CM46" s="9">
        <v>0.2006688266992569</v>
      </c>
      <c r="CN46" s="9">
        <v>0.46808511018753052</v>
      </c>
      <c r="CO46" s="9">
        <v>9.9173551425337791E-3</v>
      </c>
      <c r="CP46" s="9">
        <v>3.4188035875558853E-2</v>
      </c>
      <c r="CQ46" s="9">
        <v>0.19387754797935486</v>
      </c>
      <c r="CR46">
        <v>15.773502696365767</v>
      </c>
      <c r="CS46">
        <v>0.29261095043813018</v>
      </c>
      <c r="CT46">
        <v>1.5962270995828043</v>
      </c>
      <c r="CU46" s="8">
        <v>0.53906057421118025</v>
      </c>
      <c r="CV46" s="9">
        <v>0.18134737517684699</v>
      </c>
      <c r="CW46">
        <v>0.06</v>
      </c>
      <c r="CX46">
        <v>5.8585892060918674</v>
      </c>
      <c r="CY46">
        <v>3127487242.3121529</v>
      </c>
      <c r="CZ46">
        <v>0.53906057421118025</v>
      </c>
      <c r="DA46">
        <v>1.336560091749075</v>
      </c>
      <c r="DB46">
        <v>13708820959.948195</v>
      </c>
      <c r="DC46">
        <v>0.51210754550062121</v>
      </c>
      <c r="DD46">
        <v>0.38305421260187794</v>
      </c>
      <c r="DE46">
        <v>47833080533.285782</v>
      </c>
      <c r="DF46">
        <v>0.4743733053058386</v>
      </c>
      <c r="DG46">
        <v>0.11527010899306019</v>
      </c>
      <c r="DH46">
        <v>158954156980.13361</v>
      </c>
      <c r="DI46">
        <v>0.43124845936894424</v>
      </c>
      <c r="DJ46">
        <v>1.0466976962387195E-2</v>
      </c>
      <c r="DK46">
        <v>1750521001989.5911</v>
      </c>
      <c r="DL46">
        <v>0.37734240194782614</v>
      </c>
      <c r="DM46">
        <v>2154000000</v>
      </c>
      <c r="DN46">
        <v>0.53906057421118025</v>
      </c>
      <c r="DO46">
        <v>18322663000</v>
      </c>
      <c r="DP46">
        <v>3498111000</v>
      </c>
      <c r="DQ46">
        <v>3209</v>
      </c>
      <c r="DR46">
        <v>-1.246799600621413</v>
      </c>
      <c r="DS46">
        <v>-9.4955704290771034E-2</v>
      </c>
      <c r="DT46" s="10">
        <v>0.14333333333333331</v>
      </c>
      <c r="DU46">
        <v>0.41666666666666669</v>
      </c>
      <c r="DV46">
        <v>0.56000000000000005</v>
      </c>
      <c r="DW46">
        <v>-2.1086</v>
      </c>
      <c r="DX46">
        <v>0.32254717255696963</v>
      </c>
      <c r="DY46">
        <v>-2.0176526229396869</v>
      </c>
      <c r="DZ46">
        <v>936</v>
      </c>
      <c r="EA46">
        <v>-2.014419187504942</v>
      </c>
      <c r="EB46">
        <v>2</v>
      </c>
      <c r="EC46">
        <v>2.0595943487126588E-2</v>
      </c>
      <c r="ED46">
        <v>0.12670748536033719</v>
      </c>
      <c r="EE46" s="11">
        <v>1.0944</v>
      </c>
      <c r="EF46">
        <v>1.0882000000000001</v>
      </c>
      <c r="EG46">
        <v>16.16254717255697</v>
      </c>
      <c r="EH46" t="s">
        <v>638</v>
      </c>
      <c r="EI46">
        <v>0</v>
      </c>
      <c r="EJ46">
        <v>1</v>
      </c>
      <c r="EK46" s="13">
        <v>45470</v>
      </c>
      <c r="EL46">
        <v>1.32</v>
      </c>
      <c r="EM46">
        <v>-0.7</v>
      </c>
      <c r="EN46">
        <v>-1.58</v>
      </c>
      <c r="EO46">
        <v>0.62</v>
      </c>
      <c r="EP46">
        <v>-0.62</v>
      </c>
    </row>
    <row r="47" spans="1:146" ht="180" x14ac:dyDescent="0.25">
      <c r="A47" s="6"/>
      <c r="B47" s="6"/>
      <c r="C47" s="6" t="str">
        <f>"公司是一家主要从事化工产品和化工机械设备的生产和销售。主要产品为尿素、聚氯乙烯、烯烃、烧碱、双氧水、甲醇、丙烯、离子膜烧碱、三氯化磷、三聚氰胺、乙二醇、化工设备、贸易等。"&amp;CHAR(10)&amp;Basic_Fundamental_Information_Constructure(F47)&amp;CHAR(10)&amp;Basic_Fundamental_Information_Concatenate("其他业务 45.98亿 48.14%
尿素 26.33亿 27.56%
聚氯乙烯 7.69亿 8.06%
烧碱 5.92亿 6.20%
丙烯 4.58亿 4.79%
三氯化磷 4.18亿 4.37%")</f>
        <v>公司是一家主要从事化工产品和化工机械设备的生产和销售。主要产品为尿素、聚氯乙烯、烯烃、烧碱、双氧水、甲醇、丙烯、离子膜烧碱、三氯化磷、三聚氰胺、乙二醇、化工设备、贸易等。
市值40.629291亿, 利润244.42万; PE; 平均PE102.21; 平均PEG4.46, PB.881; ROIC3%; ROE1.5933%; 股利率0%; 毛利8.57%; 净利-4.64%; 上一年度营收增-92.34%, 利润增-96.51%; 当季营收增877.66%, 利润增-91.9%; 过往5年营收增-22.92%, 利润增-65.4%
Income profile:
其他业务 45.98亿 48.14%
尿素 26.33亿 27.56%
聚氯乙烯 7.69亿 8.06%
烧碱 5.92亿 6.20%
丙烯 4.58亿 4.79%
三氯化磷 4.18亿 4.37%</v>
      </c>
      <c r="D47" t="s">
        <v>568</v>
      </c>
      <c r="E47" t="s">
        <v>569</v>
      </c>
      <c r="F47">
        <v>1.71</v>
      </c>
      <c r="G47">
        <v>1.18</v>
      </c>
      <c r="H47" t="s">
        <v>2106</v>
      </c>
      <c r="I47">
        <v>4062929100</v>
      </c>
      <c r="K47">
        <v>0.88100000000000001</v>
      </c>
      <c r="L47" t="s">
        <v>1594</v>
      </c>
      <c r="M47" t="s">
        <v>1515</v>
      </c>
      <c r="N47" t="s">
        <v>2107</v>
      </c>
      <c r="O47" t="s">
        <v>1516</v>
      </c>
      <c r="P47">
        <v>-29.33</v>
      </c>
      <c r="Q47" t="s">
        <v>1953</v>
      </c>
      <c r="R47">
        <v>-37439036</v>
      </c>
      <c r="S47" s="4">
        <v>-3.28</v>
      </c>
      <c r="T47" t="s">
        <v>2108</v>
      </c>
      <c r="U47">
        <v>2375586000</v>
      </c>
      <c r="V47">
        <v>2375982000</v>
      </c>
      <c r="W47">
        <v>4.76</v>
      </c>
      <c r="X47">
        <v>0.13</v>
      </c>
      <c r="Y47">
        <v>-1.96</v>
      </c>
      <c r="Z47" t="s">
        <v>206</v>
      </c>
      <c r="AA47" t="s">
        <v>2109</v>
      </c>
      <c r="AB47" t="s">
        <v>2110</v>
      </c>
      <c r="AC47" t="s">
        <v>2111</v>
      </c>
      <c r="AD47" t="s">
        <v>5</v>
      </c>
      <c r="AE47">
        <v>85596363</v>
      </c>
      <c r="AF47" t="s">
        <v>1519</v>
      </c>
      <c r="AG47" t="s">
        <v>2112</v>
      </c>
      <c r="AH47" t="s">
        <v>1520</v>
      </c>
      <c r="AI47" t="s">
        <v>2113</v>
      </c>
      <c r="AJ47" t="s">
        <v>1521</v>
      </c>
      <c r="AK47" t="s">
        <v>978</v>
      </c>
      <c r="AL47" t="s">
        <v>1522</v>
      </c>
      <c r="AM47" t="s">
        <v>5</v>
      </c>
      <c r="AN47" t="s">
        <v>250</v>
      </c>
      <c r="AO47" t="s">
        <v>2114</v>
      </c>
      <c r="AP47" t="s">
        <v>2115</v>
      </c>
      <c r="AQ47" t="s">
        <v>2116</v>
      </c>
      <c r="AR47" t="s">
        <v>5</v>
      </c>
      <c r="AS47" t="s">
        <v>2117</v>
      </c>
      <c r="AT47" t="s">
        <v>303</v>
      </c>
      <c r="AU47" t="s">
        <v>2118</v>
      </c>
      <c r="AV47" t="s">
        <v>2119</v>
      </c>
      <c r="AW47" t="s">
        <v>2120</v>
      </c>
      <c r="AX47" t="s">
        <v>954</v>
      </c>
      <c r="AY47" t="s">
        <v>624</v>
      </c>
      <c r="AZ47" t="s">
        <v>765</v>
      </c>
      <c r="BA47" t="s">
        <v>570</v>
      </c>
      <c r="BB47" t="s">
        <v>571</v>
      </c>
      <c r="BC47" t="s">
        <v>1523</v>
      </c>
      <c r="BD47" t="s">
        <v>173</v>
      </c>
      <c r="BE47" t="s">
        <v>36</v>
      </c>
      <c r="BF47" t="s">
        <v>572</v>
      </c>
      <c r="BG47" t="s">
        <v>36</v>
      </c>
      <c r="BH47" t="s">
        <v>1517</v>
      </c>
      <c r="BI47" t="s">
        <v>130</v>
      </c>
      <c r="BJ47" t="s">
        <v>954</v>
      </c>
      <c r="BK47" t="s">
        <v>1518</v>
      </c>
      <c r="BL47" t="s">
        <v>2121</v>
      </c>
      <c r="BM47" t="s">
        <v>1523</v>
      </c>
      <c r="BN47" t="s">
        <v>5</v>
      </c>
      <c r="BO47">
        <v>1.04</v>
      </c>
      <c r="BP47">
        <v>4.96</v>
      </c>
      <c r="BQ47">
        <v>-3.9</v>
      </c>
      <c r="BR47">
        <v>1.17</v>
      </c>
      <c r="BS47">
        <v>7.51</v>
      </c>
      <c r="BT47" t="s">
        <v>865</v>
      </c>
      <c r="BU47" t="s">
        <v>804</v>
      </c>
      <c r="BV47">
        <v>5.28</v>
      </c>
      <c r="BW47">
        <v>8.36</v>
      </c>
      <c r="BX47">
        <v>12.07</v>
      </c>
      <c r="BY47">
        <v>-16.71</v>
      </c>
      <c r="BZ47">
        <v>0.08</v>
      </c>
      <c r="CA47">
        <v>2.71</v>
      </c>
      <c r="CB47">
        <v>0</v>
      </c>
      <c r="CC47">
        <v>-24</v>
      </c>
      <c r="CD47" t="s">
        <v>2122</v>
      </c>
      <c r="CE47" t="s">
        <v>200</v>
      </c>
      <c r="CF47" s="8">
        <v>8.7765957446808507</v>
      </c>
      <c r="CG47" s="9">
        <v>-0.91901565903790461</v>
      </c>
      <c r="CH47" s="8">
        <v>-0.92339754104614258</v>
      </c>
      <c r="CI47" s="8">
        <v>-9.0782947838306427E-2</v>
      </c>
      <c r="CJ47" s="8">
        <v>4.3844088912010193E-2</v>
      </c>
      <c r="CK47" s="8">
        <v>1.1711831903085113E-3</v>
      </c>
      <c r="CL47" s="8">
        <v>-0.17662450671195984</v>
      </c>
      <c r="CM47" s="9">
        <v>-0.96511787176132202</v>
      </c>
      <c r="CN47" s="9">
        <v>-0.83780020475387573</v>
      </c>
      <c r="CO47" s="9">
        <v>2.34883713722229</v>
      </c>
      <c r="CP47" s="9">
        <v>1.2461831569671631</v>
      </c>
      <c r="CQ47" s="9">
        <v>-5.0620155334472656</v>
      </c>
      <c r="CR47">
        <v>102.20583905800277</v>
      </c>
      <c r="CS47">
        <v>4.4600609065651975</v>
      </c>
      <c r="CT47">
        <v>0</v>
      </c>
      <c r="CU47" s="8">
        <v>-0.22915794469881803</v>
      </c>
      <c r="CV47" s="9">
        <v>-0.65398266315460207</v>
      </c>
      <c r="CW47">
        <v>0.06</v>
      </c>
      <c r="CX47" t="e">
        <v>#VALUE!</v>
      </c>
      <c r="CY47" t="s">
        <v>666</v>
      </c>
      <c r="CZ47">
        <v>-0.22915794469881803</v>
      </c>
      <c r="DA47">
        <v>2406.6400867359462</v>
      </c>
      <c r="DB47" t="s">
        <v>2123</v>
      </c>
      <c r="DC47">
        <v>-0.21770004746387711</v>
      </c>
      <c r="DD47">
        <v>1203.3200433679731</v>
      </c>
      <c r="DE47" t="s">
        <v>2124</v>
      </c>
      <c r="DF47">
        <v>-0.20165899133495988</v>
      </c>
      <c r="DG47">
        <v>721.9920260207839</v>
      </c>
      <c r="DH47" t="s">
        <v>2125</v>
      </c>
      <c r="DI47">
        <v>-0.18332635575905443</v>
      </c>
      <c r="DJ47">
        <v>360.99601301039195</v>
      </c>
      <c r="DK47" t="s">
        <v>2126</v>
      </c>
      <c r="DL47">
        <v>-0.16041056128917261</v>
      </c>
      <c r="DM47">
        <v>2444200</v>
      </c>
      <c r="DN47">
        <v>-0.22915794469881803</v>
      </c>
      <c r="DO47">
        <v>17646929100</v>
      </c>
      <c r="DP47">
        <v>-3539178300</v>
      </c>
      <c r="DQ47">
        <v>3380</v>
      </c>
      <c r="DR47">
        <v>9.0057536893796684</v>
      </c>
      <c r="DS47">
        <v>-0.26503299588330254</v>
      </c>
      <c r="DT47" s="10">
        <v>-0.87333333333333341</v>
      </c>
      <c r="DU47">
        <v>-1.5783333333333334</v>
      </c>
      <c r="DV47">
        <v>-2.4516666666666667</v>
      </c>
      <c r="DW47">
        <v>-3.0904761904761906</v>
      </c>
      <c r="DX47">
        <v>0.34820304878048858</v>
      </c>
      <c r="DY47">
        <v>-3.0097897996515681</v>
      </c>
      <c r="DZ47">
        <v>1904</v>
      </c>
      <c r="EA47">
        <v>-3.0061420934800251</v>
      </c>
      <c r="EB47">
        <v>3</v>
      </c>
      <c r="EC47">
        <v>2.9874468745975349E-2</v>
      </c>
      <c r="ED47">
        <v>0.27609636773342561</v>
      </c>
      <c r="EE47" s="11">
        <v>2.04251</v>
      </c>
      <c r="EF47">
        <v>2.0752100000000002</v>
      </c>
      <c r="EG47">
        <v>24.108203048780489</v>
      </c>
      <c r="EH47" t="s">
        <v>882</v>
      </c>
      <c r="EI47">
        <v>0</v>
      </c>
      <c r="EJ47">
        <v>0</v>
      </c>
      <c r="EK47" s="13">
        <v>45470</v>
      </c>
      <c r="EL47">
        <v>-0.85</v>
      </c>
      <c r="EM47">
        <v>1.88</v>
      </c>
      <c r="EN47">
        <v>0.34</v>
      </c>
      <c r="EO47">
        <v>-1.58</v>
      </c>
      <c r="EP47">
        <v>-3.27</v>
      </c>
    </row>
    <row r="48" spans="1:146" ht="96" x14ac:dyDescent="0.25">
      <c r="A48" s="6"/>
      <c r="B48" s="6"/>
      <c r="C48" s="6" t="str">
        <f>""&amp;CHAR(10)&amp;Basic_Fundamental_Information_Constructure(F48)&amp;CHAR(10)&amp;Basic_Fundamental_Information_Concatenate("")</f>
        <v xml:space="preserve">
市值25.702151亿, 利润7.57亿; PE12.97; 平均PE8.45; 平均PEG.05, PB.852; ROIC11.5667%; ROE14.5833%; 股利率4.3478%; 毛利23.5467%; 净利11.54%; 上一年度营收增768.05%, 利润增115.06%; 当季营收增-95.56%, 利润增-98.62%; 过往5年营收增168.28%, 利润增85.26%
Income profile:
</v>
      </c>
      <c r="D48" t="s">
        <v>574</v>
      </c>
      <c r="E48" t="s">
        <v>575</v>
      </c>
      <c r="F48">
        <v>4.5999999999999996</v>
      </c>
      <c r="G48">
        <v>1.55</v>
      </c>
      <c r="H48" t="s">
        <v>2127</v>
      </c>
      <c r="I48">
        <v>2570215100</v>
      </c>
      <c r="J48">
        <v>12.97</v>
      </c>
      <c r="K48">
        <v>0.85199999999999998</v>
      </c>
      <c r="L48" t="s">
        <v>1594</v>
      </c>
      <c r="M48" t="s">
        <v>1526</v>
      </c>
      <c r="N48" t="s">
        <v>1305</v>
      </c>
      <c r="O48" t="s">
        <v>219</v>
      </c>
      <c r="P48">
        <v>-41.82</v>
      </c>
      <c r="Q48" t="s">
        <v>2128</v>
      </c>
      <c r="R48">
        <v>9697184</v>
      </c>
      <c r="S48" s="4">
        <v>-0.88629999999999998</v>
      </c>
      <c r="T48" t="s">
        <v>747</v>
      </c>
      <c r="U48">
        <v>535198730</v>
      </c>
      <c r="V48">
        <v>558742420</v>
      </c>
      <c r="W48">
        <v>1.34</v>
      </c>
      <c r="X48">
        <v>0.08</v>
      </c>
      <c r="Y48">
        <v>2.38</v>
      </c>
      <c r="Z48" t="s">
        <v>286</v>
      </c>
      <c r="AA48" t="s">
        <v>34</v>
      </c>
      <c r="AB48" t="s">
        <v>2129</v>
      </c>
      <c r="AC48" t="s">
        <v>2130</v>
      </c>
      <c r="AD48" t="s">
        <v>5</v>
      </c>
      <c r="AE48">
        <v>-718805</v>
      </c>
      <c r="AF48" t="s">
        <v>31</v>
      </c>
      <c r="AG48" t="s">
        <v>2131</v>
      </c>
      <c r="AH48" t="s">
        <v>1527</v>
      </c>
      <c r="AI48" t="s">
        <v>2132</v>
      </c>
      <c r="AJ48" t="s">
        <v>1528</v>
      </c>
      <c r="AK48" t="s">
        <v>2133</v>
      </c>
      <c r="AL48" t="s">
        <v>1529</v>
      </c>
      <c r="AM48" t="s">
        <v>5</v>
      </c>
      <c r="AN48" t="s">
        <v>718</v>
      </c>
      <c r="AO48" t="s">
        <v>5</v>
      </c>
      <c r="AP48" t="s">
        <v>5</v>
      </c>
      <c r="AQ48" t="s">
        <v>500</v>
      </c>
      <c r="AR48" t="s">
        <v>2134</v>
      </c>
      <c r="AS48" t="s">
        <v>1098</v>
      </c>
      <c r="AT48" t="s">
        <v>279</v>
      </c>
      <c r="AU48" t="s">
        <v>665</v>
      </c>
      <c r="AV48" t="s">
        <v>2135</v>
      </c>
      <c r="AW48" t="s">
        <v>2136</v>
      </c>
      <c r="AX48" t="s">
        <v>955</v>
      </c>
      <c r="AY48" t="s">
        <v>956</v>
      </c>
      <c r="AZ48" t="s">
        <v>388</v>
      </c>
      <c r="BA48" t="s">
        <v>577</v>
      </c>
      <c r="BB48" t="s">
        <v>573</v>
      </c>
      <c r="BC48" t="s">
        <v>78</v>
      </c>
      <c r="BD48" t="s">
        <v>81</v>
      </c>
      <c r="BE48" t="s">
        <v>95</v>
      </c>
      <c r="BF48" t="s">
        <v>87</v>
      </c>
      <c r="BG48" t="s">
        <v>578</v>
      </c>
      <c r="BH48" t="s">
        <v>1083</v>
      </c>
      <c r="BI48" t="s">
        <v>2137</v>
      </c>
      <c r="BJ48" t="s">
        <v>955</v>
      </c>
      <c r="BK48" t="s">
        <v>94</v>
      </c>
      <c r="BL48" t="s">
        <v>1106</v>
      </c>
      <c r="BM48" t="s">
        <v>78</v>
      </c>
      <c r="BN48">
        <v>7.33</v>
      </c>
      <c r="BO48">
        <v>14.77</v>
      </c>
      <c r="BP48">
        <v>12.6</v>
      </c>
      <c r="BQ48">
        <v>8.8000000000000007</v>
      </c>
      <c r="BR48">
        <v>18.649999999999999</v>
      </c>
      <c r="BS48">
        <v>16.3</v>
      </c>
      <c r="BT48" t="s">
        <v>866</v>
      </c>
      <c r="BU48" t="s">
        <v>627</v>
      </c>
      <c r="BV48">
        <v>22.74</v>
      </c>
      <c r="BW48">
        <v>25.13</v>
      </c>
      <c r="BX48">
        <v>22.77</v>
      </c>
      <c r="BY48">
        <v>11.96</v>
      </c>
      <c r="BZ48">
        <v>11.96</v>
      </c>
      <c r="CA48">
        <v>10.7</v>
      </c>
      <c r="CB48">
        <v>-0.43</v>
      </c>
      <c r="CC48">
        <v>-10.16</v>
      </c>
      <c r="CD48" t="s">
        <v>2138</v>
      </c>
      <c r="CE48" t="s">
        <v>2139</v>
      </c>
      <c r="CF48" s="8">
        <v>-0.95558424790187213</v>
      </c>
      <c r="CG48" s="9">
        <v>-0.98618634757834756</v>
      </c>
      <c r="CH48" s="8">
        <v>7.6805119514465332</v>
      </c>
      <c r="CI48" s="8">
        <v>0.13901014626026154</v>
      </c>
      <c r="CJ48" s="8">
        <v>0.25881808996200562</v>
      </c>
      <c r="CK48" s="8">
        <v>1.5821373090147972E-2</v>
      </c>
      <c r="CL48" s="8">
        <v>0.3200245201587677</v>
      </c>
      <c r="CM48" s="9">
        <v>1.1505681276321411</v>
      </c>
      <c r="CN48" s="9">
        <v>0.31835207343101501</v>
      </c>
      <c r="CO48" s="9">
        <v>-9.7972974181175232E-2</v>
      </c>
      <c r="CP48" s="9">
        <v>1.9306930303573608</v>
      </c>
      <c r="CQ48" s="9">
        <v>0.96122598648071289</v>
      </c>
      <c r="CR48">
        <v>8.4523453679104339</v>
      </c>
      <c r="CS48">
        <v>5.0226755663743031E-2</v>
      </c>
      <c r="CT48">
        <v>4.3478260869565224</v>
      </c>
      <c r="CU48" s="8">
        <v>1.6828372161835432</v>
      </c>
      <c r="CV48" s="9">
        <v>0.85257324874401097</v>
      </c>
      <c r="CW48">
        <v>0.06</v>
      </c>
      <c r="CX48">
        <v>0.35711518551790677</v>
      </c>
      <c r="CY48">
        <v>1915950728.9159832</v>
      </c>
      <c r="CZ48">
        <v>1.6828372161835432</v>
      </c>
      <c r="DA48">
        <v>3.8964322340841698E-2</v>
      </c>
      <c r="DB48">
        <v>17560041055.373833</v>
      </c>
      <c r="DC48">
        <v>1.5986953553743659</v>
      </c>
      <c r="DD48">
        <v>3.1687205210417452E-3</v>
      </c>
      <c r="DE48">
        <v>215927878604.7872</v>
      </c>
      <c r="DF48">
        <v>1.480896750241518</v>
      </c>
      <c r="DG48">
        <v>1.7558360234518517E-4</v>
      </c>
      <c r="DH48">
        <v>3896805230450.1685</v>
      </c>
      <c r="DI48">
        <v>1.3462697729468347</v>
      </c>
      <c r="DJ48">
        <v>2.5792517384896031E-7</v>
      </c>
      <c r="DK48">
        <v>2652765876977456</v>
      </c>
      <c r="DL48">
        <v>1.1779860513284801</v>
      </c>
      <c r="DM48">
        <v>757000000</v>
      </c>
      <c r="DN48">
        <v>1.6828372161835432</v>
      </c>
      <c r="DO48">
        <v>684215100</v>
      </c>
      <c r="DP48">
        <v>1627579000</v>
      </c>
      <c r="DQ48">
        <v>3415</v>
      </c>
      <c r="DR48">
        <v>-2.6384214640854156</v>
      </c>
      <c r="DS48">
        <v>-1.8387595963223586</v>
      </c>
      <c r="DT48" s="10">
        <v>9.3333333333333268E-2</v>
      </c>
      <c r="DU48">
        <v>0.7416666666666667</v>
      </c>
      <c r="DV48">
        <v>0.83499999999999996</v>
      </c>
      <c r="DW48">
        <v>-2.1015999999999999</v>
      </c>
      <c r="DX48">
        <v>0.30463530395548616</v>
      </c>
      <c r="DY48">
        <v>-2.0126629468818775</v>
      </c>
      <c r="DZ48">
        <v>3570</v>
      </c>
      <c r="EA48">
        <v>-2.003816230567141</v>
      </c>
      <c r="EB48">
        <v>2</v>
      </c>
      <c r="EC48">
        <v>1.9419681791835314E-2</v>
      </c>
      <c r="ED48">
        <v>0.15581204663143347</v>
      </c>
      <c r="EE48" s="11">
        <v>4.0145099999999996</v>
      </c>
      <c r="EF48">
        <v>4.0294100000000004</v>
      </c>
      <c r="EG48">
        <v>18.124635303955486</v>
      </c>
      <c r="EH48" t="s">
        <v>2140</v>
      </c>
      <c r="EI48">
        <v>0</v>
      </c>
      <c r="EJ48">
        <v>0</v>
      </c>
      <c r="EK48" s="13">
        <v>45470</v>
      </c>
      <c r="EL48">
        <v>-4.5999999999999996</v>
      </c>
      <c r="EM48">
        <v>-5.0599999999999996</v>
      </c>
      <c r="EN48">
        <v>0.51</v>
      </c>
      <c r="EO48">
        <v>2.02</v>
      </c>
      <c r="EP48">
        <v>-1.49</v>
      </c>
    </row>
    <row r="49" spans="1:146" ht="180" x14ac:dyDescent="0.25">
      <c r="A49" s="12"/>
      <c r="B49" s="6"/>
      <c r="C49" s="6" t="str">
        <f>"公司的主营业务为联碱、双甘膦，草甘膦、蛋氨酸、玻璃及光伏制品。主要产品有碳酸钠、氯化铵、盐矿、双甘膦、草甘膦、蛋氨酸、生物农药、光伏玻璃、特种智能玻璃、Low-E镀膜玻璃、光伏组件。"&amp;CHAR(10)&amp;Basic_Fundamental_Information_Constructure(F49)&amp;CHAR(10)&amp;Basic_Fundamental_Information_Concatenate("草甘膦原粉 26.95亿 25.68%
碳酸钠 25.04亿 23.86%
双甘膦 24.90亿 23.73%
其他业务 15.69亿 14.95%
氯化铵 12.36亿 11.78%")</f>
        <v>公司的主营业务为联碱、双甘膦，草甘膦、蛋氨酸、玻璃及光伏制品。主要产品有碳酸钠、氯化铵、盐矿、双甘膦、草甘膦、蛋氨酸、生物农药、光伏玻璃、特种智能玻璃、Low-E镀膜玻璃、光伏组件。
市值146.59875亿, 利润1.05亿; PE16; 平均PE11.2; 平均PEG3.55, PB.77; ROIC15.34%; ROE17.1733%; 股利率0%; 毛利36.0133%; 净利24.81%; 上一年度营收增-92.1%, 利润增-97.24%; 当季营收增784.51%, 利润增11.13%; 过往5年营收增3.15%, 利润增1430.11%
Income profile:
草甘膦原粉 26.95亿 25.68%
碳酸钠 25.04亿 23.86%
双甘膦 24.90亿 23.73%
其他业务 15.69亿 14.95%
氯化铵 12.36亿 11.78%</v>
      </c>
      <c r="D49" t="s">
        <v>795</v>
      </c>
      <c r="E49" t="s">
        <v>796</v>
      </c>
      <c r="F49">
        <v>1.66</v>
      </c>
      <c r="G49">
        <v>0.61</v>
      </c>
      <c r="H49" t="s">
        <v>2141</v>
      </c>
      <c r="I49">
        <v>14659875000</v>
      </c>
      <c r="J49">
        <v>16</v>
      </c>
      <c r="K49">
        <v>0.77</v>
      </c>
      <c r="L49" t="s">
        <v>1594</v>
      </c>
      <c r="M49" t="s">
        <v>1532</v>
      </c>
      <c r="N49" t="s">
        <v>2142</v>
      </c>
      <c r="O49" t="s">
        <v>1533</v>
      </c>
      <c r="P49">
        <v>-16.5</v>
      </c>
      <c r="Q49" t="s">
        <v>846</v>
      </c>
      <c r="R49">
        <v>29792564</v>
      </c>
      <c r="S49" s="4">
        <v>-0.92490000000000006</v>
      </c>
      <c r="T49" t="s">
        <v>39</v>
      </c>
      <c r="U49">
        <v>8831250200</v>
      </c>
      <c r="V49">
        <v>8831250200</v>
      </c>
      <c r="W49">
        <v>1.3</v>
      </c>
      <c r="X49">
        <v>0.08</v>
      </c>
      <c r="Y49">
        <v>1.36</v>
      </c>
      <c r="Z49" t="s">
        <v>1777</v>
      </c>
      <c r="AA49" t="s">
        <v>1552</v>
      </c>
      <c r="AB49" t="s">
        <v>2143</v>
      </c>
      <c r="AC49" t="s">
        <v>139</v>
      </c>
      <c r="AD49" t="s">
        <v>5</v>
      </c>
      <c r="AE49">
        <v>4252604</v>
      </c>
      <c r="AF49" t="s">
        <v>1535</v>
      </c>
      <c r="AG49">
        <v>4.63</v>
      </c>
      <c r="AH49" t="s">
        <v>1536</v>
      </c>
      <c r="AI49" t="s">
        <v>2144</v>
      </c>
      <c r="AJ49" t="s">
        <v>1537</v>
      </c>
      <c r="AK49" t="s">
        <v>5</v>
      </c>
      <c r="AL49" t="s">
        <v>1538</v>
      </c>
      <c r="AM49" t="s">
        <v>5</v>
      </c>
      <c r="AN49" t="s">
        <v>2145</v>
      </c>
      <c r="AO49" t="s">
        <v>620</v>
      </c>
      <c r="AP49" t="s">
        <v>432</v>
      </c>
      <c r="AQ49" t="s">
        <v>2146</v>
      </c>
      <c r="AR49" t="s">
        <v>5</v>
      </c>
      <c r="AS49" t="s">
        <v>2147</v>
      </c>
      <c r="AT49" t="s">
        <v>411</v>
      </c>
      <c r="AU49" t="s">
        <v>1400</v>
      </c>
      <c r="AV49" t="s">
        <v>907</v>
      </c>
      <c r="AW49" t="s">
        <v>2148</v>
      </c>
      <c r="AX49" t="s">
        <v>960</v>
      </c>
      <c r="AY49" t="s">
        <v>962</v>
      </c>
      <c r="AZ49" t="s">
        <v>797</v>
      </c>
      <c r="BA49" t="s">
        <v>798</v>
      </c>
      <c r="BB49" t="s">
        <v>799</v>
      </c>
      <c r="BC49" t="s">
        <v>961</v>
      </c>
      <c r="BD49" t="s">
        <v>963</v>
      </c>
      <c r="BE49" t="s">
        <v>800</v>
      </c>
      <c r="BF49" t="s">
        <v>190</v>
      </c>
      <c r="BG49" t="s">
        <v>349</v>
      </c>
      <c r="BH49" t="s">
        <v>1534</v>
      </c>
      <c r="BI49" t="s">
        <v>153</v>
      </c>
      <c r="BJ49" t="s">
        <v>960</v>
      </c>
      <c r="BK49" t="s">
        <v>553</v>
      </c>
      <c r="BL49" t="s">
        <v>2149</v>
      </c>
      <c r="BM49" t="s">
        <v>961</v>
      </c>
      <c r="BN49">
        <v>4.59</v>
      </c>
      <c r="BO49">
        <v>20.43</v>
      </c>
      <c r="BP49">
        <v>21</v>
      </c>
      <c r="BQ49">
        <v>5.23</v>
      </c>
      <c r="BR49">
        <v>22.47</v>
      </c>
      <c r="BS49">
        <v>23.82</v>
      </c>
      <c r="BT49" t="s">
        <v>865</v>
      </c>
      <c r="BU49" t="s">
        <v>803</v>
      </c>
      <c r="BV49">
        <v>23.26</v>
      </c>
      <c r="BW49">
        <v>42.85</v>
      </c>
      <c r="BX49">
        <v>41.93</v>
      </c>
      <c r="BY49">
        <v>14.49</v>
      </c>
      <c r="BZ49">
        <v>29.22</v>
      </c>
      <c r="CA49">
        <v>30.72</v>
      </c>
      <c r="CB49">
        <v>0.61</v>
      </c>
      <c r="CC49">
        <v>-17.41</v>
      </c>
      <c r="CD49" t="s">
        <v>186</v>
      </c>
      <c r="CE49" t="s">
        <v>2150</v>
      </c>
      <c r="CF49" s="8">
        <v>7.8451327433628322</v>
      </c>
      <c r="CG49" s="9">
        <v>0.11131036798030475</v>
      </c>
      <c r="CH49" s="8">
        <v>-0.92100626230239868</v>
      </c>
      <c r="CI49" s="8">
        <v>0.30559718608856201</v>
      </c>
      <c r="CJ49" s="8">
        <v>0.89830827713012695</v>
      </c>
      <c r="CK49" s="8">
        <v>-0.11861278861761093</v>
      </c>
      <c r="CL49" s="8">
        <v>-6.6566816531121731E-3</v>
      </c>
      <c r="CM49" s="9">
        <v>-0.97241926193237305</v>
      </c>
      <c r="CN49" s="9">
        <v>0.261431485414505</v>
      </c>
      <c r="CO49" s="9">
        <v>72.713127136230469</v>
      </c>
      <c r="CP49" s="9">
        <v>-0.92080754041671753</v>
      </c>
      <c r="CQ49" s="9">
        <v>0.42424243688583374</v>
      </c>
      <c r="CR49">
        <v>11.203654847809673</v>
      </c>
      <c r="CS49">
        <v>3.5537886165019401</v>
      </c>
      <c r="CT49">
        <v>0</v>
      </c>
      <c r="CU49" s="8">
        <v>3.1525946129113434E-2</v>
      </c>
      <c r="CV49" s="9">
        <v>14.301114851236344</v>
      </c>
      <c r="CW49">
        <v>0.06</v>
      </c>
      <c r="CX49" t="s">
        <v>977</v>
      </c>
      <c r="CY49">
        <v>102179456.92788388</v>
      </c>
      <c r="CZ49">
        <v>3.1525946129113434E-2</v>
      </c>
      <c r="DA49" t="s">
        <v>977</v>
      </c>
      <c r="DB49">
        <v>297475042.16870755</v>
      </c>
      <c r="DC49">
        <v>2.994964882265776E-2</v>
      </c>
      <c r="DD49" t="s">
        <v>977</v>
      </c>
      <c r="DE49">
        <v>566200594.17580104</v>
      </c>
      <c r="DF49">
        <v>2.7742832593619822E-2</v>
      </c>
      <c r="DG49" t="s">
        <v>977</v>
      </c>
      <c r="DH49">
        <v>878000248.36212301</v>
      </c>
      <c r="DI49">
        <v>2.5220756903290748E-2</v>
      </c>
      <c r="DJ49" t="s">
        <v>977</v>
      </c>
      <c r="DK49">
        <v>1464171238.6953733</v>
      </c>
      <c r="DL49">
        <v>2.2068162290379403E-2</v>
      </c>
      <c r="DM49">
        <v>105000000</v>
      </c>
      <c r="DN49">
        <v>3.1525946129113434E-2</v>
      </c>
      <c r="DO49">
        <v>-690125000</v>
      </c>
      <c r="DP49">
        <v>5718114500</v>
      </c>
      <c r="DQ49">
        <v>3910</v>
      </c>
      <c r="DR49">
        <v>7.8136067972337191</v>
      </c>
      <c r="DS49">
        <v>-14.189804483256038</v>
      </c>
      <c r="DT49" s="10">
        <v>-0.35666666666666669</v>
      </c>
      <c r="DU49">
        <v>6.5000000000000016E-2</v>
      </c>
      <c r="DV49">
        <v>-0.29166666666666669</v>
      </c>
      <c r="DW49">
        <v>-3.0159464285714286</v>
      </c>
      <c r="DX49">
        <v>0.26657613967022387</v>
      </c>
      <c r="DY49">
        <v>-3.0020184373700984</v>
      </c>
      <c r="DZ49">
        <v>3321</v>
      </c>
      <c r="EA49">
        <v>-3.0007066505782984</v>
      </c>
      <c r="EB49">
        <v>3</v>
      </c>
      <c r="EC49">
        <v>2.9554139458080352E-2</v>
      </c>
      <c r="ED49">
        <v>0.23348902514391451</v>
      </c>
      <c r="EE49" s="11">
        <v>-3.0327099999999998</v>
      </c>
      <c r="EF49">
        <v>-3.0468099999999998</v>
      </c>
      <c r="EG49">
        <v>14.126576139670224</v>
      </c>
      <c r="EH49" t="s">
        <v>1080</v>
      </c>
      <c r="EI49">
        <v>0</v>
      </c>
      <c r="EJ49">
        <v>0</v>
      </c>
      <c r="EK49" s="13">
        <v>45470</v>
      </c>
      <c r="EL49">
        <v>-3.52</v>
      </c>
      <c r="EM49">
        <v>-3.29</v>
      </c>
      <c r="EN49">
        <v>-0.69</v>
      </c>
      <c r="EO49">
        <v>1.53</v>
      </c>
      <c r="EP49">
        <v>-1.41</v>
      </c>
    </row>
    <row r="50" spans="1:146" ht="84" x14ac:dyDescent="0.25">
      <c r="A50" s="6"/>
      <c r="B50" s="6"/>
      <c r="C50" s="6" t="str">
        <f>""&amp;CHAR(10)&amp;Basic_Fundamental_Information_Constructure(F50)&amp;CHAR(10)&amp;Basic_Fundamental_Information_Concatenate("")</f>
        <v xml:space="preserve">
市值16.566381亿, 利润3.40亿; PE; 平均PE6.5; 平均PEG.56, PB.831; ROIC9.4433%; ROE9.7233%; 股利率0%; 毛利20.4967%; 净利5.4667%; 上一年度营收增-16.57%, 利润增-10.76%; 当季营收增-12.19%, 利润增-127.96%; 过往5年营收增11.63%, 利润增14.52%
Income profile:
</v>
      </c>
      <c r="D50" t="s">
        <v>581</v>
      </c>
      <c r="E50" t="s">
        <v>582</v>
      </c>
      <c r="F50">
        <v>3.81</v>
      </c>
      <c r="G50">
        <v>0.53</v>
      </c>
      <c r="H50" t="s">
        <v>2151</v>
      </c>
      <c r="I50">
        <v>1656638100</v>
      </c>
      <c r="K50">
        <v>0.83099999999999996</v>
      </c>
      <c r="L50" t="s">
        <v>1594</v>
      </c>
      <c r="M50" t="s">
        <v>1125</v>
      </c>
      <c r="N50" t="s">
        <v>1530</v>
      </c>
      <c r="O50" t="s">
        <v>690</v>
      </c>
      <c r="P50">
        <v>-10.56</v>
      </c>
      <c r="Q50" t="s">
        <v>979</v>
      </c>
      <c r="R50">
        <v>-13762048</v>
      </c>
      <c r="S50" s="4">
        <v>-1.31</v>
      </c>
      <c r="T50" t="s">
        <v>75</v>
      </c>
      <c r="U50">
        <v>434813140</v>
      </c>
      <c r="V50">
        <v>434813140</v>
      </c>
      <c r="W50">
        <v>1.73</v>
      </c>
      <c r="X50">
        <v>0.14000000000000001</v>
      </c>
      <c r="Y50">
        <v>-2.81</v>
      </c>
      <c r="Z50" t="s">
        <v>148</v>
      </c>
      <c r="AA50" t="s">
        <v>331</v>
      </c>
      <c r="AB50" t="s">
        <v>2152</v>
      </c>
      <c r="AC50" t="s">
        <v>2153</v>
      </c>
      <c r="AD50" t="s">
        <v>5</v>
      </c>
      <c r="AE50">
        <v>282759</v>
      </c>
      <c r="AF50" t="s">
        <v>1541</v>
      </c>
      <c r="AG50" t="s">
        <v>2154</v>
      </c>
      <c r="AH50" t="s">
        <v>1542</v>
      </c>
      <c r="AI50" t="s">
        <v>664</v>
      </c>
      <c r="AJ50" t="s">
        <v>1543</v>
      </c>
      <c r="AK50" t="s">
        <v>2155</v>
      </c>
      <c r="AL50" t="s">
        <v>1544</v>
      </c>
      <c r="AM50" t="s">
        <v>5</v>
      </c>
      <c r="AN50" t="s">
        <v>2156</v>
      </c>
      <c r="AO50" t="s">
        <v>209</v>
      </c>
      <c r="AP50" t="s">
        <v>892</v>
      </c>
      <c r="AQ50" t="s">
        <v>1082</v>
      </c>
      <c r="AR50" t="s">
        <v>5</v>
      </c>
      <c r="AS50" t="s">
        <v>2157</v>
      </c>
      <c r="AT50" t="s">
        <v>5</v>
      </c>
      <c r="AU50" t="s">
        <v>2158</v>
      </c>
      <c r="AV50" t="s">
        <v>2159</v>
      </c>
      <c r="AW50" t="s">
        <v>2160</v>
      </c>
      <c r="AX50" t="s">
        <v>964</v>
      </c>
      <c r="AY50" t="s">
        <v>766</v>
      </c>
      <c r="AZ50" t="s">
        <v>767</v>
      </c>
      <c r="BA50" t="s">
        <v>275</v>
      </c>
      <c r="BB50" t="s">
        <v>583</v>
      </c>
      <c r="BC50" t="s">
        <v>662</v>
      </c>
      <c r="BD50" t="s">
        <v>131</v>
      </c>
      <c r="BE50" t="s">
        <v>70</v>
      </c>
      <c r="BF50" t="s">
        <v>329</v>
      </c>
      <c r="BG50" t="s">
        <v>109</v>
      </c>
      <c r="BH50" t="s">
        <v>1524</v>
      </c>
      <c r="BI50" t="s">
        <v>1090</v>
      </c>
      <c r="BJ50" t="s">
        <v>964</v>
      </c>
      <c r="BK50" t="s">
        <v>1540</v>
      </c>
      <c r="BL50" t="s">
        <v>2161</v>
      </c>
      <c r="BM50" t="s">
        <v>662</v>
      </c>
      <c r="BN50">
        <v>0.3</v>
      </c>
      <c r="BO50">
        <v>18.239999999999998</v>
      </c>
      <c r="BP50">
        <v>9.7899999999999991</v>
      </c>
      <c r="BQ50">
        <v>0.49</v>
      </c>
      <c r="BR50">
        <v>18.63</v>
      </c>
      <c r="BS50">
        <v>10.050000000000001</v>
      </c>
      <c r="BT50" t="s">
        <v>865</v>
      </c>
      <c r="BU50" t="s">
        <v>627</v>
      </c>
      <c r="BV50">
        <v>11.54</v>
      </c>
      <c r="BW50">
        <v>27.2</v>
      </c>
      <c r="BX50">
        <v>22.75</v>
      </c>
      <c r="BY50">
        <v>-3.84</v>
      </c>
      <c r="BZ50">
        <v>12.19</v>
      </c>
      <c r="CA50">
        <v>8.0500000000000007</v>
      </c>
      <c r="CB50">
        <v>0.26</v>
      </c>
      <c r="CC50">
        <v>-17.350000000000001</v>
      </c>
      <c r="CD50" t="s">
        <v>2162</v>
      </c>
      <c r="CE50" t="s">
        <v>212</v>
      </c>
      <c r="CF50" s="8">
        <v>-0.12186379928315401</v>
      </c>
      <c r="CG50" s="9">
        <v>-1.2795840181377518</v>
      </c>
      <c r="CH50" s="8">
        <v>-0.16570700705051422</v>
      </c>
      <c r="CI50" s="8">
        <v>0.4189741313457489</v>
      </c>
      <c r="CJ50" s="8">
        <v>0.16191986203193665</v>
      </c>
      <c r="CK50" s="8">
        <v>0.2038094699382782</v>
      </c>
      <c r="CL50" s="8">
        <v>-3.7286024540662766E-2</v>
      </c>
      <c r="CM50" s="9">
        <v>-0.10761155188083649</v>
      </c>
      <c r="CN50" s="9">
        <v>1.1525423526763916</v>
      </c>
      <c r="CO50" s="9">
        <v>5.681818351149559E-3</v>
      </c>
      <c r="CP50" s="9">
        <v>-0.14146341383457184</v>
      </c>
      <c r="CQ50" s="9">
        <v>-0.18326693773269653</v>
      </c>
      <c r="CR50">
        <v>6.4966200000000001</v>
      </c>
      <c r="CS50">
        <v>0.55840669564213852</v>
      </c>
      <c r="CT50">
        <v>0</v>
      </c>
      <c r="CU50" s="8">
        <v>0.11634208634495735</v>
      </c>
      <c r="CV50" s="9">
        <v>0.14517645351588726</v>
      </c>
      <c r="CW50">
        <v>0.06</v>
      </c>
      <c r="CX50">
        <v>2.6883926333035246</v>
      </c>
      <c r="CY50">
        <v>358071989.95970333</v>
      </c>
      <c r="CZ50">
        <v>0.11634208634495735</v>
      </c>
      <c r="DA50">
        <v>0.85921948486335964</v>
      </c>
      <c r="DB50">
        <v>1120363442.5877655</v>
      </c>
      <c r="DC50">
        <v>0.11052498202770948</v>
      </c>
      <c r="DD50">
        <v>0.41045863981015812</v>
      </c>
      <c r="DE50">
        <v>2345274302.0471716</v>
      </c>
      <c r="DF50">
        <v>0.10238103598356248</v>
      </c>
      <c r="DG50">
        <v>0.23817967283564997</v>
      </c>
      <c r="DH50">
        <v>4041646747.3454156</v>
      </c>
      <c r="DI50">
        <v>9.3073669075965884E-2</v>
      </c>
      <c r="DJ50">
        <v>0.11395971149694734</v>
      </c>
      <c r="DK50">
        <v>8447179159.678606</v>
      </c>
      <c r="DL50">
        <v>8.1439460441470143E-2</v>
      </c>
      <c r="DM50">
        <v>340000000</v>
      </c>
      <c r="DN50">
        <v>0.11634208634495735</v>
      </c>
      <c r="DO50">
        <v>962638100</v>
      </c>
      <c r="DP50">
        <v>577482900</v>
      </c>
      <c r="DQ50">
        <v>3918</v>
      </c>
      <c r="DR50">
        <v>-0.23820588562811135</v>
      </c>
      <c r="DS50">
        <v>-1.4247604716536391</v>
      </c>
      <c r="DT50" s="10">
        <v>-0.20666666666666669</v>
      </c>
      <c r="DU50">
        <v>-0.69833333333333336</v>
      </c>
      <c r="DV50">
        <v>-0.90500000000000003</v>
      </c>
      <c r="DW50">
        <v>-3.0152678571428573</v>
      </c>
      <c r="DX50">
        <v>0.47047919999999832</v>
      </c>
      <c r="DY50">
        <v>-3.0018394592142856</v>
      </c>
      <c r="DZ50">
        <v>3129</v>
      </c>
      <c r="EA50">
        <v>-3.0007131054214287</v>
      </c>
      <c r="EB50">
        <v>3</v>
      </c>
      <c r="EC50">
        <v>3.4635337837306386E-2</v>
      </c>
      <c r="ED50">
        <v>0.28747981259260014</v>
      </c>
      <c r="EE50" s="11">
        <v>1.0182100000000001</v>
      </c>
      <c r="EF50">
        <v>1.0542100000000001</v>
      </c>
      <c r="EG50">
        <v>35.120479199999998</v>
      </c>
      <c r="EH50" t="s">
        <v>880</v>
      </c>
      <c r="EI50">
        <v>0</v>
      </c>
      <c r="EJ50">
        <v>0</v>
      </c>
      <c r="EK50" s="13">
        <v>45470</v>
      </c>
      <c r="EL50">
        <v>0.96</v>
      </c>
      <c r="EM50">
        <v>-5.5</v>
      </c>
      <c r="EN50">
        <v>0.22</v>
      </c>
      <c r="EO50">
        <v>2.23</v>
      </c>
      <c r="EP50">
        <v>-3.6</v>
      </c>
    </row>
    <row r="51" spans="1:146" ht="96" x14ac:dyDescent="0.25">
      <c r="A51" s="6"/>
      <c r="B51" s="6"/>
      <c r="C51" s="6" t="str">
        <f>""&amp;CHAR(10)&amp;Basic_Fundamental_Information_Constructure(F51)&amp;CHAR(10)&amp;Basic_Fundamental_Information_Concatenate("")</f>
        <v xml:space="preserve">
市值58.818341亿, 利润-36.51亿; PE16.61; 平均PE-15.19; 平均PEG-.05, PB3.38; ROIC20.92%; ROE25.2067%; 股利率.0495%; 毛利50.6267%; 净利29.2433%; 上一年度营收增1447.97%, 利润增-1005.96%; 当季营收增-92.98%, 利润增154.62%; 过往5年营收增311.64%, 利润增-169.62%
Income profile:
</v>
      </c>
      <c r="D51" t="s">
        <v>585</v>
      </c>
      <c r="E51" t="s">
        <v>586</v>
      </c>
      <c r="F51">
        <v>11.66</v>
      </c>
      <c r="G51">
        <v>-2.2599999999999998</v>
      </c>
      <c r="H51" t="s">
        <v>2163</v>
      </c>
      <c r="I51">
        <v>5881834100</v>
      </c>
      <c r="J51">
        <v>16.61</v>
      </c>
      <c r="K51">
        <v>3.38</v>
      </c>
      <c r="L51" t="s">
        <v>1594</v>
      </c>
      <c r="M51" t="s">
        <v>404</v>
      </c>
      <c r="N51" t="s">
        <v>1136</v>
      </c>
      <c r="O51" t="s">
        <v>225</v>
      </c>
      <c r="P51">
        <v>31.18</v>
      </c>
      <c r="Q51" t="s">
        <v>2164</v>
      </c>
      <c r="R51">
        <v>98313016</v>
      </c>
      <c r="S51" s="4">
        <v>0.35310000000000002</v>
      </c>
      <c r="T51" t="s">
        <v>2165</v>
      </c>
      <c r="U51">
        <v>503987810</v>
      </c>
      <c r="V51">
        <v>504445470</v>
      </c>
      <c r="W51">
        <v>1.2</v>
      </c>
      <c r="X51">
        <v>0.17</v>
      </c>
      <c r="Y51">
        <v>29.06</v>
      </c>
      <c r="Z51" t="s">
        <v>153</v>
      </c>
      <c r="AA51" t="s">
        <v>89</v>
      </c>
      <c r="AB51" t="s">
        <v>2166</v>
      </c>
      <c r="AC51" t="s">
        <v>2167</v>
      </c>
      <c r="AD51" t="s">
        <v>5</v>
      </c>
      <c r="AE51">
        <v>-2864895</v>
      </c>
      <c r="AF51" t="s">
        <v>31</v>
      </c>
      <c r="AG51" t="s">
        <v>2168</v>
      </c>
      <c r="AH51" t="s">
        <v>1547</v>
      </c>
      <c r="AI51" t="s">
        <v>454</v>
      </c>
      <c r="AJ51" t="s">
        <v>1548</v>
      </c>
      <c r="AK51" t="s">
        <v>2169</v>
      </c>
      <c r="AL51" t="s">
        <v>1549</v>
      </c>
      <c r="AM51" t="s">
        <v>5</v>
      </c>
      <c r="AN51" t="s">
        <v>2170</v>
      </c>
      <c r="AO51" t="s">
        <v>64</v>
      </c>
      <c r="AP51" t="s">
        <v>1550</v>
      </c>
      <c r="AQ51" t="s">
        <v>2171</v>
      </c>
      <c r="AR51" t="s">
        <v>5</v>
      </c>
      <c r="AS51" t="s">
        <v>365</v>
      </c>
      <c r="AT51" t="s">
        <v>5</v>
      </c>
      <c r="AU51" t="s">
        <v>2172</v>
      </c>
      <c r="AV51" t="s">
        <v>2173</v>
      </c>
      <c r="AW51" t="s">
        <v>2174</v>
      </c>
      <c r="AX51" t="s">
        <v>861</v>
      </c>
      <c r="AY51" t="s">
        <v>663</v>
      </c>
      <c r="AZ51" t="s">
        <v>655</v>
      </c>
      <c r="BA51" t="s">
        <v>587</v>
      </c>
      <c r="BB51" t="s">
        <v>337</v>
      </c>
      <c r="BC51" t="s">
        <v>174</v>
      </c>
      <c r="BD51" t="s">
        <v>51</v>
      </c>
      <c r="BE51" t="s">
        <v>165</v>
      </c>
      <c r="BF51" t="s">
        <v>163</v>
      </c>
      <c r="BG51" t="s">
        <v>85</v>
      </c>
      <c r="BH51" t="s">
        <v>214</v>
      </c>
      <c r="BI51" t="s">
        <v>2175</v>
      </c>
      <c r="BJ51" t="s">
        <v>861</v>
      </c>
      <c r="BK51" t="s">
        <v>179</v>
      </c>
      <c r="BL51" t="s">
        <v>1433</v>
      </c>
      <c r="BM51" t="s">
        <v>174</v>
      </c>
      <c r="BN51">
        <v>16.649999999999999</v>
      </c>
      <c r="BO51">
        <v>27.04</v>
      </c>
      <c r="BP51">
        <v>19.07</v>
      </c>
      <c r="BQ51">
        <v>18.43</v>
      </c>
      <c r="BR51">
        <v>32.07</v>
      </c>
      <c r="BS51">
        <v>25.12</v>
      </c>
      <c r="BT51" t="s">
        <v>1551</v>
      </c>
      <c r="BU51" t="s">
        <v>627</v>
      </c>
      <c r="BV51">
        <v>52.03</v>
      </c>
      <c r="BW51">
        <v>53.16</v>
      </c>
      <c r="BX51">
        <v>46.69</v>
      </c>
      <c r="BY51">
        <v>30.81</v>
      </c>
      <c r="BZ51">
        <v>32.03</v>
      </c>
      <c r="CA51">
        <v>24.89</v>
      </c>
      <c r="CB51">
        <v>-0.77</v>
      </c>
      <c r="CC51">
        <v>-4.59</v>
      </c>
      <c r="CD51" t="s">
        <v>2176</v>
      </c>
      <c r="CE51" t="s">
        <v>96</v>
      </c>
      <c r="CF51" s="8">
        <v>-0.92984640929846407</v>
      </c>
      <c r="CG51" s="9">
        <v>1.5461834222222222</v>
      </c>
      <c r="CH51" s="8">
        <v>14.479716300964355</v>
      </c>
      <c r="CI51" s="8">
        <v>0.24950291216373444</v>
      </c>
      <c r="CJ51" s="8">
        <v>0.34133332967758179</v>
      </c>
      <c r="CK51" s="8">
        <v>-0.13990825414657593</v>
      </c>
      <c r="CL51" s="8">
        <v>0.65151512622833252</v>
      </c>
      <c r="CM51" s="9">
        <v>-10.059554100036621</v>
      </c>
      <c r="CN51" s="9">
        <v>0.6119999885559082</v>
      </c>
      <c r="CO51" s="9">
        <v>0.12612612545490265</v>
      </c>
      <c r="CP51" s="9">
        <v>-0.27687296271324158</v>
      </c>
      <c r="CQ51" s="9">
        <v>1.117241382598877</v>
      </c>
      <c r="CR51">
        <v>-15.185458089500861</v>
      </c>
      <c r="CS51">
        <v>-4.872706563055839E-2</v>
      </c>
      <c r="CT51">
        <v>4.9478823063728722E-2</v>
      </c>
      <c r="CU51" s="8">
        <v>3.1164318829774857</v>
      </c>
      <c r="CV51" s="9">
        <v>-1.6962119132280349</v>
      </c>
      <c r="CW51">
        <v>0.06</v>
      </c>
      <c r="CX51" t="e">
        <v>#VALUE!</v>
      </c>
      <c r="CY51" t="s">
        <v>643</v>
      </c>
      <c r="CZ51">
        <v>3.1164318829774857</v>
      </c>
      <c r="DA51" t="e">
        <v>#VALUE!</v>
      </c>
      <c r="DB51" t="s">
        <v>643</v>
      </c>
      <c r="DC51">
        <v>2.9606102888286112</v>
      </c>
      <c r="DD51" t="e">
        <v>#VALUE!</v>
      </c>
      <c r="DE51" t="s">
        <v>643</v>
      </c>
      <c r="DF51">
        <v>2.7424600570201876</v>
      </c>
      <c r="DG51" t="e">
        <v>#VALUE!</v>
      </c>
      <c r="DH51" t="s">
        <v>643</v>
      </c>
      <c r="DI51">
        <v>2.493145506381989</v>
      </c>
      <c r="DJ51" t="e">
        <v>#VALUE!</v>
      </c>
      <c r="DK51" t="s">
        <v>643</v>
      </c>
      <c r="DL51">
        <v>2.1815023180842399</v>
      </c>
      <c r="DM51">
        <v>-3651000000</v>
      </c>
      <c r="DN51">
        <v>3.1164318829774857</v>
      </c>
      <c r="DO51">
        <v>4447834100</v>
      </c>
      <c r="DP51">
        <v>1112794700</v>
      </c>
      <c r="DQ51">
        <v>4117</v>
      </c>
      <c r="DR51">
        <v>-4.0462782922759502</v>
      </c>
      <c r="DS51">
        <v>3.242395335450257</v>
      </c>
      <c r="DT51" s="10">
        <v>0.34333333333333332</v>
      </c>
      <c r="DU51">
        <v>-0.80666666666666664</v>
      </c>
      <c r="DV51">
        <v>-0.46333333333333332</v>
      </c>
      <c r="DW51">
        <v>-1.0459000000000001</v>
      </c>
      <c r="DX51">
        <v>0.3669385964912264</v>
      </c>
      <c r="DY51">
        <v>-1.0072034815789475</v>
      </c>
      <c r="DZ51">
        <v>4551</v>
      </c>
      <c r="EA51">
        <v>-1.0007880129555051</v>
      </c>
      <c r="EB51">
        <v>1</v>
      </c>
      <c r="EC51">
        <v>5.3200001974445327E-2</v>
      </c>
      <c r="ED51">
        <v>0.33898609496879811</v>
      </c>
      <c r="EE51" s="11">
        <v>-2.1308099999999999</v>
      </c>
      <c r="EF51">
        <v>-2.0794100000000002</v>
      </c>
      <c r="EG51">
        <v>21.156938596491226</v>
      </c>
      <c r="EH51" t="s">
        <v>884</v>
      </c>
      <c r="EI51">
        <v>0</v>
      </c>
      <c r="EJ51">
        <v>0</v>
      </c>
      <c r="EK51" s="13">
        <v>45470</v>
      </c>
      <c r="EL51">
        <v>-0.49</v>
      </c>
      <c r="EM51">
        <v>-4.96</v>
      </c>
      <c r="EN51">
        <v>-4.96</v>
      </c>
      <c r="EO51">
        <v>-3.85</v>
      </c>
      <c r="EP51">
        <v>5.14</v>
      </c>
    </row>
    <row r="52" spans="1:146" ht="96" x14ac:dyDescent="0.25">
      <c r="A52" s="6"/>
      <c r="B52" s="6"/>
      <c r="C52" s="6" t="str">
        <f>""&amp;CHAR(10)&amp;Basic_Fundamental_Information_Constructure(F52)&amp;CHAR(10)&amp;Basic_Fundamental_Information_Concatenate("")</f>
        <v xml:space="preserve">
市值17.640213亿, 利润1.33亿; PE; 平均PE7.16; 平均PEG1.12, PB.748; ROIC7.2933%; ROE8.3967%; 股利率.5102%; 毛利20.06%; 净利8.4533%; 上一年度营收增-49.08%, 利润增-57.78%; 当季营收增5.43%, 利润增-106.87%; 过往5年营收增6.36%, 利润增-6.9%
Income profile:
</v>
      </c>
      <c r="D52" t="s">
        <v>589</v>
      </c>
      <c r="E52" t="s">
        <v>590</v>
      </c>
      <c r="F52">
        <v>9.8000000000000007</v>
      </c>
      <c r="G52">
        <v>2.5099999999999998</v>
      </c>
      <c r="H52" t="s">
        <v>2177</v>
      </c>
      <c r="I52">
        <v>1764021300</v>
      </c>
      <c r="K52">
        <v>0.748</v>
      </c>
      <c r="L52" t="s">
        <v>1594</v>
      </c>
      <c r="M52" t="s">
        <v>1138</v>
      </c>
      <c r="N52" t="s">
        <v>959</v>
      </c>
      <c r="O52" t="s">
        <v>260</v>
      </c>
      <c r="P52">
        <v>-12.06</v>
      </c>
      <c r="Q52" t="s">
        <v>2178</v>
      </c>
      <c r="R52">
        <v>-3118390</v>
      </c>
      <c r="S52" s="4">
        <v>-1.141</v>
      </c>
      <c r="T52" t="s">
        <v>45</v>
      </c>
      <c r="U52">
        <v>180002170</v>
      </c>
      <c r="V52">
        <v>180002170</v>
      </c>
      <c r="W52">
        <v>1.74</v>
      </c>
      <c r="X52">
        <v>0.09</v>
      </c>
      <c r="Y52">
        <v>-1.1100000000000001</v>
      </c>
      <c r="Z52" t="s">
        <v>306</v>
      </c>
      <c r="AA52" t="s">
        <v>378</v>
      </c>
      <c r="AB52" t="s">
        <v>2179</v>
      </c>
      <c r="AC52" t="s">
        <v>2180</v>
      </c>
      <c r="AD52" t="s">
        <v>5</v>
      </c>
      <c r="AE52">
        <v>6640673</v>
      </c>
      <c r="AF52" t="s">
        <v>1555</v>
      </c>
      <c r="AG52" t="s">
        <v>2181</v>
      </c>
      <c r="AH52" t="s">
        <v>1556</v>
      </c>
      <c r="AI52" t="s">
        <v>355</v>
      </c>
      <c r="AJ52" t="s">
        <v>1557</v>
      </c>
      <c r="AK52" t="s">
        <v>2182</v>
      </c>
      <c r="AL52" t="s">
        <v>1558</v>
      </c>
      <c r="AM52" t="s">
        <v>5</v>
      </c>
      <c r="AN52" t="s">
        <v>1124</v>
      </c>
      <c r="AO52" t="s">
        <v>2183</v>
      </c>
      <c r="AP52" t="s">
        <v>306</v>
      </c>
      <c r="AQ52" t="s">
        <v>2184</v>
      </c>
      <c r="AR52" t="s">
        <v>5</v>
      </c>
      <c r="AS52" t="s">
        <v>1473</v>
      </c>
      <c r="AT52" t="s">
        <v>547</v>
      </c>
      <c r="AU52" t="s">
        <v>2185</v>
      </c>
      <c r="AV52" t="s">
        <v>1735</v>
      </c>
      <c r="AW52" t="s">
        <v>44</v>
      </c>
      <c r="AX52" t="s">
        <v>970</v>
      </c>
      <c r="AY52" t="s">
        <v>971</v>
      </c>
      <c r="AZ52" t="s">
        <v>769</v>
      </c>
      <c r="BA52" t="s">
        <v>591</v>
      </c>
      <c r="BB52" t="s">
        <v>592</v>
      </c>
      <c r="BC52" t="s">
        <v>198</v>
      </c>
      <c r="BD52" t="s">
        <v>156</v>
      </c>
      <c r="BE52" t="s">
        <v>161</v>
      </c>
      <c r="BF52" t="s">
        <v>258</v>
      </c>
      <c r="BG52" t="s">
        <v>346</v>
      </c>
      <c r="BH52" t="s">
        <v>1553</v>
      </c>
      <c r="BI52" t="s">
        <v>512</v>
      </c>
      <c r="BJ52" t="s">
        <v>970</v>
      </c>
      <c r="BK52" t="s">
        <v>1554</v>
      </c>
      <c r="BL52" t="s">
        <v>2186</v>
      </c>
      <c r="BM52" t="s">
        <v>198</v>
      </c>
      <c r="BN52">
        <v>0.56000000000000005</v>
      </c>
      <c r="BO52">
        <v>11.22</v>
      </c>
      <c r="BP52">
        <v>10.1</v>
      </c>
      <c r="BQ52">
        <v>1.4</v>
      </c>
      <c r="BR52">
        <v>12.78</v>
      </c>
      <c r="BS52">
        <v>11.01</v>
      </c>
      <c r="BT52" t="s">
        <v>868</v>
      </c>
      <c r="BU52" t="s">
        <v>627</v>
      </c>
      <c r="BV52">
        <v>14.29</v>
      </c>
      <c r="BW52">
        <v>22.32</v>
      </c>
      <c r="BX52">
        <v>23.57</v>
      </c>
      <c r="BY52">
        <v>0.72</v>
      </c>
      <c r="BZ52">
        <v>12.35</v>
      </c>
      <c r="CA52">
        <v>12.29</v>
      </c>
      <c r="CB52">
        <v>0.93</v>
      </c>
      <c r="CC52">
        <v>-17.579999999999998</v>
      </c>
      <c r="CD52" t="s">
        <v>2187</v>
      </c>
      <c r="CE52" t="s">
        <v>2188</v>
      </c>
      <c r="CF52" s="8">
        <v>5.4347826086956527E-2</v>
      </c>
      <c r="CG52" s="9">
        <v>-1.0686942672353024</v>
      </c>
      <c r="CH52" s="8">
        <v>-0.49079367518424988</v>
      </c>
      <c r="CI52" s="8">
        <v>0.34156733751296997</v>
      </c>
      <c r="CJ52" s="8">
        <v>0.50609356164932251</v>
      </c>
      <c r="CK52" s="8">
        <v>-0.14009921252727509</v>
      </c>
      <c r="CL52" s="8">
        <v>0.10145804286003113</v>
      </c>
      <c r="CM52" s="9">
        <v>-0.57777780294418335</v>
      </c>
      <c r="CN52" s="9">
        <v>0.30705395340919495</v>
      </c>
      <c r="CO52" s="9">
        <v>0.37714284658432007</v>
      </c>
      <c r="CP52" s="9">
        <v>-0.42244225740432739</v>
      </c>
      <c r="CQ52" s="9">
        <v>-2.8846153989434242E-2</v>
      </c>
      <c r="CR52">
        <v>7.1562730223123729</v>
      </c>
      <c r="CS52">
        <v>1.1244008662036087</v>
      </c>
      <c r="CT52">
        <v>0.51020408163265307</v>
      </c>
      <c r="CU52" s="8">
        <v>6.3645210862159726E-2</v>
      </c>
      <c r="CV52" s="9">
        <v>-6.8973882868885991E-2</v>
      </c>
      <c r="CW52">
        <v>0.06</v>
      </c>
      <c r="CX52">
        <v>7.8153892420647937</v>
      </c>
      <c r="CY52">
        <v>133457370.79685587</v>
      </c>
      <c r="CZ52">
        <v>6.3645210862159726E-2</v>
      </c>
      <c r="DA52">
        <v>2.6118064170096167</v>
      </c>
      <c r="DB52">
        <v>399348624.46436781</v>
      </c>
      <c r="DC52">
        <v>6.0462950319051738E-2</v>
      </c>
      <c r="DD52">
        <v>1.3243929995429562</v>
      </c>
      <c r="DE52">
        <v>787546672.59638405</v>
      </c>
      <c r="DF52">
        <v>5.6007785558700562E-2</v>
      </c>
      <c r="DG52">
        <v>0.82199030992539046</v>
      </c>
      <c r="DH52">
        <v>1268897318.3816137</v>
      </c>
      <c r="DI52">
        <v>5.0916168689727787E-2</v>
      </c>
      <c r="DJ52">
        <v>0.45583104197284685</v>
      </c>
      <c r="DK52">
        <v>2288175231.5195127</v>
      </c>
      <c r="DL52">
        <v>4.4551647603511803E-2</v>
      </c>
      <c r="DM52">
        <v>133000000</v>
      </c>
      <c r="DN52">
        <v>6.3645210862159726E-2</v>
      </c>
      <c r="DO52">
        <v>1043021299.9999995</v>
      </c>
      <c r="DP52">
        <v>1165060500</v>
      </c>
      <c r="DQ52">
        <v>4194</v>
      </c>
      <c r="DR52">
        <v>-9.2973847752031991E-3</v>
      </c>
      <c r="DS52">
        <v>-0.99972038436641641</v>
      </c>
      <c r="DT52" s="10">
        <v>-0.32333333333333331</v>
      </c>
      <c r="DU52">
        <v>-0.89833333333333332</v>
      </c>
      <c r="DV52">
        <v>-1.2216666666666667</v>
      </c>
      <c r="DW52">
        <v>-3.0178690476190475</v>
      </c>
      <c r="DX52">
        <v>0.40100227475118388</v>
      </c>
      <c r="DY52">
        <v>-3.002519576361923</v>
      </c>
      <c r="DZ52">
        <v>3743</v>
      </c>
      <c r="EA52">
        <v>-3.0006740236568978</v>
      </c>
      <c r="EB52">
        <v>3</v>
      </c>
      <c r="EC52">
        <v>1.6977017554843921E-2</v>
      </c>
      <c r="ED52">
        <v>0.12040243737061615</v>
      </c>
      <c r="EE52" s="11">
        <v>3.0459000000000001</v>
      </c>
      <c r="EF52">
        <v>3.0540099999999999</v>
      </c>
      <c r="EG52">
        <v>26.141002274751184</v>
      </c>
      <c r="EH52" t="s">
        <v>1150</v>
      </c>
      <c r="EI52">
        <v>0</v>
      </c>
      <c r="EJ52">
        <v>0</v>
      </c>
      <c r="EK52" s="13">
        <v>45470</v>
      </c>
      <c r="EL52">
        <v>9.9700000000000006</v>
      </c>
      <c r="EM52">
        <v>10.01</v>
      </c>
      <c r="EN52">
        <v>10.029999999999999</v>
      </c>
      <c r="EO52">
        <v>10.02</v>
      </c>
      <c r="EP52">
        <v>-9.99</v>
      </c>
    </row>
    <row r="53" spans="1:146" ht="168" x14ac:dyDescent="0.25">
      <c r="A53" s="6"/>
      <c r="B53" s="6"/>
      <c r="C53" s="6" t="str">
        <f>"公司主要从事以光气为原料的农药原药、制剂及精细化工中间体的研发、生产与销售。公司主导产品为农药原药及制剂、精细化工中间体三大系列，主要产品包括多菌灵、甲基硫菌灵、敌草隆、草甘膦、噁唑菌酮等，及对邻硝、邻苯二胺、氨基甲酸甲酯、异氰酸酯、酰氯系列产品等精细化工中间体。"&amp;CHAR(10)&amp;Basic_Fundamental_Information_Constructure(F53)&amp;CHAR(10)&amp;Basic_Fundamental_Information_Concatenate("主要农药原药 8.59亿 41.77%
主要精细化工产品 7.15亿 34.74%
其他业务 4.83亿 23.49%")</f>
        <v>公司主要从事以光气为原料的农药原药、制剂及精细化工中间体的研发、生产与销售。公司主导产品为农药原药及制剂、精细化工中间体三大系列，主要产品包括多菌灵、甲基硫菌灵、敌草隆、草甘膦、噁唑菌酮等，及对邻硝、邻苯二胺、氨基甲酸甲酯、异氰酸酯、酰氯系列产品等精细化工中间体。
市值110.233618亿, 利润2.98亿; PE9.65; 平均PE11.69; 平均PEG.7, PB1.14; ROIC20.1%; ROE22.86%; 股利率4.9546%; 毛利40.53%; 净利25.7733%; 上一年度营收增-60.96%, 利润增-87.13%; 当季营收增74.32%, 利润增335.29%; 过往5年营收增16.82%, 利润增28.97%
Income profile:
主要农药原药 8.59亿 41.77%
主要精细化工产品 7.15亿 34.74%
其他业务 4.83亿 23.49%</v>
      </c>
      <c r="D53" t="s">
        <v>594</v>
      </c>
      <c r="E53" t="s">
        <v>595</v>
      </c>
      <c r="F53">
        <v>12.11</v>
      </c>
      <c r="G53">
        <v>2.54</v>
      </c>
      <c r="H53" t="s">
        <v>2189</v>
      </c>
      <c r="I53">
        <v>11023361800</v>
      </c>
      <c r="J53">
        <v>9.65</v>
      </c>
      <c r="K53">
        <v>1.1399999999999999</v>
      </c>
      <c r="L53" t="s">
        <v>1594</v>
      </c>
      <c r="M53" t="s">
        <v>461</v>
      </c>
      <c r="N53" t="s">
        <v>2190</v>
      </c>
      <c r="O53" t="s">
        <v>850</v>
      </c>
      <c r="P53">
        <v>-36.89</v>
      </c>
      <c r="Q53" t="s">
        <v>1279</v>
      </c>
      <c r="R53">
        <v>225164720</v>
      </c>
      <c r="S53" s="4">
        <v>-0.56799999999999995</v>
      </c>
      <c r="T53" t="s">
        <v>1084</v>
      </c>
      <c r="U53">
        <v>910269350</v>
      </c>
      <c r="V53">
        <v>910269350</v>
      </c>
      <c r="W53">
        <v>1.53</v>
      </c>
      <c r="X53">
        <v>0.08</v>
      </c>
      <c r="Y53">
        <v>18.149999999999999</v>
      </c>
      <c r="Z53" t="s">
        <v>883</v>
      </c>
      <c r="AA53" t="s">
        <v>2191</v>
      </c>
      <c r="AB53" t="s">
        <v>2192</v>
      </c>
      <c r="AC53" t="s">
        <v>2193</v>
      </c>
      <c r="AD53" t="s">
        <v>5</v>
      </c>
      <c r="AE53">
        <v>-43888342</v>
      </c>
      <c r="AF53" t="s">
        <v>1560</v>
      </c>
      <c r="AG53" t="s">
        <v>2194</v>
      </c>
      <c r="AH53" t="s">
        <v>1561</v>
      </c>
      <c r="AI53" t="s">
        <v>2195</v>
      </c>
      <c r="AJ53" t="s">
        <v>1562</v>
      </c>
      <c r="AK53" t="s">
        <v>5</v>
      </c>
      <c r="AL53" t="s">
        <v>1563</v>
      </c>
      <c r="AM53" t="s">
        <v>5</v>
      </c>
      <c r="AN53" t="s">
        <v>34</v>
      </c>
      <c r="AO53" t="s">
        <v>2196</v>
      </c>
      <c r="AP53" t="s">
        <v>815</v>
      </c>
      <c r="AQ53" t="s">
        <v>2197</v>
      </c>
      <c r="AR53" t="s">
        <v>5</v>
      </c>
      <c r="AS53" t="s">
        <v>2198</v>
      </c>
      <c r="AT53" t="s">
        <v>5</v>
      </c>
      <c r="AU53" t="s">
        <v>56</v>
      </c>
      <c r="AV53" t="s">
        <v>2199</v>
      </c>
      <c r="AW53" t="s">
        <v>2200</v>
      </c>
      <c r="AX53" t="s">
        <v>972</v>
      </c>
      <c r="AY53" t="s">
        <v>770</v>
      </c>
      <c r="AZ53" t="s">
        <v>772</v>
      </c>
      <c r="BA53" t="s">
        <v>596</v>
      </c>
      <c r="BB53" t="s">
        <v>206</v>
      </c>
      <c r="BC53" t="s">
        <v>274</v>
      </c>
      <c r="BD53" t="s">
        <v>771</v>
      </c>
      <c r="BE53" t="s">
        <v>201</v>
      </c>
      <c r="BF53" t="s">
        <v>479</v>
      </c>
      <c r="BG53" t="s">
        <v>597</v>
      </c>
      <c r="BH53" t="s">
        <v>1559</v>
      </c>
      <c r="BI53" t="s">
        <v>903</v>
      </c>
      <c r="BJ53" t="s">
        <v>972</v>
      </c>
      <c r="BK53" t="s">
        <v>607</v>
      </c>
      <c r="BL53" t="s">
        <v>2201</v>
      </c>
      <c r="BM53" t="s">
        <v>274</v>
      </c>
      <c r="BN53">
        <v>11.32</v>
      </c>
      <c r="BO53">
        <v>26.56</v>
      </c>
      <c r="BP53">
        <v>22.42</v>
      </c>
      <c r="BQ53">
        <v>14.29</v>
      </c>
      <c r="BR53">
        <v>30.7</v>
      </c>
      <c r="BS53">
        <v>23.59</v>
      </c>
      <c r="BT53" t="s">
        <v>870</v>
      </c>
      <c r="BU53" t="s">
        <v>627</v>
      </c>
      <c r="BV53">
        <v>37.840000000000003</v>
      </c>
      <c r="BW53">
        <v>40.99</v>
      </c>
      <c r="BX53">
        <v>42.76</v>
      </c>
      <c r="BY53">
        <v>24.42</v>
      </c>
      <c r="BZ53">
        <v>26.24</v>
      </c>
      <c r="CA53">
        <v>26.66</v>
      </c>
      <c r="CB53">
        <v>-0.16</v>
      </c>
      <c r="CC53">
        <v>-14.72</v>
      </c>
      <c r="CD53" t="s">
        <v>2202</v>
      </c>
      <c r="CE53" t="s">
        <v>43</v>
      </c>
      <c r="CF53" s="8">
        <v>0.74318507890961261</v>
      </c>
      <c r="CG53" s="9">
        <v>3.3529353085713289</v>
      </c>
      <c r="CH53" s="8">
        <v>-0.60957843065261841</v>
      </c>
      <c r="CI53" s="8">
        <v>0.63279271125793457</v>
      </c>
      <c r="CJ53" s="8">
        <v>0.63139325380325317</v>
      </c>
      <c r="CK53" s="8">
        <v>9.3890674412250519E-2</v>
      </c>
      <c r="CL53" s="8">
        <v>9.2377960681915283E-2</v>
      </c>
      <c r="CM53" s="9">
        <v>-0.8713299036026001</v>
      </c>
      <c r="CN53" s="9">
        <v>0.56592285633087158</v>
      </c>
      <c r="CO53" s="9">
        <v>1.5110357999801636</v>
      </c>
      <c r="CP53" s="9">
        <v>0.16403162479400635</v>
      </c>
      <c r="CQ53" s="9">
        <v>7.8891254961490631E-2</v>
      </c>
      <c r="CR53">
        <v>11.691739579282304</v>
      </c>
      <c r="CS53">
        <v>0.69521173291165994</v>
      </c>
      <c r="CT53">
        <v>4.9545829892650701</v>
      </c>
      <c r="CU53" s="8">
        <v>0.16817523390054703</v>
      </c>
      <c r="CV53" s="9">
        <v>0.28971032649278639</v>
      </c>
      <c r="CW53">
        <v>0.06</v>
      </c>
      <c r="CX53">
        <v>21.976578725751541</v>
      </c>
      <c r="CY53">
        <v>328411528.02109718</v>
      </c>
      <c r="CZ53">
        <v>0.16817523390054703</v>
      </c>
      <c r="DA53">
        <v>6.7257557532564745</v>
      </c>
      <c r="DB53">
        <v>1073093056.7179011</v>
      </c>
      <c r="DC53">
        <v>0.15976647220551968</v>
      </c>
      <c r="DD53">
        <v>3.0253287280891388</v>
      </c>
      <c r="DE53">
        <v>2385645478.1225171</v>
      </c>
      <c r="DF53">
        <v>0.14799420583248138</v>
      </c>
      <c r="DG53">
        <v>1.6352848098726824</v>
      </c>
      <c r="DH53">
        <v>4413519746.7907248</v>
      </c>
      <c r="DI53">
        <v>0.13454018712043764</v>
      </c>
      <c r="DJ53">
        <v>0.66255746115456748</v>
      </c>
      <c r="DK53">
        <v>10893186211.235296</v>
      </c>
      <c r="DL53">
        <v>0.11772266373038291</v>
      </c>
      <c r="DM53">
        <v>298000000</v>
      </c>
      <c r="DN53">
        <v>0.16817523390054703</v>
      </c>
      <c r="DO53">
        <v>7217361800</v>
      </c>
      <c r="DP53">
        <v>6920769500</v>
      </c>
      <c r="DQ53">
        <v>4203</v>
      </c>
      <c r="DR53">
        <v>0.5750098450090656</v>
      </c>
      <c r="DS53">
        <v>3.0632249820785424</v>
      </c>
      <c r="DT53" s="10">
        <v>-0.20666666666666664</v>
      </c>
      <c r="DU53">
        <v>0.41999999999999993</v>
      </c>
      <c r="DV53">
        <v>0.21333333333333329</v>
      </c>
      <c r="DW53">
        <v>-2.1471999999999998</v>
      </c>
      <c r="DX53">
        <v>0.47763235294117562</v>
      </c>
      <c r="DY53">
        <v>-2.0276194823529412</v>
      </c>
      <c r="DZ53">
        <v>1545</v>
      </c>
      <c r="EA53">
        <v>-2.0192687778059168</v>
      </c>
      <c r="EB53">
        <v>2</v>
      </c>
      <c r="EC53">
        <v>2.803346064546719E-2</v>
      </c>
      <c r="ED53">
        <v>0.14940632681963861</v>
      </c>
      <c r="EE53" s="11">
        <v>1.0221</v>
      </c>
      <c r="EF53">
        <v>1.0301</v>
      </c>
      <c r="EG53">
        <v>29.187632352941176</v>
      </c>
      <c r="EH53" t="s">
        <v>638</v>
      </c>
      <c r="EI53">
        <v>0</v>
      </c>
      <c r="EJ53">
        <v>0</v>
      </c>
      <c r="EK53" s="13">
        <v>45470</v>
      </c>
      <c r="EL53">
        <v>0.61</v>
      </c>
      <c r="EM53">
        <v>-3.23</v>
      </c>
      <c r="EN53">
        <v>1.25</v>
      </c>
      <c r="EO53">
        <v>3.4</v>
      </c>
      <c r="EP53">
        <v>0.8</v>
      </c>
    </row>
    <row r="54" spans="1:146" ht="96" x14ac:dyDescent="0.25">
      <c r="A54" s="6"/>
      <c r="B54" s="6"/>
      <c r="C54" s="6" t="str">
        <f>""&amp;CHAR(10)&amp;Basic_Fundamental_Information_Constructure(F54)&amp;CHAR(10)&amp;Basic_Fundamental_Information_Concatenate("")</f>
        <v xml:space="preserve">
市值41.82075亿, 利润1.53亿; PE10.16; 平均PE11.65; 平均PEG3.51, PB1.19; ROIC12.7367%; ROE14.7633%; 股利率4.065%; 毛利29.0667%; 净利11.02%; 上一年度营收增-64.01%, 利润增-66.74%; 当季营收增183.91%, 利润增95.31%; 过往5年营收增3.32%, 利润增-7.81%
Income profile:
</v>
      </c>
      <c r="D54" t="s">
        <v>598</v>
      </c>
      <c r="E54" t="s">
        <v>599</v>
      </c>
      <c r="F54">
        <v>12.3</v>
      </c>
      <c r="G54">
        <v>0.41</v>
      </c>
      <c r="H54" t="s">
        <v>2203</v>
      </c>
      <c r="I54">
        <v>4182075000</v>
      </c>
      <c r="J54">
        <v>10.16</v>
      </c>
      <c r="K54">
        <v>1.19</v>
      </c>
      <c r="L54" t="s">
        <v>1594</v>
      </c>
      <c r="M54" t="s">
        <v>1564</v>
      </c>
      <c r="N54" t="s">
        <v>2204</v>
      </c>
      <c r="O54" t="s">
        <v>1565</v>
      </c>
      <c r="P54">
        <v>-6.7</v>
      </c>
      <c r="Q54" t="s">
        <v>2205</v>
      </c>
      <c r="R54">
        <v>90735881</v>
      </c>
      <c r="S54" s="4">
        <v>-0.4037</v>
      </c>
      <c r="T54" t="s">
        <v>688</v>
      </c>
      <c r="U54">
        <v>339649500</v>
      </c>
      <c r="V54">
        <v>340006100</v>
      </c>
      <c r="W54">
        <v>1.78</v>
      </c>
      <c r="X54">
        <v>0.18</v>
      </c>
      <c r="Y54">
        <v>7.91</v>
      </c>
      <c r="Z54" t="s">
        <v>741</v>
      </c>
      <c r="AA54" t="s">
        <v>1113</v>
      </c>
      <c r="AB54" t="s">
        <v>2206</v>
      </c>
      <c r="AC54" t="s">
        <v>2207</v>
      </c>
      <c r="AD54" t="s">
        <v>5</v>
      </c>
      <c r="AE54">
        <v>-5357545</v>
      </c>
      <c r="AF54" t="s">
        <v>1567</v>
      </c>
      <c r="AG54" t="s">
        <v>2208</v>
      </c>
      <c r="AH54" t="s">
        <v>1568</v>
      </c>
      <c r="AI54" t="s">
        <v>751</v>
      </c>
      <c r="AJ54" t="s">
        <v>1569</v>
      </c>
      <c r="AK54" t="s">
        <v>5</v>
      </c>
      <c r="AL54" t="s">
        <v>1570</v>
      </c>
      <c r="AM54" t="s">
        <v>5</v>
      </c>
      <c r="AN54" t="s">
        <v>285</v>
      </c>
      <c r="AO54" t="s">
        <v>80</v>
      </c>
      <c r="AP54" t="s">
        <v>1108</v>
      </c>
      <c r="AQ54" t="s">
        <v>958</v>
      </c>
      <c r="AR54" t="s">
        <v>5</v>
      </c>
      <c r="AS54" t="s">
        <v>2209</v>
      </c>
      <c r="AT54" t="s">
        <v>5</v>
      </c>
      <c r="AU54" t="s">
        <v>919</v>
      </c>
      <c r="AV54" t="s">
        <v>128</v>
      </c>
      <c r="AW54" t="s">
        <v>2210</v>
      </c>
      <c r="AX54" t="s">
        <v>973</v>
      </c>
      <c r="AY54" t="s">
        <v>763</v>
      </c>
      <c r="AZ54" t="s">
        <v>775</v>
      </c>
      <c r="BA54" t="s">
        <v>367</v>
      </c>
      <c r="BB54" t="s">
        <v>291</v>
      </c>
      <c r="BC54" t="s">
        <v>512</v>
      </c>
      <c r="BD54" t="s">
        <v>473</v>
      </c>
      <c r="BE54" t="s">
        <v>364</v>
      </c>
      <c r="BF54" t="s">
        <v>431</v>
      </c>
      <c r="BG54" t="s">
        <v>194</v>
      </c>
      <c r="BH54" t="s">
        <v>1566</v>
      </c>
      <c r="BI54" t="s">
        <v>252</v>
      </c>
      <c r="BJ54" t="s">
        <v>973</v>
      </c>
      <c r="BK54" t="s">
        <v>273</v>
      </c>
      <c r="BL54" t="s">
        <v>2211</v>
      </c>
      <c r="BM54" t="s">
        <v>512</v>
      </c>
      <c r="BN54">
        <v>10.71</v>
      </c>
      <c r="BO54">
        <v>12.53</v>
      </c>
      <c r="BP54">
        <v>14.97</v>
      </c>
      <c r="BQ54">
        <v>13.53</v>
      </c>
      <c r="BR54">
        <v>14.83</v>
      </c>
      <c r="BS54">
        <v>15.93</v>
      </c>
      <c r="BT54" t="s">
        <v>874</v>
      </c>
      <c r="BU54" t="s">
        <v>627</v>
      </c>
      <c r="BV54">
        <v>31.04</v>
      </c>
      <c r="BW54">
        <v>26.45</v>
      </c>
      <c r="BX54">
        <v>29.71</v>
      </c>
      <c r="BY54">
        <v>10.76</v>
      </c>
      <c r="BZ54">
        <v>10.14</v>
      </c>
      <c r="CA54">
        <v>12.16</v>
      </c>
      <c r="CB54">
        <v>1.07</v>
      </c>
      <c r="CC54">
        <v>-13.81</v>
      </c>
      <c r="CD54" t="s">
        <v>2212</v>
      </c>
      <c r="CE54" t="s">
        <v>2213</v>
      </c>
      <c r="CF54" s="8">
        <v>1.8391089108910892</v>
      </c>
      <c r="CG54" s="9">
        <v>0.95313219219658774</v>
      </c>
      <c r="CH54" s="8">
        <v>-0.64013230800628662</v>
      </c>
      <c r="CI54" s="8">
        <v>0.22600702941417694</v>
      </c>
      <c r="CJ54" s="8">
        <v>0.14626587927341461</v>
      </c>
      <c r="CK54" s="8">
        <v>0.30806645750999451</v>
      </c>
      <c r="CL54" s="8">
        <v>0.12596987187862396</v>
      </c>
      <c r="CM54" s="9">
        <v>-0.66739130020141602</v>
      </c>
      <c r="CN54" s="9">
        <v>2.222222276031971E-2</v>
      </c>
      <c r="CO54" s="9">
        <v>0.10565110296010971</v>
      </c>
      <c r="CP54" s="9">
        <v>0.28797468543052673</v>
      </c>
      <c r="CQ54" s="9">
        <v>-0.13896457850933075</v>
      </c>
      <c r="CR54">
        <v>11.654644681839295</v>
      </c>
      <c r="CS54">
        <v>3.5066975533051705</v>
      </c>
      <c r="CT54">
        <v>4.0650406504065035</v>
      </c>
      <c r="CU54" s="8">
        <v>3.323538601398468E-2</v>
      </c>
      <c r="CV54" s="9">
        <v>-7.8101573511958122E-2</v>
      </c>
      <c r="CW54">
        <v>0.06</v>
      </c>
      <c r="CX54">
        <v>25.104969775883983</v>
      </c>
      <c r="CY54">
        <v>149136805.71711287</v>
      </c>
      <c r="CZ54">
        <v>3.323538601398468E-2</v>
      </c>
      <c r="DA54">
        <v>8.6106545499825717</v>
      </c>
      <c r="DB54">
        <v>434818860.5484792</v>
      </c>
      <c r="DC54">
        <v>3.1573616713285443E-2</v>
      </c>
      <c r="DD54">
        <v>4.5154882305388409</v>
      </c>
      <c r="DE54">
        <v>829162829.98554361</v>
      </c>
      <c r="DF54">
        <v>2.924713969230652E-2</v>
      </c>
      <c r="DG54">
        <v>2.9061602729635956</v>
      </c>
      <c r="DH54">
        <v>1288323646.438787</v>
      </c>
      <c r="DI54">
        <v>2.6588308811187747E-2</v>
      </c>
      <c r="DJ54">
        <v>1.7358633054024586</v>
      </c>
      <c r="DK54">
        <v>2156895066.7644529</v>
      </c>
      <c r="DL54">
        <v>2.3264770209789273E-2</v>
      </c>
      <c r="DM54">
        <v>153000000</v>
      </c>
      <c r="DN54">
        <v>3.323538601398468E-2</v>
      </c>
      <c r="DO54">
        <v>3744075000</v>
      </c>
      <c r="DP54">
        <v>603716000</v>
      </c>
      <c r="DQ54">
        <v>4229</v>
      </c>
      <c r="DR54">
        <v>1.8058735248771045</v>
      </c>
      <c r="DS54">
        <v>1.0312337657085457</v>
      </c>
      <c r="DT54" s="10">
        <v>-0.50666666666666671</v>
      </c>
      <c r="DU54">
        <v>-0.21666666666666667</v>
      </c>
      <c r="DV54">
        <v>-0.72333333333333338</v>
      </c>
      <c r="DW54">
        <v>-2.1381000000000001</v>
      </c>
      <c r="DX54">
        <v>0.35064238997448599</v>
      </c>
      <c r="DY54">
        <v>-2.0208037140554764</v>
      </c>
      <c r="DZ54">
        <v>2422</v>
      </c>
      <c r="EA54">
        <v>-2.010943323557949</v>
      </c>
      <c r="EB54">
        <v>2</v>
      </c>
      <c r="EC54">
        <v>1.6549408966486191E-2</v>
      </c>
      <c r="ED54">
        <v>0.10985891135482569</v>
      </c>
      <c r="EE54" s="11">
        <v>9.8100000000000007E-2</v>
      </c>
      <c r="EF54">
        <v>8.1700000000000009E-2</v>
      </c>
      <c r="EG54">
        <v>20.150642389974486</v>
      </c>
      <c r="EH54" t="s">
        <v>635</v>
      </c>
      <c r="EI54">
        <v>0</v>
      </c>
      <c r="EJ54">
        <v>0</v>
      </c>
      <c r="EK54" s="13">
        <v>45470</v>
      </c>
      <c r="EL54">
        <v>0</v>
      </c>
      <c r="EM54">
        <v>-3.53</v>
      </c>
      <c r="EN54">
        <v>1.04</v>
      </c>
      <c r="EO54">
        <v>2.58</v>
      </c>
      <c r="EP54">
        <v>-1.64</v>
      </c>
    </row>
    <row r="55" spans="1:146" ht="96" x14ac:dyDescent="0.25">
      <c r="A55" s="6"/>
      <c r="B55" s="6"/>
      <c r="C55" s="6" t="str">
        <f>""&amp;CHAR(10)&amp;Basic_Fundamental_Information_Constructure(F55)&amp;CHAR(10)&amp;Basic_Fundamental_Information_Concatenate("")</f>
        <v xml:space="preserve">
市值13.682248亿, 利润1.63亿; PE; 平均PE10.43; 平均PEG6.35, PB.922; ROIC5.27%; ROE5.4333%; 股利率0%; 毛利15.53%; 净利3.3233%; 上一年度营收增-60.68%, 利润增64.27%; 当季营收增77.7%, 利润增-127.45%; 过往5年营收增-1.64%, 利润增100.65%
Income profile:
</v>
      </c>
      <c r="D55" t="s">
        <v>600</v>
      </c>
      <c r="E55" t="s">
        <v>601</v>
      </c>
      <c r="F55">
        <v>8.2799999999999994</v>
      </c>
      <c r="G55">
        <v>1.47</v>
      </c>
      <c r="H55" t="s">
        <v>2214</v>
      </c>
      <c r="I55">
        <v>1368224800</v>
      </c>
      <c r="K55">
        <v>0.92200000000000004</v>
      </c>
      <c r="L55" t="s">
        <v>1594</v>
      </c>
      <c r="M55" t="s">
        <v>1115</v>
      </c>
      <c r="N55" t="s">
        <v>727</v>
      </c>
      <c r="O55" t="s">
        <v>622</v>
      </c>
      <c r="P55">
        <v>-33.549999999999997</v>
      </c>
      <c r="Q55" t="s">
        <v>432</v>
      </c>
      <c r="R55">
        <v>-10909452</v>
      </c>
      <c r="S55" s="4">
        <v>-2.0499999999999998</v>
      </c>
      <c r="T55" t="s">
        <v>90</v>
      </c>
      <c r="U55">
        <v>165244540</v>
      </c>
      <c r="V55">
        <v>165244540</v>
      </c>
      <c r="W55">
        <v>1.65</v>
      </c>
      <c r="X55">
        <v>0.1</v>
      </c>
      <c r="Y55">
        <v>-4.43</v>
      </c>
      <c r="Z55" t="s">
        <v>133</v>
      </c>
      <c r="AA55" t="s">
        <v>164</v>
      </c>
      <c r="AB55" t="s">
        <v>2215</v>
      </c>
      <c r="AC55" t="s">
        <v>2216</v>
      </c>
      <c r="AD55" t="s">
        <v>5</v>
      </c>
      <c r="AE55">
        <v>-563395</v>
      </c>
      <c r="AF55" t="s">
        <v>1573</v>
      </c>
      <c r="AG55" t="s">
        <v>2217</v>
      </c>
      <c r="AH55" t="s">
        <v>1574</v>
      </c>
      <c r="AI55" t="s">
        <v>2218</v>
      </c>
      <c r="AJ55" t="s">
        <v>1575</v>
      </c>
      <c r="AK55" t="s">
        <v>76</v>
      </c>
      <c r="AL55" t="s">
        <v>1576</v>
      </c>
      <c r="AM55" t="s">
        <v>5</v>
      </c>
      <c r="AN55" t="s">
        <v>132</v>
      </c>
      <c r="AO55" t="s">
        <v>2219</v>
      </c>
      <c r="AP55" t="s">
        <v>250</v>
      </c>
      <c r="AQ55" t="s">
        <v>106</v>
      </c>
      <c r="AR55" t="s">
        <v>5</v>
      </c>
      <c r="AS55" t="s">
        <v>532</v>
      </c>
      <c r="AT55" t="s">
        <v>2220</v>
      </c>
      <c r="AU55" t="s">
        <v>2221</v>
      </c>
      <c r="AV55" t="s">
        <v>2222</v>
      </c>
      <c r="AW55" t="s">
        <v>2223</v>
      </c>
      <c r="AX55" t="s">
        <v>863</v>
      </c>
      <c r="AY55" t="s">
        <v>204</v>
      </c>
      <c r="AZ55" t="s">
        <v>778</v>
      </c>
      <c r="BA55" t="s">
        <v>377</v>
      </c>
      <c r="BB55" t="s">
        <v>602</v>
      </c>
      <c r="BC55" t="s">
        <v>974</v>
      </c>
      <c r="BD55" t="s">
        <v>72</v>
      </c>
      <c r="BE55" t="s">
        <v>261</v>
      </c>
      <c r="BF55" t="s">
        <v>603</v>
      </c>
      <c r="BG55" t="s">
        <v>208</v>
      </c>
      <c r="BH55" t="s">
        <v>1571</v>
      </c>
      <c r="BI55" t="s">
        <v>195</v>
      </c>
      <c r="BJ55" t="s">
        <v>863</v>
      </c>
      <c r="BK55" t="s">
        <v>1572</v>
      </c>
      <c r="BL55" t="s">
        <v>2224</v>
      </c>
      <c r="BM55" t="s">
        <v>974</v>
      </c>
      <c r="BN55">
        <v>1.1399999999999999</v>
      </c>
      <c r="BO55">
        <v>6.47</v>
      </c>
      <c r="BP55">
        <v>8.1999999999999993</v>
      </c>
      <c r="BQ55">
        <v>1.31</v>
      </c>
      <c r="BR55">
        <v>6.6</v>
      </c>
      <c r="BS55">
        <v>8.39</v>
      </c>
      <c r="BT55" t="s">
        <v>865</v>
      </c>
      <c r="BU55" t="s">
        <v>627</v>
      </c>
      <c r="BV55">
        <v>9.8800000000000008</v>
      </c>
      <c r="BW55">
        <v>16.670000000000002</v>
      </c>
      <c r="BX55">
        <v>20.04</v>
      </c>
      <c r="BY55">
        <v>-3.38</v>
      </c>
      <c r="BZ55">
        <v>5.79</v>
      </c>
      <c r="CA55">
        <v>7.56</v>
      </c>
      <c r="CB55">
        <v>-0.96</v>
      </c>
      <c r="CC55">
        <v>-18.02</v>
      </c>
      <c r="CD55" t="s">
        <v>2225</v>
      </c>
      <c r="CE55" t="s">
        <v>2226</v>
      </c>
      <c r="CF55" s="8">
        <v>0.77702702702702697</v>
      </c>
      <c r="CG55" s="9">
        <v>-1.2744543844466358</v>
      </c>
      <c r="CH55" s="8">
        <v>-0.60678756237030029</v>
      </c>
      <c r="CI55" s="8">
        <v>0.12582340836524963</v>
      </c>
      <c r="CJ55" s="8">
        <v>1.6064256429672241E-2</v>
      </c>
      <c r="CK55" s="8">
        <v>0.7251732349395752</v>
      </c>
      <c r="CL55" s="8">
        <v>-0.34244492650032043</v>
      </c>
      <c r="CM55" s="9">
        <v>0.64266002178192139</v>
      </c>
      <c r="CN55" s="9">
        <v>-0.13713656365871429</v>
      </c>
      <c r="CO55" s="9">
        <v>-0.51271188259124756</v>
      </c>
      <c r="CP55" s="9">
        <v>5.7896280288696289</v>
      </c>
      <c r="CQ55" s="9">
        <v>-0.74993598461151123</v>
      </c>
      <c r="CR55">
        <v>10.431349288337486</v>
      </c>
      <c r="CS55">
        <v>6.3472967956462076</v>
      </c>
      <c r="CT55">
        <v>0</v>
      </c>
      <c r="CU55" s="8">
        <v>-1.643431782722473E-2</v>
      </c>
      <c r="CV55" s="9">
        <v>1.0065007239580155</v>
      </c>
      <c r="CW55">
        <v>0.06</v>
      </c>
      <c r="CX55" t="e">
        <v>#VALUE!</v>
      </c>
      <c r="CY55" t="s">
        <v>666</v>
      </c>
      <c r="CZ55">
        <v>-1.643431782722473E-2</v>
      </c>
      <c r="DA55">
        <v>1.908435173824131</v>
      </c>
      <c r="DB55" t="s">
        <v>2227</v>
      </c>
      <c r="DC55">
        <v>-1.5612601935863493E-2</v>
      </c>
      <c r="DD55">
        <v>0.95421758691206549</v>
      </c>
      <c r="DE55" t="s">
        <v>2228</v>
      </c>
      <c r="DF55">
        <v>-1.4462199687957762E-2</v>
      </c>
      <c r="DG55">
        <v>0.57253055214723925</v>
      </c>
      <c r="DH55" t="s">
        <v>2229</v>
      </c>
      <c r="DI55">
        <v>-1.3147454261779785E-2</v>
      </c>
      <c r="DJ55">
        <v>0.28626527607361962</v>
      </c>
      <c r="DK55" t="s">
        <v>2230</v>
      </c>
      <c r="DL55">
        <v>-1.150402247905731E-2</v>
      </c>
      <c r="DM55">
        <v>163000000</v>
      </c>
      <c r="DN55">
        <v>-1.643431782722473E-2</v>
      </c>
      <c r="DO55">
        <v>933224800</v>
      </c>
      <c r="DP55">
        <v>1078101700</v>
      </c>
      <c r="DQ55">
        <v>4317</v>
      </c>
      <c r="DR55">
        <v>0.79346134485425168</v>
      </c>
      <c r="DS55">
        <v>-2.2809551084046511</v>
      </c>
      <c r="DT55" s="10">
        <v>-0.64</v>
      </c>
      <c r="DU55">
        <v>-0.42833333333333329</v>
      </c>
      <c r="DV55">
        <v>-1.0683333333333334</v>
      </c>
      <c r="DW55">
        <v>-3.022845238095238</v>
      </c>
      <c r="DX55">
        <v>0.30369100229305573</v>
      </c>
      <c r="DY55">
        <v>-3.0025972980166711</v>
      </c>
      <c r="DZ55">
        <v>2564</v>
      </c>
      <c r="EA55">
        <v>-3.0012940745108501</v>
      </c>
      <c r="EB55">
        <v>3</v>
      </c>
      <c r="EC55">
        <v>5.8587714910277824E-2</v>
      </c>
      <c r="ED55">
        <v>0.51532413718480496</v>
      </c>
      <c r="EE55" s="11">
        <v>-5.0358099999999997</v>
      </c>
      <c r="EF55">
        <v>-5.0609099999999998</v>
      </c>
      <c r="EG55">
        <v>19.113691002293056</v>
      </c>
      <c r="EH55" t="s">
        <v>2231</v>
      </c>
      <c r="EI55">
        <v>0</v>
      </c>
      <c r="EJ55">
        <v>0</v>
      </c>
      <c r="EK55" s="13">
        <v>45470</v>
      </c>
      <c r="EL55">
        <v>0.47</v>
      </c>
      <c r="EM55">
        <v>-4.21</v>
      </c>
      <c r="EN55">
        <v>0.81</v>
      </c>
      <c r="EO55">
        <v>3.07</v>
      </c>
      <c r="EP55">
        <v>-2.5099999999999998</v>
      </c>
    </row>
    <row r="56" spans="1:146" ht="84" x14ac:dyDescent="0.25">
      <c r="A56" s="6"/>
      <c r="B56" s="6"/>
      <c r="C56" s="6" t="str">
        <f>""&amp;CHAR(10)&amp;Basic_Fundamental_Information_Constructure(F56)&amp;CHAR(10)&amp;Basic_Fundamental_Information_Concatenate("")</f>
        <v xml:space="preserve">
市值43.249942亿, 利润4026.77万; PE18.97; 平均PE33; 平均PEG3.9, PB2.89; ROIC9.6133%; ROE15.2433%; 股利率2.7968%; 毛利6.7367%; 净利2.1967%; 上一年度营收增-92.3%, 利润增-80.82%; 当季营收增960.62%, 利润增337.37%; 过往5年营收增8.47%, 利润增-2.82%
Income profile:
</v>
      </c>
      <c r="D56" t="s">
        <v>605</v>
      </c>
      <c r="E56" t="s">
        <v>606</v>
      </c>
      <c r="F56">
        <v>16.09</v>
      </c>
      <c r="G56">
        <v>-4.68</v>
      </c>
      <c r="H56" t="s">
        <v>2232</v>
      </c>
      <c r="I56">
        <v>4324994200</v>
      </c>
      <c r="J56">
        <v>18.97</v>
      </c>
      <c r="K56">
        <v>2.89</v>
      </c>
      <c r="L56" t="s">
        <v>1594</v>
      </c>
      <c r="M56" t="s">
        <v>1579</v>
      </c>
      <c r="N56" t="s">
        <v>2233</v>
      </c>
      <c r="O56" t="s">
        <v>1078</v>
      </c>
      <c r="P56">
        <v>2.3199999999999998</v>
      </c>
      <c r="Q56" t="s">
        <v>2234</v>
      </c>
      <c r="R56">
        <v>56835448</v>
      </c>
      <c r="S56" s="4">
        <v>5.96E-2</v>
      </c>
      <c r="T56" t="s">
        <v>2235</v>
      </c>
      <c r="U56">
        <v>268800130</v>
      </c>
      <c r="V56">
        <v>268800130</v>
      </c>
      <c r="W56">
        <v>4.3499999999999996</v>
      </c>
      <c r="X56">
        <v>0.36</v>
      </c>
      <c r="Y56">
        <v>2.63</v>
      </c>
      <c r="Z56" t="s">
        <v>2236</v>
      </c>
      <c r="AA56" t="s">
        <v>2237</v>
      </c>
      <c r="AB56" t="s">
        <v>2238</v>
      </c>
      <c r="AC56" t="s">
        <v>2239</v>
      </c>
      <c r="AD56" t="s">
        <v>5</v>
      </c>
      <c r="AE56">
        <v>10765579</v>
      </c>
      <c r="AF56" t="s">
        <v>1581</v>
      </c>
      <c r="AG56" t="s">
        <v>2240</v>
      </c>
      <c r="AH56" t="s">
        <v>1582</v>
      </c>
      <c r="AI56" t="s">
        <v>836</v>
      </c>
      <c r="AJ56" t="s">
        <v>1583</v>
      </c>
      <c r="AK56" t="s">
        <v>5</v>
      </c>
      <c r="AL56" t="s">
        <v>1584</v>
      </c>
      <c r="AM56" t="s">
        <v>5</v>
      </c>
      <c r="AN56" t="s">
        <v>1585</v>
      </c>
      <c r="AO56" t="s">
        <v>295</v>
      </c>
      <c r="AP56" t="s">
        <v>1096</v>
      </c>
      <c r="AQ56" t="s">
        <v>609</v>
      </c>
      <c r="AR56" t="s">
        <v>5</v>
      </c>
      <c r="AS56" t="s">
        <v>2241</v>
      </c>
      <c r="AT56" t="s">
        <v>5</v>
      </c>
      <c r="AU56" t="s">
        <v>966</v>
      </c>
      <c r="AV56" t="s">
        <v>64</v>
      </c>
      <c r="AW56" t="s">
        <v>500</v>
      </c>
      <c r="AX56" t="s">
        <v>342</v>
      </c>
      <c r="AY56" t="s">
        <v>781</v>
      </c>
      <c r="AZ56" t="s">
        <v>782</v>
      </c>
      <c r="BA56" t="s">
        <v>257</v>
      </c>
      <c r="BB56" t="s">
        <v>276</v>
      </c>
      <c r="BC56" t="s">
        <v>111</v>
      </c>
      <c r="BD56" t="s">
        <v>199</v>
      </c>
      <c r="BE56" t="s">
        <v>38</v>
      </c>
      <c r="BF56" t="s">
        <v>29</v>
      </c>
      <c r="BG56" t="s">
        <v>72</v>
      </c>
      <c r="BH56" t="s">
        <v>1580</v>
      </c>
      <c r="BI56" t="s">
        <v>153</v>
      </c>
      <c r="BJ56" t="s">
        <v>342</v>
      </c>
      <c r="BK56" t="s">
        <v>110</v>
      </c>
      <c r="BL56" t="s">
        <v>2242</v>
      </c>
      <c r="BM56" t="s">
        <v>111</v>
      </c>
      <c r="BN56">
        <v>8.74</v>
      </c>
      <c r="BO56">
        <v>10.95</v>
      </c>
      <c r="BP56">
        <v>9.15</v>
      </c>
      <c r="BQ56">
        <v>13.19</v>
      </c>
      <c r="BR56">
        <v>16.91</v>
      </c>
      <c r="BS56">
        <v>15.63</v>
      </c>
      <c r="BT56" t="s">
        <v>1577</v>
      </c>
      <c r="BU56" t="s">
        <v>627</v>
      </c>
      <c r="BV56">
        <v>7.38</v>
      </c>
      <c r="BW56">
        <v>6.56</v>
      </c>
      <c r="BX56">
        <v>6.27</v>
      </c>
      <c r="BY56">
        <v>2.37</v>
      </c>
      <c r="BZ56">
        <v>2.12</v>
      </c>
      <c r="CA56">
        <v>2.1</v>
      </c>
      <c r="CB56">
        <v>-5.8</v>
      </c>
      <c r="CC56">
        <v>-16.329999999999998</v>
      </c>
      <c r="CD56" t="s">
        <v>2243</v>
      </c>
      <c r="CE56" t="s">
        <v>2244</v>
      </c>
      <c r="CF56" s="8">
        <v>9.6061946902654878</v>
      </c>
      <c r="CG56" s="9">
        <v>3.3737406788921636</v>
      </c>
      <c r="CH56" s="8">
        <v>-0.92298483848571777</v>
      </c>
      <c r="CI56" s="8">
        <v>0.32611662149429321</v>
      </c>
      <c r="CJ56" s="8">
        <v>0.32841435074806213</v>
      </c>
      <c r="CK56" s="8">
        <v>0.52947944402694702</v>
      </c>
      <c r="CL56" s="8">
        <v>0.16251674294471741</v>
      </c>
      <c r="CM56" s="9">
        <v>-0.80824905633926392</v>
      </c>
      <c r="CN56" s="9">
        <v>0.23529411852359772</v>
      </c>
      <c r="CO56" s="9">
        <v>0.28787878155708313</v>
      </c>
      <c r="CP56" s="9">
        <v>0.10924369841814041</v>
      </c>
      <c r="CQ56" s="9">
        <v>3.4782607108354568E-2</v>
      </c>
      <c r="CR56">
        <v>33.003982231496984</v>
      </c>
      <c r="CS56">
        <v>3.8961847041335802</v>
      </c>
      <c r="CT56">
        <v>2.7967681789931635</v>
      </c>
      <c r="CU56" s="8">
        <v>8.4708464145660398E-2</v>
      </c>
      <c r="CV56" s="9">
        <v>-2.8209970146417618E-2</v>
      </c>
      <c r="CW56">
        <v>0.06</v>
      </c>
      <c r="CX56">
        <v>171.86663683385007</v>
      </c>
      <c r="CY56">
        <v>41206334.926111519</v>
      </c>
      <c r="CZ56">
        <v>8.4708464145660398E-2</v>
      </c>
      <c r="DA56">
        <v>56.416789924543139</v>
      </c>
      <c r="DB56">
        <v>125529903.5884901</v>
      </c>
      <c r="DC56">
        <v>8.0473040938377371E-2</v>
      </c>
      <c r="DD56">
        <v>27.939362108263527</v>
      </c>
      <c r="DE56">
        <v>253477304.61982822</v>
      </c>
      <c r="DF56">
        <v>7.4543448448181157E-2</v>
      </c>
      <c r="DG56">
        <v>16.891387246035112</v>
      </c>
      <c r="DH56">
        <v>419266582.24370205</v>
      </c>
      <c r="DI56">
        <v>6.7766771316528321E-2</v>
      </c>
      <c r="DJ56">
        <v>8.8551409423538399</v>
      </c>
      <c r="DK56">
        <v>799760754.35762525</v>
      </c>
      <c r="DL56">
        <v>5.9295924901962276E-2</v>
      </c>
      <c r="DM56">
        <v>40267700</v>
      </c>
      <c r="DN56">
        <v>8.4708464145660398E-2</v>
      </c>
      <c r="DO56">
        <v>7081994200</v>
      </c>
      <c r="DP56">
        <v>1407390800</v>
      </c>
      <c r="DQ56">
        <v>4406</v>
      </c>
      <c r="DR56">
        <v>9.5214862261198281</v>
      </c>
      <c r="DS56">
        <v>3.4019506490385814</v>
      </c>
      <c r="DT56" s="10">
        <v>-0.27333333333333343</v>
      </c>
      <c r="DU56">
        <v>-4.9999999999999968E-2</v>
      </c>
      <c r="DV56">
        <v>-0.32333333333333342</v>
      </c>
      <c r="DW56">
        <v>-8.35517452541335</v>
      </c>
      <c r="DX56">
        <v>0.91175763646948182</v>
      </c>
      <c r="DY56">
        <v>-8.1071766253229018</v>
      </c>
      <c r="DZ56">
        <v>2282</v>
      </c>
      <c r="EA56">
        <v>-8.059314187165004</v>
      </c>
      <c r="EB56">
        <v>8</v>
      </c>
      <c r="EC56">
        <v>7.5980245991696505E-2</v>
      </c>
      <c r="ED56">
        <v>0.2517922889397412</v>
      </c>
      <c r="EE56" s="11">
        <v>3.1799999999999995E-2</v>
      </c>
      <c r="EF56">
        <v>1.8000000000000002E-2</v>
      </c>
      <c r="EG56">
        <v>61.301757636469482</v>
      </c>
      <c r="EH56" t="s">
        <v>635</v>
      </c>
      <c r="EI56">
        <v>0</v>
      </c>
      <c r="EJ56">
        <v>0</v>
      </c>
      <c r="EK56" s="13">
        <v>45470</v>
      </c>
      <c r="EL56">
        <v>-1.1000000000000001</v>
      </c>
      <c r="EM56">
        <v>-3.25</v>
      </c>
      <c r="EN56">
        <v>7.0000000000000007E-2</v>
      </c>
      <c r="EO56">
        <v>3.36</v>
      </c>
      <c r="EP56">
        <v>-1.38</v>
      </c>
    </row>
    <row r="57" spans="1:146" ht="96" x14ac:dyDescent="0.25">
      <c r="C57" s="6" t="str">
        <f>""&amp;CHAR(10)&amp;Basic_Fundamental_Information_Constructure(F57)&amp;CHAR(10)&amp;Basic_Fundamental_Information_Concatenate("")</f>
        <v xml:space="preserve">
市值16.37272亿, 利润4.17亿; PE50.04; 平均PE10.89; 平均PEG.05, PB1.41; ROIC12.5567%; ROE13.6667%; 股利率1.2386%; 毛利38.4%; 净利13.0567%; 上一年度营收增977.48%, 利润增187.59%; 当季营收增-85.37%, 利润增-47.91%; 过往5年营收增212.17%, 利润增58.9%
Income profile:
</v>
      </c>
      <c r="D57" t="s">
        <v>610</v>
      </c>
      <c r="E57" t="s">
        <v>611</v>
      </c>
      <c r="F57">
        <v>12.11</v>
      </c>
      <c r="G57">
        <v>1.68</v>
      </c>
      <c r="H57" t="s">
        <v>2245</v>
      </c>
      <c r="I57">
        <v>1637272000</v>
      </c>
      <c r="J57">
        <v>50.04</v>
      </c>
      <c r="K57">
        <v>1.41</v>
      </c>
      <c r="L57" t="s">
        <v>1594</v>
      </c>
      <c r="M57" t="s">
        <v>305</v>
      </c>
      <c r="N57" t="s">
        <v>2246</v>
      </c>
      <c r="O57" t="s">
        <v>346</v>
      </c>
      <c r="P57">
        <v>-9.4600000000000009</v>
      </c>
      <c r="Q57" t="s">
        <v>2247</v>
      </c>
      <c r="R57">
        <v>44438201</v>
      </c>
      <c r="S57" s="4">
        <v>-0.35849999999999999</v>
      </c>
      <c r="T57" t="s">
        <v>531</v>
      </c>
      <c r="U57">
        <v>33800000</v>
      </c>
      <c r="V57">
        <v>135200000</v>
      </c>
      <c r="W57">
        <v>1.45</v>
      </c>
      <c r="X57">
        <v>0.19</v>
      </c>
      <c r="Y57">
        <v>14.24</v>
      </c>
      <c r="Z57" t="s">
        <v>622</v>
      </c>
      <c r="AA57" t="s">
        <v>444</v>
      </c>
      <c r="AB57" t="s">
        <v>2248</v>
      </c>
      <c r="AC57" t="s">
        <v>2249</v>
      </c>
      <c r="AD57" t="s">
        <v>5</v>
      </c>
      <c r="AE57">
        <v>-397441</v>
      </c>
      <c r="AF57" t="s">
        <v>1587</v>
      </c>
      <c r="AG57" t="s">
        <v>2250</v>
      </c>
      <c r="AH57" t="s">
        <v>1588</v>
      </c>
      <c r="AI57" t="s">
        <v>153</v>
      </c>
      <c r="AJ57" t="s">
        <v>1589</v>
      </c>
      <c r="AK57" t="s">
        <v>5</v>
      </c>
      <c r="AL57" t="s">
        <v>1590</v>
      </c>
      <c r="AM57" t="s">
        <v>5</v>
      </c>
      <c r="AN57" t="s">
        <v>135</v>
      </c>
      <c r="AO57" t="s">
        <v>784</v>
      </c>
      <c r="AP57" t="s">
        <v>2251</v>
      </c>
      <c r="AQ57" t="s">
        <v>6</v>
      </c>
      <c r="AR57" t="s">
        <v>5</v>
      </c>
      <c r="AS57" t="s">
        <v>345</v>
      </c>
      <c r="AT57" t="s">
        <v>5</v>
      </c>
      <c r="AU57" t="s">
        <v>2252</v>
      </c>
      <c r="AV57" t="s">
        <v>1398</v>
      </c>
      <c r="AW57" t="s">
        <v>2253</v>
      </c>
      <c r="AX57" t="s">
        <v>849</v>
      </c>
      <c r="AY57" t="s">
        <v>745</v>
      </c>
      <c r="AZ57" t="s">
        <v>399</v>
      </c>
      <c r="BA57" t="s">
        <v>384</v>
      </c>
      <c r="BB57" t="s">
        <v>191</v>
      </c>
      <c r="BC57" t="s">
        <v>85</v>
      </c>
      <c r="BD57" t="s">
        <v>6</v>
      </c>
      <c r="BE57" t="s">
        <v>785</v>
      </c>
      <c r="BF57" t="s">
        <v>612</v>
      </c>
      <c r="BG57" t="s">
        <v>613</v>
      </c>
      <c r="BH57" t="s">
        <v>623</v>
      </c>
      <c r="BI57" t="s">
        <v>2254</v>
      </c>
      <c r="BJ57" t="s">
        <v>849</v>
      </c>
      <c r="BK57" t="s">
        <v>1586</v>
      </c>
      <c r="BL57" t="s">
        <v>2255</v>
      </c>
      <c r="BM57" t="s">
        <v>85</v>
      </c>
      <c r="BN57">
        <v>6.26</v>
      </c>
      <c r="BO57">
        <v>13.79</v>
      </c>
      <c r="BP57">
        <v>17.62</v>
      </c>
      <c r="BQ57">
        <v>6.26</v>
      </c>
      <c r="BR57">
        <v>14.13</v>
      </c>
      <c r="BS57">
        <v>20.61</v>
      </c>
      <c r="BT57" t="s">
        <v>873</v>
      </c>
      <c r="BU57" t="s">
        <v>627</v>
      </c>
      <c r="BV57">
        <v>34.200000000000003</v>
      </c>
      <c r="BW57">
        <v>42.73</v>
      </c>
      <c r="BX57">
        <v>38.270000000000003</v>
      </c>
      <c r="BY57">
        <v>8.23</v>
      </c>
      <c r="BZ57">
        <v>16.010000000000002</v>
      </c>
      <c r="CA57">
        <v>14.93</v>
      </c>
      <c r="CB57">
        <v>-2.5</v>
      </c>
      <c r="CC57">
        <v>-19.21</v>
      </c>
      <c r="CD57" t="s">
        <v>2256</v>
      </c>
      <c r="CE57" t="s">
        <v>2257</v>
      </c>
      <c r="CF57" s="8">
        <v>-0.85365853658536583</v>
      </c>
      <c r="CG57" s="9">
        <v>-0.47908030037323929</v>
      </c>
      <c r="CH57" s="8">
        <v>9.7748336791992187</v>
      </c>
      <c r="CI57" s="8">
        <v>7.6009504497051239E-2</v>
      </c>
      <c r="CJ57" s="8">
        <v>0.47978910803794861</v>
      </c>
      <c r="CK57" s="8">
        <v>0.10271317511796951</v>
      </c>
      <c r="CL57" s="8">
        <v>0.17539863288402557</v>
      </c>
      <c r="CM57" s="9">
        <v>1.8758621215820313</v>
      </c>
      <c r="CN57" s="9">
        <v>0.15079365670681</v>
      </c>
      <c r="CO57" s="9">
        <v>0.60031896829605103</v>
      </c>
      <c r="CP57" s="9">
        <v>3.2486248761415482E-2</v>
      </c>
      <c r="CQ57" s="9">
        <v>0.28529387712478638</v>
      </c>
      <c r="CR57">
        <v>10.887061676561697</v>
      </c>
      <c r="CS57">
        <v>5.1311736687250302E-2</v>
      </c>
      <c r="CT57">
        <v>1.2386457473162675</v>
      </c>
      <c r="CU57" s="8">
        <v>2.1217488199472427</v>
      </c>
      <c r="CV57" s="9">
        <v>0.58895097449421885</v>
      </c>
      <c r="CW57">
        <v>0.06</v>
      </c>
      <c r="CX57">
        <v>0.86009737377784035</v>
      </c>
      <c r="CY57">
        <v>1228084205.583019</v>
      </c>
      <c r="CZ57">
        <v>2.1217488199472427</v>
      </c>
      <c r="DA57">
        <v>7.4576673689813841E-2</v>
      </c>
      <c r="DB57">
        <v>14163570829.04158</v>
      </c>
      <c r="DC57">
        <v>2.0156613789498805</v>
      </c>
      <c r="DD57">
        <v>4.0872919839334059E-3</v>
      </c>
      <c r="DE57">
        <v>258428319814.69952</v>
      </c>
      <c r="DF57">
        <v>1.8671389615535736</v>
      </c>
      <c r="DG57">
        <v>1.3504976429209862E-4</v>
      </c>
      <c r="DH57">
        <v>7821353895260.3682</v>
      </c>
      <c r="DI57">
        <v>1.6973990559577943</v>
      </c>
      <c r="DJ57">
        <v>5.7671767037845039E-8</v>
      </c>
      <c r="DK57">
        <v>1.8315235586710204E+16</v>
      </c>
      <c r="DL57">
        <v>1.4852241739630698</v>
      </c>
      <c r="DM57">
        <v>417000000</v>
      </c>
      <c r="DN57">
        <v>2.1217488199472427</v>
      </c>
      <c r="DO57">
        <v>1056272000</v>
      </c>
      <c r="DP57">
        <v>691338610</v>
      </c>
      <c r="DQ57">
        <v>4439</v>
      </c>
      <c r="DR57">
        <v>-2.9754073565326085</v>
      </c>
      <c r="DS57">
        <v>-1.0680312748674581</v>
      </c>
      <c r="DT57" s="10">
        <v>9.3333333333333268E-2</v>
      </c>
      <c r="DU57">
        <v>0.59666666666666679</v>
      </c>
      <c r="DV57">
        <v>0.69000000000000006</v>
      </c>
      <c r="DW57">
        <v>-8.1301405517959395</v>
      </c>
      <c r="DX57">
        <v>0.35092513003486847</v>
      </c>
      <c r="DY57">
        <v>-8.0235456962564893</v>
      </c>
      <c r="DZ57">
        <v>1769</v>
      </c>
      <c r="EA57">
        <v>-8.0153945540494966</v>
      </c>
      <c r="EB57">
        <v>8</v>
      </c>
      <c r="EC57">
        <v>3.465532544378698E-2</v>
      </c>
      <c r="ED57">
        <v>0.19154511834319526</v>
      </c>
      <c r="EE57" s="11">
        <v>8.3110000000000003E-2</v>
      </c>
      <c r="EF57">
        <v>9.7909999999999983E-2</v>
      </c>
      <c r="EG57">
        <v>17.180925130034868</v>
      </c>
      <c r="EH57">
        <v>-1</v>
      </c>
      <c r="EI57">
        <v>0</v>
      </c>
      <c r="EJ57">
        <v>0</v>
      </c>
      <c r="EK57" s="13">
        <v>45470</v>
      </c>
      <c r="EL57">
        <v>0.22</v>
      </c>
      <c r="EM57">
        <v>-2.1800000000000002</v>
      </c>
      <c r="EN57">
        <v>2</v>
      </c>
      <c r="EO57">
        <v>2.84</v>
      </c>
      <c r="EP57">
        <v>-1.48</v>
      </c>
    </row>
  </sheetData>
  <autoFilter ref="BU1:BU57"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'Basic_Fundamental_Tabel_Update_Buttom &quot;农化制品&quot;,&quot;&quot;'" altText="更新基本面按钮_x000a_">
                <anchor moveWithCells="1" sizeWithCells="1">
                  <from>
                    <xdr:col>147</xdr:col>
                    <xdr:colOff>241300</xdr:colOff>
                    <xdr:row>0</xdr:row>
                    <xdr:rowOff>139700</xdr:rowOff>
                  </from>
                  <to>
                    <xdr:col>147</xdr:col>
                    <xdr:colOff>1193800</xdr:colOff>
                    <xdr:row>0</xdr:row>
                    <xdr:rowOff>444500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D8"/>
  <sheetViews>
    <sheetView workbookViewId="0">
      <selection activeCell="J8" sqref="J8"/>
    </sheetView>
  </sheetViews>
  <sheetFormatPr defaultRowHeight="14" x14ac:dyDescent="0.25"/>
  <cols>
    <col min="1" max="1" width="16.08984375" customWidth="1"/>
  </cols>
  <sheetData>
    <row r="1" spans="1:30" x14ac:dyDescent="0.25">
      <c r="A1">
        <v>1</v>
      </c>
      <c r="B1">
        <f>A1+A1*$A$2</f>
        <v>1.18</v>
      </c>
      <c r="C1">
        <f t="shared" ref="C1:AD1" si="0">B1+B1*$A$2</f>
        <v>1.3923999999999999</v>
      </c>
      <c r="D1">
        <f t="shared" si="0"/>
        <v>1.6430319999999998</v>
      </c>
      <c r="E1">
        <f t="shared" si="0"/>
        <v>1.9387777599999998</v>
      </c>
      <c r="F1">
        <f t="shared" si="0"/>
        <v>2.2877577567999996</v>
      </c>
      <c r="G1">
        <f t="shared" si="0"/>
        <v>2.6995541530239997</v>
      </c>
      <c r="H1">
        <f t="shared" si="0"/>
        <v>3.1854739005683195</v>
      </c>
      <c r="I1">
        <f t="shared" si="0"/>
        <v>3.7588592026706169</v>
      </c>
      <c r="J1">
        <f t="shared" si="0"/>
        <v>4.4354538591513277</v>
      </c>
      <c r="K1">
        <f t="shared" si="0"/>
        <v>5.233835553798567</v>
      </c>
      <c r="L1">
        <f t="shared" si="0"/>
        <v>6.1759259534823094</v>
      </c>
      <c r="M1">
        <f t="shared" si="0"/>
        <v>7.2875926251091254</v>
      </c>
      <c r="N1">
        <f t="shared" si="0"/>
        <v>8.5993592976287676</v>
      </c>
      <c r="O1">
        <f t="shared" si="0"/>
        <v>10.147243971201945</v>
      </c>
      <c r="P1">
        <f t="shared" si="0"/>
        <v>11.973747886018295</v>
      </c>
      <c r="Q1">
        <f t="shared" si="0"/>
        <v>14.129022505501588</v>
      </c>
      <c r="R1">
        <f t="shared" si="0"/>
        <v>16.672246556491874</v>
      </c>
      <c r="S1">
        <f t="shared" si="0"/>
        <v>19.673250936660413</v>
      </c>
      <c r="T1">
        <f t="shared" si="0"/>
        <v>23.214436105259288</v>
      </c>
      <c r="U1">
        <f t="shared" si="0"/>
        <v>27.393034604205958</v>
      </c>
      <c r="V1">
        <f t="shared" si="0"/>
        <v>32.323780832963031</v>
      </c>
      <c r="W1">
        <f t="shared" si="0"/>
        <v>38.142061382896379</v>
      </c>
      <c r="X1">
        <f t="shared" si="0"/>
        <v>45.007632431817726</v>
      </c>
      <c r="Y1">
        <f t="shared" si="0"/>
        <v>53.109006269544913</v>
      </c>
      <c r="Z1">
        <f t="shared" si="0"/>
        <v>62.668627398062995</v>
      </c>
      <c r="AA1">
        <f t="shared" si="0"/>
        <v>73.948980329714331</v>
      </c>
      <c r="AB1">
        <f t="shared" si="0"/>
        <v>87.259796789062904</v>
      </c>
      <c r="AC1">
        <f t="shared" si="0"/>
        <v>102.96656021109422</v>
      </c>
      <c r="AD1">
        <f t="shared" si="0"/>
        <v>121.50054104909118</v>
      </c>
    </row>
    <row r="2" spans="1:30" x14ac:dyDescent="0.25">
      <c r="A2">
        <v>0.18</v>
      </c>
      <c r="B2" t="s">
        <v>2</v>
      </c>
    </row>
    <row r="3" spans="1:30" s="1" customFormat="1" x14ac:dyDescent="0.25">
      <c r="A3" s="1">
        <v>1</v>
      </c>
      <c r="B3" s="1">
        <v>2</v>
      </c>
      <c r="C3" s="1">
        <v>3</v>
      </c>
      <c r="D3" s="1">
        <v>4</v>
      </c>
      <c r="E3" s="1">
        <v>5</v>
      </c>
      <c r="F3" s="1">
        <v>6</v>
      </c>
      <c r="G3" s="1">
        <v>7</v>
      </c>
      <c r="H3" s="1">
        <v>8</v>
      </c>
      <c r="I3" s="1">
        <v>9</v>
      </c>
      <c r="J3" s="1">
        <v>10</v>
      </c>
      <c r="K3" s="1">
        <v>11</v>
      </c>
      <c r="L3" s="1">
        <v>12</v>
      </c>
      <c r="M3" s="1">
        <v>13</v>
      </c>
      <c r="N3" s="1">
        <v>14</v>
      </c>
      <c r="O3" s="1">
        <v>15</v>
      </c>
      <c r="P3" s="1">
        <v>16</v>
      </c>
      <c r="Q3" s="1">
        <v>17</v>
      </c>
      <c r="R3" s="1">
        <v>18</v>
      </c>
      <c r="S3" s="1">
        <v>19</v>
      </c>
      <c r="T3" s="1">
        <v>20</v>
      </c>
      <c r="U3" s="1">
        <v>21</v>
      </c>
      <c r="V3" s="1">
        <v>22</v>
      </c>
      <c r="W3" s="1">
        <v>23</v>
      </c>
      <c r="X3" s="1">
        <v>24</v>
      </c>
      <c r="Y3" s="1">
        <v>25</v>
      </c>
      <c r="Z3" s="1">
        <v>26</v>
      </c>
      <c r="AA3" s="1">
        <v>27</v>
      </c>
      <c r="AB3" s="1">
        <v>28</v>
      </c>
      <c r="AC3" s="1">
        <v>29</v>
      </c>
      <c r="AD3" s="1">
        <v>30</v>
      </c>
    </row>
    <row r="4" spans="1:30" x14ac:dyDescent="0.25">
      <c r="A4">
        <v>0.15</v>
      </c>
      <c r="B4" t="s">
        <v>0</v>
      </c>
    </row>
    <row r="5" spans="1:30" x14ac:dyDescent="0.25">
      <c r="A5">
        <v>1</v>
      </c>
      <c r="B5">
        <f>A5*$A$4+A5</f>
        <v>1.1499999999999999</v>
      </c>
      <c r="C5">
        <f t="shared" ref="C5:AD5" si="1">B5*$A$4+B5</f>
        <v>1.3224999999999998</v>
      </c>
      <c r="D5">
        <f t="shared" si="1"/>
        <v>1.5208749999999998</v>
      </c>
      <c r="E5">
        <f t="shared" si="1"/>
        <v>1.7490062499999997</v>
      </c>
      <c r="F5">
        <f t="shared" si="1"/>
        <v>2.0113571874999998</v>
      </c>
      <c r="G5">
        <f t="shared" si="1"/>
        <v>2.313060765625</v>
      </c>
      <c r="H5">
        <f t="shared" si="1"/>
        <v>2.66001988046875</v>
      </c>
      <c r="I5">
        <f t="shared" si="1"/>
        <v>3.0590228625390625</v>
      </c>
      <c r="J5">
        <f t="shared" si="1"/>
        <v>3.5178762919199218</v>
      </c>
      <c r="K5">
        <f t="shared" si="1"/>
        <v>4.0455577357079102</v>
      </c>
      <c r="L5">
        <f t="shared" si="1"/>
        <v>4.6523913960640968</v>
      </c>
      <c r="M5">
        <f t="shared" si="1"/>
        <v>5.3502501054737115</v>
      </c>
      <c r="N5">
        <f t="shared" si="1"/>
        <v>6.1527876212947685</v>
      </c>
      <c r="O5">
        <f t="shared" si="1"/>
        <v>7.0757057644889834</v>
      </c>
      <c r="P5">
        <f t="shared" si="1"/>
        <v>8.1370616291623303</v>
      </c>
      <c r="Q5">
        <f t="shared" si="1"/>
        <v>9.3576208735366802</v>
      </c>
      <c r="R5">
        <f t="shared" si="1"/>
        <v>10.761264004567183</v>
      </c>
      <c r="S5">
        <f t="shared" si="1"/>
        <v>12.375453605252261</v>
      </c>
      <c r="T5">
        <f t="shared" si="1"/>
        <v>14.2317716460401</v>
      </c>
      <c r="U5">
        <f t="shared" si="1"/>
        <v>16.366537392946114</v>
      </c>
      <c r="V5">
        <f t="shared" si="1"/>
        <v>18.82151800188803</v>
      </c>
      <c r="W5">
        <f t="shared" si="1"/>
        <v>21.644745702171235</v>
      </c>
      <c r="X5">
        <f t="shared" si="1"/>
        <v>24.891457557496921</v>
      </c>
      <c r="Y5">
        <f t="shared" si="1"/>
        <v>28.625176191121458</v>
      </c>
      <c r="Z5">
        <f t="shared" si="1"/>
        <v>32.918952619789678</v>
      </c>
      <c r="AA5">
        <f t="shared" si="1"/>
        <v>37.856795512758133</v>
      </c>
      <c r="AB5">
        <f t="shared" si="1"/>
        <v>43.535314839671855</v>
      </c>
      <c r="AC5">
        <f t="shared" si="1"/>
        <v>50.065612065622631</v>
      </c>
      <c r="AD5">
        <f t="shared" si="1"/>
        <v>57.575453875466025</v>
      </c>
    </row>
    <row r="6" spans="1:30" x14ac:dyDescent="0.25">
      <c r="A6">
        <v>30</v>
      </c>
      <c r="B6" t="s">
        <v>1</v>
      </c>
    </row>
    <row r="7" spans="1:30" x14ac:dyDescent="0.25">
      <c r="B7">
        <v>30</v>
      </c>
      <c r="C7">
        <v>28</v>
      </c>
      <c r="D7">
        <v>25</v>
      </c>
      <c r="E7">
        <v>20</v>
      </c>
      <c r="J7">
        <v>20</v>
      </c>
      <c r="M7">
        <v>10</v>
      </c>
    </row>
    <row r="8" spans="1:30" x14ac:dyDescent="0.25">
      <c r="B8">
        <f>B5*B7</f>
        <v>34.5</v>
      </c>
      <c r="C8">
        <f t="shared" ref="C8:E8" si="2">C5*C7</f>
        <v>37.029999999999994</v>
      </c>
      <c r="D8">
        <f t="shared" si="2"/>
        <v>38.021874999999994</v>
      </c>
      <c r="E8">
        <f t="shared" si="2"/>
        <v>34.980124999999994</v>
      </c>
      <c r="F8">
        <f t="shared" ref="F8" si="3">F5*F7</f>
        <v>0</v>
      </c>
      <c r="G8">
        <f t="shared" ref="G8" si="4">G5*G7</f>
        <v>0</v>
      </c>
      <c r="H8">
        <f t="shared" ref="H8" si="5">H5*H7</f>
        <v>0</v>
      </c>
      <c r="I8">
        <f t="shared" ref="I8" si="6">I5*I7</f>
        <v>0</v>
      </c>
      <c r="J8">
        <f t="shared" ref="J8" si="7">J5*J7</f>
        <v>70.357525838398431</v>
      </c>
      <c r="K8">
        <f t="shared" ref="K8" si="8">K5*K7</f>
        <v>0</v>
      </c>
      <c r="L8">
        <f t="shared" ref="L8" si="9">L5*L7</f>
        <v>0</v>
      </c>
      <c r="M8">
        <f t="shared" ref="M8" si="10">M5*M7</f>
        <v>53.502501054737117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化学制品</vt:lpstr>
      <vt:lpstr>估值-增速与年化收益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keywords>CTPClassification=CTP_NT</cp:keywords>
  <cp:lastModifiedBy>Admin</cp:lastModifiedBy>
  <dcterms:created xsi:type="dcterms:W3CDTF">2018-08-09T11:49:58Z</dcterms:created>
  <dcterms:modified xsi:type="dcterms:W3CDTF">2024-07-09T16:45:41Z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88baec69-fb1e-4d63-9f3d-bd3ecbe7e71b</vt:lpwstr>
  </property>
  <property fmtid="{D5CDD505-2E9C-101B-9397-08002B2CF9AE}" pid="3" name="CTP_TimeStamp">
    <vt:lpwstr>2019-01-09 01:33:49Z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TPClassification">
    <vt:lpwstr>CTP_NT</vt:lpwstr>
  </property>
</Properties>
</file>