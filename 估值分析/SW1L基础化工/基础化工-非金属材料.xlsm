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基础化工\"/>
    </mc:Choice>
  </mc:AlternateContent>
  <bookViews>
    <workbookView xWindow="-110" yWindow="-110" windowWidth="23260" windowHeight="12460"/>
  </bookViews>
  <sheets>
    <sheet name="非金属材料"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 i="14" l="1"/>
  <c r="E13" i="14" s="1"/>
  <c r="F13" i="14" s="1"/>
  <c r="G13" i="14" s="1"/>
  <c r="H13" i="14" s="1"/>
  <c r="I13" i="14" s="1"/>
  <c r="J13" i="14" s="1"/>
  <c r="K13" i="14" s="1"/>
  <c r="L13" i="14" s="1"/>
  <c r="M13" i="14" s="1"/>
  <c r="N13" i="14" s="1"/>
  <c r="O13" i="14" s="1"/>
  <c r="P13" i="14" s="1"/>
  <c r="Q13" i="14" s="1"/>
  <c r="R13" i="14" s="1"/>
  <c r="S13" i="14" s="1"/>
  <c r="T13" i="14" s="1"/>
  <c r="C13" i="14"/>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6" i="15"/>
  <c r="C3" i="15"/>
  <c r="C2" i="15"/>
  <c r="A9" i="14" l="1"/>
  <c r="C5" i="14"/>
  <c r="D12" i="14"/>
  <c r="B7" i="14"/>
  <c r="B9" i="14" s="1"/>
  <c r="E12" i="14" l="1"/>
  <c r="D11" i="14"/>
  <c r="D5" i="14"/>
  <c r="D7" i="14" s="1"/>
  <c r="D9" i="14" s="1"/>
  <c r="C7" i="14"/>
  <c r="C9" i="14" s="1"/>
  <c r="C11" i="15"/>
  <c r="C10" i="15"/>
  <c r="C8" i="15"/>
  <c r="C7" i="15"/>
  <c r="C5" i="15"/>
  <c r="C4" i="15"/>
  <c r="E5" i="14" l="1"/>
  <c r="E11" i="14"/>
  <c r="F12" i="14"/>
  <c r="F5" i="14" l="1"/>
  <c r="E7" i="14"/>
  <c r="E9" i="14" s="1"/>
  <c r="G12" i="14"/>
  <c r="F11" i="14"/>
  <c r="G11" i="14" l="1"/>
  <c r="H12" i="14"/>
  <c r="G5" i="14"/>
  <c r="F7" i="14"/>
  <c r="F9" i="14" s="1"/>
  <c r="H5" i="14" l="1"/>
  <c r="G7" i="14"/>
  <c r="G9" i="14" s="1"/>
  <c r="I12" i="14"/>
  <c r="H11" i="14"/>
  <c r="I11" i="14" l="1"/>
  <c r="J12" i="14"/>
  <c r="I5" i="14"/>
  <c r="H7" i="14"/>
  <c r="H9" i="14" s="1"/>
  <c r="J5" i="14" l="1"/>
  <c r="K5" i="14" s="1"/>
  <c r="L5" i="14" s="1"/>
  <c r="M5" i="14" s="1"/>
  <c r="N5" i="14" s="1"/>
  <c r="O5" i="14" s="1"/>
  <c r="I7" i="14"/>
  <c r="I9" i="14" s="1"/>
  <c r="J11" i="14"/>
  <c r="K12" i="14"/>
  <c r="K7" i="14" l="1"/>
  <c r="K9" i="14" s="1"/>
  <c r="P5" i="14"/>
  <c r="O7" i="14"/>
  <c r="O9" i="14" s="1"/>
  <c r="L7" i="14"/>
  <c r="L9" i="14" s="1"/>
  <c r="K11" i="14"/>
  <c r="L12" i="14"/>
  <c r="J7" i="14"/>
  <c r="J9" i="14" s="1"/>
  <c r="N7" i="14"/>
  <c r="N9" i="14" s="1"/>
  <c r="M7" i="14"/>
  <c r="M9" i="14" s="1"/>
  <c r="M12" i="14" l="1"/>
  <c r="L11" i="14"/>
  <c r="Q5" i="14"/>
  <c r="P7" i="14"/>
  <c r="P9" i="14" s="1"/>
  <c r="M11" i="14" l="1"/>
  <c r="N12" i="14"/>
  <c r="R5" i="14"/>
  <c r="Q7" i="14"/>
  <c r="Q9" i="14" s="1"/>
  <c r="S5" i="14" l="1"/>
  <c r="R7" i="14"/>
  <c r="R9" i="14" s="1"/>
  <c r="O12" i="14"/>
  <c r="N11" i="14"/>
  <c r="T5" i="14" l="1"/>
  <c r="S7" i="14"/>
  <c r="S9" i="14" s="1"/>
  <c r="O11" i="14"/>
  <c r="P12" i="14"/>
  <c r="U5" i="14" l="1"/>
  <c r="T7" i="14"/>
  <c r="T9" i="14" s="1"/>
  <c r="Q12" i="14"/>
  <c r="P11" i="14"/>
  <c r="V5" i="14" l="1"/>
  <c r="U7" i="14"/>
  <c r="U9" i="14" s="1"/>
  <c r="Q11" i="14"/>
  <c r="R12" i="14"/>
  <c r="R11" i="14" l="1"/>
  <c r="S12" i="14"/>
  <c r="W5" i="14"/>
  <c r="V7" i="14"/>
  <c r="V9" i="14" s="1"/>
  <c r="X5" i="14" l="1"/>
  <c r="W7" i="14"/>
  <c r="W9" i="14" s="1"/>
  <c r="S11" i="14"/>
  <c r="T12" i="14"/>
  <c r="T11" i="14" s="1"/>
  <c r="Y5" i="14" l="1"/>
  <c r="X7" i="14"/>
  <c r="X9" i="14" s="1"/>
  <c r="Z5" i="14" l="1"/>
  <c r="Y7" i="14"/>
  <c r="Y9" i="14" s="1"/>
  <c r="AA5" i="14" l="1"/>
  <c r="Z7" i="14"/>
  <c r="Z9" i="14" s="1"/>
  <c r="AB5" i="14" l="1"/>
  <c r="AA7" i="14"/>
  <c r="AA9" i="14" s="1"/>
  <c r="AC5" i="14" l="1"/>
  <c r="AB7" i="14"/>
  <c r="AB9" i="14" s="1"/>
  <c r="AD5" i="14" l="1"/>
  <c r="AD7" i="14" s="1"/>
  <c r="AD9" i="14" s="1"/>
  <c r="AC7" i="14"/>
  <c r="AC9" i="14" s="1"/>
</calcChain>
</file>

<file path=xl/sharedStrings.xml><?xml version="1.0" encoding="utf-8"?>
<sst xmlns="http://schemas.openxmlformats.org/spreadsheetml/2006/main" count="702" uniqueCount="577">
  <si>
    <t>现价</t>
  </si>
  <si>
    <t>市净率</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</si>
  <si>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</si>
  <si>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</si>
  <si>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</si>
  <si>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</si>
  <si>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</si>
  <si>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</si>
  <si>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</si>
  <si>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</si>
  <si>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</si>
  <si>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</si>
  <si>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</si>
  <si>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</si>
  <si>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</si>
  <si>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</si>
  <si>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</si>
  <si>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</si>
  <si>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1.63亿</t>
  </si>
  <si>
    <t>0亿</t>
  </si>
  <si>
    <t>2.25亿</t>
  </si>
  <si>
    <t>7.50亿</t>
  </si>
  <si>
    <t>1.42亿</t>
  </si>
  <si>
    <t>1.11亿</t>
  </si>
  <si>
    <t>2.26亿</t>
  </si>
  <si>
    <t>1.88亿</t>
  </si>
  <si>
    <t>6.17亿</t>
  </si>
  <si>
    <t>2.14亿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</si>
  <si>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</si>
  <si>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</si>
  <si>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</si>
  <si>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</si>
  <si>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</si>
  <si>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</si>
  <si>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</si>
  <si>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</si>
  <si>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</si>
  <si>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</si>
  <si>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</si>
  <si>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</si>
  <si>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</si>
  <si>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</si>
  <si>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</si>
  <si>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1.47亿</t>
  </si>
  <si>
    <t>2.02亿</t>
  </si>
  <si>
    <t>2.37亿</t>
  </si>
  <si>
    <t>1.57亿</t>
  </si>
  <si>
    <t>2.78亿</t>
  </si>
  <si>
    <t>3.15亿</t>
  </si>
  <si>
    <t>7621.19万</t>
  </si>
  <si>
    <t>6.33亿</t>
  </si>
  <si>
    <t>1.80亿</t>
  </si>
  <si>
    <t>6.46亿</t>
  </si>
  <si>
    <t>5.87亿</t>
  </si>
  <si>
    <t>4.06亿</t>
  </si>
  <si>
    <t>SH603612</t>
  </si>
  <si>
    <t>索通发展</t>
  </si>
  <si>
    <t>非金属材料</t>
  </si>
  <si>
    <t>58.51亿</t>
  </si>
  <si>
    <t>43.72亿</t>
  </si>
  <si>
    <t>33.54亿</t>
  </si>
  <si>
    <t>8644.52万</t>
  </si>
  <si>
    <t>SH603688</t>
  </si>
  <si>
    <t>石英股份</t>
  </si>
  <si>
    <t>6.22亿</t>
  </si>
  <si>
    <t>SH603826</t>
  </si>
  <si>
    <t>坤彩科技</t>
  </si>
  <si>
    <t>3.33亿</t>
  </si>
  <si>
    <t>SH605086</t>
  </si>
  <si>
    <t>龙高股份</t>
  </si>
  <si>
    <t>8243.34万</t>
  </si>
  <si>
    <t>7143.10万</t>
  </si>
  <si>
    <t>SH688300</t>
  </si>
  <si>
    <t>联瑞新材</t>
  </si>
  <si>
    <t>4.04亿</t>
  </si>
  <si>
    <t>7469.50万</t>
  </si>
  <si>
    <t>5836.65万</t>
  </si>
  <si>
    <r>
      <t>公司的主营业务为从事高岭土的采选、加工和销售,以及相关技术研发业务;公司的主要产品有高岭土原矿、高岭土精矿、综合利用产品三大类；公司</t>
    </r>
    <r>
      <rPr>
        <sz val="9"/>
        <color rgb="FFFF0000"/>
        <rFont val="宋体"/>
        <family val="3"/>
        <charset val="134"/>
        <scheme val="minor"/>
      </rPr>
      <t>高岭土产品应用领域目前以陶瓷为主</t>
    </r>
    <r>
      <rPr>
        <sz val="9"/>
        <color theme="1"/>
        <rFont val="宋体"/>
        <family val="2"/>
        <charset val="134"/>
        <scheme val="minor"/>
      </rPr>
      <t>。高岭土是生产瓷器的重要原料；
2020年：
原矿 1.28亿 57.21% 利润占比67.73% 79.01%
综合利用 5774.89万 25.71% 利润占比23.41% 60.76%
精矿 3674.95万 16.36% 利润占比7.82% 31.90%
其他业务 161.59万 0.72% 利润占比1.04% 96.42%</t>
    </r>
    <phoneticPr fontId="1" type="noConversion"/>
  </si>
  <si>
    <t>流通股本</t>
  </si>
  <si>
    <t>净利润[20201231]</t>
  </si>
  <si>
    <t>投入资本回报率roic%[20201231]</t>
  </si>
  <si>
    <t>净资产收益率%[20201231]</t>
  </si>
  <si>
    <t>94.58亿</t>
  </si>
  <si>
    <t>6.20亿</t>
  </si>
  <si>
    <t>9.61亿</t>
  </si>
  <si>
    <t>2.81亿</t>
  </si>
  <si>
    <t>8.93亿</t>
  </si>
  <si>
    <t>1.44亿</t>
  </si>
  <si>
    <t>2.69亿</t>
  </si>
  <si>
    <t>8448.49万</t>
  </si>
  <si>
    <t>SH688267</t>
  </si>
  <si>
    <t>中触媒</t>
  </si>
  <si>
    <t>5.61亿</t>
  </si>
  <si>
    <t>1.34亿</t>
  </si>
  <si>
    <t>1.69亿</t>
  </si>
  <si>
    <t>9183.92万</t>
  </si>
  <si>
    <t>5345.13万</t>
  </si>
  <si>
    <t>922.72万</t>
  </si>
  <si>
    <t>6.25亿</t>
  </si>
  <si>
    <t>1.73亿</t>
  </si>
  <si>
    <t xml:space="preserve">    名称</t>
  </si>
  <si>
    <t>净利润?</t>
  </si>
  <si>
    <t>扣非净利润</t>
  </si>
  <si>
    <t>营业总收入[20201231]</t>
  </si>
  <si>
    <t>投入资本回报率roic%[20211231]</t>
  </si>
  <si>
    <t>净资产收益率%[20211231]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</si>
  <si>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</si>
  <si>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</si>
  <si>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</si>
  <si>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</si>
  <si>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</si>
  <si>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</si>
  <si>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</si>
  <si>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</si>
  <si>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</si>
  <si>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</si>
  <si>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</si>
  <si>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</si>
  <si>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</si>
  <si>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</si>
  <si>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</si>
  <si>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2.21亿</t>
  </si>
  <si>
    <t>LY营业总收入[20211231]</t>
  </si>
  <si>
    <t>权益乘数[20220630]</t>
  </si>
  <si>
    <t>总资产周转率[20220630]</t>
  </si>
  <si>
    <t>净利润／营业总收入%[20220630]</t>
  </si>
  <si>
    <t>营业总成本[20220630]</t>
  </si>
  <si>
    <t>营业成本[20220630]</t>
  </si>
  <si>
    <t>管理费用[20220630]</t>
  </si>
  <si>
    <t>研发费用总额[20220630]</t>
  </si>
  <si>
    <t>细分行业</t>
  </si>
  <si>
    <t>市销率</t>
    <phoneticPr fontId="1" type="noConversion"/>
  </si>
  <si>
    <t>扣非对比净利润</t>
    <phoneticPr fontId="1" type="noConversion"/>
  </si>
  <si>
    <t>1年自由现金流折现</t>
    <phoneticPr fontId="1" type="noConversion"/>
  </si>
  <si>
    <t>3年自由现金流折现</t>
    <phoneticPr fontId="1" type="noConversion"/>
  </si>
  <si>
    <t>6年自由现金流折现</t>
    <phoneticPr fontId="1" type="noConversion"/>
  </si>
  <si>
    <t>10年自由现金流折现</t>
    <phoneticPr fontId="1" type="noConversion"/>
  </si>
  <si>
    <t>承担负债现期溢价</t>
    <phoneticPr fontId="1" type="noConversion"/>
  </si>
  <si>
    <t>原始顺序</t>
    <phoneticPr fontId="1" type="noConversion"/>
  </si>
  <si>
    <t>营收成长策略</t>
    <phoneticPr fontId="1" type="noConversion"/>
  </si>
  <si>
    <t>利润成长策略</t>
    <phoneticPr fontId="1" type="noConversion"/>
  </si>
  <si>
    <t>基本面排序</t>
    <phoneticPr fontId="1" type="noConversion"/>
  </si>
  <si>
    <t>综合策略</t>
    <phoneticPr fontId="1" type="noConversion"/>
  </si>
  <si>
    <t>机会区域号</t>
    <phoneticPr fontId="1" type="noConversion"/>
  </si>
  <si>
    <t>今日价格累积指数</t>
    <phoneticPr fontId="1" type="noConversion"/>
  </si>
  <si>
    <t>N日期</t>
    <phoneticPr fontId="1" type="noConversion"/>
  </si>
  <si>
    <t>N-4</t>
    <phoneticPr fontId="1" type="noConversion"/>
  </si>
  <si>
    <t>N-3</t>
    <phoneticPr fontId="1" type="noConversion"/>
  </si>
  <si>
    <t>SZ301071</t>
  </si>
  <si>
    <t>力量钻石</t>
  </si>
  <si>
    <t>4.98亿</t>
  </si>
  <si>
    <t>2.40亿</t>
  </si>
  <si>
    <t>2.45亿</t>
  </si>
  <si>
    <t>2.04亿</t>
  </si>
  <si>
    <t>7299.68万</t>
  </si>
  <si>
    <t>6312.18万</t>
  </si>
  <si>
    <t>7213.46万</t>
  </si>
  <si>
    <t>1.03亿</t>
  </si>
  <si>
    <t>1.高岭土是四大非金属矿之一，主要应用于陶瓷、造纸、橡塑、搪瓷、涂料等领域；2.美国以 82 亿吨的储量位居首位。中国高岭土资源储量接近 35 亿吨，处于全球前列。3.2017 年-2019 年公司在国内陶瓷行业应用市场的市场占有率分别为 10.22%、11.69%和 12.03%，市场占有率稳步提升。4.营业收入变动原因说明：1、上年同期受疫情和天气影响可作业天数为 79 天，本报告期可作业天数 111 天，同比增加 40%；2、行业景气度持续提升，受疫情影响，国外订单流入国内，导致终端陶瓷市场订单量增加，产品销售规模相应增加；3、公司抓住机遇，在巩固老客户的同时，积极开拓新客户，本报告期内新增客户 38 家，销售收入相应增加；</t>
    <phoneticPr fontId="1" type="noConversion"/>
  </si>
  <si>
    <t>1.境内外占比对半开；</t>
    <phoneticPr fontId="1" type="noConversion"/>
  </si>
  <si>
    <t>1.万润股份的主要客户为庄信万丰；公司的主要客户为巴斯夫；这两个下游客户都是尾气脱硝领域的主要供应商；</t>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</si>
  <si>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</si>
  <si>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</si>
  <si>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</si>
  <si>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</si>
  <si>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</si>
  <si>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</si>
  <si>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</si>
  <si>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</si>
  <si>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</si>
  <si>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</si>
  <si>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</si>
  <si>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</si>
  <si>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</si>
  <si>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</si>
  <si>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</si>
  <si>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</si>
  <si>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</si>
  <si>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</si>
  <si>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</si>
  <si>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</si>
  <si>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</si>
  <si>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</si>
  <si>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</si>
  <si>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</si>
  <si>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</si>
  <si>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</si>
  <si>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</si>
  <si>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</si>
  <si>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</si>
  <si>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</si>
  <si>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</si>
  <si>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</si>
  <si>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股利率</t>
    <phoneticPr fontId="1" type="noConversion"/>
  </si>
  <si>
    <t>1增速</t>
    <phoneticPr fontId="1" type="noConversion"/>
  </si>
  <si>
    <t>6增速</t>
    <phoneticPr fontId="1" type="noConversion"/>
  </si>
  <si>
    <t>清算价格</t>
    <phoneticPr fontId="1" type="noConversion"/>
  </si>
  <si>
    <t>营收和利润加权</t>
    <phoneticPr fontId="1" type="noConversion"/>
  </si>
  <si>
    <t>价格变动策略</t>
    <phoneticPr fontId="1" type="noConversion"/>
  </si>
  <si>
    <t>成交量综合策略</t>
    <phoneticPr fontId="1" type="noConversion"/>
  </si>
  <si>
    <t>5日成交换手率</t>
    <phoneticPr fontId="1" type="noConversion"/>
  </si>
  <si>
    <t>价格箱体形态过滤</t>
    <phoneticPr fontId="1" type="noConversion"/>
  </si>
  <si>
    <t>N-1</t>
    <phoneticPr fontId="1" type="noConversion"/>
  </si>
  <si>
    <t>N</t>
    <phoneticPr fontId="1" type="noConversion"/>
  </si>
  <si>
    <t>过往营收增速均值</t>
    <phoneticPr fontId="1" type="noConversion"/>
  </si>
  <si>
    <t>过往利润增速均值</t>
    <phoneticPr fontId="1" type="noConversion"/>
  </si>
  <si>
    <t>折现率</t>
    <phoneticPr fontId="1" type="noConversion"/>
  </si>
  <si>
    <t>3增速</t>
    <phoneticPr fontId="1" type="noConversion"/>
  </si>
  <si>
    <t>10增速</t>
    <phoneticPr fontId="1" type="noConversion"/>
  </si>
  <si>
    <t>20年自由现金流折现</t>
    <phoneticPr fontId="1" type="noConversion"/>
  </si>
  <si>
    <t>策略1营收单季最佳增速</t>
    <phoneticPr fontId="1" type="noConversion"/>
  </si>
  <si>
    <t>策略1利润单季最佳增速</t>
    <phoneticPr fontId="1" type="noConversion"/>
  </si>
  <si>
    <t>量价齐升策略</t>
    <phoneticPr fontId="1" type="noConversion"/>
  </si>
  <si>
    <t>30日成交换手率</t>
    <phoneticPr fontId="1" type="noConversion"/>
  </si>
  <si>
    <t>昨日价格累计指数</t>
    <phoneticPr fontId="1" type="noConversion"/>
  </si>
  <si>
    <t>成交量异动策略</t>
    <phoneticPr fontId="1" type="noConversion"/>
  </si>
  <si>
    <t>价格右侧初期策略</t>
    <phoneticPr fontId="1" type="noConversion"/>
  </si>
  <si>
    <t>N-2</t>
    <phoneticPr fontId="1" type="noConversion"/>
  </si>
  <si>
    <t>2.74亿</t>
  </si>
  <si>
    <t>不分配不转增</t>
  </si>
  <si>
    <t>SZ301373</t>
  </si>
  <si>
    <t>凌玮科技</t>
  </si>
  <si>
    <t>1.2022年年报每股收益3.57元，净利润4.6亿元，同比去年增长92.12%，营收4.6亿，增速81.85%。</t>
    <phoneticPr fontId="1" type="noConversion"/>
  </si>
  <si>
    <t>1.证监会对2022年年报发起问询函。</t>
    <phoneticPr fontId="1" type="noConversion"/>
  </si>
  <si>
    <t>9.06亿</t>
  </si>
  <si>
    <t>4.60亿</t>
  </si>
  <si>
    <t>4.01亿</t>
  </si>
  <si>
    <t>9099.00万</t>
  </si>
  <si>
    <t>4.09亿</t>
  </si>
  <si>
    <t>3.50亿</t>
  </si>
  <si>
    <t>3.08亿</t>
  </si>
  <si>
    <t>6754.42万</t>
  </si>
  <si>
    <t>7960.92万</t>
  </si>
  <si>
    <t>6534.67万</t>
  </si>
  <si>
    <t>4951.94万</t>
  </si>
  <si>
    <t>10派3元(含税)</t>
  </si>
  <si>
    <t>194.01亿</t>
  </si>
  <si>
    <t>9.05亿</t>
  </si>
  <si>
    <t>20.04亿</t>
  </si>
  <si>
    <t>10.52亿</t>
  </si>
  <si>
    <t>8.19亿</t>
  </si>
  <si>
    <t>8798.11万</t>
  </si>
  <si>
    <t>1.99亿</t>
  </si>
  <si>
    <t>6.81亿</t>
  </si>
  <si>
    <t>1.52亿</t>
  </si>
  <si>
    <t>6.62亿</t>
  </si>
  <si>
    <t>1.22亿</t>
  </si>
  <si>
    <t>1.32亿</t>
  </si>
  <si>
    <t>3.64亿</t>
  </si>
  <si>
    <t>5000.00万</t>
  </si>
  <si>
    <t>1.25亿</t>
  </si>
  <si>
    <r>
      <t>1. 国内球形硅微粉竞争对手：</t>
    </r>
    <r>
      <rPr>
        <sz val="9"/>
        <color rgb="FFFF0000"/>
        <rFont val="宋体"/>
        <family val="3"/>
        <charset val="134"/>
        <scheme val="minor"/>
      </rPr>
      <t>雅克（华飞电子）产能大概4500吨，凯盛科技2000吨。联瑞7000吨;2</t>
    </r>
    <r>
      <rPr>
        <sz val="9"/>
        <rFont val="宋体"/>
        <family val="3"/>
        <charset val="134"/>
        <scheme val="minor"/>
      </rPr>
      <t>.国内球形氧化铝粉对手：</t>
    </r>
    <r>
      <rPr>
        <sz val="9"/>
        <color rgb="FFFF0000"/>
        <rFont val="宋体"/>
        <family val="3"/>
        <charset val="134"/>
        <scheme val="minor"/>
      </rPr>
      <t>壹石通;</t>
    </r>
    <phoneticPr fontId="1" type="noConversion"/>
  </si>
  <si>
    <t>1.2013 年全球石英市场份额中，美国迈图公司占比 38%、德国贺利氏占比 21%、日本东曹占比 8%，三家企业合计占比 67%，我们估计国产半导体石英企业的份额只有 10%左右，国产替代潜力巨大。国内的竞争对手菲利华；2.</t>
    <phoneticPr fontId="1" type="noConversion"/>
  </si>
  <si>
    <r>
      <t>1.高纯石英砂在光伏领域的应用为制造石英坩埚；2.高纯石英砂在拉晶成本中占比较低，下游对涨价敏感度有限；3.营业收入较上年同期增加 273,708.54 万元，同比增长 393.71%的主要原因：报告期内石英产品收入实现增长，其中</t>
    </r>
    <r>
      <rPr>
        <sz val="9"/>
        <color rgb="FFFF0000"/>
        <rFont val="宋体"/>
        <family val="3"/>
        <charset val="134"/>
        <scheme val="minor"/>
      </rPr>
      <t>半导体</t>
    </r>
    <r>
      <rPr>
        <sz val="9"/>
        <color theme="1"/>
        <rFont val="宋体"/>
        <family val="2"/>
        <charset val="134"/>
        <scheme val="minor"/>
      </rPr>
      <t>类产品收入较上年同期增加 10,147.41 万元，</t>
    </r>
    <r>
      <rPr>
        <sz val="9"/>
        <color rgb="FFFF0000"/>
        <rFont val="宋体"/>
        <family val="3"/>
        <charset val="134"/>
        <scheme val="minor"/>
      </rPr>
      <t>同比增长 90.82%</t>
    </r>
    <r>
      <rPr>
        <sz val="9"/>
        <color theme="1"/>
        <rFont val="宋体"/>
        <family val="2"/>
        <charset val="134"/>
        <scheme val="minor"/>
      </rPr>
      <t>；</t>
    </r>
    <r>
      <rPr>
        <b/>
        <sz val="9"/>
        <color rgb="FFFF0000"/>
        <rFont val="宋体"/>
        <family val="3"/>
        <charset val="134"/>
        <scheme val="minor"/>
      </rPr>
      <t>光伏类</t>
    </r>
    <r>
      <rPr>
        <sz val="9"/>
        <color theme="1"/>
        <rFont val="宋体"/>
        <family val="2"/>
        <charset val="134"/>
        <scheme val="minor"/>
      </rPr>
      <t>产品收入较上年同期增加 262,643.95 万元，</t>
    </r>
    <r>
      <rPr>
        <b/>
        <sz val="9"/>
        <color rgb="FFFF0000"/>
        <rFont val="宋体"/>
        <family val="3"/>
        <charset val="134"/>
        <scheme val="minor"/>
      </rPr>
      <t>同比增长 732.00%</t>
    </r>
    <r>
      <rPr>
        <sz val="9"/>
        <color theme="1"/>
        <rFont val="宋体"/>
        <family val="2"/>
        <charset val="134"/>
        <scheme val="minor"/>
      </rPr>
      <t>。</t>
    </r>
    <phoneticPr fontId="1" type="noConversion"/>
  </si>
  <si>
    <t>-1-1</t>
  </si>
  <si>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</si>
  <si>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</si>
  <si>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</si>
  <si>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</si>
  <si>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</si>
  <si>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</si>
  <si>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</si>
  <si>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</si>
  <si>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</si>
  <si>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SZ001359</t>
  </si>
  <si>
    <t>平安电工</t>
  </si>
  <si>
    <t>8.42亿</t>
  </si>
  <si>
    <t>SZ002813</t>
  </si>
  <si>
    <t>路畅科技</t>
  </si>
  <si>
    <t>1.48亿</t>
  </si>
  <si>
    <t>3.41亿</t>
  </si>
  <si>
    <t>328.89万</t>
  </si>
  <si>
    <t>4.10亿</t>
  </si>
  <si>
    <t>4.93亿</t>
  </si>
  <si>
    <t>7.70亿</t>
  </si>
  <si>
    <t>7.57亿</t>
  </si>
  <si>
    <t>524.41万</t>
  </si>
  <si>
    <t>7919.12万</t>
  </si>
  <si>
    <t>-3.52亿</t>
  </si>
  <si>
    <t>1695.34万</t>
  </si>
  <si>
    <t>2.38亿</t>
  </si>
  <si>
    <r>
      <t>1.公司将以风光储氢一体化的绿色能源供应 为基础，聚焦“预焙阳极+锂电负极”等碳材料产业。负极：进军</t>
    </r>
    <r>
      <rPr>
        <b/>
        <sz val="9"/>
        <color rgb="FFFF0000"/>
        <rFont val="宋体"/>
        <family val="3"/>
        <charset val="134"/>
        <scheme val="minor"/>
      </rPr>
      <t>锂电负极行业</t>
    </r>
    <r>
      <rPr>
        <sz val="9"/>
        <color theme="1"/>
        <rFont val="宋体"/>
        <family val="2"/>
        <charset val="134"/>
        <scheme val="minor"/>
      </rPr>
      <t>，加速布局第二成长曲线。</t>
    </r>
    <phoneticPr fontId="1" type="noConversion"/>
  </si>
  <si>
    <t>1.行业（铝的预焙阳极）具有明显的成本端和下游端价格敏感性，如果叠加两者的不利影响就会导致利润亏损出现；</t>
    <phoneticPr fontId="1" type="noConversion"/>
  </si>
  <si>
    <t>3.57亿</t>
  </si>
  <si>
    <t>3-0</t>
  </si>
  <si>
    <t>-2-0</t>
  </si>
  <si>
    <r>
      <t>1. 70%的硅微粉提供商是日本的Tatsumori、Denka、雅都马等公司生产硅微粉和球形氧化铝粉，雅都马能生产1微米以下的硅微粉。雅克科技的子公司华飞电子基材也是竞争对手，雅克已经通过定增扩建硅微粉产能；2.以球形硅微粉和球形氧化铝粉为代表的尖端填料产品是大规模集成电路封装及基板等高端电子信息产品的必备关键材料；2..由于球形氧化铝粉具有良好的导热性能、优秀性价比，是目前市场热界面材料中大批量使用且使用占比较高的导热填料。3.2023 年自 3 月份开始全球半导体行业销售额已连续8个月保持环比增长的状态。4.2024Q1</t>
    </r>
    <r>
      <rPr>
        <sz val="9"/>
        <color rgb="FFFF0000"/>
        <rFont val="宋体"/>
        <family val="3"/>
        <charset val="134"/>
        <scheme val="minor"/>
      </rPr>
      <t>营业总收入：2.02亿元同比增长39.46%;净利润：0.52亿元 同比增长79.94%</t>
    </r>
    <r>
      <rPr>
        <sz val="9"/>
        <color theme="1"/>
        <rFont val="宋体"/>
        <family val="2"/>
        <charset val="134"/>
        <scheme val="minor"/>
      </rPr>
      <t>;</t>
    </r>
    <phoneticPr fontId="1" type="noConversion"/>
  </si>
  <si>
    <t>2.20亿</t>
  </si>
  <si>
    <t>9.27亿</t>
  </si>
  <si>
    <t>1.66亿</t>
  </si>
  <si>
    <t>78159亿</t>
  </si>
  <si>
    <t>42444883亿</t>
  </si>
  <si>
    <t>177074120亿</t>
  </si>
  <si>
    <t>1498031400亿</t>
  </si>
  <si>
    <t>8.77亿</t>
  </si>
  <si>
    <t>6.70亿</t>
  </si>
  <si>
    <t>6.68亿</t>
  </si>
  <si>
    <t>6842.37万</t>
  </si>
  <si>
    <t>1.01亿</t>
  </si>
  <si>
    <t>1.98亿</t>
  </si>
  <si>
    <t>3228.70万</t>
  </si>
  <si>
    <t>10派2.7元(含税)</t>
  </si>
  <si>
    <t>6002.40万</t>
  </si>
  <si>
    <t>2.84亿</t>
  </si>
  <si>
    <t>-2742.61万</t>
  </si>
  <si>
    <t>2.99亿</t>
  </si>
  <si>
    <t>647052亿</t>
  </si>
  <si>
    <t>-16511150亿</t>
  </si>
  <si>
    <t>58266462亿</t>
  </si>
  <si>
    <t>229242520亿</t>
  </si>
  <si>
    <t>6070.05万</t>
  </si>
  <si>
    <t>-475.78万</t>
  </si>
  <si>
    <t>亏损</t>
  </si>
  <si>
    <t>扭亏</t>
  </si>
  <si>
    <t>12.13亿</t>
  </si>
  <si>
    <t>7.52亿</t>
  </si>
  <si>
    <t>17000842亿</t>
  </si>
  <si>
    <t>89219164亿</t>
  </si>
  <si>
    <t>78341553亿</t>
  </si>
  <si>
    <t>4459450200亿</t>
  </si>
  <si>
    <t>618.70万</t>
  </si>
  <si>
    <t>1.64亿</t>
  </si>
  <si>
    <t>10派5元(含税)</t>
  </si>
  <si>
    <t>1.90亿</t>
  </si>
  <si>
    <t>4.66亿</t>
  </si>
  <si>
    <t>1718453亿</t>
  </si>
  <si>
    <t>27153328亿</t>
  </si>
  <si>
    <t>75481818亿</t>
  </si>
  <si>
    <t>1150643970亿</t>
  </si>
  <si>
    <t>1.04亿</t>
  </si>
  <si>
    <t>96.42亿</t>
  </si>
  <si>
    <t>31.06亿</t>
  </si>
  <si>
    <t>153.11亿</t>
  </si>
  <si>
    <t>-7.23亿</t>
  </si>
  <si>
    <t>-789194亿</t>
  </si>
  <si>
    <t>63010584亿</t>
  </si>
  <si>
    <t>1870210000亿</t>
  </si>
  <si>
    <t>9657949000亿</t>
  </si>
  <si>
    <t>8.27亿</t>
  </si>
  <si>
    <t>3.94亿</t>
  </si>
  <si>
    <t>71.84亿</t>
  </si>
  <si>
    <t>50.39亿</t>
  </si>
  <si>
    <t>9604159亿</t>
  </si>
  <si>
    <t>163762280亿</t>
  </si>
  <si>
    <t>408403560亿</t>
  </si>
  <si>
    <t>6249238000亿</t>
  </si>
  <si>
    <t>10转5股派57元(含税)</t>
  </si>
  <si>
    <t>24.43亿</t>
  </si>
  <si>
    <t>2.55亿</t>
  </si>
  <si>
    <t>8.29亿</t>
  </si>
  <si>
    <t>8394.16万</t>
  </si>
  <si>
    <t>-442.5亿</t>
  </si>
  <si>
    <t>17120987亿</t>
  </si>
  <si>
    <t>274608960亿</t>
  </si>
  <si>
    <t>1485726100亿</t>
  </si>
  <si>
    <t>10送4股派1元(含税)</t>
  </si>
  <si>
    <t>1.00亿</t>
  </si>
  <si>
    <t>6676.52万</t>
  </si>
  <si>
    <t>1.16亿</t>
  </si>
  <si>
    <t>1.19亿</t>
  </si>
  <si>
    <t>1189634亿</t>
  </si>
  <si>
    <t>22893964亿</t>
  </si>
  <si>
    <t>563205000亿</t>
  </si>
  <si>
    <t>10转4.0股派3.62元(含税)</t>
  </si>
  <si>
    <t>5.50亿</t>
  </si>
  <si>
    <t>7691.20万</t>
  </si>
  <si>
    <t>499830亿</t>
  </si>
  <si>
    <t>34332806亿</t>
  </si>
  <si>
    <t>234240040亿</t>
  </si>
  <si>
    <t>1807926200亿</t>
  </si>
  <si>
    <t>10派2元(含税)</t>
  </si>
  <si>
    <t>4.07亿</t>
  </si>
  <si>
    <t>7.12亿</t>
  </si>
  <si>
    <t>1.74亿</t>
  </si>
  <si>
    <t>4091982亿</t>
  </si>
  <si>
    <t>45554579亿</t>
  </si>
  <si>
    <t>196741210亿</t>
  </si>
  <si>
    <t>977272390亿</t>
  </si>
  <si>
    <t>498.02万</t>
  </si>
  <si>
    <t>17.11亿</t>
  </si>
  <si>
    <t>1.38亿</t>
  </si>
  <si>
    <t>539.94万</t>
  </si>
  <si>
    <t>1361.75万</t>
  </si>
  <si>
    <t>8.95亿</t>
  </si>
  <si>
    <t>8885.40万</t>
  </si>
  <si>
    <t>1.14亿</t>
  </si>
  <si>
    <t>27.38万</t>
  </si>
  <si>
    <t>1812.85万</t>
  </si>
  <si>
    <t>8956.82万</t>
  </si>
  <si>
    <t>2.60亿</t>
  </si>
  <si>
    <t>6500.30万</t>
  </si>
  <si>
    <t>-1880.14万</t>
  </si>
  <si>
    <t>-2177.56万</t>
  </si>
  <si>
    <t>7.55亿</t>
  </si>
  <si>
    <t>1781.11万</t>
  </si>
  <si>
    <t>1.35亿</t>
  </si>
  <si>
    <t>4-1</t>
  </si>
  <si>
    <t>117.09万</t>
  </si>
  <si>
    <t>3.51亿</t>
  </si>
  <si>
    <t>7412.59万</t>
  </si>
  <si>
    <t>5081.34万</t>
  </si>
  <si>
    <t>446.60万</t>
  </si>
  <si>
    <t>623.58万</t>
  </si>
  <si>
    <t>4841.38万</t>
  </si>
  <si>
    <t>2739.45万</t>
  </si>
  <si>
    <t>374.78万</t>
  </si>
  <si>
    <t>1988.12万</t>
  </si>
  <si>
    <t>454.07万</t>
  </si>
  <si>
    <t>3282.91万</t>
  </si>
  <si>
    <t>-3235.19万</t>
  </si>
  <si>
    <t>1874.53万</t>
  </si>
  <si>
    <t>147.91万</t>
  </si>
  <si>
    <t>580.23万</t>
  </si>
  <si>
    <t>6656.75万</t>
  </si>
  <si>
    <t>138.30万</t>
  </si>
  <si>
    <t>53.69亿</t>
  </si>
  <si>
    <t>7.24亿</t>
  </si>
  <si>
    <t>2325.77万</t>
  </si>
  <si>
    <t>1.40亿</t>
  </si>
  <si>
    <t>179.78万</t>
  </si>
  <si>
    <t>576.09万</t>
  </si>
  <si>
    <t>20.98亿</t>
  </si>
  <si>
    <t>1.26亿</t>
  </si>
  <si>
    <t>2285.77万</t>
  </si>
  <si>
    <t>2.56亿</t>
  </si>
  <si>
    <t>7.54亿</t>
  </si>
  <si>
    <t>3.19亿</t>
  </si>
  <si>
    <t>2.12亿</t>
  </si>
  <si>
    <t>6.15亿</t>
  </si>
  <si>
    <t>4090.63万</t>
  </si>
  <si>
    <t>725.27万</t>
  </si>
  <si>
    <t>747.71万</t>
  </si>
  <si>
    <t>6323.92万</t>
  </si>
  <si>
    <t>23.15万</t>
  </si>
  <si>
    <t>15.28亿</t>
  </si>
  <si>
    <t>60.74亿</t>
  </si>
  <si>
    <t>4.13亿</t>
  </si>
  <si>
    <t>6908.15万</t>
  </si>
  <si>
    <t>5326.56万</t>
  </si>
  <si>
    <t>516.72万</t>
  </si>
  <si>
    <t>574.83万</t>
  </si>
  <si>
    <t>4.99亿</t>
  </si>
  <si>
    <t>3533.52万</t>
  </si>
  <si>
    <t>1.55亿</t>
  </si>
  <si>
    <t>7058.21万</t>
  </si>
  <si>
    <t>1977.62万</t>
  </si>
  <si>
    <t>2234.28万</t>
  </si>
  <si>
    <t>-94.02万</t>
  </si>
  <si>
    <t>12.67亿</t>
  </si>
  <si>
    <t>8737.91万</t>
  </si>
  <si>
    <t>190.54万</t>
  </si>
  <si>
    <t>1653.27万</t>
  </si>
  <si>
    <t>291.57万</t>
  </si>
  <si>
    <t>74.86亿</t>
  </si>
  <si>
    <t>506.85亿</t>
  </si>
  <si>
    <t>14.28亿</t>
  </si>
  <si>
    <t>29.74亿</t>
  </si>
  <si>
    <t>27.97亿</t>
  </si>
  <si>
    <t>1519.90万</t>
  </si>
  <si>
    <t>5048.71万</t>
  </si>
  <si>
    <t>16.25万</t>
  </si>
  <si>
    <t>26.84亿</t>
  </si>
  <si>
    <t>1.13亿</t>
  </si>
  <si>
    <t>17.47亿</t>
  </si>
  <si>
    <t>30.96亿</t>
  </si>
  <si>
    <t>3908.88万</t>
  </si>
  <si>
    <t>13.88亿</t>
  </si>
  <si>
    <t>65.10亿</t>
  </si>
  <si>
    <t>31.47亿</t>
  </si>
  <si>
    <t>-8744.21万</t>
  </si>
  <si>
    <t>-2.59亿</t>
  </si>
  <si>
    <t>4.24亿</t>
  </si>
  <si>
    <t>131.56亿</t>
  </si>
  <si>
    <t>2275.35万</t>
  </si>
  <si>
    <t>786.30万</t>
  </si>
  <si>
    <t>77.33亿</t>
  </si>
  <si>
    <t>61.04亿</t>
  </si>
  <si>
    <t>3.44亿</t>
  </si>
  <si>
    <t>2.22亿</t>
  </si>
  <si>
    <t>1.53亿</t>
  </si>
  <si>
    <t>404.12万</t>
  </si>
  <si>
    <t>2740.36万</t>
  </si>
  <si>
    <t>77.05万</t>
  </si>
  <si>
    <t>28.42亿</t>
  </si>
  <si>
    <t>163.94万</t>
  </si>
  <si>
    <t>4.80亿</t>
  </si>
  <si>
    <t>4.79亿</t>
  </si>
  <si>
    <t>4.50亿</t>
  </si>
  <si>
    <t>-2.09亿</t>
  </si>
  <si>
    <t>-2844.73万</t>
  </si>
  <si>
    <t>18.04亿</t>
  </si>
  <si>
    <t>4292.00万</t>
  </si>
  <si>
    <t>2.30亿</t>
  </si>
  <si>
    <t>1-1</t>
  </si>
  <si>
    <t>349.14万</t>
  </si>
  <si>
    <t>19.23亿</t>
  </si>
  <si>
    <t>25.40亿</t>
  </si>
  <si>
    <t>-1.28亿</t>
  </si>
  <si>
    <t>2.31亿</t>
  </si>
  <si>
    <t>1.72亿</t>
  </si>
  <si>
    <t>1081.72万</t>
  </si>
  <si>
    <t>1736.02万</t>
  </si>
  <si>
    <t>1.15亿</t>
  </si>
  <si>
    <t>10.88亿</t>
  </si>
  <si>
    <t>6.53亿</t>
  </si>
  <si>
    <t>1677.34万</t>
  </si>
  <si>
    <t>3.36亿</t>
  </si>
  <si>
    <t>17.31亿</t>
  </si>
  <si>
    <t>6.78亿</t>
  </si>
  <si>
    <t>-9648.02万</t>
  </si>
  <si>
    <t>-1.42亿</t>
  </si>
  <si>
    <t>3.14亿</t>
  </si>
  <si>
    <t>3.62亿</t>
  </si>
  <si>
    <t>601.07万</t>
  </si>
  <si>
    <t>2290.99万</t>
  </si>
  <si>
    <t>8537.88万</t>
  </si>
  <si>
    <t>261.77万</t>
  </si>
  <si>
    <t>12.08亿</t>
  </si>
  <si>
    <t>31.80亿</t>
  </si>
  <si>
    <t>3943.96万</t>
  </si>
  <si>
    <t>2552.71万</t>
  </si>
  <si>
    <t>329.00万</t>
  </si>
  <si>
    <t>698.58万</t>
  </si>
  <si>
    <t>4.19万</t>
  </si>
  <si>
    <t>2.09亿</t>
  </si>
  <si>
    <t>232.00万</t>
  </si>
  <si>
    <t>1726.47万</t>
  </si>
  <si>
    <t>8676.53万</t>
  </si>
  <si>
    <t>4119.77万</t>
  </si>
  <si>
    <t>-1.34亿</t>
  </si>
  <si>
    <t>6.28亿</t>
  </si>
  <si>
    <t>2802.39万</t>
  </si>
  <si>
    <t>883.27万</t>
  </si>
  <si>
    <t>6839.42万</t>
  </si>
  <si>
    <t>41.72万</t>
  </si>
  <si>
    <t>26.65亿</t>
  </si>
  <si>
    <t>15.00亿</t>
  </si>
  <si>
    <t>1.71亿</t>
  </si>
  <si>
    <t>1.50亿</t>
  </si>
  <si>
    <t>1.24亿</t>
  </si>
  <si>
    <t>189.32万</t>
  </si>
  <si>
    <t>1323.98万</t>
  </si>
  <si>
    <t>5085.45万</t>
  </si>
  <si>
    <t>3.37亿</t>
  </si>
  <si>
    <t>100.00万</t>
  </si>
  <si>
    <t>1262.73万</t>
  </si>
  <si>
    <t>1.77亿</t>
  </si>
  <si>
    <t>-2037.87万</t>
  </si>
  <si>
    <t>2493.80万</t>
  </si>
  <si>
    <t>-713.28万</t>
  </si>
  <si>
    <t>3.59亿</t>
  </si>
  <si>
    <t>4002.12万</t>
  </si>
  <si>
    <t>216.59万</t>
  </si>
  <si>
    <t>1518.60万</t>
  </si>
  <si>
    <t>282.90万</t>
  </si>
  <si>
    <t>13.99亿</t>
  </si>
  <si>
    <t>18.64亿</t>
  </si>
  <si>
    <t>6.07亿</t>
  </si>
  <si>
    <t>1.51亿</t>
  </si>
  <si>
    <t>1.20亿</t>
  </si>
  <si>
    <t>238.51万</t>
  </si>
  <si>
    <t>1379.37万</t>
  </si>
  <si>
    <t>2.23亿</t>
  </si>
  <si>
    <t>84.11万</t>
  </si>
  <si>
    <t>1914.89万</t>
  </si>
  <si>
    <t>8927.07万</t>
  </si>
  <si>
    <t>3693.12万</t>
  </si>
  <si>
    <t>7676.21万</t>
  </si>
  <si>
    <t>2.36亿</t>
  </si>
  <si>
    <t>-1502.24万</t>
  </si>
  <si>
    <t>5229.74万</t>
  </si>
  <si>
    <t>-48.13万</t>
  </si>
  <si>
    <t>4.40亿</t>
  </si>
  <si>
    <t>1.37亿</t>
  </si>
  <si>
    <t>1353.32万</t>
  </si>
  <si>
    <t>9557.59万</t>
  </si>
  <si>
    <t>-4-1</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</si>
</sst>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2"/>
      <charset val="134"/>
      <scheme val="minor"/>
    </font>
    <font>
      <sz val="9"/>
      <color rgb="FFFF0000"/>
      <name val="宋体"/>
      <family val="3"/>
      <charset val="134"/>
      <scheme val="minor"/>
    </font>
    <font>
      <sz val="9"/>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2" borderId="0" xfId="0" applyFill="1">
      <alignment vertical="center"/>
    </xf>
    <xf numFmtId="0" fontId="3" fillId="0" borderId="0" xfId="0" applyFont="1">
      <alignment vertical="center"/>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0" fontId="4" fillId="0" borderId="0" xfId="0" applyFont="1" applyAlignment="1">
      <alignment vertical="center" wrapText="1"/>
    </xf>
    <xf numFmtId="0" fontId="0" fillId="4" borderId="0" xfId="0" applyFill="1">
      <alignment vertical="center"/>
    </xf>
    <xf numFmtId="0" fontId="0" fillId="5" borderId="0" xfId="0" applyFill="1">
      <alignment vertical="center"/>
    </xf>
    <xf numFmtId="0" fontId="8" fillId="0" borderId="0" xfId="0" applyFont="1">
      <alignment vertical="center"/>
    </xf>
    <xf numFmtId="0" fontId="7" fillId="0" borderId="0" xfId="0" applyFont="1">
      <alignment vertical="center"/>
    </xf>
    <xf numFmtId="14" fontId="0" fillId="0" borderId="0" xfId="0" applyNumberFormat="1">
      <alignment vertical="center"/>
    </xf>
    <xf numFmtId="0" fontId="4" fillId="0" borderId="0" xfId="0" applyFont="1" applyAlignment="1">
      <alignment horizontal="left" vertical="center" wrapText="1"/>
    </xf>
    <xf numFmtId="0" fontId="0" fillId="0" borderId="0" xfId="0" applyFill="1">
      <alignment vertical="center"/>
    </xf>
    <xf numFmtId="0" fontId="8" fillId="0" borderId="0" xfId="0" applyFont="1" applyFill="1">
      <alignment vertical="center"/>
    </xf>
    <xf numFmtId="0" fontId="0" fillId="0" borderId="0" xfId="0" applyAlignment="1">
      <alignment vertical="center" wrapText="1"/>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342900</xdr:colOff>
          <xdr:row>0</xdr:row>
          <xdr:rowOff>76200</xdr:rowOff>
        </xdr:from>
        <xdr:to>
          <xdr:col>147</xdr:col>
          <xdr:colOff>1384300</xdr:colOff>
          <xdr:row>0</xdr:row>
          <xdr:rowOff>387350</xdr:rowOff>
        </xdr:to>
        <xdr:sp macro="" textlink="">
          <xdr:nvSpPr>
            <xdr:cNvPr id="2050" name="Button 2" descr="更新基本面按钮&#10;" hidden="1">
              <a:extLst>
                <a:ext uri="{63B3BB69-23CF-44E3-9099-C40C66FF867C}">
                  <a14:compatExt spid="_x0000_s2050"/>
                </a:ext>
                <a:ext uri="{FF2B5EF4-FFF2-40B4-BE49-F238E27FC236}">
                  <a16:creationId xmlns:a16="http://schemas.microsoft.com/office/drawing/2014/main" xmlns=""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4"/>
  <sheetViews>
    <sheetView tabSelected="1" zoomScale="85" zoomScaleNormal="85" workbookViewId="0">
      <pane xSplit="5" ySplit="1" topLeftCell="F2" activePane="bottomRight" state="frozen"/>
      <selection pane="topRight" activeCell="F1" sqref="F1"/>
      <selection pane="bottomLeft" activeCell="A2" sqref="A2"/>
      <selection pane="bottomRight" activeCell="D11" sqref="D11:EP11"/>
    </sheetView>
  </sheetViews>
  <sheetFormatPr defaultRowHeight="14" x14ac:dyDescent="0.25"/>
  <cols>
    <col min="1" max="1" width="32.36328125" customWidth="1"/>
    <col min="2" max="2" width="33.90625" customWidth="1"/>
    <col min="3" max="3" width="40.81640625" customWidth="1"/>
    <col min="9" max="9" width="10.453125" customWidth="1"/>
    <col min="148" max="148" width="24.453125" customWidth="1"/>
  </cols>
  <sheetData>
    <row r="1" spans="1:146" s="2" customFormat="1" ht="37.5" customHeight="1" x14ac:dyDescent="0.25">
      <c r="A1" s="3" t="s">
        <v>3</v>
      </c>
      <c r="B1" s="4" t="s">
        <v>4</v>
      </c>
      <c r="C1" s="3" t="s">
        <v>5</v>
      </c>
      <c r="D1" t="s">
        <v>6</v>
      </c>
      <c r="E1" t="s">
        <v>100</v>
      </c>
      <c r="F1" t="s">
        <v>0</v>
      </c>
      <c r="G1" t="s">
        <v>161</v>
      </c>
      <c r="H1" t="s">
        <v>162</v>
      </c>
      <c r="I1" t="s">
        <v>7</v>
      </c>
      <c r="J1" t="s">
        <v>8</v>
      </c>
      <c r="K1" t="s">
        <v>1</v>
      </c>
      <c r="L1" t="s">
        <v>9</v>
      </c>
      <c r="M1" t="s">
        <v>10</v>
      </c>
      <c r="N1" t="s">
        <v>11</v>
      </c>
      <c r="O1" t="s">
        <v>12</v>
      </c>
      <c r="P1" t="s">
        <v>163</v>
      </c>
      <c r="Q1" t="s">
        <v>122</v>
      </c>
      <c r="R1" t="s">
        <v>101</v>
      </c>
      <c r="S1" t="s">
        <v>13</v>
      </c>
      <c r="T1" t="s">
        <v>164</v>
      </c>
      <c r="U1" t="s">
        <v>78</v>
      </c>
      <c r="V1" t="s">
        <v>14</v>
      </c>
      <c r="W1" t="s">
        <v>123</v>
      </c>
      <c r="X1" t="s">
        <v>124</v>
      </c>
      <c r="Y1" t="s">
        <v>125</v>
      </c>
      <c r="Z1" t="s">
        <v>126</v>
      </c>
      <c r="AA1" t="s">
        <v>127</v>
      </c>
      <c r="AB1" t="s">
        <v>165</v>
      </c>
      <c r="AC1" t="s">
        <v>128</v>
      </c>
      <c r="AD1" t="s">
        <v>129</v>
      </c>
      <c r="AE1" t="s">
        <v>15</v>
      </c>
      <c r="AF1" t="s">
        <v>16</v>
      </c>
      <c r="AG1" t="s">
        <v>166</v>
      </c>
      <c r="AH1" t="s">
        <v>102</v>
      </c>
      <c r="AI1" t="s">
        <v>167</v>
      </c>
      <c r="AJ1" t="s">
        <v>17</v>
      </c>
      <c r="AK1" t="s">
        <v>168</v>
      </c>
      <c r="AL1" t="s">
        <v>28</v>
      </c>
      <c r="AM1" t="s">
        <v>169</v>
      </c>
      <c r="AN1" t="s">
        <v>170</v>
      </c>
      <c r="AO1" t="s">
        <v>171</v>
      </c>
      <c r="AP1" t="s">
        <v>172</v>
      </c>
      <c r="AQ1" t="s">
        <v>173</v>
      </c>
      <c r="AR1" t="s">
        <v>174</v>
      </c>
      <c r="AS1" t="s">
        <v>175</v>
      </c>
      <c r="AT1" t="s">
        <v>176</v>
      </c>
      <c r="AU1" t="s">
        <v>177</v>
      </c>
      <c r="AV1" t="s">
        <v>178</v>
      </c>
      <c r="AW1" t="s">
        <v>179</v>
      </c>
      <c r="AX1" t="s">
        <v>103</v>
      </c>
      <c r="AY1" t="s">
        <v>29</v>
      </c>
      <c r="AZ1" t="s">
        <v>30</v>
      </c>
      <c r="BA1" t="s">
        <v>31</v>
      </c>
      <c r="BB1" t="s">
        <v>32</v>
      </c>
      <c r="BC1" t="s">
        <v>79</v>
      </c>
      <c r="BD1" t="s">
        <v>33</v>
      </c>
      <c r="BE1" t="s">
        <v>34</v>
      </c>
      <c r="BF1" t="s">
        <v>35</v>
      </c>
      <c r="BG1" t="s">
        <v>36</v>
      </c>
      <c r="BH1" t="s">
        <v>180</v>
      </c>
      <c r="BI1" t="s">
        <v>181</v>
      </c>
      <c r="BJ1" t="s">
        <v>182</v>
      </c>
      <c r="BK1" t="s">
        <v>183</v>
      </c>
      <c r="BL1" t="s">
        <v>184</v>
      </c>
      <c r="BM1" t="s">
        <v>185</v>
      </c>
      <c r="BN1" t="s">
        <v>104</v>
      </c>
      <c r="BO1" t="s">
        <v>80</v>
      </c>
      <c r="BP1" t="s">
        <v>37</v>
      </c>
      <c r="BQ1" t="s">
        <v>105</v>
      </c>
      <c r="BR1" t="s">
        <v>81</v>
      </c>
      <c r="BS1" t="s">
        <v>38</v>
      </c>
      <c r="BT1" t="s">
        <v>186</v>
      </c>
      <c r="BU1" t="s">
        <v>130</v>
      </c>
      <c r="BV1" t="s">
        <v>187</v>
      </c>
      <c r="BW1" t="s">
        <v>39</v>
      </c>
      <c r="BX1" t="s">
        <v>40</v>
      </c>
      <c r="BY1" t="s">
        <v>188</v>
      </c>
      <c r="BZ1" t="s">
        <v>41</v>
      </c>
      <c r="CA1" t="s">
        <v>42</v>
      </c>
      <c r="CB1" t="s">
        <v>189</v>
      </c>
      <c r="CC1" t="s">
        <v>190</v>
      </c>
      <c r="CD1" t="s">
        <v>191</v>
      </c>
      <c r="CE1" t="s">
        <v>192</v>
      </c>
      <c r="CF1" t="s">
        <v>106</v>
      </c>
      <c r="CG1" t="s">
        <v>107</v>
      </c>
      <c r="CH1" t="s">
        <v>108</v>
      </c>
      <c r="CI1" t="s">
        <v>109</v>
      </c>
      <c r="CJ1" t="s">
        <v>110</v>
      </c>
      <c r="CK1" t="s">
        <v>111</v>
      </c>
      <c r="CL1" t="s">
        <v>112</v>
      </c>
      <c r="CM1" t="s">
        <v>113</v>
      </c>
      <c r="CN1" t="s">
        <v>114</v>
      </c>
      <c r="CO1" t="s">
        <v>115</v>
      </c>
      <c r="CP1" t="s">
        <v>116</v>
      </c>
      <c r="CQ1" t="s">
        <v>117</v>
      </c>
      <c r="CR1" t="s">
        <v>131</v>
      </c>
      <c r="CS1" t="s">
        <v>132</v>
      </c>
      <c r="CT1" t="s">
        <v>193</v>
      </c>
      <c r="CU1" t="s">
        <v>204</v>
      </c>
      <c r="CV1" t="s">
        <v>205</v>
      </c>
      <c r="CW1" t="s">
        <v>206</v>
      </c>
      <c r="CX1">
        <v>1</v>
      </c>
      <c r="CY1" t="s">
        <v>133</v>
      </c>
      <c r="CZ1" t="s">
        <v>194</v>
      </c>
      <c r="DA1">
        <v>3</v>
      </c>
      <c r="DB1" t="s">
        <v>134</v>
      </c>
      <c r="DC1" t="s">
        <v>207</v>
      </c>
      <c r="DD1">
        <v>6</v>
      </c>
      <c r="DE1" t="s">
        <v>135</v>
      </c>
      <c r="DF1" t="s">
        <v>195</v>
      </c>
      <c r="DG1">
        <v>10</v>
      </c>
      <c r="DH1" t="s">
        <v>136</v>
      </c>
      <c r="DI1" t="s">
        <v>208</v>
      </c>
      <c r="DJ1">
        <v>20</v>
      </c>
      <c r="DK1" t="s">
        <v>209</v>
      </c>
      <c r="DL1" t="s">
        <v>118</v>
      </c>
      <c r="DM1" t="s">
        <v>119</v>
      </c>
      <c r="DN1" s="1" t="s">
        <v>120</v>
      </c>
      <c r="DO1" t="s">
        <v>137</v>
      </c>
      <c r="DP1" t="s">
        <v>196</v>
      </c>
      <c r="DQ1" s="9" t="s">
        <v>138</v>
      </c>
      <c r="DR1" t="s">
        <v>210</v>
      </c>
      <c r="DS1" t="s">
        <v>211</v>
      </c>
      <c r="DT1" t="s">
        <v>139</v>
      </c>
      <c r="DU1" t="s">
        <v>140</v>
      </c>
      <c r="DV1" t="s">
        <v>197</v>
      </c>
      <c r="DW1" t="s">
        <v>198</v>
      </c>
      <c r="DX1" t="s">
        <v>199</v>
      </c>
      <c r="DY1" t="s">
        <v>212</v>
      </c>
      <c r="DZ1" t="s">
        <v>141</v>
      </c>
      <c r="EA1" t="s">
        <v>142</v>
      </c>
      <c r="EB1" t="s">
        <v>143</v>
      </c>
      <c r="EC1" t="s">
        <v>200</v>
      </c>
      <c r="ED1" t="s">
        <v>213</v>
      </c>
      <c r="EE1" t="s">
        <v>214</v>
      </c>
      <c r="EF1" t="s">
        <v>144</v>
      </c>
      <c r="EG1" t="s">
        <v>215</v>
      </c>
      <c r="EH1" t="s">
        <v>201</v>
      </c>
      <c r="EI1" t="s">
        <v>216</v>
      </c>
      <c r="EJ1"/>
      <c r="EK1" s="11" t="s">
        <v>145</v>
      </c>
      <c r="EL1" t="s">
        <v>146</v>
      </c>
      <c r="EM1" t="s">
        <v>147</v>
      </c>
      <c r="EN1" t="s">
        <v>217</v>
      </c>
      <c r="EO1" t="s">
        <v>202</v>
      </c>
      <c r="EP1" t="s">
        <v>203</v>
      </c>
    </row>
    <row r="2" spans="1:146" s="2" customFormat="1" ht="108" x14ac:dyDescent="0.25">
      <c r="A2" s="6"/>
      <c r="B2" s="6"/>
      <c r="C2" s="6" t="str">
        <f>""&amp;CHAR(10)&amp;Basic_Fundamental_Information_Constructure(F2)&amp;CHAR(10)&amp;Basic_Fundamental_Information_Concatenate("")</f>
        <v xml:space="preserve">
市值40.569542亿, 利润1.66亿; PE23.03; 平均PE34.41; 平均PEG3.69, PB2.37; ROIC15.755%; ROE0%; 股利率1.2346%; 毛利31.7333%; 净利15.83%; 上一年度营收增10.1%, 利润增25.76%; 当季营收增11.11%, 利润增32.21%; 过往5年营收增9.32%, 利润增20%
Income profile:
</v>
      </c>
      <c r="D2" t="s">
        <v>264</v>
      </c>
      <c r="E2" t="s">
        <v>265</v>
      </c>
      <c r="F2">
        <v>21.87</v>
      </c>
      <c r="G2">
        <v>-1.97</v>
      </c>
      <c r="H2" t="s">
        <v>378</v>
      </c>
      <c r="I2">
        <v>4056954200</v>
      </c>
      <c r="J2">
        <v>23.03</v>
      </c>
      <c r="K2">
        <v>2.37</v>
      </c>
      <c r="L2" t="s">
        <v>57</v>
      </c>
      <c r="M2" t="s">
        <v>283</v>
      </c>
      <c r="N2" t="s">
        <v>379</v>
      </c>
      <c r="O2" t="s">
        <v>287</v>
      </c>
      <c r="P2" s="5">
        <v>10.87</v>
      </c>
      <c r="Q2" t="s">
        <v>288</v>
      </c>
      <c r="R2">
        <v>42686642</v>
      </c>
      <c r="S2">
        <v>0.3221</v>
      </c>
      <c r="T2" t="s">
        <v>289</v>
      </c>
      <c r="U2">
        <v>45448485</v>
      </c>
      <c r="V2">
        <v>185503170</v>
      </c>
      <c r="W2">
        <v>1.24</v>
      </c>
      <c r="X2">
        <v>0.13</v>
      </c>
      <c r="Y2">
        <v>19.41</v>
      </c>
      <c r="Z2" t="s">
        <v>94</v>
      </c>
      <c r="AA2" t="s">
        <v>380</v>
      </c>
      <c r="AB2" t="s">
        <v>381</v>
      </c>
      <c r="AC2" t="s">
        <v>382</v>
      </c>
      <c r="AD2" t="s">
        <v>2</v>
      </c>
      <c r="AE2">
        <v>-821093</v>
      </c>
      <c r="AF2" t="s">
        <v>290</v>
      </c>
      <c r="AG2">
        <v>2344.59</v>
      </c>
      <c r="AH2" t="s">
        <v>291</v>
      </c>
      <c r="AI2" t="s">
        <v>383</v>
      </c>
      <c r="AJ2" t="s">
        <v>292</v>
      </c>
      <c r="AK2" t="s">
        <v>384</v>
      </c>
      <c r="AL2" t="s">
        <v>293</v>
      </c>
      <c r="AM2" t="s">
        <v>2</v>
      </c>
      <c r="AN2" t="s">
        <v>385</v>
      </c>
      <c r="AO2" t="s">
        <v>386</v>
      </c>
      <c r="AP2" t="s">
        <v>387</v>
      </c>
      <c r="AQ2" t="s">
        <v>388</v>
      </c>
      <c r="AR2" t="s">
        <v>2</v>
      </c>
      <c r="AS2" t="s">
        <v>389</v>
      </c>
      <c r="AT2" t="s">
        <v>390</v>
      </c>
      <c r="AU2" t="s">
        <v>391</v>
      </c>
      <c r="AV2" t="s">
        <v>392</v>
      </c>
      <c r="AW2" t="s">
        <v>393</v>
      </c>
      <c r="AX2" t="s">
        <v>266</v>
      </c>
      <c r="AY2" t="s">
        <v>294</v>
      </c>
      <c r="AZ2" t="s">
        <v>295</v>
      </c>
      <c r="BA2" t="s">
        <v>296</v>
      </c>
      <c r="BB2" t="s">
        <v>2</v>
      </c>
      <c r="BC2" t="s">
        <v>247</v>
      </c>
      <c r="BD2" t="s">
        <v>246</v>
      </c>
      <c r="BE2" t="s">
        <v>297</v>
      </c>
      <c r="BF2" t="s">
        <v>298</v>
      </c>
      <c r="BG2" t="s">
        <v>2</v>
      </c>
      <c r="BH2" t="s">
        <v>288</v>
      </c>
      <c r="BI2" t="s">
        <v>299</v>
      </c>
      <c r="BJ2" t="s">
        <v>266</v>
      </c>
      <c r="BK2" t="s">
        <v>289</v>
      </c>
      <c r="BL2" t="s">
        <v>300</v>
      </c>
      <c r="BM2" t="s">
        <v>247</v>
      </c>
      <c r="BN2" t="s">
        <v>2</v>
      </c>
      <c r="BO2">
        <v>15</v>
      </c>
      <c r="BP2">
        <v>16.510000000000002</v>
      </c>
      <c r="BQ2" t="s">
        <v>2</v>
      </c>
      <c r="BR2" t="s">
        <v>2</v>
      </c>
      <c r="BS2" t="s">
        <v>2</v>
      </c>
      <c r="BT2" t="s">
        <v>301</v>
      </c>
      <c r="BU2" t="s">
        <v>57</v>
      </c>
      <c r="BV2">
        <v>33.79</v>
      </c>
      <c r="BW2">
        <v>29.06</v>
      </c>
      <c r="BX2">
        <v>32.35</v>
      </c>
      <c r="BY2">
        <v>17.89</v>
      </c>
      <c r="BZ2">
        <v>15.7</v>
      </c>
      <c r="CA2">
        <v>13.9</v>
      </c>
      <c r="CB2">
        <v>-1.8</v>
      </c>
      <c r="CC2" s="13">
        <v>-15.98</v>
      </c>
      <c r="CD2" s="13" t="s">
        <v>394</v>
      </c>
      <c r="CE2" s="13" t="s">
        <v>395</v>
      </c>
      <c r="CF2" s="7">
        <v>0.11111111111111126</v>
      </c>
      <c r="CG2" s="8">
        <v>0.32209997831944748</v>
      </c>
      <c r="CH2" s="7">
        <v>0.10095012187957764</v>
      </c>
      <c r="CI2" s="7">
        <v>-3.990878164768219E-2</v>
      </c>
      <c r="CJ2" s="7">
        <v>0.30895522236824036</v>
      </c>
      <c r="CK2" s="7">
        <v>2.9940120875835419E-3</v>
      </c>
      <c r="CL2" s="7" t="s">
        <v>2</v>
      </c>
      <c r="CM2" s="8">
        <v>0.25757575035095215</v>
      </c>
      <c r="CN2" s="8">
        <v>8.196721225976944E-2</v>
      </c>
      <c r="CO2" s="8">
        <v>0.78300803899765015</v>
      </c>
      <c r="CP2" s="8">
        <v>-0.32253766059875488</v>
      </c>
      <c r="CQ2" s="8" t="s">
        <v>2</v>
      </c>
      <c r="CR2" s="13">
        <v>34.414583261582457</v>
      </c>
      <c r="CS2" s="13">
        <v>3.6906651907111101</v>
      </c>
      <c r="CT2" s="13">
        <v>1.2345679012345678</v>
      </c>
      <c r="CU2" s="7">
        <v>9.3247643671929836E-2</v>
      </c>
      <c r="CV2" s="8">
        <v>0.20000333525240421</v>
      </c>
      <c r="CW2">
        <v>0.06</v>
      </c>
      <c r="CX2">
        <v>15.787665424208175</v>
      </c>
      <c r="CY2">
        <v>171206706.46183053</v>
      </c>
      <c r="CZ2">
        <v>9.3247643671929836E-2</v>
      </c>
      <c r="DA2">
        <v>5.145098264651792</v>
      </c>
      <c r="DB2">
        <v>525345496.03649402</v>
      </c>
      <c r="DC2">
        <v>8.8585261488333344E-2</v>
      </c>
      <c r="DD2">
        <v>2.5235067288420701</v>
      </c>
      <c r="DE2">
        <v>1071110359.685972</v>
      </c>
      <c r="DF2">
        <v>8.205792643129825E-2</v>
      </c>
      <c r="DG2">
        <v>1.5091219934044982</v>
      </c>
      <c r="DH2">
        <v>1791077336.2346144</v>
      </c>
      <c r="DI2">
        <v>7.4598114937543869E-2</v>
      </c>
      <c r="DJ2">
        <v>0.77249066060017046</v>
      </c>
      <c r="DK2">
        <v>3499012140.6775279</v>
      </c>
      <c r="DL2">
        <v>6.5273350570350885E-2</v>
      </c>
      <c r="DM2">
        <v>166000000</v>
      </c>
      <c r="DN2">
        <v>9.3247643671929836E-2</v>
      </c>
      <c r="DO2">
        <v>2702954200</v>
      </c>
      <c r="DP2">
        <v>1238031400</v>
      </c>
      <c r="DQ2" s="9">
        <v>504</v>
      </c>
      <c r="DR2">
        <v>1.7863467439181421E-2</v>
      </c>
      <c r="DS2">
        <v>0.12209664306704326</v>
      </c>
      <c r="DT2">
        <v>-0.36799999999999999</v>
      </c>
      <c r="DU2">
        <v>0.64400000000000002</v>
      </c>
      <c r="DV2">
        <v>0.27600000000000002</v>
      </c>
      <c r="DW2">
        <v>-2.1598000000000002</v>
      </c>
      <c r="DX2">
        <v>0.51193407407407421</v>
      </c>
      <c r="DY2">
        <v>-2.0210830650370371</v>
      </c>
      <c r="DZ2">
        <v>1104</v>
      </c>
      <c r="EA2">
        <v>-2.016528132786374</v>
      </c>
      <c r="EB2" s="10">
        <v>2</v>
      </c>
      <c r="EC2" s="10">
        <v>9.6015070793668916E-2</v>
      </c>
      <c r="ED2">
        <v>0.72775036674575422</v>
      </c>
      <c r="EE2">
        <v>4.0678099999999997</v>
      </c>
      <c r="EF2">
        <v>4.0950100000000003</v>
      </c>
      <c r="EG2">
        <v>38.131934074074074</v>
      </c>
      <c r="EH2" s="11" t="s">
        <v>396</v>
      </c>
      <c r="EI2">
        <v>0</v>
      </c>
      <c r="EJ2">
        <v>1</v>
      </c>
      <c r="EK2">
        <v>45470</v>
      </c>
      <c r="EL2">
        <v>-0.68</v>
      </c>
      <c r="EM2">
        <v>-6.08</v>
      </c>
      <c r="EN2">
        <v>0.63</v>
      </c>
      <c r="EO2">
        <v>2.4300000000000002</v>
      </c>
      <c r="EP2">
        <v>-2.72</v>
      </c>
    </row>
    <row r="3" spans="1:146" ht="96" x14ac:dyDescent="0.25">
      <c r="A3" s="6"/>
      <c r="B3" s="6"/>
      <c r="C3" s="6" t="str">
        <f>""&amp;CHAR(10)&amp;Basic_Fundamental_Information_Constructure(F3)&amp;CHAR(10)&amp;Basic_Fundamental_Information_Concatenate("")</f>
        <v xml:space="preserve">
市值30.3亿, 利润-2742.61万; PE; 平均PE-66.17; 平均PEG-3.91, PB8.61; ROIC1.13%; ROE-.8533%; 股利率0%; 毛利22.39%; 净利-2.4867%; 上一年度营收增-16.72%, 利润增-933.9%; 当季营收增-1.11%, 利润增-231.75%; 过往5年营收增-16.93%, 利润增-623.67%
Income profile:
</v>
      </c>
      <c r="D3" t="s">
        <v>267</v>
      </c>
      <c r="E3" t="s">
        <v>268</v>
      </c>
      <c r="F3">
        <v>25.25</v>
      </c>
      <c r="G3">
        <v>1.73</v>
      </c>
      <c r="H3" t="s">
        <v>397</v>
      </c>
      <c r="I3">
        <v>3030000000</v>
      </c>
      <c r="K3">
        <v>8.61</v>
      </c>
      <c r="L3" t="s">
        <v>57</v>
      </c>
      <c r="M3" t="s">
        <v>269</v>
      </c>
      <c r="N3" t="s">
        <v>398</v>
      </c>
      <c r="O3" t="s">
        <v>302</v>
      </c>
      <c r="P3" s="5">
        <v>-1.1100000000000001</v>
      </c>
      <c r="Q3" t="s">
        <v>303</v>
      </c>
      <c r="R3">
        <v>-15783997</v>
      </c>
      <c r="S3">
        <v>-2.3180000000000001</v>
      </c>
      <c r="T3" t="s">
        <v>304</v>
      </c>
      <c r="U3">
        <v>118083136</v>
      </c>
      <c r="V3">
        <v>120000000</v>
      </c>
      <c r="W3">
        <v>1.38</v>
      </c>
      <c r="X3">
        <v>0.12</v>
      </c>
      <c r="Y3">
        <v>-26.3</v>
      </c>
      <c r="Z3" t="s">
        <v>399</v>
      </c>
      <c r="AA3" t="s">
        <v>400</v>
      </c>
      <c r="AB3" t="s">
        <v>401</v>
      </c>
      <c r="AC3" t="s">
        <v>402</v>
      </c>
      <c r="AD3" t="s">
        <v>2</v>
      </c>
      <c r="AE3">
        <v>85678</v>
      </c>
      <c r="AF3" t="s">
        <v>306</v>
      </c>
      <c r="AG3">
        <v>1104</v>
      </c>
      <c r="AH3" t="s">
        <v>307</v>
      </c>
      <c r="AI3" t="s">
        <v>403</v>
      </c>
      <c r="AJ3" t="s">
        <v>308</v>
      </c>
      <c r="AK3" t="s">
        <v>404</v>
      </c>
      <c r="AL3" t="s">
        <v>309</v>
      </c>
      <c r="AM3" t="s">
        <v>2</v>
      </c>
      <c r="AN3" t="s">
        <v>405</v>
      </c>
      <c r="AO3" t="s">
        <v>406</v>
      </c>
      <c r="AP3" t="s">
        <v>407</v>
      </c>
      <c r="AQ3" t="s">
        <v>408</v>
      </c>
      <c r="AR3" t="s">
        <v>2</v>
      </c>
      <c r="AS3" t="s">
        <v>359</v>
      </c>
      <c r="AT3" t="s">
        <v>2</v>
      </c>
      <c r="AU3" t="s">
        <v>409</v>
      </c>
      <c r="AV3" t="s">
        <v>410</v>
      </c>
      <c r="AW3" t="s">
        <v>411</v>
      </c>
      <c r="AX3" t="s">
        <v>270</v>
      </c>
      <c r="AY3" t="s">
        <v>272</v>
      </c>
      <c r="AZ3" t="s">
        <v>273</v>
      </c>
      <c r="BA3" t="s">
        <v>274</v>
      </c>
      <c r="BB3" t="s">
        <v>275</v>
      </c>
      <c r="BC3" t="s">
        <v>271</v>
      </c>
      <c r="BD3" t="s">
        <v>276</v>
      </c>
      <c r="BE3" t="s">
        <v>277</v>
      </c>
      <c r="BF3" t="s">
        <v>278</v>
      </c>
      <c r="BG3" t="s">
        <v>279</v>
      </c>
      <c r="BH3" t="s">
        <v>303</v>
      </c>
      <c r="BI3" t="s">
        <v>310</v>
      </c>
      <c r="BJ3" t="s">
        <v>270</v>
      </c>
      <c r="BK3" t="s">
        <v>304</v>
      </c>
      <c r="BL3" t="s">
        <v>311</v>
      </c>
      <c r="BM3" t="s">
        <v>271</v>
      </c>
      <c r="BN3" t="s">
        <v>2</v>
      </c>
      <c r="BO3">
        <v>0.8</v>
      </c>
      <c r="BP3">
        <v>1.46</v>
      </c>
      <c r="BQ3">
        <v>-4.76</v>
      </c>
      <c r="BR3">
        <v>0.84</v>
      </c>
      <c r="BS3">
        <v>1.36</v>
      </c>
      <c r="BT3" t="s">
        <v>219</v>
      </c>
      <c r="BU3" t="s">
        <v>57</v>
      </c>
      <c r="BV3">
        <v>22.57</v>
      </c>
      <c r="BW3">
        <v>19.78</v>
      </c>
      <c r="BX3">
        <v>24.82</v>
      </c>
      <c r="BY3">
        <v>-9.65</v>
      </c>
      <c r="BZ3">
        <v>0.92</v>
      </c>
      <c r="CA3">
        <v>1.27</v>
      </c>
      <c r="CB3">
        <v>-5.29</v>
      </c>
      <c r="CC3" s="13">
        <v>-10.14</v>
      </c>
      <c r="CD3" s="13" t="s">
        <v>412</v>
      </c>
      <c r="CE3" s="13" t="s">
        <v>413</v>
      </c>
      <c r="CF3" s="7">
        <v>-1.1144883485309016E-2</v>
      </c>
      <c r="CG3" s="8">
        <v>-2.3174990541847071</v>
      </c>
      <c r="CH3" s="7">
        <v>-0.1671554297208786</v>
      </c>
      <c r="CI3" s="7">
        <v>-0.16829268634319305</v>
      </c>
      <c r="CJ3" s="7">
        <v>-0.1683569997549057</v>
      </c>
      <c r="CK3" s="7">
        <v>-0.35974025726318359</v>
      </c>
      <c r="CL3" s="7">
        <v>1.7173051834106445E-2</v>
      </c>
      <c r="CM3" s="8">
        <v>-9.3389883041381836</v>
      </c>
      <c r="CN3" s="8">
        <v>-0.37283805012702942</v>
      </c>
      <c r="CO3" s="8">
        <v>-0.93377929925918579</v>
      </c>
      <c r="CP3" s="8">
        <v>1.2249749898910522</v>
      </c>
      <c r="CQ3" s="8">
        <v>-21.762796401977539</v>
      </c>
      <c r="CR3" s="13">
        <v>-66.169606021506951</v>
      </c>
      <c r="CS3" s="13">
        <v>-3.9090128753226314</v>
      </c>
      <c r="CT3" s="13">
        <v>0</v>
      </c>
      <c r="CU3" s="7">
        <v>-0.1692744642496109</v>
      </c>
      <c r="CV3" s="8">
        <v>-6.2366854131221769</v>
      </c>
      <c r="CW3">
        <v>0.06</v>
      </c>
      <c r="CX3" t="e">
        <v>#VALUE!</v>
      </c>
      <c r="CY3" t="s">
        <v>312</v>
      </c>
      <c r="CZ3">
        <v>-0.1692744642496109</v>
      </c>
      <c r="DA3" t="e">
        <v>#VALUE!</v>
      </c>
      <c r="DB3" t="s">
        <v>313</v>
      </c>
      <c r="DC3">
        <v>-0.16081074103713036</v>
      </c>
      <c r="DD3" t="e">
        <v>#VALUE!</v>
      </c>
      <c r="DE3" t="s">
        <v>313</v>
      </c>
      <c r="DF3">
        <v>-0.14896152853965761</v>
      </c>
      <c r="DG3" t="e">
        <v>#VALUE!</v>
      </c>
      <c r="DH3" t="s">
        <v>313</v>
      </c>
      <c r="DI3">
        <v>-0.13541957139968872</v>
      </c>
      <c r="DJ3" t="e">
        <v>#VALUE!</v>
      </c>
      <c r="DK3" t="s">
        <v>313</v>
      </c>
      <c r="DL3">
        <v>-0.11849212497472762</v>
      </c>
      <c r="DM3">
        <v>-27426100</v>
      </c>
      <c r="DN3">
        <v>-0.1692744642496109</v>
      </c>
      <c r="DO3">
        <v>2827000000</v>
      </c>
      <c r="DP3">
        <v>110242520</v>
      </c>
      <c r="DQ3" s="9">
        <v>1285</v>
      </c>
      <c r="DR3">
        <v>0.15812958076430189</v>
      </c>
      <c r="DS3">
        <v>3.9191863589374698</v>
      </c>
      <c r="DT3">
        <v>-1.0066666666666666</v>
      </c>
      <c r="DU3">
        <v>-2.4483333333333337</v>
      </c>
      <c r="DV3">
        <v>-3.4550000000000001</v>
      </c>
      <c r="DW3">
        <v>-8.5216962524654836</v>
      </c>
      <c r="DX3">
        <v>0.3371641566830661</v>
      </c>
      <c r="DY3">
        <v>-8.0454732138908689</v>
      </c>
      <c r="DZ3">
        <v>5023</v>
      </c>
      <c r="EA3">
        <v>-8.0007742014889445</v>
      </c>
      <c r="EB3" s="10">
        <v>8</v>
      </c>
      <c r="EC3" s="10">
        <v>4.83525E-2</v>
      </c>
      <c r="ED3">
        <v>0.55472916666666672</v>
      </c>
      <c r="EE3">
        <v>-1.0562100000000001</v>
      </c>
      <c r="EF3">
        <v>-1.08081</v>
      </c>
      <c r="EG3">
        <v>25.087164156683066</v>
      </c>
      <c r="EH3" s="11" t="s">
        <v>254</v>
      </c>
      <c r="EI3">
        <v>0</v>
      </c>
      <c r="EJ3">
        <v>0</v>
      </c>
      <c r="EK3">
        <v>45470</v>
      </c>
      <c r="EL3">
        <v>1.05</v>
      </c>
      <c r="EM3">
        <v>-6.26</v>
      </c>
      <c r="EN3">
        <v>0.84</v>
      </c>
      <c r="EO3">
        <v>1.63</v>
      </c>
      <c r="EP3">
        <v>-2.46</v>
      </c>
    </row>
    <row r="4" spans="1:146" ht="180" x14ac:dyDescent="0.25">
      <c r="A4" s="6" t="s">
        <v>222</v>
      </c>
      <c r="B4" s="6" t="s">
        <v>223</v>
      </c>
      <c r="C4" s="6" t="str">
        <f>"公司是一家专业从事人造金刚石产品研发、生产和销售的高新技术企业，主要产品包括金刚石单晶、金刚石微粉和培育钻石。受益于多年的研发创新成果，发行人获得了河南省高新技术特色产业基地首批骨干企业"&amp;CHAR(10)&amp;Basic_Fundamental_Information_Constructure(F4)&amp;CHAR(10)&amp;Basic_Fundamental_Information_Concatenate("培育钻石 3.89亿 42.89% 53.71% 79.25%
金刚石微粉 3.16亿 34.89% 29.77% 54.00%
金刚石单晶 1.74亿 19.24% 16.02% 52.70%
其他 2695.85万 2.97% 0.50% 10.71%")</f>
        <v>公司是一家专业从事人造金刚石产品研发、生产和销售的高新技术企业，主要产品包括金刚石单晶、金刚石微粉和培育钻石。受益于多年的研发创新成果，发行人获得了河南省高新技术特色产业基地首批骨干企业
市值70.091334亿, 利润2325.77万; PE17.74; 平均PE45.15; 平均PEG1.22, PB1.31; ROIC16.66%; ROE28.7067%; 股利率1.8567%; 毛利59.6767%; 净利49.0733%; 上一年度营收增-20.09%, 利润增-94.94%; 当季营收增46.01%, 利润增1362.31%; 过往5年营收增36.86%, 利润增45.73%
Income profile:
培育钻石 3.89亿 42.89% 53.71% 79.25%
金刚石微粉 3.16亿 34.89% 29.77% 54.00%
金刚石单晶 1.74亿 19.24% 16.02% 52.70%
其他 2695.85万 2.97% 0.50% 10.71%</v>
      </c>
      <c r="D4" t="s">
        <v>148</v>
      </c>
      <c r="E4" t="s">
        <v>149</v>
      </c>
      <c r="F4">
        <v>26.93</v>
      </c>
      <c r="G4">
        <v>0.52</v>
      </c>
      <c r="H4" t="s">
        <v>414</v>
      </c>
      <c r="I4">
        <v>7009133400</v>
      </c>
      <c r="J4">
        <v>17.739999999999998</v>
      </c>
      <c r="K4">
        <v>1.31</v>
      </c>
      <c r="L4" t="s">
        <v>57</v>
      </c>
      <c r="M4" t="s">
        <v>314</v>
      </c>
      <c r="N4" t="s">
        <v>415</v>
      </c>
      <c r="O4" t="s">
        <v>280</v>
      </c>
      <c r="P4">
        <v>44.99</v>
      </c>
      <c r="Q4" t="s">
        <v>416</v>
      </c>
      <c r="R4">
        <v>106056781</v>
      </c>
      <c r="S4" s="5">
        <v>0.42149999999999999</v>
      </c>
      <c r="T4" t="s">
        <v>417</v>
      </c>
      <c r="U4">
        <v>130567118</v>
      </c>
      <c r="V4">
        <v>260272310</v>
      </c>
      <c r="W4">
        <v>1.22</v>
      </c>
      <c r="X4">
        <v>0.04</v>
      </c>
      <c r="Y4">
        <v>44.5</v>
      </c>
      <c r="Z4" t="s">
        <v>418</v>
      </c>
      <c r="AA4" t="s">
        <v>246</v>
      </c>
      <c r="AB4" t="s">
        <v>419</v>
      </c>
      <c r="AC4" t="s">
        <v>420</v>
      </c>
      <c r="AD4" t="s">
        <v>2</v>
      </c>
      <c r="AE4">
        <v>-1009675</v>
      </c>
      <c r="AF4" t="s">
        <v>316</v>
      </c>
      <c r="AG4">
        <v>7850.69</v>
      </c>
      <c r="AH4" t="s">
        <v>317</v>
      </c>
      <c r="AI4" t="s">
        <v>421</v>
      </c>
      <c r="AJ4" t="s">
        <v>318</v>
      </c>
      <c r="AK4" t="s">
        <v>422</v>
      </c>
      <c r="AL4" t="s">
        <v>319</v>
      </c>
      <c r="AM4" t="s">
        <v>2</v>
      </c>
      <c r="AN4" t="s">
        <v>423</v>
      </c>
      <c r="AO4" t="s">
        <v>320</v>
      </c>
      <c r="AP4" t="s">
        <v>305</v>
      </c>
      <c r="AQ4" t="s">
        <v>424</v>
      </c>
      <c r="AR4" t="s">
        <v>2</v>
      </c>
      <c r="AS4" t="s">
        <v>425</v>
      </c>
      <c r="AT4" t="s">
        <v>426</v>
      </c>
      <c r="AU4" t="s">
        <v>427</v>
      </c>
      <c r="AV4" t="s">
        <v>428</v>
      </c>
      <c r="AW4" t="s">
        <v>429</v>
      </c>
      <c r="AX4" t="s">
        <v>224</v>
      </c>
      <c r="AY4" t="s">
        <v>150</v>
      </c>
      <c r="AZ4" t="s">
        <v>152</v>
      </c>
      <c r="BA4" t="s">
        <v>121</v>
      </c>
      <c r="BB4" t="s">
        <v>153</v>
      </c>
      <c r="BC4" t="s">
        <v>225</v>
      </c>
      <c r="BD4" t="s">
        <v>151</v>
      </c>
      <c r="BE4" t="s">
        <v>154</v>
      </c>
      <c r="BF4" t="s">
        <v>155</v>
      </c>
      <c r="BG4" t="s">
        <v>156</v>
      </c>
      <c r="BH4" t="s">
        <v>315</v>
      </c>
      <c r="BI4" t="s">
        <v>18</v>
      </c>
      <c r="BJ4" t="s">
        <v>224</v>
      </c>
      <c r="BK4" t="s">
        <v>248</v>
      </c>
      <c r="BL4" t="s">
        <v>430</v>
      </c>
      <c r="BM4" t="s">
        <v>225</v>
      </c>
      <c r="BN4">
        <v>4.33</v>
      </c>
      <c r="BO4">
        <v>13.8</v>
      </c>
      <c r="BP4">
        <v>31.85</v>
      </c>
      <c r="BQ4">
        <v>4.9800000000000004</v>
      </c>
      <c r="BR4">
        <v>38.729999999999997</v>
      </c>
      <c r="BS4">
        <v>42.41</v>
      </c>
      <c r="BT4" t="s">
        <v>322</v>
      </c>
      <c r="BU4" t="s">
        <v>57</v>
      </c>
      <c r="BV4">
        <v>51.67</v>
      </c>
      <c r="BW4">
        <v>63.29</v>
      </c>
      <c r="BX4">
        <v>64.069999999999993</v>
      </c>
      <c r="BY4">
        <v>48.37</v>
      </c>
      <c r="BZ4">
        <v>50.78</v>
      </c>
      <c r="CA4">
        <v>48.07</v>
      </c>
      <c r="CB4">
        <v>-2.81</v>
      </c>
      <c r="CC4" s="13">
        <v>-13.27</v>
      </c>
      <c r="CD4" s="13" t="s">
        <v>431</v>
      </c>
      <c r="CE4" s="13" t="s">
        <v>432</v>
      </c>
      <c r="CF4" s="7">
        <v>0.46012269938650308</v>
      </c>
      <c r="CG4" s="8">
        <v>13.623075682159747</v>
      </c>
      <c r="CH4" s="7">
        <v>-0.20088300108909607</v>
      </c>
      <c r="CI4" s="7">
        <v>0.81927710771560669</v>
      </c>
      <c r="CJ4" s="7">
        <v>1.0326530933380127</v>
      </c>
      <c r="CK4" s="7">
        <v>0.1085972860455513</v>
      </c>
      <c r="CL4" s="7">
        <v>8.3333335816860199E-2</v>
      </c>
      <c r="CM4" s="8">
        <v>-0.94943976402282715</v>
      </c>
      <c r="CN4" s="8">
        <v>0.91666668653488159</v>
      </c>
      <c r="CO4" s="8">
        <v>2.2878153324127197</v>
      </c>
      <c r="CP4" s="8">
        <v>0.15644358098506927</v>
      </c>
      <c r="CQ4" s="8">
        <v>-0.12494420260190964</v>
      </c>
      <c r="CR4" s="13">
        <v>45.146868812807242</v>
      </c>
      <c r="CS4" s="13">
        <v>1.2248348373517965</v>
      </c>
      <c r="CT4" s="13">
        <v>1.8566654288897142</v>
      </c>
      <c r="CU4" s="7">
        <v>0.36859556436538699</v>
      </c>
      <c r="CV4" s="8">
        <v>0.45730832666158677</v>
      </c>
      <c r="CW4">
        <v>0.06</v>
      </c>
      <c r="CX4">
        <v>95.013660643810482</v>
      </c>
      <c r="CY4">
        <v>30028665.148434769</v>
      </c>
      <c r="CZ4">
        <v>0.36859556436538699</v>
      </c>
      <c r="DA4">
        <v>24.719375493160022</v>
      </c>
      <c r="DB4">
        <v>115420933.70398764</v>
      </c>
      <c r="DC4">
        <v>0.35016578614711763</v>
      </c>
      <c r="DD4">
        <v>8.7340335031880727</v>
      </c>
      <c r="DE4">
        <v>326668474.41775405</v>
      </c>
      <c r="DF4">
        <v>0.32436409664154053</v>
      </c>
      <c r="DG4">
        <v>3.4769194347543353</v>
      </c>
      <c r="DH4">
        <v>820592324.19389975</v>
      </c>
      <c r="DI4">
        <v>0.29487645149230962</v>
      </c>
      <c r="DJ4">
        <v>0.64941886513653113</v>
      </c>
      <c r="DK4">
        <v>4393363902.9721889</v>
      </c>
      <c r="DL4">
        <v>0.25801689505577086</v>
      </c>
      <c r="DM4">
        <v>23257700</v>
      </c>
      <c r="DN4">
        <v>0.36859556436538699</v>
      </c>
      <c r="DO4">
        <v>2853133400</v>
      </c>
      <c r="DP4">
        <v>3705450200</v>
      </c>
      <c r="DQ4">
        <v>2516</v>
      </c>
      <c r="DR4">
        <v>9.1527135021116091E-2</v>
      </c>
      <c r="DS4">
        <v>13.165767355498161</v>
      </c>
      <c r="DT4" s="9">
        <v>-3.9999999999999959E-2</v>
      </c>
      <c r="DU4">
        <v>0.70000000000000007</v>
      </c>
      <c r="DV4">
        <v>0.66000000000000014</v>
      </c>
      <c r="DW4">
        <v>-8.2117558402411461</v>
      </c>
      <c r="DX4">
        <v>0.3382352085415381</v>
      </c>
      <c r="DY4">
        <v>-8.025036995930801</v>
      </c>
      <c r="DZ4">
        <v>3750</v>
      </c>
      <c r="EA4">
        <v>-8.0066634666273764</v>
      </c>
      <c r="EB4">
        <v>8</v>
      </c>
      <c r="EC4">
        <v>2.8727988774526189E-2</v>
      </c>
      <c r="ED4">
        <v>0.24297321524521759</v>
      </c>
      <c r="EE4" s="10">
        <v>3.0758000000000001</v>
      </c>
      <c r="EF4">
        <v>3.0644</v>
      </c>
      <c r="EG4">
        <v>22.118235208541538</v>
      </c>
      <c r="EH4" t="s">
        <v>284</v>
      </c>
      <c r="EI4">
        <v>0</v>
      </c>
      <c r="EJ4">
        <v>0</v>
      </c>
      <c r="EK4" s="11">
        <v>45470</v>
      </c>
      <c r="EL4">
        <v>3.08</v>
      </c>
      <c r="EM4">
        <v>0.12</v>
      </c>
      <c r="EN4">
        <v>-1.32</v>
      </c>
      <c r="EO4">
        <v>3.19</v>
      </c>
      <c r="EP4">
        <v>-1.1399999999999999</v>
      </c>
    </row>
    <row r="5" spans="1:146" ht="180" x14ac:dyDescent="0.25">
      <c r="B5" s="15"/>
      <c r="C5" s="6" t="str">
        <f>"公司主营业务是纳米二氧化硅新材料的研发、生产、销售及技术方案提供，涂层助剂及其他原辅材料的销售。公司主要产品为消光剂、吸附剂、开口剂、防锈颜料、润湿分散剂、表面效果助剂、流变助剂、消泡剂和脱泡剂、附着力促进剂、树脂。"&amp;CHAR(10)&amp;Basic_Fundamental_Information_Constructure(F5)&amp;CHAR(10)&amp;Basic_Fundamental_Information_Concatenate("纳米新材料 3.44亿 85.68% 90.65% 40.07%
涂层助剂 5254.82万 13.10% 8.63% 24.97%
其他 490.98万 1.22% 0.71% 22.12%")</f>
        <v>公司主营业务是纳米二氧化硅新材料的研发、生产、销售及技术方案提供，涂层助剂及其他原辅材料的销售。公司主要产品为消光剂、吸附剂、开口剂、防锈颜料、润湿分散剂、表面效果助剂、流变助剂、消泡剂和脱泡剂、附着力促进剂、树脂。
市值23.972332亿, 利润4.13亿; PE18.53; 平均PE18.78; 平均PEG.07, PB1.57; ROIC12.3267%; ROE11.4%; 股利率1.3575%; 毛利38.0233%; 净利22.0533%; 上一年度营收增1414.71%, 利润增353.9%; 当季营收增-92.03%, 利润增-66.2%; 过往5年营收增288.57%, 利润增85.45%
Income profile:
纳米新材料 3.44亿 85.68% 90.65% 40.07%
涂层助剂 5254.82万 13.10% 8.63% 24.97%
其他 490.98万 1.22% 0.71% 22.12%</v>
      </c>
      <c r="D5" t="s">
        <v>220</v>
      </c>
      <c r="E5" t="s">
        <v>221</v>
      </c>
      <c r="F5">
        <v>22.1</v>
      </c>
      <c r="G5">
        <v>1.19</v>
      </c>
      <c r="H5" t="s">
        <v>433</v>
      </c>
      <c r="I5">
        <v>2397233200</v>
      </c>
      <c r="J5">
        <v>18.53</v>
      </c>
      <c r="K5">
        <v>1.57</v>
      </c>
      <c r="L5" t="s">
        <v>57</v>
      </c>
      <c r="M5" t="s">
        <v>323</v>
      </c>
      <c r="N5" t="s">
        <v>434</v>
      </c>
      <c r="O5" t="s">
        <v>298</v>
      </c>
      <c r="P5" s="5">
        <v>2.0499999999999998</v>
      </c>
      <c r="Q5" t="s">
        <v>435</v>
      </c>
      <c r="R5">
        <v>29534549</v>
      </c>
      <c r="S5">
        <v>0.18010000000000001</v>
      </c>
      <c r="T5" t="s">
        <v>436</v>
      </c>
      <c r="U5">
        <v>37377731</v>
      </c>
      <c r="V5">
        <v>108472091</v>
      </c>
      <c r="W5">
        <v>1.1100000000000001</v>
      </c>
      <c r="X5">
        <v>0.06</v>
      </c>
      <c r="Y5">
        <v>29.25</v>
      </c>
      <c r="Z5" t="s">
        <v>437</v>
      </c>
      <c r="AA5" t="s">
        <v>438</v>
      </c>
      <c r="AB5" t="s">
        <v>439</v>
      </c>
      <c r="AC5" t="s">
        <v>440</v>
      </c>
      <c r="AD5" t="s">
        <v>2</v>
      </c>
      <c r="AE5">
        <v>-2690871</v>
      </c>
      <c r="AF5" t="s">
        <v>325</v>
      </c>
      <c r="AG5">
        <v>259.83999999999997</v>
      </c>
      <c r="AH5" t="s">
        <v>326</v>
      </c>
      <c r="AI5" t="s">
        <v>441</v>
      </c>
      <c r="AJ5" t="s">
        <v>327</v>
      </c>
      <c r="AK5" t="s">
        <v>442</v>
      </c>
      <c r="AL5" t="s">
        <v>328</v>
      </c>
      <c r="AM5" t="s">
        <v>2</v>
      </c>
      <c r="AN5" t="s">
        <v>443</v>
      </c>
      <c r="AO5" t="s">
        <v>249</v>
      </c>
      <c r="AP5" t="s">
        <v>2</v>
      </c>
      <c r="AQ5" t="s">
        <v>444</v>
      </c>
      <c r="AR5" t="s">
        <v>2</v>
      </c>
      <c r="AS5" t="s">
        <v>87</v>
      </c>
      <c r="AT5" t="s">
        <v>2</v>
      </c>
      <c r="AU5" t="s">
        <v>445</v>
      </c>
      <c r="AV5" t="s">
        <v>446</v>
      </c>
      <c r="AW5" t="s">
        <v>447</v>
      </c>
      <c r="AX5" t="s">
        <v>226</v>
      </c>
      <c r="AY5" t="s">
        <v>228</v>
      </c>
      <c r="AZ5" t="s">
        <v>229</v>
      </c>
      <c r="BA5" t="s">
        <v>67</v>
      </c>
      <c r="BB5" t="s">
        <v>230</v>
      </c>
      <c r="BC5" t="s">
        <v>227</v>
      </c>
      <c r="BD5" t="s">
        <v>231</v>
      </c>
      <c r="BE5" t="s">
        <v>232</v>
      </c>
      <c r="BF5" t="s">
        <v>233</v>
      </c>
      <c r="BG5" t="s">
        <v>234</v>
      </c>
      <c r="BH5" t="s">
        <v>324</v>
      </c>
      <c r="BI5" t="s">
        <v>448</v>
      </c>
      <c r="BJ5" t="s">
        <v>226</v>
      </c>
      <c r="BK5" t="s">
        <v>250</v>
      </c>
      <c r="BL5" t="s">
        <v>449</v>
      </c>
      <c r="BM5" t="s">
        <v>227</v>
      </c>
      <c r="BN5">
        <v>8.0299999999999994</v>
      </c>
      <c r="BO5">
        <v>15.3</v>
      </c>
      <c r="BP5">
        <v>13.65</v>
      </c>
      <c r="BQ5">
        <v>6.89</v>
      </c>
      <c r="BR5">
        <v>15.91</v>
      </c>
      <c r="BS5" t="s">
        <v>2</v>
      </c>
      <c r="BT5" t="s">
        <v>235</v>
      </c>
      <c r="BU5" t="s">
        <v>57</v>
      </c>
      <c r="BV5">
        <v>41.1</v>
      </c>
      <c r="BW5">
        <v>37.869999999999997</v>
      </c>
      <c r="BX5">
        <v>35.1</v>
      </c>
      <c r="BY5">
        <v>26.83</v>
      </c>
      <c r="BZ5">
        <v>22.7</v>
      </c>
      <c r="CA5">
        <v>16.63</v>
      </c>
      <c r="CB5">
        <v>-3.07</v>
      </c>
      <c r="CC5" s="13">
        <v>-13.64</v>
      </c>
      <c r="CD5" s="13" t="s">
        <v>450</v>
      </c>
      <c r="CE5" s="13" t="s">
        <v>451</v>
      </c>
      <c r="CF5" s="7">
        <v>-0.92028413575374901</v>
      </c>
      <c r="CG5" s="8">
        <v>-0.66199527118040813</v>
      </c>
      <c r="CH5" s="7">
        <v>14.14713191986084</v>
      </c>
      <c r="CI5" s="7">
        <v>-1.955990307033062E-2</v>
      </c>
      <c r="CJ5" s="7">
        <v>0.16857142746448517</v>
      </c>
      <c r="CK5" s="7">
        <v>5.1051050424575806E-2</v>
      </c>
      <c r="CL5" s="7">
        <v>8.1168830394744873E-2</v>
      </c>
      <c r="CM5" s="8">
        <v>3.5389602184295654</v>
      </c>
      <c r="CN5" s="8">
        <v>0.34711790084838867</v>
      </c>
      <c r="CO5" s="8">
        <v>-0.15155284106731415</v>
      </c>
      <c r="CP5" s="8">
        <v>0.21825891733169556</v>
      </c>
      <c r="CQ5" s="8">
        <v>0.31961816549301147</v>
      </c>
      <c r="CR5" s="13">
        <v>18.777050676264459</v>
      </c>
      <c r="CS5" s="13">
        <v>6.5069925996501563E-2</v>
      </c>
      <c r="CT5" s="13">
        <v>1.3574660633484161</v>
      </c>
      <c r="CU5" s="7">
        <v>2.8856726650148632</v>
      </c>
      <c r="CV5" s="8">
        <v>0.85448047220706935</v>
      </c>
      <c r="CW5">
        <v>0.06</v>
      </c>
      <c r="CX5">
        <v>0.69965055990625336</v>
      </c>
      <c r="CY5">
        <v>1513946047.7840929</v>
      </c>
      <c r="CZ5">
        <v>2.8856726650148632</v>
      </c>
      <c r="DA5">
        <v>4.2773818580484735E-2</v>
      </c>
      <c r="DB5">
        <v>24763587520.410629</v>
      </c>
      <c r="DC5">
        <v>2.7413890317641201</v>
      </c>
      <c r="DD5">
        <v>1.2972831554789585E-3</v>
      </c>
      <c r="DE5">
        <v>816501159000.19519</v>
      </c>
      <c r="DF5">
        <v>2.5393919452130795</v>
      </c>
      <c r="DG5">
        <v>1.9861306010824284E-5</v>
      </c>
      <c r="DH5">
        <v>53331497909690.57</v>
      </c>
      <c r="DI5">
        <v>2.3085381320118907</v>
      </c>
      <c r="DJ5">
        <v>1.3407587400625218E-9</v>
      </c>
      <c r="DK5">
        <v>7.9002520613858253E+17</v>
      </c>
      <c r="DL5">
        <v>2.0199708655104041</v>
      </c>
      <c r="DM5">
        <v>413000000</v>
      </c>
      <c r="DN5">
        <v>2.8856726650148632</v>
      </c>
      <c r="DO5">
        <v>1059233200</v>
      </c>
      <c r="DP5">
        <v>1006643970</v>
      </c>
      <c r="DQ5" s="9">
        <v>2763</v>
      </c>
      <c r="DR5">
        <v>-3.8059568007686124</v>
      </c>
      <c r="DS5">
        <v>-1.5164757433874776</v>
      </c>
      <c r="DT5">
        <v>-6.6666666666666714E-3</v>
      </c>
      <c r="DU5">
        <v>9.3333333333333268E-2</v>
      </c>
      <c r="DV5">
        <v>8.66666666666666E-2</v>
      </c>
      <c r="DW5">
        <v>-8.2250733137829908</v>
      </c>
      <c r="DX5">
        <v>0.2452503825751392</v>
      </c>
      <c r="DY5">
        <v>-8.0259397855209436</v>
      </c>
      <c r="DZ5">
        <v>3887</v>
      </c>
      <c r="EA5">
        <v>-8.0062082891765396</v>
      </c>
      <c r="EB5" s="10">
        <v>8</v>
      </c>
      <c r="EC5" s="10">
        <v>1.7565808701889965E-2</v>
      </c>
      <c r="ED5">
        <v>0.15241432010377673</v>
      </c>
      <c r="EE5">
        <v>3.1419000000000001</v>
      </c>
      <c r="EF5">
        <v>3.0905999999999998</v>
      </c>
      <c r="EG5">
        <v>13.115250382575139</v>
      </c>
      <c r="EH5" s="11" t="s">
        <v>284</v>
      </c>
      <c r="EI5">
        <v>0</v>
      </c>
      <c r="EJ5">
        <v>0</v>
      </c>
      <c r="EK5">
        <v>45470</v>
      </c>
      <c r="EL5">
        <v>7.77</v>
      </c>
      <c r="EM5">
        <v>-5.15</v>
      </c>
      <c r="EN5">
        <v>9.9</v>
      </c>
      <c r="EO5">
        <v>0.4</v>
      </c>
      <c r="EP5">
        <v>-5.13</v>
      </c>
    </row>
    <row r="6" spans="1:146" ht="192" x14ac:dyDescent="0.25">
      <c r="A6" s="6" t="s">
        <v>281</v>
      </c>
      <c r="B6" s="6" t="s">
        <v>282</v>
      </c>
      <c r="C6" s="6" t="str">
        <f>"公司是专业从事铝用预焙阳极的研发、生产和销售的高新技术企业（预焙阳极是制造铝的必要材料）。“当前的双驱”：左驱动轮是指“预焙阳极碳材料”，争取未来五年预焙阳极产能持续提升，总产能达到约500万吨。右驱动轮是指“原材料石油焦”，发挥石油焦集中采购、全球采购的优势，构筑具有索通特色的石油焦供应体系。"&amp;CHAR(10)&amp;Basic_Fundamental_Information_Constructure(F6)&amp;CHAR(10)&amp;Basic_Fundamental_Information_Concatenate("阳极分部 76.36亿 93.92% 3860.45万 148.05% 0.51%
其他业务 3.04亿 3.74% -3982.86万 -152.75% -13.10%
负极分部 1.49亿 1.84% 、1860.67万 71.36% 12.47%")</f>
        <v>公司是专业从事铝用预焙阳极的研发、生产和销售的高新技术企业（预焙阳极是制造铝的必要材料）。“当前的双驱”：左驱动轮是指“预焙阳极碳材料”，争取未来五年预焙阳极产能持续提升，总产能达到约500万吨。右驱动轮是指“原材料石油焦”，发挥石油焦集中采购、全球采购的优势，构筑具有索通特色的石油焦供应体系。
市值69.390563亿, 利润14.28亿; PE; 平均PE12.05; 平均PEG.15, PB1.25; ROIC10.02%; ROE9.4733%; 股利率0%; 毛利10.6533%; 净利2.9767%; 上一年度营收增161.25%, 利润增57.79%; 当季营收增-76.39%, 利润增-116.59%; 过往5年营收增78.44%, 利润增76.77%
Income profile:
阳极分部 76.36亿 93.92% 3860.45万 148.05% 0.51%
其他业务 3.04亿 3.74% -3982.86万 -152.75% -13.10%
负极分部 1.49亿 1.84% 、1860.67万 71.36% 12.47%</v>
      </c>
      <c r="D6" t="s">
        <v>55</v>
      </c>
      <c r="E6" t="s">
        <v>56</v>
      </c>
      <c r="F6">
        <v>12.83</v>
      </c>
      <c r="G6">
        <v>0.71</v>
      </c>
      <c r="H6" t="s">
        <v>452</v>
      </c>
      <c r="I6">
        <v>6939056300</v>
      </c>
      <c r="K6">
        <v>1.25</v>
      </c>
      <c r="L6" t="s">
        <v>57</v>
      </c>
      <c r="M6" t="s">
        <v>330</v>
      </c>
      <c r="N6" t="s">
        <v>453</v>
      </c>
      <c r="O6" t="s">
        <v>331</v>
      </c>
      <c r="P6">
        <v>-26.44</v>
      </c>
      <c r="Q6" t="s">
        <v>454</v>
      </c>
      <c r="R6">
        <v>-42460638</v>
      </c>
      <c r="S6" s="5">
        <v>0.84450000000000003</v>
      </c>
      <c r="T6" t="s">
        <v>455</v>
      </c>
      <c r="U6">
        <v>473499070</v>
      </c>
      <c r="V6">
        <v>540846160</v>
      </c>
      <c r="W6">
        <v>2.38</v>
      </c>
      <c r="X6">
        <v>0.18</v>
      </c>
      <c r="Y6">
        <v>0.04</v>
      </c>
      <c r="Z6" t="s">
        <v>456</v>
      </c>
      <c r="AA6" t="s">
        <v>457</v>
      </c>
      <c r="AB6" t="s">
        <v>458</v>
      </c>
      <c r="AC6" t="s">
        <v>459</v>
      </c>
      <c r="AD6" t="s">
        <v>2</v>
      </c>
      <c r="AE6">
        <v>60290214</v>
      </c>
      <c r="AF6" t="s">
        <v>334</v>
      </c>
      <c r="AG6" t="s">
        <v>460</v>
      </c>
      <c r="AH6" t="s">
        <v>335</v>
      </c>
      <c r="AI6" t="s">
        <v>461</v>
      </c>
      <c r="AJ6" t="s">
        <v>336</v>
      </c>
      <c r="AK6" t="s">
        <v>462</v>
      </c>
      <c r="AL6" t="s">
        <v>337</v>
      </c>
      <c r="AM6" t="s">
        <v>2</v>
      </c>
      <c r="AN6" t="s">
        <v>463</v>
      </c>
      <c r="AO6" t="s">
        <v>464</v>
      </c>
      <c r="AP6" t="s">
        <v>465</v>
      </c>
      <c r="AQ6" t="s">
        <v>466</v>
      </c>
      <c r="AR6" t="s">
        <v>2</v>
      </c>
      <c r="AS6" t="s">
        <v>467</v>
      </c>
      <c r="AT6" t="s">
        <v>468</v>
      </c>
      <c r="AU6" t="s">
        <v>469</v>
      </c>
      <c r="AV6" t="s">
        <v>470</v>
      </c>
      <c r="AW6" t="s">
        <v>471</v>
      </c>
      <c r="AX6" t="s">
        <v>236</v>
      </c>
      <c r="AY6" t="s">
        <v>82</v>
      </c>
      <c r="AZ6" t="s">
        <v>58</v>
      </c>
      <c r="BA6" t="s">
        <v>59</v>
      </c>
      <c r="BB6" t="s">
        <v>60</v>
      </c>
      <c r="BC6" t="s">
        <v>237</v>
      </c>
      <c r="BD6" t="s">
        <v>83</v>
      </c>
      <c r="BE6" t="s">
        <v>27</v>
      </c>
      <c r="BF6" t="s">
        <v>61</v>
      </c>
      <c r="BG6" t="s">
        <v>44</v>
      </c>
      <c r="BH6" t="s">
        <v>332</v>
      </c>
      <c r="BI6" t="s">
        <v>472</v>
      </c>
      <c r="BJ6" t="s">
        <v>236</v>
      </c>
      <c r="BK6" t="s">
        <v>333</v>
      </c>
      <c r="BL6" t="s">
        <v>424</v>
      </c>
      <c r="BM6" t="s">
        <v>237</v>
      </c>
      <c r="BN6" t="s">
        <v>2</v>
      </c>
      <c r="BO6">
        <v>10.44</v>
      </c>
      <c r="BP6">
        <v>9.6</v>
      </c>
      <c r="BQ6">
        <v>-5.45</v>
      </c>
      <c r="BR6">
        <v>18.57</v>
      </c>
      <c r="BS6">
        <v>15.3</v>
      </c>
      <c r="BT6" t="s">
        <v>219</v>
      </c>
      <c r="BU6" t="s">
        <v>57</v>
      </c>
      <c r="BV6">
        <v>1.64</v>
      </c>
      <c r="BW6">
        <v>13.23</v>
      </c>
      <c r="BX6">
        <v>17.09</v>
      </c>
      <c r="BY6">
        <v>-5.19</v>
      </c>
      <c r="BZ6">
        <v>6.05</v>
      </c>
      <c r="CA6">
        <v>8.07</v>
      </c>
      <c r="CB6">
        <v>0.55000000000000004</v>
      </c>
      <c r="CC6">
        <v>-15.26</v>
      </c>
      <c r="CD6" t="s">
        <v>473</v>
      </c>
      <c r="CE6" t="s">
        <v>321</v>
      </c>
      <c r="CF6" s="7">
        <v>-0.76391000304043777</v>
      </c>
      <c r="CG6" s="8">
        <v>-1.1658618671875001</v>
      </c>
      <c r="CH6" s="7">
        <v>1.6124941110610962</v>
      </c>
      <c r="CI6" s="7">
        <v>1.0512794256210327</v>
      </c>
      <c r="CJ6" s="7">
        <v>0.61647582054138184</v>
      </c>
      <c r="CK6" s="7">
        <v>0.33828914165496826</v>
      </c>
      <c r="CL6" s="7">
        <v>0.303518146276474</v>
      </c>
      <c r="CM6" s="8">
        <v>0.57790052890777588</v>
      </c>
      <c r="CN6" s="8">
        <v>0.45967742800712585</v>
      </c>
      <c r="CO6" s="8">
        <v>1.8971962928771973</v>
      </c>
      <c r="CP6" s="8">
        <v>1.4755567312240601</v>
      </c>
      <c r="CQ6" s="8">
        <v>-0.57205349206924438</v>
      </c>
      <c r="CR6">
        <v>12.04890698310018</v>
      </c>
      <c r="CS6">
        <v>0.15360444880346891</v>
      </c>
      <c r="CT6">
        <v>0</v>
      </c>
      <c r="CU6" s="7">
        <v>0.78441132903099064</v>
      </c>
      <c r="CV6" s="8">
        <v>0.76765549778938291</v>
      </c>
      <c r="CW6">
        <v>0.06</v>
      </c>
      <c r="CX6">
        <v>3.7834506863242137</v>
      </c>
      <c r="CY6">
        <v>2403905073.4492965</v>
      </c>
      <c r="CZ6">
        <v>0.78441132903099064</v>
      </c>
      <c r="DA6">
        <v>0.72212703646384635</v>
      </c>
      <c r="DB6">
        <v>12594814818.923275</v>
      </c>
      <c r="DC6">
        <v>0.74519076257944106</v>
      </c>
      <c r="DD6">
        <v>0.15381068363091566</v>
      </c>
      <c r="DE6">
        <v>59131499095.501785</v>
      </c>
      <c r="DF6">
        <v>0.69028196954727172</v>
      </c>
      <c r="DG6">
        <v>3.0925251640226987E-2</v>
      </c>
      <c r="DH6">
        <v>294098053131.74304</v>
      </c>
      <c r="DI6">
        <v>0.62752906322479252</v>
      </c>
      <c r="DJ6">
        <v>1.0190699511465364E-3</v>
      </c>
      <c r="DK6">
        <v>8924859662251.1777</v>
      </c>
      <c r="DL6">
        <v>0.54908793032169345</v>
      </c>
      <c r="DM6">
        <v>1428000000</v>
      </c>
      <c r="DN6">
        <v>0.78441132903099064</v>
      </c>
      <c r="DO6">
        <v>9095056300</v>
      </c>
      <c r="DP6">
        <v>3147949000.000001</v>
      </c>
      <c r="DQ6">
        <v>4214</v>
      </c>
      <c r="DR6">
        <v>-1.5483213320714284</v>
      </c>
      <c r="DS6">
        <v>-1.9335173649768831</v>
      </c>
      <c r="DT6" s="9">
        <v>0.67666666666666675</v>
      </c>
      <c r="DU6">
        <v>-1.6666666666666531E-2</v>
      </c>
      <c r="DV6">
        <v>0.66000000000000025</v>
      </c>
      <c r="DW6">
        <v>-2.1526000000000001</v>
      </c>
      <c r="DX6">
        <v>0.27874085365853618</v>
      </c>
      <c r="DY6">
        <v>-2.0211718542682928</v>
      </c>
      <c r="DZ6">
        <v>11</v>
      </c>
      <c r="EA6">
        <v>-2.0211262788481457</v>
      </c>
      <c r="EB6">
        <v>2</v>
      </c>
      <c r="EC6">
        <v>4.2070188683599047E-2</v>
      </c>
      <c r="ED6">
        <v>0.30322855578747199</v>
      </c>
      <c r="EE6" s="10">
        <v>-2.1046999999999998</v>
      </c>
      <c r="EF6">
        <v>-2.0548999999999999</v>
      </c>
      <c r="EG6">
        <v>14.138740853658536</v>
      </c>
      <c r="EH6" t="s">
        <v>285</v>
      </c>
      <c r="EI6">
        <v>0</v>
      </c>
      <c r="EJ6">
        <v>1</v>
      </c>
      <c r="EK6" s="11">
        <v>45470</v>
      </c>
      <c r="EL6">
        <v>0.53</v>
      </c>
      <c r="EM6">
        <v>-3.66</v>
      </c>
      <c r="EN6">
        <v>-2.25</v>
      </c>
      <c r="EO6">
        <v>5.99</v>
      </c>
      <c r="EP6">
        <v>-4.9800000000000004</v>
      </c>
    </row>
    <row r="7" spans="1:146" ht="228" x14ac:dyDescent="0.25">
      <c r="A7" s="6" t="s">
        <v>253</v>
      </c>
      <c r="B7" s="6" t="s">
        <v>252</v>
      </c>
      <c r="C7" s="6" t="str">
        <f>"公司主营业务为高纯石英砂、高纯石英管（棒、板、锭、筒）、石英坩埚及其他石英材料的研发、生产与销售，主要产品为中高端石英管、石英棒，高纯石英砂以及包括石英坩埚在内的其他石英制品。"&amp;CHAR(10)&amp;Basic_Fundamental_Information_Constructure(F7)&amp;CHAR(10)&amp;Basic_Fundamental_Information_Concatenate("光伏 12.93亿 64.54% 73.16% 77.50%
光纤半导体 3.70亿 18.47% 14.83% 54.88%
光源 3.28亿 16.34% 11.42% 47.79%
其他业务 1289.30万 0.64% 0.59% 62.72%
--
石英砂 12.15亿 60.60% 70.43% 79.46%
石英管棒 7.70亿 38.44% 28.94% 51.47%
石英坩埚 639.98万 0.32% 0.04% 9.22%")</f>
        <v>公司主营业务为高纯石英砂、高纯石英管（棒、板、锭、筒）、石英坩埚及其他石英材料的研发、生产与销售，主要产品为中高端石英管、石英棒，高纯石英砂以及包括石英坩埚在内的其他石英制品。
市值147.71567亿, 利润3.44亿; PE3.38; 平均PE40.84; 平均PEG.56, PB1.92; ROIC43.66%; ROE43.82%; 股利率20.9021%; 毛利67.1667%; 净利50.79%; 上一年度营收增204.59%, 利润增-67.3%; 当季营收增-78.16%, 利润增52.35%; 过往5年营收增72.8%, 利润增57.33%
Income profile:
光伏 12.93亿 64.54% 73.16% 77.50%
光纤半导体 3.70亿 18.47% 14.83% 54.88%
光源 3.28亿 16.34% 11.42% 47.79%
其他业务 1289.30万 0.64% 0.59% 62.72%
--
石英砂 12.15亿 60.60% 70.43% 79.46%
石英管棒 7.70亿 38.44% 28.94% 51.47%
石英坩埚 639.98万 0.32% 0.04% 9.22%</v>
      </c>
      <c r="D7" t="s">
        <v>62</v>
      </c>
      <c r="E7" t="s">
        <v>63</v>
      </c>
      <c r="F7">
        <v>27.27</v>
      </c>
      <c r="G7">
        <v>0.37</v>
      </c>
      <c r="H7" t="s">
        <v>474</v>
      </c>
      <c r="I7">
        <v>14771567000</v>
      </c>
      <c r="J7">
        <v>3.38</v>
      </c>
      <c r="K7">
        <v>1.92</v>
      </c>
      <c r="L7" t="s">
        <v>57</v>
      </c>
      <c r="M7" t="s">
        <v>338</v>
      </c>
      <c r="N7" t="s">
        <v>475</v>
      </c>
      <c r="O7" t="s">
        <v>339</v>
      </c>
      <c r="P7">
        <v>-67.819999999999993</v>
      </c>
      <c r="Q7" t="s">
        <v>476</v>
      </c>
      <c r="R7">
        <v>158447110</v>
      </c>
      <c r="S7" s="5">
        <v>-0.80700000000000005</v>
      </c>
      <c r="T7" t="s">
        <v>477</v>
      </c>
      <c r="U7">
        <v>541678290</v>
      </c>
      <c r="V7">
        <v>541678290</v>
      </c>
      <c r="W7">
        <v>1.07</v>
      </c>
      <c r="X7">
        <v>0.05</v>
      </c>
      <c r="Y7">
        <v>40.75</v>
      </c>
      <c r="Z7" t="s">
        <v>478</v>
      </c>
      <c r="AA7" t="s">
        <v>479</v>
      </c>
      <c r="AB7" t="s">
        <v>480</v>
      </c>
      <c r="AC7" t="s">
        <v>481</v>
      </c>
      <c r="AD7" t="s">
        <v>2</v>
      </c>
      <c r="AE7">
        <v>-6837978</v>
      </c>
      <c r="AF7" t="s">
        <v>342</v>
      </c>
      <c r="AG7" t="s">
        <v>482</v>
      </c>
      <c r="AH7" t="s">
        <v>343</v>
      </c>
      <c r="AI7" t="s">
        <v>483</v>
      </c>
      <c r="AJ7" t="s">
        <v>344</v>
      </c>
      <c r="AK7" t="s">
        <v>484</v>
      </c>
      <c r="AL7" t="s">
        <v>345</v>
      </c>
      <c r="AM7" t="s">
        <v>2</v>
      </c>
      <c r="AN7" t="s">
        <v>485</v>
      </c>
      <c r="AO7" t="s">
        <v>2</v>
      </c>
      <c r="AP7" t="s">
        <v>2</v>
      </c>
      <c r="AQ7" t="s">
        <v>289</v>
      </c>
      <c r="AR7" t="s">
        <v>2</v>
      </c>
      <c r="AS7" t="s">
        <v>486</v>
      </c>
      <c r="AT7" t="s">
        <v>2</v>
      </c>
      <c r="AU7" t="s">
        <v>487</v>
      </c>
      <c r="AV7" t="s">
        <v>488</v>
      </c>
      <c r="AW7" t="s">
        <v>489</v>
      </c>
      <c r="AX7" t="s">
        <v>238</v>
      </c>
      <c r="AY7" t="s">
        <v>84</v>
      </c>
      <c r="AZ7" t="s">
        <v>52</v>
      </c>
      <c r="BA7" t="s">
        <v>64</v>
      </c>
      <c r="BB7" t="s">
        <v>50</v>
      </c>
      <c r="BC7" t="s">
        <v>239</v>
      </c>
      <c r="BD7" t="s">
        <v>85</v>
      </c>
      <c r="BE7" t="s">
        <v>25</v>
      </c>
      <c r="BF7" t="s">
        <v>18</v>
      </c>
      <c r="BG7" t="s">
        <v>22</v>
      </c>
      <c r="BH7" t="s">
        <v>340</v>
      </c>
      <c r="BI7" t="s">
        <v>490</v>
      </c>
      <c r="BJ7" t="s">
        <v>238</v>
      </c>
      <c r="BK7" t="s">
        <v>341</v>
      </c>
      <c r="BL7" t="s">
        <v>329</v>
      </c>
      <c r="BM7" t="s">
        <v>239</v>
      </c>
      <c r="BN7">
        <v>80.31</v>
      </c>
      <c r="BO7">
        <v>37.86</v>
      </c>
      <c r="BP7">
        <v>12.81</v>
      </c>
      <c r="BQ7">
        <v>78.89</v>
      </c>
      <c r="BR7">
        <v>39.43</v>
      </c>
      <c r="BS7">
        <v>13.14</v>
      </c>
      <c r="BT7" t="s">
        <v>346</v>
      </c>
      <c r="BU7" t="s">
        <v>57</v>
      </c>
      <c r="BV7">
        <v>87.5</v>
      </c>
      <c r="BW7">
        <v>68.37</v>
      </c>
      <c r="BX7">
        <v>45.63</v>
      </c>
      <c r="BY7">
        <v>70.31</v>
      </c>
      <c r="BZ7">
        <v>52.81</v>
      </c>
      <c r="CA7">
        <v>29.25</v>
      </c>
      <c r="CB7">
        <v>-7.9</v>
      </c>
      <c r="CC7">
        <v>-35.159999999999997</v>
      </c>
      <c r="CD7" t="s">
        <v>491</v>
      </c>
      <c r="CE7" t="s">
        <v>492</v>
      </c>
      <c r="CF7" s="7">
        <v>-0.78159645232815966</v>
      </c>
      <c r="CG7" s="8">
        <v>0.52352990384615383</v>
      </c>
      <c r="CH7" s="7">
        <v>2.0459082126617432</v>
      </c>
      <c r="CI7" s="7">
        <v>1.0853277444839478</v>
      </c>
      <c r="CJ7" s="7">
        <v>0.48761609196662903</v>
      </c>
      <c r="CK7" s="7">
        <v>3.8585208356380463E-2</v>
      </c>
      <c r="CL7" s="7">
        <v>-1.7377566546201706E-2</v>
      </c>
      <c r="CM7" s="8">
        <v>-0.67300379276275635</v>
      </c>
      <c r="CN7" s="8">
        <v>2.7437722682952881</v>
      </c>
      <c r="CO7" s="8">
        <v>0.49468085169792175</v>
      </c>
      <c r="CP7" s="8">
        <v>0.15337423980236053</v>
      </c>
      <c r="CQ7" s="8">
        <v>0.14788731932640076</v>
      </c>
      <c r="CR7">
        <v>40.843042396313365</v>
      </c>
      <c r="CS7">
        <v>0.56102160217546504</v>
      </c>
      <c r="CT7">
        <v>20.902090209020901</v>
      </c>
      <c r="CU7" s="7">
        <v>0.72801193818449972</v>
      </c>
      <c r="CV7" s="8">
        <v>0.573342177271843</v>
      </c>
      <c r="CW7">
        <v>0.06</v>
      </c>
      <c r="CX7">
        <v>14.025899378468106</v>
      </c>
      <c r="CY7">
        <v>560788779.93912065</v>
      </c>
      <c r="CZ7">
        <v>0.72801193818449972</v>
      </c>
      <c r="DA7">
        <v>2.7860682390805431</v>
      </c>
      <c r="DB7">
        <v>2823178158.2621217</v>
      </c>
      <c r="DC7">
        <v>0.69161134127527468</v>
      </c>
      <c r="DD7">
        <v>0.63475308228509508</v>
      </c>
      <c r="DE7">
        <v>12391538094.914257</v>
      </c>
      <c r="DF7">
        <v>0.64065050560235981</v>
      </c>
      <c r="DG7">
        <v>0.13986425537854505</v>
      </c>
      <c r="DH7">
        <v>56237149218.087959</v>
      </c>
      <c r="DI7">
        <v>0.5824095505475998</v>
      </c>
      <c r="DJ7">
        <v>5.7855141904280469E-3</v>
      </c>
      <c r="DK7">
        <v>1359527734460.2034</v>
      </c>
      <c r="DL7">
        <v>0.50960835672914973</v>
      </c>
      <c r="DM7">
        <v>344000000</v>
      </c>
      <c r="DN7">
        <v>0.72801193818449972</v>
      </c>
      <c r="DO7">
        <v>7865567000</v>
      </c>
      <c r="DP7">
        <v>5770238000</v>
      </c>
      <c r="DQ7">
        <v>4257</v>
      </c>
      <c r="DR7">
        <v>-1.5096083905126594</v>
      </c>
      <c r="DS7">
        <v>-4.9812273425689169E-2</v>
      </c>
      <c r="DT7" s="9">
        <v>0.29333333333333339</v>
      </c>
      <c r="DU7">
        <v>0.4533333333333332</v>
      </c>
      <c r="DV7">
        <v>0.74666666666666659</v>
      </c>
      <c r="DW7">
        <v>-9.2246871444823668</v>
      </c>
      <c r="DX7">
        <v>0.4066086956521755</v>
      </c>
      <c r="DY7">
        <v>-9.0419285749616662</v>
      </c>
      <c r="DZ7">
        <v>1207</v>
      </c>
      <c r="EA7">
        <v>-9.0320248978621098</v>
      </c>
      <c r="EB7">
        <v>9</v>
      </c>
      <c r="EC7">
        <v>7.9235222810941891E-2</v>
      </c>
      <c r="ED7">
        <v>0.42460627321800171</v>
      </c>
      <c r="EE7" s="10">
        <v>1.0899099999999999</v>
      </c>
      <c r="EF7">
        <v>1.10701</v>
      </c>
      <c r="EG7">
        <v>22.186608695652176</v>
      </c>
      <c r="EH7" t="s">
        <v>493</v>
      </c>
      <c r="EI7">
        <v>0</v>
      </c>
      <c r="EJ7">
        <v>1</v>
      </c>
      <c r="EK7" s="11">
        <v>45470</v>
      </c>
      <c r="EL7">
        <v>0.37</v>
      </c>
      <c r="EM7">
        <v>-2.3199999999999998</v>
      </c>
      <c r="EN7">
        <v>0.5</v>
      </c>
      <c r="EO7">
        <v>1.62</v>
      </c>
      <c r="EP7">
        <v>-1.71</v>
      </c>
    </row>
    <row r="8" spans="1:146" ht="108" x14ac:dyDescent="0.25">
      <c r="A8" s="6"/>
      <c r="B8" s="6"/>
      <c r="C8" s="6" t="str">
        <f>""&amp;CHAR(10)&amp;Basic_Fundamental_Information_Constructure(F8)&amp;CHAR(10)&amp;Basic_Fundamental_Information_Concatenate("")</f>
        <v xml:space="preserve">
市值180.90072亿, 利润-1.28亿; PE199.3; 平均PE184.6; 平均PEG3.73, PB9.46; ROIC4.8467%; ROE5.7933%; 股利率.0348%; 毛利34.84%; 净利12.8967%; 上一年度营收增210.13%, 利润增-245.49%; 当季营收增-29.56%, 利润增237.77%; 过往5年营收增49.52%, 利润增-60.84%
Income profile:
</v>
      </c>
      <c r="D8" t="s">
        <v>65</v>
      </c>
      <c r="E8" t="s">
        <v>66</v>
      </c>
      <c r="F8">
        <v>27.61</v>
      </c>
      <c r="G8">
        <v>-2.75</v>
      </c>
      <c r="H8" t="s">
        <v>494</v>
      </c>
      <c r="I8">
        <v>18090072000</v>
      </c>
      <c r="J8">
        <v>199.3</v>
      </c>
      <c r="K8">
        <v>9.4600000000000009</v>
      </c>
      <c r="L8" t="s">
        <v>57</v>
      </c>
      <c r="M8" t="s">
        <v>347</v>
      </c>
      <c r="N8" t="s">
        <v>495</v>
      </c>
      <c r="O8" t="s">
        <v>348</v>
      </c>
      <c r="P8">
        <v>5.38</v>
      </c>
      <c r="Q8" t="s">
        <v>496</v>
      </c>
      <c r="R8">
        <v>20302369</v>
      </c>
      <c r="S8" s="5">
        <v>0.50570000000000004</v>
      </c>
      <c r="T8" t="s">
        <v>497</v>
      </c>
      <c r="U8">
        <v>655200000</v>
      </c>
      <c r="V8">
        <v>655200000</v>
      </c>
      <c r="W8">
        <v>2.37</v>
      </c>
      <c r="X8">
        <v>0.06</v>
      </c>
      <c r="Y8">
        <v>8.52</v>
      </c>
      <c r="Z8" t="s">
        <v>498</v>
      </c>
      <c r="AA8" t="s">
        <v>499</v>
      </c>
      <c r="AB8" t="s">
        <v>500</v>
      </c>
      <c r="AC8" t="s">
        <v>501</v>
      </c>
      <c r="AD8" t="s">
        <v>2</v>
      </c>
      <c r="AE8">
        <v>17614673</v>
      </c>
      <c r="AF8" t="s">
        <v>351</v>
      </c>
      <c r="AG8" t="s">
        <v>2</v>
      </c>
      <c r="AH8" t="s">
        <v>352</v>
      </c>
      <c r="AI8" t="s">
        <v>502</v>
      </c>
      <c r="AJ8" t="s">
        <v>353</v>
      </c>
      <c r="AK8" t="s">
        <v>2</v>
      </c>
      <c r="AL8" t="s">
        <v>354</v>
      </c>
      <c r="AM8" t="s">
        <v>2</v>
      </c>
      <c r="AN8" t="s">
        <v>503</v>
      </c>
      <c r="AO8" t="s">
        <v>504</v>
      </c>
      <c r="AP8" t="s">
        <v>505</v>
      </c>
      <c r="AQ8" t="s">
        <v>506</v>
      </c>
      <c r="AR8" t="s">
        <v>2</v>
      </c>
      <c r="AS8" t="s">
        <v>507</v>
      </c>
      <c r="AT8" t="s">
        <v>508</v>
      </c>
      <c r="AU8" t="s">
        <v>509</v>
      </c>
      <c r="AV8" t="s">
        <v>510</v>
      </c>
      <c r="AW8" t="s">
        <v>511</v>
      </c>
      <c r="AX8" t="s">
        <v>240</v>
      </c>
      <c r="AY8" t="s">
        <v>86</v>
      </c>
      <c r="AZ8" t="s">
        <v>21</v>
      </c>
      <c r="BA8" t="s">
        <v>26</v>
      </c>
      <c r="BB8" t="s">
        <v>53</v>
      </c>
      <c r="BC8" t="s">
        <v>241</v>
      </c>
      <c r="BD8" t="s">
        <v>87</v>
      </c>
      <c r="BE8" t="s">
        <v>46</v>
      </c>
      <c r="BF8" t="s">
        <v>43</v>
      </c>
      <c r="BG8" t="s">
        <v>51</v>
      </c>
      <c r="BH8" t="s">
        <v>349</v>
      </c>
      <c r="BI8" t="s">
        <v>512</v>
      </c>
      <c r="BJ8" t="s">
        <v>240</v>
      </c>
      <c r="BK8" t="s">
        <v>350</v>
      </c>
      <c r="BL8" t="s">
        <v>513</v>
      </c>
      <c r="BM8" t="s">
        <v>241</v>
      </c>
      <c r="BN8">
        <v>2.97</v>
      </c>
      <c r="BO8">
        <v>4.42</v>
      </c>
      <c r="BP8">
        <v>7.15</v>
      </c>
      <c r="BQ8">
        <v>3.56</v>
      </c>
      <c r="BR8">
        <v>5.05</v>
      </c>
      <c r="BS8">
        <v>8.77</v>
      </c>
      <c r="BT8" t="s">
        <v>355</v>
      </c>
      <c r="BU8" t="s">
        <v>57</v>
      </c>
      <c r="BV8">
        <v>36.799999999999997</v>
      </c>
      <c r="BW8">
        <v>32.729999999999997</v>
      </c>
      <c r="BX8">
        <v>34.99</v>
      </c>
      <c r="BY8">
        <v>10.7</v>
      </c>
      <c r="BZ8">
        <v>11.36</v>
      </c>
      <c r="CA8">
        <v>16.63</v>
      </c>
      <c r="CB8">
        <v>-4.6900000000000004</v>
      </c>
      <c r="CC8">
        <v>-6.13</v>
      </c>
      <c r="CD8" t="s">
        <v>514</v>
      </c>
      <c r="CE8" t="s">
        <v>515</v>
      </c>
      <c r="CF8" s="7">
        <v>-0.29558011049723765</v>
      </c>
      <c r="CG8" s="8">
        <v>2.3777045934749692</v>
      </c>
      <c r="CH8" s="7">
        <v>2.1013429164886475</v>
      </c>
      <c r="CI8" s="7">
        <v>-8.2866743206977844E-2</v>
      </c>
      <c r="CJ8" s="7">
        <v>0.19066666066646576</v>
      </c>
      <c r="CK8" s="7">
        <v>0.21555915474891663</v>
      </c>
      <c r="CL8" s="7">
        <v>5.1107324659824371E-2</v>
      </c>
      <c r="CM8" s="8">
        <v>-2.4548578262329102</v>
      </c>
      <c r="CN8" s="8">
        <v>-0.38902011513710022</v>
      </c>
      <c r="CO8" s="8">
        <v>-8.2802549004554749E-2</v>
      </c>
      <c r="CP8" s="8">
        <v>6.8027213215827942E-2</v>
      </c>
      <c r="CQ8" s="8">
        <v>-0.18333333730697632</v>
      </c>
      <c r="CR8">
        <v>184.59850495194488</v>
      </c>
      <c r="CS8">
        <v>3.7280436735584703</v>
      </c>
      <c r="CT8">
        <v>3.4825732036887415E-2</v>
      </c>
      <c r="CU8" s="7">
        <v>0.4951618626713753</v>
      </c>
      <c r="CV8" s="8">
        <v>-0.60839732289314274</v>
      </c>
      <c r="CW8">
        <v>0.06</v>
      </c>
      <c r="CX8" t="e">
        <v>#VALUE!</v>
      </c>
      <c r="CY8" t="s">
        <v>313</v>
      </c>
      <c r="CZ8">
        <v>0.4951618626713753</v>
      </c>
      <c r="DA8" t="e">
        <v>#VALUE!</v>
      </c>
      <c r="DB8" t="s">
        <v>313</v>
      </c>
      <c r="DC8">
        <v>0.47040376953780649</v>
      </c>
      <c r="DD8" t="e">
        <v>#VALUE!</v>
      </c>
      <c r="DE8" t="s">
        <v>313</v>
      </c>
      <c r="DF8">
        <v>0.43574243915081029</v>
      </c>
      <c r="DG8" t="e">
        <v>#VALUE!</v>
      </c>
      <c r="DH8" t="s">
        <v>313</v>
      </c>
      <c r="DI8">
        <v>0.39612949013710025</v>
      </c>
      <c r="DJ8" t="e">
        <v>#VALUE!</v>
      </c>
      <c r="DK8" t="s">
        <v>313</v>
      </c>
      <c r="DL8">
        <v>0.3466133038699627</v>
      </c>
      <c r="DM8">
        <v>-128000000</v>
      </c>
      <c r="DN8">
        <v>0.4951618626713753</v>
      </c>
      <c r="DO8">
        <v>18610072000</v>
      </c>
      <c r="DP8">
        <v>-245273899.99999976</v>
      </c>
      <c r="DQ8">
        <v>4328</v>
      </c>
      <c r="DR8">
        <v>-0.79074197316861294</v>
      </c>
      <c r="DS8">
        <v>2.9861019163681117</v>
      </c>
      <c r="DT8" s="9">
        <v>0.10999999999999995</v>
      </c>
      <c r="DU8">
        <v>-1.4400000000000002</v>
      </c>
      <c r="DV8">
        <v>-1.3300000000000003</v>
      </c>
      <c r="DW8">
        <v>-8.7650897226753663</v>
      </c>
      <c r="DX8">
        <v>0.43833241975759851</v>
      </c>
      <c r="DY8">
        <v>-8.2052983766171508</v>
      </c>
      <c r="DZ8">
        <v>3831</v>
      </c>
      <c r="EA8">
        <v>-8.0513848578656226</v>
      </c>
      <c r="EB8">
        <v>8</v>
      </c>
      <c r="EC8">
        <v>3.4966269841269833E-2</v>
      </c>
      <c r="ED8">
        <v>0.13030952380952379</v>
      </c>
      <c r="EE8" s="10">
        <v>1.2509999999999997E-2</v>
      </c>
      <c r="EF8">
        <v>2.6409999999999999E-2</v>
      </c>
      <c r="EG8">
        <v>17.268332419757598</v>
      </c>
      <c r="EH8">
        <v>-1</v>
      </c>
      <c r="EI8">
        <v>0</v>
      </c>
      <c r="EJ8">
        <v>0</v>
      </c>
      <c r="EK8" s="11">
        <v>45470</v>
      </c>
      <c r="EL8">
        <v>-1.35</v>
      </c>
      <c r="EM8">
        <v>-4.79</v>
      </c>
      <c r="EN8">
        <v>-1.44</v>
      </c>
      <c r="EO8">
        <v>5.1100000000000003</v>
      </c>
      <c r="EP8">
        <v>-1.39</v>
      </c>
    </row>
    <row r="9" spans="1:146" ht="192" x14ac:dyDescent="0.25">
      <c r="A9" s="6" t="s">
        <v>158</v>
      </c>
      <c r="B9" s="6"/>
      <c r="C9" s="6" t="s">
        <v>77</v>
      </c>
      <c r="D9" t="s">
        <v>68</v>
      </c>
      <c r="E9" t="s">
        <v>69</v>
      </c>
      <c r="F9">
        <v>17.350000000000001</v>
      </c>
      <c r="G9">
        <v>4.33</v>
      </c>
      <c r="H9" t="s">
        <v>516</v>
      </c>
      <c r="I9">
        <v>3109120000</v>
      </c>
      <c r="J9">
        <v>26.29</v>
      </c>
      <c r="K9">
        <v>2.57</v>
      </c>
      <c r="L9" t="s">
        <v>57</v>
      </c>
      <c r="M9" t="s">
        <v>356</v>
      </c>
      <c r="N9" t="s">
        <v>517</v>
      </c>
      <c r="O9" t="s">
        <v>357</v>
      </c>
      <c r="P9">
        <v>3.22</v>
      </c>
      <c r="Q9" t="s">
        <v>518</v>
      </c>
      <c r="R9">
        <v>24744191</v>
      </c>
      <c r="S9" s="5">
        <v>0.1133</v>
      </c>
      <c r="T9" t="s">
        <v>303</v>
      </c>
      <c r="U9">
        <v>179200000</v>
      </c>
      <c r="V9">
        <v>179200000</v>
      </c>
      <c r="W9">
        <v>1.07</v>
      </c>
      <c r="X9">
        <v>0.05</v>
      </c>
      <c r="Y9">
        <v>37.06</v>
      </c>
      <c r="Z9" t="s">
        <v>519</v>
      </c>
      <c r="AA9" t="s">
        <v>520</v>
      </c>
      <c r="AB9" t="s">
        <v>521</v>
      </c>
      <c r="AC9" t="s">
        <v>522</v>
      </c>
      <c r="AD9" t="s">
        <v>2</v>
      </c>
      <c r="AE9">
        <v>-1553011</v>
      </c>
      <c r="AF9" t="s">
        <v>360</v>
      </c>
      <c r="AG9" t="s">
        <v>523</v>
      </c>
      <c r="AH9" t="s">
        <v>361</v>
      </c>
      <c r="AI9" t="s">
        <v>524</v>
      </c>
      <c r="AJ9" t="s">
        <v>19</v>
      </c>
      <c r="AK9" t="s">
        <v>525</v>
      </c>
      <c r="AL9" t="s">
        <v>362</v>
      </c>
      <c r="AM9" t="s">
        <v>2</v>
      </c>
      <c r="AN9">
        <v>0</v>
      </c>
      <c r="AO9" t="s">
        <v>2</v>
      </c>
      <c r="AP9" t="s">
        <v>2</v>
      </c>
      <c r="AQ9" t="s">
        <v>526</v>
      </c>
      <c r="AR9" t="s">
        <v>2</v>
      </c>
      <c r="AS9" t="s">
        <v>527</v>
      </c>
      <c r="AT9" t="s">
        <v>2</v>
      </c>
      <c r="AU9" t="s">
        <v>528</v>
      </c>
      <c r="AV9" t="s">
        <v>529</v>
      </c>
      <c r="AW9" t="s">
        <v>2</v>
      </c>
      <c r="AX9" t="s">
        <v>47</v>
      </c>
      <c r="AY9" t="s">
        <v>88</v>
      </c>
      <c r="AZ9" t="s">
        <v>20</v>
      </c>
      <c r="BA9" t="s">
        <v>45</v>
      </c>
      <c r="BB9" t="s">
        <v>24</v>
      </c>
      <c r="BC9" t="s">
        <v>157</v>
      </c>
      <c r="BD9" t="s">
        <v>89</v>
      </c>
      <c r="BE9" t="s">
        <v>49</v>
      </c>
      <c r="BF9" t="s">
        <v>70</v>
      </c>
      <c r="BG9" t="s">
        <v>71</v>
      </c>
      <c r="BH9" t="s">
        <v>48</v>
      </c>
      <c r="BI9" t="s">
        <v>530</v>
      </c>
      <c r="BJ9" t="s">
        <v>47</v>
      </c>
      <c r="BK9" t="s">
        <v>358</v>
      </c>
      <c r="BL9" t="s">
        <v>531</v>
      </c>
      <c r="BM9" t="s">
        <v>157</v>
      </c>
      <c r="BN9">
        <v>7.68</v>
      </c>
      <c r="BO9">
        <v>8.8000000000000007</v>
      </c>
      <c r="BP9">
        <v>10.130000000000001</v>
      </c>
      <c r="BQ9">
        <v>8.0399999999999991</v>
      </c>
      <c r="BR9">
        <v>9.51</v>
      </c>
      <c r="BS9">
        <v>9.6199999999999992</v>
      </c>
      <c r="BT9" t="s">
        <v>363</v>
      </c>
      <c r="BU9" t="s">
        <v>57</v>
      </c>
      <c r="BV9">
        <v>62.13</v>
      </c>
      <c r="BW9">
        <v>64.58</v>
      </c>
      <c r="BX9">
        <v>63.81</v>
      </c>
      <c r="BY9">
        <v>36.76</v>
      </c>
      <c r="BZ9">
        <v>36.99</v>
      </c>
      <c r="CA9">
        <v>31.41</v>
      </c>
      <c r="CB9">
        <v>0.52</v>
      </c>
      <c r="CC9">
        <v>2.2799999999999998</v>
      </c>
      <c r="CD9" t="s">
        <v>532</v>
      </c>
      <c r="CE9" t="s">
        <v>533</v>
      </c>
      <c r="CF9" s="7">
        <v>-0.89368598726114645</v>
      </c>
      <c r="CG9" s="8">
        <v>-0.11703256862892031</v>
      </c>
      <c r="CH9" s="7">
        <v>10.438849449157715</v>
      </c>
      <c r="CI9" s="7">
        <v>3.3457249402999878E-2</v>
      </c>
      <c r="CJ9" s="7">
        <v>0.19555555284023285</v>
      </c>
      <c r="CK9" s="7">
        <v>-5.0632912665605545E-2</v>
      </c>
      <c r="CL9" s="7">
        <v>4.8672568053007126E-2</v>
      </c>
      <c r="CM9" s="8">
        <v>1.7572815418243408</v>
      </c>
      <c r="CN9" s="8">
        <v>0.21915282309055328</v>
      </c>
      <c r="CO9" s="8">
        <v>0.10855249315500259</v>
      </c>
      <c r="CP9" s="8">
        <v>-7.5473003089427948E-2</v>
      </c>
      <c r="CQ9" s="8">
        <v>0.15402835607528687</v>
      </c>
      <c r="CR9">
        <v>26.590296042597565</v>
      </c>
      <c r="CS9">
        <v>0.1246509497039068</v>
      </c>
      <c r="CT9">
        <v>2.0864553314121035</v>
      </c>
      <c r="CU9" s="7">
        <v>2.1331803813576697</v>
      </c>
      <c r="CV9" s="8">
        <v>0.43270844221115112</v>
      </c>
      <c r="CW9">
        <v>0.06</v>
      </c>
      <c r="CX9">
        <v>2.3838298805024607</v>
      </c>
      <c r="CY9">
        <v>839455875.75997937</v>
      </c>
      <c r="CZ9">
        <v>2.1331803813576697</v>
      </c>
      <c r="DA9">
        <v>0.20552610131667662</v>
      </c>
      <c r="DB9">
        <v>9736573540.6845226</v>
      </c>
      <c r="DC9">
        <v>2.026521362289786</v>
      </c>
      <c r="DD9">
        <v>1.1155541874603303E-2</v>
      </c>
      <c r="DE9">
        <v>179383486924.62427</v>
      </c>
      <c r="DF9">
        <v>1.8771987355947495</v>
      </c>
      <c r="DG9">
        <v>3.6396296263069028E-4</v>
      </c>
      <c r="DH9">
        <v>5498141859094.9248</v>
      </c>
      <c r="DI9">
        <v>1.706544305086136</v>
      </c>
      <c r="DJ9">
        <v>1.5079651527545515E-7</v>
      </c>
      <c r="DK9">
        <v>1.3270333179414778E+16</v>
      </c>
      <c r="DL9">
        <v>1.4932262669503686</v>
      </c>
      <c r="DM9">
        <v>284000000</v>
      </c>
      <c r="DN9">
        <v>2.1331803813576697</v>
      </c>
      <c r="DO9">
        <v>2001120000</v>
      </c>
      <c r="DP9">
        <v>476439700</v>
      </c>
      <c r="DQ9">
        <v>4451</v>
      </c>
      <c r="DR9">
        <v>-3.0268663686188164</v>
      </c>
      <c r="DS9">
        <v>-0.54974101084007143</v>
      </c>
      <c r="DT9" s="9">
        <v>-6.6666666666666714E-3</v>
      </c>
      <c r="DU9">
        <v>0.58333333333333337</v>
      </c>
      <c r="DV9">
        <v>0.57666666666666666</v>
      </c>
      <c r="DW9">
        <v>2.2799999999999997E-2</v>
      </c>
      <c r="DX9">
        <v>0.54914399174199069</v>
      </c>
      <c r="DY9">
        <v>2.9444830117173674E-3</v>
      </c>
      <c r="DZ9">
        <v>522</v>
      </c>
      <c r="EA9">
        <v>2.6436962931035779E-3</v>
      </c>
      <c r="EB9">
        <v>0</v>
      </c>
      <c r="EC9">
        <v>4.9289620535714285E-2</v>
      </c>
      <c r="ED9">
        <v>0.38166406250000001</v>
      </c>
      <c r="EE9" s="10">
        <v>-1.0150999999999999</v>
      </c>
      <c r="EF9">
        <v>-1.00061</v>
      </c>
      <c r="EG9">
        <v>42.129143991741991</v>
      </c>
      <c r="EH9" t="s">
        <v>254</v>
      </c>
      <c r="EI9">
        <v>0</v>
      </c>
      <c r="EJ9">
        <v>1</v>
      </c>
      <c r="EK9" s="11">
        <v>45470</v>
      </c>
      <c r="EL9">
        <v>0.61</v>
      </c>
      <c r="EM9">
        <v>-3.84</v>
      </c>
      <c r="EN9">
        <v>1.02</v>
      </c>
      <c r="EO9">
        <v>1.74</v>
      </c>
      <c r="EP9">
        <v>-1.57</v>
      </c>
    </row>
    <row r="10" spans="1:146" ht="173" customHeight="1" x14ac:dyDescent="0.25">
      <c r="A10" s="6" t="s">
        <v>159</v>
      </c>
      <c r="B10" s="12" t="s">
        <v>160</v>
      </c>
      <c r="C10" s="6" t="str">
        <f>"公司的主要从事特种分子筛及催化新材料产品的研发、生产、销售及化工技术、化工工艺服务。公司主要产品为特种分子筛及催化剂、非分子筛催化剂、催化应用工艺及化工技术服务等。"&amp;CHAR(10)&amp;Basic_Fundamental_Information_Constructure(F10)&amp;CHAR(10)&amp;Basic_Fundamental_Information_Concatenate("特种分子筛及催化剂系列 5.27亿 94.01% 97.47% 45.85%
非分子筛催化剂系列 2038.85万 3.64% 1.64% 19.90%")</f>
        <v>公司的主要从事特种分子筛及催化新材料产品的研发、生产、销售及化工技术、化工工艺服务。公司主要产品为特种分子筛及催化剂、非分子筛催化剂、催化应用工艺及化工技术服务等。
市值34.86998亿, 利润1.71亿; PE31.72; 平均PE34.21; 平均PEG.57, PB1.31; ROIC7.7467%; ROE8.48%; 股利率1.0106%; 毛利39.2133%; 净利20.04%; 上一年度营收增120.26%, 利润增12.5%; 当季营收增-44.57%, 利润增-12.38%; 过往5年营收增59.76%, 利润增124.59%
Income profile:
特种分子筛及催化剂系列 5.27亿 94.01% 97.47% 45.85%
非分子筛催化剂系列 2038.85万 3.64% 1.64% 19.90%</v>
      </c>
      <c r="D10" t="s">
        <v>90</v>
      </c>
      <c r="E10" t="s">
        <v>91</v>
      </c>
      <c r="F10">
        <v>19.79</v>
      </c>
      <c r="G10">
        <v>0.61</v>
      </c>
      <c r="H10" t="s">
        <v>534</v>
      </c>
      <c r="I10">
        <v>3486998000</v>
      </c>
      <c r="J10">
        <v>31.72</v>
      </c>
      <c r="K10">
        <v>1.31</v>
      </c>
      <c r="L10" t="s">
        <v>57</v>
      </c>
      <c r="M10" t="s">
        <v>218</v>
      </c>
      <c r="N10" t="s">
        <v>535</v>
      </c>
      <c r="O10" t="s">
        <v>242</v>
      </c>
      <c r="P10">
        <v>61.19</v>
      </c>
      <c r="Q10" t="s">
        <v>536</v>
      </c>
      <c r="R10">
        <v>35065570</v>
      </c>
      <c r="S10" s="5">
        <v>16.100000000000001</v>
      </c>
      <c r="T10" t="s">
        <v>537</v>
      </c>
      <c r="U10">
        <v>88411159</v>
      </c>
      <c r="V10">
        <v>176200000</v>
      </c>
      <c r="W10">
        <v>1.0900000000000001</v>
      </c>
      <c r="X10">
        <v>7.0000000000000007E-2</v>
      </c>
      <c r="Y10">
        <v>17.63</v>
      </c>
      <c r="Z10" t="s">
        <v>538</v>
      </c>
      <c r="AA10" t="s">
        <v>539</v>
      </c>
      <c r="AB10" t="s">
        <v>540</v>
      </c>
      <c r="AC10" t="s">
        <v>541</v>
      </c>
      <c r="AD10" t="s">
        <v>2</v>
      </c>
      <c r="AE10">
        <v>-3888206</v>
      </c>
      <c r="AF10" t="s">
        <v>366</v>
      </c>
      <c r="AG10">
        <v>3309.98</v>
      </c>
      <c r="AH10" t="s">
        <v>367</v>
      </c>
      <c r="AI10" t="s">
        <v>88</v>
      </c>
      <c r="AJ10" t="s">
        <v>368</v>
      </c>
      <c r="AK10" t="s">
        <v>542</v>
      </c>
      <c r="AL10" t="s">
        <v>369</v>
      </c>
      <c r="AM10" t="s">
        <v>2</v>
      </c>
      <c r="AN10" t="s">
        <v>543</v>
      </c>
      <c r="AO10" t="s">
        <v>544</v>
      </c>
      <c r="AP10" t="s">
        <v>545</v>
      </c>
      <c r="AQ10" t="s">
        <v>87</v>
      </c>
      <c r="AR10" t="s">
        <v>2</v>
      </c>
      <c r="AS10" t="s">
        <v>546</v>
      </c>
      <c r="AT10" t="s">
        <v>2</v>
      </c>
      <c r="AU10" t="s">
        <v>547</v>
      </c>
      <c r="AV10" t="s">
        <v>548</v>
      </c>
      <c r="AW10" t="s">
        <v>549</v>
      </c>
      <c r="AX10" t="s">
        <v>243</v>
      </c>
      <c r="AY10" t="s">
        <v>92</v>
      </c>
      <c r="AZ10" t="s">
        <v>54</v>
      </c>
      <c r="BA10" t="s">
        <v>67</v>
      </c>
      <c r="BB10" t="s">
        <v>94</v>
      </c>
      <c r="BC10" t="s">
        <v>244</v>
      </c>
      <c r="BD10" t="s">
        <v>93</v>
      </c>
      <c r="BE10" t="s">
        <v>95</v>
      </c>
      <c r="BF10" t="s">
        <v>96</v>
      </c>
      <c r="BG10" t="s">
        <v>97</v>
      </c>
      <c r="BH10" t="s">
        <v>364</v>
      </c>
      <c r="BI10" t="s">
        <v>550</v>
      </c>
      <c r="BJ10" t="s">
        <v>243</v>
      </c>
      <c r="BK10" t="s">
        <v>365</v>
      </c>
      <c r="BL10" t="s">
        <v>551</v>
      </c>
      <c r="BM10" t="s">
        <v>244</v>
      </c>
      <c r="BN10">
        <v>1.43</v>
      </c>
      <c r="BO10">
        <v>7.79</v>
      </c>
      <c r="BP10">
        <v>14.02</v>
      </c>
      <c r="BQ10">
        <v>1.63</v>
      </c>
      <c r="BR10">
        <v>6.61</v>
      </c>
      <c r="BS10">
        <v>17.2</v>
      </c>
      <c r="BT10" t="s">
        <v>370</v>
      </c>
      <c r="BU10" t="s">
        <v>57</v>
      </c>
      <c r="BV10">
        <v>32.83</v>
      </c>
      <c r="BW10">
        <v>39.64</v>
      </c>
      <c r="BX10">
        <v>45.17</v>
      </c>
      <c r="BY10">
        <v>13.99</v>
      </c>
      <c r="BZ10">
        <v>22.3</v>
      </c>
      <c r="CA10">
        <v>23.83</v>
      </c>
      <c r="CB10">
        <v>-0.35</v>
      </c>
      <c r="CC10">
        <v>-7.09</v>
      </c>
      <c r="CD10" t="s">
        <v>552</v>
      </c>
      <c r="CE10" t="s">
        <v>553</v>
      </c>
      <c r="CF10" s="7">
        <v>-0.44568245125348188</v>
      </c>
      <c r="CG10" s="8">
        <v>-0.12382512268497696</v>
      </c>
      <c r="CH10" s="7">
        <v>1.2026431560516357</v>
      </c>
      <c r="CI10" s="7">
        <v>0.21390374004840851</v>
      </c>
      <c r="CJ10" s="7">
        <v>0.38177341222763062</v>
      </c>
      <c r="CK10" s="7">
        <v>0.21921922266483307</v>
      </c>
      <c r="CL10" s="7">
        <v>0.97041422128677368</v>
      </c>
      <c r="CM10" s="8">
        <v>0.125</v>
      </c>
      <c r="CN10" s="8">
        <v>0.13432836532592773</v>
      </c>
      <c r="CO10" s="8">
        <v>0.45907193422317505</v>
      </c>
      <c r="CP10" s="8">
        <v>0.71818459033966064</v>
      </c>
      <c r="CQ10" s="8">
        <v>4.7927975654602051</v>
      </c>
      <c r="CR10">
        <v>34.213217377027682</v>
      </c>
      <c r="CS10">
        <v>0.57251919228885373</v>
      </c>
      <c r="CT10">
        <v>1.010611419909045</v>
      </c>
      <c r="CU10" s="7">
        <v>0.5975907504558563</v>
      </c>
      <c r="CV10" s="8">
        <v>1.2458764910697937</v>
      </c>
      <c r="CW10">
        <v>0.06</v>
      </c>
      <c r="CX10">
        <v>4.2525945578087381</v>
      </c>
      <c r="CY10">
        <v>257724545.59240702</v>
      </c>
      <c r="CZ10">
        <v>0.5975907504558563</v>
      </c>
      <c r="DA10">
        <v>0.9287047708268712</v>
      </c>
      <c r="DB10">
        <v>1180136071.6863546</v>
      </c>
      <c r="DC10">
        <v>0.56771121293306348</v>
      </c>
      <c r="DD10">
        <v>0.24777436241674006</v>
      </c>
      <c r="DE10">
        <v>4423371285.5109844</v>
      </c>
      <c r="DF10">
        <v>0.52587986040115353</v>
      </c>
      <c r="DG10">
        <v>6.7668417793818381E-2</v>
      </c>
      <c r="DH10">
        <v>16196595631.0585</v>
      </c>
      <c r="DI10">
        <v>0.47807260036468507</v>
      </c>
      <c r="DJ10">
        <v>4.800236181145924E-3</v>
      </c>
      <c r="DK10">
        <v>228321682234.05222</v>
      </c>
      <c r="DL10">
        <v>0.41831352531909938</v>
      </c>
      <c r="DM10">
        <v>171000000</v>
      </c>
      <c r="DN10">
        <v>0.5975907504558563</v>
      </c>
      <c r="DO10">
        <v>1095998000</v>
      </c>
      <c r="DP10">
        <v>1630926200</v>
      </c>
      <c r="DQ10">
        <v>4770</v>
      </c>
      <c r="DR10">
        <v>-1.0432732017093382</v>
      </c>
      <c r="DS10">
        <v>-1.3697016137547706</v>
      </c>
      <c r="DT10" s="9">
        <v>0.49333333333333323</v>
      </c>
      <c r="DU10">
        <v>0.90333333333333332</v>
      </c>
      <c r="DV10">
        <v>1.3966666666666665</v>
      </c>
      <c r="DW10">
        <v>-2.0709</v>
      </c>
      <c r="DX10">
        <v>0.37262478598709192</v>
      </c>
      <c r="DY10">
        <v>-2.010112097326485</v>
      </c>
      <c r="DZ10">
        <v>1310</v>
      </c>
      <c r="EA10">
        <v>-2.0075197592643135</v>
      </c>
      <c r="EB10">
        <v>2</v>
      </c>
      <c r="EC10">
        <v>1.229228149829739E-2</v>
      </c>
      <c r="ED10">
        <v>8.618615209988649E-2</v>
      </c>
      <c r="EE10" s="10">
        <v>-1.13201</v>
      </c>
      <c r="EF10">
        <v>-1.1364099999999999</v>
      </c>
      <c r="EG10">
        <v>23.142624785987092</v>
      </c>
      <c r="EH10" t="s">
        <v>254</v>
      </c>
      <c r="EI10">
        <v>0</v>
      </c>
      <c r="EJ10">
        <v>1</v>
      </c>
      <c r="EK10" s="11">
        <v>45470</v>
      </c>
      <c r="EL10">
        <v>-1.33</v>
      </c>
      <c r="EM10">
        <v>-3.34</v>
      </c>
      <c r="EN10">
        <v>-3.25</v>
      </c>
      <c r="EO10">
        <v>1.79</v>
      </c>
      <c r="EP10">
        <v>-0.44</v>
      </c>
    </row>
    <row r="11" spans="1:146" ht="192" x14ac:dyDescent="0.25">
      <c r="A11" s="6" t="s">
        <v>286</v>
      </c>
      <c r="B11" s="6" t="s">
        <v>251</v>
      </c>
      <c r="C11" s="6" t="str">
        <f>"公司主营业务是功能性陶瓷粉体材料的研发、生产和销售。公司的主要产品为角形硅微粉、圆角硅微粉、微米球形硅微粉、亚微米级球形硅微粉、球形氧化铝粉以及多种表面改性剂配方进行改性的产品。"&amp;CHAR(10)&amp;Basic_Fundamental_Information_Constructure(F11)&amp;CHAR(10)&amp;Basic_Fundamental_Information_Concatenate("球形硅微粉 3.00亿 48.02% 46.74% 41.33%
熔融硅微粉 1.81亿 28.92% 31.48% 46.21%
结晶硅微粉 7536.32万 12.06% 8.08% 28.44%
其他 6777.10万 10.85% 13.49% 52.81%")</f>
        <v>公司主营业务是功能性陶瓷粉体材料的研发、生产和销售。公司的主要产品为角形硅微粉、圆角硅微粉、微米球形硅微粉、亚微米级球形硅微粉、球形氧化铝粉以及多种表面改性剂配方进行改性的产品。
市值87.579018亿, 利润6.07亿; PE44.47; 平均PE43.35; 平均PEG.76, PB6.26; ROIC14.11%; ROE14.36%; 股利率1.0604%; 毛利40.3067%; 净利26.8533%; 上一年度营收增181.57%, 利润增222.87%; 当季营收增-54.09%, 利润增-62.28%; 过往5年营收增56.75%, 利润增72.8%
Income profile:
球形硅微粉 3.00亿 48.02% 46.74% 41.33%
熔融硅微粉 1.81亿 28.92% 31.48% 46.21%
结晶硅微粉 7536.32万 12.06% 8.08% 28.44%
其他 6777.10万 10.85% 13.49% 52.81%</v>
      </c>
      <c r="D11" t="s">
        <v>72</v>
      </c>
      <c r="E11" t="s">
        <v>73</v>
      </c>
      <c r="F11">
        <v>47.15</v>
      </c>
      <c r="G11">
        <v>-1.77</v>
      </c>
      <c r="H11" t="s">
        <v>554</v>
      </c>
      <c r="I11">
        <v>8757901800</v>
      </c>
      <c r="J11">
        <v>44.47</v>
      </c>
      <c r="K11">
        <v>6.26</v>
      </c>
      <c r="L11" t="s">
        <v>57</v>
      </c>
      <c r="M11" t="s">
        <v>371</v>
      </c>
      <c r="N11" t="s">
        <v>555</v>
      </c>
      <c r="O11" t="s">
        <v>44</v>
      </c>
      <c r="P11">
        <v>39.46</v>
      </c>
      <c r="Q11" t="s">
        <v>556</v>
      </c>
      <c r="R11">
        <v>51675319</v>
      </c>
      <c r="S11" s="5">
        <v>0.7994</v>
      </c>
      <c r="T11" t="s">
        <v>557</v>
      </c>
      <c r="U11">
        <v>185745530</v>
      </c>
      <c r="V11">
        <v>185745530</v>
      </c>
      <c r="W11">
        <v>1.28</v>
      </c>
      <c r="X11">
        <v>0.11</v>
      </c>
      <c r="Y11">
        <v>25.55</v>
      </c>
      <c r="Z11" t="s">
        <v>558</v>
      </c>
      <c r="AA11" t="s">
        <v>559</v>
      </c>
      <c r="AB11" t="s">
        <v>560</v>
      </c>
      <c r="AC11" t="s">
        <v>561</v>
      </c>
      <c r="AD11" t="s">
        <v>2</v>
      </c>
      <c r="AE11">
        <v>362306</v>
      </c>
      <c r="AF11" t="s">
        <v>374</v>
      </c>
      <c r="AG11">
        <v>9000</v>
      </c>
      <c r="AH11" t="s">
        <v>375</v>
      </c>
      <c r="AI11" t="s">
        <v>562</v>
      </c>
      <c r="AJ11" t="s">
        <v>376</v>
      </c>
      <c r="AK11" t="s">
        <v>563</v>
      </c>
      <c r="AL11" t="s">
        <v>377</v>
      </c>
      <c r="AM11" t="s">
        <v>2</v>
      </c>
      <c r="AN11" t="s">
        <v>564</v>
      </c>
      <c r="AO11" t="s">
        <v>565</v>
      </c>
      <c r="AP11" t="s">
        <v>566</v>
      </c>
      <c r="AQ11" t="s">
        <v>567</v>
      </c>
      <c r="AR11" t="s">
        <v>2</v>
      </c>
      <c r="AS11" t="s">
        <v>568</v>
      </c>
      <c r="AT11" t="s">
        <v>2</v>
      </c>
      <c r="AU11" t="s">
        <v>569</v>
      </c>
      <c r="AV11" t="s">
        <v>570</v>
      </c>
      <c r="AW11" t="s">
        <v>571</v>
      </c>
      <c r="AX11" t="s">
        <v>245</v>
      </c>
      <c r="AY11" t="s">
        <v>98</v>
      </c>
      <c r="AZ11" t="s">
        <v>74</v>
      </c>
      <c r="BA11" t="s">
        <v>48</v>
      </c>
      <c r="BB11" t="s">
        <v>47</v>
      </c>
      <c r="BC11" t="s">
        <v>25</v>
      </c>
      <c r="BD11" t="s">
        <v>99</v>
      </c>
      <c r="BE11" t="s">
        <v>23</v>
      </c>
      <c r="BF11" t="s">
        <v>75</v>
      </c>
      <c r="BG11" t="s">
        <v>76</v>
      </c>
      <c r="BH11" t="s">
        <v>372</v>
      </c>
      <c r="BI11" t="s">
        <v>572</v>
      </c>
      <c r="BJ11" t="s">
        <v>245</v>
      </c>
      <c r="BK11" t="s">
        <v>373</v>
      </c>
      <c r="BL11" t="s">
        <v>573</v>
      </c>
      <c r="BM11" t="s">
        <v>25</v>
      </c>
      <c r="BN11">
        <v>9.42</v>
      </c>
      <c r="BO11">
        <v>16.2</v>
      </c>
      <c r="BP11">
        <v>16.71</v>
      </c>
      <c r="BQ11">
        <v>9.9</v>
      </c>
      <c r="BR11">
        <v>16.32</v>
      </c>
      <c r="BS11">
        <v>16.86</v>
      </c>
      <c r="BT11" t="s">
        <v>322</v>
      </c>
      <c r="BU11" t="s">
        <v>57</v>
      </c>
      <c r="BV11">
        <v>39.26</v>
      </c>
      <c r="BW11">
        <v>39.200000000000003</v>
      </c>
      <c r="BX11">
        <v>42.46</v>
      </c>
      <c r="BY11">
        <v>24.45</v>
      </c>
      <c r="BZ11">
        <v>28.44</v>
      </c>
      <c r="CA11">
        <v>27.67</v>
      </c>
      <c r="CB11">
        <v>-1.98</v>
      </c>
      <c r="CC11">
        <v>-4.03</v>
      </c>
      <c r="CD11" t="s">
        <v>574</v>
      </c>
      <c r="CE11" t="s">
        <v>575</v>
      </c>
      <c r="CF11" s="7">
        <v>-0.54090909090909101</v>
      </c>
      <c r="CG11" s="8">
        <v>-0.62280789051094887</v>
      </c>
      <c r="CH11" s="7">
        <v>1.8157099485397339</v>
      </c>
      <c r="CI11" s="7">
        <v>5.9200000017881393E-2</v>
      </c>
      <c r="CJ11" s="7">
        <v>0.54702967405319214</v>
      </c>
      <c r="CK11" s="7">
        <v>0.28253969550132751</v>
      </c>
      <c r="CL11" s="7">
        <v>0.13309352099895477</v>
      </c>
      <c r="CM11" s="8">
        <v>2.2287232875823975</v>
      </c>
      <c r="CN11" s="8">
        <v>8.6705200374126434E-2</v>
      </c>
      <c r="CO11" s="8">
        <v>0.55855858325958252</v>
      </c>
      <c r="CP11" s="8">
        <v>0.48604324460029602</v>
      </c>
      <c r="CQ11" s="8">
        <v>0.27975806593894958</v>
      </c>
      <c r="CR11">
        <v>43.35374962409086</v>
      </c>
      <c r="CS11">
        <v>0.76392311461636409</v>
      </c>
      <c r="CT11">
        <v>1.0604453870625663</v>
      </c>
      <c r="CU11" s="7">
        <v>0.56751456782221799</v>
      </c>
      <c r="CV11" s="8">
        <v>0.72795767635107045</v>
      </c>
      <c r="CW11">
        <v>0.06</v>
      </c>
      <c r="CX11">
        <v>8.6516209397408979</v>
      </c>
      <c r="CY11">
        <v>897623908.17743993</v>
      </c>
      <c r="CZ11">
        <v>0.56751456782221799</v>
      </c>
      <c r="DA11">
        <v>1.9321056420338822</v>
      </c>
      <c r="DB11">
        <v>4019398127.6432781</v>
      </c>
      <c r="DC11">
        <v>0.53913883943110708</v>
      </c>
      <c r="DD11">
        <v>0.53477189623485344</v>
      </c>
      <c r="DE11">
        <v>14521895886.221895</v>
      </c>
      <c r="DF11">
        <v>0.49941281968355183</v>
      </c>
      <c r="DG11">
        <v>0.15351140278298483</v>
      </c>
      <c r="DH11">
        <v>50588436163.132835</v>
      </c>
      <c r="DI11">
        <v>0.4540116542577744</v>
      </c>
      <c r="DJ11">
        <v>1.2359396009845518E-2</v>
      </c>
      <c r="DK11">
        <v>628339911902.94958</v>
      </c>
      <c r="DL11">
        <v>0.39726019747555258</v>
      </c>
      <c r="DM11">
        <v>607000000</v>
      </c>
      <c r="DN11">
        <v>0.56751456782221799</v>
      </c>
      <c r="DO11">
        <v>7765901800</v>
      </c>
      <c r="DP11">
        <v>741272390</v>
      </c>
      <c r="DQ11">
        <v>4800</v>
      </c>
      <c r="DR11">
        <v>-1.108423658731309</v>
      </c>
      <c r="DS11">
        <v>-1.3507655668620193</v>
      </c>
      <c r="DT11" s="9">
        <v>0.10999999999999995</v>
      </c>
      <c r="DU11">
        <v>0.20999999999999988</v>
      </c>
      <c r="DV11">
        <v>0.31999999999999984</v>
      </c>
      <c r="DW11">
        <v>-1.0403</v>
      </c>
      <c r="DX11">
        <v>0.40159635884793787</v>
      </c>
      <c r="DY11">
        <v>-1.0057063332615719</v>
      </c>
      <c r="DZ11">
        <v>218</v>
      </c>
      <c r="EA11">
        <v>-1.0054628928210587</v>
      </c>
      <c r="EB11">
        <v>1</v>
      </c>
      <c r="EC11">
        <v>7.285881926741386E-2</v>
      </c>
      <c r="ED11">
        <v>0.51455289395120307</v>
      </c>
      <c r="EE11" s="10">
        <v>-4.0165100000000002</v>
      </c>
      <c r="EF11">
        <v>-4.0370100000000004</v>
      </c>
      <c r="EG11">
        <v>26.141596358847938</v>
      </c>
      <c r="EH11" t="s">
        <v>576</v>
      </c>
      <c r="EI11">
        <v>0</v>
      </c>
      <c r="EJ11">
        <v>1</v>
      </c>
      <c r="EK11" s="11">
        <v>45470</v>
      </c>
      <c r="EL11">
        <v>1.44</v>
      </c>
      <c r="EM11">
        <v>-0.61</v>
      </c>
      <c r="EN11">
        <v>-2.21</v>
      </c>
      <c r="EO11">
        <v>-0.43</v>
      </c>
      <c r="EP11">
        <v>-2.0499999999999998</v>
      </c>
    </row>
    <row r="12" spans="1:146" x14ac:dyDescent="0.25">
      <c r="A12" s="6"/>
      <c r="B12" s="6"/>
      <c r="C12" s="6"/>
      <c r="S12" s="5"/>
    </row>
    <row r="13" spans="1:146" x14ac:dyDescent="0.25">
      <c r="S13" s="5"/>
    </row>
    <row r="14" spans="1:146" x14ac:dyDescent="0.25">
      <c r="S14" s="5"/>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非金属材料&quot;,&quot;&quot;'" altText="更新基本面按钮_x000a_">
                <anchor moveWithCells="1" sizeWithCells="1">
                  <from>
                    <xdr:col>147</xdr:col>
                    <xdr:colOff>342900</xdr:colOff>
                    <xdr:row>0</xdr:row>
                    <xdr:rowOff>76200</xdr:rowOff>
                  </from>
                  <to>
                    <xdr:col>147</xdr:col>
                    <xdr:colOff>1384300</xdr:colOff>
                    <xdr:row>0</xdr:row>
                    <xdr:rowOff>387350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4"/>
  <sheetViews>
    <sheetView workbookViewId="0">
      <selection activeCell="A5" sqref="A5"/>
    </sheetView>
  </sheetViews>
  <sheetFormatPr defaultRowHeight="14" x14ac:dyDescent="0.25"/>
  <sheetData>
    <row r="1" spans="1:30" x14ac:dyDescent="0.25">
      <c r="A1">
        <f>A6</f>
        <v>7</v>
      </c>
      <c r="B1">
        <f>A1+A1*$A$2</f>
        <v>7.21</v>
      </c>
      <c r="C1">
        <f t="shared" ref="C1:AD1" si="0">B1+B1*$A$2</f>
        <v>7.4263000000000003</v>
      </c>
      <c r="D1">
        <f t="shared" si="0"/>
        <v>7.649089</v>
      </c>
      <c r="E1">
        <f t="shared" si="0"/>
        <v>7.8785616699999999</v>
      </c>
      <c r="F1">
        <f t="shared" si="0"/>
        <v>8.1149185200999998</v>
      </c>
      <c r="G1">
        <f t="shared" si="0"/>
        <v>8.3583660757029996</v>
      </c>
      <c r="H1">
        <f t="shared" si="0"/>
        <v>8.609117057974089</v>
      </c>
      <c r="I1">
        <f t="shared" si="0"/>
        <v>8.8673905697133115</v>
      </c>
      <c r="J1">
        <f t="shared" si="0"/>
        <v>9.1334122868047114</v>
      </c>
      <c r="K1">
        <f t="shared" si="0"/>
        <v>9.4074146554088536</v>
      </c>
      <c r="L1">
        <f t="shared" si="0"/>
        <v>9.6896370950711184</v>
      </c>
      <c r="M1">
        <f t="shared" si="0"/>
        <v>9.9803262079232518</v>
      </c>
      <c r="N1">
        <f t="shared" si="0"/>
        <v>10.27973599416095</v>
      </c>
      <c r="O1">
        <f t="shared" si="0"/>
        <v>10.588128073985779</v>
      </c>
      <c r="P1">
        <f t="shared" si="0"/>
        <v>10.905771916205351</v>
      </c>
      <c r="Q1">
        <f t="shared" si="0"/>
        <v>11.232945073691512</v>
      </c>
      <c r="R1">
        <f t="shared" si="0"/>
        <v>11.569933425902258</v>
      </c>
      <c r="S1">
        <f t="shared" si="0"/>
        <v>11.917031428679326</v>
      </c>
      <c r="T1">
        <f t="shared" si="0"/>
        <v>12.274542371539706</v>
      </c>
      <c r="U1">
        <f t="shared" si="0"/>
        <v>12.642778642685897</v>
      </c>
      <c r="V1">
        <f t="shared" si="0"/>
        <v>13.022062001966475</v>
      </c>
      <c r="W1">
        <f t="shared" si="0"/>
        <v>13.412723862025469</v>
      </c>
      <c r="X1">
        <f t="shared" si="0"/>
        <v>13.815105577886234</v>
      </c>
      <c r="Y1">
        <f t="shared" si="0"/>
        <v>14.229558745222821</v>
      </c>
      <c r="Z1">
        <f t="shared" si="0"/>
        <v>14.656445507579505</v>
      </c>
      <c r="AA1">
        <f t="shared" si="0"/>
        <v>15.09613887280689</v>
      </c>
      <c r="AB1">
        <f t="shared" si="0"/>
        <v>15.549023038991097</v>
      </c>
      <c r="AC1">
        <f t="shared" si="0"/>
        <v>16.015493730160831</v>
      </c>
      <c r="AD1">
        <f t="shared" si="0"/>
        <v>16.495958542065654</v>
      </c>
    </row>
    <row r="2" spans="1:30" x14ac:dyDescent="0.25">
      <c r="A2">
        <v>0.03</v>
      </c>
      <c r="B2" t="s">
        <v>255</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0.05</v>
      </c>
      <c r="B4" t="s">
        <v>256</v>
      </c>
    </row>
    <row r="5" spans="1:30" x14ac:dyDescent="0.25">
      <c r="A5" s="13">
        <v>1</v>
      </c>
      <c r="B5" s="13">
        <f>A5*$A$4+A5</f>
        <v>1.05</v>
      </c>
      <c r="C5" s="13">
        <f t="shared" ref="C5:AD5" si="1">B5*$A$4+B5</f>
        <v>1.1025</v>
      </c>
      <c r="D5" s="13">
        <f t="shared" si="1"/>
        <v>1.1576250000000001</v>
      </c>
      <c r="E5" s="13">
        <f t="shared" si="1"/>
        <v>1.2155062500000002</v>
      </c>
      <c r="F5" s="13">
        <f t="shared" si="1"/>
        <v>1.2762815625000004</v>
      </c>
      <c r="G5" s="13">
        <f t="shared" si="1"/>
        <v>1.3400956406250004</v>
      </c>
      <c r="H5" s="13">
        <f t="shared" si="1"/>
        <v>1.4071004226562505</v>
      </c>
      <c r="I5" s="13">
        <f t="shared" si="1"/>
        <v>1.477455443789063</v>
      </c>
      <c r="J5" s="13">
        <f t="shared" si="1"/>
        <v>1.5513282159785162</v>
      </c>
      <c r="K5" s="13">
        <f t="shared" si="1"/>
        <v>1.628894626777442</v>
      </c>
      <c r="L5" s="13">
        <f t="shared" si="1"/>
        <v>1.7103393581163142</v>
      </c>
      <c r="M5" s="13">
        <f t="shared" si="1"/>
        <v>1.7958563260221299</v>
      </c>
      <c r="N5" s="13">
        <f t="shared" si="1"/>
        <v>1.8856491423232364</v>
      </c>
      <c r="O5" s="13">
        <f t="shared" si="1"/>
        <v>1.9799315994393982</v>
      </c>
      <c r="P5">
        <f t="shared" si="1"/>
        <v>2.0789281794113683</v>
      </c>
      <c r="Q5">
        <f t="shared" si="1"/>
        <v>2.1828745883819369</v>
      </c>
      <c r="R5">
        <f t="shared" si="1"/>
        <v>2.2920183178010336</v>
      </c>
      <c r="S5" s="13">
        <f t="shared" si="1"/>
        <v>2.4066192336910852</v>
      </c>
      <c r="T5">
        <f t="shared" si="1"/>
        <v>2.5269501953756395</v>
      </c>
      <c r="U5">
        <f t="shared" si="1"/>
        <v>2.6532977051444213</v>
      </c>
      <c r="V5">
        <f t="shared" si="1"/>
        <v>2.7859625904016423</v>
      </c>
      <c r="W5">
        <f t="shared" si="1"/>
        <v>2.9252607199217242</v>
      </c>
      <c r="X5">
        <f t="shared" si="1"/>
        <v>3.0715237559178106</v>
      </c>
      <c r="Y5">
        <f t="shared" si="1"/>
        <v>3.2250999437137011</v>
      </c>
      <c r="Z5">
        <f t="shared" si="1"/>
        <v>3.3863549408993863</v>
      </c>
      <c r="AA5">
        <f t="shared" si="1"/>
        <v>3.5556726879443556</v>
      </c>
      <c r="AB5">
        <f t="shared" si="1"/>
        <v>3.7334563223415733</v>
      </c>
      <c r="AC5">
        <f t="shared" si="1"/>
        <v>3.9201291384586519</v>
      </c>
      <c r="AD5">
        <f t="shared" si="1"/>
        <v>4.1161355953815848</v>
      </c>
    </row>
    <row r="6" spans="1:30" x14ac:dyDescent="0.25">
      <c r="A6">
        <v>7</v>
      </c>
      <c r="B6" t="s">
        <v>257</v>
      </c>
    </row>
    <row r="7" spans="1:30" x14ac:dyDescent="0.25">
      <c r="A7" s="14">
        <f>SUM($A$5:A5)</f>
        <v>1</v>
      </c>
      <c r="B7" s="14">
        <f>SUM($A$5:B5)</f>
        <v>2.0499999999999998</v>
      </c>
      <c r="C7" s="14">
        <f>SUM($A$5:C5)</f>
        <v>3.1524999999999999</v>
      </c>
      <c r="D7" s="14">
        <f>SUM($A$5:D5)</f>
        <v>4.3101250000000002</v>
      </c>
      <c r="E7" s="14">
        <f>SUM($A$5:E5)</f>
        <v>5.52563125</v>
      </c>
      <c r="F7" s="14">
        <f>SUM($A$5:F5)</f>
        <v>6.8019128125000003</v>
      </c>
      <c r="G7" s="14">
        <f>SUM($A$5:G5)</f>
        <v>8.1420084531250012</v>
      </c>
      <c r="H7" s="14">
        <f>SUM($A$5:H5)</f>
        <v>9.5491088757812523</v>
      </c>
      <c r="I7" s="14">
        <f>SUM($A$5:I5)</f>
        <v>11.026564319570316</v>
      </c>
      <c r="J7" s="14">
        <f>SUM($A$5:J5)</f>
        <v>12.577892535548832</v>
      </c>
      <c r="K7" s="14">
        <f>SUM($A$5:K5)</f>
        <v>14.206787162326274</v>
      </c>
      <c r="L7" s="14">
        <f>SUM($A$5:L5)</f>
        <v>15.917126520442588</v>
      </c>
      <c r="M7" s="14">
        <f>SUM($A$5:M5)</f>
        <v>17.712982846464719</v>
      </c>
      <c r="N7" s="14">
        <f>SUM($A$5:N5)</f>
        <v>19.598631988787954</v>
      </c>
      <c r="O7" s="14">
        <f>SUM($A$5:O5)</f>
        <v>21.578563588227354</v>
      </c>
      <c r="P7" s="14">
        <f>SUM($A$5:P5)</f>
        <v>23.657491767638721</v>
      </c>
      <c r="Q7" s="14">
        <f>SUM($A$5:Q5)</f>
        <v>25.84036635602066</v>
      </c>
      <c r="R7" s="14">
        <f>SUM($A$5:R5)</f>
        <v>28.132384673821694</v>
      </c>
      <c r="S7" s="14">
        <f>SUM($A$5:S5)</f>
        <v>30.539003907512779</v>
      </c>
      <c r="T7" s="14">
        <f>SUM($A$5:T5)</f>
        <v>33.065954102888419</v>
      </c>
      <c r="U7" s="14">
        <f>SUM($A$5:U5)</f>
        <v>35.719251808032837</v>
      </c>
      <c r="V7" s="14">
        <f>SUM($A$5:V5)</f>
        <v>38.505214398434482</v>
      </c>
      <c r="W7" s="14">
        <f>SUM($A$5:W5)</f>
        <v>41.430475118356206</v>
      </c>
      <c r="X7" s="14">
        <f>SUM($A$5:X5)</f>
        <v>44.501998874274015</v>
      </c>
      <c r="Y7" s="14">
        <f>SUM($A$5:Y5)</f>
        <v>47.727098817987716</v>
      </c>
      <c r="Z7" s="14">
        <f>SUM($A$5:Z5)</f>
        <v>51.113453758887104</v>
      </c>
      <c r="AA7" s="14">
        <f>SUM($A$5:AA5)</f>
        <v>54.669126446831463</v>
      </c>
      <c r="AB7" s="14">
        <f>SUM($A$5:AB5)</f>
        <v>58.402582769173037</v>
      </c>
      <c r="AC7" s="14">
        <f>SUM($A$5:AC5)</f>
        <v>62.322711907631685</v>
      </c>
      <c r="AD7" s="14">
        <f>SUM($A$5:AD5)</f>
        <v>66.438847503013264</v>
      </c>
    </row>
    <row r="8" spans="1:30" x14ac:dyDescent="0.25">
      <c r="A8" s="1" t="s">
        <v>258</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0.13428454540102333</v>
      </c>
      <c r="I9">
        <f t="shared" si="2"/>
        <v>0.30845339283671486</v>
      </c>
      <c r="J9">
        <f t="shared" si="2"/>
        <v>0.49206860696344584</v>
      </c>
      <c r="K9">
        <f t="shared" si="2"/>
        <v>0.68562464384534572</v>
      </c>
      <c r="L9">
        <f t="shared" si="2"/>
        <v>0.88964134648163851</v>
      </c>
      <c r="M9">
        <f t="shared" si="2"/>
        <v>1.1046652340773524</v>
      </c>
      <c r="N9">
        <f t="shared" si="2"/>
        <v>1.3312708563752864</v>
      </c>
      <c r="O9">
        <f t="shared" si="2"/>
        <v>1.5700622163202251</v>
      </c>
      <c r="P9">
        <f t="shared" si="2"/>
        <v>1.8216742644904813</v>
      </c>
      <c r="Q9">
        <f t="shared" si="2"/>
        <v>2.0867744689041641</v>
      </c>
      <c r="R9">
        <f t="shared" si="2"/>
        <v>2.3660644639884905</v>
      </c>
      <c r="S9">
        <f t="shared" si="2"/>
        <v>2.6602817826904932</v>
      </c>
      <c r="T9">
        <f t="shared" si="2"/>
        <v>2.9702016759069592</v>
      </c>
      <c r="U9">
        <f t="shared" si="2"/>
        <v>3.2966390236209913</v>
      </c>
      <c r="V9">
        <f t="shared" si="2"/>
        <v>3.6404503423525725</v>
      </c>
      <c r="W9">
        <f t="shared" si="2"/>
        <v>4.0025358937615341</v>
      </c>
      <c r="X9">
        <f t="shared" si="2"/>
        <v>4.3838418994839685</v>
      </c>
      <c r="Y9">
        <f t="shared" si="2"/>
        <v>4.7853628675378417</v>
      </c>
      <c r="Z9">
        <f t="shared" si="2"/>
        <v>5.2081440359010855</v>
      </c>
      <c r="AA9">
        <f t="shared" si="2"/>
        <v>5.6532839391463678</v>
      </c>
      <c r="AB9">
        <f t="shared" si="2"/>
        <v>6.1219371043117059</v>
      </c>
      <c r="AC9">
        <f t="shared" si="2"/>
        <v>6.6153168824958373</v>
      </c>
      <c r="AD9">
        <f t="shared" si="2"/>
        <v>7.1346984229925159</v>
      </c>
    </row>
    <row r="11" spans="1:30" x14ac:dyDescent="0.25">
      <c r="A11" t="s">
        <v>259</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260</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261</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262</v>
      </c>
      <c r="B14">
        <v>0.3</v>
      </c>
      <c r="C14" t="s">
        <v>263</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非金属材料</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2024-07-09T16:15:28Z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