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New-汽车\"/>
    </mc:Choice>
  </mc:AlternateContent>
  <bookViews>
    <workbookView xWindow="0" yWindow="0" windowWidth="3800" windowHeight="2950"/>
  </bookViews>
  <sheets>
    <sheet name="汽车服务" sheetId="15" r:id="rId1"/>
    <sheet name="估值-增速与年化收益" sheetId="14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3" i="15"/>
  <c r="C5" i="15"/>
  <c r="C7" i="15"/>
  <c r="C9" i="15"/>
  <c r="C11" i="15"/>
  <c r="C10" i="15"/>
  <c r="C16" i="15"/>
  <c r="C17" i="15"/>
  <c r="C20" i="15"/>
  <c r="C24" i="15"/>
  <c r="C25" i="15"/>
  <c r="C22" i="15"/>
  <c r="C23" i="15"/>
  <c r="C21" i="15"/>
  <c r="C13" i="15"/>
  <c r="C18" i="15"/>
  <c r="C12" i="15"/>
  <c r="C15" i="15"/>
  <c r="C6" i="15"/>
  <c r="C8" i="15"/>
  <c r="C19" i="15"/>
  <c r="C14" i="15"/>
  <c r="C4" i="15"/>
  <c r="C2" i="15"/>
</calcChain>
</file>

<file path=xl/sharedStrings.xml><?xml version="1.0" encoding="utf-8"?>
<sst xmlns="http://schemas.openxmlformats.org/spreadsheetml/2006/main" count="1483" uniqueCount="1152">
  <si>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</si>
  <si>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</si>
  <si>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</si>
  <si>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</si>
  <si>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</si>
  <si>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</si>
  <si>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</si>
  <si>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</si>
  <si>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</si>
  <si>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</si>
  <si>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</si>
  <si>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</si>
  <si>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</si>
  <si>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</si>
  <si>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</si>
  <si>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</si>
  <si>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</si>
  <si>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</si>
  <si>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</si>
  <si>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</si>
  <si>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--</t>
  </si>
  <si>
    <t>1.03亿</t>
  </si>
  <si>
    <t>流动资产</t>
  </si>
  <si>
    <t>营业收入[20191231]</t>
  </si>
  <si>
    <t>营业收入[20181231]</t>
  </si>
  <si>
    <t>营业收入[20171231]</t>
  </si>
  <si>
    <t>净利润[20191231]</t>
  </si>
  <si>
    <t>净利润[20181231]</t>
  </si>
  <si>
    <t>净利润[20171231]</t>
  </si>
  <si>
    <t>销售毛利率%[20201231]</t>
  </si>
  <si>
    <t>销售净利率%[20201231]</t>
  </si>
  <si>
    <t>1.16亿</t>
  </si>
  <si>
    <t>2.10亿</t>
  </si>
  <si>
    <t>1.15亿</t>
  </si>
  <si>
    <t>1.23亿</t>
  </si>
  <si>
    <t>8.33亿</t>
  </si>
  <si>
    <t>6.10亿</t>
  </si>
  <si>
    <t>汽车服务</t>
  </si>
  <si>
    <t>1.36亿</t>
  </si>
  <si>
    <t>SZ000757</t>
  </si>
  <si>
    <t>浩物股份</t>
  </si>
  <si>
    <t>40.88亿</t>
  </si>
  <si>
    <t>5274.38万</t>
  </si>
  <si>
    <t>44.44亿</t>
  </si>
  <si>
    <t>46.82亿</t>
  </si>
  <si>
    <t>6.11亿</t>
  </si>
  <si>
    <t>1.39亿</t>
  </si>
  <si>
    <t>1.32亿</t>
  </si>
  <si>
    <t>4709.52万</t>
  </si>
  <si>
    <t>SZ002758</t>
  </si>
  <si>
    <t>浙农股份</t>
  </si>
  <si>
    <t>287.47亿</t>
  </si>
  <si>
    <t>3.51亿</t>
  </si>
  <si>
    <t>66.50亿</t>
  </si>
  <si>
    <t>15.23亿</t>
  </si>
  <si>
    <t>13.69亿</t>
  </si>
  <si>
    <t>1.24亿</t>
  </si>
  <si>
    <t>3456.33万</t>
  </si>
  <si>
    <t>4206.38万</t>
  </si>
  <si>
    <t>SZ300825</t>
  </si>
  <si>
    <t>阿尔特</t>
  </si>
  <si>
    <t>8.21亿</t>
  </si>
  <si>
    <t>1.11亿</t>
  </si>
  <si>
    <t>8.85亿</t>
  </si>
  <si>
    <t>7.95亿</t>
  </si>
  <si>
    <t>1.30亿</t>
  </si>
  <si>
    <t>3.35亿</t>
  </si>
  <si>
    <t>SH600297</t>
  </si>
  <si>
    <t>广汇汽车</t>
  </si>
  <si>
    <t>1584.42亿</t>
  </si>
  <si>
    <t>15.16亿</t>
  </si>
  <si>
    <t>1704.56亿</t>
  </si>
  <si>
    <t>1661.73亿</t>
  </si>
  <si>
    <t>26.01亿</t>
  </si>
  <si>
    <t>32.57亿</t>
  </si>
  <si>
    <t>SH600335</t>
  </si>
  <si>
    <t>国机汽车</t>
  </si>
  <si>
    <t>441.35亿</t>
  </si>
  <si>
    <t>4.27亿</t>
  </si>
  <si>
    <t>521.62亿</t>
  </si>
  <si>
    <t>559.25亿</t>
  </si>
  <si>
    <t>5.38亿</t>
  </si>
  <si>
    <t>SH600386</t>
  </si>
  <si>
    <t>北巴传媒</t>
  </si>
  <si>
    <t>45.25亿</t>
  </si>
  <si>
    <t>6818.07万</t>
  </si>
  <si>
    <t>52.28亿</t>
  </si>
  <si>
    <t>47.94亿</t>
  </si>
  <si>
    <t>8715.67万</t>
  </si>
  <si>
    <t>SH600653</t>
  </si>
  <si>
    <t>申华控股</t>
  </si>
  <si>
    <t>68.98亿</t>
  </si>
  <si>
    <t>-7.56亿</t>
  </si>
  <si>
    <t>73.59亿</t>
  </si>
  <si>
    <t>71.46亿</t>
  </si>
  <si>
    <t>-2.53亿</t>
  </si>
  <si>
    <t>3.41亿</t>
  </si>
  <si>
    <t>SH600822</t>
  </si>
  <si>
    <t>上海物贸</t>
  </si>
  <si>
    <t>78.56亿</t>
  </si>
  <si>
    <t>72.97亿</t>
  </si>
  <si>
    <t>61.85亿</t>
  </si>
  <si>
    <t>6142.14万</t>
  </si>
  <si>
    <t>4408.26万</t>
  </si>
  <si>
    <t>SH601965</t>
  </si>
  <si>
    <t>中国汽研</t>
  </si>
  <si>
    <t>34.18亿</t>
  </si>
  <si>
    <t>5.58亿</t>
  </si>
  <si>
    <t>27.55亿</t>
  </si>
  <si>
    <t>27.58亿</t>
  </si>
  <si>
    <t>24.00亿</t>
  </si>
  <si>
    <t>4.67亿</t>
  </si>
  <si>
    <t>4.03亿</t>
  </si>
  <si>
    <t>3.75亿</t>
  </si>
  <si>
    <t>流通股本</t>
  </si>
  <si>
    <t>净利润[20201231]</t>
  </si>
  <si>
    <t>投入资本回报率roic%[20201231]</t>
  </si>
  <si>
    <t>净资产收益率%[20201231]</t>
  </si>
  <si>
    <t>45.34亿</t>
  </si>
  <si>
    <t>8660.57万</t>
  </si>
  <si>
    <t>12.72亿</t>
  </si>
  <si>
    <t>2.05亿</t>
  </si>
  <si>
    <t>SZ301215</t>
  </si>
  <si>
    <t>中汽股份</t>
  </si>
  <si>
    <t>2.98亿</t>
  </si>
  <si>
    <t>2.93亿</t>
  </si>
  <si>
    <t>3.59亿</t>
  </si>
  <si>
    <t>1.00亿</t>
  </si>
  <si>
    <t>1.43亿</t>
  </si>
  <si>
    <t>1584.37亿</t>
  </si>
  <si>
    <t>16.09亿</t>
  </si>
  <si>
    <t>439.45亿</t>
  </si>
  <si>
    <t>2.56亿</t>
  </si>
  <si>
    <t>43.09亿</t>
  </si>
  <si>
    <t>1.33亿</t>
  </si>
  <si>
    <t>70.98亿</t>
  </si>
  <si>
    <t>4133.92万</t>
  </si>
  <si>
    <t>65.67亿</t>
  </si>
  <si>
    <t>1.40亿</t>
  </si>
  <si>
    <t>6.92亿</t>
  </si>
  <si>
    <t>38.35亿</t>
  </si>
  <si>
    <t xml:space="preserve">    名称</t>
  </si>
  <si>
    <t>净利润?</t>
  </si>
  <si>
    <t>投入资本回报率roic%[20211231]</t>
  </si>
  <si>
    <t>净资产收益率%[20211231]</t>
  </si>
  <si>
    <t>单季营收增速</t>
  </si>
  <si>
    <t>单季利润增速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</si>
  <si>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</si>
  <si>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</si>
  <si>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</si>
  <si>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</si>
  <si>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</si>
  <si>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</si>
  <si>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</si>
  <si>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</si>
  <si>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</si>
  <si>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</si>
  <si>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</si>
  <si>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</si>
  <si>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</si>
  <si>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细分行业</t>
  </si>
  <si>
    <t>1.68亿</t>
  </si>
  <si>
    <t>开始亏损</t>
  </si>
  <si>
    <t>股利率</t>
    <phoneticPr fontId="1" type="noConversion"/>
  </si>
  <si>
    <t>1.50亿</t>
  </si>
  <si>
    <t>不分配不转增</t>
  </si>
  <si>
    <t>1.70亿</t>
  </si>
  <si>
    <t>10派3元(含税)</t>
  </si>
  <si>
    <t>-1-0</t>
  </si>
  <si>
    <t>1.42亿</t>
  </si>
  <si>
    <t>5.76亿</t>
  </si>
  <si>
    <t>1.09亿</t>
  </si>
  <si>
    <t>6.20亿</t>
  </si>
  <si>
    <t>1.59亿</t>
  </si>
  <si>
    <t/>
  </si>
  <si>
    <t>2.80亿</t>
  </si>
  <si>
    <t>涨幅%</t>
  </si>
  <si>
    <t>成交量[20230512]</t>
  </si>
  <si>
    <t>当季营业收入(同比增长率) %</t>
  </si>
  <si>
    <t>LYear营业总收入[20221231]</t>
  </si>
  <si>
    <t>LYear净利润[20221231]</t>
  </si>
  <si>
    <t>权益乘数[20220930]</t>
  </si>
  <si>
    <t>总资产周转率[20220930]</t>
  </si>
  <si>
    <t>净利润／营业总收入%[20220930]</t>
  </si>
  <si>
    <t>营业总成本[20220930]</t>
  </si>
  <si>
    <t>营业成本[20220930]</t>
  </si>
  <si>
    <t>销售费用[20230331]</t>
  </si>
  <si>
    <t>管理费用[20220930]</t>
  </si>
  <si>
    <t>研发费用总额</t>
  </si>
  <si>
    <t>其他收入[20230331]</t>
  </si>
  <si>
    <t>扣除非经常性损益后的净利润[20230331]</t>
  </si>
  <si>
    <t>货币资金[20230331]</t>
  </si>
  <si>
    <t>应收票据[20230331]</t>
  </si>
  <si>
    <t>固定资产[20230331]</t>
  </si>
  <si>
    <t>在建工程[20230331]</t>
  </si>
  <si>
    <t>短期借款[20230331]</t>
  </si>
  <si>
    <t>应付票据[20230331]</t>
  </si>
  <si>
    <t>应付账款[20230331]</t>
  </si>
  <si>
    <t>预收款项[20230331]</t>
  </si>
  <si>
    <t>流动负债[20230331]</t>
  </si>
  <si>
    <t>长期借款[20230331]</t>
  </si>
  <si>
    <t>经营活动产生的现金流量净额[20230331]</t>
  </si>
  <si>
    <t>投资活动产生的现金流量净额[20230331]</t>
  </si>
  <si>
    <t>筹资活动产生的现金流量净额[20230331]</t>
  </si>
  <si>
    <t>营业收入[20211231]</t>
  </si>
  <si>
    <t>营业收入[20201231]</t>
  </si>
  <si>
    <t>净利润[20211231]</t>
  </si>
  <si>
    <t>CYLQ营业收入[20221231]</t>
  </si>
  <si>
    <t>LYCQ营业收入[20220331]</t>
  </si>
  <si>
    <t>LYLQ营业收入[20211231]</t>
  </si>
  <si>
    <t>CYLQ净利润[20221231]</t>
  </si>
  <si>
    <t>LYCQ净利润[20220331]</t>
  </si>
  <si>
    <t>LYLQ净利润[20211231]</t>
  </si>
  <si>
    <t>投入资本回报率roic%[20221231]</t>
  </si>
  <si>
    <t>净资产收益率%[20221231]</t>
  </si>
  <si>
    <t>分红明细[20221231]</t>
  </si>
  <si>
    <t>销售毛利率%[20230331]</t>
  </si>
  <si>
    <t>销售毛利率%[20211231]</t>
  </si>
  <si>
    <t>销售净利率%[20230331]</t>
  </si>
  <si>
    <t>销售净利率%[20211231]</t>
  </si>
  <si>
    <t>区间涨跌幅:前复权%[20230508-20230512]</t>
  </si>
  <si>
    <t>区间涨跌幅:前复权%[20230328-20230512]</t>
  </si>
  <si>
    <t>区间成交量[20230508-20230512]</t>
  </si>
  <si>
    <t>区间成交量[20230328-20230512]</t>
  </si>
  <si>
    <t>6年PE</t>
    <phoneticPr fontId="1" type="noConversion"/>
  </si>
  <si>
    <t>5年营收增速PEG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</si>
  <si>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</si>
  <si>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</si>
  <si>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</si>
  <si>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</si>
  <si>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</si>
  <si>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</si>
  <si>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</si>
  <si>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</si>
  <si>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6增速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</si>
  <si>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</si>
  <si>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</si>
  <si>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</si>
  <si>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承担负债现期溢价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</si>
  <si>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</si>
  <si>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</si>
  <si>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</si>
  <si>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</si>
  <si>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营收成长策略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</si>
  <si>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</si>
  <si>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</si>
  <si>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</si>
  <si>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</si>
  <si>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量价齐升策略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</si>
  <si>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</si>
  <si>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</si>
  <si>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</si>
  <si>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5日成交换手率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</si>
  <si>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</si>
  <si>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</si>
  <si>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</si>
  <si>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</si>
  <si>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</si>
  <si>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</si>
  <si>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</si>
  <si>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</si>
  <si>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</si>
  <si>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</si>
  <si>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</si>
  <si>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</si>
  <si>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3.14亿</t>
  </si>
  <si>
    <t>1460.53万</t>
  </si>
  <si>
    <t>9.91亿</t>
  </si>
  <si>
    <t>17.05亿</t>
  </si>
  <si>
    <t>700234310亿</t>
  </si>
  <si>
    <t>34.81亿</t>
  </si>
  <si>
    <t>-6570.70万</t>
  </si>
  <si>
    <t>7.02亿</t>
  </si>
  <si>
    <t>1742.48万</t>
  </si>
  <si>
    <t>5341.36万</t>
  </si>
  <si>
    <t>2960.05万</t>
  </si>
  <si>
    <t>787203亿</t>
  </si>
  <si>
    <t>1.28万</t>
  </si>
  <si>
    <t>-1941.97万</t>
  </si>
  <si>
    <t>5.72亿</t>
  </si>
  <si>
    <t>129039474亿</t>
  </si>
  <si>
    <t>1550.48万</t>
  </si>
  <si>
    <t>1781451000亿</t>
  </si>
  <si>
    <t>3104.82万</t>
  </si>
  <si>
    <t>3.60亿</t>
  </si>
  <si>
    <t>3101.73万</t>
  </si>
  <si>
    <t>1.74亿</t>
  </si>
  <si>
    <t>9.30亿</t>
  </si>
  <si>
    <t>-260.43万</t>
  </si>
  <si>
    <t>-536.72万</t>
  </si>
  <si>
    <t>329.38万</t>
  </si>
  <si>
    <t>7.30亿</t>
  </si>
  <si>
    <t>-804.48万</t>
  </si>
  <si>
    <t>2814.31万</t>
  </si>
  <si>
    <t>亏损</t>
  </si>
  <si>
    <t>扭亏</t>
  </si>
  <si>
    <t>1.62亿</t>
  </si>
  <si>
    <t>523.56万</t>
  </si>
  <si>
    <t>116.85亿</t>
  </si>
  <si>
    <t>69.54亿</t>
  </si>
  <si>
    <t>10211322400亿</t>
  </si>
  <si>
    <t>418.13亿</t>
  </si>
  <si>
    <t>99.48亿</t>
  </si>
  <si>
    <t>95.83亿</t>
  </si>
  <si>
    <t>1.97亿</t>
  </si>
  <si>
    <t>1804.49万</t>
  </si>
  <si>
    <t>6044508亿</t>
  </si>
  <si>
    <t>712.58万</t>
  </si>
  <si>
    <t>7681.79万</t>
  </si>
  <si>
    <t>56.50亿</t>
  </si>
  <si>
    <t>960371550亿</t>
  </si>
  <si>
    <t>14434717000亿</t>
  </si>
  <si>
    <t>25.28亿</t>
  </si>
  <si>
    <t>28.30亿</t>
  </si>
  <si>
    <t>14.32亿</t>
  </si>
  <si>
    <t>109.63亿</t>
  </si>
  <si>
    <t>828.12万</t>
  </si>
  <si>
    <t>-420.97万</t>
  </si>
  <si>
    <t>351.46亿</t>
  </si>
  <si>
    <t>6.57亿</t>
  </si>
  <si>
    <t>94.70亿</t>
  </si>
  <si>
    <t>2864.37万</t>
  </si>
  <si>
    <t>9.47亿</t>
  </si>
  <si>
    <t>2.07亿</t>
  </si>
  <si>
    <t>1.51亿</t>
  </si>
  <si>
    <t>4.57亿</t>
  </si>
  <si>
    <t>3.25亿</t>
  </si>
  <si>
    <t>1.87亿</t>
  </si>
  <si>
    <t>1335.44亿</t>
  </si>
  <si>
    <t>-26.69亿</t>
  </si>
  <si>
    <t>395.69亿</t>
  </si>
  <si>
    <t>3.19亿</t>
  </si>
  <si>
    <t>6.18亿</t>
  </si>
  <si>
    <t>1.98亿</t>
  </si>
  <si>
    <t>1.22亿</t>
  </si>
  <si>
    <t>-1-1</t>
  </si>
  <si>
    <t>35.53亿</t>
  </si>
  <si>
    <t>0亿</t>
  </si>
  <si>
    <t>12.12亿</t>
  </si>
  <si>
    <t>59.49亿</t>
  </si>
  <si>
    <t>-1.73亿</t>
  </si>
  <si>
    <t>50.22亿</t>
  </si>
  <si>
    <t>-1.50亿</t>
  </si>
  <si>
    <t>705.35万</t>
  </si>
  <si>
    <t>16.54亿</t>
  </si>
  <si>
    <t>63.63亿</t>
  </si>
  <si>
    <t>707045130亿</t>
  </si>
  <si>
    <t>32.91亿</t>
  </si>
  <si>
    <t>6.89亿</t>
  </si>
  <si>
    <t>5.43亿</t>
  </si>
  <si>
    <t>4.07亿</t>
  </si>
  <si>
    <t>2241.15万</t>
  </si>
  <si>
    <t>5892.14万</t>
  </si>
  <si>
    <t>2.26亿</t>
  </si>
  <si>
    <t>432910亿</t>
  </si>
  <si>
    <t>24.85万</t>
  </si>
  <si>
    <t>1.34亿</t>
  </si>
  <si>
    <t>16.64亿</t>
  </si>
  <si>
    <t>997773930亿</t>
  </si>
  <si>
    <t>4.33亿</t>
  </si>
  <si>
    <t>3650035000亿</t>
  </si>
  <si>
    <t>2.59亿</t>
  </si>
  <si>
    <t>429.56万</t>
  </si>
  <si>
    <t>9525.67万</t>
  </si>
  <si>
    <t>125.73万</t>
  </si>
  <si>
    <t>13.67亿</t>
  </si>
  <si>
    <t>-9777.57万</t>
  </si>
  <si>
    <t>-6510.95万</t>
  </si>
  <si>
    <t>-1285.57万</t>
  </si>
  <si>
    <t>5.61亿</t>
  </si>
  <si>
    <t>2170.62万</t>
  </si>
  <si>
    <t>2.14亿</t>
  </si>
  <si>
    <t>1.市场的低预期继续展开，所以价格在底部波动较大；2. . 2020Q2单季度的利润上升从比例来看，居然是所得税费用的减半，不知道是不是疫情国家减税的关系，不过营收环比是增加，但是其他经营的成本和费用没有明显变化，继续跟踪；</t>
    <phoneticPr fontId="1" type="noConversion"/>
  </si>
  <si>
    <t>1. 2015年6月18日借壳美罗药业上市；2. 随着国内疫情得到控制和企业复工复产态势持续向好，消费政策的刺激效果正持续显现，从 2020 年 3 月开始，乘用车产销均出现 V 型反弹态势，市场表现总体好于预期，二季度单季同比增速已恢复至去年同期水平。3. 从 2020 年 5 月 1 日至 2023 年底，二手车经销企业销售旧车减按销售额 0.5%征收增值税的税收新政策;4.2019年中国新车产销大概在2100万辆，其中豪华车大概220万辆，二手车在1500万辆，全国2019年汽车保有量在2.6亿辆，其中私家车2亿辆。5.2019年广汇汽车销售新车90万辆（4.28%），二手车32.84万辆（2.2%)，维修823万台；</t>
    <phoneticPr fontId="1" type="noConversion"/>
  </si>
  <si>
    <t>SZ000913</t>
  </si>
  <si>
    <t>钱江摩托</t>
  </si>
  <si>
    <t>550.17万</t>
  </si>
  <si>
    <t>汽车服务及其他</t>
  </si>
  <si>
    <t>40.19亿</t>
  </si>
  <si>
    <t>45.95亿</t>
  </si>
  <si>
    <t>13.45亿</t>
  </si>
  <si>
    <t>50.98亿</t>
  </si>
  <si>
    <t>4.64亿</t>
  </si>
  <si>
    <t>12.17亿</t>
  </si>
  <si>
    <t>4210.88万</t>
  </si>
  <si>
    <t>5803.51万</t>
  </si>
  <si>
    <t>-8219619亿</t>
  </si>
  <si>
    <t>149.87万</t>
  </si>
  <si>
    <t>115063879亿</t>
  </si>
  <si>
    <t>54.10亿</t>
  </si>
  <si>
    <t>534630640亿</t>
  </si>
  <si>
    <t>2337.87万</t>
  </si>
  <si>
    <t>7093989500亿</t>
  </si>
  <si>
    <t>3.23亿</t>
  </si>
  <si>
    <t>778.40万</t>
  </si>
  <si>
    <t>15.25亿</t>
  </si>
  <si>
    <t>11.60亿</t>
  </si>
  <si>
    <t>32.16亿</t>
  </si>
  <si>
    <t>1.14亿</t>
  </si>
  <si>
    <t>1.17亿</t>
  </si>
  <si>
    <t>5.34亿</t>
  </si>
  <si>
    <t>56.48亿</t>
  </si>
  <si>
    <t>36.12亿</t>
  </si>
  <si>
    <t>37.85亿</t>
  </si>
  <si>
    <t>30.89亿</t>
  </si>
  <si>
    <t>4.16亿</t>
  </si>
  <si>
    <t>2.38亿</t>
  </si>
  <si>
    <t>2.40亿</t>
  </si>
  <si>
    <t>2.28亿</t>
  </si>
  <si>
    <t>6335.79万</t>
  </si>
  <si>
    <t>13.34亿</t>
  </si>
  <si>
    <t>7391.09万</t>
  </si>
  <si>
    <t>10派4元(含税)</t>
  </si>
  <si>
    <t>其他运输设备</t>
  </si>
  <si>
    <t>3338.60万</t>
  </si>
  <si>
    <t>3.45亿</t>
  </si>
  <si>
    <t>SZ003033</t>
  </si>
  <si>
    <t>征和工业</t>
  </si>
  <si>
    <t>57.46万</t>
  </si>
  <si>
    <t>10.86亿</t>
  </si>
  <si>
    <t>11.88亿</t>
  </si>
  <si>
    <t>3.72亿</t>
  </si>
  <si>
    <t>17.32亿</t>
  </si>
  <si>
    <t>3.40亿</t>
  </si>
  <si>
    <t>2.89亿</t>
  </si>
  <si>
    <t>894.60万</t>
  </si>
  <si>
    <t>1799.40万</t>
  </si>
  <si>
    <t>7.77万</t>
  </si>
  <si>
    <t>25988482亿</t>
  </si>
  <si>
    <t>2.32亿</t>
  </si>
  <si>
    <t>341531600亿</t>
  </si>
  <si>
    <t>5363.70万</t>
  </si>
  <si>
    <t>969016310亿</t>
  </si>
  <si>
    <t>2.42亿</t>
  </si>
  <si>
    <t>2001.40万</t>
  </si>
  <si>
    <t>3950.00万</t>
  </si>
  <si>
    <t>2.15亿</t>
  </si>
  <si>
    <t>3.76亿</t>
  </si>
  <si>
    <t>5.14亿</t>
  </si>
  <si>
    <t>-4911.58万</t>
  </si>
  <si>
    <t>-5774.20万</t>
  </si>
  <si>
    <t>-680.29万</t>
  </si>
  <si>
    <t>16.07亿</t>
  </si>
  <si>
    <t>13.62亿</t>
  </si>
  <si>
    <t>9.77亿</t>
  </si>
  <si>
    <t>8.06亿</t>
  </si>
  <si>
    <t>7.35亿</t>
  </si>
  <si>
    <t>7876.19万</t>
  </si>
  <si>
    <t>9195.92万</t>
  </si>
  <si>
    <t>6829.16万</t>
  </si>
  <si>
    <t>3.44亿</t>
  </si>
  <si>
    <t>2565.50万</t>
  </si>
  <si>
    <t>10派5元(含税)</t>
  </si>
  <si>
    <t>247.08万</t>
  </si>
  <si>
    <t>2197.82万</t>
  </si>
  <si>
    <t>-3-1</t>
  </si>
  <si>
    <t>530.29万</t>
  </si>
  <si>
    <t>8.69亿</t>
  </si>
  <si>
    <t>25.17亿</t>
  </si>
  <si>
    <t>2.52亿</t>
  </si>
  <si>
    <t>7.66亿</t>
  </si>
  <si>
    <t>4494.67万</t>
  </si>
  <si>
    <t>941.59万</t>
  </si>
  <si>
    <t>3531.11万</t>
  </si>
  <si>
    <t>-1654377亿</t>
  </si>
  <si>
    <t>5.33万</t>
  </si>
  <si>
    <t>21463156亿</t>
  </si>
  <si>
    <t>2.70亿</t>
  </si>
  <si>
    <t>442686720亿</t>
  </si>
  <si>
    <t>1384768300亿</t>
  </si>
  <si>
    <t>1.35亿</t>
  </si>
  <si>
    <t>5318.34万</t>
  </si>
  <si>
    <t>7195.94万</t>
  </si>
  <si>
    <t>4.34亿</t>
  </si>
  <si>
    <t>4088.76万</t>
  </si>
  <si>
    <t>3799.45万</t>
  </si>
  <si>
    <t>-2.40亿</t>
  </si>
  <si>
    <t>3938.26万</t>
  </si>
  <si>
    <t>8241.89万</t>
  </si>
  <si>
    <t>8.58亿</t>
  </si>
  <si>
    <t>9461.49万</t>
  </si>
  <si>
    <t>3596.60万</t>
  </si>
  <si>
    <t>1049.06万</t>
  </si>
  <si>
    <t>2422.76万</t>
  </si>
  <si>
    <t>2.86亿</t>
  </si>
  <si>
    <t>-2-0</t>
  </si>
  <si>
    <t>SZ300994</t>
  </si>
  <si>
    <t>久祺股份</t>
  </si>
  <si>
    <t>277.11万</t>
  </si>
  <si>
    <t>5.87亿</t>
  </si>
  <si>
    <t>11.96亿</t>
  </si>
  <si>
    <t>5.29亿</t>
  </si>
  <si>
    <t>2.83亿</t>
  </si>
  <si>
    <t>803.38万</t>
  </si>
  <si>
    <t>4.99亿</t>
  </si>
  <si>
    <t>4.61亿</t>
  </si>
  <si>
    <t>3115.17万</t>
  </si>
  <si>
    <t>735.83万</t>
  </si>
  <si>
    <t>1879252亿</t>
  </si>
  <si>
    <t>52.95万</t>
  </si>
  <si>
    <t>19010692亿</t>
  </si>
  <si>
    <t>365818260亿</t>
  </si>
  <si>
    <t>1433583100亿</t>
  </si>
  <si>
    <t>8878.67万</t>
  </si>
  <si>
    <t>2042.69万</t>
  </si>
  <si>
    <t>1.49亿</t>
  </si>
  <si>
    <t>2.44亿</t>
  </si>
  <si>
    <t>5.42亿</t>
  </si>
  <si>
    <t>330.00万</t>
  </si>
  <si>
    <t>-9188.03万</t>
  </si>
  <si>
    <t>2872.59万</t>
  </si>
  <si>
    <t>-580.85万</t>
  </si>
  <si>
    <t>23.76亿</t>
  </si>
  <si>
    <t>37.10亿</t>
  </si>
  <si>
    <t>22.86亿</t>
  </si>
  <si>
    <t>17.95亿</t>
  </si>
  <si>
    <t>18.20亿</t>
  </si>
  <si>
    <t>1.57亿</t>
  </si>
  <si>
    <t>1.02亿</t>
  </si>
  <si>
    <t>5162.19万</t>
  </si>
  <si>
    <t>20.06亿</t>
  </si>
  <si>
    <t>6017.38万</t>
  </si>
  <si>
    <t>1.06亿</t>
  </si>
  <si>
    <t>315.96万</t>
  </si>
  <si>
    <t>10派3.65元(含税)</t>
  </si>
  <si>
    <t>1731.18万</t>
  </si>
  <si>
    <t>1.29亿</t>
  </si>
  <si>
    <t>08033800</t>
  </si>
  <si>
    <t>024101400</t>
  </si>
  <si>
    <t>048202800</t>
  </si>
  <si>
    <t>080338000</t>
  </si>
  <si>
    <t>0160676000</t>
  </si>
  <si>
    <t>3-1</t>
  </si>
  <si>
    <t>2156.30万</t>
  </si>
  <si>
    <t>6.09亿</t>
  </si>
  <si>
    <t>28.43亿</t>
  </si>
  <si>
    <t>6774.76万</t>
  </si>
  <si>
    <t>175.32亿</t>
  </si>
  <si>
    <t>4.37亿</t>
  </si>
  <si>
    <t>4611.44万</t>
  </si>
  <si>
    <t>2297.28万</t>
  </si>
  <si>
    <t>133.51万</t>
  </si>
  <si>
    <t>1587.34万</t>
  </si>
  <si>
    <t>3699669亿</t>
  </si>
  <si>
    <t>18631595亿</t>
  </si>
  <si>
    <t>159931130亿</t>
  </si>
  <si>
    <t>419.19万</t>
  </si>
  <si>
    <t>948516060亿</t>
  </si>
  <si>
    <t>8.75亿</t>
  </si>
  <si>
    <t>2.64亿</t>
  </si>
  <si>
    <t>3.10亿</t>
  </si>
  <si>
    <t>1121.79万</t>
  </si>
  <si>
    <t>-2852.06万</t>
  </si>
  <si>
    <t>3.57亿</t>
  </si>
  <si>
    <t>43.90亿</t>
  </si>
  <si>
    <t>1.65亿</t>
  </si>
  <si>
    <t>2.04亿</t>
  </si>
  <si>
    <t>10派0.76元(含税)</t>
  </si>
  <si>
    <t>9.62亿</t>
  </si>
  <si>
    <t>4-1</t>
  </si>
  <si>
    <t>SZ301322</t>
  </si>
  <si>
    <t>绿通科技</t>
  </si>
  <si>
    <t>64.83万</t>
  </si>
  <si>
    <t>29.39亿</t>
  </si>
  <si>
    <t>7.71亿</t>
  </si>
  <si>
    <t>1.38亿</t>
  </si>
  <si>
    <t>570.59万</t>
  </si>
  <si>
    <t>1182.14万</t>
  </si>
  <si>
    <t>1090402亿</t>
  </si>
  <si>
    <t>37466223亿</t>
  </si>
  <si>
    <t>22.39亿</t>
  </si>
  <si>
    <t>180116360亿</t>
  </si>
  <si>
    <t>2651493800亿</t>
  </si>
  <si>
    <t>3057.07万</t>
  </si>
  <si>
    <t>8220.32万</t>
  </si>
  <si>
    <t>1.27亿</t>
  </si>
  <si>
    <t>5203.64万</t>
  </si>
  <si>
    <t>1.96亿</t>
  </si>
  <si>
    <t>-817.39万</t>
  </si>
  <si>
    <t>14.71亿</t>
  </si>
  <si>
    <t>10.17亿</t>
  </si>
  <si>
    <t>4.18亿</t>
  </si>
  <si>
    <t>3.18亿</t>
  </si>
  <si>
    <t>3.12亿</t>
  </si>
  <si>
    <t>5212.86万</t>
  </si>
  <si>
    <t>4853.56万</t>
  </si>
  <si>
    <t>2624.06万</t>
  </si>
  <si>
    <t>10.81亿</t>
  </si>
  <si>
    <t>1.64亿</t>
  </si>
  <si>
    <t>2.63亿</t>
  </si>
  <si>
    <t>2826.75万</t>
  </si>
  <si>
    <t>10转4股派10元(含税)</t>
  </si>
  <si>
    <t>356.06万</t>
  </si>
  <si>
    <t>3025.08万</t>
  </si>
  <si>
    <t>账面净赚</t>
  </si>
  <si>
    <t>SZ301345</t>
  </si>
  <si>
    <t>涛涛车业</t>
  </si>
  <si>
    <t>135.08万</t>
  </si>
  <si>
    <t>8.46亿</t>
  </si>
  <si>
    <t>29.78亿</t>
  </si>
  <si>
    <t>5.20亿</t>
  </si>
  <si>
    <t>7.37亿</t>
  </si>
  <si>
    <t>5836.88万</t>
  </si>
  <si>
    <t>8421.15万</t>
  </si>
  <si>
    <t>2969.91万</t>
  </si>
  <si>
    <t>50371338亿</t>
  </si>
  <si>
    <t>23.52亿</t>
  </si>
  <si>
    <t>389071910亿</t>
  </si>
  <si>
    <t>3606653300亿</t>
  </si>
  <si>
    <t>467.40万</t>
  </si>
  <si>
    <t>4.43亿</t>
  </si>
  <si>
    <t>4449.16万</t>
  </si>
  <si>
    <t>10.26亿</t>
  </si>
  <si>
    <t>1452.57万</t>
  </si>
  <si>
    <t>2.50亿</t>
  </si>
  <si>
    <t>-2479.45万</t>
  </si>
  <si>
    <t>17.66亿</t>
  </si>
  <si>
    <t>20.18亿</t>
  </si>
  <si>
    <t>13.86亿</t>
  </si>
  <si>
    <t>7.52亿</t>
  </si>
  <si>
    <t>6.16亿</t>
  </si>
  <si>
    <t>2.06亿</t>
  </si>
  <si>
    <t>2.43亿</t>
  </si>
  <si>
    <t>2.18亿</t>
  </si>
  <si>
    <t>7175.38万</t>
  </si>
  <si>
    <t>3905.96万</t>
  </si>
  <si>
    <t>21.44亿</t>
  </si>
  <si>
    <t>1.75亿</t>
  </si>
  <si>
    <t>1576.29万</t>
  </si>
  <si>
    <t>10派15元(含税)</t>
  </si>
  <si>
    <t>1000.43万</t>
  </si>
  <si>
    <t>4089.52万</t>
  </si>
  <si>
    <t>2-1</t>
  </si>
  <si>
    <t>SH600099</t>
  </si>
  <si>
    <t>林海股份</t>
  </si>
  <si>
    <t>172.12万</t>
  </si>
  <si>
    <t>3.38亿</t>
  </si>
  <si>
    <t>5.10亿</t>
  </si>
  <si>
    <t>2.02亿</t>
  </si>
  <si>
    <t>288.33亿</t>
  </si>
  <si>
    <t>-7.65亿</t>
  </si>
  <si>
    <t>4.17万</t>
  </si>
  <si>
    <t>1974678亿</t>
  </si>
  <si>
    <t>2.76亿</t>
  </si>
  <si>
    <t>161372360亿</t>
  </si>
  <si>
    <t>660200530亿</t>
  </si>
  <si>
    <t>671.80万</t>
  </si>
  <si>
    <t>8.85万</t>
  </si>
  <si>
    <t>3554.41万</t>
  </si>
  <si>
    <t>-271.68万</t>
  </si>
  <si>
    <t>-17.08万</t>
  </si>
  <si>
    <t>6.00亿</t>
  </si>
  <si>
    <t>5.78亿</t>
  </si>
  <si>
    <t>5.26亿</t>
  </si>
  <si>
    <t>931.85万</t>
  </si>
  <si>
    <t>6.95亿</t>
  </si>
  <si>
    <t>43.59亿</t>
  </si>
  <si>
    <t>1331.20万</t>
  </si>
  <si>
    <t>10派0.22元(含税)</t>
  </si>
  <si>
    <t>938.43万</t>
  </si>
  <si>
    <t>6569.64万</t>
  </si>
  <si>
    <t>9.07亿</t>
  </si>
  <si>
    <t>752.83亿</t>
  </si>
  <si>
    <t>424.83亿</t>
  </si>
  <si>
    <t>277.90亿</t>
  </si>
  <si>
    <t>135.81亿</t>
  </si>
  <si>
    <t>12.70亿</t>
  </si>
  <si>
    <t>275.67亿</t>
  </si>
  <si>
    <t>252.92亿</t>
  </si>
  <si>
    <t>9.94亿</t>
  </si>
  <si>
    <t>5.00亿</t>
  </si>
  <si>
    <t>8290605亿</t>
  </si>
  <si>
    <t>2526.09万</t>
  </si>
  <si>
    <t>950727亿</t>
  </si>
  <si>
    <t>83.36亿</t>
  </si>
  <si>
    <t>2180979500亿</t>
  </si>
  <si>
    <t>1768.87万</t>
  </si>
  <si>
    <t>63258309000亿</t>
  </si>
  <si>
    <t>1.20亿</t>
  </si>
  <si>
    <t>304.63亿</t>
  </si>
  <si>
    <t>83.77亿</t>
  </si>
  <si>
    <t>25.96亿</t>
  </si>
  <si>
    <t>104.33万</t>
  </si>
  <si>
    <t>533.26亿</t>
  </si>
  <si>
    <t>46.16亿</t>
  </si>
  <si>
    <t>-12.02亿</t>
  </si>
  <si>
    <t>22.09亿</t>
  </si>
  <si>
    <t>-1.31亿</t>
  </si>
  <si>
    <t>1379.98亿</t>
  </si>
  <si>
    <t>33.97亿</t>
  </si>
  <si>
    <t>3.92亿</t>
  </si>
  <si>
    <t>3.52亿</t>
  </si>
  <si>
    <t>30.47亿</t>
  </si>
  <si>
    <t>86.55亿</t>
  </si>
  <si>
    <t>01270000000</t>
  </si>
  <si>
    <t>03810000000</t>
  </si>
  <si>
    <t>07620000000</t>
  </si>
  <si>
    <t>012700000000</t>
  </si>
  <si>
    <t>025400000000</t>
  </si>
  <si>
    <t>1023.96万</t>
  </si>
  <si>
    <t>236.10亿</t>
  </si>
  <si>
    <t>109.96亿</t>
  </si>
  <si>
    <t>96.58亿</t>
  </si>
  <si>
    <t>93.04亿</t>
  </si>
  <si>
    <t>5606.22万</t>
  </si>
  <si>
    <t>95.34亿</t>
  </si>
  <si>
    <t>88.82亿</t>
  </si>
  <si>
    <t>2.19亿</t>
  </si>
  <si>
    <t>-6321325亿</t>
  </si>
  <si>
    <t>663.35万</t>
  </si>
  <si>
    <t>113194169亿</t>
  </si>
  <si>
    <t>30.50亿</t>
  </si>
  <si>
    <t>6532019400亿</t>
  </si>
  <si>
    <t>8.36亿</t>
  </si>
  <si>
    <t>26240887000亿</t>
  </si>
  <si>
    <t>9001.89万</t>
  </si>
  <si>
    <t>24.89亿</t>
  </si>
  <si>
    <t>31.46亿</t>
  </si>
  <si>
    <t>74.70亿</t>
  </si>
  <si>
    <t>2522.35万</t>
  </si>
  <si>
    <t>198.77亿</t>
  </si>
  <si>
    <t>-2.32亿</t>
  </si>
  <si>
    <t>-7.44亿</t>
  </si>
  <si>
    <t>435.20亿</t>
  </si>
  <si>
    <t>24.85亿</t>
  </si>
  <si>
    <t>2079.17万</t>
  </si>
  <si>
    <t>3033.65万</t>
  </si>
  <si>
    <t>10派0.05元(含税)</t>
  </si>
  <si>
    <t>5466.14万</t>
  </si>
  <si>
    <t>056062200</t>
  </si>
  <si>
    <t>0168186600</t>
  </si>
  <si>
    <t>0336373200</t>
  </si>
  <si>
    <t>0560622000</t>
  </si>
  <si>
    <t>01121244000</t>
  </si>
  <si>
    <t>537.18万</t>
  </si>
  <si>
    <t>28.15亿</t>
  </si>
  <si>
    <t>19.33亿</t>
  </si>
  <si>
    <t>11.20亿</t>
  </si>
  <si>
    <t>21.28亿</t>
  </si>
  <si>
    <t>-2.45亿</t>
  </si>
  <si>
    <t>11.06亿</t>
  </si>
  <si>
    <t>9.45亿</t>
  </si>
  <si>
    <t>6088.65万</t>
  </si>
  <si>
    <t>7488.59万</t>
  </si>
  <si>
    <t>60.02万</t>
  </si>
  <si>
    <t>-9195644亿</t>
  </si>
  <si>
    <t>7.50亿</t>
  </si>
  <si>
    <t>296777650亿</t>
  </si>
  <si>
    <t>72.00万</t>
  </si>
  <si>
    <t>1651603300亿</t>
  </si>
  <si>
    <t>1.46亿</t>
  </si>
  <si>
    <t>13.63亿</t>
  </si>
  <si>
    <t>7.58亿</t>
  </si>
  <si>
    <t>1316.81万</t>
  </si>
  <si>
    <t>-6322.33万</t>
  </si>
  <si>
    <t>-8434.62万</t>
  </si>
  <si>
    <t>8598.29万</t>
  </si>
  <si>
    <t>48.33亿</t>
  </si>
  <si>
    <t>1697.52万</t>
  </si>
  <si>
    <t>1679.06万</t>
  </si>
  <si>
    <t>10派0.2元(含税)</t>
  </si>
  <si>
    <t>3476.45万</t>
  </si>
  <si>
    <t>2326.12万</t>
  </si>
  <si>
    <t>23.65亿</t>
  </si>
  <si>
    <t>9.08亿</t>
  </si>
  <si>
    <t>11.02亿</t>
  </si>
  <si>
    <t>28.58亿</t>
  </si>
  <si>
    <t>9007.77万</t>
  </si>
  <si>
    <t>11.22亿</t>
  </si>
  <si>
    <t>10.31亿</t>
  </si>
  <si>
    <t>2790.56万</t>
  </si>
  <si>
    <t>4040.41万</t>
  </si>
  <si>
    <t>-8117288亿</t>
  </si>
  <si>
    <t>12.96万</t>
  </si>
  <si>
    <t>-27021496亿</t>
  </si>
  <si>
    <t>1.80亿</t>
  </si>
  <si>
    <t>176011030亿</t>
  </si>
  <si>
    <t>1559990700亿</t>
  </si>
  <si>
    <t>5.22万</t>
  </si>
  <si>
    <t>6947.92万</t>
  </si>
  <si>
    <t>7117.59万</t>
  </si>
  <si>
    <t>13.44亿</t>
  </si>
  <si>
    <t>7.74亿</t>
  </si>
  <si>
    <t>4303.78万</t>
  </si>
  <si>
    <t>-1317.31万</t>
  </si>
  <si>
    <t>-741.08万</t>
  </si>
  <si>
    <t>51.41亿</t>
  </si>
  <si>
    <t>6.54亿</t>
  </si>
  <si>
    <t>-1.99亿</t>
  </si>
  <si>
    <t>-713.72万</t>
  </si>
  <si>
    <t>1.73亿</t>
  </si>
  <si>
    <t>20.78亿</t>
  </si>
  <si>
    <t>0270233100</t>
  </si>
  <si>
    <t>0540466200</t>
  </si>
  <si>
    <t>0900777000</t>
  </si>
  <si>
    <t>01801554000</t>
  </si>
  <si>
    <t>SH600679</t>
  </si>
  <si>
    <t>上海凤凰</t>
  </si>
  <si>
    <t>186.69万</t>
  </si>
  <si>
    <t>22.05亿</t>
  </si>
  <si>
    <t>5.89亿</t>
  </si>
  <si>
    <t>52.23亿</t>
  </si>
  <si>
    <t>3.68亿</t>
  </si>
  <si>
    <t>5.57亿</t>
  </si>
  <si>
    <t>5.07亿</t>
  </si>
  <si>
    <t>1433.96万</t>
  </si>
  <si>
    <t>3137.22万</t>
  </si>
  <si>
    <t>249403亿</t>
  </si>
  <si>
    <t>93.96万</t>
  </si>
  <si>
    <t>28074791亿</t>
  </si>
  <si>
    <t>8.27亿</t>
  </si>
  <si>
    <t>500530250亿</t>
  </si>
  <si>
    <t>1319.61万</t>
  </si>
  <si>
    <t>1825227400亿</t>
  </si>
  <si>
    <t>992.30万</t>
  </si>
  <si>
    <t>2.99亿</t>
  </si>
  <si>
    <t>3.42亿</t>
  </si>
  <si>
    <t>184.50万</t>
  </si>
  <si>
    <t>10.85亿</t>
  </si>
  <si>
    <t>1807.03万</t>
  </si>
  <si>
    <t>2545.94万</t>
  </si>
  <si>
    <t>3.03亿</t>
  </si>
  <si>
    <t>-1643.90万</t>
  </si>
  <si>
    <t>16.10亿</t>
  </si>
  <si>
    <t>20.58亿</t>
  </si>
  <si>
    <t>13.76亿</t>
  </si>
  <si>
    <t>9.75亿</t>
  </si>
  <si>
    <t>7.62亿</t>
  </si>
  <si>
    <t>-3.08亿</t>
  </si>
  <si>
    <t>1.04亿</t>
  </si>
  <si>
    <t>6072.23万</t>
  </si>
  <si>
    <t>2691.90万</t>
  </si>
  <si>
    <t>1226.73万</t>
  </si>
  <si>
    <t>17.39亿</t>
  </si>
  <si>
    <t>18.56亿</t>
  </si>
  <si>
    <t>4529.38万</t>
  </si>
  <si>
    <t>1428.87万</t>
  </si>
  <si>
    <t>8985.14万</t>
  </si>
  <si>
    <t>-5-0</t>
  </si>
  <si>
    <t>SH600818</t>
  </si>
  <si>
    <t>中路股份</t>
  </si>
  <si>
    <t>620.15万</t>
  </si>
  <si>
    <t>3.20亿</t>
  </si>
  <si>
    <t>2.00亿</t>
  </si>
  <si>
    <t>55.88亿</t>
  </si>
  <si>
    <t>-1.25亿</t>
  </si>
  <si>
    <t>1113.07万</t>
  </si>
  <si>
    <t>1623.21万</t>
  </si>
  <si>
    <t>-184151亿</t>
  </si>
  <si>
    <t>3.91万</t>
  </si>
  <si>
    <t>-5617578亿</t>
  </si>
  <si>
    <t>1.63亿</t>
  </si>
  <si>
    <t>78125632亿</t>
  </si>
  <si>
    <t>350581850亿</t>
  </si>
  <si>
    <t>592.80万</t>
  </si>
  <si>
    <t>9580.35万</t>
  </si>
  <si>
    <t>560.59万</t>
  </si>
  <si>
    <t>3000.00万</t>
  </si>
  <si>
    <t>-3117.88万</t>
  </si>
  <si>
    <t>-356.96万</t>
  </si>
  <si>
    <t>887.67万</t>
  </si>
  <si>
    <t>9.27亿</t>
  </si>
  <si>
    <t>7.22亿</t>
  </si>
  <si>
    <t>7.34亿</t>
  </si>
  <si>
    <t>5.85亿</t>
  </si>
  <si>
    <t>-7633.65万</t>
  </si>
  <si>
    <t>3712.13万</t>
  </si>
  <si>
    <t>9613.36万</t>
  </si>
  <si>
    <t>-6303.35万</t>
  </si>
  <si>
    <t>506.79万</t>
  </si>
  <si>
    <t>9.73亿</t>
  </si>
  <si>
    <t>10.41亿</t>
  </si>
  <si>
    <t>2410.08万</t>
  </si>
  <si>
    <t>-6577.99万</t>
  </si>
  <si>
    <t>3024.36万</t>
  </si>
  <si>
    <t>162.12万</t>
  </si>
  <si>
    <t>19.39亿</t>
  </si>
  <si>
    <t>8.94亿</t>
  </si>
  <si>
    <t>5688.25万</t>
  </si>
  <si>
    <t>8.91亿</t>
  </si>
  <si>
    <t>8.16亿</t>
  </si>
  <si>
    <t>3444.02万</t>
  </si>
  <si>
    <t>3947.07万</t>
  </si>
  <si>
    <t>673595亿</t>
  </si>
  <si>
    <t>57.62万</t>
  </si>
  <si>
    <t>4322405亿</t>
  </si>
  <si>
    <t>26171946亿</t>
  </si>
  <si>
    <t>2906519300亿</t>
  </si>
  <si>
    <t>551.71万</t>
  </si>
  <si>
    <t>6039.69万</t>
  </si>
  <si>
    <t>16.67亿</t>
  </si>
  <si>
    <t>1174.25万</t>
  </si>
  <si>
    <t>1587.83万</t>
  </si>
  <si>
    <t>19.66亿</t>
  </si>
  <si>
    <t>2.49亿</t>
  </si>
  <si>
    <t>-74.34万</t>
  </si>
  <si>
    <t>-2590.53万</t>
  </si>
  <si>
    <t>6003.79万</t>
  </si>
  <si>
    <t>78.67亿</t>
  </si>
  <si>
    <t>3791.54万</t>
  </si>
  <si>
    <t>1447.70万</t>
  </si>
  <si>
    <t>056882500</t>
  </si>
  <si>
    <t>0170647500</t>
  </si>
  <si>
    <t>0341295000</t>
  </si>
  <si>
    <t>0568825000</t>
  </si>
  <si>
    <t>01137650000</t>
  </si>
  <si>
    <t>SH603129</t>
  </si>
  <si>
    <t>春风动力</t>
  </si>
  <si>
    <t>105.24万</t>
  </si>
  <si>
    <t>51.42亿</t>
  </si>
  <si>
    <t>54.48亿</t>
  </si>
  <si>
    <t>30.61亿</t>
  </si>
  <si>
    <t>23.25亿</t>
  </si>
  <si>
    <t>1.19亿</t>
  </si>
  <si>
    <t>27.12亿</t>
  </si>
  <si>
    <t>20.66亿</t>
  </si>
  <si>
    <t>1.61亿</t>
  </si>
  <si>
    <t>-2869442亿</t>
  </si>
  <si>
    <t>136.09万</t>
  </si>
  <si>
    <t>272164670亿</t>
  </si>
  <si>
    <t>45.69亿</t>
  </si>
  <si>
    <t>1143020530亿</t>
  </si>
  <si>
    <t>8032438200亿</t>
  </si>
  <si>
    <t>3.29亿</t>
  </si>
  <si>
    <t>18.99亿</t>
  </si>
  <si>
    <t>24.25亿</t>
  </si>
  <si>
    <t>49.58亿</t>
  </si>
  <si>
    <t>-6609.03万</t>
  </si>
  <si>
    <t>-708.56万</t>
  </si>
  <si>
    <t>113.78亿</t>
  </si>
  <si>
    <t>78.61亿</t>
  </si>
  <si>
    <t>45.26亿</t>
  </si>
  <si>
    <t>32.42亿</t>
  </si>
  <si>
    <t>25.45亿</t>
  </si>
  <si>
    <t>7.01亿</t>
  </si>
  <si>
    <t>4.12亿</t>
  </si>
  <si>
    <t>3.65亿</t>
  </si>
  <si>
    <t>1.81亿</t>
  </si>
  <si>
    <t>121.10亿</t>
  </si>
  <si>
    <t>4.54亿</t>
  </si>
  <si>
    <t>10.08亿</t>
  </si>
  <si>
    <t>1918.94万</t>
  </si>
  <si>
    <t>10派20.8元(含税)</t>
  </si>
  <si>
    <t>634.88万</t>
  </si>
  <si>
    <t>4883.49万</t>
  </si>
  <si>
    <t>SH603529</t>
  </si>
  <si>
    <t>爱玛科技</t>
  </si>
  <si>
    <t>397.41万</t>
  </si>
  <si>
    <t>121.13亿</t>
  </si>
  <si>
    <t>82.97亿</t>
  </si>
  <si>
    <t>49.54亿</t>
  </si>
  <si>
    <t>9.59亿</t>
  </si>
  <si>
    <t>1.58亿</t>
  </si>
  <si>
    <t>44.26亿</t>
  </si>
  <si>
    <t>40.60亿</t>
  </si>
  <si>
    <t>1.76亿</t>
  </si>
  <si>
    <t>-202585亿</t>
  </si>
  <si>
    <t>1237.45万</t>
  </si>
  <si>
    <t>450439200亿</t>
  </si>
  <si>
    <t>68.53亿</t>
  </si>
  <si>
    <t>409433350亿</t>
  </si>
  <si>
    <t>10040621900亿</t>
  </si>
  <si>
    <t>14.97亿</t>
  </si>
  <si>
    <t>53.22亿</t>
  </si>
  <si>
    <t>33.61亿</t>
  </si>
  <si>
    <t>948.22万</t>
  </si>
  <si>
    <t>104.31亿</t>
  </si>
  <si>
    <t>6.81亿</t>
  </si>
  <si>
    <t>-5.93亿</t>
  </si>
  <si>
    <t>-4.54万</t>
  </si>
  <si>
    <t>208.02亿</t>
  </si>
  <si>
    <t>153.99亿</t>
  </si>
  <si>
    <t>129.05亿</t>
  </si>
  <si>
    <t>104.24亿</t>
  </si>
  <si>
    <t>89.90亿</t>
  </si>
  <si>
    <t>18.73亿</t>
  </si>
  <si>
    <t>6.64亿</t>
  </si>
  <si>
    <t>5.99亿</t>
  </si>
  <si>
    <t>5.22亿</t>
  </si>
  <si>
    <t>4.28亿</t>
  </si>
  <si>
    <t>210.36亿</t>
  </si>
  <si>
    <t>1.94亿</t>
  </si>
  <si>
    <t>18.81亿</t>
  </si>
  <si>
    <t>1483.37万</t>
  </si>
  <si>
    <t>10派5.34元(含税)</t>
  </si>
  <si>
    <t>2768.92万</t>
  </si>
  <si>
    <t>0158000000</t>
  </si>
  <si>
    <t>0474000000</t>
  </si>
  <si>
    <t>0948000000</t>
  </si>
  <si>
    <t>01580000000</t>
  </si>
  <si>
    <t>03160000000</t>
  </si>
  <si>
    <t>SH603766</t>
  </si>
  <si>
    <t>隆鑫通用</t>
  </si>
  <si>
    <t>2953.60万</t>
  </si>
  <si>
    <t>55.13亿</t>
  </si>
  <si>
    <t>86.79亿</t>
  </si>
  <si>
    <t>32.96亿</t>
  </si>
  <si>
    <t>11.05亿</t>
  </si>
  <si>
    <t>7276.44万</t>
  </si>
  <si>
    <t>30.55亿</t>
  </si>
  <si>
    <t>6028.48万</t>
  </si>
  <si>
    <t>1.45亿</t>
  </si>
  <si>
    <t>10066599亿</t>
  </si>
  <si>
    <t>4.63万</t>
  </si>
  <si>
    <t>246749770亿</t>
  </si>
  <si>
    <t>54.66亿</t>
  </si>
  <si>
    <t>1450536000亿</t>
  </si>
  <si>
    <t>635.39万</t>
  </si>
  <si>
    <t>9712939900亿</t>
  </si>
  <si>
    <t>1.89亿</t>
  </si>
  <si>
    <t>3.04亿</t>
  </si>
  <si>
    <t>6.51亿</t>
  </si>
  <si>
    <t>18.47亿</t>
  </si>
  <si>
    <t>49.90亿</t>
  </si>
  <si>
    <t>-5054.08万</t>
  </si>
  <si>
    <t>-8231.96万</t>
  </si>
  <si>
    <t>2505.15万</t>
  </si>
  <si>
    <t>124.10亿</t>
  </si>
  <si>
    <t>130.58亿</t>
  </si>
  <si>
    <t>104.37亿</t>
  </si>
  <si>
    <t>106.50亿</t>
  </si>
  <si>
    <t>112.04亿</t>
  </si>
  <si>
    <t>5.27亿</t>
  </si>
  <si>
    <t>3.85亿</t>
  </si>
  <si>
    <t>4.80亿</t>
  </si>
  <si>
    <t>6.23亿</t>
  </si>
  <si>
    <t>9.19亿</t>
  </si>
  <si>
    <t>130.66亿</t>
  </si>
  <si>
    <t>2.22亿</t>
  </si>
  <si>
    <t>5.83亿</t>
  </si>
  <si>
    <t>803.15万</t>
  </si>
  <si>
    <t>10派1元(含税)</t>
  </si>
  <si>
    <t>9.00亿</t>
  </si>
  <si>
    <t>072764400</t>
  </si>
  <si>
    <t>0218293200</t>
  </si>
  <si>
    <t>0436586400</t>
  </si>
  <si>
    <t>0727644000</t>
  </si>
  <si>
    <t>01455288000</t>
  </si>
  <si>
    <t>SH603776</t>
  </si>
  <si>
    <t>永安行</t>
  </si>
  <si>
    <t>321.77万</t>
  </si>
  <si>
    <t>13.81亿</t>
  </si>
  <si>
    <t>31.78亿</t>
  </si>
  <si>
    <t>1.13亿</t>
  </si>
  <si>
    <t>39.77亿</t>
  </si>
  <si>
    <t>5704.54万</t>
  </si>
  <si>
    <t>222.66万</t>
  </si>
  <si>
    <t>744.97万</t>
  </si>
  <si>
    <t>7043806亿</t>
  </si>
  <si>
    <t>22.57万</t>
  </si>
  <si>
    <t>-9512105亿</t>
  </si>
  <si>
    <t>3.86亿</t>
  </si>
  <si>
    <t>541619180亿</t>
  </si>
  <si>
    <t>573.02万</t>
  </si>
  <si>
    <t>3729014800亿</t>
  </si>
  <si>
    <t>164.35万</t>
  </si>
  <si>
    <t>10.00万</t>
  </si>
  <si>
    <t>1450.00万</t>
  </si>
  <si>
    <t>1.01亿</t>
  </si>
  <si>
    <t>3.62亿</t>
  </si>
  <si>
    <t>-482.60万</t>
  </si>
  <si>
    <t>-9437.69万</t>
  </si>
  <si>
    <t>-1230.99万</t>
  </si>
  <si>
    <t>6.78亿</t>
  </si>
  <si>
    <t>8.73亿</t>
  </si>
  <si>
    <t>9.36亿</t>
  </si>
  <si>
    <t>8.78亿</t>
  </si>
  <si>
    <t>-6750.63万</t>
  </si>
  <si>
    <t>4384.44万</t>
  </si>
  <si>
    <t>4.95亿</t>
  </si>
  <si>
    <t>5.01亿</t>
  </si>
  <si>
    <t>5.45亿</t>
  </si>
  <si>
    <t>-1.27亿</t>
  </si>
  <si>
    <t>7121.34万</t>
  </si>
  <si>
    <t>10派3.0元(含税)</t>
  </si>
  <si>
    <t>1288.02万</t>
  </si>
  <si>
    <t>1.78亿</t>
  </si>
  <si>
    <t>SH603787</t>
  </si>
  <si>
    <t>新日股份</t>
  </si>
  <si>
    <t>260.77万</t>
  </si>
  <si>
    <t>20.55亿</t>
  </si>
  <si>
    <t>15.73亿</t>
  </si>
  <si>
    <t>7.55亿</t>
  </si>
  <si>
    <t>12.63亿</t>
  </si>
  <si>
    <t>6.40亿</t>
  </si>
  <si>
    <t>5900.01万</t>
  </si>
  <si>
    <t>2707.92万</t>
  </si>
  <si>
    <t>1570816亿</t>
  </si>
  <si>
    <t>103.06万</t>
  </si>
  <si>
    <t>11668102亿</t>
  </si>
  <si>
    <t>9.99亿</t>
  </si>
  <si>
    <t>347283260亿</t>
  </si>
  <si>
    <t>1800120700亿</t>
  </si>
  <si>
    <t>4.15亿</t>
  </si>
  <si>
    <t>9.72亿</t>
  </si>
  <si>
    <t>4.92亿</t>
  </si>
  <si>
    <t>18.86亿</t>
  </si>
  <si>
    <t>1247.76万</t>
  </si>
  <si>
    <t>7515.57万</t>
  </si>
  <si>
    <t>-146.67万</t>
  </si>
  <si>
    <t>49.04亿</t>
  </si>
  <si>
    <t>42.81亿</t>
  </si>
  <si>
    <t>50.68亿</t>
  </si>
  <si>
    <t>30.56亿</t>
  </si>
  <si>
    <t>1137.07万</t>
  </si>
  <si>
    <t>7052.71万</t>
  </si>
  <si>
    <t>8865.44万</t>
  </si>
  <si>
    <t>41.06亿</t>
  </si>
  <si>
    <t>2.48亿</t>
  </si>
  <si>
    <t>8798.32万</t>
  </si>
  <si>
    <t>2871.64万</t>
  </si>
  <si>
    <t>10派1.5元(含税)</t>
  </si>
  <si>
    <t>1607.98万</t>
  </si>
  <si>
    <t>0163000000</t>
  </si>
  <si>
    <t>0489000000</t>
  </si>
  <si>
    <t>0978000000</t>
  </si>
  <si>
    <t>01630000000</t>
  </si>
  <si>
    <t>03260000000</t>
  </si>
  <si>
    <t>SH689009</t>
  </si>
  <si>
    <t>九号公司-WD</t>
  </si>
  <si>
    <t>484.31万</t>
  </si>
  <si>
    <t>53.16亿</t>
  </si>
  <si>
    <t>54.13亿</t>
  </si>
  <si>
    <t>25.62亿</t>
  </si>
  <si>
    <t>23.90亿</t>
  </si>
  <si>
    <t>17.81亿</t>
  </si>
  <si>
    <t>2.73亿</t>
  </si>
  <si>
    <t>1029705亿</t>
  </si>
  <si>
    <t>483.44万</t>
  </si>
  <si>
    <t>141722960亿</t>
  </si>
  <si>
    <t>50.58亿</t>
  </si>
  <si>
    <t>865232300亿</t>
  </si>
  <si>
    <t>2950.00万</t>
  </si>
  <si>
    <t>7859158700亿</t>
  </si>
  <si>
    <t>22.12亿</t>
  </si>
  <si>
    <t>17.30亿</t>
  </si>
  <si>
    <t>53.81亿</t>
  </si>
  <si>
    <t>-3.04亿</t>
  </si>
  <si>
    <t>101.24亿</t>
  </si>
  <si>
    <t>91.46亿</t>
  </si>
  <si>
    <t>60.03亿</t>
  </si>
  <si>
    <t>45.86亿</t>
  </si>
  <si>
    <t>42.48亿</t>
  </si>
  <si>
    <t>4.51亿</t>
  </si>
  <si>
    <t>4.11亿</t>
  </si>
  <si>
    <t>7347.31万</t>
  </si>
  <si>
    <t>-4.55亿</t>
  </si>
  <si>
    <t>-18.04亿</t>
  </si>
  <si>
    <t>102.22亿</t>
  </si>
  <si>
    <t>5.98亿</t>
  </si>
  <si>
    <t>10派2.835元(含税)</t>
  </si>
  <si>
    <t>2447.30万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</si>
</sst>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4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133350</xdr:colOff>
          <xdr:row>0</xdr:row>
          <xdr:rowOff>50800</xdr:rowOff>
        </xdr:from>
        <xdr:to>
          <xdr:col>147</xdr:col>
          <xdr:colOff>1257300</xdr:colOff>
          <xdr:row>0</xdr:row>
          <xdr:rowOff>361950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33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2" sqref="C2:C3"/>
    </sheetView>
  </sheetViews>
  <sheetFormatPr defaultRowHeight="14"/>
  <cols>
    <col min="1" max="1" width="30.26953125" customWidth="1"/>
    <col min="2" max="2" width="29.26953125" customWidth="1"/>
    <col min="3" max="3" width="41.26953125" customWidth="1"/>
    <col min="148" max="148" width="20.6328125" customWidth="1"/>
  </cols>
  <sheetData>
    <row r="1" spans="1:146" ht="33.5" customHeight="1">
      <c r="A1" s="3" t="s">
        <v>5</v>
      </c>
      <c r="B1" s="4" t="s">
        <v>6</v>
      </c>
      <c r="C1" s="3" t="s">
        <v>7</v>
      </c>
      <c r="D1" t="s">
        <v>8</v>
      </c>
      <c r="E1" t="s">
        <v>141</v>
      </c>
      <c r="F1" t="s">
        <v>3</v>
      </c>
      <c r="G1" t="s">
        <v>176</v>
      </c>
      <c r="H1" t="s">
        <v>177</v>
      </c>
      <c r="I1" t="s">
        <v>9</v>
      </c>
      <c r="J1" t="s">
        <v>10</v>
      </c>
      <c r="K1" t="s">
        <v>4</v>
      </c>
      <c r="L1" t="s">
        <v>11</v>
      </c>
      <c r="M1" t="s">
        <v>12</v>
      </c>
      <c r="N1" t="s">
        <v>13</v>
      </c>
      <c r="O1" t="s">
        <v>14</v>
      </c>
      <c r="P1" t="s">
        <v>178</v>
      </c>
      <c r="Q1" t="s">
        <v>179</v>
      </c>
      <c r="R1" t="s">
        <v>142</v>
      </c>
      <c r="S1" t="s">
        <v>15</v>
      </c>
      <c r="T1" t="s">
        <v>180</v>
      </c>
      <c r="U1" t="s">
        <v>114</v>
      </c>
      <c r="V1" t="s">
        <v>16</v>
      </c>
      <c r="W1" t="s">
        <v>181</v>
      </c>
      <c r="X1" t="s">
        <v>182</v>
      </c>
      <c r="Y1" t="s">
        <v>183</v>
      </c>
      <c r="Z1" t="s">
        <v>184</v>
      </c>
      <c r="AA1" t="s">
        <v>185</v>
      </c>
      <c r="AB1" t="s">
        <v>186</v>
      </c>
      <c r="AC1" t="s">
        <v>187</v>
      </c>
      <c r="AD1" t="s">
        <v>188</v>
      </c>
      <c r="AE1" t="s">
        <v>17</v>
      </c>
      <c r="AF1" t="s">
        <v>18</v>
      </c>
      <c r="AG1" t="s">
        <v>189</v>
      </c>
      <c r="AH1" t="s">
        <v>190</v>
      </c>
      <c r="AI1" t="s">
        <v>191</v>
      </c>
      <c r="AJ1" t="s">
        <v>19</v>
      </c>
      <c r="AK1" t="s">
        <v>192</v>
      </c>
      <c r="AL1" t="s">
        <v>22</v>
      </c>
      <c r="AM1" t="s">
        <v>193</v>
      </c>
      <c r="AN1" t="s">
        <v>194</v>
      </c>
      <c r="AO1" t="s">
        <v>195</v>
      </c>
      <c r="AP1" t="s">
        <v>196</v>
      </c>
      <c r="AQ1" t="s">
        <v>197</v>
      </c>
      <c r="AR1" t="s">
        <v>198</v>
      </c>
      <c r="AS1" t="s">
        <v>199</v>
      </c>
      <c r="AT1" t="s">
        <v>200</v>
      </c>
      <c r="AU1" t="s">
        <v>201</v>
      </c>
      <c r="AV1" t="s">
        <v>202</v>
      </c>
      <c r="AW1" t="s">
        <v>203</v>
      </c>
      <c r="AX1" t="s">
        <v>204</v>
      </c>
      <c r="AY1" t="s">
        <v>205</v>
      </c>
      <c r="AZ1" t="s">
        <v>23</v>
      </c>
      <c r="BA1" t="s">
        <v>24</v>
      </c>
      <c r="BB1" t="s">
        <v>25</v>
      </c>
      <c r="BC1" t="s">
        <v>206</v>
      </c>
      <c r="BD1" t="s">
        <v>115</v>
      </c>
      <c r="BE1" t="s">
        <v>26</v>
      </c>
      <c r="BF1" t="s">
        <v>27</v>
      </c>
      <c r="BG1" t="s">
        <v>28</v>
      </c>
      <c r="BH1" t="s">
        <v>207</v>
      </c>
      <c r="BI1" t="s">
        <v>208</v>
      </c>
      <c r="BJ1" t="s">
        <v>209</v>
      </c>
      <c r="BK1" t="s">
        <v>210</v>
      </c>
      <c r="BL1" t="s">
        <v>211</v>
      </c>
      <c r="BM1" t="s">
        <v>212</v>
      </c>
      <c r="BN1" t="s">
        <v>213</v>
      </c>
      <c r="BO1" t="s">
        <v>143</v>
      </c>
      <c r="BP1" t="s">
        <v>116</v>
      </c>
      <c r="BQ1" t="s">
        <v>214</v>
      </c>
      <c r="BR1" t="s">
        <v>144</v>
      </c>
      <c r="BS1" t="s">
        <v>117</v>
      </c>
      <c r="BT1" t="s">
        <v>215</v>
      </c>
      <c r="BU1" t="s">
        <v>160</v>
      </c>
      <c r="BV1" t="s">
        <v>216</v>
      </c>
      <c r="BW1" t="s">
        <v>217</v>
      </c>
      <c r="BX1" t="s">
        <v>29</v>
      </c>
      <c r="BY1" t="s">
        <v>218</v>
      </c>
      <c r="BZ1" t="s">
        <v>219</v>
      </c>
      <c r="CA1" t="s">
        <v>30</v>
      </c>
      <c r="CB1" t="s">
        <v>220</v>
      </c>
      <c r="CC1" t="s">
        <v>221</v>
      </c>
      <c r="CD1" t="s">
        <v>222</v>
      </c>
      <c r="CE1" t="s">
        <v>223</v>
      </c>
      <c r="CF1" s="1" t="s">
        <v>145</v>
      </c>
      <c r="CG1" s="1" t="s">
        <v>146</v>
      </c>
      <c r="CH1" s="1" t="s">
        <v>147</v>
      </c>
      <c r="CI1" s="1" t="s">
        <v>148</v>
      </c>
      <c r="CJ1" s="1" t="s">
        <v>149</v>
      </c>
      <c r="CK1" s="1" t="s">
        <v>150</v>
      </c>
      <c r="CL1" s="1" t="s">
        <v>151</v>
      </c>
      <c r="CM1" s="1" t="s">
        <v>152</v>
      </c>
      <c r="CN1" s="1" t="s">
        <v>153</v>
      </c>
      <c r="CO1" s="1" t="s">
        <v>154</v>
      </c>
      <c r="CP1" s="1" t="s">
        <v>155</v>
      </c>
      <c r="CQ1" s="1" t="s">
        <v>156</v>
      </c>
      <c r="CR1" s="1" t="s">
        <v>224</v>
      </c>
      <c r="CS1" s="1" t="s">
        <v>225</v>
      </c>
      <c r="CT1" s="1" t="s">
        <v>163</v>
      </c>
      <c r="CU1" s="1" t="s">
        <v>226</v>
      </c>
      <c r="CV1" s="1" t="s">
        <v>227</v>
      </c>
      <c r="CW1" s="1" t="s">
        <v>228</v>
      </c>
      <c r="CX1">
        <v>1</v>
      </c>
      <c r="CY1" t="s">
        <v>229</v>
      </c>
      <c r="CZ1" t="s">
        <v>230</v>
      </c>
      <c r="DA1">
        <v>3</v>
      </c>
      <c r="DB1" t="s">
        <v>231</v>
      </c>
      <c r="DC1" t="s">
        <v>232</v>
      </c>
      <c r="DD1">
        <v>6</v>
      </c>
      <c r="DE1" t="s">
        <v>233</v>
      </c>
      <c r="DF1" t="s">
        <v>234</v>
      </c>
      <c r="DG1">
        <v>10</v>
      </c>
      <c r="DH1" t="s">
        <v>235</v>
      </c>
      <c r="DI1" t="s">
        <v>236</v>
      </c>
      <c r="DJ1">
        <v>20</v>
      </c>
      <c r="DK1" t="s">
        <v>237</v>
      </c>
      <c r="DL1" t="s">
        <v>157</v>
      </c>
      <c r="DM1" t="s">
        <v>158</v>
      </c>
      <c r="DN1" s="2" t="s">
        <v>159</v>
      </c>
      <c r="DO1" t="s">
        <v>238</v>
      </c>
      <c r="DP1" t="s">
        <v>239</v>
      </c>
      <c r="DQ1" s="11" t="s">
        <v>240</v>
      </c>
      <c r="DR1" s="1" t="s">
        <v>241</v>
      </c>
      <c r="DS1" s="1" t="s">
        <v>242</v>
      </c>
      <c r="DT1" t="s">
        <v>243</v>
      </c>
      <c r="DU1" t="s">
        <v>244</v>
      </c>
      <c r="DV1" t="s">
        <v>245</v>
      </c>
      <c r="DW1" t="s">
        <v>246</v>
      </c>
      <c r="DX1" t="s">
        <v>247</v>
      </c>
      <c r="DY1" t="s">
        <v>248</v>
      </c>
      <c r="DZ1" t="s">
        <v>249</v>
      </c>
      <c r="EA1" t="s">
        <v>250</v>
      </c>
      <c r="EB1" t="s">
        <v>251</v>
      </c>
      <c r="EC1" t="s">
        <v>252</v>
      </c>
      <c r="ED1" t="s">
        <v>253</v>
      </c>
      <c r="EE1" t="s">
        <v>254</v>
      </c>
      <c r="EF1" t="s">
        <v>255</v>
      </c>
      <c r="EG1" t="s">
        <v>256</v>
      </c>
      <c r="EH1" t="s">
        <v>257</v>
      </c>
      <c r="EI1" t="s">
        <v>258</v>
      </c>
      <c r="EK1" s="12" t="s">
        <v>259</v>
      </c>
      <c r="EL1" t="s">
        <v>260</v>
      </c>
      <c r="EM1" t="s">
        <v>261</v>
      </c>
      <c r="EN1" t="s">
        <v>262</v>
      </c>
      <c r="EO1" t="s">
        <v>263</v>
      </c>
      <c r="EP1" t="s">
        <v>264</v>
      </c>
    </row>
    <row r="2" spans="1:146" ht="96">
      <c r="A2" s="6"/>
      <c r="B2" s="6"/>
      <c r="C2" s="6" t="str">
        <f>""&amp;CHAR(10)&amp;Basic_Fundamental_Information_Constructure(F2)&amp;CHAR(10)&amp;Basic_Fundamental_Information_Concatenate("")</f>
        <v xml:space="preserve">
市值26.056379亿, 利润-6570.70万; PE; 平均PE39.91; 平均PEG.31, PB1.53; ROIC3.45%; ROE1.46%; 股利率0%; 毛利10.7833%; 净利.2%; 上一年度营收增-23.22%, 利润增-175.87%; 当季营收增-4.08%, 利润增-126.34%; 过往5年营收增128.18%, 利润增2.37%
Income profile:
</v>
      </c>
      <c r="D2" t="s">
        <v>39</v>
      </c>
      <c r="E2" t="s">
        <v>40</v>
      </c>
      <c r="F2">
        <v>4.07</v>
      </c>
      <c r="G2">
        <v>3.83</v>
      </c>
      <c r="H2" t="s">
        <v>266</v>
      </c>
      <c r="I2">
        <v>2605637900</v>
      </c>
      <c r="K2">
        <v>1.53</v>
      </c>
      <c r="L2" t="s">
        <v>37</v>
      </c>
      <c r="M2" t="s">
        <v>267</v>
      </c>
      <c r="N2" t="s">
        <v>268</v>
      </c>
      <c r="O2" t="s">
        <v>269</v>
      </c>
      <c r="P2">
        <v>-4.03</v>
      </c>
      <c r="Q2" t="s">
        <v>270</v>
      </c>
      <c r="R2">
        <v>-18208618</v>
      </c>
      <c r="S2" s="5">
        <v>-1.2629999999999999</v>
      </c>
      <c r="T2" t="s">
        <v>271</v>
      </c>
      <c r="U2">
        <v>511167340</v>
      </c>
      <c r="V2">
        <v>640205880</v>
      </c>
      <c r="W2">
        <v>1.58</v>
      </c>
      <c r="X2">
        <v>0.26</v>
      </c>
      <c r="Y2">
        <v>-2.6</v>
      </c>
      <c r="Z2" t="s">
        <v>272</v>
      </c>
      <c r="AA2" t="s">
        <v>172</v>
      </c>
      <c r="AB2" t="s">
        <v>273</v>
      </c>
      <c r="AC2" t="s">
        <v>274</v>
      </c>
      <c r="AD2" t="s">
        <v>275</v>
      </c>
      <c r="AE2">
        <v>2890864</v>
      </c>
      <c r="AF2" t="s">
        <v>276</v>
      </c>
      <c r="AG2" t="s">
        <v>277</v>
      </c>
      <c r="AH2" t="s">
        <v>278</v>
      </c>
      <c r="AI2" t="s">
        <v>279</v>
      </c>
      <c r="AJ2" t="s">
        <v>280</v>
      </c>
      <c r="AK2" t="s">
        <v>281</v>
      </c>
      <c r="AL2" t="s">
        <v>282</v>
      </c>
      <c r="AM2" t="s">
        <v>20</v>
      </c>
      <c r="AN2" t="s">
        <v>283</v>
      </c>
      <c r="AO2" t="s">
        <v>284</v>
      </c>
      <c r="AP2" t="s">
        <v>285</v>
      </c>
      <c r="AQ2" t="s">
        <v>286</v>
      </c>
      <c r="AR2" t="s">
        <v>20</v>
      </c>
      <c r="AS2" t="s">
        <v>287</v>
      </c>
      <c r="AT2" t="s">
        <v>20</v>
      </c>
      <c r="AU2" t="s">
        <v>288</v>
      </c>
      <c r="AV2" t="s">
        <v>289</v>
      </c>
      <c r="AW2" t="s">
        <v>290</v>
      </c>
      <c r="AX2" t="s">
        <v>118</v>
      </c>
      <c r="AY2" t="s">
        <v>41</v>
      </c>
      <c r="AZ2" t="s">
        <v>43</v>
      </c>
      <c r="BA2" t="s">
        <v>44</v>
      </c>
      <c r="BB2" t="s">
        <v>45</v>
      </c>
      <c r="BC2" t="s">
        <v>119</v>
      </c>
      <c r="BD2" t="s">
        <v>42</v>
      </c>
      <c r="BE2" t="s">
        <v>46</v>
      </c>
      <c r="BF2" t="s">
        <v>47</v>
      </c>
      <c r="BG2" t="s">
        <v>48</v>
      </c>
      <c r="BH2" t="s">
        <v>270</v>
      </c>
      <c r="BI2" t="s">
        <v>291</v>
      </c>
      <c r="BJ2" t="s">
        <v>118</v>
      </c>
      <c r="BK2" t="s">
        <v>271</v>
      </c>
      <c r="BL2" t="s">
        <v>292</v>
      </c>
      <c r="BM2" t="s">
        <v>119</v>
      </c>
      <c r="BN2" t="s">
        <v>20</v>
      </c>
      <c r="BO2">
        <v>4.17</v>
      </c>
      <c r="BP2">
        <v>2.73</v>
      </c>
      <c r="BQ2">
        <v>-3.74</v>
      </c>
      <c r="BR2">
        <v>4.97</v>
      </c>
      <c r="BS2">
        <v>3.15</v>
      </c>
      <c r="BT2" t="s">
        <v>165</v>
      </c>
      <c r="BU2" t="s">
        <v>37</v>
      </c>
      <c r="BV2">
        <v>11.44</v>
      </c>
      <c r="BW2">
        <v>10.92</v>
      </c>
      <c r="BX2">
        <v>9.99</v>
      </c>
      <c r="BY2">
        <v>-2.6</v>
      </c>
      <c r="BZ2">
        <v>1.91</v>
      </c>
      <c r="CA2">
        <v>1.29</v>
      </c>
      <c r="CB2">
        <v>1.5</v>
      </c>
      <c r="CC2">
        <v>6.27</v>
      </c>
      <c r="CD2" t="s">
        <v>293</v>
      </c>
      <c r="CE2" t="s">
        <v>173</v>
      </c>
      <c r="CF2" s="7">
        <v>-4.077491780821918E-2</v>
      </c>
      <c r="CG2" s="8">
        <v>-1.2634021976929197</v>
      </c>
      <c r="CH2" s="7">
        <v>-0.23224529623985291</v>
      </c>
      <c r="CI2" s="7">
        <v>0.10909983515739441</v>
      </c>
      <c r="CJ2" s="7">
        <v>-8.010806143283844E-2</v>
      </c>
      <c r="CK2" s="7">
        <v>-5.0832897424697876E-2</v>
      </c>
      <c r="CL2" s="7">
        <v>6.6628475189208984</v>
      </c>
      <c r="CM2" s="8">
        <v>-1.7586915493011475</v>
      </c>
      <c r="CN2" s="8">
        <v>0.64200711250305176</v>
      </c>
      <c r="CO2" s="8">
        <v>-0.62054818868637085</v>
      </c>
      <c r="CP2" s="8">
        <v>5.3030304610729218E-2</v>
      </c>
      <c r="CQ2" s="8">
        <v>1.8028334379196167</v>
      </c>
      <c r="CR2">
        <v>39.908917114691796</v>
      </c>
      <c r="CS2">
        <v>0.31136218450269554</v>
      </c>
      <c r="CT2">
        <v>0</v>
      </c>
      <c r="CU2" s="7">
        <v>1.2817522197961808</v>
      </c>
      <c r="CV2" s="8">
        <v>2.3726223409175871E-2</v>
      </c>
      <c r="CW2">
        <v>0.06</v>
      </c>
      <c r="CX2" t="e">
        <v>#VALUE!</v>
      </c>
      <c r="CY2" t="s">
        <v>294</v>
      </c>
      <c r="CZ2">
        <v>1.2817522197961808</v>
      </c>
      <c r="DA2" t="e">
        <v>#VALUE!</v>
      </c>
      <c r="DB2" t="s">
        <v>295</v>
      </c>
      <c r="DC2">
        <v>1.2176646088063716</v>
      </c>
      <c r="DD2" t="e">
        <v>#VALUE!</v>
      </c>
      <c r="DE2" t="s">
        <v>295</v>
      </c>
      <c r="DF2">
        <v>1.1279419534206392</v>
      </c>
      <c r="DG2" t="e">
        <v>#VALUE!</v>
      </c>
      <c r="DH2" t="s">
        <v>295</v>
      </c>
      <c r="DI2">
        <v>1.0254017758369447</v>
      </c>
      <c r="DJ2" t="e">
        <v>#VALUE!</v>
      </c>
      <c r="DK2" t="s">
        <v>295</v>
      </c>
      <c r="DL2">
        <v>0.89722655385732653</v>
      </c>
      <c r="DM2">
        <v>-65707000</v>
      </c>
      <c r="DN2">
        <v>1.2817522197961808</v>
      </c>
      <c r="DO2">
        <v>1891637900</v>
      </c>
      <c r="DP2">
        <v>851450999.99999988</v>
      </c>
      <c r="DQ2">
        <v>277</v>
      </c>
      <c r="DR2">
        <v>-1.3225271376043999</v>
      </c>
      <c r="DS2">
        <v>-1.2871284211020957</v>
      </c>
      <c r="DT2" s="9">
        <v>0.31666666666666665</v>
      </c>
      <c r="DU2">
        <v>-1.1866666666666668</v>
      </c>
      <c r="DV2">
        <v>-0.87000000000000011</v>
      </c>
      <c r="DW2">
        <v>2.0627</v>
      </c>
      <c r="DX2">
        <v>1.2470006289308129</v>
      </c>
      <c r="DY2">
        <v>2.0110979394339621</v>
      </c>
      <c r="DZ2">
        <v>3867</v>
      </c>
      <c r="EA2">
        <v>2.0025523934779423</v>
      </c>
      <c r="EB2">
        <v>2</v>
      </c>
      <c r="EC2">
        <v>4.3959452543609875E-2</v>
      </c>
      <c r="ED2">
        <v>0.2483576064624711</v>
      </c>
      <c r="EE2" s="10">
        <v>0.124251</v>
      </c>
      <c r="EF2">
        <v>8.591E-2</v>
      </c>
      <c r="EG2">
        <v>107.17700062893081</v>
      </c>
      <c r="EH2">
        <v>-1</v>
      </c>
      <c r="EI2">
        <v>1</v>
      </c>
      <c r="EJ2">
        <v>0</v>
      </c>
      <c r="EK2" s="12">
        <v>45089</v>
      </c>
      <c r="EL2" s="13">
        <v>-2.7400000000000001E-2</v>
      </c>
      <c r="EM2" s="13">
        <v>0.51</v>
      </c>
      <c r="EN2" s="13">
        <v>-0.51</v>
      </c>
      <c r="EO2" s="13">
        <v>5.1000000000000004E-3</v>
      </c>
      <c r="EP2" s="13">
        <v>3.83</v>
      </c>
    </row>
    <row r="3" spans="1:146" ht="96">
      <c r="C3" s="6" t="str">
        <f>""&amp;CHAR(10)&amp;Basic_Fundamental_Information_Constructure(F3)&amp;CHAR(10)&amp;Basic_Fundamental_Information_Concatenate("")</f>
        <v xml:space="preserve">
市值79.912298亿, 利润4.64亿; PE15.08; 平均PE29.07; 平均PEG2.48, PB1.75; ROIC8.0167%; ROE10.4233%; 股利率2.6368%; 毛利26.9433%; 净利7.1167%; 上一年度营收增-9.74%, 利润增11.54%; 当季营收增.82%, 利润增89.09%; 过往5年营收增11.72%, 利润增70.12%
Income profile:
</v>
      </c>
      <c r="D3" t="s">
        <v>374</v>
      </c>
      <c r="E3" t="s">
        <v>375</v>
      </c>
      <c r="F3">
        <v>15.17</v>
      </c>
      <c r="G3">
        <v>0.73</v>
      </c>
      <c r="H3" t="s">
        <v>376</v>
      </c>
      <c r="I3">
        <v>7991229800</v>
      </c>
      <c r="J3">
        <v>15.08</v>
      </c>
      <c r="K3">
        <v>1.75</v>
      </c>
      <c r="L3" t="s">
        <v>377</v>
      </c>
      <c r="M3" t="s">
        <v>378</v>
      </c>
      <c r="N3" t="s">
        <v>379</v>
      </c>
      <c r="O3" t="s">
        <v>380</v>
      </c>
      <c r="P3" s="5">
        <v>0.87</v>
      </c>
      <c r="Q3" t="s">
        <v>381</v>
      </c>
      <c r="R3">
        <v>139754840</v>
      </c>
      <c r="S3">
        <v>0.89090000000000003</v>
      </c>
      <c r="T3" t="s">
        <v>382</v>
      </c>
      <c r="U3">
        <v>457326050</v>
      </c>
      <c r="V3">
        <v>526778500</v>
      </c>
      <c r="W3">
        <v>2.0299999999999998</v>
      </c>
      <c r="X3">
        <v>0.15</v>
      </c>
      <c r="Y3">
        <v>10.41</v>
      </c>
      <c r="Z3" t="s">
        <v>383</v>
      </c>
      <c r="AA3" t="s">
        <v>267</v>
      </c>
      <c r="AB3" t="s">
        <v>384</v>
      </c>
      <c r="AC3" t="s">
        <v>385</v>
      </c>
      <c r="AD3" t="s">
        <v>20</v>
      </c>
      <c r="AE3">
        <v>-29471286</v>
      </c>
      <c r="AF3" t="s">
        <v>386</v>
      </c>
      <c r="AG3" t="s">
        <v>387</v>
      </c>
      <c r="AH3" t="s">
        <v>388</v>
      </c>
      <c r="AI3" t="s">
        <v>389</v>
      </c>
      <c r="AJ3" t="s">
        <v>390</v>
      </c>
      <c r="AK3" t="s">
        <v>391</v>
      </c>
      <c r="AL3" t="s">
        <v>392</v>
      </c>
      <c r="AM3" t="s">
        <v>20</v>
      </c>
      <c r="AN3" t="s">
        <v>393</v>
      </c>
      <c r="AO3" t="s">
        <v>394</v>
      </c>
      <c r="AP3" t="s">
        <v>395</v>
      </c>
      <c r="AQ3" t="s">
        <v>396</v>
      </c>
      <c r="AR3" t="s">
        <v>20</v>
      </c>
      <c r="AS3" t="s">
        <v>397</v>
      </c>
      <c r="AT3" t="s">
        <v>333</v>
      </c>
      <c r="AU3" t="s">
        <v>398</v>
      </c>
      <c r="AV3" t="s">
        <v>399</v>
      </c>
      <c r="AW3" t="s">
        <v>400</v>
      </c>
      <c r="AX3" t="s">
        <v>401</v>
      </c>
      <c r="AY3" t="s">
        <v>133</v>
      </c>
      <c r="AZ3" t="s">
        <v>402</v>
      </c>
      <c r="BA3" t="s">
        <v>403</v>
      </c>
      <c r="BB3" t="s">
        <v>404</v>
      </c>
      <c r="BC3" t="s">
        <v>405</v>
      </c>
      <c r="BD3" t="s">
        <v>406</v>
      </c>
      <c r="BE3" t="s">
        <v>407</v>
      </c>
      <c r="BF3" t="s">
        <v>408</v>
      </c>
      <c r="BG3" t="s">
        <v>409</v>
      </c>
      <c r="BH3" t="s">
        <v>381</v>
      </c>
      <c r="BI3" t="s">
        <v>410</v>
      </c>
      <c r="BJ3" t="s">
        <v>401</v>
      </c>
      <c r="BK3" t="s">
        <v>382</v>
      </c>
      <c r="BL3" t="s">
        <v>411</v>
      </c>
      <c r="BM3" t="s">
        <v>405</v>
      </c>
      <c r="BN3">
        <v>6.85</v>
      </c>
      <c r="BO3">
        <v>10.08</v>
      </c>
      <c r="BP3">
        <v>7.12</v>
      </c>
      <c r="BQ3">
        <v>10</v>
      </c>
      <c r="BR3">
        <v>12.98</v>
      </c>
      <c r="BS3">
        <v>8.2899999999999991</v>
      </c>
      <c r="BT3" t="s">
        <v>412</v>
      </c>
      <c r="BU3" t="s">
        <v>413</v>
      </c>
      <c r="BV3">
        <v>27.51</v>
      </c>
      <c r="BW3">
        <v>27.15</v>
      </c>
      <c r="BX3">
        <v>26.17</v>
      </c>
      <c r="BY3">
        <v>8.94</v>
      </c>
      <c r="BZ3">
        <v>7.03</v>
      </c>
      <c r="CA3">
        <v>5.38</v>
      </c>
      <c r="CB3">
        <v>-3.74</v>
      </c>
      <c r="CC3" s="7">
        <v>-20.12</v>
      </c>
      <c r="CD3" s="8" t="s">
        <v>414</v>
      </c>
      <c r="CE3" s="7" t="s">
        <v>415</v>
      </c>
      <c r="CF3" s="7">
        <v>8.2458770614692659E-3</v>
      </c>
      <c r="CG3" s="7">
        <v>0.89085561128331547</v>
      </c>
      <c r="CH3" s="7">
        <v>-9.7379624843597412E-2</v>
      </c>
      <c r="CI3" s="7">
        <v>0.31074488162994385</v>
      </c>
      <c r="CJ3" s="8">
        <v>0.19296793639659882</v>
      </c>
      <c r="CK3" s="8">
        <v>-4.5706719160079956E-2</v>
      </c>
      <c r="CL3" s="8">
        <v>0.2253156453371048</v>
      </c>
      <c r="CM3" s="8">
        <v>0.11538461595773697</v>
      </c>
      <c r="CN3" s="8">
        <v>0.74789917469024658</v>
      </c>
      <c r="CO3">
        <v>-8.3333337679505348E-3</v>
      </c>
      <c r="CP3">
        <v>5.2631579339504242E-2</v>
      </c>
      <c r="CQ3">
        <v>2.5986039638519287</v>
      </c>
      <c r="CR3" s="7">
        <v>29.07033021759559</v>
      </c>
      <c r="CS3" s="8">
        <v>2.4806486218595598</v>
      </c>
      <c r="CT3">
        <v>2.6367831245880025</v>
      </c>
      <c r="CU3">
        <v>0.11718842387199402</v>
      </c>
      <c r="CV3">
        <v>0.70123720001429324</v>
      </c>
      <c r="CW3">
        <v>0.06</v>
      </c>
      <c r="CX3">
        <v>15.163032723342386</v>
      </c>
      <c r="CY3">
        <v>489033423.27981609</v>
      </c>
      <c r="CZ3">
        <v>0.11718842387199402</v>
      </c>
      <c r="DA3">
        <v>4.8427066354078789</v>
      </c>
      <c r="DB3">
        <v>1531215982.7694063</v>
      </c>
      <c r="DC3">
        <v>0.11132900267839431</v>
      </c>
      <c r="DD3">
        <v>2.3111679891978079</v>
      </c>
      <c r="DE3">
        <v>3208433932.3918123</v>
      </c>
      <c r="DF3">
        <v>0.10312581300735474</v>
      </c>
      <c r="DG3">
        <v>1.3396130171971046</v>
      </c>
      <c r="DH3">
        <v>5535352153.7996197</v>
      </c>
      <c r="DI3">
        <v>9.3750739097595223E-2</v>
      </c>
      <c r="DJ3">
        <v>0.63931710547942755</v>
      </c>
      <c r="DK3">
        <v>11598672609.329414</v>
      </c>
      <c r="DL3">
        <v>8.2031896710395805E-2</v>
      </c>
      <c r="DM3">
        <v>463999999.99999994</v>
      </c>
      <c r="DN3">
        <v>0.11718842387199402</v>
      </c>
      <c r="DO3">
        <v>7415229800</v>
      </c>
      <c r="DP3">
        <v>3877989500.0000005</v>
      </c>
      <c r="DQ3" s="9">
        <v>366</v>
      </c>
      <c r="DR3">
        <v>-0.10894254681052476</v>
      </c>
      <c r="DS3">
        <v>0.18961841126902224</v>
      </c>
      <c r="DT3">
        <v>-5.6666666666666719E-2</v>
      </c>
      <c r="DU3">
        <v>1.27</v>
      </c>
      <c r="DV3">
        <v>1.2133333333333334</v>
      </c>
      <c r="DW3">
        <v>-8.1858846918489068</v>
      </c>
      <c r="DX3">
        <v>0.28677101449275227</v>
      </c>
      <c r="DY3">
        <v>-8.0179882502088908</v>
      </c>
      <c r="DZ3">
        <v>115</v>
      </c>
      <c r="EA3">
        <v>-8.0175834265740527</v>
      </c>
      <c r="EB3" s="10">
        <v>8</v>
      </c>
      <c r="EC3" s="10">
        <v>6.3377681511299341E-2</v>
      </c>
      <c r="ED3">
        <v>0.65492422336902512</v>
      </c>
      <c r="EE3">
        <v>7.7109999999999998E-2</v>
      </c>
      <c r="EF3">
        <v>0.11170999999999999</v>
      </c>
      <c r="EG3">
        <v>19.096771014492752</v>
      </c>
      <c r="EH3" s="12">
        <v>-1</v>
      </c>
      <c r="EI3">
        <v>0</v>
      </c>
      <c r="EJ3">
        <v>1</v>
      </c>
      <c r="EK3">
        <v>45470</v>
      </c>
      <c r="EL3">
        <v>0.89</v>
      </c>
      <c r="EM3">
        <v>-5.59</v>
      </c>
      <c r="EN3" s="13">
        <v>0.5</v>
      </c>
      <c r="EO3" s="13">
        <v>0.43</v>
      </c>
      <c r="EP3" s="13">
        <v>-3.46</v>
      </c>
    </row>
    <row r="4" spans="1:146" ht="108">
      <c r="A4" s="6"/>
      <c r="B4" s="6"/>
      <c r="C4" s="6" t="str">
        <f>""&amp;CHAR(10)&amp;Basic_Fundamental_Information_Constructure(F4)&amp;CHAR(10)&amp;Basic_Fundamental_Information_Concatenate("")</f>
        <v xml:space="preserve">
市值63.746927亿, 利润6.10亿; PE11.36; 平均PE21.03; 平均PEG.15, PB1.45; ROIC15.83%; ROE16.1633%; 股利率2.459%; 毛利7.78%; 净利2.81%; 上一年度营收增18.97%, 利润增-7.15%; 当季营收增7.83%, 利润增-34.92%; 过往5年营收增144.28%, 利润增100.8%
Income profile:
</v>
      </c>
      <c r="D4" t="s">
        <v>49</v>
      </c>
      <c r="E4" t="s">
        <v>50</v>
      </c>
      <c r="F4">
        <v>12.2</v>
      </c>
      <c r="G4">
        <v>0.91</v>
      </c>
      <c r="H4" t="s">
        <v>297</v>
      </c>
      <c r="I4">
        <v>6374692700</v>
      </c>
      <c r="J4">
        <v>11.36</v>
      </c>
      <c r="K4">
        <v>1.45</v>
      </c>
      <c r="L4" t="s">
        <v>37</v>
      </c>
      <c r="M4" t="s">
        <v>298</v>
      </c>
      <c r="N4" t="s">
        <v>299</v>
      </c>
      <c r="O4" t="s">
        <v>300</v>
      </c>
      <c r="P4">
        <v>7.83</v>
      </c>
      <c r="Q4" t="s">
        <v>301</v>
      </c>
      <c r="R4">
        <v>91108881</v>
      </c>
      <c r="S4" s="5">
        <v>-0.3473</v>
      </c>
      <c r="T4" t="s">
        <v>36</v>
      </c>
      <c r="U4">
        <v>212542400</v>
      </c>
      <c r="V4">
        <v>522515800</v>
      </c>
      <c r="W4">
        <v>2.68</v>
      </c>
      <c r="X4">
        <v>0.54</v>
      </c>
      <c r="Y4">
        <v>1.8</v>
      </c>
      <c r="Z4" t="s">
        <v>302</v>
      </c>
      <c r="AA4" t="s">
        <v>303</v>
      </c>
      <c r="AB4" t="s">
        <v>304</v>
      </c>
      <c r="AC4" t="s">
        <v>164</v>
      </c>
      <c r="AD4" t="s">
        <v>305</v>
      </c>
      <c r="AE4">
        <v>-4856459</v>
      </c>
      <c r="AF4" t="s">
        <v>306</v>
      </c>
      <c r="AG4" t="s">
        <v>307</v>
      </c>
      <c r="AH4" t="s">
        <v>308</v>
      </c>
      <c r="AI4" t="s">
        <v>309</v>
      </c>
      <c r="AJ4" t="s">
        <v>310</v>
      </c>
      <c r="AK4" t="s">
        <v>20</v>
      </c>
      <c r="AL4" t="s">
        <v>311</v>
      </c>
      <c r="AM4" t="s">
        <v>20</v>
      </c>
      <c r="AN4" t="s">
        <v>46</v>
      </c>
      <c r="AO4" t="s">
        <v>312</v>
      </c>
      <c r="AP4" t="s">
        <v>313</v>
      </c>
      <c r="AQ4" t="s">
        <v>314</v>
      </c>
      <c r="AR4" t="s">
        <v>20</v>
      </c>
      <c r="AS4" t="s">
        <v>315</v>
      </c>
      <c r="AT4" t="s">
        <v>20</v>
      </c>
      <c r="AU4" t="s">
        <v>316</v>
      </c>
      <c r="AV4" t="s">
        <v>317</v>
      </c>
      <c r="AW4" t="s">
        <v>175</v>
      </c>
      <c r="AX4" t="s">
        <v>318</v>
      </c>
      <c r="AY4" t="s">
        <v>51</v>
      </c>
      <c r="AZ4" t="s">
        <v>53</v>
      </c>
      <c r="BA4" t="s">
        <v>54</v>
      </c>
      <c r="BB4" t="s">
        <v>55</v>
      </c>
      <c r="BC4" t="s">
        <v>319</v>
      </c>
      <c r="BD4" t="s">
        <v>52</v>
      </c>
      <c r="BE4" t="s">
        <v>56</v>
      </c>
      <c r="BF4" t="s">
        <v>57</v>
      </c>
      <c r="BG4" t="s">
        <v>58</v>
      </c>
      <c r="BH4" t="s">
        <v>301</v>
      </c>
      <c r="BI4" t="s">
        <v>320</v>
      </c>
      <c r="BJ4" t="s">
        <v>318</v>
      </c>
      <c r="BK4" t="s">
        <v>36</v>
      </c>
      <c r="BL4" t="s">
        <v>138</v>
      </c>
      <c r="BM4" t="s">
        <v>319</v>
      </c>
      <c r="BN4">
        <v>14.88</v>
      </c>
      <c r="BO4">
        <v>19.57</v>
      </c>
      <c r="BP4">
        <v>13.04</v>
      </c>
      <c r="BQ4">
        <v>15.82</v>
      </c>
      <c r="BR4">
        <v>20.12</v>
      </c>
      <c r="BS4">
        <v>12.55</v>
      </c>
      <c r="BT4" t="s">
        <v>167</v>
      </c>
      <c r="BU4" t="s">
        <v>37</v>
      </c>
      <c r="BV4">
        <v>6.15</v>
      </c>
      <c r="BW4">
        <v>9.26</v>
      </c>
      <c r="BX4">
        <v>7.93</v>
      </c>
      <c r="BY4">
        <v>1.8</v>
      </c>
      <c r="BZ4">
        <v>3.92</v>
      </c>
      <c r="CA4">
        <v>2.71</v>
      </c>
      <c r="CB4">
        <v>-3.25</v>
      </c>
      <c r="CC4">
        <v>-1.45</v>
      </c>
      <c r="CD4" t="s">
        <v>321</v>
      </c>
      <c r="CE4" t="s">
        <v>32</v>
      </c>
      <c r="CF4" s="7">
        <v>7.8281140443505814E-2</v>
      </c>
      <c r="CG4" s="8">
        <v>-0.34922227857142857</v>
      </c>
      <c r="CH4" s="7">
        <v>0.18969447910785675</v>
      </c>
      <c r="CI4" s="7">
        <v>0.22259709239006042</v>
      </c>
      <c r="CJ4" s="7">
        <v>3.3228573799133301</v>
      </c>
      <c r="CK4" s="7">
        <v>3.3663821220397949</v>
      </c>
      <c r="CL4" s="7">
        <v>0.11249096691608429</v>
      </c>
      <c r="CM4" s="8">
        <v>-7.1537293493747711E-2</v>
      </c>
      <c r="CN4" s="8">
        <v>0.87179487943649292</v>
      </c>
      <c r="CO4" s="8">
        <v>1.8306452035903931</v>
      </c>
      <c r="CP4" s="8">
        <v>2.5876204967498779</v>
      </c>
      <c r="CQ4" s="8">
        <v>-0.17831246554851532</v>
      </c>
      <c r="CR4">
        <v>21.03133523084529</v>
      </c>
      <c r="CS4">
        <v>0.14576705694244727</v>
      </c>
      <c r="CT4">
        <v>2.459016393442623</v>
      </c>
      <c r="CU4" s="7">
        <v>1.4428044080734252</v>
      </c>
      <c r="CV4" s="8">
        <v>1.0080421641469002</v>
      </c>
      <c r="CW4">
        <v>0.06</v>
      </c>
      <c r="CX4">
        <v>7.9001072534378505</v>
      </c>
      <c r="CY4">
        <v>1405764800.8724427</v>
      </c>
      <c r="CZ4">
        <v>1.4428044080734252</v>
      </c>
      <c r="DA4">
        <v>0.98813002180071841</v>
      </c>
      <c r="DB4">
        <v>11239100578.850489</v>
      </c>
      <c r="DC4">
        <v>1.3706641876697538</v>
      </c>
      <c r="DD4">
        <v>0.10174453400468637</v>
      </c>
      <c r="DE4">
        <v>109152720670.85657</v>
      </c>
      <c r="DF4">
        <v>1.2696678791046143</v>
      </c>
      <c r="DG4">
        <v>7.7002915098271308E-3</v>
      </c>
      <c r="DH4">
        <v>1442243152201.0417</v>
      </c>
      <c r="DI4">
        <v>1.1542435264587403</v>
      </c>
      <c r="DJ4">
        <v>2.3828205979921904E-5</v>
      </c>
      <c r="DK4">
        <v>466073388376693.81</v>
      </c>
      <c r="DL4">
        <v>1.0099630856513977</v>
      </c>
      <c r="DM4">
        <v>610000000</v>
      </c>
      <c r="DN4">
        <v>1.4428044080734252</v>
      </c>
      <c r="DO4">
        <v>11105692700</v>
      </c>
      <c r="DP4">
        <v>3471717000</v>
      </c>
      <c r="DQ4">
        <v>1254</v>
      </c>
      <c r="DR4">
        <v>-1.3645232676299195</v>
      </c>
      <c r="DS4">
        <v>-1.3572644427183287</v>
      </c>
      <c r="DT4" s="9">
        <v>1.2331666666666667</v>
      </c>
      <c r="DU4">
        <v>0.89300000000000013</v>
      </c>
      <c r="DV4">
        <v>2.1261666666666668</v>
      </c>
      <c r="DW4">
        <v>-4.4461538461538463</v>
      </c>
      <c r="DX4">
        <v>0.35639857142857179</v>
      </c>
      <c r="DY4">
        <v>-4.0608547472527476</v>
      </c>
      <c r="DZ4">
        <v>106</v>
      </c>
      <c r="EA4">
        <v>-4.059570278274494</v>
      </c>
      <c r="EB4">
        <v>4</v>
      </c>
      <c r="EC4">
        <v>5.48188207897254E-2</v>
      </c>
      <c r="ED4">
        <v>0.4019017223976768</v>
      </c>
      <c r="EE4" s="10">
        <v>4.2074E-2</v>
      </c>
      <c r="EF4">
        <v>5.1199999999999996E-2</v>
      </c>
      <c r="EG4">
        <v>22.136398571428572</v>
      </c>
      <c r="EH4" t="s">
        <v>174</v>
      </c>
      <c r="EI4">
        <v>0</v>
      </c>
      <c r="EJ4">
        <v>1</v>
      </c>
      <c r="EK4" s="12">
        <v>45089</v>
      </c>
      <c r="EL4" s="13">
        <v>-2.93E-2</v>
      </c>
      <c r="EM4" s="13">
        <v>0.74</v>
      </c>
      <c r="EN4" s="13">
        <v>8.7100000000000009</v>
      </c>
      <c r="EO4" s="13">
        <v>6.0999999999999999E-2</v>
      </c>
      <c r="EP4" s="13">
        <v>8.69</v>
      </c>
    </row>
    <row r="5" spans="1:146" ht="108">
      <c r="C5" s="6" t="str">
        <f>""&amp;CHAR(10)&amp;Basic_Fundamental_Information_Constructure(F5)&amp;CHAR(10)&amp;Basic_Fundamental_Information_Concatenate("")</f>
        <v xml:space="preserve">
市值18.1158亿, 利润1.16亿; PE15.45; 平均PE17.14; 平均PEG.89, PB1.53; ROIC10.5767%; ROE11.14%; 股利率2.2563%; 毛利20.6433%; 净利7.6833%; 上一年度营收增7.78%, 利润增-31.76%; 当季营收增8.14%, 利润增4.88%; 过往5年营收增19.21%, 利润增21.9%
Income profile:
</v>
      </c>
      <c r="D5" t="s">
        <v>416</v>
      </c>
      <c r="E5" t="s">
        <v>417</v>
      </c>
      <c r="F5">
        <v>22.16</v>
      </c>
      <c r="G5">
        <v>-1.1599999999999999</v>
      </c>
      <c r="H5" t="s">
        <v>418</v>
      </c>
      <c r="I5">
        <v>1811580000</v>
      </c>
      <c r="J5">
        <v>15.45</v>
      </c>
      <c r="K5">
        <v>1.53</v>
      </c>
      <c r="L5" t="s">
        <v>377</v>
      </c>
      <c r="M5" t="s">
        <v>419</v>
      </c>
      <c r="N5" t="s">
        <v>420</v>
      </c>
      <c r="O5" t="s">
        <v>421</v>
      </c>
      <c r="P5" s="5">
        <v>7.98</v>
      </c>
      <c r="Q5" t="s">
        <v>422</v>
      </c>
      <c r="R5">
        <v>26906639</v>
      </c>
      <c r="S5">
        <v>4.8800000000000003E-2</v>
      </c>
      <c r="T5" t="s">
        <v>31</v>
      </c>
      <c r="U5">
        <v>80697188</v>
      </c>
      <c r="V5">
        <v>81750000</v>
      </c>
      <c r="W5">
        <v>1.85</v>
      </c>
      <c r="X5">
        <v>0.17</v>
      </c>
      <c r="Y5">
        <v>7.24</v>
      </c>
      <c r="Z5" t="s">
        <v>423</v>
      </c>
      <c r="AA5" t="s">
        <v>424</v>
      </c>
      <c r="AB5" t="s">
        <v>425</v>
      </c>
      <c r="AC5" t="s">
        <v>426</v>
      </c>
      <c r="AD5" t="s">
        <v>20</v>
      </c>
      <c r="AE5">
        <v>3838539</v>
      </c>
      <c r="AF5" t="s">
        <v>337</v>
      </c>
      <c r="AG5" t="s">
        <v>427</v>
      </c>
      <c r="AH5" t="s">
        <v>428</v>
      </c>
      <c r="AI5" t="s">
        <v>429</v>
      </c>
      <c r="AJ5" t="s">
        <v>430</v>
      </c>
      <c r="AK5" t="s">
        <v>431</v>
      </c>
      <c r="AL5" t="s">
        <v>432</v>
      </c>
      <c r="AM5" t="s">
        <v>20</v>
      </c>
      <c r="AN5" t="s">
        <v>433</v>
      </c>
      <c r="AO5" t="s">
        <v>434</v>
      </c>
      <c r="AP5" t="s">
        <v>435</v>
      </c>
      <c r="AQ5" t="s">
        <v>436</v>
      </c>
      <c r="AR5" t="s">
        <v>20</v>
      </c>
      <c r="AS5" t="s">
        <v>437</v>
      </c>
      <c r="AT5" t="s">
        <v>438</v>
      </c>
      <c r="AU5" t="s">
        <v>439</v>
      </c>
      <c r="AV5" t="s">
        <v>440</v>
      </c>
      <c r="AW5" t="s">
        <v>441</v>
      </c>
      <c r="AX5" t="s">
        <v>442</v>
      </c>
      <c r="AY5" t="s">
        <v>443</v>
      </c>
      <c r="AZ5" t="s">
        <v>444</v>
      </c>
      <c r="BA5" t="s">
        <v>445</v>
      </c>
      <c r="BB5" t="s">
        <v>446</v>
      </c>
      <c r="BC5" t="s">
        <v>166</v>
      </c>
      <c r="BD5" t="s">
        <v>447</v>
      </c>
      <c r="BE5" t="s">
        <v>171</v>
      </c>
      <c r="BF5" t="s">
        <v>448</v>
      </c>
      <c r="BG5" t="s">
        <v>449</v>
      </c>
      <c r="BH5" t="s">
        <v>422</v>
      </c>
      <c r="BI5" t="s">
        <v>450</v>
      </c>
      <c r="BJ5" t="s">
        <v>442</v>
      </c>
      <c r="BK5" t="s">
        <v>31</v>
      </c>
      <c r="BL5" t="s">
        <v>451</v>
      </c>
      <c r="BM5" t="s">
        <v>166</v>
      </c>
      <c r="BN5">
        <v>6.74</v>
      </c>
      <c r="BO5">
        <v>14.68</v>
      </c>
      <c r="BP5">
        <v>10.31</v>
      </c>
      <c r="BQ5">
        <v>8.23</v>
      </c>
      <c r="BR5">
        <v>16.489999999999998</v>
      </c>
      <c r="BS5">
        <v>8.6999999999999993</v>
      </c>
      <c r="BT5" t="s">
        <v>452</v>
      </c>
      <c r="BU5" t="s">
        <v>413</v>
      </c>
      <c r="BV5">
        <v>22.03</v>
      </c>
      <c r="BW5">
        <v>23.02</v>
      </c>
      <c r="BX5">
        <v>16.88</v>
      </c>
      <c r="BY5">
        <v>6.7</v>
      </c>
      <c r="BZ5">
        <v>10.57</v>
      </c>
      <c r="CA5">
        <v>5.78</v>
      </c>
      <c r="CB5">
        <v>-4.3600000000000003</v>
      </c>
      <c r="CC5" s="7">
        <v>-13.23</v>
      </c>
      <c r="CD5" s="8" t="s">
        <v>453</v>
      </c>
      <c r="CE5" s="7" t="s">
        <v>454</v>
      </c>
      <c r="CF5" s="7">
        <v>8.1395348837209308E-2</v>
      </c>
      <c r="CG5" s="7">
        <v>4.8787331904112261E-2</v>
      </c>
      <c r="CH5" s="7">
        <v>7.7784650027751923E-2</v>
      </c>
      <c r="CI5" s="7">
        <v>0.17988257110118866</v>
      </c>
      <c r="CJ5" s="8">
        <v>0.39406347274780273</v>
      </c>
      <c r="CK5" s="8">
        <v>0.21215881407260895</v>
      </c>
      <c r="CL5" s="8">
        <v>9.6598640084266663E-2</v>
      </c>
      <c r="CM5" s="8">
        <v>-0.31764706969261169</v>
      </c>
      <c r="CN5" s="8">
        <v>1.1584038734436035</v>
      </c>
      <c r="CO5">
        <v>-0.27741372585296631</v>
      </c>
      <c r="CP5">
        <v>0.18530826270580292</v>
      </c>
      <c r="CQ5">
        <v>0.34656676650047302</v>
      </c>
      <c r="CR5" s="7">
        <v>17.143946801065656</v>
      </c>
      <c r="CS5" s="8">
        <v>0.89246009105703117</v>
      </c>
      <c r="CT5">
        <v>2.256317689530686</v>
      </c>
      <c r="CU5">
        <v>0.19209762960672377</v>
      </c>
      <c r="CV5">
        <v>0.21904362142086028</v>
      </c>
      <c r="CW5">
        <v>0.06</v>
      </c>
      <c r="CX5">
        <v>13.104651624116379</v>
      </c>
      <c r="CY5">
        <v>130455967.01356597</v>
      </c>
      <c r="CZ5">
        <v>0.19209762960672377</v>
      </c>
      <c r="DA5">
        <v>3.9318366577472443</v>
      </c>
      <c r="DB5">
        <v>434804430.8075372</v>
      </c>
      <c r="DC5">
        <v>0.18249274812638758</v>
      </c>
      <c r="DD5">
        <v>1.7194338470689721</v>
      </c>
      <c r="DE5">
        <v>994269132.78125274</v>
      </c>
      <c r="DF5">
        <v>0.16904591405391692</v>
      </c>
      <c r="DG5">
        <v>0.89820783495699752</v>
      </c>
      <c r="DH5">
        <v>1903323410.7580988</v>
      </c>
      <c r="DI5">
        <v>0.15367810368537904</v>
      </c>
      <c r="DJ5">
        <v>0.33497168065686228</v>
      </c>
      <c r="DK5">
        <v>5103655319.8992863</v>
      </c>
      <c r="DL5">
        <v>0.13446834072470662</v>
      </c>
      <c r="DM5">
        <v>115999999.99999999</v>
      </c>
      <c r="DN5">
        <v>0.19209762960672377</v>
      </c>
      <c r="DO5">
        <v>1709580000</v>
      </c>
      <c r="DP5">
        <v>593016310</v>
      </c>
      <c r="DQ5" s="9">
        <v>1488</v>
      </c>
      <c r="DR5">
        <v>-0.11070228076951447</v>
      </c>
      <c r="DS5">
        <v>-0.17025628951674804</v>
      </c>
      <c r="DT5">
        <v>-4.0000000000000036E-2</v>
      </c>
      <c r="DU5">
        <v>0.21666666666666665</v>
      </c>
      <c r="DV5">
        <v>0.17666666666666661</v>
      </c>
      <c r="DW5">
        <v>-8.3295540438397584</v>
      </c>
      <c r="DX5">
        <v>0.41242048939403658</v>
      </c>
      <c r="DY5">
        <v>-8.0370486268902486</v>
      </c>
      <c r="DZ5">
        <v>1308</v>
      </c>
      <c r="EA5">
        <v>-8.0275653384416295</v>
      </c>
      <c r="EB5" s="10">
        <v>8</v>
      </c>
      <c r="EC5" s="10">
        <v>3.0223853211009174E-2</v>
      </c>
      <c r="ED5">
        <v>0.26884648318042814</v>
      </c>
      <c r="EE5">
        <v>-3.0696099999999999</v>
      </c>
      <c r="EF5">
        <v>-3.1028099999999998</v>
      </c>
      <c r="EG5">
        <v>30.112420489394037</v>
      </c>
      <c r="EH5" s="12" t="s">
        <v>455</v>
      </c>
      <c r="EI5">
        <v>0</v>
      </c>
      <c r="EJ5">
        <v>1</v>
      </c>
      <c r="EK5">
        <v>45470</v>
      </c>
      <c r="EL5">
        <v>0.55000000000000004</v>
      </c>
      <c r="EM5">
        <v>-4.87</v>
      </c>
      <c r="EN5" s="13">
        <v>2</v>
      </c>
      <c r="EO5" s="13">
        <v>4.0199999999999996</v>
      </c>
      <c r="EP5" s="13">
        <v>-3.32</v>
      </c>
    </row>
    <row r="6" spans="1:146" ht="108">
      <c r="A6" s="6"/>
      <c r="B6" s="6"/>
      <c r="C6" s="6" t="str">
        <f>""&amp;CHAR(10)&amp;Basic_Fundamental_Information_Constructure(F6)&amp;CHAR(10)&amp;Basic_Fundamental_Information_Concatenate("")</f>
        <v xml:space="preserve">
市值45.421292亿, 利润4494.67万; PE150.2; 平均PE39.14; 平均PEG13.63, PB1.85; ROIC4.41%; ROE5.5633%; 股利率0%; 毛利34.2133%; 净利8.61%; 上一年度营收增-19.11%, 利润增-45.47%; 当季营收增166.34%, 利润增97.65%; 过往5年营收增2.87%, 利润增-5.9%
Income profile:
</v>
      </c>
      <c r="D6" t="s">
        <v>59</v>
      </c>
      <c r="E6" t="s">
        <v>60</v>
      </c>
      <c r="F6">
        <v>9.1199999999999992</v>
      </c>
      <c r="G6">
        <v>0</v>
      </c>
      <c r="H6" t="s">
        <v>456</v>
      </c>
      <c r="I6">
        <v>4542129200</v>
      </c>
      <c r="J6">
        <v>150.19999999999999</v>
      </c>
      <c r="K6">
        <v>1.85</v>
      </c>
      <c r="L6" t="s">
        <v>377</v>
      </c>
      <c r="M6" t="s">
        <v>457</v>
      </c>
      <c r="N6" t="s">
        <v>458</v>
      </c>
      <c r="O6" t="s">
        <v>459</v>
      </c>
      <c r="P6">
        <v>5.94</v>
      </c>
      <c r="Q6" t="s">
        <v>460</v>
      </c>
      <c r="R6">
        <v>20735172</v>
      </c>
      <c r="S6" s="5">
        <v>-0.21609999999999999</v>
      </c>
      <c r="T6" t="s">
        <v>461</v>
      </c>
      <c r="U6">
        <v>486883610</v>
      </c>
      <c r="V6">
        <v>498040480</v>
      </c>
      <c r="W6">
        <v>1.33</v>
      </c>
      <c r="X6">
        <v>7.0000000000000007E-2</v>
      </c>
      <c r="Y6">
        <v>7.56</v>
      </c>
      <c r="Z6" t="s">
        <v>353</v>
      </c>
      <c r="AA6" t="s">
        <v>166</v>
      </c>
      <c r="AB6" t="s">
        <v>462</v>
      </c>
      <c r="AC6" t="s">
        <v>463</v>
      </c>
      <c r="AD6" t="s">
        <v>20</v>
      </c>
      <c r="AE6">
        <v>3723855</v>
      </c>
      <c r="AF6" t="s">
        <v>464</v>
      </c>
      <c r="AG6" t="s">
        <v>465</v>
      </c>
      <c r="AH6" t="s">
        <v>466</v>
      </c>
      <c r="AI6" t="s">
        <v>467</v>
      </c>
      <c r="AJ6" t="s">
        <v>468</v>
      </c>
      <c r="AK6" t="s">
        <v>20</v>
      </c>
      <c r="AL6" t="s">
        <v>469</v>
      </c>
      <c r="AM6" t="s">
        <v>20</v>
      </c>
      <c r="AN6">
        <v>0</v>
      </c>
      <c r="AO6" t="s">
        <v>470</v>
      </c>
      <c r="AP6" t="s">
        <v>471</v>
      </c>
      <c r="AQ6" t="s">
        <v>472</v>
      </c>
      <c r="AR6" t="s">
        <v>20</v>
      </c>
      <c r="AS6" t="s">
        <v>473</v>
      </c>
      <c r="AT6" t="s">
        <v>474</v>
      </c>
      <c r="AU6" t="s">
        <v>475</v>
      </c>
      <c r="AV6" t="s">
        <v>476</v>
      </c>
      <c r="AW6" t="s">
        <v>477</v>
      </c>
      <c r="AX6" t="s">
        <v>322</v>
      </c>
      <c r="AY6" t="s">
        <v>120</v>
      </c>
      <c r="AZ6" t="s">
        <v>61</v>
      </c>
      <c r="BA6" t="s">
        <v>63</v>
      </c>
      <c r="BB6" t="s">
        <v>64</v>
      </c>
      <c r="BC6" t="s">
        <v>478</v>
      </c>
      <c r="BD6" t="s">
        <v>121</v>
      </c>
      <c r="BE6" t="s">
        <v>62</v>
      </c>
      <c r="BF6" t="s">
        <v>65</v>
      </c>
      <c r="BG6" t="s">
        <v>34</v>
      </c>
      <c r="BH6" t="s">
        <v>479</v>
      </c>
      <c r="BI6" t="s">
        <v>480</v>
      </c>
      <c r="BJ6" t="s">
        <v>322</v>
      </c>
      <c r="BK6" t="s">
        <v>481</v>
      </c>
      <c r="BL6" t="s">
        <v>482</v>
      </c>
      <c r="BM6" t="s">
        <v>478</v>
      </c>
      <c r="BN6">
        <v>1.48</v>
      </c>
      <c r="BO6">
        <v>2.68</v>
      </c>
      <c r="BP6">
        <v>9.07</v>
      </c>
      <c r="BQ6">
        <v>1.38</v>
      </c>
      <c r="BR6">
        <v>3.28</v>
      </c>
      <c r="BS6">
        <v>12.03</v>
      </c>
      <c r="BT6" t="s">
        <v>165</v>
      </c>
      <c r="BU6" t="s">
        <v>37</v>
      </c>
      <c r="BV6">
        <v>33.78</v>
      </c>
      <c r="BW6">
        <v>31.54</v>
      </c>
      <c r="BX6">
        <v>37.32</v>
      </c>
      <c r="BY6">
        <v>3.35</v>
      </c>
      <c r="BZ6">
        <v>6.93</v>
      </c>
      <c r="CA6">
        <v>15.55</v>
      </c>
      <c r="CB6">
        <v>-5.88</v>
      </c>
      <c r="CC6">
        <v>-16.71</v>
      </c>
      <c r="CD6" t="s">
        <v>483</v>
      </c>
      <c r="CE6" t="s">
        <v>484</v>
      </c>
      <c r="CF6" s="7">
        <v>1.6634282760960484</v>
      </c>
      <c r="CG6" s="8">
        <v>0.97654776657197873</v>
      </c>
      <c r="CH6" s="7">
        <v>-0.19112987816333771</v>
      </c>
      <c r="CI6" s="7">
        <v>-0.25550314784049988</v>
      </c>
      <c r="CJ6" s="7">
        <v>0.54933005571365356</v>
      </c>
      <c r="CK6" s="7">
        <v>-7.2316385805606842E-2</v>
      </c>
      <c r="CL6" s="7">
        <v>0.11320754885673523</v>
      </c>
      <c r="CM6" s="8">
        <v>-0.45465540885925293</v>
      </c>
      <c r="CN6" s="8">
        <v>-0.59795659780502319</v>
      </c>
      <c r="CO6" s="8">
        <v>0.8468468189239502</v>
      </c>
      <c r="CP6" s="8">
        <v>-0.14615385234355927</v>
      </c>
      <c r="CQ6" s="8">
        <v>5.6910570710897446E-2</v>
      </c>
      <c r="CR6">
        <v>39.1357287034282</v>
      </c>
      <c r="CS6">
        <v>13.627767001909444</v>
      </c>
      <c r="CT6">
        <v>0</v>
      </c>
      <c r="CU6" s="7">
        <v>2.8717638552188875E-2</v>
      </c>
      <c r="CV6" s="8">
        <v>-5.9001693874597548E-2</v>
      </c>
      <c r="CW6">
        <v>0.06</v>
      </c>
      <c r="CX6">
        <v>66.348297405058588</v>
      </c>
      <c r="CY6">
        <v>43620248.193126097</v>
      </c>
      <c r="CZ6">
        <v>2.8717638552188875E-2</v>
      </c>
      <c r="DA6">
        <v>22.844893499720534</v>
      </c>
      <c r="DB6">
        <v>126686044.74060711</v>
      </c>
      <c r="DC6">
        <v>2.7281756624579431E-2</v>
      </c>
      <c r="DD6">
        <v>12.039285069073159</v>
      </c>
      <c r="DE6">
        <v>240390453.70181635</v>
      </c>
      <c r="DF6">
        <v>2.5271521925926209E-2</v>
      </c>
      <c r="DG6">
        <v>7.7890514390881398</v>
      </c>
      <c r="DH6">
        <v>371563754.92351532</v>
      </c>
      <c r="DI6">
        <v>2.2974110841751102E-2</v>
      </c>
      <c r="DJ6">
        <v>4.7007427067257801</v>
      </c>
      <c r="DK6">
        <v>615674879.60128224</v>
      </c>
      <c r="DL6">
        <v>2.010234698653221E-2</v>
      </c>
      <c r="DM6">
        <v>44946700</v>
      </c>
      <c r="DN6">
        <v>2.8717638552188875E-2</v>
      </c>
      <c r="DO6">
        <v>2894129200</v>
      </c>
      <c r="DP6">
        <v>950768300</v>
      </c>
      <c r="DQ6">
        <v>2282</v>
      </c>
      <c r="DR6">
        <v>1.6347106375438596</v>
      </c>
      <c r="DS6">
        <v>1.0355494604465763</v>
      </c>
      <c r="DT6" s="9">
        <v>-0.62333333333333341</v>
      </c>
      <c r="DU6">
        <v>-4.9999999999999989E-2</v>
      </c>
      <c r="DV6">
        <v>-0.67333333333333334</v>
      </c>
      <c r="DW6">
        <v>-8.3518850987432671</v>
      </c>
      <c r="DX6">
        <v>0.36471188811188671</v>
      </c>
      <c r="DY6">
        <v>-8.0298088511129802</v>
      </c>
      <c r="DZ6">
        <v>1713</v>
      </c>
      <c r="EA6">
        <v>-8.0198161775402728</v>
      </c>
      <c r="EB6">
        <v>8</v>
      </c>
      <c r="EC6">
        <v>4.8645845012437551E-2</v>
      </c>
      <c r="ED6">
        <v>0.5742505107215381</v>
      </c>
      <c r="EE6" s="10">
        <v>-2.0750000000000002</v>
      </c>
      <c r="EF6">
        <v>-2.0506000000000002</v>
      </c>
      <c r="EG6">
        <v>28.084711888111887</v>
      </c>
      <c r="EH6" t="s">
        <v>485</v>
      </c>
      <c r="EI6">
        <v>0</v>
      </c>
      <c r="EJ6">
        <v>0</v>
      </c>
      <c r="EK6" s="12">
        <v>45470</v>
      </c>
      <c r="EL6" s="13">
        <v>0</v>
      </c>
      <c r="EM6" s="13">
        <v>-4.59</v>
      </c>
      <c r="EN6" s="13">
        <v>1.98</v>
      </c>
      <c r="EO6" s="13">
        <v>2.5</v>
      </c>
      <c r="EP6" s="13">
        <v>-2.44</v>
      </c>
    </row>
    <row r="7" spans="1:146" ht="108">
      <c r="C7" s="6" t="str">
        <f>""&amp;CHAR(10)&amp;Basic_Fundamental_Information_Constructure(F7)&amp;CHAR(10)&amp;Basic_Fundamental_Information_Concatenate("")</f>
        <v xml:space="preserve">
市值23.588506亿, 利润803.38万; PE20.67; 平均PE20.46; 平均PEG2.86, PB2.06; ROIC15.9867%; ROE17.83%; 股利率3.6067%; 毛利13.7333%; 净利5.92%; 上一年度营收增-88.09%, 利润增-95.22%; 当季营收增779.12%, 利润增580.27%; 过往5年营收增-7.15%, 利润增13.76%
Income profile:
</v>
      </c>
      <c r="D7" t="s">
        <v>486</v>
      </c>
      <c r="E7" t="s">
        <v>487</v>
      </c>
      <c r="F7">
        <v>10.119999999999999</v>
      </c>
      <c r="G7">
        <v>1.2</v>
      </c>
      <c r="H7" t="s">
        <v>488</v>
      </c>
      <c r="I7">
        <v>2358850600</v>
      </c>
      <c r="J7">
        <v>20.67</v>
      </c>
      <c r="K7">
        <v>2.06</v>
      </c>
      <c r="L7" t="s">
        <v>377</v>
      </c>
      <c r="M7" t="s">
        <v>489</v>
      </c>
      <c r="N7" t="s">
        <v>490</v>
      </c>
      <c r="O7" t="s">
        <v>491</v>
      </c>
      <c r="P7" s="5">
        <v>8.69</v>
      </c>
      <c r="Q7" t="s">
        <v>492</v>
      </c>
      <c r="R7">
        <v>21493755</v>
      </c>
      <c r="S7">
        <v>0.55059999999999998</v>
      </c>
      <c r="T7" t="s">
        <v>493</v>
      </c>
      <c r="U7">
        <v>77856000</v>
      </c>
      <c r="V7">
        <v>233088000</v>
      </c>
      <c r="W7">
        <v>1.47</v>
      </c>
      <c r="X7">
        <v>0.3</v>
      </c>
      <c r="Y7">
        <v>3.99</v>
      </c>
      <c r="Z7" t="s">
        <v>494</v>
      </c>
      <c r="AA7" t="s">
        <v>495</v>
      </c>
      <c r="AB7" t="s">
        <v>496</v>
      </c>
      <c r="AC7" t="s">
        <v>497</v>
      </c>
      <c r="AD7" t="s">
        <v>20</v>
      </c>
      <c r="AE7">
        <v>-7625449</v>
      </c>
      <c r="AF7" t="s">
        <v>498</v>
      </c>
      <c r="AG7" t="s">
        <v>499</v>
      </c>
      <c r="AH7" t="s">
        <v>500</v>
      </c>
      <c r="AI7" t="s">
        <v>279</v>
      </c>
      <c r="AJ7" t="s">
        <v>501</v>
      </c>
      <c r="AK7" t="s">
        <v>20</v>
      </c>
      <c r="AL7" t="s">
        <v>502</v>
      </c>
      <c r="AM7" t="s">
        <v>20</v>
      </c>
      <c r="AN7" t="s">
        <v>503</v>
      </c>
      <c r="AO7" t="s">
        <v>504</v>
      </c>
      <c r="AP7" t="s">
        <v>505</v>
      </c>
      <c r="AQ7" t="s">
        <v>506</v>
      </c>
      <c r="AR7" t="s">
        <v>20</v>
      </c>
      <c r="AS7" t="s">
        <v>507</v>
      </c>
      <c r="AT7" t="s">
        <v>508</v>
      </c>
      <c r="AU7" t="s">
        <v>509</v>
      </c>
      <c r="AV7" t="s">
        <v>510</v>
      </c>
      <c r="AW7" t="s">
        <v>511</v>
      </c>
      <c r="AX7" t="s">
        <v>512</v>
      </c>
      <c r="AY7" t="s">
        <v>513</v>
      </c>
      <c r="AZ7" t="s">
        <v>514</v>
      </c>
      <c r="BA7" t="s">
        <v>515</v>
      </c>
      <c r="BB7" t="s">
        <v>516</v>
      </c>
      <c r="BC7" t="s">
        <v>161</v>
      </c>
      <c r="BD7" t="s">
        <v>121</v>
      </c>
      <c r="BE7" t="s">
        <v>517</v>
      </c>
      <c r="BF7" t="s">
        <v>518</v>
      </c>
      <c r="BG7" t="s">
        <v>519</v>
      </c>
      <c r="BH7" t="s">
        <v>520</v>
      </c>
      <c r="BI7" t="s">
        <v>521</v>
      </c>
      <c r="BJ7" t="s">
        <v>512</v>
      </c>
      <c r="BK7" t="s">
        <v>522</v>
      </c>
      <c r="BL7" t="s">
        <v>523</v>
      </c>
      <c r="BM7" t="s">
        <v>161</v>
      </c>
      <c r="BN7">
        <v>6.7</v>
      </c>
      <c r="BO7">
        <v>14.49</v>
      </c>
      <c r="BP7">
        <v>26.77</v>
      </c>
      <c r="BQ7">
        <v>8.3800000000000008</v>
      </c>
      <c r="BR7">
        <v>15.38</v>
      </c>
      <c r="BS7">
        <v>29.73</v>
      </c>
      <c r="BT7" t="s">
        <v>524</v>
      </c>
      <c r="BU7" t="s">
        <v>413</v>
      </c>
      <c r="BV7">
        <v>15.03</v>
      </c>
      <c r="BW7">
        <v>13.54</v>
      </c>
      <c r="BX7">
        <v>12.63</v>
      </c>
      <c r="BY7">
        <v>5.2</v>
      </c>
      <c r="BZ7">
        <v>7.03</v>
      </c>
      <c r="CA7">
        <v>5.53</v>
      </c>
      <c r="CB7">
        <v>-7.92</v>
      </c>
      <c r="CC7" s="7">
        <v>-10.8</v>
      </c>
      <c r="CD7" s="8" t="s">
        <v>525</v>
      </c>
      <c r="CE7" s="7" t="s">
        <v>526</v>
      </c>
      <c r="CF7" s="7">
        <v>7.7912014863611736</v>
      </c>
      <c r="CG7" s="7">
        <v>5.8026823015571587</v>
      </c>
      <c r="CH7" s="7">
        <v>-0.88089221715927124</v>
      </c>
      <c r="CI7" s="7">
        <v>-0.35956874489784241</v>
      </c>
      <c r="CJ7" s="8">
        <v>0.62292212247848511</v>
      </c>
      <c r="CK7" s="8">
        <v>0.27353763580322266</v>
      </c>
      <c r="CL7" s="8">
        <v>-1.3736228458583355E-2</v>
      </c>
      <c r="CM7" s="8">
        <v>-0.95217978954315186</v>
      </c>
      <c r="CN7" s="8">
        <v>-0.18048781156539917</v>
      </c>
      <c r="CO7">
        <v>0.30573248863220215</v>
      </c>
      <c r="CP7">
        <v>0.53921568393707275</v>
      </c>
      <c r="CQ7">
        <v>0.97590559720993042</v>
      </c>
      <c r="CR7" s="7">
        <v>20.462642901663358</v>
      </c>
      <c r="CS7" s="8">
        <v>2.8600086345282336</v>
      </c>
      <c r="CT7">
        <v>3.6067193675889331</v>
      </c>
      <c r="CU7">
        <v>-7.1547486446797842E-2</v>
      </c>
      <c r="CV7">
        <v>0.13763723373413086</v>
      </c>
      <c r="CW7">
        <v>0.06</v>
      </c>
      <c r="CX7">
        <v>217.81107321566381</v>
      </c>
      <c r="CY7" t="s">
        <v>527</v>
      </c>
      <c r="CZ7">
        <v>-7.1547486446797842E-2</v>
      </c>
      <c r="DA7">
        <v>72.603691071887937</v>
      </c>
      <c r="DB7" t="s">
        <v>528</v>
      </c>
      <c r="DC7">
        <v>-6.7970112124457943E-2</v>
      </c>
      <c r="DD7">
        <v>36.301845535943968</v>
      </c>
      <c r="DE7" t="s">
        <v>529</v>
      </c>
      <c r="DF7">
        <v>-6.2961788073182104E-2</v>
      </c>
      <c r="DG7">
        <v>21.781107321566381</v>
      </c>
      <c r="DH7" t="s">
        <v>530</v>
      </c>
      <c r="DI7">
        <v>-5.7237989157438274E-2</v>
      </c>
      <c r="DJ7">
        <v>10.890553660783191</v>
      </c>
      <c r="DK7" t="s">
        <v>531</v>
      </c>
      <c r="DL7">
        <v>-5.008324051275849E-2</v>
      </c>
      <c r="DM7">
        <v>8033800</v>
      </c>
      <c r="DN7">
        <v>-7.1547486446797842E-2</v>
      </c>
      <c r="DO7">
        <v>1749850600</v>
      </c>
      <c r="DP7">
        <v>891583100</v>
      </c>
      <c r="DQ7" s="9">
        <v>2444</v>
      </c>
      <c r="DR7">
        <v>7.8627489728079718</v>
      </c>
      <c r="DS7">
        <v>5.6650450678230282</v>
      </c>
      <c r="DT7">
        <v>-0.54</v>
      </c>
      <c r="DU7">
        <v>-3.3333333333333291E-2</v>
      </c>
      <c r="DV7">
        <v>-0.57333333333333336</v>
      </c>
      <c r="DW7">
        <v>-9.7333333333333325</v>
      </c>
      <c r="DX7">
        <v>0.32419999999999988</v>
      </c>
      <c r="DY7">
        <v>-9.0984133333333332</v>
      </c>
      <c r="DZ7">
        <v>849</v>
      </c>
      <c r="EA7">
        <v>-9.0820624683626878</v>
      </c>
      <c r="EB7" s="10">
        <v>9</v>
      </c>
      <c r="EC7" s="10">
        <v>7.4271519769357502E-2</v>
      </c>
      <c r="ED7">
        <v>0.55343904448105441</v>
      </c>
      <c r="EE7">
        <v>3.0515099999999999</v>
      </c>
      <c r="EF7">
        <v>3.0746099999999998</v>
      </c>
      <c r="EG7">
        <v>19.1342</v>
      </c>
      <c r="EH7" s="12" t="s">
        <v>532</v>
      </c>
      <c r="EI7">
        <v>0</v>
      </c>
      <c r="EJ7">
        <v>1</v>
      </c>
      <c r="EK7">
        <v>45470</v>
      </c>
      <c r="EL7">
        <v>0.89</v>
      </c>
      <c r="EM7">
        <v>-3.85</v>
      </c>
      <c r="EN7" s="13">
        <v>2.1800000000000002</v>
      </c>
      <c r="EO7" s="13">
        <v>1.91</v>
      </c>
      <c r="EP7" s="13">
        <v>-2.31</v>
      </c>
    </row>
    <row r="8" spans="1:146" ht="96">
      <c r="A8" s="6"/>
      <c r="B8" s="6"/>
      <c r="C8" s="6" t="str">
        <f>""&amp;CHAR(10)&amp;Basic_Fundamental_Information_Constructure(F8)&amp;CHAR(10)&amp;Basic_Fundamental_Information_Concatenate("")</f>
        <v xml:space="preserve">
市值69.55824亿, 利润4.37亿; PE44.33; 平均PE39.34; 平均PEG.04, PB2.45; ROIC6.0733%; ROE5.9767%; 股利率1.4449%; 毛利70.52%; 净利41.5633%; 上一年度营收增5294.46%, 利润增207.75%; 当季营收增-98.46%, 利润增-88.54%; 过往5年营收增1058.8%, 利润增44.74%
Income profile:
</v>
      </c>
      <c r="D8" t="s">
        <v>122</v>
      </c>
      <c r="E8" t="s">
        <v>123</v>
      </c>
      <c r="F8">
        <v>5.26</v>
      </c>
      <c r="G8">
        <v>-1.87</v>
      </c>
      <c r="H8" t="s">
        <v>533</v>
      </c>
      <c r="I8">
        <v>6955824000</v>
      </c>
      <c r="J8">
        <v>44.33</v>
      </c>
      <c r="K8">
        <v>2.4500000000000002</v>
      </c>
      <c r="L8" t="s">
        <v>377</v>
      </c>
      <c r="M8" t="s">
        <v>534</v>
      </c>
      <c r="N8" t="s">
        <v>535</v>
      </c>
      <c r="O8" t="s">
        <v>536</v>
      </c>
      <c r="P8">
        <v>-5.24</v>
      </c>
      <c r="Q8" t="s">
        <v>537</v>
      </c>
      <c r="R8">
        <v>23383515</v>
      </c>
      <c r="S8" s="5">
        <v>-0.25619999999999998</v>
      </c>
      <c r="T8" t="s">
        <v>538</v>
      </c>
      <c r="U8">
        <v>767400000</v>
      </c>
      <c r="V8">
        <v>1322400000</v>
      </c>
      <c r="W8">
        <v>1.21</v>
      </c>
      <c r="X8">
        <v>0.02</v>
      </c>
      <c r="Y8">
        <v>34.520000000000003</v>
      </c>
      <c r="Z8" t="s">
        <v>539</v>
      </c>
      <c r="AA8" t="s">
        <v>540</v>
      </c>
      <c r="AB8" t="s">
        <v>541</v>
      </c>
      <c r="AC8" t="s">
        <v>542</v>
      </c>
      <c r="AD8" t="s">
        <v>20</v>
      </c>
      <c r="AE8">
        <v>-478079</v>
      </c>
      <c r="AF8" t="s">
        <v>543</v>
      </c>
      <c r="AG8">
        <v>0.92</v>
      </c>
      <c r="AH8" t="s">
        <v>544</v>
      </c>
      <c r="AI8" t="s">
        <v>38</v>
      </c>
      <c r="AJ8" t="s">
        <v>545</v>
      </c>
      <c r="AK8" t="s">
        <v>546</v>
      </c>
      <c r="AL8" t="s">
        <v>547</v>
      </c>
      <c r="AM8" t="s">
        <v>20</v>
      </c>
      <c r="AN8" t="s">
        <v>548</v>
      </c>
      <c r="AO8" t="s">
        <v>20</v>
      </c>
      <c r="AP8" t="s">
        <v>20</v>
      </c>
      <c r="AQ8" t="s">
        <v>549</v>
      </c>
      <c r="AR8" t="s">
        <v>20</v>
      </c>
      <c r="AS8" t="s">
        <v>550</v>
      </c>
      <c r="AT8" t="s">
        <v>20</v>
      </c>
      <c r="AU8" t="s">
        <v>551</v>
      </c>
      <c r="AV8" t="s">
        <v>552</v>
      </c>
      <c r="AW8" t="s">
        <v>20</v>
      </c>
      <c r="AX8" t="s">
        <v>326</v>
      </c>
      <c r="AY8" t="s">
        <v>124</v>
      </c>
      <c r="AZ8" t="s">
        <v>125</v>
      </c>
      <c r="BA8" t="s">
        <v>126</v>
      </c>
      <c r="BB8" t="s">
        <v>66</v>
      </c>
      <c r="BC8" t="s">
        <v>169</v>
      </c>
      <c r="BD8" t="s">
        <v>21</v>
      </c>
      <c r="BE8" t="s">
        <v>127</v>
      </c>
      <c r="BF8" t="s">
        <v>128</v>
      </c>
      <c r="BG8" t="s">
        <v>38</v>
      </c>
      <c r="BH8" t="s">
        <v>553</v>
      </c>
      <c r="BI8" t="s">
        <v>554</v>
      </c>
      <c r="BJ8" t="s">
        <v>326</v>
      </c>
      <c r="BK8" t="s">
        <v>555</v>
      </c>
      <c r="BL8" t="s">
        <v>556</v>
      </c>
      <c r="BM8" t="s">
        <v>169</v>
      </c>
      <c r="BN8">
        <v>4.4000000000000004</v>
      </c>
      <c r="BO8">
        <v>6.67</v>
      </c>
      <c r="BP8">
        <v>7.15</v>
      </c>
      <c r="BQ8">
        <v>4.45</v>
      </c>
      <c r="BR8">
        <v>6</v>
      </c>
      <c r="BS8">
        <v>7.48</v>
      </c>
      <c r="BT8" t="s">
        <v>557</v>
      </c>
      <c r="BU8" t="s">
        <v>37</v>
      </c>
      <c r="BV8">
        <v>72.47</v>
      </c>
      <c r="BW8">
        <v>69</v>
      </c>
      <c r="BX8">
        <v>70.09</v>
      </c>
      <c r="BY8">
        <v>46.24</v>
      </c>
      <c r="BZ8">
        <v>43.81</v>
      </c>
      <c r="CA8">
        <v>34.64</v>
      </c>
      <c r="CB8">
        <v>-10.24</v>
      </c>
      <c r="CC8">
        <v>4.49</v>
      </c>
      <c r="CD8" t="s">
        <v>517</v>
      </c>
      <c r="CE8" t="s">
        <v>558</v>
      </c>
      <c r="CF8" s="7">
        <v>-0.98456774487471521</v>
      </c>
      <c r="CG8" s="8">
        <v>-0.88537492647058824</v>
      </c>
      <c r="CH8" s="7">
        <v>52.944618225097656</v>
      </c>
      <c r="CI8" s="7">
        <v>9.0604029595851898E-2</v>
      </c>
      <c r="CJ8" s="7">
        <v>1.7064847052097321E-2</v>
      </c>
      <c r="CK8" s="7">
        <v>-0.18384401500225067</v>
      </c>
      <c r="CL8" s="7">
        <v>7.1641787886619568E-2</v>
      </c>
      <c r="CM8" s="8">
        <v>2.0774648189544678</v>
      </c>
      <c r="CN8" s="8">
        <v>0.37864077091217041</v>
      </c>
      <c r="CO8" s="8">
        <v>2.9999999329447746E-2</v>
      </c>
      <c r="CP8" s="8">
        <v>-0.30069929361343384</v>
      </c>
      <c r="CQ8" s="8">
        <v>5.1470588892698288E-2</v>
      </c>
      <c r="CR8">
        <v>39.335479736098016</v>
      </c>
      <c r="CS8">
        <v>3.7150941322865561E-2</v>
      </c>
      <c r="CT8">
        <v>1.4448669201520914</v>
      </c>
      <c r="CU8" s="7">
        <v>10.588016974925996</v>
      </c>
      <c r="CV8" s="8">
        <v>0.44737537689507006</v>
      </c>
      <c r="CW8">
        <v>0.06</v>
      </c>
      <c r="CX8">
        <v>0.98838262183469738</v>
      </c>
      <c r="CY8">
        <v>4777323979.2855282</v>
      </c>
      <c r="CZ8">
        <v>10.588016974925996</v>
      </c>
      <c r="DA8">
        <v>8.6112333539915282E-3</v>
      </c>
      <c r="DB8">
        <v>548333067505.5174</v>
      </c>
      <c r="DC8">
        <v>10.058616126179695</v>
      </c>
      <c r="DD8">
        <v>1.140112224024527E-5</v>
      </c>
      <c r="DE8">
        <v>414154317487470.5</v>
      </c>
      <c r="DF8">
        <v>9.3174549379348761</v>
      </c>
      <c r="DG8">
        <v>2.9610515249648373E-9</v>
      </c>
      <c r="DH8">
        <v>1.5946443215155036E+18</v>
      </c>
      <c r="DI8">
        <v>8.4704135799407965</v>
      </c>
      <c r="DJ8">
        <v>9.6308471923785196E-18</v>
      </c>
      <c r="DK8">
        <v>4.9028127076262504E+26</v>
      </c>
      <c r="DL8">
        <v>7.411611882448196</v>
      </c>
      <c r="DM8">
        <v>437000000</v>
      </c>
      <c r="DN8">
        <v>10.588016974925996</v>
      </c>
      <c r="DO8">
        <v>4721824000</v>
      </c>
      <c r="DP8">
        <v>638516060</v>
      </c>
      <c r="DQ8">
        <v>2638</v>
      </c>
      <c r="DR8">
        <v>-11.572584719800711</v>
      </c>
      <c r="DS8">
        <v>-1.3327503033656583</v>
      </c>
      <c r="DT8" s="9">
        <v>-0.25666666666666665</v>
      </c>
      <c r="DU8">
        <v>-0.10666666666666669</v>
      </c>
      <c r="DV8">
        <v>-0.36333333333333334</v>
      </c>
      <c r="DW8">
        <v>-5.4384765625</v>
      </c>
      <c r="DX8">
        <v>0.31320166320166332</v>
      </c>
      <c r="DY8">
        <v>-5.0715601042749476</v>
      </c>
      <c r="DZ8">
        <v>4064</v>
      </c>
      <c r="EA8">
        <v>-5.0146481152781988</v>
      </c>
      <c r="EB8">
        <v>5</v>
      </c>
      <c r="EC8">
        <v>0.11872353297035693</v>
      </c>
      <c r="ED8">
        <v>0.72746521476104042</v>
      </c>
      <c r="EE8" s="10">
        <v>4.0136099999999999</v>
      </c>
      <c r="EF8">
        <v>4.02841</v>
      </c>
      <c r="EG8">
        <v>15.163201663201663</v>
      </c>
      <c r="EH8" t="s">
        <v>559</v>
      </c>
      <c r="EI8">
        <v>0</v>
      </c>
      <c r="EJ8">
        <v>0</v>
      </c>
      <c r="EK8" s="12">
        <v>45470</v>
      </c>
      <c r="EL8" s="13">
        <v>-1.54</v>
      </c>
      <c r="EM8" s="13">
        <v>-4.91</v>
      </c>
      <c r="EN8" s="13">
        <v>-0.94</v>
      </c>
      <c r="EO8" s="13">
        <v>7.07</v>
      </c>
      <c r="EP8" s="13">
        <v>-1.48</v>
      </c>
    </row>
    <row r="9" spans="1:146" ht="96">
      <c r="C9" s="6" t="str">
        <f>""&amp;CHAR(10)&amp;Basic_Fundamental_Information_Constructure(F9)&amp;CHAR(10)&amp;Basic_Fundamental_Information_Concatenate("")</f>
        <v xml:space="preserve">
市值27.739511亿, 利润1.38亿; PE11.5; 平均PE23.64; 平均PEG.82, PB.944; ROIC34.5567%; ROE33.205%; 股利率5.291%; 毛利29.49%; 净利19.3467%; 上一年度营收增-47.59%, 利润增-55.77%; 当季营收增.61%, 利润增35.45%; 过往5年营收增28.85%, 利润增65.18%
Income profile:
</v>
      </c>
      <c r="D9" t="s">
        <v>560</v>
      </c>
      <c r="E9" t="s">
        <v>561</v>
      </c>
      <c r="F9">
        <v>18.899999999999999</v>
      </c>
      <c r="G9">
        <v>1.61</v>
      </c>
      <c r="H9" t="s">
        <v>562</v>
      </c>
      <c r="I9">
        <v>2773951100</v>
      </c>
      <c r="J9">
        <v>11.5</v>
      </c>
      <c r="K9">
        <v>0.94399999999999995</v>
      </c>
      <c r="L9" t="s">
        <v>377</v>
      </c>
      <c r="M9" t="s">
        <v>555</v>
      </c>
      <c r="N9" t="s">
        <v>563</v>
      </c>
      <c r="O9" t="s">
        <v>555</v>
      </c>
      <c r="P9" s="5">
        <v>-39.130000000000003</v>
      </c>
      <c r="Q9" t="s">
        <v>564</v>
      </c>
      <c r="R9">
        <v>38287362</v>
      </c>
      <c r="S9">
        <v>-0.36430000000000001</v>
      </c>
      <c r="T9" t="s">
        <v>565</v>
      </c>
      <c r="U9">
        <v>96215198</v>
      </c>
      <c r="V9">
        <v>146769900</v>
      </c>
      <c r="W9">
        <v>1.04</v>
      </c>
      <c r="X9">
        <v>0.05</v>
      </c>
      <c r="Y9">
        <v>23.23</v>
      </c>
      <c r="Z9" t="s">
        <v>334</v>
      </c>
      <c r="AA9" t="s">
        <v>398</v>
      </c>
      <c r="AB9" t="s">
        <v>566</v>
      </c>
      <c r="AC9" t="s">
        <v>567</v>
      </c>
      <c r="AD9" t="s">
        <v>20</v>
      </c>
      <c r="AE9">
        <v>-15986893</v>
      </c>
      <c r="AF9" t="s">
        <v>568</v>
      </c>
      <c r="AG9" t="s">
        <v>20</v>
      </c>
      <c r="AH9" t="s">
        <v>569</v>
      </c>
      <c r="AI9" t="s">
        <v>570</v>
      </c>
      <c r="AJ9" t="s">
        <v>571</v>
      </c>
      <c r="AK9" t="s">
        <v>20</v>
      </c>
      <c r="AL9" t="s">
        <v>572</v>
      </c>
      <c r="AM9" t="s">
        <v>20</v>
      </c>
      <c r="AN9" t="s">
        <v>573</v>
      </c>
      <c r="AO9" t="s">
        <v>20</v>
      </c>
      <c r="AP9" t="s">
        <v>20</v>
      </c>
      <c r="AQ9" t="s">
        <v>574</v>
      </c>
      <c r="AR9" t="s">
        <v>20</v>
      </c>
      <c r="AS9" t="s">
        <v>575</v>
      </c>
      <c r="AT9" t="s">
        <v>20</v>
      </c>
      <c r="AU9" t="s">
        <v>576</v>
      </c>
      <c r="AV9" t="s">
        <v>577</v>
      </c>
      <c r="AW9" t="s">
        <v>578</v>
      </c>
      <c r="AX9" t="s">
        <v>579</v>
      </c>
      <c r="AY9" t="s">
        <v>580</v>
      </c>
      <c r="AZ9" t="s">
        <v>107</v>
      </c>
      <c r="BA9" t="s">
        <v>581</v>
      </c>
      <c r="BB9" t="s">
        <v>582</v>
      </c>
      <c r="BC9" t="s">
        <v>583</v>
      </c>
      <c r="BD9" t="s">
        <v>575</v>
      </c>
      <c r="BE9" t="s">
        <v>584</v>
      </c>
      <c r="BF9" t="s">
        <v>585</v>
      </c>
      <c r="BG9" t="s">
        <v>586</v>
      </c>
      <c r="BH9" t="s">
        <v>587</v>
      </c>
      <c r="BI9" t="s">
        <v>588</v>
      </c>
      <c r="BJ9" t="s">
        <v>579</v>
      </c>
      <c r="BK9" t="s">
        <v>589</v>
      </c>
      <c r="BL9" t="s">
        <v>590</v>
      </c>
      <c r="BM9" t="s">
        <v>583</v>
      </c>
      <c r="BN9">
        <v>9.7200000000000006</v>
      </c>
      <c r="BO9">
        <v>56.9</v>
      </c>
      <c r="BP9">
        <v>37.049999999999997</v>
      </c>
      <c r="BQ9">
        <v>8.6999999999999993</v>
      </c>
      <c r="BR9">
        <v>57.71</v>
      </c>
      <c r="BS9" t="s">
        <v>20</v>
      </c>
      <c r="BT9" t="s">
        <v>591</v>
      </c>
      <c r="BU9" t="s">
        <v>413</v>
      </c>
      <c r="BV9">
        <v>33.47</v>
      </c>
      <c r="BW9">
        <v>30.4</v>
      </c>
      <c r="BX9">
        <v>24.6</v>
      </c>
      <c r="BY9">
        <v>24.33</v>
      </c>
      <c r="BZ9">
        <v>21.2</v>
      </c>
      <c r="CA9">
        <v>12.51</v>
      </c>
      <c r="CB9">
        <v>0.69</v>
      </c>
      <c r="CC9" s="7">
        <v>-18.98</v>
      </c>
      <c r="CD9" s="8" t="s">
        <v>592</v>
      </c>
      <c r="CE9" s="7" t="s">
        <v>593</v>
      </c>
      <c r="CF9" s="7">
        <v>6.0975609756097563E-3</v>
      </c>
      <c r="CG9" s="7">
        <v>0.3544657999469355</v>
      </c>
      <c r="CH9" s="7">
        <v>-0.47586679458618164</v>
      </c>
      <c r="CI9" s="7">
        <v>0.44641107320785522</v>
      </c>
      <c r="CJ9" s="8">
        <v>0.82258063554763794</v>
      </c>
      <c r="CK9" s="8">
        <v>0.3349282443523407</v>
      </c>
      <c r="CL9" s="8">
        <v>0.31446540355682373</v>
      </c>
      <c r="CM9" s="8">
        <v>-0.55769228935241699</v>
      </c>
      <c r="CN9" s="8">
        <v>1.4566929340362549</v>
      </c>
      <c r="CO9">
        <v>1.4362826347351074</v>
      </c>
      <c r="CP9">
        <v>7.4028134346008301E-2</v>
      </c>
      <c r="CQ9">
        <v>0.84963756799697876</v>
      </c>
      <c r="CR9" s="7">
        <v>23.644826118531938</v>
      </c>
      <c r="CS9" s="8">
        <v>0.81956748218417774</v>
      </c>
      <c r="CT9">
        <v>5.2910052910052912</v>
      </c>
      <c r="CU9">
        <v>0.28850371241569517</v>
      </c>
      <c r="CV9">
        <v>0.65178979635238643</v>
      </c>
      <c r="CW9">
        <v>0.06</v>
      </c>
      <c r="CX9" t="s">
        <v>594</v>
      </c>
      <c r="CY9">
        <v>167748596.52204335</v>
      </c>
      <c r="CZ9">
        <v>0.28850371241569517</v>
      </c>
      <c r="DA9" t="s">
        <v>594</v>
      </c>
      <c r="DB9">
        <v>604875478.9456861</v>
      </c>
      <c r="DC9">
        <v>0.2740785267949104</v>
      </c>
      <c r="DD9" t="s">
        <v>594</v>
      </c>
      <c r="DE9">
        <v>1552663052.6484814</v>
      </c>
      <c r="DF9">
        <v>0.25388326692581176</v>
      </c>
      <c r="DG9" t="s">
        <v>594</v>
      </c>
      <c r="DH9">
        <v>3435525449.1229396</v>
      </c>
      <c r="DI9">
        <v>0.23080296993255614</v>
      </c>
      <c r="DJ9" t="s">
        <v>594</v>
      </c>
      <c r="DK9">
        <v>13261058600.451778</v>
      </c>
      <c r="DL9">
        <v>0.20195259869098661</v>
      </c>
      <c r="DM9">
        <v>138000000</v>
      </c>
      <c r="DN9">
        <v>0.28850371241569517</v>
      </c>
      <c r="DO9">
        <v>-48900</v>
      </c>
      <c r="DP9">
        <v>2524493800</v>
      </c>
      <c r="DQ9" s="9">
        <v>2726</v>
      </c>
      <c r="DR9">
        <v>-0.28240615144008541</v>
      </c>
      <c r="DS9">
        <v>-0.29732399640545093</v>
      </c>
      <c r="DT9">
        <v>2.6666666666666616E-2</v>
      </c>
      <c r="DU9">
        <v>0.82</v>
      </c>
      <c r="DV9">
        <v>0.84666666666666657</v>
      </c>
      <c r="DW9">
        <v>-3.0337023809523811</v>
      </c>
      <c r="DX9">
        <v>0.33770267232602191</v>
      </c>
      <c r="DY9">
        <v>-3.003966860301845</v>
      </c>
      <c r="DZ9">
        <v>4171</v>
      </c>
      <c r="EA9">
        <v>-3.000728939691474</v>
      </c>
      <c r="EB9" s="10">
        <v>3</v>
      </c>
      <c r="EC9" s="10">
        <v>2.4259742631152572E-2</v>
      </c>
      <c r="ED9">
        <v>0.20611038094323156</v>
      </c>
      <c r="EE9">
        <v>-1.04661</v>
      </c>
      <c r="EF9">
        <v>-1.0642100000000001</v>
      </c>
      <c r="EG9">
        <v>22.117702672326022</v>
      </c>
      <c r="EH9" s="12" t="s">
        <v>335</v>
      </c>
      <c r="EI9">
        <v>0</v>
      </c>
      <c r="EJ9">
        <v>0</v>
      </c>
      <c r="EK9">
        <v>45470</v>
      </c>
      <c r="EL9">
        <v>-2.97</v>
      </c>
      <c r="EM9">
        <v>-5.41</v>
      </c>
      <c r="EN9" s="13">
        <v>-0.83</v>
      </c>
      <c r="EO9" s="13">
        <v>5.68</v>
      </c>
      <c r="EP9" s="13">
        <v>-1.76</v>
      </c>
    </row>
    <row r="10" spans="1:146" ht="96">
      <c r="C10" s="6" t="str">
        <f>""&amp;CHAR(10)&amp;Basic_Fundamental_Information_Constructure(F10)&amp;CHAR(10)&amp;Basic_Fundamental_Information_Concatenate("")</f>
        <v xml:space="preserve">
市值54.852667亿, 利润5836.88万; PE18.5; 平均PE39.36; 平均PEG2.42, PB1.84; ROIC19.0833%; ROE16.725%; 股利率2.9898%; 毛利35.44%; 净利12.2633%; 上一年度营收增-58.27%, 利润增-71.67%; 当季营收增197.14%, 利润增1010.2%; 过往5年营收增16.25%, 利润增42.42%
Income profile:
</v>
      </c>
      <c r="D10" t="s">
        <v>595</v>
      </c>
      <c r="E10" t="s">
        <v>596</v>
      </c>
      <c r="F10">
        <v>50.17</v>
      </c>
      <c r="G10">
        <v>2.5299999999999998</v>
      </c>
      <c r="H10" t="s">
        <v>597</v>
      </c>
      <c r="I10">
        <v>5485266700</v>
      </c>
      <c r="J10">
        <v>18.5</v>
      </c>
      <c r="K10">
        <v>1.84</v>
      </c>
      <c r="L10" t="s">
        <v>377</v>
      </c>
      <c r="M10" t="s">
        <v>598</v>
      </c>
      <c r="N10" t="s">
        <v>599</v>
      </c>
      <c r="O10" t="s">
        <v>600</v>
      </c>
      <c r="P10" s="5">
        <v>49.06</v>
      </c>
      <c r="Q10" t="s">
        <v>601</v>
      </c>
      <c r="R10">
        <v>175000000</v>
      </c>
      <c r="S10">
        <v>0.45889999999999997</v>
      </c>
      <c r="T10" t="s">
        <v>602</v>
      </c>
      <c r="U10">
        <v>29333600</v>
      </c>
      <c r="V10">
        <v>109333600</v>
      </c>
      <c r="W10">
        <v>1.37</v>
      </c>
      <c r="X10">
        <v>0.13</v>
      </c>
      <c r="Y10">
        <v>9.7899999999999991</v>
      </c>
      <c r="Z10" t="s">
        <v>325</v>
      </c>
      <c r="AA10" t="s">
        <v>326</v>
      </c>
      <c r="AB10" t="s">
        <v>603</v>
      </c>
      <c r="AC10" t="s">
        <v>604</v>
      </c>
      <c r="AD10" t="s">
        <v>20</v>
      </c>
      <c r="AE10">
        <v>-13816221</v>
      </c>
      <c r="AF10" t="s">
        <v>337</v>
      </c>
      <c r="AG10">
        <v>736.18</v>
      </c>
      <c r="AH10" t="s">
        <v>605</v>
      </c>
      <c r="AI10" t="s">
        <v>606</v>
      </c>
      <c r="AJ10" t="s">
        <v>607</v>
      </c>
      <c r="AK10" t="s">
        <v>20</v>
      </c>
      <c r="AL10" t="s">
        <v>608</v>
      </c>
      <c r="AM10" t="s">
        <v>20</v>
      </c>
      <c r="AN10" t="s">
        <v>609</v>
      </c>
      <c r="AO10" t="s">
        <v>610</v>
      </c>
      <c r="AP10" t="s">
        <v>611</v>
      </c>
      <c r="AQ10" t="s">
        <v>112</v>
      </c>
      <c r="AR10" t="s">
        <v>20</v>
      </c>
      <c r="AS10" t="s">
        <v>612</v>
      </c>
      <c r="AT10" t="s">
        <v>613</v>
      </c>
      <c r="AU10" t="s">
        <v>614</v>
      </c>
      <c r="AV10" t="s">
        <v>615</v>
      </c>
      <c r="AW10" t="s">
        <v>424</v>
      </c>
      <c r="AX10" t="s">
        <v>616</v>
      </c>
      <c r="AY10" t="s">
        <v>617</v>
      </c>
      <c r="AZ10" t="s">
        <v>618</v>
      </c>
      <c r="BA10" t="s">
        <v>619</v>
      </c>
      <c r="BB10" t="s">
        <v>620</v>
      </c>
      <c r="BC10" t="s">
        <v>621</v>
      </c>
      <c r="BD10" t="s">
        <v>622</v>
      </c>
      <c r="BE10" t="s">
        <v>623</v>
      </c>
      <c r="BF10" t="s">
        <v>624</v>
      </c>
      <c r="BG10" t="s">
        <v>625</v>
      </c>
      <c r="BH10" t="s">
        <v>626</v>
      </c>
      <c r="BI10" t="s">
        <v>627</v>
      </c>
      <c r="BJ10" t="s">
        <v>616</v>
      </c>
      <c r="BK10" t="s">
        <v>175</v>
      </c>
      <c r="BL10" t="s">
        <v>628</v>
      </c>
      <c r="BM10" t="s">
        <v>621</v>
      </c>
      <c r="BN10">
        <v>7.06</v>
      </c>
      <c r="BO10">
        <v>19.16</v>
      </c>
      <c r="BP10">
        <v>31.03</v>
      </c>
      <c r="BQ10">
        <v>9.1</v>
      </c>
      <c r="BR10">
        <v>24.35</v>
      </c>
      <c r="BS10" t="s">
        <v>20</v>
      </c>
      <c r="BT10" t="s">
        <v>629</v>
      </c>
      <c r="BU10" t="s">
        <v>413</v>
      </c>
      <c r="BV10">
        <v>37.6</v>
      </c>
      <c r="BW10">
        <v>35.75</v>
      </c>
      <c r="BX10">
        <v>32.97</v>
      </c>
      <c r="BY10">
        <v>13.08</v>
      </c>
      <c r="BZ10">
        <v>11.68</v>
      </c>
      <c r="CA10">
        <v>12.03</v>
      </c>
      <c r="CB10">
        <v>-8.9499999999999993</v>
      </c>
      <c r="CC10" s="7">
        <v>-27.08</v>
      </c>
      <c r="CD10" s="8" t="s">
        <v>630</v>
      </c>
      <c r="CE10" s="7" t="s">
        <v>631</v>
      </c>
      <c r="CF10" s="7">
        <v>1.9714285714285715</v>
      </c>
      <c r="CG10" s="7">
        <v>10.10201802967728</v>
      </c>
      <c r="CH10" s="7">
        <v>-0.58267271518707275</v>
      </c>
      <c r="CI10" s="7">
        <v>-0.12487611174583435</v>
      </c>
      <c r="CJ10" s="8">
        <v>0.45598846673965454</v>
      </c>
      <c r="CK10" s="8">
        <v>0.84308511018753052</v>
      </c>
      <c r="CL10" s="8">
        <v>0.22077922523021698</v>
      </c>
      <c r="CM10" s="8">
        <v>-0.71665632724761963</v>
      </c>
      <c r="CN10" s="8">
        <v>-0.15226337313652039</v>
      </c>
      <c r="CO10">
        <v>0.11467889696359634</v>
      </c>
      <c r="CP10">
        <v>2.0381667613983154</v>
      </c>
      <c r="CQ10">
        <v>0.83703368902206421</v>
      </c>
      <c r="CR10" s="7">
        <v>39.359364741320732</v>
      </c>
      <c r="CS10" s="8">
        <v>2.4226992567925731</v>
      </c>
      <c r="CT10">
        <v>2.9898345624875424</v>
      </c>
      <c r="CU10">
        <v>0.16246079504489899</v>
      </c>
      <c r="CV10">
        <v>0.42419192939996719</v>
      </c>
      <c r="CW10">
        <v>0.06</v>
      </c>
      <c r="CX10">
        <v>52.385956957777601</v>
      </c>
      <c r="CY10">
        <v>64010794.013034627</v>
      </c>
      <c r="CZ10">
        <v>0.16246079504489899</v>
      </c>
      <c r="DA10">
        <v>16.10869506675299</v>
      </c>
      <c r="DB10">
        <v>208165011.88360465</v>
      </c>
      <c r="DC10">
        <v>0.15433775529265403</v>
      </c>
      <c r="DD10">
        <v>7.2945812370650014</v>
      </c>
      <c r="DE10">
        <v>459692831.02386802</v>
      </c>
      <c r="DF10">
        <v>0.14296549963951111</v>
      </c>
      <c r="DG10">
        <v>3.974749211990583</v>
      </c>
      <c r="DH10">
        <v>843642333.42929828</v>
      </c>
      <c r="DI10">
        <v>0.12996863603591921</v>
      </c>
      <c r="DJ10">
        <v>1.6417404879518145</v>
      </c>
      <c r="DK10">
        <v>2042507159.084219</v>
      </c>
      <c r="DL10">
        <v>0.11372255653142929</v>
      </c>
      <c r="DM10">
        <v>58368800</v>
      </c>
      <c r="DN10">
        <v>0.16246079504489899</v>
      </c>
      <c r="DO10">
        <v>3353266700</v>
      </c>
      <c r="DP10">
        <v>2580653300</v>
      </c>
      <c r="DQ10" s="9">
        <v>2742</v>
      </c>
      <c r="DR10">
        <v>1.8089677763836725</v>
      </c>
      <c r="DS10">
        <v>9.6778261002773132</v>
      </c>
      <c r="DT10">
        <v>-0.14000000000000004</v>
      </c>
      <c r="DU10">
        <v>0.33833333333333321</v>
      </c>
      <c r="DV10">
        <v>0.19833333333333317</v>
      </c>
      <c r="DW10">
        <v>-9.3305022156573116</v>
      </c>
      <c r="DX10">
        <v>0.39463262192139903</v>
      </c>
      <c r="DY10">
        <v>-9.0808516235670798</v>
      </c>
      <c r="DZ10">
        <v>683</v>
      </c>
      <c r="EA10">
        <v>-9.0700450366989163</v>
      </c>
      <c r="EB10" s="10">
        <v>9</v>
      </c>
      <c r="EC10" s="10">
        <v>9.15025207255592E-2</v>
      </c>
      <c r="ED10">
        <v>0.37404055112060702</v>
      </c>
      <c r="EE10">
        <v>2.0007000000000001</v>
      </c>
      <c r="EF10">
        <v>2.0289100000000002</v>
      </c>
      <c r="EG10">
        <v>15.244632621921399</v>
      </c>
      <c r="EH10" s="12" t="s">
        <v>632</v>
      </c>
      <c r="EI10">
        <v>0</v>
      </c>
      <c r="EJ10">
        <v>1</v>
      </c>
      <c r="EK10">
        <v>45470</v>
      </c>
      <c r="EL10">
        <v>6.31</v>
      </c>
      <c r="EM10">
        <v>-7.87</v>
      </c>
      <c r="EN10" s="13">
        <v>-2.4900000000000002</v>
      </c>
      <c r="EO10" s="13">
        <v>3.1</v>
      </c>
      <c r="EP10" s="13">
        <v>-2.96</v>
      </c>
    </row>
    <row r="11" spans="1:146" ht="96">
      <c r="C11" s="6" t="str">
        <f>""&amp;CHAR(10)&amp;Basic_Fundamental_Information_Constructure(F11)&amp;CHAR(10)&amp;Basic_Fundamental_Information_Concatenate("")</f>
        <v xml:space="preserve">
市值14.57148亿, 利润-7.65亿; PE113; 平均PE-3.86; 平均PEG0, PB2.86; ROIC1.65%; ROE2.04%; 股利率.3308%; 毛利12.18%; 净利1.4433%; 上一年度营收增3849.73%, 利润增-8309.48%; 当季营收增-95.37%, 利润增-99.27%; 过往5年营收增1287.81%, 利润增-8309.48%
Income profile:
</v>
      </c>
      <c r="D11" t="s">
        <v>633</v>
      </c>
      <c r="E11" t="s">
        <v>634</v>
      </c>
      <c r="F11">
        <v>6.65</v>
      </c>
      <c r="G11">
        <v>0.61</v>
      </c>
      <c r="H11" t="s">
        <v>635</v>
      </c>
      <c r="I11">
        <v>1457148000</v>
      </c>
      <c r="J11">
        <v>113</v>
      </c>
      <c r="K11">
        <v>2.86</v>
      </c>
      <c r="L11" t="s">
        <v>377</v>
      </c>
      <c r="M11" t="s">
        <v>636</v>
      </c>
      <c r="N11" t="s">
        <v>637</v>
      </c>
      <c r="O11" t="s">
        <v>638</v>
      </c>
      <c r="P11" s="5">
        <v>0.15</v>
      </c>
      <c r="Q11" t="s">
        <v>639</v>
      </c>
      <c r="R11">
        <v>2004098</v>
      </c>
      <c r="S11">
        <v>-0.17130000000000001</v>
      </c>
      <c r="T11" t="s">
        <v>640</v>
      </c>
      <c r="U11">
        <v>219120000</v>
      </c>
      <c r="V11">
        <v>219120000</v>
      </c>
      <c r="W11">
        <v>1.8</v>
      </c>
      <c r="X11" t="s">
        <v>20</v>
      </c>
      <c r="Y11">
        <v>0.99</v>
      </c>
      <c r="Z11" t="s">
        <v>20</v>
      </c>
      <c r="AA11" t="s">
        <v>20</v>
      </c>
      <c r="AB11" t="s">
        <v>20</v>
      </c>
      <c r="AC11" t="s">
        <v>20</v>
      </c>
      <c r="AD11" t="s">
        <v>20</v>
      </c>
      <c r="AE11">
        <v>-3183014</v>
      </c>
      <c r="AF11" t="s">
        <v>337</v>
      </c>
      <c r="AG11" t="s">
        <v>641</v>
      </c>
      <c r="AH11" t="s">
        <v>642</v>
      </c>
      <c r="AI11" t="s">
        <v>643</v>
      </c>
      <c r="AJ11" t="s">
        <v>644</v>
      </c>
      <c r="AK11" t="s">
        <v>20</v>
      </c>
      <c r="AL11" t="s">
        <v>645</v>
      </c>
      <c r="AM11" t="s">
        <v>20</v>
      </c>
      <c r="AN11" t="s">
        <v>646</v>
      </c>
      <c r="AO11" t="s">
        <v>20</v>
      </c>
      <c r="AP11" t="s">
        <v>62</v>
      </c>
      <c r="AQ11" t="s">
        <v>621</v>
      </c>
      <c r="AR11" t="s">
        <v>647</v>
      </c>
      <c r="AS11" t="s">
        <v>20</v>
      </c>
      <c r="AT11" t="s">
        <v>20</v>
      </c>
      <c r="AU11" t="s">
        <v>648</v>
      </c>
      <c r="AV11" t="s">
        <v>649</v>
      </c>
      <c r="AW11" t="s">
        <v>650</v>
      </c>
      <c r="AX11" t="s">
        <v>291</v>
      </c>
      <c r="AY11" t="s">
        <v>20</v>
      </c>
      <c r="AZ11" t="s">
        <v>651</v>
      </c>
      <c r="BA11" t="s">
        <v>652</v>
      </c>
      <c r="BB11" t="s">
        <v>653</v>
      </c>
      <c r="BC11" t="s">
        <v>654</v>
      </c>
      <c r="BD11" t="s">
        <v>20</v>
      </c>
      <c r="BE11" t="s">
        <v>20</v>
      </c>
      <c r="BF11" t="s">
        <v>20</v>
      </c>
      <c r="BG11" t="s">
        <v>20</v>
      </c>
      <c r="BH11" t="s">
        <v>655</v>
      </c>
      <c r="BI11" t="s">
        <v>656</v>
      </c>
      <c r="BJ11" t="s">
        <v>291</v>
      </c>
      <c r="BK11" t="s">
        <v>657</v>
      </c>
      <c r="BL11" t="s">
        <v>643</v>
      </c>
      <c r="BM11" t="s">
        <v>654</v>
      </c>
      <c r="BN11">
        <v>1.86</v>
      </c>
      <c r="BO11">
        <v>1.58</v>
      </c>
      <c r="BP11">
        <v>1.51</v>
      </c>
      <c r="BQ11">
        <v>2.2999999999999998</v>
      </c>
      <c r="BR11">
        <v>1.87</v>
      </c>
      <c r="BS11">
        <v>1.95</v>
      </c>
      <c r="BT11" t="s">
        <v>658</v>
      </c>
      <c r="BU11" t="s">
        <v>413</v>
      </c>
      <c r="BV11">
        <v>13.95</v>
      </c>
      <c r="BW11">
        <v>12.43</v>
      </c>
      <c r="BX11">
        <v>10.16</v>
      </c>
      <c r="BY11">
        <v>1.92</v>
      </c>
      <c r="BZ11">
        <v>1.28</v>
      </c>
      <c r="CA11">
        <v>1.1299999999999999</v>
      </c>
      <c r="CB11">
        <v>-3.34</v>
      </c>
      <c r="CC11" s="7">
        <v>-15.61</v>
      </c>
      <c r="CD11" s="8" t="s">
        <v>659</v>
      </c>
      <c r="CE11" s="7" t="s">
        <v>660</v>
      </c>
      <c r="CF11" s="7">
        <v>-0.95365909612296396</v>
      </c>
      <c r="CG11" s="7">
        <v>-0.9927387753623188</v>
      </c>
      <c r="CH11" s="7">
        <v>38.497261047363281</v>
      </c>
      <c r="CI11" s="7" t="s">
        <v>20</v>
      </c>
      <c r="CJ11" s="8" t="s">
        <v>20</v>
      </c>
      <c r="CK11" s="8">
        <v>3.8062281906604767E-2</v>
      </c>
      <c r="CL11" s="8">
        <v>9.8859317600727081E-2</v>
      </c>
      <c r="CM11" s="8">
        <v>-83.094757080078125</v>
      </c>
      <c r="CN11" s="8" t="s">
        <v>20</v>
      </c>
      <c r="CO11" t="s">
        <v>20</v>
      </c>
      <c r="CP11" t="s">
        <v>20</v>
      </c>
      <c r="CQ11" t="s">
        <v>20</v>
      </c>
      <c r="CR11" s="7">
        <v>-3.8565136237952102</v>
      </c>
      <c r="CS11" s="8">
        <v>-2.9946384467700827E-3</v>
      </c>
      <c r="CT11">
        <v>0.33082706766917291</v>
      </c>
      <c r="CU11">
        <v>12.878060882290205</v>
      </c>
      <c r="CV11">
        <v>-83.094757080078125</v>
      </c>
      <c r="CW11">
        <v>0.06</v>
      </c>
      <c r="CX11" t="e">
        <v>#VALUE!</v>
      </c>
      <c r="CY11" t="s">
        <v>295</v>
      </c>
      <c r="CZ11">
        <v>12.878060882290205</v>
      </c>
      <c r="DA11" t="e">
        <v>#VALUE!</v>
      </c>
      <c r="DB11" t="s">
        <v>295</v>
      </c>
      <c r="DC11">
        <v>12.234157838175694</v>
      </c>
      <c r="DD11" t="e">
        <v>#VALUE!</v>
      </c>
      <c r="DE11" t="s">
        <v>295</v>
      </c>
      <c r="DF11">
        <v>11.33269357641538</v>
      </c>
      <c r="DG11" t="e">
        <v>#VALUE!</v>
      </c>
      <c r="DH11" t="s">
        <v>295</v>
      </c>
      <c r="DI11">
        <v>10.302448705832164</v>
      </c>
      <c r="DJ11" t="e">
        <v>#VALUE!</v>
      </c>
      <c r="DK11" t="s">
        <v>295</v>
      </c>
      <c r="DL11">
        <v>9.0146426176031422</v>
      </c>
      <c r="DM11">
        <v>-765000000</v>
      </c>
      <c r="DN11">
        <v>12.878060882290205</v>
      </c>
      <c r="DO11">
        <v>1285148000</v>
      </c>
      <c r="DP11">
        <v>660200530</v>
      </c>
      <c r="DQ11" s="9">
        <v>2917</v>
      </c>
      <c r="DR11">
        <v>-13.831719978413169</v>
      </c>
      <c r="DS11">
        <v>82.102018304715813</v>
      </c>
      <c r="DT11">
        <v>-0.21000000000000008</v>
      </c>
      <c r="DU11">
        <v>-2.25</v>
      </c>
      <c r="DV11">
        <v>-2.46</v>
      </c>
      <c r="DW11">
        <v>-8.2139654067905195</v>
      </c>
      <c r="DX11">
        <v>0.36284344347635522</v>
      </c>
      <c r="DY11">
        <v>-8.0305635554907759</v>
      </c>
      <c r="DZ11">
        <v>1452</v>
      </c>
      <c r="EA11">
        <v>-8.0218789600753926</v>
      </c>
      <c r="EB11" s="10">
        <v>8</v>
      </c>
      <c r="EC11" s="10">
        <v>4.2827217962760129E-2</v>
      </c>
      <c r="ED11">
        <v>0.29981927710843376</v>
      </c>
      <c r="EE11">
        <v>1.4209999999999999E-2</v>
      </c>
      <c r="EF11">
        <v>1.9009999999999999E-2</v>
      </c>
      <c r="EG11">
        <v>22.142843443476355</v>
      </c>
      <c r="EH11" s="12">
        <v>-1</v>
      </c>
      <c r="EI11">
        <v>0</v>
      </c>
      <c r="EJ11">
        <v>1</v>
      </c>
      <c r="EK11">
        <v>45470</v>
      </c>
      <c r="EL11">
        <v>0.77</v>
      </c>
      <c r="EM11">
        <v>-0.76</v>
      </c>
      <c r="EN11" s="13">
        <v>-0.15</v>
      </c>
      <c r="EO11" s="13">
        <v>-0.46</v>
      </c>
      <c r="EP11" s="13">
        <v>-0.48</v>
      </c>
    </row>
    <row r="12" spans="1:146" ht="180">
      <c r="A12" s="6" t="s">
        <v>373</v>
      </c>
      <c r="B12" s="6" t="s">
        <v>372</v>
      </c>
      <c r="C12" s="6" t="str">
        <f>"公司主要从事乘用车经销、乘用车售后服务、乘用车衍生服务等覆盖乘用车服务全生命周期的业务。"&amp;CHAR(10)&amp;Basic_Fundamental_Information_Constructure(F12)&amp;CHAR(10)&amp;Basic_Fundamental_Information_Concatenate("整车销售 265.20亿 84.46% 33.35% 4.12%
维修服务 35.28亿 11.24% 36.61% 34.03%
佣金代理 9.01亿 2.87% 22.54% 82.07%
汽车租赁 3.46亿 1.10% 5.82% 55.24%
其他业务 1.03亿 0.33% 1.67% 53.14%")</f>
        <v>公司主要从事乘用车经销、乘用车售后服务、乘用车衍生服务等覆盖乘用车服务全生命周期的业务。
市值79.579668亿, 利润12.70亿; PE; 平均PE6.3; 平均PEG.29, PB.204; ROIC2.97%; ROE-.3067%; 股利率0%; 毛利7.9067%; 净利-.0967%; 上一年度营收增-89.83%, 利润增147.58%; 当季营收增718.07%, 利润增-79.85%; 过往5年营收增-22%, 利润增-34.8%
Income profile:
整车销售 265.20亿 84.46% 33.35% 4.12%
维修服务 35.28亿 11.24% 36.61% 34.03%
佣金代理 9.01亿 2.87% 22.54% 82.07%
汽车租赁 3.46亿 1.10% 5.82% 55.24%
其他业务 1.03亿 0.33% 1.67% 53.14%</v>
      </c>
      <c r="D12" t="s">
        <v>67</v>
      </c>
      <c r="E12" t="s">
        <v>68</v>
      </c>
      <c r="F12">
        <v>0.96</v>
      </c>
      <c r="G12">
        <v>-3.03</v>
      </c>
      <c r="H12" t="s">
        <v>661</v>
      </c>
      <c r="I12">
        <v>7957966800</v>
      </c>
      <c r="K12">
        <v>0.20399999999999999</v>
      </c>
      <c r="L12" t="s">
        <v>377</v>
      </c>
      <c r="M12" t="s">
        <v>662</v>
      </c>
      <c r="N12" t="s">
        <v>663</v>
      </c>
      <c r="O12" t="s">
        <v>664</v>
      </c>
      <c r="P12">
        <v>-11.49</v>
      </c>
      <c r="Q12" t="s">
        <v>665</v>
      </c>
      <c r="R12">
        <v>70940456</v>
      </c>
      <c r="S12" s="5">
        <v>-0.86609999999999998</v>
      </c>
      <c r="T12" t="s">
        <v>666</v>
      </c>
      <c r="U12">
        <v>8289548700</v>
      </c>
      <c r="V12">
        <v>8289548700</v>
      </c>
      <c r="W12">
        <v>2.63</v>
      </c>
      <c r="X12">
        <v>0.24</v>
      </c>
      <c r="Y12">
        <v>0.31</v>
      </c>
      <c r="Z12" t="s">
        <v>667</v>
      </c>
      <c r="AA12" t="s">
        <v>668</v>
      </c>
      <c r="AB12" t="s">
        <v>669</v>
      </c>
      <c r="AC12" t="s">
        <v>670</v>
      </c>
      <c r="AD12" t="s">
        <v>20</v>
      </c>
      <c r="AE12">
        <v>629274880</v>
      </c>
      <c r="AF12" t="s">
        <v>671</v>
      </c>
      <c r="AG12" t="s">
        <v>672</v>
      </c>
      <c r="AH12" t="s">
        <v>673</v>
      </c>
      <c r="AI12" t="s">
        <v>674</v>
      </c>
      <c r="AJ12" t="s">
        <v>675</v>
      </c>
      <c r="AK12" t="s">
        <v>676</v>
      </c>
      <c r="AL12" t="s">
        <v>677</v>
      </c>
      <c r="AM12" t="s">
        <v>20</v>
      </c>
      <c r="AN12" t="s">
        <v>678</v>
      </c>
      <c r="AO12" t="s">
        <v>679</v>
      </c>
      <c r="AP12" t="s">
        <v>680</v>
      </c>
      <c r="AQ12" t="s">
        <v>681</v>
      </c>
      <c r="AR12" t="s">
        <v>682</v>
      </c>
      <c r="AS12" t="s">
        <v>683</v>
      </c>
      <c r="AT12" t="s">
        <v>684</v>
      </c>
      <c r="AU12" t="s">
        <v>685</v>
      </c>
      <c r="AV12" t="s">
        <v>686</v>
      </c>
      <c r="AW12" t="s">
        <v>687</v>
      </c>
      <c r="AX12" t="s">
        <v>328</v>
      </c>
      <c r="AY12" t="s">
        <v>129</v>
      </c>
      <c r="AZ12" t="s">
        <v>69</v>
      </c>
      <c r="BA12" t="s">
        <v>71</v>
      </c>
      <c r="BB12" t="s">
        <v>72</v>
      </c>
      <c r="BC12" t="s">
        <v>329</v>
      </c>
      <c r="BD12" t="s">
        <v>130</v>
      </c>
      <c r="BE12" t="s">
        <v>70</v>
      </c>
      <c r="BF12" t="s">
        <v>73</v>
      </c>
      <c r="BG12" t="s">
        <v>74</v>
      </c>
      <c r="BH12" t="s">
        <v>688</v>
      </c>
      <c r="BI12" t="s">
        <v>689</v>
      </c>
      <c r="BJ12" t="s">
        <v>328</v>
      </c>
      <c r="BK12" t="s">
        <v>690</v>
      </c>
      <c r="BL12" t="s">
        <v>691</v>
      </c>
      <c r="BM12" t="s">
        <v>329</v>
      </c>
      <c r="BN12">
        <v>2.27</v>
      </c>
      <c r="BO12" t="s">
        <v>20</v>
      </c>
      <c r="BP12">
        <v>3.67</v>
      </c>
      <c r="BQ12">
        <v>1.78</v>
      </c>
      <c r="BR12">
        <v>-6.61</v>
      </c>
      <c r="BS12">
        <v>3.91</v>
      </c>
      <c r="BT12" t="s">
        <v>165</v>
      </c>
      <c r="BU12" t="s">
        <v>37</v>
      </c>
      <c r="BV12">
        <v>8.2899999999999991</v>
      </c>
      <c r="BW12">
        <v>6.48</v>
      </c>
      <c r="BX12">
        <v>8.9499999999999993</v>
      </c>
      <c r="BY12">
        <v>0.46</v>
      </c>
      <c r="BZ12">
        <v>-2.04</v>
      </c>
      <c r="CA12">
        <v>1.29</v>
      </c>
      <c r="CB12">
        <v>39.130000000000003</v>
      </c>
      <c r="CC12">
        <v>-31.91</v>
      </c>
      <c r="CD12" t="s">
        <v>692</v>
      </c>
      <c r="CE12" t="s">
        <v>693</v>
      </c>
      <c r="CF12" s="7">
        <v>7.180747718575212</v>
      </c>
      <c r="CG12" s="8">
        <v>-0.79846461363636367</v>
      </c>
      <c r="CH12" s="7">
        <v>-0.89830315113067627</v>
      </c>
      <c r="CI12" s="7">
        <v>-0.15711607038974762</v>
      </c>
      <c r="CJ12" s="7">
        <v>-3.1539111660094932E-5</v>
      </c>
      <c r="CK12" s="7">
        <v>-7.0481590926647186E-2</v>
      </c>
      <c r="CL12" s="7">
        <v>2.5774385780096054E-2</v>
      </c>
      <c r="CM12" s="8">
        <v>1.4758336544036865</v>
      </c>
      <c r="CN12" s="8">
        <v>-2.6587944030761719</v>
      </c>
      <c r="CO12" s="8">
        <v>6.1345603317022324E-2</v>
      </c>
      <c r="CP12" s="8">
        <v>-0.41714724898338318</v>
      </c>
      <c r="CQ12" s="8">
        <v>-0.20141234993934631</v>
      </c>
      <c r="CR12">
        <v>6.2958598101265819</v>
      </c>
      <c r="CS12">
        <v>0.28613435551824129</v>
      </c>
      <c r="CT12">
        <v>0</v>
      </c>
      <c r="CU12" s="7">
        <v>-0.22003159315572701</v>
      </c>
      <c r="CV12" s="8">
        <v>-0.34803494885563852</v>
      </c>
      <c r="CW12">
        <v>0.06</v>
      </c>
      <c r="CX12">
        <v>32.092887244094491</v>
      </c>
      <c r="CY12" t="s">
        <v>694</v>
      </c>
      <c r="CZ12">
        <v>-0.22003159315572701</v>
      </c>
      <c r="DA12">
        <v>10.697629081364829</v>
      </c>
      <c r="DB12" t="s">
        <v>695</v>
      </c>
      <c r="DC12">
        <v>-0.20903001349794065</v>
      </c>
      <c r="DD12">
        <v>5.3488145406824144</v>
      </c>
      <c r="DE12" t="s">
        <v>696</v>
      </c>
      <c r="DF12">
        <v>-0.19362780197703977</v>
      </c>
      <c r="DG12">
        <v>3.2092887244094488</v>
      </c>
      <c r="DH12" t="s">
        <v>697</v>
      </c>
      <c r="DI12">
        <v>-0.17602527452458161</v>
      </c>
      <c r="DJ12">
        <v>1.6046443622047244</v>
      </c>
      <c r="DK12" t="s">
        <v>698</v>
      </c>
      <c r="DL12">
        <v>-0.15402211520900891</v>
      </c>
      <c r="DM12">
        <v>1270000000</v>
      </c>
      <c r="DN12">
        <v>-0.22003159315572701</v>
      </c>
      <c r="DO12">
        <v>40757966800</v>
      </c>
      <c r="DP12">
        <v>9932309000</v>
      </c>
      <c r="DQ12">
        <v>3075</v>
      </c>
      <c r="DR12">
        <v>7.4007793117309388</v>
      </c>
      <c r="DS12">
        <v>-0.45042966478072516</v>
      </c>
      <c r="DT12" s="9">
        <v>-0.92333333333333334</v>
      </c>
      <c r="DU12">
        <v>-1.0399999999999998</v>
      </c>
      <c r="DV12">
        <v>-1.9633333333333332</v>
      </c>
      <c r="DW12">
        <v>5.815486838742653</v>
      </c>
      <c r="DX12">
        <v>0.7720508632835088</v>
      </c>
      <c r="DY12">
        <v>5.2870928455756925</v>
      </c>
      <c r="DZ12">
        <v>3291</v>
      </c>
      <c r="EA12">
        <v>5.1021960638164741</v>
      </c>
      <c r="EB12">
        <v>5</v>
      </c>
      <c r="EC12">
        <v>0.36757127682958179</v>
      </c>
      <c r="ED12">
        <v>1.0440857896160258</v>
      </c>
      <c r="EE12" s="10">
        <v>0.11511</v>
      </c>
      <c r="EF12">
        <v>0.13711000000000001</v>
      </c>
      <c r="EG12">
        <v>42.352050863283509</v>
      </c>
      <c r="EH12">
        <v>-1</v>
      </c>
      <c r="EI12">
        <v>1</v>
      </c>
      <c r="EJ12">
        <v>0</v>
      </c>
      <c r="EK12" s="12">
        <v>45470</v>
      </c>
      <c r="EL12" s="13">
        <v>-1.08</v>
      </c>
      <c r="EM12" s="13">
        <v>-1.91</v>
      </c>
      <c r="EN12" s="13">
        <v>1.86</v>
      </c>
      <c r="EO12" s="13">
        <v>-1.47</v>
      </c>
      <c r="EP12" s="13">
        <v>-2.2000000000000002</v>
      </c>
    </row>
    <row r="13" spans="1:146" ht="96">
      <c r="A13" s="6"/>
      <c r="B13" s="6"/>
      <c r="C13" s="6" t="str">
        <f>""&amp;CHAR(10)&amp;Basic_Fundamental_Information_Constructure(F13)&amp;CHAR(10)&amp;Basic_Fundamental_Information_Concatenate("")</f>
        <v xml:space="preserve">
市值84.512061亿, 利润5606.22万; PE187.9; 平均PE20.88; 平均PEG.96, PB.765; ROIC2.1967%; ROE2.5267%; 股利率.0885%; 毛利7.58%; 净利.4833%; 上一年度营收增-76.49%, 利润增-82.43%; 当季营收增288.65%, 利润增304.29%; 过往5年营收增-21.8%, 利润增-30.78%
Income profile:
</v>
      </c>
      <c r="D13" t="s">
        <v>75</v>
      </c>
      <c r="E13" t="s">
        <v>76</v>
      </c>
      <c r="F13">
        <v>5.65</v>
      </c>
      <c r="G13">
        <v>-0.35</v>
      </c>
      <c r="H13" t="s">
        <v>699</v>
      </c>
      <c r="I13">
        <v>8451206100</v>
      </c>
      <c r="J13">
        <v>187.9</v>
      </c>
      <c r="K13">
        <v>0.76500000000000001</v>
      </c>
      <c r="L13" t="s">
        <v>377</v>
      </c>
      <c r="M13" t="s">
        <v>700</v>
      </c>
      <c r="N13" t="s">
        <v>701</v>
      </c>
      <c r="O13" t="s">
        <v>702</v>
      </c>
      <c r="P13">
        <v>-5.47</v>
      </c>
      <c r="Q13" t="s">
        <v>703</v>
      </c>
      <c r="R13">
        <v>122647963</v>
      </c>
      <c r="S13" s="5">
        <v>0.2457</v>
      </c>
      <c r="T13" t="s">
        <v>704</v>
      </c>
      <c r="U13">
        <v>1495788700</v>
      </c>
      <c r="V13">
        <v>1495788700</v>
      </c>
      <c r="W13">
        <v>2.91</v>
      </c>
      <c r="X13">
        <v>0.28999999999999998</v>
      </c>
      <c r="Y13">
        <v>1.3</v>
      </c>
      <c r="Z13" t="s">
        <v>705</v>
      </c>
      <c r="AA13" t="s">
        <v>706</v>
      </c>
      <c r="AB13" t="s">
        <v>575</v>
      </c>
      <c r="AC13" t="s">
        <v>707</v>
      </c>
      <c r="AD13" t="s">
        <v>20</v>
      </c>
      <c r="AE13">
        <v>12230544</v>
      </c>
      <c r="AF13" t="s">
        <v>708</v>
      </c>
      <c r="AG13" t="s">
        <v>709</v>
      </c>
      <c r="AH13" t="s">
        <v>710</v>
      </c>
      <c r="AI13" t="s">
        <v>711</v>
      </c>
      <c r="AJ13" t="s">
        <v>712</v>
      </c>
      <c r="AK13" t="s">
        <v>713</v>
      </c>
      <c r="AL13" t="s">
        <v>714</v>
      </c>
      <c r="AM13" t="s">
        <v>20</v>
      </c>
      <c r="AN13" t="s">
        <v>715</v>
      </c>
      <c r="AO13" t="s">
        <v>716</v>
      </c>
      <c r="AP13" t="s">
        <v>717</v>
      </c>
      <c r="AQ13" t="s">
        <v>718</v>
      </c>
      <c r="AR13" t="s">
        <v>719</v>
      </c>
      <c r="AS13" t="s">
        <v>720</v>
      </c>
      <c r="AT13" t="s">
        <v>526</v>
      </c>
      <c r="AU13" t="s">
        <v>323</v>
      </c>
      <c r="AV13" t="s">
        <v>721</v>
      </c>
      <c r="AW13" t="s">
        <v>722</v>
      </c>
      <c r="AX13" t="s">
        <v>330</v>
      </c>
      <c r="AY13" t="s">
        <v>131</v>
      </c>
      <c r="AZ13" t="s">
        <v>77</v>
      </c>
      <c r="BA13" t="s">
        <v>79</v>
      </c>
      <c r="BB13" t="s">
        <v>80</v>
      </c>
      <c r="BC13" t="s">
        <v>331</v>
      </c>
      <c r="BD13" t="s">
        <v>132</v>
      </c>
      <c r="BE13" t="s">
        <v>78</v>
      </c>
      <c r="BF13" t="s">
        <v>81</v>
      </c>
      <c r="BG13" t="s">
        <v>35</v>
      </c>
      <c r="BH13" t="s">
        <v>723</v>
      </c>
      <c r="BI13" t="s">
        <v>724</v>
      </c>
      <c r="BJ13" t="s">
        <v>330</v>
      </c>
      <c r="BK13" t="s">
        <v>725</v>
      </c>
      <c r="BL13" t="s">
        <v>726</v>
      </c>
      <c r="BM13" t="s">
        <v>331</v>
      </c>
      <c r="BN13">
        <v>1.92</v>
      </c>
      <c r="BO13">
        <v>2.56</v>
      </c>
      <c r="BP13">
        <v>2.11</v>
      </c>
      <c r="BQ13">
        <v>2.19</v>
      </c>
      <c r="BR13">
        <v>2.96</v>
      </c>
      <c r="BS13">
        <v>2.4300000000000002</v>
      </c>
      <c r="BT13" t="s">
        <v>727</v>
      </c>
      <c r="BU13" t="s">
        <v>37</v>
      </c>
      <c r="BV13">
        <v>7.18</v>
      </c>
      <c r="BW13">
        <v>8.14</v>
      </c>
      <c r="BX13">
        <v>7.42</v>
      </c>
      <c r="BY13">
        <v>0.04</v>
      </c>
      <c r="BZ13">
        <v>0.78</v>
      </c>
      <c r="CA13">
        <v>0.63</v>
      </c>
      <c r="CB13">
        <v>-2.08</v>
      </c>
      <c r="CC13">
        <v>-17.7</v>
      </c>
      <c r="CD13" t="s">
        <v>728</v>
      </c>
      <c r="CE13" t="s">
        <v>415</v>
      </c>
      <c r="CF13" s="7">
        <v>2.8865191146881286</v>
      </c>
      <c r="CG13" s="8">
        <v>3.0429173767573716</v>
      </c>
      <c r="CH13" s="7">
        <v>-0.7648664116859436</v>
      </c>
      <c r="CI13" s="7">
        <v>-9.9579073488712311E-2</v>
      </c>
      <c r="CJ13" s="7">
        <v>-4.3049068190157413E-3</v>
      </c>
      <c r="CK13" s="7">
        <v>-0.15388599038124084</v>
      </c>
      <c r="CL13" s="7">
        <v>-6.728653609752655E-2</v>
      </c>
      <c r="CM13" s="8">
        <v>-0.82425642013549805</v>
      </c>
      <c r="CN13" s="8">
        <v>0.24609375</v>
      </c>
      <c r="CO13" s="8">
        <v>-0.4004683792591095</v>
      </c>
      <c r="CP13" s="8">
        <v>-0.20631970465183258</v>
      </c>
      <c r="CQ13" s="8">
        <v>-0.35414165258407593</v>
      </c>
      <c r="CR13">
        <v>20.875231848735698</v>
      </c>
      <c r="CS13">
        <v>0.95764716453494647</v>
      </c>
      <c r="CT13">
        <v>8.8495575221238937E-2</v>
      </c>
      <c r="CU13" s="7">
        <v>-0.21798458369448781</v>
      </c>
      <c r="CV13" s="8">
        <v>-0.30781848132610323</v>
      </c>
      <c r="CW13">
        <v>0.06</v>
      </c>
      <c r="CX13">
        <v>375.74704702990607</v>
      </c>
      <c r="CY13" t="s">
        <v>729</v>
      </c>
      <c r="CZ13">
        <v>-0.21798458369448781</v>
      </c>
      <c r="DA13">
        <v>125.24901567663535</v>
      </c>
      <c r="DB13" t="s">
        <v>730</v>
      </c>
      <c r="DC13">
        <v>-0.2070853545097634</v>
      </c>
      <c r="DD13">
        <v>62.624507838317676</v>
      </c>
      <c r="DE13" t="s">
        <v>731</v>
      </c>
      <c r="DF13">
        <v>-0.19182643365114926</v>
      </c>
      <c r="DG13">
        <v>37.574704702990608</v>
      </c>
      <c r="DH13" t="s">
        <v>732</v>
      </c>
      <c r="DI13">
        <v>-0.17438766695559027</v>
      </c>
      <c r="DJ13">
        <v>18.787352351495304</v>
      </c>
      <c r="DK13" t="s">
        <v>733</v>
      </c>
      <c r="DL13">
        <v>-0.15258920858614144</v>
      </c>
      <c r="DM13">
        <v>56062200</v>
      </c>
      <c r="DN13">
        <v>-0.21798458369448781</v>
      </c>
      <c r="DO13">
        <v>21065206100</v>
      </c>
      <c r="DP13">
        <v>6363887000</v>
      </c>
      <c r="DQ13">
        <v>3106</v>
      </c>
      <c r="DR13">
        <v>3.1045036983826164</v>
      </c>
      <c r="DS13">
        <v>3.3507358580834747</v>
      </c>
      <c r="DT13" s="9">
        <v>-0.89</v>
      </c>
      <c r="DU13">
        <v>-0.7533333333333333</v>
      </c>
      <c r="DV13">
        <v>-1.6433333333333333</v>
      </c>
      <c r="DW13">
        <v>-3.0192261904761906</v>
      </c>
      <c r="DX13">
        <v>0.38843884057970923</v>
      </c>
      <c r="DY13">
        <v>-3.0030461753278122</v>
      </c>
      <c r="DZ13">
        <v>3779</v>
      </c>
      <c r="EA13">
        <v>-3.0007934362742303</v>
      </c>
      <c r="EB13">
        <v>3</v>
      </c>
      <c r="EC13">
        <v>3.6543530513367298E-2</v>
      </c>
      <c r="ED13">
        <v>0.2306475506868049</v>
      </c>
      <c r="EE13" s="10">
        <v>-1.0038</v>
      </c>
      <c r="EF13">
        <v>-1.00701</v>
      </c>
      <c r="EG13">
        <v>23.158438840579709</v>
      </c>
      <c r="EH13" t="s">
        <v>335</v>
      </c>
      <c r="EI13">
        <v>0</v>
      </c>
      <c r="EJ13">
        <v>0</v>
      </c>
      <c r="EK13" s="12">
        <v>45470</v>
      </c>
      <c r="EL13" s="13">
        <v>0.55000000000000004</v>
      </c>
      <c r="EM13" s="13">
        <v>-3.28</v>
      </c>
      <c r="EN13">
        <v>1.69</v>
      </c>
      <c r="EO13">
        <v>2.78</v>
      </c>
      <c r="EP13">
        <v>-1.08</v>
      </c>
    </row>
    <row r="14" spans="1:146" ht="108">
      <c r="A14" s="6"/>
      <c r="B14" s="6"/>
      <c r="C14" s="6" t="str">
        <f>""&amp;CHAR(10)&amp;Basic_Fundamental_Information_Constructure(F14)&amp;CHAR(10)&amp;Basic_Fundamental_Information_Concatenate("")</f>
        <v xml:space="preserve">
市值22.9824亿, 利润-2.45亿; PE130.6; 平均PE59.36; 平均PEG4.44, PB1.3; ROIC3.8167%; ROE4.2133%; 股利率.7018%; 毛利18.72%; 净利2.8367%; 上一年度营收增-40.11%, 利润增-384.94%; 当季营收增81.23%, 利润增-138.8%; 过往5年营收增-13.36%, 利润增-72.48%
Income profile:
</v>
      </c>
      <c r="D14" t="s">
        <v>82</v>
      </c>
      <c r="E14" t="s">
        <v>83</v>
      </c>
      <c r="F14">
        <v>2.85</v>
      </c>
      <c r="G14">
        <v>0.71</v>
      </c>
      <c r="H14" t="s">
        <v>734</v>
      </c>
      <c r="I14">
        <v>2298240000</v>
      </c>
      <c r="J14">
        <v>130.6</v>
      </c>
      <c r="K14">
        <v>1.3</v>
      </c>
      <c r="L14" t="s">
        <v>377</v>
      </c>
      <c r="M14" t="s">
        <v>735</v>
      </c>
      <c r="N14" t="s">
        <v>736</v>
      </c>
      <c r="O14" t="s">
        <v>737</v>
      </c>
      <c r="P14">
        <v>6.17</v>
      </c>
      <c r="Q14" t="s">
        <v>738</v>
      </c>
      <c r="R14">
        <v>-6514088</v>
      </c>
      <c r="S14" s="5">
        <v>8.6699999999999999E-2</v>
      </c>
      <c r="T14" t="s">
        <v>739</v>
      </c>
      <c r="U14">
        <v>806400000</v>
      </c>
      <c r="V14">
        <v>806400000</v>
      </c>
      <c r="W14">
        <v>2.2599999999999998</v>
      </c>
      <c r="X14">
        <v>0.24</v>
      </c>
      <c r="Y14">
        <v>-0.15</v>
      </c>
      <c r="Z14" t="s">
        <v>740</v>
      </c>
      <c r="AA14" t="s">
        <v>741</v>
      </c>
      <c r="AB14" t="s">
        <v>742</v>
      </c>
      <c r="AC14" t="s">
        <v>743</v>
      </c>
      <c r="AD14" t="s">
        <v>20</v>
      </c>
      <c r="AE14">
        <v>13288982</v>
      </c>
      <c r="AF14" t="s">
        <v>337</v>
      </c>
      <c r="AG14" t="s">
        <v>744</v>
      </c>
      <c r="AH14" t="s">
        <v>745</v>
      </c>
      <c r="AI14" t="s">
        <v>746</v>
      </c>
      <c r="AJ14" t="s">
        <v>747</v>
      </c>
      <c r="AK14" t="s">
        <v>748</v>
      </c>
      <c r="AL14" t="s">
        <v>749</v>
      </c>
      <c r="AM14" t="s">
        <v>20</v>
      </c>
      <c r="AN14" t="s">
        <v>32</v>
      </c>
      <c r="AO14" t="s">
        <v>405</v>
      </c>
      <c r="AP14" t="s">
        <v>327</v>
      </c>
      <c r="AQ14" t="s">
        <v>750</v>
      </c>
      <c r="AR14" t="s">
        <v>20</v>
      </c>
      <c r="AS14" t="s">
        <v>751</v>
      </c>
      <c r="AT14" t="s">
        <v>752</v>
      </c>
      <c r="AU14" t="s">
        <v>753</v>
      </c>
      <c r="AV14" t="s">
        <v>754</v>
      </c>
      <c r="AW14" t="s">
        <v>755</v>
      </c>
      <c r="AX14" t="s">
        <v>336</v>
      </c>
      <c r="AY14" t="s">
        <v>133</v>
      </c>
      <c r="AZ14" t="s">
        <v>84</v>
      </c>
      <c r="BA14" t="s">
        <v>86</v>
      </c>
      <c r="BB14" t="s">
        <v>87</v>
      </c>
      <c r="BC14" t="s">
        <v>756</v>
      </c>
      <c r="BD14" t="s">
        <v>134</v>
      </c>
      <c r="BE14" t="s">
        <v>85</v>
      </c>
      <c r="BF14" t="s">
        <v>88</v>
      </c>
      <c r="BG14" t="s">
        <v>21</v>
      </c>
      <c r="BH14" t="s">
        <v>757</v>
      </c>
      <c r="BI14" t="s">
        <v>332</v>
      </c>
      <c r="BJ14" t="s">
        <v>336</v>
      </c>
      <c r="BK14" t="s">
        <v>758</v>
      </c>
      <c r="BL14" t="s">
        <v>759</v>
      </c>
      <c r="BM14" t="s">
        <v>756</v>
      </c>
      <c r="BN14">
        <v>1.7</v>
      </c>
      <c r="BO14">
        <v>3.76</v>
      </c>
      <c r="BP14">
        <v>5.99</v>
      </c>
      <c r="BQ14">
        <v>0.67</v>
      </c>
      <c r="BR14">
        <v>4.68</v>
      </c>
      <c r="BS14">
        <v>7.29</v>
      </c>
      <c r="BT14" t="s">
        <v>760</v>
      </c>
      <c r="BU14" t="s">
        <v>37</v>
      </c>
      <c r="BV14">
        <v>15.38</v>
      </c>
      <c r="BW14">
        <v>20.5</v>
      </c>
      <c r="BX14">
        <v>20.28</v>
      </c>
      <c r="BY14">
        <v>0.79</v>
      </c>
      <c r="BZ14">
        <v>3.33</v>
      </c>
      <c r="CA14">
        <v>4.3899999999999997</v>
      </c>
      <c r="CB14">
        <v>2.15</v>
      </c>
      <c r="CC14">
        <v>-14.67</v>
      </c>
      <c r="CD14" t="s">
        <v>761</v>
      </c>
      <c r="CE14" t="s">
        <v>265</v>
      </c>
      <c r="CF14" s="7">
        <v>0.81229773462783172</v>
      </c>
      <c r="CG14" s="8">
        <v>-1.3879604064178768</v>
      </c>
      <c r="CH14" s="7">
        <v>-0.4010695219039917</v>
      </c>
      <c r="CI14" s="7">
        <v>-0.17544679343700409</v>
      </c>
      <c r="CJ14" s="7">
        <v>-4.7734804451465607E-2</v>
      </c>
      <c r="CK14" s="7">
        <v>-0.13446825742721558</v>
      </c>
      <c r="CL14" s="7">
        <v>9.05299112200737E-2</v>
      </c>
      <c r="CM14" s="8">
        <v>-3.8494036197662354</v>
      </c>
      <c r="CN14" s="8">
        <v>-0.3535119891166687</v>
      </c>
      <c r="CO14" s="8">
        <v>0.95069855451583862</v>
      </c>
      <c r="CP14" s="8">
        <v>-0.21772278845310211</v>
      </c>
      <c r="CQ14" s="8">
        <v>-0.15381841361522675</v>
      </c>
      <c r="CR14">
        <v>59.355295254009242</v>
      </c>
      <c r="CS14">
        <v>4.4415018699235596</v>
      </c>
      <c r="CT14">
        <v>0.70175438596491235</v>
      </c>
      <c r="CU14" s="7">
        <v>-0.13363789319992064</v>
      </c>
      <c r="CV14" s="8">
        <v>-0.72475165128707886</v>
      </c>
      <c r="CW14">
        <v>0.06</v>
      </c>
      <c r="CX14" t="e">
        <v>#VALUE!</v>
      </c>
      <c r="CY14" t="s">
        <v>294</v>
      </c>
      <c r="CZ14">
        <v>-0.13363789319992064</v>
      </c>
      <c r="DA14" t="e">
        <v>#VALUE!</v>
      </c>
      <c r="DB14" t="s">
        <v>295</v>
      </c>
      <c r="DC14">
        <v>-0.12695599853992459</v>
      </c>
      <c r="DD14" t="e">
        <v>#VALUE!</v>
      </c>
      <c r="DE14" t="s">
        <v>295</v>
      </c>
      <c r="DF14">
        <v>-0.11760134601593017</v>
      </c>
      <c r="DG14" t="e">
        <v>#VALUE!</v>
      </c>
      <c r="DH14" t="s">
        <v>295</v>
      </c>
      <c r="DI14">
        <v>-0.10691031455993652</v>
      </c>
      <c r="DJ14" t="e">
        <v>#VALUE!</v>
      </c>
      <c r="DK14" t="s">
        <v>295</v>
      </c>
      <c r="DL14">
        <v>-9.3546525239944445E-2</v>
      </c>
      <c r="DM14">
        <v>-245000000.00000003</v>
      </c>
      <c r="DN14">
        <v>-0.13363789319992064</v>
      </c>
      <c r="DO14">
        <v>3180240000</v>
      </c>
      <c r="DP14">
        <v>288603300</v>
      </c>
      <c r="DQ14">
        <v>3147</v>
      </c>
      <c r="DR14">
        <v>0.94593562782775242</v>
      </c>
      <c r="DS14">
        <v>-0.66320875513079791</v>
      </c>
      <c r="DT14" s="9">
        <v>-0.75666666666666671</v>
      </c>
      <c r="DU14">
        <v>-1.7483333333333333</v>
      </c>
      <c r="DV14">
        <v>-2.5049999999999999</v>
      </c>
      <c r="DW14">
        <v>-2.1467000000000001</v>
      </c>
      <c r="DX14">
        <v>0.29071496815286607</v>
      </c>
      <c r="DY14">
        <v>-2.0162418858280255</v>
      </c>
      <c r="DZ14">
        <v>3938</v>
      </c>
      <c r="EA14">
        <v>-2.0037251448513591</v>
      </c>
      <c r="EB14">
        <v>2</v>
      </c>
      <c r="EC14">
        <v>4.3110739087301585E-2</v>
      </c>
      <c r="ED14">
        <v>0.38938492063492064</v>
      </c>
      <c r="EE14" s="10">
        <v>3.2309999999999998E-2</v>
      </c>
      <c r="EF14">
        <v>3.2310000000000005E-2</v>
      </c>
      <c r="EG14">
        <v>18.110714968152866</v>
      </c>
      <c r="EH14">
        <v>-1</v>
      </c>
      <c r="EI14">
        <v>0</v>
      </c>
      <c r="EJ14">
        <v>0</v>
      </c>
      <c r="EK14" s="12">
        <v>45470</v>
      </c>
      <c r="EL14" s="13">
        <v>-1.1200000000000001</v>
      </c>
      <c r="EM14" s="13">
        <v>-3.13</v>
      </c>
      <c r="EN14">
        <v>2.0499999999999998</v>
      </c>
      <c r="EO14">
        <v>-0.28999999999999998</v>
      </c>
      <c r="EP14">
        <v>0</v>
      </c>
    </row>
    <row r="15" spans="1:146" ht="96">
      <c r="A15" s="6"/>
      <c r="B15" s="6"/>
      <c r="C15" s="6" t="str">
        <f>""&amp;CHAR(10)&amp;Basic_Fundamental_Information_Constructure(F15)&amp;CHAR(10)&amp;Basic_Fundamental_Information_Concatenate("")</f>
        <v xml:space="preserve">
市值24.135116亿, 利润9007.77万; PE; 平均PE-20.41; 平均PEG-1.49, PB3.19; ROIC6.06%; ROE-6.5267%; 股利率0%; 毛利8.0433%; 净利-1.3567%; 上一年度营收增-51.96%, 利润增152.07%; 当季营收增68.5%, 利润增-281.47%; 过往5年营收增-13.71%, 利润增-126.79%
Income profile:
</v>
      </c>
      <c r="D15" t="s">
        <v>89</v>
      </c>
      <c r="E15" t="s">
        <v>90</v>
      </c>
      <c r="F15">
        <v>1.24</v>
      </c>
      <c r="G15">
        <v>0.81</v>
      </c>
      <c r="H15" t="s">
        <v>762</v>
      </c>
      <c r="I15">
        <v>2413511600</v>
      </c>
      <c r="K15">
        <v>3.19</v>
      </c>
      <c r="L15" t="s">
        <v>377</v>
      </c>
      <c r="M15" t="s">
        <v>763</v>
      </c>
      <c r="N15" t="s">
        <v>764</v>
      </c>
      <c r="O15" t="s">
        <v>765</v>
      </c>
      <c r="P15">
        <v>-17.93</v>
      </c>
      <c r="Q15" t="s">
        <v>766</v>
      </c>
      <c r="R15">
        <v>-27226242</v>
      </c>
      <c r="S15" s="5">
        <v>-0.1173</v>
      </c>
      <c r="T15" t="s">
        <v>767</v>
      </c>
      <c r="U15">
        <v>1946380300</v>
      </c>
      <c r="V15">
        <v>1946380300</v>
      </c>
      <c r="W15">
        <v>3.52</v>
      </c>
      <c r="X15">
        <v>0.34</v>
      </c>
      <c r="Y15">
        <v>-2.2400000000000002</v>
      </c>
      <c r="Z15" t="s">
        <v>768</v>
      </c>
      <c r="AA15" t="s">
        <v>769</v>
      </c>
      <c r="AB15" t="s">
        <v>770</v>
      </c>
      <c r="AC15" t="s">
        <v>771</v>
      </c>
      <c r="AD15" t="s">
        <v>20</v>
      </c>
      <c r="AE15">
        <v>17976745</v>
      </c>
      <c r="AF15" t="s">
        <v>772</v>
      </c>
      <c r="AG15" t="s">
        <v>773</v>
      </c>
      <c r="AH15" t="s">
        <v>774</v>
      </c>
      <c r="AI15" t="s">
        <v>775</v>
      </c>
      <c r="AJ15" t="s">
        <v>776</v>
      </c>
      <c r="AK15" t="s">
        <v>20</v>
      </c>
      <c r="AL15" t="s">
        <v>777</v>
      </c>
      <c r="AM15" t="s">
        <v>20</v>
      </c>
      <c r="AN15" t="s">
        <v>778</v>
      </c>
      <c r="AO15" t="s">
        <v>491</v>
      </c>
      <c r="AP15" t="s">
        <v>779</v>
      </c>
      <c r="AQ15" t="s">
        <v>780</v>
      </c>
      <c r="AR15" t="s">
        <v>20</v>
      </c>
      <c r="AS15" t="s">
        <v>781</v>
      </c>
      <c r="AT15" t="s">
        <v>782</v>
      </c>
      <c r="AU15" t="s">
        <v>783</v>
      </c>
      <c r="AV15" t="s">
        <v>784</v>
      </c>
      <c r="AW15" t="s">
        <v>785</v>
      </c>
      <c r="AX15" t="s">
        <v>339</v>
      </c>
      <c r="AY15" t="s">
        <v>135</v>
      </c>
      <c r="AZ15" t="s">
        <v>91</v>
      </c>
      <c r="BA15" t="s">
        <v>93</v>
      </c>
      <c r="BB15" t="s">
        <v>94</v>
      </c>
      <c r="BC15" t="s">
        <v>340</v>
      </c>
      <c r="BD15" t="s">
        <v>136</v>
      </c>
      <c r="BE15" t="s">
        <v>92</v>
      </c>
      <c r="BF15" t="s">
        <v>95</v>
      </c>
      <c r="BG15" t="s">
        <v>96</v>
      </c>
      <c r="BH15" t="s">
        <v>786</v>
      </c>
      <c r="BI15" t="s">
        <v>787</v>
      </c>
      <c r="BJ15" t="s">
        <v>339</v>
      </c>
      <c r="BK15" t="s">
        <v>788</v>
      </c>
      <c r="BL15" t="s">
        <v>789</v>
      </c>
      <c r="BM15" t="s">
        <v>340</v>
      </c>
      <c r="BN15" t="s">
        <v>20</v>
      </c>
      <c r="BO15" t="s">
        <v>20</v>
      </c>
      <c r="BP15">
        <v>6.06</v>
      </c>
      <c r="BQ15">
        <v>-7.33</v>
      </c>
      <c r="BR15">
        <v>-15.9</v>
      </c>
      <c r="BS15">
        <v>3.65</v>
      </c>
      <c r="BT15" t="s">
        <v>165</v>
      </c>
      <c r="BU15" t="s">
        <v>37</v>
      </c>
      <c r="BV15">
        <v>6.96</v>
      </c>
      <c r="BW15">
        <v>7.08</v>
      </c>
      <c r="BX15">
        <v>10.09</v>
      </c>
      <c r="BY15">
        <v>-3.6</v>
      </c>
      <c r="BZ15">
        <v>-2.46</v>
      </c>
      <c r="CA15">
        <v>1.99</v>
      </c>
      <c r="CB15">
        <v>3.33</v>
      </c>
      <c r="CC15">
        <v>-6.06</v>
      </c>
      <c r="CD15" t="s">
        <v>790</v>
      </c>
      <c r="CE15" t="s">
        <v>791</v>
      </c>
      <c r="CF15" s="7">
        <v>0.68501529051987764</v>
      </c>
      <c r="CG15" s="8">
        <v>-2.8146951185338787</v>
      </c>
      <c r="CH15" s="7">
        <v>-0.51958316564559937</v>
      </c>
      <c r="CI15" s="7">
        <v>-0.16187654435634613</v>
      </c>
      <c r="CJ15" s="7">
        <v>2.8993912041187286E-2</v>
      </c>
      <c r="CK15" s="7">
        <v>-6.2644407153129578E-2</v>
      </c>
      <c r="CL15" s="7">
        <v>2.9806911945343018E-2</v>
      </c>
      <c r="CM15" s="8">
        <v>1.52068030834198</v>
      </c>
      <c r="CN15" s="8">
        <v>-5.1848897933959961</v>
      </c>
      <c r="CO15" s="8">
        <v>1.0546815395355225</v>
      </c>
      <c r="CP15" s="8">
        <v>-1.9881422519683838</v>
      </c>
      <c r="CQ15" s="8">
        <v>-1.7419354915618896</v>
      </c>
      <c r="CR15">
        <v>-20.407855824074726</v>
      </c>
      <c r="CS15">
        <v>-1.4889652528676511</v>
      </c>
      <c r="CT15">
        <v>0</v>
      </c>
      <c r="CU15" s="7">
        <v>-0.13706065863370895</v>
      </c>
      <c r="CV15" s="8">
        <v>-1.2679211378097535</v>
      </c>
      <c r="CW15">
        <v>0.06</v>
      </c>
      <c r="CX15" t="e">
        <v>#VALUE!</v>
      </c>
      <c r="CY15" t="s">
        <v>162</v>
      </c>
      <c r="CZ15">
        <v>-0.13706065863370895</v>
      </c>
      <c r="DA15">
        <v>14.322862743313088</v>
      </c>
      <c r="DB15" t="s">
        <v>792</v>
      </c>
      <c r="DC15">
        <v>-0.13020762570202349</v>
      </c>
      <c r="DD15">
        <v>7.1614313716565441</v>
      </c>
      <c r="DE15" t="s">
        <v>793</v>
      </c>
      <c r="DF15">
        <v>-0.12061337959766387</v>
      </c>
      <c r="DG15">
        <v>4.2968588229939266</v>
      </c>
      <c r="DH15" t="s">
        <v>794</v>
      </c>
      <c r="DI15">
        <v>-0.10964852690696716</v>
      </c>
      <c r="DJ15">
        <v>2.1484294114969633</v>
      </c>
      <c r="DK15" t="s">
        <v>795</v>
      </c>
      <c r="DL15">
        <v>-9.5942461043596258E-2</v>
      </c>
      <c r="DM15">
        <v>90077700</v>
      </c>
      <c r="DN15">
        <v>-0.13706065863370895</v>
      </c>
      <c r="DO15">
        <v>3870511600</v>
      </c>
      <c r="DP15">
        <v>215990700</v>
      </c>
      <c r="DQ15">
        <v>3350</v>
      </c>
      <c r="DR15">
        <v>0.82207594915358662</v>
      </c>
      <c r="DS15">
        <v>-1.5467739807241252</v>
      </c>
      <c r="DT15" s="9">
        <v>-0.75666666666666671</v>
      </c>
      <c r="DU15">
        <v>-2.2816666666666667</v>
      </c>
      <c r="DV15">
        <v>-3.0383333333333336</v>
      </c>
      <c r="DW15">
        <v>6.3546325878594248</v>
      </c>
      <c r="DX15">
        <v>0.23325312800769957</v>
      </c>
      <c r="DY15">
        <v>6.0295242722327629</v>
      </c>
      <c r="DZ15">
        <v>3998</v>
      </c>
      <c r="EA15">
        <v>6.0064248514134704</v>
      </c>
      <c r="EB15">
        <v>6</v>
      </c>
      <c r="EC15">
        <v>8.8882938241822529E-2</v>
      </c>
      <c r="ED15">
        <v>1.0676228073208509</v>
      </c>
      <c r="EE15" s="10">
        <v>-1.0810999999999999</v>
      </c>
      <c r="EF15">
        <v>-1.0559000000000001</v>
      </c>
      <c r="EG15">
        <v>15.0832531280077</v>
      </c>
      <c r="EH15" t="s">
        <v>168</v>
      </c>
      <c r="EI15">
        <v>0</v>
      </c>
      <c r="EJ15">
        <v>0</v>
      </c>
      <c r="EK15" s="12">
        <v>45470</v>
      </c>
      <c r="EL15" s="13">
        <v>0.36</v>
      </c>
      <c r="EM15" s="13">
        <v>-4.6100000000000003</v>
      </c>
      <c r="EN15">
        <v>-1.1200000000000001</v>
      </c>
      <c r="EO15">
        <v>4.51</v>
      </c>
      <c r="EP15">
        <v>-2.52</v>
      </c>
    </row>
    <row r="16" spans="1:146" ht="96">
      <c r="C16" s="6" t="str">
        <f>""&amp;CHAR(10)&amp;Basic_Fundamental_Information_Constructure(F16)&amp;CHAR(10)&amp;Basic_Fundamental_Information_Concatenate("")</f>
        <v xml:space="preserve">
市值45.242836亿, 利润3.68亿; PE77.26; 平均PE102.86; 平均PEG1.6, PB2.06; ROIC2.755%; ROE-2.3933%; 股利率0%; 毛利16.3167%; 净利-3.9567%; 上一年度营收增224.41%, 利润增219.48%; 当季营收增-68.27%, 利润增-83.57%; 过往5年营收增64.26%, 利润增27.92%
Income profile:
</v>
      </c>
      <c r="D16" t="s">
        <v>796</v>
      </c>
      <c r="E16" t="s">
        <v>797</v>
      </c>
      <c r="F16">
        <v>8.7799999999999994</v>
      </c>
      <c r="G16">
        <v>0.56999999999999995</v>
      </c>
      <c r="H16" t="s">
        <v>798</v>
      </c>
      <c r="I16">
        <v>4524283600</v>
      </c>
      <c r="J16">
        <v>77.260000000000005</v>
      </c>
      <c r="K16">
        <v>2.06</v>
      </c>
      <c r="L16" t="s">
        <v>377</v>
      </c>
      <c r="M16" t="s">
        <v>419</v>
      </c>
      <c r="N16" t="s">
        <v>799</v>
      </c>
      <c r="O16" t="s">
        <v>800</v>
      </c>
      <c r="P16" s="5">
        <v>67.56</v>
      </c>
      <c r="Q16" t="s">
        <v>801</v>
      </c>
      <c r="R16">
        <v>28415584</v>
      </c>
      <c r="S16">
        <v>0.87539999999999996</v>
      </c>
      <c r="T16" t="s">
        <v>802</v>
      </c>
      <c r="U16">
        <v>312782310</v>
      </c>
      <c r="V16">
        <v>515294260</v>
      </c>
      <c r="W16">
        <v>1.55</v>
      </c>
      <c r="X16">
        <v>0.18</v>
      </c>
      <c r="Y16">
        <v>4.79</v>
      </c>
      <c r="Z16" t="s">
        <v>803</v>
      </c>
      <c r="AA16" t="s">
        <v>804</v>
      </c>
      <c r="AB16" t="s">
        <v>805</v>
      </c>
      <c r="AC16" t="s">
        <v>806</v>
      </c>
      <c r="AD16" t="s">
        <v>20</v>
      </c>
      <c r="AE16">
        <v>-2930220</v>
      </c>
      <c r="AF16" t="s">
        <v>807</v>
      </c>
      <c r="AG16" t="s">
        <v>808</v>
      </c>
      <c r="AH16" t="s">
        <v>809</v>
      </c>
      <c r="AI16" t="s">
        <v>810</v>
      </c>
      <c r="AJ16" t="s">
        <v>811</v>
      </c>
      <c r="AK16" t="s">
        <v>812</v>
      </c>
      <c r="AL16" t="s">
        <v>813</v>
      </c>
      <c r="AM16" t="s">
        <v>20</v>
      </c>
      <c r="AN16" t="s">
        <v>814</v>
      </c>
      <c r="AO16" t="s">
        <v>815</v>
      </c>
      <c r="AP16" t="s">
        <v>790</v>
      </c>
      <c r="AQ16" t="s">
        <v>816</v>
      </c>
      <c r="AR16" t="s">
        <v>817</v>
      </c>
      <c r="AS16" t="s">
        <v>818</v>
      </c>
      <c r="AT16" t="s">
        <v>819</v>
      </c>
      <c r="AU16" t="s">
        <v>820</v>
      </c>
      <c r="AV16" t="s">
        <v>821</v>
      </c>
      <c r="AW16" t="s">
        <v>822</v>
      </c>
      <c r="AX16" t="s">
        <v>823</v>
      </c>
      <c r="AY16" t="s">
        <v>824</v>
      </c>
      <c r="AZ16" t="s">
        <v>825</v>
      </c>
      <c r="BA16" t="s">
        <v>826</v>
      </c>
      <c r="BB16" t="s">
        <v>827</v>
      </c>
      <c r="BC16" t="s">
        <v>828</v>
      </c>
      <c r="BD16" t="s">
        <v>829</v>
      </c>
      <c r="BE16" t="s">
        <v>830</v>
      </c>
      <c r="BF16" t="s">
        <v>831</v>
      </c>
      <c r="BG16" t="s">
        <v>832</v>
      </c>
      <c r="BH16" t="s">
        <v>833</v>
      </c>
      <c r="BI16" t="s">
        <v>834</v>
      </c>
      <c r="BJ16" t="s">
        <v>823</v>
      </c>
      <c r="BK16" t="s">
        <v>835</v>
      </c>
      <c r="BL16" t="s">
        <v>790</v>
      </c>
      <c r="BM16" t="s">
        <v>828</v>
      </c>
      <c r="BN16">
        <v>1.1000000000000001</v>
      </c>
      <c r="BO16" t="s">
        <v>20</v>
      </c>
      <c r="BP16">
        <v>4.41</v>
      </c>
      <c r="BQ16">
        <v>1.55</v>
      </c>
      <c r="BR16">
        <v>-13.57</v>
      </c>
      <c r="BS16">
        <v>4.84</v>
      </c>
      <c r="BT16" t="s">
        <v>165</v>
      </c>
      <c r="BU16" t="s">
        <v>413</v>
      </c>
      <c r="BV16">
        <v>15.41</v>
      </c>
      <c r="BW16">
        <v>17.440000000000001</v>
      </c>
      <c r="BX16">
        <v>16.100000000000001</v>
      </c>
      <c r="BY16">
        <v>2.54</v>
      </c>
      <c r="BZ16">
        <v>-19.29</v>
      </c>
      <c r="CA16">
        <v>4.88</v>
      </c>
      <c r="CB16">
        <v>0.11</v>
      </c>
      <c r="CC16" s="7">
        <v>-3.94</v>
      </c>
      <c r="CD16" s="8" t="s">
        <v>836</v>
      </c>
      <c r="CE16" s="7" t="s">
        <v>837</v>
      </c>
      <c r="CF16" s="7">
        <v>-0.68265086206896552</v>
      </c>
      <c r="CG16" s="7">
        <v>-0.83574806936416191</v>
      </c>
      <c r="CH16" s="7">
        <v>2.2440996170043945</v>
      </c>
      <c r="CI16" s="7">
        <v>-0.21768707036972046</v>
      </c>
      <c r="CJ16" s="8">
        <v>0.49563953280448914</v>
      </c>
      <c r="CK16" s="8">
        <v>0.41128206253051758</v>
      </c>
      <c r="CL16" s="8">
        <v>0.27952754497528076</v>
      </c>
      <c r="CM16" s="8">
        <v>2.1948051452636719</v>
      </c>
      <c r="CN16" s="8">
        <v>-3.961538553237915</v>
      </c>
      <c r="CO16">
        <v>0.71271508932113647</v>
      </c>
      <c r="CP16">
        <v>1.2557412385940552</v>
      </c>
      <c r="CQ16">
        <v>1.1943703889846802</v>
      </c>
      <c r="CR16" s="7">
        <v>102.86023873416782</v>
      </c>
      <c r="CS16" s="8">
        <v>1.6007573427783524</v>
      </c>
      <c r="CT16">
        <v>0</v>
      </c>
      <c r="CU16">
        <v>0.64257233738899233</v>
      </c>
      <c r="CV16">
        <v>0.27921866178512572</v>
      </c>
      <c r="CW16">
        <v>0.06</v>
      </c>
      <c r="CX16">
        <v>5.9715466423102637</v>
      </c>
      <c r="CY16">
        <v>570251528.45202744</v>
      </c>
      <c r="CZ16">
        <v>0.64257233738899233</v>
      </c>
      <c r="DA16">
        <v>1.2616586559460727</v>
      </c>
      <c r="DB16">
        <v>2699053015.6086469</v>
      </c>
      <c r="DC16">
        <v>0.61044372051954265</v>
      </c>
      <c r="DD16">
        <v>0.31867118922829918</v>
      </c>
      <c r="DE16">
        <v>10685884746.111834</v>
      </c>
      <c r="DF16">
        <v>0.56546365690231326</v>
      </c>
      <c r="DG16">
        <v>8.0792576710992089E-2</v>
      </c>
      <c r="DH16">
        <v>42148471290.639008</v>
      </c>
      <c r="DI16">
        <v>0.51405786991119384</v>
      </c>
      <c r="DJ16">
        <v>4.7491899423791426E-3</v>
      </c>
      <c r="DK16">
        <v>717024090700.84436</v>
      </c>
      <c r="DL16">
        <v>0.4498006361722946</v>
      </c>
      <c r="DM16">
        <v>368000000</v>
      </c>
      <c r="DN16">
        <v>0.64257233738899233</v>
      </c>
      <c r="DO16">
        <v>3405283600</v>
      </c>
      <c r="DP16">
        <v>740227400</v>
      </c>
      <c r="DQ16" s="9">
        <v>3370</v>
      </c>
      <c r="DR16">
        <v>-1.325223199457958</v>
      </c>
      <c r="DS16">
        <v>-1.1149667311492877</v>
      </c>
      <c r="DT16">
        <v>5.9999999999999908E-2</v>
      </c>
      <c r="DU16">
        <v>-0.15666666666666682</v>
      </c>
      <c r="DV16">
        <v>-9.6666666666666901E-2</v>
      </c>
      <c r="DW16">
        <v>-1.0394000000000001</v>
      </c>
      <c r="DX16">
        <v>0.30902590276834874</v>
      </c>
      <c r="DY16">
        <v>-1.006265620569073</v>
      </c>
      <c r="DZ16">
        <v>4381</v>
      </c>
      <c r="EA16">
        <v>-1.0008938625038855</v>
      </c>
      <c r="EB16" s="10">
        <v>1</v>
      </c>
      <c r="EC16" s="10">
        <v>2.7729204668416059E-2</v>
      </c>
      <c r="ED16">
        <v>0.17436910708068046</v>
      </c>
      <c r="EE16">
        <v>-5.0590999999999999</v>
      </c>
      <c r="EF16">
        <v>-5.0293000000000001</v>
      </c>
      <c r="EG16">
        <v>15.159025902768349</v>
      </c>
      <c r="EH16" s="12" t="s">
        <v>838</v>
      </c>
      <c r="EI16">
        <v>0</v>
      </c>
      <c r="EJ16">
        <v>0</v>
      </c>
      <c r="EK16">
        <v>45470</v>
      </c>
      <c r="EL16">
        <v>0.79</v>
      </c>
      <c r="EM16">
        <v>-5.07</v>
      </c>
      <c r="EN16">
        <v>0.21</v>
      </c>
      <c r="EO16">
        <v>10.039999999999999</v>
      </c>
      <c r="EP16">
        <v>-2.98</v>
      </c>
    </row>
    <row r="17" spans="1:146" ht="96">
      <c r="C17" s="6" t="str">
        <f>""&amp;CHAR(10)&amp;Basic_Fundamental_Information_Constructure(F17)&amp;CHAR(10)&amp;Basic_Fundamental_Information_Concatenate("")</f>
        <v xml:space="preserve">
市值43.234744亿, 利润-1.25亿; PE260.6; 平均PE-205.8; 平均PEG-1.82, PB7.16; ROIC2.385%; ROE-1.5967%; 股利率0%; 毛利14.3767%; 净利-1.33%; 上一年度营收增502.8%, 利润增-63.75%; 当季营收增-80.79%, 利润增91.38%; 过往5年营收增113.12%, 利润增-304.41%
Income profile:
</v>
      </c>
      <c r="D17" t="s">
        <v>839</v>
      </c>
      <c r="E17" t="s">
        <v>840</v>
      </c>
      <c r="F17">
        <v>13.45</v>
      </c>
      <c r="G17">
        <v>1.97</v>
      </c>
      <c r="H17" t="s">
        <v>841</v>
      </c>
      <c r="I17">
        <v>4323474400</v>
      </c>
      <c r="J17">
        <v>260.60000000000002</v>
      </c>
      <c r="K17">
        <v>7.16</v>
      </c>
      <c r="L17" t="s">
        <v>377</v>
      </c>
      <c r="M17" t="s">
        <v>842</v>
      </c>
      <c r="N17" t="s">
        <v>803</v>
      </c>
      <c r="O17" t="s">
        <v>843</v>
      </c>
      <c r="P17" s="5">
        <v>6.22</v>
      </c>
      <c r="Q17" t="s">
        <v>844</v>
      </c>
      <c r="R17">
        <v>-5668882</v>
      </c>
      <c r="S17">
        <v>-4.077</v>
      </c>
      <c r="T17" t="s">
        <v>845</v>
      </c>
      <c r="U17">
        <v>237957910</v>
      </c>
      <c r="V17">
        <v>321447910</v>
      </c>
      <c r="W17">
        <v>1.59</v>
      </c>
      <c r="X17">
        <v>0.23</v>
      </c>
      <c r="Y17">
        <v>-4.12</v>
      </c>
      <c r="Z17" t="s">
        <v>621</v>
      </c>
      <c r="AA17" t="s">
        <v>790</v>
      </c>
      <c r="AB17" t="s">
        <v>846</v>
      </c>
      <c r="AC17" t="s">
        <v>847</v>
      </c>
      <c r="AD17" t="s">
        <v>20</v>
      </c>
      <c r="AE17">
        <v>686862</v>
      </c>
      <c r="AF17" t="s">
        <v>848</v>
      </c>
      <c r="AG17" t="s">
        <v>849</v>
      </c>
      <c r="AH17" t="s">
        <v>850</v>
      </c>
      <c r="AI17" t="s">
        <v>851</v>
      </c>
      <c r="AJ17" t="s">
        <v>852</v>
      </c>
      <c r="AK17" t="s">
        <v>20</v>
      </c>
      <c r="AL17" t="s">
        <v>853</v>
      </c>
      <c r="AM17" t="s">
        <v>20</v>
      </c>
      <c r="AN17" t="s">
        <v>854</v>
      </c>
      <c r="AO17" t="s">
        <v>20</v>
      </c>
      <c r="AP17" t="s">
        <v>20</v>
      </c>
      <c r="AQ17" t="s">
        <v>855</v>
      </c>
      <c r="AR17" t="s">
        <v>856</v>
      </c>
      <c r="AS17" t="s">
        <v>623</v>
      </c>
      <c r="AT17" t="s">
        <v>857</v>
      </c>
      <c r="AU17" t="s">
        <v>858</v>
      </c>
      <c r="AV17" t="s">
        <v>859</v>
      </c>
      <c r="AW17" t="s">
        <v>860</v>
      </c>
      <c r="AX17" t="s">
        <v>861</v>
      </c>
      <c r="AY17" t="s">
        <v>862</v>
      </c>
      <c r="AZ17" t="s">
        <v>863</v>
      </c>
      <c r="BA17" t="s">
        <v>864</v>
      </c>
      <c r="BB17" t="s">
        <v>491</v>
      </c>
      <c r="BC17" t="s">
        <v>865</v>
      </c>
      <c r="BD17" t="s">
        <v>866</v>
      </c>
      <c r="BE17" t="s">
        <v>867</v>
      </c>
      <c r="BF17" t="s">
        <v>868</v>
      </c>
      <c r="BG17" t="s">
        <v>869</v>
      </c>
      <c r="BH17" t="s">
        <v>870</v>
      </c>
      <c r="BI17" t="s">
        <v>871</v>
      </c>
      <c r="BJ17" t="s">
        <v>861</v>
      </c>
      <c r="BK17" t="s">
        <v>872</v>
      </c>
      <c r="BL17" t="s">
        <v>873</v>
      </c>
      <c r="BM17" t="s">
        <v>865</v>
      </c>
      <c r="BN17">
        <v>1.39</v>
      </c>
      <c r="BO17" t="s">
        <v>20</v>
      </c>
      <c r="BP17">
        <v>3.38</v>
      </c>
      <c r="BQ17">
        <v>1.6</v>
      </c>
      <c r="BR17">
        <v>-11.98</v>
      </c>
      <c r="BS17">
        <v>5.59</v>
      </c>
      <c r="BT17" t="s">
        <v>165</v>
      </c>
      <c r="BU17" t="s">
        <v>413</v>
      </c>
      <c r="BV17">
        <v>15.88</v>
      </c>
      <c r="BW17">
        <v>13.43</v>
      </c>
      <c r="BX17">
        <v>13.82</v>
      </c>
      <c r="BY17">
        <v>2.0299999999999998</v>
      </c>
      <c r="BZ17">
        <v>-9.36</v>
      </c>
      <c r="CA17">
        <v>3.34</v>
      </c>
      <c r="CB17">
        <v>-3.79</v>
      </c>
      <c r="CC17" s="7">
        <v>-30.78</v>
      </c>
      <c r="CD17" s="8" t="s">
        <v>874</v>
      </c>
      <c r="CE17" s="7" t="s">
        <v>636</v>
      </c>
      <c r="CF17" s="7">
        <v>-0.80787704130643612</v>
      </c>
      <c r="CG17" s="7">
        <v>0.91382045275228452</v>
      </c>
      <c r="CH17" s="7">
        <v>5.0280470848083496</v>
      </c>
      <c r="CI17" s="7">
        <v>0.28393352031707764</v>
      </c>
      <c r="CJ17" s="8">
        <v>-1.6348773613572121E-2</v>
      </c>
      <c r="CK17" s="8">
        <v>0.25470086932182312</v>
      </c>
      <c r="CL17" s="8">
        <v>0.10586011409759521</v>
      </c>
      <c r="CM17" s="8">
        <v>-0.63748675584793091</v>
      </c>
      <c r="CN17" s="8">
        <v>-3.0564067363739014</v>
      </c>
      <c r="CO17">
        <v>-0.61385715007781982</v>
      </c>
      <c r="CP17">
        <v>2.5251193046569824</v>
      </c>
      <c r="CQ17">
        <v>-13.43779468536377</v>
      </c>
      <c r="CR17" s="7">
        <v>-205.80263901141794</v>
      </c>
      <c r="CS17" s="8">
        <v>-1.8192682405392733</v>
      </c>
      <c r="CT17">
        <v>0</v>
      </c>
      <c r="CU17">
        <v>1.1312385629862547</v>
      </c>
      <c r="CV17">
        <v>-3.0440852046012878</v>
      </c>
      <c r="CW17">
        <v>0.06</v>
      </c>
      <c r="CX17" t="e">
        <v>#VALUE!</v>
      </c>
      <c r="CY17" t="s">
        <v>294</v>
      </c>
      <c r="CZ17">
        <v>1.1312385629862547</v>
      </c>
      <c r="DA17" t="e">
        <v>#VALUE!</v>
      </c>
      <c r="DB17" t="s">
        <v>295</v>
      </c>
      <c r="DC17">
        <v>1.0746766348369419</v>
      </c>
      <c r="DD17" t="e">
        <v>#VALUE!</v>
      </c>
      <c r="DE17" t="s">
        <v>295</v>
      </c>
      <c r="DF17">
        <v>0.99548993542790409</v>
      </c>
      <c r="DG17" t="e">
        <v>#VALUE!</v>
      </c>
      <c r="DH17" t="s">
        <v>295</v>
      </c>
      <c r="DI17">
        <v>0.90499085038900384</v>
      </c>
      <c r="DJ17" t="e">
        <v>#VALUE!</v>
      </c>
      <c r="DK17" t="s">
        <v>295</v>
      </c>
      <c r="DL17">
        <v>0.7918669940903782</v>
      </c>
      <c r="DM17">
        <v>-125000000</v>
      </c>
      <c r="DN17">
        <v>1.1312385629862547</v>
      </c>
      <c r="DO17">
        <v>4086474400</v>
      </c>
      <c r="DP17">
        <v>132581849.99999997</v>
      </c>
      <c r="DQ17" s="9">
        <v>3490</v>
      </c>
      <c r="DR17">
        <v>-1.9391156042926907</v>
      </c>
      <c r="DS17">
        <v>3.9579056573535722</v>
      </c>
      <c r="DT17">
        <v>0.12666666666666662</v>
      </c>
      <c r="DU17">
        <v>-2.0916666666666668</v>
      </c>
      <c r="DV17">
        <v>-1.9650000000000001</v>
      </c>
      <c r="DW17">
        <v>-8.1231319038336576</v>
      </c>
      <c r="DX17">
        <v>0.33947810650887433</v>
      </c>
      <c r="DY17">
        <v>-8.0110176096058687</v>
      </c>
      <c r="DZ17">
        <v>976</v>
      </c>
      <c r="EA17">
        <v>-8.0089132677320283</v>
      </c>
      <c r="EB17" s="10">
        <v>8</v>
      </c>
      <c r="EC17" s="10">
        <v>9.4085539395791992E-2</v>
      </c>
      <c r="ED17">
        <v>1.0514922931059032</v>
      </c>
      <c r="EE17">
        <v>1.7209999999999996E-2</v>
      </c>
      <c r="EF17">
        <v>3.2810000000000006E-2</v>
      </c>
      <c r="EG17">
        <v>25.089478106508874</v>
      </c>
      <c r="EH17" s="12">
        <v>-1</v>
      </c>
      <c r="EI17">
        <v>0</v>
      </c>
      <c r="EJ17">
        <v>1</v>
      </c>
      <c r="EK17">
        <v>45470</v>
      </c>
      <c r="EL17">
        <v>1.0900000000000001</v>
      </c>
      <c r="EM17">
        <v>-2.4</v>
      </c>
      <c r="EN17">
        <v>-0.12</v>
      </c>
      <c r="EO17">
        <v>2.83</v>
      </c>
      <c r="EP17">
        <v>-1.56</v>
      </c>
    </row>
    <row r="18" spans="1:146" ht="108">
      <c r="A18" s="6"/>
      <c r="B18" s="6"/>
      <c r="C18" s="6" t="str">
        <f>""&amp;CHAR(10)&amp;Basic_Fundamental_Information_Constructure(F18)&amp;CHAR(10)&amp;Basic_Fundamental_Information_Concatenate("")</f>
        <v xml:space="preserve">
市值38.239512亿, 利润5688.25万; PE732.3; 平均PE47.07; 平均PEG2.51, PB3.3; ROIC9.1167%; ROE11.7333%; 股利率0%; 毛利5.4567%; 净利1.6367%; 上一年度营收增-79.57%, 利润增-5.26%; 当季营收增166.87%, 利润增-86.38%; 过往5年营收增-18.77%, 利润增18.35%
Income profile:
</v>
      </c>
      <c r="D18" t="s">
        <v>97</v>
      </c>
      <c r="E18" t="s">
        <v>98</v>
      </c>
      <c r="F18">
        <v>7.71</v>
      </c>
      <c r="G18">
        <v>0.65</v>
      </c>
      <c r="H18" t="s">
        <v>875</v>
      </c>
      <c r="I18">
        <v>3823951200</v>
      </c>
      <c r="J18">
        <v>732.3</v>
      </c>
      <c r="K18">
        <v>3.3</v>
      </c>
      <c r="L18" t="s">
        <v>377</v>
      </c>
      <c r="M18" t="s">
        <v>876</v>
      </c>
      <c r="N18" t="s">
        <v>490</v>
      </c>
      <c r="O18" t="s">
        <v>877</v>
      </c>
      <c r="P18">
        <v>-56.48</v>
      </c>
      <c r="Q18" t="s">
        <v>612</v>
      </c>
      <c r="R18">
        <v>5163335</v>
      </c>
      <c r="S18" s="5">
        <v>-0.96309999999999996</v>
      </c>
      <c r="T18" t="s">
        <v>878</v>
      </c>
      <c r="U18">
        <v>396147910</v>
      </c>
      <c r="V18">
        <v>495972910</v>
      </c>
      <c r="W18">
        <v>2.84</v>
      </c>
      <c r="X18">
        <v>0.27</v>
      </c>
      <c r="Y18">
        <v>0.3</v>
      </c>
      <c r="Z18" t="s">
        <v>879</v>
      </c>
      <c r="AA18" t="s">
        <v>880</v>
      </c>
      <c r="AB18" t="s">
        <v>881</v>
      </c>
      <c r="AC18" t="s">
        <v>882</v>
      </c>
      <c r="AD18" t="s">
        <v>20</v>
      </c>
      <c r="AE18">
        <v>-209831</v>
      </c>
      <c r="AF18" t="s">
        <v>883</v>
      </c>
      <c r="AG18" t="s">
        <v>884</v>
      </c>
      <c r="AH18" t="s">
        <v>885</v>
      </c>
      <c r="AI18" t="s">
        <v>396</v>
      </c>
      <c r="AJ18" t="s">
        <v>886</v>
      </c>
      <c r="AK18" t="s">
        <v>20</v>
      </c>
      <c r="AL18" t="s">
        <v>887</v>
      </c>
      <c r="AM18" t="s">
        <v>20</v>
      </c>
      <c r="AN18" t="s">
        <v>888</v>
      </c>
      <c r="AO18" t="s">
        <v>889</v>
      </c>
      <c r="AP18" t="s">
        <v>890</v>
      </c>
      <c r="AQ18" t="s">
        <v>891</v>
      </c>
      <c r="AR18" t="s">
        <v>892</v>
      </c>
      <c r="AS18" t="s">
        <v>893</v>
      </c>
      <c r="AT18" t="s">
        <v>20</v>
      </c>
      <c r="AU18" t="s">
        <v>894</v>
      </c>
      <c r="AV18" t="s">
        <v>895</v>
      </c>
      <c r="AW18" t="s">
        <v>896</v>
      </c>
      <c r="AX18" t="s">
        <v>341</v>
      </c>
      <c r="AY18" t="s">
        <v>137</v>
      </c>
      <c r="AZ18" t="s">
        <v>99</v>
      </c>
      <c r="BA18" t="s">
        <v>100</v>
      </c>
      <c r="BB18" t="s">
        <v>101</v>
      </c>
      <c r="BC18" t="s">
        <v>897</v>
      </c>
      <c r="BD18" t="s">
        <v>164</v>
      </c>
      <c r="BE18" t="s">
        <v>33</v>
      </c>
      <c r="BF18" t="s">
        <v>102</v>
      </c>
      <c r="BG18" t="s">
        <v>103</v>
      </c>
      <c r="BH18" t="s">
        <v>898</v>
      </c>
      <c r="BI18" t="s">
        <v>66</v>
      </c>
      <c r="BJ18" t="s">
        <v>341</v>
      </c>
      <c r="BK18" t="s">
        <v>138</v>
      </c>
      <c r="BL18" t="s">
        <v>899</v>
      </c>
      <c r="BM18" t="s">
        <v>897</v>
      </c>
      <c r="BN18">
        <v>9.93</v>
      </c>
      <c r="BO18">
        <v>3.91</v>
      </c>
      <c r="BP18">
        <v>13.51</v>
      </c>
      <c r="BQ18">
        <v>11.93</v>
      </c>
      <c r="BR18">
        <v>6.07</v>
      </c>
      <c r="BS18">
        <v>17.2</v>
      </c>
      <c r="BT18" t="s">
        <v>165</v>
      </c>
      <c r="BU18" t="s">
        <v>37</v>
      </c>
      <c r="BV18">
        <v>4.57</v>
      </c>
      <c r="BW18">
        <v>6.08</v>
      </c>
      <c r="BX18">
        <v>5.72</v>
      </c>
      <c r="BY18">
        <v>1.66</v>
      </c>
      <c r="BZ18">
        <v>0.98</v>
      </c>
      <c r="CA18">
        <v>2.27</v>
      </c>
      <c r="CB18">
        <v>-1.41</v>
      </c>
      <c r="CC18">
        <v>-11.78</v>
      </c>
      <c r="CD18" t="s">
        <v>900</v>
      </c>
      <c r="CE18" t="s">
        <v>334</v>
      </c>
      <c r="CF18" s="7">
        <v>1.6686567164179105</v>
      </c>
      <c r="CG18" s="8">
        <v>-0.86381958254429603</v>
      </c>
      <c r="CH18" s="7">
        <v>-0.79569894075393677</v>
      </c>
      <c r="CI18" s="7">
        <v>-0.23526723682880402</v>
      </c>
      <c r="CJ18" s="7">
        <v>-0.16407839953899384</v>
      </c>
      <c r="CK18" s="7">
        <v>7.6606832444667816E-2</v>
      </c>
      <c r="CL18" s="7">
        <v>0.17978981137275696</v>
      </c>
      <c r="CM18" s="8">
        <v>-5.2556801587343216E-2</v>
      </c>
      <c r="CN18" s="8">
        <v>-0.59974730014801025</v>
      </c>
      <c r="CO18" s="8">
        <v>0.30434781312942505</v>
      </c>
      <c r="CP18" s="8">
        <v>0.87231159210205078</v>
      </c>
      <c r="CQ18" s="8">
        <v>0.39332526922225952</v>
      </c>
      <c r="CR18">
        <v>47.071314443839903</v>
      </c>
      <c r="CS18">
        <v>2.5073998873110699</v>
      </c>
      <c r="CT18">
        <v>0</v>
      </c>
      <c r="CU18" s="7">
        <v>-0.18772958666086198</v>
      </c>
      <c r="CV18" s="8">
        <v>0.18353611454367638</v>
      </c>
      <c r="CW18">
        <v>0.06</v>
      </c>
      <c r="CX18">
        <v>80.287455720124825</v>
      </c>
      <c r="CY18" t="s">
        <v>901</v>
      </c>
      <c r="CZ18">
        <v>-0.18772958666086198</v>
      </c>
      <c r="DA18">
        <v>26.762485240041606</v>
      </c>
      <c r="DB18" t="s">
        <v>902</v>
      </c>
      <c r="DC18">
        <v>-0.17834310732781888</v>
      </c>
      <c r="DD18">
        <v>13.381242620020803</v>
      </c>
      <c r="DE18" t="s">
        <v>903</v>
      </c>
      <c r="DF18">
        <v>-0.16520203626155855</v>
      </c>
      <c r="DG18">
        <v>8.0287455720124825</v>
      </c>
      <c r="DH18" t="s">
        <v>904</v>
      </c>
      <c r="DI18">
        <v>-0.1501836693286896</v>
      </c>
      <c r="DJ18">
        <v>4.0143727860062413</v>
      </c>
      <c r="DK18" t="s">
        <v>905</v>
      </c>
      <c r="DL18">
        <v>-0.13141071066260337</v>
      </c>
      <c r="DM18">
        <v>56882500</v>
      </c>
      <c r="DN18">
        <v>-0.18772958666086198</v>
      </c>
      <c r="DO18">
        <v>4566951200</v>
      </c>
      <c r="DP18">
        <v>940519300</v>
      </c>
      <c r="DQ18">
        <v>3494</v>
      </c>
      <c r="DR18">
        <v>1.8563863030787724</v>
      </c>
      <c r="DS18">
        <v>-1.0473556970879725</v>
      </c>
      <c r="DT18" s="9">
        <v>-0.95666666666666667</v>
      </c>
      <c r="DU18">
        <v>-0.12333333333333336</v>
      </c>
      <c r="DV18">
        <v>-1.08</v>
      </c>
      <c r="DW18">
        <v>-2.1177999999999999</v>
      </c>
      <c r="DX18">
        <v>0.23866393442623035</v>
      </c>
      <c r="DY18">
        <v>-2.0139786114754097</v>
      </c>
      <c r="DZ18">
        <v>83</v>
      </c>
      <c r="EA18">
        <v>-2.0137515616216994</v>
      </c>
      <c r="EB18">
        <v>2</v>
      </c>
      <c r="EC18">
        <v>2.9189094218875784E-2</v>
      </c>
      <c r="ED18">
        <v>0.2459811766735405</v>
      </c>
      <c r="EE18" s="10">
        <v>-1.0015000000000001</v>
      </c>
      <c r="EF18">
        <v>-1.0214099999999999</v>
      </c>
      <c r="EG18">
        <v>12.11866393442623</v>
      </c>
      <c r="EH18" t="s">
        <v>335</v>
      </c>
      <c r="EI18">
        <v>0</v>
      </c>
      <c r="EJ18">
        <v>1</v>
      </c>
      <c r="EK18" s="12">
        <v>45470</v>
      </c>
      <c r="EL18" s="13">
        <v>0.38</v>
      </c>
      <c r="EM18" s="13">
        <v>-2.4700000000000002</v>
      </c>
      <c r="EN18">
        <v>0.19</v>
      </c>
      <c r="EO18">
        <v>1.75</v>
      </c>
      <c r="EP18">
        <v>-2.29</v>
      </c>
    </row>
    <row r="19" spans="1:146" ht="108">
      <c r="A19" s="6"/>
      <c r="B19" s="6"/>
      <c r="C19" s="6" t="str">
        <f>""&amp;CHAR(10)&amp;Basic_Fundamental_Information_Constructure(F19)&amp;CHAR(10)&amp;Basic_Fundamental_Information_Concatenate("")</f>
        <v xml:space="preserve">
市值208.88454亿, 利润6.89亿; PE29.78; 平均PE39.36; 平均PEG5.34, PB3.43; ROIC12.0267%; ROE12.4933%; 股利率1.4423%; 毛利35.5367%; 净利19.4533%; 上一年度营收增-14.19%, 利润增-.43%; 当季营收增26.03%, 利润增9.43%; 过往5年营收增7.38%, 利润增13.28%
Income profile:
</v>
      </c>
      <c r="D19" t="s">
        <v>104</v>
      </c>
      <c r="E19" t="s">
        <v>105</v>
      </c>
      <c r="F19">
        <v>20.8</v>
      </c>
      <c r="G19">
        <v>4.05</v>
      </c>
      <c r="H19" t="s">
        <v>343</v>
      </c>
      <c r="I19">
        <v>20888454000</v>
      </c>
      <c r="J19">
        <v>29.78</v>
      </c>
      <c r="K19">
        <v>3.43</v>
      </c>
      <c r="L19" t="s">
        <v>37</v>
      </c>
      <c r="M19" t="s">
        <v>344</v>
      </c>
      <c r="N19" t="s">
        <v>345</v>
      </c>
      <c r="O19" t="s">
        <v>346</v>
      </c>
      <c r="P19">
        <v>26</v>
      </c>
      <c r="Q19" t="s">
        <v>347</v>
      </c>
      <c r="R19">
        <v>142261110</v>
      </c>
      <c r="S19" s="5">
        <v>9.5200000000000007E-2</v>
      </c>
      <c r="T19" t="s">
        <v>348</v>
      </c>
      <c r="U19">
        <v>977229710</v>
      </c>
      <c r="V19">
        <v>1004847790</v>
      </c>
      <c r="W19">
        <v>1.26</v>
      </c>
      <c r="X19">
        <v>0.09</v>
      </c>
      <c r="Y19">
        <v>22.24</v>
      </c>
      <c r="Z19" t="s">
        <v>349</v>
      </c>
      <c r="AA19" t="s">
        <v>350</v>
      </c>
      <c r="AB19" t="s">
        <v>351</v>
      </c>
      <c r="AC19" t="s">
        <v>352</v>
      </c>
      <c r="AD19" t="s">
        <v>353</v>
      </c>
      <c r="AE19">
        <v>-5989579</v>
      </c>
      <c r="AF19" t="s">
        <v>354</v>
      </c>
      <c r="AG19" t="s">
        <v>355</v>
      </c>
      <c r="AH19" t="s">
        <v>356</v>
      </c>
      <c r="AI19" t="s">
        <v>357</v>
      </c>
      <c r="AJ19" t="s">
        <v>358</v>
      </c>
      <c r="AK19" t="s">
        <v>359</v>
      </c>
      <c r="AL19" t="s">
        <v>360</v>
      </c>
      <c r="AM19" t="s">
        <v>20</v>
      </c>
      <c r="AN19" t="s">
        <v>361</v>
      </c>
      <c r="AO19" t="s">
        <v>362</v>
      </c>
      <c r="AP19" t="s">
        <v>363</v>
      </c>
      <c r="AQ19" t="s">
        <v>170</v>
      </c>
      <c r="AR19" t="s">
        <v>364</v>
      </c>
      <c r="AS19" t="s">
        <v>365</v>
      </c>
      <c r="AT19" t="s">
        <v>20</v>
      </c>
      <c r="AU19" t="s">
        <v>366</v>
      </c>
      <c r="AV19" t="s">
        <v>367</v>
      </c>
      <c r="AW19" t="s">
        <v>368</v>
      </c>
      <c r="AX19" t="s">
        <v>140</v>
      </c>
      <c r="AY19" t="s">
        <v>106</v>
      </c>
      <c r="AZ19" t="s">
        <v>108</v>
      </c>
      <c r="BA19" t="s">
        <v>109</v>
      </c>
      <c r="BB19" t="s">
        <v>110</v>
      </c>
      <c r="BC19" t="s">
        <v>139</v>
      </c>
      <c r="BD19" t="s">
        <v>107</v>
      </c>
      <c r="BE19" t="s">
        <v>111</v>
      </c>
      <c r="BF19" t="s">
        <v>112</v>
      </c>
      <c r="BG19" t="s">
        <v>113</v>
      </c>
      <c r="BH19" t="s">
        <v>347</v>
      </c>
      <c r="BI19" t="s">
        <v>369</v>
      </c>
      <c r="BJ19" t="s">
        <v>140</v>
      </c>
      <c r="BK19" t="s">
        <v>348</v>
      </c>
      <c r="BL19" t="s">
        <v>65</v>
      </c>
      <c r="BM19" t="s">
        <v>139</v>
      </c>
      <c r="BN19">
        <v>11.92</v>
      </c>
      <c r="BO19">
        <v>13</v>
      </c>
      <c r="BP19">
        <v>11.16</v>
      </c>
      <c r="BQ19">
        <v>12.35</v>
      </c>
      <c r="BR19">
        <v>13.55</v>
      </c>
      <c r="BS19">
        <v>11.58</v>
      </c>
      <c r="BT19" t="s">
        <v>167</v>
      </c>
      <c r="BU19" t="s">
        <v>37</v>
      </c>
      <c r="BV19">
        <v>42.46</v>
      </c>
      <c r="BW19">
        <v>33.43</v>
      </c>
      <c r="BX19">
        <v>30.72</v>
      </c>
      <c r="BY19">
        <v>22.24</v>
      </c>
      <c r="BZ19">
        <v>19.02</v>
      </c>
      <c r="CA19">
        <v>17.100000000000001</v>
      </c>
      <c r="CB19">
        <v>1.81</v>
      </c>
      <c r="CC19">
        <v>-11.49</v>
      </c>
      <c r="CD19" t="s">
        <v>370</v>
      </c>
      <c r="CE19" t="s">
        <v>371</v>
      </c>
      <c r="CF19" s="7">
        <v>0.26033000000000001</v>
      </c>
      <c r="CG19" s="8">
        <v>9.4316230769230763E-2</v>
      </c>
      <c r="CH19" s="7">
        <v>-0.14185136556625366</v>
      </c>
      <c r="CI19" s="7">
        <v>0.12200123071670532</v>
      </c>
      <c r="CJ19" s="7">
        <v>0.24065327644348145</v>
      </c>
      <c r="CK19" s="7">
        <v>-1.087767886929214E-3</v>
      </c>
      <c r="CL19" s="7">
        <v>0.14916671812534332</v>
      </c>
      <c r="CM19" s="8">
        <v>-4.3352600187063217E-3</v>
      </c>
      <c r="CN19" s="8">
        <v>0.24014337360858917</v>
      </c>
      <c r="CO19" s="8">
        <v>0.19486081600189209</v>
      </c>
      <c r="CP19" s="8">
        <v>0.15880893170833588</v>
      </c>
      <c r="CQ19" s="8">
        <v>7.4666664004325867E-2</v>
      </c>
      <c r="CR19">
        <v>39.362664572864318</v>
      </c>
      <c r="CS19">
        <v>5.3353992297834569</v>
      </c>
      <c r="CT19">
        <v>1.4423076923076923</v>
      </c>
      <c r="CU19" s="7">
        <v>7.3776418366469448E-2</v>
      </c>
      <c r="CV19" s="8">
        <v>0.13282890506088735</v>
      </c>
      <c r="CW19">
        <v>0.06</v>
      </c>
      <c r="CX19">
        <v>23.181238912077205</v>
      </c>
      <c r="CY19">
        <v>697954671.93820512</v>
      </c>
      <c r="CZ19">
        <v>7.3776418366469448E-2</v>
      </c>
      <c r="DA19">
        <v>7.6803934315592555</v>
      </c>
      <c r="DB19">
        <v>2106591822.9549973</v>
      </c>
      <c r="DC19">
        <v>7.0087597448145966E-2</v>
      </c>
      <c r="DD19">
        <v>3.8506694543174325</v>
      </c>
      <c r="DE19">
        <v>4201724970.669538</v>
      </c>
      <c r="DF19">
        <v>6.4923248162493119E-2</v>
      </c>
      <c r="DG19">
        <v>2.3602060496582338</v>
      </c>
      <c r="DH19">
        <v>6855102334.1130924</v>
      </c>
      <c r="DI19">
        <v>5.9021134693175561E-2</v>
      </c>
      <c r="DJ19">
        <v>1.2745426508967459</v>
      </c>
      <c r="DK19">
        <v>12694321361.953968</v>
      </c>
      <c r="DL19">
        <v>5.1643492856528611E-2</v>
      </c>
      <c r="DM19">
        <v>689000000</v>
      </c>
      <c r="DN19">
        <v>7.3776418366469448E-2</v>
      </c>
      <c r="DO19">
        <v>16179454000</v>
      </c>
      <c r="DP19">
        <v>2283035000</v>
      </c>
      <c r="DQ19">
        <v>3789</v>
      </c>
      <c r="DR19">
        <v>0.18655358163353056</v>
      </c>
      <c r="DS19">
        <v>-3.8512674291656585E-2</v>
      </c>
      <c r="DT19" s="9">
        <v>0.13333333333333333</v>
      </c>
      <c r="DU19">
        <v>0.39999999999999997</v>
      </c>
      <c r="DV19">
        <v>0.53333333333333333</v>
      </c>
      <c r="DW19">
        <v>-2.1149</v>
      </c>
      <c r="DX19">
        <v>0.58143084112149834</v>
      </c>
      <c r="DY19">
        <v>-2.0116544036448598</v>
      </c>
      <c r="DZ19">
        <v>1729</v>
      </c>
      <c r="EA19">
        <v>-2.0076419655919002</v>
      </c>
      <c r="EB19">
        <v>2</v>
      </c>
      <c r="EC19">
        <v>2.1601480558563004E-2</v>
      </c>
      <c r="ED19">
        <v>0.21296757790550547</v>
      </c>
      <c r="EE19" s="10">
        <v>-1.1414390000000001</v>
      </c>
      <c r="EF19">
        <v>-1.1009100000000001</v>
      </c>
      <c r="EG19">
        <v>48.101430841121498</v>
      </c>
      <c r="EH19" t="s">
        <v>335</v>
      </c>
      <c r="EI19">
        <v>0</v>
      </c>
      <c r="EJ19">
        <v>0</v>
      </c>
      <c r="EK19" s="12">
        <v>45089</v>
      </c>
      <c r="EL19" s="13">
        <v>-2.9399999999999999E-2</v>
      </c>
      <c r="EM19" s="13">
        <v>1.21</v>
      </c>
    </row>
    <row r="20" spans="1:146" ht="108">
      <c r="C20" s="6" t="str">
        <f>""&amp;CHAR(10)&amp;Basic_Fundamental_Information_Constructure(F20)&amp;CHAR(10)&amp;Basic_Fundamental_Information_Concatenate("")</f>
        <v xml:space="preserve">
市值212.33776亿, 利润1.19亿; PE19.76; 平均PE67.12; 平均PEG3.17, PB3.98; ROIC15.47%; ROE18.2067%; 股利率1.4834%; 毛利26.8%; 净利6.82%; 上一年度营收增-79.57%, 利润增-83.02%; 当季营收增574.23%, 利润增1346.26%; 过往5年营收增21.17%, 利润增30.5%
Income profile:
</v>
      </c>
      <c r="D20" t="s">
        <v>906</v>
      </c>
      <c r="E20" t="s">
        <v>907</v>
      </c>
      <c r="F20">
        <v>140.22</v>
      </c>
      <c r="G20">
        <v>1.32</v>
      </c>
      <c r="H20" t="s">
        <v>908</v>
      </c>
      <c r="I20">
        <v>21233776000</v>
      </c>
      <c r="J20">
        <v>19.760000000000002</v>
      </c>
      <c r="K20">
        <v>3.98</v>
      </c>
      <c r="L20" t="s">
        <v>377</v>
      </c>
      <c r="M20" t="s">
        <v>909</v>
      </c>
      <c r="N20" t="s">
        <v>910</v>
      </c>
      <c r="O20" t="s">
        <v>911</v>
      </c>
      <c r="P20" s="5">
        <v>6.31</v>
      </c>
      <c r="Q20" t="s">
        <v>912</v>
      </c>
      <c r="R20">
        <v>277529430</v>
      </c>
      <c r="S20">
        <v>0.31969999999999998</v>
      </c>
      <c r="T20" t="s">
        <v>913</v>
      </c>
      <c r="U20">
        <v>151431860</v>
      </c>
      <c r="V20">
        <v>151431860</v>
      </c>
      <c r="W20">
        <v>1.97</v>
      </c>
      <c r="X20">
        <v>0.28999999999999998</v>
      </c>
      <c r="Y20">
        <v>9.51</v>
      </c>
      <c r="Z20" t="s">
        <v>914</v>
      </c>
      <c r="AA20" t="s">
        <v>915</v>
      </c>
      <c r="AB20" t="s">
        <v>582</v>
      </c>
      <c r="AC20" t="s">
        <v>916</v>
      </c>
      <c r="AD20" t="s">
        <v>20</v>
      </c>
      <c r="AE20">
        <v>-65715988</v>
      </c>
      <c r="AF20" t="s">
        <v>917</v>
      </c>
      <c r="AG20" t="s">
        <v>918</v>
      </c>
      <c r="AH20" t="s">
        <v>919</v>
      </c>
      <c r="AI20" t="s">
        <v>920</v>
      </c>
      <c r="AJ20" t="s">
        <v>921</v>
      </c>
      <c r="AK20" t="s">
        <v>20</v>
      </c>
      <c r="AL20" t="s">
        <v>922</v>
      </c>
      <c r="AM20" t="s">
        <v>20</v>
      </c>
      <c r="AN20" t="s">
        <v>923</v>
      </c>
      <c r="AO20" t="s">
        <v>20</v>
      </c>
      <c r="AP20" t="s">
        <v>924</v>
      </c>
      <c r="AQ20" t="s">
        <v>925</v>
      </c>
      <c r="AR20" t="s">
        <v>20</v>
      </c>
      <c r="AS20" t="s">
        <v>926</v>
      </c>
      <c r="AT20" t="s">
        <v>20</v>
      </c>
      <c r="AU20" t="s">
        <v>518</v>
      </c>
      <c r="AV20" t="s">
        <v>927</v>
      </c>
      <c r="AW20" t="s">
        <v>928</v>
      </c>
      <c r="AX20" t="s">
        <v>929</v>
      </c>
      <c r="AY20" t="s">
        <v>930</v>
      </c>
      <c r="AZ20" t="s">
        <v>931</v>
      </c>
      <c r="BA20" t="s">
        <v>932</v>
      </c>
      <c r="BB20" t="s">
        <v>933</v>
      </c>
      <c r="BC20" t="s">
        <v>934</v>
      </c>
      <c r="BD20" t="s">
        <v>935</v>
      </c>
      <c r="BE20" t="s">
        <v>936</v>
      </c>
      <c r="BF20" t="s">
        <v>937</v>
      </c>
      <c r="BG20" t="s">
        <v>678</v>
      </c>
      <c r="BH20" t="s">
        <v>938</v>
      </c>
      <c r="BI20" t="s">
        <v>939</v>
      </c>
      <c r="BJ20" t="s">
        <v>929</v>
      </c>
      <c r="BK20" t="s">
        <v>940</v>
      </c>
      <c r="BL20" t="s">
        <v>941</v>
      </c>
      <c r="BM20" t="s">
        <v>934</v>
      </c>
      <c r="BN20">
        <v>14.46</v>
      </c>
      <c r="BO20">
        <v>16.98</v>
      </c>
      <c r="BP20">
        <v>14.97</v>
      </c>
      <c r="BQ20">
        <v>17.43</v>
      </c>
      <c r="BR20">
        <v>17.93</v>
      </c>
      <c r="BS20">
        <v>19.260000000000002</v>
      </c>
      <c r="BT20" t="s">
        <v>942</v>
      </c>
      <c r="BU20" t="s">
        <v>413</v>
      </c>
      <c r="BV20">
        <v>33.5</v>
      </c>
      <c r="BW20">
        <v>25.37</v>
      </c>
      <c r="BX20">
        <v>21.53</v>
      </c>
      <c r="BY20">
        <v>8.73</v>
      </c>
      <c r="BZ20">
        <v>6.5</v>
      </c>
      <c r="CA20">
        <v>5.23</v>
      </c>
      <c r="CB20">
        <v>-1.49</v>
      </c>
      <c r="CC20" s="7">
        <v>-5.83</v>
      </c>
      <c r="CD20" s="8" t="s">
        <v>943</v>
      </c>
      <c r="CE20" s="7" t="s">
        <v>944</v>
      </c>
      <c r="CF20" s="7">
        <v>5.7422907488986787</v>
      </c>
      <c r="CG20" s="7">
        <v>13.46264239632297</v>
      </c>
      <c r="CH20" s="7">
        <v>-0.79565829038619995</v>
      </c>
      <c r="CI20" s="7">
        <v>0.44739848375320435</v>
      </c>
      <c r="CJ20" s="8">
        <v>0.73685371875762939</v>
      </c>
      <c r="CK20" s="8">
        <v>0.39605191349983215</v>
      </c>
      <c r="CL20" s="8">
        <v>0.2738703191280365</v>
      </c>
      <c r="CM20" s="8">
        <v>-0.83024251461029053</v>
      </c>
      <c r="CN20" s="8">
        <v>0.70145630836486816</v>
      </c>
      <c r="CO20">
        <v>0.12876711785793304</v>
      </c>
      <c r="CP20">
        <v>1.0165746212005615</v>
      </c>
      <c r="CQ20">
        <v>0.50833332538604736</v>
      </c>
      <c r="CR20" s="7">
        <v>67.124687038988412</v>
      </c>
      <c r="CS20" s="8">
        <v>3.1706973659189304</v>
      </c>
      <c r="CT20">
        <v>1.4833832548851804</v>
      </c>
      <c r="CU20">
        <v>0.21170322895050048</v>
      </c>
      <c r="CV20">
        <v>0.30497777163982392</v>
      </c>
      <c r="CW20">
        <v>0.06</v>
      </c>
      <c r="CX20">
        <v>153.84582564737414</v>
      </c>
      <c r="CY20">
        <v>136030834.19349959</v>
      </c>
      <c r="CZ20">
        <v>0.21170322895050048</v>
      </c>
      <c r="DA20">
        <v>45.418915601872683</v>
      </c>
      <c r="DB20">
        <v>460772251.44356197</v>
      </c>
      <c r="DC20">
        <v>0.20111806750297545</v>
      </c>
      <c r="DD20">
        <v>19.405350206798257</v>
      </c>
      <c r="DE20">
        <v>1078453920.0260551</v>
      </c>
      <c r="DF20">
        <v>0.18629884147644041</v>
      </c>
      <c r="DG20">
        <v>9.8515347734910073</v>
      </c>
      <c r="DH20">
        <v>2124316310.2173162</v>
      </c>
      <c r="DI20">
        <v>0.1693625831604004</v>
      </c>
      <c r="DJ20">
        <v>3.4240024159720952</v>
      </c>
      <c r="DK20">
        <v>6112079799.4701405</v>
      </c>
      <c r="DL20">
        <v>0.14819226026535032</v>
      </c>
      <c r="DM20">
        <v>119000000</v>
      </c>
      <c r="DN20">
        <v>0.21170322895050048</v>
      </c>
      <c r="DO20">
        <v>20927776000</v>
      </c>
      <c r="DP20">
        <v>3074438200</v>
      </c>
      <c r="DQ20" s="9">
        <v>3954</v>
      </c>
      <c r="DR20">
        <v>5.5305875199481784</v>
      </c>
      <c r="DS20">
        <v>13.157664624683147</v>
      </c>
      <c r="DT20">
        <v>-0.14000000000000004</v>
      </c>
      <c r="DU20">
        <v>0.51999999999999991</v>
      </c>
      <c r="DV20">
        <v>0.37999999999999989</v>
      </c>
      <c r="DW20">
        <v>-1.0583</v>
      </c>
      <c r="DX20">
        <v>0.3200053854927512</v>
      </c>
      <c r="DY20">
        <v>-1.0075793139742275</v>
      </c>
      <c r="DZ20">
        <v>2600</v>
      </c>
      <c r="EA20">
        <v>-1.0037229115607262</v>
      </c>
      <c r="EB20" s="10">
        <v>1</v>
      </c>
      <c r="EC20" s="10">
        <v>4.192512724865164E-2</v>
      </c>
      <c r="ED20">
        <v>0.32248761918396829</v>
      </c>
      <c r="EE20">
        <v>1.3009999999999997E-2</v>
      </c>
      <c r="EF20">
        <v>4.5109999999999997E-2</v>
      </c>
      <c r="EG20">
        <v>19.130005385492751</v>
      </c>
      <c r="EH20" s="12">
        <v>-1</v>
      </c>
      <c r="EI20">
        <v>0</v>
      </c>
      <c r="EJ20">
        <v>0</v>
      </c>
      <c r="EK20">
        <v>45470</v>
      </c>
      <c r="EL20">
        <v>0.51</v>
      </c>
      <c r="EM20">
        <v>-2.87</v>
      </c>
      <c r="EN20">
        <v>0.17</v>
      </c>
      <c r="EO20">
        <v>2.4300000000000002</v>
      </c>
      <c r="EP20">
        <v>-3.21</v>
      </c>
    </row>
    <row r="21" spans="1:146" ht="108">
      <c r="C21" s="6" t="str">
        <f>""&amp;CHAR(10)&amp;Basic_Fundamental_Information_Constructure(F21)&amp;CHAR(10)&amp;Basic_Fundamental_Information_Concatenate("")</f>
        <v xml:space="preserve">
市值236.17029亿, 利润1.58亿; PE12.52; 平均PE33.39; 平均PEG136.23, PB3.03; ROIC17.4467%; ROE23.1367%; 股利率1.9489%; 毛利14.8633%; 净利7.45%; 上一年度营收增-95.39%, 利润增-91.56%; 当季营收增2453.61%, 利润增3158.2%; 过往5年营收增-.25%, 利润增27.62%
Income profile:
</v>
      </c>
      <c r="D21" t="s">
        <v>945</v>
      </c>
      <c r="E21" t="s">
        <v>946</v>
      </c>
      <c r="F21">
        <v>27.4</v>
      </c>
      <c r="G21">
        <v>1.26</v>
      </c>
      <c r="H21" t="s">
        <v>947</v>
      </c>
      <c r="I21">
        <v>23617029000</v>
      </c>
      <c r="J21">
        <v>12.52</v>
      </c>
      <c r="K21">
        <v>3.03</v>
      </c>
      <c r="L21" t="s">
        <v>377</v>
      </c>
      <c r="M21" t="s">
        <v>948</v>
      </c>
      <c r="N21" t="s">
        <v>949</v>
      </c>
      <c r="O21" t="s">
        <v>950</v>
      </c>
      <c r="P21" s="5">
        <v>-8.9700000000000006</v>
      </c>
      <c r="Q21" t="s">
        <v>951</v>
      </c>
      <c r="R21">
        <v>483312040</v>
      </c>
      <c r="S21">
        <v>1.1599999999999999E-2</v>
      </c>
      <c r="T21" t="s">
        <v>952</v>
      </c>
      <c r="U21">
        <v>842652250</v>
      </c>
      <c r="V21">
        <v>861935350</v>
      </c>
      <c r="W21">
        <v>2.5099999999999998</v>
      </c>
      <c r="X21">
        <v>0.24</v>
      </c>
      <c r="Y21">
        <v>9.8699999999999992</v>
      </c>
      <c r="Z21" t="s">
        <v>953</v>
      </c>
      <c r="AA21" t="s">
        <v>954</v>
      </c>
      <c r="AB21" t="s">
        <v>955</v>
      </c>
      <c r="AC21" t="s">
        <v>65</v>
      </c>
      <c r="AD21" t="s">
        <v>20</v>
      </c>
      <c r="AE21">
        <v>-85686275</v>
      </c>
      <c r="AF21" t="s">
        <v>956</v>
      </c>
      <c r="AG21" t="s">
        <v>957</v>
      </c>
      <c r="AH21" t="s">
        <v>958</v>
      </c>
      <c r="AI21" t="s">
        <v>959</v>
      </c>
      <c r="AJ21" t="s">
        <v>960</v>
      </c>
      <c r="AK21" t="s">
        <v>20</v>
      </c>
      <c r="AL21" t="s">
        <v>961</v>
      </c>
      <c r="AM21" t="s">
        <v>20</v>
      </c>
      <c r="AN21" t="s">
        <v>962</v>
      </c>
      <c r="AO21" t="s">
        <v>20</v>
      </c>
      <c r="AP21" t="s">
        <v>963</v>
      </c>
      <c r="AQ21" t="s">
        <v>964</v>
      </c>
      <c r="AR21" t="s">
        <v>965</v>
      </c>
      <c r="AS21" t="s">
        <v>966</v>
      </c>
      <c r="AT21" t="s">
        <v>20</v>
      </c>
      <c r="AU21" t="s">
        <v>967</v>
      </c>
      <c r="AV21" t="s">
        <v>968</v>
      </c>
      <c r="AW21" t="s">
        <v>969</v>
      </c>
      <c r="AX21" t="s">
        <v>970</v>
      </c>
      <c r="AY21" t="s">
        <v>971</v>
      </c>
      <c r="AZ21" t="s">
        <v>972</v>
      </c>
      <c r="BA21" t="s">
        <v>973</v>
      </c>
      <c r="BB21" t="s">
        <v>974</v>
      </c>
      <c r="BC21" t="s">
        <v>975</v>
      </c>
      <c r="BD21" t="s">
        <v>976</v>
      </c>
      <c r="BE21" t="s">
        <v>977</v>
      </c>
      <c r="BF21" t="s">
        <v>978</v>
      </c>
      <c r="BG21" t="s">
        <v>979</v>
      </c>
      <c r="BH21" t="s">
        <v>980</v>
      </c>
      <c r="BI21" t="s">
        <v>981</v>
      </c>
      <c r="BJ21" t="s">
        <v>970</v>
      </c>
      <c r="BK21" t="s">
        <v>982</v>
      </c>
      <c r="BL21" t="s">
        <v>983</v>
      </c>
      <c r="BM21" t="s">
        <v>975</v>
      </c>
      <c r="BN21">
        <v>15.6</v>
      </c>
      <c r="BO21">
        <v>25.31</v>
      </c>
      <c r="BP21">
        <v>11.43</v>
      </c>
      <c r="BQ21">
        <v>20.8</v>
      </c>
      <c r="BR21">
        <v>31.15</v>
      </c>
      <c r="BS21">
        <v>17.46</v>
      </c>
      <c r="BT21" t="s">
        <v>984</v>
      </c>
      <c r="BU21" t="s">
        <v>413</v>
      </c>
      <c r="BV21">
        <v>16.510000000000002</v>
      </c>
      <c r="BW21">
        <v>16.36</v>
      </c>
      <c r="BX21">
        <v>11.72</v>
      </c>
      <c r="BY21">
        <v>9.01</v>
      </c>
      <c r="BZ21">
        <v>9</v>
      </c>
      <c r="CA21">
        <v>4.34</v>
      </c>
      <c r="CB21">
        <v>0.26</v>
      </c>
      <c r="CC21" s="7">
        <v>-22.07</v>
      </c>
      <c r="CD21" s="8" t="s">
        <v>985</v>
      </c>
      <c r="CE21" s="7" t="s">
        <v>47</v>
      </c>
      <c r="CF21" s="7">
        <v>24.536082474226806</v>
      </c>
      <c r="CG21" s="7">
        <v>31.582028758839673</v>
      </c>
      <c r="CH21" s="7">
        <v>-0.95389860868453979</v>
      </c>
      <c r="CI21" s="7">
        <v>0.35086700320243835</v>
      </c>
      <c r="CJ21" s="8">
        <v>0.19325843453407288</v>
      </c>
      <c r="CK21" s="8">
        <v>0.23800837993621826</v>
      </c>
      <c r="CL21" s="8">
        <v>0.15951061248779297</v>
      </c>
      <c r="CM21" s="8">
        <v>-0.91564333438873291</v>
      </c>
      <c r="CN21" s="8">
        <v>1.8207830190658569</v>
      </c>
      <c r="CO21">
        <v>0.10851418972015381</v>
      </c>
      <c r="CP21">
        <v>0.14750957489013672</v>
      </c>
      <c r="CQ21">
        <v>0.21962617337703705</v>
      </c>
      <c r="CR21" s="7">
        <v>33.388825164938737</v>
      </c>
      <c r="CS21" s="8">
        <v>136.23444892490744</v>
      </c>
      <c r="CT21">
        <v>1.948905109489051</v>
      </c>
      <c r="CU21">
        <v>-2.4508357048034666E-3</v>
      </c>
      <c r="CV21">
        <v>0.27615792453289034</v>
      </c>
      <c r="CW21">
        <v>0.06</v>
      </c>
      <c r="CX21">
        <v>173.62676582278482</v>
      </c>
      <c r="CY21" t="s">
        <v>986</v>
      </c>
      <c r="CZ21">
        <v>-2.4508357048034666E-3</v>
      </c>
      <c r="DA21">
        <v>57.875588607594935</v>
      </c>
      <c r="DB21" t="s">
        <v>987</v>
      </c>
      <c r="DC21">
        <v>-2.3282939195632931E-3</v>
      </c>
      <c r="DD21">
        <v>28.937794303797467</v>
      </c>
      <c r="DE21" t="s">
        <v>988</v>
      </c>
      <c r="DF21">
        <v>-2.1567354202270505E-3</v>
      </c>
      <c r="DG21">
        <v>17.362676582278482</v>
      </c>
      <c r="DH21" t="s">
        <v>989</v>
      </c>
      <c r="DI21">
        <v>-1.9606685638427733E-3</v>
      </c>
      <c r="DJ21">
        <v>8.6813382911392409</v>
      </c>
      <c r="DK21" t="s">
        <v>990</v>
      </c>
      <c r="DL21">
        <v>-1.7155849933624264E-3</v>
      </c>
      <c r="DM21">
        <v>158000000</v>
      </c>
      <c r="DN21">
        <v>-2.4508357048034666E-3</v>
      </c>
      <c r="DO21">
        <v>27433029000</v>
      </c>
      <c r="DP21">
        <v>-390378100</v>
      </c>
      <c r="DQ21" s="9">
        <v>4173</v>
      </c>
      <c r="DR21">
        <v>24.538533309931609</v>
      </c>
      <c r="DS21">
        <v>31.305870834306784</v>
      </c>
      <c r="DT21">
        <v>-0.27333333333333343</v>
      </c>
      <c r="DU21">
        <v>0.30333333333333329</v>
      </c>
      <c r="DV21">
        <v>2.999999999999986E-2</v>
      </c>
      <c r="DW21">
        <v>-3.0686488095238094</v>
      </c>
      <c r="DX21">
        <v>0.36976666666666691</v>
      </c>
      <c r="DY21">
        <v>-3.0144002319444443</v>
      </c>
      <c r="DZ21">
        <v>1799</v>
      </c>
      <c r="EA21">
        <v>-3.0093305612461947</v>
      </c>
      <c r="EB21" s="10">
        <v>3</v>
      </c>
      <c r="EC21" s="10">
        <v>3.2124451097173358E-2</v>
      </c>
      <c r="ED21">
        <v>0.15314373636027342</v>
      </c>
      <c r="EE21">
        <v>1.5699999999999999E-2</v>
      </c>
      <c r="EF21">
        <v>1.4710000000000001E-2</v>
      </c>
      <c r="EG21">
        <v>16.209766666666667</v>
      </c>
      <c r="EH21" s="12">
        <v>-1</v>
      </c>
      <c r="EI21">
        <v>0</v>
      </c>
      <c r="EJ21">
        <v>0</v>
      </c>
      <c r="EK21">
        <v>45470</v>
      </c>
      <c r="EL21">
        <v>0.45</v>
      </c>
      <c r="EM21">
        <v>-0.82</v>
      </c>
      <c r="EN21">
        <v>-2.37</v>
      </c>
      <c r="EO21">
        <v>1.39</v>
      </c>
      <c r="EP21">
        <v>-3.04</v>
      </c>
    </row>
    <row r="22" spans="1:146" ht="108">
      <c r="C22" s="6" t="str">
        <f>""&amp;CHAR(10)&amp;Basic_Fundamental_Information_Constructure(F22)&amp;CHAR(10)&amp;Basic_Fundamental_Information_Concatenate("")</f>
        <v xml:space="preserve">
市值132.248095亿, 利润7276.44万; PE20.16; 平均PE26.39; 平均PEG1.69, PB1.55; ROIC5.8733%; ROE7.3033%; 股利率1.5528%; 毛利16.5667%; 净利3.46%; 上一年度营收增-91.1%, 利润增-86.19%; 当季营收增1384.68%, 利润增3107.03%; 过往5年营收增-15.58%, 利润增-24.85%
Income profile:
</v>
      </c>
      <c r="D22" t="s">
        <v>991</v>
      </c>
      <c r="E22" t="s">
        <v>992</v>
      </c>
      <c r="F22">
        <v>6.44</v>
      </c>
      <c r="G22">
        <v>1.26</v>
      </c>
      <c r="H22" t="s">
        <v>993</v>
      </c>
      <c r="I22">
        <v>13224809500</v>
      </c>
      <c r="J22">
        <v>20.16</v>
      </c>
      <c r="K22">
        <v>1.55</v>
      </c>
      <c r="L22" t="s">
        <v>377</v>
      </c>
      <c r="M22" t="s">
        <v>994</v>
      </c>
      <c r="N22" t="s">
        <v>995</v>
      </c>
      <c r="O22" t="s">
        <v>996</v>
      </c>
      <c r="P22" s="5">
        <v>20.41</v>
      </c>
      <c r="Q22" t="s">
        <v>997</v>
      </c>
      <c r="R22">
        <v>257572220</v>
      </c>
      <c r="S22">
        <v>0.39250000000000002</v>
      </c>
      <c r="T22" t="s">
        <v>998</v>
      </c>
      <c r="U22">
        <v>2053541900</v>
      </c>
      <c r="V22">
        <v>2053541900</v>
      </c>
      <c r="W22">
        <v>1.61</v>
      </c>
      <c r="X22">
        <v>0.24</v>
      </c>
      <c r="Y22">
        <v>7.71</v>
      </c>
      <c r="Z22" t="s">
        <v>999</v>
      </c>
      <c r="AA22" t="s">
        <v>914</v>
      </c>
      <c r="AB22" t="s">
        <v>1000</v>
      </c>
      <c r="AC22" t="s">
        <v>1001</v>
      </c>
      <c r="AD22" t="s">
        <v>20</v>
      </c>
      <c r="AE22">
        <v>-32631586</v>
      </c>
      <c r="AF22" t="s">
        <v>1002</v>
      </c>
      <c r="AG22" t="s">
        <v>1003</v>
      </c>
      <c r="AH22" t="s">
        <v>1004</v>
      </c>
      <c r="AI22" t="s">
        <v>1005</v>
      </c>
      <c r="AJ22" t="s">
        <v>1006</v>
      </c>
      <c r="AK22" t="s">
        <v>1007</v>
      </c>
      <c r="AL22" t="s">
        <v>1008</v>
      </c>
      <c r="AM22" t="s">
        <v>20</v>
      </c>
      <c r="AN22" t="s">
        <v>1009</v>
      </c>
      <c r="AO22" t="s">
        <v>1010</v>
      </c>
      <c r="AP22" t="s">
        <v>1011</v>
      </c>
      <c r="AQ22" t="s">
        <v>1012</v>
      </c>
      <c r="AR22" t="s">
        <v>20</v>
      </c>
      <c r="AS22" t="s">
        <v>1013</v>
      </c>
      <c r="AT22" t="s">
        <v>20</v>
      </c>
      <c r="AU22" t="s">
        <v>1014</v>
      </c>
      <c r="AV22" t="s">
        <v>1015</v>
      </c>
      <c r="AW22" t="s">
        <v>1016</v>
      </c>
      <c r="AX22" t="s">
        <v>1017</v>
      </c>
      <c r="AY22" t="s">
        <v>1018</v>
      </c>
      <c r="AZ22" t="s">
        <v>1019</v>
      </c>
      <c r="BA22" t="s">
        <v>1020</v>
      </c>
      <c r="BB22" t="s">
        <v>1021</v>
      </c>
      <c r="BC22" t="s">
        <v>1022</v>
      </c>
      <c r="BD22" t="s">
        <v>1023</v>
      </c>
      <c r="BE22" t="s">
        <v>1024</v>
      </c>
      <c r="BF22" t="s">
        <v>1025</v>
      </c>
      <c r="BG22" t="s">
        <v>1026</v>
      </c>
      <c r="BH22" t="s">
        <v>1027</v>
      </c>
      <c r="BI22" t="s">
        <v>1028</v>
      </c>
      <c r="BJ22" t="s">
        <v>1017</v>
      </c>
      <c r="BK22" t="s">
        <v>1029</v>
      </c>
      <c r="BL22" t="s">
        <v>1030</v>
      </c>
      <c r="BM22" t="s">
        <v>1022</v>
      </c>
      <c r="BN22">
        <v>7.8</v>
      </c>
      <c r="BO22">
        <v>5.46</v>
      </c>
      <c r="BP22">
        <v>4.3600000000000003</v>
      </c>
      <c r="BQ22">
        <v>9.69</v>
      </c>
      <c r="BR22">
        <v>6.94</v>
      </c>
      <c r="BS22">
        <v>5.28</v>
      </c>
      <c r="BT22" t="s">
        <v>1031</v>
      </c>
      <c r="BU22" t="s">
        <v>413</v>
      </c>
      <c r="BV22">
        <v>18.54</v>
      </c>
      <c r="BW22">
        <v>17.39</v>
      </c>
      <c r="BX22">
        <v>13.77</v>
      </c>
      <c r="BY22">
        <v>3.63</v>
      </c>
      <c r="BZ22">
        <v>3.93</v>
      </c>
      <c r="CA22">
        <v>2.82</v>
      </c>
      <c r="CB22">
        <v>-5.01</v>
      </c>
      <c r="CC22" s="7">
        <v>-6.8</v>
      </c>
      <c r="CD22" s="8" t="s">
        <v>161</v>
      </c>
      <c r="CE22" s="7" t="s">
        <v>1032</v>
      </c>
      <c r="CF22" s="7">
        <v>13.846846846846844</v>
      </c>
      <c r="CG22" s="7">
        <v>31.07025088713192</v>
      </c>
      <c r="CH22" s="7">
        <v>-0.91095894575119019</v>
      </c>
      <c r="CI22" s="7">
        <v>-4.9624711275100708E-2</v>
      </c>
      <c r="CJ22" s="8">
        <v>0.2511257529258728</v>
      </c>
      <c r="CK22" s="8">
        <v>-2.0000018179416656E-2</v>
      </c>
      <c r="CL22" s="8">
        <v>-4.9446571618318558E-2</v>
      </c>
      <c r="CM22" s="8">
        <v>-0.8619270920753479</v>
      </c>
      <c r="CN22" s="8">
        <v>0.36883115768432617</v>
      </c>
      <c r="CO22">
        <v>-0.1979166716337204</v>
      </c>
      <c r="CP22">
        <v>-0.22953450679779053</v>
      </c>
      <c r="CQ22">
        <v>-0.32208922505378723</v>
      </c>
      <c r="CR22" s="7">
        <v>26.390114569668313</v>
      </c>
      <c r="CS22" s="8">
        <v>1.6940533002701477</v>
      </c>
      <c r="CT22">
        <v>1.5527950310559004</v>
      </c>
      <c r="CU22">
        <v>-0.15578089877963067</v>
      </c>
      <c r="CV22">
        <v>-0.24852726757526397</v>
      </c>
      <c r="CW22">
        <v>0.06</v>
      </c>
      <c r="CX22">
        <v>138.23806009532134</v>
      </c>
      <c r="CY22" t="s">
        <v>1033</v>
      </c>
      <c r="CZ22">
        <v>-0.15578089877963067</v>
      </c>
      <c r="DA22">
        <v>46.07935336510711</v>
      </c>
      <c r="DB22" t="s">
        <v>1034</v>
      </c>
      <c r="DC22">
        <v>-0.14799185384064914</v>
      </c>
      <c r="DD22">
        <v>23.039676682553555</v>
      </c>
      <c r="DE22" t="s">
        <v>1035</v>
      </c>
      <c r="DF22">
        <v>-0.13708719092607499</v>
      </c>
      <c r="DG22">
        <v>13.823806009532134</v>
      </c>
      <c r="DH22" t="s">
        <v>1036</v>
      </c>
      <c r="DI22">
        <v>-0.12462471902370453</v>
      </c>
      <c r="DJ22">
        <v>6.9119030047660672</v>
      </c>
      <c r="DK22" t="s">
        <v>1037</v>
      </c>
      <c r="DL22">
        <v>-0.10904662914574147</v>
      </c>
      <c r="DM22">
        <v>72764400</v>
      </c>
      <c r="DN22">
        <v>-0.15578089877963067</v>
      </c>
      <c r="DO22">
        <v>10058809500</v>
      </c>
      <c r="DP22">
        <v>4722939900</v>
      </c>
      <c r="DQ22" s="9">
        <v>4295</v>
      </c>
      <c r="DR22">
        <v>14.002627745626475</v>
      </c>
      <c r="DS22">
        <v>31.318778154707182</v>
      </c>
      <c r="DT22">
        <v>-0.64</v>
      </c>
      <c r="DU22">
        <v>-0.7533333333333333</v>
      </c>
      <c r="DV22">
        <v>-1.3933333333333333</v>
      </c>
      <c r="DW22">
        <v>-8.7367647058823525</v>
      </c>
      <c r="DX22">
        <v>0.39666666666666739</v>
      </c>
      <c r="DY22">
        <v>-8.1375294117647066</v>
      </c>
      <c r="DZ22">
        <v>2043</v>
      </c>
      <c r="EA22">
        <v>-8.0825445608380342</v>
      </c>
      <c r="EB22" s="10">
        <v>8</v>
      </c>
      <c r="EC22" s="10">
        <v>8.1809872006994355E-2</v>
      </c>
      <c r="ED22">
        <v>0.43826717146604116</v>
      </c>
      <c r="EE22">
        <v>4.0481100000000003</v>
      </c>
      <c r="EF22">
        <v>4.0764100000000001</v>
      </c>
      <c r="EG22">
        <v>21.186666666666667</v>
      </c>
      <c r="EH22" s="12" t="s">
        <v>559</v>
      </c>
      <c r="EI22">
        <v>0</v>
      </c>
      <c r="EJ22">
        <v>0</v>
      </c>
      <c r="EK22">
        <v>45470</v>
      </c>
      <c r="EL22">
        <v>-1.35</v>
      </c>
      <c r="EM22">
        <v>-5.16</v>
      </c>
      <c r="EN22">
        <v>5.44</v>
      </c>
      <c r="EO22">
        <v>-0.16</v>
      </c>
      <c r="EP22">
        <v>-2.83</v>
      </c>
    </row>
    <row r="23" spans="1:146" ht="108">
      <c r="C23" s="6" t="str">
        <f>""&amp;CHAR(10)&amp;Basic_Fundamental_Information_Constructure(F23)&amp;CHAR(10)&amp;Basic_Fundamental_Information_Concatenate("")</f>
        <v xml:space="preserve">
市值22.282141亿, 利润5704.54万; PE; 平均PE11.6; 平均PEG.12, PB.763; ROIC1.425%; ROE-.1167%; 股利率3.0896%; 毛利15.8233%; 净利-9.81%; 上一年度营收增486.58%, 利润增184.5%; 当季营收增-90.68%, 利润增-107.26%; 过往5年营收增92.82%, 利润增29.1%
Income profile:
</v>
      </c>
      <c r="D23" t="s">
        <v>1038</v>
      </c>
      <c r="E23" t="s">
        <v>1039</v>
      </c>
      <c r="F23">
        <v>9.7100000000000009</v>
      </c>
      <c r="G23">
        <v>3.85</v>
      </c>
      <c r="H23" t="s">
        <v>1040</v>
      </c>
      <c r="I23">
        <v>2228214100</v>
      </c>
      <c r="K23">
        <v>0.76300000000000001</v>
      </c>
      <c r="L23" t="s">
        <v>377</v>
      </c>
      <c r="M23" t="s">
        <v>1041</v>
      </c>
      <c r="N23" t="s">
        <v>1042</v>
      </c>
      <c r="O23" t="s">
        <v>1043</v>
      </c>
      <c r="P23" s="5">
        <v>-9.33</v>
      </c>
      <c r="Q23" t="s">
        <v>1044</v>
      </c>
      <c r="R23">
        <v>-5171080</v>
      </c>
      <c r="S23">
        <v>-1.508</v>
      </c>
      <c r="T23" t="s">
        <v>1045</v>
      </c>
      <c r="U23">
        <v>229476220</v>
      </c>
      <c r="V23">
        <v>229476220</v>
      </c>
      <c r="W23">
        <v>1.42</v>
      </c>
      <c r="X23">
        <v>0.02</v>
      </c>
      <c r="Y23">
        <v>-5.22</v>
      </c>
      <c r="Z23" t="s">
        <v>575</v>
      </c>
      <c r="AA23" t="s">
        <v>127</v>
      </c>
      <c r="AB23" t="s">
        <v>1046</v>
      </c>
      <c r="AC23" t="s">
        <v>1047</v>
      </c>
      <c r="AD23" t="s">
        <v>20</v>
      </c>
      <c r="AE23">
        <v>8485817</v>
      </c>
      <c r="AF23" t="s">
        <v>1048</v>
      </c>
      <c r="AG23" t="s">
        <v>1049</v>
      </c>
      <c r="AH23" t="s">
        <v>1050</v>
      </c>
      <c r="AI23" t="s">
        <v>1051</v>
      </c>
      <c r="AJ23" t="s">
        <v>1052</v>
      </c>
      <c r="AK23" t="s">
        <v>1053</v>
      </c>
      <c r="AL23" t="s">
        <v>1054</v>
      </c>
      <c r="AM23" t="s">
        <v>20</v>
      </c>
      <c r="AN23" t="s">
        <v>1055</v>
      </c>
      <c r="AO23" t="s">
        <v>1056</v>
      </c>
      <c r="AP23" t="s">
        <v>1057</v>
      </c>
      <c r="AQ23" t="s">
        <v>1058</v>
      </c>
      <c r="AR23" t="s">
        <v>20</v>
      </c>
      <c r="AS23" t="s">
        <v>1059</v>
      </c>
      <c r="AT23" t="s">
        <v>20</v>
      </c>
      <c r="AU23" t="s">
        <v>1060</v>
      </c>
      <c r="AV23" t="s">
        <v>1061</v>
      </c>
      <c r="AW23" t="s">
        <v>1062</v>
      </c>
      <c r="AX23" t="s">
        <v>1063</v>
      </c>
      <c r="AY23" t="s">
        <v>1064</v>
      </c>
      <c r="AZ23" t="s">
        <v>1064</v>
      </c>
      <c r="BA23" t="s">
        <v>1065</v>
      </c>
      <c r="BB23" t="s">
        <v>1066</v>
      </c>
      <c r="BC23" t="s">
        <v>1067</v>
      </c>
      <c r="BD23" t="s">
        <v>1068</v>
      </c>
      <c r="BE23" t="s">
        <v>1069</v>
      </c>
      <c r="BF23" t="s">
        <v>1070</v>
      </c>
      <c r="BG23" t="s">
        <v>34</v>
      </c>
      <c r="BH23" t="s">
        <v>1071</v>
      </c>
      <c r="BI23" t="s">
        <v>338</v>
      </c>
      <c r="BJ23" t="s">
        <v>1063</v>
      </c>
      <c r="BK23" t="s">
        <v>1072</v>
      </c>
      <c r="BL23" t="s">
        <v>1073</v>
      </c>
      <c r="BM23" t="s">
        <v>1067</v>
      </c>
      <c r="BN23">
        <v>0.89</v>
      </c>
      <c r="BO23" t="s">
        <v>20</v>
      </c>
      <c r="BP23">
        <v>1.96</v>
      </c>
      <c r="BQ23">
        <v>0.36</v>
      </c>
      <c r="BR23">
        <v>-2.02</v>
      </c>
      <c r="BS23">
        <v>1.31</v>
      </c>
      <c r="BT23" t="s">
        <v>1074</v>
      </c>
      <c r="BU23" t="s">
        <v>413</v>
      </c>
      <c r="BV23">
        <v>12.15</v>
      </c>
      <c r="BW23">
        <v>13.25</v>
      </c>
      <c r="BX23">
        <v>22.07</v>
      </c>
      <c r="BY23">
        <v>-24.09</v>
      </c>
      <c r="BZ23">
        <v>-10.29</v>
      </c>
      <c r="CA23">
        <v>4.95</v>
      </c>
      <c r="CB23">
        <v>0.94</v>
      </c>
      <c r="CC23" s="7">
        <v>-0.21</v>
      </c>
      <c r="CD23" s="8" t="s">
        <v>1075</v>
      </c>
      <c r="CE23" s="7" t="s">
        <v>1076</v>
      </c>
      <c r="CF23" s="7">
        <v>-0.90676567656765672</v>
      </c>
      <c r="CG23" s="7">
        <v>-1.0726138619978824</v>
      </c>
      <c r="CH23" s="7">
        <v>4.865781307220459</v>
      </c>
      <c r="CI23" s="7">
        <v>-0.22336769104003906</v>
      </c>
      <c r="CJ23" s="8">
        <v>0</v>
      </c>
      <c r="CK23" s="8">
        <v>-6.7307695746421814E-2</v>
      </c>
      <c r="CL23" s="8">
        <v>6.6059224307537079E-2</v>
      </c>
      <c r="CM23" s="8">
        <v>1.8450381755828857</v>
      </c>
      <c r="CN23" s="8">
        <v>-2.5396790504455566</v>
      </c>
      <c r="CO23">
        <v>-0.91142541170120239</v>
      </c>
      <c r="CP23">
        <v>-1.1976048350334167E-2</v>
      </c>
      <c r="CQ23">
        <v>3.0731706619262695</v>
      </c>
      <c r="CR23" s="7">
        <v>11.60141966628297</v>
      </c>
      <c r="CS23" s="8">
        <v>0.12498391356993017</v>
      </c>
      <c r="CT23">
        <v>3.0895983522142121</v>
      </c>
      <c r="CU23">
        <v>0.92823302894830706</v>
      </c>
      <c r="CV23">
        <v>0.29102566540241243</v>
      </c>
      <c r="CW23">
        <v>0.06</v>
      </c>
      <c r="CX23">
        <v>4.1554558358425897</v>
      </c>
      <c r="CY23">
        <v>103770589.08449787</v>
      </c>
      <c r="CZ23">
        <v>0.92823302894830706</v>
      </c>
      <c r="DA23">
        <v>0.7183970285277953</v>
      </c>
      <c r="DB23">
        <v>600244826.85247636</v>
      </c>
      <c r="DC23">
        <v>0.88182137750089162</v>
      </c>
      <c r="DD23">
        <v>0.12928983242566511</v>
      </c>
      <c r="DE23">
        <v>3335251441.7398252</v>
      </c>
      <c r="DF23">
        <v>0.81684506547451019</v>
      </c>
      <c r="DG23">
        <v>2.0681109835762827E-2</v>
      </c>
      <c r="DH23">
        <v>20850626655.167347</v>
      </c>
      <c r="DI23">
        <v>0.74258642315864565</v>
      </c>
      <c r="DJ23">
        <v>3.8857627106071312E-4</v>
      </c>
      <c r="DK23">
        <v>1109728339362.8145</v>
      </c>
      <c r="DL23">
        <v>0.64976312026381489</v>
      </c>
      <c r="DM23">
        <v>57045400</v>
      </c>
      <c r="DN23">
        <v>0.92823302894830706</v>
      </c>
      <c r="DO23">
        <v>431214100</v>
      </c>
      <c r="DP23">
        <v>3367014800</v>
      </c>
      <c r="DQ23" s="9">
        <v>4299</v>
      </c>
      <c r="DR23">
        <v>-1.8349987055159638</v>
      </c>
      <c r="DS23">
        <v>-1.3636395274002948</v>
      </c>
      <c r="DT23">
        <v>-0.29000000000000004</v>
      </c>
      <c r="DU23">
        <v>-1.1800000000000002</v>
      </c>
      <c r="DV23">
        <v>-1.4700000000000002</v>
      </c>
      <c r="DW23">
        <v>-2.0999999999999999E-3</v>
      </c>
      <c r="DX23">
        <v>0.4023606741573022</v>
      </c>
      <c r="DY23">
        <v>-1.5195741573033705E-4</v>
      </c>
      <c r="DZ23">
        <v>3664</v>
      </c>
      <c r="EA23">
        <v>-4.3000082807449579E-5</v>
      </c>
      <c r="EB23" s="10">
        <v>0</v>
      </c>
      <c r="EC23" s="10">
        <v>5.6128691678815346E-2</v>
      </c>
      <c r="ED23">
        <v>0.77567950178018441</v>
      </c>
      <c r="EE23">
        <v>-3.0097999999999998</v>
      </c>
      <c r="EF23">
        <v>-3.0098099999999999</v>
      </c>
      <c r="EG23">
        <v>33.072360674157302</v>
      </c>
      <c r="EH23" s="12" t="s">
        <v>455</v>
      </c>
      <c r="EI23">
        <v>0</v>
      </c>
      <c r="EJ23">
        <v>0</v>
      </c>
      <c r="EK23">
        <v>45470</v>
      </c>
      <c r="EL23">
        <v>0.84</v>
      </c>
      <c r="EM23">
        <v>-4.0599999999999996</v>
      </c>
      <c r="EN23">
        <v>2.39</v>
      </c>
      <c r="EO23">
        <v>2.44</v>
      </c>
      <c r="EP23">
        <v>-1.96</v>
      </c>
    </row>
    <row r="24" spans="1:146" ht="108">
      <c r="C24" s="6" t="str">
        <f>""&amp;CHAR(10)&amp;Basic_Fundamental_Information_Constructure(F24)&amp;CHAR(10)&amp;Basic_Fundamental_Information_Concatenate("")</f>
        <v xml:space="preserve">
市值21.449401亿, 利润1.63亿; PE30.04; 平均PE21.54; 平均PEG11.72, PB1.37; ROIC5.0533%; ROE7.8833%; 股利率1.6094%; 毛利13.3567%; 净利1.89%; 上一年度营收增-74.25%, 利润增.62%; 当季营收增204.44%, 利润增-12.49%; 过往5年营收增-1.84%, 利润增252.13%
Income profile:
</v>
      </c>
      <c r="D24" t="s">
        <v>1077</v>
      </c>
      <c r="E24" t="s">
        <v>1078</v>
      </c>
      <c r="F24">
        <v>9.32</v>
      </c>
      <c r="G24">
        <v>-0.53</v>
      </c>
      <c r="H24" t="s">
        <v>1079</v>
      </c>
      <c r="I24">
        <v>2144940100</v>
      </c>
      <c r="J24">
        <v>30.04</v>
      </c>
      <c r="K24">
        <v>1.37</v>
      </c>
      <c r="L24" t="s">
        <v>377</v>
      </c>
      <c r="M24" t="s">
        <v>1080</v>
      </c>
      <c r="N24" t="s">
        <v>1081</v>
      </c>
      <c r="O24" t="s">
        <v>1082</v>
      </c>
      <c r="P24" s="5">
        <v>-34.5</v>
      </c>
      <c r="Q24" t="s">
        <v>1083</v>
      </c>
      <c r="R24">
        <v>25130822</v>
      </c>
      <c r="S24">
        <v>-0.39739999999999998</v>
      </c>
      <c r="T24" t="s">
        <v>851</v>
      </c>
      <c r="U24">
        <v>230143790</v>
      </c>
      <c r="V24">
        <v>230143790</v>
      </c>
      <c r="W24">
        <v>2.21</v>
      </c>
      <c r="X24">
        <v>0.21</v>
      </c>
      <c r="Y24">
        <v>3.3</v>
      </c>
      <c r="Z24" t="s">
        <v>746</v>
      </c>
      <c r="AA24" t="s">
        <v>1084</v>
      </c>
      <c r="AB24" t="s">
        <v>1085</v>
      </c>
      <c r="AC24" t="s">
        <v>1086</v>
      </c>
      <c r="AD24" t="s">
        <v>20</v>
      </c>
      <c r="AE24">
        <v>-4548488</v>
      </c>
      <c r="AF24" t="s">
        <v>1087</v>
      </c>
      <c r="AG24" t="s">
        <v>1088</v>
      </c>
      <c r="AH24" t="s">
        <v>1089</v>
      </c>
      <c r="AI24" t="s">
        <v>1090</v>
      </c>
      <c r="AJ24" t="s">
        <v>1091</v>
      </c>
      <c r="AK24" t="s">
        <v>20</v>
      </c>
      <c r="AL24" t="s">
        <v>1092</v>
      </c>
      <c r="AM24" t="s">
        <v>20</v>
      </c>
      <c r="AN24" t="s">
        <v>1093</v>
      </c>
      <c r="AO24" t="s">
        <v>20</v>
      </c>
      <c r="AP24" t="s">
        <v>1094</v>
      </c>
      <c r="AQ24" t="s">
        <v>1095</v>
      </c>
      <c r="AR24" t="s">
        <v>20</v>
      </c>
      <c r="AS24" t="s">
        <v>1096</v>
      </c>
      <c r="AT24" t="s">
        <v>20</v>
      </c>
      <c r="AU24" t="s">
        <v>1097</v>
      </c>
      <c r="AV24" t="s">
        <v>1098</v>
      </c>
      <c r="AW24" t="s">
        <v>1099</v>
      </c>
      <c r="AX24" t="s">
        <v>1100</v>
      </c>
      <c r="AY24" t="s">
        <v>1101</v>
      </c>
      <c r="AZ24" t="s">
        <v>1102</v>
      </c>
      <c r="BA24" t="s">
        <v>1103</v>
      </c>
      <c r="BB24" t="s">
        <v>711</v>
      </c>
      <c r="BC24" t="s">
        <v>296</v>
      </c>
      <c r="BD24" t="s">
        <v>1104</v>
      </c>
      <c r="BE24" t="s">
        <v>518</v>
      </c>
      <c r="BF24" t="s">
        <v>1105</v>
      </c>
      <c r="BG24" t="s">
        <v>1106</v>
      </c>
      <c r="BH24" t="s">
        <v>1107</v>
      </c>
      <c r="BI24" t="s">
        <v>1108</v>
      </c>
      <c r="BJ24" t="s">
        <v>1100</v>
      </c>
      <c r="BK24" t="s">
        <v>1109</v>
      </c>
      <c r="BL24" t="s">
        <v>1110</v>
      </c>
      <c r="BM24" t="s">
        <v>296</v>
      </c>
      <c r="BN24">
        <v>5.95</v>
      </c>
      <c r="BO24">
        <v>11.85</v>
      </c>
      <c r="BP24">
        <v>-2.64</v>
      </c>
      <c r="BQ24">
        <v>7.62</v>
      </c>
      <c r="BR24">
        <v>14.93</v>
      </c>
      <c r="BS24">
        <v>1.1000000000000001</v>
      </c>
      <c r="BT24" t="s">
        <v>1111</v>
      </c>
      <c r="BU24" t="s">
        <v>413</v>
      </c>
      <c r="BV24">
        <v>14.31</v>
      </c>
      <c r="BW24">
        <v>13.04</v>
      </c>
      <c r="BX24">
        <v>12.72</v>
      </c>
      <c r="BY24">
        <v>2.14</v>
      </c>
      <c r="BZ24">
        <v>3.3</v>
      </c>
      <c r="CA24">
        <v>0.23</v>
      </c>
      <c r="CB24">
        <v>-11.41</v>
      </c>
      <c r="CC24" s="7">
        <v>-18.39</v>
      </c>
      <c r="CD24" s="8" t="s">
        <v>1112</v>
      </c>
      <c r="CE24" s="7" t="s">
        <v>913</v>
      </c>
      <c r="CF24" s="7">
        <v>2.0443548387096775</v>
      </c>
      <c r="CG24" s="7">
        <v>-0.12486168182641279</v>
      </c>
      <c r="CH24" s="7">
        <v>-0.7424551248550415</v>
      </c>
      <c r="CI24" s="7">
        <v>0.14552676677703857</v>
      </c>
      <c r="CJ24" s="8">
        <v>-0.15528813004493713</v>
      </c>
      <c r="CK24" s="8">
        <v>0.65837705135345459</v>
      </c>
      <c r="CL24" s="8">
        <v>1.9672552589327097E-3</v>
      </c>
      <c r="CM24" s="8">
        <v>6.1728395521640778E-3</v>
      </c>
      <c r="CN24" s="8">
        <v>13.247143745422363</v>
      </c>
      <c r="CO24">
        <v>-0.88852250576019287</v>
      </c>
      <c r="CP24">
        <v>0.4462524950504303</v>
      </c>
      <c r="CQ24">
        <v>-0.20447146892547607</v>
      </c>
      <c r="CR24" s="7">
        <v>21.537265865643203</v>
      </c>
      <c r="CS24" s="8">
        <v>11.721320595380309</v>
      </c>
      <c r="CT24">
        <v>1.6094420600858368</v>
      </c>
      <c r="CU24">
        <v>-1.8374436302110553E-2</v>
      </c>
      <c r="CV24">
        <v>2.5213150210678577</v>
      </c>
      <c r="CW24">
        <v>0.06</v>
      </c>
      <c r="CX24">
        <v>16.116196932515336</v>
      </c>
      <c r="CY24" t="s">
        <v>1113</v>
      </c>
      <c r="CZ24">
        <v>-1.8374436302110553E-2</v>
      </c>
      <c r="DA24">
        <v>5.3720656441717791</v>
      </c>
      <c r="DB24" t="s">
        <v>1114</v>
      </c>
      <c r="DC24">
        <v>-1.7455714487005024E-2</v>
      </c>
      <c r="DD24">
        <v>2.6860328220858896</v>
      </c>
      <c r="DE24" t="s">
        <v>1115</v>
      </c>
      <c r="DF24">
        <v>-1.6169503945857287E-2</v>
      </c>
      <c r="DG24">
        <v>1.6116196932515336</v>
      </c>
      <c r="DH24" t="s">
        <v>1116</v>
      </c>
      <c r="DI24">
        <v>-1.4699549041688444E-2</v>
      </c>
      <c r="DJ24">
        <v>0.80580984662576682</v>
      </c>
      <c r="DK24" t="s">
        <v>1117</v>
      </c>
      <c r="DL24">
        <v>-1.2862105411477386E-2</v>
      </c>
      <c r="DM24">
        <v>163000000</v>
      </c>
      <c r="DN24">
        <v>-1.8374436302110553E-2</v>
      </c>
      <c r="DO24">
        <v>2626940100</v>
      </c>
      <c r="DP24">
        <v>-85879300</v>
      </c>
      <c r="DQ24" s="9">
        <v>4304</v>
      </c>
      <c r="DR24">
        <v>2.062729275011788</v>
      </c>
      <c r="DS24">
        <v>-2.6461767028942704</v>
      </c>
      <c r="DT24">
        <v>-0.67333333333333334</v>
      </c>
      <c r="DU24">
        <v>9.9999999999999978E-2</v>
      </c>
      <c r="DV24">
        <v>-0.57333333333333336</v>
      </c>
      <c r="DW24">
        <v>-9.6204458945078848</v>
      </c>
      <c r="DX24">
        <v>0.32512436974789921</v>
      </c>
      <c r="DY24">
        <v>-9.08383736045805</v>
      </c>
      <c r="DZ24">
        <v>3021</v>
      </c>
      <c r="EA24">
        <v>-9.034273237964161</v>
      </c>
      <c r="EB24" s="10">
        <v>9</v>
      </c>
      <c r="EC24" s="10">
        <v>6.986849395328025E-2</v>
      </c>
      <c r="ED24">
        <v>0.51706804689363983</v>
      </c>
      <c r="EE24">
        <v>-3.0222099999999998</v>
      </c>
      <c r="EF24">
        <v>-3.0455100000000002</v>
      </c>
      <c r="EG24">
        <v>19.135124369747899</v>
      </c>
      <c r="EH24" s="12" t="s">
        <v>455</v>
      </c>
      <c r="EI24">
        <v>0</v>
      </c>
      <c r="EJ24">
        <v>0</v>
      </c>
      <c r="EK24">
        <v>45470</v>
      </c>
      <c r="EL24">
        <v>-0.24</v>
      </c>
      <c r="EM24">
        <v>-5.36</v>
      </c>
      <c r="EN24">
        <v>1.67</v>
      </c>
      <c r="EO24">
        <v>2.13</v>
      </c>
      <c r="EP24">
        <v>-2.33</v>
      </c>
    </row>
    <row r="25" spans="1:146">
      <c r="C25" s="6" t="e">
        <f>""&amp;CHAR(10)&amp;Basic_Fundamental_Information_Constructure(F25)&amp;CHAR(10)&amp;Basic_Fundamental_Information_Concatenate("")</f>
        <v>#VALUE!</v>
      </c>
      <c r="D25" t="s">
        <v>1118</v>
      </c>
      <c r="E25" t="s">
        <v>1119</v>
      </c>
      <c r="F25">
        <v>39.020000000000003</v>
      </c>
      <c r="G25">
        <v>1.4</v>
      </c>
      <c r="H25" t="s">
        <v>1120</v>
      </c>
      <c r="I25">
        <v>27959251000</v>
      </c>
      <c r="J25">
        <v>39.04</v>
      </c>
      <c r="K25">
        <v>5.23</v>
      </c>
      <c r="L25" t="s">
        <v>377</v>
      </c>
      <c r="M25" t="s">
        <v>1121</v>
      </c>
      <c r="N25" t="s">
        <v>1122</v>
      </c>
      <c r="O25" t="s">
        <v>1123</v>
      </c>
      <c r="P25" s="5">
        <v>54.18</v>
      </c>
      <c r="R25">
        <v>135676090</v>
      </c>
      <c r="S25">
        <v>6.7530000000000001</v>
      </c>
      <c r="U25">
        <v>545690970</v>
      </c>
      <c r="V25">
        <v>716536420</v>
      </c>
      <c r="W25">
        <v>2.02</v>
      </c>
      <c r="X25">
        <v>0.23</v>
      </c>
      <c r="Y25">
        <v>5.29</v>
      </c>
      <c r="Z25" t="s">
        <v>1124</v>
      </c>
      <c r="AA25" t="s">
        <v>1125</v>
      </c>
      <c r="AB25" t="s">
        <v>1126</v>
      </c>
      <c r="AC25" t="s">
        <v>937</v>
      </c>
      <c r="AD25" t="s">
        <v>20</v>
      </c>
      <c r="AE25">
        <v>-26385893</v>
      </c>
      <c r="AF25" t="s">
        <v>1127</v>
      </c>
      <c r="AG25" t="s">
        <v>1128</v>
      </c>
      <c r="AH25" t="s">
        <v>1129</v>
      </c>
      <c r="AI25" t="s">
        <v>1130</v>
      </c>
      <c r="AJ25" t="s">
        <v>1131</v>
      </c>
      <c r="AK25" t="s">
        <v>1132</v>
      </c>
      <c r="AL25" t="s">
        <v>1133</v>
      </c>
      <c r="AM25" t="s">
        <v>20</v>
      </c>
      <c r="AN25" t="s">
        <v>324</v>
      </c>
      <c r="AO25" t="s">
        <v>20</v>
      </c>
      <c r="AP25" t="s">
        <v>1134</v>
      </c>
      <c r="AQ25" t="s">
        <v>1135</v>
      </c>
      <c r="AR25" t="s">
        <v>20</v>
      </c>
      <c r="AS25" t="s">
        <v>1136</v>
      </c>
      <c r="AT25" t="s">
        <v>20</v>
      </c>
      <c r="AU25" t="s">
        <v>741</v>
      </c>
      <c r="AV25" t="s">
        <v>342</v>
      </c>
      <c r="AW25" t="s">
        <v>1137</v>
      </c>
      <c r="AX25" t="s">
        <v>1138</v>
      </c>
      <c r="AY25" t="s">
        <v>1139</v>
      </c>
      <c r="AZ25" t="s">
        <v>1140</v>
      </c>
      <c r="BA25" t="s">
        <v>1141</v>
      </c>
      <c r="BB25" t="s">
        <v>1142</v>
      </c>
      <c r="BC25" t="s">
        <v>1143</v>
      </c>
      <c r="BD25" t="s">
        <v>1144</v>
      </c>
      <c r="BE25" t="s">
        <v>1145</v>
      </c>
      <c r="BF25" t="s">
        <v>1146</v>
      </c>
      <c r="BG25" t="s">
        <v>1147</v>
      </c>
      <c r="BH25" t="s">
        <v>1148</v>
      </c>
      <c r="BJ25" t="s">
        <v>1138</v>
      </c>
      <c r="BK25" t="s">
        <v>1149</v>
      </c>
      <c r="BM25" t="s">
        <v>1143</v>
      </c>
      <c r="BN25">
        <v>5.27</v>
      </c>
      <c r="BO25">
        <v>9.42</v>
      </c>
      <c r="BP25">
        <v>9.57</v>
      </c>
      <c r="BQ25">
        <v>7.36</v>
      </c>
      <c r="BR25">
        <v>9.83</v>
      </c>
      <c r="BS25">
        <v>10.31</v>
      </c>
      <c r="BT25" t="s">
        <v>1150</v>
      </c>
      <c r="BU25" t="s">
        <v>413</v>
      </c>
      <c r="BV25">
        <v>26.9</v>
      </c>
      <c r="BW25">
        <v>25.97</v>
      </c>
      <c r="BX25">
        <v>23.23</v>
      </c>
      <c r="BY25">
        <v>5.83</v>
      </c>
      <c r="BZ25">
        <v>4.43</v>
      </c>
      <c r="CA25">
        <v>4.46</v>
      </c>
      <c r="CB25">
        <v>6</v>
      </c>
      <c r="CC25" s="7">
        <v>-1.83</v>
      </c>
      <c r="CD25" s="8" t="s">
        <v>1151</v>
      </c>
      <c r="CE25" s="7" t="s">
        <v>436</v>
      </c>
      <c r="CF25" s="7" t="e">
        <v>#VALUE!</v>
      </c>
      <c r="CG25" s="7" t="e">
        <v>#VALUE!</v>
      </c>
      <c r="CH25" s="7">
        <v>-1</v>
      </c>
      <c r="CI25" s="7">
        <v>0.10693197697401047</v>
      </c>
      <c r="CJ25" s="8">
        <v>0.5235716700553894</v>
      </c>
      <c r="CK25" s="8">
        <v>0.30898386240005493</v>
      </c>
      <c r="CL25" s="8">
        <v>7.9566821455955505E-2</v>
      </c>
      <c r="CM25" s="8">
        <v>-1</v>
      </c>
      <c r="CN25" s="8">
        <v>9.7323603928089142E-2</v>
      </c>
      <c r="CO25">
        <v>4.5938839912414551</v>
      </c>
      <c r="CP25">
        <v>1.1614793539047241</v>
      </c>
      <c r="CQ25">
        <v>0.74778264760971069</v>
      </c>
      <c r="CR25" s="7">
        <v>-126.74884507447489</v>
      </c>
      <c r="CS25" s="8">
        <v>-332.59852008638381</v>
      </c>
      <c r="CT25">
        <v>0.72655048692977953</v>
      </c>
      <c r="CU25">
        <v>3.8108661770820617E-3</v>
      </c>
      <c r="CV25">
        <v>1.1200939193367958</v>
      </c>
      <c r="CW25">
        <v>0.06</v>
      </c>
      <c r="CX25" t="e">
        <v>#DIV/0!</v>
      </c>
      <c r="CY25">
        <v>0</v>
      </c>
      <c r="CZ25">
        <v>3.8108661770820617E-3</v>
      </c>
      <c r="DA25" t="e">
        <v>#DIV/0!</v>
      </c>
      <c r="DB25">
        <v>0</v>
      </c>
      <c r="DC25">
        <v>3.6203228682279583E-3</v>
      </c>
      <c r="DD25" t="e">
        <v>#DIV/0!</v>
      </c>
      <c r="DE25">
        <v>0</v>
      </c>
      <c r="DF25">
        <v>3.3535622358322145E-3</v>
      </c>
      <c r="DG25" t="e">
        <v>#DIV/0!</v>
      </c>
      <c r="DH25">
        <v>0</v>
      </c>
      <c r="DI25">
        <v>3.0486929416656495E-3</v>
      </c>
      <c r="DJ25" t="e">
        <v>#DIV/0!</v>
      </c>
      <c r="DK25">
        <v>0</v>
      </c>
      <c r="DL25">
        <v>2.6676063239574432E-3</v>
      </c>
      <c r="DM25">
        <v>0</v>
      </c>
      <c r="DN25">
        <v>3.8108661770820617E-3</v>
      </c>
      <c r="DO25">
        <v>27862251000</v>
      </c>
      <c r="DP25">
        <v>2478158700</v>
      </c>
      <c r="DQ25" s="9">
        <v>5112</v>
      </c>
      <c r="DR25" t="e">
        <v>#VALUE!</v>
      </c>
      <c r="DS25" t="e">
        <v>#VALUE!</v>
      </c>
      <c r="DT25" t="e">
        <v>#VALUE!</v>
      </c>
      <c r="DU25" t="e">
        <v>#VALUE!</v>
      </c>
      <c r="DV25" t="e">
        <v>#VALUE!</v>
      </c>
      <c r="DW25">
        <v>5.3049999999999997</v>
      </c>
      <c r="DX25">
        <v>0.35382790697674493</v>
      </c>
      <c r="DY25">
        <v>5.0347175116279068</v>
      </c>
      <c r="DZ25">
        <v>305</v>
      </c>
      <c r="EA25">
        <v>5.0326453313839714</v>
      </c>
      <c r="EB25" s="10">
        <v>5</v>
      </c>
      <c r="EC25" s="10">
        <v>3.4154579330384911E-2</v>
      </c>
      <c r="ED25">
        <v>0.3000545317710438</v>
      </c>
      <c r="EE25">
        <v>0.11620999999999999</v>
      </c>
      <c r="EF25">
        <v>-1.01311</v>
      </c>
      <c r="EG25">
        <v>24.113827906976745</v>
      </c>
      <c r="EH25" s="12" t="s">
        <v>335</v>
      </c>
      <c r="EI25">
        <v>1</v>
      </c>
      <c r="EJ25">
        <v>1</v>
      </c>
      <c r="EK25">
        <v>45470</v>
      </c>
      <c r="EL25">
        <v>0.98</v>
      </c>
      <c r="EM25">
        <v>-7.9</v>
      </c>
      <c r="EN25">
        <v>1.19</v>
      </c>
      <c r="EO25">
        <v>-0.69</v>
      </c>
      <c r="EP25">
        <v>-4.6900000000000004</v>
      </c>
    </row>
    <row r="26" spans="1:146">
      <c r="Q26" s="5"/>
    </row>
    <row r="27" spans="1:146">
      <c r="Q27" s="5"/>
    </row>
    <row r="28" spans="1:146">
      <c r="Q28" s="5"/>
    </row>
    <row r="29" spans="1:146">
      <c r="Q29" s="5"/>
    </row>
    <row r="30" spans="1:146">
      <c r="Q30" s="5"/>
    </row>
    <row r="31" spans="1:146">
      <c r="Q31" s="5"/>
    </row>
    <row r="32" spans="1:146">
      <c r="Q32" s="5"/>
    </row>
    <row r="33" spans="17:17">
      <c r="Q33" s="5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汽车服务及其他&quot;,&quot;&quot;'" altText="更新基本面按钮_x000a_">
                <anchor moveWithCells="1" sizeWithCells="1">
                  <from>
                    <xdr:col>147</xdr:col>
                    <xdr:colOff>133350</xdr:colOff>
                    <xdr:row>0</xdr:row>
                    <xdr:rowOff>50800</xdr:rowOff>
                  </from>
                  <to>
                    <xdr:col>147</xdr:col>
                    <xdr:colOff>1257300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>
      <selection activeCell="A11" sqref="A11"/>
    </sheetView>
  </sheetViews>
  <sheetFormatPr defaultRowHeight="14"/>
  <sheetData>
    <row r="1" spans="1:30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>
      <c r="A2">
        <v>0.15</v>
      </c>
      <c r="B2" t="s">
        <v>2</v>
      </c>
    </row>
    <row r="3" spans="1:30" s="2" customFormat="1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>
      <c r="A4">
        <v>0.5</v>
      </c>
      <c r="B4" t="s">
        <v>0</v>
      </c>
    </row>
    <row r="5" spans="1:30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汽车服务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2024-07-10T22:49:28Z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