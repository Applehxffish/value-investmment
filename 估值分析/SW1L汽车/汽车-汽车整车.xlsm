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汽车\"/>
    </mc:Choice>
  </mc:AlternateContent>
  <bookViews>
    <workbookView xWindow="0" yWindow="0" windowWidth="3800" windowHeight="2950"/>
  </bookViews>
  <sheets>
    <sheet name="汽车整车" sheetId="15" r:id="rId1"/>
    <sheet name="估值-增速与年化收益" sheetId="14" r:id="rId2"/>
  </sheets>
  <functionGroups builtInGroupCount="18"/>
  <definedNames>
    <definedName name="_xlnm._FilterDatabase" localSheetId="0" hidden="1">汽车整车!$BU$1:$BU$26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22" i="15"/>
  <c r="C20" i="15"/>
  <c r="C16" i="15"/>
  <c r="C11" i="15"/>
  <c r="C7" i="15"/>
  <c r="C3" i="15"/>
  <c r="C13" i="15"/>
  <c r="C19" i="15"/>
  <c r="C15" i="15"/>
  <c r="C6" i="15"/>
  <c r="C25" i="15"/>
  <c r="C24" i="15"/>
  <c r="C18" i="15"/>
  <c r="C14" i="15"/>
  <c r="C9" i="15"/>
  <c r="C5" i="15"/>
  <c r="C23" i="15"/>
  <c r="C21" i="15"/>
  <c r="C17" i="15"/>
  <c r="C12" i="15"/>
  <c r="C8" i="15"/>
  <c r="C4" i="15"/>
  <c r="C10" i="15"/>
  <c r="C2" i="15"/>
</calcChain>
</file>

<file path=xl/sharedStrings.xml><?xml version="1.0" encoding="utf-8"?>
<sst xmlns="http://schemas.openxmlformats.org/spreadsheetml/2006/main" count="1563" uniqueCount="1181">
  <si>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</si>
  <si>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</si>
  <si>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</si>
  <si>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</si>
  <si>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</si>
  <si>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北汽蓝谷</t>
  </si>
  <si>
    <t>江淮汽车</t>
  </si>
  <si>
    <t>中通客车</t>
  </si>
  <si>
    <t>比亚迪</t>
  </si>
  <si>
    <t>江铃汽车</t>
  </si>
  <si>
    <t>金龙汽车</t>
  </si>
  <si>
    <t>长安汽车</t>
  </si>
  <si>
    <t>宇通客车</t>
  </si>
  <si>
    <t>东风汽车</t>
  </si>
  <si>
    <t>长城汽车</t>
  </si>
  <si>
    <t>中国重汽</t>
  </si>
  <si>
    <t>广汽集团</t>
  </si>
  <si>
    <t>上汽集团</t>
  </si>
  <si>
    <t>福田汽车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</si>
  <si>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</si>
  <si>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</si>
  <si>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</si>
  <si>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</si>
  <si>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</si>
  <si>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</si>
  <si>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</si>
  <si>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</si>
  <si>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</si>
  <si>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</si>
  <si>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</si>
  <si>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</si>
  <si>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</si>
  <si>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</si>
  <si>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</si>
  <si>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SZ000572</t>
  </si>
  <si>
    <t>汽车整车</t>
  </si>
  <si>
    <t>8519.62万</t>
  </si>
  <si>
    <t>--</t>
  </si>
  <si>
    <t>SZ000625</t>
  </si>
  <si>
    <t>705.95亿</t>
  </si>
  <si>
    <t>-26.47亿</t>
  </si>
  <si>
    <t>SZ000980</t>
  </si>
  <si>
    <t>29.86亿</t>
  </si>
  <si>
    <t>-111.90亿</t>
  </si>
  <si>
    <t>0亿</t>
  </si>
  <si>
    <t>SZ002594</t>
  </si>
  <si>
    <t>1277.39亿</t>
  </si>
  <si>
    <t>16.14亿</t>
  </si>
  <si>
    <t>SH600104</t>
  </si>
  <si>
    <t>SH600733</t>
  </si>
  <si>
    <t>235.89亿</t>
  </si>
  <si>
    <t>9201.01万</t>
  </si>
  <si>
    <t>SH601127</t>
  </si>
  <si>
    <t>181.32亿</t>
  </si>
  <si>
    <t>6672.15万</t>
  </si>
  <si>
    <t>SH601238</t>
  </si>
  <si>
    <t>66.18亿</t>
  </si>
  <si>
    <t>SH601633</t>
  </si>
  <si>
    <t>44.97亿</t>
  </si>
  <si>
    <t>SZ000550</t>
  </si>
  <si>
    <t>291.74亿</t>
  </si>
  <si>
    <t>1.48亿</t>
  </si>
  <si>
    <t>SZ000800</t>
  </si>
  <si>
    <t>一汽解放</t>
  </si>
  <si>
    <t>SZ000951</t>
  </si>
  <si>
    <t>398.43亿</t>
  </si>
  <si>
    <t>12.23亿</t>
  </si>
  <si>
    <t>SH600006</t>
  </si>
  <si>
    <t>135.20亿</t>
  </si>
  <si>
    <t>SH600166</t>
  </si>
  <si>
    <t>469.66亿</t>
  </si>
  <si>
    <t>SH600375</t>
  </si>
  <si>
    <t>63.83亿</t>
  </si>
  <si>
    <t>4326.58万</t>
  </si>
  <si>
    <t>1.06亿</t>
  </si>
  <si>
    <t>SH600418</t>
  </si>
  <si>
    <t>SZ000868</t>
  </si>
  <si>
    <t>33.76亿</t>
  </si>
  <si>
    <t>3362.06万</t>
  </si>
  <si>
    <t>SZ000957</t>
  </si>
  <si>
    <t>67.41亿</t>
  </si>
  <si>
    <t>3307.19万</t>
  </si>
  <si>
    <t>SH600066</t>
  </si>
  <si>
    <t>SH600213</t>
  </si>
  <si>
    <t>27.08亿</t>
  </si>
  <si>
    <t>1394.62万</t>
  </si>
  <si>
    <t>SH600303</t>
  </si>
  <si>
    <t>24.47亿</t>
  </si>
  <si>
    <t>4663.72万</t>
  </si>
  <si>
    <t>9.05亿</t>
  </si>
  <si>
    <t>4.79亿</t>
  </si>
  <si>
    <t>SH600686</t>
  </si>
  <si>
    <t>178.91亿</t>
  </si>
  <si>
    <t>1.81亿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</si>
  <si>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</si>
  <si>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</si>
  <si>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</si>
  <si>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</si>
  <si>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</si>
  <si>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</si>
  <si>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</si>
  <si>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销售毛利率%[20201231]</t>
  </si>
  <si>
    <t>销售净利率%[20201231]</t>
  </si>
  <si>
    <t>330.96亿</t>
  </si>
  <si>
    <t>5.51亿</t>
  </si>
  <si>
    <t>282.49亿</t>
  </si>
  <si>
    <t>9183.33万</t>
  </si>
  <si>
    <t>-13.35亿</t>
  </si>
  <si>
    <t>46.91亿</t>
  </si>
  <si>
    <t>50.47亿</t>
  </si>
  <si>
    <t>-16.37亿</t>
  </si>
  <si>
    <t>845.66亿</t>
  </si>
  <si>
    <t>33.24亿</t>
  </si>
  <si>
    <t>662.98亿</t>
  </si>
  <si>
    <t>6.81亿</t>
  </si>
  <si>
    <t>1136.81亿</t>
  </si>
  <si>
    <t>26.72亿</t>
  </si>
  <si>
    <t>1064.47亿</t>
  </si>
  <si>
    <t>255.24亿</t>
  </si>
  <si>
    <t>19.87亿</t>
  </si>
  <si>
    <t>2.03亿</t>
  </si>
  <si>
    <t>安凯客车</t>
  </si>
  <si>
    <t>32.60亿</t>
  </si>
  <si>
    <t>9958.24万</t>
  </si>
  <si>
    <t>31.47亿</t>
  </si>
  <si>
    <t>-8.93亿</t>
  </si>
  <si>
    <t>599.38亿</t>
  </si>
  <si>
    <t>18.80亿</t>
  </si>
  <si>
    <t>403.78亿</t>
  </si>
  <si>
    <t>44.08亿</t>
  </si>
  <si>
    <t>2352.37万</t>
  </si>
  <si>
    <t>60.79亿</t>
  </si>
  <si>
    <t>3657.13万</t>
  </si>
  <si>
    <t>13.38亿</t>
  </si>
  <si>
    <t>4.32亿</t>
  </si>
  <si>
    <t>147.64亿</t>
  </si>
  <si>
    <t>8.00亿</t>
  </si>
  <si>
    <t>1565.98亿</t>
  </si>
  <si>
    <t>42.34亿</t>
  </si>
  <si>
    <t>1300.55亿</t>
  </si>
  <si>
    <t>27.80亿</t>
  </si>
  <si>
    <t>137.33亿</t>
  </si>
  <si>
    <t>5.54亿</t>
  </si>
  <si>
    <t>144.21亿</t>
  </si>
  <si>
    <t>217.05亿</t>
  </si>
  <si>
    <t>304.92亿</t>
  </si>
  <si>
    <t>317.46亿</t>
  </si>
  <si>
    <t>8265.30亿</t>
  </si>
  <si>
    <t>8876.26亿</t>
  </si>
  <si>
    <t>577.65亿</t>
  </si>
  <si>
    <t>1.55亿</t>
  </si>
  <si>
    <t>410.54亿</t>
  </si>
  <si>
    <t>1.12亿</t>
  </si>
  <si>
    <t>-1.58亿</t>
  </si>
  <si>
    <t>24.58亿</t>
  </si>
  <si>
    <t>1307.22万</t>
  </si>
  <si>
    <t>26.23亿</t>
  </si>
  <si>
    <t>5488.31万</t>
  </si>
  <si>
    <t>29.15亿</t>
  </si>
  <si>
    <t>-1.28亿</t>
  </si>
  <si>
    <t>64.28亿</t>
  </si>
  <si>
    <t>-4.91亿</t>
  </si>
  <si>
    <t>72.92亿</t>
  </si>
  <si>
    <t>5948.80万</t>
  </si>
  <si>
    <t>1.43亿</t>
  </si>
  <si>
    <t>472.86亿</t>
  </si>
  <si>
    <t>500.92亿</t>
  </si>
  <si>
    <t>-7.86亿</t>
  </si>
  <si>
    <t>139.58亿</t>
  </si>
  <si>
    <t>3190.04万</t>
  </si>
  <si>
    <t>182.91亿</t>
  </si>
  <si>
    <t>1.59亿</t>
  </si>
  <si>
    <t>52.72亿</t>
  </si>
  <si>
    <t>-64.82亿</t>
  </si>
  <si>
    <t>180.91亿</t>
  </si>
  <si>
    <t>7328.99万</t>
  </si>
  <si>
    <t>143.02亿</t>
  </si>
  <si>
    <t>-17.29亿</t>
  </si>
  <si>
    <t>202.40亿</t>
  </si>
  <si>
    <t>9540.36万</t>
  </si>
  <si>
    <t>7.25亿</t>
  </si>
  <si>
    <t>59.66亿</t>
  </si>
  <si>
    <t>592.34亿</t>
  </si>
  <si>
    <t>715.15亿</t>
  </si>
  <si>
    <t>109.03亿</t>
  </si>
  <si>
    <t>1033.08亿</t>
  </si>
  <si>
    <t>53.62亿</t>
  </si>
  <si>
    <t>951.08亿</t>
  </si>
  <si>
    <t>978.00亿</t>
  </si>
  <si>
    <t>52.07亿</t>
  </si>
  <si>
    <t>海马汽车</t>
  </si>
  <si>
    <t>SZ301039</t>
  </si>
  <si>
    <t>中集车辆</t>
  </si>
  <si>
    <t>264.99亿</t>
  </si>
  <si>
    <t>11.32亿</t>
  </si>
  <si>
    <t>233.87亿</t>
  </si>
  <si>
    <t>243.31亿</t>
  </si>
  <si>
    <t>12.11亿</t>
  </si>
  <si>
    <t>11.96亿</t>
  </si>
  <si>
    <t>-4.59亿</t>
  </si>
  <si>
    <t>流通股本</t>
  </si>
  <si>
    <t>净利润[20201231]</t>
  </si>
  <si>
    <t>投入资本回报率roic%[20201231]</t>
  </si>
  <si>
    <t>净资产收益率%[20201231]</t>
  </si>
  <si>
    <t>352.21亿</t>
  </si>
  <si>
    <t>5.74亿</t>
  </si>
  <si>
    <t>1051.42亿</t>
  </si>
  <si>
    <t>35.52亿</t>
  </si>
  <si>
    <t>987.51亿</t>
  </si>
  <si>
    <t>39.00亿</t>
  </si>
  <si>
    <t>17.81亿</t>
  </si>
  <si>
    <t>-2.64亿</t>
  </si>
  <si>
    <t>560.99亿</t>
  </si>
  <si>
    <t>10.38亿</t>
  </si>
  <si>
    <t>45.87亿</t>
  </si>
  <si>
    <t>-2.20亿</t>
  </si>
  <si>
    <t>8.25亿</t>
  </si>
  <si>
    <t>-7.06亿</t>
  </si>
  <si>
    <t>-103.43亿</t>
  </si>
  <si>
    <t>2161.42亿</t>
  </si>
  <si>
    <t>30.45亿</t>
  </si>
  <si>
    <t>276.48亿</t>
  </si>
  <si>
    <t>9.01亿</t>
  </si>
  <si>
    <t>189.16万</t>
  </si>
  <si>
    <t>24.80亿</t>
  </si>
  <si>
    <t>53.20亿</t>
  </si>
  <si>
    <t>-13.36亿</t>
  </si>
  <si>
    <t>2.00亿</t>
  </si>
  <si>
    <t>154.18亿</t>
  </si>
  <si>
    <t>-5.95亿</t>
  </si>
  <si>
    <t>86.97亿</t>
  </si>
  <si>
    <t>-52.44亿</t>
  </si>
  <si>
    <t>167.18亿</t>
  </si>
  <si>
    <t>-18.24亿</t>
  </si>
  <si>
    <t>73.35亿</t>
  </si>
  <si>
    <t>1364.05亿</t>
  </si>
  <si>
    <t>67.26亿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</si>
  <si>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</si>
  <si>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</si>
  <si>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</si>
  <si>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</si>
  <si>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</si>
  <si>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</si>
  <si>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</si>
  <si>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</si>
  <si>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</si>
  <si>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</si>
  <si>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</si>
  <si>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</si>
  <si>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</si>
  <si>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</si>
  <si>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</si>
  <si>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</si>
  <si>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</si>
  <si>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</si>
  <si>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</si>
  <si>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亏损</t>
  </si>
  <si>
    <t>扭亏</t>
  </si>
  <si>
    <t>ST曙光</t>
  </si>
  <si>
    <t>-1-1</t>
  </si>
  <si>
    <r>
      <t xml:space="preserve">1.2021 年汽车产销分别完成 2,608.2 万辆和 2,627.5 万辆，同比分别增长 </t>
    </r>
    <r>
      <rPr>
        <b/>
        <sz val="9"/>
        <color theme="1"/>
        <rFont val="宋体"/>
        <family val="3"/>
        <charset val="134"/>
        <scheme val="minor"/>
      </rPr>
      <t>3.4%和 3.8%</t>
    </r>
    <r>
      <rPr>
        <sz val="9"/>
        <color theme="1"/>
        <rFont val="宋体"/>
        <family val="2"/>
        <charset val="134"/>
        <scheme val="minor"/>
      </rPr>
      <t>。乘用车市场继续保持 2,000万辆以上规模；皮卡车产销快速增长，皮卡产销分别完成 54.7 万辆和 55.4 万辆，同比分别</t>
    </r>
    <r>
      <rPr>
        <b/>
        <sz val="9"/>
        <color rgb="FFFF0000"/>
        <rFont val="宋体"/>
        <family val="3"/>
        <charset val="134"/>
        <scheme val="minor"/>
      </rPr>
      <t>增长11.2%和 12.9%</t>
    </r>
    <r>
      <rPr>
        <sz val="9"/>
        <color theme="1"/>
        <rFont val="宋体"/>
        <family val="2"/>
        <charset val="134"/>
        <scheme val="minor"/>
      </rPr>
      <t>；新能源汽车产销分别完成 354.5 万辆和 352.1 万辆，</t>
    </r>
    <r>
      <rPr>
        <sz val="9"/>
        <color rgb="FFFF0000"/>
        <rFont val="宋体"/>
        <family val="3"/>
        <charset val="134"/>
        <scheme val="minor"/>
      </rPr>
      <t>同比均增长 1.6 倍</t>
    </r>
    <r>
      <rPr>
        <sz val="9"/>
        <color theme="1"/>
        <rFont val="宋体"/>
        <family val="2"/>
        <charset val="134"/>
        <scheme val="minor"/>
      </rPr>
      <t>，市场占有率达到 13.4%，高于上年 8 个百分点；汽车出口201.5 万辆，同比增长 1 倍，占汽车销售总量的比重为 7.7%，比上年提升 3.7 个百分点; 2.汽车市场由增量向存量时代转变，市场竞争愈加激烈，躺赢时代结束了，</t>
    </r>
    <r>
      <rPr>
        <b/>
        <sz val="9"/>
        <color theme="1"/>
        <rFont val="宋体"/>
        <family val="3"/>
        <charset val="134"/>
        <scheme val="minor"/>
      </rPr>
      <t>淘汰赛已然开启</t>
    </r>
    <r>
      <rPr>
        <sz val="9"/>
        <color theme="1"/>
        <rFont val="宋体"/>
        <family val="2"/>
        <charset val="134"/>
        <scheme val="minor"/>
      </rPr>
      <t>，企业的容错空间大幅缩小，</t>
    </r>
    <r>
      <rPr>
        <b/>
        <sz val="9"/>
        <color rgb="FFFF0000"/>
        <rFont val="宋体"/>
        <family val="3"/>
        <charset val="134"/>
        <scheme val="minor"/>
      </rPr>
      <t>稍有不慎，就可能招致断崖式下跌</t>
    </r>
    <r>
      <rPr>
        <sz val="9"/>
        <color theme="1"/>
        <rFont val="宋体"/>
        <family val="2"/>
        <charset val="134"/>
        <scheme val="minor"/>
      </rPr>
      <t>。</t>
    </r>
    <phoneticPr fontId="1" type="noConversion"/>
  </si>
  <si>
    <r>
      <t>1.预计上半年芯片供应短缺情况难以有大幅改善。全球主要芯片企业新建产能将于2022年下半年陆续释放，预计2022年</t>
    </r>
    <r>
      <rPr>
        <b/>
        <sz val="9"/>
        <color theme="1"/>
        <rFont val="宋体"/>
        <family val="3"/>
        <charset val="134"/>
        <scheme val="minor"/>
      </rPr>
      <t>下半年汽车芯片供应短缺情况将会有一定程度缓解</t>
    </r>
    <r>
      <rPr>
        <sz val="9"/>
        <color theme="1"/>
        <rFont val="宋体"/>
        <family val="2"/>
        <charset val="134"/>
        <scheme val="minor"/>
      </rPr>
      <t>。2.广汽集团2022年一季度受到供应限制的主要是英飞凌、意法、安森美、瑞萨、德州仪器、恩智浦等多家供应商的芯片，以驱动类和控制类芯片为主。</t>
    </r>
    <phoneticPr fontId="1" type="noConversion"/>
  </si>
  <si>
    <t>1.传祺2021年亏损面进一步收窄，如2021年原材料价格维持2020年水平，传祺已经可以实现盈利，基于当前条件并达成全年销量目标，预计传祺2022年损益会有较大改善；2.广汽传祺在2025年实现全系产品混动化，2030年混动销量占比超60%；3.持续推进与本田、丰田公司的合作广度与深度，做大做优广汽本田、广汽丰田，打造国内一流的标杆合资企业</t>
    <phoneticPr fontId="1" type="noConversion"/>
  </si>
  <si>
    <r>
      <t>1.国内利润61%，国外利润占比32%；2.国内市场 2023 年</t>
    </r>
    <r>
      <rPr>
        <sz val="9"/>
        <color rgb="FFFF0000"/>
        <rFont val="宋体"/>
        <family val="3"/>
        <charset val="134"/>
        <scheme val="minor"/>
      </rPr>
      <t>新能源补贴政策退出，预计 2022 年公交市场将迎来增长</t>
    </r>
    <phoneticPr fontId="1" type="noConversion"/>
  </si>
  <si>
    <t>1.一季度亏损-1.16亿；2.2016年后，营收逐年下降；毛利也逐年下降；</t>
    <phoneticPr fontId="1" type="noConversion"/>
  </si>
  <si>
    <r>
      <t>1.2022Q1前十大股东累计持有： 85.97亿股，累计占总股本比：</t>
    </r>
    <r>
      <rPr>
        <sz val="9"/>
        <color rgb="FFFF0000"/>
        <rFont val="宋体"/>
        <family val="3"/>
        <charset val="134"/>
        <scheme val="minor"/>
      </rPr>
      <t>93.08%;</t>
    </r>
    <r>
      <rPr>
        <sz val="9"/>
        <rFont val="宋体"/>
        <family val="3"/>
        <charset val="134"/>
        <scheme val="minor"/>
      </rPr>
      <t>2.预计 2045 年，长城汽车将全面实现碳中和。不断在混动、纯电、氢能三大领域进行精准投入;3. 整车销售收入增加的主要原因是：主要系报告期</t>
    </r>
    <r>
      <rPr>
        <b/>
        <sz val="9"/>
        <color rgb="FFFF0000"/>
        <rFont val="宋体"/>
        <family val="3"/>
        <charset val="134"/>
        <scheme val="minor"/>
      </rPr>
      <t>销量增加及品牌向上使得单车收入提升</t>
    </r>
    <r>
      <rPr>
        <sz val="9"/>
        <rFont val="宋体"/>
        <family val="3"/>
        <charset val="134"/>
        <scheme val="minor"/>
      </rPr>
      <t>所致。4.长城控股集团旗下的</t>
    </r>
    <r>
      <rPr>
        <b/>
        <sz val="9"/>
        <color rgb="FFFF0000"/>
        <rFont val="宋体"/>
        <family val="3"/>
        <charset val="134"/>
        <scheme val="minor"/>
      </rPr>
      <t>未势能源，定位为专注于氢燃料电池技术</t>
    </r>
    <r>
      <rPr>
        <sz val="9"/>
        <rFont val="宋体"/>
        <family val="3"/>
        <charset val="134"/>
        <scheme val="minor"/>
      </rPr>
      <t xml:space="preserve">市场化运营的高科技企业。目前已掌握高性能膜电极、高功率密度电堆、高效率燃料电池发动机、高压车载储氢瓶、高集成度瓶阀等氢燃料电池核心技术。
</t>
    </r>
    <phoneticPr fontId="1" type="noConversion"/>
  </si>
  <si>
    <t>细分行业</t>
  </si>
  <si>
    <t>商用载货车</t>
  </si>
  <si>
    <t>乘用车</t>
  </si>
  <si>
    <t>商用载客车</t>
  </si>
  <si>
    <t>赛力斯</t>
  </si>
  <si>
    <t>11.18亿</t>
  </si>
  <si>
    <t/>
  </si>
  <si>
    <t>众泰汽车</t>
  </si>
  <si>
    <t>-1-0</t>
  </si>
  <si>
    <r>
      <t>1.山东省国资委控股。2.公司产品以黄河和豪沃品牌的系列为主，涉及自卸车、牵引车、载货车等多种车型。主要用于物流运输、工程建设以及城市清洁、消防等领域。3.问：从当前看四季度的重卡市场怎么样？答：从近期数据来看，重卡行业环比增长，整体</t>
    </r>
    <r>
      <rPr>
        <sz val="9"/>
        <color rgb="FFFF0000"/>
        <rFont val="宋体"/>
        <family val="3"/>
        <charset val="134"/>
        <scheme val="minor"/>
      </rPr>
      <t>呈现复苏状态</t>
    </r>
    <r>
      <rPr>
        <sz val="9"/>
        <color theme="1"/>
        <rFont val="宋体"/>
        <family val="2"/>
        <charset val="134"/>
        <scheme val="minor"/>
      </rPr>
      <t>。国家在基建、货运等方面的各项政策正在逐步落地，</t>
    </r>
    <r>
      <rPr>
        <sz val="9"/>
        <color rgb="FFFF0000"/>
        <rFont val="宋体"/>
        <family val="3"/>
        <charset val="134"/>
        <scheme val="minor"/>
      </rPr>
      <t>这些都将推动低排放货车加速淘汰、释放重卡新车需求</t>
    </r>
    <r>
      <rPr>
        <sz val="9"/>
        <color theme="1"/>
        <rFont val="宋体"/>
        <family val="2"/>
        <charset val="134"/>
        <scheme val="minor"/>
      </rPr>
      <t>，对重卡市场会形成一定推动作用。另外，国际市场依然保持着良好的发展态势。</t>
    </r>
    <phoneticPr fontId="1" type="noConversion"/>
  </si>
  <si>
    <r>
      <t>1.面对客观环境的不利影响，公司积极调整发展策略，聚焦高质量发展，推动终端市场份额的逆势上扬。1-9月终端市场份额逆势升至26.2%,</t>
    </r>
    <r>
      <rPr>
        <b/>
        <sz val="9"/>
        <color rgb="FFFF0000"/>
        <rFont val="宋体"/>
        <family val="3"/>
        <charset val="134"/>
        <scheme val="minor"/>
      </rPr>
      <t>稳居中重卡行业第一地位</t>
    </r>
    <r>
      <rPr>
        <sz val="9"/>
        <color theme="1"/>
        <rFont val="宋体"/>
        <family val="2"/>
        <charset val="134"/>
        <scheme val="minor"/>
      </rPr>
      <t>。2.公司今年海外出口大幅增长。</t>
    </r>
    <phoneticPr fontId="1" type="noConversion"/>
  </si>
  <si>
    <t>股利率</t>
    <phoneticPr fontId="1" type="noConversion"/>
  </si>
  <si>
    <t>折现率</t>
    <phoneticPr fontId="1" type="noConversion"/>
  </si>
  <si>
    <t>10增速</t>
    <phoneticPr fontId="1" type="noConversion"/>
  </si>
  <si>
    <t>20年自由现金流折现</t>
    <phoneticPr fontId="1" type="noConversion"/>
  </si>
  <si>
    <t>清算价格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</si>
  <si>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</si>
  <si>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</si>
  <si>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</si>
  <si>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量价齐升策略</t>
    <phoneticPr fontId="1" type="noConversion"/>
  </si>
  <si>
    <t>综合策略</t>
    <phoneticPr fontId="1" type="noConversion"/>
  </si>
  <si>
    <t>30日成交换手率</t>
    <phoneticPr fontId="1" type="noConversion"/>
  </si>
  <si>
    <t>成交量异动策略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</si>
  <si>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</si>
  <si>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</si>
  <si>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</si>
  <si>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N-2</t>
    <phoneticPr fontId="1" type="noConversion"/>
  </si>
  <si>
    <t>不分配不转增</t>
  </si>
  <si>
    <t>1-1</t>
  </si>
  <si>
    <t>301.00亿</t>
  </si>
  <si>
    <t>9.15亿</t>
  </si>
  <si>
    <t>-15.74亿</t>
  </si>
  <si>
    <t>17.63亿</t>
  </si>
  <si>
    <t>13.75亿</t>
  </si>
  <si>
    <t>23.77亿</t>
  </si>
  <si>
    <t>1212.53亿</t>
  </si>
  <si>
    <t>383.32亿</t>
  </si>
  <si>
    <t>14.88亿</t>
  </si>
  <si>
    <t>-2.40亿</t>
  </si>
  <si>
    <t>9.17亿</t>
  </si>
  <si>
    <t>288.22亿</t>
  </si>
  <si>
    <t>2.14亿</t>
  </si>
  <si>
    <t>52.76亿</t>
  </si>
  <si>
    <t>9832.64万</t>
  </si>
  <si>
    <t>2.47亿</t>
  </si>
  <si>
    <t>7.83亿</t>
  </si>
  <si>
    <t>1.34亿</t>
  </si>
  <si>
    <t>-1.88亿</t>
  </si>
  <si>
    <t>4240.61亿</t>
  </si>
  <si>
    <t>166.22亿</t>
  </si>
  <si>
    <t>236.21亿</t>
  </si>
  <si>
    <t>10派3元(含税)</t>
  </si>
  <si>
    <t>121.90亿</t>
  </si>
  <si>
    <t>2.85亿</t>
  </si>
  <si>
    <t>1.13亿</t>
  </si>
  <si>
    <t>217.99亿</t>
  </si>
  <si>
    <t>7.59亿</t>
  </si>
  <si>
    <t>161.18亿</t>
  </si>
  <si>
    <t>7230.43亿</t>
  </si>
  <si>
    <t>7209.88亿</t>
  </si>
  <si>
    <t>464.47亿</t>
  </si>
  <si>
    <t>1.74亿</t>
  </si>
  <si>
    <t>1.98亿</t>
  </si>
  <si>
    <t>-1.96亿</t>
  </si>
  <si>
    <t>16.72亿</t>
  </si>
  <si>
    <t>-3.34亿</t>
  </si>
  <si>
    <t>34.29亿</t>
  </si>
  <si>
    <t>-15.82亿</t>
  </si>
  <si>
    <t>402.14亿</t>
  </si>
  <si>
    <t>428.31亿</t>
  </si>
  <si>
    <t>364.95亿</t>
  </si>
  <si>
    <t>182.40亿</t>
  </si>
  <si>
    <t>-3.87亿</t>
  </si>
  <si>
    <t>95.14亿</t>
  </si>
  <si>
    <t>-54.65亿</t>
  </si>
  <si>
    <t>1.21亿</t>
  </si>
  <si>
    <t>341.05亿</t>
  </si>
  <si>
    <t>-38.32亿</t>
  </si>
  <si>
    <t>751.10亿</t>
  </si>
  <si>
    <t>627.17亿</t>
  </si>
  <si>
    <t>1373.40亿</t>
  </si>
  <si>
    <t>82.66亿</t>
  </si>
  <si>
    <t>涨幅%</t>
  </si>
  <si>
    <t>成交量[20230512]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</si>
  <si>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</si>
  <si>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</si>
  <si>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</si>
  <si>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</si>
  <si>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</si>
  <si>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</si>
  <si>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</si>
  <si>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</si>
  <si>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</si>
  <si>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</si>
  <si>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</si>
  <si>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</si>
  <si>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</si>
  <si>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</si>
  <si>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</si>
  <si>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</si>
  <si>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</si>
  <si>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</si>
  <si>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</si>
  <si>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</si>
  <si>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</si>
  <si>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</si>
  <si>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</si>
  <si>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</si>
  <si>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</si>
  <si>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</si>
  <si>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</si>
  <si>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</si>
  <si>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</si>
  <si>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</si>
  <si>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</si>
  <si>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</si>
  <si>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</si>
  <si>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</si>
  <si>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</si>
  <si>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</si>
  <si>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</si>
  <si>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</si>
  <si>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</si>
  <si>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</si>
  <si>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</si>
  <si>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</si>
  <si>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区间涨跌幅:前复权%[20230508-20230512]</t>
  </si>
  <si>
    <t>区间涨跌幅:前复权%[20230328-20230512]</t>
  </si>
  <si>
    <t>区间成交量[20230508-20230512]</t>
  </si>
  <si>
    <t>区间成交量[20230328-20230512]</t>
  </si>
  <si>
    <t>6年PE</t>
    <phoneticPr fontId="1" type="noConversion"/>
  </si>
  <si>
    <t>5年营收增速PEG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</si>
  <si>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</si>
  <si>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</si>
  <si>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</si>
  <si>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</si>
  <si>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</si>
  <si>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</si>
  <si>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</si>
  <si>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</si>
  <si>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</si>
  <si>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</si>
  <si>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</si>
  <si>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</si>
  <si>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</si>
  <si>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</si>
  <si>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</si>
  <si>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</si>
  <si>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</si>
  <si>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</si>
  <si>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</si>
  <si>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</si>
  <si>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价格右侧初期策略</t>
    <phoneticPr fontId="1" type="noConversion"/>
  </si>
  <si>
    <t>N-4</t>
    <phoneticPr fontId="1" type="noConversion"/>
  </si>
  <si>
    <t>N-1</t>
    <phoneticPr fontId="1" type="noConversion"/>
  </si>
  <si>
    <t>N</t>
    <phoneticPr fontId="1" type="noConversion"/>
  </si>
  <si>
    <t>191.56亿</t>
  </si>
  <si>
    <t>79.75亿</t>
  </si>
  <si>
    <t>331.67亿</t>
  </si>
  <si>
    <t>14.76亿</t>
  </si>
  <si>
    <t>2536711亿</t>
  </si>
  <si>
    <t>420804100亿</t>
  </si>
  <si>
    <t>3754430700亿</t>
  </si>
  <si>
    <t>17839436000亿</t>
  </si>
  <si>
    <t>75.26亿</t>
  </si>
  <si>
    <t>1.83亿</t>
  </si>
  <si>
    <t>10派6.84元(含税)</t>
  </si>
  <si>
    <t>45.85亿</t>
  </si>
  <si>
    <t>25.46亿</t>
  </si>
  <si>
    <t>-2.02亿</t>
  </si>
  <si>
    <t>-5023319亿</t>
  </si>
  <si>
    <t>-86406546亿</t>
  </si>
  <si>
    <t>506270140亿</t>
  </si>
  <si>
    <t>3959094100亿</t>
  </si>
  <si>
    <t>10.28亿</t>
  </si>
  <si>
    <t>-5210.10万</t>
  </si>
  <si>
    <t>9.33亿</t>
  </si>
  <si>
    <t>1154.88亿</t>
  </si>
  <si>
    <t>370.23亿</t>
  </si>
  <si>
    <t>1512.98亿</t>
  </si>
  <si>
    <t>113.27亿</t>
  </si>
  <si>
    <t>177172520亿</t>
  </si>
  <si>
    <t>111699858亿</t>
  </si>
  <si>
    <t>3276719000亿</t>
  </si>
  <si>
    <t>131005023000亿</t>
  </si>
  <si>
    <t>77.99亿</t>
  </si>
  <si>
    <t>345.56亿</t>
  </si>
  <si>
    <t>69.70亿</t>
  </si>
  <si>
    <t>10派3.43元(含税)</t>
  </si>
  <si>
    <t>413.87亿</t>
  </si>
  <si>
    <t>189.81亿</t>
  </si>
  <si>
    <t>639.05亿</t>
  </si>
  <si>
    <t>7.63亿</t>
  </si>
  <si>
    <t>50723493亿</t>
  </si>
  <si>
    <t>103572008亿</t>
  </si>
  <si>
    <t>5381120400亿</t>
  </si>
  <si>
    <t>50354822000亿</t>
  </si>
  <si>
    <t>3.67亿</t>
  </si>
  <si>
    <t>140.38亿</t>
  </si>
  <si>
    <t>6178.52万</t>
  </si>
  <si>
    <t>10派1.5元(含税)</t>
  </si>
  <si>
    <t>24.02亿</t>
  </si>
  <si>
    <t>5.73亿</t>
  </si>
  <si>
    <t>21.46亿</t>
  </si>
  <si>
    <t>-1.70亿</t>
  </si>
  <si>
    <t>2863156亿</t>
  </si>
  <si>
    <t>-9366868亿</t>
  </si>
  <si>
    <t>831266860亿</t>
  </si>
  <si>
    <t>2047355300亿</t>
  </si>
  <si>
    <t>5004.58万</t>
  </si>
  <si>
    <t>2800.00万</t>
  </si>
  <si>
    <t>2.31亿</t>
  </si>
  <si>
    <t>-3094.67万</t>
  </si>
  <si>
    <t>213.59亿</t>
  </si>
  <si>
    <t>114.27亿</t>
  </si>
  <si>
    <t>420.70亿</t>
  </si>
  <si>
    <t>10.80亿</t>
  </si>
  <si>
    <t>262767390亿</t>
  </si>
  <si>
    <t>6357591000亿</t>
  </si>
  <si>
    <t>34320792000亿</t>
  </si>
  <si>
    <t>92.14亿</t>
  </si>
  <si>
    <t>2.24亿</t>
  </si>
  <si>
    <t>10派4.62元(含税)</t>
  </si>
  <si>
    <t>57.78亿</t>
  </si>
  <si>
    <t>12.82亿</t>
  </si>
  <si>
    <t>42.44亿</t>
  </si>
  <si>
    <t>6965.41万</t>
  </si>
  <si>
    <t>-389722亿</t>
  </si>
  <si>
    <t>27170101亿</t>
  </si>
  <si>
    <t>2945816300亿</t>
  </si>
  <si>
    <t>7030014600亿</t>
  </si>
  <si>
    <t>4.84亿</t>
  </si>
  <si>
    <t>4.36亿</t>
  </si>
  <si>
    <t>6.94亿</t>
  </si>
  <si>
    <t>2066.69万</t>
  </si>
  <si>
    <t>10派0.34元(含税)</t>
  </si>
  <si>
    <t>069654100</t>
  </si>
  <si>
    <t>0208962300</t>
  </si>
  <si>
    <t>0417924600</t>
  </si>
  <si>
    <t>0696541000</t>
  </si>
  <si>
    <t>01393082000</t>
  </si>
  <si>
    <t>46.76亿</t>
  </si>
  <si>
    <t>7.34亿</t>
  </si>
  <si>
    <t>-9.27亿</t>
  </si>
  <si>
    <t>-124906241亿</t>
  </si>
  <si>
    <t>7.95亿</t>
  </si>
  <si>
    <t>1407834100亿</t>
  </si>
  <si>
    <t>3161132400亿</t>
  </si>
  <si>
    <t>-9.21亿</t>
  </si>
  <si>
    <t>1.63亿</t>
  </si>
  <si>
    <t>-2-1</t>
  </si>
  <si>
    <t>5290.86亿</t>
  </si>
  <si>
    <t>1249.44亿</t>
  </si>
  <si>
    <t>6023.15亿</t>
  </si>
  <si>
    <t>300.41亿</t>
  </si>
  <si>
    <t>621940000亿</t>
  </si>
  <si>
    <t>3751980000亿</t>
  </si>
  <si>
    <t>61265729000亿</t>
  </si>
  <si>
    <t>292893770000亿</t>
  </si>
  <si>
    <t>1201.74亿</t>
  </si>
  <si>
    <t>41.30亿</t>
  </si>
  <si>
    <t>10派30.96元(含税)</t>
  </si>
  <si>
    <t>83.91亿</t>
  </si>
  <si>
    <t>51.53亿</t>
  </si>
  <si>
    <t>250.87亿</t>
  </si>
  <si>
    <t>24.56亿</t>
  </si>
  <si>
    <t>6.78亿</t>
  </si>
  <si>
    <t>-3392465亿</t>
  </si>
  <si>
    <t>262438020亿</t>
  </si>
  <si>
    <t>4082781900亿</t>
  </si>
  <si>
    <t>17645128000亿</t>
  </si>
  <si>
    <t>105.74亿</t>
  </si>
  <si>
    <t>32.86亿</t>
  </si>
  <si>
    <t>120.70亿</t>
  </si>
  <si>
    <t>5.19亿</t>
  </si>
  <si>
    <t>150973430亿</t>
  </si>
  <si>
    <t>121819636亿</t>
  </si>
  <si>
    <t>4578987300亿</t>
  </si>
  <si>
    <t>14536508000亿</t>
  </si>
  <si>
    <t>3.35亿</t>
  </si>
  <si>
    <t>10派0.301元(含税)</t>
  </si>
  <si>
    <t>168.00亿</t>
  </si>
  <si>
    <t>66.16亿</t>
  </si>
  <si>
    <t>270.42亿</t>
  </si>
  <si>
    <t>18.17亿</t>
  </si>
  <si>
    <t>641761亿</t>
  </si>
  <si>
    <t>570950740亿</t>
  </si>
  <si>
    <t>2837361800亿</t>
  </si>
  <si>
    <t>21696440000亿</t>
  </si>
  <si>
    <t>10派15元(含税)</t>
  </si>
  <si>
    <t>2-1</t>
  </si>
  <si>
    <t>6637.43亿</t>
  </si>
  <si>
    <t>1389.84亿</t>
  </si>
  <si>
    <t>7261.99亿</t>
  </si>
  <si>
    <t>141.06亿</t>
  </si>
  <si>
    <t>2753652000亿</t>
  </si>
  <si>
    <t>2120629600亿</t>
  </si>
  <si>
    <t>62555770000亿</t>
  </si>
  <si>
    <t>585168230000亿</t>
  </si>
  <si>
    <t>10派3.69元(含税)</t>
  </si>
  <si>
    <t>6.51亿</t>
  </si>
  <si>
    <t>304.79亿</t>
  </si>
  <si>
    <t>128.70亿</t>
  </si>
  <si>
    <t>560.97亿</t>
  </si>
  <si>
    <t>9.09亿</t>
  </si>
  <si>
    <t>21.37亿</t>
  </si>
  <si>
    <t>73405909亿</t>
  </si>
  <si>
    <t>207036720亿</t>
  </si>
  <si>
    <t>7338929800亿</t>
  </si>
  <si>
    <t>26063674000亿</t>
  </si>
  <si>
    <t>6676.22万</t>
  </si>
  <si>
    <t>*ST亚星</t>
  </si>
  <si>
    <t>24.98亿</t>
  </si>
  <si>
    <t>5.58亿</t>
  </si>
  <si>
    <t>12.10亿</t>
  </si>
  <si>
    <t>-3.37亿</t>
  </si>
  <si>
    <t>7535817亿</t>
  </si>
  <si>
    <t>2800610000亿</t>
  </si>
  <si>
    <t>14.77亿</t>
  </si>
  <si>
    <t>1.53亿</t>
  </si>
  <si>
    <t>20.61亿</t>
  </si>
  <si>
    <t>3.57亿</t>
  </si>
  <si>
    <t>13.64亿</t>
  </si>
  <si>
    <t>-4.70亿</t>
  </si>
  <si>
    <t>1.68亿</t>
  </si>
  <si>
    <t>-64631357亿</t>
  </si>
  <si>
    <t>1206145690亿</t>
  </si>
  <si>
    <t>*ST汉马</t>
  </si>
  <si>
    <t>87.07亿</t>
  </si>
  <si>
    <t>38.77亿</t>
  </si>
  <si>
    <t>-9.63亿</t>
  </si>
  <si>
    <t>1.15亿</t>
  </si>
  <si>
    <t>-24696亿</t>
  </si>
  <si>
    <t>-84612437亿</t>
  </si>
  <si>
    <t>4025832300亿</t>
  </si>
  <si>
    <t>-14.94亿</t>
  </si>
  <si>
    <t>322.71亿</t>
  </si>
  <si>
    <t>112.65亿</t>
  </si>
  <si>
    <t>449.40亿</t>
  </si>
  <si>
    <t>1.52亿</t>
  </si>
  <si>
    <t>-41091842亿</t>
  </si>
  <si>
    <t>-10764213亿</t>
  </si>
  <si>
    <t>4865750100亿</t>
  </si>
  <si>
    <t>28270406000亿</t>
  </si>
  <si>
    <t>10派0.21元(含税)</t>
  </si>
  <si>
    <t>222.70亿</t>
  </si>
  <si>
    <t>39.79亿</t>
  </si>
  <si>
    <t>194.00亿</t>
  </si>
  <si>
    <t>7509.68万</t>
  </si>
  <si>
    <t>4465018亿</t>
  </si>
  <si>
    <t>-32713656亿</t>
  </si>
  <si>
    <t>3554366100亿</t>
  </si>
  <si>
    <t>18434438000亿</t>
  </si>
  <si>
    <t>10派0.35元(含税)</t>
  </si>
  <si>
    <t>3-0</t>
  </si>
  <si>
    <t>238.43亿</t>
  </si>
  <si>
    <t>15.05亿</t>
  </si>
  <si>
    <t>143.19亿</t>
  </si>
  <si>
    <t>-54.00亿</t>
  </si>
  <si>
    <t>-10887017亿</t>
  </si>
  <si>
    <t>-1032085040亿</t>
  </si>
  <si>
    <t>4391518400亿</t>
  </si>
  <si>
    <t>14192306000亿</t>
  </si>
  <si>
    <t>24.97亿</t>
  </si>
  <si>
    <t>939.95亿</t>
  </si>
  <si>
    <t>213.46亿</t>
  </si>
  <si>
    <t>1287.57亿</t>
  </si>
  <si>
    <t>44.29亿</t>
  </si>
  <si>
    <t>1844213700亿</t>
  </si>
  <si>
    <t>687380730亿</t>
  </si>
  <si>
    <t>5551805200亿</t>
  </si>
  <si>
    <t>91895282000亿</t>
  </si>
  <si>
    <t>1096.00亿</t>
  </si>
  <si>
    <t>80.64亿</t>
  </si>
  <si>
    <t>10派1元(含税)</t>
  </si>
  <si>
    <t>3-1</t>
  </si>
  <si>
    <t>1327.62亿</t>
  </si>
  <si>
    <t>428.60亿</t>
  </si>
  <si>
    <t>1732.12亿</t>
  </si>
  <si>
    <t>70.22亿</t>
  </si>
  <si>
    <t>231856420亿</t>
  </si>
  <si>
    <t>2024325500亿</t>
  </si>
  <si>
    <t>6300208700亿</t>
  </si>
  <si>
    <t>113798756000亿</t>
  </si>
  <si>
    <t>SH601777</t>
  </si>
  <si>
    <t>力帆科技</t>
  </si>
  <si>
    <t>98.38亿</t>
  </si>
  <si>
    <t>14.06亿</t>
  </si>
  <si>
    <t>67.68亿</t>
  </si>
  <si>
    <t>2421.22万</t>
  </si>
  <si>
    <t>115398561亿</t>
  </si>
  <si>
    <t>14029376亿</t>
  </si>
  <si>
    <t>1141882070亿</t>
  </si>
  <si>
    <t>8312570100亿</t>
  </si>
  <si>
    <t>2.25亿</t>
  </si>
  <si>
    <t>86.54亿</t>
  </si>
  <si>
    <t>39.77亿</t>
  </si>
  <si>
    <t>36.37亿</t>
  </si>
  <si>
    <t>74.50亿</t>
  </si>
  <si>
    <t>110.13亿</t>
  </si>
  <si>
    <t>5564.21万</t>
  </si>
  <si>
    <t>5810.38万</t>
  </si>
  <si>
    <t>-46.82亿</t>
  </si>
  <si>
    <t>2.53亿</t>
  </si>
  <si>
    <t>443.81万</t>
  </si>
  <si>
    <t>102.25亿</t>
  </si>
  <si>
    <t>81.18亿</t>
  </si>
  <si>
    <t>69.95亿</t>
  </si>
  <si>
    <t>2.08亿</t>
  </si>
  <si>
    <t>64.04万</t>
  </si>
  <si>
    <t>100.98亿</t>
  </si>
  <si>
    <t>4.00亿</t>
  </si>
  <si>
    <t>86.26亿</t>
  </si>
  <si>
    <t>168.39亿</t>
  </si>
  <si>
    <t>139.38万</t>
  </si>
  <si>
    <t>-6.14亿</t>
  </si>
  <si>
    <t>-2.17亿</t>
  </si>
  <si>
    <t>-9.09亿</t>
  </si>
  <si>
    <t>3216.94万</t>
  </si>
  <si>
    <t>1.61亿</t>
  </si>
  <si>
    <t>1723.10万</t>
  </si>
  <si>
    <t>26.57亿</t>
  </si>
  <si>
    <t>3.68亿</t>
  </si>
  <si>
    <t>590.97万</t>
  </si>
  <si>
    <t>7173.25万</t>
  </si>
  <si>
    <t>56.47万</t>
  </si>
  <si>
    <t>3799.72万</t>
  </si>
  <si>
    <t>2.02亿</t>
  </si>
  <si>
    <t>7.03亿</t>
  </si>
  <si>
    <t>7.32亿</t>
  </si>
  <si>
    <t>15.68万</t>
  </si>
  <si>
    <t>42.16亿</t>
  </si>
  <si>
    <t>-1.07亿</t>
  </si>
  <si>
    <t>5296.36万</t>
  </si>
  <si>
    <t>1587.71万</t>
  </si>
  <si>
    <t>9589.37万</t>
  </si>
  <si>
    <t>-6-0</t>
  </si>
  <si>
    <t>9597.19万</t>
  </si>
  <si>
    <t>757.62亿</t>
  </si>
  <si>
    <t>373.69亿</t>
  </si>
  <si>
    <t>316.87亿</t>
  </si>
  <si>
    <t>20.51亿</t>
  </si>
  <si>
    <t>12.86亿</t>
  </si>
  <si>
    <t>1641.67万</t>
  </si>
  <si>
    <t>700.68亿</t>
  </si>
  <si>
    <t>337.05亿</t>
  </si>
  <si>
    <t>23.21亿</t>
  </si>
  <si>
    <t>4405.37万</t>
  </si>
  <si>
    <t>423.91亿</t>
  </si>
  <si>
    <t>335.87亿</t>
  </si>
  <si>
    <t>7.56万</t>
  </si>
  <si>
    <t>1019.07亿</t>
  </si>
  <si>
    <t>3600.00万</t>
  </si>
  <si>
    <t>52.47亿</t>
  </si>
  <si>
    <t>-313.66万</t>
  </si>
  <si>
    <t>3874.86万</t>
  </si>
  <si>
    <t>36.48亿</t>
  </si>
  <si>
    <t>562.41万</t>
  </si>
  <si>
    <t>246.53亿</t>
  </si>
  <si>
    <t>189.91亿</t>
  </si>
  <si>
    <t>177.86亿</t>
  </si>
  <si>
    <t>3.82亿</t>
  </si>
  <si>
    <t>526.86万</t>
  </si>
  <si>
    <t>233.25亿</t>
  </si>
  <si>
    <t>2497.34万</t>
  </si>
  <si>
    <t>9.80亿</t>
  </si>
  <si>
    <t>164.68亿</t>
  </si>
  <si>
    <t>204.48亿</t>
  </si>
  <si>
    <t>123.87万</t>
  </si>
  <si>
    <t>443.68亿</t>
  </si>
  <si>
    <t>9.70亿</t>
  </si>
  <si>
    <t>-4.08亿</t>
  </si>
  <si>
    <t>-1144.20万</t>
  </si>
  <si>
    <t>3775.53万</t>
  </si>
  <si>
    <t>2.43亿</t>
  </si>
  <si>
    <t>645.13万</t>
  </si>
  <si>
    <t>8.98亿</t>
  </si>
  <si>
    <t>5.96亿</t>
  </si>
  <si>
    <t>5.22亿</t>
  </si>
  <si>
    <t>3385.17万</t>
  </si>
  <si>
    <t>1860.61万</t>
  </si>
  <si>
    <t>14.60万</t>
  </si>
  <si>
    <t>85.86万</t>
  </si>
  <si>
    <t>11.08亿</t>
  </si>
  <si>
    <t>22.26亿</t>
  </si>
  <si>
    <t>-243.21万</t>
  </si>
  <si>
    <t>-87.90万</t>
  </si>
  <si>
    <t>3309.29万</t>
  </si>
  <si>
    <t>3.23亿</t>
  </si>
  <si>
    <t>1144.58万</t>
  </si>
  <si>
    <t>160.92亿</t>
  </si>
  <si>
    <t>108.87亿</t>
  </si>
  <si>
    <t>105.28亿</t>
  </si>
  <si>
    <t>1.02亿</t>
  </si>
  <si>
    <t>9192.07万</t>
  </si>
  <si>
    <t>1812.57万</t>
  </si>
  <si>
    <t>154.46亿</t>
  </si>
  <si>
    <t>1.91亿</t>
  </si>
  <si>
    <t>4.59亿</t>
  </si>
  <si>
    <t>66.96亿</t>
  </si>
  <si>
    <t>124.85亿</t>
  </si>
  <si>
    <t>245.16亿</t>
  </si>
  <si>
    <t>29.45亿</t>
  </si>
  <si>
    <t>-11.83亿</t>
  </si>
  <si>
    <t>969.65万</t>
  </si>
  <si>
    <t>7869.71万</t>
  </si>
  <si>
    <t>3.56亿</t>
  </si>
  <si>
    <t>5728.58万</t>
  </si>
  <si>
    <t>27.71亿</t>
  </si>
  <si>
    <t>12.41亿</t>
  </si>
  <si>
    <t>10.86亿</t>
  </si>
  <si>
    <t>8411.50万</t>
  </si>
  <si>
    <t>3072.42万</t>
  </si>
  <si>
    <t>63.00万</t>
  </si>
  <si>
    <t>23.45亿</t>
  </si>
  <si>
    <t>8375.96万</t>
  </si>
  <si>
    <t>1701.80万</t>
  </si>
  <si>
    <t>17.49亿</t>
  </si>
  <si>
    <t>17.36亿</t>
  </si>
  <si>
    <t>56.64亿</t>
  </si>
  <si>
    <t>4.70亿</t>
  </si>
  <si>
    <t>-1.61万</t>
  </si>
  <si>
    <t>-366.28万</t>
  </si>
  <si>
    <t>13.27亿</t>
  </si>
  <si>
    <t>7390.19万</t>
  </si>
  <si>
    <t>13.78亿</t>
  </si>
  <si>
    <t>2.38亿</t>
  </si>
  <si>
    <t>1.01亿</t>
  </si>
  <si>
    <t>855.33万</t>
  </si>
  <si>
    <t>30.37万</t>
  </si>
  <si>
    <t>7.47亿</t>
  </si>
  <si>
    <t>3503.79万</t>
  </si>
  <si>
    <t>1.29亿</t>
  </si>
  <si>
    <t>12.67亿</t>
  </si>
  <si>
    <t>2391.75万</t>
  </si>
  <si>
    <t>32.40亿</t>
  </si>
  <si>
    <t>12.49亿</t>
  </si>
  <si>
    <t>-2941.40万</t>
  </si>
  <si>
    <t>415.71万</t>
  </si>
  <si>
    <t>-1038.71万</t>
  </si>
  <si>
    <t>5.79亿</t>
  </si>
  <si>
    <t>25.27亿</t>
  </si>
  <si>
    <t>-3-1</t>
  </si>
  <si>
    <t>956.65万</t>
  </si>
  <si>
    <t>1549.47亿</t>
  </si>
  <si>
    <t>1207.33亿</t>
  </si>
  <si>
    <t>976.03亿</t>
  </si>
  <si>
    <t>68.04亿</t>
  </si>
  <si>
    <t>37.69亿</t>
  </si>
  <si>
    <t>867.97亿</t>
  </si>
  <si>
    <t>399.10亿</t>
  </si>
  <si>
    <t>137.19亿</t>
  </si>
  <si>
    <t>33.09亿</t>
  </si>
  <si>
    <t>1961.34亿</t>
  </si>
  <si>
    <t>4440.81亿</t>
  </si>
  <si>
    <t>139.96亿</t>
  </si>
  <si>
    <t>102.28亿</t>
  </si>
  <si>
    <t>-272.70亿</t>
  </si>
  <si>
    <t>-51.84亿</t>
  </si>
  <si>
    <t>5233.36万</t>
  </si>
  <si>
    <t>4.62亿</t>
  </si>
  <si>
    <t>791.43万</t>
  </si>
  <si>
    <t>157.28亿</t>
  </si>
  <si>
    <t>6.25亿</t>
  </si>
  <si>
    <t>-3219.04万</t>
  </si>
  <si>
    <t>47.85亿</t>
  </si>
  <si>
    <t>43.67亿</t>
  </si>
  <si>
    <t>126.36万</t>
  </si>
  <si>
    <t>65.40亿</t>
  </si>
  <si>
    <t>2.04亿</t>
  </si>
  <si>
    <t>4.02亿</t>
  </si>
  <si>
    <t>9.56亿</t>
  </si>
  <si>
    <t>38.71亿</t>
  </si>
  <si>
    <t>504.13万</t>
  </si>
  <si>
    <t>85.00亿</t>
  </si>
  <si>
    <t>2.27亿</t>
  </si>
  <si>
    <t>3.71亿</t>
  </si>
  <si>
    <t>-7082.48万</t>
  </si>
  <si>
    <t>1.65亿</t>
  </si>
  <si>
    <t>412.44万</t>
  </si>
  <si>
    <t>4622.99万</t>
  </si>
  <si>
    <t>3.46亿</t>
  </si>
  <si>
    <t>2957.93万</t>
  </si>
  <si>
    <t>87.38亿</t>
  </si>
  <si>
    <t>39.54亿</t>
  </si>
  <si>
    <t>12.59亿</t>
  </si>
  <si>
    <t>291.54万</t>
  </si>
  <si>
    <t>43.15亿</t>
  </si>
  <si>
    <t>6.12亿</t>
  </si>
  <si>
    <t>50.64亿</t>
  </si>
  <si>
    <t>28.77亿</t>
  </si>
  <si>
    <t>-17.25亿</t>
  </si>
  <si>
    <t>5.48亿</t>
  </si>
  <si>
    <t>6728.38万</t>
  </si>
  <si>
    <t>9.58亿</t>
  </si>
  <si>
    <t>3.20亿</t>
  </si>
  <si>
    <t>9.35亿</t>
  </si>
  <si>
    <t>01259000000</t>
  </si>
  <si>
    <t>03777000000</t>
  </si>
  <si>
    <t>07554000000</t>
  </si>
  <si>
    <t>012590000000</t>
  </si>
  <si>
    <t>025180000000</t>
  </si>
  <si>
    <t>1549.28万</t>
  </si>
  <si>
    <t>146.97亿</t>
  </si>
  <si>
    <t>97.21亿</t>
  </si>
  <si>
    <t>-4.45亿</t>
  </si>
  <si>
    <t>1928.08万</t>
  </si>
  <si>
    <t>57.46亿</t>
  </si>
  <si>
    <t>1.36亿</t>
  </si>
  <si>
    <t>23.18亿</t>
  </si>
  <si>
    <t>53.05亿</t>
  </si>
  <si>
    <t>1543.51万</t>
  </si>
  <si>
    <t>33.08亿</t>
  </si>
  <si>
    <t>-38.62亿</t>
  </si>
  <si>
    <t>19.48亿</t>
  </si>
  <si>
    <t>-1118.03万</t>
  </si>
  <si>
    <t>9087.35万</t>
  </si>
  <si>
    <t>1300.84万</t>
  </si>
  <si>
    <t>3488.72亿</t>
  </si>
  <si>
    <t>43.45亿</t>
  </si>
  <si>
    <t>4325.03万</t>
  </si>
  <si>
    <t>2.77亿</t>
  </si>
  <si>
    <t>1439.48亿</t>
  </si>
  <si>
    <t>158.44亿</t>
  </si>
  <si>
    <t>798.56亿</t>
  </si>
  <si>
    <t>1589.63亿</t>
  </si>
  <si>
    <t>-45.46亿</t>
  </si>
  <si>
    <t>-31.00亿</t>
  </si>
  <si>
    <t>112.40亿</t>
  </si>
  <si>
    <t>2415.01万</t>
  </si>
  <si>
    <t>5637.09万</t>
  </si>
  <si>
    <t>5.07亿</t>
  </si>
  <si>
    <t>043250300</t>
  </si>
  <si>
    <t>0129750900</t>
  </si>
  <si>
    <t>0259501800</t>
  </si>
  <si>
    <t>0432503000</t>
  </si>
  <si>
    <t>0865006000</t>
  </si>
  <si>
    <t>3401.73万</t>
  </si>
  <si>
    <t>147.10亿</t>
  </si>
  <si>
    <t>34.12亿</t>
  </si>
  <si>
    <t>8.59亿</t>
  </si>
  <si>
    <t>812.64万</t>
  </si>
  <si>
    <t>70.77亿</t>
  </si>
  <si>
    <t>74.76亿</t>
  </si>
  <si>
    <t>162.08亿</t>
  </si>
  <si>
    <t>-8.46亿</t>
  </si>
  <si>
    <t>-1.78亿</t>
  </si>
  <si>
    <t>31.74亿</t>
  </si>
  <si>
    <t>16.56亿</t>
  </si>
  <si>
    <t>6.89亿</t>
  </si>
  <si>
    <t>13.98亿</t>
  </si>
  <si>
    <t>0859000000</t>
  </si>
  <si>
    <t>02577000000</t>
  </si>
  <si>
    <t>05154000000</t>
  </si>
  <si>
    <t>08590000000</t>
  </si>
  <si>
    <t>017180000000</t>
  </si>
  <si>
    <t>-4-0</t>
  </si>
  <si>
    <t>114.34万</t>
  </si>
  <si>
    <t>-1.09亿</t>
  </si>
  <si>
    <t>5.41亿</t>
  </si>
  <si>
    <t>4.93亿</t>
  </si>
  <si>
    <t>2281.46万</t>
  </si>
  <si>
    <t>1070.90万</t>
  </si>
  <si>
    <t>5.65亿</t>
  </si>
  <si>
    <t>84.16万</t>
  </si>
  <si>
    <t>5.33亿</t>
  </si>
  <si>
    <t>4.14亿</t>
  </si>
  <si>
    <t>10.25亿</t>
  </si>
  <si>
    <t>27.32亿</t>
  </si>
  <si>
    <t>-243.06万</t>
  </si>
  <si>
    <t>-31.55万</t>
  </si>
  <si>
    <t>-6719.86万</t>
  </si>
  <si>
    <t>9.50亿</t>
  </si>
  <si>
    <t>18.50亿</t>
  </si>
  <si>
    <t>3.91亿</t>
  </si>
  <si>
    <t>4645.15万</t>
  </si>
  <si>
    <t>1001.39万</t>
  </si>
  <si>
    <t>8492.71万</t>
  </si>
  <si>
    <t>-5-1</t>
  </si>
  <si>
    <t>1211.52万</t>
  </si>
  <si>
    <t>16.77亿</t>
  </si>
  <si>
    <t>21.06亿</t>
  </si>
  <si>
    <t>8689.94万</t>
  </si>
  <si>
    <t>4.20亿</t>
  </si>
  <si>
    <t>3.49亿</t>
  </si>
  <si>
    <t>1271.79万</t>
  </si>
  <si>
    <t>3016.29万</t>
  </si>
  <si>
    <t>96.14万</t>
  </si>
  <si>
    <t>2.89亿</t>
  </si>
  <si>
    <t>3.66亿</t>
  </si>
  <si>
    <t>4112.95万</t>
  </si>
  <si>
    <t>6.91亿</t>
  </si>
  <si>
    <t>15.81亿</t>
  </si>
  <si>
    <t>-6916.20万</t>
  </si>
  <si>
    <t>-51.00万</t>
  </si>
  <si>
    <t>8590.37万</t>
  </si>
  <si>
    <t>6.13亿</t>
  </si>
  <si>
    <t>7287.19万</t>
  </si>
  <si>
    <t>3395.60万</t>
  </si>
  <si>
    <t>2.37亿</t>
  </si>
  <si>
    <t>开始亏损</t>
  </si>
  <si>
    <t>0260698200</t>
  </si>
  <si>
    <t>0521396400</t>
  </si>
  <si>
    <t>0868994000</t>
  </si>
  <si>
    <t>01737988000</t>
  </si>
  <si>
    <t>184.67万</t>
  </si>
  <si>
    <t>-8.11亿</t>
  </si>
  <si>
    <t>477.63亿</t>
  </si>
  <si>
    <t>-63.39亿</t>
  </si>
  <si>
    <t>10.14亿</t>
  </si>
  <si>
    <t>8.78亿</t>
  </si>
  <si>
    <t>2151.51万</t>
  </si>
  <si>
    <t>3832.72万</t>
  </si>
  <si>
    <t>34.79万</t>
  </si>
  <si>
    <t>9.84亿</t>
  </si>
  <si>
    <t>2.80亿</t>
  </si>
  <si>
    <t>21.73亿</t>
  </si>
  <si>
    <t>8.24亿</t>
  </si>
  <si>
    <t>25.49亿</t>
  </si>
  <si>
    <t>68.78亿</t>
  </si>
  <si>
    <t>13.33亿</t>
  </si>
  <si>
    <t>4008.29万</t>
  </si>
  <si>
    <t>4253.70万</t>
  </si>
  <si>
    <t>3851.62万</t>
  </si>
  <si>
    <t>36.35亿</t>
  </si>
  <si>
    <t>-9.45亿</t>
  </si>
  <si>
    <t>1355.36万</t>
  </si>
  <si>
    <t>1.37亿</t>
  </si>
  <si>
    <t>1.23亿</t>
  </si>
  <si>
    <t>147.06亿</t>
  </si>
  <si>
    <t>27.14亿</t>
  </si>
  <si>
    <t>1.42亿</t>
  </si>
  <si>
    <t>112.76亿</t>
  </si>
  <si>
    <t>99.76亿</t>
  </si>
  <si>
    <t>4.40亿</t>
  </si>
  <si>
    <t>4.10亿</t>
  </si>
  <si>
    <t>222.08万</t>
  </si>
  <si>
    <t>131.59亿</t>
  </si>
  <si>
    <t>8.63亿</t>
  </si>
  <si>
    <t>92.03亿</t>
  </si>
  <si>
    <t>95.23亿</t>
  </si>
  <si>
    <t>281.88亿</t>
  </si>
  <si>
    <t>42.75亿</t>
  </si>
  <si>
    <t>-12.26亿</t>
  </si>
  <si>
    <t>-4405.02万</t>
  </si>
  <si>
    <t>6.31亿</t>
  </si>
  <si>
    <t>5497.95万</t>
  </si>
  <si>
    <t>24.46亿</t>
  </si>
  <si>
    <t>0142000000</t>
  </si>
  <si>
    <t>0426000000</t>
  </si>
  <si>
    <t>0852000000</t>
  </si>
  <si>
    <t>01420000000</t>
  </si>
  <si>
    <t>02840000000</t>
  </si>
  <si>
    <t>1054.19万</t>
  </si>
  <si>
    <t>41.29亿</t>
  </si>
  <si>
    <t>930.14亿</t>
  </si>
  <si>
    <t>-14.06亿</t>
  </si>
  <si>
    <t>39.74亿</t>
  </si>
  <si>
    <t>34.75亿</t>
  </si>
  <si>
    <t>2.23亿</t>
  </si>
  <si>
    <t>414.99万</t>
  </si>
  <si>
    <t>58.03亿</t>
  </si>
  <si>
    <t>1927.99万</t>
  </si>
  <si>
    <t>53.51亿</t>
  </si>
  <si>
    <t>72.10亿</t>
  </si>
  <si>
    <t>1.38亿</t>
  </si>
  <si>
    <t>179.46亿</t>
  </si>
  <si>
    <t>-4903.73万</t>
  </si>
  <si>
    <t>-4.92亿</t>
  </si>
  <si>
    <t>7.51亿</t>
  </si>
  <si>
    <t>219.78亿</t>
  </si>
  <si>
    <t>-1.63亿</t>
  </si>
  <si>
    <t>5770.12万</t>
  </si>
  <si>
    <t>5.80亿</t>
  </si>
  <si>
    <t>4.97亿</t>
  </si>
  <si>
    <t>59.52亿</t>
  </si>
  <si>
    <t>3719.58万</t>
  </si>
  <si>
    <t>16.01亿</t>
  </si>
  <si>
    <t>3.33亿</t>
  </si>
  <si>
    <t>1.46亿</t>
  </si>
  <si>
    <t>57.91万</t>
  </si>
  <si>
    <t>47.68亿</t>
  </si>
  <si>
    <t>10.37亿</t>
  </si>
  <si>
    <t>16.20亿</t>
  </si>
  <si>
    <t>55.53亿</t>
  </si>
  <si>
    <t>35.85亿</t>
  </si>
  <si>
    <t>35.79亿</t>
  </si>
  <si>
    <t>2742.06万</t>
  </si>
  <si>
    <t>190.73亿</t>
  </si>
  <si>
    <t>19.52亿</t>
  </si>
  <si>
    <t>-9.91亿</t>
  </si>
  <si>
    <t>-2.23亿</t>
  </si>
  <si>
    <t>-3.08亿</t>
  </si>
  <si>
    <t>3584.91万</t>
  </si>
  <si>
    <t>1032.08万</t>
  </si>
  <si>
    <t>20.01亿</t>
  </si>
  <si>
    <t>78.98亿</t>
  </si>
  <si>
    <t>0111587400</t>
  </si>
  <si>
    <t>0223174800</t>
  </si>
  <si>
    <t>0371958000</t>
  </si>
  <si>
    <t>0743916000</t>
  </si>
  <si>
    <t>4233.17万</t>
  </si>
  <si>
    <t>440.45亿</t>
  </si>
  <si>
    <t>73.83亿</t>
  </si>
  <si>
    <t>265.61亿</t>
  </si>
  <si>
    <t>98.70亿</t>
  </si>
  <si>
    <t>32.82亿</t>
  </si>
  <si>
    <t>263.97亿</t>
  </si>
  <si>
    <t>208.46亿</t>
  </si>
  <si>
    <t>34.05亿</t>
  </si>
  <si>
    <t>4.51亿</t>
  </si>
  <si>
    <t>31302647亿</t>
  </si>
  <si>
    <t>146.86万</t>
  </si>
  <si>
    <t>114379378亿</t>
  </si>
  <si>
    <t>214.83亿</t>
  </si>
  <si>
    <t>2465857600亿</t>
  </si>
  <si>
    <t>36717595000亿</t>
  </si>
  <si>
    <t>2.10亿</t>
  </si>
  <si>
    <t>4.45亿</t>
  </si>
  <si>
    <t>198.17亿</t>
  </si>
  <si>
    <t>230.32亿</t>
  </si>
  <si>
    <t>2338.19万</t>
  </si>
  <si>
    <t>496.20亿</t>
  </si>
  <si>
    <t>7.62亿</t>
  </si>
  <si>
    <t>11.87亿</t>
  </si>
  <si>
    <t>-26.69亿</t>
  </si>
  <si>
    <t>-3.20亿</t>
  </si>
  <si>
    <t>358.42亿</t>
  </si>
  <si>
    <t>24.10亿</t>
  </si>
  <si>
    <t>-24.50亿</t>
  </si>
  <si>
    <t>2.09亿</t>
  </si>
  <si>
    <t>12.81亿</t>
  </si>
  <si>
    <t>2053.17万</t>
  </si>
  <si>
    <t>1255.77亿</t>
  </si>
  <si>
    <t>53.18亿</t>
  </si>
  <si>
    <t>230.60亿</t>
  </si>
  <si>
    <t>198.22亿</t>
  </si>
  <si>
    <t>12.77亿</t>
  </si>
  <si>
    <t>10.24亿</t>
  </si>
  <si>
    <t>699.91万</t>
  </si>
  <si>
    <t>395.09亿</t>
  </si>
  <si>
    <t>5.95亿</t>
  </si>
  <si>
    <t>28.41亿</t>
  </si>
  <si>
    <t>149.54亿</t>
  </si>
  <si>
    <t>47.25亿</t>
  </si>
  <si>
    <t>151.44亿</t>
  </si>
  <si>
    <t>685.03亿</t>
  </si>
  <si>
    <t>100.38亿</t>
  </si>
  <si>
    <t>-61.39亿</t>
  </si>
  <si>
    <t>-43.86亿</t>
  </si>
  <si>
    <t>20.88亿</t>
  </si>
  <si>
    <t>11.65亿</t>
  </si>
  <si>
    <t>788.95万</t>
  </si>
  <si>
    <t>6365.11万</t>
  </si>
  <si>
    <t>6.67亿</t>
  </si>
  <si>
    <t>0102000000</t>
  </si>
  <si>
    <t>0306000000</t>
  </si>
  <si>
    <t>0612000000</t>
  </si>
  <si>
    <t>01020000000</t>
  </si>
  <si>
    <t>02040000000</t>
  </si>
  <si>
    <t>1884.04万</t>
  </si>
  <si>
    <t>717.98亿</t>
  </si>
  <si>
    <t>156.83亿</t>
  </si>
  <si>
    <t>17.51亿</t>
  </si>
  <si>
    <t>405.28亿</t>
  </si>
  <si>
    <t>342.72亿</t>
  </si>
  <si>
    <t>17.06亿</t>
  </si>
  <si>
    <t>10.02亿</t>
  </si>
  <si>
    <t>345.43亿</t>
  </si>
  <si>
    <t>26.60亿</t>
  </si>
  <si>
    <t>69.36亿</t>
  </si>
  <si>
    <t>48.35亿</t>
  </si>
  <si>
    <t>300.51亿</t>
  </si>
  <si>
    <t>330.09亿</t>
  </si>
  <si>
    <t>999.98亿</t>
  </si>
  <si>
    <t>151.97亿</t>
  </si>
  <si>
    <t>-26.17亿</t>
  </si>
  <si>
    <t>-26.88亿</t>
  </si>
  <si>
    <t>22.62亿</t>
  </si>
  <si>
    <t>31.31亿</t>
  </si>
  <si>
    <t>7242.11万</t>
  </si>
  <si>
    <t>4.82亿</t>
  </si>
  <si>
    <t>01751000000</t>
  </si>
  <si>
    <t>05253000000</t>
  </si>
  <si>
    <t>010506000000</t>
  </si>
  <si>
    <t>017510000000</t>
  </si>
  <si>
    <t>035020000000</t>
  </si>
  <si>
    <t>6055.07万</t>
  </si>
  <si>
    <t>119.04亿</t>
  </si>
  <si>
    <t>43.70亿</t>
  </si>
  <si>
    <t>3.83亿</t>
  </si>
  <si>
    <t>16.11亿</t>
  </si>
  <si>
    <t>13.14亿</t>
  </si>
  <si>
    <t>9886.95万</t>
  </si>
  <si>
    <t>7248.46万</t>
  </si>
  <si>
    <t>57.94万</t>
  </si>
  <si>
    <t>33.20亿</t>
  </si>
  <si>
    <t>3125.37万</t>
  </si>
  <si>
    <t>17.84亿</t>
  </si>
  <si>
    <t>27.85亿</t>
  </si>
  <si>
    <t>2555.12万</t>
  </si>
  <si>
    <t>75.76亿</t>
  </si>
  <si>
    <t>14.70亿</t>
  </si>
  <si>
    <t>5213.96万</t>
  </si>
  <si>
    <t>-1.18亿</t>
  </si>
  <si>
    <t>2.12亿</t>
  </si>
  <si>
    <t>8.18亿</t>
  </si>
  <si>
    <t>2425.33万</t>
  </si>
  <si>
    <t>3.45亿</t>
  </si>
  <si>
    <t>11.71亿</t>
  </si>
  <si>
    <t>0383000000</t>
  </si>
  <si>
    <t>01149000000</t>
  </si>
  <si>
    <t>02298000000</t>
  </si>
  <si>
    <t>03830000000</t>
  </si>
  <si>
    <t>07660000000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</si>
</sst>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3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260350</xdr:colOff>
          <xdr:row>0</xdr:row>
          <xdr:rowOff>146050</xdr:rowOff>
        </xdr:from>
        <xdr:to>
          <xdr:col>147</xdr:col>
          <xdr:colOff>1435100</xdr:colOff>
          <xdr:row>0</xdr:row>
          <xdr:rowOff>457200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6"/>
  <sheetViews>
    <sheetView tabSelected="1" zoomScale="85" zoomScaleNormal="85" workbookViewId="0">
      <pane xSplit="5" ySplit="1" topLeftCell="F20" activePane="bottomRight" state="frozen"/>
      <selection pane="topRight" activeCell="F1" sqref="F1"/>
      <selection pane="bottomLeft" activeCell="A2" sqref="A2"/>
      <selection pane="bottomRight" activeCell="D25" sqref="D25:EP25"/>
    </sheetView>
  </sheetViews>
  <sheetFormatPr defaultRowHeight="14" x14ac:dyDescent="0.25"/>
  <cols>
    <col min="1" max="1" width="31.453125" customWidth="1"/>
    <col min="2" max="2" width="35.7265625" customWidth="1"/>
    <col min="3" max="3" width="41.453125" customWidth="1"/>
    <col min="148" max="148" width="24.81640625" customWidth="1"/>
  </cols>
  <sheetData>
    <row r="1" spans="1:146" ht="48" customHeight="1" x14ac:dyDescent="0.25">
      <c r="A1" s="3" t="s">
        <v>19</v>
      </c>
      <c r="B1" s="4" t="s">
        <v>20</v>
      </c>
      <c r="C1" s="3" t="s">
        <v>21</v>
      </c>
      <c r="D1" t="s">
        <v>22</v>
      </c>
      <c r="E1" t="s">
        <v>237</v>
      </c>
      <c r="F1" t="s">
        <v>3</v>
      </c>
      <c r="G1" t="s">
        <v>348</v>
      </c>
      <c r="H1" t="s">
        <v>349</v>
      </c>
      <c r="I1" t="s">
        <v>23</v>
      </c>
      <c r="J1" t="s">
        <v>24</v>
      </c>
      <c r="K1" t="s">
        <v>4</v>
      </c>
      <c r="L1" t="s">
        <v>25</v>
      </c>
      <c r="M1" t="s">
        <v>26</v>
      </c>
      <c r="N1" t="s">
        <v>27</v>
      </c>
      <c r="O1" t="s">
        <v>28</v>
      </c>
      <c r="P1" t="s">
        <v>350</v>
      </c>
      <c r="Q1" t="s">
        <v>351</v>
      </c>
      <c r="R1" t="s">
        <v>238</v>
      </c>
      <c r="S1" t="s">
        <v>29</v>
      </c>
      <c r="T1" t="s">
        <v>352</v>
      </c>
      <c r="U1" t="s">
        <v>200</v>
      </c>
      <c r="V1" t="s">
        <v>30</v>
      </c>
      <c r="W1" t="s">
        <v>353</v>
      </c>
      <c r="X1" t="s">
        <v>354</v>
      </c>
      <c r="Y1" t="s">
        <v>355</v>
      </c>
      <c r="Z1" t="s">
        <v>356</v>
      </c>
      <c r="AA1" t="s">
        <v>357</v>
      </c>
      <c r="AB1" t="s">
        <v>358</v>
      </c>
      <c r="AC1" t="s">
        <v>359</v>
      </c>
      <c r="AD1" t="s">
        <v>360</v>
      </c>
      <c r="AE1" t="s">
        <v>31</v>
      </c>
      <c r="AF1" t="s">
        <v>32</v>
      </c>
      <c r="AG1" t="s">
        <v>361</v>
      </c>
      <c r="AH1" t="s">
        <v>362</v>
      </c>
      <c r="AI1" t="s">
        <v>363</v>
      </c>
      <c r="AJ1" t="s">
        <v>33</v>
      </c>
      <c r="AK1" t="s">
        <v>364</v>
      </c>
      <c r="AL1" t="s">
        <v>94</v>
      </c>
      <c r="AM1" t="s">
        <v>365</v>
      </c>
      <c r="AN1" t="s">
        <v>366</v>
      </c>
      <c r="AO1" t="s">
        <v>367</v>
      </c>
      <c r="AP1" t="s">
        <v>368</v>
      </c>
      <c r="AQ1" t="s">
        <v>369</v>
      </c>
      <c r="AR1" t="s">
        <v>370</v>
      </c>
      <c r="AS1" t="s">
        <v>371</v>
      </c>
      <c r="AT1" t="s">
        <v>372</v>
      </c>
      <c r="AU1" t="s">
        <v>373</v>
      </c>
      <c r="AV1" t="s">
        <v>374</v>
      </c>
      <c r="AW1" t="s">
        <v>375</v>
      </c>
      <c r="AX1" t="s">
        <v>376</v>
      </c>
      <c r="AY1" t="s">
        <v>377</v>
      </c>
      <c r="AZ1" t="s">
        <v>95</v>
      </c>
      <c r="BA1" t="s">
        <v>96</v>
      </c>
      <c r="BB1" t="s">
        <v>97</v>
      </c>
      <c r="BC1" t="s">
        <v>378</v>
      </c>
      <c r="BD1" t="s">
        <v>201</v>
      </c>
      <c r="BE1" t="s">
        <v>98</v>
      </c>
      <c r="BF1" t="s">
        <v>99</v>
      </c>
      <c r="BG1" t="s">
        <v>100</v>
      </c>
      <c r="BH1" t="s">
        <v>379</v>
      </c>
      <c r="BI1" t="s">
        <v>380</v>
      </c>
      <c r="BJ1" t="s">
        <v>381</v>
      </c>
      <c r="BK1" t="s">
        <v>382</v>
      </c>
      <c r="BL1" t="s">
        <v>383</v>
      </c>
      <c r="BM1" t="s">
        <v>384</v>
      </c>
      <c r="BN1" t="s">
        <v>385</v>
      </c>
      <c r="BO1" t="s">
        <v>239</v>
      </c>
      <c r="BP1" t="s">
        <v>202</v>
      </c>
      <c r="BQ1" t="s">
        <v>386</v>
      </c>
      <c r="BR1" t="s">
        <v>240</v>
      </c>
      <c r="BS1" t="s">
        <v>203</v>
      </c>
      <c r="BT1" t="s">
        <v>387</v>
      </c>
      <c r="BU1" t="s">
        <v>266</v>
      </c>
      <c r="BV1" t="s">
        <v>388</v>
      </c>
      <c r="BW1" t="s">
        <v>389</v>
      </c>
      <c r="BX1" t="s">
        <v>101</v>
      </c>
      <c r="BY1" t="s">
        <v>390</v>
      </c>
      <c r="BZ1" t="s">
        <v>391</v>
      </c>
      <c r="CA1" t="s">
        <v>102</v>
      </c>
      <c r="CB1" t="s">
        <v>392</v>
      </c>
      <c r="CC1" t="s">
        <v>393</v>
      </c>
      <c r="CD1" t="s">
        <v>394</v>
      </c>
      <c r="CE1" t="s">
        <v>395</v>
      </c>
      <c r="CF1" s="1" t="s">
        <v>241</v>
      </c>
      <c r="CG1" s="1" t="s">
        <v>242</v>
      </c>
      <c r="CH1" s="1" t="s">
        <v>243</v>
      </c>
      <c r="CI1" s="1" t="s">
        <v>244</v>
      </c>
      <c r="CJ1" s="1" t="s">
        <v>245</v>
      </c>
      <c r="CK1" s="1" t="s">
        <v>246</v>
      </c>
      <c r="CL1" s="1" t="s">
        <v>247</v>
      </c>
      <c r="CM1" s="1" t="s">
        <v>248</v>
      </c>
      <c r="CN1" s="1" t="s">
        <v>249</v>
      </c>
      <c r="CO1" s="1" t="s">
        <v>250</v>
      </c>
      <c r="CP1" s="1" t="s">
        <v>251</v>
      </c>
      <c r="CQ1" s="1" t="s">
        <v>252</v>
      </c>
      <c r="CR1" s="1" t="s">
        <v>396</v>
      </c>
      <c r="CS1" s="1" t="s">
        <v>397</v>
      </c>
      <c r="CT1" s="1" t="s">
        <v>277</v>
      </c>
      <c r="CU1" s="1" t="s">
        <v>398</v>
      </c>
      <c r="CV1" s="1" t="s">
        <v>399</v>
      </c>
      <c r="CW1" s="1" t="s">
        <v>278</v>
      </c>
      <c r="CX1">
        <v>1</v>
      </c>
      <c r="CY1" t="s">
        <v>400</v>
      </c>
      <c r="CZ1" t="s">
        <v>401</v>
      </c>
      <c r="DA1">
        <v>3</v>
      </c>
      <c r="DB1" t="s">
        <v>402</v>
      </c>
      <c r="DC1" t="s">
        <v>403</v>
      </c>
      <c r="DD1">
        <v>6</v>
      </c>
      <c r="DE1" t="s">
        <v>404</v>
      </c>
      <c r="DF1" t="s">
        <v>405</v>
      </c>
      <c r="DG1">
        <v>10</v>
      </c>
      <c r="DH1" t="s">
        <v>406</v>
      </c>
      <c r="DI1" t="s">
        <v>279</v>
      </c>
      <c r="DJ1">
        <v>20</v>
      </c>
      <c r="DK1" t="s">
        <v>280</v>
      </c>
      <c r="DL1" t="s">
        <v>253</v>
      </c>
      <c r="DM1" t="s">
        <v>254</v>
      </c>
      <c r="DN1" s="2" t="s">
        <v>255</v>
      </c>
      <c r="DO1" t="s">
        <v>407</v>
      </c>
      <c r="DP1" t="s">
        <v>281</v>
      </c>
      <c r="DQ1" s="11" t="s">
        <v>408</v>
      </c>
      <c r="DR1" s="1" t="s">
        <v>282</v>
      </c>
      <c r="DS1" s="1" t="s">
        <v>283</v>
      </c>
      <c r="DT1" t="s">
        <v>409</v>
      </c>
      <c r="DU1" t="s">
        <v>410</v>
      </c>
      <c r="DV1" t="s">
        <v>284</v>
      </c>
      <c r="DW1" t="s">
        <v>411</v>
      </c>
      <c r="DX1" t="s">
        <v>412</v>
      </c>
      <c r="DY1" t="s">
        <v>285</v>
      </c>
      <c r="DZ1" t="s">
        <v>413</v>
      </c>
      <c r="EA1" t="s">
        <v>286</v>
      </c>
      <c r="EB1" t="s">
        <v>414</v>
      </c>
      <c r="EC1" t="s">
        <v>415</v>
      </c>
      <c r="ED1" t="s">
        <v>287</v>
      </c>
      <c r="EE1" t="s">
        <v>416</v>
      </c>
      <c r="EF1" t="s">
        <v>417</v>
      </c>
      <c r="EG1" t="s">
        <v>288</v>
      </c>
      <c r="EH1" t="s">
        <v>289</v>
      </c>
      <c r="EI1" t="s">
        <v>418</v>
      </c>
      <c r="EK1" s="12" t="s">
        <v>290</v>
      </c>
      <c r="EL1" t="s">
        <v>419</v>
      </c>
      <c r="EM1" t="s">
        <v>291</v>
      </c>
      <c r="EN1" t="s">
        <v>292</v>
      </c>
      <c r="EO1" t="s">
        <v>420</v>
      </c>
      <c r="EP1" t="s">
        <v>421</v>
      </c>
    </row>
    <row r="2" spans="1:146" ht="108" x14ac:dyDescent="0.25">
      <c r="A2" s="10"/>
      <c r="B2" s="10"/>
      <c r="C2" s="10" t="str">
        <f>""&amp;CHAR(10)&amp;Basic_Fundamental_Information_Constructure(F2)&amp;CHAR(10)&amp;Basic_Fundamental_Information_Concatenate("")</f>
        <v xml:space="preserve">
市值181.27494亿, 利润14.76亿; PE10.21; 平均PE28.96; 平均PEG7.71, PB1.67; ROIC4.7967%; ROE8.88%; 股利率3.2571%; 毛利14.7067%; 净利2.57%; 上一年度营收增10.19%, 利润增61.31%; 当季营收增5.97%, 利润增163.59%; 过往5年营收增3.76%, 利润增91.67%
Income profile:
</v>
      </c>
      <c r="D2" t="s">
        <v>59</v>
      </c>
      <c r="E2" t="s">
        <v>9</v>
      </c>
      <c r="F2">
        <v>21</v>
      </c>
      <c r="G2">
        <v>-0.76</v>
      </c>
      <c r="H2" t="s">
        <v>670</v>
      </c>
      <c r="I2">
        <v>18127494000</v>
      </c>
      <c r="J2">
        <v>10.210000000000001</v>
      </c>
      <c r="K2">
        <v>1.67</v>
      </c>
      <c r="L2" t="s">
        <v>35</v>
      </c>
      <c r="M2" t="s">
        <v>422</v>
      </c>
      <c r="N2" t="s">
        <v>671</v>
      </c>
      <c r="O2" t="s">
        <v>423</v>
      </c>
      <c r="P2">
        <v>5.96</v>
      </c>
      <c r="Q2" t="s">
        <v>424</v>
      </c>
      <c r="R2">
        <v>482364920</v>
      </c>
      <c r="S2" s="5">
        <v>1.64</v>
      </c>
      <c r="T2" t="s">
        <v>425</v>
      </c>
      <c r="U2">
        <v>518463160</v>
      </c>
      <c r="V2">
        <v>863214000</v>
      </c>
      <c r="W2">
        <v>2.72</v>
      </c>
      <c r="X2">
        <v>0.28000000000000003</v>
      </c>
      <c r="Y2">
        <v>3</v>
      </c>
      <c r="Z2" t="s">
        <v>672</v>
      </c>
      <c r="AA2" t="s">
        <v>673</v>
      </c>
      <c r="AB2" t="s">
        <v>587</v>
      </c>
      <c r="AC2" t="s">
        <v>674</v>
      </c>
      <c r="AD2" t="s">
        <v>37</v>
      </c>
      <c r="AE2">
        <v>-56114272</v>
      </c>
      <c r="AF2" t="s">
        <v>426</v>
      </c>
      <c r="AG2" t="s">
        <v>675</v>
      </c>
      <c r="AH2" t="s">
        <v>427</v>
      </c>
      <c r="AI2" t="s">
        <v>676</v>
      </c>
      <c r="AJ2" t="s">
        <v>428</v>
      </c>
      <c r="AK2" t="s">
        <v>37</v>
      </c>
      <c r="AL2" t="s">
        <v>429</v>
      </c>
      <c r="AM2" t="s">
        <v>37</v>
      </c>
      <c r="AN2" t="s">
        <v>540</v>
      </c>
      <c r="AO2" t="s">
        <v>677</v>
      </c>
      <c r="AP2" t="s">
        <v>37</v>
      </c>
      <c r="AQ2" t="s">
        <v>678</v>
      </c>
      <c r="AR2" t="s">
        <v>37</v>
      </c>
      <c r="AS2" t="s">
        <v>679</v>
      </c>
      <c r="AT2" t="s">
        <v>680</v>
      </c>
      <c r="AU2" t="s">
        <v>681</v>
      </c>
      <c r="AV2" t="s">
        <v>682</v>
      </c>
      <c r="AW2" t="s">
        <v>683</v>
      </c>
      <c r="AX2" t="s">
        <v>295</v>
      </c>
      <c r="AY2" t="s">
        <v>204</v>
      </c>
      <c r="AZ2" t="s">
        <v>103</v>
      </c>
      <c r="BA2" t="s">
        <v>60</v>
      </c>
      <c r="BB2" t="s">
        <v>105</v>
      </c>
      <c r="BC2" t="s">
        <v>296</v>
      </c>
      <c r="BD2" t="s">
        <v>205</v>
      </c>
      <c r="BE2" t="s">
        <v>104</v>
      </c>
      <c r="BF2" t="s">
        <v>61</v>
      </c>
      <c r="BG2" t="s">
        <v>106</v>
      </c>
      <c r="BH2" t="s">
        <v>424</v>
      </c>
      <c r="BI2" t="s">
        <v>430</v>
      </c>
      <c r="BJ2" t="s">
        <v>295</v>
      </c>
      <c r="BK2" t="s">
        <v>425</v>
      </c>
      <c r="BL2" t="s">
        <v>431</v>
      </c>
      <c r="BM2" t="s">
        <v>296</v>
      </c>
      <c r="BN2">
        <v>4.5199999999999996</v>
      </c>
      <c r="BO2">
        <v>7.05</v>
      </c>
      <c r="BP2">
        <v>2.82</v>
      </c>
      <c r="BQ2">
        <v>10.49</v>
      </c>
      <c r="BR2">
        <v>10.28</v>
      </c>
      <c r="BS2">
        <v>5.87</v>
      </c>
      <c r="BT2" t="s">
        <v>432</v>
      </c>
      <c r="BU2" t="s">
        <v>267</v>
      </c>
      <c r="BV2">
        <v>15.38</v>
      </c>
      <c r="BW2">
        <v>14.25</v>
      </c>
      <c r="BX2">
        <v>14.49</v>
      </c>
      <c r="BY2">
        <v>3.21</v>
      </c>
      <c r="BZ2">
        <v>2.87</v>
      </c>
      <c r="CA2">
        <v>1.63</v>
      </c>
      <c r="CB2">
        <v>-3.27</v>
      </c>
      <c r="CC2">
        <v>-16.899999999999999</v>
      </c>
      <c r="CD2" t="s">
        <v>684</v>
      </c>
      <c r="CE2" t="s">
        <v>685</v>
      </c>
      <c r="CF2" s="6">
        <v>5.9659845867658649E-2</v>
      </c>
      <c r="CG2" s="7">
        <v>1.6358738797814207</v>
      </c>
      <c r="CH2" s="6">
        <v>0.10189364105463028</v>
      </c>
      <c r="CI2" s="6">
        <v>-0.14539618790149689</v>
      </c>
      <c r="CJ2" s="6">
        <v>6.4207173883914948E-2</v>
      </c>
      <c r="CK2" s="6">
        <v>0.134434774518013</v>
      </c>
      <c r="CL2" s="6">
        <v>3.2744511961936951E-2</v>
      </c>
      <c r="CM2" s="7">
        <v>0.61311477422714233</v>
      </c>
      <c r="CN2" s="7">
        <v>0.59407663345336914</v>
      </c>
      <c r="CO2" s="7">
        <v>4.1742287576198578E-2</v>
      </c>
      <c r="CP2" s="7">
        <v>2.7229728698730469</v>
      </c>
      <c r="CQ2" s="7">
        <v>0.61161589622497559</v>
      </c>
      <c r="CR2">
        <v>28.958943412105114</v>
      </c>
      <c r="CS2">
        <v>7.7066053367802372</v>
      </c>
      <c r="CT2">
        <v>3.2571428571428571</v>
      </c>
      <c r="CU2" s="6">
        <v>3.7576782703399661E-2</v>
      </c>
      <c r="CV2" s="7">
        <v>0.91670449227094652</v>
      </c>
      <c r="CW2">
        <v>0.06</v>
      </c>
      <c r="CX2">
        <v>18.72849519433856</v>
      </c>
      <c r="CY2">
        <v>1444776727.6134131</v>
      </c>
      <c r="CZ2">
        <v>3.7576782703399661E-2</v>
      </c>
      <c r="DA2">
        <v>6.3997593215223247</v>
      </c>
      <c r="DB2">
        <v>4228048687.5502591</v>
      </c>
      <c r="DC2">
        <v>3.5697943568229674E-2</v>
      </c>
      <c r="DD2">
        <v>3.3401546731513609</v>
      </c>
      <c r="DE2">
        <v>8100970358.4986734</v>
      </c>
      <c r="DF2">
        <v>3.3067568778991703E-2</v>
      </c>
      <c r="DG2">
        <v>2.138862334984756</v>
      </c>
      <c r="DH2">
        <v>12650881525.852318</v>
      </c>
      <c r="DI2">
        <v>3.0061426162719729E-2</v>
      </c>
      <c r="DJ2">
        <v>1.2647152123353762</v>
      </c>
      <c r="DK2">
        <v>21394930444.487015</v>
      </c>
      <c r="DL2">
        <v>2.6303747892379763E-2</v>
      </c>
      <c r="DM2">
        <v>1476000000</v>
      </c>
      <c r="DN2">
        <v>3.7576782703399661E-2</v>
      </c>
      <c r="DO2">
        <v>27058494000</v>
      </c>
      <c r="DP2">
        <v>1000436000.0000019</v>
      </c>
      <c r="DQ2">
        <v>131</v>
      </c>
      <c r="DR2">
        <v>2.2083063164258988E-2</v>
      </c>
      <c r="DS2">
        <v>0.71916938751047421</v>
      </c>
      <c r="DT2" s="8">
        <v>-0.44</v>
      </c>
      <c r="DU2">
        <v>1.6216666666666668</v>
      </c>
      <c r="DV2">
        <v>1.1816666666666669</v>
      </c>
      <c r="DW2">
        <v>-8.1934911242603548</v>
      </c>
      <c r="DX2">
        <v>0.35980993788819748</v>
      </c>
      <c r="DY2">
        <v>-8.0386614495203794</v>
      </c>
      <c r="DZ2">
        <v>130</v>
      </c>
      <c r="EA2">
        <v>-8.0376778901392356</v>
      </c>
      <c r="EB2">
        <v>8</v>
      </c>
      <c r="EC2">
        <v>3.7267004473977482E-2</v>
      </c>
      <c r="ED2">
        <v>0.1865122669465509</v>
      </c>
      <c r="EE2" s="9">
        <v>2.0460099999999999</v>
      </c>
      <c r="EF2">
        <v>2.0745100000000001</v>
      </c>
      <c r="EG2">
        <v>16.199809937888197</v>
      </c>
      <c r="EH2" t="s">
        <v>556</v>
      </c>
      <c r="EI2">
        <v>0</v>
      </c>
      <c r="EJ2">
        <v>1</v>
      </c>
      <c r="EK2" s="12">
        <v>45470</v>
      </c>
      <c r="EL2" s="13">
        <v>0.22</v>
      </c>
      <c r="EM2" s="13">
        <v>-3.03</v>
      </c>
      <c r="EN2" s="13">
        <v>0.36</v>
      </c>
      <c r="EO2" s="13">
        <v>1.31</v>
      </c>
      <c r="EP2" s="13">
        <v>-2.85</v>
      </c>
    </row>
    <row r="3" spans="1:146" ht="96" x14ac:dyDescent="0.25">
      <c r="A3" s="10"/>
      <c r="B3" s="10"/>
      <c r="C3" s="10" t="str">
        <f>""&amp;CHAR(10)&amp;Basic_Fundamental_Information_Constructure(F3)&amp;CHAR(10)&amp;Basic_Fundamental_Information_Concatenate("")</f>
        <v xml:space="preserve">
市值46.214284亿, 利润-2.02亿; PE; 平均PE-6.09; 平均PEG-4.02, PB2.55; ROIC2.5%; ROE-19.6033%; 股利率0%; 毛利12.7667%; 净利-22.1433%; 上一年度营收增7.11%, 利润增87.17%; 当季营收增-57.98%, 利润增-64.89%; 过往5年营收增-1.52%, 利润增-574.31%
Income profile:
</v>
      </c>
      <c r="D3" t="s">
        <v>34</v>
      </c>
      <c r="E3" t="s">
        <v>190</v>
      </c>
      <c r="F3">
        <v>2.81</v>
      </c>
      <c r="G3">
        <v>0</v>
      </c>
      <c r="H3" t="s">
        <v>686</v>
      </c>
      <c r="I3">
        <v>4621428400</v>
      </c>
      <c r="K3">
        <v>2.5499999999999998</v>
      </c>
      <c r="L3" t="s">
        <v>35</v>
      </c>
      <c r="M3" t="s">
        <v>433</v>
      </c>
      <c r="N3" t="s">
        <v>687</v>
      </c>
      <c r="O3" t="s">
        <v>134</v>
      </c>
      <c r="P3">
        <v>-57.97</v>
      </c>
      <c r="Q3" t="s">
        <v>434</v>
      </c>
      <c r="R3">
        <v>-85911745</v>
      </c>
      <c r="S3" s="5">
        <v>-0.64890000000000003</v>
      </c>
      <c r="T3" t="s">
        <v>435</v>
      </c>
      <c r="U3">
        <v>1642155200</v>
      </c>
      <c r="V3">
        <v>1644636400</v>
      </c>
      <c r="W3">
        <v>2.65</v>
      </c>
      <c r="X3">
        <v>0.06</v>
      </c>
      <c r="Y3">
        <v>-26.63</v>
      </c>
      <c r="Z3" t="s">
        <v>540</v>
      </c>
      <c r="AA3" t="s">
        <v>688</v>
      </c>
      <c r="AB3" t="s">
        <v>689</v>
      </c>
      <c r="AC3" t="s">
        <v>690</v>
      </c>
      <c r="AD3" t="s">
        <v>37</v>
      </c>
      <c r="AE3">
        <v>15152941</v>
      </c>
      <c r="AF3" t="s">
        <v>436</v>
      </c>
      <c r="AG3" t="s">
        <v>691</v>
      </c>
      <c r="AH3" t="s">
        <v>437</v>
      </c>
      <c r="AI3" t="s">
        <v>532</v>
      </c>
      <c r="AJ3" t="s">
        <v>438</v>
      </c>
      <c r="AK3" t="s">
        <v>37</v>
      </c>
      <c r="AL3" t="s">
        <v>439</v>
      </c>
      <c r="AM3" t="s">
        <v>37</v>
      </c>
      <c r="AN3" t="s">
        <v>692</v>
      </c>
      <c r="AO3" t="s">
        <v>693</v>
      </c>
      <c r="AP3" t="s">
        <v>694</v>
      </c>
      <c r="AQ3" t="s">
        <v>695</v>
      </c>
      <c r="AR3" t="s">
        <v>696</v>
      </c>
      <c r="AS3" t="s">
        <v>697</v>
      </c>
      <c r="AT3" t="s">
        <v>37</v>
      </c>
      <c r="AU3" t="s">
        <v>698</v>
      </c>
      <c r="AV3" t="s">
        <v>699</v>
      </c>
      <c r="AW3" t="s">
        <v>700</v>
      </c>
      <c r="AX3" t="s">
        <v>300</v>
      </c>
      <c r="AY3" t="s">
        <v>298</v>
      </c>
      <c r="AZ3" t="s">
        <v>299</v>
      </c>
      <c r="BA3" t="s">
        <v>108</v>
      </c>
      <c r="BB3" t="s">
        <v>109</v>
      </c>
      <c r="BC3" t="s">
        <v>297</v>
      </c>
      <c r="BD3" t="s">
        <v>152</v>
      </c>
      <c r="BE3" t="s">
        <v>107</v>
      </c>
      <c r="BF3" t="s">
        <v>36</v>
      </c>
      <c r="BG3" t="s">
        <v>110</v>
      </c>
      <c r="BH3" t="s">
        <v>434</v>
      </c>
      <c r="BI3" t="s">
        <v>440</v>
      </c>
      <c r="BJ3" t="s">
        <v>300</v>
      </c>
      <c r="BK3" t="s">
        <v>435</v>
      </c>
      <c r="BL3" t="s">
        <v>441</v>
      </c>
      <c r="BM3" t="s">
        <v>297</v>
      </c>
      <c r="BN3" t="s">
        <v>37</v>
      </c>
      <c r="BO3" t="s">
        <v>37</v>
      </c>
      <c r="BP3">
        <v>2.5</v>
      </c>
      <c r="BQ3">
        <v>-7.38</v>
      </c>
      <c r="BR3">
        <v>-54.5</v>
      </c>
      <c r="BS3">
        <v>3.07</v>
      </c>
      <c r="BT3" t="s">
        <v>293</v>
      </c>
      <c r="BU3" t="s">
        <v>268</v>
      </c>
      <c r="BV3">
        <v>9.8000000000000007</v>
      </c>
      <c r="BW3">
        <v>9.82</v>
      </c>
      <c r="BX3">
        <v>18.68</v>
      </c>
      <c r="BY3">
        <v>-7.82</v>
      </c>
      <c r="BZ3">
        <v>-66.27</v>
      </c>
      <c r="CA3">
        <v>7.66</v>
      </c>
      <c r="CB3">
        <v>-8.17</v>
      </c>
      <c r="CC3">
        <v>-20.170000000000002</v>
      </c>
      <c r="CD3" t="s">
        <v>701</v>
      </c>
      <c r="CE3" t="s">
        <v>90</v>
      </c>
      <c r="CF3" s="6">
        <v>-0.57976653696498048</v>
      </c>
      <c r="CG3" s="7">
        <v>-0.6489461814552504</v>
      </c>
      <c r="CH3" s="6">
        <v>7.1097999811172485E-2</v>
      </c>
      <c r="CI3" s="6">
        <v>0.34826990962028503</v>
      </c>
      <c r="CJ3" s="6">
        <v>0.28218179941177368</v>
      </c>
      <c r="CK3" s="6">
        <v>-0.70688551664352417</v>
      </c>
      <c r="CL3" s="6">
        <v>-7.0537000894546509E-2</v>
      </c>
      <c r="CM3" s="7">
        <v>0.87166452407836914</v>
      </c>
      <c r="CN3" s="7">
        <v>-15.053571701049805</v>
      </c>
      <c r="CO3" s="7">
        <v>1.0838950872421265</v>
      </c>
      <c r="CP3" s="7">
        <v>-16.669713973999023</v>
      </c>
      <c r="CQ3" s="7">
        <v>1.0520440340042114</v>
      </c>
      <c r="CR3">
        <v>-6.0931148910440829</v>
      </c>
      <c r="CS3">
        <v>-4.015348183267208</v>
      </c>
      <c r="CT3">
        <v>0</v>
      </c>
      <c r="CU3" s="6">
        <v>-1.5174561738967895E-2</v>
      </c>
      <c r="CV3" s="7">
        <v>-5.7431364059448242</v>
      </c>
      <c r="CW3">
        <v>0.06</v>
      </c>
      <c r="CX3" t="e">
        <v>#VALUE!</v>
      </c>
      <c r="CY3" t="s">
        <v>256</v>
      </c>
      <c r="CZ3">
        <v>-1.5174561738967895E-2</v>
      </c>
      <c r="DA3" t="e">
        <v>#VALUE!</v>
      </c>
      <c r="DB3" t="s">
        <v>257</v>
      </c>
      <c r="DC3">
        <v>-1.44158336520195E-2</v>
      </c>
      <c r="DD3" t="e">
        <v>#VALUE!</v>
      </c>
      <c r="DE3" t="s">
        <v>257</v>
      </c>
      <c r="DF3">
        <v>-1.3353614330291749E-2</v>
      </c>
      <c r="DG3" t="e">
        <v>#VALUE!</v>
      </c>
      <c r="DH3" t="s">
        <v>257</v>
      </c>
      <c r="DI3">
        <v>-1.2139649391174318E-2</v>
      </c>
      <c r="DJ3" t="e">
        <v>#VALUE!</v>
      </c>
      <c r="DK3" t="s">
        <v>257</v>
      </c>
      <c r="DL3">
        <v>-1.0622193217277526E-2</v>
      </c>
      <c r="DM3">
        <v>-202000000</v>
      </c>
      <c r="DN3">
        <v>-1.5174561738967895E-2</v>
      </c>
      <c r="DO3">
        <v>6549428400</v>
      </c>
      <c r="DP3">
        <v>-256905899.99999952</v>
      </c>
      <c r="DQ3">
        <v>150</v>
      </c>
      <c r="DR3">
        <v>-0.56459197522601257</v>
      </c>
      <c r="DS3">
        <v>5.0941902244895738</v>
      </c>
      <c r="DT3" s="8">
        <v>-0.38999999999999996</v>
      </c>
      <c r="DU3">
        <v>-1.8816666666666668</v>
      </c>
      <c r="DV3">
        <v>-2.2716666666666669</v>
      </c>
      <c r="DW3">
        <v>-9.4050570153693602</v>
      </c>
      <c r="DX3">
        <v>0.41019562421711964</v>
      </c>
      <c r="DY3">
        <v>-9.0810906420353916</v>
      </c>
      <c r="DZ3">
        <v>4561</v>
      </c>
      <c r="EA3">
        <v>-9.0087120865904957</v>
      </c>
      <c r="EB3">
        <v>9</v>
      </c>
      <c r="EC3">
        <v>5.8306930334267204E-2</v>
      </c>
      <c r="ED3">
        <v>0.29124978627494807</v>
      </c>
      <c r="EE3" s="9">
        <v>-6.0265000000000004</v>
      </c>
      <c r="EF3">
        <v>-6.0103999999999997</v>
      </c>
      <c r="EG3">
        <v>21.20019562421712</v>
      </c>
      <c r="EH3" t="s">
        <v>702</v>
      </c>
      <c r="EI3">
        <v>0</v>
      </c>
      <c r="EJ3">
        <v>0</v>
      </c>
      <c r="EK3" s="12">
        <v>45470</v>
      </c>
      <c r="EL3" s="13">
        <v>-1.57</v>
      </c>
      <c r="EM3" s="13">
        <v>-5.41</v>
      </c>
      <c r="EN3" s="13">
        <v>0.67</v>
      </c>
      <c r="EO3" s="13">
        <v>4.01</v>
      </c>
      <c r="EP3" s="13">
        <v>-1.61</v>
      </c>
    </row>
    <row r="4" spans="1:146" ht="96" x14ac:dyDescent="0.25">
      <c r="A4" s="10"/>
      <c r="B4" s="10"/>
      <c r="C4" s="10" t="str">
        <f>""&amp;CHAR(10)&amp;Basic_Fundamental_Information_Constructure(F4)&amp;CHAR(10)&amp;Basic_Fundamental_Information_Concatenate("")</f>
        <v xml:space="preserve">
市值1357.6769亿, 利润113.27亿; PE24.62; 平均PE33.89; 平均PEG1.87, PB1.85; ROIC8.99%; ROE11.48%; 股利率2.5055%; 毛利18.4967%; 净利5.3667%; 上一年度营收增24.78%, 利润增45.24%; 当季营收增7.14%, 利润增-83.39%; 过往5年营收增18.14%, 利润增-18.29%
Income profile:
</v>
      </c>
      <c r="D4" t="s">
        <v>38</v>
      </c>
      <c r="E4" t="s">
        <v>11</v>
      </c>
      <c r="F4">
        <v>13.69</v>
      </c>
      <c r="G4">
        <v>0.81</v>
      </c>
      <c r="H4" t="s">
        <v>703</v>
      </c>
      <c r="I4">
        <v>135767690000</v>
      </c>
      <c r="J4">
        <v>24.62</v>
      </c>
      <c r="K4">
        <v>1.85</v>
      </c>
      <c r="L4" t="s">
        <v>35</v>
      </c>
      <c r="M4" t="s">
        <v>443</v>
      </c>
      <c r="N4" t="s">
        <v>704</v>
      </c>
      <c r="O4" t="s">
        <v>444</v>
      </c>
      <c r="P4">
        <v>7.14</v>
      </c>
      <c r="Q4" t="s">
        <v>445</v>
      </c>
      <c r="R4">
        <v>1158060680</v>
      </c>
      <c r="S4" s="5">
        <v>-0.83389999999999997</v>
      </c>
      <c r="T4" t="s">
        <v>446</v>
      </c>
      <c r="U4">
        <v>8214004700</v>
      </c>
      <c r="V4">
        <v>9917289000</v>
      </c>
      <c r="W4">
        <v>2.52</v>
      </c>
      <c r="X4">
        <v>0.19</v>
      </c>
      <c r="Y4">
        <v>2.31</v>
      </c>
      <c r="Z4" t="s">
        <v>705</v>
      </c>
      <c r="AA4" t="s">
        <v>706</v>
      </c>
      <c r="AB4" t="s">
        <v>707</v>
      </c>
      <c r="AC4" t="s">
        <v>708</v>
      </c>
      <c r="AD4" t="s">
        <v>37</v>
      </c>
      <c r="AE4">
        <v>-243309950</v>
      </c>
      <c r="AF4" t="s">
        <v>447</v>
      </c>
      <c r="AG4" t="s">
        <v>709</v>
      </c>
      <c r="AH4" t="s">
        <v>448</v>
      </c>
      <c r="AI4" t="s">
        <v>710</v>
      </c>
      <c r="AJ4" t="s">
        <v>449</v>
      </c>
      <c r="AK4" t="s">
        <v>711</v>
      </c>
      <c r="AL4" t="s">
        <v>450</v>
      </c>
      <c r="AM4" t="s">
        <v>37</v>
      </c>
      <c r="AN4" t="s">
        <v>712</v>
      </c>
      <c r="AO4" t="s">
        <v>713</v>
      </c>
      <c r="AP4" t="s">
        <v>714</v>
      </c>
      <c r="AQ4" t="s">
        <v>715</v>
      </c>
      <c r="AR4" t="s">
        <v>716</v>
      </c>
      <c r="AS4" t="s">
        <v>717</v>
      </c>
      <c r="AT4" t="s">
        <v>718</v>
      </c>
      <c r="AU4" t="s">
        <v>719</v>
      </c>
      <c r="AV4" t="s">
        <v>720</v>
      </c>
      <c r="AW4" t="s">
        <v>721</v>
      </c>
      <c r="AX4" t="s">
        <v>301</v>
      </c>
      <c r="AY4" t="s">
        <v>206</v>
      </c>
      <c r="AZ4" t="s">
        <v>111</v>
      </c>
      <c r="BA4" t="s">
        <v>39</v>
      </c>
      <c r="BB4" t="s">
        <v>113</v>
      </c>
      <c r="BC4" t="s">
        <v>451</v>
      </c>
      <c r="BD4" t="s">
        <v>207</v>
      </c>
      <c r="BE4" t="s">
        <v>112</v>
      </c>
      <c r="BF4" t="s">
        <v>40</v>
      </c>
      <c r="BG4" t="s">
        <v>114</v>
      </c>
      <c r="BH4" t="s">
        <v>445</v>
      </c>
      <c r="BI4" t="s">
        <v>452</v>
      </c>
      <c r="BJ4" t="s">
        <v>301</v>
      </c>
      <c r="BK4" t="s">
        <v>446</v>
      </c>
      <c r="BL4" t="s">
        <v>453</v>
      </c>
      <c r="BM4" t="s">
        <v>451</v>
      </c>
      <c r="BN4">
        <v>11.61</v>
      </c>
      <c r="BO4">
        <v>10.66</v>
      </c>
      <c r="BP4">
        <v>4.7</v>
      </c>
      <c r="BQ4">
        <v>14.84</v>
      </c>
      <c r="BR4">
        <v>13.07</v>
      </c>
      <c r="BS4">
        <v>6.53</v>
      </c>
      <c r="BT4" t="s">
        <v>454</v>
      </c>
      <c r="BU4" t="s">
        <v>268</v>
      </c>
      <c r="BV4">
        <v>18.36</v>
      </c>
      <c r="BW4">
        <v>20.49</v>
      </c>
      <c r="BX4">
        <v>16.64</v>
      </c>
      <c r="BY4">
        <v>6.28</v>
      </c>
      <c r="BZ4">
        <v>6.39</v>
      </c>
      <c r="CA4">
        <v>3.43</v>
      </c>
      <c r="CB4">
        <v>1.94</v>
      </c>
      <c r="CC4">
        <v>-3.98</v>
      </c>
      <c r="CD4" t="s">
        <v>142</v>
      </c>
      <c r="CE4" t="s">
        <v>722</v>
      </c>
      <c r="CF4" s="6">
        <v>7.1391364741289501E-2</v>
      </c>
      <c r="CG4" s="7">
        <v>-0.83385069153515068</v>
      </c>
      <c r="CH4" s="6">
        <v>0.24778763949871063</v>
      </c>
      <c r="CI4" s="6">
        <v>0.15323087573051453</v>
      </c>
      <c r="CJ4" s="6">
        <v>0.24331294000148773</v>
      </c>
      <c r="CK4" s="6">
        <v>0.19790348410606384</v>
      </c>
      <c r="CL4" s="6">
        <v>6.4813464879989624E-2</v>
      </c>
      <c r="CM4" s="7">
        <v>0.45236560702323914</v>
      </c>
      <c r="CN4" s="7">
        <v>1.1956644058227539</v>
      </c>
      <c r="CO4" s="7">
        <v>6.8592056632041931E-2</v>
      </c>
      <c r="CP4" s="7">
        <v>2.2557613849639893</v>
      </c>
      <c r="CQ4" s="7">
        <v>-4.8869309425354004</v>
      </c>
      <c r="CR4">
        <v>33.891085871193212</v>
      </c>
      <c r="CS4">
        <v>1.8682071272953766</v>
      </c>
      <c r="CT4">
        <v>2.5054784514243975</v>
      </c>
      <c r="CU4" s="6">
        <v>0.18140968084335327</v>
      </c>
      <c r="CV4" s="7">
        <v>-0.18290949761867523</v>
      </c>
      <c r="CW4">
        <v>0.06</v>
      </c>
      <c r="CX4">
        <v>13.901188909120792</v>
      </c>
      <c r="CY4">
        <v>12624365523.50251</v>
      </c>
      <c r="CZ4">
        <v>0.18140968084335327</v>
      </c>
      <c r="DA4">
        <v>4.2078749583991479</v>
      </c>
      <c r="DB4">
        <v>41706013542.466377</v>
      </c>
      <c r="DC4">
        <v>0.17233919680118559</v>
      </c>
      <c r="DD4">
        <v>1.8635227571903992</v>
      </c>
      <c r="DE4">
        <v>94173086603.239975</v>
      </c>
      <c r="DF4">
        <v>0.15964051914215088</v>
      </c>
      <c r="DG4">
        <v>0.98854277895885678</v>
      </c>
      <c r="DH4">
        <v>177527663683.74237</v>
      </c>
      <c r="DI4">
        <v>0.14512774467468262</v>
      </c>
      <c r="DJ4">
        <v>0.38273728845149602</v>
      </c>
      <c r="DK4">
        <v>458522582709.47168</v>
      </c>
      <c r="DL4">
        <v>0.12698677659034727</v>
      </c>
      <c r="DM4">
        <v>11327000000</v>
      </c>
      <c r="DN4">
        <v>0.18140968084335327</v>
      </c>
      <c r="DO4">
        <v>175493690000</v>
      </c>
      <c r="DP4">
        <v>29098023000</v>
      </c>
      <c r="DQ4">
        <v>182</v>
      </c>
      <c r="DR4">
        <v>-0.11001831610206377</v>
      </c>
      <c r="DS4">
        <v>-0.65094119391647542</v>
      </c>
      <c r="DT4" s="8">
        <v>0.12666666666666662</v>
      </c>
      <c r="DU4">
        <v>-9.3333333333333338E-2</v>
      </c>
      <c r="DV4">
        <v>3.3333333333333284E-2</v>
      </c>
      <c r="DW4">
        <v>-1.0398000000000001</v>
      </c>
      <c r="DX4">
        <v>0.35186403508771918</v>
      </c>
      <c r="DY4">
        <v>-1.0060441885964913</v>
      </c>
      <c r="DZ4">
        <v>1631</v>
      </c>
      <c r="EA4">
        <v>-1.0041150160718577</v>
      </c>
      <c r="EB4">
        <v>1</v>
      </c>
      <c r="EC4">
        <v>5.5862040523372868E-2</v>
      </c>
      <c r="ED4">
        <v>0.36784246178567548</v>
      </c>
      <c r="EE4" s="9">
        <v>3.0026000000000002</v>
      </c>
      <c r="EF4">
        <v>3.0202100000000001</v>
      </c>
      <c r="EG4">
        <v>20.151864035087719</v>
      </c>
      <c r="EH4" t="s">
        <v>641</v>
      </c>
      <c r="EI4">
        <v>0</v>
      </c>
      <c r="EJ4">
        <v>0</v>
      </c>
      <c r="EK4" s="12">
        <v>45470</v>
      </c>
      <c r="EL4" s="13">
        <v>0.79</v>
      </c>
      <c r="EM4" s="13">
        <v>-3.93</v>
      </c>
      <c r="EN4" s="13">
        <v>-0.97</v>
      </c>
      <c r="EO4" s="13">
        <v>1.95</v>
      </c>
      <c r="EP4" s="13">
        <v>-2.2799999999999998</v>
      </c>
    </row>
    <row r="5" spans="1:146" ht="144" x14ac:dyDescent="0.25">
      <c r="A5" s="10" t="s">
        <v>276</v>
      </c>
      <c r="B5" s="10"/>
      <c r="C5" s="10" t="str">
        <f>"公司主营业务为商用车整车的研发、生产和销售。公司目前设有2家控股子公司、1个动力总成基地和相关职能部门，现有一汽奔腾、一汽Mazda等乘用车产品系列。"&amp;CHAR(10)&amp;Basic_Fundamental_Information_Constructure(F5)&amp;CHAR(10)&amp;Basic_Fundamental_Information_Concatenate("商用车 205.73亿 89.95% 84.61% 7.22%
备品及其他 22.98亿 10.05% 15.39% 11.77%")</f>
        <v>公司主营业务为商用车整车的研发、生产和销售。公司目前设有2家控股子公司、1个动力总成基地和相关职能部门，现有一汽奔腾、一汽Mazda等乘用车产品系列。
市值356.49989亿, 利润7.63亿; PE40.95; 平均PE21.62; 平均PEG.34, PB1.45; ROIC.3267%; ROE6.1933%; 股利率1.9455%; 毛利8.7833%; 净利2.0333%; 上一年度营收增66.71%, 利润增107.9%; 当季营收增35.21%, 利润增174%; 过往5年营收增63.25%, 利润增195.31%
Income profile:
商用车 205.73亿 89.95% 84.61% 7.22%
备品及其他 22.98亿 10.05% 15.39% 11.77%</v>
      </c>
      <c r="D5" t="s">
        <v>62</v>
      </c>
      <c r="E5" t="s">
        <v>63</v>
      </c>
      <c r="F5">
        <v>7.71</v>
      </c>
      <c r="G5">
        <v>0.92</v>
      </c>
      <c r="H5" t="s">
        <v>723</v>
      </c>
      <c r="I5">
        <v>35649989000</v>
      </c>
      <c r="J5">
        <v>40.950000000000003</v>
      </c>
      <c r="K5">
        <v>1.45</v>
      </c>
      <c r="L5" t="s">
        <v>35</v>
      </c>
      <c r="M5" t="s">
        <v>455</v>
      </c>
      <c r="N5" t="s">
        <v>724</v>
      </c>
      <c r="O5" t="s">
        <v>456</v>
      </c>
      <c r="P5">
        <v>35.21</v>
      </c>
      <c r="Q5" t="s">
        <v>457</v>
      </c>
      <c r="R5">
        <v>169293700</v>
      </c>
      <c r="S5" s="5">
        <v>1.74</v>
      </c>
      <c r="T5" t="s">
        <v>458</v>
      </c>
      <c r="U5">
        <v>4622389300</v>
      </c>
      <c r="V5">
        <v>4623863700</v>
      </c>
      <c r="W5">
        <v>3</v>
      </c>
      <c r="X5">
        <v>0.27</v>
      </c>
      <c r="Y5">
        <v>0.89</v>
      </c>
      <c r="Z5" t="s">
        <v>725</v>
      </c>
      <c r="AA5" t="s">
        <v>726</v>
      </c>
      <c r="AB5" t="s">
        <v>498</v>
      </c>
      <c r="AC5" t="s">
        <v>727</v>
      </c>
      <c r="AD5" t="s">
        <v>37</v>
      </c>
      <c r="AE5">
        <v>-202965580</v>
      </c>
      <c r="AF5" t="s">
        <v>459</v>
      </c>
      <c r="AG5" t="s">
        <v>728</v>
      </c>
      <c r="AH5" t="s">
        <v>460</v>
      </c>
      <c r="AI5" t="s">
        <v>729</v>
      </c>
      <c r="AJ5" t="s">
        <v>461</v>
      </c>
      <c r="AK5" t="s">
        <v>730</v>
      </c>
      <c r="AL5" t="s">
        <v>462</v>
      </c>
      <c r="AM5" t="s">
        <v>37</v>
      </c>
      <c r="AN5" t="s">
        <v>731</v>
      </c>
      <c r="AO5" t="s">
        <v>37</v>
      </c>
      <c r="AP5" t="s">
        <v>732</v>
      </c>
      <c r="AQ5" t="s">
        <v>733</v>
      </c>
      <c r="AR5" t="s">
        <v>734</v>
      </c>
      <c r="AS5" t="s">
        <v>735</v>
      </c>
      <c r="AT5" t="s">
        <v>37</v>
      </c>
      <c r="AU5" t="s">
        <v>736</v>
      </c>
      <c r="AV5" t="s">
        <v>737</v>
      </c>
      <c r="AW5" t="s">
        <v>738</v>
      </c>
      <c r="AX5" t="s">
        <v>302</v>
      </c>
      <c r="AY5" t="s">
        <v>208</v>
      </c>
      <c r="AZ5" t="s">
        <v>115</v>
      </c>
      <c r="BA5" t="s">
        <v>117</v>
      </c>
      <c r="BB5" t="s">
        <v>118</v>
      </c>
      <c r="BC5" t="s">
        <v>463</v>
      </c>
      <c r="BD5" t="s">
        <v>209</v>
      </c>
      <c r="BE5" t="s">
        <v>116</v>
      </c>
      <c r="BF5" t="s">
        <v>119</v>
      </c>
      <c r="BG5" t="s">
        <v>120</v>
      </c>
      <c r="BH5" t="s">
        <v>457</v>
      </c>
      <c r="BI5" t="s">
        <v>464</v>
      </c>
      <c r="BJ5" t="s">
        <v>302</v>
      </c>
      <c r="BK5" t="s">
        <v>458</v>
      </c>
      <c r="BL5" t="s">
        <v>465</v>
      </c>
      <c r="BM5" t="s">
        <v>463</v>
      </c>
      <c r="BN5">
        <v>-3.67</v>
      </c>
      <c r="BO5">
        <v>-6.13</v>
      </c>
      <c r="BP5">
        <v>10.78</v>
      </c>
      <c r="BQ5">
        <v>1.71</v>
      </c>
      <c r="BR5">
        <v>1.5</v>
      </c>
      <c r="BS5">
        <v>15.37</v>
      </c>
      <c r="BT5" t="s">
        <v>466</v>
      </c>
      <c r="BU5" t="s">
        <v>267</v>
      </c>
      <c r="BV5">
        <v>8.25</v>
      </c>
      <c r="BW5">
        <v>8.0299999999999994</v>
      </c>
      <c r="BX5">
        <v>10.07</v>
      </c>
      <c r="BY5">
        <v>1.19</v>
      </c>
      <c r="BZ5">
        <v>0.96</v>
      </c>
      <c r="CA5">
        <v>3.95</v>
      </c>
      <c r="CB5">
        <v>-1.53</v>
      </c>
      <c r="CC5">
        <v>-7.11</v>
      </c>
      <c r="CD5" t="s">
        <v>739</v>
      </c>
      <c r="CE5" t="s">
        <v>740</v>
      </c>
      <c r="CF5" s="6">
        <v>0.35211568599515602</v>
      </c>
      <c r="CG5" s="7">
        <v>1.7400364488583024</v>
      </c>
      <c r="CH5" s="6">
        <v>0.66714507341384888</v>
      </c>
      <c r="CI5" s="6">
        <v>-0.61183178424835205</v>
      </c>
      <c r="CJ5" s="6">
        <v>-0.13133242726325989</v>
      </c>
      <c r="CK5" s="6">
        <v>6.7958652973175049E-2</v>
      </c>
      <c r="CL5" s="6">
        <v>3.1704668998718262</v>
      </c>
      <c r="CM5" s="7">
        <v>1.0790190696716309</v>
      </c>
      <c r="CN5" s="7">
        <v>-0.90589743852615356</v>
      </c>
      <c r="CO5" s="7">
        <v>0.45958083868026733</v>
      </c>
      <c r="CP5" s="7">
        <v>0.34474077820777893</v>
      </c>
      <c r="CQ5" s="7">
        <v>8.788177490234375</v>
      </c>
      <c r="CR5">
        <v>21.623527496967245</v>
      </c>
      <c r="CS5">
        <v>0.34188406961436596</v>
      </c>
      <c r="CT5">
        <v>1.9455252918287937</v>
      </c>
      <c r="CU5" s="6">
        <v>0.63248128294944761</v>
      </c>
      <c r="CV5" s="7">
        <v>1.9531241476535797</v>
      </c>
      <c r="CW5">
        <v>0.06</v>
      </c>
      <c r="CX5">
        <v>44.579139713734854</v>
      </c>
      <c r="CY5">
        <v>1175078508.3871968</v>
      </c>
      <c r="CZ5">
        <v>0.63248128294944761</v>
      </c>
      <c r="DA5">
        <v>9.4884282079318858</v>
      </c>
      <c r="DB5">
        <v>5520828935.2086172</v>
      </c>
      <c r="DC5">
        <v>0.60085721880197518</v>
      </c>
      <c r="DD5">
        <v>2.4261572452103031</v>
      </c>
      <c r="DE5">
        <v>21591341246.910515</v>
      </c>
      <c r="DF5">
        <v>0.55658352899551389</v>
      </c>
      <c r="DG5">
        <v>0.62543767986508281</v>
      </c>
      <c r="DH5">
        <v>83755729285.929962</v>
      </c>
      <c r="DI5">
        <v>0.50598502635955811</v>
      </c>
      <c r="DJ5">
        <v>3.8342025434663828E-2</v>
      </c>
      <c r="DK5">
        <v>1366229050399.6504</v>
      </c>
      <c r="DL5">
        <v>0.4427368980646133</v>
      </c>
      <c r="DM5">
        <v>763000000</v>
      </c>
      <c r="DN5">
        <v>0.63248128294944761</v>
      </c>
      <c r="DO5">
        <v>52383989000</v>
      </c>
      <c r="DP5">
        <v>5986822000</v>
      </c>
      <c r="DQ5">
        <v>293</v>
      </c>
      <c r="DR5">
        <v>-0.28036559695429158</v>
      </c>
      <c r="DS5">
        <v>-0.21308769879527723</v>
      </c>
      <c r="DT5" s="8">
        <v>9.6666666666666609E-2</v>
      </c>
      <c r="DU5">
        <v>1.2516666666666667</v>
      </c>
      <c r="DV5">
        <v>1.3483333333333334</v>
      </c>
      <c r="DW5">
        <v>-2.0710999999999999</v>
      </c>
      <c r="DX5">
        <v>0.32537160493827078</v>
      </c>
      <c r="DY5">
        <v>-2.0110469211111113</v>
      </c>
      <c r="DZ5">
        <v>78</v>
      </c>
      <c r="EA5">
        <v>-2.01087829883192</v>
      </c>
      <c r="EB5">
        <v>2</v>
      </c>
      <c r="EC5">
        <v>8.1653142154687643E-3</v>
      </c>
      <c r="ED5">
        <v>5.2553452213567636E-2</v>
      </c>
      <c r="EE5" s="9">
        <v>3.4410000000000003E-2</v>
      </c>
      <c r="EF5">
        <v>6.8209999999999993E-2</v>
      </c>
      <c r="EG5">
        <v>17.155371604938271</v>
      </c>
      <c r="EH5">
        <v>-1</v>
      </c>
      <c r="EI5">
        <v>0</v>
      </c>
      <c r="EJ5">
        <v>1</v>
      </c>
      <c r="EK5" s="12">
        <v>45470</v>
      </c>
      <c r="EL5" s="13">
        <v>0.75</v>
      </c>
      <c r="EM5" s="13">
        <v>-1.89</v>
      </c>
      <c r="EN5" s="13">
        <v>0.9</v>
      </c>
      <c r="EO5" s="13">
        <v>2.04</v>
      </c>
      <c r="EP5" s="13">
        <v>-3.38</v>
      </c>
    </row>
    <row r="6" spans="1:146" ht="168" x14ac:dyDescent="0.25">
      <c r="A6" s="10"/>
      <c r="B6" s="10"/>
      <c r="C6" s="10" t="str">
        <f>"公司是专业生产全系列客车和汽车零部件的上市公司。公司主要产品为客车整车及汽车零部件。产品覆盖各类公路客车、旅游客车、团体客车、景观车、公交客车、新能源商用车等。公司采用全承载和半承载两条技术路线，全承载技术主要用于大型客车和新能源客车，半承载技术主要用于中轻型客车。"&amp;CHAR(10)&amp;Basic_Fundamental_Information_Constructure(F6)&amp;CHAR(10)&amp;Basic_Fundamental_Information_Concatenate("整车 5.46亿 90.55% -1348.33% -2.04%
其他 5696.28万 9.45% 1448.33% 21.02%")</f>
        <v>公司是专业生产全系列客车和汽车零部件的上市公司。公司主要产品为客车整车及汽车零部件。产品覆盖各类公路客车、旅游客车、团体客车、景观车、公交客车、新能源商用车等。公司采用全承载和半承载两条技术路线，全承载技术主要用于大型客车和新能源客车，半承载技术主要用于中轻型客车。
市值36.077366亿, 利润-1.70亿; PE; 平均PE-15.1; 平均PEG-5.49, PB4.21; ROIC0%; ROE-81.0167%; 股利率0%; 毛利7%; 净利-13.7567%; 上一年度营收增44.22%, 利润增29.17%; 当季营收增148.05%, 利润增115.68%; 过往5年营收增-2.75%, 利润增-5.38%
Income profile:
整车 5.46亿 90.55% -1348.33% -2.04%
其他 5696.28万 9.45% 1448.33% 21.02%</v>
      </c>
      <c r="D6" t="s">
        <v>76</v>
      </c>
      <c r="E6" t="s">
        <v>121</v>
      </c>
      <c r="F6">
        <v>3.84</v>
      </c>
      <c r="G6">
        <v>0.52</v>
      </c>
      <c r="H6" t="s">
        <v>741</v>
      </c>
      <c r="I6">
        <v>3607736600</v>
      </c>
      <c r="K6">
        <v>4.21</v>
      </c>
      <c r="L6" t="s">
        <v>35</v>
      </c>
      <c r="M6" t="s">
        <v>467</v>
      </c>
      <c r="N6" t="s">
        <v>742</v>
      </c>
      <c r="O6" t="s">
        <v>468</v>
      </c>
      <c r="P6">
        <v>147.5</v>
      </c>
      <c r="Q6" t="s">
        <v>469</v>
      </c>
      <c r="R6">
        <v>4852943</v>
      </c>
      <c r="S6" s="5">
        <v>1.157</v>
      </c>
      <c r="T6" t="s">
        <v>470</v>
      </c>
      <c r="U6">
        <v>733328420</v>
      </c>
      <c r="V6">
        <v>939514740</v>
      </c>
      <c r="W6">
        <v>3.6</v>
      </c>
      <c r="X6">
        <v>0.18</v>
      </c>
      <c r="Y6">
        <v>0.24</v>
      </c>
      <c r="Z6" t="s">
        <v>743</v>
      </c>
      <c r="AA6" t="s">
        <v>744</v>
      </c>
      <c r="AB6" t="s">
        <v>745</v>
      </c>
      <c r="AC6" t="s">
        <v>746</v>
      </c>
      <c r="AD6" t="s">
        <v>37</v>
      </c>
      <c r="AE6">
        <v>-1957655</v>
      </c>
      <c r="AF6" t="s">
        <v>471</v>
      </c>
      <c r="AG6" t="s">
        <v>747</v>
      </c>
      <c r="AH6" t="s">
        <v>472</v>
      </c>
      <c r="AI6" t="s">
        <v>566</v>
      </c>
      <c r="AJ6" t="s">
        <v>473</v>
      </c>
      <c r="AK6" t="s">
        <v>37</v>
      </c>
      <c r="AL6" t="s">
        <v>474</v>
      </c>
      <c r="AM6" t="s">
        <v>37</v>
      </c>
      <c r="AN6" t="s">
        <v>748</v>
      </c>
      <c r="AO6" t="s">
        <v>475</v>
      </c>
      <c r="AP6" t="s">
        <v>180</v>
      </c>
      <c r="AQ6" t="s">
        <v>749</v>
      </c>
      <c r="AR6" t="s">
        <v>37</v>
      </c>
      <c r="AS6" t="s">
        <v>750</v>
      </c>
      <c r="AT6" t="s">
        <v>476</v>
      </c>
      <c r="AU6" t="s">
        <v>153</v>
      </c>
      <c r="AV6" t="s">
        <v>751</v>
      </c>
      <c r="AW6" t="s">
        <v>752</v>
      </c>
      <c r="AX6" t="s">
        <v>303</v>
      </c>
      <c r="AY6" t="s">
        <v>210</v>
      </c>
      <c r="AZ6" t="s">
        <v>122</v>
      </c>
      <c r="BA6" t="s">
        <v>77</v>
      </c>
      <c r="BB6" t="s">
        <v>124</v>
      </c>
      <c r="BC6" t="s">
        <v>304</v>
      </c>
      <c r="BD6" t="s">
        <v>211</v>
      </c>
      <c r="BE6" t="s">
        <v>123</v>
      </c>
      <c r="BF6" t="s">
        <v>78</v>
      </c>
      <c r="BG6" t="s">
        <v>125</v>
      </c>
      <c r="BH6" t="s">
        <v>469</v>
      </c>
      <c r="BI6" t="s">
        <v>477</v>
      </c>
      <c r="BJ6" t="s">
        <v>303</v>
      </c>
      <c r="BK6" t="s">
        <v>470</v>
      </c>
      <c r="BL6" t="s">
        <v>478</v>
      </c>
      <c r="BM6" t="s">
        <v>304</v>
      </c>
      <c r="BN6" t="s">
        <v>37</v>
      </c>
      <c r="BO6" t="s">
        <v>37</v>
      </c>
      <c r="BP6" t="s">
        <v>37</v>
      </c>
      <c r="BQ6">
        <v>-11.3</v>
      </c>
      <c r="BR6">
        <v>-164.83</v>
      </c>
      <c r="BS6">
        <v>-66.92</v>
      </c>
      <c r="BT6" t="s">
        <v>293</v>
      </c>
      <c r="BU6" t="s">
        <v>269</v>
      </c>
      <c r="BV6">
        <v>8.31</v>
      </c>
      <c r="BW6">
        <v>5.66</v>
      </c>
      <c r="BX6">
        <v>7.03</v>
      </c>
      <c r="BY6">
        <v>-7.98</v>
      </c>
      <c r="BZ6">
        <v>-17.39</v>
      </c>
      <c r="CA6">
        <v>-15.9</v>
      </c>
      <c r="CB6">
        <v>0.26</v>
      </c>
      <c r="CC6">
        <v>-14.09</v>
      </c>
      <c r="CD6" t="s">
        <v>753</v>
      </c>
      <c r="CE6" t="s">
        <v>754</v>
      </c>
      <c r="CF6" s="6">
        <v>1.4805194805194806</v>
      </c>
      <c r="CG6" s="7">
        <v>1.1568161710295444</v>
      </c>
      <c r="CH6" s="6">
        <v>0.44220429658889771</v>
      </c>
      <c r="CI6" s="6">
        <v>-0.16451428830623627</v>
      </c>
      <c r="CJ6" s="6">
        <v>-0.45368099212646484</v>
      </c>
      <c r="CK6" s="6">
        <v>-3.4360188990831375E-2</v>
      </c>
      <c r="CL6" s="6">
        <v>7.2767689824104309E-2</v>
      </c>
      <c r="CM6" s="7">
        <v>0.2916666567325592</v>
      </c>
      <c r="CN6" s="7">
        <v>9.0909093618392944E-2</v>
      </c>
      <c r="CO6" s="7">
        <v>-3.6510708332061768</v>
      </c>
      <c r="CP6" s="7">
        <v>1.9619458913803101</v>
      </c>
      <c r="CQ6" s="7">
        <v>1.0376490354537964</v>
      </c>
      <c r="CR6">
        <v>-15.097269418195184</v>
      </c>
      <c r="CS6">
        <v>-5.4865849765700645</v>
      </c>
      <c r="CT6">
        <v>0</v>
      </c>
      <c r="CU6" s="6">
        <v>-2.7516696602106094E-2</v>
      </c>
      <c r="CV6" s="7">
        <v>-5.378003120422363E-2</v>
      </c>
      <c r="CW6">
        <v>0.06</v>
      </c>
      <c r="CX6" t="e">
        <v>#VALUE!</v>
      </c>
      <c r="CY6" t="s">
        <v>257</v>
      </c>
      <c r="CZ6">
        <v>-2.7516696602106094E-2</v>
      </c>
      <c r="DA6" t="e">
        <v>#VALUE!</v>
      </c>
      <c r="DB6" t="s">
        <v>257</v>
      </c>
      <c r="DC6">
        <v>-2.6140861772000788E-2</v>
      </c>
      <c r="DD6" t="e">
        <v>#VALUE!</v>
      </c>
      <c r="DE6" t="s">
        <v>257</v>
      </c>
      <c r="DF6">
        <v>-2.4214693009853364E-2</v>
      </c>
      <c r="DG6" t="e">
        <v>#VALUE!</v>
      </c>
      <c r="DH6" t="s">
        <v>257</v>
      </c>
      <c r="DI6">
        <v>-2.2013357281684878E-2</v>
      </c>
      <c r="DJ6" t="e">
        <v>#VALUE!</v>
      </c>
      <c r="DK6" t="s">
        <v>257</v>
      </c>
      <c r="DL6">
        <v>-1.9261687621474264E-2</v>
      </c>
      <c r="DM6">
        <v>-170000000</v>
      </c>
      <c r="DN6">
        <v>-2.7516696602106094E-2</v>
      </c>
      <c r="DO6">
        <v>5111736600</v>
      </c>
      <c r="DP6">
        <v>-178644700</v>
      </c>
      <c r="DQ6">
        <v>333</v>
      </c>
      <c r="DR6">
        <v>1.5080361771215867</v>
      </c>
      <c r="DS6">
        <v>1.210596202233768</v>
      </c>
      <c r="DT6" s="8">
        <v>-0.55666666666666675</v>
      </c>
      <c r="DU6">
        <v>-0.39500000000000024</v>
      </c>
      <c r="DV6">
        <v>-0.95166666666666699</v>
      </c>
      <c r="DW6">
        <v>-2.1408999999999998</v>
      </c>
      <c r="DX6">
        <v>0.34245479876160956</v>
      </c>
      <c r="DY6">
        <v>-2.014435881145511</v>
      </c>
      <c r="DZ6">
        <v>3515</v>
      </c>
      <c r="EA6">
        <v>-2.0045059159348511</v>
      </c>
      <c r="EB6">
        <v>2</v>
      </c>
      <c r="EC6">
        <v>3.5223396282212667E-2</v>
      </c>
      <c r="ED6">
        <v>0.34379449970098391</v>
      </c>
      <c r="EE6" s="9">
        <v>1.0132000000000001</v>
      </c>
      <c r="EF6">
        <v>1.0075099999999999</v>
      </c>
      <c r="EG6">
        <v>24.10245479876161</v>
      </c>
      <c r="EH6" t="s">
        <v>294</v>
      </c>
      <c r="EI6">
        <v>0</v>
      </c>
      <c r="EJ6">
        <v>0</v>
      </c>
      <c r="EK6" s="12">
        <v>45470</v>
      </c>
      <c r="EL6" s="13">
        <v>-4.47</v>
      </c>
      <c r="EM6" s="13">
        <v>-5.67</v>
      </c>
      <c r="EN6" s="13">
        <v>-1.04</v>
      </c>
      <c r="EO6" s="13">
        <v>1.85</v>
      </c>
      <c r="EP6" s="13">
        <v>-2.0699999999999998</v>
      </c>
    </row>
    <row r="7" spans="1:146" ht="180" x14ac:dyDescent="0.25">
      <c r="A7" s="10" t="s">
        <v>275</v>
      </c>
      <c r="B7" s="10"/>
      <c r="C7" s="10" t="str">
        <f>"公司主要从事重型载重汽车、重型专用车底盘、车桥等汽车配件的制造及销售业务。主要产品有整车销售、配件销售。公司目前产品除在国内市场占据较高市场份额外，依托中国重汽集团国际有限公司，产品出口已经多年位居国内重卡行业出口首位，连续多年保持国内重卡出口行业首位。"&amp;CHAR(10)&amp;Basic_Fundamental_Information_Constructure(F7)&amp;CHAR(10)&amp;Basic_Fundamental_Information_Concatenate("整车销售 120.19亿 78.39% 64.24% 6.04%
配件销售 32.80亿 21.39% 33.55% 11.57%")</f>
        <v>公司主要从事重型载重汽车、重型专用车底盘、车桥等汽车配件的制造及销售业务。主要产品有整车销售、配件销售。公司目前产品除在国内市场占据较高市场份额外，依托中国重汽集团国际有限公司，产品出口已经多年位居国内重卡行业出口首位，连续多年保持国内重卡出口行业首位。
市值164.01176亿, 利润10.80亿; PE14.51; 平均PE15.52; 平均PEG1.94, PB1.09; ROIC6.77%; ROE4.57%; 股利率3.3095%; 毛利7.1367%; 净利2.73%; 上一年度营收增45.96%, 利润增404.67%; 当季营收增24.02%, 利润增22.34%; 过往5年营收增8.01%, 利润增73.87%
Income profile:
整车销售 120.19亿 78.39% 64.24% 6.04%
配件销售 32.80亿 21.39% 33.55% 11.57%</v>
      </c>
      <c r="D7" t="s">
        <v>64</v>
      </c>
      <c r="E7" t="s">
        <v>15</v>
      </c>
      <c r="F7">
        <v>13.96</v>
      </c>
      <c r="G7">
        <v>1.68</v>
      </c>
      <c r="H7" t="s">
        <v>755</v>
      </c>
      <c r="I7">
        <v>16401176000</v>
      </c>
      <c r="J7">
        <v>14.51</v>
      </c>
      <c r="K7">
        <v>1.0900000000000001</v>
      </c>
      <c r="L7" t="s">
        <v>35</v>
      </c>
      <c r="M7" t="s">
        <v>479</v>
      </c>
      <c r="N7" t="s">
        <v>756</v>
      </c>
      <c r="O7" t="s">
        <v>480</v>
      </c>
      <c r="P7">
        <v>24.02</v>
      </c>
      <c r="Q7" t="s">
        <v>481</v>
      </c>
      <c r="R7">
        <v>274032050</v>
      </c>
      <c r="S7" s="5">
        <v>0.22359999999999999</v>
      </c>
      <c r="T7" t="s">
        <v>482</v>
      </c>
      <c r="U7">
        <v>1174869360</v>
      </c>
      <c r="V7">
        <v>1174869360</v>
      </c>
      <c r="W7">
        <v>2.5499999999999998</v>
      </c>
      <c r="X7">
        <v>0.28999999999999998</v>
      </c>
      <c r="Y7">
        <v>3.21</v>
      </c>
      <c r="Z7" t="s">
        <v>757</v>
      </c>
      <c r="AA7" t="s">
        <v>758</v>
      </c>
      <c r="AB7" t="s">
        <v>759</v>
      </c>
      <c r="AC7" t="s">
        <v>760</v>
      </c>
      <c r="AD7" t="s">
        <v>37</v>
      </c>
      <c r="AE7">
        <v>-66678691</v>
      </c>
      <c r="AF7" t="s">
        <v>44</v>
      </c>
      <c r="AG7" t="s">
        <v>761</v>
      </c>
      <c r="AH7" t="s">
        <v>483</v>
      </c>
      <c r="AI7" t="s">
        <v>762</v>
      </c>
      <c r="AJ7" t="s">
        <v>484</v>
      </c>
      <c r="AK7" t="s">
        <v>763</v>
      </c>
      <c r="AL7" t="s">
        <v>485</v>
      </c>
      <c r="AM7" t="s">
        <v>37</v>
      </c>
      <c r="AN7" t="s">
        <v>764</v>
      </c>
      <c r="AO7" t="s">
        <v>37</v>
      </c>
      <c r="AP7" t="s">
        <v>765</v>
      </c>
      <c r="AQ7" t="s">
        <v>766</v>
      </c>
      <c r="AR7" t="s">
        <v>37</v>
      </c>
      <c r="AS7" t="s">
        <v>767</v>
      </c>
      <c r="AT7" t="s">
        <v>37</v>
      </c>
      <c r="AU7" t="s">
        <v>768</v>
      </c>
      <c r="AV7" t="s">
        <v>769</v>
      </c>
      <c r="AW7" t="s">
        <v>770</v>
      </c>
      <c r="AX7" t="s">
        <v>306</v>
      </c>
      <c r="AY7" t="s">
        <v>212</v>
      </c>
      <c r="AZ7" t="s">
        <v>126</v>
      </c>
      <c r="BA7" t="s">
        <v>65</v>
      </c>
      <c r="BB7" t="s">
        <v>128</v>
      </c>
      <c r="BC7" t="s">
        <v>307</v>
      </c>
      <c r="BD7" t="s">
        <v>213</v>
      </c>
      <c r="BE7" t="s">
        <v>127</v>
      </c>
      <c r="BF7" t="s">
        <v>66</v>
      </c>
      <c r="BG7" t="s">
        <v>89</v>
      </c>
      <c r="BH7" t="s">
        <v>481</v>
      </c>
      <c r="BI7" t="s">
        <v>486</v>
      </c>
      <c r="BJ7" t="s">
        <v>306</v>
      </c>
      <c r="BK7" t="s">
        <v>482</v>
      </c>
      <c r="BL7" t="s">
        <v>487</v>
      </c>
      <c r="BM7" t="s">
        <v>307</v>
      </c>
      <c r="BN7">
        <v>5.19</v>
      </c>
      <c r="BO7">
        <v>2.85</v>
      </c>
      <c r="BP7">
        <v>12.27</v>
      </c>
      <c r="BQ7">
        <v>4.66</v>
      </c>
      <c r="BR7">
        <v>1.55</v>
      </c>
      <c r="BS7">
        <v>7.5</v>
      </c>
      <c r="BT7" t="s">
        <v>488</v>
      </c>
      <c r="BU7" t="s">
        <v>267</v>
      </c>
      <c r="BV7">
        <v>7.85</v>
      </c>
      <c r="BW7">
        <v>6.18</v>
      </c>
      <c r="BX7">
        <v>7.38</v>
      </c>
      <c r="BY7">
        <v>3.4</v>
      </c>
      <c r="BZ7">
        <v>1.82</v>
      </c>
      <c r="CA7">
        <v>2.97</v>
      </c>
      <c r="CB7">
        <v>-2.5099999999999998</v>
      </c>
      <c r="CC7">
        <v>-8.8699999999999992</v>
      </c>
      <c r="CD7" t="s">
        <v>771</v>
      </c>
      <c r="CE7" t="s">
        <v>772</v>
      </c>
      <c r="CF7" s="6">
        <v>0.24017799001519427</v>
      </c>
      <c r="CG7" s="7">
        <v>0.22335736607142842</v>
      </c>
      <c r="CH7" s="6">
        <v>0.45964887738227844</v>
      </c>
      <c r="CI7" s="6">
        <v>-0.48622971773147583</v>
      </c>
      <c r="CJ7" s="6">
        <v>-6.4049527049064636E-2</v>
      </c>
      <c r="CK7" s="6">
        <v>0.50435459613800049</v>
      </c>
      <c r="CL7" s="6">
        <v>-1.3249766081571579E-2</v>
      </c>
      <c r="CM7" s="7">
        <v>4.0467290878295898</v>
      </c>
      <c r="CN7" s="7">
        <v>-0.79383426904678345</v>
      </c>
      <c r="CO7" s="7">
        <v>-0.4478723406791687</v>
      </c>
      <c r="CP7" s="7">
        <v>0.53720349073410034</v>
      </c>
      <c r="CQ7" s="7">
        <v>0.35138127207756042</v>
      </c>
      <c r="CR7">
        <v>15.521617665615143</v>
      </c>
      <c r="CS7">
        <v>1.9379035510266649</v>
      </c>
      <c r="CT7">
        <v>3.30945558739255</v>
      </c>
      <c r="CU7" s="6">
        <v>8.0094892531633377E-2</v>
      </c>
      <c r="CV7" s="7">
        <v>0.73872144818305974</v>
      </c>
      <c r="CW7">
        <v>0.06</v>
      </c>
      <c r="CX7">
        <v>19.689856538099153</v>
      </c>
      <c r="CY7">
        <v>1100474041.4473245</v>
      </c>
      <c r="CZ7">
        <v>8.0094892531633377E-2</v>
      </c>
      <c r="DA7">
        <v>6.4887181254127038</v>
      </c>
      <c r="DB7">
        <v>3339361578.2349668</v>
      </c>
      <c r="DC7">
        <v>7.6090147905051711E-2</v>
      </c>
      <c r="DD7">
        <v>3.2301791269962647</v>
      </c>
      <c r="DE7">
        <v>6708041612.5867243</v>
      </c>
      <c r="DF7">
        <v>7.0483505427837378E-2</v>
      </c>
      <c r="DG7">
        <v>1.9642877198080808</v>
      </c>
      <c r="DH7">
        <v>11031060155.544357</v>
      </c>
      <c r="DI7">
        <v>6.4075914025306699E-2</v>
      </c>
      <c r="DJ7">
        <v>1.0428513863173046</v>
      </c>
      <c r="DK7">
        <v>20777817706.622967</v>
      </c>
      <c r="DL7">
        <v>5.606642477214336E-2</v>
      </c>
      <c r="DM7">
        <v>1080000000</v>
      </c>
      <c r="DN7">
        <v>8.0094892531633377E-2</v>
      </c>
      <c r="DO7">
        <v>21668176000</v>
      </c>
      <c r="DP7">
        <v>9804792000</v>
      </c>
      <c r="DQ7">
        <v>390</v>
      </c>
      <c r="DR7">
        <v>0.16008309748356089</v>
      </c>
      <c r="DS7">
        <v>-0.51536408211163132</v>
      </c>
      <c r="DT7" s="8">
        <v>-0.3066666666666667</v>
      </c>
      <c r="DU7">
        <v>0.30333333333333329</v>
      </c>
      <c r="DV7">
        <v>-3.3333333333334103E-3</v>
      </c>
      <c r="DW7">
        <v>-8.282976324689967</v>
      </c>
      <c r="DX7">
        <v>0.39105928089887787</v>
      </c>
      <c r="DY7">
        <v>-8.0625545428473711</v>
      </c>
      <c r="DZ7">
        <v>1714</v>
      </c>
      <c r="EA7">
        <v>-8.0415724515674505</v>
      </c>
      <c r="EB7">
        <v>8</v>
      </c>
      <c r="EC7">
        <v>6.6983702766748462E-2</v>
      </c>
      <c r="ED7">
        <v>0.30301241322694805</v>
      </c>
      <c r="EE7" s="9">
        <v>1.09321</v>
      </c>
      <c r="EF7">
        <v>1.11581</v>
      </c>
      <c r="EG7">
        <v>17.221059280898878</v>
      </c>
      <c r="EH7" t="s">
        <v>294</v>
      </c>
      <c r="EI7">
        <v>0</v>
      </c>
      <c r="EJ7">
        <v>0</v>
      </c>
      <c r="EK7" s="12">
        <v>45470</v>
      </c>
      <c r="EL7" s="13">
        <v>1.17</v>
      </c>
      <c r="EM7" s="13">
        <v>-1.98</v>
      </c>
      <c r="EN7" s="13">
        <v>0.97</v>
      </c>
      <c r="EO7" s="13">
        <v>0.55000000000000004</v>
      </c>
      <c r="EP7" s="13">
        <v>-2.2599999999999998</v>
      </c>
    </row>
    <row r="8" spans="1:146" ht="156" x14ac:dyDescent="0.25">
      <c r="A8" s="10"/>
      <c r="B8" s="10"/>
      <c r="C8" s="10" t="str">
        <f>"公司主要以客车为主兼顾零部件产品的开发、制造和销售。客车产品涵盖从5米到18米不同系列各种档次,用途主要为公路、公交、旅游、团体、校车等细分市场。公司在行业内排名靠前，属于客车行业主流企业。"&amp;CHAR(10)&amp;Basic_Fundamental_Information_Constructure(F8)&amp;CHAR(10)&amp;Basic_Fundamental_Information_Concatenate("客车 16.66亿 95.24% 87.39% 14.92%
其他 8332.41万 4.76% 12.61% 43.05%")</f>
        <v>公司主要以客车为主兼顾零部件产品的开发、制造和销售。客车产品涵盖从5米到18米不同系列各种档次,用途主要为公路、公交、旅游、团体、校车等细分市场。公司在行业内排名靠前，属于客车行业主流企业。
市值62.136332亿, 利润6965.41万; PE68; 平均PE906.05; 平均PEG187.22, PB2.24; ROIC2.53%; ROE-.58%; 股利率.3244%; 毛利17.7633%; 净利-.43%; 上一年度营收增-19.56%, 利润增-29.16%; 当季营收增84.73%, 利润增105.08%; 过往5年营收增-4.84%, 利润增-191.63%
Income profile:
客车 16.66亿 95.24% 87.39% 14.92%
其他 8332.41万 4.76% 12.61% 43.05%</v>
      </c>
      <c r="D8" t="s">
        <v>79</v>
      </c>
      <c r="E8" t="s">
        <v>7</v>
      </c>
      <c r="F8">
        <v>10.48</v>
      </c>
      <c r="G8">
        <v>-0.1</v>
      </c>
      <c r="H8" t="s">
        <v>773</v>
      </c>
      <c r="I8">
        <v>6213633200</v>
      </c>
      <c r="J8">
        <v>68</v>
      </c>
      <c r="K8">
        <v>2.2400000000000002</v>
      </c>
      <c r="L8" t="s">
        <v>35</v>
      </c>
      <c r="M8" t="s">
        <v>489</v>
      </c>
      <c r="N8" t="s">
        <v>774</v>
      </c>
      <c r="O8" t="s">
        <v>490</v>
      </c>
      <c r="P8">
        <v>84.73</v>
      </c>
      <c r="Q8" t="s">
        <v>491</v>
      </c>
      <c r="R8">
        <v>42384501</v>
      </c>
      <c r="S8" s="5">
        <v>1.0509999999999999</v>
      </c>
      <c r="T8" t="s">
        <v>492</v>
      </c>
      <c r="U8">
        <v>592903940</v>
      </c>
      <c r="V8">
        <v>592903940</v>
      </c>
      <c r="W8">
        <v>3.21</v>
      </c>
      <c r="X8">
        <v>0.15</v>
      </c>
      <c r="Y8">
        <v>3.31</v>
      </c>
      <c r="Z8" t="s">
        <v>775</v>
      </c>
      <c r="AA8" t="s">
        <v>776</v>
      </c>
      <c r="AB8" t="s">
        <v>777</v>
      </c>
      <c r="AC8" t="s">
        <v>778</v>
      </c>
      <c r="AD8" t="s">
        <v>37</v>
      </c>
      <c r="AE8">
        <v>-4535440</v>
      </c>
      <c r="AF8" t="s">
        <v>493</v>
      </c>
      <c r="AG8" t="s">
        <v>779</v>
      </c>
      <c r="AH8" t="s">
        <v>494</v>
      </c>
      <c r="AI8" t="s">
        <v>780</v>
      </c>
      <c r="AJ8" t="s">
        <v>495</v>
      </c>
      <c r="AK8" t="s">
        <v>781</v>
      </c>
      <c r="AL8" t="s">
        <v>496</v>
      </c>
      <c r="AM8" t="s">
        <v>37</v>
      </c>
      <c r="AN8" t="s">
        <v>782</v>
      </c>
      <c r="AO8" t="s">
        <v>497</v>
      </c>
      <c r="AP8" t="s">
        <v>783</v>
      </c>
      <c r="AQ8" t="s">
        <v>784</v>
      </c>
      <c r="AR8" t="s">
        <v>37</v>
      </c>
      <c r="AS8" t="s">
        <v>785</v>
      </c>
      <c r="AT8" t="s">
        <v>37</v>
      </c>
      <c r="AU8" t="s">
        <v>786</v>
      </c>
      <c r="AV8" t="s">
        <v>787</v>
      </c>
      <c r="AW8" t="s">
        <v>788</v>
      </c>
      <c r="AX8" t="s">
        <v>308</v>
      </c>
      <c r="AY8" t="s">
        <v>214</v>
      </c>
      <c r="AZ8" t="s">
        <v>129</v>
      </c>
      <c r="BA8" t="s">
        <v>80</v>
      </c>
      <c r="BB8" t="s">
        <v>131</v>
      </c>
      <c r="BC8" t="s">
        <v>309</v>
      </c>
      <c r="BD8" t="s">
        <v>215</v>
      </c>
      <c r="BE8" t="s">
        <v>130</v>
      </c>
      <c r="BF8" t="s">
        <v>81</v>
      </c>
      <c r="BG8" t="s">
        <v>132</v>
      </c>
      <c r="BH8" t="s">
        <v>491</v>
      </c>
      <c r="BI8" t="s">
        <v>499</v>
      </c>
      <c r="BJ8" t="s">
        <v>308</v>
      </c>
      <c r="BK8" t="s">
        <v>492</v>
      </c>
      <c r="BL8" t="s">
        <v>500</v>
      </c>
      <c r="BM8" t="s">
        <v>309</v>
      </c>
      <c r="BN8">
        <v>1.87</v>
      </c>
      <c r="BO8">
        <v>3.19</v>
      </c>
      <c r="BP8" t="s">
        <v>37</v>
      </c>
      <c r="BQ8">
        <v>2.73</v>
      </c>
      <c r="BR8">
        <v>3.77</v>
      </c>
      <c r="BS8">
        <v>-8.24</v>
      </c>
      <c r="BT8" t="s">
        <v>501</v>
      </c>
      <c r="BU8" t="s">
        <v>269</v>
      </c>
      <c r="BV8">
        <v>23.94</v>
      </c>
      <c r="BW8">
        <v>17.46</v>
      </c>
      <c r="BX8">
        <v>11.89</v>
      </c>
      <c r="BY8">
        <v>1.64</v>
      </c>
      <c r="BZ8">
        <v>1.86</v>
      </c>
      <c r="CA8">
        <v>-4.79</v>
      </c>
      <c r="CB8">
        <v>-0.38</v>
      </c>
      <c r="CC8">
        <v>0.33</v>
      </c>
      <c r="CD8" t="s">
        <v>660</v>
      </c>
      <c r="CE8" t="s">
        <v>789</v>
      </c>
      <c r="CF8" s="6">
        <v>0.8472622478386167</v>
      </c>
      <c r="CG8" s="7">
        <v>1.0508397969700343</v>
      </c>
      <c r="CH8" s="6">
        <v>-0.19560277462005615</v>
      </c>
      <c r="CI8" s="6">
        <v>0.15020720660686493</v>
      </c>
      <c r="CJ8" s="6">
        <v>4.0607940405607224E-2</v>
      </c>
      <c r="CK8" s="6">
        <v>-0.34609109163284302</v>
      </c>
      <c r="CL8" s="6">
        <v>0.10889951139688492</v>
      </c>
      <c r="CM8" s="7">
        <v>-0.29160332679748535</v>
      </c>
      <c r="CN8" s="7">
        <v>1.446938157081604</v>
      </c>
      <c r="CO8" s="7">
        <v>-10.352270126342773</v>
      </c>
      <c r="CP8" s="7">
        <v>-0.28871035575866699</v>
      </c>
      <c r="CQ8" s="7">
        <v>-9.5687054097652435E-2</v>
      </c>
      <c r="CR8">
        <v>906.05479811604198</v>
      </c>
      <c r="CS8">
        <v>187.21748992208353</v>
      </c>
      <c r="CT8">
        <v>0.32442748091603052</v>
      </c>
      <c r="CU8" s="6">
        <v>-4.8395841568708423E-2</v>
      </c>
      <c r="CV8" s="7">
        <v>-1.9162665411829949</v>
      </c>
      <c r="CW8">
        <v>0.06</v>
      </c>
      <c r="CX8">
        <v>132.37746521741002</v>
      </c>
      <c r="CY8" t="s">
        <v>502</v>
      </c>
      <c r="CZ8">
        <v>-4.8395841568708423E-2</v>
      </c>
      <c r="DA8">
        <v>44.125821739136676</v>
      </c>
      <c r="DB8" t="s">
        <v>503</v>
      </c>
      <c r="DC8">
        <v>-4.5976049490273001E-2</v>
      </c>
      <c r="DD8">
        <v>22.062910869568338</v>
      </c>
      <c r="DE8" t="s">
        <v>504</v>
      </c>
      <c r="DF8">
        <v>-4.2588340580463409E-2</v>
      </c>
      <c r="DG8">
        <v>13.237746521741004</v>
      </c>
      <c r="DH8" t="s">
        <v>505</v>
      </c>
      <c r="DI8">
        <v>-3.8716673254966742E-2</v>
      </c>
      <c r="DJ8">
        <v>6.6188732608705019</v>
      </c>
      <c r="DK8" t="s">
        <v>506</v>
      </c>
      <c r="DL8">
        <v>-3.3877089098095892E-2</v>
      </c>
      <c r="DM8">
        <v>69654100</v>
      </c>
      <c r="DN8">
        <v>-4.8395841568708423E-2</v>
      </c>
      <c r="DO8">
        <v>9220633200</v>
      </c>
      <c r="DP8">
        <v>1366014600</v>
      </c>
      <c r="DQ8">
        <v>394</v>
      </c>
      <c r="DR8">
        <v>0.89565808940732516</v>
      </c>
      <c r="DS8">
        <v>2.9671063381530294</v>
      </c>
      <c r="DT8" s="8">
        <v>-0.57333333333333336</v>
      </c>
      <c r="DU8">
        <v>-0.22666666666666679</v>
      </c>
      <c r="DV8">
        <v>-0.80000000000000016</v>
      </c>
      <c r="DW8">
        <v>3.3E-3</v>
      </c>
      <c r="DX8">
        <v>0.50955537991594135</v>
      </c>
      <c r="DY8">
        <v>5.5953275372261021E-4</v>
      </c>
      <c r="DZ8">
        <v>3344</v>
      </c>
      <c r="EA8">
        <v>1.933727677248786E-4</v>
      </c>
      <c r="EB8">
        <v>0</v>
      </c>
      <c r="EC8">
        <v>0.37948811741746902</v>
      </c>
      <c r="ED8">
        <v>2.2381365858354729</v>
      </c>
      <c r="EE8" s="9">
        <v>1.0251999999999999</v>
      </c>
      <c r="EF8">
        <v>1.0436099999999999</v>
      </c>
      <c r="EG8">
        <v>34.169555379915941</v>
      </c>
      <c r="EH8" t="s">
        <v>294</v>
      </c>
      <c r="EI8">
        <v>0</v>
      </c>
      <c r="EJ8">
        <v>0</v>
      </c>
      <c r="EK8" s="12">
        <v>45470</v>
      </c>
      <c r="EL8" s="13">
        <v>1.3</v>
      </c>
      <c r="EM8" s="13">
        <v>-3.95</v>
      </c>
      <c r="EN8" s="13">
        <v>0.48</v>
      </c>
      <c r="EO8" s="13">
        <v>1.24</v>
      </c>
      <c r="EP8" s="13">
        <v>-6.88</v>
      </c>
    </row>
    <row r="9" spans="1:146" ht="96" x14ac:dyDescent="0.25">
      <c r="A9" s="10"/>
      <c r="B9" s="10"/>
      <c r="C9" s="10" t="str">
        <f>""&amp;CHAR(10)&amp;Basic_Fundamental_Information_Constructure(F9)&amp;CHAR(10)&amp;Basic_Fundamental_Information_Concatenate("")</f>
        <v xml:space="preserve">
市值72.108433亿, 利润-9.27亿; PE; 平均PE-1.86; 平均PEG-.05, PB5.25; ROIC0%; ROE-16.8767%; 股利率0%; 毛利8.7033%; 净利-109.3533%; 上一年度营收增-6.26%, 利润增-.65%; 当季营收增-30.67%, 利润增33.93%; 过往5年营收增-36.93%, 利润增-285.82%
Income profile:
</v>
      </c>
      <c r="D9" t="s">
        <v>41</v>
      </c>
      <c r="E9" t="s">
        <v>273</v>
      </c>
      <c r="F9">
        <v>1.43</v>
      </c>
      <c r="G9">
        <v>0</v>
      </c>
      <c r="H9" t="s">
        <v>790</v>
      </c>
      <c r="I9">
        <v>7210843300</v>
      </c>
      <c r="K9">
        <v>5.25</v>
      </c>
      <c r="L9" t="s">
        <v>35</v>
      </c>
      <c r="M9" t="s">
        <v>507</v>
      </c>
      <c r="N9" t="s">
        <v>791</v>
      </c>
      <c r="O9" t="s">
        <v>320</v>
      </c>
      <c r="P9">
        <v>-30.42</v>
      </c>
      <c r="Q9" t="s">
        <v>508</v>
      </c>
      <c r="R9">
        <v>-124206643</v>
      </c>
      <c r="S9" s="5">
        <v>0.33810000000000001</v>
      </c>
      <c r="T9" t="s">
        <v>509</v>
      </c>
      <c r="U9">
        <v>4887894100</v>
      </c>
      <c r="V9">
        <v>5042547700</v>
      </c>
      <c r="W9">
        <v>4.41</v>
      </c>
      <c r="X9">
        <v>0.02</v>
      </c>
      <c r="Y9">
        <v>-110.95</v>
      </c>
      <c r="Z9" t="s">
        <v>792</v>
      </c>
      <c r="AA9" t="s">
        <v>793</v>
      </c>
      <c r="AB9" t="s">
        <v>794</v>
      </c>
      <c r="AC9" t="s">
        <v>793</v>
      </c>
      <c r="AD9" t="s">
        <v>37</v>
      </c>
      <c r="AE9">
        <v>16095516</v>
      </c>
      <c r="AF9" t="s">
        <v>44</v>
      </c>
      <c r="AG9" t="s">
        <v>795</v>
      </c>
      <c r="AH9" t="s">
        <v>510</v>
      </c>
      <c r="AI9" t="s">
        <v>796</v>
      </c>
      <c r="AJ9" t="s">
        <v>512</v>
      </c>
      <c r="AK9" t="s">
        <v>797</v>
      </c>
      <c r="AL9" t="s">
        <v>513</v>
      </c>
      <c r="AM9" t="s">
        <v>37</v>
      </c>
      <c r="AN9" t="s">
        <v>798</v>
      </c>
      <c r="AO9" t="s">
        <v>799</v>
      </c>
      <c r="AP9" t="s">
        <v>800</v>
      </c>
      <c r="AQ9" t="s">
        <v>540</v>
      </c>
      <c r="AR9" t="s">
        <v>37</v>
      </c>
      <c r="AS9" t="s">
        <v>801</v>
      </c>
      <c r="AT9" t="s">
        <v>802</v>
      </c>
      <c r="AU9" t="s">
        <v>803</v>
      </c>
      <c r="AV9" t="s">
        <v>804</v>
      </c>
      <c r="AW9" t="s">
        <v>805</v>
      </c>
      <c r="AX9" t="s">
        <v>311</v>
      </c>
      <c r="AY9" t="s">
        <v>216</v>
      </c>
      <c r="AZ9" t="s">
        <v>133</v>
      </c>
      <c r="BA9" t="s">
        <v>42</v>
      </c>
      <c r="BB9" t="s">
        <v>135</v>
      </c>
      <c r="BC9" t="s">
        <v>514</v>
      </c>
      <c r="BD9" t="s">
        <v>217</v>
      </c>
      <c r="BE9" t="s">
        <v>218</v>
      </c>
      <c r="BF9" t="s">
        <v>43</v>
      </c>
      <c r="BG9" t="s">
        <v>136</v>
      </c>
      <c r="BH9" t="s">
        <v>508</v>
      </c>
      <c r="BI9" t="s">
        <v>515</v>
      </c>
      <c r="BJ9" t="s">
        <v>311</v>
      </c>
      <c r="BK9" t="s">
        <v>509</v>
      </c>
      <c r="BL9" t="s">
        <v>313</v>
      </c>
      <c r="BM9" t="s">
        <v>514</v>
      </c>
      <c r="BN9" t="s">
        <v>37</v>
      </c>
      <c r="BO9" t="s">
        <v>37</v>
      </c>
      <c r="BP9" t="s">
        <v>37</v>
      </c>
      <c r="BQ9">
        <v>-20.21</v>
      </c>
      <c r="BR9">
        <v>-30.42</v>
      </c>
      <c r="BS9">
        <v>0</v>
      </c>
      <c r="BT9" t="s">
        <v>293</v>
      </c>
      <c r="BU9" t="s">
        <v>268</v>
      </c>
      <c r="BV9">
        <v>4.74</v>
      </c>
      <c r="BW9">
        <v>10.65</v>
      </c>
      <c r="BX9">
        <v>10.72</v>
      </c>
      <c r="BY9">
        <v>-126.3</v>
      </c>
      <c r="BZ9">
        <v>-116</v>
      </c>
      <c r="CA9">
        <v>-85.76</v>
      </c>
      <c r="CB9">
        <v>1.42</v>
      </c>
      <c r="CC9">
        <v>-26.67</v>
      </c>
      <c r="CD9" t="s">
        <v>806</v>
      </c>
      <c r="CE9" t="s">
        <v>807</v>
      </c>
      <c r="CF9" s="6">
        <v>-0.30674846625766883</v>
      </c>
      <c r="CG9" s="7">
        <v>0.33932636702127661</v>
      </c>
      <c r="CH9" s="6">
        <v>-6.2579818069934845E-2</v>
      </c>
      <c r="CI9" s="6">
        <v>-5.0909090787172318E-2</v>
      </c>
      <c r="CJ9" s="6">
        <v>-0.3834080696105957</v>
      </c>
      <c r="CK9" s="6">
        <v>-0.55190891027450562</v>
      </c>
      <c r="CL9" s="6">
        <v>-0.79775130748748779</v>
      </c>
      <c r="CM9" s="7">
        <v>-6.5146577544510365E-3</v>
      </c>
      <c r="CN9" s="7">
        <v>-0.30453258752822876</v>
      </c>
      <c r="CO9" s="7">
        <v>0.93174129724502563</v>
      </c>
      <c r="CP9" s="7">
        <v>7.5692541897296906E-2</v>
      </c>
      <c r="CQ9" s="7">
        <v>-14.987499237060547</v>
      </c>
      <c r="CR9">
        <v>-1.8579061192940267</v>
      </c>
      <c r="CS9">
        <v>-5.0307299527128181E-2</v>
      </c>
      <c r="CT9">
        <v>0</v>
      </c>
      <c r="CU9" s="6">
        <v>-0.36931143924593923</v>
      </c>
      <c r="CV9" s="7">
        <v>-2.858222528640181</v>
      </c>
      <c r="CW9">
        <v>0.06</v>
      </c>
      <c r="CX9" t="e">
        <v>#VALUE!</v>
      </c>
      <c r="CY9" t="s">
        <v>256</v>
      </c>
      <c r="CZ9">
        <v>-0.36931143924593923</v>
      </c>
      <c r="DA9" t="e">
        <v>#VALUE!</v>
      </c>
      <c r="DB9" t="s">
        <v>257</v>
      </c>
      <c r="DC9">
        <v>-0.35084586728364225</v>
      </c>
      <c r="DD9" t="e">
        <v>#VALUE!</v>
      </c>
      <c r="DE9" t="s">
        <v>257</v>
      </c>
      <c r="DF9">
        <v>-0.32499406653642654</v>
      </c>
      <c r="DG9" t="e">
        <v>#VALUE!</v>
      </c>
      <c r="DH9" t="s">
        <v>257</v>
      </c>
      <c r="DI9">
        <v>-0.29544915139675137</v>
      </c>
      <c r="DJ9" t="e">
        <v>#VALUE!</v>
      </c>
      <c r="DK9" t="s">
        <v>257</v>
      </c>
      <c r="DL9">
        <v>-0.25851800747215747</v>
      </c>
      <c r="DM9">
        <v>-927000000</v>
      </c>
      <c r="DN9">
        <v>-0.36931143924593923</v>
      </c>
      <c r="DO9">
        <v>10508843300</v>
      </c>
      <c r="DP9">
        <v>-78867600</v>
      </c>
      <c r="DQ9">
        <v>414</v>
      </c>
      <c r="DR9">
        <v>6.2562972988270404E-2</v>
      </c>
      <c r="DS9">
        <v>3.1975488956614577</v>
      </c>
      <c r="DT9" s="8">
        <v>-0.89</v>
      </c>
      <c r="DU9">
        <v>-2.4049999999999998</v>
      </c>
      <c r="DV9">
        <v>-3.2949999999999999</v>
      </c>
      <c r="DW9">
        <v>-3.1206726190476188</v>
      </c>
      <c r="DX9">
        <v>0.36912543938898723</v>
      </c>
      <c r="DY9">
        <v>-3.0276491668615058</v>
      </c>
      <c r="DZ9">
        <v>4986</v>
      </c>
      <c r="EA9">
        <v>-3.0006709386870503</v>
      </c>
      <c r="EB9">
        <v>3</v>
      </c>
      <c r="EC9">
        <v>0.11482290985566682</v>
      </c>
      <c r="ED9">
        <v>0.50113556684848015</v>
      </c>
      <c r="EE9" s="9">
        <v>-3.1065100000000001</v>
      </c>
      <c r="EF9">
        <v>-3.1407099999999999</v>
      </c>
      <c r="EG9">
        <v>14.229125439388987</v>
      </c>
      <c r="EH9" t="s">
        <v>808</v>
      </c>
      <c r="EI9">
        <v>0</v>
      </c>
      <c r="EJ9">
        <v>0</v>
      </c>
      <c r="EK9" s="12">
        <v>45470</v>
      </c>
      <c r="EL9" s="13">
        <v>0.65</v>
      </c>
      <c r="EM9" s="13">
        <v>-6.41</v>
      </c>
      <c r="EN9" s="13">
        <v>1.37</v>
      </c>
      <c r="EO9" s="13">
        <v>-1.35</v>
      </c>
      <c r="EP9" s="13">
        <v>-3.42</v>
      </c>
    </row>
    <row r="10" spans="1:146" ht="108" x14ac:dyDescent="0.25">
      <c r="A10" s="10"/>
      <c r="B10" s="10"/>
      <c r="C10" s="10" t="str">
        <f>""&amp;CHAR(10)&amp;Basic_Fundamental_Information_Constructure(F10)&amp;CHAR(10)&amp;Basic_Fundamental_Information_Concatenate("")</f>
        <v xml:space="preserve">
市值7041.2961亿, 利润300.41亿; PE23.1; 平均PE72.42; 平均PEG1.84, PB4.92; ROIC9.9467%; ROE12.5367%; 股利率1.2792%; 毛利16.7567%; 净利3.74%; 上一年度营收增42.03%, 利润增80.73%; 当季营收增3.97%, 利润增10.62%; 过往5年营收增39.41%, 利润增123.78%
Income profile:
</v>
      </c>
      <c r="D10" t="s">
        <v>45</v>
      </c>
      <c r="E10" t="s">
        <v>8</v>
      </c>
      <c r="F10">
        <v>242.03</v>
      </c>
      <c r="G10">
        <v>-1.06</v>
      </c>
      <c r="H10" t="s">
        <v>809</v>
      </c>
      <c r="I10">
        <v>704129610000</v>
      </c>
      <c r="J10">
        <v>23.1</v>
      </c>
      <c r="K10">
        <v>4.92</v>
      </c>
      <c r="L10" t="s">
        <v>35</v>
      </c>
      <c r="M10" t="s">
        <v>517</v>
      </c>
      <c r="N10" t="s">
        <v>810</v>
      </c>
      <c r="O10" t="s">
        <v>518</v>
      </c>
      <c r="P10">
        <v>3.97</v>
      </c>
      <c r="Q10" t="s">
        <v>519</v>
      </c>
      <c r="R10">
        <v>4568793000</v>
      </c>
      <c r="S10" s="5">
        <v>0.1062</v>
      </c>
      <c r="T10" t="s">
        <v>520</v>
      </c>
      <c r="U10">
        <v>1162470570</v>
      </c>
      <c r="V10">
        <v>2909265900</v>
      </c>
      <c r="W10">
        <v>4.37</v>
      </c>
      <c r="X10">
        <v>0.18</v>
      </c>
      <c r="Y10">
        <v>3.82</v>
      </c>
      <c r="Z10" t="s">
        <v>811</v>
      </c>
      <c r="AA10" t="s">
        <v>812</v>
      </c>
      <c r="AB10" t="s">
        <v>813</v>
      </c>
      <c r="AC10" t="s">
        <v>814</v>
      </c>
      <c r="AD10" t="s">
        <v>37</v>
      </c>
      <c r="AE10">
        <v>-193961000</v>
      </c>
      <c r="AF10" t="s">
        <v>521</v>
      </c>
      <c r="AG10" t="s">
        <v>310</v>
      </c>
      <c r="AH10" t="s">
        <v>522</v>
      </c>
      <c r="AI10" t="s">
        <v>815</v>
      </c>
      <c r="AJ10" t="s">
        <v>523</v>
      </c>
      <c r="AK10" t="s">
        <v>37</v>
      </c>
      <c r="AL10" t="s">
        <v>524</v>
      </c>
      <c r="AM10" t="s">
        <v>37</v>
      </c>
      <c r="AN10" t="s">
        <v>816</v>
      </c>
      <c r="AO10" t="s">
        <v>817</v>
      </c>
      <c r="AP10" t="s">
        <v>818</v>
      </c>
      <c r="AQ10" t="s">
        <v>819</v>
      </c>
      <c r="AR10" t="s">
        <v>37</v>
      </c>
      <c r="AS10" t="s">
        <v>820</v>
      </c>
      <c r="AT10" t="s">
        <v>821</v>
      </c>
      <c r="AU10" t="s">
        <v>822</v>
      </c>
      <c r="AV10" t="s">
        <v>823</v>
      </c>
      <c r="AW10" t="s">
        <v>824</v>
      </c>
      <c r="AX10" t="s">
        <v>314</v>
      </c>
      <c r="AY10" t="s">
        <v>219</v>
      </c>
      <c r="AZ10" t="s">
        <v>137</v>
      </c>
      <c r="BA10" t="s">
        <v>46</v>
      </c>
      <c r="BB10" t="s">
        <v>139</v>
      </c>
      <c r="BC10" t="s">
        <v>315</v>
      </c>
      <c r="BD10" t="s">
        <v>220</v>
      </c>
      <c r="BE10" t="s">
        <v>138</v>
      </c>
      <c r="BF10" t="s">
        <v>47</v>
      </c>
      <c r="BG10" t="s">
        <v>140</v>
      </c>
      <c r="BH10" t="s">
        <v>519</v>
      </c>
      <c r="BI10" t="s">
        <v>525</v>
      </c>
      <c r="BJ10" t="s">
        <v>314</v>
      </c>
      <c r="BK10" t="s">
        <v>520</v>
      </c>
      <c r="BL10" t="s">
        <v>526</v>
      </c>
      <c r="BM10" t="s">
        <v>315</v>
      </c>
      <c r="BN10">
        <v>13.67</v>
      </c>
      <c r="BO10">
        <v>12.23</v>
      </c>
      <c r="BP10">
        <v>3.94</v>
      </c>
      <c r="BQ10">
        <v>17.739999999999998</v>
      </c>
      <c r="BR10">
        <v>16.14</v>
      </c>
      <c r="BS10">
        <v>3.73</v>
      </c>
      <c r="BT10" t="s">
        <v>527</v>
      </c>
      <c r="BU10" t="s">
        <v>268</v>
      </c>
      <c r="BV10">
        <v>20.21</v>
      </c>
      <c r="BW10">
        <v>17.04</v>
      </c>
      <c r="BX10">
        <v>13.02</v>
      </c>
      <c r="BY10">
        <v>5.2</v>
      </c>
      <c r="BZ10">
        <v>4.18</v>
      </c>
      <c r="CA10">
        <v>1.84</v>
      </c>
      <c r="CB10">
        <v>-3.28</v>
      </c>
      <c r="CC10">
        <v>12.6</v>
      </c>
      <c r="CD10" t="s">
        <v>825</v>
      </c>
      <c r="CE10" t="s">
        <v>826</v>
      </c>
      <c r="CF10" s="6">
        <v>3.9692445953367614E-2</v>
      </c>
      <c r="CG10" s="7">
        <v>0.10624527845036333</v>
      </c>
      <c r="CH10" s="6">
        <v>0.42034995555877686</v>
      </c>
      <c r="CI10" s="6">
        <v>0.96195554733276367</v>
      </c>
      <c r="CJ10" s="6">
        <v>0.38023483753204346</v>
      </c>
      <c r="CK10" s="6">
        <v>0.22592152655124664</v>
      </c>
      <c r="CL10" s="6">
        <v>-1.7807798460125923E-2</v>
      </c>
      <c r="CM10" s="7">
        <v>0.80730354785919189</v>
      </c>
      <c r="CN10" s="7">
        <v>4.4587850570678711</v>
      </c>
      <c r="CO10" s="7">
        <v>-0.28082194924354553</v>
      </c>
      <c r="CP10" s="7">
        <v>1.6232962608337402</v>
      </c>
      <c r="CQ10" s="7">
        <v>-0.41942447423934937</v>
      </c>
      <c r="CR10">
        <v>72.421449190894137</v>
      </c>
      <c r="CS10">
        <v>1.8374977716276371</v>
      </c>
      <c r="CT10">
        <v>1.2791802669090608</v>
      </c>
      <c r="CU10" s="6">
        <v>0.39413081370294095</v>
      </c>
      <c r="CV10" s="7">
        <v>1.2378276884555817</v>
      </c>
      <c r="CW10">
        <v>0.06</v>
      </c>
      <c r="CX10">
        <v>27.290715129422615</v>
      </c>
      <c r="CY10">
        <v>39510456390.990616</v>
      </c>
      <c r="CZ10">
        <v>0.39413081370294095</v>
      </c>
      <c r="DA10">
        <v>6.9590078088741958</v>
      </c>
      <c r="DB10">
        <v>154945739337.2919</v>
      </c>
      <c r="DC10">
        <v>0.37442427301779391</v>
      </c>
      <c r="DD10">
        <v>2.3830218636050615</v>
      </c>
      <c r="DE10">
        <v>452479528815.05811</v>
      </c>
      <c r="DF10">
        <v>0.34683511605858802</v>
      </c>
      <c r="DG10">
        <v>0.9102696052557292</v>
      </c>
      <c r="DH10">
        <v>1184559611541.7625</v>
      </c>
      <c r="DI10">
        <v>0.31530465096235277</v>
      </c>
      <c r="DJ10">
        <v>0.15277987682643668</v>
      </c>
      <c r="DK10">
        <v>7057661207731.8994</v>
      </c>
      <c r="DL10">
        <v>0.27589156959205863</v>
      </c>
      <c r="DM10">
        <v>30041000000.000004</v>
      </c>
      <c r="DN10">
        <v>0.39413081370294095</v>
      </c>
      <c r="DO10">
        <v>1078268610000</v>
      </c>
      <c r="DP10">
        <v>-151187230000.00006</v>
      </c>
      <c r="DQ10">
        <v>1087</v>
      </c>
      <c r="DR10">
        <v>-0.35443836774957332</v>
      </c>
      <c r="DS10">
        <v>-1.1315824100052183</v>
      </c>
      <c r="DT10" s="8">
        <v>0.27666666666666662</v>
      </c>
      <c r="DU10">
        <v>0.71666666666666667</v>
      </c>
      <c r="DV10">
        <v>0.99333333333333329</v>
      </c>
      <c r="DW10">
        <v>-6.2065491183879091</v>
      </c>
      <c r="DX10">
        <v>0.33327619047619206</v>
      </c>
      <c r="DY10">
        <v>-6.023397097277198</v>
      </c>
      <c r="DZ10">
        <v>211</v>
      </c>
      <c r="EA10">
        <v>-6.0224309940432468</v>
      </c>
      <c r="EB10">
        <v>6</v>
      </c>
      <c r="EC10">
        <v>1.7988592929920912E-2</v>
      </c>
      <c r="ED10">
        <v>0.15880294750644827</v>
      </c>
      <c r="EE10" s="9">
        <v>-2.07891</v>
      </c>
      <c r="EF10">
        <v>-2.0916100000000002</v>
      </c>
      <c r="EG10">
        <v>22.113276190476192</v>
      </c>
      <c r="EH10" t="s">
        <v>516</v>
      </c>
      <c r="EI10">
        <v>0</v>
      </c>
      <c r="EJ10">
        <v>1</v>
      </c>
      <c r="EK10" s="12">
        <v>45470</v>
      </c>
      <c r="EL10" s="13">
        <v>-0.33</v>
      </c>
      <c r="EM10" s="13">
        <v>-0.28999999999999998</v>
      </c>
      <c r="EN10" s="13">
        <v>1.63</v>
      </c>
      <c r="EO10" s="13">
        <v>-0.51</v>
      </c>
      <c r="EP10" s="13">
        <v>-1.27</v>
      </c>
    </row>
    <row r="11" spans="1:146" ht="96" x14ac:dyDescent="0.25">
      <c r="A11" s="10"/>
      <c r="B11" s="10"/>
      <c r="C11" s="10" t="str">
        <f>""&amp;CHAR(10)&amp;Basic_Fundamental_Information_Constructure(F11)&amp;CHAR(10)&amp;Basic_Fundamental_Information_Concatenate("")</f>
        <v xml:space="preserve">
市值154.61526亿, 利润-3219.04万; PE6.9; 平均PE16.79; 平均PEG.86, PB1.1; ROIC10.02%; ROE11.3633%; 股利率0%; 毛利14.42%; 净利6.0133%; 上一年度营收增-97.35%, 利润增-102.88%; 当季营收增3023.03%, 利润增6322.46%; 过往5年营收增-19.63%, 利润增-20.89%
Income profile:
</v>
      </c>
      <c r="D11" t="s">
        <v>191</v>
      </c>
      <c r="E11" t="s">
        <v>192</v>
      </c>
      <c r="F11">
        <v>8.25</v>
      </c>
      <c r="G11">
        <v>0</v>
      </c>
      <c r="H11" t="s">
        <v>827</v>
      </c>
      <c r="I11">
        <v>15461526000</v>
      </c>
      <c r="J11">
        <v>6.9</v>
      </c>
      <c r="K11">
        <v>1.1000000000000001</v>
      </c>
      <c r="L11" t="s">
        <v>35</v>
      </c>
      <c r="M11" t="s">
        <v>528</v>
      </c>
      <c r="N11" t="s">
        <v>828</v>
      </c>
      <c r="O11" t="s">
        <v>529</v>
      </c>
      <c r="P11">
        <v>-21.73</v>
      </c>
      <c r="Q11" t="s">
        <v>829</v>
      </c>
      <c r="R11">
        <v>264887890</v>
      </c>
      <c r="S11" s="5">
        <v>-0.4476</v>
      </c>
      <c r="T11" t="s">
        <v>830</v>
      </c>
      <c r="U11">
        <v>725236530</v>
      </c>
      <c r="V11">
        <v>1874124400</v>
      </c>
      <c r="W11">
        <v>1.58</v>
      </c>
      <c r="X11">
        <v>0.21</v>
      </c>
      <c r="Y11">
        <v>5.23</v>
      </c>
      <c r="Z11" t="s">
        <v>831</v>
      </c>
      <c r="AA11" t="s">
        <v>832</v>
      </c>
      <c r="AB11" t="s">
        <v>585</v>
      </c>
      <c r="AC11" t="s">
        <v>792</v>
      </c>
      <c r="AD11" t="s">
        <v>37</v>
      </c>
      <c r="AE11">
        <v>-42199971</v>
      </c>
      <c r="AF11" t="s">
        <v>533</v>
      </c>
      <c r="AG11" t="s">
        <v>833</v>
      </c>
      <c r="AH11" t="s">
        <v>534</v>
      </c>
      <c r="AI11" t="s">
        <v>834</v>
      </c>
      <c r="AJ11" t="s">
        <v>535</v>
      </c>
      <c r="AK11" t="s">
        <v>597</v>
      </c>
      <c r="AL11" t="s">
        <v>536</v>
      </c>
      <c r="AM11" t="s">
        <v>37</v>
      </c>
      <c r="AN11" t="s">
        <v>835</v>
      </c>
      <c r="AO11" t="s">
        <v>836</v>
      </c>
      <c r="AP11" t="s">
        <v>837</v>
      </c>
      <c r="AQ11" t="s">
        <v>838</v>
      </c>
      <c r="AR11" t="s">
        <v>839</v>
      </c>
      <c r="AS11" t="s">
        <v>840</v>
      </c>
      <c r="AT11" t="s">
        <v>841</v>
      </c>
      <c r="AU11" t="s">
        <v>842</v>
      </c>
      <c r="AV11" t="s">
        <v>843</v>
      </c>
      <c r="AW11" t="s">
        <v>93</v>
      </c>
      <c r="AX11" t="s">
        <v>316</v>
      </c>
      <c r="AY11" t="s">
        <v>221</v>
      </c>
      <c r="AZ11" t="s">
        <v>193</v>
      </c>
      <c r="BA11" t="s">
        <v>195</v>
      </c>
      <c r="BB11" t="s">
        <v>196</v>
      </c>
      <c r="BC11" t="s">
        <v>271</v>
      </c>
      <c r="BD11" t="s">
        <v>222</v>
      </c>
      <c r="BE11" t="s">
        <v>194</v>
      </c>
      <c r="BF11" t="s">
        <v>197</v>
      </c>
      <c r="BG11" t="s">
        <v>198</v>
      </c>
      <c r="BH11" t="s">
        <v>530</v>
      </c>
      <c r="BI11" t="s">
        <v>844</v>
      </c>
      <c r="BJ11" t="s">
        <v>316</v>
      </c>
      <c r="BK11" t="s">
        <v>531</v>
      </c>
      <c r="BL11" t="s">
        <v>845</v>
      </c>
      <c r="BM11" t="s">
        <v>271</v>
      </c>
      <c r="BN11">
        <v>14.61</v>
      </c>
      <c r="BO11">
        <v>7.81</v>
      </c>
      <c r="BP11">
        <v>7.64</v>
      </c>
      <c r="BQ11">
        <v>16.62</v>
      </c>
      <c r="BR11">
        <v>9.18</v>
      </c>
      <c r="BS11">
        <v>8.2899999999999991</v>
      </c>
      <c r="BT11" t="s">
        <v>293</v>
      </c>
      <c r="BU11" t="s">
        <v>267</v>
      </c>
      <c r="BV11">
        <v>18.96</v>
      </c>
      <c r="BW11">
        <v>13.28</v>
      </c>
      <c r="BX11">
        <v>11.02</v>
      </c>
      <c r="BY11">
        <v>9.76</v>
      </c>
      <c r="BZ11">
        <v>4.71</v>
      </c>
      <c r="CA11">
        <v>3.57</v>
      </c>
      <c r="CB11">
        <v>-4.07</v>
      </c>
      <c r="CC11">
        <v>-12.7</v>
      </c>
      <c r="CD11" t="s">
        <v>846</v>
      </c>
      <c r="CE11" t="s">
        <v>847</v>
      </c>
      <c r="CF11" s="6">
        <v>30.23030303030303</v>
      </c>
      <c r="CG11" s="7">
        <v>63.224587818834252</v>
      </c>
      <c r="CH11" s="6">
        <v>-0.97354048490524292</v>
      </c>
      <c r="CI11" s="6">
        <v>-0.14565251767635345</v>
      </c>
      <c r="CJ11" s="6">
        <v>4.3360114097595215E-2</v>
      </c>
      <c r="CK11" s="6">
        <v>0.1330653578042984</v>
      </c>
      <c r="CL11" s="6">
        <v>-3.8798198103904724E-2</v>
      </c>
      <c r="CM11" s="7">
        <v>-1.0287927389144897</v>
      </c>
      <c r="CN11" s="7">
        <v>0.2408435046672821</v>
      </c>
      <c r="CO11" s="7">
        <v>-0.20406360924243927</v>
      </c>
      <c r="CP11" s="7">
        <v>-6.523539125919342E-2</v>
      </c>
      <c r="CQ11" s="7">
        <v>1.2541859410703182E-2</v>
      </c>
      <c r="CR11">
        <v>16.788337404893575</v>
      </c>
      <c r="CS11">
        <v>0.85518151829212208</v>
      </c>
      <c r="CT11">
        <v>0</v>
      </c>
      <c r="CU11" s="6">
        <v>-0.19631314575672149</v>
      </c>
      <c r="CV11" s="7">
        <v>-0.20894127506762744</v>
      </c>
      <c r="CW11">
        <v>0.06</v>
      </c>
      <c r="CX11" t="e">
        <v>#VALUE!</v>
      </c>
      <c r="CY11" t="s">
        <v>257</v>
      </c>
      <c r="CZ11">
        <v>-0.19631314575672149</v>
      </c>
      <c r="DA11" t="e">
        <v>#VALUE!</v>
      </c>
      <c r="DB11" t="s">
        <v>257</v>
      </c>
      <c r="DC11">
        <v>-0.18649748846888539</v>
      </c>
      <c r="DD11" t="e">
        <v>#VALUE!</v>
      </c>
      <c r="DE11" t="s">
        <v>257</v>
      </c>
      <c r="DF11">
        <v>-0.1727555682659149</v>
      </c>
      <c r="DG11" t="e">
        <v>#VALUE!</v>
      </c>
      <c r="DH11" t="s">
        <v>257</v>
      </c>
      <c r="DI11">
        <v>-0.15705051660537719</v>
      </c>
      <c r="DJ11" t="e">
        <v>#VALUE!</v>
      </c>
      <c r="DK11" t="s">
        <v>257</v>
      </c>
      <c r="DL11">
        <v>-0.13741920202970503</v>
      </c>
      <c r="DM11">
        <v>-32190400</v>
      </c>
      <c r="DN11">
        <v>-0.19631314575672149</v>
      </c>
      <c r="DO11">
        <v>8124526000</v>
      </c>
      <c r="DP11">
        <v>9145128000</v>
      </c>
      <c r="DQ11">
        <v>2487</v>
      </c>
      <c r="DR11">
        <v>30.426616176059753</v>
      </c>
      <c r="DS11">
        <v>63.433529093901882</v>
      </c>
      <c r="DT11" s="8">
        <v>-0.77333333333333332</v>
      </c>
      <c r="DU11">
        <v>-0.95333333333333348</v>
      </c>
      <c r="DV11">
        <v>-1.7266666666666668</v>
      </c>
      <c r="DW11">
        <v>-8.3204724409448811</v>
      </c>
      <c r="DX11">
        <v>0.33361242774566408</v>
      </c>
      <c r="DY11">
        <v>-8.0428191008602248</v>
      </c>
      <c r="DZ11">
        <v>4230</v>
      </c>
      <c r="EA11">
        <v>-8.007373935177494</v>
      </c>
      <c r="EB11">
        <v>8</v>
      </c>
      <c r="EC11">
        <v>2.466746604440986E-2</v>
      </c>
      <c r="ED11">
        <v>0.18461954820074911</v>
      </c>
      <c r="EE11" s="9">
        <v>9.3100000000000023E-3</v>
      </c>
      <c r="EF11">
        <v>1.0000000000000009E-3</v>
      </c>
      <c r="EG11">
        <v>20.133612427745664</v>
      </c>
      <c r="EH11" t="s">
        <v>272</v>
      </c>
      <c r="EI11">
        <v>0</v>
      </c>
      <c r="EJ11">
        <v>0</v>
      </c>
      <c r="EK11" s="12">
        <v>45470</v>
      </c>
      <c r="EL11" s="13">
        <v>0.19</v>
      </c>
      <c r="EM11" s="13">
        <v>-6.4</v>
      </c>
      <c r="EN11" s="13">
        <v>-4.07</v>
      </c>
      <c r="EO11" s="13">
        <v>3.32</v>
      </c>
      <c r="EP11" s="13">
        <v>1.03</v>
      </c>
    </row>
    <row r="12" spans="1:146" ht="96" x14ac:dyDescent="0.25">
      <c r="A12" s="10"/>
      <c r="B12" s="10"/>
      <c r="C12" s="10" t="str">
        <f>""&amp;CHAR(10)&amp;Basic_Fundamental_Information_Constructure(F12)&amp;CHAR(10)&amp;Basic_Fundamental_Information_Concatenate("")</f>
        <v xml:space="preserve">
市值127亿, 利润12.59亿; PE51.94; 平均PE16.45; 平均PEG.68, PB1.5; ROIC1.6%; ROE2.89%; 股利率.474%; 毛利7.8233%; 净利2.1867%; 上一年度营收增-67.56%, 利润增341.75%; 当季营收增243.01%, 利润增-56.21%; 过往5年营收增-24.08%, 利润增341.75%
Income profile:
</v>
      </c>
      <c r="D12" t="s">
        <v>67</v>
      </c>
      <c r="E12" t="s">
        <v>13</v>
      </c>
      <c r="F12">
        <v>6.35</v>
      </c>
      <c r="G12">
        <v>1.44</v>
      </c>
      <c r="H12" t="s">
        <v>848</v>
      </c>
      <c r="I12">
        <v>12700000000</v>
      </c>
      <c r="J12">
        <v>51.94</v>
      </c>
      <c r="K12">
        <v>1.5</v>
      </c>
      <c r="L12" t="s">
        <v>35</v>
      </c>
      <c r="M12" t="s">
        <v>537</v>
      </c>
      <c r="N12" t="s">
        <v>849</v>
      </c>
      <c r="O12" t="s">
        <v>538</v>
      </c>
      <c r="P12">
        <v>24.61</v>
      </c>
      <c r="Q12" t="s">
        <v>850</v>
      </c>
      <c r="R12">
        <v>140115600</v>
      </c>
      <c r="S12" s="5">
        <v>0.46510000000000001</v>
      </c>
      <c r="T12" t="s">
        <v>851</v>
      </c>
      <c r="U12">
        <v>2000000000</v>
      </c>
      <c r="V12">
        <v>2000000000</v>
      </c>
      <c r="W12">
        <v>2.23</v>
      </c>
      <c r="X12" t="s">
        <v>37</v>
      </c>
      <c r="Y12">
        <v>4.2699999999999996</v>
      </c>
      <c r="Z12" t="s">
        <v>37</v>
      </c>
      <c r="AA12" t="s">
        <v>37</v>
      </c>
      <c r="AB12" t="s">
        <v>37</v>
      </c>
      <c r="AC12" t="s">
        <v>37</v>
      </c>
      <c r="AD12" t="s">
        <v>37</v>
      </c>
      <c r="AE12">
        <v>-24446468</v>
      </c>
      <c r="AF12" t="s">
        <v>541</v>
      </c>
      <c r="AG12" t="s">
        <v>852</v>
      </c>
      <c r="AH12" t="s">
        <v>542</v>
      </c>
      <c r="AI12" t="s">
        <v>853</v>
      </c>
      <c r="AJ12" t="s">
        <v>543</v>
      </c>
      <c r="AK12" t="s">
        <v>37</v>
      </c>
      <c r="AL12" t="s">
        <v>544</v>
      </c>
      <c r="AM12" t="s">
        <v>37</v>
      </c>
      <c r="AN12" t="s">
        <v>854</v>
      </c>
      <c r="AO12" t="s">
        <v>37</v>
      </c>
      <c r="AP12" t="s">
        <v>855</v>
      </c>
      <c r="AQ12" t="s">
        <v>856</v>
      </c>
      <c r="AR12" t="s">
        <v>37</v>
      </c>
      <c r="AS12" t="s">
        <v>37</v>
      </c>
      <c r="AT12" t="s">
        <v>37</v>
      </c>
      <c r="AU12" t="s">
        <v>857</v>
      </c>
      <c r="AV12" t="s">
        <v>858</v>
      </c>
      <c r="AW12" t="s">
        <v>859</v>
      </c>
      <c r="AX12" t="s">
        <v>318</v>
      </c>
      <c r="AY12" t="s">
        <v>37</v>
      </c>
      <c r="AZ12" t="s">
        <v>141</v>
      </c>
      <c r="BA12" t="s">
        <v>68</v>
      </c>
      <c r="BB12" t="s">
        <v>143</v>
      </c>
      <c r="BC12" t="s">
        <v>319</v>
      </c>
      <c r="BD12" t="s">
        <v>37</v>
      </c>
      <c r="BE12" t="s">
        <v>37</v>
      </c>
      <c r="BF12" t="s">
        <v>37</v>
      </c>
      <c r="BG12" t="s">
        <v>37</v>
      </c>
      <c r="BH12" t="s">
        <v>539</v>
      </c>
      <c r="BI12" t="s">
        <v>860</v>
      </c>
      <c r="BJ12" t="s">
        <v>318</v>
      </c>
      <c r="BK12" t="s">
        <v>227</v>
      </c>
      <c r="BL12" t="s">
        <v>861</v>
      </c>
      <c r="BM12" t="s">
        <v>319</v>
      </c>
      <c r="BN12">
        <v>-0.28999999999999998</v>
      </c>
      <c r="BO12">
        <v>1.59</v>
      </c>
      <c r="BP12">
        <v>3.5</v>
      </c>
      <c r="BQ12">
        <v>0.46</v>
      </c>
      <c r="BR12">
        <v>3.52</v>
      </c>
      <c r="BS12">
        <v>4.6900000000000004</v>
      </c>
      <c r="BT12" t="s">
        <v>546</v>
      </c>
      <c r="BU12" t="s">
        <v>267</v>
      </c>
      <c r="BV12">
        <v>4.26</v>
      </c>
      <c r="BW12">
        <v>8.73</v>
      </c>
      <c r="BX12">
        <v>10.48</v>
      </c>
      <c r="BY12">
        <v>1.68</v>
      </c>
      <c r="BZ12">
        <v>2.42</v>
      </c>
      <c r="CA12">
        <v>2.46</v>
      </c>
      <c r="CB12">
        <v>-0.63</v>
      </c>
      <c r="CC12">
        <v>-11.56</v>
      </c>
      <c r="CD12" t="s">
        <v>341</v>
      </c>
      <c r="CE12" t="s">
        <v>862</v>
      </c>
      <c r="CF12" s="6">
        <v>2.4300626304801671</v>
      </c>
      <c r="CG12" s="7">
        <v>-0.56213875000000002</v>
      </c>
      <c r="CH12" s="6">
        <v>-0.67563575506210327</v>
      </c>
      <c r="CI12" s="6" t="s">
        <v>37</v>
      </c>
      <c r="CJ12" s="6" t="s">
        <v>37</v>
      </c>
      <c r="CK12" s="6">
        <v>1.5754451975226402E-2</v>
      </c>
      <c r="CL12" s="6">
        <v>-6.2478341162204742E-2</v>
      </c>
      <c r="CM12" s="7">
        <v>3.4175441265106201</v>
      </c>
      <c r="CN12" s="7" t="s">
        <v>37</v>
      </c>
      <c r="CO12" s="7" t="s">
        <v>37</v>
      </c>
      <c r="CP12" s="7" t="s">
        <v>37</v>
      </c>
      <c r="CQ12" s="7" t="s">
        <v>37</v>
      </c>
      <c r="CR12">
        <v>16.45077720207254</v>
      </c>
      <c r="CS12">
        <v>0.68320997717862697</v>
      </c>
      <c r="CT12">
        <v>0.4740157480314961</v>
      </c>
      <c r="CU12" s="6">
        <v>-0.24078654808302721</v>
      </c>
      <c r="CV12" s="7">
        <v>3.4175441265106201</v>
      </c>
      <c r="CW12">
        <v>0.06</v>
      </c>
      <c r="CX12">
        <v>11.545671167593328</v>
      </c>
      <c r="CY12" t="s">
        <v>863</v>
      </c>
      <c r="CZ12">
        <v>-0.24078654808302721</v>
      </c>
      <c r="DA12">
        <v>3.8485570558644429</v>
      </c>
      <c r="DB12" t="s">
        <v>864</v>
      </c>
      <c r="DC12">
        <v>-0.22874722067887585</v>
      </c>
      <c r="DD12">
        <v>1.9242785279322214</v>
      </c>
      <c r="DE12" t="s">
        <v>865</v>
      </c>
      <c r="DF12">
        <v>-0.21189216231306396</v>
      </c>
      <c r="DG12">
        <v>1.1545671167593328</v>
      </c>
      <c r="DH12" t="s">
        <v>866</v>
      </c>
      <c r="DI12">
        <v>-0.19262923846642177</v>
      </c>
      <c r="DJ12">
        <v>0.57728355837966638</v>
      </c>
      <c r="DK12" t="s">
        <v>867</v>
      </c>
      <c r="DL12">
        <v>-0.16855058365811904</v>
      </c>
      <c r="DM12">
        <v>1259000000</v>
      </c>
      <c r="DN12">
        <v>-0.24078654808302721</v>
      </c>
      <c r="DO12">
        <v>14536000000</v>
      </c>
      <c r="DP12">
        <v>14536508000</v>
      </c>
      <c r="DQ12">
        <v>2848</v>
      </c>
      <c r="DR12">
        <v>2.6708491785631945</v>
      </c>
      <c r="DS12">
        <v>-3.97968287651062</v>
      </c>
      <c r="DT12" s="8">
        <v>-1.1599999999999999</v>
      </c>
      <c r="DU12">
        <v>0.23999999999999988</v>
      </c>
      <c r="DV12">
        <v>-0.92</v>
      </c>
      <c r="DW12">
        <v>-2.1156000000000001</v>
      </c>
      <c r="DX12">
        <v>0.44941176470588545</v>
      </c>
      <c r="DY12">
        <v>-2.0149599999999999</v>
      </c>
      <c r="DZ12">
        <v>4586</v>
      </c>
      <c r="EA12">
        <v>-2.0015340587084149</v>
      </c>
      <c r="EB12">
        <v>2</v>
      </c>
      <c r="EC12">
        <v>6.0499999999999998E-2</v>
      </c>
      <c r="ED12">
        <v>0.46750000000000003</v>
      </c>
      <c r="EE12" s="9">
        <v>1.0156099999999999</v>
      </c>
      <c r="EF12">
        <v>1.0198100000000001</v>
      </c>
      <c r="EG12">
        <v>32.129411764705885</v>
      </c>
      <c r="EH12" t="s">
        <v>294</v>
      </c>
      <c r="EI12">
        <v>0</v>
      </c>
      <c r="EJ12">
        <v>0</v>
      </c>
      <c r="EK12" s="12">
        <v>45470</v>
      </c>
      <c r="EL12" s="13">
        <v>-0.73</v>
      </c>
      <c r="EM12" s="13">
        <v>-0.94</v>
      </c>
      <c r="EN12" s="13">
        <v>-0.42</v>
      </c>
      <c r="EO12" s="13">
        <v>0.64</v>
      </c>
      <c r="EP12" s="13">
        <v>-0.42</v>
      </c>
    </row>
    <row r="13" spans="1:146" ht="178.5" customHeight="1" x14ac:dyDescent="0.25">
      <c r="A13" s="10" t="s">
        <v>263</v>
      </c>
      <c r="B13" s="10" t="s">
        <v>264</v>
      </c>
      <c r="C13" s="10" t="str">
        <f>"公司的主营业务为客车产品研发、制造与销售。主要产品可满足5米至18米不同长度的市场需求。公司拥有众多完整产品链，主要用于公路客运、旅游客运、公交客运、团体通勤、校车、景区车、机场摆渡车、自动驾驶微循环车、客车专用车等各个细分市场。公司大中型客车的产销量稳居行业第一,继续保持行业龙头地位。"&amp;CHAR(10)&amp;Basic_Fundamental_Information_Constructure(C13)&amp;CHAR(10)&amp;Basic_Fundamental_Information_Concatenate("客车产品 198.46亿 85.42% 83.79% 18.29%
其他业务 33.87亿 14.58% 16.21% 20.74%")</f>
        <v>公司的主营业务为客车产品研发、制造与销售。主要产品可满足5米至18米不同长度的市场需求。公司拥有众多完整产品链，主要用于公路客运、旅游客运、公交客运、团体通勤、校车、景区车、机场摆渡车、自动驾驶微循环车、客车专用车等各个细分市场。公司大中型客车的产销量稳居行业第一,继续保持行业龙头地位。
市值572.74608亿, 利润18.17亿; PE24.33; 平均PE43.23; 平均PEG27.54, PB3.94; ROIC3.74%; ROE4.16%; 股利率5.7982%; 毛利21.4833%; 净利3.94%; 上一年度营收增24.05%, 利润增139.39%; 当季营收增85.01%, 利润增443.02%; 过往5年营收增-1.57%, 利润增18.59%
Income profile:
客车产品 198.46亿 85.42% 83.79% 18.29%
其他业务 33.87亿 14.58% 16.21% 20.74%</v>
      </c>
      <c r="D13" t="s">
        <v>82</v>
      </c>
      <c r="E13" t="s">
        <v>12</v>
      </c>
      <c r="F13">
        <v>24.56</v>
      </c>
      <c r="G13">
        <v>0</v>
      </c>
      <c r="H13" t="s">
        <v>868</v>
      </c>
      <c r="I13">
        <v>54374347000</v>
      </c>
      <c r="J13">
        <v>23.1</v>
      </c>
      <c r="K13">
        <v>3.74</v>
      </c>
      <c r="L13" t="s">
        <v>35</v>
      </c>
      <c r="M13" t="s">
        <v>547</v>
      </c>
      <c r="N13" t="s">
        <v>869</v>
      </c>
      <c r="O13" t="s">
        <v>548</v>
      </c>
      <c r="P13">
        <v>85.01</v>
      </c>
      <c r="Q13" t="s">
        <v>870</v>
      </c>
      <c r="R13">
        <v>657054860</v>
      </c>
      <c r="S13" s="5">
        <v>4.4509999999999996</v>
      </c>
      <c r="T13" t="s">
        <v>871</v>
      </c>
      <c r="U13">
        <v>2213939200</v>
      </c>
      <c r="V13">
        <v>2213939200</v>
      </c>
      <c r="W13">
        <v>2.19</v>
      </c>
      <c r="X13" t="s">
        <v>37</v>
      </c>
      <c r="Y13">
        <v>10.029999999999999</v>
      </c>
      <c r="Z13" t="s">
        <v>37</v>
      </c>
      <c r="AA13" t="s">
        <v>37</v>
      </c>
      <c r="AB13" t="s">
        <v>37</v>
      </c>
      <c r="AC13" t="s">
        <v>37</v>
      </c>
      <c r="AD13" t="s">
        <v>37</v>
      </c>
      <c r="AE13">
        <v>-34935301</v>
      </c>
      <c r="AF13" t="s">
        <v>551</v>
      </c>
      <c r="AG13" t="s">
        <v>872</v>
      </c>
      <c r="AH13" t="s">
        <v>552</v>
      </c>
      <c r="AI13" t="s">
        <v>873</v>
      </c>
      <c r="AJ13" t="s">
        <v>553</v>
      </c>
      <c r="AK13" t="s">
        <v>37</v>
      </c>
      <c r="AL13" t="s">
        <v>554</v>
      </c>
      <c r="AM13" t="s">
        <v>37</v>
      </c>
      <c r="AN13" t="s">
        <v>874</v>
      </c>
      <c r="AO13" t="s">
        <v>37</v>
      </c>
      <c r="AP13" t="s">
        <v>875</v>
      </c>
      <c r="AQ13" t="s">
        <v>876</v>
      </c>
      <c r="AR13" t="s">
        <v>877</v>
      </c>
      <c r="AS13" t="s">
        <v>37</v>
      </c>
      <c r="AT13" t="s">
        <v>37</v>
      </c>
      <c r="AU13" t="s">
        <v>878</v>
      </c>
      <c r="AV13" t="s">
        <v>879</v>
      </c>
      <c r="AW13">
        <v>2000</v>
      </c>
      <c r="AX13" t="s">
        <v>321</v>
      </c>
      <c r="AY13" t="s">
        <v>37</v>
      </c>
      <c r="AZ13" t="s">
        <v>144</v>
      </c>
      <c r="BA13" t="s">
        <v>145</v>
      </c>
      <c r="BB13" t="s">
        <v>146</v>
      </c>
      <c r="BC13" t="s">
        <v>322</v>
      </c>
      <c r="BD13" t="s">
        <v>37</v>
      </c>
      <c r="BE13" t="s">
        <v>37</v>
      </c>
      <c r="BF13" t="s">
        <v>37</v>
      </c>
      <c r="BG13" t="s">
        <v>37</v>
      </c>
      <c r="BH13" t="s">
        <v>549</v>
      </c>
      <c r="BI13" t="s">
        <v>880</v>
      </c>
      <c r="BJ13" t="s">
        <v>321</v>
      </c>
      <c r="BK13" t="s">
        <v>550</v>
      </c>
      <c r="BL13" t="s">
        <v>881</v>
      </c>
      <c r="BM13" t="s">
        <v>322</v>
      </c>
      <c r="BN13">
        <v>7.21</v>
      </c>
      <c r="BO13">
        <v>4.67</v>
      </c>
      <c r="BP13">
        <v>3.55</v>
      </c>
      <c r="BQ13">
        <v>7.5</v>
      </c>
      <c r="BR13">
        <v>5.15</v>
      </c>
      <c r="BS13">
        <v>4.0599999999999996</v>
      </c>
      <c r="BT13" t="s">
        <v>555</v>
      </c>
      <c r="BU13" t="s">
        <v>269</v>
      </c>
      <c r="BV13">
        <v>25.65</v>
      </c>
      <c r="BW13">
        <v>22.83</v>
      </c>
      <c r="BX13">
        <v>18.649999999999999</v>
      </c>
      <c r="BY13">
        <v>6.8</v>
      </c>
      <c r="BZ13">
        <v>3.52</v>
      </c>
      <c r="CA13">
        <v>2.69</v>
      </c>
      <c r="CB13">
        <v>-4.8099999999999996</v>
      </c>
      <c r="CC13">
        <v>0.08</v>
      </c>
      <c r="CD13" t="s">
        <v>882</v>
      </c>
      <c r="CE13" t="s">
        <v>114</v>
      </c>
      <c r="CF13" s="6">
        <v>2.3963039014373715</v>
      </c>
      <c r="CG13" s="7">
        <v>59.768982943212613</v>
      </c>
      <c r="CH13" s="6">
        <v>-0.5540621280670166</v>
      </c>
      <c r="CI13" s="6" t="s">
        <v>37</v>
      </c>
      <c r="CJ13" s="6" t="s">
        <v>37</v>
      </c>
      <c r="CK13" s="6">
        <v>-0.28817391395568848</v>
      </c>
      <c r="CL13" s="6">
        <v>-3.9501059800386429E-2</v>
      </c>
      <c r="CM13" s="7">
        <v>-1.5862977504730225</v>
      </c>
      <c r="CN13" s="7" t="s">
        <v>37</v>
      </c>
      <c r="CO13" s="7" t="s">
        <v>37</v>
      </c>
      <c r="CP13" s="7" t="s">
        <v>37</v>
      </c>
      <c r="CQ13" s="7" t="s">
        <v>37</v>
      </c>
      <c r="CR13">
        <v>346.33342038216563</v>
      </c>
      <c r="CS13">
        <v>11.783560644076857</v>
      </c>
      <c r="CT13">
        <v>6.1074918566775249</v>
      </c>
      <c r="CU13" s="6">
        <v>-0.29391236727436382</v>
      </c>
      <c r="CV13" s="7">
        <v>-1.5862977504730225</v>
      </c>
      <c r="CW13">
        <v>0.06</v>
      </c>
      <c r="CX13" t="e">
        <v>#VALUE!</v>
      </c>
      <c r="CY13" t="s">
        <v>257</v>
      </c>
      <c r="CZ13">
        <v>-0.29391236727436382</v>
      </c>
      <c r="DA13" t="e">
        <v>#VALUE!</v>
      </c>
      <c r="DB13" t="s">
        <v>257</v>
      </c>
      <c r="DC13">
        <v>-0.27921674891064563</v>
      </c>
      <c r="DD13" t="e">
        <v>#VALUE!</v>
      </c>
      <c r="DE13" t="s">
        <v>257</v>
      </c>
      <c r="DF13">
        <v>-0.25864288320144019</v>
      </c>
      <c r="DG13" t="e">
        <v>#VALUE!</v>
      </c>
      <c r="DH13" t="s">
        <v>257</v>
      </c>
      <c r="DI13">
        <v>-0.23512989381949106</v>
      </c>
      <c r="DJ13" t="e">
        <v>#VALUE!</v>
      </c>
      <c r="DK13" t="s">
        <v>257</v>
      </c>
      <c r="DL13">
        <v>-0.20573865709205466</v>
      </c>
      <c r="DM13">
        <v>-445000000</v>
      </c>
      <c r="DN13">
        <v>-0.29391236727436382</v>
      </c>
      <c r="DO13">
        <v>56477347000</v>
      </c>
      <c r="DP13">
        <v>21696440000</v>
      </c>
      <c r="DQ13">
        <v>2894</v>
      </c>
      <c r="DR13">
        <v>2.6902162687117355</v>
      </c>
      <c r="DS13">
        <v>61.355280693685636</v>
      </c>
      <c r="DT13" s="8">
        <v>-0.91</v>
      </c>
      <c r="DU13">
        <v>-3.57</v>
      </c>
      <c r="DV13">
        <v>-4.4799999999999995</v>
      </c>
      <c r="DW13">
        <v>-4.0166320166320171</v>
      </c>
      <c r="DX13">
        <v>0.33344126872246777</v>
      </c>
      <c r="DY13">
        <v>-4.0022193974007898</v>
      </c>
      <c r="DZ13">
        <v>2271</v>
      </c>
      <c r="EA13">
        <v>-4.0012330468142547</v>
      </c>
      <c r="EB13">
        <v>4</v>
      </c>
      <c r="EC13">
        <v>4.1046068473786453E-2</v>
      </c>
      <c r="ED13">
        <v>0.30759652297587936</v>
      </c>
      <c r="EE13" s="9">
        <v>-1.01831</v>
      </c>
      <c r="EF13">
        <v>-1.0200100000000001</v>
      </c>
      <c r="EG13">
        <v>20.133441268722468</v>
      </c>
      <c r="EH13" t="s">
        <v>259</v>
      </c>
      <c r="EI13">
        <v>0</v>
      </c>
      <c r="EJ13">
        <v>0</v>
      </c>
      <c r="EK13" s="12">
        <v>45470</v>
      </c>
      <c r="EL13" s="13">
        <v>0.5</v>
      </c>
      <c r="EM13" s="13">
        <v>-2.14</v>
      </c>
      <c r="EN13" s="13">
        <v>0.51</v>
      </c>
      <c r="EO13" s="13">
        <v>1.17</v>
      </c>
      <c r="EP13" s="13">
        <v>-0.17</v>
      </c>
    </row>
    <row r="14" spans="1:146" ht="108" x14ac:dyDescent="0.25">
      <c r="A14" s="10"/>
      <c r="B14" s="10"/>
      <c r="C14" s="10" t="str">
        <f>""&amp;CHAR(10)&amp;Basic_Fundamental_Information_Constructure(F14)&amp;CHAR(10)&amp;Basic_Fundamental_Information_Concatenate("")</f>
        <v xml:space="preserve">
市值1576.5558亿, 利润4325.03万; PE11.23; 平均PE19.51; 平均PEG.49, PB.545; ROIC4.4233%; ROE6.3467%; 股利率2.7093%; 毛利9.81%; 净利3.4667%; 上一年度营收增-99.4%, 利润增-99.73%; 当季营收增14764.6%, 利润增11137.16%; 过往5年营收增-39.6%, 利润增-99.73%
Income profile:
</v>
      </c>
      <c r="D14" t="s">
        <v>48</v>
      </c>
      <c r="E14" t="s">
        <v>17</v>
      </c>
      <c r="F14">
        <v>13.62</v>
      </c>
      <c r="G14">
        <v>-0.57999999999999996</v>
      </c>
      <c r="H14" t="s">
        <v>883</v>
      </c>
      <c r="I14">
        <v>157655580000</v>
      </c>
      <c r="J14">
        <v>11.23</v>
      </c>
      <c r="K14">
        <v>0.54500000000000004</v>
      </c>
      <c r="L14" t="s">
        <v>35</v>
      </c>
      <c r="M14" t="s">
        <v>557</v>
      </c>
      <c r="N14" t="s">
        <v>884</v>
      </c>
      <c r="O14" t="s">
        <v>558</v>
      </c>
      <c r="P14">
        <v>-1.19</v>
      </c>
      <c r="Q14" t="s">
        <v>885</v>
      </c>
      <c r="R14">
        <v>2713786000</v>
      </c>
      <c r="S14" s="5">
        <v>-2.4799999999999999E-2</v>
      </c>
      <c r="T14" t="s">
        <v>886</v>
      </c>
      <c r="U14">
        <v>11575299400</v>
      </c>
      <c r="V14">
        <v>11575299400</v>
      </c>
      <c r="W14">
        <v>2.75</v>
      </c>
      <c r="X14" t="s">
        <v>37</v>
      </c>
      <c r="Y14">
        <v>1.99</v>
      </c>
      <c r="Z14" t="s">
        <v>37</v>
      </c>
      <c r="AA14" t="s">
        <v>37</v>
      </c>
      <c r="AB14" t="s">
        <v>37</v>
      </c>
      <c r="AC14" t="s">
        <v>37</v>
      </c>
      <c r="AD14" t="s">
        <v>37</v>
      </c>
      <c r="AE14">
        <v>957704840</v>
      </c>
      <c r="AF14" t="s">
        <v>561</v>
      </c>
      <c r="AG14" t="s">
        <v>887</v>
      </c>
      <c r="AH14" t="s">
        <v>562</v>
      </c>
      <c r="AI14" t="s">
        <v>888</v>
      </c>
      <c r="AJ14" t="s">
        <v>563</v>
      </c>
      <c r="AK14" t="s">
        <v>37</v>
      </c>
      <c r="AL14" t="s">
        <v>564</v>
      </c>
      <c r="AM14" t="s">
        <v>37</v>
      </c>
      <c r="AN14" t="s">
        <v>889</v>
      </c>
      <c r="AO14" t="s">
        <v>37</v>
      </c>
      <c r="AP14" t="s">
        <v>890</v>
      </c>
      <c r="AQ14" t="s">
        <v>891</v>
      </c>
      <c r="AR14" t="s">
        <v>37</v>
      </c>
      <c r="AS14" t="s">
        <v>37</v>
      </c>
      <c r="AT14" t="s">
        <v>37</v>
      </c>
      <c r="AU14" t="s">
        <v>892</v>
      </c>
      <c r="AV14" t="s">
        <v>893</v>
      </c>
      <c r="AW14" t="s">
        <v>894</v>
      </c>
      <c r="AX14" t="s">
        <v>325</v>
      </c>
      <c r="AY14" t="s">
        <v>37</v>
      </c>
      <c r="AZ14" t="s">
        <v>324</v>
      </c>
      <c r="BA14" t="s">
        <v>147</v>
      </c>
      <c r="BB14" t="s">
        <v>148</v>
      </c>
      <c r="BC14" t="s">
        <v>323</v>
      </c>
      <c r="BD14" t="s">
        <v>37</v>
      </c>
      <c r="BE14" t="s">
        <v>37</v>
      </c>
      <c r="BF14" t="s">
        <v>37</v>
      </c>
      <c r="BG14" t="s">
        <v>37</v>
      </c>
      <c r="BH14" t="s">
        <v>559</v>
      </c>
      <c r="BI14" t="s">
        <v>862</v>
      </c>
      <c r="BJ14" t="s">
        <v>325</v>
      </c>
      <c r="BK14" t="s">
        <v>560</v>
      </c>
      <c r="BL14" t="s">
        <v>895</v>
      </c>
      <c r="BM14" t="s">
        <v>323</v>
      </c>
      <c r="BN14">
        <v>3</v>
      </c>
      <c r="BO14">
        <v>4.07</v>
      </c>
      <c r="BP14">
        <v>6.2</v>
      </c>
      <c r="BQ14">
        <v>4.01</v>
      </c>
      <c r="BR14">
        <v>5.84</v>
      </c>
      <c r="BS14">
        <v>9.19</v>
      </c>
      <c r="BT14" t="s">
        <v>565</v>
      </c>
      <c r="BU14" t="s">
        <v>268</v>
      </c>
      <c r="BV14">
        <v>10.19</v>
      </c>
      <c r="BW14">
        <v>9.61</v>
      </c>
      <c r="BX14">
        <v>9.6300000000000008</v>
      </c>
      <c r="BY14">
        <v>2.76</v>
      </c>
      <c r="BZ14">
        <v>3.17</v>
      </c>
      <c r="CA14">
        <v>4.47</v>
      </c>
      <c r="CB14">
        <v>-1.73</v>
      </c>
      <c r="CC14">
        <v>-3.95</v>
      </c>
      <c r="CD14" t="s">
        <v>896</v>
      </c>
      <c r="CE14" t="s">
        <v>897</v>
      </c>
      <c r="CF14" s="6">
        <v>147.64598930481284</v>
      </c>
      <c r="CG14" s="7">
        <v>111.37162579036938</v>
      </c>
      <c r="CH14" s="6">
        <v>-0.99397361278533936</v>
      </c>
      <c r="CI14" s="6" t="s">
        <v>37</v>
      </c>
      <c r="CJ14" s="6" t="s">
        <v>37</v>
      </c>
      <c r="CK14" s="6">
        <v>-0.12520655989646912</v>
      </c>
      <c r="CL14" s="6">
        <v>-6.8830795586109161E-2</v>
      </c>
      <c r="CM14" s="7">
        <v>-0.99731659889221191</v>
      </c>
      <c r="CN14" s="7" t="s">
        <v>37</v>
      </c>
      <c r="CO14" s="7" t="s">
        <v>37</v>
      </c>
      <c r="CP14" s="7" t="s">
        <v>37</v>
      </c>
      <c r="CQ14" s="7" t="s">
        <v>37</v>
      </c>
      <c r="CR14">
        <v>19.510319693520248</v>
      </c>
      <c r="CS14">
        <v>0.49268029205064517</v>
      </c>
      <c r="CT14">
        <v>2.7092511013215859</v>
      </c>
      <c r="CU14" s="6">
        <v>-0.39600365608930588</v>
      </c>
      <c r="CV14" s="7">
        <v>-0.99731659889221191</v>
      </c>
      <c r="CW14">
        <v>0.06</v>
      </c>
      <c r="CX14">
        <v>10925.394274721793</v>
      </c>
      <c r="CY14" t="s">
        <v>898</v>
      </c>
      <c r="CZ14">
        <v>-0.39600365608930588</v>
      </c>
      <c r="DA14">
        <v>3641.7980915739313</v>
      </c>
      <c r="DB14" t="s">
        <v>899</v>
      </c>
      <c r="DC14">
        <v>-0.37620347328484055</v>
      </c>
      <c r="DD14">
        <v>1820.8990457869656</v>
      </c>
      <c r="DE14" t="s">
        <v>900</v>
      </c>
      <c r="DF14">
        <v>-0.34848321735858917</v>
      </c>
      <c r="DG14">
        <v>1092.5394274721793</v>
      </c>
      <c r="DH14" t="s">
        <v>901</v>
      </c>
      <c r="DI14">
        <v>-0.31680292487144474</v>
      </c>
      <c r="DJ14">
        <v>546.26971373608967</v>
      </c>
      <c r="DK14" t="s">
        <v>902</v>
      </c>
      <c r="DL14">
        <v>-0.27720255926251408</v>
      </c>
      <c r="DM14">
        <v>43250300</v>
      </c>
      <c r="DN14">
        <v>-0.39600365608930588</v>
      </c>
      <c r="DO14">
        <v>472526580000</v>
      </c>
      <c r="DP14">
        <v>585168230000</v>
      </c>
      <c r="DQ14">
        <v>2921</v>
      </c>
      <c r="DR14">
        <v>148.04199296090215</v>
      </c>
      <c r="DS14">
        <v>112.36894238926159</v>
      </c>
      <c r="DT14" s="8">
        <v>-1.1599999999999999</v>
      </c>
      <c r="DU14">
        <v>-2.3199999999999998</v>
      </c>
      <c r="DV14">
        <v>-3.4799999999999995</v>
      </c>
      <c r="DW14">
        <v>-1.0395000000000001</v>
      </c>
      <c r="DX14">
        <v>0.40118520710059341</v>
      </c>
      <c r="DY14">
        <v>-1.0043918156804734</v>
      </c>
      <c r="DZ14">
        <v>3561</v>
      </c>
      <c r="EA14">
        <v>-1.001331295986116</v>
      </c>
      <c r="EB14">
        <v>1</v>
      </c>
      <c r="EC14">
        <v>4.8699301894515141E-3</v>
      </c>
      <c r="ED14">
        <v>4.3800162957340009E-2</v>
      </c>
      <c r="EE14" s="9">
        <v>-3.0628099999999998</v>
      </c>
      <c r="EF14">
        <v>-3.0800100000000001</v>
      </c>
      <c r="EG14">
        <v>29.111185207100593</v>
      </c>
      <c r="EH14" t="s">
        <v>808</v>
      </c>
      <c r="EI14">
        <v>0</v>
      </c>
      <c r="EJ14">
        <v>0</v>
      </c>
      <c r="EK14" s="12">
        <v>45470</v>
      </c>
      <c r="EL14" s="13">
        <v>-0.56999999999999995</v>
      </c>
      <c r="EM14" s="13">
        <v>-2.31</v>
      </c>
      <c r="EN14" s="13">
        <v>0</v>
      </c>
      <c r="EO14" s="13">
        <v>2.96</v>
      </c>
      <c r="EP14" s="13">
        <v>-1.72</v>
      </c>
    </row>
    <row r="15" spans="1:146" ht="108" x14ac:dyDescent="0.25">
      <c r="A15" s="10"/>
      <c r="B15" s="10"/>
      <c r="C15" s="10" t="str">
        <f>""&amp;CHAR(10)&amp;Basic_Fundamental_Information_Constructure(F15)&amp;CHAR(10)&amp;Basic_Fundamental_Information_Concatenate("")</f>
        <v xml:space="preserve">
市值182.48581亿, 利润8.59亿; PE21.03; 平均PE39.42; 平均PEG2.14, PB1.26; ROIC2.015%; ROE-10.93%; 股利率0%; 毛利10.9767%; 净利-2.53%; 上一年度营收增-92.65%, 利润增1186.66%; 当季营收增677.17%, 利润增-62.82%; 过往5年营收增-18.42%, 利润增1186.66%
Income profile:
</v>
      </c>
      <c r="D15" t="s">
        <v>69</v>
      </c>
      <c r="E15" t="s">
        <v>18</v>
      </c>
      <c r="F15">
        <v>2.2799999999999998</v>
      </c>
      <c r="G15">
        <v>0.88</v>
      </c>
      <c r="H15" t="s">
        <v>903</v>
      </c>
      <c r="I15">
        <v>18248581000</v>
      </c>
      <c r="J15">
        <v>21.03</v>
      </c>
      <c r="K15">
        <v>1.26</v>
      </c>
      <c r="L15" t="s">
        <v>35</v>
      </c>
      <c r="M15" t="s">
        <v>567</v>
      </c>
      <c r="N15" t="s">
        <v>904</v>
      </c>
      <c r="O15" t="s">
        <v>568</v>
      </c>
      <c r="P15">
        <v>-14.05</v>
      </c>
      <c r="Q15" t="s">
        <v>905</v>
      </c>
      <c r="R15">
        <v>256154460</v>
      </c>
      <c r="S15" s="5">
        <v>-0.1396</v>
      </c>
      <c r="T15" t="s">
        <v>906</v>
      </c>
      <c r="U15">
        <v>6575192000</v>
      </c>
      <c r="V15">
        <v>8003763500</v>
      </c>
      <c r="W15">
        <v>3.53</v>
      </c>
      <c r="X15" t="s">
        <v>37</v>
      </c>
      <c r="Y15">
        <v>1.86</v>
      </c>
      <c r="Z15" t="s">
        <v>37</v>
      </c>
      <c r="AA15" t="s">
        <v>37</v>
      </c>
      <c r="AB15" t="s">
        <v>37</v>
      </c>
      <c r="AC15" t="s">
        <v>37</v>
      </c>
      <c r="AD15" t="s">
        <v>37</v>
      </c>
      <c r="AE15">
        <v>-551813</v>
      </c>
      <c r="AF15" t="s">
        <v>572</v>
      </c>
      <c r="AG15" t="s">
        <v>907</v>
      </c>
      <c r="AH15" t="s">
        <v>573</v>
      </c>
      <c r="AI15" t="s">
        <v>908</v>
      </c>
      <c r="AJ15" t="s">
        <v>574</v>
      </c>
      <c r="AK15" t="s">
        <v>37</v>
      </c>
      <c r="AL15" t="s">
        <v>575</v>
      </c>
      <c r="AM15" t="s">
        <v>37</v>
      </c>
      <c r="AN15" t="s">
        <v>550</v>
      </c>
      <c r="AO15" t="s">
        <v>37</v>
      </c>
      <c r="AP15" t="s">
        <v>909</v>
      </c>
      <c r="AQ15" t="s">
        <v>910</v>
      </c>
      <c r="AR15" t="s">
        <v>37</v>
      </c>
      <c r="AS15" t="s">
        <v>37</v>
      </c>
      <c r="AT15" t="s">
        <v>37</v>
      </c>
      <c r="AU15" t="s">
        <v>911</v>
      </c>
      <c r="AV15" t="s">
        <v>912</v>
      </c>
      <c r="AW15" t="s">
        <v>913</v>
      </c>
      <c r="AX15" t="s">
        <v>326</v>
      </c>
      <c r="AY15" t="s">
        <v>37</v>
      </c>
      <c r="AZ15" t="s">
        <v>149</v>
      </c>
      <c r="BA15" t="s">
        <v>70</v>
      </c>
      <c r="BB15" t="s">
        <v>151</v>
      </c>
      <c r="BC15" t="s">
        <v>576</v>
      </c>
      <c r="BD15" t="s">
        <v>37</v>
      </c>
      <c r="BE15" t="s">
        <v>37</v>
      </c>
      <c r="BF15" t="s">
        <v>37</v>
      </c>
      <c r="BG15" t="s">
        <v>37</v>
      </c>
      <c r="BH15" t="s">
        <v>569</v>
      </c>
      <c r="BI15" t="s">
        <v>914</v>
      </c>
      <c r="BJ15" t="s">
        <v>326</v>
      </c>
      <c r="BK15" t="s">
        <v>570</v>
      </c>
      <c r="BL15" t="s">
        <v>915</v>
      </c>
      <c r="BM15" t="s">
        <v>576</v>
      </c>
      <c r="BN15">
        <v>3.8</v>
      </c>
      <c r="BO15">
        <v>0.23</v>
      </c>
      <c r="BP15" t="s">
        <v>37</v>
      </c>
      <c r="BQ15">
        <v>5.68</v>
      </c>
      <c r="BR15">
        <v>0.62</v>
      </c>
      <c r="BS15">
        <v>-39.090000000000003</v>
      </c>
      <c r="BT15" t="s">
        <v>293</v>
      </c>
      <c r="BU15" t="s">
        <v>267</v>
      </c>
      <c r="BV15">
        <v>11.38</v>
      </c>
      <c r="BW15">
        <v>11.38</v>
      </c>
      <c r="BX15">
        <v>10.17</v>
      </c>
      <c r="BY15">
        <v>1.53</v>
      </c>
      <c r="BZ15">
        <v>0.09</v>
      </c>
      <c r="CA15">
        <v>-9.2100000000000009</v>
      </c>
      <c r="CB15">
        <v>1.33</v>
      </c>
      <c r="CC15">
        <v>-8.43</v>
      </c>
      <c r="CD15" t="s">
        <v>328</v>
      </c>
      <c r="CE15" t="s">
        <v>916</v>
      </c>
      <c r="CF15" s="6">
        <v>6.7717391304347823</v>
      </c>
      <c r="CG15" s="7">
        <v>-0.62822284470246736</v>
      </c>
      <c r="CH15" s="6">
        <v>-0.92653989791870117</v>
      </c>
      <c r="CI15" s="6" t="s">
        <v>37</v>
      </c>
      <c r="CJ15" s="6" t="s">
        <v>37</v>
      </c>
      <c r="CK15" s="6">
        <v>0.22993223369121552</v>
      </c>
      <c r="CL15" s="6">
        <v>0.14400552213191986</v>
      </c>
      <c r="CM15" s="7">
        <v>11.866562843322754</v>
      </c>
      <c r="CN15" s="7" t="s">
        <v>37</v>
      </c>
      <c r="CO15" s="7" t="s">
        <v>37</v>
      </c>
      <c r="CP15" s="7" t="s">
        <v>37</v>
      </c>
      <c r="CQ15" s="7" t="s">
        <v>37</v>
      </c>
      <c r="CR15">
        <v>39.423906052763876</v>
      </c>
      <c r="CS15">
        <v>2.14026890503508</v>
      </c>
      <c r="CT15">
        <v>0</v>
      </c>
      <c r="CU15" s="6">
        <v>-0.18420071403185526</v>
      </c>
      <c r="CV15" s="7">
        <v>11.866562843322754</v>
      </c>
      <c r="CW15">
        <v>0.06</v>
      </c>
      <c r="CX15">
        <v>39.601374854481953</v>
      </c>
      <c r="CY15" t="s">
        <v>917</v>
      </c>
      <c r="CZ15">
        <v>-0.18420071403185526</v>
      </c>
      <c r="DA15">
        <v>13.200458284827318</v>
      </c>
      <c r="DB15" t="s">
        <v>918</v>
      </c>
      <c r="DC15">
        <v>-0.17499067833026249</v>
      </c>
      <c r="DD15">
        <v>6.6002291424136592</v>
      </c>
      <c r="DE15" t="s">
        <v>919</v>
      </c>
      <c r="DF15">
        <v>-0.16209662834803262</v>
      </c>
      <c r="DG15">
        <v>3.9601374854481954</v>
      </c>
      <c r="DH15" t="s">
        <v>920</v>
      </c>
      <c r="DI15">
        <v>-0.14736057122548421</v>
      </c>
      <c r="DJ15">
        <v>1.9800687427240977</v>
      </c>
      <c r="DK15" t="s">
        <v>921</v>
      </c>
      <c r="DL15">
        <v>-0.12894049982229866</v>
      </c>
      <c r="DM15">
        <v>859000000</v>
      </c>
      <c r="DN15">
        <v>-0.18420071403185526</v>
      </c>
      <c r="DO15">
        <v>34017581000</v>
      </c>
      <c r="DP15">
        <v>26063674000</v>
      </c>
      <c r="DQ15">
        <v>2971</v>
      </c>
      <c r="DR15">
        <v>6.9559398444666378</v>
      </c>
      <c r="DS15">
        <v>-12.494785688025221</v>
      </c>
      <c r="DT15" s="8">
        <v>-1.1599999999999999</v>
      </c>
      <c r="DU15">
        <v>-0.42000000000000015</v>
      </c>
      <c r="DV15">
        <v>-1.58</v>
      </c>
      <c r="DW15">
        <v>-2.0842999999999998</v>
      </c>
      <c r="DX15">
        <v>0.3416309012875523</v>
      </c>
      <c r="DY15">
        <v>-2.0119394849785408</v>
      </c>
      <c r="DZ15">
        <v>4971</v>
      </c>
      <c r="EA15">
        <v>-2.0003247726833693</v>
      </c>
      <c r="EB15">
        <v>2</v>
      </c>
      <c r="EC15">
        <v>2.4738362146757585E-2</v>
      </c>
      <c r="ED15">
        <v>0.17466782970286415</v>
      </c>
      <c r="EE15" s="9">
        <v>-4.0062100000000003</v>
      </c>
      <c r="EF15">
        <v>-4.0427999999999997</v>
      </c>
      <c r="EG15">
        <v>20.141630901287552</v>
      </c>
      <c r="EH15" t="s">
        <v>922</v>
      </c>
      <c r="EI15">
        <v>0</v>
      </c>
      <c r="EJ15">
        <v>0</v>
      </c>
      <c r="EK15" s="12">
        <v>45470</v>
      </c>
      <c r="EL15" s="13">
        <v>1.32</v>
      </c>
      <c r="EM15" s="13">
        <v>3.27</v>
      </c>
      <c r="EN15" s="13">
        <v>-5.0599999999999996</v>
      </c>
      <c r="EO15" s="13">
        <v>-4.67</v>
      </c>
      <c r="EP15" s="13">
        <v>4.9000000000000004</v>
      </c>
    </row>
    <row r="16" spans="1:146" ht="144" x14ac:dyDescent="0.25">
      <c r="A16" s="10"/>
      <c r="B16" s="10"/>
      <c r="C16" s="10" t="str">
        <f>"公司主要业务为客车产品研发、制造与销售，产品范围覆盖从5 -18米各型客车，主要用于公路、公交、旅游、团体、新能源客车和校车等市场。"&amp;CHAR(10)&amp;Basic_Fundamental_Information_Constructure(F16)&amp;CHAR(10)&amp;Basic_Fundamental_Information_Concatenate("客车销售 9.28亿 94.83% 81.78% 5.50%
配件销售 3398.64万 3.47% 8.17% 14.99%
其他业务 1658.20万 1.69% 10.05% 37.82%")</f>
        <v>公司主要业务为客车产品研发、制造与销售，产品范围覆盖从5 -18米各型客车，主要用于公路、公交、旅游、团体、新能源客车和校车等市场。
市值16.5308亿, 利润1.21亿; PE; 平均PE-48.6; 平均PEG-8.1, PB; ROIC0%; ROE-52.0767%; 股利率0%; 毛利9.4767%; 净利-14.2333%; 上一年度营收增44.69%, 利润增161.73%; 当季营收增42.71%, 利润增-115.25%; 过往5年营收增6%, 利润增-2284.98%
Income profile:
客车销售 9.28亿 94.83% 81.78% 5.50%
配件销售 3398.64万 3.47% 8.17% 14.99%
其他业务 1658.20万 1.69% 10.05% 37.82%</v>
      </c>
      <c r="D16" t="s">
        <v>83</v>
      </c>
      <c r="E16" t="s">
        <v>577</v>
      </c>
      <c r="F16">
        <v>5.78</v>
      </c>
      <c r="G16">
        <v>1.05</v>
      </c>
      <c r="H16" t="s">
        <v>923</v>
      </c>
      <c r="I16">
        <v>1653080000</v>
      </c>
      <c r="L16" t="s">
        <v>35</v>
      </c>
      <c r="M16" t="s">
        <v>578</v>
      </c>
      <c r="N16" t="s">
        <v>924</v>
      </c>
      <c r="O16" t="s">
        <v>579</v>
      </c>
      <c r="P16">
        <v>263.98</v>
      </c>
      <c r="Q16" t="s">
        <v>571</v>
      </c>
      <c r="R16">
        <v>-7084181</v>
      </c>
      <c r="S16" s="5">
        <v>0.77769999999999995</v>
      </c>
      <c r="T16" t="s">
        <v>341</v>
      </c>
      <c r="U16">
        <v>286000000</v>
      </c>
      <c r="V16">
        <v>286000000</v>
      </c>
      <c r="W16" t="s">
        <v>37</v>
      </c>
      <c r="X16">
        <v>0.21</v>
      </c>
      <c r="Y16">
        <v>-0.97</v>
      </c>
      <c r="Z16" t="s">
        <v>925</v>
      </c>
      <c r="AA16" t="s">
        <v>926</v>
      </c>
      <c r="AB16" t="s">
        <v>927</v>
      </c>
      <c r="AC16" t="s">
        <v>928</v>
      </c>
      <c r="AD16" t="s">
        <v>37</v>
      </c>
      <c r="AE16">
        <v>-444053</v>
      </c>
      <c r="AF16" t="s">
        <v>44</v>
      </c>
      <c r="AG16">
        <v>9641.8700000000008</v>
      </c>
      <c r="AH16" t="s">
        <v>582</v>
      </c>
      <c r="AI16" t="s">
        <v>929</v>
      </c>
      <c r="AJ16" t="s">
        <v>37</v>
      </c>
      <c r="AK16" t="s">
        <v>37</v>
      </c>
      <c r="AL16" t="s">
        <v>583</v>
      </c>
      <c r="AM16" t="s">
        <v>37</v>
      </c>
      <c r="AN16" t="s">
        <v>930</v>
      </c>
      <c r="AO16" t="s">
        <v>931</v>
      </c>
      <c r="AP16" t="s">
        <v>932</v>
      </c>
      <c r="AQ16" t="s">
        <v>933</v>
      </c>
      <c r="AR16" t="s">
        <v>37</v>
      </c>
      <c r="AS16" t="s">
        <v>934</v>
      </c>
      <c r="AT16" t="s">
        <v>312</v>
      </c>
      <c r="AU16" t="s">
        <v>935</v>
      </c>
      <c r="AV16" t="s">
        <v>936</v>
      </c>
      <c r="AW16" t="s">
        <v>937</v>
      </c>
      <c r="AX16" t="s">
        <v>584</v>
      </c>
      <c r="AY16" t="s">
        <v>938</v>
      </c>
      <c r="AZ16" t="s">
        <v>939</v>
      </c>
      <c r="BA16" t="s">
        <v>84</v>
      </c>
      <c r="BB16" t="s">
        <v>154</v>
      </c>
      <c r="BC16" t="s">
        <v>329</v>
      </c>
      <c r="BD16" t="s">
        <v>223</v>
      </c>
      <c r="BE16" t="s">
        <v>153</v>
      </c>
      <c r="BF16" t="s">
        <v>85</v>
      </c>
      <c r="BG16" t="s">
        <v>155</v>
      </c>
      <c r="BH16" t="s">
        <v>580</v>
      </c>
      <c r="BI16" t="s">
        <v>940</v>
      </c>
      <c r="BJ16" t="s">
        <v>584</v>
      </c>
      <c r="BK16" t="s">
        <v>581</v>
      </c>
      <c r="BL16" t="s">
        <v>941</v>
      </c>
      <c r="BM16" t="s">
        <v>329</v>
      </c>
      <c r="BN16" t="s">
        <v>37</v>
      </c>
      <c r="BO16" t="s">
        <v>37</v>
      </c>
      <c r="BP16" t="s">
        <v>37</v>
      </c>
      <c r="BQ16">
        <v>-68.790000000000006</v>
      </c>
      <c r="BR16">
        <v>-97.73</v>
      </c>
      <c r="BS16">
        <v>10.29</v>
      </c>
      <c r="BT16" t="s">
        <v>293</v>
      </c>
      <c r="BU16" t="s">
        <v>269</v>
      </c>
      <c r="BV16">
        <v>13.34</v>
      </c>
      <c r="BW16">
        <v>8.52</v>
      </c>
      <c r="BX16">
        <v>6.57</v>
      </c>
      <c r="BY16">
        <v>-27.79</v>
      </c>
      <c r="BZ16">
        <v>-13.09</v>
      </c>
      <c r="CA16">
        <v>-1.82</v>
      </c>
      <c r="CB16">
        <v>0.87</v>
      </c>
      <c r="CC16">
        <v>-3.51</v>
      </c>
      <c r="CD16" t="s">
        <v>942</v>
      </c>
      <c r="CE16" t="s">
        <v>943</v>
      </c>
      <c r="CF16" s="6">
        <v>0.42710997442455245</v>
      </c>
      <c r="CG16" s="7">
        <v>-1.1525070449824011</v>
      </c>
      <c r="CH16" s="6">
        <v>0.44685176014900208</v>
      </c>
      <c r="CI16" s="6">
        <v>0.55473679304122925</v>
      </c>
      <c r="CJ16" s="6">
        <v>-0.48648649454116821</v>
      </c>
      <c r="CK16" s="6">
        <v>-0.31683900952339172</v>
      </c>
      <c r="CL16" s="6">
        <v>0.10170876234769821</v>
      </c>
      <c r="CM16" s="7">
        <v>1.6173468828201294</v>
      </c>
      <c r="CN16" s="7">
        <v>-104.61598968505859</v>
      </c>
      <c r="CO16" s="7">
        <v>1.011972188949585</v>
      </c>
      <c r="CP16" s="7">
        <v>-12.329251289367676</v>
      </c>
      <c r="CQ16" s="7">
        <v>6.6859439015388489E-2</v>
      </c>
      <c r="CR16">
        <v>-48.59855945906218</v>
      </c>
      <c r="CS16">
        <v>-8.100521049021399</v>
      </c>
      <c r="CT16">
        <v>0</v>
      </c>
      <c r="CU16" s="6">
        <v>5.999436229467392E-2</v>
      </c>
      <c r="CV16" s="7">
        <v>-22.849812492728233</v>
      </c>
      <c r="CW16">
        <v>0.06</v>
      </c>
      <c r="CX16">
        <v>35.207459981314855</v>
      </c>
      <c r="CY16">
        <v>120999356.45061843</v>
      </c>
      <c r="CZ16">
        <v>5.999436229467392E-2</v>
      </c>
      <c r="DA16">
        <v>11.802557361231523</v>
      </c>
      <c r="DB16">
        <v>360945502.70887119</v>
      </c>
      <c r="DC16">
        <v>5.699464417994022E-2</v>
      </c>
      <c r="DD16">
        <v>6.0092295968563292</v>
      </c>
      <c r="DE16">
        <v>708922821.35943353</v>
      </c>
      <c r="DF16">
        <v>5.279503881931305E-2</v>
      </c>
      <c r="DG16">
        <v>3.7463254161248285</v>
      </c>
      <c r="DH16">
        <v>1137135600.0372748</v>
      </c>
      <c r="DI16">
        <v>4.799548983573914E-2</v>
      </c>
      <c r="DJ16">
        <v>2.0970241226812711</v>
      </c>
      <c r="DK16">
        <v>2031488314.2846391</v>
      </c>
      <c r="DL16">
        <v>4.199605360627174E-2</v>
      </c>
      <c r="DM16">
        <v>121000000</v>
      </c>
      <c r="DN16">
        <v>5.999436229467392E-2</v>
      </c>
      <c r="DO16">
        <v>4260080000</v>
      </c>
      <c r="DP16">
        <v>68610000</v>
      </c>
      <c r="DQ16">
        <v>3011</v>
      </c>
      <c r="DR16">
        <v>0.36711561212987853</v>
      </c>
      <c r="DS16">
        <v>21.697305447745833</v>
      </c>
      <c r="DT16" s="8">
        <v>-0.37333333333333335</v>
      </c>
      <c r="DU16">
        <v>-1.665</v>
      </c>
      <c r="DV16">
        <v>-2.0383333333333336</v>
      </c>
      <c r="DW16">
        <v>-1.0350999999999999</v>
      </c>
      <c r="DX16">
        <v>0.23791172042430453</v>
      </c>
      <c r="DY16">
        <v>-1.004138701386893</v>
      </c>
      <c r="DZ16">
        <v>4582</v>
      </c>
      <c r="EA16">
        <v>-1.0004276388125792</v>
      </c>
      <c r="EB16">
        <v>1</v>
      </c>
      <c r="EC16">
        <v>3.5013636363636365E-2</v>
      </c>
      <c r="ED16">
        <v>0.29694790209790206</v>
      </c>
      <c r="EE16" s="9">
        <v>-5.0057999999999998</v>
      </c>
      <c r="EF16">
        <v>-5.0238100000000001</v>
      </c>
      <c r="EG16">
        <v>12.117911720424305</v>
      </c>
      <c r="EH16" t="s">
        <v>944</v>
      </c>
      <c r="EI16">
        <v>0</v>
      </c>
      <c r="EJ16">
        <v>0</v>
      </c>
      <c r="EK16" s="12">
        <v>45470</v>
      </c>
      <c r="EL16" s="13">
        <v>1.29</v>
      </c>
      <c r="EM16" s="13">
        <v>2.0699999999999998</v>
      </c>
      <c r="EN16" s="13">
        <v>-3.74</v>
      </c>
      <c r="EO16" s="13">
        <v>3.88</v>
      </c>
      <c r="EP16" s="13">
        <v>-2.96</v>
      </c>
    </row>
    <row r="17" spans="1:146" ht="96" x14ac:dyDescent="0.25">
      <c r="A17" s="10"/>
      <c r="B17" s="10"/>
      <c r="C17" s="10" t="str">
        <f>""&amp;CHAR(10)&amp;Basic_Fundamental_Information_Constructure(F17)&amp;CHAR(10)&amp;Basic_Fundamental_Information_Concatenate("")</f>
        <v xml:space="preserve">
市值18.173753亿, 利润8689.94万; PE; 平均PE-14.88; 平均PEG-3.55, PB1.12; ROIC0%; ROE-14.48%; 股利率0%; 毛利3.4833%; 净利-24.8067%; 上一年度营收增25.96%, 利润增126.02%; 当季营收增-41.76%, 利润增-187.48%; 过往5年营收增-4.19%, 利润增-125.79%
Income profile:
</v>
      </c>
      <c r="D17" t="s">
        <v>86</v>
      </c>
      <c r="E17" t="s">
        <v>258</v>
      </c>
      <c r="F17">
        <v>2.69</v>
      </c>
      <c r="G17">
        <v>1.51</v>
      </c>
      <c r="H17" t="s">
        <v>945</v>
      </c>
      <c r="I17">
        <v>1817375300</v>
      </c>
      <c r="K17">
        <v>1.1200000000000001</v>
      </c>
      <c r="L17" t="s">
        <v>35</v>
      </c>
      <c r="M17" t="s">
        <v>586</v>
      </c>
      <c r="N17" t="s">
        <v>946</v>
      </c>
      <c r="O17" t="s">
        <v>587</v>
      </c>
      <c r="P17">
        <v>19.18</v>
      </c>
      <c r="Q17" t="s">
        <v>947</v>
      </c>
      <c r="R17">
        <v>-63747132</v>
      </c>
      <c r="S17" s="5">
        <v>0.1109</v>
      </c>
      <c r="T17" t="s">
        <v>948</v>
      </c>
      <c r="U17">
        <v>675604210</v>
      </c>
      <c r="V17">
        <v>675604210</v>
      </c>
      <c r="W17">
        <v>2.16</v>
      </c>
      <c r="X17">
        <v>0.1</v>
      </c>
      <c r="Y17">
        <v>-18.23</v>
      </c>
      <c r="Z17" t="s">
        <v>949</v>
      </c>
      <c r="AA17" t="s">
        <v>950</v>
      </c>
      <c r="AB17" t="s">
        <v>951</v>
      </c>
      <c r="AC17" t="s">
        <v>952</v>
      </c>
      <c r="AD17" t="s">
        <v>37</v>
      </c>
      <c r="AE17">
        <v>4126830</v>
      </c>
      <c r="AF17" t="s">
        <v>44</v>
      </c>
      <c r="AG17" t="s">
        <v>953</v>
      </c>
      <c r="AH17" t="s">
        <v>591</v>
      </c>
      <c r="AI17" t="s">
        <v>74</v>
      </c>
      <c r="AJ17" t="s">
        <v>37</v>
      </c>
      <c r="AK17" t="s">
        <v>759</v>
      </c>
      <c r="AL17" t="s">
        <v>592</v>
      </c>
      <c r="AM17" t="s">
        <v>37</v>
      </c>
      <c r="AN17" t="s">
        <v>954</v>
      </c>
      <c r="AO17" t="s">
        <v>955</v>
      </c>
      <c r="AP17" t="s">
        <v>956</v>
      </c>
      <c r="AQ17" t="s">
        <v>957</v>
      </c>
      <c r="AR17" t="s">
        <v>37</v>
      </c>
      <c r="AS17" t="s">
        <v>958</v>
      </c>
      <c r="AT17" t="s">
        <v>590</v>
      </c>
      <c r="AU17" t="s">
        <v>959</v>
      </c>
      <c r="AV17" t="s">
        <v>960</v>
      </c>
      <c r="AW17" t="s">
        <v>961</v>
      </c>
      <c r="AX17" t="s">
        <v>330</v>
      </c>
      <c r="AY17" t="s">
        <v>224</v>
      </c>
      <c r="AZ17" t="s">
        <v>156</v>
      </c>
      <c r="BA17" t="s">
        <v>87</v>
      </c>
      <c r="BB17" t="s">
        <v>158</v>
      </c>
      <c r="BC17" t="s">
        <v>331</v>
      </c>
      <c r="BD17" t="s">
        <v>199</v>
      </c>
      <c r="BE17" t="s">
        <v>157</v>
      </c>
      <c r="BF17" t="s">
        <v>88</v>
      </c>
      <c r="BG17" t="s">
        <v>159</v>
      </c>
      <c r="BH17" t="s">
        <v>588</v>
      </c>
      <c r="BI17" t="s">
        <v>962</v>
      </c>
      <c r="BJ17" t="s">
        <v>330</v>
      </c>
      <c r="BK17" t="s">
        <v>589</v>
      </c>
      <c r="BL17" t="s">
        <v>963</v>
      </c>
      <c r="BM17" t="s">
        <v>331</v>
      </c>
      <c r="BN17" t="s">
        <v>37</v>
      </c>
      <c r="BO17" t="s">
        <v>37</v>
      </c>
      <c r="BP17" t="s">
        <v>37</v>
      </c>
      <c r="BQ17">
        <v>-12.25</v>
      </c>
      <c r="BR17">
        <v>-14.4</v>
      </c>
      <c r="BS17">
        <v>-16.79</v>
      </c>
      <c r="BT17" t="s">
        <v>293</v>
      </c>
      <c r="BU17" t="s">
        <v>269</v>
      </c>
      <c r="BV17">
        <v>1.47</v>
      </c>
      <c r="BW17">
        <v>8.48</v>
      </c>
      <c r="BX17">
        <v>0.5</v>
      </c>
      <c r="BY17">
        <v>-35.19</v>
      </c>
      <c r="BZ17">
        <v>-20.28</v>
      </c>
      <c r="CA17">
        <v>-18.95</v>
      </c>
      <c r="CB17">
        <v>16.45</v>
      </c>
      <c r="CC17">
        <v>-12.09</v>
      </c>
      <c r="CD17" t="s">
        <v>964</v>
      </c>
      <c r="CE17" t="s">
        <v>965</v>
      </c>
      <c r="CF17" s="6">
        <v>-0.41761827079934749</v>
      </c>
      <c r="CG17" s="7">
        <v>-1.8747834487642012</v>
      </c>
      <c r="CH17" s="6">
        <v>0.25956937670707703</v>
      </c>
      <c r="CI17" s="6">
        <v>-0.32580643892288208</v>
      </c>
      <c r="CJ17" s="6">
        <v>-5.4517749696969986E-2</v>
      </c>
      <c r="CK17" s="6">
        <v>7.1924805641174316E-2</v>
      </c>
      <c r="CL17" s="6">
        <v>-0.16054888069629669</v>
      </c>
      <c r="CM17" s="7">
        <v>1.2601778507232666</v>
      </c>
      <c r="CN17" s="7">
        <v>0.27233114838600159</v>
      </c>
      <c r="CO17" s="7">
        <v>-9.3632307052612305</v>
      </c>
      <c r="CP17" s="7">
        <v>0.17680950462818146</v>
      </c>
      <c r="CQ17" s="7">
        <v>1.3643531799316406</v>
      </c>
      <c r="CR17">
        <v>-14.884718849251064</v>
      </c>
      <c r="CS17">
        <v>-3.5544937373588277</v>
      </c>
      <c r="CT17">
        <v>0</v>
      </c>
      <c r="CU17" s="6">
        <v>-4.1875777393579484E-2</v>
      </c>
      <c r="CV17" s="7">
        <v>-1.2579118043184281</v>
      </c>
      <c r="CW17">
        <v>0.06</v>
      </c>
      <c r="CX17" t="e">
        <v>#VALUE!</v>
      </c>
      <c r="CY17" t="s">
        <v>966</v>
      </c>
      <c r="CZ17">
        <v>-4.1875777393579484E-2</v>
      </c>
      <c r="DA17">
        <v>8.4441522802995959</v>
      </c>
      <c r="DB17" t="s">
        <v>967</v>
      </c>
      <c r="DC17">
        <v>-3.9781988523900511E-2</v>
      </c>
      <c r="DD17">
        <v>4.2220761401497979</v>
      </c>
      <c r="DE17" t="s">
        <v>968</v>
      </c>
      <c r="DF17">
        <v>-3.6850684106349944E-2</v>
      </c>
      <c r="DG17">
        <v>2.5332456840898785</v>
      </c>
      <c r="DH17" t="s">
        <v>969</v>
      </c>
      <c r="DI17">
        <v>-3.3500621914863589E-2</v>
      </c>
      <c r="DJ17">
        <v>1.2666228420449392</v>
      </c>
      <c r="DK17" t="s">
        <v>970</v>
      </c>
      <c r="DL17">
        <v>-2.9313044175505638E-2</v>
      </c>
      <c r="DM17">
        <v>86899400</v>
      </c>
      <c r="DN17">
        <v>-4.1875777393579484E-2</v>
      </c>
      <c r="DO17">
        <v>2201375300</v>
      </c>
      <c r="DP17">
        <v>-374854310</v>
      </c>
      <c r="DQ17">
        <v>3081</v>
      </c>
      <c r="DR17">
        <v>-0.37574249340576799</v>
      </c>
      <c r="DS17">
        <v>-0.61687164444577314</v>
      </c>
      <c r="DT17" s="8">
        <v>-0.52333333333333332</v>
      </c>
      <c r="DU17">
        <v>-1.1983333333333335</v>
      </c>
      <c r="DV17">
        <v>-1.7216666666666667</v>
      </c>
      <c r="DW17">
        <v>5.7349544072948326</v>
      </c>
      <c r="DX17">
        <v>0.69327426160337358</v>
      </c>
      <c r="DY17">
        <v>5.1053000500173136</v>
      </c>
      <c r="DZ17">
        <v>5053</v>
      </c>
      <c r="EA17">
        <v>5.0011745798142835</v>
      </c>
      <c r="EB17">
        <v>5</v>
      </c>
      <c r="EC17">
        <v>5.0260195980720727E-2</v>
      </c>
      <c r="ED17">
        <v>0.35079710352900256</v>
      </c>
      <c r="EE17" s="9">
        <v>2.0410000000000001E-2</v>
      </c>
      <c r="EF17">
        <v>4.0310000000000006E-2</v>
      </c>
      <c r="EG17">
        <v>55.143274261603374</v>
      </c>
      <c r="EH17">
        <v>-1</v>
      </c>
      <c r="EI17">
        <v>1</v>
      </c>
      <c r="EJ17">
        <v>0</v>
      </c>
      <c r="EK17" s="12">
        <v>45470</v>
      </c>
      <c r="EL17" s="13">
        <v>-1.4</v>
      </c>
      <c r="EM17" s="13">
        <v>-5.13</v>
      </c>
      <c r="EN17" s="13">
        <v>2.1</v>
      </c>
      <c r="EO17" s="13">
        <v>3.53</v>
      </c>
      <c r="EP17" s="13">
        <v>-1.99</v>
      </c>
    </row>
    <row r="18" spans="1:146" ht="96" x14ac:dyDescent="0.25">
      <c r="A18" s="10"/>
      <c r="B18" s="10"/>
      <c r="C18" s="10" t="str">
        <f>""&amp;CHAR(10)&amp;Basic_Fundamental_Information_Constructure(F18)&amp;CHAR(10)&amp;Basic_Fundamental_Information_Concatenate("")</f>
        <v xml:space="preserve">
市值26.696046亿, 利润-63.39亿; PE; 平均PE-1.68; 平均PEG-.01, PB; ROIC0%; ROE-126.5767%; 股利率0%; 毛利-.3933%; 净利-31.62%; 上一年度营收增1292.91%, 利润增-324.3%; 当季营收增-74.77%, 利润增93.05%; 过往5年营收增245.67%, 利润增-354.07%
Income profile:
</v>
      </c>
      <c r="D18" t="s">
        <v>71</v>
      </c>
      <c r="E18" t="s">
        <v>593</v>
      </c>
      <c r="F18">
        <v>4.08</v>
      </c>
      <c r="G18">
        <v>0.74</v>
      </c>
      <c r="H18" t="s">
        <v>971</v>
      </c>
      <c r="I18">
        <v>2669604600</v>
      </c>
      <c r="L18" t="s">
        <v>35</v>
      </c>
      <c r="M18" t="s">
        <v>594</v>
      </c>
      <c r="N18" t="s">
        <v>972</v>
      </c>
      <c r="O18" t="s">
        <v>305</v>
      </c>
      <c r="P18">
        <v>49.52</v>
      </c>
      <c r="Q18" t="s">
        <v>973</v>
      </c>
      <c r="R18">
        <v>-65709917</v>
      </c>
      <c r="S18" s="5">
        <v>-0.45029999999999998</v>
      </c>
      <c r="T18" t="s">
        <v>974</v>
      </c>
      <c r="U18">
        <v>654314840</v>
      </c>
      <c r="V18">
        <v>654314840</v>
      </c>
      <c r="W18" t="s">
        <v>37</v>
      </c>
      <c r="X18">
        <v>0.12</v>
      </c>
      <c r="Y18">
        <v>-8.0399999999999991</v>
      </c>
      <c r="Z18" t="s">
        <v>975</v>
      </c>
      <c r="AA18" t="s">
        <v>976</v>
      </c>
      <c r="AB18" t="s">
        <v>977</v>
      </c>
      <c r="AC18" t="s">
        <v>978</v>
      </c>
      <c r="AD18" t="s">
        <v>37</v>
      </c>
      <c r="AE18">
        <v>26291245</v>
      </c>
      <c r="AF18" t="s">
        <v>598</v>
      </c>
      <c r="AG18" t="s">
        <v>979</v>
      </c>
      <c r="AH18" t="s">
        <v>599</v>
      </c>
      <c r="AI18" t="s">
        <v>980</v>
      </c>
      <c r="AJ18" t="s">
        <v>37</v>
      </c>
      <c r="AK18" t="s">
        <v>90</v>
      </c>
      <c r="AL18" t="s">
        <v>600</v>
      </c>
      <c r="AM18" t="s">
        <v>37</v>
      </c>
      <c r="AN18" t="s">
        <v>981</v>
      </c>
      <c r="AO18" t="s">
        <v>982</v>
      </c>
      <c r="AP18" t="s">
        <v>983</v>
      </c>
      <c r="AQ18" t="s">
        <v>984</v>
      </c>
      <c r="AR18" t="s">
        <v>37</v>
      </c>
      <c r="AS18" t="s">
        <v>985</v>
      </c>
      <c r="AT18" t="s">
        <v>986</v>
      </c>
      <c r="AU18" t="s">
        <v>987</v>
      </c>
      <c r="AV18" t="s">
        <v>988</v>
      </c>
      <c r="AW18" t="s">
        <v>989</v>
      </c>
      <c r="AX18" t="s">
        <v>332</v>
      </c>
      <c r="AY18" t="s">
        <v>225</v>
      </c>
      <c r="AZ18" t="s">
        <v>160</v>
      </c>
      <c r="BA18" t="s">
        <v>72</v>
      </c>
      <c r="BB18" t="s">
        <v>162</v>
      </c>
      <c r="BC18" t="s">
        <v>601</v>
      </c>
      <c r="BD18" t="s">
        <v>226</v>
      </c>
      <c r="BE18" t="s">
        <v>161</v>
      </c>
      <c r="BF18" t="s">
        <v>73</v>
      </c>
      <c r="BG18" t="s">
        <v>163</v>
      </c>
      <c r="BH18" t="s">
        <v>595</v>
      </c>
      <c r="BI18" t="s">
        <v>990</v>
      </c>
      <c r="BJ18" t="s">
        <v>332</v>
      </c>
      <c r="BK18" t="s">
        <v>596</v>
      </c>
      <c r="BL18" t="s">
        <v>991</v>
      </c>
      <c r="BM18" t="s">
        <v>601</v>
      </c>
      <c r="BN18" t="s">
        <v>37</v>
      </c>
      <c r="BO18" t="s">
        <v>37</v>
      </c>
      <c r="BP18" t="s">
        <v>37</v>
      </c>
      <c r="BQ18">
        <v>-154.1</v>
      </c>
      <c r="BR18">
        <v>-162.29</v>
      </c>
      <c r="BS18">
        <v>-63.34</v>
      </c>
      <c r="BT18" t="s">
        <v>293</v>
      </c>
      <c r="BU18" t="s">
        <v>267</v>
      </c>
      <c r="BV18">
        <v>0.17</v>
      </c>
      <c r="BW18">
        <v>-5.23</v>
      </c>
      <c r="BX18">
        <v>3.88</v>
      </c>
      <c r="BY18">
        <v>-24.94</v>
      </c>
      <c r="BZ18">
        <v>-44.65</v>
      </c>
      <c r="CA18">
        <v>-25.27</v>
      </c>
      <c r="CB18">
        <v>2.2599999999999998</v>
      </c>
      <c r="CC18">
        <v>-9.1300000000000008</v>
      </c>
      <c r="CD18" t="s">
        <v>992</v>
      </c>
      <c r="CE18" t="s">
        <v>993</v>
      </c>
      <c r="CF18" s="6">
        <v>-0.74773039889958737</v>
      </c>
      <c r="CG18" s="7">
        <v>0.93046569629629627</v>
      </c>
      <c r="CH18" s="6">
        <v>12.929134368896484</v>
      </c>
      <c r="CI18" s="6">
        <v>-0.35545113682746887</v>
      </c>
      <c r="CJ18" s="6">
        <v>-0.17237091064453125</v>
      </c>
      <c r="CK18" s="6">
        <v>7.0500066503882408E-3</v>
      </c>
      <c r="CL18" s="6">
        <v>-0.12465718388557434</v>
      </c>
      <c r="CM18" s="7">
        <v>-3.242971658706665</v>
      </c>
      <c r="CN18" s="7">
        <v>-0.11826347559690475</v>
      </c>
      <c r="CO18" s="7">
        <v>-1.7209775447845459</v>
      </c>
      <c r="CP18" s="7">
        <v>-12.348455429077148</v>
      </c>
      <c r="CQ18" s="7">
        <v>-0.27269700169563293</v>
      </c>
      <c r="CR18">
        <v>-1.6759668281852986</v>
      </c>
      <c r="CS18">
        <v>-6.8219108506446871E-3</v>
      </c>
      <c r="CT18">
        <v>0</v>
      </c>
      <c r="CU18" s="6">
        <v>2.4567410288378597</v>
      </c>
      <c r="CV18" s="7">
        <v>-3.5406730219721796</v>
      </c>
      <c r="CW18">
        <v>0.06</v>
      </c>
      <c r="CX18" t="e">
        <v>#VALUE!</v>
      </c>
      <c r="CY18" t="s">
        <v>256</v>
      </c>
      <c r="CZ18">
        <v>2.4567410288378597</v>
      </c>
      <c r="DA18" t="e">
        <v>#VALUE!</v>
      </c>
      <c r="DB18" t="s">
        <v>257</v>
      </c>
      <c r="DC18">
        <v>2.3339039773959667</v>
      </c>
      <c r="DD18" t="e">
        <v>#VALUE!</v>
      </c>
      <c r="DE18" t="s">
        <v>257</v>
      </c>
      <c r="DF18">
        <v>2.1619321053773164</v>
      </c>
      <c r="DG18" t="e">
        <v>#VALUE!</v>
      </c>
      <c r="DH18" t="s">
        <v>257</v>
      </c>
      <c r="DI18">
        <v>1.965392823070288</v>
      </c>
      <c r="DJ18" t="e">
        <v>#VALUE!</v>
      </c>
      <c r="DK18" t="s">
        <v>257</v>
      </c>
      <c r="DL18">
        <v>1.7197187201865016</v>
      </c>
      <c r="DM18">
        <v>-6339000000</v>
      </c>
      <c r="DN18">
        <v>2.4567410288378597</v>
      </c>
      <c r="DO18">
        <v>12187604600</v>
      </c>
      <c r="DP18">
        <v>-2852167700</v>
      </c>
      <c r="DQ18">
        <v>3138</v>
      </c>
      <c r="DR18">
        <v>-3.2044714277374471</v>
      </c>
      <c r="DS18">
        <v>4.4711387182684756</v>
      </c>
      <c r="DT18" s="8">
        <v>-0.42333333333333339</v>
      </c>
      <c r="DU18">
        <v>-2.6183333333333336</v>
      </c>
      <c r="DV18">
        <v>-3.041666666666667</v>
      </c>
      <c r="DW18">
        <v>-2.0912999999999999</v>
      </c>
      <c r="DX18">
        <v>0.24893138686131308</v>
      </c>
      <c r="DY18">
        <v>-2.0090324356204379</v>
      </c>
      <c r="DZ18">
        <v>3138</v>
      </c>
      <c r="EA18">
        <v>-2.0034857070535232</v>
      </c>
      <c r="EB18">
        <v>2</v>
      </c>
      <c r="EC18">
        <v>2.0714187072388573E-2</v>
      </c>
      <c r="ED18">
        <v>0.20937932570809489</v>
      </c>
      <c r="EE18" s="9">
        <v>3.0038100000000001</v>
      </c>
      <c r="EF18">
        <v>3.0051100000000002</v>
      </c>
      <c r="EG18">
        <v>15.098931386861313</v>
      </c>
      <c r="EH18" t="s">
        <v>641</v>
      </c>
      <c r="EI18">
        <v>0</v>
      </c>
      <c r="EJ18">
        <v>0</v>
      </c>
      <c r="EK18" s="12">
        <v>45470</v>
      </c>
      <c r="EL18" s="13">
        <v>1.02</v>
      </c>
      <c r="EM18" s="13">
        <v>-2.87</v>
      </c>
      <c r="EN18" s="13">
        <v>0.41</v>
      </c>
      <c r="EO18" s="13">
        <v>3.76</v>
      </c>
      <c r="EP18" s="13">
        <v>-0.13</v>
      </c>
    </row>
    <row r="19" spans="1:146" ht="108" x14ac:dyDescent="0.25">
      <c r="A19" s="10"/>
      <c r="B19" s="10"/>
      <c r="C19" s="10" t="str">
        <f>""&amp;CHAR(10)&amp;Basic_Fundamental_Information_Constructure(F19)&amp;CHAR(10)&amp;Basic_Fundamental_Information_Concatenate("")</f>
        <v xml:space="preserve">
市值377.17849亿, 利润1.42亿; PE346; 平均PE-127.35; 平均PEG-5.18, PB2.82; ROIC.625%; ROE-2.7%; 股利率.1216%; 毛利9.29%; 净利-1.62%; 上一年度营收增-92.56%, 利润增108.98%; 当季营收增1685.26%, 利润增91.88%; 过往5年营收增-24.59%, 利润增-118.75%
Income profile:
</v>
      </c>
      <c r="D19" t="s">
        <v>75</v>
      </c>
      <c r="E19" t="s">
        <v>6</v>
      </c>
      <c r="F19">
        <v>17.27</v>
      </c>
      <c r="G19">
        <v>3.17</v>
      </c>
      <c r="H19" t="s">
        <v>994</v>
      </c>
      <c r="I19">
        <v>37717849000</v>
      </c>
      <c r="J19">
        <v>346</v>
      </c>
      <c r="K19">
        <v>2.82</v>
      </c>
      <c r="L19" t="s">
        <v>35</v>
      </c>
      <c r="M19" t="s">
        <v>602</v>
      </c>
      <c r="N19" t="s">
        <v>995</v>
      </c>
      <c r="O19" t="s">
        <v>603</v>
      </c>
      <c r="P19">
        <v>4.6100000000000003</v>
      </c>
      <c r="Q19" t="s">
        <v>996</v>
      </c>
      <c r="R19">
        <v>105493716</v>
      </c>
      <c r="S19" s="5">
        <v>-0.28720000000000001</v>
      </c>
      <c r="T19" t="s">
        <v>997</v>
      </c>
      <c r="U19">
        <v>2184009800</v>
      </c>
      <c r="V19">
        <v>2184009800</v>
      </c>
      <c r="W19">
        <v>3.29</v>
      </c>
      <c r="X19">
        <v>0.24</v>
      </c>
      <c r="Y19">
        <v>0.59</v>
      </c>
      <c r="Z19" t="s">
        <v>998</v>
      </c>
      <c r="AA19" t="s">
        <v>999</v>
      </c>
      <c r="AB19" t="s">
        <v>1000</v>
      </c>
      <c r="AC19" t="s">
        <v>1001</v>
      </c>
      <c r="AD19" t="s">
        <v>37</v>
      </c>
      <c r="AE19">
        <v>-12836147</v>
      </c>
      <c r="AF19" t="s">
        <v>606</v>
      </c>
      <c r="AG19" t="s">
        <v>1002</v>
      </c>
      <c r="AH19" t="s">
        <v>607</v>
      </c>
      <c r="AI19" t="s">
        <v>1003</v>
      </c>
      <c r="AJ19" t="s">
        <v>608</v>
      </c>
      <c r="AK19" t="s">
        <v>37</v>
      </c>
      <c r="AL19" t="s">
        <v>609</v>
      </c>
      <c r="AM19" t="s">
        <v>37</v>
      </c>
      <c r="AN19" t="s">
        <v>1004</v>
      </c>
      <c r="AO19" t="s">
        <v>475</v>
      </c>
      <c r="AP19" t="s">
        <v>1005</v>
      </c>
      <c r="AQ19" t="s">
        <v>1006</v>
      </c>
      <c r="AR19" t="s">
        <v>37</v>
      </c>
      <c r="AS19" t="s">
        <v>1007</v>
      </c>
      <c r="AT19" t="s">
        <v>1008</v>
      </c>
      <c r="AU19" t="s">
        <v>1009</v>
      </c>
      <c r="AV19" t="s">
        <v>871</v>
      </c>
      <c r="AW19" t="s">
        <v>1010</v>
      </c>
      <c r="AX19" t="s">
        <v>336</v>
      </c>
      <c r="AY19" t="s">
        <v>334</v>
      </c>
      <c r="AZ19" t="s">
        <v>335</v>
      </c>
      <c r="BA19" t="s">
        <v>165</v>
      </c>
      <c r="BB19" t="s">
        <v>166</v>
      </c>
      <c r="BC19" t="s">
        <v>333</v>
      </c>
      <c r="BD19" t="s">
        <v>227</v>
      </c>
      <c r="BE19" t="s">
        <v>164</v>
      </c>
      <c r="BF19" t="s">
        <v>74</v>
      </c>
      <c r="BG19" t="s">
        <v>167</v>
      </c>
      <c r="BH19" t="s">
        <v>604</v>
      </c>
      <c r="BI19" t="s">
        <v>1011</v>
      </c>
      <c r="BJ19" t="s">
        <v>336</v>
      </c>
      <c r="BK19" t="s">
        <v>605</v>
      </c>
      <c r="BL19" t="s">
        <v>1012</v>
      </c>
      <c r="BM19" t="s">
        <v>333</v>
      </c>
      <c r="BN19">
        <v>1.1399999999999999</v>
      </c>
      <c r="BO19" t="s">
        <v>37</v>
      </c>
      <c r="BP19">
        <v>0.11</v>
      </c>
      <c r="BQ19">
        <v>1.37</v>
      </c>
      <c r="BR19">
        <v>-10.97</v>
      </c>
      <c r="BS19">
        <v>1.5</v>
      </c>
      <c r="BT19" t="s">
        <v>610</v>
      </c>
      <c r="BU19" t="s">
        <v>267</v>
      </c>
      <c r="BV19">
        <v>11.29</v>
      </c>
      <c r="BW19">
        <v>8.42</v>
      </c>
      <c r="BX19">
        <v>8.16</v>
      </c>
      <c r="BY19">
        <v>-0.16</v>
      </c>
      <c r="BZ19">
        <v>-4.7300000000000004</v>
      </c>
      <c r="CA19">
        <v>0.03</v>
      </c>
      <c r="CB19">
        <v>9.0299999999999994</v>
      </c>
      <c r="CC19">
        <v>3.54</v>
      </c>
      <c r="CD19" t="s">
        <v>744</v>
      </c>
      <c r="CE19" t="s">
        <v>1013</v>
      </c>
      <c r="CF19" s="6">
        <v>16.852614896988907</v>
      </c>
      <c r="CG19" s="7">
        <v>0.91878274629634682</v>
      </c>
      <c r="CH19" s="6">
        <v>-0.92563366889953613</v>
      </c>
      <c r="CI19" s="6">
        <v>-9.2480234801769257E-2</v>
      </c>
      <c r="CJ19" s="6">
        <v>-6.1100602149963379E-2</v>
      </c>
      <c r="CK19" s="6">
        <v>-9.4213970005512238E-2</v>
      </c>
      <c r="CL19" s="6">
        <v>-5.6016881018877029E-2</v>
      </c>
      <c r="CM19" s="7">
        <v>1.0897598266601563</v>
      </c>
      <c r="CN19" s="7">
        <v>-8.9099998474121094</v>
      </c>
      <c r="CO19" s="7">
        <v>0.39860141277313232</v>
      </c>
      <c r="CP19" s="7">
        <v>0.34905660152435303</v>
      </c>
      <c r="CQ19" s="7">
        <v>1.1348600387573242</v>
      </c>
      <c r="CR19">
        <v>-127.35345751266178</v>
      </c>
      <c r="CS19">
        <v>-5.1793053184689803</v>
      </c>
      <c r="CT19">
        <v>0.12159814707585408</v>
      </c>
      <c r="CU19" s="6">
        <v>-0.24588907137513161</v>
      </c>
      <c r="CV19" s="7">
        <v>-1.1875443935394288</v>
      </c>
      <c r="CW19">
        <v>0.06</v>
      </c>
      <c r="CX19">
        <v>389.31583802816903</v>
      </c>
      <c r="CY19" t="s">
        <v>1014</v>
      </c>
      <c r="CZ19">
        <v>-0.24588907137513161</v>
      </c>
      <c r="DA19">
        <v>129.77194600938967</v>
      </c>
      <c r="DB19" t="s">
        <v>1015</v>
      </c>
      <c r="DC19">
        <v>-0.23359461780637503</v>
      </c>
      <c r="DD19">
        <v>64.885973004694833</v>
      </c>
      <c r="DE19" t="s">
        <v>1016</v>
      </c>
      <c r="DF19">
        <v>-0.21638238281011582</v>
      </c>
      <c r="DG19">
        <v>38.931583802816903</v>
      </c>
      <c r="DH19" t="s">
        <v>1017</v>
      </c>
      <c r="DI19">
        <v>-0.19671125710010529</v>
      </c>
      <c r="DJ19">
        <v>19.465791901408451</v>
      </c>
      <c r="DK19" t="s">
        <v>1018</v>
      </c>
      <c r="DL19">
        <v>-0.17212234996259212</v>
      </c>
      <c r="DM19">
        <v>142000000</v>
      </c>
      <c r="DN19">
        <v>-0.24588907137513161</v>
      </c>
      <c r="DO19">
        <v>55282849000</v>
      </c>
      <c r="DP19">
        <v>82406000</v>
      </c>
      <c r="DQ19">
        <v>3168</v>
      </c>
      <c r="DR19">
        <v>17.098503968364039</v>
      </c>
      <c r="DS19">
        <v>2.1063271398357757</v>
      </c>
      <c r="DT19" s="8">
        <v>-0.77333333333333332</v>
      </c>
      <c r="DU19">
        <v>0.66666666666666663</v>
      </c>
      <c r="DV19">
        <v>-0.10666666666666669</v>
      </c>
      <c r="DW19">
        <v>5.3920265780730894</v>
      </c>
      <c r="DX19">
        <v>0.51340963723776345</v>
      </c>
      <c r="DY19">
        <v>5.0836622498141395</v>
      </c>
      <c r="DZ19">
        <v>2486</v>
      </c>
      <c r="EA19">
        <v>5.0429608108634643</v>
      </c>
      <c r="EB19">
        <v>5</v>
      </c>
      <c r="EC19">
        <v>0.23900991653059434</v>
      </c>
      <c r="ED19">
        <v>1.11995834450926</v>
      </c>
      <c r="EE19" s="9">
        <v>2.0021100000000001</v>
      </c>
      <c r="EF19">
        <v>2.0346099999999998</v>
      </c>
      <c r="EG19">
        <v>30.213409637237763</v>
      </c>
      <c r="EH19" t="s">
        <v>556</v>
      </c>
      <c r="EI19">
        <v>1</v>
      </c>
      <c r="EJ19">
        <v>0</v>
      </c>
      <c r="EK19" s="12">
        <v>45470</v>
      </c>
      <c r="EL19" s="13">
        <v>-0.28999999999999998</v>
      </c>
      <c r="EM19" s="13">
        <v>-3.67</v>
      </c>
      <c r="EN19" s="13">
        <v>-1.2</v>
      </c>
      <c r="EO19" s="13">
        <v>2.94</v>
      </c>
      <c r="EP19" s="13">
        <v>-3.25</v>
      </c>
    </row>
    <row r="20" spans="1:146" ht="150" customHeight="1" x14ac:dyDescent="0.25">
      <c r="A20" s="10"/>
      <c r="B20" s="10"/>
      <c r="C20" s="10" t="str">
        <f>"公司是一家汽车制造业公司。目前本公司的主要产品包括：大、中、轻型客车等。主要应用于旅游客运、公路客运、公交客运、团体运输、校车、专用客车等市场。"&amp;CHAR(10)&amp;Basic_Fundamental_Information_Constructure(F20)&amp;CHAR(10)&amp;Basic_Fundamental_Information_Concatenate("汽车及车身件 60.82亿 92.54% 86.89% 9.26%
其他业务 4.90亿 7.46% 13.11% 17.32%")</f>
        <v>公司是一家汽车制造业公司。目前本公司的主要产品包括：大、中、轻型客车等。主要应用于旅游客运、公路客运、公交客运、团体运输、校车、专用客车等市场。
市值52.846395亿, 利润-14.06亿; PE64.38; 平均PE-15.73; 平均PEG-.19, PB1.68; ROIC.54%; ROE-9.2033%; 股利率.4749%; 毛利9.9733%; 净利-2.2633%; 上一年度营收增409.95%, 利润增-263.31%; 当季营收增-81.9%, 利润增110.83%; 过往5年营收增82.91%, 利润增-452.41%
Income profile:
汽车及车身件 60.82亿 92.54% 86.89% 9.26%
其他业务 4.90亿 7.46% 13.11% 17.32%</v>
      </c>
      <c r="D20" t="s">
        <v>91</v>
      </c>
      <c r="E20" t="s">
        <v>10</v>
      </c>
      <c r="F20">
        <v>7.37</v>
      </c>
      <c r="G20">
        <v>0.55000000000000004</v>
      </c>
      <c r="H20" t="s">
        <v>1019</v>
      </c>
      <c r="I20">
        <v>5284639500</v>
      </c>
      <c r="J20">
        <v>64.38</v>
      </c>
      <c r="K20">
        <v>1.68</v>
      </c>
      <c r="L20" t="s">
        <v>35</v>
      </c>
      <c r="M20" t="s">
        <v>611</v>
      </c>
      <c r="N20" t="s">
        <v>1020</v>
      </c>
      <c r="O20" t="s">
        <v>612</v>
      </c>
      <c r="P20">
        <v>6.22</v>
      </c>
      <c r="Q20" t="s">
        <v>1021</v>
      </c>
      <c r="R20">
        <v>17659532</v>
      </c>
      <c r="S20" s="5">
        <v>0.65459999999999996</v>
      </c>
      <c r="T20" t="s">
        <v>1022</v>
      </c>
      <c r="U20">
        <v>717047420</v>
      </c>
      <c r="V20">
        <v>717047420</v>
      </c>
      <c r="W20">
        <v>6.57</v>
      </c>
      <c r="X20">
        <v>0.15</v>
      </c>
      <c r="Y20">
        <v>0.97</v>
      </c>
      <c r="Z20" t="s">
        <v>1023</v>
      </c>
      <c r="AA20" t="s">
        <v>1024</v>
      </c>
      <c r="AB20" t="s">
        <v>1025</v>
      </c>
      <c r="AC20" t="s">
        <v>341</v>
      </c>
      <c r="AD20" t="s">
        <v>37</v>
      </c>
      <c r="AE20">
        <v>3789808</v>
      </c>
      <c r="AF20" t="s">
        <v>615</v>
      </c>
      <c r="AG20" t="s">
        <v>1026</v>
      </c>
      <c r="AH20" t="s">
        <v>616</v>
      </c>
      <c r="AI20" t="s">
        <v>1027</v>
      </c>
      <c r="AJ20" t="s">
        <v>617</v>
      </c>
      <c r="AK20" t="s">
        <v>1028</v>
      </c>
      <c r="AL20" t="s">
        <v>618</v>
      </c>
      <c r="AM20" t="s">
        <v>37</v>
      </c>
      <c r="AN20" t="s">
        <v>341</v>
      </c>
      <c r="AO20" t="s">
        <v>442</v>
      </c>
      <c r="AP20" t="s">
        <v>1029</v>
      </c>
      <c r="AQ20" t="s">
        <v>1030</v>
      </c>
      <c r="AR20" t="s">
        <v>1031</v>
      </c>
      <c r="AS20" t="s">
        <v>1032</v>
      </c>
      <c r="AT20" t="s">
        <v>77</v>
      </c>
      <c r="AU20" t="s">
        <v>1033</v>
      </c>
      <c r="AV20" t="s">
        <v>1034</v>
      </c>
      <c r="AW20" t="s">
        <v>1035</v>
      </c>
      <c r="AX20" t="s">
        <v>337</v>
      </c>
      <c r="AY20" t="s">
        <v>228</v>
      </c>
      <c r="AZ20" t="s">
        <v>168</v>
      </c>
      <c r="BA20" t="s">
        <v>92</v>
      </c>
      <c r="BB20" t="s">
        <v>170</v>
      </c>
      <c r="BC20" t="s">
        <v>338</v>
      </c>
      <c r="BD20" t="s">
        <v>229</v>
      </c>
      <c r="BE20" t="s">
        <v>169</v>
      </c>
      <c r="BF20" t="s">
        <v>93</v>
      </c>
      <c r="BG20" t="s">
        <v>171</v>
      </c>
      <c r="BH20" t="s">
        <v>613</v>
      </c>
      <c r="BI20" t="s">
        <v>1036</v>
      </c>
      <c r="BJ20" t="s">
        <v>337</v>
      </c>
      <c r="BK20" t="s">
        <v>614</v>
      </c>
      <c r="BL20" t="s">
        <v>1037</v>
      </c>
      <c r="BM20" t="s">
        <v>338</v>
      </c>
      <c r="BN20">
        <v>0.54</v>
      </c>
      <c r="BO20" t="s">
        <v>37</v>
      </c>
      <c r="BP20" t="s">
        <v>37</v>
      </c>
      <c r="BQ20">
        <v>1.38</v>
      </c>
      <c r="BR20">
        <v>-12.63</v>
      </c>
      <c r="BS20">
        <v>-16.36</v>
      </c>
      <c r="BT20" t="s">
        <v>619</v>
      </c>
      <c r="BU20" t="s">
        <v>269</v>
      </c>
      <c r="BV20">
        <v>11.56</v>
      </c>
      <c r="BW20">
        <v>9.56</v>
      </c>
      <c r="BX20">
        <v>8.8000000000000007</v>
      </c>
      <c r="BY20">
        <v>0.74</v>
      </c>
      <c r="BZ20">
        <v>-2.5</v>
      </c>
      <c r="CA20">
        <v>-5.03</v>
      </c>
      <c r="CB20">
        <v>0.14000000000000001</v>
      </c>
      <c r="CC20">
        <v>-12.68</v>
      </c>
      <c r="CD20" t="s">
        <v>1038</v>
      </c>
      <c r="CE20" t="s">
        <v>1039</v>
      </c>
      <c r="CF20" s="6">
        <v>-0.81895531895531892</v>
      </c>
      <c r="CG20" s="7">
        <v>1.1083406871165644</v>
      </c>
      <c r="CH20" s="6">
        <v>4.099452018737793</v>
      </c>
      <c r="CI20" s="6">
        <v>0.1830327957868576</v>
      </c>
      <c r="CJ20" s="6">
        <v>0.10459957271814346</v>
      </c>
      <c r="CK20" s="6">
        <v>-0.21983122825622559</v>
      </c>
      <c r="CL20" s="6">
        <v>-2.1868623793125153E-2</v>
      </c>
      <c r="CM20" s="7">
        <v>-2.6330749988555908</v>
      </c>
      <c r="CN20" s="7">
        <v>0.34957984089851379</v>
      </c>
      <c r="CO20" s="7">
        <v>-19.651803970336914</v>
      </c>
      <c r="CP20" s="7">
        <v>-0.82375466823577881</v>
      </c>
      <c r="CQ20" s="7">
        <v>0.13836477696895599</v>
      </c>
      <c r="CR20">
        <v>-15.727316745660779</v>
      </c>
      <c r="CS20">
        <v>-0.18969671706133853</v>
      </c>
      <c r="CT20">
        <v>0.47489823609226589</v>
      </c>
      <c r="CU20" s="6">
        <v>0.82907690703868864</v>
      </c>
      <c r="CV20" s="7">
        <v>-4.5241378039121631</v>
      </c>
      <c r="CW20">
        <v>0.06</v>
      </c>
      <c r="CX20" t="e">
        <v>#VALUE!</v>
      </c>
      <c r="CY20" t="s">
        <v>257</v>
      </c>
      <c r="CZ20">
        <v>0.82907690703868864</v>
      </c>
      <c r="DA20" t="e">
        <v>#VALUE!</v>
      </c>
      <c r="DB20" t="s">
        <v>257</v>
      </c>
      <c r="DC20">
        <v>0.78762306168675422</v>
      </c>
      <c r="DD20" t="e">
        <v>#VALUE!</v>
      </c>
      <c r="DE20" t="s">
        <v>257</v>
      </c>
      <c r="DF20">
        <v>0.72958767819404602</v>
      </c>
      <c r="DG20" t="e">
        <v>#VALUE!</v>
      </c>
      <c r="DH20" t="s">
        <v>257</v>
      </c>
      <c r="DI20">
        <v>0.66326152563095098</v>
      </c>
      <c r="DJ20" t="e">
        <v>#VALUE!</v>
      </c>
      <c r="DK20" t="s">
        <v>257</v>
      </c>
      <c r="DL20">
        <v>0.58035383492708204</v>
      </c>
      <c r="DM20">
        <v>-1406000000</v>
      </c>
      <c r="DN20">
        <v>0.82907690703868864</v>
      </c>
      <c r="DO20">
        <v>23425639500</v>
      </c>
      <c r="DP20">
        <v>488438000</v>
      </c>
      <c r="DQ20">
        <v>3376</v>
      </c>
      <c r="DR20">
        <v>-1.6480322259940077</v>
      </c>
      <c r="DS20">
        <v>5.6324784910287278</v>
      </c>
      <c r="DT20" s="8">
        <v>-0.10666666666666669</v>
      </c>
      <c r="DU20">
        <v>-1.4933333333333332</v>
      </c>
      <c r="DV20">
        <v>-1.5999999999999999</v>
      </c>
      <c r="DW20">
        <v>-2.1267999999999998</v>
      </c>
      <c r="DX20">
        <v>0.31948482758620611</v>
      </c>
      <c r="DY20">
        <v>-2.0126146761379311</v>
      </c>
      <c r="DZ20">
        <v>951</v>
      </c>
      <c r="EA20">
        <v>-2.0102670133185234</v>
      </c>
      <c r="EB20">
        <v>2</v>
      </c>
      <c r="EC20">
        <v>8.0470549632547309E-2</v>
      </c>
      <c r="ED20">
        <v>0.80887258474481372</v>
      </c>
      <c r="EE20" s="9">
        <v>1.11561</v>
      </c>
      <c r="EF20">
        <v>1.10981</v>
      </c>
      <c r="EG20">
        <v>22.099484827586206</v>
      </c>
      <c r="EH20" t="s">
        <v>294</v>
      </c>
      <c r="EI20">
        <v>0</v>
      </c>
      <c r="EJ20">
        <v>1</v>
      </c>
      <c r="EK20" s="12">
        <v>45470</v>
      </c>
      <c r="EL20" s="13">
        <v>1.62</v>
      </c>
      <c r="EM20" s="13">
        <v>-2.94</v>
      </c>
      <c r="EN20" s="13">
        <v>-3.44</v>
      </c>
      <c r="EO20" s="13">
        <v>0.89</v>
      </c>
      <c r="EP20" s="13">
        <v>0.57999999999999996</v>
      </c>
    </row>
    <row r="21" spans="1:146" ht="96" x14ac:dyDescent="0.25">
      <c r="A21" s="10"/>
      <c r="B21" s="10"/>
      <c r="C21" s="10" t="str">
        <f>""&amp;CHAR(10)&amp;Basic_Fundamental_Information_Constructure(F21)&amp;CHAR(10)&amp;Basic_Fundamental_Information_Concatenate("")</f>
        <v xml:space="preserve">
市值508.30349亿, 利润3719.58万; PE; 平均PE-17.95; 平均PEG-1.29, PB9.65; ROIC0%; ROE-52.4833%; 股利率0%; 毛利-3.37%; 净利-51.21%; 上一年度营收增-96.48%, 利润增100.68%; 当季营收增4098.15%, 利润增-9943.44%; 过往5年营收增-13.88%, 利润增-1400.75%
Income profile:
</v>
      </c>
      <c r="D21" t="s">
        <v>49</v>
      </c>
      <c r="E21" t="s">
        <v>5</v>
      </c>
      <c r="F21">
        <v>9.1199999999999992</v>
      </c>
      <c r="G21">
        <v>9.8800000000000008</v>
      </c>
      <c r="H21" t="s">
        <v>1040</v>
      </c>
      <c r="I21">
        <v>50830349000</v>
      </c>
      <c r="K21">
        <v>9.65</v>
      </c>
      <c r="L21" t="s">
        <v>35</v>
      </c>
      <c r="M21" t="s">
        <v>621</v>
      </c>
      <c r="N21" t="s">
        <v>1041</v>
      </c>
      <c r="O21" t="s">
        <v>622</v>
      </c>
      <c r="P21">
        <v>-39.75</v>
      </c>
      <c r="Q21" t="s">
        <v>545</v>
      </c>
      <c r="R21">
        <v>-1015922030</v>
      </c>
      <c r="S21" s="5">
        <v>-0.13919999999999999</v>
      </c>
      <c r="T21" t="s">
        <v>1042</v>
      </c>
      <c r="U21">
        <v>4847918100</v>
      </c>
      <c r="V21">
        <v>5573503200</v>
      </c>
      <c r="W21">
        <v>4.97</v>
      </c>
      <c r="X21">
        <v>0.05</v>
      </c>
      <c r="Y21">
        <v>-66.430000000000007</v>
      </c>
      <c r="Z21" t="s">
        <v>629</v>
      </c>
      <c r="AA21" t="s">
        <v>1043</v>
      </c>
      <c r="AB21" t="s">
        <v>1044</v>
      </c>
      <c r="AC21" t="s">
        <v>1045</v>
      </c>
      <c r="AD21" t="s">
        <v>37</v>
      </c>
      <c r="AE21">
        <v>93596708</v>
      </c>
      <c r="AF21" t="s">
        <v>625</v>
      </c>
      <c r="AG21" t="s">
        <v>1046</v>
      </c>
      <c r="AH21" t="s">
        <v>626</v>
      </c>
      <c r="AI21" t="s">
        <v>1047</v>
      </c>
      <c r="AJ21" t="s">
        <v>627</v>
      </c>
      <c r="AK21" t="s">
        <v>1048</v>
      </c>
      <c r="AL21" t="s">
        <v>628</v>
      </c>
      <c r="AM21" t="s">
        <v>37</v>
      </c>
      <c r="AN21" t="s">
        <v>1049</v>
      </c>
      <c r="AO21" t="s">
        <v>1050</v>
      </c>
      <c r="AP21" t="s">
        <v>1051</v>
      </c>
      <c r="AQ21" t="s">
        <v>1052</v>
      </c>
      <c r="AR21" t="s">
        <v>1053</v>
      </c>
      <c r="AS21" t="s">
        <v>1054</v>
      </c>
      <c r="AT21" t="s">
        <v>1055</v>
      </c>
      <c r="AU21" t="s">
        <v>1056</v>
      </c>
      <c r="AV21" t="s">
        <v>1057</v>
      </c>
      <c r="AW21" t="s">
        <v>1058</v>
      </c>
      <c r="AX21" t="s">
        <v>339</v>
      </c>
      <c r="AY21" t="s">
        <v>230</v>
      </c>
      <c r="AZ21" t="s">
        <v>172</v>
      </c>
      <c r="BA21" t="s">
        <v>50</v>
      </c>
      <c r="BB21" t="s">
        <v>174</v>
      </c>
      <c r="BC21" t="s">
        <v>340</v>
      </c>
      <c r="BD21" t="s">
        <v>231</v>
      </c>
      <c r="BE21" t="s">
        <v>173</v>
      </c>
      <c r="BF21" t="s">
        <v>51</v>
      </c>
      <c r="BG21" t="s">
        <v>175</v>
      </c>
      <c r="BH21" t="s">
        <v>623</v>
      </c>
      <c r="BI21" t="s">
        <v>1059</v>
      </c>
      <c r="BJ21" t="s">
        <v>339</v>
      </c>
      <c r="BK21" t="s">
        <v>624</v>
      </c>
      <c r="BL21" t="s">
        <v>1060</v>
      </c>
      <c r="BM21" t="s">
        <v>340</v>
      </c>
      <c r="BN21" t="s">
        <v>37</v>
      </c>
      <c r="BO21" t="s">
        <v>37</v>
      </c>
      <c r="BP21" t="s">
        <v>37</v>
      </c>
      <c r="BQ21">
        <v>-48.36</v>
      </c>
      <c r="BR21">
        <v>-65.14</v>
      </c>
      <c r="BS21">
        <v>-43.95</v>
      </c>
      <c r="BT21" t="s">
        <v>293</v>
      </c>
      <c r="BU21" t="s">
        <v>268</v>
      </c>
      <c r="BV21">
        <v>-5.72</v>
      </c>
      <c r="BW21">
        <v>-5.2</v>
      </c>
      <c r="BX21">
        <v>0.81</v>
      </c>
      <c r="BY21">
        <v>-37.47</v>
      </c>
      <c r="BZ21">
        <v>-56.71</v>
      </c>
      <c r="CA21">
        <v>-59.45</v>
      </c>
      <c r="CB21">
        <v>12.87</v>
      </c>
      <c r="CC21">
        <v>32.17</v>
      </c>
      <c r="CD21" t="s">
        <v>1061</v>
      </c>
      <c r="CE21" t="s">
        <v>1062</v>
      </c>
      <c r="CF21" s="6">
        <v>40.981528127623847</v>
      </c>
      <c r="CG21" s="7">
        <v>-99.434426594837603</v>
      </c>
      <c r="CH21" s="6">
        <v>-0.96478879451751709</v>
      </c>
      <c r="CI21" s="6">
        <v>9.3940488994121552E-2</v>
      </c>
      <c r="CJ21" s="6">
        <v>0.64965856075286865</v>
      </c>
      <c r="CK21" s="6">
        <v>-0.77650594711303711</v>
      </c>
      <c r="CL21" s="6">
        <v>0.30390799045562744</v>
      </c>
      <c r="CM21" s="7">
        <v>1.0068061351776123</v>
      </c>
      <c r="CN21" s="7">
        <v>-4.2143337428569794E-2</v>
      </c>
      <c r="CO21" s="7">
        <v>0.19099037349224091</v>
      </c>
      <c r="CP21" s="7">
        <v>-71.44879150390625</v>
      </c>
      <c r="CQ21" s="7">
        <v>0.25542661547660828</v>
      </c>
      <c r="CR21">
        <v>-17.952262919062647</v>
      </c>
      <c r="CS21">
        <v>-1.2937864769088403</v>
      </c>
      <c r="CT21">
        <v>0</v>
      </c>
      <c r="CU21" s="6">
        <v>-0.13875754028558732</v>
      </c>
      <c r="CV21" s="7">
        <v>-14.007542343437672</v>
      </c>
      <c r="CW21">
        <v>0.06</v>
      </c>
      <c r="CX21" t="e">
        <v>#VALUE!</v>
      </c>
      <c r="CY21" t="s">
        <v>966</v>
      </c>
      <c r="CZ21">
        <v>-0.13875754028558732</v>
      </c>
      <c r="DA21">
        <v>615.8522288358721</v>
      </c>
      <c r="DB21" t="s">
        <v>1063</v>
      </c>
      <c r="DC21">
        <v>-0.13181966327130795</v>
      </c>
      <c r="DD21">
        <v>307.92611441793605</v>
      </c>
      <c r="DE21" t="s">
        <v>1064</v>
      </c>
      <c r="DF21">
        <v>-0.12210663545131684</v>
      </c>
      <c r="DG21">
        <v>184.75566865076163</v>
      </c>
      <c r="DH21" t="s">
        <v>1065</v>
      </c>
      <c r="DI21">
        <v>-0.11100603222846986</v>
      </c>
      <c r="DJ21">
        <v>92.377834325380817</v>
      </c>
      <c r="DK21" t="s">
        <v>1066</v>
      </c>
      <c r="DL21">
        <v>-9.7130278199911116E-2</v>
      </c>
      <c r="DM21">
        <v>37195800</v>
      </c>
      <c r="DN21">
        <v>-0.13875754028558732</v>
      </c>
      <c r="DO21">
        <v>68721349000</v>
      </c>
      <c r="DP21">
        <v>-4880694000</v>
      </c>
      <c r="DQ21">
        <v>3417</v>
      </c>
      <c r="DR21">
        <v>41.120285667909435</v>
      </c>
      <c r="DS21">
        <v>-85.426884251399926</v>
      </c>
      <c r="DT21" s="8">
        <v>-0.64</v>
      </c>
      <c r="DU21">
        <v>-1.8150000000000002</v>
      </c>
      <c r="DV21">
        <v>-2.4550000000000001</v>
      </c>
      <c r="DW21">
        <v>9.4000621697233449</v>
      </c>
      <c r="DX21">
        <v>0.58335529202703107</v>
      </c>
      <c r="DY21">
        <v>9.1013578678392246</v>
      </c>
      <c r="DZ21">
        <v>3671</v>
      </c>
      <c r="EA21">
        <v>9.0285428516283055</v>
      </c>
      <c r="EB21">
        <v>9</v>
      </c>
      <c r="EC21">
        <v>0.35902015809374616</v>
      </c>
      <c r="ED21">
        <v>1.4170620732755657</v>
      </c>
      <c r="EE21" s="9">
        <v>-4.0404999999999998</v>
      </c>
      <c r="EF21">
        <v>-4.0118999999999998</v>
      </c>
      <c r="EG21">
        <v>33.253355292027031</v>
      </c>
      <c r="EH21" t="s">
        <v>922</v>
      </c>
      <c r="EI21">
        <v>1</v>
      </c>
      <c r="EJ21">
        <v>0</v>
      </c>
      <c r="EK21" s="12">
        <v>45470</v>
      </c>
      <c r="EL21" s="13">
        <v>-1.06</v>
      </c>
      <c r="EM21" s="13">
        <v>4.09</v>
      </c>
      <c r="EN21" s="13">
        <v>-4.03</v>
      </c>
      <c r="EO21" s="13">
        <v>1.61</v>
      </c>
      <c r="EP21" s="13">
        <v>-2.86</v>
      </c>
    </row>
    <row r="22" spans="1:146" ht="96" x14ac:dyDescent="0.25">
      <c r="A22" s="10"/>
      <c r="B22" s="10"/>
      <c r="C22" s="10" t="str">
        <f>""&amp;CHAR(10)&amp;Basic_Fundamental_Information_Constructure(F22)&amp;CHAR(10)&amp;Basic_Fundamental_Information_Concatenate("")</f>
        <v xml:space="preserve">
市值1312.00073亿, 利润32.82亿; PE; 平均PE-199.75; 平均PEG-54.59, PB11.28; ROIC0%; ROE-30.9%; 股利率0%; 毛利8.4933%; 净利-14.2167%; 上一年度营收增-71.06%, 利润增185.65%; 当季营收增1002.12%, 利润增-72.38%; 过往5年营收增3.66%, 利润增-530.27%
Income profile:
</v>
      </c>
      <c r="D22" t="s">
        <v>52</v>
      </c>
      <c r="E22" t="s">
        <v>270</v>
      </c>
      <c r="F22">
        <v>86.9</v>
      </c>
      <c r="G22">
        <v>0.27</v>
      </c>
      <c r="H22" t="s">
        <v>1067</v>
      </c>
      <c r="I22">
        <v>131200073000</v>
      </c>
      <c r="K22">
        <v>11.28</v>
      </c>
      <c r="L22" t="s">
        <v>35</v>
      </c>
      <c r="M22" t="s">
        <v>1068</v>
      </c>
      <c r="N22" t="s">
        <v>1069</v>
      </c>
      <c r="O22" t="s">
        <v>1070</v>
      </c>
      <c r="P22">
        <v>421.76</v>
      </c>
      <c r="Q22" t="s">
        <v>1071</v>
      </c>
      <c r="R22">
        <v>219551770</v>
      </c>
      <c r="S22" s="5">
        <v>1.351</v>
      </c>
      <c r="T22" t="s">
        <v>1072</v>
      </c>
      <c r="U22">
        <v>1509782200</v>
      </c>
      <c r="V22">
        <v>1509782200</v>
      </c>
      <c r="W22">
        <v>8.52</v>
      </c>
      <c r="X22">
        <v>0.47</v>
      </c>
      <c r="Y22">
        <v>0.33</v>
      </c>
      <c r="Z22" t="s">
        <v>1073</v>
      </c>
      <c r="AA22" t="s">
        <v>1074</v>
      </c>
      <c r="AB22" t="s">
        <v>1075</v>
      </c>
      <c r="AC22" t="s">
        <v>1076</v>
      </c>
      <c r="AD22" t="s">
        <v>37</v>
      </c>
      <c r="AE22">
        <v>1043847</v>
      </c>
      <c r="AF22" t="s">
        <v>1077</v>
      </c>
      <c r="AG22" t="s">
        <v>1078</v>
      </c>
      <c r="AH22" t="s">
        <v>1079</v>
      </c>
      <c r="AI22" t="s">
        <v>1080</v>
      </c>
      <c r="AJ22" t="s">
        <v>1081</v>
      </c>
      <c r="AK22" t="s">
        <v>37</v>
      </c>
      <c r="AL22" t="s">
        <v>1082</v>
      </c>
      <c r="AM22" t="s">
        <v>37</v>
      </c>
      <c r="AN22" t="s">
        <v>1083</v>
      </c>
      <c r="AO22" t="s">
        <v>1084</v>
      </c>
      <c r="AP22" t="s">
        <v>1085</v>
      </c>
      <c r="AQ22" t="s">
        <v>1086</v>
      </c>
      <c r="AR22" t="s">
        <v>1087</v>
      </c>
      <c r="AS22" t="s">
        <v>1088</v>
      </c>
      <c r="AT22" t="s">
        <v>1089</v>
      </c>
      <c r="AU22" t="s">
        <v>1090</v>
      </c>
      <c r="AV22" t="s">
        <v>1091</v>
      </c>
      <c r="AW22" t="s">
        <v>1092</v>
      </c>
      <c r="AX22" t="s">
        <v>342</v>
      </c>
      <c r="AY22" t="s">
        <v>232</v>
      </c>
      <c r="AZ22" t="s">
        <v>176</v>
      </c>
      <c r="BA22" t="s">
        <v>53</v>
      </c>
      <c r="BB22" t="s">
        <v>178</v>
      </c>
      <c r="BC22" t="s">
        <v>343</v>
      </c>
      <c r="BD22" t="s">
        <v>233</v>
      </c>
      <c r="BE22" t="s">
        <v>177</v>
      </c>
      <c r="BF22" t="s">
        <v>54</v>
      </c>
      <c r="BG22" t="s">
        <v>179</v>
      </c>
      <c r="BH22" t="s">
        <v>1093</v>
      </c>
      <c r="BI22" t="s">
        <v>1094</v>
      </c>
      <c r="BJ22" t="s">
        <v>342</v>
      </c>
      <c r="BK22" t="s">
        <v>1095</v>
      </c>
      <c r="BL22" t="s">
        <v>511</v>
      </c>
      <c r="BM22" t="s">
        <v>343</v>
      </c>
      <c r="BN22" t="s">
        <v>37</v>
      </c>
      <c r="BO22" t="s">
        <v>37</v>
      </c>
      <c r="BP22" t="s">
        <v>37</v>
      </c>
      <c r="BQ22">
        <v>-22.2</v>
      </c>
      <c r="BR22">
        <v>-39.799999999999997</v>
      </c>
      <c r="BS22">
        <v>-30.7</v>
      </c>
      <c r="BT22" t="s">
        <v>293</v>
      </c>
      <c r="BU22" t="s">
        <v>268</v>
      </c>
      <c r="BV22">
        <v>10.39</v>
      </c>
      <c r="BW22">
        <v>11.32</v>
      </c>
      <c r="BX22">
        <v>3.77</v>
      </c>
      <c r="BY22">
        <v>-11.6</v>
      </c>
      <c r="BZ22">
        <v>-15.31</v>
      </c>
      <c r="CA22">
        <v>-15.74</v>
      </c>
      <c r="CB22">
        <v>-4.63</v>
      </c>
      <c r="CC22">
        <v>1.63</v>
      </c>
      <c r="CD22" t="s">
        <v>1096</v>
      </c>
      <c r="CE22" t="s">
        <v>1097</v>
      </c>
      <c r="CF22" s="6">
        <v>10.021161825726141</v>
      </c>
      <c r="CG22" s="7">
        <v>-0.72383425157232706</v>
      </c>
      <c r="CH22" s="6">
        <v>-0.71059960126876831</v>
      </c>
      <c r="CI22" s="6">
        <v>1.040016770362854</v>
      </c>
      <c r="CJ22" s="6">
        <v>0.16892741620540619</v>
      </c>
      <c r="CK22" s="6">
        <v>-0.21122878789901733</v>
      </c>
      <c r="CL22" s="6">
        <v>-0.10415011644363403</v>
      </c>
      <c r="CM22" s="7">
        <v>1.8564717769622803</v>
      </c>
      <c r="CN22" s="7">
        <v>-1.1008771657943726</v>
      </c>
      <c r="CO22" s="7">
        <v>-5.4945092648267746E-2</v>
      </c>
      <c r="CP22" s="7">
        <v>-26.913684844970703</v>
      </c>
      <c r="CQ22" s="7">
        <v>-0.30063959956169128</v>
      </c>
      <c r="CR22">
        <v>-199.75270922708052</v>
      </c>
      <c r="CS22">
        <v>-54.587480062504149</v>
      </c>
      <c r="CT22">
        <v>0</v>
      </c>
      <c r="CU22" s="6">
        <v>3.65931361913681E-2</v>
      </c>
      <c r="CV22" s="7">
        <v>-5.3027349852025507</v>
      </c>
      <c r="CW22">
        <v>0.06</v>
      </c>
      <c r="CX22">
        <v>52.301186556749343</v>
      </c>
      <c r="CY22">
        <v>3209527049.9811978</v>
      </c>
      <c r="CZ22">
        <v>3.65931361913681E-2</v>
      </c>
      <c r="DA22">
        <v>17.887030485499235</v>
      </c>
      <c r="DB22">
        <v>9384569067.2961864</v>
      </c>
      <c r="DC22">
        <v>3.4763479381799696E-2</v>
      </c>
      <c r="DD22">
        <v>9.3456546695503828</v>
      </c>
      <c r="DE22">
        <v>17961510342.011791</v>
      </c>
      <c r="DF22">
        <v>3.2201959848403926E-2</v>
      </c>
      <c r="DG22">
        <v>5.9913635972188866</v>
      </c>
      <c r="DH22">
        <v>28017340339.337677</v>
      </c>
      <c r="DI22">
        <v>2.9274508953094483E-2</v>
      </c>
      <c r="DJ22">
        <v>3.5508783890464115</v>
      </c>
      <c r="DK22">
        <v>47273393962.973587</v>
      </c>
      <c r="DL22">
        <v>2.5615195333957667E-2</v>
      </c>
      <c r="DM22">
        <v>3282000000</v>
      </c>
      <c r="DN22">
        <v>3.65931361913681E-2</v>
      </c>
      <c r="DO22">
        <v>167862073000</v>
      </c>
      <c r="DP22">
        <v>-12902405000</v>
      </c>
      <c r="DQ22">
        <v>3668</v>
      </c>
      <c r="DR22">
        <v>9.9845686895347736</v>
      </c>
      <c r="DS22">
        <v>4.5789007336302241</v>
      </c>
      <c r="DT22" s="8">
        <v>-0.45666666666666661</v>
      </c>
      <c r="DU22">
        <v>-2.0233333333333334</v>
      </c>
      <c r="DV22">
        <v>-2.48</v>
      </c>
      <c r="DW22">
        <v>-4.3520518358531319</v>
      </c>
      <c r="DX22">
        <v>0.41315379425592624</v>
      </c>
      <c r="DY22">
        <v>-4.0574385927942034</v>
      </c>
      <c r="DZ22">
        <v>561</v>
      </c>
      <c r="EA22">
        <v>-4.0511327120588714</v>
      </c>
      <c r="EB22">
        <v>4</v>
      </c>
      <c r="EC22">
        <v>0.13843056303087956</v>
      </c>
      <c r="ED22">
        <v>0.84846675235673064</v>
      </c>
      <c r="EE22" s="9">
        <v>-1.0285</v>
      </c>
      <c r="EF22">
        <v>-1.006</v>
      </c>
      <c r="EG22">
        <v>25.163153794255926</v>
      </c>
      <c r="EH22" t="s">
        <v>274</v>
      </c>
      <c r="EI22">
        <v>0</v>
      </c>
      <c r="EJ22">
        <v>1</v>
      </c>
      <c r="EK22" s="12">
        <v>45470</v>
      </c>
      <c r="EL22" s="13">
        <v>-0.16</v>
      </c>
      <c r="EM22" s="13">
        <v>0.37</v>
      </c>
      <c r="EN22" s="13">
        <v>-1.91</v>
      </c>
      <c r="EO22" s="13">
        <v>0.92</v>
      </c>
      <c r="EP22" s="13">
        <v>-2.25</v>
      </c>
    </row>
    <row r="23" spans="1:146" ht="156" x14ac:dyDescent="0.25">
      <c r="A23" s="10" t="s">
        <v>262</v>
      </c>
      <c r="B23" s="10" t="s">
        <v>261</v>
      </c>
      <c r="C23" s="10" t="str">
        <f>"公司现有主要业务包括研发、整车（汽车、摩托车）、零部件、商贸服务、金融五大业务板块，构成了完整的汽车产业链闭环。子品牌为广汽传祺（主打混动）；广汽埃安（主打新能源）；"&amp;CHAR(10)&amp;Basic_Fundamental_Information_Constructure(F23)&amp;CHAR(10)&amp;Basic_Fundamental_Information_Concatenate("乘用车业务及相关贸易分部 734.78亿 97.83%
其他 16.32亿 2.17%")</f>
        <v>公司现有主要业务包括研发、整车（汽车、摩托车）、零部件、商贸服务、金融五大业务板块，构成了完整的汽车产业链闭环。子品牌为广汽传祺（主打混动）；广汽埃安（主打新能源）；
市值785.47014亿, 利润1.02亿; PE19.1; 平均PE12.09; 平均PEG1.48, PB.671; ROIC5.1067%; ROE6.7533%; 股利率1.3351%; 毛利7.2833%; 净利6.6867%; 上一年度营收增-95.15%, 利润增-98.74%; 当季营收增1732.27%, 利润增15368.05%; 过往5年营收增-8.15%, 利润增-23%
Income profile:
乘用车业务及相关贸易分部 734.78亿 97.83%
其他 16.32亿 2.17%</v>
      </c>
      <c r="D23" t="s">
        <v>55</v>
      </c>
      <c r="E23" t="s">
        <v>16</v>
      </c>
      <c r="F23">
        <v>7.49</v>
      </c>
      <c r="G23">
        <v>-1.96</v>
      </c>
      <c r="H23" t="s">
        <v>1098</v>
      </c>
      <c r="I23">
        <v>78547014000</v>
      </c>
      <c r="J23">
        <v>19.100000000000001</v>
      </c>
      <c r="K23">
        <v>0.67100000000000004</v>
      </c>
      <c r="L23" t="s">
        <v>35</v>
      </c>
      <c r="M23" t="s">
        <v>630</v>
      </c>
      <c r="N23" t="s">
        <v>1099</v>
      </c>
      <c r="O23" t="s">
        <v>631</v>
      </c>
      <c r="P23">
        <v>-19.12</v>
      </c>
      <c r="Q23" t="s">
        <v>1100</v>
      </c>
      <c r="R23">
        <v>1220351770</v>
      </c>
      <c r="S23" s="5">
        <v>-0.20649999999999999</v>
      </c>
      <c r="T23" t="s">
        <v>759</v>
      </c>
      <c r="U23">
        <v>7362249200</v>
      </c>
      <c r="V23">
        <v>10486917800</v>
      </c>
      <c r="W23">
        <v>1.69</v>
      </c>
      <c r="X23">
        <v>0.1</v>
      </c>
      <c r="Y23">
        <v>5.0599999999999996</v>
      </c>
      <c r="Z23" t="s">
        <v>1101</v>
      </c>
      <c r="AA23" t="s">
        <v>1102</v>
      </c>
      <c r="AB23" t="s">
        <v>1103</v>
      </c>
      <c r="AC23" t="s">
        <v>1104</v>
      </c>
      <c r="AD23" t="s">
        <v>37</v>
      </c>
      <c r="AE23">
        <v>-51150906</v>
      </c>
      <c r="AF23" t="s">
        <v>634</v>
      </c>
      <c r="AG23" t="s">
        <v>1105</v>
      </c>
      <c r="AH23" t="s">
        <v>635</v>
      </c>
      <c r="AI23" t="s">
        <v>1106</v>
      </c>
      <c r="AJ23" t="s">
        <v>636</v>
      </c>
      <c r="AK23" t="s">
        <v>1107</v>
      </c>
      <c r="AL23" t="s">
        <v>637</v>
      </c>
      <c r="AM23" t="s">
        <v>37</v>
      </c>
      <c r="AN23" t="s">
        <v>1108</v>
      </c>
      <c r="AO23" t="s">
        <v>1109</v>
      </c>
      <c r="AP23" t="s">
        <v>1110</v>
      </c>
      <c r="AQ23" t="s">
        <v>1111</v>
      </c>
      <c r="AR23" t="s">
        <v>37</v>
      </c>
      <c r="AS23" t="s">
        <v>1112</v>
      </c>
      <c r="AT23" t="s">
        <v>1113</v>
      </c>
      <c r="AU23" t="s">
        <v>1114</v>
      </c>
      <c r="AV23" t="s">
        <v>1115</v>
      </c>
      <c r="AW23" t="s">
        <v>1116</v>
      </c>
      <c r="AX23" t="s">
        <v>638</v>
      </c>
      <c r="AY23" t="s">
        <v>344</v>
      </c>
      <c r="AZ23" t="s">
        <v>345</v>
      </c>
      <c r="BA23" t="s">
        <v>182</v>
      </c>
      <c r="BB23" t="s">
        <v>183</v>
      </c>
      <c r="BC23" t="s">
        <v>639</v>
      </c>
      <c r="BD23" t="s">
        <v>234</v>
      </c>
      <c r="BE23" t="s">
        <v>181</v>
      </c>
      <c r="BF23" t="s">
        <v>56</v>
      </c>
      <c r="BG23" t="s">
        <v>184</v>
      </c>
      <c r="BH23" t="s">
        <v>632</v>
      </c>
      <c r="BI23" t="s">
        <v>1117</v>
      </c>
      <c r="BJ23" t="s">
        <v>638</v>
      </c>
      <c r="BK23" t="s">
        <v>633</v>
      </c>
      <c r="BL23" t="s">
        <v>1118</v>
      </c>
      <c r="BM23" t="s">
        <v>639</v>
      </c>
      <c r="BN23">
        <v>2.5499999999999998</v>
      </c>
      <c r="BO23">
        <v>5.99</v>
      </c>
      <c r="BP23">
        <v>6.78</v>
      </c>
      <c r="BQ23">
        <v>3.91</v>
      </c>
      <c r="BR23">
        <v>7.93</v>
      </c>
      <c r="BS23">
        <v>8.42</v>
      </c>
      <c r="BT23" t="s">
        <v>640</v>
      </c>
      <c r="BU23" t="s">
        <v>268</v>
      </c>
      <c r="BV23">
        <v>6.94</v>
      </c>
      <c r="BW23">
        <v>6.99</v>
      </c>
      <c r="BX23">
        <v>7.92</v>
      </c>
      <c r="BY23">
        <v>2.9</v>
      </c>
      <c r="BZ23">
        <v>7.32</v>
      </c>
      <c r="CA23">
        <v>9.84</v>
      </c>
      <c r="CB23">
        <v>-3.23</v>
      </c>
      <c r="CC23">
        <v>-10.83</v>
      </c>
      <c r="CD23" t="s">
        <v>1119</v>
      </c>
      <c r="CE23" t="s">
        <v>1120</v>
      </c>
      <c r="CF23" s="6">
        <v>17.322746781115878</v>
      </c>
      <c r="CG23" s="7">
        <v>153.68049559541163</v>
      </c>
      <c r="CH23" s="6">
        <v>-0.95147812366485596</v>
      </c>
      <c r="CI23" s="6">
        <v>0.45919317007064819</v>
      </c>
      <c r="CJ23" s="6">
        <v>0.19760186970233917</v>
      </c>
      <c r="CK23" s="6">
        <v>5.8800701051950455E-2</v>
      </c>
      <c r="CL23" s="6">
        <v>-0.17172616720199585</v>
      </c>
      <c r="CM23" s="7">
        <v>-0.9873511791229248</v>
      </c>
      <c r="CN23" s="7">
        <v>9.9386490881443024E-2</v>
      </c>
      <c r="CO23" s="7">
        <v>0.22946695983409882</v>
      </c>
      <c r="CP23" s="7">
        <v>-9.8519153892993927E-2</v>
      </c>
      <c r="CQ23" s="7">
        <v>-0.39301112294197083</v>
      </c>
      <c r="CR23">
        <v>12.087875346260388</v>
      </c>
      <c r="CS23">
        <v>1.4827799055021544</v>
      </c>
      <c r="CT23">
        <v>1.3351134846461949</v>
      </c>
      <c r="CU23" s="6">
        <v>-8.1521710008382792E-2</v>
      </c>
      <c r="CV23" s="7">
        <v>-0.23000560104846954</v>
      </c>
      <c r="CW23">
        <v>0.06</v>
      </c>
      <c r="CX23">
        <v>460.4413137254902</v>
      </c>
      <c r="CY23" t="s">
        <v>1121</v>
      </c>
      <c r="CZ23">
        <v>-8.1521710008382792E-2</v>
      </c>
      <c r="DA23">
        <v>153.48043790849673</v>
      </c>
      <c r="DB23" t="s">
        <v>1122</v>
      </c>
      <c r="DC23">
        <v>-7.7445624507963648E-2</v>
      </c>
      <c r="DD23">
        <v>76.740218954248363</v>
      </c>
      <c r="DE23" t="s">
        <v>1123</v>
      </c>
      <c r="DF23">
        <v>-7.1739104807376858E-2</v>
      </c>
      <c r="DG23">
        <v>46.044131372549018</v>
      </c>
      <c r="DH23" t="s">
        <v>1124</v>
      </c>
      <c r="DI23">
        <v>-6.5217368006706231E-2</v>
      </c>
      <c r="DJ23">
        <v>23.022065686274509</v>
      </c>
      <c r="DK23" t="s">
        <v>1125</v>
      </c>
      <c r="DL23">
        <v>-5.706519700586795E-2</v>
      </c>
      <c r="DM23">
        <v>102000000</v>
      </c>
      <c r="DN23">
        <v>-8.1521710008382792E-2</v>
      </c>
      <c r="DO23">
        <v>46965014000</v>
      </c>
      <c r="DP23">
        <v>23392282000</v>
      </c>
      <c r="DQ23">
        <v>3704</v>
      </c>
      <c r="DR23">
        <v>17.40426849112426</v>
      </c>
      <c r="DS23">
        <v>153.9105011964601</v>
      </c>
      <c r="DT23" s="8">
        <v>-0.59</v>
      </c>
      <c r="DU23">
        <v>-0.51999999999999991</v>
      </c>
      <c r="DV23">
        <v>-1.1099999999999999</v>
      </c>
      <c r="DW23">
        <v>-8.2982456140350873</v>
      </c>
      <c r="DX23">
        <v>0.56542893553223306</v>
      </c>
      <c r="DY23">
        <v>-8.0284612614745257</v>
      </c>
      <c r="DZ23">
        <v>1260</v>
      </c>
      <c r="EA23">
        <v>-8.0214434161794372</v>
      </c>
      <c r="EB23">
        <v>8</v>
      </c>
      <c r="EC23">
        <v>6.0695717477636758E-3</v>
      </c>
      <c r="ED23">
        <v>6.3603054083250274E-2</v>
      </c>
      <c r="EE23" s="9">
        <v>2.12561</v>
      </c>
      <c r="EF23">
        <v>2.1302099999999999</v>
      </c>
      <c r="EG23">
        <v>47.095428935532233</v>
      </c>
      <c r="EH23" t="s">
        <v>556</v>
      </c>
      <c r="EI23">
        <v>0</v>
      </c>
      <c r="EJ23">
        <v>1</v>
      </c>
      <c r="EK23" s="12">
        <v>45470</v>
      </c>
      <c r="EL23" s="13">
        <v>0.15</v>
      </c>
      <c r="EM23" s="13">
        <v>-1.82</v>
      </c>
      <c r="EN23" s="13">
        <v>-1.08</v>
      </c>
      <c r="EO23" s="13">
        <v>1.88</v>
      </c>
      <c r="EP23" s="13">
        <v>-0.46</v>
      </c>
    </row>
    <row r="24" spans="1:146" ht="216" x14ac:dyDescent="0.25">
      <c r="A24" s="10" t="s">
        <v>265</v>
      </c>
      <c r="B24" s="10" t="s">
        <v>260</v>
      </c>
      <c r="C24" s="10" t="str">
        <f>"公司成立于1998年7月1日，公司是中国最大的SUV和皮卡制造企业之一。2021年营收增速32%，利润增速25%；2022Q1营收增速8%，利润增速-0.3%；本集团旗下拥有哈弗、魏牌、欧拉、坦克及长城皮卡五大整车品牌，孵化全新独立运营汽车科技公司——沙龙机甲科技有限公司，并与宝马集团合资成立光束汽车有限公司;"&amp;CHAR(10)&amp;Basic_Fundamental_Information_Constructure(F24)&amp;CHAR(10)&amp;Basic_Fundamental_Information_Concatenate("销售汽车 1213.07亿 88.93% 81.94% 14.89%
销售零配件 68.72亿 5.04% 10.92% 35.01%
提供劳务 30.61亿 2.24% 2.36% 16.97%
其他业务 29.66亿 2.17% 2.35% 17.43%
模具及其他 21.98亿 1.61% 2.43% 24.40%")</f>
        <v>公司成立于1998年7月1日，公司是中国最大的SUV和皮卡制造企业之一。2021年营收增速32%，利润增速25%；2022Q1营收增速8%，利润增速-0.3%；本集团旗下拥有哈弗、魏牌、欧拉、坦克及长城皮卡五大整车品牌，孵化全新独立运营汽车科技公司——沙龙机甲科技有限公司，并与宝马集团合资成立光束汽车有限公司;
市值2026.1537亿, 利润17.51亿; PE20.11; 平均PE38.22; 平均PEG3.82, PB2.84; ROIC7.43%; ROE10.4867%; 股利率1.2648%; 毛利18.0867%; 净利4.9967%; 上一年度营收增-88.58%, 利润增-78.82%; 当季营收增1268.89%, 利润增2756.42%; 过往5年营收增-10%, 利润增-4.98%
Income profile:
销售汽车 1213.07亿 88.93% 81.94% 14.89%
销售零配件 68.72亿 5.04% 10.92% 35.01%
提供劳务 30.61亿 2.24% 2.36% 16.97%
其他业务 29.66亿 2.17% 2.35% 17.43%
模具及其他 21.98亿 1.61% 2.43% 24.40%</v>
      </c>
      <c r="D24" t="s">
        <v>57</v>
      </c>
      <c r="E24" t="s">
        <v>14</v>
      </c>
      <c r="F24">
        <v>23.72</v>
      </c>
      <c r="G24">
        <v>-1.21</v>
      </c>
      <c r="H24" t="s">
        <v>1126</v>
      </c>
      <c r="I24">
        <v>202615370000</v>
      </c>
      <c r="J24">
        <v>20.11</v>
      </c>
      <c r="K24">
        <v>2.84</v>
      </c>
      <c r="L24" t="s">
        <v>35</v>
      </c>
      <c r="M24" t="s">
        <v>642</v>
      </c>
      <c r="N24" t="s">
        <v>1127</v>
      </c>
      <c r="O24" t="s">
        <v>643</v>
      </c>
      <c r="P24">
        <v>47.6</v>
      </c>
      <c r="Q24" t="s">
        <v>1128</v>
      </c>
      <c r="R24">
        <v>3227751400</v>
      </c>
      <c r="S24" s="5">
        <v>17.53</v>
      </c>
      <c r="T24" t="s">
        <v>1129</v>
      </c>
      <c r="U24">
        <v>6170418100</v>
      </c>
      <c r="V24">
        <v>8541963400</v>
      </c>
      <c r="W24">
        <v>2.73</v>
      </c>
      <c r="X24">
        <v>0.22</v>
      </c>
      <c r="Y24">
        <v>7.53</v>
      </c>
      <c r="Z24" t="s">
        <v>1130</v>
      </c>
      <c r="AA24" t="s">
        <v>1131</v>
      </c>
      <c r="AB24" t="s">
        <v>1132</v>
      </c>
      <c r="AC24" t="s">
        <v>1133</v>
      </c>
      <c r="AD24" t="s">
        <v>37</v>
      </c>
      <c r="AE24">
        <v>93984095</v>
      </c>
      <c r="AF24" t="s">
        <v>646</v>
      </c>
      <c r="AG24" t="s">
        <v>993</v>
      </c>
      <c r="AH24" t="s">
        <v>647</v>
      </c>
      <c r="AI24" t="s">
        <v>1134</v>
      </c>
      <c r="AJ24" t="s">
        <v>648</v>
      </c>
      <c r="AK24" t="s">
        <v>1135</v>
      </c>
      <c r="AL24" t="s">
        <v>649</v>
      </c>
      <c r="AM24" t="s">
        <v>37</v>
      </c>
      <c r="AN24" t="s">
        <v>1136</v>
      </c>
      <c r="AO24" t="s">
        <v>1137</v>
      </c>
      <c r="AP24" t="s">
        <v>1138</v>
      </c>
      <c r="AQ24" t="s">
        <v>1139</v>
      </c>
      <c r="AR24" t="s">
        <v>37</v>
      </c>
      <c r="AS24" t="s">
        <v>1140</v>
      </c>
      <c r="AT24" t="s">
        <v>1141</v>
      </c>
      <c r="AU24" t="s">
        <v>1142</v>
      </c>
      <c r="AV24" t="s">
        <v>1143</v>
      </c>
      <c r="AW24" t="s">
        <v>1144</v>
      </c>
      <c r="AX24" t="s">
        <v>346</v>
      </c>
      <c r="AY24" t="s">
        <v>235</v>
      </c>
      <c r="AZ24" t="s">
        <v>185</v>
      </c>
      <c r="BA24" t="s">
        <v>187</v>
      </c>
      <c r="BB24" t="s">
        <v>188</v>
      </c>
      <c r="BC24" t="s">
        <v>347</v>
      </c>
      <c r="BD24" t="s">
        <v>236</v>
      </c>
      <c r="BE24" t="s">
        <v>186</v>
      </c>
      <c r="BF24" t="s">
        <v>58</v>
      </c>
      <c r="BG24" t="s">
        <v>189</v>
      </c>
      <c r="BH24" t="s">
        <v>644</v>
      </c>
      <c r="BI24" t="s">
        <v>1145</v>
      </c>
      <c r="BJ24" t="s">
        <v>346</v>
      </c>
      <c r="BK24" t="s">
        <v>645</v>
      </c>
      <c r="BL24" t="s">
        <v>320</v>
      </c>
      <c r="BM24" t="s">
        <v>347</v>
      </c>
      <c r="BN24">
        <v>5.47</v>
      </c>
      <c r="BO24">
        <v>8.77</v>
      </c>
      <c r="BP24">
        <v>8.0500000000000007</v>
      </c>
      <c r="BQ24">
        <v>7.54</v>
      </c>
      <c r="BR24">
        <v>12.66</v>
      </c>
      <c r="BS24">
        <v>11.26</v>
      </c>
      <c r="BT24" t="s">
        <v>317</v>
      </c>
      <c r="BU24" t="s">
        <v>268</v>
      </c>
      <c r="BV24">
        <v>18.73</v>
      </c>
      <c r="BW24">
        <v>19.37</v>
      </c>
      <c r="BX24">
        <v>16.16</v>
      </c>
      <c r="BY24">
        <v>4.05</v>
      </c>
      <c r="BZ24">
        <v>6.01</v>
      </c>
      <c r="CA24">
        <v>4.93</v>
      </c>
      <c r="CB24">
        <v>-6.25</v>
      </c>
      <c r="CC24">
        <v>-10.83</v>
      </c>
      <c r="CD24" t="s">
        <v>1146</v>
      </c>
      <c r="CE24" t="s">
        <v>1147</v>
      </c>
      <c r="CF24" s="6">
        <v>12.688917278824656</v>
      </c>
      <c r="CG24" s="7">
        <v>27.564171681415932</v>
      </c>
      <c r="CH24" s="6">
        <v>-0.88580894470214844</v>
      </c>
      <c r="CI24" s="6">
        <v>6.8546030670404434E-3</v>
      </c>
      <c r="CJ24" s="6">
        <v>0.320372074842453</v>
      </c>
      <c r="CK24" s="6">
        <v>8.6217813193798065E-2</v>
      </c>
      <c r="CL24" s="6">
        <v>-2.7525622397661209E-2</v>
      </c>
      <c r="CM24" s="7">
        <v>-0.78816837072372437</v>
      </c>
      <c r="CN24" s="7">
        <v>0.22896219789981842</v>
      </c>
      <c r="CO24" s="7">
        <v>0.25438275933265686</v>
      </c>
      <c r="CP24" s="7">
        <v>0.19235044717788696</v>
      </c>
      <c r="CQ24" s="7">
        <v>-0.13635492324829102</v>
      </c>
      <c r="CR24">
        <v>38.218498538149582</v>
      </c>
      <c r="CS24">
        <v>3.8226902646508814</v>
      </c>
      <c r="CT24">
        <v>1.2647554806070826</v>
      </c>
      <c r="CU24" s="6">
        <v>-9.9978015199303633E-2</v>
      </c>
      <c r="CV24" s="7">
        <v>-4.9765577912330626E-2</v>
      </c>
      <c r="CW24">
        <v>0.06</v>
      </c>
      <c r="CX24">
        <v>150.53076527698457</v>
      </c>
      <c r="CY24" t="s">
        <v>1148</v>
      </c>
      <c r="CZ24">
        <v>-9.9978015199303633E-2</v>
      </c>
      <c r="DA24">
        <v>50.176921758994858</v>
      </c>
      <c r="DB24" t="s">
        <v>1149</v>
      </c>
      <c r="DC24">
        <v>-9.4979114439338444E-2</v>
      </c>
      <c r="DD24">
        <v>25.088460879497429</v>
      </c>
      <c r="DE24" t="s">
        <v>1150</v>
      </c>
      <c r="DF24">
        <v>-8.7980653375387199E-2</v>
      </c>
      <c r="DG24">
        <v>15.053076527698458</v>
      </c>
      <c r="DH24" t="s">
        <v>1151</v>
      </c>
      <c r="DI24">
        <v>-7.9982412159442906E-2</v>
      </c>
      <c r="DJ24">
        <v>7.5265382638492291</v>
      </c>
      <c r="DK24" t="s">
        <v>1152</v>
      </c>
      <c r="DL24">
        <v>-6.9984610639512543E-2</v>
      </c>
      <c r="DM24">
        <v>1751000000.0000002</v>
      </c>
      <c r="DN24">
        <v>-9.9978015199303633E-2</v>
      </c>
      <c r="DO24">
        <v>263579370000</v>
      </c>
      <c r="DP24">
        <v>13800756000</v>
      </c>
      <c r="DQ24">
        <v>3756</v>
      </c>
      <c r="DR24">
        <v>12.788895294023959</v>
      </c>
      <c r="DS24">
        <v>27.613937259328264</v>
      </c>
      <c r="DT24" s="8">
        <v>-0.64</v>
      </c>
      <c r="DU24">
        <v>6.6666666666666652E-2</v>
      </c>
      <c r="DV24">
        <v>-0.57333333333333336</v>
      </c>
      <c r="DW24">
        <v>-9.577100646352724</v>
      </c>
      <c r="DX24">
        <v>0.50025125311203167</v>
      </c>
      <c r="DY24">
        <v>-9.0867100952862607</v>
      </c>
      <c r="DZ24">
        <v>2163</v>
      </c>
      <c r="EA24">
        <v>-9.0500067809801585</v>
      </c>
      <c r="EB24">
        <v>9</v>
      </c>
      <c r="EC24">
        <v>8.47827327380026E-3</v>
      </c>
      <c r="ED24">
        <v>5.6427308035527292E-2</v>
      </c>
      <c r="EE24" s="9">
        <v>3.0262000000000002</v>
      </c>
      <c r="EF24">
        <v>3.0280999999999998</v>
      </c>
      <c r="EG24">
        <v>35.150251253112032</v>
      </c>
      <c r="EH24" t="s">
        <v>620</v>
      </c>
      <c r="EI24">
        <v>0</v>
      </c>
      <c r="EJ24">
        <v>0</v>
      </c>
      <c r="EK24" s="12">
        <v>45470</v>
      </c>
      <c r="EL24" s="13">
        <v>-0.32</v>
      </c>
      <c r="EM24" s="13">
        <v>-0.41</v>
      </c>
      <c r="EN24" s="13">
        <v>-1.44</v>
      </c>
      <c r="EO24" s="13">
        <v>0.39</v>
      </c>
      <c r="EP24" s="13">
        <v>0.19</v>
      </c>
    </row>
    <row r="25" spans="1:146" ht="96" x14ac:dyDescent="0.25">
      <c r="A25" s="10"/>
      <c r="B25" s="10"/>
      <c r="C25" s="10" t="str">
        <f>""&amp;CHAR(10)&amp;Basic_Fundamental_Information_Constructure(F25)&amp;CHAR(10)&amp;Basic_Fundamental_Information_Concatenate("")</f>
        <v xml:space="preserve">
市值150.10052亿, 利润3.83亿; PE; 平均PE-23.84; 平均PEG-19.58, PB1.45; ROIC1.24%; ROE.8867%; 股利率0%; 毛利10.2867%; 净利.02%; 上一年度营收增-49.5%, 利润增147.1%; 当季营收增71.88%, 利润增-36.34%; 过往5年营收增-1.22%, 利润增-305.59%
Income profile:
</v>
      </c>
      <c r="D25" t="s">
        <v>650</v>
      </c>
      <c r="E25" t="s">
        <v>651</v>
      </c>
      <c r="F25">
        <v>3.32</v>
      </c>
      <c r="G25">
        <v>2.15</v>
      </c>
      <c r="H25" t="s">
        <v>1153</v>
      </c>
      <c r="I25">
        <v>15010052000</v>
      </c>
      <c r="K25">
        <v>1.45</v>
      </c>
      <c r="L25" t="s">
        <v>35</v>
      </c>
      <c r="M25" t="s">
        <v>652</v>
      </c>
      <c r="N25" t="s">
        <v>1154</v>
      </c>
      <c r="O25" t="s">
        <v>653</v>
      </c>
      <c r="P25" s="5">
        <v>28.55</v>
      </c>
      <c r="Q25" t="s">
        <v>1155</v>
      </c>
      <c r="R25">
        <v>15440352</v>
      </c>
      <c r="S25">
        <v>-0.62050000000000005</v>
      </c>
      <c r="T25" t="s">
        <v>1156</v>
      </c>
      <c r="U25">
        <v>4521100100</v>
      </c>
      <c r="V25">
        <v>4521100100</v>
      </c>
      <c r="W25">
        <v>1.82</v>
      </c>
      <c r="X25">
        <v>0.06</v>
      </c>
      <c r="Y25">
        <v>-4.07</v>
      </c>
      <c r="Z25" t="s">
        <v>1157</v>
      </c>
      <c r="AA25" t="s">
        <v>1158</v>
      </c>
      <c r="AB25" t="s">
        <v>1159</v>
      </c>
      <c r="AC25" t="s">
        <v>1160</v>
      </c>
      <c r="AD25" t="s">
        <v>37</v>
      </c>
      <c r="AE25">
        <v>14862595</v>
      </c>
      <c r="AF25" t="s">
        <v>656</v>
      </c>
      <c r="AG25" t="s">
        <v>1161</v>
      </c>
      <c r="AH25" t="s">
        <v>657</v>
      </c>
      <c r="AI25" t="s">
        <v>1162</v>
      </c>
      <c r="AJ25" t="s">
        <v>658</v>
      </c>
      <c r="AK25" t="s">
        <v>327</v>
      </c>
      <c r="AL25" t="s">
        <v>659</v>
      </c>
      <c r="AM25" t="s">
        <v>37</v>
      </c>
      <c r="AN25" t="s">
        <v>1163</v>
      </c>
      <c r="AO25" t="s">
        <v>949</v>
      </c>
      <c r="AP25" t="s">
        <v>1164</v>
      </c>
      <c r="AQ25" t="s">
        <v>1165</v>
      </c>
      <c r="AR25" t="s">
        <v>1166</v>
      </c>
      <c r="AS25" t="s">
        <v>1167</v>
      </c>
      <c r="AT25" t="s">
        <v>1168</v>
      </c>
      <c r="AU25" t="s">
        <v>1169</v>
      </c>
      <c r="AV25" t="s">
        <v>1170</v>
      </c>
      <c r="AW25" t="s">
        <v>1171</v>
      </c>
      <c r="AX25" t="s">
        <v>661</v>
      </c>
      <c r="AY25" t="s">
        <v>662</v>
      </c>
      <c r="AZ25" t="s">
        <v>663</v>
      </c>
      <c r="BA25" t="s">
        <v>664</v>
      </c>
      <c r="BB25" t="s">
        <v>665</v>
      </c>
      <c r="BC25" t="s">
        <v>150</v>
      </c>
      <c r="BD25" t="s">
        <v>666</v>
      </c>
      <c r="BE25" t="s">
        <v>667</v>
      </c>
      <c r="BF25" t="s">
        <v>668</v>
      </c>
      <c r="BG25" t="s">
        <v>669</v>
      </c>
      <c r="BH25" t="s">
        <v>654</v>
      </c>
      <c r="BI25" t="s">
        <v>1172</v>
      </c>
      <c r="BJ25" t="s">
        <v>661</v>
      </c>
      <c r="BK25" t="s">
        <v>655</v>
      </c>
      <c r="BL25" t="s">
        <v>1173</v>
      </c>
      <c r="BM25" t="s">
        <v>150</v>
      </c>
      <c r="BN25" t="s">
        <v>37</v>
      </c>
      <c r="BO25">
        <v>1.51</v>
      </c>
      <c r="BP25">
        <v>0.97</v>
      </c>
      <c r="BQ25">
        <v>0.6</v>
      </c>
      <c r="BR25">
        <v>1.51</v>
      </c>
      <c r="BS25">
        <v>0.55000000000000004</v>
      </c>
      <c r="BT25" t="s">
        <v>293</v>
      </c>
      <c r="BU25" t="s">
        <v>268</v>
      </c>
      <c r="BV25">
        <v>5.95</v>
      </c>
      <c r="BW25">
        <v>8.84</v>
      </c>
      <c r="BX25">
        <v>16.07</v>
      </c>
      <c r="BY25">
        <v>-3.87</v>
      </c>
      <c r="BZ25">
        <v>1.97</v>
      </c>
      <c r="CA25">
        <v>1.96</v>
      </c>
      <c r="CB25">
        <v>-13.54</v>
      </c>
      <c r="CC25" s="6">
        <v>4.08</v>
      </c>
      <c r="CD25" s="7" t="s">
        <v>1174</v>
      </c>
      <c r="CE25" s="6" t="s">
        <v>1175</v>
      </c>
      <c r="CF25" s="6">
        <v>0.71882640586797064</v>
      </c>
      <c r="CG25" s="6">
        <v>-0.36337108764580489</v>
      </c>
      <c r="CH25" s="6">
        <v>-0.4950312077999115</v>
      </c>
      <c r="CI25" s="6">
        <v>1.1760121583938599</v>
      </c>
      <c r="CJ25" s="7">
        <v>9.3483641743659973E-2</v>
      </c>
      <c r="CK25" s="7">
        <v>-0.51181209087371826</v>
      </c>
      <c r="CL25" s="7">
        <v>-0.3235267698764801</v>
      </c>
      <c r="CM25" s="7">
        <v>1.4709677696228027</v>
      </c>
      <c r="CN25" s="7">
        <v>1.7856606245040894</v>
      </c>
      <c r="CO25">
        <v>-4.2367279529571533E-2</v>
      </c>
      <c r="CP25">
        <v>1.012410044670105</v>
      </c>
      <c r="CQ25">
        <v>-19.505929946899414</v>
      </c>
      <c r="CR25" s="6">
        <v>-23.842799455826921</v>
      </c>
      <c r="CS25" s="7">
        <v>-19.583643530815518</v>
      </c>
      <c r="CT25">
        <v>0</v>
      </c>
      <c r="CU25">
        <v>-1.2174853682518005E-2</v>
      </c>
      <c r="CV25">
        <v>-3.0558517575263977</v>
      </c>
      <c r="CW25">
        <v>0.06</v>
      </c>
      <c r="CX25">
        <v>33.796480417754566</v>
      </c>
      <c r="CY25" t="s">
        <v>1176</v>
      </c>
      <c r="CZ25">
        <v>-1.2174853682518005E-2</v>
      </c>
      <c r="DA25">
        <v>11.265493472584856</v>
      </c>
      <c r="DB25" t="s">
        <v>1177</v>
      </c>
      <c r="DC25">
        <v>-1.1566110998392104E-2</v>
      </c>
      <c r="DD25">
        <v>5.6327467362924279</v>
      </c>
      <c r="DE25" t="s">
        <v>1178</v>
      </c>
      <c r="DF25">
        <v>-1.0713871240615845E-2</v>
      </c>
      <c r="DG25">
        <v>3.3796480417754569</v>
      </c>
      <c r="DH25" t="s">
        <v>1179</v>
      </c>
      <c r="DI25">
        <v>-9.739882946014404E-3</v>
      </c>
      <c r="DJ25">
        <v>1.6898240208877284</v>
      </c>
      <c r="DK25" t="s">
        <v>1180</v>
      </c>
      <c r="DL25">
        <v>-8.5223975777626026E-3</v>
      </c>
      <c r="DM25">
        <v>383000000</v>
      </c>
      <c r="DN25">
        <v>-1.2174853682518005E-2</v>
      </c>
      <c r="DO25">
        <v>12944052000</v>
      </c>
      <c r="DP25">
        <v>736570099.99999905</v>
      </c>
      <c r="DQ25" s="8">
        <v>3778</v>
      </c>
      <c r="DR25">
        <v>0.73100125955048867</v>
      </c>
      <c r="DS25">
        <v>2.692480669880593</v>
      </c>
      <c r="DT25">
        <v>-0.52333333333333332</v>
      </c>
      <c r="DU25">
        <v>-0.19000000000000006</v>
      </c>
      <c r="DV25">
        <v>-0.71333333333333337</v>
      </c>
      <c r="DW25">
        <v>-5.3013293943870012</v>
      </c>
      <c r="DX25">
        <v>0.50461996681838084</v>
      </c>
      <c r="DY25">
        <v>-5.0887776561757008</v>
      </c>
      <c r="DZ25">
        <v>2767</v>
      </c>
      <c r="EA25">
        <v>-5.0407056846222442</v>
      </c>
      <c r="EB25" s="9">
        <v>5</v>
      </c>
      <c r="EC25" s="9">
        <v>7.6308861199512037E-2</v>
      </c>
      <c r="ED25">
        <v>0.25900775786848867</v>
      </c>
      <c r="EE25">
        <v>2.0903100000000001</v>
      </c>
      <c r="EF25">
        <v>2.0931099999999998</v>
      </c>
      <c r="EG25">
        <v>21.294619966818381</v>
      </c>
      <c r="EH25" s="12" t="s">
        <v>556</v>
      </c>
      <c r="EI25">
        <v>0</v>
      </c>
      <c r="EJ25">
        <v>0</v>
      </c>
      <c r="EK25">
        <v>45470</v>
      </c>
      <c r="EL25">
        <v>1.83</v>
      </c>
      <c r="EM25">
        <v>-2.0699999999999998</v>
      </c>
      <c r="EN25">
        <v>0.56000000000000005</v>
      </c>
      <c r="EO25">
        <v>0.98</v>
      </c>
      <c r="EP25">
        <v>-0.28000000000000003</v>
      </c>
    </row>
    <row r="26" spans="1:146" x14ac:dyDescent="0.25">
      <c r="B26" s="14"/>
    </row>
  </sheetData>
  <autoFilter ref="BU1:BU2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汽车整车&quot;,&quot;&quot;'" altText="更新基本面按钮_x000a_">
                <anchor moveWithCells="1" sizeWithCells="1">
                  <from>
                    <xdr:col>147</xdr:col>
                    <xdr:colOff>260350</xdr:colOff>
                    <xdr:row>0</xdr:row>
                    <xdr:rowOff>146050</xdr:rowOff>
                  </from>
                  <to>
                    <xdr:col>147</xdr:col>
                    <xdr:colOff>1435100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7" sqref="A7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0.02</v>
      </c>
      <c r="B4" t="s">
        <v>0</v>
      </c>
    </row>
    <row r="5" spans="1:30" x14ac:dyDescent="0.25">
      <c r="A5" s="1">
        <v>1</v>
      </c>
      <c r="B5" s="1">
        <f>A5*$A$4+A5</f>
        <v>1.02</v>
      </c>
      <c r="C5" s="1">
        <f t="shared" ref="C5:AD5" si="1">B5*$A$4+B5</f>
        <v>1.0404</v>
      </c>
      <c r="D5" s="1">
        <f t="shared" si="1"/>
        <v>1.0612079999999999</v>
      </c>
      <c r="E5" s="1">
        <f t="shared" si="1"/>
        <v>1.08243216</v>
      </c>
      <c r="F5" s="1">
        <f t="shared" si="1"/>
        <v>1.1040808032</v>
      </c>
      <c r="G5" s="1">
        <f t="shared" si="1"/>
        <v>1.1261624192640001</v>
      </c>
      <c r="H5" s="1">
        <f t="shared" si="1"/>
        <v>1.14868566764928</v>
      </c>
      <c r="I5" s="1">
        <f t="shared" si="1"/>
        <v>1.1716593810022657</v>
      </c>
      <c r="J5" s="1">
        <f t="shared" si="1"/>
        <v>1.1950925686223111</v>
      </c>
      <c r="K5" s="1">
        <f t="shared" si="1"/>
        <v>1.2189944199947573</v>
      </c>
      <c r="L5" s="1">
        <f t="shared" si="1"/>
        <v>1.2433743083946525</v>
      </c>
      <c r="M5" s="1">
        <f t="shared" si="1"/>
        <v>1.2682417945625455</v>
      </c>
      <c r="N5" s="1">
        <f t="shared" si="1"/>
        <v>1.2936066304537963</v>
      </c>
      <c r="O5" s="1">
        <f t="shared" si="1"/>
        <v>1.3194787630628722</v>
      </c>
      <c r="P5">
        <f t="shared" si="1"/>
        <v>1.3458683383241297</v>
      </c>
      <c r="Q5">
        <f t="shared" si="1"/>
        <v>1.3727857050906123</v>
      </c>
      <c r="R5">
        <f t="shared" si="1"/>
        <v>1.4002414191924246</v>
      </c>
      <c r="S5" s="1">
        <f t="shared" si="1"/>
        <v>1.4282462475762732</v>
      </c>
      <c r="T5">
        <f t="shared" si="1"/>
        <v>1.4568111725277986</v>
      </c>
      <c r="U5">
        <f t="shared" si="1"/>
        <v>1.4859473959783545</v>
      </c>
      <c r="V5">
        <f t="shared" si="1"/>
        <v>1.5156663438979217</v>
      </c>
      <c r="W5">
        <f t="shared" si="1"/>
        <v>1.5459796707758802</v>
      </c>
      <c r="X5">
        <f t="shared" si="1"/>
        <v>1.5768992641913977</v>
      </c>
      <c r="Y5">
        <f t="shared" si="1"/>
        <v>1.6084372494752257</v>
      </c>
      <c r="Z5">
        <f t="shared" si="1"/>
        <v>1.6406059944647302</v>
      </c>
      <c r="AA5">
        <f t="shared" si="1"/>
        <v>1.6734181143540248</v>
      </c>
      <c r="AB5">
        <f t="shared" si="1"/>
        <v>1.7068864766411052</v>
      </c>
      <c r="AC5">
        <f t="shared" si="1"/>
        <v>1.7410242061739272</v>
      </c>
      <c r="AD5">
        <f t="shared" si="1"/>
        <v>1.7758446902974057</v>
      </c>
    </row>
    <row r="6" spans="1:30" x14ac:dyDescent="0.25">
      <c r="A6">
        <v>10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汽车整车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2024-07-10T22:44:50Z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