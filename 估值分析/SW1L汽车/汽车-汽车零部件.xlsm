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汽车\"/>
    </mc:Choice>
  </mc:AlternateContent>
  <bookViews>
    <workbookView xWindow="0" yWindow="0" windowWidth="3800" windowHeight="2950"/>
  </bookViews>
  <sheets>
    <sheet name="汽车零部件" sheetId="15" r:id="rId1"/>
    <sheet name="潍柴子公司总结" sheetId="16" r:id="rId2"/>
    <sheet name="估值-增速与年化收益" sheetId="14" r:id="rId3"/>
  </sheets>
  <functionGroups builtInGroupCount="18"/>
  <definedNames>
    <definedName name="_xlnm._FilterDatabase" localSheetId="0" hidden="1">汽车零部件!$BU$1:$BU$215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 i="14" l="1"/>
  <c r="D14" i="14" s="1"/>
  <c r="E14" i="14" s="1"/>
  <c r="F14" i="14" s="1"/>
  <c r="G14" i="14" s="1"/>
  <c r="H14" i="14" s="1"/>
  <c r="I14" i="14" s="1"/>
  <c r="J14" i="14" s="1"/>
  <c r="K14" i="14" s="1"/>
  <c r="L14" i="14" s="1"/>
  <c r="M14" i="14" s="1"/>
  <c r="N14" i="14" s="1"/>
  <c r="O14" i="14" s="1"/>
  <c r="P14" i="14" s="1"/>
  <c r="Q14" i="14" s="1"/>
  <c r="R14" i="14" s="1"/>
  <c r="S14" i="14" s="1"/>
  <c r="T14" i="14" s="1"/>
  <c r="C13" i="14"/>
  <c r="C12" i="14" s="1"/>
  <c r="B12" i="14"/>
  <c r="A10" i="14"/>
  <c r="A7" i="14"/>
  <c r="B5" i="14"/>
  <c r="C5" i="14" s="1"/>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10" i="15"/>
  <c r="C120" i="15"/>
  <c r="C137" i="15"/>
  <c r="A9" i="14" l="1"/>
  <c r="B7" i="14"/>
  <c r="B9" i="14"/>
  <c r="D5" i="14"/>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C7" i="14"/>
  <c r="C9" i="14" s="1"/>
  <c r="G7" i="14"/>
  <c r="G9" i="14" s="1"/>
  <c r="T7" i="14" l="1"/>
  <c r="T9" i="14" s="1"/>
  <c r="D7" i="14"/>
  <c r="D9" i="14" s="1"/>
  <c r="W7" i="14"/>
  <c r="W9" i="14" s="1"/>
  <c r="R7" i="14"/>
  <c r="R9" i="14" s="1"/>
  <c r="D12" i="14"/>
  <c r="E13" i="14"/>
  <c r="AB7" i="14"/>
  <c r="AB9" i="14" s="1"/>
  <c r="P7" i="14"/>
  <c r="P9" i="14" s="1"/>
  <c r="Q7" i="14"/>
  <c r="Q9" i="14" s="1"/>
  <c r="S7" i="14"/>
  <c r="S9" i="14" s="1"/>
  <c r="AD7" i="14"/>
  <c r="AD9" i="14" s="1"/>
  <c r="N7" i="14"/>
  <c r="N9" i="14" s="1"/>
  <c r="Y7" i="14"/>
  <c r="Y9" i="14" s="1"/>
  <c r="L7" i="14"/>
  <c r="L9" i="14" s="1"/>
  <c r="E7" i="14"/>
  <c r="E9" i="14" s="1"/>
  <c r="O7" i="14"/>
  <c r="O9" i="14" s="1"/>
  <c r="U7" i="14"/>
  <c r="U9" i="14" s="1"/>
  <c r="Z7" i="14"/>
  <c r="Z9" i="14" s="1"/>
  <c r="J7" i="14"/>
  <c r="J9" i="14" s="1"/>
  <c r="M7" i="14"/>
  <c r="M9" i="14" s="1"/>
  <c r="X7" i="14"/>
  <c r="X9" i="14" s="1"/>
  <c r="H7" i="14"/>
  <c r="H9" i="14" s="1"/>
  <c r="AA7" i="14"/>
  <c r="AA9" i="14" s="1"/>
  <c r="K7" i="14"/>
  <c r="K9" i="14" s="1"/>
  <c r="I7" i="14"/>
  <c r="I9" i="14" s="1"/>
  <c r="V7" i="14"/>
  <c r="V9" i="14" s="1"/>
  <c r="F7" i="14"/>
  <c r="F9" i="14" s="1"/>
  <c r="AC7" i="14"/>
  <c r="AC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R12" i="14" l="1"/>
  <c r="S13" i="14"/>
  <c r="S12" i="14" l="1"/>
  <c r="T13" i="14"/>
  <c r="T12" i="14" s="1"/>
  <c r="C193" i="15"/>
  <c r="C151" i="15"/>
  <c r="C169" i="15"/>
  <c r="C205" i="15"/>
  <c r="C135" i="15"/>
  <c r="C118" i="15"/>
  <c r="C102" i="15"/>
  <c r="C89" i="15"/>
  <c r="C111" i="15"/>
  <c r="C183" i="15"/>
  <c r="C211" i="15"/>
  <c r="C180" i="15"/>
  <c r="C162" i="15"/>
  <c r="C202" i="15"/>
  <c r="C126" i="15"/>
  <c r="C109" i="15"/>
  <c r="C93" i="15"/>
  <c r="C107" i="15"/>
  <c r="C174" i="15"/>
  <c r="C194" i="15"/>
  <c r="C179" i="15"/>
  <c r="C170" i="15"/>
  <c r="C196" i="15"/>
  <c r="C125" i="15"/>
  <c r="C108" i="15"/>
  <c r="C92" i="15"/>
  <c r="C195" i="15"/>
  <c r="C203" i="15"/>
  <c r="C147" i="15"/>
  <c r="C208" i="15"/>
  <c r="C115" i="15"/>
  <c r="C212" i="15"/>
  <c r="C99" i="15"/>
  <c r="C149" i="15"/>
  <c r="C185" i="15"/>
  <c r="C110" i="15"/>
  <c r="C94" i="15"/>
  <c r="C87" i="15"/>
  <c r="C153" i="15"/>
  <c r="C200" i="15"/>
  <c r="C117" i="15"/>
  <c r="C132" i="15"/>
  <c r="C201" i="15"/>
  <c r="C177" i="15"/>
  <c r="C116" i="15"/>
  <c r="C150" i="15"/>
  <c r="C187" i="15"/>
  <c r="C91" i="15"/>
  <c r="C148" i="15"/>
  <c r="C184" i="15"/>
  <c r="C173" i="15"/>
  <c r="C106" i="15"/>
  <c r="C124" i="15"/>
  <c r="C171" i="15"/>
  <c r="C198" i="15"/>
  <c r="C182" i="15"/>
  <c r="C130" i="15"/>
  <c r="C97" i="15"/>
  <c r="C204" i="15"/>
  <c r="C188" i="15"/>
  <c r="C176" i="15"/>
  <c r="C112" i="15"/>
  <c r="C190" i="15"/>
  <c r="C128" i="15"/>
  <c r="C146" i="15"/>
  <c r="C156" i="15"/>
  <c r="C213" i="15"/>
  <c r="C168" i="15"/>
  <c r="C165" i="15"/>
  <c r="C131" i="15"/>
  <c r="C114" i="15"/>
  <c r="C98" i="15"/>
  <c r="C178" i="15"/>
  <c r="C103" i="15"/>
  <c r="C181" i="15"/>
  <c r="C215" i="15"/>
  <c r="C175" i="15"/>
  <c r="C172" i="15"/>
  <c r="C138" i="15"/>
  <c r="C122" i="15"/>
  <c r="C105" i="15"/>
  <c r="C141" i="15"/>
  <c r="C95" i="15"/>
  <c r="C157" i="15"/>
  <c r="C158" i="15"/>
  <c r="C164" i="15"/>
  <c r="C166" i="15"/>
  <c r="C189" i="15"/>
  <c r="C121" i="15"/>
  <c r="C104" i="15"/>
  <c r="C88" i="15"/>
  <c r="C144" i="15"/>
  <c r="C197" i="15"/>
  <c r="C161" i="15"/>
  <c r="C191" i="15"/>
  <c r="C207" i="15"/>
  <c r="C167" i="15"/>
  <c r="C127" i="15"/>
  <c r="C136" i="15"/>
  <c r="C206" i="15"/>
  <c r="C143" i="15"/>
  <c r="C134" i="15"/>
  <c r="C101" i="15"/>
  <c r="C145" i="15"/>
  <c r="C142" i="15"/>
  <c r="C139" i="15"/>
  <c r="C133" i="15"/>
  <c r="C100" i="15"/>
  <c r="C163" i="15"/>
  <c r="C214" i="15"/>
  <c r="C160" i="15"/>
  <c r="C186" i="15"/>
  <c r="C123" i="15"/>
  <c r="C90" i="15"/>
  <c r="C209" i="15"/>
  <c r="C152" i="15"/>
  <c r="C113" i="15"/>
  <c r="C119" i="15"/>
  <c r="C159" i="15"/>
  <c r="C129" i="15"/>
  <c r="C199" i="15"/>
  <c r="C154" i="15"/>
  <c r="C140" i="15"/>
  <c r="C192" i="15"/>
  <c r="C96" i="15"/>
  <c r="C155"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C6" i="15"/>
  <c r="C5" i="15"/>
  <c r="C4" i="15"/>
  <c r="C3" i="15"/>
  <c r="C2" i="15"/>
</calcChain>
</file>

<file path=xl/sharedStrings.xml><?xml version="1.0" encoding="utf-8"?>
<sst xmlns="http://schemas.openxmlformats.org/spreadsheetml/2006/main" count="11875" uniqueCount="6978">
  <si>
    <t>&lt;-增速</t>
    <phoneticPr fontId="1" type="noConversion"/>
  </si>
  <si>
    <t>&lt;-估值</t>
    <phoneticPr fontId="1" type="noConversion"/>
  </si>
  <si>
    <t>现价</t>
  </si>
  <si>
    <t>市净率</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</si>
  <si>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</si>
  <si>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</si>
  <si>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</si>
  <si>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</si>
  <si>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</si>
  <si>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</si>
  <si>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</si>
  <si>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</si>
  <si>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</si>
  <si>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</si>
  <si>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</si>
  <si>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</si>
  <si>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</si>
  <si>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</si>
  <si>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</si>
  <si>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t>
  </si>
  <si>
    <t>4.18亿</t>
  </si>
  <si>
    <t>0亿</t>
  </si>
  <si>
    <t>16.14亿</t>
  </si>
  <si>
    <t>1.04亿</t>
  </si>
  <si>
    <t>3.62亿</t>
  </si>
  <si>
    <t>1.03亿</t>
  </si>
  <si>
    <t>1.91亿</t>
  </si>
  <si>
    <t>1.29亿</t>
  </si>
  <si>
    <t>1.48亿</t>
  </si>
  <si>
    <t>12.23亿</t>
  </si>
  <si>
    <t>3.47亿</t>
  </si>
  <si>
    <t>1.92亿</t>
  </si>
  <si>
    <t>1.06亿</t>
  </si>
  <si>
    <t>6.31亿</t>
  </si>
  <si>
    <t>2.08亿</t>
  </si>
  <si>
    <t>3.16亿</t>
  </si>
  <si>
    <t>4.79亿</t>
  </si>
  <si>
    <t>1.81亿</t>
  </si>
  <si>
    <t>流动资产</t>
  </si>
  <si>
    <t>营业收入[20191231]</t>
  </si>
  <si>
    <t>营业收入[20181231]</t>
  </si>
  <si>
    <t>营业收入[20171231]</t>
  </si>
  <si>
    <t>净利润[20191231]</t>
  </si>
  <si>
    <t>净利润[20181231]</t>
  </si>
  <si>
    <t>净利润[20171231]</t>
  </si>
  <si>
    <t>销售毛利率%[20201231]</t>
  </si>
  <si>
    <t>销售净利率%[20201231]</t>
  </si>
  <si>
    <t>5.51亿</t>
  </si>
  <si>
    <t>2.54亿</t>
  </si>
  <si>
    <t>13.18亿</t>
  </si>
  <si>
    <t>2.35亿</t>
  </si>
  <si>
    <t>2.30亿</t>
  </si>
  <si>
    <t>1.62亿</t>
  </si>
  <si>
    <t>2.02亿</t>
  </si>
  <si>
    <t>2.03亿</t>
  </si>
  <si>
    <t>2.45亿</t>
  </si>
  <si>
    <t>1.82亿</t>
  </si>
  <si>
    <t>10.67亿</t>
  </si>
  <si>
    <t>3.60亿</t>
  </si>
  <si>
    <t>2.73亿</t>
  </si>
  <si>
    <t>2.79亿</t>
  </si>
  <si>
    <t>2.63亿</t>
  </si>
  <si>
    <t>3.99亿</t>
  </si>
  <si>
    <t>13.38亿</t>
  </si>
  <si>
    <t>4.32亿</t>
  </si>
  <si>
    <t>1.16亿</t>
  </si>
  <si>
    <t>2.10亿</t>
  </si>
  <si>
    <t>1.13亿</t>
  </si>
  <si>
    <t>2.01亿</t>
  </si>
  <si>
    <t>2.19亿</t>
  </si>
  <si>
    <t>5.16亿</t>
  </si>
  <si>
    <t>2.93亿</t>
  </si>
  <si>
    <t>40.44亿</t>
  </si>
  <si>
    <t>1.55亿</t>
  </si>
  <si>
    <t>1.12亿</t>
  </si>
  <si>
    <t>4.06亿</t>
  </si>
  <si>
    <t>-2.96亿</t>
  </si>
  <si>
    <t>2.82亿</t>
  </si>
  <si>
    <t>2.64亿</t>
  </si>
  <si>
    <t>4.76亿</t>
  </si>
  <si>
    <t>2.05亿</t>
  </si>
  <si>
    <t>8.01亿</t>
  </si>
  <si>
    <t>26.38亿</t>
  </si>
  <si>
    <t>10.70亿</t>
  </si>
  <si>
    <t>1.43亿</t>
  </si>
  <si>
    <t>6.28亿</t>
  </si>
  <si>
    <t>1.59亿</t>
  </si>
  <si>
    <t>1.90亿</t>
  </si>
  <si>
    <t>2.09亿</t>
  </si>
  <si>
    <t>5.14亿</t>
  </si>
  <si>
    <t>9.76亿</t>
  </si>
  <si>
    <t>4.34亿</t>
  </si>
  <si>
    <t>1.18亿</t>
  </si>
  <si>
    <t>1.53亿</t>
  </si>
  <si>
    <t>1.75亿</t>
  </si>
  <si>
    <t>2.44亿</t>
  </si>
  <si>
    <t>6.82亿</t>
  </si>
  <si>
    <t>9.50亿</t>
  </si>
  <si>
    <t>5.30亿</t>
  </si>
  <si>
    <t>1.14亿</t>
  </si>
  <si>
    <t>2.78亿</t>
  </si>
  <si>
    <t>1.98亿</t>
  </si>
  <si>
    <t>1.76亿</t>
  </si>
  <si>
    <t>1.15亿</t>
  </si>
  <si>
    <t>10.18亿</t>
  </si>
  <si>
    <t>3.50亿</t>
  </si>
  <si>
    <t>14.96亿</t>
  </si>
  <si>
    <t>5.52亿</t>
  </si>
  <si>
    <t>26.02亿</t>
  </si>
  <si>
    <t>3.58亿</t>
  </si>
  <si>
    <t>5.36亿</t>
  </si>
  <si>
    <t>8.47亿</t>
  </si>
  <si>
    <t>3.55亿</t>
  </si>
  <si>
    <t>3.85亿</t>
  </si>
  <si>
    <t>8.43亿</t>
  </si>
  <si>
    <t>1.35亿</t>
  </si>
  <si>
    <t>3.25亿</t>
  </si>
  <si>
    <t>9.62亿</t>
  </si>
  <si>
    <t>4.89亿</t>
  </si>
  <si>
    <t>-1.36亿</t>
  </si>
  <si>
    <t>3.31亿</t>
  </si>
  <si>
    <t>1.72亿</t>
  </si>
  <si>
    <t>6.59亿</t>
  </si>
  <si>
    <t>3.48亿</t>
  </si>
  <si>
    <t>3.82亿</t>
  </si>
  <si>
    <t>1.60亿</t>
  </si>
  <si>
    <t>1.28亿</t>
  </si>
  <si>
    <t>1.56亿</t>
  </si>
  <si>
    <t>1.45亿</t>
  </si>
  <si>
    <t>2.37亿</t>
  </si>
  <si>
    <t>4.47亿</t>
  </si>
  <si>
    <t>4.56亿</t>
  </si>
  <si>
    <t>6.35亿</t>
  </si>
  <si>
    <t>4.70亿</t>
  </si>
  <si>
    <t>3.76亿</t>
  </si>
  <si>
    <t>2.94亿</t>
  </si>
  <si>
    <t>4.02亿</t>
  </si>
  <si>
    <t>21.75亿</t>
  </si>
  <si>
    <t>2.41亿</t>
  </si>
  <si>
    <t>8.71亿</t>
  </si>
  <si>
    <t>3.24亿</t>
  </si>
  <si>
    <t>2.76亿</t>
  </si>
  <si>
    <t>10.01亿</t>
  </si>
  <si>
    <t>6.58亿</t>
  </si>
  <si>
    <t>1.63亿</t>
  </si>
  <si>
    <t>3.71亿</t>
  </si>
  <si>
    <t>1.79亿</t>
  </si>
  <si>
    <t>5.29亿</t>
  </si>
  <si>
    <t>2.96亿</t>
  </si>
  <si>
    <t>1.97亿</t>
  </si>
  <si>
    <t>5.40亿</t>
  </si>
  <si>
    <t>2.77亿</t>
  </si>
  <si>
    <t>9.39亿</t>
  </si>
  <si>
    <t>2.60亿</t>
  </si>
  <si>
    <t>13.55亿</t>
  </si>
  <si>
    <t>1.23亿</t>
  </si>
  <si>
    <t>7.10亿</t>
  </si>
  <si>
    <t>2.48亿</t>
  </si>
  <si>
    <t>3.02亿</t>
  </si>
  <si>
    <t>4.72亿</t>
  </si>
  <si>
    <t>6.10亿</t>
  </si>
  <si>
    <t>1.89亿</t>
  </si>
  <si>
    <t>2.24亿</t>
  </si>
  <si>
    <t>1.99亿</t>
  </si>
  <si>
    <t>5.13亿</t>
  </si>
  <si>
    <t>4.54亿</t>
  </si>
  <si>
    <t>2.40亿</t>
  </si>
  <si>
    <t>4.19亿</t>
  </si>
  <si>
    <t>4.21亿</t>
  </si>
  <si>
    <t>8.17亿</t>
  </si>
  <si>
    <t>SZ000030</t>
  </si>
  <si>
    <t>富奥股份</t>
  </si>
  <si>
    <t>汽车零部件</t>
  </si>
  <si>
    <t>111.13亿</t>
  </si>
  <si>
    <t>9.01亿</t>
  </si>
  <si>
    <t>1.22亿</t>
  </si>
  <si>
    <t>4.75亿</t>
  </si>
  <si>
    <t>1.26亿</t>
  </si>
  <si>
    <t>100.64亿</t>
  </si>
  <si>
    <t>78.53亿</t>
  </si>
  <si>
    <t>8.91亿</t>
  </si>
  <si>
    <t>8.82亿</t>
  </si>
  <si>
    <t>8.32亿</t>
  </si>
  <si>
    <t>6.77亿</t>
  </si>
  <si>
    <t>5.03亿</t>
  </si>
  <si>
    <t>4.36亿</t>
  </si>
  <si>
    <t>1.19亿</t>
  </si>
  <si>
    <t>3.84亿</t>
  </si>
  <si>
    <t>SZ000338</t>
  </si>
  <si>
    <t>潍柴动力</t>
  </si>
  <si>
    <t>1.39亿</t>
  </si>
  <si>
    <t>1743.61亿</t>
  </si>
  <si>
    <t>1592.56亿</t>
  </si>
  <si>
    <t>91.05亿</t>
  </si>
  <si>
    <t>86.58亿</t>
  </si>
  <si>
    <t>2.68亿</t>
  </si>
  <si>
    <t>SZ000559</t>
  </si>
  <si>
    <t>万向钱潮</t>
  </si>
  <si>
    <t>108.82亿</t>
  </si>
  <si>
    <t>3.05亿</t>
  </si>
  <si>
    <t>29.72亿</t>
  </si>
  <si>
    <t>1.57亿</t>
  </si>
  <si>
    <t>13.94亿</t>
  </si>
  <si>
    <t>105.81亿</t>
  </si>
  <si>
    <t>113.62亿</t>
  </si>
  <si>
    <t>7.23亿</t>
  </si>
  <si>
    <t>8.34亿</t>
  </si>
  <si>
    <t>1.64亿</t>
  </si>
  <si>
    <t>1.96亿</t>
  </si>
  <si>
    <t>1.61亿</t>
  </si>
  <si>
    <t>SZ000570</t>
  </si>
  <si>
    <t>苏常柴Ａ</t>
  </si>
  <si>
    <t>22.96亿</t>
  </si>
  <si>
    <t>5243.24万</t>
  </si>
  <si>
    <t>3.42亿</t>
  </si>
  <si>
    <t>4.27亿</t>
  </si>
  <si>
    <t>1.07亿</t>
  </si>
  <si>
    <t>6.18亿</t>
  </si>
  <si>
    <t>20.46亿</t>
  </si>
  <si>
    <t>21.39亿</t>
  </si>
  <si>
    <t>2496.65万</t>
  </si>
  <si>
    <t>6240.95万</t>
  </si>
  <si>
    <t>7.74亿</t>
  </si>
  <si>
    <t>5.38亿</t>
  </si>
  <si>
    <t>1.32亿</t>
  </si>
  <si>
    <t>SZ000581</t>
  </si>
  <si>
    <t>威孚高科</t>
  </si>
  <si>
    <t>128.84亿</t>
  </si>
  <si>
    <t>27.73亿</t>
  </si>
  <si>
    <t>1.11亿</t>
  </si>
  <si>
    <t>2.50亿</t>
  </si>
  <si>
    <t>87.84亿</t>
  </si>
  <si>
    <t>87.22亿</t>
  </si>
  <si>
    <t>22.68亿</t>
  </si>
  <si>
    <t>23.96亿</t>
  </si>
  <si>
    <t>15.15亿</t>
  </si>
  <si>
    <t>3.56亿</t>
  </si>
  <si>
    <t>SZ000589</t>
  </si>
  <si>
    <t>贵州轮胎</t>
  </si>
  <si>
    <t>68.09亿</t>
  </si>
  <si>
    <t>11.38亿</t>
  </si>
  <si>
    <t>1.69亿</t>
  </si>
  <si>
    <t>1.08亿</t>
  </si>
  <si>
    <t>14.09亿</t>
  </si>
  <si>
    <t>14.98亿</t>
  </si>
  <si>
    <t>2.00亿</t>
  </si>
  <si>
    <t>64.58亿</t>
  </si>
  <si>
    <t>68.25亿</t>
  </si>
  <si>
    <t>8817.31万</t>
  </si>
  <si>
    <t>-2.22亿</t>
  </si>
  <si>
    <t>1.02亿</t>
  </si>
  <si>
    <t>2.84亿</t>
  </si>
  <si>
    <t>SZ000599</t>
  </si>
  <si>
    <t>青岛双星</t>
  </si>
  <si>
    <t>44.21亿</t>
  </si>
  <si>
    <t>-3116.61万</t>
  </si>
  <si>
    <t>2.31亿</t>
  </si>
  <si>
    <t>2.36亿</t>
  </si>
  <si>
    <t>41.24亿</t>
  </si>
  <si>
    <t>37.45亿</t>
  </si>
  <si>
    <t>-2.72亿</t>
  </si>
  <si>
    <t>2751.04万</t>
  </si>
  <si>
    <t>1.09亿</t>
  </si>
  <si>
    <t>7.98亿</t>
  </si>
  <si>
    <t>1.36亿</t>
  </si>
  <si>
    <t>SZ000678</t>
  </si>
  <si>
    <t>襄阳轴承</t>
  </si>
  <si>
    <t>11.68亿</t>
  </si>
  <si>
    <t>11.92亿</t>
  </si>
  <si>
    <t>-9131.42万</t>
  </si>
  <si>
    <t>7.92亿</t>
  </si>
  <si>
    <t>4.25亿</t>
  </si>
  <si>
    <t>10.97亿</t>
  </si>
  <si>
    <t>12.41亿</t>
  </si>
  <si>
    <t>14.91亿</t>
  </si>
  <si>
    <t>1226.41万</t>
  </si>
  <si>
    <t>-5968.42万</t>
  </si>
  <si>
    <t>5.48亿</t>
  </si>
  <si>
    <t>2.14亿</t>
  </si>
  <si>
    <t>1.10亿</t>
  </si>
  <si>
    <t>SZ000700</t>
  </si>
  <si>
    <t>模塑科技</t>
  </si>
  <si>
    <t>3.36亿</t>
  </si>
  <si>
    <t>2.69亿</t>
  </si>
  <si>
    <t>3.39亿</t>
  </si>
  <si>
    <t>49.66亿</t>
  </si>
  <si>
    <t>1099.84万</t>
  </si>
  <si>
    <t>1.34亿</t>
  </si>
  <si>
    <t>2.52亿</t>
  </si>
  <si>
    <t>2.95亿</t>
  </si>
  <si>
    <t>14.72亿</t>
  </si>
  <si>
    <t>5.43亿</t>
  </si>
  <si>
    <t>1.77亿</t>
  </si>
  <si>
    <t>14.45亿</t>
  </si>
  <si>
    <t>18.34亿</t>
  </si>
  <si>
    <t>2.42亿</t>
  </si>
  <si>
    <t>4.15亿</t>
  </si>
  <si>
    <t>SZ000880</t>
  </si>
  <si>
    <t>潍柴重机</t>
  </si>
  <si>
    <t>33.08亿</t>
  </si>
  <si>
    <t>15.90亿</t>
  </si>
  <si>
    <t>9.00亿</t>
  </si>
  <si>
    <t>12.29亿</t>
  </si>
  <si>
    <t>26.59亿</t>
  </si>
  <si>
    <t>23.68亿</t>
  </si>
  <si>
    <t>8367.55万</t>
  </si>
  <si>
    <t>4156.55万</t>
  </si>
  <si>
    <t>8.27亿</t>
  </si>
  <si>
    <t>SZ000887</t>
  </si>
  <si>
    <t>中鼎股份</t>
  </si>
  <si>
    <t>115.48亿</t>
  </si>
  <si>
    <t>4.93亿</t>
  </si>
  <si>
    <t>4.20亿</t>
  </si>
  <si>
    <t>2.83亿</t>
  </si>
  <si>
    <t>6.45亿</t>
  </si>
  <si>
    <t>5.92亿</t>
  </si>
  <si>
    <t>117.06亿</t>
  </si>
  <si>
    <t>123.75亿</t>
  </si>
  <si>
    <t>6.02亿</t>
  </si>
  <si>
    <t>11.15亿</t>
  </si>
  <si>
    <t>11.27亿</t>
  </si>
  <si>
    <t>7.14亿</t>
  </si>
  <si>
    <t>2.38亿</t>
  </si>
  <si>
    <t>1.21亿</t>
  </si>
  <si>
    <t>SZ000901</t>
  </si>
  <si>
    <t>航天科技</t>
  </si>
  <si>
    <t>53.50亿</t>
  </si>
  <si>
    <t>-6.64亿</t>
  </si>
  <si>
    <t>2.58亿</t>
  </si>
  <si>
    <t>1.51亿</t>
  </si>
  <si>
    <t>4.13亿</t>
  </si>
  <si>
    <t>59.32亿</t>
  </si>
  <si>
    <t>58.01亿</t>
  </si>
  <si>
    <t>1.70亿</t>
  </si>
  <si>
    <t>6.55亿</t>
  </si>
  <si>
    <t>SZ000903</t>
  </si>
  <si>
    <t>云内动力</t>
  </si>
  <si>
    <t>2.26亿</t>
  </si>
  <si>
    <t>22.97亿</t>
  </si>
  <si>
    <t>2.81亿</t>
  </si>
  <si>
    <t>2.53亿</t>
  </si>
  <si>
    <t>3.26亿</t>
  </si>
  <si>
    <t>68.11亿</t>
  </si>
  <si>
    <t>65.33亿</t>
  </si>
  <si>
    <t>1.87亿</t>
  </si>
  <si>
    <t>2.32亿</t>
  </si>
  <si>
    <t>2.65亿</t>
  </si>
  <si>
    <t>1.38亿</t>
  </si>
  <si>
    <t>1.93亿</t>
  </si>
  <si>
    <t>SZ000981</t>
  </si>
  <si>
    <t>79.60亿</t>
  </si>
  <si>
    <t>-10.87亿</t>
  </si>
  <si>
    <t>3.29亿</t>
  </si>
  <si>
    <t>11.85亿</t>
  </si>
  <si>
    <t>-2.60亿</t>
  </si>
  <si>
    <t>70.48亿</t>
  </si>
  <si>
    <t>89.70亿</t>
  </si>
  <si>
    <t>-71.74亿</t>
  </si>
  <si>
    <t>-10.99亿</t>
  </si>
  <si>
    <t>16.01亿</t>
  </si>
  <si>
    <t>9.21亿</t>
  </si>
  <si>
    <t>1.86亿</t>
  </si>
  <si>
    <t>8.78亿</t>
  </si>
  <si>
    <t>SZ002048</t>
  </si>
  <si>
    <t>宁波华翔</t>
  </si>
  <si>
    <t>168.92亿</t>
  </si>
  <si>
    <t>8.49亿</t>
  </si>
  <si>
    <t>1.01亿</t>
  </si>
  <si>
    <t>32.36亿</t>
  </si>
  <si>
    <t>170.93亿</t>
  </si>
  <si>
    <t>149.27亿</t>
  </si>
  <si>
    <t>9.81亿</t>
  </si>
  <si>
    <t>7.32亿</t>
  </si>
  <si>
    <t>2.39亿</t>
  </si>
  <si>
    <t>4.94亿</t>
  </si>
  <si>
    <t>SZ002085</t>
  </si>
  <si>
    <t>万丰奥威</t>
  </si>
  <si>
    <t>106.99亿</t>
  </si>
  <si>
    <t>5.66亿</t>
  </si>
  <si>
    <t>3.04亿</t>
  </si>
  <si>
    <t>3.35亿</t>
  </si>
  <si>
    <t>126.35亿</t>
  </si>
  <si>
    <t>110.05亿</t>
  </si>
  <si>
    <t>8.96亿</t>
  </si>
  <si>
    <t>9.59亿</t>
  </si>
  <si>
    <t>9.58亿</t>
  </si>
  <si>
    <t>1.68亿</t>
  </si>
  <si>
    <t>1.49亿</t>
  </si>
  <si>
    <t>SZ002101</t>
  </si>
  <si>
    <t>广东鸿图</t>
  </si>
  <si>
    <t>55.96亿</t>
  </si>
  <si>
    <t>1.20亿</t>
  </si>
  <si>
    <t>1.24亿</t>
  </si>
  <si>
    <t>3.33亿</t>
  </si>
  <si>
    <t>59.06亿</t>
  </si>
  <si>
    <t>60.60亿</t>
  </si>
  <si>
    <t>2758.43万</t>
  </si>
  <si>
    <t>3.37亿</t>
  </si>
  <si>
    <t>2.91亿</t>
  </si>
  <si>
    <t>SZ002126</t>
  </si>
  <si>
    <t>银轮股份</t>
  </si>
  <si>
    <t>63.24亿</t>
  </si>
  <si>
    <t>3.22亿</t>
  </si>
  <si>
    <t>38.61亿</t>
  </si>
  <si>
    <t>22.27亿</t>
  </si>
  <si>
    <t>3.94亿</t>
  </si>
  <si>
    <t>2.07亿</t>
  </si>
  <si>
    <t>55.21亿</t>
  </si>
  <si>
    <t>50.19亿</t>
  </si>
  <si>
    <t>43.23亿</t>
  </si>
  <si>
    <t>3.18亿</t>
  </si>
  <si>
    <t>3.49亿</t>
  </si>
  <si>
    <t>3.11亿</t>
  </si>
  <si>
    <t>2.57亿</t>
  </si>
  <si>
    <t>1.05亿</t>
  </si>
  <si>
    <t>2.04亿</t>
  </si>
  <si>
    <t>SZ002239</t>
  </si>
  <si>
    <t>奥特佳</t>
  </si>
  <si>
    <t>37.27亿</t>
  </si>
  <si>
    <t>3.17亿</t>
  </si>
  <si>
    <t>32.11亿</t>
  </si>
  <si>
    <t>40.91亿</t>
  </si>
  <si>
    <t>3980.22万</t>
  </si>
  <si>
    <t>3.67亿</t>
  </si>
  <si>
    <t>2.23亿</t>
  </si>
  <si>
    <t>10.96亿</t>
  </si>
  <si>
    <t>14.56亿</t>
  </si>
  <si>
    <t>17.69亿</t>
  </si>
  <si>
    <t>4.66亿</t>
  </si>
  <si>
    <t>7.47亿</t>
  </si>
  <si>
    <t>9.04亿</t>
  </si>
  <si>
    <t>5.26亿</t>
  </si>
  <si>
    <t>2.22亿</t>
  </si>
  <si>
    <t>SZ002283</t>
  </si>
  <si>
    <t>天润工业</t>
  </si>
  <si>
    <t>44.28亿</t>
  </si>
  <si>
    <t>5.08亿</t>
  </si>
  <si>
    <t>1.47亿</t>
  </si>
  <si>
    <t>3.30亿</t>
  </si>
  <si>
    <t>7.96亿</t>
  </si>
  <si>
    <t>34.69亿</t>
  </si>
  <si>
    <t>1.33亿</t>
  </si>
  <si>
    <t>36.03亿</t>
  </si>
  <si>
    <t>34.05亿</t>
  </si>
  <si>
    <t>3.54亿</t>
  </si>
  <si>
    <t>1.94亿</t>
  </si>
  <si>
    <t>1.50亿</t>
  </si>
  <si>
    <t>SZ002284</t>
  </si>
  <si>
    <t>亚太股份</t>
  </si>
  <si>
    <t>29.21亿</t>
  </si>
  <si>
    <t>1635.92万</t>
  </si>
  <si>
    <t>15.01亿</t>
  </si>
  <si>
    <t>31.83亿</t>
  </si>
  <si>
    <t>39.04亿</t>
  </si>
  <si>
    <t>-9828.75万</t>
  </si>
  <si>
    <t>796.66万</t>
  </si>
  <si>
    <t>1.44亿</t>
  </si>
  <si>
    <t>1.42亿</t>
  </si>
  <si>
    <t>SZ002328</t>
  </si>
  <si>
    <t>新朋股份</t>
  </si>
  <si>
    <t>15.31亿</t>
  </si>
  <si>
    <t>42.51亿</t>
  </si>
  <si>
    <t>1.30亿</t>
  </si>
  <si>
    <t>36.02亿</t>
  </si>
  <si>
    <t>40.81亿</t>
  </si>
  <si>
    <t>1.00亿</t>
  </si>
  <si>
    <t>14.44亿</t>
  </si>
  <si>
    <t>3.61亿</t>
  </si>
  <si>
    <t>SZ002355</t>
  </si>
  <si>
    <t>兴民智通</t>
  </si>
  <si>
    <t>16.57亿</t>
  </si>
  <si>
    <t>14.65亿</t>
  </si>
  <si>
    <t>-3.55亿</t>
  </si>
  <si>
    <t>8.81亿</t>
  </si>
  <si>
    <t>2.27亿</t>
  </si>
  <si>
    <t>2.56亿</t>
  </si>
  <si>
    <t>18.32亿</t>
  </si>
  <si>
    <t>18.90亿</t>
  </si>
  <si>
    <t>1199.10万</t>
  </si>
  <si>
    <t>2.55亿</t>
  </si>
  <si>
    <t>2.92亿</t>
  </si>
  <si>
    <t>SZ002363</t>
  </si>
  <si>
    <t>隆基机械</t>
  </si>
  <si>
    <t>15.96亿</t>
  </si>
  <si>
    <t>4703.96万</t>
  </si>
  <si>
    <t>8.28亿</t>
  </si>
  <si>
    <t>5.61亿</t>
  </si>
  <si>
    <t>10.53亿</t>
  </si>
  <si>
    <t>4.10亿</t>
  </si>
  <si>
    <t>9.35亿</t>
  </si>
  <si>
    <t>16.33亿</t>
  </si>
  <si>
    <t>19.01亿</t>
  </si>
  <si>
    <t>13.86亿</t>
  </si>
  <si>
    <t>6185.29万</t>
  </si>
  <si>
    <t>8106.10万</t>
  </si>
  <si>
    <t>4.44亿</t>
  </si>
  <si>
    <t>2.59亿</t>
  </si>
  <si>
    <t>SZ002406</t>
  </si>
  <si>
    <t>远东传动</t>
  </si>
  <si>
    <t>12.02亿</t>
  </si>
  <si>
    <t>21.65亿</t>
  </si>
  <si>
    <t>1.37亿</t>
  </si>
  <si>
    <t>6.25亿</t>
  </si>
  <si>
    <t>17.54亿</t>
  </si>
  <si>
    <t>17.20亿</t>
  </si>
  <si>
    <t>2.71亿</t>
  </si>
  <si>
    <t>1.17亿</t>
  </si>
  <si>
    <t>6.50亿</t>
  </si>
  <si>
    <t>1.67亿</t>
  </si>
  <si>
    <t>3.00亿</t>
  </si>
  <si>
    <t>SZ002434</t>
  </si>
  <si>
    <t>万里扬</t>
  </si>
  <si>
    <t>60.65亿</t>
  </si>
  <si>
    <t>6.17亿</t>
  </si>
  <si>
    <t>2.62亿</t>
  </si>
  <si>
    <t>4.51亿</t>
  </si>
  <si>
    <t>14.70亿</t>
  </si>
  <si>
    <t>2.47亿</t>
  </si>
  <si>
    <t>51.00亿</t>
  </si>
  <si>
    <t>43.71亿</t>
  </si>
  <si>
    <t>4.00亿</t>
  </si>
  <si>
    <t>3.52亿</t>
  </si>
  <si>
    <t>6.43亿</t>
  </si>
  <si>
    <t>3.12亿</t>
  </si>
  <si>
    <t>2.12亿</t>
  </si>
  <si>
    <t>10.83亿</t>
  </si>
  <si>
    <t>1.71亿</t>
  </si>
  <si>
    <t>2.20亿</t>
  </si>
  <si>
    <t>SZ002448</t>
  </si>
  <si>
    <t>中原内配</t>
  </si>
  <si>
    <t>18.20亿</t>
  </si>
  <si>
    <t>14.90亿</t>
  </si>
  <si>
    <t>15.97亿</t>
  </si>
  <si>
    <t>11.75亿</t>
  </si>
  <si>
    <t>8811.84万</t>
  </si>
  <si>
    <t>2.15亿</t>
  </si>
  <si>
    <t>6.53亿</t>
  </si>
  <si>
    <t>7.22亿</t>
  </si>
  <si>
    <t>SZ002454</t>
  </si>
  <si>
    <t>松芝股份</t>
  </si>
  <si>
    <t>33.84亿</t>
  </si>
  <si>
    <t>4.68亿</t>
  </si>
  <si>
    <t>3.66亿</t>
  </si>
  <si>
    <t>34.06亿</t>
  </si>
  <si>
    <t>36.88亿</t>
  </si>
  <si>
    <t>2.34亿</t>
  </si>
  <si>
    <t>3.10亿</t>
  </si>
  <si>
    <t>14.69亿</t>
  </si>
  <si>
    <t>5.25亿</t>
  </si>
  <si>
    <t>SZ002472</t>
  </si>
  <si>
    <t>双环传动</t>
  </si>
  <si>
    <t>36.64亿</t>
  </si>
  <si>
    <t>5123.09万</t>
  </si>
  <si>
    <t>3.93亿</t>
  </si>
  <si>
    <t>3.38亿</t>
  </si>
  <si>
    <t>3.27亿</t>
  </si>
  <si>
    <t>31.51亿</t>
  </si>
  <si>
    <t>7831.71万</t>
  </si>
  <si>
    <t>1.95亿</t>
  </si>
  <si>
    <t>2.43亿</t>
  </si>
  <si>
    <t>SZ002488</t>
  </si>
  <si>
    <t>金固股份</t>
  </si>
  <si>
    <t>-1.63亿</t>
  </si>
  <si>
    <t>7.87亿</t>
  </si>
  <si>
    <t>1.58亿</t>
  </si>
  <si>
    <t>21.14亿</t>
  </si>
  <si>
    <t>27.09亿</t>
  </si>
  <si>
    <t>2309.71万</t>
  </si>
  <si>
    <t>4.61亿</t>
  </si>
  <si>
    <t>SZ002510</t>
  </si>
  <si>
    <t>天汽模</t>
  </si>
  <si>
    <t>13.46亿</t>
  </si>
  <si>
    <t>-8.25亿</t>
  </si>
  <si>
    <t>7.83亿</t>
  </si>
  <si>
    <t>3.64亿</t>
  </si>
  <si>
    <t>21.69亿</t>
  </si>
  <si>
    <t>8913.14万</t>
  </si>
  <si>
    <t>1.54亿</t>
  </si>
  <si>
    <t>7.45亿</t>
  </si>
  <si>
    <t>SZ002516</t>
  </si>
  <si>
    <t>旷达科技</t>
  </si>
  <si>
    <t>5.06亿</t>
  </si>
  <si>
    <t>4.73亿</t>
  </si>
  <si>
    <t>15.74亿</t>
  </si>
  <si>
    <t>17.67亿</t>
  </si>
  <si>
    <t>23.17亿</t>
  </si>
  <si>
    <t>23.02亿</t>
  </si>
  <si>
    <t>3.01亿</t>
  </si>
  <si>
    <t>2.51亿</t>
  </si>
  <si>
    <t>SZ002536</t>
  </si>
  <si>
    <t>飞龙股份</t>
  </si>
  <si>
    <t>26.65亿</t>
  </si>
  <si>
    <t>3.68亿</t>
  </si>
  <si>
    <t>1.31亿</t>
  </si>
  <si>
    <t>28.21亿</t>
  </si>
  <si>
    <t>6634.15万</t>
  </si>
  <si>
    <t>SZ002537</t>
  </si>
  <si>
    <t>海联金汇</t>
  </si>
  <si>
    <t>2.13亿</t>
  </si>
  <si>
    <t>2.25亿</t>
  </si>
  <si>
    <t>53.03亿</t>
  </si>
  <si>
    <t>50.11亿</t>
  </si>
  <si>
    <t>-24.56亿</t>
  </si>
  <si>
    <t>4.14亿</t>
  </si>
  <si>
    <t>2.33亿</t>
  </si>
  <si>
    <t>SZ002553</t>
  </si>
  <si>
    <t>1.84亿</t>
  </si>
  <si>
    <t>2.21亿</t>
  </si>
  <si>
    <t>4.07亿</t>
  </si>
  <si>
    <t>3.89亿</t>
  </si>
  <si>
    <t>3.20亿</t>
  </si>
  <si>
    <t>4220.97万</t>
  </si>
  <si>
    <t>9016.09万</t>
  </si>
  <si>
    <t>SZ002590</t>
  </si>
  <si>
    <t>万安科技</t>
  </si>
  <si>
    <t>25.22亿</t>
  </si>
  <si>
    <t>6414.92万</t>
  </si>
  <si>
    <t>11.43亿</t>
  </si>
  <si>
    <t>22.49亿</t>
  </si>
  <si>
    <t>22.55亿</t>
  </si>
  <si>
    <t>1.27亿</t>
  </si>
  <si>
    <t>-3220.86万</t>
  </si>
  <si>
    <t>3.80亿</t>
  </si>
  <si>
    <t>SZ002592</t>
  </si>
  <si>
    <t>ST八菱</t>
  </si>
  <si>
    <t>-6.85亿</t>
  </si>
  <si>
    <t>3.88亿</t>
  </si>
  <si>
    <t>4.84亿</t>
  </si>
  <si>
    <t>1.78亿</t>
  </si>
  <si>
    <t>7.51亿</t>
  </si>
  <si>
    <t>-4.06亿</t>
  </si>
  <si>
    <t>727.44万</t>
  </si>
  <si>
    <t>1.25亿</t>
  </si>
  <si>
    <t>5.47亿</t>
  </si>
  <si>
    <t>SZ002662</t>
  </si>
  <si>
    <t>京威股份</t>
  </si>
  <si>
    <t>37.54亿</t>
  </si>
  <si>
    <t>6.06亿</t>
  </si>
  <si>
    <t>36.30亿</t>
  </si>
  <si>
    <t>54.11亿</t>
  </si>
  <si>
    <t>56.88亿</t>
  </si>
  <si>
    <t>48.12亿</t>
  </si>
  <si>
    <t>-20.83亿</t>
  </si>
  <si>
    <t>9122.68万</t>
  </si>
  <si>
    <t>4.53亿</t>
  </si>
  <si>
    <t>SZ002664</t>
  </si>
  <si>
    <t>38.21亿</t>
  </si>
  <si>
    <t>28.78亿</t>
  </si>
  <si>
    <t>15.12亿</t>
  </si>
  <si>
    <t>8.14亿</t>
  </si>
  <si>
    <t>1.41亿</t>
  </si>
  <si>
    <t>26.31亿</t>
  </si>
  <si>
    <t>24.19亿</t>
  </si>
  <si>
    <t>15.08亿</t>
  </si>
  <si>
    <t>3.06亿</t>
  </si>
  <si>
    <t>2.99亿</t>
  </si>
  <si>
    <t>SZ002703</t>
  </si>
  <si>
    <t>浙江世宝</t>
  </si>
  <si>
    <t>11.02亿</t>
  </si>
  <si>
    <t>4084.60万</t>
  </si>
  <si>
    <t>9.82亿</t>
  </si>
  <si>
    <t>11.33亿</t>
  </si>
  <si>
    <t>11.54亿</t>
  </si>
  <si>
    <t>11.36亿</t>
  </si>
  <si>
    <t>-1.77亿</t>
  </si>
  <si>
    <t>727.84万</t>
  </si>
  <si>
    <t>SZ002708</t>
  </si>
  <si>
    <t>光洋股份</t>
  </si>
  <si>
    <t>14.34亿</t>
  </si>
  <si>
    <t>5035.80万</t>
  </si>
  <si>
    <t>8.80亿</t>
  </si>
  <si>
    <t>7.15亿</t>
  </si>
  <si>
    <t>2000.00万</t>
  </si>
  <si>
    <t>13.09亿</t>
  </si>
  <si>
    <t>14.61亿</t>
  </si>
  <si>
    <t>1152.98万</t>
  </si>
  <si>
    <t>-9040.36万</t>
  </si>
  <si>
    <t>SZ002715</t>
  </si>
  <si>
    <t>登云股份</t>
  </si>
  <si>
    <t>4.98亿</t>
  </si>
  <si>
    <t>5.09亿</t>
  </si>
  <si>
    <t>3.73亿</t>
  </si>
  <si>
    <t>1533.93万</t>
  </si>
  <si>
    <t>1.74亿</t>
  </si>
  <si>
    <t>3.19亿</t>
  </si>
  <si>
    <t>373.04万</t>
  </si>
  <si>
    <t>1026.62万</t>
  </si>
  <si>
    <t>SZ002725</t>
  </si>
  <si>
    <t>跃岭股份</t>
  </si>
  <si>
    <t>-643.82万</t>
  </si>
  <si>
    <t>4.16亿</t>
  </si>
  <si>
    <t>3.74亿</t>
  </si>
  <si>
    <t>4.09亿</t>
  </si>
  <si>
    <t>3.15亿</t>
  </si>
  <si>
    <t>9.67亿</t>
  </si>
  <si>
    <t>3325.40万</t>
  </si>
  <si>
    <t>4669.45万</t>
  </si>
  <si>
    <t>SZ002766</t>
  </si>
  <si>
    <t>10.26亿</t>
  </si>
  <si>
    <t>-13.05亿</t>
  </si>
  <si>
    <t>3.34亿</t>
  </si>
  <si>
    <t>10.08亿</t>
  </si>
  <si>
    <t>11.51亿</t>
  </si>
  <si>
    <t>5.45亿</t>
  </si>
  <si>
    <t>8.09亿</t>
  </si>
  <si>
    <t>778.42万</t>
  </si>
  <si>
    <t>-10.29亿</t>
  </si>
  <si>
    <t>7.57亿</t>
  </si>
  <si>
    <t>SZ002863</t>
  </si>
  <si>
    <t>今飞凯达</t>
  </si>
  <si>
    <t>31.15亿</t>
  </si>
  <si>
    <t>6474.29万</t>
  </si>
  <si>
    <t>18.15亿</t>
  </si>
  <si>
    <t>5.55亿</t>
  </si>
  <si>
    <t>2.11亿</t>
  </si>
  <si>
    <t>29.46亿</t>
  </si>
  <si>
    <t>5716.36万</t>
  </si>
  <si>
    <t>6467.56万</t>
  </si>
  <si>
    <t>8.29亿</t>
  </si>
  <si>
    <t>6.00亿</t>
  </si>
  <si>
    <t>1.52亿</t>
  </si>
  <si>
    <t>6.48亿</t>
  </si>
  <si>
    <t>SZ002870</t>
  </si>
  <si>
    <t>香山股份</t>
  </si>
  <si>
    <t>9.77亿</t>
  </si>
  <si>
    <t>7508.32万</t>
  </si>
  <si>
    <t>6.16亿</t>
  </si>
  <si>
    <t>8.42亿</t>
  </si>
  <si>
    <t>9.38亿</t>
  </si>
  <si>
    <t>9.29亿</t>
  </si>
  <si>
    <t>-6492.02万</t>
  </si>
  <si>
    <t>3849.51万</t>
  </si>
  <si>
    <t>SZ002906</t>
  </si>
  <si>
    <t>华阳集团</t>
  </si>
  <si>
    <t>33.74亿</t>
  </si>
  <si>
    <t>4.52亿</t>
  </si>
  <si>
    <t>14.88亿</t>
  </si>
  <si>
    <t>33.83亿</t>
  </si>
  <si>
    <t>41.66亿</t>
  </si>
  <si>
    <t>7449.18万</t>
  </si>
  <si>
    <t>1663.53万</t>
  </si>
  <si>
    <t>2.80亿</t>
  </si>
  <si>
    <t>5.10亿</t>
  </si>
  <si>
    <t>SZ002921</t>
  </si>
  <si>
    <t>联诚精密</t>
  </si>
  <si>
    <t>9.13亿</t>
  </si>
  <si>
    <t>7192.72万</t>
  </si>
  <si>
    <t>7.48亿</t>
  </si>
  <si>
    <t>6.65亿</t>
  </si>
  <si>
    <t>5.12亿</t>
  </si>
  <si>
    <t>4629.70万</t>
  </si>
  <si>
    <t>4496.15万</t>
  </si>
  <si>
    <t>2.75亿</t>
  </si>
  <si>
    <t>SZ002984</t>
  </si>
  <si>
    <t>森麒麟</t>
  </si>
  <si>
    <t>47.05亿</t>
  </si>
  <si>
    <t>18.41亿</t>
  </si>
  <si>
    <t>45.79亿</t>
  </si>
  <si>
    <t>41.76亿</t>
  </si>
  <si>
    <t>7.41亿</t>
  </si>
  <si>
    <t>3.79亿</t>
  </si>
  <si>
    <t>1.40亿</t>
  </si>
  <si>
    <t>11.95亿</t>
  </si>
  <si>
    <t>11.60亿</t>
  </si>
  <si>
    <t>SZ002997</t>
  </si>
  <si>
    <t>瑞鹄模具</t>
  </si>
  <si>
    <t>14.58亿</t>
  </si>
  <si>
    <t>2.97亿</t>
  </si>
  <si>
    <t>13.99亿</t>
  </si>
  <si>
    <t>9086.41万</t>
  </si>
  <si>
    <t>SZ300100</t>
  </si>
  <si>
    <t>双林股份</t>
  </si>
  <si>
    <t>35.77亿</t>
  </si>
  <si>
    <t>9078.47万</t>
  </si>
  <si>
    <t>18.74亿</t>
  </si>
  <si>
    <t>43.02亿</t>
  </si>
  <si>
    <t>55.60亿</t>
  </si>
  <si>
    <t>-9.47亿</t>
  </si>
  <si>
    <t>3.14亿</t>
  </si>
  <si>
    <t>SZ300176</t>
  </si>
  <si>
    <t>派生科技</t>
  </si>
  <si>
    <t>9.42亿</t>
  </si>
  <si>
    <t>11.73亿</t>
  </si>
  <si>
    <t>5.82亿</t>
  </si>
  <si>
    <t>15.10亿</t>
  </si>
  <si>
    <t>34.42亿</t>
  </si>
  <si>
    <t>29.37亿</t>
  </si>
  <si>
    <t>-4.28亿</t>
  </si>
  <si>
    <t>3.70亿</t>
  </si>
  <si>
    <t>4.91亿</t>
  </si>
  <si>
    <t>SZ300258</t>
  </si>
  <si>
    <t>精锻科技</t>
  </si>
  <si>
    <t>12.03亿</t>
  </si>
  <si>
    <t>5.91亿</t>
  </si>
  <si>
    <t>12.65亿</t>
  </si>
  <si>
    <t>11.29亿</t>
  </si>
  <si>
    <t>8.99亿</t>
  </si>
  <si>
    <t>2.86亿</t>
  </si>
  <si>
    <t>SZ300304</t>
  </si>
  <si>
    <t>云意电气</t>
  </si>
  <si>
    <t>8.40亿</t>
  </si>
  <si>
    <t>5.11亿</t>
  </si>
  <si>
    <t>6.42亿</t>
  </si>
  <si>
    <t>3.40亿</t>
  </si>
  <si>
    <t>SZ300375</t>
  </si>
  <si>
    <t>鹏翎股份</t>
  </si>
  <si>
    <t>6.11亿</t>
  </si>
  <si>
    <t>16.75亿</t>
  </si>
  <si>
    <t>-6873.38万</t>
  </si>
  <si>
    <t>10.88亿</t>
  </si>
  <si>
    <t>SZ300428</t>
  </si>
  <si>
    <t>立中集团</t>
  </si>
  <si>
    <t>133.92亿</t>
  </si>
  <si>
    <t>4.33亿</t>
  </si>
  <si>
    <t>78.16亿</t>
  </si>
  <si>
    <t>7.50亿</t>
  </si>
  <si>
    <t>136.65亿</t>
  </si>
  <si>
    <t>67.55亿</t>
  </si>
  <si>
    <t>5.97亿</t>
  </si>
  <si>
    <t>3.90亿</t>
  </si>
  <si>
    <t>4.05亿</t>
  </si>
  <si>
    <t>SZ300432</t>
  </si>
  <si>
    <t>富临精工</t>
  </si>
  <si>
    <t>18.45亿</t>
  </si>
  <si>
    <t>14.79亿</t>
  </si>
  <si>
    <t>23.28亿</t>
  </si>
  <si>
    <t>-23.24亿</t>
  </si>
  <si>
    <t>2.29亿</t>
  </si>
  <si>
    <t>7.38亿</t>
  </si>
  <si>
    <t>3.41亿</t>
  </si>
  <si>
    <t>SZ300473</t>
  </si>
  <si>
    <t>德尔股份</t>
  </si>
  <si>
    <t>33.86亿</t>
  </si>
  <si>
    <t>-4.23亿</t>
  </si>
  <si>
    <t>6.23亿</t>
  </si>
  <si>
    <t>5989.17万</t>
  </si>
  <si>
    <t>SZ300507</t>
  </si>
  <si>
    <t>苏奥传感</t>
  </si>
  <si>
    <t>2.74亿</t>
  </si>
  <si>
    <t>7.06亿</t>
  </si>
  <si>
    <t>6.67亿</t>
  </si>
  <si>
    <t>6762.77万</t>
  </si>
  <si>
    <t>8685.73万</t>
  </si>
  <si>
    <t>SZ300547</t>
  </si>
  <si>
    <t>川环科技</t>
  </si>
  <si>
    <t>1.65亿</t>
  </si>
  <si>
    <t>2.16亿</t>
  </si>
  <si>
    <t>5.77亿</t>
  </si>
  <si>
    <t>1.73亿</t>
  </si>
  <si>
    <t>SZ300580</t>
  </si>
  <si>
    <t>贝斯特</t>
  </si>
  <si>
    <t>9.31亿</t>
  </si>
  <si>
    <t>1.80亿</t>
  </si>
  <si>
    <t>8.02亿</t>
  </si>
  <si>
    <t>6.71亿</t>
  </si>
  <si>
    <t>4.77亿</t>
  </si>
  <si>
    <t>2.72亿</t>
  </si>
  <si>
    <t>SZ300585</t>
  </si>
  <si>
    <t>奥联电子</t>
  </si>
  <si>
    <t>3157.45万</t>
  </si>
  <si>
    <t>3.95亿</t>
  </si>
  <si>
    <t>2.67亿</t>
  </si>
  <si>
    <t>2121.23万</t>
  </si>
  <si>
    <t>4459.62万</t>
  </si>
  <si>
    <t>SZ300611</t>
  </si>
  <si>
    <t>美力科技</t>
  </si>
  <si>
    <t>7.36亿</t>
  </si>
  <si>
    <t>6.74亿</t>
  </si>
  <si>
    <t>4024.54万</t>
  </si>
  <si>
    <t>6.01亿</t>
  </si>
  <si>
    <t>4.01亿</t>
  </si>
  <si>
    <t>2.98亿</t>
  </si>
  <si>
    <t>1807.95万</t>
  </si>
  <si>
    <t>1992.10万</t>
  </si>
  <si>
    <t>SZ300643</t>
  </si>
  <si>
    <t>万通智控</t>
  </si>
  <si>
    <t>7.89亿</t>
  </si>
  <si>
    <t>3635.96万</t>
  </si>
  <si>
    <t>4.59亿</t>
  </si>
  <si>
    <t>1983.58万</t>
  </si>
  <si>
    <t>3247.22万</t>
  </si>
  <si>
    <t>SZ300652</t>
  </si>
  <si>
    <t>雷迪克</t>
  </si>
  <si>
    <t>9.46亿</t>
  </si>
  <si>
    <t>4.37亿</t>
  </si>
  <si>
    <t>5933.81万</t>
  </si>
  <si>
    <t>4.62亿</t>
  </si>
  <si>
    <t>4.58亿</t>
  </si>
  <si>
    <t>4.95亿</t>
  </si>
  <si>
    <t>6290.36万</t>
  </si>
  <si>
    <t>8289.68万</t>
  </si>
  <si>
    <t>SZ300680</t>
  </si>
  <si>
    <t>隆盛科技</t>
  </si>
  <si>
    <t>5.78亿</t>
  </si>
  <si>
    <t>5366.95万</t>
  </si>
  <si>
    <t>3003.91万</t>
  </si>
  <si>
    <t>382.72万</t>
  </si>
  <si>
    <t>SZ300681</t>
  </si>
  <si>
    <t>英搏尔</t>
  </si>
  <si>
    <t>1315.71万</t>
  </si>
  <si>
    <t>4.26亿</t>
  </si>
  <si>
    <t>-7934.25万</t>
  </si>
  <si>
    <t>5307.61万</t>
  </si>
  <si>
    <t>SZ300694</t>
  </si>
  <si>
    <t>蠡湖股份</t>
  </si>
  <si>
    <t>10.79亿</t>
  </si>
  <si>
    <t>4581.57万</t>
  </si>
  <si>
    <t>12.07亿</t>
  </si>
  <si>
    <t>11.20亿</t>
  </si>
  <si>
    <t>8007.59万</t>
  </si>
  <si>
    <t>4.39亿</t>
  </si>
  <si>
    <t>SZ300695</t>
  </si>
  <si>
    <t>兆丰股份</t>
  </si>
  <si>
    <t>4.03亿</t>
  </si>
  <si>
    <t>5.59亿</t>
  </si>
  <si>
    <t>4.97亿</t>
  </si>
  <si>
    <t>6.08亿</t>
  </si>
  <si>
    <t>SZ300707</t>
  </si>
  <si>
    <t>威唐工业</t>
  </si>
  <si>
    <t>3178.22万</t>
  </si>
  <si>
    <t>3671.59万</t>
  </si>
  <si>
    <t>8274.54万</t>
  </si>
  <si>
    <t>SZ300733</t>
  </si>
  <si>
    <t>西菱动力</t>
  </si>
  <si>
    <t>811.27万</t>
  </si>
  <si>
    <t>8.63亿</t>
  </si>
  <si>
    <t>5.21亿</t>
  </si>
  <si>
    <t>2123.60万</t>
  </si>
  <si>
    <t>6668.76万</t>
  </si>
  <si>
    <t>4.88亿</t>
  </si>
  <si>
    <t>2.18亿</t>
  </si>
  <si>
    <t>3.87亿</t>
  </si>
  <si>
    <t>SZ300745</t>
  </si>
  <si>
    <t>欣锐科技</t>
  </si>
  <si>
    <t>-2.85亿</t>
  </si>
  <si>
    <t>5.96亿</t>
  </si>
  <si>
    <t>7.17亿</t>
  </si>
  <si>
    <t>3.46亿</t>
  </si>
  <si>
    <t>2704.13万</t>
  </si>
  <si>
    <t>8245.73万</t>
  </si>
  <si>
    <t>9149.68万</t>
  </si>
  <si>
    <t>SZ300816</t>
  </si>
  <si>
    <t>艾可蓝</t>
  </si>
  <si>
    <t>8.08亿</t>
  </si>
  <si>
    <t>4.45亿</t>
  </si>
  <si>
    <t>8288.95万</t>
  </si>
  <si>
    <t>1.88亿</t>
  </si>
  <si>
    <t>SZ300863</t>
  </si>
  <si>
    <t>卡倍亿</t>
  </si>
  <si>
    <t>12.64亿</t>
  </si>
  <si>
    <t>5290.56万</t>
  </si>
  <si>
    <t>5.28亿</t>
  </si>
  <si>
    <t>-1.27亿</t>
  </si>
  <si>
    <t>10.68亿</t>
  </si>
  <si>
    <t>9.92亿</t>
  </si>
  <si>
    <t>7.04亿</t>
  </si>
  <si>
    <t>6034.96万</t>
  </si>
  <si>
    <t>6213.58万</t>
  </si>
  <si>
    <t>4.38亿</t>
  </si>
  <si>
    <t>SZ300893</t>
  </si>
  <si>
    <t>松原股份</t>
  </si>
  <si>
    <t>9003.31万</t>
  </si>
  <si>
    <t>4.65亿</t>
  </si>
  <si>
    <t>8059.24万</t>
  </si>
  <si>
    <t>6349.71万</t>
  </si>
  <si>
    <t>SZ300912</t>
  </si>
  <si>
    <t>凯龙高科</t>
  </si>
  <si>
    <t>11.23亿</t>
  </si>
  <si>
    <t>9953.65万</t>
  </si>
  <si>
    <t>11.61亿</t>
  </si>
  <si>
    <t>6066.13万</t>
  </si>
  <si>
    <t>7529.07万</t>
  </si>
  <si>
    <t>5.58亿</t>
  </si>
  <si>
    <t>SZ300926</t>
  </si>
  <si>
    <t>博俊科技</t>
  </si>
  <si>
    <t>5.49亿</t>
  </si>
  <si>
    <t>6729.85万</t>
  </si>
  <si>
    <t>2.17亿</t>
  </si>
  <si>
    <t>5.22亿</t>
  </si>
  <si>
    <t>6370.69万</t>
  </si>
  <si>
    <t>6138.98万</t>
  </si>
  <si>
    <t>SZ300928</t>
  </si>
  <si>
    <t>华安鑫创</t>
  </si>
  <si>
    <t>7039.89万</t>
  </si>
  <si>
    <t>8.56亿</t>
  </si>
  <si>
    <t>8.35亿</t>
  </si>
  <si>
    <t>6.64亿</t>
  </si>
  <si>
    <t>8194.19万</t>
  </si>
  <si>
    <t>7073.68万</t>
  </si>
  <si>
    <t>SZ300969</t>
  </si>
  <si>
    <t>恒帅股份</t>
  </si>
  <si>
    <t>6635.52万</t>
  </si>
  <si>
    <t>6522.82万</t>
  </si>
  <si>
    <t>5195.22万</t>
  </si>
  <si>
    <t>SZ300978</t>
  </si>
  <si>
    <t>东箭科技</t>
  </si>
  <si>
    <t>14.75亿</t>
  </si>
  <si>
    <t>15.66亿</t>
  </si>
  <si>
    <t>SZ300998</t>
  </si>
  <si>
    <t>宁波方正</t>
  </si>
  <si>
    <t>4719.16万</t>
  </si>
  <si>
    <t>6.20亿</t>
  </si>
  <si>
    <t>5252.26万</t>
  </si>
  <si>
    <t>5845.02万</t>
  </si>
  <si>
    <t>SZ301000</t>
  </si>
  <si>
    <t>肇民科技</t>
  </si>
  <si>
    <t>7186.78万</t>
  </si>
  <si>
    <t>5317.09万</t>
  </si>
  <si>
    <t>SZ301005</t>
  </si>
  <si>
    <t>超捷股份</t>
  </si>
  <si>
    <t>3.45亿</t>
  </si>
  <si>
    <t>8127.46万</t>
  </si>
  <si>
    <t>3.07亿</t>
  </si>
  <si>
    <t>4421.21万</t>
  </si>
  <si>
    <t>4543.58万</t>
  </si>
  <si>
    <t>SZ301007</t>
  </si>
  <si>
    <t>德迈仕</t>
  </si>
  <si>
    <t>5074.90万</t>
  </si>
  <si>
    <t>3481.32万</t>
  </si>
  <si>
    <t>5672.89万</t>
  </si>
  <si>
    <t>SZ301020</t>
  </si>
  <si>
    <t>密封科技</t>
  </si>
  <si>
    <t>1.83亿</t>
  </si>
  <si>
    <t>7813.13万</t>
  </si>
  <si>
    <t>9026.19万</t>
  </si>
  <si>
    <t>SZ301022</t>
  </si>
  <si>
    <t>海泰科</t>
  </si>
  <si>
    <t>6837.08万</t>
  </si>
  <si>
    <t>5418.35万</t>
  </si>
  <si>
    <t>2290.72万</t>
  </si>
  <si>
    <t>SZ301072</t>
  </si>
  <si>
    <t>5251.23万</t>
  </si>
  <si>
    <t>5690.88万</t>
  </si>
  <si>
    <t>5628.58万</t>
  </si>
  <si>
    <t>SH600081</t>
  </si>
  <si>
    <t>东风科技</t>
  </si>
  <si>
    <t>22.08亿</t>
  </si>
  <si>
    <t>13.93亿</t>
  </si>
  <si>
    <t>65.31亿</t>
  </si>
  <si>
    <t>66.73亿</t>
  </si>
  <si>
    <t>SH600148</t>
  </si>
  <si>
    <t>长春一东</t>
  </si>
  <si>
    <t>11.56亿</t>
  </si>
  <si>
    <t>9.44亿</t>
  </si>
  <si>
    <t>8.87亿</t>
  </si>
  <si>
    <t>7.68亿</t>
  </si>
  <si>
    <t>SH600178</t>
  </si>
  <si>
    <t>东安动力</t>
  </si>
  <si>
    <t>38.47亿</t>
  </si>
  <si>
    <t>19.39亿</t>
  </si>
  <si>
    <t>12.93亿</t>
  </si>
  <si>
    <t>SH600182</t>
  </si>
  <si>
    <t>28.03亿</t>
  </si>
  <si>
    <t>3.03亿</t>
  </si>
  <si>
    <t>5.84亿</t>
  </si>
  <si>
    <t>30.70亿</t>
  </si>
  <si>
    <t>33.69亿</t>
  </si>
  <si>
    <t>SH600218</t>
  </si>
  <si>
    <t>全柴动力</t>
  </si>
  <si>
    <t>44.56亿</t>
  </si>
  <si>
    <t>34.77亿</t>
  </si>
  <si>
    <t>SH600469</t>
  </si>
  <si>
    <t>风神股份</t>
  </si>
  <si>
    <t>55.79亿</t>
  </si>
  <si>
    <t>12.17亿</t>
  </si>
  <si>
    <t>59.14亿</t>
  </si>
  <si>
    <t>62.19亿</t>
  </si>
  <si>
    <t>2.06亿</t>
  </si>
  <si>
    <t>1827.09万</t>
  </si>
  <si>
    <t>SH600480</t>
  </si>
  <si>
    <t>凌云股份</t>
  </si>
  <si>
    <t>135.40亿</t>
  </si>
  <si>
    <t>4.69亿</t>
  </si>
  <si>
    <t>117.79亿</t>
  </si>
  <si>
    <t>122.52亿</t>
  </si>
  <si>
    <t>118.45亿</t>
  </si>
  <si>
    <t>-6983.83万</t>
  </si>
  <si>
    <t>SH600523</t>
  </si>
  <si>
    <t>贵航股份</t>
  </si>
  <si>
    <t>22.36亿</t>
  </si>
  <si>
    <t>27.98亿</t>
  </si>
  <si>
    <t>SH600609</t>
  </si>
  <si>
    <t>金杯汽车</t>
  </si>
  <si>
    <t>54.57亿</t>
  </si>
  <si>
    <t>-4.55亿</t>
  </si>
  <si>
    <t>56.00亿</t>
  </si>
  <si>
    <t>61.46亿</t>
  </si>
  <si>
    <t>6065.69万</t>
  </si>
  <si>
    <t>8075.93万</t>
  </si>
  <si>
    <t>SH600626</t>
  </si>
  <si>
    <t>申达股份</t>
  </si>
  <si>
    <t>108.24亿</t>
  </si>
  <si>
    <t>-8.09亿</t>
  </si>
  <si>
    <t>11.09亿</t>
  </si>
  <si>
    <t>146.97亿</t>
  </si>
  <si>
    <t>163.31亿</t>
  </si>
  <si>
    <t>6565.34万</t>
  </si>
  <si>
    <t>SH600660</t>
  </si>
  <si>
    <t>福耀玻璃</t>
  </si>
  <si>
    <t>199.07亿</t>
  </si>
  <si>
    <t>26.01亿</t>
  </si>
  <si>
    <t>211.04亿</t>
  </si>
  <si>
    <t>202.25亿</t>
  </si>
  <si>
    <t>28.98亿</t>
  </si>
  <si>
    <t>41.20亿</t>
  </si>
  <si>
    <t>SH600698</t>
  </si>
  <si>
    <t>湖南天雁</t>
  </si>
  <si>
    <t>1020.24万</t>
  </si>
  <si>
    <t>5.83亿</t>
  </si>
  <si>
    <t>1175.13万</t>
  </si>
  <si>
    <t>-8894.08万</t>
  </si>
  <si>
    <t>SH600699</t>
  </si>
  <si>
    <t>均胜电子</t>
  </si>
  <si>
    <t>478.90亿</t>
  </si>
  <si>
    <t>616.99亿</t>
  </si>
  <si>
    <t>561.81亿</t>
  </si>
  <si>
    <t>9.40亿</t>
  </si>
  <si>
    <t>3.96亿</t>
  </si>
  <si>
    <t>SH600741</t>
  </si>
  <si>
    <t>华域汽车</t>
  </si>
  <si>
    <t>1335.78亿</t>
  </si>
  <si>
    <t>54.03亿</t>
  </si>
  <si>
    <t>1440.24亿</t>
  </si>
  <si>
    <t>1571.70亿</t>
  </si>
  <si>
    <t>64.63亿</t>
  </si>
  <si>
    <t>80.27亿</t>
  </si>
  <si>
    <t>SH600742</t>
  </si>
  <si>
    <t>一汽富维</t>
  </si>
  <si>
    <t>195.20亿</t>
  </si>
  <si>
    <t>-2.56亿</t>
  </si>
  <si>
    <t>177.71亿</t>
  </si>
  <si>
    <t>136.08亿</t>
  </si>
  <si>
    <t>SH600933</t>
  </si>
  <si>
    <t>爱柯迪</t>
  </si>
  <si>
    <t>25.91亿</t>
  </si>
  <si>
    <t>26.27亿</t>
  </si>
  <si>
    <t>25.07亿</t>
  </si>
  <si>
    <t>4.83亿</t>
  </si>
  <si>
    <t>SH600960</t>
  </si>
  <si>
    <t>渤海汽车</t>
  </si>
  <si>
    <t>46.86亿</t>
  </si>
  <si>
    <t>6998.87万</t>
  </si>
  <si>
    <t>29.22亿</t>
  </si>
  <si>
    <t>49.18亿</t>
  </si>
  <si>
    <t>38.78亿</t>
  </si>
  <si>
    <t>7237.78万</t>
  </si>
  <si>
    <t>12.19亿</t>
  </si>
  <si>
    <t>SH601058</t>
  </si>
  <si>
    <t>赛轮轮胎</t>
  </si>
  <si>
    <t>6.76亿</t>
  </si>
  <si>
    <t>SH601163</t>
  </si>
  <si>
    <t>三角轮胎</t>
  </si>
  <si>
    <t>85.35亿</t>
  </si>
  <si>
    <t>10.60亿</t>
  </si>
  <si>
    <t>79.41亿</t>
  </si>
  <si>
    <t>75.11亿</t>
  </si>
  <si>
    <t>8.25亿</t>
  </si>
  <si>
    <t>8.06亿</t>
  </si>
  <si>
    <t>SH601279</t>
  </si>
  <si>
    <t>英利汽车</t>
  </si>
  <si>
    <t>50.20亿</t>
  </si>
  <si>
    <t>20.81亿</t>
  </si>
  <si>
    <t>46.69亿</t>
  </si>
  <si>
    <t>10.02亿</t>
  </si>
  <si>
    <t>SH601500</t>
  </si>
  <si>
    <t>通用股份</t>
  </si>
  <si>
    <t>34.48亿</t>
  </si>
  <si>
    <t>9101.31万</t>
  </si>
  <si>
    <t>33.35亿</t>
  </si>
  <si>
    <t>13.79亿</t>
  </si>
  <si>
    <t>SH601689</t>
  </si>
  <si>
    <t>拓普集团</t>
  </si>
  <si>
    <t>65.11亿</t>
  </si>
  <si>
    <t>3.51亿</t>
  </si>
  <si>
    <t>46.13亿</t>
  </si>
  <si>
    <t>53.59亿</t>
  </si>
  <si>
    <t>59.84亿</t>
  </si>
  <si>
    <t>7.53亿</t>
  </si>
  <si>
    <t>SH601799</t>
  </si>
  <si>
    <t>星宇股份</t>
  </si>
  <si>
    <t>73.23亿</t>
  </si>
  <si>
    <t>15.57亿</t>
  </si>
  <si>
    <t>60.92亿</t>
  </si>
  <si>
    <t>50.74亿</t>
  </si>
  <si>
    <t>7.90亿</t>
  </si>
  <si>
    <t>SH601966</t>
  </si>
  <si>
    <t>玲珑轮胎</t>
  </si>
  <si>
    <t>183.83亿</t>
  </si>
  <si>
    <t>22.20亿</t>
  </si>
  <si>
    <t>3.08亿</t>
  </si>
  <si>
    <t>171.64亿</t>
  </si>
  <si>
    <t>153.02亿</t>
  </si>
  <si>
    <t>16.68亿</t>
  </si>
  <si>
    <t>11.81亿</t>
  </si>
  <si>
    <t>10.48亿</t>
  </si>
  <si>
    <t>SH603006</t>
  </si>
  <si>
    <t>联明股份</t>
  </si>
  <si>
    <t>10.36亿</t>
  </si>
  <si>
    <t>10.98亿</t>
  </si>
  <si>
    <t>10.16亿</t>
  </si>
  <si>
    <t>9.23亿</t>
  </si>
  <si>
    <t>7303.37万</t>
  </si>
  <si>
    <t>SH603009</t>
  </si>
  <si>
    <t>北特科技</t>
  </si>
  <si>
    <t>3031.97万</t>
  </si>
  <si>
    <t>5.41亿</t>
  </si>
  <si>
    <t>13.03亿</t>
  </si>
  <si>
    <t>5991.04万</t>
  </si>
  <si>
    <t>4.29亿</t>
  </si>
  <si>
    <t>SH603013</t>
  </si>
  <si>
    <t>亚普股份</t>
  </si>
  <si>
    <t>88.59亿</t>
  </si>
  <si>
    <t>2.28亿</t>
  </si>
  <si>
    <t>91.38亿</t>
  </si>
  <si>
    <t>78.49亿</t>
  </si>
  <si>
    <t>SH603023</t>
  </si>
  <si>
    <t>8454.24万</t>
  </si>
  <si>
    <t>1569.53万</t>
  </si>
  <si>
    <t>2285.10万</t>
  </si>
  <si>
    <t>6516.58万</t>
  </si>
  <si>
    <t>SH603035</t>
  </si>
  <si>
    <t>22.18亿</t>
  </si>
  <si>
    <t>5.19亿</t>
  </si>
  <si>
    <t>18.24亿</t>
  </si>
  <si>
    <t>14.64亿</t>
  </si>
  <si>
    <t>13.39亿</t>
  </si>
  <si>
    <t>SH603037</t>
  </si>
  <si>
    <t>凯众股份</t>
  </si>
  <si>
    <t>9.14亿</t>
  </si>
  <si>
    <t>8271.85万</t>
  </si>
  <si>
    <t>4.50亿</t>
  </si>
  <si>
    <t>8103.31万</t>
  </si>
  <si>
    <t>SH603040</t>
  </si>
  <si>
    <t>新坐标</t>
  </si>
  <si>
    <t>SH603085</t>
  </si>
  <si>
    <t>天成自控</t>
  </si>
  <si>
    <t>10.52亿</t>
  </si>
  <si>
    <t>14.28亿</t>
  </si>
  <si>
    <t>5052.53万</t>
  </si>
  <si>
    <t>-5.35亿</t>
  </si>
  <si>
    <t>3654.60万</t>
  </si>
  <si>
    <t>SH603089</t>
  </si>
  <si>
    <t>正裕工业</t>
  </si>
  <si>
    <t>6.92亿</t>
  </si>
  <si>
    <t>7448.50万</t>
  </si>
  <si>
    <t>4.71亿</t>
  </si>
  <si>
    <t>SH603109</t>
  </si>
  <si>
    <t>神驰机电</t>
  </si>
  <si>
    <t>15.62亿</t>
  </si>
  <si>
    <t>7.21亿</t>
  </si>
  <si>
    <t>12.71亿</t>
  </si>
  <si>
    <t>10.69亿</t>
  </si>
  <si>
    <t>SH603121</t>
  </si>
  <si>
    <t>华培动力</t>
  </si>
  <si>
    <t>6.38亿</t>
  </si>
  <si>
    <t>5892.87万</t>
  </si>
  <si>
    <t>4.35亿</t>
  </si>
  <si>
    <t>3.28亿</t>
  </si>
  <si>
    <t>9768.27万</t>
  </si>
  <si>
    <t>7845.89万</t>
  </si>
  <si>
    <t>SH603158</t>
  </si>
  <si>
    <t>腾龙股份</t>
  </si>
  <si>
    <t>14.86亿</t>
  </si>
  <si>
    <t>17.72亿</t>
  </si>
  <si>
    <t>10.34亿</t>
  </si>
  <si>
    <t>SH603161</t>
  </si>
  <si>
    <t>科华控股</t>
  </si>
  <si>
    <t>16.22亿</t>
  </si>
  <si>
    <t>2086.27万</t>
  </si>
  <si>
    <t>16.23亿</t>
  </si>
  <si>
    <t>13.76亿</t>
  </si>
  <si>
    <t>9.17亿</t>
  </si>
  <si>
    <t>8242.77万</t>
  </si>
  <si>
    <t>SH603166</t>
  </si>
  <si>
    <t>福达股份</t>
  </si>
  <si>
    <t>17.70亿</t>
  </si>
  <si>
    <t>-1.34亿</t>
  </si>
  <si>
    <t>14.05亿</t>
  </si>
  <si>
    <t>SH603178</t>
  </si>
  <si>
    <t>圣龙股份</t>
  </si>
  <si>
    <t>12.22亿</t>
  </si>
  <si>
    <t>5560.41万</t>
  </si>
  <si>
    <t>12.21亿</t>
  </si>
  <si>
    <t>13.11亿</t>
  </si>
  <si>
    <t>15.76亿</t>
  </si>
  <si>
    <t>-2.10亿</t>
  </si>
  <si>
    <t>3812.96万</t>
  </si>
  <si>
    <t>SH603179</t>
  </si>
  <si>
    <t>新泉股份</t>
  </si>
  <si>
    <t>36.80亿</t>
  </si>
  <si>
    <t>30.36亿</t>
  </si>
  <si>
    <t>SH603197</t>
  </si>
  <si>
    <t>保隆科技</t>
  </si>
  <si>
    <t>33.31亿</t>
  </si>
  <si>
    <t>33.21亿</t>
  </si>
  <si>
    <t>23.05亿</t>
  </si>
  <si>
    <t>SH603239</t>
  </si>
  <si>
    <t>浙江仙通</t>
  </si>
  <si>
    <t>2.87亿</t>
  </si>
  <si>
    <t>9738.84万</t>
  </si>
  <si>
    <t>SH603286</t>
  </si>
  <si>
    <t>日盈电子</t>
  </si>
  <si>
    <t>1475.71万</t>
  </si>
  <si>
    <t>1.46亿</t>
  </si>
  <si>
    <t>4.99亿</t>
  </si>
  <si>
    <t>2679.89万</t>
  </si>
  <si>
    <t>2208.77万</t>
  </si>
  <si>
    <t>SH603305</t>
  </si>
  <si>
    <t>16.28亿</t>
  </si>
  <si>
    <t>6.09亿</t>
  </si>
  <si>
    <t>17.24亿</t>
  </si>
  <si>
    <t>7.39亿</t>
  </si>
  <si>
    <t>5.69亿</t>
  </si>
  <si>
    <t>5.05亿</t>
  </si>
  <si>
    <t>SH603306</t>
  </si>
  <si>
    <t>2.85亿</t>
  </si>
  <si>
    <t>9.86亿</t>
  </si>
  <si>
    <t>9.83亿</t>
  </si>
  <si>
    <t>8.90亿</t>
  </si>
  <si>
    <t>SH603319</t>
  </si>
  <si>
    <t>湘油泵</t>
  </si>
  <si>
    <t>9312.05万</t>
  </si>
  <si>
    <t>9710.67万</t>
  </si>
  <si>
    <t>SH603335</t>
  </si>
  <si>
    <t>迪生力</t>
  </si>
  <si>
    <t>6016.27万</t>
  </si>
  <si>
    <t>908.14万</t>
  </si>
  <si>
    <t>1350.78万</t>
  </si>
  <si>
    <t>SH603348</t>
  </si>
  <si>
    <t>文灿股份</t>
  </si>
  <si>
    <t>26.03亿</t>
  </si>
  <si>
    <t>8380.48万</t>
  </si>
  <si>
    <t>19.60亿</t>
  </si>
  <si>
    <t>15.38亿</t>
  </si>
  <si>
    <t>16.20亿</t>
  </si>
  <si>
    <t>7103.45万</t>
  </si>
  <si>
    <t>SH603358</t>
  </si>
  <si>
    <t>华达科技</t>
  </si>
  <si>
    <t>41.34亿</t>
  </si>
  <si>
    <t>41.78亿</t>
  </si>
  <si>
    <t>40.52亿</t>
  </si>
  <si>
    <t>31.72亿</t>
  </si>
  <si>
    <t>SH603390</t>
  </si>
  <si>
    <t>通达电气</t>
  </si>
  <si>
    <t>3.65亿</t>
  </si>
  <si>
    <t>7.84亿</t>
  </si>
  <si>
    <t>9.52亿</t>
  </si>
  <si>
    <t>SH603586</t>
  </si>
  <si>
    <t>金麒麟</t>
  </si>
  <si>
    <t>12.87亿</t>
  </si>
  <si>
    <t>8834.79万</t>
  </si>
  <si>
    <t>SH603596</t>
  </si>
  <si>
    <t>伯特利</t>
  </si>
  <si>
    <t>30.42亿</t>
  </si>
  <si>
    <t>31.57亿</t>
  </si>
  <si>
    <t>SH603633</t>
  </si>
  <si>
    <t>徕木股份</t>
  </si>
  <si>
    <t>4288.31万</t>
  </si>
  <si>
    <t>4230.60万</t>
  </si>
  <si>
    <t>4336.81万</t>
  </si>
  <si>
    <t>SH603655</t>
  </si>
  <si>
    <t>朗博科技</t>
  </si>
  <si>
    <t>2253.26万</t>
  </si>
  <si>
    <t>2292.35万</t>
  </si>
  <si>
    <t>3020.81万</t>
  </si>
  <si>
    <t>SH603701</t>
  </si>
  <si>
    <t>德宏股份</t>
  </si>
  <si>
    <t>6348.99万</t>
  </si>
  <si>
    <t>5751.36万</t>
  </si>
  <si>
    <t>SH603730</t>
  </si>
  <si>
    <t>岱美股份</t>
  </si>
  <si>
    <t>39.50亿</t>
  </si>
  <si>
    <t>-3.79亿</t>
  </si>
  <si>
    <t>48.18亿</t>
  </si>
  <si>
    <t>42.73亿</t>
  </si>
  <si>
    <t>32.47亿</t>
  </si>
  <si>
    <t>SH603758</t>
  </si>
  <si>
    <t>秦安股份</t>
  </si>
  <si>
    <t>5.63亿</t>
  </si>
  <si>
    <t>4.96亿</t>
  </si>
  <si>
    <t>12.00亿</t>
  </si>
  <si>
    <t>-6365.01万</t>
  </si>
  <si>
    <t>3.13亿</t>
  </si>
  <si>
    <t>SH603767</t>
  </si>
  <si>
    <t>中马传动</t>
  </si>
  <si>
    <t>5524.68万</t>
  </si>
  <si>
    <t>8.84亿</t>
  </si>
  <si>
    <t>8.23亿</t>
  </si>
  <si>
    <t>7482.69万</t>
  </si>
  <si>
    <t>5604.78万</t>
  </si>
  <si>
    <t>SH603768</t>
  </si>
  <si>
    <t>常青股份</t>
  </si>
  <si>
    <t>7516.92万</t>
  </si>
  <si>
    <t>12.51亿</t>
  </si>
  <si>
    <t>19.16亿</t>
  </si>
  <si>
    <t>2451.77万</t>
  </si>
  <si>
    <t>7826.94万</t>
  </si>
  <si>
    <t>10.37亿</t>
  </si>
  <si>
    <t>SH603786</t>
  </si>
  <si>
    <t>科博达</t>
  </si>
  <si>
    <t>29.14亿</t>
  </si>
  <si>
    <t>5.15亿</t>
  </si>
  <si>
    <t>6.21亿</t>
  </si>
  <si>
    <t>26.75亿</t>
  </si>
  <si>
    <t>2.49亿</t>
  </si>
  <si>
    <t>SH603788</t>
  </si>
  <si>
    <t>宁波高发</t>
  </si>
  <si>
    <t>3.75亿</t>
  </si>
  <si>
    <t>12.89亿</t>
  </si>
  <si>
    <t>8.61亿</t>
  </si>
  <si>
    <t>SH603809</t>
  </si>
  <si>
    <t>豪能股份</t>
  </si>
  <si>
    <t>11.71亿</t>
  </si>
  <si>
    <t>9.28亿</t>
  </si>
  <si>
    <t>9.30亿</t>
  </si>
  <si>
    <t>SH603917</t>
  </si>
  <si>
    <t>合力科技</t>
  </si>
  <si>
    <t>5.39亿</t>
  </si>
  <si>
    <t>7590.13万</t>
  </si>
  <si>
    <t>9775.77万</t>
  </si>
  <si>
    <t>SH603922</t>
  </si>
  <si>
    <t>金鸿顺</t>
  </si>
  <si>
    <t>10.30亿</t>
  </si>
  <si>
    <t>757.46万</t>
  </si>
  <si>
    <t>10.42亿</t>
  </si>
  <si>
    <t>-8913.96万</t>
  </si>
  <si>
    <t>5623.74万</t>
  </si>
  <si>
    <t>SH603926</t>
  </si>
  <si>
    <t>铁流股份</t>
  </si>
  <si>
    <t>12.94亿</t>
  </si>
  <si>
    <t>8.52亿</t>
  </si>
  <si>
    <t>7.24亿</t>
  </si>
  <si>
    <t>SH603949</t>
  </si>
  <si>
    <t>雪龙集团</t>
  </si>
  <si>
    <t>9988.36万</t>
  </si>
  <si>
    <t>9138.60万</t>
  </si>
  <si>
    <t>SH603950</t>
  </si>
  <si>
    <t>长源东谷</t>
  </si>
  <si>
    <t>16.78亿</t>
  </si>
  <si>
    <t>14.18亿</t>
  </si>
  <si>
    <t>11.55亿</t>
  </si>
  <si>
    <t>SH603982</t>
  </si>
  <si>
    <t>泉峰汽车</t>
  </si>
  <si>
    <t>8.66亿</t>
  </si>
  <si>
    <t>6.99亿</t>
  </si>
  <si>
    <t>8589.08万</t>
  </si>
  <si>
    <t>9163.43万</t>
  </si>
  <si>
    <t>SH603997</t>
  </si>
  <si>
    <t>继峰股份</t>
  </si>
  <si>
    <t>157.33亿</t>
  </si>
  <si>
    <t>-2.58亿</t>
  </si>
  <si>
    <t>180.01亿</t>
  </si>
  <si>
    <t>72.82亿</t>
  </si>
  <si>
    <t>SH605005</t>
  </si>
  <si>
    <t>合兴股份</t>
  </si>
  <si>
    <t>11.77亿</t>
  </si>
  <si>
    <t>11.99亿</t>
  </si>
  <si>
    <t>SH605018</t>
  </si>
  <si>
    <t>14.54亿</t>
  </si>
  <si>
    <t>14.31亿</t>
  </si>
  <si>
    <t>15.18亿</t>
  </si>
  <si>
    <t>SH605068</t>
  </si>
  <si>
    <t>明新旭腾</t>
  </si>
  <si>
    <t>5.70亿</t>
  </si>
  <si>
    <t>SH605088</t>
  </si>
  <si>
    <t>冠盛股份</t>
  </si>
  <si>
    <t>9224.37万</t>
  </si>
  <si>
    <t>19.45亿</t>
  </si>
  <si>
    <t>17.52亿</t>
  </si>
  <si>
    <t>9517.01万</t>
  </si>
  <si>
    <t>SH605128</t>
  </si>
  <si>
    <t>上海沿浦</t>
  </si>
  <si>
    <t>8123.52万</t>
  </si>
  <si>
    <t>3.43亿</t>
  </si>
  <si>
    <t>7.00亿</t>
  </si>
  <si>
    <t>8838.42万</t>
  </si>
  <si>
    <t>8046.61万</t>
  </si>
  <si>
    <t>SH605133</t>
  </si>
  <si>
    <t>嵘泰股份</t>
  </si>
  <si>
    <t>9.91亿</t>
  </si>
  <si>
    <t>SH605228</t>
  </si>
  <si>
    <t>神通科技</t>
  </si>
  <si>
    <t>17.56亿</t>
  </si>
  <si>
    <t>SH605255</t>
  </si>
  <si>
    <t>天普股份</t>
  </si>
  <si>
    <t>6266.18万</t>
  </si>
  <si>
    <t>7805.56万</t>
  </si>
  <si>
    <t>SH605319</t>
  </si>
  <si>
    <t>无锡振华</t>
  </si>
  <si>
    <t>14.17亿</t>
  </si>
  <si>
    <t>15.69亿</t>
  </si>
  <si>
    <t>15.27亿</t>
  </si>
  <si>
    <t>9310.64万</t>
  </si>
  <si>
    <t>SH605333</t>
  </si>
  <si>
    <t>沪光股份</t>
  </si>
  <si>
    <t>7422.82万</t>
  </si>
  <si>
    <t>8.51亿</t>
  </si>
  <si>
    <t>16.32亿</t>
  </si>
  <si>
    <t>SH688021</t>
  </si>
  <si>
    <t>奥福环保</t>
  </si>
  <si>
    <t>8002.08万</t>
  </si>
  <si>
    <t>5162.29万</t>
  </si>
  <si>
    <t>4676.14万</t>
  </si>
  <si>
    <t>SH688280</t>
  </si>
  <si>
    <t>-7893.29万</t>
  </si>
  <si>
    <t>SH688533</t>
  </si>
  <si>
    <t>上声电子</t>
  </si>
  <si>
    <t>7552.50万</t>
  </si>
  <si>
    <t>12.38亿</t>
  </si>
  <si>
    <t>7837.86万</t>
  </si>
  <si>
    <t>SH688667</t>
  </si>
  <si>
    <t>菱电电控</t>
  </si>
  <si>
    <t>7.62亿</t>
  </si>
  <si>
    <t>8116.27万</t>
  </si>
  <si>
    <t>2197.34万</t>
  </si>
  <si>
    <t>SH688737</t>
  </si>
  <si>
    <t>中自科技</t>
  </si>
  <si>
    <t>25.77亿</t>
  </si>
  <si>
    <t>8655.37万</t>
  </si>
  <si>
    <t>-5930.97万</t>
  </si>
  <si>
    <t>s/n</t>
    <phoneticPr fontId="1" type="noConversion"/>
  </si>
  <si>
    <t>子公司</t>
    <phoneticPr fontId="1" type="noConversion"/>
  </si>
  <si>
    <t>主业</t>
    <phoneticPr fontId="1" type="noConversion"/>
  </si>
  <si>
    <t>营收</t>
    <phoneticPr fontId="1" type="noConversion"/>
  </si>
  <si>
    <t>利润</t>
    <phoneticPr fontId="1" type="noConversion"/>
  </si>
  <si>
    <t>Linde（林德）</t>
    <phoneticPr fontId="1" type="noConversion"/>
  </si>
  <si>
    <t>液压主泵</t>
    <phoneticPr fontId="1" type="noConversion"/>
  </si>
  <si>
    <t>Kion（凯傲）</t>
    <phoneticPr fontId="1" type="noConversion"/>
  </si>
  <si>
    <t>叉车</t>
    <phoneticPr fontId="1" type="noConversion"/>
  </si>
  <si>
    <t>Dematic（德马泰克）</t>
    <phoneticPr fontId="1" type="noConversion"/>
  </si>
  <si>
    <t>智能物流</t>
    <phoneticPr fontId="1" type="noConversion"/>
  </si>
  <si>
    <t>Baudouin(博杜安）</t>
    <phoneticPr fontId="1" type="noConversion"/>
  </si>
  <si>
    <t>高速大缸径发动机（330KW~1200KW），新定增项目（400KW~10000KW)缸径150mm</t>
    <phoneticPr fontId="1" type="noConversion"/>
  </si>
  <si>
    <t>Ballard(巴拉德动力）</t>
    <phoneticPr fontId="1" type="noConversion"/>
  </si>
  <si>
    <t>新能源燃料电池，质子交换膜燃料电池的开创者（PEMFC）</t>
    <phoneticPr fontId="1" type="noConversion"/>
  </si>
  <si>
    <t>法土特</t>
    <phoneticPr fontId="1" type="noConversion"/>
  </si>
  <si>
    <t>重型卡车变速箱，齿轮</t>
    <phoneticPr fontId="1" type="noConversion"/>
  </si>
  <si>
    <t>汉德</t>
    <phoneticPr fontId="1" type="noConversion"/>
  </si>
  <si>
    <t>车桥</t>
    <phoneticPr fontId="1" type="noConversion"/>
  </si>
  <si>
    <t>陕西重汽</t>
    <phoneticPr fontId="1" type="noConversion"/>
  </si>
  <si>
    <t>重型卡车整车</t>
    <phoneticPr fontId="1" type="noConversion"/>
  </si>
  <si>
    <t>湘火炬（准备剥离创业板上市）</t>
    <phoneticPr fontId="1" type="noConversion"/>
  </si>
  <si>
    <t>火花塞</t>
    <phoneticPr fontId="1" type="noConversion"/>
  </si>
  <si>
    <t>佛尔赛</t>
    <phoneticPr fontId="1" type="noConversion"/>
  </si>
  <si>
    <t>国内气体能源为核心的燃料电池和综合能源系统设备公司，对标亿华通</t>
    <phoneticPr fontId="1" type="noConversion"/>
  </si>
  <si>
    <t>Ceres Power（锡里斯）</t>
    <phoneticPr fontId="1" type="noConversion"/>
  </si>
  <si>
    <t>合资公司，固态氧化物燃料电池领域（SOFC）</t>
    <phoneticPr fontId="1" type="noConversion"/>
  </si>
  <si>
    <t>雷沃重工</t>
    <phoneticPr fontId="1" type="noConversion"/>
  </si>
  <si>
    <t>农业：收割机械，拖拉机</t>
    <phoneticPr fontId="1" type="noConversion"/>
  </si>
  <si>
    <t>瑞士飞速燃料电池空压机股份有限公司</t>
    <phoneticPr fontId="1" type="noConversion"/>
  </si>
  <si>
    <t>49%股份，空压机是燃料电池系统中仅次于电池堆的部件</t>
    <phoneticPr fontId="1" type="noConversion"/>
  </si>
  <si>
    <t>1.从营收上看，2021年两个季度的增速稍微同比涨了点，单季能做到1.7亿，增速45%；</t>
    <phoneticPr fontId="1" type="noConversion"/>
  </si>
  <si>
    <t>1.问：那公司的TPMS的核心技术优势有什么区别？答：我们公司的核心技术主要体现在传感器射频技术上，功耗小，PPM产品的功率是FSK的十分之一，因此可以做到轻量化，使用寿命可以达到8年以上。2.将PPM射频技术应用到其他领域，成为射频技术领域的领先者；紧跟物联网和车联网的创新发展步伐，产品链持续拓展至汽车电子、车辆信息控制系统、各类车辆应用传感器及车联网应用等领域</t>
    <phoneticPr fontId="1" type="noConversion"/>
  </si>
  <si>
    <t>1.特斯拉为公司第一大客户；未来，随着客户终端需求的提升以及新项目新产品的量产，预计非特斯拉客户营收占比将进一步提升。</t>
    <phoneticPr fontId="1" type="noConversion"/>
  </si>
  <si>
    <t>1.2021年上半年有疫情和大宗原材料价格持续上涨且高位震荡、出口运费大幅上涨等困难;2.2020年轮胎行业整体取得较好的业绩，主要源于下游市场需求旺盛和原材料价格处于低位。2021年受原材料价格持续走高，加上能耗双控、海运受阻，以及基建投资和房地产行业下滑、物流运输公转铁转水等诸多因素影响，行业整体业绩下滑;</t>
    <phoneticPr fontId="1" type="noConversion"/>
  </si>
  <si>
    <r>
      <t>1.预计2022年一季度末可以达到790万条，到“十四五”期末国内工厂总产能有望接近1100万条;2.市场销售采用的是“经销商代理的</t>
    </r>
    <r>
      <rPr>
        <b/>
        <sz val="9"/>
        <color rgb="FFFF0000"/>
        <rFont val="宋体"/>
        <family val="3"/>
        <charset val="134"/>
        <scheme val="minor"/>
      </rPr>
      <t>替换市场为主</t>
    </r>
    <r>
      <rPr>
        <sz val="9"/>
        <color theme="1"/>
        <rFont val="宋体"/>
        <family val="2"/>
        <charset val="134"/>
        <scheme val="minor"/>
      </rPr>
      <t>、配套市场和集团客户为辅”的模式，其中替换市场占比约为75～80%，配套市场占比约为20%；3.问：</t>
    </r>
    <r>
      <rPr>
        <sz val="9"/>
        <color rgb="FFFF0000"/>
        <rFont val="宋体"/>
        <family val="3"/>
        <charset val="134"/>
        <scheme val="minor"/>
      </rPr>
      <t>贵州轮胎的产品价格在国内同系列中是最高的</t>
    </r>
    <r>
      <rPr>
        <sz val="9"/>
        <color theme="1"/>
        <rFont val="宋体"/>
        <family val="2"/>
        <charset val="134"/>
        <scheme val="minor"/>
      </rPr>
      <t>，是什么支撑了公司产品价格的强势？答：公司一直坚持差异化战略，争取在每个细分领域做到最好。因产品质量优异，具有良好的市场口碑，给产品价格带来有力支撑。</t>
    </r>
    <phoneticPr fontId="1" type="noConversion"/>
  </si>
  <si>
    <t>流通股本</t>
  </si>
  <si>
    <t>净利润[20201231]</t>
  </si>
  <si>
    <t>投入资本回报率roic%[20201231]</t>
  </si>
  <si>
    <t>净资产收益率%[20201231]</t>
  </si>
  <si>
    <t>128.28亿</t>
  </si>
  <si>
    <t>8.41亿</t>
  </si>
  <si>
    <t>7.02亿</t>
  </si>
  <si>
    <t>1972.88亿</t>
  </si>
  <si>
    <t>92.28亿</t>
  </si>
  <si>
    <t>143.22亿</t>
  </si>
  <si>
    <t>6.86亿</t>
  </si>
  <si>
    <t>24.52亿</t>
  </si>
  <si>
    <t>2.70亿</t>
  </si>
  <si>
    <t>136.82亿</t>
  </si>
  <si>
    <t>25.75亿</t>
  </si>
  <si>
    <t>73.39亿</t>
  </si>
  <si>
    <t>39.25亿</t>
  </si>
  <si>
    <t>-3.20亿</t>
  </si>
  <si>
    <t>-4965.31万</t>
  </si>
  <si>
    <t>73.90亿</t>
  </si>
  <si>
    <t>34.11亿</t>
  </si>
  <si>
    <t>3.83亿</t>
  </si>
  <si>
    <t>39.76亿</t>
  </si>
  <si>
    <t>-26.14亿</t>
  </si>
  <si>
    <t>4.81亿</t>
  </si>
  <si>
    <t>175.88亿</t>
  </si>
  <si>
    <t>11.63亿</t>
  </si>
  <si>
    <t>124.36亿</t>
  </si>
  <si>
    <t>10.17亿</t>
  </si>
  <si>
    <t>60.03亿</t>
  </si>
  <si>
    <t>11.21亿</t>
  </si>
  <si>
    <t>51.37亿</t>
  </si>
  <si>
    <t>47.21亿</t>
  </si>
  <si>
    <t>10.57亿</t>
  </si>
  <si>
    <t>36.31亿</t>
  </si>
  <si>
    <t>4390.39万</t>
  </si>
  <si>
    <t>47.22亿</t>
  </si>
  <si>
    <t>-5.48亿</t>
  </si>
  <si>
    <t>3159.97万</t>
  </si>
  <si>
    <t>20.06亿</t>
  </si>
  <si>
    <t>24.49亿</t>
  </si>
  <si>
    <t>53.91亿</t>
  </si>
  <si>
    <t>27.28亿</t>
  </si>
  <si>
    <t>6755.17万</t>
  </si>
  <si>
    <t>18.79亿</t>
  </si>
  <si>
    <t>-2.12亿</t>
  </si>
  <si>
    <t>31.16亿</t>
  </si>
  <si>
    <t>30.23亿</t>
  </si>
  <si>
    <t>72.50亿</t>
  </si>
  <si>
    <t>南方精工</t>
  </si>
  <si>
    <t>27.13亿</t>
  </si>
  <si>
    <t>2182.11万</t>
  </si>
  <si>
    <t>1611.13万</t>
  </si>
  <si>
    <t>35.09亿</t>
  </si>
  <si>
    <t>33.56亿</t>
  </si>
  <si>
    <t>11.78亿</t>
  </si>
  <si>
    <t>3415.63万</t>
  </si>
  <si>
    <t>-8123.81万</t>
  </si>
  <si>
    <t>4.85亿</t>
  </si>
  <si>
    <t>688.60万</t>
  </si>
  <si>
    <t>706.02万</t>
  </si>
  <si>
    <t>-6.70亿</t>
  </si>
  <si>
    <t>39.55亿</t>
  </si>
  <si>
    <t>48.90亿</t>
  </si>
  <si>
    <t>5009.61万</t>
  </si>
  <si>
    <t>44.88亿</t>
  </si>
  <si>
    <t>12.11亿</t>
  </si>
  <si>
    <t>7420.14万</t>
  </si>
  <si>
    <t>51.77亿</t>
  </si>
  <si>
    <t>12.20亿</t>
  </si>
  <si>
    <t>10.45亿</t>
  </si>
  <si>
    <t>36.82亿</t>
  </si>
  <si>
    <t>-4770.18万</t>
  </si>
  <si>
    <t>-4751.66万</t>
  </si>
  <si>
    <t>2088.17万</t>
  </si>
  <si>
    <t>14.23亿</t>
  </si>
  <si>
    <t>10.99亿</t>
  </si>
  <si>
    <t>6239.50万</t>
  </si>
  <si>
    <t>186.34亿</t>
  </si>
  <si>
    <t>5.93亿</t>
  </si>
  <si>
    <t>26.56亿</t>
  </si>
  <si>
    <t>2356.15万</t>
  </si>
  <si>
    <t>4.11亿</t>
  </si>
  <si>
    <t>8.57亿</t>
  </si>
  <si>
    <t>9840.52万</t>
  </si>
  <si>
    <t>7.76亿</t>
  </si>
  <si>
    <t>3443.54万</t>
  </si>
  <si>
    <t>2208.67万</t>
  </si>
  <si>
    <t>8.26亿</t>
  </si>
  <si>
    <t>10.23亿</t>
  </si>
  <si>
    <t>9592.86万</t>
  </si>
  <si>
    <t>9764.61万</t>
  </si>
  <si>
    <t>-1.09亿</t>
  </si>
  <si>
    <t>4684.07万</t>
  </si>
  <si>
    <t>-1878.89万</t>
  </si>
  <si>
    <t>7.18亿</t>
  </si>
  <si>
    <t>4876.51万</t>
  </si>
  <si>
    <t>2004.05万</t>
  </si>
  <si>
    <t>2546.83万</t>
  </si>
  <si>
    <t>6967.23万</t>
  </si>
  <si>
    <t>8634.10万</t>
  </si>
  <si>
    <t>12.06亿</t>
  </si>
  <si>
    <t>8422.58万</t>
  </si>
  <si>
    <t>7.25亿</t>
  </si>
  <si>
    <t>5456.63万</t>
  </si>
  <si>
    <t>16.36亿</t>
  </si>
  <si>
    <t>2593.32万</t>
  </si>
  <si>
    <t>7586.42万</t>
  </si>
  <si>
    <t>4941.09万</t>
  </si>
  <si>
    <t>9264.71万</t>
  </si>
  <si>
    <t>6032.34万</t>
  </si>
  <si>
    <t>中捷精工</t>
  </si>
  <si>
    <t>7.78亿</t>
  </si>
  <si>
    <t>4647.07万</t>
  </si>
  <si>
    <t>SZ301119</t>
  </si>
  <si>
    <t>正强股份</t>
  </si>
  <si>
    <t>5291.86万</t>
  </si>
  <si>
    <t>5142.67万</t>
  </si>
  <si>
    <t>5622.39万</t>
  </si>
  <si>
    <t>SZ301133</t>
  </si>
  <si>
    <t>金钟股份</t>
  </si>
  <si>
    <t>4157.66万</t>
  </si>
  <si>
    <t>4869.96万</t>
  </si>
  <si>
    <t>5613.51万</t>
  </si>
  <si>
    <t>6304.70万</t>
  </si>
  <si>
    <t>SZ301181</t>
  </si>
  <si>
    <t>标榜股份</t>
  </si>
  <si>
    <t>6.32亿</t>
  </si>
  <si>
    <t>9226.32万</t>
  </si>
  <si>
    <t>4162.53万</t>
  </si>
  <si>
    <t>SZ301186</t>
  </si>
  <si>
    <t>超达装备</t>
  </si>
  <si>
    <t>4800.48万</t>
  </si>
  <si>
    <t>4.74亿</t>
  </si>
  <si>
    <t>6560.02万</t>
  </si>
  <si>
    <t>7204.72万</t>
  </si>
  <si>
    <t>8674.39万</t>
  </si>
  <si>
    <t>SZ301221</t>
  </si>
  <si>
    <t>光庭信息</t>
  </si>
  <si>
    <t>7325.91万</t>
  </si>
  <si>
    <t>7301.44万</t>
  </si>
  <si>
    <t>5871.99万</t>
  </si>
  <si>
    <t>6981.42万</t>
  </si>
  <si>
    <t>SZ301229</t>
  </si>
  <si>
    <t>纽泰格</t>
  </si>
  <si>
    <t>4.30亿</t>
  </si>
  <si>
    <t>5251.30万</t>
  </si>
  <si>
    <t>5742.68万</t>
  </si>
  <si>
    <t>4299.87万</t>
  </si>
  <si>
    <t>5085.64万</t>
  </si>
  <si>
    <t>75.25亿</t>
  </si>
  <si>
    <t>53.82亿</t>
  </si>
  <si>
    <t>-4.00亿</t>
  </si>
  <si>
    <t>55.58亿</t>
  </si>
  <si>
    <t>157.50亿</t>
  </si>
  <si>
    <t>23.94亿</t>
  </si>
  <si>
    <t>51.91亿</t>
  </si>
  <si>
    <t>105.50亿</t>
  </si>
  <si>
    <t>3540.34万</t>
  </si>
  <si>
    <t>236.03亿</t>
  </si>
  <si>
    <t>31.46亿</t>
  </si>
  <si>
    <t>7.13亿</t>
  </si>
  <si>
    <t>876.50万</t>
  </si>
  <si>
    <t>456.70亿</t>
  </si>
  <si>
    <t>-37.53亿</t>
  </si>
  <si>
    <t>1399.44亿</t>
  </si>
  <si>
    <t>64.69亿</t>
  </si>
  <si>
    <t>205.37亿</t>
  </si>
  <si>
    <t>32.06亿</t>
  </si>
  <si>
    <t>13.04亿</t>
  </si>
  <si>
    <t>44.15亿</t>
  </si>
  <si>
    <t>-9010.71万</t>
  </si>
  <si>
    <t>3.69亿</t>
  </si>
  <si>
    <t>89.54亿</t>
  </si>
  <si>
    <t>45.95亿</t>
  </si>
  <si>
    <t>42.56亿</t>
  </si>
  <si>
    <t>1161.04万</t>
  </si>
  <si>
    <t>114.63亿</t>
  </si>
  <si>
    <t>79.09亿</t>
  </si>
  <si>
    <t>185.79亿</t>
  </si>
  <si>
    <t>16.11亿</t>
  </si>
  <si>
    <t>17.38亿</t>
  </si>
  <si>
    <t>6509.34万</t>
  </si>
  <si>
    <t>80.57亿</t>
  </si>
  <si>
    <t>7099.69万</t>
  </si>
  <si>
    <t>669.11万</t>
  </si>
  <si>
    <t>8421.77万</t>
  </si>
  <si>
    <t>SH603048</t>
  </si>
  <si>
    <t>浙江黎明</t>
  </si>
  <si>
    <t>9908.13万</t>
  </si>
  <si>
    <t>6677.86万</t>
  </si>
  <si>
    <t>7901.26万</t>
  </si>
  <si>
    <t>17.04亿</t>
  </si>
  <si>
    <t>2820.38万</t>
  </si>
  <si>
    <t>6265.37万</t>
  </si>
  <si>
    <t>18.07万</t>
  </si>
  <si>
    <t>24.38亿</t>
  </si>
  <si>
    <t>6817.79万</t>
  </si>
  <si>
    <t>18.97亿</t>
  </si>
  <si>
    <t>-4675.63万</t>
  </si>
  <si>
    <t>38.98亿</t>
  </si>
  <si>
    <t>SH603266</t>
  </si>
  <si>
    <t>天龙股份</t>
  </si>
  <si>
    <t>9795.81万</t>
  </si>
  <si>
    <t>9.73亿</t>
  </si>
  <si>
    <t>9.19亿</t>
  </si>
  <si>
    <t>9.27亿</t>
  </si>
  <si>
    <t>9276.98万</t>
  </si>
  <si>
    <t>6511.11万</t>
  </si>
  <si>
    <t>6717.38万</t>
  </si>
  <si>
    <t>1082.45万</t>
  </si>
  <si>
    <t>3333.58万</t>
  </si>
  <si>
    <t>41.12亿</t>
  </si>
  <si>
    <t>9716.82万</t>
  </si>
  <si>
    <t>47.17亿</t>
  </si>
  <si>
    <t>-943.81万</t>
  </si>
  <si>
    <t>4396.09万</t>
  </si>
  <si>
    <t>-5071.72万</t>
  </si>
  <si>
    <t>34.92亿</t>
  </si>
  <si>
    <t>30.09亿</t>
  </si>
  <si>
    <t>4772.49万</t>
  </si>
  <si>
    <t>2473.74万</t>
  </si>
  <si>
    <t>3892.50万</t>
  </si>
  <si>
    <t>5.60亿</t>
  </si>
  <si>
    <t>12.66亿</t>
  </si>
  <si>
    <t>42.09亿</t>
  </si>
  <si>
    <t>14.19亿</t>
  </si>
  <si>
    <t>6365.56万</t>
  </si>
  <si>
    <t>5940.92万</t>
  </si>
  <si>
    <t>28.07亿</t>
  </si>
  <si>
    <t>6490.18万</t>
  </si>
  <si>
    <t>8427.01万</t>
  </si>
  <si>
    <t>1914.51万</t>
  </si>
  <si>
    <t>5.34亿</t>
  </si>
  <si>
    <t>15.82亿</t>
  </si>
  <si>
    <t>16.15亿</t>
  </si>
  <si>
    <t>168.32亿</t>
  </si>
  <si>
    <t>14.22亿</t>
  </si>
  <si>
    <t>8.21亿</t>
  </si>
  <si>
    <t>24.87亿</t>
  </si>
  <si>
    <t>7048.11万</t>
  </si>
  <si>
    <t>9583.16万</t>
  </si>
  <si>
    <t>3948.74万</t>
  </si>
  <si>
    <t>9099.61万</t>
  </si>
  <si>
    <t>24.48亿</t>
  </si>
  <si>
    <t>-105.62万</t>
  </si>
  <si>
    <t>6582.49万</t>
  </si>
  <si>
    <t>精进电动-UW</t>
  </si>
  <si>
    <t>13.02亿</t>
  </si>
  <si>
    <t>6066.56万</t>
  </si>
  <si>
    <t>1040.92万</t>
  </si>
  <si>
    <t>泰祥股份</t>
  </si>
  <si>
    <t>7040.37万</t>
  </si>
  <si>
    <t>7039.29万</t>
  </si>
  <si>
    <t>7870.57万</t>
  </si>
  <si>
    <t>9051.36万</t>
  </si>
  <si>
    <t xml:space="preserve">    名称</t>
  </si>
  <si>
    <t>净利润?</t>
  </si>
  <si>
    <t>投入资本回报率roic%[20211231]</t>
  </si>
  <si>
    <t>净资产收益率%[20211231]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</si>
  <si>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</si>
  <si>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</si>
  <si>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</si>
  <si>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</si>
  <si>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</si>
  <si>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</si>
  <si>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</si>
  <si>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</si>
  <si>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</si>
  <si>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</si>
  <si>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</si>
  <si>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</si>
  <si>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</si>
  <si>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</si>
  <si>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</si>
  <si>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
  </si>
  <si>
    <t>1-0</t>
  </si>
  <si>
    <t>6.04亿</t>
  </si>
  <si>
    <t>亏损</t>
  </si>
  <si>
    <t>扭亏</t>
  </si>
  <si>
    <t>2-1</t>
  </si>
  <si>
    <t>4.04亿</t>
  </si>
  <si>
    <t>-1-1</t>
  </si>
  <si>
    <t>5.04亿</t>
  </si>
  <si>
    <t>1-1</t>
  </si>
  <si>
    <t>2-0</t>
  </si>
  <si>
    <t>5.79亿</t>
  </si>
  <si>
    <t>10.75亿</t>
  </si>
  <si>
    <t>-1-0</t>
  </si>
  <si>
    <t>5.01亿</t>
  </si>
  <si>
    <t>5.46亿</t>
  </si>
  <si>
    <t>5.44亿</t>
  </si>
  <si>
    <t>10.50亿</t>
  </si>
  <si>
    <t>索菱股份</t>
  </si>
  <si>
    <t>7.27亿</t>
  </si>
  <si>
    <t>10.94亿</t>
  </si>
  <si>
    <t>10.86亿</t>
  </si>
  <si>
    <t>7.11亿</t>
  </si>
  <si>
    <t>8.73亿</t>
  </si>
  <si>
    <t>1000.00万</t>
  </si>
  <si>
    <t>SZ301233</t>
  </si>
  <si>
    <t>盛帮股份</t>
  </si>
  <si>
    <t>6546.47万</t>
  </si>
  <si>
    <t>7685.46万</t>
  </si>
  <si>
    <t>3395.46万</t>
  </si>
  <si>
    <t>3054.25万</t>
  </si>
  <si>
    <t>SZ301298</t>
  </si>
  <si>
    <t>东利机械</t>
  </si>
  <si>
    <t>5876.31万</t>
  </si>
  <si>
    <t>3751.94万</t>
  </si>
  <si>
    <t>4925.90万</t>
  </si>
  <si>
    <t>4190.40万</t>
  </si>
  <si>
    <t>-2.05亿</t>
  </si>
  <si>
    <t>7.77亿</t>
  </si>
  <si>
    <t>10.92亿</t>
  </si>
  <si>
    <t>11.24亿</t>
  </si>
  <si>
    <t>5.18亿</t>
  </si>
  <si>
    <t>4.28亿</t>
  </si>
  <si>
    <t>-1.07亿</t>
  </si>
  <si>
    <t>9.64亿</t>
  </si>
  <si>
    <t>-1.58亿</t>
  </si>
  <si>
    <r>
      <t>1.</t>
    </r>
    <r>
      <rPr>
        <sz val="9"/>
        <color rgb="FFFF0000"/>
        <rFont val="宋体"/>
        <family val="3"/>
        <charset val="134"/>
        <scheme val="minor"/>
      </rPr>
      <t>空气悬架</t>
    </r>
    <r>
      <rPr>
        <sz val="9"/>
        <color theme="1"/>
        <rFont val="宋体"/>
        <family val="2"/>
        <charset val="134"/>
        <scheme val="minor"/>
      </rPr>
      <t>业务为公司2020年新开拓业务板块，经过2021年度的孵化，实现营业收入2.04亿元，</t>
    </r>
    <r>
      <rPr>
        <sz val="9"/>
        <color rgb="FFFF0000"/>
        <rFont val="宋体"/>
        <family val="3"/>
        <charset val="134"/>
        <scheme val="minor"/>
      </rPr>
      <t>同比增长253.16%</t>
    </r>
    <r>
      <rPr>
        <sz val="9"/>
        <color theme="1"/>
        <rFont val="宋体"/>
        <family val="2"/>
        <charset val="134"/>
        <scheme val="minor"/>
      </rPr>
      <t xml:space="preserve">，占公司营业收入比例4.31%；空气悬架业务投资计划：计划投资新建橡胶悬架生产线1条、半挂车空气悬架生产线1条、半挂车桥装配线1条、CDC电磁阀生产线1条、CDC电磁阀装配线1条、乘用车空气悬架实验室；计划新建厂房2.3万平。
</t>
    </r>
    <phoneticPr fontId="1" type="noConversion"/>
  </si>
  <si>
    <t>1.问：空气弹簧的出货情况和产能规划？答：乘用车空气弹簧二月份开始上量，一季度应该有几千台。产能规划方面，今年四月第二条产线会安装完成，九月第三条会安装完成，会根据订单情况规划更新，目前单条产线的布置周期可以控制在半年左右的时间，整体的产能规划节奏可以有效把控。</t>
    <phoneticPr fontId="1" type="noConversion"/>
  </si>
  <si>
    <r>
      <t>1.问：请问公司空悬业务发展趋势如何？答：AMK很早在欧洲就已经开始生产空悬系统总成，AMK核心技术是ECU控制程序和空气供给单元，随着国内空悬市场的兴起，AMK中国在空气供给单元产品组装及生产线相继落地的同时，将继续推动其他硬件自产项目的落地，不断增加硬件自产比例。AMK中国公司业务目前已取得突破性进展，已取得国内多家造车新势力及传统自主品牌龙头企业订单，截至目前</t>
    </r>
    <r>
      <rPr>
        <sz val="9"/>
        <color rgb="FFFF0000"/>
        <rFont val="宋体"/>
        <family val="3"/>
        <charset val="134"/>
        <scheme val="minor"/>
      </rPr>
      <t>AMK中国已获订单总产值54.6亿元</t>
    </r>
    <r>
      <rPr>
        <sz val="9"/>
        <color theme="1"/>
        <rFont val="宋体"/>
        <family val="2"/>
        <charset val="134"/>
        <scheme val="minor"/>
      </rPr>
      <t>。</t>
    </r>
    <phoneticPr fontId="1" type="noConversion"/>
  </si>
  <si>
    <r>
      <t>1.拓普的主要护城河是与客户同步研发、设计及验证的能力,为客户创造价值；2.公司2022年、2023年的规划销售目标分别是</t>
    </r>
    <r>
      <rPr>
        <sz val="9"/>
        <color rgb="FFFF0000"/>
        <rFont val="宋体"/>
        <family val="3"/>
        <charset val="134"/>
        <scheme val="minor"/>
      </rPr>
      <t>160亿元、200亿元，在2025年达到约300亿元</t>
    </r>
    <r>
      <rPr>
        <sz val="9"/>
        <color theme="1"/>
        <rFont val="宋体"/>
        <family val="2"/>
        <charset val="134"/>
        <scheme val="minor"/>
      </rPr>
      <t>，利润率也有进一步提升的空间（目前年</t>
    </r>
    <r>
      <rPr>
        <sz val="9"/>
        <color theme="1"/>
        <rFont val="宋体"/>
        <family val="3"/>
        <charset val="134"/>
        <scheme val="minor"/>
      </rPr>
      <t>114亿销售额）</t>
    </r>
    <phoneticPr fontId="1" type="noConversion"/>
  </si>
  <si>
    <r>
      <t>1. 2025年双百战略，非正式渠道信息为：</t>
    </r>
    <r>
      <rPr>
        <sz val="9"/>
        <color theme="6" tint="-0.249977111117893"/>
        <rFont val="宋体"/>
        <family val="3"/>
        <charset val="134"/>
        <scheme val="minor"/>
      </rPr>
      <t>集团营收1000亿美金（估计利润300~500亿人民币左右）；2.意味着5年3倍~5倍，重点在非道路发动机，特别是跟踪工业和农业机械，以及大缸径高速发动机销量；3.5年后关注氢燃料电池；4.10年后固态燃料电池</t>
    </r>
    <r>
      <rPr>
        <sz val="9"/>
        <color theme="1"/>
        <rFont val="宋体"/>
        <family val="2"/>
        <charset val="134"/>
        <scheme val="minor"/>
      </rPr>
      <t>；5.定增130亿，产能释放后大概68亿利润获得，定增是2024年释放所有产能;6.建成全球最大氢燃料电池发动机制造基地，20000 台套产能的燃料电池发动机及电堆生产线正式投产运行；7.问：公司如何看待</t>
    </r>
    <r>
      <rPr>
        <b/>
        <sz val="9"/>
        <color rgb="FFFF0000"/>
        <rFont val="宋体"/>
        <family val="3"/>
        <charset val="134"/>
        <scheme val="minor"/>
      </rPr>
      <t>氢内燃机</t>
    </r>
    <r>
      <rPr>
        <sz val="9"/>
        <color theme="1"/>
        <rFont val="宋体"/>
        <family val="2"/>
        <charset val="134"/>
        <scheme val="minor"/>
      </rPr>
      <t>,在这方面有何布局；答：氢内燃机技术优势主要包括：一是可沿用现有内燃机工业体系进行开发,大部分零部件与现有内燃机成熟产品通用,可极大缩短开发周期,产业化转化更有利;二是具备无后处理器的情况下满足严苛排放法规的潜力,后处理等系统可取消或简化,产品成本优势显著;三是采用传统燃烧做功模式,对氢气燃料纯度要求较低,燃料适应性好。一直以来,公司积极推进氢内燃机技术研发和产品布局,目前已完成氢内燃机关键核心技术和商业化应用的突破,发布全国首款商业化氢内燃机,掌握一批原创性专利技术,实现有效热效率41.8%;</t>
    </r>
    <phoneticPr fontId="1" type="noConversion"/>
  </si>
  <si>
    <t>细分行业</t>
  </si>
  <si>
    <t>30.65亿</t>
  </si>
  <si>
    <t>4.82亿</t>
  </si>
  <si>
    <t>20.76亿</t>
  </si>
  <si>
    <t>8.50亿</t>
  </si>
  <si>
    <t>7.01亿</t>
  </si>
  <si>
    <t>4.87亿</t>
  </si>
  <si>
    <t>10.03亿</t>
  </si>
  <si>
    <t>SZ002190</t>
  </si>
  <si>
    <t>成飞集成</t>
  </si>
  <si>
    <t>12.68亿</t>
  </si>
  <si>
    <t>5572.84万</t>
  </si>
  <si>
    <t>9.84亿</t>
  </si>
  <si>
    <t>21.45亿</t>
  </si>
  <si>
    <t>-1.08亿</t>
  </si>
  <si>
    <t>14.81亿</t>
  </si>
  <si>
    <t>-1.05亿</t>
  </si>
  <si>
    <t>6.15亿</t>
  </si>
  <si>
    <t>27.72亿</t>
  </si>
  <si>
    <t>8.68亿</t>
  </si>
  <si>
    <t>-1.91亿</t>
  </si>
  <si>
    <t>6.81亿</t>
  </si>
  <si>
    <t>SZ002547</t>
  </si>
  <si>
    <t>春兴精工</t>
  </si>
  <si>
    <t>26.73亿</t>
  </si>
  <si>
    <t>-10.33亿</t>
  </si>
  <si>
    <t>51.53亿</t>
  </si>
  <si>
    <t>72.62亿</t>
  </si>
  <si>
    <t>49.33亿</t>
  </si>
  <si>
    <t>-10.58亿</t>
  </si>
  <si>
    <t>2213.37万</t>
  </si>
  <si>
    <t>3999.68万</t>
  </si>
  <si>
    <t>13.52亿</t>
  </si>
  <si>
    <t>12.80亿</t>
  </si>
  <si>
    <t>4.55亿</t>
  </si>
  <si>
    <t>4.17亿</t>
  </si>
  <si>
    <t>5.54亿</t>
  </si>
  <si>
    <t>5.35亿</t>
  </si>
  <si>
    <t>2.89亿</t>
  </si>
  <si>
    <t>8.60亿</t>
  </si>
  <si>
    <t>SZ002965</t>
  </si>
  <si>
    <t>祥鑫科技</t>
  </si>
  <si>
    <t>23.71亿</t>
  </si>
  <si>
    <t>6408.34万</t>
  </si>
  <si>
    <t>18.39亿</t>
  </si>
  <si>
    <t>14.78亿</t>
  </si>
  <si>
    <t>SZ002976</t>
  </si>
  <si>
    <t>瑞玛精密</t>
  </si>
  <si>
    <t>7.55亿</t>
  </si>
  <si>
    <t>4562.76万</t>
  </si>
  <si>
    <t>3.97亿</t>
  </si>
  <si>
    <t>5552.77万</t>
  </si>
  <si>
    <t>8578.50万</t>
  </si>
  <si>
    <t>8499.60万</t>
  </si>
  <si>
    <t>3.21亿</t>
  </si>
  <si>
    <t>SZ300237</t>
  </si>
  <si>
    <t>美晨生态</t>
  </si>
  <si>
    <t>-3.67亿</t>
  </si>
  <si>
    <t>29.47亿</t>
  </si>
  <si>
    <t>34.23亿</t>
  </si>
  <si>
    <t>4248.69万</t>
  </si>
  <si>
    <t>7302.39万</t>
  </si>
  <si>
    <t>3580.98万</t>
  </si>
  <si>
    <t>10.90亿</t>
  </si>
  <si>
    <t>7.31亿</t>
  </si>
  <si>
    <t>11.93亿</t>
  </si>
  <si>
    <t>9.16亿</t>
  </si>
  <si>
    <t>6.66亿</t>
  </si>
  <si>
    <t>10.74亿</t>
  </si>
  <si>
    <t>SZ301192</t>
  </si>
  <si>
    <t>5.33亿</t>
  </si>
  <si>
    <t>8.58亿</t>
  </si>
  <si>
    <t>5.23亿</t>
  </si>
  <si>
    <t>7.03亿</t>
  </si>
  <si>
    <t>4.60亿</t>
  </si>
  <si>
    <t>开始亏损</t>
  </si>
  <si>
    <t>常熟汽饰</t>
  </si>
  <si>
    <t>13.32亿</t>
  </si>
  <si>
    <t>22.62亿</t>
  </si>
  <si>
    <t>SH603211</t>
  </si>
  <si>
    <t>晋拓股份</t>
  </si>
  <si>
    <t>8230.45万</t>
  </si>
  <si>
    <t>6.56亿</t>
  </si>
  <si>
    <t>8294.43万</t>
  </si>
  <si>
    <t>6010.61万</t>
  </si>
  <si>
    <t>5175.05万</t>
  </si>
  <si>
    <t>华懋科技</t>
  </si>
  <si>
    <t>13.67亿</t>
  </si>
  <si>
    <t>13.78亿</t>
  </si>
  <si>
    <t>6.49亿</t>
  </si>
  <si>
    <t>SH605151</t>
  </si>
  <si>
    <t>西上海</t>
  </si>
  <si>
    <t>11.70亿</t>
  </si>
  <si>
    <t>9546.96万</t>
  </si>
  <si>
    <t>9244.68万</t>
  </si>
  <si>
    <t>9.61亿</t>
  </si>
  <si>
    <t>长华集团</t>
  </si>
  <si>
    <t>10派3元(含税)</t>
  </si>
  <si>
    <t>10派1.8元(含税)</t>
  </si>
  <si>
    <t>112.44亿</t>
  </si>
  <si>
    <t>10派0.1元(含税)</t>
  </si>
  <si>
    <t>不分配不转增</t>
  </si>
  <si>
    <t>51.13亿</t>
  </si>
  <si>
    <t>-1.54亿</t>
  </si>
  <si>
    <t>17.22亿</t>
  </si>
  <si>
    <t>26.20亿</t>
  </si>
  <si>
    <t>10派0.25元(含税)</t>
  </si>
  <si>
    <t>10派2元(含税)</t>
  </si>
  <si>
    <t>8.20亿</t>
  </si>
  <si>
    <t>10派0.3元(含税)</t>
  </si>
  <si>
    <t>15.45亿</t>
  </si>
  <si>
    <t>SZ001319</t>
  </si>
  <si>
    <t>铭科精技</t>
  </si>
  <si>
    <t>9441.92万</t>
  </si>
  <si>
    <t>8571.83万</t>
  </si>
  <si>
    <t>4449.51万</t>
  </si>
  <si>
    <t>10派3.5元(含税)</t>
  </si>
  <si>
    <t>9.43亿</t>
  </si>
  <si>
    <t>5.02亿</t>
  </si>
  <si>
    <t>10派0.8元(含税)</t>
  </si>
  <si>
    <t>10派0.5元(含税)</t>
  </si>
  <si>
    <t>10派1元(含税)</t>
  </si>
  <si>
    <t>10派1.3元(含税)</t>
  </si>
  <si>
    <t>8.44亿</t>
  </si>
  <si>
    <t>9.78亿</t>
  </si>
  <si>
    <t>6.40亿</t>
  </si>
  <si>
    <t>10.63亿</t>
  </si>
  <si>
    <t>18.59亿</t>
  </si>
  <si>
    <t>10派0.4元(含税)</t>
  </si>
  <si>
    <t>10派0.6元(含税)</t>
  </si>
  <si>
    <t>8.92亿</t>
  </si>
  <si>
    <t>14.85亿</t>
  </si>
  <si>
    <t>13.91亿</t>
  </si>
  <si>
    <t>信质集团</t>
  </si>
  <si>
    <t>6.95亿</t>
  </si>
  <si>
    <t>-1.76亿</t>
  </si>
  <si>
    <t>10派1.7元(含税)</t>
  </si>
  <si>
    <t>5.27亿</t>
  </si>
  <si>
    <t>-1.04亿</t>
  </si>
  <si>
    <t>11.46亿</t>
  </si>
  <si>
    <t>-1.33亿</t>
  </si>
  <si>
    <t>23.32亿</t>
  </si>
  <si>
    <t>10派2.77元(含税)</t>
  </si>
  <si>
    <t>5.88亿</t>
  </si>
  <si>
    <t>12.54亿</t>
  </si>
  <si>
    <t>11.07亿</t>
  </si>
  <si>
    <t>7.59亿</t>
  </si>
  <si>
    <t>10派1.2元(含税)</t>
  </si>
  <si>
    <t>10派2.5元(含税)</t>
  </si>
  <si>
    <t>10派2.7元(含税)</t>
  </si>
  <si>
    <t>10派4元(含税)</t>
  </si>
  <si>
    <t>8.36亿</t>
  </si>
  <si>
    <t>SZ301398</t>
  </si>
  <si>
    <t>星源卓镁</t>
  </si>
  <si>
    <t>5364.56万</t>
  </si>
  <si>
    <t>6019.92万</t>
  </si>
  <si>
    <t>4918.83万</t>
  </si>
  <si>
    <t>3070.22万</t>
  </si>
  <si>
    <t>17.06亿</t>
  </si>
  <si>
    <t>10派0.35元(含税)</t>
  </si>
  <si>
    <t>8.37亿</t>
  </si>
  <si>
    <t>8.16亿</t>
  </si>
  <si>
    <t>10派10元(含税)</t>
  </si>
  <si>
    <t>10派1.5元(含税)</t>
  </si>
  <si>
    <t>10派2.3元(含税)</t>
  </si>
  <si>
    <t>10派3.8元(含税)</t>
  </si>
  <si>
    <t>-2.74亿</t>
  </si>
  <si>
    <t>10.76亿</t>
  </si>
  <si>
    <t>9.96亿</t>
  </si>
  <si>
    <t>26.69亿</t>
  </si>
  <si>
    <t>9.55亿</t>
  </si>
  <si>
    <t>10派5元(含税)</t>
  </si>
  <si>
    <t>6.63亿</t>
  </si>
  <si>
    <t>-2.34亿</t>
  </si>
  <si>
    <t>旭升集团</t>
  </si>
  <si>
    <t>15.19亿</t>
  </si>
  <si>
    <t>15.07亿</t>
  </si>
  <si>
    <t>7.29亿</t>
  </si>
  <si>
    <t>7.12亿</t>
  </si>
  <si>
    <t>10派2.9元(含税)</t>
  </si>
  <si>
    <t>10派0.7元(含税)</t>
  </si>
  <si>
    <t>-1.32亿</t>
  </si>
  <si>
    <t>11.31亿</t>
  </si>
  <si>
    <t>SZ001260</t>
  </si>
  <si>
    <t>坤泰股份</t>
  </si>
  <si>
    <t>7271.63万</t>
  </si>
  <si>
    <t>8289.26万</t>
  </si>
  <si>
    <t>SZ001278</t>
  </si>
  <si>
    <t>一彬科技</t>
  </si>
  <si>
    <t>14.27亿</t>
  </si>
  <si>
    <t>9811.86万</t>
  </si>
  <si>
    <t>8829.81万</t>
  </si>
  <si>
    <t>SZ001311</t>
  </si>
  <si>
    <t>多利科技</t>
  </si>
  <si>
    <t>SH603190</t>
  </si>
  <si>
    <t>亚通精工</t>
  </si>
  <si>
    <t>14.94亿</t>
  </si>
  <si>
    <t>1.85亿</t>
  </si>
  <si>
    <t>3-0</t>
  </si>
  <si>
    <t>4.49亿</t>
  </si>
  <si>
    <t>3.57亿</t>
  </si>
  <si>
    <t xml:space="preserve">
</t>
    <phoneticPr fontId="1" type="noConversion"/>
  </si>
  <si>
    <t>1.2022Q1财务数字变差，下降较多；2.公司海外控股子公司凯傲是内部物流领域的全球领先供应商，主要包括工业车辆和服务（Industrial Trucks &amp; Services）、
供应链解决方案（Supply Chain Solutions）两大业务，</t>
    <phoneticPr fontId="1" type="noConversion"/>
  </si>
  <si>
    <t>1. 主营业务是小型发电机、通用汽油机及其终端类产品。2. 终端直接外销，即使小型发电机的下游国内客户也是大部分外销；欧美销量最大，以通用汽油发电机组、数码变频发电机组、家用草坪机、扫雪机、油锯等产品销量最高；3.下游客户主要为润通科技、隆鑫通用、大江动力等知名通机制造商；4. 出新产品，丰富产品结构，如起动电机、充电电机、新能源汽车驱动电机、增程器、柴油发电机组、水泵、空压机等；4.唯远实业、阿波罗机电、星诺电气等也是行业内规模较大生产厂商</t>
    <phoneticPr fontId="1" type="noConversion"/>
  </si>
  <si>
    <t>125.71亿</t>
  </si>
  <si>
    <t>13.51亿</t>
  </si>
  <si>
    <t>1751.58亿</t>
  </si>
  <si>
    <t>49.05亿</t>
  </si>
  <si>
    <t>2202.15亿</t>
  </si>
  <si>
    <t>94.93亿</t>
  </si>
  <si>
    <t>140.15亿</t>
  </si>
  <si>
    <t>51.63亿</t>
  </si>
  <si>
    <t>21.82亿</t>
  </si>
  <si>
    <t>7668.48万</t>
  </si>
  <si>
    <t>127.30亿</t>
  </si>
  <si>
    <t>5.81亿</t>
  </si>
  <si>
    <t>84.40亿</t>
  </si>
  <si>
    <t>32.58亿</t>
  </si>
  <si>
    <t>13.15亿</t>
  </si>
  <si>
    <t>39.10亿</t>
  </si>
  <si>
    <t>-6.02亿</t>
  </si>
  <si>
    <t>-1.25亿</t>
  </si>
  <si>
    <t>3.53亿</t>
  </si>
  <si>
    <t>76.64亿</t>
  </si>
  <si>
    <t>61.02亿</t>
  </si>
  <si>
    <t>54.91亿</t>
  </si>
  <si>
    <t>-1.96亿</t>
  </si>
  <si>
    <t>-351.66万</t>
  </si>
  <si>
    <t>8998.74万</t>
  </si>
  <si>
    <t>34.55亿</t>
  </si>
  <si>
    <t>3.63亿</t>
  </si>
  <si>
    <t>6.68亿</t>
  </si>
  <si>
    <t>128.01亿</t>
  </si>
  <si>
    <t>57.40亿</t>
  </si>
  <si>
    <t>4.40亿</t>
  </si>
  <si>
    <t>58.47亿</t>
  </si>
  <si>
    <t>3318.62万</t>
  </si>
  <si>
    <t>10派0.13元(含税)</t>
  </si>
  <si>
    <t>17.12亿</t>
  </si>
  <si>
    <t>37.38亿</t>
  </si>
  <si>
    <t>-9.69亿</t>
  </si>
  <si>
    <t>6430.22万</t>
  </si>
  <si>
    <t>3.77亿</t>
  </si>
  <si>
    <t>5645.38万</t>
  </si>
  <si>
    <t>3564.47万</t>
  </si>
  <si>
    <t>18.62亿</t>
  </si>
  <si>
    <t>13.20亿</t>
  </si>
  <si>
    <t>13.06亿</t>
  </si>
  <si>
    <t>13.92亿</t>
  </si>
  <si>
    <t>9.07亿</t>
  </si>
  <si>
    <t>5743.10万</t>
  </si>
  <si>
    <t>2399.65万</t>
  </si>
  <si>
    <t>SZ001282</t>
  </si>
  <si>
    <t>三联锻造</t>
  </si>
  <si>
    <t>7663.78万</t>
  </si>
  <si>
    <t>7266.05万</t>
  </si>
  <si>
    <t>5310.82万</t>
  </si>
  <si>
    <t>33.55亿</t>
  </si>
  <si>
    <t>16.84亿</t>
  </si>
  <si>
    <t>16.10亿</t>
  </si>
  <si>
    <t>16.93亿</t>
  </si>
  <si>
    <t>3.86亿</t>
  </si>
  <si>
    <t>SZ001380</t>
  </si>
  <si>
    <t>华纬科技</t>
  </si>
  <si>
    <t>6189.65万</t>
  </si>
  <si>
    <t>7294.49万</t>
  </si>
  <si>
    <t>4454.41万</t>
  </si>
  <si>
    <t>10.07亿</t>
  </si>
  <si>
    <t>163.82亿</t>
  </si>
  <si>
    <t>42.25亿</t>
  </si>
  <si>
    <t>66.72亿</t>
  </si>
  <si>
    <t>84.80亿</t>
  </si>
  <si>
    <t>15.24亿</t>
  </si>
  <si>
    <t>62.30亿</t>
  </si>
  <si>
    <t>31.36亿</t>
  </si>
  <si>
    <t>6.84亿</t>
  </si>
  <si>
    <t>37.50亿</t>
  </si>
  <si>
    <t>6792.24万</t>
  </si>
  <si>
    <t>60.47亿</t>
  </si>
  <si>
    <t>11.66亿</t>
  </si>
  <si>
    <t>10.93亿</t>
  </si>
  <si>
    <t>-5.21亿</t>
  </si>
  <si>
    <t>22.74亿</t>
  </si>
  <si>
    <t>4557.73万</t>
  </si>
  <si>
    <t>4.92亿</t>
  </si>
  <si>
    <t>5.31亿</t>
  </si>
  <si>
    <t>35.07亿</t>
  </si>
  <si>
    <t>7282.34万</t>
  </si>
  <si>
    <t>12.50亿</t>
  </si>
  <si>
    <t>54.87亿</t>
  </si>
  <si>
    <t>-7.75亿</t>
  </si>
  <si>
    <t>8.83亿</t>
  </si>
  <si>
    <t>68.38亿</t>
  </si>
  <si>
    <t>15.64亿</t>
  </si>
  <si>
    <t>30.19亿</t>
  </si>
  <si>
    <t>10.51亿</t>
  </si>
  <si>
    <t>25.52亿</t>
  </si>
  <si>
    <t>8018.45万</t>
  </si>
  <si>
    <t>17.84亿</t>
  </si>
  <si>
    <t>8413.33万</t>
  </si>
  <si>
    <t>8.74亿</t>
  </si>
  <si>
    <t>78.44亿</t>
  </si>
  <si>
    <t>25.88亿</t>
  </si>
  <si>
    <t>-1.43亿</t>
  </si>
  <si>
    <t>6.80亿</t>
  </si>
  <si>
    <t>5.94亿</t>
  </si>
  <si>
    <t>4848.55万</t>
  </si>
  <si>
    <t>33.64亿</t>
  </si>
  <si>
    <t>7163.75万</t>
  </si>
  <si>
    <t>1351.74万</t>
  </si>
  <si>
    <t>35.78亿</t>
  </si>
  <si>
    <t>6.93亿</t>
  </si>
  <si>
    <t>31.63亿</t>
  </si>
  <si>
    <t>37.17亿</t>
  </si>
  <si>
    <t>10.31亿</t>
  </si>
  <si>
    <t>1582.36万</t>
  </si>
  <si>
    <t>2.61亿</t>
  </si>
  <si>
    <t>12.30亿</t>
  </si>
  <si>
    <t>4-1</t>
  </si>
  <si>
    <t>5.07亿</t>
  </si>
  <si>
    <t>3.44亿</t>
  </si>
  <si>
    <t>260.16万</t>
  </si>
  <si>
    <t>42.19亿</t>
  </si>
  <si>
    <t>7.97亿</t>
  </si>
  <si>
    <t>32.59亿</t>
  </si>
  <si>
    <t>48.17亿</t>
  </si>
  <si>
    <t>8625.74万</t>
  </si>
  <si>
    <t>56.38亿</t>
  </si>
  <si>
    <t>10.22亿</t>
  </si>
  <si>
    <t>5.17亿</t>
  </si>
  <si>
    <t>12.60亿</t>
  </si>
  <si>
    <t>2577.56万</t>
  </si>
  <si>
    <t>42.89亿</t>
  </si>
  <si>
    <t>9.36亿</t>
  </si>
  <si>
    <t>5.65亿</t>
  </si>
  <si>
    <t>-1.50亿</t>
  </si>
  <si>
    <t>7.52亿</t>
  </si>
  <si>
    <t>62.92亿</t>
  </si>
  <si>
    <t>14.47亿</t>
  </si>
  <si>
    <t>41.85亿</t>
  </si>
  <si>
    <t>5.00亿</t>
  </si>
  <si>
    <t>-13.57亿</t>
  </si>
  <si>
    <t>18.08亿</t>
  </si>
  <si>
    <t>10派1.25元(含税)</t>
  </si>
  <si>
    <t>16.98亿</t>
  </si>
  <si>
    <t>213.71亿</t>
  </si>
  <si>
    <t>73.47亿</t>
  </si>
  <si>
    <t>40.35亿</t>
  </si>
  <si>
    <t>-9.16亿</t>
  </si>
  <si>
    <t>1977.16万</t>
  </si>
  <si>
    <t>10.87亿</t>
  </si>
  <si>
    <t>-3763.23万</t>
  </si>
  <si>
    <t>11.48亿</t>
  </si>
  <si>
    <t>7557.50万</t>
  </si>
  <si>
    <t>14.84亿</t>
  </si>
  <si>
    <t>4768.82万</t>
  </si>
  <si>
    <t>200.00万</t>
  </si>
  <si>
    <t>13.62亿</t>
  </si>
  <si>
    <t>3699.16万</t>
  </si>
  <si>
    <t>6.57亿</t>
  </si>
  <si>
    <t>12.58亿</t>
  </si>
  <si>
    <t>-2804.65万</t>
  </si>
  <si>
    <t>29.48亿</t>
  </si>
  <si>
    <t>6.14亿</t>
  </si>
  <si>
    <t>9.09亿</t>
  </si>
  <si>
    <t>7.94亿</t>
  </si>
  <si>
    <t>4-0</t>
  </si>
  <si>
    <t>4657.01万</t>
  </si>
  <si>
    <t>8551.90万</t>
  </si>
  <si>
    <t>7.80亿</t>
  </si>
  <si>
    <t>5.76亿</t>
  </si>
  <si>
    <t>4691.78万</t>
  </si>
  <si>
    <t>6456.58万</t>
  </si>
  <si>
    <t>5436.60万</t>
  </si>
  <si>
    <t>9804.31万</t>
  </si>
  <si>
    <t>5300.91万</t>
  </si>
  <si>
    <t>5232.17万</t>
  </si>
  <si>
    <t>SZ301170</t>
  </si>
  <si>
    <t>锡南科技</t>
  </si>
  <si>
    <t>7.99亿</t>
  </si>
  <si>
    <t>8.75亿</t>
  </si>
  <si>
    <t>5184.56万</t>
  </si>
  <si>
    <t>SZ301225</t>
  </si>
  <si>
    <t>恒勃股份</t>
  </si>
  <si>
    <t>5695.00万</t>
  </si>
  <si>
    <t>SZ301310</t>
  </si>
  <si>
    <t>鑫宏业</t>
  </si>
  <si>
    <t>SZ301397</t>
  </si>
  <si>
    <t>溯联股份</t>
  </si>
  <si>
    <t>7.26亿</t>
  </si>
  <si>
    <t>5623.13万</t>
  </si>
  <si>
    <t>SZ301488</t>
  </si>
  <si>
    <t>豪恩汽电</t>
  </si>
  <si>
    <t>9670.16万</t>
  </si>
  <si>
    <t>68.50亿</t>
  </si>
  <si>
    <t>57.67亿</t>
  </si>
  <si>
    <t>11.35亿</t>
  </si>
  <si>
    <t>13.37亿</t>
  </si>
  <si>
    <t>-2-0</t>
  </si>
  <si>
    <t>31.75亿</t>
  </si>
  <si>
    <t>49.36亿</t>
  </si>
  <si>
    <t>17.21亿</t>
  </si>
  <si>
    <t>49.88亿</t>
  </si>
  <si>
    <t>8452.14万</t>
  </si>
  <si>
    <t>11.32亿</t>
  </si>
  <si>
    <t>166.89亿</t>
  </si>
  <si>
    <t>21.53亿</t>
  </si>
  <si>
    <t>56.31亿</t>
  </si>
  <si>
    <t>12.63亿</t>
  </si>
  <si>
    <t>280.99亿</t>
  </si>
  <si>
    <t>47.56亿</t>
  </si>
  <si>
    <t>-2779.91万</t>
  </si>
  <si>
    <t>497.93亿</t>
  </si>
  <si>
    <t>1582.68亿</t>
  </si>
  <si>
    <t>72.03亿</t>
  </si>
  <si>
    <t>199.72亿</t>
  </si>
  <si>
    <t>51.46亿</t>
  </si>
  <si>
    <t>-1.28亿</t>
  </si>
  <si>
    <t>42.65亿</t>
  </si>
  <si>
    <t>41.02亿</t>
  </si>
  <si>
    <t>-6225.84万</t>
  </si>
  <si>
    <t>219.02亿</t>
  </si>
  <si>
    <t>179.98亿</t>
  </si>
  <si>
    <t>154.05亿</t>
  </si>
  <si>
    <t>151.28亿</t>
  </si>
  <si>
    <t>136.85亿</t>
  </si>
  <si>
    <t>13.13亿</t>
  </si>
  <si>
    <t>92.20亿</t>
  </si>
  <si>
    <t>22.14亿</t>
  </si>
  <si>
    <t>10派2.8元(含税)</t>
  </si>
  <si>
    <t>50.94亿</t>
  </si>
  <si>
    <t>5836.97万</t>
  </si>
  <si>
    <t>1696.20万</t>
  </si>
  <si>
    <t>11.22亿</t>
  </si>
  <si>
    <t>159.93亿</t>
  </si>
  <si>
    <t>17.00亿</t>
  </si>
  <si>
    <t>44.54亿</t>
  </si>
  <si>
    <t>82.48亿</t>
  </si>
  <si>
    <t>9.41亿</t>
  </si>
  <si>
    <t>170.06亿</t>
  </si>
  <si>
    <t>12.31亿</t>
  </si>
  <si>
    <t>4594.49万</t>
  </si>
  <si>
    <t>6.37亿</t>
  </si>
  <si>
    <t>12.98亿</t>
  </si>
  <si>
    <t>84.43亿</t>
  </si>
  <si>
    <t>7417.04万</t>
  </si>
  <si>
    <t>440.59万</t>
  </si>
  <si>
    <t>36.66亿</t>
  </si>
  <si>
    <t>26.23亿</t>
  </si>
  <si>
    <t>7804.66万</t>
  </si>
  <si>
    <t>14.25亿</t>
  </si>
  <si>
    <t>-2.73亿</t>
  </si>
  <si>
    <t>26.00亿</t>
  </si>
  <si>
    <t>9.47亿</t>
  </si>
  <si>
    <t>6.85亿</t>
  </si>
  <si>
    <t>9.05亿</t>
  </si>
  <si>
    <t>26.70亿</t>
  </si>
  <si>
    <t>9149.66万</t>
  </si>
  <si>
    <t>1952.70万</t>
  </si>
  <si>
    <t>6559.02万</t>
  </si>
  <si>
    <t>69.47亿</t>
  </si>
  <si>
    <t>13.66亿</t>
  </si>
  <si>
    <t>47.78亿</t>
  </si>
  <si>
    <t>10派3.1元(含税)</t>
  </si>
  <si>
    <t>6512.64万</t>
  </si>
  <si>
    <t>10派3.2元(含税)</t>
  </si>
  <si>
    <t>-1730.79万</t>
  </si>
  <si>
    <t>16.37亿</t>
  </si>
  <si>
    <t>16.24亿</t>
  </si>
  <si>
    <t>16.77亿</t>
  </si>
  <si>
    <t>-3843.91万</t>
  </si>
  <si>
    <t>52.30亿</t>
  </si>
  <si>
    <t>12.43亿</t>
  </si>
  <si>
    <t>18.29亿</t>
  </si>
  <si>
    <t>55.39亿</t>
  </si>
  <si>
    <t>6835.09万</t>
  </si>
  <si>
    <t>1528.50万</t>
  </si>
  <si>
    <t>1107.61万</t>
  </si>
  <si>
    <t>9.95亿</t>
  </si>
  <si>
    <t>4224.45万</t>
  </si>
  <si>
    <t>6.27亿</t>
  </si>
  <si>
    <t>9.34亿</t>
  </si>
  <si>
    <t>11.28亿</t>
  </si>
  <si>
    <t>7.07亿</t>
  </si>
  <si>
    <t>-1192.76万</t>
  </si>
  <si>
    <t>20.96亿</t>
  </si>
  <si>
    <t>8372.08万</t>
  </si>
  <si>
    <t>4242.81万</t>
  </si>
  <si>
    <t>11.16亿</t>
  </si>
  <si>
    <t>17.45亿</t>
  </si>
  <si>
    <t>5.80亿</t>
  </si>
  <si>
    <t>179.67亿</t>
  </si>
  <si>
    <t>-14.17亿</t>
  </si>
  <si>
    <t>44.01亿</t>
  </si>
  <si>
    <t>-3.88亿</t>
  </si>
  <si>
    <t>18.35亿</t>
  </si>
  <si>
    <t>16.82亿</t>
  </si>
  <si>
    <t>29.41亿</t>
  </si>
  <si>
    <t>4574.44万</t>
  </si>
  <si>
    <t>4.68万</t>
  </si>
  <si>
    <t>12.42亿</t>
  </si>
  <si>
    <t>14.29亿</t>
  </si>
  <si>
    <t>4504.98万</t>
  </si>
  <si>
    <t>2556.32万</t>
  </si>
  <si>
    <t>10派2.2元(含税)</t>
  </si>
  <si>
    <t>6000.00万</t>
  </si>
  <si>
    <t>32.78亿</t>
  </si>
  <si>
    <t>6.87亿</t>
  </si>
  <si>
    <t>-783.73万</t>
  </si>
  <si>
    <t>10.21亿</t>
  </si>
  <si>
    <t>8716.61万</t>
  </si>
  <si>
    <t>9.02亿</t>
  </si>
  <si>
    <t>6702.88万</t>
  </si>
  <si>
    <t>-8727.27万</t>
  </si>
  <si>
    <t>涨幅%</t>
  </si>
  <si>
    <t>成交量[20230512]</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</si>
  <si>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</si>
  <si>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</si>
  <si>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</si>
  <si>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</si>
  <si>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</si>
  <si>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</si>
  <si>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</si>
  <si>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</si>
  <si>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</si>
  <si>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</si>
  <si>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</si>
  <si>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</si>
  <si>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</si>
  <si>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</si>
  <si>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</si>
  <si>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</si>
  <si>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</si>
  <si>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</si>
  <si>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</si>
  <si>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</si>
  <si>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</si>
  <si>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</si>
  <si>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</si>
  <si>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</si>
  <si>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</si>
  <si>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</si>
  <si>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</si>
  <si>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</si>
  <si>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</si>
  <si>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</si>
  <si>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</si>
  <si>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</si>
  <si>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</si>
  <si>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</si>
  <si>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</si>
  <si>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</si>
  <si>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</si>
  <si>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</si>
  <si>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</si>
  <si>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</si>
  <si>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</si>
  <si>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</si>
  <si>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区间涨跌幅:前复权%[20230508-20230512]</t>
  </si>
  <si>
    <t>区间涨跌幅:前复权%[20230328-20230512]</t>
  </si>
  <si>
    <t>区间成交量[20230508-20230512]</t>
  </si>
  <si>
    <t>区间成交量[20230328-20230512]</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</si>
  <si>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</si>
  <si>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</si>
  <si>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</si>
  <si>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</si>
  <si>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</si>
  <si>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</si>
  <si>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</si>
  <si>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</si>
  <si>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</si>
  <si>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</si>
  <si>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</si>
  <si>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</si>
  <si>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</si>
  <si>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</si>
  <si>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</si>
  <si>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</si>
  <si>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</si>
  <si>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</si>
  <si>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</si>
  <si>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</si>
  <si>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</si>
  <si>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</si>
  <si>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</si>
  <si>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</si>
  <si>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</si>
  <si>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</si>
  <si>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</si>
  <si>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</si>
  <si>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</si>
  <si>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</si>
  <si>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</si>
  <si>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</si>
  <si>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</si>
  <si>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</si>
  <si>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</si>
  <si>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</si>
  <si>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</si>
  <si>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</si>
  <si>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</si>
  <si>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</si>
  <si>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</si>
  <si>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</si>
  <si>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2.90亿</t>
  </si>
  <si>
    <t>3-1</t>
  </si>
  <si>
    <t>6.94亿</t>
  </si>
  <si>
    <t>10.29亿</t>
  </si>
  <si>
    <t>5.64亿</t>
  </si>
  <si>
    <t>8.46亿</t>
  </si>
  <si>
    <t>8.64亿</t>
  </si>
  <si>
    <t>SZ301499</t>
  </si>
  <si>
    <t>维科精密</t>
  </si>
  <si>
    <t>6758.47万</t>
  </si>
  <si>
    <t>5614.96万</t>
  </si>
  <si>
    <t>-2-1</t>
  </si>
  <si>
    <t>SH603119</t>
  </si>
  <si>
    <t>浙江荣泰</t>
  </si>
  <si>
    <t>7.28亿</t>
  </si>
  <si>
    <t>SH688612</t>
  </si>
  <si>
    <t>威迈斯</t>
  </si>
  <si>
    <t>38.33亿</t>
  </si>
  <si>
    <t>18.28亿</t>
  </si>
  <si>
    <t>9.70亿</t>
  </si>
  <si>
    <t>23.91亿</t>
  </si>
  <si>
    <t>4.42亿</t>
  </si>
  <si>
    <t>16.87亿</t>
  </si>
  <si>
    <t>6.41亿</t>
  </si>
  <si>
    <t>11.56万</t>
  </si>
  <si>
    <t>71.37亿</t>
  </si>
  <si>
    <t>35.70亿</t>
  </si>
  <si>
    <t>10.46亿</t>
  </si>
  <si>
    <t>5.56亿</t>
  </si>
  <si>
    <t>12.91亿</t>
  </si>
  <si>
    <t>30.35亿</t>
  </si>
  <si>
    <t>16.38亿</t>
  </si>
  <si>
    <t>6.72亿</t>
  </si>
  <si>
    <t>3.91亿</t>
  </si>
  <si>
    <t>13.01亿</t>
  </si>
  <si>
    <t>31.67亿</t>
  </si>
  <si>
    <t>24.40亿</t>
  </si>
  <si>
    <t>25.40亿</t>
  </si>
  <si>
    <t>7.19亿</t>
  </si>
  <si>
    <t>3.81亿</t>
  </si>
  <si>
    <t>7.88亿</t>
  </si>
  <si>
    <t>12.16亿</t>
  </si>
  <si>
    <t>21.73亿</t>
  </si>
  <si>
    <t>4.41亿</t>
  </si>
  <si>
    <t>-3.12亿</t>
  </si>
  <si>
    <t>27.55亿</t>
  </si>
  <si>
    <t>17.89亿</t>
  </si>
  <si>
    <t>3.23亿</t>
  </si>
  <si>
    <t>14.20亿</t>
  </si>
  <si>
    <t>15.02亿</t>
  </si>
  <si>
    <t>14.00亿</t>
  </si>
  <si>
    <t>5.42亿</t>
  </si>
  <si>
    <t>4000.00万</t>
  </si>
  <si>
    <t>4.22亿</t>
  </si>
  <si>
    <t>5.73亿</t>
  </si>
  <si>
    <t>7.82亿</t>
  </si>
  <si>
    <t>15.29亿</t>
  </si>
  <si>
    <t>5.68亿</t>
  </si>
  <si>
    <t>11.64亿</t>
  </si>
  <si>
    <t>3.72亿</t>
  </si>
  <si>
    <t>4.90亿</t>
  </si>
  <si>
    <t>26.90亿</t>
  </si>
  <si>
    <t>23.48亿</t>
  </si>
  <si>
    <t>59.75亿</t>
  </si>
  <si>
    <t>10.05亿</t>
  </si>
  <si>
    <t>5.98亿</t>
  </si>
  <si>
    <t>23.42亿</t>
  </si>
  <si>
    <t>15.71亿</t>
  </si>
  <si>
    <t>22.44亿</t>
  </si>
  <si>
    <t>10.25亿</t>
  </si>
  <si>
    <t>17.55亿</t>
  </si>
  <si>
    <t>16.96亿</t>
  </si>
  <si>
    <t>1.66亿</t>
  </si>
  <si>
    <t>7.85亿</t>
  </si>
  <si>
    <t>14.50亿</t>
  </si>
  <si>
    <t>12.18亿</t>
  </si>
  <si>
    <t>8.70亿</t>
  </si>
  <si>
    <t>7.16亿</t>
  </si>
  <si>
    <t>5.67亿</t>
  </si>
  <si>
    <t>11.04亿</t>
  </si>
  <si>
    <t>37.42亿</t>
  </si>
  <si>
    <t>23.22亿</t>
  </si>
  <si>
    <t>16.64亿</t>
  </si>
  <si>
    <t>20.72亿</t>
  </si>
  <si>
    <t>5.85亿</t>
  </si>
  <si>
    <t>7.93亿</t>
  </si>
  <si>
    <t>14.67亿</t>
  </si>
  <si>
    <t>16.76亿</t>
  </si>
  <si>
    <t>5.71亿</t>
  </si>
  <si>
    <t>7.65亿</t>
  </si>
  <si>
    <t>13.19亿</t>
  </si>
  <si>
    <t>7.54亿</t>
  </si>
  <si>
    <t>-1.83亿</t>
  </si>
  <si>
    <t>19.56亿</t>
  </si>
  <si>
    <t>20.84亿</t>
  </si>
  <si>
    <t>9.32亿</t>
  </si>
  <si>
    <t>12.72亿</t>
  </si>
  <si>
    <t>4.12亿</t>
  </si>
  <si>
    <t>87.44万</t>
  </si>
  <si>
    <t>26.86亿</t>
  </si>
  <si>
    <t>7.42亿</t>
  </si>
  <si>
    <t>5005.70万</t>
  </si>
  <si>
    <t>49.39万</t>
  </si>
  <si>
    <t>4105.95万</t>
  </si>
  <si>
    <t>25.94亿</t>
  </si>
  <si>
    <t>11.39亿</t>
  </si>
  <si>
    <t>12.40亿</t>
  </si>
  <si>
    <t>16.95亿</t>
  </si>
  <si>
    <t>18.93万</t>
  </si>
  <si>
    <t>15.41亿</t>
  </si>
  <si>
    <t>13.00亿</t>
  </si>
  <si>
    <t>4.64亿</t>
  </si>
  <si>
    <t>7.30亿</t>
  </si>
  <si>
    <t>17.23亿</t>
  </si>
  <si>
    <t>6.73亿</t>
  </si>
  <si>
    <t>25.62亿</t>
  </si>
  <si>
    <t>21.84亿</t>
  </si>
  <si>
    <t>11.96亿</t>
  </si>
  <si>
    <t>74.17万</t>
  </si>
  <si>
    <t>28.68亿</t>
  </si>
  <si>
    <t>7.17万</t>
  </si>
  <si>
    <t>6.78亿</t>
  </si>
  <si>
    <t>-1.15亿</t>
  </si>
  <si>
    <t>11.86亿</t>
  </si>
  <si>
    <t>9.06亿</t>
  </si>
  <si>
    <t>-1.20亿</t>
  </si>
  <si>
    <t>2.46亿</t>
  </si>
  <si>
    <t>6.62亿</t>
  </si>
  <si>
    <t>9.87亿</t>
  </si>
  <si>
    <t>8.59亿</t>
  </si>
  <si>
    <t>33.04亿</t>
  </si>
  <si>
    <t>28.87亿</t>
  </si>
  <si>
    <t>12.61亿</t>
  </si>
  <si>
    <t>7.79亿</t>
  </si>
  <si>
    <t>11.57亿</t>
  </si>
  <si>
    <t>-1.01亿</t>
  </si>
  <si>
    <t>16.12亿</t>
  </si>
  <si>
    <t>-9.81亿</t>
  </si>
  <si>
    <t>7.33亿</t>
  </si>
  <si>
    <t>8.22亿</t>
  </si>
  <si>
    <t>11.14亿</t>
  </si>
  <si>
    <t>12.77亿</t>
  </si>
  <si>
    <t>10.27亿</t>
  </si>
  <si>
    <t>11.37亿</t>
  </si>
  <si>
    <t>20.47亿</t>
  </si>
  <si>
    <t>SZ300446</t>
  </si>
  <si>
    <t>4.23亿</t>
  </si>
  <si>
    <t>45.99亿</t>
  </si>
  <si>
    <t>498.70万</t>
  </si>
  <si>
    <t>-2517.29万</t>
  </si>
  <si>
    <t>20.22亿</t>
  </si>
  <si>
    <t>6.75亿</t>
  </si>
  <si>
    <t>5000.00万</t>
  </si>
  <si>
    <t>-1.12亿</t>
  </si>
  <si>
    <t>7.46亿</t>
  </si>
  <si>
    <t>6.33亿</t>
  </si>
  <si>
    <t>8.00亿</t>
  </si>
  <si>
    <t>11.12万</t>
  </si>
  <si>
    <t>9.37亿</t>
  </si>
  <si>
    <t>15.56亿</t>
  </si>
  <si>
    <t>-5.43亿</t>
  </si>
  <si>
    <t>9.85亿</t>
  </si>
  <si>
    <t>13.59亿</t>
  </si>
  <si>
    <t>-1.26亿</t>
  </si>
  <si>
    <t>-1.16亿</t>
  </si>
  <si>
    <t>13.63亿</t>
  </si>
  <si>
    <t>25.84亿</t>
  </si>
  <si>
    <t>3949.91万</t>
  </si>
  <si>
    <t>6967.98万</t>
  </si>
  <si>
    <t>6629.31万</t>
  </si>
  <si>
    <t>1897535亿</t>
  </si>
  <si>
    <t>291.19万</t>
  </si>
  <si>
    <t>-41008920亿</t>
  </si>
  <si>
    <t>853124140亿</t>
  </si>
  <si>
    <t>5950.78万</t>
  </si>
  <si>
    <t>3114402000亿</t>
  </si>
  <si>
    <t>3.98亿</t>
  </si>
  <si>
    <t>4.08亿</t>
  </si>
  <si>
    <t>184.32万</t>
  </si>
  <si>
    <t>2772.52万</t>
  </si>
  <si>
    <t>-10.41亿</t>
  </si>
  <si>
    <t>5492.62万</t>
  </si>
  <si>
    <t>747.41万</t>
  </si>
  <si>
    <t>348.26万</t>
  </si>
  <si>
    <t>8.15亿</t>
  </si>
  <si>
    <t>4.24亿</t>
  </si>
  <si>
    <t>14.41亿</t>
  </si>
  <si>
    <t>7.49亿</t>
  </si>
  <si>
    <t>26.49亿</t>
  </si>
  <si>
    <t>-3.38亿</t>
  </si>
  <si>
    <t>2.00万</t>
  </si>
  <si>
    <t>7.09亿</t>
  </si>
  <si>
    <t>8.31亿</t>
  </si>
  <si>
    <t>-3.16亿</t>
  </si>
  <si>
    <t>16.04亿</t>
  </si>
  <si>
    <t>9162.51万</t>
  </si>
  <si>
    <t>8006.62万</t>
  </si>
  <si>
    <t>13.95亿</t>
  </si>
  <si>
    <t>-3.48亿</t>
  </si>
  <si>
    <t>9537.66万</t>
  </si>
  <si>
    <t>6474.05万</t>
  </si>
  <si>
    <t>3589.79万</t>
  </si>
  <si>
    <t>852.24万</t>
  </si>
  <si>
    <t>4.86亿</t>
  </si>
  <si>
    <t>3.27万</t>
  </si>
  <si>
    <t>4.67亿</t>
  </si>
  <si>
    <t>14.60亿</t>
  </si>
  <si>
    <t>13.41亿</t>
  </si>
  <si>
    <t>14.71亿</t>
  </si>
  <si>
    <t>6651.43万</t>
  </si>
  <si>
    <t>4369.49万</t>
  </si>
  <si>
    <t>4768.73万</t>
  </si>
  <si>
    <t>8.18亿</t>
  </si>
  <si>
    <t>10.71亿</t>
  </si>
  <si>
    <t>8725.48万</t>
  </si>
  <si>
    <t>4054.64万</t>
  </si>
  <si>
    <t>2268.57万</t>
  </si>
  <si>
    <t>6.47亿</t>
  </si>
  <si>
    <t>6755.37万</t>
  </si>
  <si>
    <t>1895.52万</t>
  </si>
  <si>
    <t>-2429.58万</t>
  </si>
  <si>
    <t>12.13亿</t>
  </si>
  <si>
    <t>5.37亿</t>
  </si>
  <si>
    <t>3759.33万</t>
  </si>
  <si>
    <t>5217.81万</t>
  </si>
  <si>
    <t>5550.55万</t>
  </si>
  <si>
    <t>SZ301529</t>
  </si>
  <si>
    <t>福赛科技</t>
  </si>
  <si>
    <t>9076.72万</t>
  </si>
  <si>
    <t>3000.00万</t>
  </si>
  <si>
    <t>5.99亿</t>
  </si>
  <si>
    <t>7775.79万</t>
  </si>
  <si>
    <t>6323.52万</t>
  </si>
  <si>
    <t>4891.92万</t>
  </si>
  <si>
    <t>1151.86万</t>
  </si>
  <si>
    <t>SZ301550</t>
  </si>
  <si>
    <t>斯菱股份</t>
  </si>
  <si>
    <t>5.99万</t>
  </si>
  <si>
    <t>9069.23万</t>
  </si>
  <si>
    <t>4168.67万</t>
  </si>
  <si>
    <t>2487.57万</t>
  </si>
  <si>
    <t>3327.83万</t>
  </si>
  <si>
    <t>5.95亿</t>
  </si>
  <si>
    <t>35.28亿</t>
  </si>
  <si>
    <t>13.25亿</t>
  </si>
  <si>
    <t>S佳通</t>
  </si>
  <si>
    <t>19.46亿</t>
  </si>
  <si>
    <t>8.19亿</t>
  </si>
  <si>
    <t>15.78亿</t>
  </si>
  <si>
    <t>-3.24亿</t>
  </si>
  <si>
    <t>17.68亿</t>
  </si>
  <si>
    <t>28.36亿</t>
  </si>
  <si>
    <t>23.82亿</t>
  </si>
  <si>
    <t>46.16亿</t>
  </si>
  <si>
    <t>26.61亿</t>
  </si>
  <si>
    <t>41.53亿</t>
  </si>
  <si>
    <t>-4.57亿</t>
  </si>
  <si>
    <t>8.04亿</t>
  </si>
  <si>
    <t>-2.53亿</t>
  </si>
  <si>
    <t>30.08亿</t>
  </si>
  <si>
    <t>23.27亿</t>
  </si>
  <si>
    <t>18.33亿</t>
  </si>
  <si>
    <t>23.08亿</t>
  </si>
  <si>
    <t>-1.65亿</t>
  </si>
  <si>
    <t>10.65亿</t>
  </si>
  <si>
    <t>20.01亿</t>
  </si>
  <si>
    <t>68.05亿</t>
  </si>
  <si>
    <t>38.19亿</t>
  </si>
  <si>
    <t>9.18亿</t>
  </si>
  <si>
    <t>19.40亿</t>
  </si>
  <si>
    <t>9.98亿</t>
  </si>
  <si>
    <t>255.37万</t>
  </si>
  <si>
    <t>7.08亿</t>
  </si>
  <si>
    <t>23.26亿</t>
  </si>
  <si>
    <t>42.63亿</t>
  </si>
  <si>
    <t>7.71亿</t>
  </si>
  <si>
    <t>24.07亿</t>
  </si>
  <si>
    <t>2.99万</t>
  </si>
  <si>
    <t>17.05亿</t>
  </si>
  <si>
    <t>-1.13亿</t>
  </si>
  <si>
    <t>16.74亿</t>
  </si>
  <si>
    <t>28.48亿</t>
  </si>
  <si>
    <t>25.81亿</t>
  </si>
  <si>
    <t>4.48亿</t>
  </si>
  <si>
    <t>13.82亿</t>
  </si>
  <si>
    <t>13.07亿</t>
  </si>
  <si>
    <t>7.67亿</t>
  </si>
  <si>
    <t>SH603107</t>
  </si>
  <si>
    <t>11.88亿</t>
  </si>
  <si>
    <t>9529.01万</t>
  </si>
  <si>
    <t>14.59亿</t>
  </si>
  <si>
    <t>18.56亿</t>
  </si>
  <si>
    <t>2917.59万</t>
  </si>
  <si>
    <t>2139.87万</t>
  </si>
  <si>
    <t>9.10亿</t>
  </si>
  <si>
    <t>8.48亿</t>
  </si>
  <si>
    <t>19.87亿</t>
  </si>
  <si>
    <t>18.37亿</t>
  </si>
  <si>
    <t>14.93亿</t>
  </si>
  <si>
    <t>19.08亿</t>
  </si>
  <si>
    <t>18.14亿</t>
  </si>
  <si>
    <t>15.44亿</t>
  </si>
  <si>
    <t>9.56亿</t>
  </si>
  <si>
    <t>-2.43亿</t>
  </si>
  <si>
    <t>15.20亿</t>
  </si>
  <si>
    <t>35.40亿</t>
  </si>
  <si>
    <t>10.33亿</t>
  </si>
  <si>
    <t>20.63亿</t>
  </si>
  <si>
    <t>11.53亿</t>
  </si>
  <si>
    <t>6.88亿</t>
  </si>
  <si>
    <t>6.05亿</t>
  </si>
  <si>
    <t>12.48亿</t>
  </si>
  <si>
    <t>42.84亿</t>
  </si>
  <si>
    <t>53.09万</t>
  </si>
  <si>
    <t>24.76亿</t>
  </si>
  <si>
    <t>5939.00万</t>
  </si>
  <si>
    <t>-3-0</t>
  </si>
  <si>
    <t>12.85亿</t>
  </si>
  <si>
    <t>19.09亿</t>
  </si>
  <si>
    <t>44.09亿</t>
  </si>
  <si>
    <t>9.63亿</t>
  </si>
  <si>
    <t>5.62亿</t>
  </si>
  <si>
    <t>-1.22亿</t>
  </si>
  <si>
    <t>8.24亿</t>
  </si>
  <si>
    <t>10.84亿</t>
  </si>
  <si>
    <t>29.14万</t>
  </si>
  <si>
    <t>10000.00万</t>
  </si>
  <si>
    <t>15.47亿</t>
  </si>
  <si>
    <t>16.58亿</t>
  </si>
  <si>
    <t>6.44亿</t>
  </si>
  <si>
    <t>12.76亿</t>
  </si>
  <si>
    <t>7.64亿</t>
  </si>
  <si>
    <t>6.26亿</t>
  </si>
  <si>
    <t>15.89亿</t>
  </si>
  <si>
    <t>14.40亿</t>
  </si>
  <si>
    <t>7.73亿</t>
  </si>
  <si>
    <t>5.86亿</t>
  </si>
  <si>
    <t>-1.00亿</t>
  </si>
  <si>
    <t>9.94亿</t>
  </si>
  <si>
    <t>9.69亿</t>
  </si>
  <si>
    <t>24.13亿</t>
  </si>
  <si>
    <t>5-1</t>
  </si>
  <si>
    <t>-1.56亿</t>
  </si>
  <si>
    <t>31.95亿</t>
  </si>
  <si>
    <t>-3.25亿</t>
  </si>
  <si>
    <t>7504.31万</t>
  </si>
  <si>
    <t>551.12万</t>
  </si>
  <si>
    <t>3413.80万</t>
  </si>
  <si>
    <t>6852.26万</t>
  </si>
  <si>
    <t>22.54亿</t>
  </si>
  <si>
    <t>SZ002806</t>
  </si>
  <si>
    <t>华锋股份</t>
  </si>
  <si>
    <t>-960.55万</t>
  </si>
  <si>
    <t>6272.76万</t>
  </si>
  <si>
    <t>-3.05亿</t>
  </si>
  <si>
    <t>3424.15万</t>
  </si>
  <si>
    <t>7814.94万</t>
  </si>
  <si>
    <t>航天智造</t>
  </si>
  <si>
    <t>-4-0</t>
  </si>
  <si>
    <t>-3-1</t>
  </si>
  <si>
    <t>上海汽配</t>
  </si>
  <si>
    <t>&lt;-折合年化收益</t>
    <phoneticPr fontId="1" type="noConversion"/>
  </si>
  <si>
    <t>&lt;-PEG</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</si>
  <si>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</si>
  <si>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</si>
  <si>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</si>
  <si>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</si>
  <si>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</si>
  <si>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r>
      <t>1.本次分拆上市完成后，公司将仍然保持对环动科技的控股权，</t>
    </r>
    <r>
      <rPr>
        <sz val="9"/>
        <color rgb="FFFF0000"/>
        <rFont val="宋体"/>
        <family val="3"/>
        <charset val="134"/>
        <scheme val="minor"/>
      </rPr>
      <t>环动科技仍将纳入公司合并报表范围</t>
    </r>
    <r>
      <rPr>
        <sz val="9"/>
        <color theme="1"/>
        <rFont val="宋体"/>
        <family val="2"/>
        <charset val="134"/>
        <scheme val="minor"/>
      </rPr>
      <t>。2.问：除新能源汽车齿轮业务之外，公司机器减速器、民生齿轮、工业齿轮等业务，对于公司销售贡献或者业绩贡献大概是什么样节奏？答：民生、工业两个领域的业务，目前还是初始阶段，需要一段时间去培育。</t>
    </r>
    <r>
      <rPr>
        <sz val="9"/>
        <color rgb="FFFF0000"/>
        <rFont val="宋体"/>
        <family val="3"/>
        <charset val="134"/>
        <scheme val="minor"/>
      </rPr>
      <t>机器人减速器业务板块，虽然在公司的营业收入中占比还不大，但成长性非常好</t>
    </r>
    <r>
      <rPr>
        <sz val="9"/>
        <color theme="1"/>
        <rFont val="宋体"/>
        <family val="2"/>
        <charset val="134"/>
        <scheme val="minor"/>
      </rPr>
      <t>，随着后续机器人减速器产能的扩建，对公司的业务发展将会有不错的助力。</t>
    </r>
    <phoneticPr fontId="1" type="noConversion"/>
  </si>
  <si>
    <r>
      <t>1.预计年报业绩：净利润8.000亿元至8.200亿元，</t>
    </r>
    <r>
      <rPr>
        <b/>
        <sz val="9"/>
        <color rgb="FFFF0000"/>
        <rFont val="宋体"/>
        <family val="3"/>
        <charset val="134"/>
        <scheme val="minor"/>
      </rPr>
      <t>增长幅度为37.44%至40.87%</t>
    </r>
    <r>
      <rPr>
        <sz val="9"/>
        <color theme="1"/>
        <rFont val="宋体"/>
        <family val="2"/>
        <charset val="134"/>
        <scheme val="minor"/>
      </rPr>
      <t xml:space="preserve"> 原因：公司始终坚持聚焦主业，紧密围绕公司发展战略和经营管理目标开展各项运营工作，积极推动高精密制造平台化延伸。报告期内，公司重型卡车自动变速箱齿轮业务、新能源汽车齿轮业务等均呈现良好增长态势；此外，公司持续推动内部降本增效、自主创新等工作，有效提升制造能力，降低单位成本，推动公司业绩稳步增长。2.预计</t>
    </r>
    <r>
      <rPr>
        <sz val="9"/>
        <color rgb="FFFF0000"/>
        <rFont val="宋体"/>
        <family val="3"/>
        <charset val="134"/>
        <scheme val="minor"/>
      </rPr>
      <t>一季报业绩：净利润2.100亿元至2.300亿元，增长幅度为22.75%至34.44%</t>
    </r>
    <r>
      <rPr>
        <sz val="9"/>
        <color theme="1"/>
        <rFont val="宋体"/>
        <family val="2"/>
        <charset val="134"/>
        <scheme val="minor"/>
      </rPr>
      <t>;3.即将拆分的子公司环动科技是从事机器人关节高精密减速器的研发、设计、生产和销售的国家高新技术企业，为客户提供覆盖 3-1000KG 负载机器人所需的高精密减速器整体方案，RV 减速器是环动科技的主要产品，上市</t>
    </r>
    <r>
      <rPr>
        <sz val="9"/>
        <color rgb="FFFF0000"/>
        <rFont val="宋体"/>
        <family val="3"/>
        <charset val="134"/>
        <scheme val="minor"/>
      </rPr>
      <t>短期对原有股东股权有稀释</t>
    </r>
    <r>
      <rPr>
        <sz val="9"/>
        <color theme="1"/>
        <rFont val="宋体"/>
        <family val="2"/>
        <charset val="134"/>
        <scheme val="minor"/>
      </rPr>
      <t>，但长期有利于提高经营效率增大总体利润有帮助；</t>
    </r>
    <phoneticPr fontId="1" type="noConversion"/>
  </si>
  <si>
    <t>5-0</t>
  </si>
  <si>
    <t>7-0</t>
  </si>
  <si>
    <t>SZ002920</t>
  </si>
  <si>
    <t>德赛西威</t>
  </si>
  <si>
    <t>149.33亿</t>
  </si>
  <si>
    <t>95.69亿</t>
  </si>
  <si>
    <t>67.99亿</t>
  </si>
  <si>
    <t>53.37亿</t>
  </si>
  <si>
    <t>54.09亿</t>
  </si>
  <si>
    <t>8.33亿</t>
  </si>
  <si>
    <t>6.07亿</t>
  </si>
  <si>
    <t>SZ301539</t>
  </si>
  <si>
    <t>宏鑫科技</t>
  </si>
  <si>
    <t>7246.04万</t>
  </si>
  <si>
    <t>山子高科</t>
  </si>
  <si>
    <t>6.39亿</t>
  </si>
  <si>
    <t>-5-1</t>
  </si>
  <si>
    <t>-4-1</t>
  </si>
  <si>
    <t>SH600841</t>
  </si>
  <si>
    <t>动力新科</t>
  </si>
  <si>
    <t>99.29亿</t>
  </si>
  <si>
    <t>-16.11亿</t>
  </si>
  <si>
    <t>16.41亿</t>
  </si>
  <si>
    <t>244.02亿</t>
  </si>
  <si>
    <t>219.65亿</t>
  </si>
  <si>
    <t>40.33亿</t>
  </si>
  <si>
    <t>41.21亿</t>
  </si>
  <si>
    <t>472.35万</t>
  </si>
  <si>
    <t>10.28亿</t>
  </si>
  <si>
    <t>12.34亿</t>
  </si>
  <si>
    <t>3.09亿</t>
  </si>
  <si>
    <t>17.43亿</t>
  </si>
  <si>
    <t>443.92万</t>
  </si>
  <si>
    <t>3090.61万</t>
  </si>
  <si>
    <t>-5-0</t>
  </si>
  <si>
    <t>9-1</t>
  </si>
  <si>
    <t>6-0</t>
  </si>
  <si>
    <t>6.83亿</t>
  </si>
  <si>
    <t>1037.54万</t>
  </si>
  <si>
    <t>SH688208</t>
  </si>
  <si>
    <t>道通科技</t>
  </si>
  <si>
    <t>22.66亿</t>
  </si>
  <si>
    <t>708.66万</t>
  </si>
  <si>
    <t>81.75亿</t>
  </si>
  <si>
    <t>90.10亿</t>
  </si>
  <si>
    <t>37.64亿</t>
  </si>
  <si>
    <t>158.43亿</t>
  </si>
  <si>
    <t>33.57亿</t>
  </si>
  <si>
    <t>6506.43万</t>
  </si>
  <si>
    <t>133311945亿</t>
  </si>
  <si>
    <t>112.83万</t>
  </si>
  <si>
    <t>136799480亿</t>
  </si>
  <si>
    <t>3071417200亿</t>
  </si>
  <si>
    <t>8037503300亿</t>
  </si>
  <si>
    <t>5.20亿</t>
  </si>
  <si>
    <t>3224.98万</t>
  </si>
  <si>
    <t>19.30亿</t>
  </si>
  <si>
    <t>33.00亿</t>
  </si>
  <si>
    <t>1093.30万</t>
  </si>
  <si>
    <t>65.44亿</t>
  </si>
  <si>
    <t>-5.85亿</t>
  </si>
  <si>
    <t>-2703.12万</t>
  </si>
  <si>
    <t>-7147.41万</t>
  </si>
  <si>
    <t>8187.10万</t>
  </si>
  <si>
    <t>底盘与发动机系统</t>
  </si>
  <si>
    <t>4370.37万</t>
  </si>
  <si>
    <t>5675.20万</t>
  </si>
  <si>
    <t>2215.61亿</t>
  </si>
  <si>
    <t>1166.83亿</t>
  </si>
  <si>
    <t>563.80亿</t>
  </si>
  <si>
    <t>2139.58亿</t>
  </si>
  <si>
    <t>90.14亿</t>
  </si>
  <si>
    <t>522.24亿</t>
  </si>
  <si>
    <t>439.14亿</t>
  </si>
  <si>
    <t>32.72亿</t>
  </si>
  <si>
    <t>26.12亿</t>
  </si>
  <si>
    <t>42414067亿</t>
  </si>
  <si>
    <t>2344378800亿</t>
  </si>
  <si>
    <t>880.27亿</t>
  </si>
  <si>
    <t>34343719000亿</t>
  </si>
  <si>
    <t>72.74亿</t>
  </si>
  <si>
    <t>202786700000亿</t>
  </si>
  <si>
    <t>70.49亿</t>
  </si>
  <si>
    <t>17.75亿</t>
  </si>
  <si>
    <t>269.08亿</t>
  </si>
  <si>
    <t>676.37亿</t>
  </si>
  <si>
    <t>1473.38亿</t>
  </si>
  <si>
    <t>177.17亿</t>
  </si>
  <si>
    <t>8186.27万</t>
  </si>
  <si>
    <t>-25.12亿</t>
  </si>
  <si>
    <t>534.34亿</t>
  </si>
  <si>
    <t>10派2.93元(含税)</t>
  </si>
  <si>
    <t>19.21亿</t>
  </si>
  <si>
    <t>1022.07万</t>
  </si>
  <si>
    <t>118.40亿</t>
  </si>
  <si>
    <t>93.27亿</t>
  </si>
  <si>
    <t>35.56亿</t>
  </si>
  <si>
    <t>144.87亿</t>
  </si>
  <si>
    <t>33.43亿</t>
  </si>
  <si>
    <t>30.32亿</t>
  </si>
  <si>
    <t>4706.53万</t>
  </si>
  <si>
    <t>43238530亿</t>
  </si>
  <si>
    <t>109.80万</t>
  </si>
  <si>
    <t>272953970亿</t>
  </si>
  <si>
    <t>48.49亿</t>
  </si>
  <si>
    <t>2100209800亿</t>
  </si>
  <si>
    <t>186.25万</t>
  </si>
  <si>
    <t>12441129900亿</t>
  </si>
  <si>
    <t>34.95亿</t>
  </si>
  <si>
    <t>18.48亿</t>
  </si>
  <si>
    <t>30.55亿</t>
  </si>
  <si>
    <t>96.17亿</t>
  </si>
  <si>
    <t>-1.99亿</t>
  </si>
  <si>
    <t>3872.54万</t>
  </si>
  <si>
    <t>-2.19亿</t>
  </si>
  <si>
    <t>35.29亿</t>
  </si>
  <si>
    <t>5947.49万</t>
  </si>
  <si>
    <t>16.89亿</t>
  </si>
  <si>
    <t>21.56亿</t>
  </si>
  <si>
    <t>6.90亿</t>
  </si>
  <si>
    <t>3586.92万</t>
  </si>
  <si>
    <t>2605.31万</t>
  </si>
  <si>
    <t>523222亿</t>
  </si>
  <si>
    <t>37.05万</t>
  </si>
  <si>
    <t>39340827亿</t>
  </si>
  <si>
    <t>927309790亿</t>
  </si>
  <si>
    <t>3041688300亿</t>
  </si>
  <si>
    <t>443.83万</t>
  </si>
  <si>
    <t>6.13亿</t>
  </si>
  <si>
    <t>3064.74万</t>
  </si>
  <si>
    <t>-1687.78万</t>
  </si>
  <si>
    <t>-1.88亿</t>
  </si>
  <si>
    <t>2393.46万</t>
  </si>
  <si>
    <t>10派0.47元(含税)</t>
  </si>
  <si>
    <t>2461.88万</t>
  </si>
  <si>
    <t>628.82万</t>
  </si>
  <si>
    <t>79.03亿</t>
  </si>
  <si>
    <t>207.31亿</t>
  </si>
  <si>
    <t>29.03亿</t>
  </si>
  <si>
    <t>110.93亿</t>
  </si>
  <si>
    <t>27.57亿</t>
  </si>
  <si>
    <t>23.65亿</t>
  </si>
  <si>
    <t>5780.17万</t>
  </si>
  <si>
    <t>407739850亿</t>
  </si>
  <si>
    <t>41.94万</t>
  </si>
  <si>
    <t>548772220亿</t>
  </si>
  <si>
    <t>3642072500亿</t>
  </si>
  <si>
    <t>8539.70万</t>
  </si>
  <si>
    <t>13766251000亿</t>
  </si>
  <si>
    <t>19.70亿</t>
  </si>
  <si>
    <t>34.44亿</t>
  </si>
  <si>
    <t>67.38亿</t>
  </si>
  <si>
    <t>458.72万</t>
  </si>
  <si>
    <t>-5.12亿</t>
  </si>
  <si>
    <t>-3.43亿</t>
  </si>
  <si>
    <t>31.44亿</t>
  </si>
  <si>
    <t>3113.54万</t>
  </si>
  <si>
    <t>2054.84万</t>
  </si>
  <si>
    <t>105.31亿</t>
  </si>
  <si>
    <t>76.37亿</t>
  </si>
  <si>
    <t>96.01亿</t>
  </si>
  <si>
    <t>22.15亿</t>
  </si>
  <si>
    <t>19.48亿</t>
  </si>
  <si>
    <t>9778.78万</t>
  </si>
  <si>
    <t>7479.67万</t>
  </si>
  <si>
    <t>284.10万</t>
  </si>
  <si>
    <t>203461600亿</t>
  </si>
  <si>
    <t>31.39亿</t>
  </si>
  <si>
    <t>1770236000亿</t>
  </si>
  <si>
    <t>8429265400亿</t>
  </si>
  <si>
    <t>21.18亿</t>
  </si>
  <si>
    <t>19.52亿</t>
  </si>
  <si>
    <t>84.97亿</t>
  </si>
  <si>
    <t>1558.21万</t>
  </si>
  <si>
    <t>19.98亿</t>
  </si>
  <si>
    <t>9274.47万</t>
  </si>
  <si>
    <t>轮胎轮毂</t>
  </si>
  <si>
    <t>765.62万</t>
  </si>
  <si>
    <t>76.95亿</t>
  </si>
  <si>
    <t>46.56亿</t>
  </si>
  <si>
    <t>4261.40万</t>
  </si>
  <si>
    <t>4678.76万</t>
  </si>
  <si>
    <t>30427051亿</t>
  </si>
  <si>
    <t>29.17万</t>
  </si>
  <si>
    <t>-30384204亿</t>
  </si>
  <si>
    <t>764657730亿</t>
  </si>
  <si>
    <t>3495357700亿</t>
  </si>
  <si>
    <t>9.12亿</t>
  </si>
  <si>
    <t>155.88万</t>
  </si>
  <si>
    <t>56.16亿</t>
  </si>
  <si>
    <t>13.74亿</t>
  </si>
  <si>
    <t>-7094.74万</t>
  </si>
  <si>
    <t>-3.52亿</t>
  </si>
  <si>
    <t>5763.15万</t>
  </si>
  <si>
    <t>395.61万</t>
  </si>
  <si>
    <t>-5372.17万</t>
  </si>
  <si>
    <t>1016.18万</t>
  </si>
  <si>
    <t>2750.84万</t>
  </si>
  <si>
    <t>96.87万</t>
  </si>
  <si>
    <t>-14706186亿</t>
  </si>
  <si>
    <t>307876180亿</t>
  </si>
  <si>
    <t>7154.31万</t>
  </si>
  <si>
    <t>1051531290亿</t>
  </si>
  <si>
    <t>1639.03万</t>
  </si>
  <si>
    <t>3275.56万</t>
  </si>
  <si>
    <t>-180.11万</t>
  </si>
  <si>
    <t>-2647.07万</t>
  </si>
  <si>
    <t>-2177.31万</t>
  </si>
  <si>
    <t>2251.18万</t>
  </si>
  <si>
    <t>1009.51万</t>
  </si>
  <si>
    <t>58.97亿</t>
  </si>
  <si>
    <t>18.10亿</t>
  </si>
  <si>
    <t>17.74亿</t>
  </si>
  <si>
    <t>14.99亿</t>
  </si>
  <si>
    <t>3863.81万</t>
  </si>
  <si>
    <t>64538906亿</t>
  </si>
  <si>
    <t>94475153亿</t>
  </si>
  <si>
    <t>16.42亿</t>
  </si>
  <si>
    <t>1659665000亿</t>
  </si>
  <si>
    <t>513.76万</t>
  </si>
  <si>
    <t>5073714300亿</t>
  </si>
  <si>
    <t>1360.72万</t>
  </si>
  <si>
    <t>19.95亿</t>
  </si>
  <si>
    <t>38.45万</t>
  </si>
  <si>
    <t>53.24亿</t>
  </si>
  <si>
    <t>4894.34万</t>
  </si>
  <si>
    <t>-7369.64万</t>
  </si>
  <si>
    <t>6665.34万</t>
  </si>
  <si>
    <t>车身附件及饰件</t>
  </si>
  <si>
    <t>6044.74万</t>
  </si>
  <si>
    <t>191.38万</t>
  </si>
  <si>
    <t>34.90亿</t>
  </si>
  <si>
    <t>19.67亿</t>
  </si>
  <si>
    <t>37.62亿</t>
  </si>
  <si>
    <t>8.67亿</t>
  </si>
  <si>
    <t>2236.14万</t>
  </si>
  <si>
    <t>2967.53万</t>
  </si>
  <si>
    <t>7103621亿</t>
  </si>
  <si>
    <t>21.84万</t>
  </si>
  <si>
    <t>22323315亿</t>
  </si>
  <si>
    <t>22.77亿</t>
  </si>
  <si>
    <t>248548480亿</t>
  </si>
  <si>
    <t>3609003500亿</t>
  </si>
  <si>
    <t>1149.57万</t>
  </si>
  <si>
    <t>16.52亿</t>
  </si>
  <si>
    <t>6307.43万</t>
  </si>
  <si>
    <t>-134.09万</t>
  </si>
  <si>
    <t>2130.54万</t>
  </si>
  <si>
    <t>1046.84万</t>
  </si>
  <si>
    <t>7904.35万</t>
  </si>
  <si>
    <t>943.45万</t>
  </si>
  <si>
    <t>107.48亿</t>
  </si>
  <si>
    <t>124.15亿</t>
  </si>
  <si>
    <t>46.92亿</t>
  </si>
  <si>
    <t>172.44亿</t>
  </si>
  <si>
    <t>43.18亿</t>
  </si>
  <si>
    <t>36.40亿</t>
  </si>
  <si>
    <t>22523118亿</t>
  </si>
  <si>
    <t>739.86万</t>
  </si>
  <si>
    <t>302014680亿</t>
  </si>
  <si>
    <t>22.34亿</t>
  </si>
  <si>
    <t>3932431900亿</t>
  </si>
  <si>
    <t>13471169000亿</t>
  </si>
  <si>
    <t>26.87亿</t>
  </si>
  <si>
    <t>74.48亿</t>
  </si>
  <si>
    <t>26.40亿</t>
  </si>
  <si>
    <t>-3.84亿</t>
  </si>
  <si>
    <t>149.13亿</t>
  </si>
  <si>
    <t>38.59亿</t>
  </si>
  <si>
    <t>其他汽车零部件</t>
  </si>
  <si>
    <t>4791.31万</t>
  </si>
  <si>
    <t>1794.39万</t>
  </si>
  <si>
    <t>43.75亿</t>
  </si>
  <si>
    <t>43.66亿</t>
  </si>
  <si>
    <t>16.47亿</t>
  </si>
  <si>
    <t>-1.46亿</t>
  </si>
  <si>
    <t>16.27亿</t>
  </si>
  <si>
    <t>4714.08万</t>
  </si>
  <si>
    <t>167973亿</t>
  </si>
  <si>
    <t>26.20万</t>
  </si>
  <si>
    <t>6340150亿</t>
  </si>
  <si>
    <t>8.03亿</t>
  </si>
  <si>
    <t>1682914900亿</t>
  </si>
  <si>
    <t>5071504800亿</t>
  </si>
  <si>
    <t>9836.87万</t>
  </si>
  <si>
    <t>16.88亿</t>
  </si>
  <si>
    <t>-753.30万</t>
  </si>
  <si>
    <t>-5799.01万</t>
  </si>
  <si>
    <t>2630.48万</t>
  </si>
  <si>
    <t>195.75万</t>
  </si>
  <si>
    <t>汽车电子电气系统</t>
  </si>
  <si>
    <t>9521.72万</t>
  </si>
  <si>
    <t>8.53亿</t>
  </si>
  <si>
    <t>2887.21万</t>
  </si>
  <si>
    <t>98.83亿</t>
  </si>
  <si>
    <t>29.76亿</t>
  </si>
  <si>
    <t>17.41亿</t>
  </si>
  <si>
    <t>53.14亿</t>
  </si>
  <si>
    <t>-12.55亿</t>
  </si>
  <si>
    <t>17.44亿</t>
  </si>
  <si>
    <t>15.35亿</t>
  </si>
  <si>
    <t>3788.53万</t>
  </si>
  <si>
    <t>313041亿</t>
  </si>
  <si>
    <t>5.64万</t>
  </si>
  <si>
    <t>-17832873亿</t>
  </si>
  <si>
    <t>2368622000亿</t>
  </si>
  <si>
    <t>9944.98万</t>
  </si>
  <si>
    <t>6640815700亿</t>
  </si>
  <si>
    <t>44.00亿</t>
  </si>
  <si>
    <t>93.19亿</t>
  </si>
  <si>
    <t>7400.87万</t>
  </si>
  <si>
    <t>-4.83亿</t>
  </si>
  <si>
    <t>3551.95万</t>
  </si>
  <si>
    <t>47.54亿</t>
  </si>
  <si>
    <t>82.03亿</t>
  </si>
  <si>
    <t>102.46亿</t>
  </si>
  <si>
    <t>-13.22亿</t>
  </si>
  <si>
    <t>7219.45万</t>
  </si>
  <si>
    <t>-5046.61万</t>
  </si>
  <si>
    <t>2249.39万</t>
  </si>
  <si>
    <t>113.59亿</t>
  </si>
  <si>
    <t>35.62亿</t>
  </si>
  <si>
    <t>11.80亿</t>
  </si>
  <si>
    <t>53.36亿</t>
  </si>
  <si>
    <t>-20.57亿</t>
  </si>
  <si>
    <t>2579.50万</t>
  </si>
  <si>
    <t>33129887亿</t>
  </si>
  <si>
    <t>9.47万</t>
  </si>
  <si>
    <t>10965971亿</t>
  </si>
  <si>
    <t>907411160亿</t>
  </si>
  <si>
    <t>1198.04万</t>
  </si>
  <si>
    <t>6074704600亿</t>
  </si>
  <si>
    <t>10.09亿</t>
  </si>
  <si>
    <t>15.85亿</t>
  </si>
  <si>
    <t>6711.90万</t>
  </si>
  <si>
    <t>88.01亿</t>
  </si>
  <si>
    <t>6.60亿</t>
  </si>
  <si>
    <t>-8921.95万</t>
  </si>
  <si>
    <t>-2013.97万</t>
  </si>
  <si>
    <t>-1.97亿</t>
  </si>
  <si>
    <t>74.59万</t>
  </si>
  <si>
    <t>4788.96万</t>
  </si>
  <si>
    <t>217.09万</t>
  </si>
  <si>
    <t>1284.80万</t>
  </si>
  <si>
    <t>443877亿</t>
  </si>
  <si>
    <t>7417306亿</t>
  </si>
  <si>
    <t>162428480亿</t>
  </si>
  <si>
    <t>1145.70万</t>
  </si>
  <si>
    <t>619413890亿</t>
  </si>
  <si>
    <t>758.71万</t>
  </si>
  <si>
    <t>1046.87万</t>
  </si>
  <si>
    <t>5960.44万</t>
  </si>
  <si>
    <t>7701.69万</t>
  </si>
  <si>
    <t>29.50万</t>
  </si>
  <si>
    <t>90.88万</t>
  </si>
  <si>
    <t>377.84万</t>
  </si>
  <si>
    <t>-4994.04万</t>
  </si>
  <si>
    <t>933.20万</t>
  </si>
  <si>
    <t>482.00万</t>
  </si>
  <si>
    <t>3692.76万</t>
  </si>
  <si>
    <t>226.42万</t>
  </si>
  <si>
    <t>534.93万</t>
  </si>
  <si>
    <t>3318.36万</t>
  </si>
  <si>
    <t>42.51万</t>
  </si>
  <si>
    <t>14875043亿</t>
  </si>
  <si>
    <t>449000500亿</t>
  </si>
  <si>
    <t>1768.56万</t>
  </si>
  <si>
    <t>2062688800亿</t>
  </si>
  <si>
    <t>6154.40万</t>
  </si>
  <si>
    <t>4744.48万</t>
  </si>
  <si>
    <t>1887.23万</t>
  </si>
  <si>
    <t>2031.21万</t>
  </si>
  <si>
    <t>7075.74万</t>
  </si>
  <si>
    <t>84.73万</t>
  </si>
  <si>
    <t>12.36亿</t>
  </si>
  <si>
    <t>193.48万</t>
  </si>
  <si>
    <t>1155.04万</t>
  </si>
  <si>
    <t>1726994亿</t>
  </si>
  <si>
    <t>43.79万</t>
  </si>
  <si>
    <t>26951046亿</t>
  </si>
  <si>
    <t>5199.17万</t>
  </si>
  <si>
    <t>372382910亿</t>
  </si>
  <si>
    <t>4285.40万</t>
  </si>
  <si>
    <t>959770410亿</t>
  </si>
  <si>
    <t>5763.33万</t>
  </si>
  <si>
    <t>9824.13万</t>
  </si>
  <si>
    <t>2983.85万</t>
  </si>
  <si>
    <t>1490.73万</t>
  </si>
  <si>
    <t>9490.08万</t>
  </si>
  <si>
    <t>1910.63万</t>
  </si>
  <si>
    <t>10转4股派3.33元(含税)</t>
  </si>
  <si>
    <t>428.64万</t>
  </si>
  <si>
    <t>3022.46万</t>
  </si>
  <si>
    <t>141.22万</t>
  </si>
  <si>
    <t>39.13亿</t>
  </si>
  <si>
    <t>6.52亿</t>
  </si>
  <si>
    <t>260.48万</t>
  </si>
  <si>
    <t>2939.89万</t>
  </si>
  <si>
    <t>2846198亿</t>
  </si>
  <si>
    <t>105.79万</t>
  </si>
  <si>
    <t>110294772亿</t>
  </si>
  <si>
    <t>1112307140亿</t>
  </si>
  <si>
    <t>4366.17万</t>
  </si>
  <si>
    <t>2921881300亿</t>
  </si>
  <si>
    <t>7.72亿</t>
  </si>
  <si>
    <t>-3945.00万</t>
  </si>
  <si>
    <t>10转3股派8.2元(含税)</t>
  </si>
  <si>
    <t>942.84万</t>
  </si>
  <si>
    <t>4071.28万</t>
  </si>
  <si>
    <t>237.77万</t>
  </si>
  <si>
    <t>452.42万</t>
  </si>
  <si>
    <t>1847.02万</t>
  </si>
  <si>
    <t>872122亿</t>
  </si>
  <si>
    <t>18204435亿</t>
  </si>
  <si>
    <t>271060760亿</t>
  </si>
  <si>
    <t>2848.99万</t>
  </si>
  <si>
    <t>1068884950亿</t>
  </si>
  <si>
    <t>737.15万</t>
  </si>
  <si>
    <t>4791.52万</t>
  </si>
  <si>
    <t>790.46万</t>
  </si>
  <si>
    <t>1872.76万</t>
  </si>
  <si>
    <t>-35.20万</t>
  </si>
  <si>
    <t>7569.89万</t>
  </si>
  <si>
    <t>1801.73万</t>
  </si>
  <si>
    <t>1824.42万</t>
  </si>
  <si>
    <t>7460.00万</t>
  </si>
  <si>
    <t>15.65亿</t>
  </si>
  <si>
    <t>997.96万</t>
  </si>
  <si>
    <t>1066.67万</t>
  </si>
  <si>
    <t>448636亿</t>
  </si>
  <si>
    <t>36460977亿</t>
  </si>
  <si>
    <t>476711580亿</t>
  </si>
  <si>
    <t>4691.10万</t>
  </si>
  <si>
    <t>1869669400亿</t>
  </si>
  <si>
    <t>3250.41万</t>
  </si>
  <si>
    <t>8200.00万</t>
  </si>
  <si>
    <t>7.35亿</t>
  </si>
  <si>
    <t>2500.00万</t>
  </si>
  <si>
    <t>-6163.37万</t>
  </si>
  <si>
    <t>-3373.44万</t>
  </si>
  <si>
    <t>-24.01万</t>
  </si>
  <si>
    <t>2713.63万</t>
  </si>
  <si>
    <t>10转4.2股派3元(含税)</t>
  </si>
  <si>
    <t>338.89万</t>
  </si>
  <si>
    <t>2755.03万</t>
  </si>
  <si>
    <t>344.16万</t>
  </si>
  <si>
    <t>133.93亿</t>
  </si>
  <si>
    <t>141.53亿</t>
  </si>
  <si>
    <t>56.84亿</t>
  </si>
  <si>
    <t>232.36亿</t>
  </si>
  <si>
    <t>54.19亿</t>
  </si>
  <si>
    <t>48.27亿</t>
  </si>
  <si>
    <t>7087.70万</t>
  </si>
  <si>
    <t>47838033亿</t>
  </si>
  <si>
    <t>214.35万</t>
  </si>
  <si>
    <t>193260960亿</t>
  </si>
  <si>
    <t>32.52亿</t>
  </si>
  <si>
    <t>5842663500亿</t>
  </si>
  <si>
    <t>2587.70万</t>
  </si>
  <si>
    <t>15352852000亿</t>
  </si>
  <si>
    <t>23.59亿</t>
  </si>
  <si>
    <t>42.45万</t>
  </si>
  <si>
    <t>107.28亿</t>
  </si>
  <si>
    <t>2704.97万</t>
  </si>
  <si>
    <t>5114.18万</t>
  </si>
  <si>
    <t>1760.78万</t>
  </si>
  <si>
    <t>-177.49万</t>
  </si>
  <si>
    <t>197.16亿</t>
  </si>
  <si>
    <t>46.37亿</t>
  </si>
  <si>
    <t>10派6.32元(含税)</t>
  </si>
  <si>
    <t>1646.92万</t>
  </si>
  <si>
    <t>7211.97万</t>
  </si>
  <si>
    <t>82.66亿</t>
  </si>
  <si>
    <t>95.31亿</t>
  </si>
  <si>
    <t>162.07亿</t>
  </si>
  <si>
    <t>32.07亿</t>
  </si>
  <si>
    <t>28.38亿</t>
  </si>
  <si>
    <t>4599.42万</t>
  </si>
  <si>
    <t>14708亿</t>
  </si>
  <si>
    <t>82.32万</t>
  </si>
  <si>
    <t>212082490亿</t>
  </si>
  <si>
    <t>19.19亿</t>
  </si>
  <si>
    <t>2950055500亿</t>
  </si>
  <si>
    <t>9552023000亿</t>
  </si>
  <si>
    <t>33.97亿</t>
  </si>
  <si>
    <t>2756.21万</t>
  </si>
  <si>
    <t>69.56亿</t>
  </si>
  <si>
    <t>1288.87万</t>
  </si>
  <si>
    <t>-3988.43万</t>
  </si>
  <si>
    <t>7945.48万</t>
  </si>
  <si>
    <t>36.14亿</t>
  </si>
  <si>
    <t>44.45亿</t>
  </si>
  <si>
    <t>377.20万</t>
  </si>
  <si>
    <t>49.93亿</t>
  </si>
  <si>
    <t>79.19亿</t>
  </si>
  <si>
    <t>76.15亿</t>
  </si>
  <si>
    <t>4726.82万</t>
  </si>
  <si>
    <t>7680.24万</t>
  </si>
  <si>
    <t>808414亿</t>
  </si>
  <si>
    <t>95.40万</t>
  </si>
  <si>
    <t>55831931亿</t>
  </si>
  <si>
    <t>2247939700亿</t>
  </si>
  <si>
    <t>6678408100亿</t>
  </si>
  <si>
    <t>17.64亿</t>
  </si>
  <si>
    <t>38.55亿</t>
  </si>
  <si>
    <t>-5.15亿</t>
  </si>
  <si>
    <t>-1.52亿</t>
  </si>
  <si>
    <t>523.54万</t>
  </si>
  <si>
    <t>16.09亿</t>
  </si>
  <si>
    <t>7719.94万</t>
  </si>
  <si>
    <t>2052.87万</t>
  </si>
  <si>
    <t>949.77万</t>
  </si>
  <si>
    <t>100.66亿</t>
  </si>
  <si>
    <t>64.33亿</t>
  </si>
  <si>
    <t>29.69亿</t>
  </si>
  <si>
    <t>110.18亿</t>
  </si>
  <si>
    <t>6.12亿</t>
  </si>
  <si>
    <t>27.38亿</t>
  </si>
  <si>
    <t>23.29亿</t>
  </si>
  <si>
    <t>7090.84万</t>
  </si>
  <si>
    <t>2475704亿</t>
  </si>
  <si>
    <t>25.52万</t>
  </si>
  <si>
    <t>179052420亿</t>
  </si>
  <si>
    <t>17.51亿</t>
  </si>
  <si>
    <t>4329640100亿</t>
  </si>
  <si>
    <t>10416750300亿</t>
  </si>
  <si>
    <t>33.66亿</t>
  </si>
  <si>
    <t>91.40亿</t>
  </si>
  <si>
    <t>-6.38亿</t>
  </si>
  <si>
    <t>25.55亿</t>
  </si>
  <si>
    <t>4531.13万</t>
  </si>
  <si>
    <t>133.82万</t>
  </si>
  <si>
    <t>1352.83万</t>
  </si>
  <si>
    <t>145.68万</t>
  </si>
  <si>
    <t>1050.82万</t>
  </si>
  <si>
    <t>-836315亿</t>
  </si>
  <si>
    <t>50.03万</t>
  </si>
  <si>
    <t>-6301351亿</t>
  </si>
  <si>
    <t>507679300亿</t>
  </si>
  <si>
    <t>796.51万</t>
  </si>
  <si>
    <t>1853355800亿</t>
  </si>
  <si>
    <t>7444.07万</t>
  </si>
  <si>
    <t>4.81万</t>
  </si>
  <si>
    <t>6380.73万</t>
  </si>
  <si>
    <t>-1877.03万</t>
  </si>
  <si>
    <t>-1651.79万</t>
  </si>
  <si>
    <t>5842.06万</t>
  </si>
  <si>
    <t>253.05万</t>
  </si>
  <si>
    <t>10派0.12元(含税)</t>
  </si>
  <si>
    <t>650.84万</t>
  </si>
  <si>
    <t>5116.52万</t>
  </si>
  <si>
    <t>2630.77万</t>
  </si>
  <si>
    <t>71.17亿</t>
  </si>
  <si>
    <t>57.03亿</t>
  </si>
  <si>
    <t>16.44亿</t>
  </si>
  <si>
    <t>68.52亿</t>
  </si>
  <si>
    <t>7324.75万</t>
  </si>
  <si>
    <t>16.18亿</t>
  </si>
  <si>
    <t>14.32亿</t>
  </si>
  <si>
    <t>4944.96万</t>
  </si>
  <si>
    <t>7413.91万</t>
  </si>
  <si>
    <t>14949807亿</t>
  </si>
  <si>
    <t>420.33万</t>
  </si>
  <si>
    <t>32149885亿</t>
  </si>
  <si>
    <t>2166301800亿</t>
  </si>
  <si>
    <t>7537854500亿</t>
  </si>
  <si>
    <t>16.35亿</t>
  </si>
  <si>
    <t>18.52亿</t>
  </si>
  <si>
    <t>63.99亿</t>
  </si>
  <si>
    <t>9493.66万</t>
  </si>
  <si>
    <t>8548.62万</t>
  </si>
  <si>
    <t>-2.45亿</t>
  </si>
  <si>
    <t>8904.34万</t>
  </si>
  <si>
    <t>3508.71万</t>
  </si>
  <si>
    <t>10派0.085元(含税)</t>
  </si>
  <si>
    <t>723.33万</t>
  </si>
  <si>
    <t>61.24亿</t>
  </si>
  <si>
    <t>40.06亿</t>
  </si>
  <si>
    <t>1217.33万</t>
  </si>
  <si>
    <t>5151.45万</t>
  </si>
  <si>
    <t>127271亿</t>
  </si>
  <si>
    <t>5.66万</t>
  </si>
  <si>
    <t>93952663亿</t>
  </si>
  <si>
    <t>1309391360亿</t>
  </si>
  <si>
    <t>5013915900亿</t>
  </si>
  <si>
    <t>4164.67万</t>
  </si>
  <si>
    <t>-3489.33万</t>
  </si>
  <si>
    <t>5077.17万</t>
  </si>
  <si>
    <t>873.37万</t>
  </si>
  <si>
    <t>28.62亿</t>
  </si>
  <si>
    <t>38.74亿</t>
  </si>
  <si>
    <t>9695.35万</t>
  </si>
  <si>
    <t>9.93亿</t>
  </si>
  <si>
    <t>1976.11万</t>
  </si>
  <si>
    <t>5474.06万</t>
  </si>
  <si>
    <t>1044559亿</t>
  </si>
  <si>
    <t>19.79万</t>
  </si>
  <si>
    <t>52028285亿</t>
  </si>
  <si>
    <t>22.79亿</t>
  </si>
  <si>
    <t>719039380亿</t>
  </si>
  <si>
    <t>766.23万</t>
  </si>
  <si>
    <t>4334174300亿</t>
  </si>
  <si>
    <t>10.00亿</t>
  </si>
  <si>
    <t>1551.77万</t>
  </si>
  <si>
    <t>33.41亿</t>
  </si>
  <si>
    <t>-5164.90万</t>
  </si>
  <si>
    <t>525.66万</t>
  </si>
  <si>
    <t>3820.02万</t>
  </si>
  <si>
    <t>4491.22万</t>
  </si>
  <si>
    <t>758.59万</t>
  </si>
  <si>
    <t>38.57亿</t>
  </si>
  <si>
    <t>14.11亿</t>
  </si>
  <si>
    <t>58.18亿</t>
  </si>
  <si>
    <t>13.28亿</t>
  </si>
  <si>
    <t>71.24万</t>
  </si>
  <si>
    <t>3393.08万</t>
  </si>
  <si>
    <t>465375亿</t>
  </si>
  <si>
    <t>33776051亿</t>
  </si>
  <si>
    <t>761245020亿</t>
  </si>
  <si>
    <t>6359.17万</t>
  </si>
  <si>
    <t>3549871100亿</t>
  </si>
  <si>
    <t>28.40万</t>
  </si>
  <si>
    <t>17.93亿</t>
  </si>
  <si>
    <t>5412.46万</t>
  </si>
  <si>
    <t>3721.70万</t>
  </si>
  <si>
    <t>3458.11万</t>
  </si>
  <si>
    <t>12.12亿</t>
  </si>
  <si>
    <t>-3.32亿</t>
  </si>
  <si>
    <t>462.27万</t>
  </si>
  <si>
    <t>1607.95万</t>
  </si>
  <si>
    <t>-3633844亿</t>
  </si>
  <si>
    <t>207.62万</t>
  </si>
  <si>
    <t>-759873亿</t>
  </si>
  <si>
    <t>7435.35万</t>
  </si>
  <si>
    <t>90245121亿</t>
  </si>
  <si>
    <t>6350.55万</t>
  </si>
  <si>
    <t>734772160亿</t>
  </si>
  <si>
    <t>775.38万</t>
  </si>
  <si>
    <t>3368.38万</t>
  </si>
  <si>
    <t>2038.11万</t>
  </si>
  <si>
    <t>1644.37万</t>
  </si>
  <si>
    <t>-2311.50万</t>
  </si>
  <si>
    <t>253.72万</t>
  </si>
  <si>
    <t>434.39万</t>
  </si>
  <si>
    <t>12.33亿</t>
  </si>
  <si>
    <t>21.88亿</t>
  </si>
  <si>
    <t>22.26亿</t>
  </si>
  <si>
    <t>3687.27万</t>
  </si>
  <si>
    <t>671.26万</t>
  </si>
  <si>
    <t>1815.15万</t>
  </si>
  <si>
    <t>853079亿</t>
  </si>
  <si>
    <t>1.27万</t>
  </si>
  <si>
    <t>12829960亿</t>
  </si>
  <si>
    <t>478122120亿</t>
  </si>
  <si>
    <t>887.30万</t>
  </si>
  <si>
    <t>2271100900亿</t>
  </si>
  <si>
    <t>7703.95万</t>
  </si>
  <si>
    <t>7205.83万</t>
  </si>
  <si>
    <t>496.00万</t>
  </si>
  <si>
    <t>8559.71万</t>
  </si>
  <si>
    <t>-3398.75万</t>
  </si>
  <si>
    <t>-80.21万</t>
  </si>
  <si>
    <t>1387.65万</t>
  </si>
  <si>
    <t>2525.24万</t>
  </si>
  <si>
    <t>1402.65万</t>
  </si>
  <si>
    <t>40.39亿</t>
  </si>
  <si>
    <t>9409.75万</t>
  </si>
  <si>
    <t>868.94万</t>
  </si>
  <si>
    <t>2407.73万</t>
  </si>
  <si>
    <t>2694806亿</t>
  </si>
  <si>
    <t>15644056亿</t>
  </si>
  <si>
    <t>443308580亿</t>
  </si>
  <si>
    <t>2600639900亿</t>
  </si>
  <si>
    <t>4749.86万</t>
  </si>
  <si>
    <t>415.73万</t>
  </si>
  <si>
    <t>-4994.22万</t>
  </si>
  <si>
    <t>-222.46万</t>
  </si>
  <si>
    <t>1712.17万</t>
  </si>
  <si>
    <t>4784.10万</t>
  </si>
  <si>
    <t>094097500</t>
  </si>
  <si>
    <t>0282292500</t>
  </si>
  <si>
    <t>0564585000</t>
  </si>
  <si>
    <t>0940975000</t>
  </si>
  <si>
    <t>01881950000</t>
  </si>
  <si>
    <t>627.09万</t>
  </si>
  <si>
    <t>48.13亿</t>
  </si>
  <si>
    <t>60.29亿</t>
  </si>
  <si>
    <t>59.13亿</t>
  </si>
  <si>
    <t>2826.23万</t>
  </si>
  <si>
    <t>3638.52万</t>
  </si>
  <si>
    <t>-515823亿</t>
  </si>
  <si>
    <t>88518651亿</t>
  </si>
  <si>
    <t>1314382100亿</t>
  </si>
  <si>
    <t>4827830600亿</t>
  </si>
  <si>
    <t>13.88亿</t>
  </si>
  <si>
    <t>42.02亿</t>
  </si>
  <si>
    <t>-2.44亿</t>
  </si>
  <si>
    <t>10派3.00元(含税)</t>
  </si>
  <si>
    <t>3527.49万</t>
  </si>
  <si>
    <t>554.77万</t>
  </si>
  <si>
    <t>19.58亿</t>
  </si>
  <si>
    <t>38.42亿</t>
  </si>
  <si>
    <t>28.64亿</t>
  </si>
  <si>
    <t>2597.41万</t>
  </si>
  <si>
    <t>5096.58万</t>
  </si>
  <si>
    <t>9621745亿</t>
  </si>
  <si>
    <t>12.87万</t>
  </si>
  <si>
    <t>79966534亿</t>
  </si>
  <si>
    <t>769646130亿</t>
  </si>
  <si>
    <t>5451.69万</t>
  </si>
  <si>
    <t>2540447100亿</t>
  </si>
  <si>
    <t>4211.94万</t>
  </si>
  <si>
    <t>7327.49万</t>
  </si>
  <si>
    <t>4.80亿</t>
  </si>
  <si>
    <t>15.77亿</t>
  </si>
  <si>
    <t>5074.04万</t>
  </si>
  <si>
    <t>7517.14万</t>
  </si>
  <si>
    <t>3195.11万</t>
  </si>
  <si>
    <t>8211.60万</t>
  </si>
  <si>
    <t>2953.62万</t>
  </si>
  <si>
    <t>388.02万</t>
  </si>
  <si>
    <t>30.27亿</t>
  </si>
  <si>
    <t>10.73亿</t>
  </si>
  <si>
    <t>47.58亿</t>
  </si>
  <si>
    <t>9983.58万</t>
  </si>
  <si>
    <t>5805.42万</t>
  </si>
  <si>
    <t>4854.76万</t>
  </si>
  <si>
    <t>4687515亿</t>
  </si>
  <si>
    <t>25.18万</t>
  </si>
  <si>
    <t>54869904亿</t>
  </si>
  <si>
    <t>990781910亿</t>
  </si>
  <si>
    <t>5186942000亿</t>
  </si>
  <si>
    <t>9146.82万</t>
  </si>
  <si>
    <t>2892.21万</t>
  </si>
  <si>
    <t>12.46亿</t>
  </si>
  <si>
    <t>-2.01亿</t>
  </si>
  <si>
    <t>-5370.56万</t>
  </si>
  <si>
    <t>-26.45万</t>
  </si>
  <si>
    <t>9489.29万</t>
  </si>
  <si>
    <t>4719.65万</t>
  </si>
  <si>
    <t>2151.66万</t>
  </si>
  <si>
    <t>1012.70万</t>
  </si>
  <si>
    <t>48.33亿</t>
  </si>
  <si>
    <t>84.63亿</t>
  </si>
  <si>
    <t>20.75亿</t>
  </si>
  <si>
    <t>80.74亿</t>
  </si>
  <si>
    <t>18.23亿</t>
  </si>
  <si>
    <t>16.05亿</t>
  </si>
  <si>
    <t>1942.35万</t>
  </si>
  <si>
    <t>7599.37万</t>
  </si>
  <si>
    <t>-3209465亿</t>
  </si>
  <si>
    <t>62.48万</t>
  </si>
  <si>
    <t>209669690亿</t>
  </si>
  <si>
    <t>15.03亿</t>
  </si>
  <si>
    <t>2095596700亿</t>
  </si>
  <si>
    <t>206.55万</t>
  </si>
  <si>
    <t>6021569700亿</t>
  </si>
  <si>
    <t>44.39亿</t>
  </si>
  <si>
    <t>17.92亿</t>
  </si>
  <si>
    <t>5141.04万</t>
  </si>
  <si>
    <t>747.59万</t>
  </si>
  <si>
    <t>37.71亿</t>
  </si>
  <si>
    <t>41.81亿</t>
  </si>
  <si>
    <t>3204.78万</t>
  </si>
  <si>
    <t>753.43万</t>
  </si>
  <si>
    <t>3650.40万</t>
  </si>
  <si>
    <t>-2266171亿</t>
  </si>
  <si>
    <t>10.30万</t>
  </si>
  <si>
    <t>6079417亿</t>
  </si>
  <si>
    <t>594658950亿</t>
  </si>
  <si>
    <t>287.67万</t>
  </si>
  <si>
    <t>3040308300亿</t>
  </si>
  <si>
    <t>13.84亿</t>
  </si>
  <si>
    <t>335.42万</t>
  </si>
  <si>
    <t>21.04亿</t>
  </si>
  <si>
    <t>-1.41亿</t>
  </si>
  <si>
    <t>9352.30万</t>
  </si>
  <si>
    <t>-1583.15万</t>
  </si>
  <si>
    <t>4130.36万</t>
  </si>
  <si>
    <t>6488.55万</t>
  </si>
  <si>
    <t>39.99亿</t>
  </si>
  <si>
    <t>21.41亿</t>
  </si>
  <si>
    <t>27.96亿</t>
  </si>
  <si>
    <t>8361.94万</t>
  </si>
  <si>
    <t>1329.92万</t>
  </si>
  <si>
    <t>3432.84万</t>
  </si>
  <si>
    <t>24977516亿</t>
  </si>
  <si>
    <t>38.37万</t>
  </si>
  <si>
    <t>24352701亿</t>
  </si>
  <si>
    <t>639867760亿</t>
  </si>
  <si>
    <t>3761.92万</t>
  </si>
  <si>
    <t>3691674400亿</t>
  </si>
  <si>
    <t>8810.06万</t>
  </si>
  <si>
    <t>30.91亿</t>
  </si>
  <si>
    <t>6183.23万</t>
  </si>
  <si>
    <t>-1437.83万</t>
  </si>
  <si>
    <t>8782.32万</t>
  </si>
  <si>
    <t>302.23万</t>
  </si>
  <si>
    <t>619.52万</t>
  </si>
  <si>
    <t>36.73亿</t>
  </si>
  <si>
    <t>18.03亿</t>
  </si>
  <si>
    <t>538.80万</t>
  </si>
  <si>
    <t>3023.43万</t>
  </si>
  <si>
    <t>-1137041亿</t>
  </si>
  <si>
    <t>6.51万</t>
  </si>
  <si>
    <t>27199846亿</t>
  </si>
  <si>
    <t>871650020亿</t>
  </si>
  <si>
    <t>4201.16万</t>
  </si>
  <si>
    <t>2299105500亿</t>
  </si>
  <si>
    <t>1525.97万</t>
  </si>
  <si>
    <t>3595.00万</t>
  </si>
  <si>
    <t>154.82万</t>
  </si>
  <si>
    <t>1952.50万</t>
  </si>
  <si>
    <t>-6592.39万</t>
  </si>
  <si>
    <t>-15.86万</t>
  </si>
  <si>
    <t>3313.84万</t>
  </si>
  <si>
    <t>3675.87万</t>
  </si>
  <si>
    <t>678.77万</t>
  </si>
  <si>
    <t>33.22亿</t>
  </si>
  <si>
    <t>40.95亿</t>
  </si>
  <si>
    <t>11.25亿</t>
  </si>
  <si>
    <t>2170.41万</t>
  </si>
  <si>
    <t>5597.15万</t>
  </si>
  <si>
    <t>-1959950亿</t>
  </si>
  <si>
    <t>1.00万</t>
  </si>
  <si>
    <t>109733231亿</t>
  </si>
  <si>
    <t>796123420亿</t>
  </si>
  <si>
    <t>2605.54万</t>
  </si>
  <si>
    <t>3110712200亿</t>
  </si>
  <si>
    <t>4151.15万</t>
  </si>
  <si>
    <t>17.31亿</t>
  </si>
  <si>
    <t>-999.43万</t>
  </si>
  <si>
    <t>1830.90万</t>
  </si>
  <si>
    <t>6781.58万</t>
  </si>
  <si>
    <t>4383.08万</t>
  </si>
  <si>
    <t>1185.60万</t>
  </si>
  <si>
    <t>50.09亿</t>
  </si>
  <si>
    <t>20.30亿</t>
  </si>
  <si>
    <t>84.95亿</t>
  </si>
  <si>
    <t>5094.22万</t>
  </si>
  <si>
    <t>19.88亿</t>
  </si>
  <si>
    <t>2483.79万</t>
  </si>
  <si>
    <t>11704209亿</t>
  </si>
  <si>
    <t>67.81万</t>
  </si>
  <si>
    <t>30455795亿</t>
  </si>
  <si>
    <t>981601570亿</t>
  </si>
  <si>
    <t>6025939400亿</t>
  </si>
  <si>
    <t>10.64亿</t>
  </si>
  <si>
    <t>12.38万</t>
  </si>
  <si>
    <t>-6062.51万</t>
  </si>
  <si>
    <t>21.51亿</t>
  </si>
  <si>
    <t>3218.74万</t>
  </si>
  <si>
    <t>5790.62万</t>
  </si>
  <si>
    <t>1350.94万</t>
  </si>
  <si>
    <t>46.52亿</t>
  </si>
  <si>
    <t>-2.48亿</t>
  </si>
  <si>
    <t>836.24万</t>
  </si>
  <si>
    <t>4695.89万</t>
  </si>
  <si>
    <t>-3105413亿</t>
  </si>
  <si>
    <t>-59963032亿</t>
  </si>
  <si>
    <t>665636270亿</t>
  </si>
  <si>
    <t>3333.81万</t>
  </si>
  <si>
    <t>1759242000亿</t>
  </si>
  <si>
    <t>10.98万</t>
  </si>
  <si>
    <t>6109.93万</t>
  </si>
  <si>
    <t>-3269.88万</t>
  </si>
  <si>
    <t>-2740.40万</t>
  </si>
  <si>
    <t>-709.31万</t>
  </si>
  <si>
    <t>7770.51万</t>
  </si>
  <si>
    <t>461.50万</t>
  </si>
  <si>
    <t>11.89亿</t>
  </si>
  <si>
    <t>2728.13万</t>
  </si>
  <si>
    <t>454.65万</t>
  </si>
  <si>
    <t>1134.39万</t>
  </si>
  <si>
    <t>-6848亿</t>
  </si>
  <si>
    <t>24616341亿</t>
  </si>
  <si>
    <t>181755890亿</t>
  </si>
  <si>
    <t>2441.58万</t>
  </si>
  <si>
    <t>778229810亿</t>
  </si>
  <si>
    <t>2649.73万</t>
  </si>
  <si>
    <t>1411.60万</t>
  </si>
  <si>
    <t>1778.75万</t>
  </si>
  <si>
    <t>-1368.22万</t>
  </si>
  <si>
    <t>750.83万</t>
  </si>
  <si>
    <t>-2709.84万</t>
  </si>
  <si>
    <t>2391.38万</t>
  </si>
  <si>
    <t>859.73万</t>
  </si>
  <si>
    <t>29.70亿</t>
  </si>
  <si>
    <t>23.75亿</t>
  </si>
  <si>
    <t>39.83亿</t>
  </si>
  <si>
    <t>3346.16万</t>
  </si>
  <si>
    <t>3981.00万</t>
  </si>
  <si>
    <t>-5883221亿</t>
  </si>
  <si>
    <t>45.61万</t>
  </si>
  <si>
    <t>12116863亿</t>
  </si>
  <si>
    <t>1129986450亿</t>
  </si>
  <si>
    <t>4386.92万</t>
  </si>
  <si>
    <t>3237602300亿</t>
  </si>
  <si>
    <t>25.26亿</t>
  </si>
  <si>
    <t>7970.00万</t>
  </si>
  <si>
    <t>-1083.96万</t>
  </si>
  <si>
    <t>4853.28万</t>
  </si>
  <si>
    <t>106.32万</t>
  </si>
  <si>
    <t>5609.98万</t>
  </si>
  <si>
    <t>186.99万</t>
  </si>
  <si>
    <t>9027.62万</t>
  </si>
  <si>
    <t>223.04万</t>
  </si>
  <si>
    <t>1739.35万</t>
  </si>
  <si>
    <t>17278476亿</t>
  </si>
  <si>
    <t>8.77万</t>
  </si>
  <si>
    <t>19129541亿</t>
  </si>
  <si>
    <t>44338019亿</t>
  </si>
  <si>
    <t>22.80万</t>
  </si>
  <si>
    <t>476482520亿</t>
  </si>
  <si>
    <t>251.19万</t>
  </si>
  <si>
    <t>3923.98万</t>
  </si>
  <si>
    <t>-3555.04万</t>
  </si>
  <si>
    <t>-52.47万</t>
  </si>
  <si>
    <t>9560.61万</t>
  </si>
  <si>
    <t>960.19万</t>
  </si>
  <si>
    <t>1047.89万</t>
  </si>
  <si>
    <t>7804.39万</t>
  </si>
  <si>
    <t>0105000000</t>
  </si>
  <si>
    <t>0315000000</t>
  </si>
  <si>
    <t>0630000000</t>
  </si>
  <si>
    <t>01050000000</t>
  </si>
  <si>
    <t>02100000000</t>
  </si>
  <si>
    <t>945.46万</t>
  </si>
  <si>
    <t>42.14亿</t>
  </si>
  <si>
    <t>36.01亿</t>
  </si>
  <si>
    <t>7.05亿</t>
  </si>
  <si>
    <t>3271.22万</t>
  </si>
  <si>
    <t>4022.15万</t>
  </si>
  <si>
    <t>19273396亿</t>
  </si>
  <si>
    <t>23.16万</t>
  </si>
  <si>
    <t>107932852亿</t>
  </si>
  <si>
    <t>604002570亿</t>
  </si>
  <si>
    <t>2124321100亿</t>
  </si>
  <si>
    <t>3895.53万</t>
  </si>
  <si>
    <t>-7758.23万</t>
  </si>
  <si>
    <t>-7760.59万</t>
  </si>
  <si>
    <t>6033.90万</t>
  </si>
  <si>
    <t>5462.24万</t>
  </si>
  <si>
    <t>0503000000</t>
  </si>
  <si>
    <t>01509000000</t>
  </si>
  <si>
    <t>03018000000</t>
  </si>
  <si>
    <t>05030000000</t>
  </si>
  <si>
    <t>010060000000</t>
  </si>
  <si>
    <t>248.93万</t>
  </si>
  <si>
    <t>56.04亿</t>
  </si>
  <si>
    <t>34.31亿</t>
  </si>
  <si>
    <t>628.65万</t>
  </si>
  <si>
    <t>4062.52万</t>
  </si>
  <si>
    <t>10.83万</t>
  </si>
  <si>
    <t>46055755亿</t>
  </si>
  <si>
    <t>18.46亿</t>
  </si>
  <si>
    <t>1051888880亿</t>
  </si>
  <si>
    <t>5181221500亿</t>
  </si>
  <si>
    <t>9.26亿</t>
  </si>
  <si>
    <t>42.96亿</t>
  </si>
  <si>
    <t>16.61亿</t>
  </si>
  <si>
    <t>-2.37亿</t>
  </si>
  <si>
    <t>3965.83万</t>
  </si>
  <si>
    <t>1592.90万</t>
  </si>
  <si>
    <t>680.44万</t>
  </si>
  <si>
    <t>18.19亿</t>
  </si>
  <si>
    <t>7720.43万</t>
  </si>
  <si>
    <t>1923.64万</t>
  </si>
  <si>
    <t>2904.50万</t>
  </si>
  <si>
    <t>277067亿</t>
  </si>
  <si>
    <t>32.66万</t>
  </si>
  <si>
    <t>20383045亿</t>
  </si>
  <si>
    <t>695061920亿</t>
  </si>
  <si>
    <t>1916646000亿</t>
  </si>
  <si>
    <t>3967.63万</t>
  </si>
  <si>
    <t>774.66万</t>
  </si>
  <si>
    <t>2492.56万</t>
  </si>
  <si>
    <t>418.27万</t>
  </si>
  <si>
    <t>567.88万</t>
  </si>
  <si>
    <t>907.02万</t>
  </si>
  <si>
    <t>3528.60万</t>
  </si>
  <si>
    <t>1079.62万</t>
  </si>
  <si>
    <t>15.84亿</t>
  </si>
  <si>
    <t>16.83亿</t>
  </si>
  <si>
    <t>-1.17亿</t>
  </si>
  <si>
    <t>5.50亿</t>
  </si>
  <si>
    <t>1241.83万</t>
  </si>
  <si>
    <t>2818.45万</t>
  </si>
  <si>
    <t>1732266亿</t>
  </si>
  <si>
    <t>24.47万</t>
  </si>
  <si>
    <t>21894497亿</t>
  </si>
  <si>
    <t>663255570亿</t>
  </si>
  <si>
    <t>5698.36万</t>
  </si>
  <si>
    <t>1855204000亿</t>
  </si>
  <si>
    <t>14.30亿</t>
  </si>
  <si>
    <t>2090.00万</t>
  </si>
  <si>
    <t>-9005.23万</t>
  </si>
  <si>
    <t>4233.66万</t>
  </si>
  <si>
    <t>-136.62万</t>
  </si>
  <si>
    <t>-873.23万</t>
  </si>
  <si>
    <t>5638.79万</t>
  </si>
  <si>
    <t>114.00万</t>
  </si>
  <si>
    <t>2378.08万</t>
  </si>
  <si>
    <t>9031.37万</t>
  </si>
  <si>
    <t>644.94万</t>
  </si>
  <si>
    <t>1303.27万</t>
  </si>
  <si>
    <t>4607830亿</t>
  </si>
  <si>
    <t>6436.03万</t>
  </si>
  <si>
    <t>131077742亿</t>
  </si>
  <si>
    <t>2129.64万</t>
  </si>
  <si>
    <t>474399690亿</t>
  </si>
  <si>
    <t>3391.86万</t>
  </si>
  <si>
    <t>8744.48万</t>
  </si>
  <si>
    <t>4784.85万</t>
  </si>
  <si>
    <t>1086.26万</t>
  </si>
  <si>
    <t>-754.26万</t>
  </si>
  <si>
    <t>-446.00万</t>
  </si>
  <si>
    <t>-822.79万</t>
  </si>
  <si>
    <t>510.18万</t>
  </si>
  <si>
    <t>4926.45万</t>
  </si>
  <si>
    <t>277.60万</t>
  </si>
  <si>
    <t>-5101.10万</t>
  </si>
  <si>
    <t>147.29万</t>
  </si>
  <si>
    <t>983.37万</t>
  </si>
  <si>
    <t>-789987亿</t>
  </si>
  <si>
    <t>1057473亿</t>
  </si>
  <si>
    <t>84081784亿</t>
  </si>
  <si>
    <t>61.32万</t>
  </si>
  <si>
    <t>466127130亿</t>
  </si>
  <si>
    <t>197.74万</t>
  </si>
  <si>
    <t>1612.70万</t>
  </si>
  <si>
    <t>3955.72万</t>
  </si>
  <si>
    <t>1591.28万</t>
  </si>
  <si>
    <t>-166.48万</t>
  </si>
  <si>
    <t>-272.76万</t>
  </si>
  <si>
    <t>-1216.06万</t>
  </si>
  <si>
    <t>1515.05万</t>
  </si>
  <si>
    <t>7190.44万</t>
  </si>
  <si>
    <t>3259.98万</t>
  </si>
  <si>
    <t>1108.80万</t>
  </si>
  <si>
    <t>2763.30万</t>
  </si>
  <si>
    <t>650172亿</t>
  </si>
  <si>
    <t>29.42万</t>
  </si>
  <si>
    <t>6888785亿</t>
  </si>
  <si>
    <t>113176349亿</t>
  </si>
  <si>
    <t>606.80万</t>
  </si>
  <si>
    <t>798478410亿</t>
  </si>
  <si>
    <t>386.66万</t>
  </si>
  <si>
    <t>-671.02万</t>
  </si>
  <si>
    <t>-1379.66万</t>
  </si>
  <si>
    <t>879.57万</t>
  </si>
  <si>
    <t>59.57万</t>
  </si>
  <si>
    <t>1040.15万</t>
  </si>
  <si>
    <t>666.28万</t>
  </si>
  <si>
    <t>1489.45万</t>
  </si>
  <si>
    <t>2618739亿</t>
  </si>
  <si>
    <t>2.30万</t>
  </si>
  <si>
    <t>1843180亿</t>
  </si>
  <si>
    <t>242104400亿</t>
  </si>
  <si>
    <t>9525.39万</t>
  </si>
  <si>
    <t>824138310亿</t>
  </si>
  <si>
    <t>229.65万</t>
  </si>
  <si>
    <t>2598.80万</t>
  </si>
  <si>
    <t>-110.72万</t>
  </si>
  <si>
    <t>-197.57万</t>
  </si>
  <si>
    <t>3037.66万</t>
  </si>
  <si>
    <t>-1360.86万</t>
  </si>
  <si>
    <t>6816.05万</t>
  </si>
  <si>
    <t>702.95万</t>
  </si>
  <si>
    <t>46.60亿</t>
  </si>
  <si>
    <t>7380.62万</t>
  </si>
  <si>
    <t>1248.32万</t>
  </si>
  <si>
    <t>4273.91万</t>
  </si>
  <si>
    <t>5580亿</t>
  </si>
  <si>
    <t>151.11万</t>
  </si>
  <si>
    <t>15206511亿</t>
  </si>
  <si>
    <t>593114970亿</t>
  </si>
  <si>
    <t>1701.67万</t>
  </si>
  <si>
    <t>3454021500亿</t>
  </si>
  <si>
    <t>24.78亿</t>
  </si>
  <si>
    <t>394.51万</t>
  </si>
  <si>
    <t>2124.40万</t>
  </si>
  <si>
    <t>2490.22万</t>
  </si>
  <si>
    <t>3140.77万</t>
  </si>
  <si>
    <t>126.17万</t>
  </si>
  <si>
    <t>50.59亿</t>
  </si>
  <si>
    <t>57.88亿</t>
  </si>
  <si>
    <t>5159.34万</t>
  </si>
  <si>
    <t>9099.79万</t>
  </si>
  <si>
    <t>622677亿</t>
  </si>
  <si>
    <t>73.85万</t>
  </si>
  <si>
    <t>42182174亿</t>
  </si>
  <si>
    <t>892981750亿</t>
  </si>
  <si>
    <t>3611371700亿</t>
  </si>
  <si>
    <t>11.18亿</t>
  </si>
  <si>
    <t>40.37亿</t>
  </si>
  <si>
    <t>5580.54万</t>
  </si>
  <si>
    <t>12.15亿</t>
  </si>
  <si>
    <t>3543.73万</t>
  </si>
  <si>
    <t>565.88万</t>
  </si>
  <si>
    <t>5601.79万</t>
  </si>
  <si>
    <t>559.95万</t>
  </si>
  <si>
    <t>34.46亿</t>
  </si>
  <si>
    <t>61.50亿</t>
  </si>
  <si>
    <t>19.91亿</t>
  </si>
  <si>
    <t>18.55亿</t>
  </si>
  <si>
    <t>15.61亿</t>
  </si>
  <si>
    <t>6644.02万</t>
  </si>
  <si>
    <t>4601.94万</t>
  </si>
  <si>
    <t>6848218亿</t>
  </si>
  <si>
    <t>1.98万</t>
  </si>
  <si>
    <t>137768580亿</t>
  </si>
  <si>
    <t>2932750500亿</t>
  </si>
  <si>
    <t>6921252200亿</t>
  </si>
  <si>
    <t>6630.09万</t>
  </si>
  <si>
    <t>46.43万</t>
  </si>
  <si>
    <t>2309.17万</t>
  </si>
  <si>
    <t>-2819.02万</t>
  </si>
  <si>
    <t>7753.11万</t>
  </si>
  <si>
    <t>2440.16万</t>
  </si>
  <si>
    <t>522.68万</t>
  </si>
  <si>
    <t>99.54亿</t>
  </si>
  <si>
    <t>84.70亿</t>
  </si>
  <si>
    <t>56.48亿</t>
  </si>
  <si>
    <t>219.08亿</t>
  </si>
  <si>
    <t>53.06亿</t>
  </si>
  <si>
    <t>45.56亿</t>
  </si>
  <si>
    <t>7252.38万</t>
  </si>
  <si>
    <t>-6378675亿</t>
  </si>
  <si>
    <t>39.96万</t>
  </si>
  <si>
    <t>370530970亿</t>
  </si>
  <si>
    <t>6493928800亿</t>
  </si>
  <si>
    <t>773.79万</t>
  </si>
  <si>
    <t>13975734000亿</t>
  </si>
  <si>
    <t>28.47亿</t>
  </si>
  <si>
    <t>37.33亿</t>
  </si>
  <si>
    <t>7.56亿</t>
  </si>
  <si>
    <t>-4.53亿</t>
  </si>
  <si>
    <t>3269.69万</t>
  </si>
  <si>
    <t>10派8.4元(含税)</t>
  </si>
  <si>
    <t>2753.37万</t>
  </si>
  <si>
    <t>175.17万</t>
  </si>
  <si>
    <t>487.30万</t>
  </si>
  <si>
    <t>279.50万</t>
  </si>
  <si>
    <t>2411.28万</t>
  </si>
  <si>
    <t>1274645亿</t>
  </si>
  <si>
    <t>5.33万</t>
  </si>
  <si>
    <t>-5483800亿</t>
  </si>
  <si>
    <t>220296850亿</t>
  </si>
  <si>
    <t>559.17万</t>
  </si>
  <si>
    <t>1082599730亿</t>
  </si>
  <si>
    <t>1029.75万</t>
  </si>
  <si>
    <t>270.00万</t>
  </si>
  <si>
    <t>3689.18万</t>
  </si>
  <si>
    <t>-8764.83万</t>
  </si>
  <si>
    <t>-172.32万</t>
  </si>
  <si>
    <t>788.78万</t>
  </si>
  <si>
    <t>5631.94万</t>
  </si>
  <si>
    <t>170.35万</t>
  </si>
  <si>
    <t>35.15亿</t>
  </si>
  <si>
    <t>900.45万</t>
  </si>
  <si>
    <t>5553.24万</t>
  </si>
  <si>
    <t>-1965248亿</t>
  </si>
  <si>
    <t>57.73万</t>
  </si>
  <si>
    <t>118181762亿</t>
  </si>
  <si>
    <t>1636175300亿</t>
  </si>
  <si>
    <t>4672146400亿</t>
  </si>
  <si>
    <t>-8981.35万</t>
  </si>
  <si>
    <t>6752.52万</t>
  </si>
  <si>
    <t>1014.44万</t>
  </si>
  <si>
    <t>11.49亿</t>
  </si>
  <si>
    <t>8205.12万</t>
  </si>
  <si>
    <t>10派6元(含税)</t>
  </si>
  <si>
    <t>975.87万</t>
  </si>
  <si>
    <t>7532.88万</t>
  </si>
  <si>
    <t>271.27万</t>
  </si>
  <si>
    <t>5167.79万</t>
  </si>
  <si>
    <t>788.03万</t>
  </si>
  <si>
    <t>3773.40万</t>
  </si>
  <si>
    <t>-268994亿</t>
  </si>
  <si>
    <t>154.37万</t>
  </si>
  <si>
    <t>152772亿</t>
  </si>
  <si>
    <t>479921570亿</t>
  </si>
  <si>
    <t>2235.74万</t>
  </si>
  <si>
    <t>1121653630亿</t>
  </si>
  <si>
    <t>-3610.10万</t>
  </si>
  <si>
    <t>-4444.50万</t>
  </si>
  <si>
    <t>3280.52万</t>
  </si>
  <si>
    <t>6704.42万</t>
  </si>
  <si>
    <t>2402.99万</t>
  </si>
  <si>
    <t>1753.85万</t>
  </si>
  <si>
    <t>7117.09万</t>
  </si>
  <si>
    <t>1470.04万</t>
  </si>
  <si>
    <t>38.64亿</t>
  </si>
  <si>
    <t>122.43亿</t>
  </si>
  <si>
    <t>21.15亿</t>
  </si>
  <si>
    <t>78.42亿</t>
  </si>
  <si>
    <t>13.69亿</t>
  </si>
  <si>
    <t>15.88亿</t>
  </si>
  <si>
    <t>14.53亿</t>
  </si>
  <si>
    <t>3621.24万</t>
  </si>
  <si>
    <t>4183.51万</t>
  </si>
  <si>
    <t>10182799亿</t>
  </si>
  <si>
    <t>42.41万</t>
  </si>
  <si>
    <t>496509900亿</t>
  </si>
  <si>
    <t>28.66亿</t>
  </si>
  <si>
    <t>1154928230亿</t>
  </si>
  <si>
    <t>1557.04万</t>
  </si>
  <si>
    <t>8830257200亿</t>
  </si>
  <si>
    <t>17.08亿</t>
  </si>
  <si>
    <t>-15.50亿</t>
  </si>
  <si>
    <t>-7690.23万</t>
  </si>
  <si>
    <t>10转4股派4.1元(含税)</t>
  </si>
  <si>
    <t>7663.42万</t>
  </si>
  <si>
    <t>480.04万</t>
  </si>
  <si>
    <t>21.79亿</t>
  </si>
  <si>
    <t>18.77亿</t>
  </si>
  <si>
    <t>857.29万</t>
  </si>
  <si>
    <t>2405.20万</t>
  </si>
  <si>
    <t>24491110亿</t>
  </si>
  <si>
    <t>131.06万</t>
  </si>
  <si>
    <t>70435283亿</t>
  </si>
  <si>
    <t>425604640亿</t>
  </si>
  <si>
    <t>292.00万</t>
  </si>
  <si>
    <t>3738928300亿</t>
  </si>
  <si>
    <t>29.02亿</t>
  </si>
  <si>
    <t>-7287.13万</t>
  </si>
  <si>
    <t>5546.03万</t>
  </si>
  <si>
    <t>4290.26万</t>
  </si>
  <si>
    <t>2764.85万</t>
  </si>
  <si>
    <t>2917.33万</t>
  </si>
  <si>
    <t>37.51亿</t>
  </si>
  <si>
    <t>41.39亿</t>
  </si>
  <si>
    <t>8088.19万</t>
  </si>
  <si>
    <t>1628.80万</t>
  </si>
  <si>
    <t>7162.70万</t>
  </si>
  <si>
    <t>-869989亿</t>
  </si>
  <si>
    <t>17.40万</t>
  </si>
  <si>
    <t>72635527亿</t>
  </si>
  <si>
    <t>1022364710亿</t>
  </si>
  <si>
    <t>3327409500亿</t>
  </si>
  <si>
    <t>1016.22万</t>
  </si>
  <si>
    <t>-4545.50万</t>
  </si>
  <si>
    <t>-7053.41万</t>
  </si>
  <si>
    <t>7519.74万</t>
  </si>
  <si>
    <t>8.89亿</t>
  </si>
  <si>
    <t>4223.54万</t>
  </si>
  <si>
    <t>080881900</t>
  </si>
  <si>
    <t>0242645700</t>
  </si>
  <si>
    <t>0485291400</t>
  </si>
  <si>
    <t>0808819000</t>
  </si>
  <si>
    <t>01617638000</t>
  </si>
  <si>
    <t>2054.69万</t>
  </si>
  <si>
    <t>1549.64万</t>
  </si>
  <si>
    <t>903.44万</t>
  </si>
  <si>
    <t>1762.24万</t>
  </si>
  <si>
    <t>-131463亿</t>
  </si>
  <si>
    <t>7821206亿</t>
  </si>
  <si>
    <t>331881430亿</t>
  </si>
  <si>
    <t>1117.51万</t>
  </si>
  <si>
    <t>933267050亿</t>
  </si>
  <si>
    <t>2159.44万</t>
  </si>
  <si>
    <t>400.74万</t>
  </si>
  <si>
    <t>1950.00万</t>
  </si>
  <si>
    <t>9439.30万</t>
  </si>
  <si>
    <t>-2146.97万</t>
  </si>
  <si>
    <t>-9337.90万</t>
  </si>
  <si>
    <t>1063.08万</t>
  </si>
  <si>
    <t>-980.36万</t>
  </si>
  <si>
    <t>015496400</t>
  </si>
  <si>
    <t>046489200</t>
  </si>
  <si>
    <t>092978400</t>
  </si>
  <si>
    <t>0154964000</t>
  </si>
  <si>
    <t>0309928000</t>
  </si>
  <si>
    <t>6771.63万</t>
  </si>
  <si>
    <t>78.45亿</t>
  </si>
  <si>
    <t>4.31亿</t>
  </si>
  <si>
    <t>-13.91亿</t>
  </si>
  <si>
    <t>2778.75万</t>
  </si>
  <si>
    <t>3837.17万</t>
  </si>
  <si>
    <t>1377121亿</t>
  </si>
  <si>
    <t>109.84万</t>
  </si>
  <si>
    <t>-98023136亿</t>
  </si>
  <si>
    <t>1226212540亿</t>
  </si>
  <si>
    <t>7337.22万</t>
  </si>
  <si>
    <t>6085664600亿</t>
  </si>
  <si>
    <t>21.24亿</t>
  </si>
  <si>
    <t>29.78万</t>
  </si>
  <si>
    <t>6644.46万</t>
  </si>
  <si>
    <t>1472.46万</t>
  </si>
  <si>
    <t>-8577.17万</t>
  </si>
  <si>
    <t>413.46万</t>
  </si>
  <si>
    <t>25.00亿</t>
  </si>
  <si>
    <t>38.03亿</t>
  </si>
  <si>
    <t>21.03亿</t>
  </si>
  <si>
    <t>312.39万</t>
  </si>
  <si>
    <t>3599.68万</t>
  </si>
  <si>
    <t>605212亿</t>
  </si>
  <si>
    <t>37.19万</t>
  </si>
  <si>
    <t>43997933亿</t>
  </si>
  <si>
    <t>370212560亿</t>
  </si>
  <si>
    <t>2545632600亿</t>
  </si>
  <si>
    <t>12.44亿</t>
  </si>
  <si>
    <t>5784.20万</t>
  </si>
  <si>
    <t>4611.59万</t>
  </si>
  <si>
    <t>2354.69万</t>
  </si>
  <si>
    <t>1627.54万</t>
  </si>
  <si>
    <t>29.00亿</t>
  </si>
  <si>
    <t>16.71亿</t>
  </si>
  <si>
    <t>608.34万</t>
  </si>
  <si>
    <t>1407.80万</t>
  </si>
  <si>
    <t>8211768亿</t>
  </si>
  <si>
    <t>99426297亿</t>
  </si>
  <si>
    <t>12.45亿</t>
  </si>
  <si>
    <t>476425870亿</t>
  </si>
  <si>
    <t>2810605600亿</t>
  </si>
  <si>
    <t>2556.03万</t>
  </si>
  <si>
    <t>1134.93万</t>
  </si>
  <si>
    <t>7983.83万</t>
  </si>
  <si>
    <t>8897.96万</t>
  </si>
  <si>
    <t>1327.27万</t>
  </si>
  <si>
    <t>22.28亿</t>
  </si>
  <si>
    <t>2840.56万</t>
  </si>
  <si>
    <t>1318.84万</t>
  </si>
  <si>
    <t>4433.72万</t>
  </si>
  <si>
    <t>-613201亿</t>
  </si>
  <si>
    <t>28.05万</t>
  </si>
  <si>
    <t>29338744亿</t>
  </si>
  <si>
    <t>560485330亿</t>
  </si>
  <si>
    <t>1881896900亿</t>
  </si>
  <si>
    <t>2391.99万</t>
  </si>
  <si>
    <t>297.87万</t>
  </si>
  <si>
    <t>-1340.70万</t>
  </si>
  <si>
    <t>-1475.31万</t>
  </si>
  <si>
    <t>7570.65万</t>
  </si>
  <si>
    <t>1917.21万</t>
  </si>
  <si>
    <t>5879.46万</t>
  </si>
  <si>
    <t>379.54万</t>
  </si>
  <si>
    <t>71.30亿</t>
  </si>
  <si>
    <t>59.67亿</t>
  </si>
  <si>
    <t>233.65亿</t>
  </si>
  <si>
    <t>58.70亿</t>
  </si>
  <si>
    <t>53.90亿</t>
  </si>
  <si>
    <t>7907.51万</t>
  </si>
  <si>
    <t>-1379816亿</t>
  </si>
  <si>
    <t>83.31万</t>
  </si>
  <si>
    <t>262612780亿</t>
  </si>
  <si>
    <t>26.10亿</t>
  </si>
  <si>
    <t>4217923700亿</t>
  </si>
  <si>
    <t>13332047500亿</t>
  </si>
  <si>
    <t>52.90亿</t>
  </si>
  <si>
    <t>84.18亿</t>
  </si>
  <si>
    <t>26.63亿</t>
  </si>
  <si>
    <t>-4.26亿</t>
  </si>
  <si>
    <t>-1.80亿</t>
  </si>
  <si>
    <t>51.22亿</t>
  </si>
  <si>
    <t>10派1.187308元(含税)</t>
  </si>
  <si>
    <t>1941.77万</t>
  </si>
  <si>
    <t>750.59万</t>
  </si>
  <si>
    <t>50.88亿</t>
  </si>
  <si>
    <t>57.61亿</t>
  </si>
  <si>
    <t>2373.56万</t>
  </si>
  <si>
    <t>4374.29万</t>
  </si>
  <si>
    <t>2249606亿</t>
  </si>
  <si>
    <t>193.08万</t>
  </si>
  <si>
    <t>30717782亿</t>
  </si>
  <si>
    <t>13.24亿</t>
  </si>
  <si>
    <t>1216612390亿</t>
  </si>
  <si>
    <t>4335975500亿</t>
  </si>
  <si>
    <t>7.70亿</t>
  </si>
  <si>
    <t>38.94亿</t>
  </si>
  <si>
    <t>-26.72万</t>
  </si>
  <si>
    <t>-5.22亿</t>
  </si>
  <si>
    <t>4882.14万</t>
  </si>
  <si>
    <t>754.44万</t>
  </si>
  <si>
    <t>18.96亿</t>
  </si>
  <si>
    <t>58.60亿</t>
  </si>
  <si>
    <t>17.14亿</t>
  </si>
  <si>
    <t>2245.43万</t>
  </si>
  <si>
    <t>5404.61万</t>
  </si>
  <si>
    <t>1204369亿</t>
  </si>
  <si>
    <t>98.92万</t>
  </si>
  <si>
    <t>146988770亿</t>
  </si>
  <si>
    <t>25.31亿</t>
  </si>
  <si>
    <t>1469330500亿</t>
  </si>
  <si>
    <t>6225285100亿</t>
  </si>
  <si>
    <t>510.19万</t>
  </si>
  <si>
    <t>37.95亿</t>
  </si>
  <si>
    <t>-3480.02万</t>
  </si>
  <si>
    <t>-9823.74万</t>
  </si>
  <si>
    <t>48.79亿</t>
  </si>
  <si>
    <t>4227.31万</t>
  </si>
  <si>
    <t>4723.85万</t>
  </si>
  <si>
    <t>234.01万</t>
  </si>
  <si>
    <t>25.86亿</t>
  </si>
  <si>
    <t>15.75亿</t>
  </si>
  <si>
    <t>10.59亿</t>
  </si>
  <si>
    <t>42.99亿</t>
  </si>
  <si>
    <t>1288.17万</t>
  </si>
  <si>
    <t>2120.32万</t>
  </si>
  <si>
    <t>-369298亿</t>
  </si>
  <si>
    <t>8.18万</t>
  </si>
  <si>
    <t>5202168亿</t>
  </si>
  <si>
    <t>700539130亿</t>
  </si>
  <si>
    <t>2472.68万</t>
  </si>
  <si>
    <t>2399790200亿</t>
  </si>
  <si>
    <t>18.49亿</t>
  </si>
  <si>
    <t>-630.55万</t>
  </si>
  <si>
    <t>-1087.00万</t>
  </si>
  <si>
    <t>10.49亿</t>
  </si>
  <si>
    <t>-2426.10万</t>
  </si>
  <si>
    <t>1587.99万</t>
  </si>
  <si>
    <t>2357.33万</t>
  </si>
  <si>
    <t>21.25亿</t>
  </si>
  <si>
    <t>128.26万</t>
  </si>
  <si>
    <t>2348.71万</t>
  </si>
  <si>
    <t>13762053亿</t>
  </si>
  <si>
    <t>124.66万</t>
  </si>
  <si>
    <t>15039321亿</t>
  </si>
  <si>
    <t>412669110亿</t>
  </si>
  <si>
    <t>3186.72万</t>
  </si>
  <si>
    <t>2075791500亿</t>
  </si>
  <si>
    <t>9021.18万</t>
  </si>
  <si>
    <t>619.74万</t>
  </si>
  <si>
    <t>9480.00万</t>
  </si>
  <si>
    <t>-6168.90万</t>
  </si>
  <si>
    <t>3587.99万</t>
  </si>
  <si>
    <t>9484.17万</t>
  </si>
  <si>
    <t>2290.66万</t>
  </si>
  <si>
    <t>349.20万</t>
  </si>
  <si>
    <t>774.19万</t>
  </si>
  <si>
    <t>972.29万</t>
  </si>
  <si>
    <t>47640亿</t>
  </si>
  <si>
    <t>2.62万</t>
  </si>
  <si>
    <t>41410036亿</t>
  </si>
  <si>
    <t>302537720亿</t>
  </si>
  <si>
    <t>6782.43万</t>
  </si>
  <si>
    <t>1005095690亿</t>
  </si>
  <si>
    <t>1771.02万</t>
  </si>
  <si>
    <t>1659.70万</t>
  </si>
  <si>
    <t>608.04万</t>
  </si>
  <si>
    <t>2251.97万</t>
  </si>
  <si>
    <t>1746.99万</t>
  </si>
  <si>
    <t>1779.95万</t>
  </si>
  <si>
    <t>13.43亿</t>
  </si>
  <si>
    <t>186.89万</t>
  </si>
  <si>
    <t>3063.02万</t>
  </si>
  <si>
    <t>-2718633亿</t>
  </si>
  <si>
    <t>8.36万</t>
  </si>
  <si>
    <t>66612654亿</t>
  </si>
  <si>
    <t>447107830亿</t>
  </si>
  <si>
    <t>9919.25万</t>
  </si>
  <si>
    <t>1892093000亿</t>
  </si>
  <si>
    <t>8190.48万</t>
  </si>
  <si>
    <t>4836.58万</t>
  </si>
  <si>
    <t>-6556.37万</t>
  </si>
  <si>
    <t>5349.48万</t>
  </si>
  <si>
    <t>10转4.7股派2元(含税)</t>
  </si>
  <si>
    <t>5961.74万</t>
  </si>
  <si>
    <t>619.40万</t>
  </si>
  <si>
    <t>522.42万</t>
  </si>
  <si>
    <t>7558.49万</t>
  </si>
  <si>
    <t>697.32万</t>
  </si>
  <si>
    <t>1326.51万</t>
  </si>
  <si>
    <t>-485473亿</t>
  </si>
  <si>
    <t>-1296615亿</t>
  </si>
  <si>
    <t>4578.14万</t>
  </si>
  <si>
    <t>115082824亿</t>
  </si>
  <si>
    <t>2530.74万</t>
  </si>
  <si>
    <t>469913660亿</t>
  </si>
  <si>
    <t>2161.94万</t>
  </si>
  <si>
    <t>1001.01万</t>
  </si>
  <si>
    <t>4966.21万</t>
  </si>
  <si>
    <t>9904.70万</t>
  </si>
  <si>
    <t>-1786.15万</t>
  </si>
  <si>
    <t>-221.29万</t>
  </si>
  <si>
    <t>-1019.82万</t>
  </si>
  <si>
    <t>79.37万</t>
  </si>
  <si>
    <t>4347.01万</t>
  </si>
  <si>
    <t>491.77万</t>
  </si>
  <si>
    <t>11.00亿</t>
  </si>
  <si>
    <t>4069.77万</t>
  </si>
  <si>
    <t>1019.70万</t>
  </si>
  <si>
    <t>2116.79万</t>
  </si>
  <si>
    <t>10.80万</t>
  </si>
  <si>
    <t>14803245亿</t>
  </si>
  <si>
    <t>405483560亿</t>
  </si>
  <si>
    <t>2315.99万</t>
  </si>
  <si>
    <t>1131517070亿</t>
  </si>
  <si>
    <t>2225.82万</t>
  </si>
  <si>
    <t>6712.04万</t>
  </si>
  <si>
    <t>4247.49万</t>
  </si>
  <si>
    <t>-607.57万</t>
  </si>
  <si>
    <t>-452.68万</t>
  </si>
  <si>
    <t>895.99万</t>
  </si>
  <si>
    <t>2877.04万</t>
  </si>
  <si>
    <t>1693.60万</t>
  </si>
  <si>
    <t>1496.77万</t>
  </si>
  <si>
    <t>2916.08万</t>
  </si>
  <si>
    <t>326504亿</t>
  </si>
  <si>
    <t>8.22万</t>
  </si>
  <si>
    <t>24473399亿</t>
  </si>
  <si>
    <t>221593920亿</t>
  </si>
  <si>
    <t>486.27万</t>
  </si>
  <si>
    <t>778945070亿</t>
  </si>
  <si>
    <t>2120.35万</t>
  </si>
  <si>
    <t>3055.44万</t>
  </si>
  <si>
    <t>647.79万</t>
  </si>
  <si>
    <t>7140.84万</t>
  </si>
  <si>
    <t>659.63万</t>
  </si>
  <si>
    <t>-2909.86万</t>
  </si>
  <si>
    <t>1495.44万</t>
  </si>
  <si>
    <t>10派1.6元(含税)</t>
  </si>
  <si>
    <t>-6-0</t>
  </si>
  <si>
    <t>114.66万</t>
  </si>
  <si>
    <t>9723.51万</t>
  </si>
  <si>
    <t>59.87万</t>
  </si>
  <si>
    <t>1370.61万</t>
  </si>
  <si>
    <t>-5.19万</t>
  </si>
  <si>
    <t>28354664亿</t>
  </si>
  <si>
    <t>159076920亿</t>
  </si>
  <si>
    <t>600.27万</t>
  </si>
  <si>
    <t>1172587560亿</t>
  </si>
  <si>
    <t>2728.90万</t>
  </si>
  <si>
    <t>-1.47亿</t>
  </si>
  <si>
    <t>1693.18万</t>
  </si>
  <si>
    <t>1678.43万</t>
  </si>
  <si>
    <t>558.38万</t>
  </si>
  <si>
    <t>4359.58万</t>
  </si>
  <si>
    <t>721.25万</t>
  </si>
  <si>
    <t>17.37亿</t>
  </si>
  <si>
    <t>18.27亿</t>
  </si>
  <si>
    <t>625.65万</t>
  </si>
  <si>
    <t>1661.08万</t>
  </si>
  <si>
    <t>269720亿</t>
  </si>
  <si>
    <t>41.06万</t>
  </si>
  <si>
    <t>51152548亿</t>
  </si>
  <si>
    <t>719388820亿</t>
  </si>
  <si>
    <t>1482.96万</t>
  </si>
  <si>
    <t>2000104400亿</t>
  </si>
  <si>
    <t>2.66亿</t>
  </si>
  <si>
    <t>15.32亿</t>
  </si>
  <si>
    <t>7573.57万</t>
  </si>
  <si>
    <t>-2.84亿</t>
  </si>
  <si>
    <t>4045.38万</t>
  </si>
  <si>
    <t>5008.08万</t>
  </si>
  <si>
    <t>262.61万</t>
  </si>
  <si>
    <t>18.51亿</t>
  </si>
  <si>
    <t>19.63亿</t>
  </si>
  <si>
    <t>8236.15万</t>
  </si>
  <si>
    <t>1006.79万</t>
  </si>
  <si>
    <t>1975.73万</t>
  </si>
  <si>
    <t>5970238亿</t>
  </si>
  <si>
    <t>542521230亿</t>
  </si>
  <si>
    <t>2574601200亿</t>
  </si>
  <si>
    <t>-1.55亿</t>
  </si>
  <si>
    <t>-1.02亿</t>
  </si>
  <si>
    <t>2463.50万</t>
  </si>
  <si>
    <t>-784.17万</t>
  </si>
  <si>
    <t>1599.14万</t>
  </si>
  <si>
    <t>222.37万</t>
  </si>
  <si>
    <t>13.60亿</t>
  </si>
  <si>
    <t>6762.93万</t>
  </si>
  <si>
    <t>284.45万</t>
  </si>
  <si>
    <t>1969.56万</t>
  </si>
  <si>
    <t>-404274亿</t>
  </si>
  <si>
    <t>24368031亿</t>
  </si>
  <si>
    <t>461436780亿</t>
  </si>
  <si>
    <t>12.35万</t>
  </si>
  <si>
    <t>1366810700亿</t>
  </si>
  <si>
    <t>8535.80万</t>
  </si>
  <si>
    <t>28.00万</t>
  </si>
  <si>
    <t>4100.00万</t>
  </si>
  <si>
    <t>-4193.18万</t>
  </si>
  <si>
    <t>4308.69万</t>
  </si>
  <si>
    <t>1053.20万</t>
  </si>
  <si>
    <t>1396.97万</t>
  </si>
  <si>
    <t>22.43万</t>
  </si>
  <si>
    <t>25.58亿</t>
  </si>
  <si>
    <t>286.68万</t>
  </si>
  <si>
    <t>1556.98万</t>
  </si>
  <si>
    <t>1609899亿</t>
  </si>
  <si>
    <t>8.00万</t>
  </si>
  <si>
    <t>24293072亿</t>
  </si>
  <si>
    <t>14.15亿</t>
  </si>
  <si>
    <t>395309570亿</t>
  </si>
  <si>
    <t>1246.85万</t>
  </si>
  <si>
    <t>2052072000亿</t>
  </si>
  <si>
    <t>6103.63万</t>
  </si>
  <si>
    <t>3193.76万</t>
  </si>
  <si>
    <t>2485.35万</t>
  </si>
  <si>
    <t>99.14万</t>
  </si>
  <si>
    <t>635.41万</t>
  </si>
  <si>
    <t>662.40万</t>
  </si>
  <si>
    <t>7.95亿</t>
  </si>
  <si>
    <t>2031.59万</t>
  </si>
  <si>
    <t>700.34万</t>
  </si>
  <si>
    <t>1823.11万</t>
  </si>
  <si>
    <t>-2250423亿</t>
  </si>
  <si>
    <t>29.21万</t>
  </si>
  <si>
    <t>21950362亿</t>
  </si>
  <si>
    <t>260082700亿</t>
  </si>
  <si>
    <t>527.57万</t>
  </si>
  <si>
    <t>1232344600亿</t>
  </si>
  <si>
    <t>1948.72万</t>
  </si>
  <si>
    <t>3005.10万</t>
  </si>
  <si>
    <t>5158.49万</t>
  </si>
  <si>
    <t>9183.57万</t>
  </si>
  <si>
    <t>2954.07万</t>
  </si>
  <si>
    <t>2753.53万</t>
  </si>
  <si>
    <t>-3214.03万</t>
  </si>
  <si>
    <t>-8664.44万</t>
  </si>
  <si>
    <t>5769.07万</t>
  </si>
  <si>
    <t>-378.24万</t>
  </si>
  <si>
    <t>10派0.198409元(含税)</t>
  </si>
  <si>
    <t>3819.74万</t>
  </si>
  <si>
    <t>188.13万</t>
  </si>
  <si>
    <t>-1.06亿</t>
  </si>
  <si>
    <t>3.78亿</t>
  </si>
  <si>
    <t>209.65万</t>
  </si>
  <si>
    <t>1346.62万</t>
  </si>
  <si>
    <t>-1584160亿</t>
  </si>
  <si>
    <t>8848302亿</t>
  </si>
  <si>
    <t>574004610亿</t>
  </si>
  <si>
    <t>7584.94万</t>
  </si>
  <si>
    <t>1430358100亿</t>
  </si>
  <si>
    <t>2584.06万</t>
  </si>
  <si>
    <t>-2659.11万</t>
  </si>
  <si>
    <t>-8312.55万</t>
  </si>
  <si>
    <t>1020.97万</t>
  </si>
  <si>
    <t>1043.65万</t>
  </si>
  <si>
    <t>45.75万</t>
  </si>
  <si>
    <t>5817.63万</t>
  </si>
  <si>
    <t>1053.54万</t>
  </si>
  <si>
    <t>1022.71万</t>
  </si>
  <si>
    <t>1059924亿</t>
  </si>
  <si>
    <t>4.95万</t>
  </si>
  <si>
    <t>7226386亿</t>
  </si>
  <si>
    <t>241747750亿</t>
  </si>
  <si>
    <t>1655.88万</t>
  </si>
  <si>
    <t>1320817100亿</t>
  </si>
  <si>
    <t>1813.00万</t>
  </si>
  <si>
    <t>2111.11万</t>
  </si>
  <si>
    <t>-8871.28万</t>
  </si>
  <si>
    <t>7303.76万</t>
  </si>
  <si>
    <t>-1054.22万</t>
  </si>
  <si>
    <t>10.47亿</t>
  </si>
  <si>
    <t>1068.94万</t>
  </si>
  <si>
    <t>1143.85万</t>
  </si>
  <si>
    <t>462.35万</t>
  </si>
  <si>
    <t>2364.48万</t>
  </si>
  <si>
    <t>220.44万</t>
  </si>
  <si>
    <t>16.06亿</t>
  </si>
  <si>
    <t>565.89万</t>
  </si>
  <si>
    <t>1550.53万</t>
  </si>
  <si>
    <t>-3329871亿</t>
  </si>
  <si>
    <t>141.46万</t>
  </si>
  <si>
    <t>42787896亿</t>
  </si>
  <si>
    <t>919580400亿</t>
  </si>
  <si>
    <t>6347.11万</t>
  </si>
  <si>
    <t>2116146200亿</t>
  </si>
  <si>
    <t>10.66亿</t>
  </si>
  <si>
    <t>11.85万</t>
  </si>
  <si>
    <t>4677.20万</t>
  </si>
  <si>
    <t>34.52亿</t>
  </si>
  <si>
    <t>4632.46万</t>
  </si>
  <si>
    <t>10转4股派5元(含税)</t>
  </si>
  <si>
    <t>1210.51万</t>
  </si>
  <si>
    <t>7211.70万</t>
  </si>
  <si>
    <t>237.31万</t>
  </si>
  <si>
    <t>831.27万</t>
  </si>
  <si>
    <t>1630.64万</t>
  </si>
  <si>
    <t>-1407869亿</t>
  </si>
  <si>
    <t>14.66万</t>
  </si>
  <si>
    <t>57738445亿</t>
  </si>
  <si>
    <t>619556140亿</t>
  </si>
  <si>
    <t>227.61万</t>
  </si>
  <si>
    <t>1134642190亿</t>
  </si>
  <si>
    <t>7503.27万</t>
  </si>
  <si>
    <t>4579.63万</t>
  </si>
  <si>
    <t>-9017.85万</t>
  </si>
  <si>
    <t>9222.14万</t>
  </si>
  <si>
    <t>4886.47万</t>
  </si>
  <si>
    <t>784.38万</t>
  </si>
  <si>
    <t>3531.51万</t>
  </si>
  <si>
    <t>-8-1</t>
  </si>
  <si>
    <t>183.28万</t>
  </si>
  <si>
    <t>9815.36万</t>
  </si>
  <si>
    <t>973.37万</t>
  </si>
  <si>
    <t>2248.42万</t>
  </si>
  <si>
    <t>-1181244亿</t>
  </si>
  <si>
    <t>15.36万</t>
  </si>
  <si>
    <t>-27816759亿</t>
  </si>
  <si>
    <t>343327530亿</t>
  </si>
  <si>
    <t>1561.78万</t>
  </si>
  <si>
    <t>819422530亿</t>
  </si>
  <si>
    <t>773.55万</t>
  </si>
  <si>
    <t>-3557.33万</t>
  </si>
  <si>
    <t>-1620.80万</t>
  </si>
  <si>
    <t>2055.51万</t>
  </si>
  <si>
    <t>936.15万</t>
  </si>
  <si>
    <t>1573.26万</t>
  </si>
  <si>
    <t>1036.69万</t>
  </si>
  <si>
    <t>7506.54万</t>
  </si>
  <si>
    <t>456.68万</t>
  </si>
  <si>
    <t>18.40亿</t>
  </si>
  <si>
    <t>6854.69万</t>
  </si>
  <si>
    <t>6.70亿</t>
  </si>
  <si>
    <t>320.75万</t>
  </si>
  <si>
    <t>2810.93万</t>
  </si>
  <si>
    <t>96608727亿</t>
  </si>
  <si>
    <t>800989630亿</t>
  </si>
  <si>
    <t>2967395100亿</t>
  </si>
  <si>
    <t>6430.53万</t>
  </si>
  <si>
    <t>2282.20万</t>
  </si>
  <si>
    <t>10转4.499935股派1.499978元(含税)</t>
  </si>
  <si>
    <t>2598.88万</t>
  </si>
  <si>
    <t>157.00万</t>
  </si>
  <si>
    <t>7993.93万</t>
  </si>
  <si>
    <t>648.09万</t>
  </si>
  <si>
    <t>404.65万</t>
  </si>
  <si>
    <t>1001.63万</t>
  </si>
  <si>
    <t>-3790490亿</t>
  </si>
  <si>
    <t>-10239541亿</t>
  </si>
  <si>
    <t>261426190亿</t>
  </si>
  <si>
    <t>490.37万</t>
  </si>
  <si>
    <t>809910690亿</t>
  </si>
  <si>
    <t>4036.13万</t>
  </si>
  <si>
    <t>5874.96万</t>
  </si>
  <si>
    <t>2905.28万</t>
  </si>
  <si>
    <t>-8261.40万</t>
  </si>
  <si>
    <t>-360.04万</t>
  </si>
  <si>
    <t>8394.20万</t>
  </si>
  <si>
    <t>-4043.89万</t>
  </si>
  <si>
    <t>443.19万</t>
  </si>
  <si>
    <t>1338.37万</t>
  </si>
  <si>
    <t>7999.20万</t>
  </si>
  <si>
    <t>019442700</t>
  </si>
  <si>
    <t>038885400</t>
  </si>
  <si>
    <t>064809000</t>
  </si>
  <si>
    <t>0129618000</t>
  </si>
  <si>
    <t>86.15万</t>
  </si>
  <si>
    <t>11.59亿</t>
  </si>
  <si>
    <t>3034.89万</t>
  </si>
  <si>
    <t>329.42万</t>
  </si>
  <si>
    <t>1238.90万</t>
  </si>
  <si>
    <t>59744465亿</t>
  </si>
  <si>
    <t>228030260亿</t>
  </si>
  <si>
    <t>587.19万</t>
  </si>
  <si>
    <t>971316740亿</t>
  </si>
  <si>
    <t>6879.91万</t>
  </si>
  <si>
    <t>6522.46万</t>
  </si>
  <si>
    <t>-4967.00万</t>
  </si>
  <si>
    <t>436.82万</t>
  </si>
  <si>
    <t>2118.53万</t>
  </si>
  <si>
    <t>240.43万</t>
  </si>
  <si>
    <t>201.14亿</t>
  </si>
  <si>
    <t>32.00亿</t>
  </si>
  <si>
    <t>2512.98万</t>
  </si>
  <si>
    <t>5294.88万</t>
  </si>
  <si>
    <t>1043806亿</t>
  </si>
  <si>
    <t>39769559亿</t>
  </si>
  <si>
    <t>471776620亿</t>
  </si>
  <si>
    <t>6620.74万</t>
  </si>
  <si>
    <t>1907871900亿</t>
  </si>
  <si>
    <t>2290.85万</t>
  </si>
  <si>
    <t>395.55万</t>
  </si>
  <si>
    <t>4207.42万</t>
  </si>
  <si>
    <t>-1.62亿</t>
  </si>
  <si>
    <t>20.45亿</t>
  </si>
  <si>
    <t>36.61亿</t>
  </si>
  <si>
    <t>1383.79万</t>
  </si>
  <si>
    <t>8409.39万</t>
  </si>
  <si>
    <t>103.49万</t>
  </si>
  <si>
    <t>2515.24亿</t>
  </si>
  <si>
    <t>655.27万</t>
  </si>
  <si>
    <t>1414.49万</t>
  </si>
  <si>
    <t>2226434亿</t>
  </si>
  <si>
    <t>2.01万</t>
  </si>
  <si>
    <t>-9400762亿</t>
  </si>
  <si>
    <t>442791560亿</t>
  </si>
  <si>
    <t>3389.54万</t>
  </si>
  <si>
    <t>1662455600亿</t>
  </si>
  <si>
    <t>4886.49万</t>
  </si>
  <si>
    <t>102.97万</t>
  </si>
  <si>
    <t>-3325.48万</t>
  </si>
  <si>
    <t>386.95万</t>
  </si>
  <si>
    <t>1758.24万</t>
  </si>
  <si>
    <t>610.41亿</t>
  </si>
  <si>
    <t>-907.42万</t>
  </si>
  <si>
    <t>8.54亿</t>
  </si>
  <si>
    <t>1615.38万</t>
  </si>
  <si>
    <t>6555.38万</t>
  </si>
  <si>
    <t>389.52万</t>
  </si>
  <si>
    <t>11.82亿</t>
  </si>
  <si>
    <t>703.05万</t>
  </si>
  <si>
    <t>251.54万</t>
  </si>
  <si>
    <t>1109.93万</t>
  </si>
  <si>
    <t>2861716亿</t>
  </si>
  <si>
    <t>4.74万</t>
  </si>
  <si>
    <t>29963924亿</t>
  </si>
  <si>
    <t>194266360亿</t>
  </si>
  <si>
    <t>4522.61万</t>
  </si>
  <si>
    <t>1110344870亿</t>
  </si>
  <si>
    <t>332.25万</t>
  </si>
  <si>
    <t>937.30万</t>
  </si>
  <si>
    <t>-543.68万</t>
  </si>
  <si>
    <t>5408.28万</t>
  </si>
  <si>
    <t>-178.62万</t>
  </si>
  <si>
    <t>9424.58万</t>
  </si>
  <si>
    <t>134.00万</t>
  </si>
  <si>
    <t>10转4股派4.5元(含税)</t>
  </si>
  <si>
    <t>2693.44万</t>
  </si>
  <si>
    <t>921.05万</t>
  </si>
  <si>
    <t>422.53万</t>
  </si>
  <si>
    <t>1087.56万</t>
  </si>
  <si>
    <t>2577189亿</t>
  </si>
  <si>
    <t>8.43万</t>
  </si>
  <si>
    <t>10624296亿</t>
  </si>
  <si>
    <t>4598.99万</t>
  </si>
  <si>
    <t>175727470亿</t>
  </si>
  <si>
    <t>530.18万</t>
  </si>
  <si>
    <t>638865880亿</t>
  </si>
  <si>
    <t>1900.15万</t>
  </si>
  <si>
    <t>382.63万</t>
  </si>
  <si>
    <t>132.51万</t>
  </si>
  <si>
    <t>1235.47万</t>
  </si>
  <si>
    <t>6211.79万</t>
  </si>
  <si>
    <t>9971.74万</t>
  </si>
  <si>
    <t>2357.92万</t>
  </si>
  <si>
    <t>4123.60万</t>
  </si>
  <si>
    <t>10转3股派1元(含税)</t>
  </si>
  <si>
    <t>5299.29万</t>
  </si>
  <si>
    <t>969.97万</t>
  </si>
  <si>
    <t>8.85亿</t>
  </si>
  <si>
    <t>8591.24万</t>
  </si>
  <si>
    <t>169.08万</t>
  </si>
  <si>
    <t>985.39万</t>
  </si>
  <si>
    <t>13.66万</t>
  </si>
  <si>
    <t>10785111亿</t>
  </si>
  <si>
    <t>203210780亿</t>
  </si>
  <si>
    <t>318.75万</t>
  </si>
  <si>
    <t>480446600亿</t>
  </si>
  <si>
    <t>1035.39万</t>
  </si>
  <si>
    <t>9800.00万</t>
  </si>
  <si>
    <t>8530.03万</t>
  </si>
  <si>
    <t>5.27万</t>
  </si>
  <si>
    <t>2508.64万</t>
  </si>
  <si>
    <t>-825.18万</t>
  </si>
  <si>
    <t>1396.60万</t>
  </si>
  <si>
    <t>5335.02万</t>
  </si>
  <si>
    <t>960.69万</t>
  </si>
  <si>
    <t>6311.53万</t>
  </si>
  <si>
    <t>879.70万</t>
  </si>
  <si>
    <t>-449.92万</t>
  </si>
  <si>
    <t>8344.28万</t>
  </si>
  <si>
    <t>829.46万</t>
  </si>
  <si>
    <t>638.47万</t>
  </si>
  <si>
    <t>1055690亿</t>
  </si>
  <si>
    <t>18990782亿</t>
  </si>
  <si>
    <t>171810270亿</t>
  </si>
  <si>
    <t>3200.16万</t>
  </si>
  <si>
    <t>1108613460亿</t>
  </si>
  <si>
    <t>18.84万</t>
  </si>
  <si>
    <t>9062.02万</t>
  </si>
  <si>
    <t>16.63万</t>
  </si>
  <si>
    <t>2033.23万</t>
  </si>
  <si>
    <t>-1966.13万</t>
  </si>
  <si>
    <t>5782.19万</t>
  </si>
  <si>
    <t>7236.08万</t>
  </si>
  <si>
    <t>-495.70万</t>
  </si>
  <si>
    <t>3373.84万</t>
  </si>
  <si>
    <t>6106.80万</t>
  </si>
  <si>
    <t>129.84万</t>
  </si>
  <si>
    <t>4760.83万</t>
  </si>
  <si>
    <t>593.15万</t>
  </si>
  <si>
    <t>583.17万</t>
  </si>
  <si>
    <t>2360585亿</t>
  </si>
  <si>
    <t>-2270347亿</t>
  </si>
  <si>
    <t>323327470亿</t>
  </si>
  <si>
    <t>1289.48万</t>
  </si>
  <si>
    <t>1324181370亿</t>
  </si>
  <si>
    <t>22.97万</t>
  </si>
  <si>
    <t>1500.00万</t>
  </si>
  <si>
    <t>7442.27万</t>
  </si>
  <si>
    <t>-306.94万</t>
  </si>
  <si>
    <t>616.39万</t>
  </si>
  <si>
    <t>1406.32万</t>
  </si>
  <si>
    <t>5.72亿</t>
  </si>
  <si>
    <t>3862.08万</t>
  </si>
  <si>
    <t>2328.68万</t>
  </si>
  <si>
    <t>1435.81万</t>
  </si>
  <si>
    <t>10派2.569475元(含税)</t>
  </si>
  <si>
    <t>1054.27万</t>
  </si>
  <si>
    <t>7426.82万</t>
  </si>
  <si>
    <t>225.99万</t>
  </si>
  <si>
    <t>3051.99万</t>
  </si>
  <si>
    <t>431.52万</t>
  </si>
  <si>
    <t>883.00万</t>
  </si>
  <si>
    <t>72391亿</t>
  </si>
  <si>
    <t>1736837亿</t>
  </si>
  <si>
    <t>182351330亿</t>
  </si>
  <si>
    <t>3328.69万</t>
  </si>
  <si>
    <t>519621590亿</t>
  </si>
  <si>
    <t>2551.73万</t>
  </si>
  <si>
    <t>6939.19万</t>
  </si>
  <si>
    <t>1216.45万</t>
  </si>
  <si>
    <t>-3568.51万</t>
  </si>
  <si>
    <t>777.32万</t>
  </si>
  <si>
    <t>3579.91万</t>
  </si>
  <si>
    <t>9572.01万</t>
  </si>
  <si>
    <t>2325.77万</t>
  </si>
  <si>
    <t>408.98万</t>
  </si>
  <si>
    <t>10派0.603503元(含税)</t>
  </si>
  <si>
    <t>1847.17万</t>
  </si>
  <si>
    <t>6218.22万</t>
  </si>
  <si>
    <t>776.86万</t>
  </si>
  <si>
    <t>9.90亿</t>
  </si>
  <si>
    <t>9821.81万</t>
  </si>
  <si>
    <t>6936.21万</t>
  </si>
  <si>
    <t>7353.90万</t>
  </si>
  <si>
    <t>6505.43万</t>
  </si>
  <si>
    <t>215.63万</t>
  </si>
  <si>
    <t>451.28万</t>
  </si>
  <si>
    <t>22354645亿</t>
  </si>
  <si>
    <t>107690291亿</t>
  </si>
  <si>
    <t>66.48万</t>
  </si>
  <si>
    <t>1111989700亿</t>
  </si>
  <si>
    <t>114.20万</t>
  </si>
  <si>
    <t>6526.76万</t>
  </si>
  <si>
    <t>4874.62万</t>
  </si>
  <si>
    <t>94.36万</t>
  </si>
  <si>
    <t>241.59万</t>
  </si>
  <si>
    <t>-1051.30万</t>
  </si>
  <si>
    <t>9938.41万</t>
  </si>
  <si>
    <t>9210.39万</t>
  </si>
  <si>
    <t>9691.89万</t>
  </si>
  <si>
    <t>1959.29万</t>
  </si>
  <si>
    <t>5085.65万</t>
  </si>
  <si>
    <t>9475.19万</t>
  </si>
  <si>
    <t>382.18万</t>
  </si>
  <si>
    <t>4087.88万</t>
  </si>
  <si>
    <t>1146.28万</t>
  </si>
  <si>
    <t>1006.01万</t>
  </si>
  <si>
    <t>-125958亿</t>
  </si>
  <si>
    <t>1.85万</t>
  </si>
  <si>
    <t>25749302亿</t>
  </si>
  <si>
    <t>357164270亿</t>
  </si>
  <si>
    <t>1149.63万</t>
  </si>
  <si>
    <t>1039503570亿</t>
  </si>
  <si>
    <t>4406.82万</t>
  </si>
  <si>
    <t>-1883.54万</t>
  </si>
  <si>
    <t>-2823.22万</t>
  </si>
  <si>
    <t>9088.17万</t>
  </si>
  <si>
    <t>718.83万</t>
  </si>
  <si>
    <t>2745.96万</t>
  </si>
  <si>
    <t>8620.31万</t>
  </si>
  <si>
    <t>317.45万</t>
  </si>
  <si>
    <t>16.55亿</t>
  </si>
  <si>
    <t>21.43亿</t>
  </si>
  <si>
    <t>299.89万</t>
  </si>
  <si>
    <t>1012.35万</t>
  </si>
  <si>
    <t>1074260亿</t>
  </si>
  <si>
    <t>4.72万</t>
  </si>
  <si>
    <t>22800228亿</t>
  </si>
  <si>
    <t>287887700亿</t>
  </si>
  <si>
    <t>1685.95万</t>
  </si>
  <si>
    <t>1381821900亿</t>
  </si>
  <si>
    <t>3426.96万</t>
  </si>
  <si>
    <t>6503.04万</t>
  </si>
  <si>
    <t>9924.16万</t>
  </si>
  <si>
    <t>1529.09万</t>
  </si>
  <si>
    <t>6603.95万</t>
  </si>
  <si>
    <t>-5.22万</t>
  </si>
  <si>
    <t>10.11亿</t>
  </si>
  <si>
    <t>9315.92万</t>
  </si>
  <si>
    <t>4132.32万</t>
  </si>
  <si>
    <t>2086.59万</t>
  </si>
  <si>
    <t>8999.41万</t>
  </si>
  <si>
    <t>451.17万</t>
  </si>
  <si>
    <t>-5682.02万</t>
  </si>
  <si>
    <t>9668.05万</t>
  </si>
  <si>
    <t>8155.78万</t>
  </si>
  <si>
    <t>154.09万</t>
  </si>
  <si>
    <t>600.06万</t>
  </si>
  <si>
    <t>4078533亿</t>
  </si>
  <si>
    <t>25637129亿</t>
  </si>
  <si>
    <t>62975031亿</t>
  </si>
  <si>
    <t>285.00万</t>
  </si>
  <si>
    <t>1431630000亿</t>
  </si>
  <si>
    <t>1881.49万</t>
  </si>
  <si>
    <t>7314.42万</t>
  </si>
  <si>
    <t>7030.44万</t>
  </si>
  <si>
    <t>3506.51万</t>
  </si>
  <si>
    <t>4566.26万</t>
  </si>
  <si>
    <t>-660.82万</t>
  </si>
  <si>
    <t>2770.85万</t>
  </si>
  <si>
    <t>9456.26万</t>
  </si>
  <si>
    <t>282.34万</t>
  </si>
  <si>
    <t>734.67万</t>
  </si>
  <si>
    <t>1253.64万</t>
  </si>
  <si>
    <t>211662亿</t>
  </si>
  <si>
    <t>3.97万</t>
  </si>
  <si>
    <t>22801690亿</t>
  </si>
  <si>
    <t>190283250亿</t>
  </si>
  <si>
    <t>2897.25万</t>
  </si>
  <si>
    <t>1676358700亿</t>
  </si>
  <si>
    <t>9078.69万</t>
  </si>
  <si>
    <t>9000.00万</t>
  </si>
  <si>
    <t>721.92万</t>
  </si>
  <si>
    <t>8351.71万</t>
  </si>
  <si>
    <t>2816.01万</t>
  </si>
  <si>
    <t>5768.41万</t>
  </si>
  <si>
    <t>6900.54万</t>
  </si>
  <si>
    <t>9541.73万</t>
  </si>
  <si>
    <t>1887.33万</t>
  </si>
  <si>
    <t>10派5.6元(含税)</t>
  </si>
  <si>
    <t>1393.77万</t>
  </si>
  <si>
    <t>3626.45万</t>
  </si>
  <si>
    <t>104.77万</t>
  </si>
  <si>
    <t>9947.85万</t>
  </si>
  <si>
    <t>4535.50万</t>
  </si>
  <si>
    <t>9014.08万</t>
  </si>
  <si>
    <t>7159.74万</t>
  </si>
  <si>
    <t>103.66万</t>
  </si>
  <si>
    <t>1118.26万</t>
  </si>
  <si>
    <t>37267亿</t>
  </si>
  <si>
    <t>8684978亿</t>
  </si>
  <si>
    <t>6360.00万</t>
  </si>
  <si>
    <t>106213779亿</t>
  </si>
  <si>
    <t>1989.86万</t>
  </si>
  <si>
    <t>481333810亿</t>
  </si>
  <si>
    <t>3891.78万</t>
  </si>
  <si>
    <t>1783.88万</t>
  </si>
  <si>
    <t>6534.37万</t>
  </si>
  <si>
    <t>7.80万</t>
  </si>
  <si>
    <t>2807.30万</t>
  </si>
  <si>
    <t>-1.90亿</t>
  </si>
  <si>
    <t>-133.58万</t>
  </si>
  <si>
    <t>3225.01万</t>
  </si>
  <si>
    <t>1837.67万</t>
  </si>
  <si>
    <t>961.31万</t>
  </si>
  <si>
    <t>8151.63万</t>
  </si>
  <si>
    <t>339.24万</t>
  </si>
  <si>
    <t>20.17亿</t>
  </si>
  <si>
    <t>7549.76万</t>
  </si>
  <si>
    <t>704.05万</t>
  </si>
  <si>
    <t>1928.05万</t>
  </si>
  <si>
    <t>29113亿</t>
  </si>
  <si>
    <t>-5718008亿</t>
  </si>
  <si>
    <t>321441360亿</t>
  </si>
  <si>
    <t>165.87万</t>
  </si>
  <si>
    <t>1604326300亿</t>
  </si>
  <si>
    <t>6696.34万</t>
  </si>
  <si>
    <t>5454.58万</t>
  </si>
  <si>
    <t>5236.65万</t>
  </si>
  <si>
    <t>39.19万</t>
  </si>
  <si>
    <t>328.32万</t>
  </si>
  <si>
    <t>-262.37万</t>
  </si>
  <si>
    <t>-2408.57万</t>
  </si>
  <si>
    <t>3185.54万</t>
  </si>
  <si>
    <t>-1546.56万</t>
  </si>
  <si>
    <t>2659.31万</t>
  </si>
  <si>
    <t>2445.14万</t>
  </si>
  <si>
    <t>125.15万</t>
  </si>
  <si>
    <t>4103.68万</t>
  </si>
  <si>
    <t>329.53万</t>
  </si>
  <si>
    <t>1294.38万</t>
  </si>
  <si>
    <t>1445308亿</t>
  </si>
  <si>
    <t>27014844亿</t>
  </si>
  <si>
    <t>120952722亿</t>
  </si>
  <si>
    <t>4626.64万</t>
  </si>
  <si>
    <t>1315134240亿</t>
  </si>
  <si>
    <t>1812.47万</t>
  </si>
  <si>
    <t>4995.95万</t>
  </si>
  <si>
    <t>2821.48万</t>
  </si>
  <si>
    <t>-1264.43万</t>
  </si>
  <si>
    <t>4976.33万</t>
  </si>
  <si>
    <t>1571.80万</t>
  </si>
  <si>
    <t>1006.42万</t>
  </si>
  <si>
    <t>5379.51万</t>
  </si>
  <si>
    <t>114.24万</t>
  </si>
  <si>
    <t>488.78万</t>
  </si>
  <si>
    <t>1695.24万</t>
  </si>
  <si>
    <t>-660.6亿</t>
  </si>
  <si>
    <t>22499294亿</t>
  </si>
  <si>
    <t>316492990亿</t>
  </si>
  <si>
    <t>935769020亿</t>
  </si>
  <si>
    <t>7792.59万</t>
  </si>
  <si>
    <t>3520.76万</t>
  </si>
  <si>
    <t>2920.54万</t>
  </si>
  <si>
    <t>-4493.99万</t>
  </si>
  <si>
    <t>-6831.20万</t>
  </si>
  <si>
    <t>4149.39万</t>
  </si>
  <si>
    <t>9.03亿</t>
  </si>
  <si>
    <t>7264.69万</t>
  </si>
  <si>
    <t>1527.58万</t>
  </si>
  <si>
    <t>10转4股派1.249766元(含税)</t>
  </si>
  <si>
    <t>1051.14万</t>
  </si>
  <si>
    <t>66.49万</t>
  </si>
  <si>
    <t>8.79亿</t>
  </si>
  <si>
    <t>8846.09万</t>
  </si>
  <si>
    <t>6026.51万</t>
  </si>
  <si>
    <t>6806.89万</t>
  </si>
  <si>
    <t>5320.05万</t>
  </si>
  <si>
    <t>341.78万</t>
  </si>
  <si>
    <t>432.00万</t>
  </si>
  <si>
    <t>2400436亿</t>
  </si>
  <si>
    <t>6.40万</t>
  </si>
  <si>
    <t>17086972亿</t>
  </si>
  <si>
    <t>147050730亿</t>
  </si>
  <si>
    <t>2530.96万</t>
  </si>
  <si>
    <t>784428570亿</t>
  </si>
  <si>
    <t>6952.19万</t>
  </si>
  <si>
    <t>1627.48万</t>
  </si>
  <si>
    <t>6749.59万</t>
  </si>
  <si>
    <t>-398.19万</t>
  </si>
  <si>
    <t>-2553.55万</t>
  </si>
  <si>
    <t>4753.41万</t>
  </si>
  <si>
    <t>6403.01万</t>
  </si>
  <si>
    <t>1296.76万</t>
  </si>
  <si>
    <t>10派4.42元(含税)</t>
  </si>
  <si>
    <t>484.37万</t>
  </si>
  <si>
    <t>5208.10万</t>
  </si>
  <si>
    <t>374.40万</t>
  </si>
  <si>
    <t>5206.47万</t>
  </si>
  <si>
    <t>645.15万</t>
  </si>
  <si>
    <t>689272亿</t>
  </si>
  <si>
    <t>13.18万</t>
  </si>
  <si>
    <t>16444705亿</t>
  </si>
  <si>
    <t>114317595亿</t>
  </si>
  <si>
    <t>572584100亿</t>
  </si>
  <si>
    <t>8455.09万</t>
  </si>
  <si>
    <t>7386.66万</t>
  </si>
  <si>
    <t>75.84万</t>
  </si>
  <si>
    <t>9151.33万</t>
  </si>
  <si>
    <t>6.00万</t>
  </si>
  <si>
    <t>784.66万</t>
  </si>
  <si>
    <t>2107.52万</t>
  </si>
  <si>
    <t>4292.31万</t>
  </si>
  <si>
    <t>-2593.33万</t>
  </si>
  <si>
    <t>7306.18万</t>
  </si>
  <si>
    <t>8566.76万</t>
  </si>
  <si>
    <t>1697.13万</t>
  </si>
  <si>
    <t>1368.97万</t>
  </si>
  <si>
    <t>6133.65万</t>
  </si>
  <si>
    <t>8-1</t>
  </si>
  <si>
    <t>105.96万</t>
  </si>
  <si>
    <t>20.86亿</t>
  </si>
  <si>
    <t>8053.33万</t>
  </si>
  <si>
    <t>501.79万</t>
  </si>
  <si>
    <t>761.45万</t>
  </si>
  <si>
    <t>4281765亿</t>
  </si>
  <si>
    <t>3.52万</t>
  </si>
  <si>
    <t>27192835亿</t>
  </si>
  <si>
    <t>921050310亿</t>
  </si>
  <si>
    <t>2746857900亿</t>
  </si>
  <si>
    <t>7001.56万</t>
  </si>
  <si>
    <t>-2097.77万</t>
  </si>
  <si>
    <t>-1611.94万</t>
  </si>
  <si>
    <t>4794.65万</t>
  </si>
  <si>
    <t>641.76万</t>
  </si>
  <si>
    <t>530.27万</t>
  </si>
  <si>
    <t>5251.96万</t>
  </si>
  <si>
    <t>61.52万</t>
  </si>
  <si>
    <t>19.80亿</t>
  </si>
  <si>
    <t>8008.21万</t>
  </si>
  <si>
    <t>968.36万</t>
  </si>
  <si>
    <t>162699亿</t>
  </si>
  <si>
    <t>4.58万</t>
  </si>
  <si>
    <t>30926305亿</t>
  </si>
  <si>
    <t>206289740亿</t>
  </si>
  <si>
    <t>311.89万</t>
  </si>
  <si>
    <t>1660205400亿</t>
  </si>
  <si>
    <t>3498.47万</t>
  </si>
  <si>
    <t>3490.00万</t>
  </si>
  <si>
    <t>989.80万</t>
  </si>
  <si>
    <t>-5540.51万</t>
  </si>
  <si>
    <t>-5.79亿</t>
  </si>
  <si>
    <t>-3674.21万</t>
  </si>
  <si>
    <t>8041.98万</t>
  </si>
  <si>
    <t>1694.00万</t>
  </si>
  <si>
    <t>10转2股派10元(含税)</t>
  </si>
  <si>
    <t>290.77万</t>
  </si>
  <si>
    <t>2033.26万</t>
  </si>
  <si>
    <t>70.11万</t>
  </si>
  <si>
    <t>8990.24万</t>
  </si>
  <si>
    <t>8234.63万</t>
  </si>
  <si>
    <t>6310.69万</t>
  </si>
  <si>
    <t>5278.86万</t>
  </si>
  <si>
    <t>221.46万</t>
  </si>
  <si>
    <t>563.78万</t>
  </si>
  <si>
    <t>17031399亿</t>
  </si>
  <si>
    <t>140771620亿</t>
  </si>
  <si>
    <t>145.00万</t>
  </si>
  <si>
    <t>777482050亿</t>
  </si>
  <si>
    <t>7874.90万</t>
  </si>
  <si>
    <t>2443.62万</t>
  </si>
  <si>
    <t>4235.46万</t>
  </si>
  <si>
    <t>-395.09万</t>
  </si>
  <si>
    <t>-2.28亿</t>
  </si>
  <si>
    <t>9850.99万</t>
  </si>
  <si>
    <t>1295.91万</t>
  </si>
  <si>
    <t>399.52万</t>
  </si>
  <si>
    <t>3238.31万</t>
  </si>
  <si>
    <t>89.58万</t>
  </si>
  <si>
    <t>5457.51万</t>
  </si>
  <si>
    <t>481.17万</t>
  </si>
  <si>
    <t>629.40万</t>
  </si>
  <si>
    <t>2776458亿</t>
  </si>
  <si>
    <t>4.80万</t>
  </si>
  <si>
    <t>15601487亿</t>
  </si>
  <si>
    <t>248447040亿</t>
  </si>
  <si>
    <t>1679953100亿</t>
  </si>
  <si>
    <t>2074.44万</t>
  </si>
  <si>
    <t>-9375.01万</t>
  </si>
  <si>
    <t>5076.28万</t>
  </si>
  <si>
    <t>-1971.49万</t>
  </si>
  <si>
    <t>9914.49万</t>
  </si>
  <si>
    <t>1280.37万</t>
  </si>
  <si>
    <t>573.56万</t>
  </si>
  <si>
    <t>5869.25万</t>
  </si>
  <si>
    <t>054575100</t>
  </si>
  <si>
    <t>0163725300</t>
  </si>
  <si>
    <t>0327450600</t>
  </si>
  <si>
    <t>0545751000</t>
  </si>
  <si>
    <t>01091502000</t>
  </si>
  <si>
    <t>116-1</t>
  </si>
  <si>
    <t>112.17万</t>
  </si>
  <si>
    <t>86.68亿</t>
  </si>
  <si>
    <t>371.10万</t>
  </si>
  <si>
    <t>1417.22万</t>
  </si>
  <si>
    <t>1770197亿</t>
  </si>
  <si>
    <t>20.24万</t>
  </si>
  <si>
    <t>7834886亿</t>
  </si>
  <si>
    <t>235574470亿</t>
  </si>
  <si>
    <t>137.72万</t>
  </si>
  <si>
    <t>896133940亿</t>
  </si>
  <si>
    <t>5422.51万</t>
  </si>
  <si>
    <t>141.98万</t>
  </si>
  <si>
    <t>7472.23万</t>
  </si>
  <si>
    <t>7003.08万</t>
  </si>
  <si>
    <t>1884.99万</t>
  </si>
  <si>
    <t>-72.61万</t>
  </si>
  <si>
    <t>6420.13万</t>
  </si>
  <si>
    <t>4636.68万</t>
  </si>
  <si>
    <t>10派1.4元(含税)</t>
  </si>
  <si>
    <t>7850.24万</t>
  </si>
  <si>
    <t>185.19万</t>
  </si>
  <si>
    <t>7263.07万</t>
  </si>
  <si>
    <t>314.50万</t>
  </si>
  <si>
    <t>2743.98万</t>
  </si>
  <si>
    <t>1808845亿</t>
  </si>
  <si>
    <t>1.46万</t>
  </si>
  <si>
    <t>19370363亿</t>
  </si>
  <si>
    <t>435191290亿</t>
  </si>
  <si>
    <t>2593.20万</t>
  </si>
  <si>
    <t>1191566990亿</t>
  </si>
  <si>
    <t>9778.92万</t>
  </si>
  <si>
    <t>1689.26万</t>
  </si>
  <si>
    <t>2951.68万</t>
  </si>
  <si>
    <t>-433.12万</t>
  </si>
  <si>
    <t>8414.74万</t>
  </si>
  <si>
    <t>1391.18万</t>
  </si>
  <si>
    <t>1251.53万</t>
  </si>
  <si>
    <t>6211.05万</t>
  </si>
  <si>
    <t>361.34万</t>
  </si>
  <si>
    <t>457.48万</t>
  </si>
  <si>
    <t>556.66万</t>
  </si>
  <si>
    <t>-161206亿</t>
  </si>
  <si>
    <t>12735559亿</t>
  </si>
  <si>
    <t>7681.48万</t>
  </si>
  <si>
    <t>203997130亿</t>
  </si>
  <si>
    <t>1807.40万</t>
  </si>
  <si>
    <t>496357820亿</t>
  </si>
  <si>
    <t>3702.42万</t>
  </si>
  <si>
    <t>-5148.63万</t>
  </si>
  <si>
    <t>1791.42万</t>
  </si>
  <si>
    <t>6811.06万</t>
  </si>
  <si>
    <t>5212.35万</t>
  </si>
  <si>
    <t>4313.65万</t>
  </si>
  <si>
    <t>7294.31万</t>
  </si>
  <si>
    <t>2281.64万</t>
  </si>
  <si>
    <t>2133.31万</t>
  </si>
  <si>
    <t>20-1</t>
  </si>
  <si>
    <t>683.25万</t>
  </si>
  <si>
    <t>5739.85万</t>
  </si>
  <si>
    <t>232.49万</t>
  </si>
  <si>
    <t>724.60万</t>
  </si>
  <si>
    <t>477342亿</t>
  </si>
  <si>
    <t>800.05万</t>
  </si>
  <si>
    <t>39010534亿</t>
  </si>
  <si>
    <t>12.10亿</t>
  </si>
  <si>
    <t>202304790亿</t>
  </si>
  <si>
    <t>1715583600亿</t>
  </si>
  <si>
    <t>3707.50万</t>
  </si>
  <si>
    <t>300.32万</t>
  </si>
  <si>
    <t>2488.99万</t>
  </si>
  <si>
    <t>-1679.24万</t>
  </si>
  <si>
    <t>-49.30万</t>
  </si>
  <si>
    <t>1170.80万</t>
  </si>
  <si>
    <t>3048.75万</t>
  </si>
  <si>
    <t>11-1</t>
  </si>
  <si>
    <t>219.39万</t>
  </si>
  <si>
    <t>50.66亿</t>
  </si>
  <si>
    <t>54.95亿</t>
  </si>
  <si>
    <t>15.73亿</t>
  </si>
  <si>
    <t>1269.03万</t>
  </si>
  <si>
    <t>29600263亿</t>
  </si>
  <si>
    <t>11.98万</t>
  </si>
  <si>
    <t>2004559亿</t>
  </si>
  <si>
    <t>1973140700亿</t>
  </si>
  <si>
    <t>6796943100亿</t>
  </si>
  <si>
    <t>9034.13万</t>
  </si>
  <si>
    <t>27.19亿</t>
  </si>
  <si>
    <t>494.42万</t>
  </si>
  <si>
    <t>6994.54万</t>
  </si>
  <si>
    <t>-2.80亿</t>
  </si>
  <si>
    <t>-3293.19万</t>
  </si>
  <si>
    <t>68.15亿</t>
  </si>
  <si>
    <t>2217.96万</t>
  </si>
  <si>
    <t>-261.96万</t>
  </si>
  <si>
    <t>1036.72万</t>
  </si>
  <si>
    <t>6895.36万</t>
  </si>
  <si>
    <t>012690300</t>
  </si>
  <si>
    <t>038070900</t>
  </si>
  <si>
    <t>076141800</t>
  </si>
  <si>
    <t>0126903000</t>
  </si>
  <si>
    <t>0253806000</t>
  </si>
  <si>
    <t>107.93万</t>
  </si>
  <si>
    <t>-1490.86万</t>
  </si>
  <si>
    <t>-1705460亿</t>
  </si>
  <si>
    <t>260092310亿</t>
  </si>
  <si>
    <t>1028880950亿</t>
  </si>
  <si>
    <t>68.85万</t>
  </si>
  <si>
    <t>6045.45万</t>
  </si>
  <si>
    <t>-189.38万</t>
  </si>
  <si>
    <t>-704.56万</t>
  </si>
  <si>
    <t>6.96亿</t>
  </si>
  <si>
    <t>8490.45万</t>
  </si>
  <si>
    <t>66.08万</t>
  </si>
  <si>
    <t>-343.44万</t>
  </si>
  <si>
    <t>569.51万</t>
  </si>
  <si>
    <t>4125.30万</t>
  </si>
  <si>
    <t>45.50亿</t>
  </si>
  <si>
    <t>35.00亿</t>
  </si>
  <si>
    <t>73.44亿</t>
  </si>
  <si>
    <t>-3170287亿</t>
  </si>
  <si>
    <t>83.20万</t>
  </si>
  <si>
    <t>-25839849亿</t>
  </si>
  <si>
    <t>17.13亿</t>
  </si>
  <si>
    <t>987698440亿</t>
  </si>
  <si>
    <t>4732443800亿</t>
  </si>
  <si>
    <t>16.03亿</t>
  </si>
  <si>
    <t>-6980.66万</t>
  </si>
  <si>
    <t>5465.20万</t>
  </si>
  <si>
    <t>54.04亿</t>
  </si>
  <si>
    <t>405.51万</t>
  </si>
  <si>
    <t>8256.53万</t>
  </si>
  <si>
    <t>10派0.026元(含税)</t>
  </si>
  <si>
    <t>86.37万</t>
  </si>
  <si>
    <t>18.47亿</t>
  </si>
  <si>
    <t>21.34亿</t>
  </si>
  <si>
    <t>165.86亿</t>
  </si>
  <si>
    <t>39.13万</t>
  </si>
  <si>
    <t>46289889亿</t>
  </si>
  <si>
    <t>1894265800亿</t>
  </si>
  <si>
    <t>2745752500亿</t>
  </si>
  <si>
    <t>6113.12万</t>
  </si>
  <si>
    <t>-4590.99万</t>
  </si>
  <si>
    <t>-4318.41万</t>
  </si>
  <si>
    <t>9452.34万</t>
  </si>
  <si>
    <t>3442.13万</t>
  </si>
  <si>
    <t>41.64亿</t>
  </si>
  <si>
    <t>37.56亿</t>
  </si>
  <si>
    <t>321.20万</t>
  </si>
  <si>
    <t>2637.50万</t>
  </si>
  <si>
    <t>193.36万</t>
  </si>
  <si>
    <t>32.23亿</t>
  </si>
  <si>
    <t>288.44亿</t>
  </si>
  <si>
    <t>34.74亿</t>
  </si>
  <si>
    <t>4734364亿</t>
  </si>
  <si>
    <t>35.59万</t>
  </si>
  <si>
    <t>18424200亿</t>
  </si>
  <si>
    <t>1214749630亿</t>
  </si>
  <si>
    <t>4518869400亿</t>
  </si>
  <si>
    <t>1222.44万</t>
  </si>
  <si>
    <t>4567.17万</t>
  </si>
  <si>
    <t>48.19亿</t>
  </si>
  <si>
    <t>68.34亿</t>
  </si>
  <si>
    <t>9722.10万</t>
  </si>
  <si>
    <t>1413.98万</t>
  </si>
  <si>
    <t>1964.62万</t>
  </si>
  <si>
    <t>33.14亿</t>
  </si>
  <si>
    <t>69.33亿</t>
  </si>
  <si>
    <t>2275.16万</t>
  </si>
  <si>
    <t>13.73亿</t>
  </si>
  <si>
    <t>11.98亿</t>
  </si>
  <si>
    <t>5170.23万</t>
  </si>
  <si>
    <t>3714.35万</t>
  </si>
  <si>
    <t>-3262361亿</t>
  </si>
  <si>
    <t>587.22万</t>
  </si>
  <si>
    <t>68768302亿</t>
  </si>
  <si>
    <t>990030800亿</t>
  </si>
  <si>
    <t>3771820500亿</t>
  </si>
  <si>
    <t>26.15亿</t>
  </si>
  <si>
    <t>-6411.13万</t>
  </si>
  <si>
    <t>-1966.58万</t>
  </si>
  <si>
    <t>-5915.02万</t>
  </si>
  <si>
    <t>57.39亿</t>
  </si>
  <si>
    <t>1342.09万</t>
  </si>
  <si>
    <t>8311.32万</t>
  </si>
  <si>
    <t>1011.72万</t>
  </si>
  <si>
    <t>99.84亿</t>
  </si>
  <si>
    <t>93.81亿</t>
  </si>
  <si>
    <t>231.49亿</t>
  </si>
  <si>
    <t>40.41亿</t>
  </si>
  <si>
    <t>8857.68万</t>
  </si>
  <si>
    <t>25924250亿</t>
  </si>
  <si>
    <t>134.82万</t>
  </si>
  <si>
    <t>199020860亿</t>
  </si>
  <si>
    <t>33.19亿</t>
  </si>
  <si>
    <t>4694467200亿</t>
  </si>
  <si>
    <t>12394971600亿</t>
  </si>
  <si>
    <t>35.73亿</t>
  </si>
  <si>
    <t>86.93亿</t>
  </si>
  <si>
    <t>7603.10万</t>
  </si>
  <si>
    <t>187.02亿</t>
  </si>
  <si>
    <t>54.63亿</t>
  </si>
  <si>
    <t>5841.47万</t>
  </si>
  <si>
    <t>296.90万</t>
  </si>
  <si>
    <t>8.30亿</t>
  </si>
  <si>
    <t>30.43亿</t>
  </si>
  <si>
    <t>84.86亿</t>
  </si>
  <si>
    <t>8553.98万</t>
  </si>
  <si>
    <t>691.54万</t>
  </si>
  <si>
    <t>4951.73万</t>
  </si>
  <si>
    <t>4720583亿</t>
  </si>
  <si>
    <t>30.04万</t>
  </si>
  <si>
    <t>26691931亿</t>
  </si>
  <si>
    <t>988930140亿</t>
  </si>
  <si>
    <t>2025689000亿</t>
  </si>
  <si>
    <t>40.00万</t>
  </si>
  <si>
    <t>1257.60万</t>
  </si>
  <si>
    <t>2.06万</t>
  </si>
  <si>
    <t>-7341.82万</t>
  </si>
  <si>
    <t>-2973.42万</t>
  </si>
  <si>
    <t>-181.13万</t>
  </si>
  <si>
    <t>23.35亿</t>
  </si>
  <si>
    <t>1583.26万</t>
  </si>
  <si>
    <t>10派1.22元(含税)</t>
  </si>
  <si>
    <t>1394.42万</t>
  </si>
  <si>
    <t>928.59万</t>
  </si>
  <si>
    <t>14.76亿</t>
  </si>
  <si>
    <t>563.52万</t>
  </si>
  <si>
    <t>4027.81万</t>
  </si>
  <si>
    <t>54486385亿</t>
  </si>
  <si>
    <t>276.57万</t>
  </si>
  <si>
    <t>44141680亿</t>
  </si>
  <si>
    <t>17.96亿</t>
  </si>
  <si>
    <t>256020130亿</t>
  </si>
  <si>
    <t>206.13万</t>
  </si>
  <si>
    <t>2409385300亿</t>
  </si>
  <si>
    <t>5823.48万</t>
  </si>
  <si>
    <t>105.00万</t>
  </si>
  <si>
    <t>11.11亿</t>
  </si>
  <si>
    <t>22.19亿</t>
  </si>
  <si>
    <t>-5702.57万</t>
  </si>
  <si>
    <t>-650.71万</t>
  </si>
  <si>
    <t>51.40亿</t>
  </si>
  <si>
    <t>-1174.32万</t>
  </si>
  <si>
    <t>4297.86万</t>
  </si>
  <si>
    <t>424.01万</t>
  </si>
  <si>
    <t>73.01亿</t>
  </si>
  <si>
    <t>35.36亿</t>
  </si>
  <si>
    <t>28.97亿</t>
  </si>
  <si>
    <t>11.34亿</t>
  </si>
  <si>
    <t>3165.73万</t>
  </si>
  <si>
    <t>26.74亿</t>
  </si>
  <si>
    <t>4811.57万</t>
  </si>
  <si>
    <t>16625100亿</t>
  </si>
  <si>
    <t>51.01万</t>
  </si>
  <si>
    <t>-10441143亿</t>
  </si>
  <si>
    <t>13.05亿</t>
  </si>
  <si>
    <t>1932418400亿</t>
  </si>
  <si>
    <t>4943.01万</t>
  </si>
  <si>
    <t>4783871500亿</t>
  </si>
  <si>
    <t>5467.52万</t>
  </si>
  <si>
    <t>18.25亿</t>
  </si>
  <si>
    <t>63.95万</t>
  </si>
  <si>
    <t>-5784.26万</t>
  </si>
  <si>
    <t>-7471.11万</t>
  </si>
  <si>
    <t>-6.84亿</t>
  </si>
  <si>
    <t>116.68亿</t>
  </si>
  <si>
    <t>-3.47亿</t>
  </si>
  <si>
    <t>2390.87万</t>
  </si>
  <si>
    <t>2698.97万</t>
  </si>
  <si>
    <t>094971900</t>
  </si>
  <si>
    <t>0189943800</t>
  </si>
  <si>
    <t>0316573000</t>
  </si>
  <si>
    <t>0633146000</t>
  </si>
  <si>
    <t>1042.96万</t>
  </si>
  <si>
    <t>252.19亿</t>
  </si>
  <si>
    <t>328.47亿</t>
  </si>
  <si>
    <t>88.36亿</t>
  </si>
  <si>
    <t>9.66亿</t>
  </si>
  <si>
    <t>70.46亿</t>
  </si>
  <si>
    <t>55.82亿</t>
  </si>
  <si>
    <t>-209487510亿</t>
  </si>
  <si>
    <t>370.68万</t>
  </si>
  <si>
    <t>1517878500亿</t>
  </si>
  <si>
    <t>206.31亿</t>
  </si>
  <si>
    <t>6482926900亿</t>
  </si>
  <si>
    <t>36007772000亿</t>
  </si>
  <si>
    <t>51.58亿</t>
  </si>
  <si>
    <t>61.84亿</t>
  </si>
  <si>
    <t>30.22亿</t>
  </si>
  <si>
    <t>24.47亿</t>
  </si>
  <si>
    <t>156.27亿</t>
  </si>
  <si>
    <t>95.95亿</t>
  </si>
  <si>
    <t>-10.23亿</t>
  </si>
  <si>
    <t>331.61亿</t>
  </si>
  <si>
    <t>56.29亿</t>
  </si>
  <si>
    <t>-2976.14万</t>
  </si>
  <si>
    <t>10派13元(含税)</t>
  </si>
  <si>
    <t>4855.92万</t>
  </si>
  <si>
    <t>377.98万</t>
  </si>
  <si>
    <t>557.28亿</t>
  </si>
  <si>
    <t>8746.37万</t>
  </si>
  <si>
    <t>262.35万</t>
  </si>
  <si>
    <t>858.97万</t>
  </si>
  <si>
    <t>110.84万</t>
  </si>
  <si>
    <t>-1821614亿</t>
  </si>
  <si>
    <t>221172390亿</t>
  </si>
  <si>
    <t>5455.17万</t>
  </si>
  <si>
    <t>789461070亿</t>
  </si>
  <si>
    <t>1207.94万</t>
  </si>
  <si>
    <t>5899.02万</t>
  </si>
  <si>
    <t>139.39万</t>
  </si>
  <si>
    <t>-2115.11万</t>
  </si>
  <si>
    <t>-166.97万</t>
  </si>
  <si>
    <t>132.22亿</t>
  </si>
  <si>
    <t>285.20万</t>
  </si>
  <si>
    <t>2589.36万</t>
  </si>
  <si>
    <t>1552.55万</t>
  </si>
  <si>
    <t>377.60亿</t>
  </si>
  <si>
    <t>197.65亿</t>
  </si>
  <si>
    <t>132.78亿</t>
  </si>
  <si>
    <t>70.81亿</t>
  </si>
  <si>
    <t>17.71亿</t>
  </si>
  <si>
    <t>112.18亿</t>
  </si>
  <si>
    <t>33044754亿</t>
  </si>
  <si>
    <t>226.85万</t>
  </si>
  <si>
    <t>311317620亿</t>
  </si>
  <si>
    <t>66.97亿</t>
  </si>
  <si>
    <t>7774530800亿</t>
  </si>
  <si>
    <t>6.03亿</t>
  </si>
  <si>
    <t>28428804000亿</t>
  </si>
  <si>
    <t>44.89亿</t>
  </si>
  <si>
    <t>9778.20万</t>
  </si>
  <si>
    <t>92.64亿</t>
  </si>
  <si>
    <t>215.83亿</t>
  </si>
  <si>
    <t>141.06亿</t>
  </si>
  <si>
    <t>-9.83亿</t>
  </si>
  <si>
    <t>10派2.6元(含税)</t>
  </si>
  <si>
    <t>6201.77万</t>
  </si>
  <si>
    <t>01771000000</t>
  </si>
  <si>
    <t>05313000000</t>
  </si>
  <si>
    <t>010626000000</t>
  </si>
  <si>
    <t>017710000000</t>
  </si>
  <si>
    <t>035420000000</t>
  </si>
  <si>
    <t>1002.36万</t>
  </si>
  <si>
    <t>1145.16亿</t>
  </si>
  <si>
    <t>630.00亿</t>
  </si>
  <si>
    <t>370.21亿</t>
  </si>
  <si>
    <t>207.66亿</t>
  </si>
  <si>
    <t>363.24亿</t>
  </si>
  <si>
    <t>323.78亿</t>
  </si>
  <si>
    <t>515870760亿</t>
  </si>
  <si>
    <t>4054.57万</t>
  </si>
  <si>
    <t>1084993430亿</t>
  </si>
  <si>
    <t>414.68亿</t>
  </si>
  <si>
    <t>34262956000亿</t>
  </si>
  <si>
    <t>115331711000亿</t>
  </si>
  <si>
    <t>38.51亿</t>
  </si>
  <si>
    <t>115.06亿</t>
  </si>
  <si>
    <t>101.17亿</t>
  </si>
  <si>
    <t>525.28亿</t>
  </si>
  <si>
    <t>1016.01亿</t>
  </si>
  <si>
    <t>29.60亿</t>
  </si>
  <si>
    <t>12.24亿</t>
  </si>
  <si>
    <t>-5.28亿</t>
  </si>
  <si>
    <t>1685.94亿</t>
  </si>
  <si>
    <t>72.14亿</t>
  </si>
  <si>
    <t>6872.35万</t>
  </si>
  <si>
    <t>10派7.5元(含税)</t>
  </si>
  <si>
    <t>5924.51万</t>
  </si>
  <si>
    <t>0521000000</t>
  </si>
  <si>
    <t>01563000000</t>
  </si>
  <si>
    <t>03126000000</t>
  </si>
  <si>
    <t>05210000000</t>
  </si>
  <si>
    <t>010420000000</t>
  </si>
  <si>
    <t>510.09万</t>
  </si>
  <si>
    <t>126.04亿</t>
  </si>
  <si>
    <t>98.36亿</t>
  </si>
  <si>
    <t>45.04亿</t>
  </si>
  <si>
    <t>159.86亿</t>
  </si>
  <si>
    <t>-15.37亿</t>
  </si>
  <si>
    <t>44.48亿</t>
  </si>
  <si>
    <t>40.74亿</t>
  </si>
  <si>
    <t>1577.33万</t>
  </si>
  <si>
    <t>50527539亿</t>
  </si>
  <si>
    <t>47.52万</t>
  </si>
  <si>
    <t>74686241亿</t>
  </si>
  <si>
    <t>69.61亿</t>
  </si>
  <si>
    <t>2220558600亿</t>
  </si>
  <si>
    <t>29.67亿</t>
  </si>
  <si>
    <t>13900729000亿</t>
  </si>
  <si>
    <t>7885.68万</t>
  </si>
  <si>
    <t>55.43亿</t>
  </si>
  <si>
    <t>111.34万</t>
  </si>
  <si>
    <t>109.57亿</t>
  </si>
  <si>
    <t>-239.08万</t>
  </si>
  <si>
    <t>14.63亿</t>
  </si>
  <si>
    <t>-8511.52万</t>
  </si>
  <si>
    <t>10派2.50元(含税)</t>
  </si>
  <si>
    <t>2747.70万</t>
  </si>
  <si>
    <t>559.88万</t>
  </si>
  <si>
    <t>125.99亿</t>
  </si>
  <si>
    <t>52.35亿</t>
  </si>
  <si>
    <t>37.90亿</t>
  </si>
  <si>
    <t>9073.86万</t>
  </si>
  <si>
    <t>21.16亿</t>
  </si>
  <si>
    <t>17.76亿</t>
  </si>
  <si>
    <t>9778.24万</t>
  </si>
  <si>
    <t>15646254亿</t>
  </si>
  <si>
    <t>85.61万</t>
  </si>
  <si>
    <t>-297503960亿</t>
  </si>
  <si>
    <t>54.20亿</t>
  </si>
  <si>
    <t>3259973000亿</t>
  </si>
  <si>
    <t>12646387100亿</t>
  </si>
  <si>
    <t>30.74亿</t>
  </si>
  <si>
    <t>114.98亿</t>
  </si>
  <si>
    <t>-6.13亿</t>
  </si>
  <si>
    <t>-2.54亿</t>
  </si>
  <si>
    <t>86.81亿</t>
  </si>
  <si>
    <t>-24.63亿</t>
  </si>
  <si>
    <t>3516.23万</t>
  </si>
  <si>
    <t>3154.63万</t>
  </si>
  <si>
    <t>511.35万</t>
  </si>
  <si>
    <t>50.01亿</t>
  </si>
  <si>
    <t>79.93亿</t>
  </si>
  <si>
    <t>55.63亿</t>
  </si>
  <si>
    <t>3017.19万</t>
  </si>
  <si>
    <t>2036.79万</t>
  </si>
  <si>
    <t>8536.12万</t>
  </si>
  <si>
    <t>-7118939亿</t>
  </si>
  <si>
    <t>102.63万</t>
  </si>
  <si>
    <t>221335190亿</t>
  </si>
  <si>
    <t>1862454600亿</t>
  </si>
  <si>
    <t>3745.17万</t>
  </si>
  <si>
    <t>7403177700亿</t>
  </si>
  <si>
    <t>-5.69亿</t>
  </si>
  <si>
    <t>59.57亿</t>
  </si>
  <si>
    <t>349.49万</t>
  </si>
  <si>
    <t>1399.55万</t>
  </si>
  <si>
    <t>30.83亿</t>
  </si>
  <si>
    <t>46.48亿</t>
  </si>
  <si>
    <t>194.06亿</t>
  </si>
  <si>
    <t>10.43亿</t>
  </si>
  <si>
    <t>3986.04万</t>
  </si>
  <si>
    <t>4620.78万</t>
  </si>
  <si>
    <t>4000187亿</t>
  </si>
  <si>
    <t>21.05万</t>
  </si>
  <si>
    <t>-52947928亿</t>
  </si>
  <si>
    <t>1071218780亿</t>
  </si>
  <si>
    <t>3587797900亿</t>
  </si>
  <si>
    <t>8621.80万</t>
  </si>
  <si>
    <t>4547.93万</t>
  </si>
  <si>
    <t>4648.09万</t>
  </si>
  <si>
    <t>863.78万</t>
  </si>
  <si>
    <t>-9278.19万</t>
  </si>
  <si>
    <t>46.70亿</t>
  </si>
  <si>
    <t>45.00亿</t>
  </si>
  <si>
    <t>8678.89万</t>
  </si>
  <si>
    <t>2456.06万</t>
  </si>
  <si>
    <t>182.73亿</t>
  </si>
  <si>
    <t>178.41亿</t>
  </si>
  <si>
    <t>72.96亿</t>
  </si>
  <si>
    <t>34.83亿</t>
  </si>
  <si>
    <t>61.19亿</t>
  </si>
  <si>
    <t>52.76亿</t>
  </si>
  <si>
    <t>30931667亿</t>
  </si>
  <si>
    <t>244.17万</t>
  </si>
  <si>
    <t>1014867760亿</t>
  </si>
  <si>
    <t>46.91亿</t>
  </si>
  <si>
    <t>4096455000亿</t>
  </si>
  <si>
    <t>1862.67万</t>
  </si>
  <si>
    <t>16779223000亿</t>
  </si>
  <si>
    <t>43.31亿</t>
  </si>
  <si>
    <t>30.40亿</t>
  </si>
  <si>
    <t>10.99万</t>
  </si>
  <si>
    <t>144.28亿</t>
  </si>
  <si>
    <t>-14.44亿</t>
  </si>
  <si>
    <t>259.78亿</t>
  </si>
  <si>
    <t>01467000000</t>
  </si>
  <si>
    <t>04401000000</t>
  </si>
  <si>
    <t>08802000000</t>
  </si>
  <si>
    <t>014670000000</t>
  </si>
  <si>
    <t>029340000000</t>
  </si>
  <si>
    <t>460.21万</t>
  </si>
  <si>
    <t>58.86亿</t>
  </si>
  <si>
    <t>131.67亿</t>
  </si>
  <si>
    <t>23.85亿</t>
  </si>
  <si>
    <t>2108.31亿</t>
  </si>
  <si>
    <t>771.16亿</t>
  </si>
  <si>
    <t>9889.25万</t>
  </si>
  <si>
    <t>5873.58万</t>
  </si>
  <si>
    <t>60520061亿</t>
  </si>
  <si>
    <t>8.31万</t>
  </si>
  <si>
    <t>241876720亿</t>
  </si>
  <si>
    <t>20.42亿</t>
  </si>
  <si>
    <t>933840210亿</t>
  </si>
  <si>
    <t>1505.27万</t>
  </si>
  <si>
    <t>12644319300亿</t>
  </si>
  <si>
    <t>9219.46万</t>
  </si>
  <si>
    <t>8.45亿</t>
  </si>
  <si>
    <t>34.10亿</t>
  </si>
  <si>
    <t>51.97亿</t>
  </si>
  <si>
    <t>190.71万</t>
  </si>
  <si>
    <t>-1184.39万</t>
  </si>
  <si>
    <t>104.22亿</t>
  </si>
  <si>
    <t>554.10亿</t>
  </si>
  <si>
    <t>13.96亿</t>
  </si>
  <si>
    <t>251.15亿</t>
  </si>
  <si>
    <t>10派6.7元(含税)</t>
  </si>
  <si>
    <t>2524.83万</t>
  </si>
  <si>
    <t>894.76万</t>
  </si>
  <si>
    <t>36.91亿</t>
  </si>
  <si>
    <t>47.55亿</t>
  </si>
  <si>
    <t>6948.28亿</t>
  </si>
  <si>
    <t>2693.56亿</t>
  </si>
  <si>
    <t>11.45亿</t>
  </si>
  <si>
    <t>341.11万</t>
  </si>
  <si>
    <t>5017.09万</t>
  </si>
  <si>
    <t>3416366亿</t>
  </si>
  <si>
    <t>21.02万</t>
  </si>
  <si>
    <t>17619348亿</t>
  </si>
  <si>
    <t>878231690亿</t>
  </si>
  <si>
    <t>6261.84万</t>
  </si>
  <si>
    <t>4500010600亿</t>
  </si>
  <si>
    <t>-1.53亿</t>
  </si>
  <si>
    <t>5588.93万</t>
  </si>
  <si>
    <t>53.18亿</t>
  </si>
  <si>
    <t>1893.60亿</t>
  </si>
  <si>
    <t>715.54亿</t>
  </si>
  <si>
    <t>10派0.2元(含税)</t>
  </si>
  <si>
    <t>5360.00万</t>
  </si>
  <si>
    <t>2374.67万</t>
  </si>
  <si>
    <t>57.29亿</t>
  </si>
  <si>
    <t>56.18亿</t>
  </si>
  <si>
    <t>14.43亿</t>
  </si>
  <si>
    <t>36.57亿</t>
  </si>
  <si>
    <t>11.83亿</t>
  </si>
  <si>
    <t>3263.00万</t>
  </si>
  <si>
    <t>6113.57万</t>
  </si>
  <si>
    <t>5023714亿</t>
  </si>
  <si>
    <t>72.17万</t>
  </si>
  <si>
    <t>149202910亿</t>
  </si>
  <si>
    <t>1146072040亿</t>
  </si>
  <si>
    <t>4274020100亿</t>
  </si>
  <si>
    <t>20.12亿</t>
  </si>
  <si>
    <t>16.51亿</t>
  </si>
  <si>
    <t>50.64亿</t>
  </si>
  <si>
    <t>10派0.56元(含税)</t>
  </si>
  <si>
    <t>01362000000</t>
  </si>
  <si>
    <t>04086000000</t>
  </si>
  <si>
    <t>08172000000</t>
  </si>
  <si>
    <t>013620000000</t>
  </si>
  <si>
    <t>027240000000</t>
  </si>
  <si>
    <t>1159.16万</t>
  </si>
  <si>
    <t>169.55亿</t>
  </si>
  <si>
    <t>179.61亿</t>
  </si>
  <si>
    <t>29.40亿</t>
  </si>
  <si>
    <t>49.83亿</t>
  </si>
  <si>
    <t>44.12亿</t>
  </si>
  <si>
    <t>7823.48万</t>
  </si>
  <si>
    <t>10329464亿</t>
  </si>
  <si>
    <t>249.98万</t>
  </si>
  <si>
    <t>596005080亿</t>
  </si>
  <si>
    <t>42.59亿</t>
  </si>
  <si>
    <t>5055305200亿</t>
  </si>
  <si>
    <t>16788848000亿</t>
  </si>
  <si>
    <t>31.81亿</t>
  </si>
  <si>
    <t>28.35亿</t>
  </si>
  <si>
    <t>52.44亿</t>
  </si>
  <si>
    <t>123.31亿</t>
  </si>
  <si>
    <t>-25.58亿</t>
  </si>
  <si>
    <t>35.46亿</t>
  </si>
  <si>
    <t>197.01亿</t>
  </si>
  <si>
    <t>10转4.5股派5.56元(含税)</t>
  </si>
  <si>
    <t>6188.43万</t>
  </si>
  <si>
    <t>131.56万</t>
  </si>
  <si>
    <t>93.80亿</t>
  </si>
  <si>
    <t>24.12亿</t>
  </si>
  <si>
    <t>7586.76亿</t>
  </si>
  <si>
    <t>238.12亿</t>
  </si>
  <si>
    <t>21.96亿</t>
  </si>
  <si>
    <t>3555.30万</t>
  </si>
  <si>
    <t>6378.38万</t>
  </si>
  <si>
    <t>196.59万</t>
  </si>
  <si>
    <t>231982810亿</t>
  </si>
  <si>
    <t>2539799000亿</t>
  </si>
  <si>
    <t>18.86亿</t>
  </si>
  <si>
    <t>10073465100亿</t>
  </si>
  <si>
    <t>23.44亿</t>
  </si>
  <si>
    <t>48.10亿</t>
  </si>
  <si>
    <t>-10.76亿</t>
  </si>
  <si>
    <t>-710.79万</t>
  </si>
  <si>
    <t>102.48亿</t>
  </si>
  <si>
    <t>1765.91亿</t>
  </si>
  <si>
    <t>10派12元(含税)</t>
  </si>
  <si>
    <t>572.19万</t>
  </si>
  <si>
    <t>4030.22万</t>
  </si>
  <si>
    <t>1207.77万</t>
  </si>
  <si>
    <t>224.19亿</t>
  </si>
  <si>
    <t>212.79亿</t>
  </si>
  <si>
    <t>50.45亿</t>
  </si>
  <si>
    <t>77.60亿</t>
  </si>
  <si>
    <t>44.98亿</t>
  </si>
  <si>
    <t>38.63亿</t>
  </si>
  <si>
    <t>-147533亿</t>
  </si>
  <si>
    <t>194.97万</t>
  </si>
  <si>
    <t>427722230亿</t>
  </si>
  <si>
    <t>41.86亿</t>
  </si>
  <si>
    <t>3677651800亿</t>
  </si>
  <si>
    <t>14578757000亿</t>
  </si>
  <si>
    <t>67.42亿</t>
  </si>
  <si>
    <t>85.99亿</t>
  </si>
  <si>
    <t>35.54亿</t>
  </si>
  <si>
    <t>7.24万</t>
  </si>
  <si>
    <t>181.00亿</t>
  </si>
  <si>
    <t>-6.01亿</t>
  </si>
  <si>
    <t>201.65亿</t>
  </si>
  <si>
    <t>17.59亿</t>
  </si>
  <si>
    <t>6133.34万</t>
  </si>
  <si>
    <t>10派2.86元(含税)</t>
  </si>
  <si>
    <t>6271.78万</t>
  </si>
  <si>
    <t>0219000000</t>
  </si>
  <si>
    <t>0657000000</t>
  </si>
  <si>
    <t>01314000000</t>
  </si>
  <si>
    <t>02190000000</t>
  </si>
  <si>
    <t>04380000000</t>
  </si>
  <si>
    <t>342.73万</t>
  </si>
  <si>
    <t>17.29亿</t>
  </si>
  <si>
    <t>257.04万</t>
  </si>
  <si>
    <t>1597.38万</t>
  </si>
  <si>
    <t>216106亿</t>
  </si>
  <si>
    <t>5.95万</t>
  </si>
  <si>
    <t>9999924亿</t>
  </si>
  <si>
    <t>254350340亿</t>
  </si>
  <si>
    <t>1268180460亿</t>
  </si>
  <si>
    <t>8106.23万</t>
  </si>
  <si>
    <t>25.92万</t>
  </si>
  <si>
    <t>369.70万</t>
  </si>
  <si>
    <t>4312.19万</t>
  </si>
  <si>
    <t>1549.75万</t>
  </si>
  <si>
    <t>-2448.42万</t>
  </si>
  <si>
    <t>2548.72万</t>
  </si>
  <si>
    <t>1497.96万</t>
  </si>
  <si>
    <t>28.50亿</t>
  </si>
  <si>
    <t>1437.44万</t>
  </si>
  <si>
    <t>2869.41万</t>
  </si>
  <si>
    <t>10119亿</t>
  </si>
  <si>
    <t>14708270亿</t>
  </si>
  <si>
    <t>513180790亿</t>
  </si>
  <si>
    <t>9916.73万</t>
  </si>
  <si>
    <t>1518226400亿</t>
  </si>
  <si>
    <t>4054.02万</t>
  </si>
  <si>
    <t>-4286.16万</t>
  </si>
  <si>
    <t>-3855.90万</t>
  </si>
  <si>
    <t>2759.03万</t>
  </si>
  <si>
    <t>18.81亿</t>
  </si>
  <si>
    <t>5086.86万</t>
  </si>
  <si>
    <t>5764.10万</t>
  </si>
  <si>
    <t>10派0.58元(含税)</t>
  </si>
  <si>
    <t>7878.18万</t>
  </si>
  <si>
    <t>155.48万</t>
  </si>
  <si>
    <t>22.64亿</t>
  </si>
  <si>
    <t>42.97亿</t>
  </si>
  <si>
    <t>6396.78万</t>
  </si>
  <si>
    <t>15.59亿</t>
  </si>
  <si>
    <t>837.54万</t>
  </si>
  <si>
    <t>7474.09万</t>
  </si>
  <si>
    <t>2198131亿</t>
  </si>
  <si>
    <t>30.16万</t>
  </si>
  <si>
    <t>125767844亿</t>
  </si>
  <si>
    <t>20.33亿</t>
  </si>
  <si>
    <t>944065890亿</t>
  </si>
  <si>
    <t>4866970100亿</t>
  </si>
  <si>
    <t>5503.39万</t>
  </si>
  <si>
    <t>5416.74万</t>
  </si>
  <si>
    <t>-2707.14万</t>
  </si>
  <si>
    <t>-1023.90万</t>
  </si>
  <si>
    <t>85.83亿</t>
  </si>
  <si>
    <t>914.48万</t>
  </si>
  <si>
    <t>1137.74万</t>
  </si>
  <si>
    <t>9077.54万</t>
  </si>
  <si>
    <t>063967800</t>
  </si>
  <si>
    <t>0191903400</t>
  </si>
  <si>
    <t>0383806800</t>
  </si>
  <si>
    <t>0639678000</t>
  </si>
  <si>
    <t>01279356000</t>
  </si>
  <si>
    <t>*ST威帝</t>
  </si>
  <si>
    <t>778.56万</t>
  </si>
  <si>
    <t>1670.59万</t>
  </si>
  <si>
    <t>2053.37万</t>
  </si>
  <si>
    <t>1618.73万</t>
  </si>
  <si>
    <t>1342.39万</t>
  </si>
  <si>
    <t>83.23万</t>
  </si>
  <si>
    <t>183.64万</t>
  </si>
  <si>
    <t>60555亿</t>
  </si>
  <si>
    <t>4114862亿</t>
  </si>
  <si>
    <t>265.61万</t>
  </si>
  <si>
    <t>680542960亿</t>
  </si>
  <si>
    <t>952.82万</t>
  </si>
  <si>
    <t>1762.63万</t>
  </si>
  <si>
    <t>1307.39万</t>
  </si>
  <si>
    <t>193.45万</t>
  </si>
  <si>
    <t>5299.51万</t>
  </si>
  <si>
    <t>-1573.92万</t>
  </si>
  <si>
    <t>7284.37万</t>
  </si>
  <si>
    <t>4438.86万</t>
  </si>
  <si>
    <t>226.87万</t>
  </si>
  <si>
    <t>50.89亿</t>
  </si>
  <si>
    <t>9512.05万</t>
  </si>
  <si>
    <t>741.31万</t>
  </si>
  <si>
    <t>6347.54万</t>
  </si>
  <si>
    <t>56189528亿</t>
  </si>
  <si>
    <t>11.48万</t>
  </si>
  <si>
    <t>107627993亿</t>
  </si>
  <si>
    <t>1735830400亿</t>
  </si>
  <si>
    <t>3995122400亿</t>
  </si>
  <si>
    <t>9.68亿</t>
  </si>
  <si>
    <t>166.37万</t>
  </si>
  <si>
    <t>45.13亿</t>
  </si>
  <si>
    <t>2896.28万</t>
  </si>
  <si>
    <t>-3797.72万</t>
  </si>
  <si>
    <t>7365.07万</t>
  </si>
  <si>
    <t>1428.87万</t>
  </si>
  <si>
    <t>10派4.312元(含税)</t>
  </si>
  <si>
    <t>1778.63万</t>
  </si>
  <si>
    <t>570.82万</t>
  </si>
  <si>
    <t>1859.46万</t>
  </si>
  <si>
    <t>8429.29万</t>
  </si>
  <si>
    <t>298.80万</t>
  </si>
  <si>
    <t>1741.68万</t>
  </si>
  <si>
    <t>-2536060亿</t>
  </si>
  <si>
    <t>10571536亿</t>
  </si>
  <si>
    <t>206953430亿</t>
  </si>
  <si>
    <t>3187.23万</t>
  </si>
  <si>
    <t>757707880亿</t>
  </si>
  <si>
    <t>3669.04万</t>
  </si>
  <si>
    <t>7382.55万</t>
  </si>
  <si>
    <t>9329.88万</t>
  </si>
  <si>
    <t>1190.60万</t>
  </si>
  <si>
    <t>-4497.69万</t>
  </si>
  <si>
    <t>6230.48万</t>
  </si>
  <si>
    <t>9182.67万</t>
  </si>
  <si>
    <t>797.54万</t>
  </si>
  <si>
    <t>4948.76万</t>
  </si>
  <si>
    <t>55.63万</t>
  </si>
  <si>
    <t>9333.35万</t>
  </si>
  <si>
    <t>6879.68万</t>
  </si>
  <si>
    <t>168.20万</t>
  </si>
  <si>
    <t>1681.39万</t>
  </si>
  <si>
    <t>210720亿</t>
  </si>
  <si>
    <t>4.44万</t>
  </si>
  <si>
    <t>43145968亿</t>
  </si>
  <si>
    <t>83138691亿</t>
  </si>
  <si>
    <t>224.72万</t>
  </si>
  <si>
    <t>865053080亿</t>
  </si>
  <si>
    <t>4294.67万</t>
  </si>
  <si>
    <t>5190.92万</t>
  </si>
  <si>
    <t>3384.30万</t>
  </si>
  <si>
    <t>5802.20万</t>
  </si>
  <si>
    <t>-2978.35万</t>
  </si>
  <si>
    <t>-1746.03万</t>
  </si>
  <si>
    <t>2454.51万</t>
  </si>
  <si>
    <t>327.77万</t>
  </si>
  <si>
    <t>2605.16万</t>
  </si>
  <si>
    <t>84.21万</t>
  </si>
  <si>
    <t>39.05亿</t>
  </si>
  <si>
    <t>9960.85万</t>
  </si>
  <si>
    <t>139.29万</t>
  </si>
  <si>
    <t>2352.89万</t>
  </si>
  <si>
    <t>1241288亿</t>
  </si>
  <si>
    <t>3.84万</t>
  </si>
  <si>
    <t>16039735亿</t>
  </si>
  <si>
    <t>174571450亿</t>
  </si>
  <si>
    <t>451.42万</t>
  </si>
  <si>
    <t>687871450亿</t>
  </si>
  <si>
    <t>5346.18万</t>
  </si>
  <si>
    <t>7006.99万</t>
  </si>
  <si>
    <t>9112.35万</t>
  </si>
  <si>
    <t>686.75万</t>
  </si>
  <si>
    <t>-1031.32万</t>
  </si>
  <si>
    <t>-1599.03万</t>
  </si>
  <si>
    <t>2089.41万</t>
  </si>
  <si>
    <t>4586.09万</t>
  </si>
  <si>
    <t>4069.76万</t>
  </si>
  <si>
    <t>605.94万</t>
  </si>
  <si>
    <t>4641.29万</t>
  </si>
  <si>
    <t>230.32万</t>
  </si>
  <si>
    <t>24.82亿</t>
  </si>
  <si>
    <t>-9788.67万</t>
  </si>
  <si>
    <t>689.48万</t>
  </si>
  <si>
    <t>3944.59万</t>
  </si>
  <si>
    <t>-2038636亿</t>
  </si>
  <si>
    <t>10372658亿</t>
  </si>
  <si>
    <t>417689460亿</t>
  </si>
  <si>
    <t>3583.05万</t>
  </si>
  <si>
    <t>1255964170亿</t>
  </si>
  <si>
    <t>13.54亿</t>
  </si>
  <si>
    <t>2447.61万</t>
  </si>
  <si>
    <t>-4518.91万</t>
  </si>
  <si>
    <t>-787.86万</t>
  </si>
  <si>
    <t>1417.15万</t>
  </si>
  <si>
    <t>4442.43万</t>
  </si>
  <si>
    <t>1536.05万</t>
  </si>
  <si>
    <t>383.91万</t>
  </si>
  <si>
    <t>14.46亿</t>
  </si>
  <si>
    <t>13.26亿</t>
  </si>
  <si>
    <t>5377.96万</t>
  </si>
  <si>
    <t>1832.59万</t>
  </si>
  <si>
    <t>2708.98万</t>
  </si>
  <si>
    <t>-2167011亿</t>
  </si>
  <si>
    <t>14631349亿</t>
  </si>
  <si>
    <t>419197080亿</t>
  </si>
  <si>
    <t>1123224350亿</t>
  </si>
  <si>
    <t>2817.69万</t>
  </si>
  <si>
    <t>8106.97万</t>
  </si>
  <si>
    <t>7059.71万</t>
  </si>
  <si>
    <t>17.58亿</t>
  </si>
  <si>
    <t>5887.07万</t>
  </si>
  <si>
    <t>1563.51万</t>
  </si>
  <si>
    <t>1486.96万</t>
  </si>
  <si>
    <t>053779600</t>
  </si>
  <si>
    <t>0161338800</t>
  </si>
  <si>
    <t>0322677600</t>
  </si>
  <si>
    <t>0537796000</t>
  </si>
  <si>
    <t>01075592000</t>
  </si>
  <si>
    <t>148.52万</t>
  </si>
  <si>
    <t>91.47亿</t>
  </si>
  <si>
    <t>871.01万</t>
  </si>
  <si>
    <t>2814.01万</t>
  </si>
  <si>
    <t>3301983亿</t>
  </si>
  <si>
    <t>3.39万</t>
  </si>
  <si>
    <t>45882224亿</t>
  </si>
  <si>
    <t>432358460亿</t>
  </si>
  <si>
    <t>5385.79万</t>
  </si>
  <si>
    <t>2041739500亿</t>
  </si>
  <si>
    <t>5027.36万</t>
  </si>
  <si>
    <t>1271.36万</t>
  </si>
  <si>
    <t>-6245.02万</t>
  </si>
  <si>
    <t>-1120.53万</t>
  </si>
  <si>
    <t>21.78亿</t>
  </si>
  <si>
    <t>8103.58万</t>
  </si>
  <si>
    <t>920.96万</t>
  </si>
  <si>
    <t>6773.43万</t>
  </si>
  <si>
    <t>90.40万</t>
  </si>
  <si>
    <t>5201.57万</t>
  </si>
  <si>
    <t>5924.46万</t>
  </si>
  <si>
    <t>3488.46万</t>
  </si>
  <si>
    <t>1331317亿</t>
  </si>
  <si>
    <t>45.48万</t>
  </si>
  <si>
    <t>24246840亿</t>
  </si>
  <si>
    <t>423039950亿</t>
  </si>
  <si>
    <t>2319195200亿</t>
  </si>
  <si>
    <t>-3576.32万</t>
  </si>
  <si>
    <t>-7726.10万</t>
  </si>
  <si>
    <t>9646.56万</t>
  </si>
  <si>
    <t>27.25亿</t>
  </si>
  <si>
    <t>8358.06万</t>
  </si>
  <si>
    <t>447.41万</t>
  </si>
  <si>
    <t>468.15万</t>
  </si>
  <si>
    <t>3545.98万</t>
  </si>
  <si>
    <t>130.43万</t>
  </si>
  <si>
    <t>733.09万</t>
  </si>
  <si>
    <t>1225.38万</t>
  </si>
  <si>
    <t>45.55万</t>
  </si>
  <si>
    <t>42234773亿</t>
  </si>
  <si>
    <t>220851620亿</t>
  </si>
  <si>
    <t>538.31万</t>
  </si>
  <si>
    <t>1455262000亿</t>
  </si>
  <si>
    <t>1239.19万</t>
  </si>
  <si>
    <t>1981.75万</t>
  </si>
  <si>
    <t>1856.07万</t>
  </si>
  <si>
    <t>1321.06万</t>
  </si>
  <si>
    <t>-2455.02万</t>
  </si>
  <si>
    <t>-1101.82万</t>
  </si>
  <si>
    <t>4273.09万</t>
  </si>
  <si>
    <t>10转3股派1.4元(含税)</t>
  </si>
  <si>
    <t>720.77万</t>
  </si>
  <si>
    <t>4364.97万</t>
  </si>
  <si>
    <t>365.71万</t>
  </si>
  <si>
    <t>4718.69万</t>
  </si>
  <si>
    <t>733.48万</t>
  </si>
  <si>
    <t>2657.69万</t>
  </si>
  <si>
    <t>-642534亿</t>
  </si>
  <si>
    <t>34512361亿</t>
  </si>
  <si>
    <t>373907260亿</t>
  </si>
  <si>
    <t>2855.84万</t>
  </si>
  <si>
    <t>992155740亿</t>
  </si>
  <si>
    <t>4083.10万</t>
  </si>
  <si>
    <t>2755.56万</t>
  </si>
  <si>
    <t>678.26万</t>
  </si>
  <si>
    <t>9734.41万</t>
  </si>
  <si>
    <t>-1768.42万</t>
  </si>
  <si>
    <t>350.16万</t>
  </si>
  <si>
    <t>-833.90万</t>
  </si>
  <si>
    <t>922.23万</t>
  </si>
  <si>
    <t>1812.33万</t>
  </si>
  <si>
    <t>9-0</t>
  </si>
  <si>
    <t>554.94万</t>
  </si>
  <si>
    <t>22.04亿</t>
  </si>
  <si>
    <t>24.00亿</t>
  </si>
  <si>
    <t>3527.15万</t>
  </si>
  <si>
    <t>1755.16万</t>
  </si>
  <si>
    <t>4328.87万</t>
  </si>
  <si>
    <t>-4651677亿</t>
  </si>
  <si>
    <t>44.28万</t>
  </si>
  <si>
    <t>54560589亿</t>
  </si>
  <si>
    <t>907435050亿</t>
  </si>
  <si>
    <t>2855294900亿</t>
  </si>
  <si>
    <t>7144.50万</t>
  </si>
  <si>
    <t>-7730.06万</t>
  </si>
  <si>
    <t>7776.44万</t>
  </si>
  <si>
    <t>9496.85万</t>
  </si>
  <si>
    <t>457.97万</t>
  </si>
  <si>
    <t>3230.30万</t>
  </si>
  <si>
    <t>135.32万</t>
  </si>
  <si>
    <t>21.58亿</t>
  </si>
  <si>
    <t>826.69万</t>
  </si>
  <si>
    <t>1964.77万</t>
  </si>
  <si>
    <t>2934亿</t>
  </si>
  <si>
    <t>9.67万</t>
  </si>
  <si>
    <t>37071814亿</t>
  </si>
  <si>
    <t>595388310亿</t>
  </si>
  <si>
    <t>3769.46万</t>
  </si>
  <si>
    <t>1633308200亿</t>
  </si>
  <si>
    <t>316.69万</t>
  </si>
  <si>
    <t>2400.00万</t>
  </si>
  <si>
    <t>15.52亿</t>
  </si>
  <si>
    <t>8908.06万</t>
  </si>
  <si>
    <t>-102.82万</t>
  </si>
  <si>
    <t>7675.49万</t>
  </si>
  <si>
    <t>10转4.2股派2.85元(含税)</t>
  </si>
  <si>
    <t>747.70万</t>
  </si>
  <si>
    <t>6185.35万</t>
  </si>
  <si>
    <t>743.36万</t>
  </si>
  <si>
    <t>23.09亿</t>
  </si>
  <si>
    <t>600.66万</t>
  </si>
  <si>
    <t>1666.86万</t>
  </si>
  <si>
    <t>-655468亿</t>
  </si>
  <si>
    <t>30900920亿</t>
  </si>
  <si>
    <t>388257030亿</t>
  </si>
  <si>
    <t>2516.83万</t>
  </si>
  <si>
    <t>1315280870亿</t>
  </si>
  <si>
    <t>1447.05万</t>
  </si>
  <si>
    <t>4527.37万</t>
  </si>
  <si>
    <t>-4829.93万</t>
  </si>
  <si>
    <t>5642.15万</t>
  </si>
  <si>
    <t>2844.98万</t>
  </si>
  <si>
    <t>3358.63万</t>
  </si>
  <si>
    <t>318.88万</t>
  </si>
  <si>
    <t>105.72亿</t>
  </si>
  <si>
    <t>703.77万</t>
  </si>
  <si>
    <t>1869.00万</t>
  </si>
  <si>
    <t>5943929亿</t>
  </si>
  <si>
    <t>-3332490亿</t>
  </si>
  <si>
    <t>321676680亿</t>
  </si>
  <si>
    <t>69.66万</t>
  </si>
  <si>
    <t>976768670亿</t>
  </si>
  <si>
    <t>7607.03万</t>
  </si>
  <si>
    <t>413.58万</t>
  </si>
  <si>
    <t>-5012.97万</t>
  </si>
  <si>
    <t>8914.22万</t>
  </si>
  <si>
    <t>5334.76万</t>
  </si>
  <si>
    <t>1790.19万</t>
  </si>
  <si>
    <t>345.53万</t>
  </si>
  <si>
    <t>84.42亿</t>
  </si>
  <si>
    <t>51.34亿</t>
  </si>
  <si>
    <t>30.47亿</t>
  </si>
  <si>
    <t>36.45亿</t>
  </si>
  <si>
    <t>28.27亿</t>
  </si>
  <si>
    <t>24.34亿</t>
  </si>
  <si>
    <t>5219.23万</t>
  </si>
  <si>
    <t>-240013亿</t>
  </si>
  <si>
    <t>6.47万</t>
  </si>
  <si>
    <t>202016900亿</t>
  </si>
  <si>
    <t>2907844200亿</t>
  </si>
  <si>
    <t>9204421000亿</t>
  </si>
  <si>
    <t>40.45亿</t>
  </si>
  <si>
    <t>70.10亿</t>
  </si>
  <si>
    <t>6.24亿</t>
  </si>
  <si>
    <t>-4.14亿</t>
  </si>
  <si>
    <t>5.75亿</t>
  </si>
  <si>
    <t>3275.46万</t>
  </si>
  <si>
    <t>2253.93万</t>
  </si>
  <si>
    <t>72.47万</t>
  </si>
  <si>
    <t>14.62亿</t>
  </si>
  <si>
    <t>27.18亿</t>
  </si>
  <si>
    <t>650.83万</t>
  </si>
  <si>
    <t>1896.97万</t>
  </si>
  <si>
    <t>96022亿</t>
  </si>
  <si>
    <t>201.24万</t>
  </si>
  <si>
    <t>51580940亿</t>
  </si>
  <si>
    <t>806349360亿</t>
  </si>
  <si>
    <t>2556057200亿</t>
  </si>
  <si>
    <t>129.37万</t>
  </si>
  <si>
    <t>14.92亿</t>
  </si>
  <si>
    <t>8209.06万</t>
  </si>
  <si>
    <t>-1.30亿</t>
  </si>
  <si>
    <t>8033.90万</t>
  </si>
  <si>
    <t>513.23万</t>
  </si>
  <si>
    <t>6520.94万</t>
  </si>
  <si>
    <t>422.57万</t>
  </si>
  <si>
    <t>52.24亿</t>
  </si>
  <si>
    <t>33.47亿</t>
  </si>
  <si>
    <t>14.83亿</t>
  </si>
  <si>
    <t>67.20亿</t>
  </si>
  <si>
    <t>22.88亿</t>
  </si>
  <si>
    <t>5436.45万</t>
  </si>
  <si>
    <t>-2625309亿</t>
  </si>
  <si>
    <t>65451093亿</t>
  </si>
  <si>
    <t>1468832600亿</t>
  </si>
  <si>
    <t>4783087100亿</t>
  </si>
  <si>
    <t>46.27万</t>
  </si>
  <si>
    <t>29.07亿</t>
  </si>
  <si>
    <t>22.48亿</t>
  </si>
  <si>
    <t>-1024.42万</t>
  </si>
  <si>
    <t>-2.39亿</t>
  </si>
  <si>
    <t>10派6.4元(含税)</t>
  </si>
  <si>
    <t>2038.64万</t>
  </si>
  <si>
    <t>8437.17万</t>
  </si>
  <si>
    <t>153.48万</t>
  </si>
  <si>
    <t>414.06万</t>
  </si>
  <si>
    <t>936.55万</t>
  </si>
  <si>
    <t>20451506亿</t>
  </si>
  <si>
    <t>8250.90万</t>
  </si>
  <si>
    <t>309894900亿</t>
  </si>
  <si>
    <t>686895400亿</t>
  </si>
  <si>
    <t>4412.58万</t>
  </si>
  <si>
    <t>-2262.46万</t>
  </si>
  <si>
    <t>-1290.32万</t>
  </si>
  <si>
    <t>10.41亿</t>
  </si>
  <si>
    <t>5153.15万</t>
  </si>
  <si>
    <t>3318.96万</t>
  </si>
  <si>
    <t>869.10万</t>
  </si>
  <si>
    <t>6420.54万</t>
  </si>
  <si>
    <t>747.51万</t>
  </si>
  <si>
    <t>11.26亿</t>
  </si>
  <si>
    <t>6136.43万</t>
  </si>
  <si>
    <t>1041.34万</t>
  </si>
  <si>
    <t>1166.74万</t>
  </si>
  <si>
    <t>458836亿</t>
  </si>
  <si>
    <t>11.07万</t>
  </si>
  <si>
    <t>50828075亿</t>
  </si>
  <si>
    <t>326017000亿</t>
  </si>
  <si>
    <t>939982800亿</t>
  </si>
  <si>
    <t>6441.94万</t>
  </si>
  <si>
    <t>3.29万</t>
  </si>
  <si>
    <t>-3316.44万</t>
  </si>
  <si>
    <t>4743.68万</t>
  </si>
  <si>
    <t>-43.27万</t>
  </si>
  <si>
    <t>1901.37万</t>
  </si>
  <si>
    <t>3996.69万</t>
  </si>
  <si>
    <t>8165.77万</t>
  </si>
  <si>
    <t>335.83万</t>
  </si>
  <si>
    <t>3.32亿</t>
  </si>
  <si>
    <t>374.62万</t>
  </si>
  <si>
    <t>2152.68万</t>
  </si>
  <si>
    <t>-2436840亿</t>
  </si>
  <si>
    <t>14.12万</t>
  </si>
  <si>
    <t>30495245亿</t>
  </si>
  <si>
    <t>473416130亿</t>
  </si>
  <si>
    <t>8129.08万</t>
  </si>
  <si>
    <t>1263483750亿</t>
  </si>
  <si>
    <t>1198.77万</t>
  </si>
  <si>
    <t>6189.05万</t>
  </si>
  <si>
    <t>8630.22万</t>
  </si>
  <si>
    <t>-446.29万</t>
  </si>
  <si>
    <t>2166.50万</t>
  </si>
  <si>
    <t>251.92万</t>
  </si>
  <si>
    <t>245.59亿</t>
  </si>
  <si>
    <t>56.27亿</t>
  </si>
  <si>
    <t>403.90万</t>
  </si>
  <si>
    <t>1673.65万</t>
  </si>
  <si>
    <t>1680210亿</t>
  </si>
  <si>
    <t>5094789亿</t>
  </si>
  <si>
    <t>240734000亿</t>
  </si>
  <si>
    <t>886548660亿</t>
  </si>
  <si>
    <t>2973.08万</t>
  </si>
  <si>
    <t>8607.71万</t>
  </si>
  <si>
    <t>588.32万</t>
  </si>
  <si>
    <t>-2824.90万</t>
  </si>
  <si>
    <t>-324.75万</t>
  </si>
  <si>
    <t>69.81亿</t>
  </si>
  <si>
    <t>794.34万</t>
  </si>
  <si>
    <t>17.16亿</t>
  </si>
  <si>
    <t>1277.62万</t>
  </si>
  <si>
    <t>1869.12万</t>
  </si>
  <si>
    <t>38.07亿</t>
  </si>
  <si>
    <t>64.16亿</t>
  </si>
  <si>
    <t>20.55亿</t>
  </si>
  <si>
    <t>895.85万</t>
  </si>
  <si>
    <t>3908.21万</t>
  </si>
  <si>
    <t>141816130亿</t>
  </si>
  <si>
    <t>26.53亿</t>
  </si>
  <si>
    <t>1244758410亿</t>
  </si>
  <si>
    <t>5139802100亿</t>
  </si>
  <si>
    <t>8.12亿</t>
  </si>
  <si>
    <t>29.39亿</t>
  </si>
  <si>
    <t>-2.55亿</t>
  </si>
  <si>
    <t>48.34亿</t>
  </si>
  <si>
    <t>2870.68万</t>
  </si>
  <si>
    <t>9015.67万</t>
  </si>
  <si>
    <t>269.46万</t>
  </si>
  <si>
    <t>12.74亿</t>
  </si>
  <si>
    <t>437.17万</t>
  </si>
  <si>
    <t>4091.32万</t>
  </si>
  <si>
    <t>-14385333亿</t>
  </si>
  <si>
    <t>50423988亿</t>
  </si>
  <si>
    <t>515516920亿</t>
  </si>
  <si>
    <t>7041.00万</t>
  </si>
  <si>
    <t>2724955500亿</t>
  </si>
  <si>
    <t>-1.42亿</t>
  </si>
  <si>
    <t>-1.21亿</t>
  </si>
  <si>
    <t>5876.46万</t>
  </si>
  <si>
    <t>1591.38万</t>
  </si>
  <si>
    <t>394.98万</t>
  </si>
  <si>
    <t>4154.03万</t>
  </si>
  <si>
    <t>874.61万</t>
  </si>
  <si>
    <t>1768.47万</t>
  </si>
  <si>
    <t>-420989亿</t>
  </si>
  <si>
    <t>35612315亿</t>
  </si>
  <si>
    <t>652718250亿</t>
  </si>
  <si>
    <t>1611194200亿</t>
  </si>
  <si>
    <t>3198.97万</t>
  </si>
  <si>
    <t>22.00万</t>
  </si>
  <si>
    <t>1080.52万</t>
  </si>
  <si>
    <t>-7245.57万</t>
  </si>
  <si>
    <t>6074.10万</t>
  </si>
  <si>
    <t>558.02万</t>
  </si>
  <si>
    <t>3565.86万</t>
  </si>
  <si>
    <t>298.86万</t>
  </si>
  <si>
    <t>2395.19万</t>
  </si>
  <si>
    <t>3406.66万</t>
  </si>
  <si>
    <t>2091.15万</t>
  </si>
  <si>
    <t>-299887亿</t>
  </si>
  <si>
    <t>-11162003亿</t>
  </si>
  <si>
    <t>9652.32万</t>
  </si>
  <si>
    <t>116947412亿</t>
  </si>
  <si>
    <t>454.30万</t>
  </si>
  <si>
    <t>644768550亿</t>
  </si>
  <si>
    <t>6531.19万</t>
  </si>
  <si>
    <t>955.93万</t>
  </si>
  <si>
    <t>-4841.25万</t>
  </si>
  <si>
    <t>3189.54万</t>
  </si>
  <si>
    <t>-1.49亿</t>
  </si>
  <si>
    <t>1003.00万</t>
  </si>
  <si>
    <t>1755.14万</t>
  </si>
  <si>
    <t>514.65万</t>
  </si>
  <si>
    <t>45.12亿</t>
  </si>
  <si>
    <t>14.80亿</t>
  </si>
  <si>
    <t>1641.34万</t>
  </si>
  <si>
    <t>7572.77万</t>
  </si>
  <si>
    <t>8.08万</t>
  </si>
  <si>
    <t>60664871亿</t>
  </si>
  <si>
    <t>1193446920亿</t>
  </si>
  <si>
    <t>2737.21万</t>
  </si>
  <si>
    <t>2650592800亿</t>
  </si>
  <si>
    <t>34.26亿</t>
  </si>
  <si>
    <t>6332.87万</t>
  </si>
  <si>
    <t>51.01亿</t>
  </si>
  <si>
    <t>5043.27万</t>
  </si>
  <si>
    <t>3555.86万</t>
  </si>
  <si>
    <t>2777.19万</t>
  </si>
  <si>
    <t>9764.51万</t>
  </si>
  <si>
    <t>251.31万</t>
  </si>
  <si>
    <t>39.16亿</t>
  </si>
  <si>
    <t>-3.15亿</t>
  </si>
  <si>
    <t>1518.07万</t>
  </si>
  <si>
    <t>4314.70万</t>
  </si>
  <si>
    <t>12502895亿</t>
  </si>
  <si>
    <t>853.70万</t>
  </si>
  <si>
    <t>143155710亿</t>
  </si>
  <si>
    <t>975689060亿</t>
  </si>
  <si>
    <t>9396.33万</t>
  </si>
  <si>
    <t>3687071000亿</t>
  </si>
  <si>
    <t>134.58万</t>
  </si>
  <si>
    <t>24.36亿</t>
  </si>
  <si>
    <t>-4.45亿</t>
  </si>
  <si>
    <t>1499.46万</t>
  </si>
  <si>
    <t>53.69亿</t>
  </si>
  <si>
    <t>611.49万</t>
  </si>
  <si>
    <t>1204.38万</t>
  </si>
  <si>
    <t>7267.02万</t>
  </si>
  <si>
    <t>1262.72万</t>
  </si>
  <si>
    <t>16.02亿</t>
  </si>
  <si>
    <t>55.11亿</t>
  </si>
  <si>
    <t>8832.75万</t>
  </si>
  <si>
    <t>1095.55万</t>
  </si>
  <si>
    <t>1165.57万</t>
  </si>
  <si>
    <t>-771119亿</t>
  </si>
  <si>
    <t>1.12万</t>
  </si>
  <si>
    <t>10504219亿</t>
  </si>
  <si>
    <t>332288440亿</t>
  </si>
  <si>
    <t>2180.46万</t>
  </si>
  <si>
    <t>968615890亿</t>
  </si>
  <si>
    <t>1991.85万</t>
  </si>
  <si>
    <t>998.08万</t>
  </si>
  <si>
    <t>-3033.26万</t>
  </si>
  <si>
    <t>-2185.88万</t>
  </si>
  <si>
    <t>-1.14万</t>
  </si>
  <si>
    <t>2317.13万</t>
  </si>
  <si>
    <t>9180.37万</t>
  </si>
  <si>
    <t>1332.30万</t>
  </si>
  <si>
    <t>22.72亿</t>
  </si>
  <si>
    <t>1027.21万</t>
  </si>
  <si>
    <t>1804.42万</t>
  </si>
  <si>
    <t>-4112994亿</t>
  </si>
  <si>
    <t>8.33万</t>
  </si>
  <si>
    <t>18211111亿</t>
  </si>
  <si>
    <t>560117120亿</t>
  </si>
  <si>
    <t>2749.66万</t>
  </si>
  <si>
    <t>1719515200亿</t>
  </si>
  <si>
    <t>1454.72万</t>
  </si>
  <si>
    <t>-1705.22万</t>
  </si>
  <si>
    <t>-300.19万</t>
  </si>
  <si>
    <t>897.95万</t>
  </si>
  <si>
    <t>10派4.5元(含税)</t>
  </si>
  <si>
    <t>356.72万</t>
  </si>
  <si>
    <t>46.93亿</t>
  </si>
  <si>
    <t>18.60亿</t>
  </si>
  <si>
    <t>47.38亿</t>
  </si>
  <si>
    <t>4804.06万</t>
  </si>
  <si>
    <t>16.46亿</t>
  </si>
  <si>
    <t>14.74亿</t>
  </si>
  <si>
    <t>1891.94万</t>
  </si>
  <si>
    <t>4689.14万</t>
  </si>
  <si>
    <t>-2772549亿</t>
  </si>
  <si>
    <t>23.61万</t>
  </si>
  <si>
    <t>191730030亿</t>
  </si>
  <si>
    <t>21.72亿</t>
  </si>
  <si>
    <t>2397179300亿</t>
  </si>
  <si>
    <t>7784034000亿</t>
  </si>
  <si>
    <t>19.12亿</t>
  </si>
  <si>
    <t>41.60亿</t>
  </si>
  <si>
    <t>-3171.65万</t>
  </si>
  <si>
    <t>4648.15万</t>
  </si>
  <si>
    <t>74.74亿</t>
  </si>
  <si>
    <t>9.57亿</t>
  </si>
  <si>
    <t>867.75万</t>
  </si>
  <si>
    <t>10转4股派3.4元(含税)</t>
  </si>
  <si>
    <t>1964.26万</t>
  </si>
  <si>
    <t>653.09万</t>
  </si>
  <si>
    <t>14.55亿</t>
  </si>
  <si>
    <t>5628.68万</t>
  </si>
  <si>
    <t>759.95万</t>
  </si>
  <si>
    <t>1657.62万</t>
  </si>
  <si>
    <t>5.77万</t>
  </si>
  <si>
    <t>21667358亿</t>
  </si>
  <si>
    <t>593146990亿</t>
  </si>
  <si>
    <t>5642.23万</t>
  </si>
  <si>
    <t>1811239400亿</t>
  </si>
  <si>
    <t>2494.49万</t>
  </si>
  <si>
    <t>3.00万</t>
  </si>
  <si>
    <t>2661.81万</t>
  </si>
  <si>
    <t>-8932.61万</t>
  </si>
  <si>
    <t>3902.58万</t>
  </si>
  <si>
    <t>7199.48万</t>
  </si>
  <si>
    <t>-2177.78万</t>
  </si>
  <si>
    <t>10派0.51元(含税)</t>
  </si>
  <si>
    <t>3065.46万</t>
  </si>
  <si>
    <t>68.69万</t>
  </si>
  <si>
    <t>4232.98万</t>
  </si>
  <si>
    <t>4749.11万</t>
  </si>
  <si>
    <t>1130.61万</t>
  </si>
  <si>
    <t>4338.23万</t>
  </si>
  <si>
    <t>3068.96万</t>
  </si>
  <si>
    <t>855.79万</t>
  </si>
  <si>
    <t>182914亿</t>
  </si>
  <si>
    <t>4173833亿</t>
  </si>
  <si>
    <t>6477.80万</t>
  </si>
  <si>
    <t>103824080亿</t>
  </si>
  <si>
    <t>2579.46万</t>
  </si>
  <si>
    <t>448415680亿</t>
  </si>
  <si>
    <t>1763.80万</t>
  </si>
  <si>
    <t>2987.33万</t>
  </si>
  <si>
    <t>49.30万</t>
  </si>
  <si>
    <t>-4559.63万</t>
  </si>
  <si>
    <t>9399.31万</t>
  </si>
  <si>
    <t>2003.75万</t>
  </si>
  <si>
    <t>-315.43万</t>
  </si>
  <si>
    <t>312.12万</t>
  </si>
  <si>
    <t>2802.49万</t>
  </si>
  <si>
    <t>193.20万</t>
  </si>
  <si>
    <t>6.54亿</t>
  </si>
  <si>
    <t>355.90万</t>
  </si>
  <si>
    <t>333.15万</t>
  </si>
  <si>
    <t>1144.19万</t>
  </si>
  <si>
    <t>123815亿</t>
  </si>
  <si>
    <t>6299030亿</t>
  </si>
  <si>
    <t>229861970亿</t>
  </si>
  <si>
    <t>38.00万</t>
  </si>
  <si>
    <t>736143890亿</t>
  </si>
  <si>
    <t>1575.32万</t>
  </si>
  <si>
    <t>760.00万</t>
  </si>
  <si>
    <t>7771.61万</t>
  </si>
  <si>
    <t>405.36万</t>
  </si>
  <si>
    <t>108.91万</t>
  </si>
  <si>
    <t>2736.14万</t>
  </si>
  <si>
    <t>1995.90万</t>
  </si>
  <si>
    <t>531.18万</t>
  </si>
  <si>
    <t>1354.11万</t>
  </si>
  <si>
    <t>9280.50万</t>
  </si>
  <si>
    <t>582.75万</t>
  </si>
  <si>
    <t>46.94亿</t>
  </si>
  <si>
    <t>85.53亿</t>
  </si>
  <si>
    <t>11.47亿</t>
  </si>
  <si>
    <t>2608.13万</t>
  </si>
  <si>
    <t>-3474804亿</t>
  </si>
  <si>
    <t>29.10万</t>
  </si>
  <si>
    <t>204917490亿</t>
  </si>
  <si>
    <t>1031883240亿</t>
  </si>
  <si>
    <t>4418070300亿</t>
  </si>
  <si>
    <t>3758.95万</t>
  </si>
  <si>
    <t>58.61亿</t>
  </si>
  <si>
    <t>10送3股派4元(含税)</t>
  </si>
  <si>
    <t>3197.61万</t>
  </si>
  <si>
    <t>205.28万</t>
  </si>
  <si>
    <t>515.01万</t>
  </si>
  <si>
    <t>2467.09万</t>
  </si>
  <si>
    <t>-730.1亿</t>
  </si>
  <si>
    <t>66019271亿</t>
  </si>
  <si>
    <t>327127520亿</t>
  </si>
  <si>
    <t>3387.84万</t>
  </si>
  <si>
    <t>1863656300亿</t>
  </si>
  <si>
    <t>4428.01万</t>
  </si>
  <si>
    <t>-2107.51万</t>
  </si>
  <si>
    <t>-4000.01万</t>
  </si>
  <si>
    <t>17.40亿</t>
  </si>
  <si>
    <t>3235.79万</t>
  </si>
  <si>
    <t>1357.33万</t>
  </si>
  <si>
    <t>655.60万</t>
  </si>
  <si>
    <t>32.49亿</t>
  </si>
  <si>
    <t>350.84万</t>
  </si>
  <si>
    <t>1435.68万</t>
  </si>
  <si>
    <t>156280亿</t>
  </si>
  <si>
    <t>14965765亿</t>
  </si>
  <si>
    <t>287830340亿</t>
  </si>
  <si>
    <t>994607750亿</t>
  </si>
  <si>
    <t>2777.44万</t>
  </si>
  <si>
    <t>2788.20万</t>
  </si>
  <si>
    <t>-652.29万</t>
  </si>
  <si>
    <t>11.05亿</t>
  </si>
  <si>
    <t>7276.44万</t>
  </si>
  <si>
    <t>5303.31万</t>
  </si>
  <si>
    <t>2689.10万</t>
  </si>
  <si>
    <t>199.87万</t>
  </si>
  <si>
    <t>29.06亿</t>
  </si>
  <si>
    <t>20.29亿</t>
  </si>
  <si>
    <t>-454.06万</t>
  </si>
  <si>
    <t>540.65万</t>
  </si>
  <si>
    <t>3291.07万</t>
  </si>
  <si>
    <t>-513487亿</t>
  </si>
  <si>
    <t>26455631亿</t>
  </si>
  <si>
    <t>741614470亿</t>
  </si>
  <si>
    <t>4380.15万</t>
  </si>
  <si>
    <t>2174621300亿</t>
  </si>
  <si>
    <t>2447.83万</t>
  </si>
  <si>
    <t>9645.11万</t>
  </si>
  <si>
    <t>106.35万</t>
  </si>
  <si>
    <t>777.54万</t>
  </si>
  <si>
    <t>5685.44万</t>
  </si>
  <si>
    <t>98.37万</t>
  </si>
  <si>
    <t>50.38亿</t>
  </si>
  <si>
    <t>41.06亿</t>
  </si>
  <si>
    <t>8798.32万</t>
  </si>
  <si>
    <t>5088.87万</t>
  </si>
  <si>
    <t>5631.79万</t>
  </si>
  <si>
    <t>27819571亿</t>
  </si>
  <si>
    <t>196.49万</t>
  </si>
  <si>
    <t>199854170亿</t>
  </si>
  <si>
    <t>1507119800亿</t>
  </si>
  <si>
    <t>5313225300亿</t>
  </si>
  <si>
    <t>9462.51万</t>
  </si>
  <si>
    <t>-2.38亿</t>
  </si>
  <si>
    <t>4669.72万</t>
  </si>
  <si>
    <t>46.25亿</t>
  </si>
  <si>
    <t>4170.14万</t>
  </si>
  <si>
    <t>497.98万</t>
  </si>
  <si>
    <t>2868.17万</t>
  </si>
  <si>
    <t>179.78万</t>
  </si>
  <si>
    <t>20.56亿</t>
  </si>
  <si>
    <t>-5579.26万</t>
  </si>
  <si>
    <t>1077.52万</t>
  </si>
  <si>
    <t>809.20万</t>
  </si>
  <si>
    <t>1508900亿</t>
  </si>
  <si>
    <t>26.76万</t>
  </si>
  <si>
    <t>36489917亿</t>
  </si>
  <si>
    <t>310541220亿</t>
  </si>
  <si>
    <t>1724413400亿</t>
  </si>
  <si>
    <t>9911.00万</t>
  </si>
  <si>
    <t>5292.83万</t>
  </si>
  <si>
    <t>-110.23万</t>
  </si>
  <si>
    <t>908.22万</t>
  </si>
  <si>
    <t>8986.00万</t>
  </si>
  <si>
    <t>743.52万</t>
  </si>
  <si>
    <t>30.60亿</t>
  </si>
  <si>
    <t>-3915.94万</t>
  </si>
  <si>
    <t>1293.57万</t>
  </si>
  <si>
    <t>2950.81万</t>
  </si>
  <si>
    <t>-2428876亿</t>
  </si>
  <si>
    <t>5.28万</t>
  </si>
  <si>
    <t>78057967亿</t>
  </si>
  <si>
    <t>579242010亿</t>
  </si>
  <si>
    <t>8098.94万</t>
  </si>
  <si>
    <t>1855495100亿</t>
  </si>
  <si>
    <t>13.42亿</t>
  </si>
  <si>
    <t>9.33亿</t>
  </si>
  <si>
    <t>1038.54万</t>
  </si>
  <si>
    <t>10转4.8股派2元(含税)</t>
  </si>
  <si>
    <t>6211.48万</t>
  </si>
  <si>
    <t>145.83万</t>
  </si>
  <si>
    <t>2562.00万</t>
  </si>
  <si>
    <t>604.97万</t>
  </si>
  <si>
    <t>940.15万</t>
  </si>
  <si>
    <t>-119999亿</t>
  </si>
  <si>
    <t>9.42万</t>
  </si>
  <si>
    <t>3925031亿</t>
  </si>
  <si>
    <t>333582310亿</t>
  </si>
  <si>
    <t>5391.34万</t>
  </si>
  <si>
    <t>1530582800亿</t>
  </si>
  <si>
    <t>5151.59万</t>
  </si>
  <si>
    <t>4002.57万</t>
  </si>
  <si>
    <t>2163.16万</t>
  </si>
  <si>
    <t>-2726.82万</t>
  </si>
  <si>
    <t>-5717.65万</t>
  </si>
  <si>
    <t>5893.37万</t>
  </si>
  <si>
    <t>4367.08万</t>
  </si>
  <si>
    <t>451.96万</t>
  </si>
  <si>
    <t>587.33万</t>
  </si>
  <si>
    <t>4440.97万</t>
  </si>
  <si>
    <t>211.35万</t>
  </si>
  <si>
    <t>5.32亿</t>
  </si>
  <si>
    <t>10.15亿</t>
  </si>
  <si>
    <t>22.00亿</t>
  </si>
  <si>
    <t>9829.05万</t>
  </si>
  <si>
    <t>192.74万</t>
  </si>
  <si>
    <t>1132.19万</t>
  </si>
  <si>
    <t>-603240亿</t>
  </si>
  <si>
    <t>-16020252亿</t>
  </si>
  <si>
    <t>393627850亿</t>
  </si>
  <si>
    <t>1518.46万</t>
  </si>
  <si>
    <t>1562765300亿</t>
  </si>
  <si>
    <t>664.59万</t>
  </si>
  <si>
    <t>5127.04万</t>
  </si>
  <si>
    <t>-8318.93万</t>
  </si>
  <si>
    <t>2014.00万</t>
  </si>
  <si>
    <t>614.03万</t>
  </si>
  <si>
    <t>2283.07万</t>
  </si>
  <si>
    <t>10转4股派0.2元(含税)</t>
  </si>
  <si>
    <t>396.10万</t>
  </si>
  <si>
    <t>1610.87万</t>
  </si>
  <si>
    <t>192.80万</t>
  </si>
  <si>
    <t>17.19亿</t>
  </si>
  <si>
    <t>65.03亿</t>
  </si>
  <si>
    <t>2670.00万</t>
  </si>
  <si>
    <t>3076.38万</t>
  </si>
  <si>
    <t>3278044亿</t>
  </si>
  <si>
    <t>95.29万</t>
  </si>
  <si>
    <t>23020633亿</t>
  </si>
  <si>
    <t>363120820亿</t>
  </si>
  <si>
    <t>4050.67万</t>
  </si>
  <si>
    <t>1706031800亿</t>
  </si>
  <si>
    <t>9441.69万</t>
  </si>
  <si>
    <t>-4746.50万</t>
  </si>
  <si>
    <t>-3239.66万</t>
  </si>
  <si>
    <t>187.81万</t>
  </si>
  <si>
    <t>2303.31万</t>
  </si>
  <si>
    <t>836.39万</t>
  </si>
  <si>
    <t>5868.81万</t>
  </si>
  <si>
    <t>116.79万</t>
  </si>
  <si>
    <t>8615.06万</t>
  </si>
  <si>
    <t>8269.23万</t>
  </si>
  <si>
    <t>6150.30万</t>
  </si>
  <si>
    <t>738.69万</t>
  </si>
  <si>
    <t>595.38万</t>
  </si>
  <si>
    <t>2517620亿</t>
  </si>
  <si>
    <t>8.29万</t>
  </si>
  <si>
    <t>14123875亿</t>
  </si>
  <si>
    <t>5220.56万</t>
  </si>
  <si>
    <t>148172440亿</t>
  </si>
  <si>
    <t>891578530亿</t>
  </si>
  <si>
    <t>84.59万</t>
  </si>
  <si>
    <t>2268.78万</t>
  </si>
  <si>
    <t>5083.10万</t>
  </si>
  <si>
    <t>-3290.46万</t>
  </si>
  <si>
    <t>69.52万</t>
  </si>
  <si>
    <t>7059.28万</t>
  </si>
  <si>
    <t>6564.11万</t>
  </si>
  <si>
    <t>10派3.3元(含税)</t>
  </si>
  <si>
    <t>657.21万</t>
  </si>
  <si>
    <t>4896.00万</t>
  </si>
  <si>
    <t>276.52万</t>
  </si>
  <si>
    <t>17.91亿</t>
  </si>
  <si>
    <t>25.29亿</t>
  </si>
  <si>
    <t>-8338.90万</t>
  </si>
  <si>
    <t>115.20万</t>
  </si>
  <si>
    <t>1952.62万</t>
  </si>
  <si>
    <t>9564939亿</t>
  </si>
  <si>
    <t>32.03万</t>
  </si>
  <si>
    <t>40343513亿</t>
  </si>
  <si>
    <t>466296690亿</t>
  </si>
  <si>
    <t>2032284100亿</t>
  </si>
  <si>
    <t>9731.15万</t>
  </si>
  <si>
    <t>-9909.75万</t>
  </si>
  <si>
    <t>3070.92万</t>
  </si>
  <si>
    <t>105.54万</t>
  </si>
  <si>
    <t>1634.53万</t>
  </si>
  <si>
    <t>240.76万</t>
  </si>
  <si>
    <t>44.83亿</t>
  </si>
  <si>
    <t>21.64亿</t>
  </si>
  <si>
    <t>216.47万</t>
  </si>
  <si>
    <t>5497.19万</t>
  </si>
  <si>
    <t>26.64万</t>
  </si>
  <si>
    <t>-133293404亿</t>
  </si>
  <si>
    <t>788163460亿</t>
  </si>
  <si>
    <t>2486956000亿</t>
  </si>
  <si>
    <t>452.74万</t>
  </si>
  <si>
    <t>53.65万</t>
  </si>
  <si>
    <t>24.39亿</t>
  </si>
  <si>
    <t>15.30亿</t>
  </si>
  <si>
    <t>21.35亿</t>
  </si>
  <si>
    <t>-5.65亿</t>
  </si>
  <si>
    <t>7866.98万</t>
  </si>
  <si>
    <t>1195.16万</t>
  </si>
  <si>
    <t>9316.13万</t>
  </si>
  <si>
    <t>724.88万</t>
  </si>
  <si>
    <t>134.96亿</t>
  </si>
  <si>
    <t>44.79亿</t>
  </si>
  <si>
    <t>52.87亿</t>
  </si>
  <si>
    <t>16.29亿</t>
  </si>
  <si>
    <t>52.91亿</t>
  </si>
  <si>
    <t>45.11亿</t>
  </si>
  <si>
    <t>7453.54万</t>
  </si>
  <si>
    <t>-1230285亿</t>
  </si>
  <si>
    <t>11.16万</t>
  </si>
  <si>
    <t>15980047亿</t>
  </si>
  <si>
    <t>3592068200亿</t>
  </si>
  <si>
    <t>8366567200亿</t>
  </si>
  <si>
    <t>6.97亿</t>
  </si>
  <si>
    <t>97.96亿</t>
  </si>
  <si>
    <t>215.71亿</t>
  </si>
  <si>
    <t>6378.68万</t>
  </si>
  <si>
    <t>2738.66万</t>
  </si>
  <si>
    <t>156.89万</t>
  </si>
  <si>
    <t>18.21亿</t>
  </si>
  <si>
    <t>22.02亿</t>
  </si>
  <si>
    <t>886.12万</t>
  </si>
  <si>
    <t>2734.43万</t>
  </si>
  <si>
    <t>205551亿</t>
  </si>
  <si>
    <t>3.09万</t>
  </si>
  <si>
    <t>50427887亿</t>
  </si>
  <si>
    <t>413623240亿</t>
  </si>
  <si>
    <t>3787.60万</t>
  </si>
  <si>
    <t>1235785490亿</t>
  </si>
  <si>
    <t>5009.27万</t>
  </si>
  <si>
    <t>1881.47万</t>
  </si>
  <si>
    <t>2418.59万</t>
  </si>
  <si>
    <t>9080.77万</t>
  </si>
  <si>
    <t>-96.27万</t>
  </si>
  <si>
    <t>16.66亿</t>
  </si>
  <si>
    <t>8849.48万</t>
  </si>
  <si>
    <t>10派2.0元(含税)</t>
  </si>
  <si>
    <t>1964.54万</t>
  </si>
  <si>
    <t>7300.62万</t>
  </si>
  <si>
    <t>199.96万</t>
  </si>
  <si>
    <t>27.53亿</t>
  </si>
  <si>
    <t>43.69亿</t>
  </si>
  <si>
    <t>342.33万</t>
  </si>
  <si>
    <t>2440.28万</t>
  </si>
  <si>
    <t>7667814亿</t>
  </si>
  <si>
    <t>25.21万</t>
  </si>
  <si>
    <t>40588025亿</t>
  </si>
  <si>
    <t>255498830亿</t>
  </si>
  <si>
    <t>9017.42万</t>
  </si>
  <si>
    <t>1352900400亿</t>
  </si>
  <si>
    <t>-1894.47万</t>
  </si>
  <si>
    <t>-7461.85万</t>
  </si>
  <si>
    <t>24.22亿</t>
  </si>
  <si>
    <t>2921.95万</t>
  </si>
  <si>
    <t>1273.80万</t>
  </si>
  <si>
    <t>7734.29万</t>
  </si>
  <si>
    <t>97.24万</t>
  </si>
  <si>
    <t>18.64亿</t>
  </si>
  <si>
    <t>-4.32亿</t>
  </si>
  <si>
    <t>266.28万</t>
  </si>
  <si>
    <t>2005.06万</t>
  </si>
  <si>
    <t>-57080亿</t>
  </si>
  <si>
    <t>9.61万</t>
  </si>
  <si>
    <t>8305105亿</t>
  </si>
  <si>
    <t>489634310亿</t>
  </si>
  <si>
    <t>2037180200亿</t>
  </si>
  <si>
    <t>-4197.16万</t>
  </si>
  <si>
    <t>2290.77万</t>
  </si>
  <si>
    <t>8885.42万</t>
  </si>
  <si>
    <t>5508.26万</t>
  </si>
  <si>
    <t>-2012.19万</t>
  </si>
  <si>
    <t>538.81万</t>
  </si>
  <si>
    <t>4466.61万</t>
  </si>
  <si>
    <t>201.46万</t>
  </si>
  <si>
    <t>21.12亿</t>
  </si>
  <si>
    <t>4216.34万</t>
  </si>
  <si>
    <t>4891.28万</t>
  </si>
  <si>
    <t>1813897亿</t>
  </si>
  <si>
    <t>52117108亿</t>
  </si>
  <si>
    <t>770613740亿</t>
  </si>
  <si>
    <t>3523822400亿</t>
  </si>
  <si>
    <t>17.87亿</t>
  </si>
  <si>
    <t>31.80亿</t>
  </si>
  <si>
    <t>3562.92万</t>
  </si>
  <si>
    <t>966.03万</t>
  </si>
  <si>
    <t>8198.61万</t>
  </si>
  <si>
    <t>0135000000</t>
  </si>
  <si>
    <t>0405000000</t>
  </si>
  <si>
    <t>0810000000</t>
  </si>
  <si>
    <t>01350000000</t>
  </si>
  <si>
    <t>02700000000</t>
  </si>
  <si>
    <t>142.49万</t>
  </si>
  <si>
    <t>20.20亿</t>
  </si>
  <si>
    <t>37.16万</t>
  </si>
  <si>
    <t>2137.34万</t>
  </si>
  <si>
    <t>151038亿</t>
  </si>
  <si>
    <t>27456074亿</t>
  </si>
  <si>
    <t>837267850亿</t>
  </si>
  <si>
    <t>5063.76万</t>
  </si>
  <si>
    <t>1405881200亿</t>
  </si>
  <si>
    <t>732.52万</t>
  </si>
  <si>
    <t>9107.65万</t>
  </si>
  <si>
    <t>13.84万</t>
  </si>
  <si>
    <t>-1572.27万</t>
  </si>
  <si>
    <t>-2438.53万</t>
  </si>
  <si>
    <t>5529.43万</t>
  </si>
  <si>
    <t>9117.82万</t>
  </si>
  <si>
    <t>3568.80万</t>
  </si>
  <si>
    <t>10转4.80股派3.75元(含税)</t>
  </si>
  <si>
    <t>1240.36万</t>
  </si>
  <si>
    <t>3505.98万</t>
  </si>
  <si>
    <t>120.74万</t>
  </si>
  <si>
    <t>27.83亿</t>
  </si>
  <si>
    <t>27.62亿</t>
  </si>
  <si>
    <t>2952.76万</t>
  </si>
  <si>
    <t>816.31万</t>
  </si>
  <si>
    <t>4352.64万</t>
  </si>
  <si>
    <t>-503433亿</t>
  </si>
  <si>
    <t>138.44万</t>
  </si>
  <si>
    <t>35627715亿</t>
  </si>
  <si>
    <t>632499800亿</t>
  </si>
  <si>
    <t>2948.26万</t>
  </si>
  <si>
    <t>1901649900亿</t>
  </si>
  <si>
    <t>8291.57万</t>
  </si>
  <si>
    <t>15.09亿</t>
  </si>
  <si>
    <t>6816.77万</t>
  </si>
  <si>
    <t>5089.40万</t>
  </si>
  <si>
    <t>-2429.03万</t>
  </si>
  <si>
    <t>558.14万</t>
  </si>
  <si>
    <t>4769.18万</t>
  </si>
  <si>
    <t>44.24万</t>
  </si>
  <si>
    <t>9113.80万</t>
  </si>
  <si>
    <t>185.18万</t>
  </si>
  <si>
    <t>1829.22万</t>
  </si>
  <si>
    <t>2754659亿</t>
  </si>
  <si>
    <t>20.43万</t>
  </si>
  <si>
    <t>18163170亿</t>
  </si>
  <si>
    <t>495010590亿</t>
  </si>
  <si>
    <t>1133.30万</t>
  </si>
  <si>
    <t>1463554100亿</t>
  </si>
  <si>
    <t>639.62万</t>
  </si>
  <si>
    <t>4364.45万</t>
  </si>
  <si>
    <t>1106.48万</t>
  </si>
  <si>
    <t>-2916.55万</t>
  </si>
  <si>
    <t>-7550.09万</t>
  </si>
  <si>
    <t>-486.97万</t>
  </si>
  <si>
    <t>1661.71万</t>
  </si>
  <si>
    <t>255.11万</t>
  </si>
  <si>
    <t>2057.55万</t>
  </si>
  <si>
    <t>091138000</t>
  </si>
  <si>
    <t>0273414000</t>
  </si>
  <si>
    <t>0546828000</t>
  </si>
  <si>
    <t>0911380000</t>
  </si>
  <si>
    <t>01822760000</t>
  </si>
  <si>
    <t>2629.58万</t>
  </si>
  <si>
    <t>3060.82万</t>
  </si>
  <si>
    <t>456.34万</t>
  </si>
  <si>
    <t>3040.16万</t>
  </si>
  <si>
    <t>1364亿</t>
  </si>
  <si>
    <t>9989457亿</t>
  </si>
  <si>
    <t>446302090亿</t>
  </si>
  <si>
    <t>1948605300亿</t>
  </si>
  <si>
    <t>5061.82万</t>
  </si>
  <si>
    <t>80.84万</t>
  </si>
  <si>
    <t>-6414.55万</t>
  </si>
  <si>
    <t>-4594.09万</t>
  </si>
  <si>
    <t>3694.19万</t>
  </si>
  <si>
    <t>8401.57万</t>
  </si>
  <si>
    <t>5477.42万</t>
  </si>
  <si>
    <t>880.98万</t>
  </si>
  <si>
    <t>4730.73万</t>
  </si>
  <si>
    <t>030608200</t>
  </si>
  <si>
    <t>091824600</t>
  </si>
  <si>
    <t>0183649200</t>
  </si>
  <si>
    <t>0306082000</t>
  </si>
  <si>
    <t>0612164000</t>
  </si>
  <si>
    <t>78.70万</t>
  </si>
  <si>
    <t>6066.70万</t>
  </si>
  <si>
    <t>8954.35万</t>
  </si>
  <si>
    <t>3732.16万</t>
  </si>
  <si>
    <t>7699.53万</t>
  </si>
  <si>
    <t>5749.04万</t>
  </si>
  <si>
    <t>123.46万</t>
  </si>
  <si>
    <t>1093.13万</t>
  </si>
  <si>
    <t>841154亿</t>
  </si>
  <si>
    <t>9139500亿</t>
  </si>
  <si>
    <t>6955.44万</t>
  </si>
  <si>
    <t>82149364亿</t>
  </si>
  <si>
    <t>295779720亿</t>
  </si>
  <si>
    <t>6774.78万</t>
  </si>
  <si>
    <t>135.54万</t>
  </si>
  <si>
    <t>1608.18万</t>
  </si>
  <si>
    <t>3795.76万</t>
  </si>
  <si>
    <t>1595.48万</t>
  </si>
  <si>
    <t>858.62万</t>
  </si>
  <si>
    <t>789.15万</t>
  </si>
  <si>
    <t>553.90万</t>
  </si>
  <si>
    <t>4088.53万</t>
  </si>
  <si>
    <t>190.14万</t>
  </si>
  <si>
    <t>22.57亿</t>
  </si>
  <si>
    <t>40.03亿</t>
  </si>
  <si>
    <t>5409.69万</t>
  </si>
  <si>
    <t>78.87万</t>
  </si>
  <si>
    <t>2303.49万</t>
  </si>
  <si>
    <t>-161640亿</t>
  </si>
  <si>
    <t>14.23万</t>
  </si>
  <si>
    <t>76279123亿</t>
  </si>
  <si>
    <t>1046783190亿</t>
  </si>
  <si>
    <t>133.23万</t>
  </si>
  <si>
    <t>1856966600亿</t>
  </si>
  <si>
    <t>18.80亿</t>
  </si>
  <si>
    <t>-464.04万</t>
  </si>
  <si>
    <t>-4351.72万</t>
  </si>
  <si>
    <t>1489.22万</t>
  </si>
  <si>
    <t>-2491.16万</t>
  </si>
  <si>
    <t>703.72万</t>
  </si>
  <si>
    <t>4597.59万</t>
  </si>
  <si>
    <t>212.68万</t>
  </si>
  <si>
    <t>40.55亿</t>
  </si>
  <si>
    <t>16.43亿</t>
  </si>
  <si>
    <t>15.33亿</t>
  </si>
  <si>
    <t>565.97万</t>
  </si>
  <si>
    <t>3654.50万</t>
  </si>
  <si>
    <t>-626028亿</t>
  </si>
  <si>
    <t>24.92万</t>
  </si>
  <si>
    <t>95178173亿</t>
  </si>
  <si>
    <t>1790161700亿</t>
  </si>
  <si>
    <t>3672310900亿</t>
  </si>
  <si>
    <t>34.27亿</t>
  </si>
  <si>
    <t>26.87万</t>
  </si>
  <si>
    <t>4093.11万</t>
  </si>
  <si>
    <t>4006.33万</t>
  </si>
  <si>
    <t>1341.43万</t>
  </si>
  <si>
    <t>8964.68万</t>
  </si>
  <si>
    <t>7166.00万</t>
  </si>
  <si>
    <t>-8453.60万</t>
  </si>
  <si>
    <t>8063.64万</t>
  </si>
  <si>
    <t>5918.79万</t>
  </si>
  <si>
    <t>162.44万</t>
  </si>
  <si>
    <t>993.32万</t>
  </si>
  <si>
    <t>721745亿</t>
  </si>
  <si>
    <t>1.11万</t>
  </si>
  <si>
    <t>-9836906亿</t>
  </si>
  <si>
    <t>9716.48万</t>
  </si>
  <si>
    <t>121533925亿</t>
  </si>
  <si>
    <t>5275.34万</t>
  </si>
  <si>
    <t>687177880亿</t>
  </si>
  <si>
    <t>7468.49万</t>
  </si>
  <si>
    <t>4317.33万</t>
  </si>
  <si>
    <t>5708.99万</t>
  </si>
  <si>
    <t>-176.67万</t>
  </si>
  <si>
    <t>-1092.94万</t>
  </si>
  <si>
    <t>636.61万</t>
  </si>
  <si>
    <t>-792.15万</t>
  </si>
  <si>
    <t>-4285.01万</t>
  </si>
  <si>
    <t>421.15万</t>
  </si>
  <si>
    <t>3242.01万</t>
  </si>
  <si>
    <t>884.88万</t>
  </si>
  <si>
    <t>31.70亿</t>
  </si>
  <si>
    <t>2937.33万</t>
  </si>
  <si>
    <t>6901.87万</t>
  </si>
  <si>
    <t>1050165亿</t>
  </si>
  <si>
    <t>8.09万</t>
  </si>
  <si>
    <t>124902610亿</t>
  </si>
  <si>
    <t>724675140亿</t>
  </si>
  <si>
    <t>1599.84万</t>
  </si>
  <si>
    <t>4098326000亿</t>
  </si>
  <si>
    <t>241.38万</t>
  </si>
  <si>
    <t>2273.48万</t>
  </si>
  <si>
    <t>598.32万</t>
  </si>
  <si>
    <t>13.53亿</t>
  </si>
  <si>
    <t>-2.40亿</t>
  </si>
  <si>
    <t>4360.54万</t>
  </si>
  <si>
    <t>32.51亿</t>
  </si>
  <si>
    <t>-1499.44万</t>
  </si>
  <si>
    <t>4051.71万</t>
  </si>
  <si>
    <t>318.59万</t>
  </si>
  <si>
    <t>1711.88万</t>
  </si>
  <si>
    <t>4271.58万</t>
  </si>
  <si>
    <t>-137182810亿</t>
  </si>
  <si>
    <t>364666590亿</t>
  </si>
  <si>
    <t>3623.10万</t>
  </si>
  <si>
    <t>1452571000亿</t>
  </si>
  <si>
    <t>970.00万</t>
  </si>
  <si>
    <t>-5158.44万</t>
  </si>
  <si>
    <t>-4692.62万</t>
  </si>
  <si>
    <t>3323.52万</t>
  </si>
  <si>
    <t>-5.77亿</t>
  </si>
  <si>
    <t>8841.00万</t>
  </si>
  <si>
    <t>1698.96万</t>
  </si>
  <si>
    <t>93.46万</t>
  </si>
  <si>
    <t>15.79亿</t>
  </si>
  <si>
    <t>3163.86万</t>
  </si>
  <si>
    <t>819.74万</t>
  </si>
  <si>
    <t>4390.84万</t>
  </si>
  <si>
    <t>425774亿</t>
  </si>
  <si>
    <t>33.34万</t>
  </si>
  <si>
    <t>41989077亿</t>
  </si>
  <si>
    <t>635046270亿</t>
  </si>
  <si>
    <t>2297.67万</t>
  </si>
  <si>
    <t>1721926900亿</t>
  </si>
  <si>
    <t>9977.12万</t>
  </si>
  <si>
    <t>-8048.17万</t>
  </si>
  <si>
    <t>2763.99万</t>
  </si>
  <si>
    <t>5435.93万</t>
  </si>
  <si>
    <t>415.61万</t>
  </si>
  <si>
    <t>486.03万</t>
  </si>
  <si>
    <t>3644.84万</t>
  </si>
  <si>
    <t>031638600</t>
  </si>
  <si>
    <t>094915800</t>
  </si>
  <si>
    <t>0189831600</t>
  </si>
  <si>
    <t>0316386000</t>
  </si>
  <si>
    <t>0632772000</t>
  </si>
  <si>
    <t>46.23万</t>
  </si>
  <si>
    <t>38.36亿</t>
  </si>
  <si>
    <t>35.12亿</t>
  </si>
  <si>
    <t>5423.18万</t>
  </si>
  <si>
    <t>12.62亿</t>
  </si>
  <si>
    <t>11.03亿</t>
  </si>
  <si>
    <t>3408.60万</t>
  </si>
  <si>
    <t>3372.06万</t>
  </si>
  <si>
    <t>3686491亿</t>
  </si>
  <si>
    <t>5.50万</t>
  </si>
  <si>
    <t>102161700亿</t>
  </si>
  <si>
    <t>1172287820亿</t>
  </si>
  <si>
    <t>5799194100亿</t>
  </si>
  <si>
    <t>33.50亿</t>
  </si>
  <si>
    <t>-3.87亿</t>
  </si>
  <si>
    <t>4539.31万</t>
  </si>
  <si>
    <t>55.23亿</t>
  </si>
  <si>
    <t>4780.88万</t>
  </si>
  <si>
    <t>1851.31万</t>
  </si>
  <si>
    <t>257.85万</t>
  </si>
  <si>
    <t>2283.95万</t>
  </si>
  <si>
    <t>27.25万</t>
  </si>
  <si>
    <t>6657.04万</t>
  </si>
  <si>
    <t>728.06万</t>
  </si>
  <si>
    <t>863.09万</t>
  </si>
  <si>
    <t>987894亿</t>
  </si>
  <si>
    <t>13.54万</t>
  </si>
  <si>
    <t>-1448566亿</t>
  </si>
  <si>
    <t>244328000亿</t>
  </si>
  <si>
    <t>1581995200亿</t>
  </si>
  <si>
    <t>4218.97万</t>
  </si>
  <si>
    <t>3034.38万</t>
  </si>
  <si>
    <t>280.40万</t>
  </si>
  <si>
    <t>2717.91万</t>
  </si>
  <si>
    <t>-48.44万</t>
  </si>
  <si>
    <t>4913.37万</t>
  </si>
  <si>
    <t>3321.77万</t>
  </si>
  <si>
    <t>10派2.85元(含税)</t>
  </si>
  <si>
    <t>116.75万</t>
  </si>
  <si>
    <t>2069.54万</t>
  </si>
  <si>
    <t>74.94万</t>
  </si>
  <si>
    <t>19.05亿</t>
  </si>
  <si>
    <t>17.50亿</t>
  </si>
  <si>
    <t>992.31万</t>
  </si>
  <si>
    <t>818.23万</t>
  </si>
  <si>
    <t>126523亿</t>
  </si>
  <si>
    <t>10.10万</t>
  </si>
  <si>
    <t>1484587亿</t>
  </si>
  <si>
    <t>382009280亿</t>
  </si>
  <si>
    <t>1838826600亿</t>
  </si>
  <si>
    <t>9889.97万</t>
  </si>
  <si>
    <t>9578.60万</t>
  </si>
  <si>
    <t>6461.75万</t>
  </si>
  <si>
    <t>-7155.61万</t>
  </si>
  <si>
    <t>-2472.40万</t>
  </si>
  <si>
    <t>4231.86万</t>
  </si>
  <si>
    <t>495.84万</t>
  </si>
  <si>
    <t>3743.35万</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</si>
</sst>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sz val="9"/>
      <color theme="1"/>
      <name val="宋体"/>
      <family val="2"/>
      <charset val="134"/>
      <scheme val="minor"/>
    </font>
    <font>
      <sz val="9"/>
      <color theme="6" tint="-0.249977111117893"/>
      <name val="宋体"/>
      <family val="3"/>
      <charset val="134"/>
      <scheme val="minor"/>
    </font>
    <font>
      <sz val="9"/>
      <color rgb="FFFF0000"/>
      <name val="宋体"/>
      <family val="3"/>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9"/>
      <color theme="1"/>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alignment vertical="center"/>
    </xf>
  </cellStyleXfs>
  <cellXfs count="21">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2" fillId="0" borderId="0" xfId="0" applyFont="1" applyAlignment="1">
      <alignment vertical="center" wrapText="1"/>
    </xf>
    <xf numFmtId="0" fontId="0" fillId="0" borderId="1" xfId="0" applyBorder="1">
      <alignment vertical="center"/>
    </xf>
    <xf numFmtId="0" fontId="0" fillId="0" borderId="1" xfId="0" applyBorder="1" applyAlignment="1">
      <alignment vertical="center" wrapText="1"/>
    </xf>
    <xf numFmtId="0" fontId="0" fillId="0" borderId="1" xfId="0" applyFill="1" applyBorder="1">
      <alignment vertical="center"/>
    </xf>
    <xf numFmtId="0" fontId="0" fillId="0" borderId="1" xfId="0" applyFill="1" applyBorder="1" applyAlignment="1">
      <alignment vertical="center" wrapText="1"/>
    </xf>
    <xf numFmtId="0" fontId="0" fillId="0" borderId="2" xfId="0" applyFill="1" applyBorder="1">
      <alignment vertical="center"/>
    </xf>
    <xf numFmtId="0" fontId="0" fillId="0" borderId="2" xfId="0" applyFill="1" applyBorder="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1">
    <cellStyle name="常规" xfId="0" builtinId="0"/>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196850</xdr:colOff>
          <xdr:row>0</xdr:row>
          <xdr:rowOff>95250</xdr:rowOff>
        </xdr:from>
        <xdr:to>
          <xdr:col>147</xdr:col>
          <xdr:colOff>1352550</xdr:colOff>
          <xdr:row>0</xdr:row>
          <xdr:rowOff>406400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15"/>
  <sheetViews>
    <sheetView tabSelected="1" zoomScale="85" zoomScaleNormal="85" workbookViewId="0">
      <pane xSplit="5" ySplit="1" topLeftCell="F2" activePane="bottomRight" state="frozen"/>
      <selection pane="topRight" activeCell="F1" sqref="F1"/>
      <selection pane="bottomLeft" activeCell="A2" sqref="A2"/>
      <selection pane="bottomRight" activeCell="C209" sqref="C209:C210"/>
    </sheetView>
  </sheetViews>
  <sheetFormatPr defaultRowHeight="14" x14ac:dyDescent="0.25"/>
  <cols>
    <col min="1" max="1" width="35.6328125" customWidth="1"/>
    <col min="2" max="2" width="42.54296875" customWidth="1"/>
    <col min="3" max="3" width="53.81640625" customWidth="1"/>
    <col min="148" max="148" width="21.36328125" customWidth="1"/>
  </cols>
  <sheetData>
    <row r="1" spans="1:146" ht="39.5" customHeight="1" x14ac:dyDescent="0.25">
      <c r="A1" s="3" t="s">
        <v>4</v>
      </c>
      <c r="B1" s="4" t="s">
        <v>5</v>
      </c>
      <c r="C1" s="3" t="s">
        <v>6</v>
      </c>
      <c r="D1" t="s">
        <v>7</v>
      </c>
      <c r="E1" t="s">
        <v>1812</v>
      </c>
      <c r="F1" t="s">
        <v>2</v>
      </c>
      <c r="G1" t="s">
        <v>2396</v>
      </c>
      <c r="H1" t="s">
        <v>2397</v>
      </c>
      <c r="I1" t="s">
        <v>8</v>
      </c>
      <c r="J1" t="s">
        <v>9</v>
      </c>
      <c r="K1" t="s">
        <v>3</v>
      </c>
      <c r="L1" t="s">
        <v>10</v>
      </c>
      <c r="M1" t="s">
        <v>11</v>
      </c>
      <c r="N1" t="s">
        <v>12</v>
      </c>
      <c r="O1" t="s">
        <v>13</v>
      </c>
      <c r="P1" t="s">
        <v>2398</v>
      </c>
      <c r="Q1" t="s">
        <v>2399</v>
      </c>
      <c r="R1" t="s">
        <v>1813</v>
      </c>
      <c r="S1" t="s">
        <v>14</v>
      </c>
      <c r="T1" t="s">
        <v>2400</v>
      </c>
      <c r="U1" t="s">
        <v>1556</v>
      </c>
      <c r="V1" t="s">
        <v>15</v>
      </c>
      <c r="W1" t="s">
        <v>2401</v>
      </c>
      <c r="X1" t="s">
        <v>2402</v>
      </c>
      <c r="Y1" t="s">
        <v>2403</v>
      </c>
      <c r="Z1" t="s">
        <v>2404</v>
      </c>
      <c r="AA1" t="s">
        <v>2405</v>
      </c>
      <c r="AB1" t="s">
        <v>2406</v>
      </c>
      <c r="AC1" t="s">
        <v>2407</v>
      </c>
      <c r="AD1" t="s">
        <v>2408</v>
      </c>
      <c r="AE1" t="s">
        <v>16</v>
      </c>
      <c r="AF1" t="s">
        <v>17</v>
      </c>
      <c r="AG1" t="s">
        <v>2409</v>
      </c>
      <c r="AH1" t="s">
        <v>2410</v>
      </c>
      <c r="AI1" t="s">
        <v>2411</v>
      </c>
      <c r="AJ1" t="s">
        <v>18</v>
      </c>
      <c r="AK1" t="s">
        <v>2412</v>
      </c>
      <c r="AL1" t="s">
        <v>38</v>
      </c>
      <c r="AM1" t="s">
        <v>2413</v>
      </c>
      <c r="AN1" t="s">
        <v>2414</v>
      </c>
      <c r="AO1" t="s">
        <v>2415</v>
      </c>
      <c r="AP1" t="s">
        <v>2416</v>
      </c>
      <c r="AQ1" t="s">
        <v>2417</v>
      </c>
      <c r="AR1" t="s">
        <v>2418</v>
      </c>
      <c r="AS1" t="s">
        <v>2419</v>
      </c>
      <c r="AT1" t="s">
        <v>2420</v>
      </c>
      <c r="AU1" t="s">
        <v>2421</v>
      </c>
      <c r="AV1" t="s">
        <v>2422</v>
      </c>
      <c r="AW1" t="s">
        <v>2423</v>
      </c>
      <c r="AX1" t="s">
        <v>2424</v>
      </c>
      <c r="AY1" t="s">
        <v>2425</v>
      </c>
      <c r="AZ1" t="s">
        <v>39</v>
      </c>
      <c r="BA1" t="s">
        <v>40</v>
      </c>
      <c r="BB1" t="s">
        <v>41</v>
      </c>
      <c r="BC1" t="s">
        <v>2426</v>
      </c>
      <c r="BD1" t="s">
        <v>1557</v>
      </c>
      <c r="BE1" t="s">
        <v>42</v>
      </c>
      <c r="BF1" t="s">
        <v>43</v>
      </c>
      <c r="BG1" t="s">
        <v>44</v>
      </c>
      <c r="BH1" t="s">
        <v>2427</v>
      </c>
      <c r="BI1" t="s">
        <v>2428</v>
      </c>
      <c r="BJ1" t="s">
        <v>2429</v>
      </c>
      <c r="BK1" t="s">
        <v>2430</v>
      </c>
      <c r="BL1" t="s">
        <v>2431</v>
      </c>
      <c r="BM1" t="s">
        <v>2432</v>
      </c>
      <c r="BN1" t="s">
        <v>2433</v>
      </c>
      <c r="BO1" t="s">
        <v>1814</v>
      </c>
      <c r="BP1" t="s">
        <v>1558</v>
      </c>
      <c r="BQ1" t="s">
        <v>2434</v>
      </c>
      <c r="BR1" t="s">
        <v>1815</v>
      </c>
      <c r="BS1" t="s">
        <v>1559</v>
      </c>
      <c r="BT1" t="s">
        <v>2435</v>
      </c>
      <c r="BU1" t="s">
        <v>1882</v>
      </c>
      <c r="BV1" t="s">
        <v>2436</v>
      </c>
      <c r="BW1" t="s">
        <v>2437</v>
      </c>
      <c r="BX1" t="s">
        <v>45</v>
      </c>
      <c r="BY1" t="s">
        <v>2438</v>
      </c>
      <c r="BZ1" t="s">
        <v>2439</v>
      </c>
      <c r="CA1" t="s">
        <v>46</v>
      </c>
      <c r="CB1" t="s">
        <v>2440</v>
      </c>
      <c r="CC1" t="s">
        <v>2441</v>
      </c>
      <c r="CD1" t="s">
        <v>2442</v>
      </c>
      <c r="CE1" t="s">
        <v>2443</v>
      </c>
      <c r="CF1" s="1" t="s">
        <v>1816</v>
      </c>
      <c r="CG1" s="1" t="s">
        <v>1817</v>
      </c>
      <c r="CH1" s="1" t="s">
        <v>1818</v>
      </c>
      <c r="CI1" s="1" t="s">
        <v>1819</v>
      </c>
      <c r="CJ1" s="1" t="s">
        <v>1820</v>
      </c>
      <c r="CK1" s="1" t="s">
        <v>1821</v>
      </c>
      <c r="CL1" s="1" t="s">
        <v>1822</v>
      </c>
      <c r="CM1" s="1" t="s">
        <v>1823</v>
      </c>
      <c r="CN1" s="1" t="s">
        <v>1824</v>
      </c>
      <c r="CO1" s="1" t="s">
        <v>1825</v>
      </c>
      <c r="CP1" s="1" t="s">
        <v>1826</v>
      </c>
      <c r="CQ1" s="1" t="s">
        <v>1827</v>
      </c>
      <c r="CR1" s="1" t="s">
        <v>2444</v>
      </c>
      <c r="CS1" s="1" t="s">
        <v>2445</v>
      </c>
      <c r="CT1" s="1" t="s">
        <v>2446</v>
      </c>
      <c r="CU1" s="1" t="s">
        <v>2447</v>
      </c>
      <c r="CV1" s="1" t="s">
        <v>2448</v>
      </c>
      <c r="CW1" s="1" t="s">
        <v>2449</v>
      </c>
      <c r="CX1">
        <v>1</v>
      </c>
      <c r="CY1" t="s">
        <v>2450</v>
      </c>
      <c r="CZ1" t="s">
        <v>2451</v>
      </c>
      <c r="DA1">
        <v>3</v>
      </c>
      <c r="DB1" t="s">
        <v>2452</v>
      </c>
      <c r="DC1" t="s">
        <v>2453</v>
      </c>
      <c r="DD1">
        <v>6</v>
      </c>
      <c r="DE1" t="s">
        <v>2454</v>
      </c>
      <c r="DF1" t="s">
        <v>2455</v>
      </c>
      <c r="DG1">
        <v>10</v>
      </c>
      <c r="DH1" t="s">
        <v>2456</v>
      </c>
      <c r="DI1" t="s">
        <v>2457</v>
      </c>
      <c r="DJ1">
        <v>20</v>
      </c>
      <c r="DK1" t="s">
        <v>2458</v>
      </c>
      <c r="DL1" t="s">
        <v>1828</v>
      </c>
      <c r="DM1" t="s">
        <v>1829</v>
      </c>
      <c r="DN1" s="2" t="s">
        <v>1830</v>
      </c>
      <c r="DO1" t="s">
        <v>2459</v>
      </c>
      <c r="DP1" t="s">
        <v>2460</v>
      </c>
      <c r="DQ1" s="18" t="s">
        <v>2461</v>
      </c>
      <c r="DR1" s="1" t="s">
        <v>2462</v>
      </c>
      <c r="DS1" s="1" t="s">
        <v>2463</v>
      </c>
      <c r="DT1" t="s">
        <v>2464</v>
      </c>
      <c r="DU1" t="s">
        <v>2465</v>
      </c>
      <c r="DV1" t="s">
        <v>2466</v>
      </c>
      <c r="DW1" t="s">
        <v>2467</v>
      </c>
      <c r="DX1" t="s">
        <v>2468</v>
      </c>
      <c r="DY1" t="s">
        <v>2469</v>
      </c>
      <c r="DZ1" t="s">
        <v>2470</v>
      </c>
      <c r="EA1" t="s">
        <v>2471</v>
      </c>
      <c r="EB1" t="s">
        <v>2472</v>
      </c>
      <c r="EC1" t="s">
        <v>2473</v>
      </c>
      <c r="ED1" t="s">
        <v>2474</v>
      </c>
      <c r="EE1" t="s">
        <v>2475</v>
      </c>
      <c r="EF1" t="s">
        <v>2476</v>
      </c>
      <c r="EG1" t="s">
        <v>2477</v>
      </c>
      <c r="EH1" t="s">
        <v>2478</v>
      </c>
      <c r="EI1" t="s">
        <v>2479</v>
      </c>
      <c r="EK1" s="19" t="s">
        <v>2480</v>
      </c>
      <c r="EL1" t="s">
        <v>2481</v>
      </c>
      <c r="EM1" t="s">
        <v>2482</v>
      </c>
      <c r="EN1" t="s">
        <v>2483</v>
      </c>
      <c r="EO1" t="s">
        <v>2484</v>
      </c>
      <c r="EP1" t="s">
        <v>2485</v>
      </c>
    </row>
    <row r="2" spans="1:146" ht="84" x14ac:dyDescent="0.25">
      <c r="A2" s="7"/>
      <c r="B2" s="7"/>
      <c r="C2" s="7" t="str">
        <f>""&amp;CHAR(10)&amp;Basic_Fundamental_Information_Constructure(F2)&amp;CHAR(10)&amp;Basic_Fundamental_Information_Concatenate("")</f>
        <v xml:space="preserve">
市值86.211333亿, 利润6.04亿; PE12.58; 平均PE11.2; 平均PEG.72, PB1.1; ROIC6.0667%; ROE7.7667%; 股利率5.0505%; 毛利10.0467%; 净利4.81%; 上一年度营收增26.03%, 利润增20.56%; 当季营收增34.28%, 利润增98.92%; 过往5年营收增15.61%, 利润增-4.88%
Income profile:
</v>
      </c>
      <c r="D2" t="s">
        <v>170</v>
      </c>
      <c r="E2" t="s">
        <v>171</v>
      </c>
      <c r="F2">
        <v>4.95</v>
      </c>
      <c r="G2">
        <v>0</v>
      </c>
      <c r="H2" t="s">
        <v>2898</v>
      </c>
      <c r="I2">
        <v>8621133300</v>
      </c>
      <c r="J2">
        <v>12.58</v>
      </c>
      <c r="K2">
        <v>1.1000000000000001</v>
      </c>
      <c r="L2" t="s">
        <v>172</v>
      </c>
      <c r="M2" t="s">
        <v>2899</v>
      </c>
      <c r="N2" t="s">
        <v>2900</v>
      </c>
      <c r="O2" t="s">
        <v>2901</v>
      </c>
      <c r="P2">
        <v>34.28</v>
      </c>
      <c r="Q2" t="s">
        <v>2902</v>
      </c>
      <c r="R2">
        <v>162854830</v>
      </c>
      <c r="S2" s="5">
        <v>0.98919999999999997</v>
      </c>
      <c r="T2" t="s">
        <v>1833</v>
      </c>
      <c r="U2">
        <v>1692209500</v>
      </c>
      <c r="V2">
        <v>1741643100</v>
      </c>
      <c r="W2">
        <v>1.86</v>
      </c>
      <c r="X2">
        <v>0.22</v>
      </c>
      <c r="Y2">
        <v>5.31</v>
      </c>
      <c r="Z2" t="s">
        <v>2121</v>
      </c>
      <c r="AA2" t="s">
        <v>2903</v>
      </c>
      <c r="AB2" t="s">
        <v>2904</v>
      </c>
      <c r="AC2" t="s">
        <v>683</v>
      </c>
      <c r="AD2" t="s">
        <v>19</v>
      </c>
      <c r="AE2">
        <v>546442</v>
      </c>
      <c r="AF2" t="s">
        <v>2905</v>
      </c>
      <c r="AG2" t="s">
        <v>2906</v>
      </c>
      <c r="AH2" t="s">
        <v>2907</v>
      </c>
      <c r="AI2" t="s">
        <v>1892</v>
      </c>
      <c r="AJ2" t="s">
        <v>2908</v>
      </c>
      <c r="AK2" t="s">
        <v>27</v>
      </c>
      <c r="AL2" t="s">
        <v>2909</v>
      </c>
      <c r="AM2" t="s">
        <v>19</v>
      </c>
      <c r="AN2" t="s">
        <v>2910</v>
      </c>
      <c r="AO2" t="s">
        <v>2911</v>
      </c>
      <c r="AP2" t="s">
        <v>2912</v>
      </c>
      <c r="AQ2" t="s">
        <v>2913</v>
      </c>
      <c r="AR2" t="s">
        <v>2914</v>
      </c>
      <c r="AS2" t="s">
        <v>2915</v>
      </c>
      <c r="AT2" t="s">
        <v>587</v>
      </c>
      <c r="AU2" t="s">
        <v>2916</v>
      </c>
      <c r="AV2" t="s">
        <v>2917</v>
      </c>
      <c r="AW2" t="s">
        <v>2918</v>
      </c>
      <c r="AX2" t="s">
        <v>2086</v>
      </c>
      <c r="AY2" t="s">
        <v>1560</v>
      </c>
      <c r="AZ2" t="s">
        <v>173</v>
      </c>
      <c r="BA2" t="s">
        <v>178</v>
      </c>
      <c r="BB2" t="s">
        <v>179</v>
      </c>
      <c r="BC2" t="s">
        <v>1845</v>
      </c>
      <c r="BD2" t="s">
        <v>1561</v>
      </c>
      <c r="BE2" t="s">
        <v>174</v>
      </c>
      <c r="BF2" t="s">
        <v>180</v>
      </c>
      <c r="BG2" t="s">
        <v>181</v>
      </c>
      <c r="BH2" t="s">
        <v>2902</v>
      </c>
      <c r="BI2" t="s">
        <v>1052</v>
      </c>
      <c r="BJ2" t="s">
        <v>2086</v>
      </c>
      <c r="BK2" t="s">
        <v>1833</v>
      </c>
      <c r="BL2" t="s">
        <v>2919</v>
      </c>
      <c r="BM2" t="s">
        <v>1845</v>
      </c>
      <c r="BN2">
        <v>4.37</v>
      </c>
      <c r="BO2">
        <v>5.01</v>
      </c>
      <c r="BP2">
        <v>8.82</v>
      </c>
      <c r="BQ2">
        <v>5.1100000000000003</v>
      </c>
      <c r="BR2">
        <v>6.75</v>
      </c>
      <c r="BS2">
        <v>11.44</v>
      </c>
      <c r="BT2" t="s">
        <v>2030</v>
      </c>
      <c r="BU2" t="s">
        <v>2920</v>
      </c>
      <c r="BV2">
        <v>10.53</v>
      </c>
      <c r="BW2">
        <v>8.42</v>
      </c>
      <c r="BX2">
        <v>11.19</v>
      </c>
      <c r="BY2">
        <v>4.63</v>
      </c>
      <c r="BZ2">
        <v>3.73</v>
      </c>
      <c r="CA2">
        <v>6.07</v>
      </c>
      <c r="CB2">
        <v>0.81</v>
      </c>
      <c r="CC2">
        <v>-7.48</v>
      </c>
      <c r="CD2" t="s">
        <v>2921</v>
      </c>
      <c r="CE2" t="s">
        <v>2612</v>
      </c>
      <c r="CF2" s="14">
        <v>0.3428469496967535</v>
      </c>
      <c r="CG2" s="15">
        <v>0.98916380647604163</v>
      </c>
      <c r="CH2" s="14">
        <v>0.26028165221214294</v>
      </c>
      <c r="CI2" s="14">
        <v>-2.0034333691000938E-2</v>
      </c>
      <c r="CJ2" s="14">
        <v>0.15432380139827728</v>
      </c>
      <c r="CK2" s="14">
        <v>0.10423289984464645</v>
      </c>
      <c r="CL2" s="14">
        <v>0.28154841065406799</v>
      </c>
      <c r="CM2" s="15">
        <v>0.20558881759643555</v>
      </c>
      <c r="CN2" s="15">
        <v>-0.40428063273429871</v>
      </c>
      <c r="CO2" s="15">
        <v>-6.6592678427696228E-2</v>
      </c>
      <c r="CP2" s="15">
        <v>1.1223344132304192E-2</v>
      </c>
      <c r="CQ2" s="15">
        <v>1.0204081423580647E-2</v>
      </c>
      <c r="CR2">
        <v>11.196277012987013</v>
      </c>
      <c r="CS2">
        <v>0.7173859256764118</v>
      </c>
      <c r="CT2">
        <v>5.0505050505050502</v>
      </c>
      <c r="CU2" s="14">
        <v>0.15607048608362675</v>
      </c>
      <c r="CV2" s="15">
        <v>-4.8771413601934911E-2</v>
      </c>
      <c r="CW2">
        <v>0.06</v>
      </c>
      <c r="CX2">
        <v>11.819699825403303</v>
      </c>
      <c r="CY2">
        <v>658742050.56085908</v>
      </c>
      <c r="CZ2">
        <v>0.15607048608362675</v>
      </c>
      <c r="DA2">
        <v>3.6539616172242639</v>
      </c>
      <c r="DB2">
        <v>2130874408.5589888</v>
      </c>
      <c r="DC2">
        <v>0.1482669617794454</v>
      </c>
      <c r="DD2">
        <v>1.6670512657358343</v>
      </c>
      <c r="DE2">
        <v>4670602194.4461384</v>
      </c>
      <c r="DF2">
        <v>0.13734202775359156</v>
      </c>
      <c r="DG2">
        <v>0.91650284254854608</v>
      </c>
      <c r="DH2">
        <v>8495481888.9037733</v>
      </c>
      <c r="DI2">
        <v>0.12485638886690141</v>
      </c>
      <c r="DJ2">
        <v>0.38669625081164904</v>
      </c>
      <c r="DK2">
        <v>20135011093.739433</v>
      </c>
      <c r="DL2">
        <v>0.10924934025853872</v>
      </c>
      <c r="DM2">
        <v>604000000</v>
      </c>
      <c r="DN2">
        <v>0.15607048608362675</v>
      </c>
      <c r="DO2">
        <v>7786133300</v>
      </c>
      <c r="DP2">
        <v>1493503300</v>
      </c>
      <c r="DQ2">
        <v>23</v>
      </c>
      <c r="DR2">
        <v>0.18677646361312675</v>
      </c>
      <c r="DS2">
        <v>1.0379352200779766</v>
      </c>
      <c r="DT2" s="16">
        <v>-4.0000000000000036E-2</v>
      </c>
      <c r="DU2">
        <v>1.6666666666666663E-2</v>
      </c>
      <c r="DV2">
        <v>-2.3333333333333373E-2</v>
      </c>
      <c r="DW2">
        <v>-2.0748000000000002</v>
      </c>
      <c r="DX2">
        <v>0.36765731707316945</v>
      </c>
      <c r="DY2">
        <v>-2.0132887673170732</v>
      </c>
      <c r="DZ2">
        <v>1762</v>
      </c>
      <c r="EA2">
        <v>-2.0087066131071549</v>
      </c>
      <c r="EB2">
        <v>2</v>
      </c>
      <c r="EC2">
        <v>2.5093373033774829E-2</v>
      </c>
      <c r="ED2">
        <v>0.14124593035163174</v>
      </c>
      <c r="EE2" s="17">
        <v>-2.0043099999999998</v>
      </c>
      <c r="EF2">
        <v>-2.0428099999999998</v>
      </c>
      <c r="EG2">
        <v>19.177657317073169</v>
      </c>
      <c r="EH2" t="s">
        <v>2497</v>
      </c>
      <c r="EI2">
        <v>0</v>
      </c>
      <c r="EJ2">
        <v>0</v>
      </c>
      <c r="EK2" s="19">
        <v>45470</v>
      </c>
      <c r="EL2" s="20">
        <v>1.88</v>
      </c>
      <c r="EM2" s="20">
        <v>-3.32</v>
      </c>
      <c r="EN2" s="20">
        <v>1.34</v>
      </c>
      <c r="EO2" s="20">
        <v>2.57</v>
      </c>
      <c r="EP2" s="20">
        <v>-3.85</v>
      </c>
    </row>
    <row r="3" spans="1:146" ht="264" x14ac:dyDescent="0.25">
      <c r="A3" s="7" t="s">
        <v>1881</v>
      </c>
      <c r="B3" s="7" t="s">
        <v>2084</v>
      </c>
      <c r="C3" s="7" t="str">
        <f>"公司是国家内燃机研发、制造、销售重点骨干企业,也是中国柴油机行业首家在中国香港上市的公司,公司内燃机产品广泛应用于重型汽车、大客车、工程机械、船用、发电等大功率动力配套市场;"&amp;CHAR(10)&amp;Basic_Fundamental_Information_Constructure(F3)&amp;CHAR(10)&amp;Basic_Fundamental_Information_Concatenate("动力总成、整车整机及关键零部件 1043.06亿 51.24% 43.04% 16.34% 增速-10%
智能物流 784.80亿 38.56% 48.03% 24.23% 增速20.78%
其他零部件 130.64亿 6.42% 5.68% 17.22% 增速22.31%
其他 76.97亿 3.78% 3.25% 16.73% 增速33.04%")</f>
        <v>公司是国家内燃机研发、制造、销售重点骨干企业,也是中国柴油机行业首家在中国香港上市的公司,公司内燃机产品广泛应用于重型汽车、大客车、工程机械、船用、发电等大功率动力配套市场;
市值1230.44451亿, 利润90.14亿; PE12.61; 平均PE14.65; 平均PEG2.04, PB1.49; ROIC5.5333%; ROE10.0367%; 股利率2.078%; 毛利19.4433%; 净利4.72%; 上一年度营收增22.15%, 利润增83.77%; 当季营收增5.51%, 利润增40.07%; 过往5年营收增7.19%, 利润增8.97%
Income profile:
动力总成、整车整机及关键零部件 1043.06亿 51.24% 43.04% 16.34% 增速-10%
智能物流 784.80亿 38.56% 48.03% 24.23% 增速20.78%
其他零部件 130.64亿 6.42% 5.68% 17.22% 增速22.31%
其他 76.97亿 3.78% 3.25% 16.73% 增速33.04%</v>
      </c>
      <c r="D3" t="s">
        <v>188</v>
      </c>
      <c r="E3" t="s">
        <v>189</v>
      </c>
      <c r="F3">
        <v>14.1</v>
      </c>
      <c r="G3">
        <v>-0.98</v>
      </c>
      <c r="H3" t="s">
        <v>2922</v>
      </c>
      <c r="I3">
        <v>123044451000</v>
      </c>
      <c r="J3">
        <v>12.61</v>
      </c>
      <c r="K3">
        <v>1.49</v>
      </c>
      <c r="L3" t="s">
        <v>172</v>
      </c>
      <c r="M3" t="s">
        <v>2923</v>
      </c>
      <c r="N3" t="s">
        <v>2924</v>
      </c>
      <c r="O3" t="s">
        <v>2925</v>
      </c>
      <c r="P3">
        <v>5.51</v>
      </c>
      <c r="Q3" t="s">
        <v>2926</v>
      </c>
      <c r="R3">
        <v>2599659000</v>
      </c>
      <c r="S3" s="5">
        <v>0.4007</v>
      </c>
      <c r="T3" t="s">
        <v>2927</v>
      </c>
      <c r="U3">
        <v>4971632200</v>
      </c>
      <c r="V3">
        <v>8726556800</v>
      </c>
      <c r="W3">
        <v>2.9</v>
      </c>
      <c r="X3">
        <v>0.17</v>
      </c>
      <c r="Y3">
        <v>5.93</v>
      </c>
      <c r="Z3" t="s">
        <v>2928</v>
      </c>
      <c r="AA3" t="s">
        <v>2929</v>
      </c>
      <c r="AB3" t="s">
        <v>2930</v>
      </c>
      <c r="AC3" t="s">
        <v>2931</v>
      </c>
      <c r="AD3" t="s">
        <v>19</v>
      </c>
      <c r="AE3">
        <v>105977180</v>
      </c>
      <c r="AF3" t="s">
        <v>2932</v>
      </c>
      <c r="AG3" t="s">
        <v>242</v>
      </c>
      <c r="AH3" t="s">
        <v>2933</v>
      </c>
      <c r="AI3" t="s">
        <v>2934</v>
      </c>
      <c r="AJ3" t="s">
        <v>2935</v>
      </c>
      <c r="AK3" t="s">
        <v>2936</v>
      </c>
      <c r="AL3" t="s">
        <v>2937</v>
      </c>
      <c r="AM3" t="s">
        <v>19</v>
      </c>
      <c r="AN3" t="s">
        <v>2938</v>
      </c>
      <c r="AO3" t="s">
        <v>2939</v>
      </c>
      <c r="AP3" t="s">
        <v>2940</v>
      </c>
      <c r="AQ3" t="s">
        <v>2941</v>
      </c>
      <c r="AR3" t="s">
        <v>19</v>
      </c>
      <c r="AS3" t="s">
        <v>2942</v>
      </c>
      <c r="AT3" t="s">
        <v>2943</v>
      </c>
      <c r="AU3" t="s">
        <v>2622</v>
      </c>
      <c r="AV3" t="s">
        <v>2944</v>
      </c>
      <c r="AW3" t="s">
        <v>2945</v>
      </c>
      <c r="AX3" t="s">
        <v>2088</v>
      </c>
      <c r="AY3" t="s">
        <v>2090</v>
      </c>
      <c r="AZ3" t="s">
        <v>1563</v>
      </c>
      <c r="BA3" t="s">
        <v>191</v>
      </c>
      <c r="BB3" t="s">
        <v>192</v>
      </c>
      <c r="BC3" t="s">
        <v>2089</v>
      </c>
      <c r="BD3" t="s">
        <v>2091</v>
      </c>
      <c r="BE3" t="s">
        <v>1564</v>
      </c>
      <c r="BF3" t="s">
        <v>193</v>
      </c>
      <c r="BG3" t="s">
        <v>194</v>
      </c>
      <c r="BH3" t="s">
        <v>2926</v>
      </c>
      <c r="BI3" t="s">
        <v>2946</v>
      </c>
      <c r="BJ3" t="s">
        <v>2088</v>
      </c>
      <c r="BK3" t="s">
        <v>2927</v>
      </c>
      <c r="BL3" t="s">
        <v>2777</v>
      </c>
      <c r="BM3" t="s">
        <v>2089</v>
      </c>
      <c r="BN3">
        <v>5.27</v>
      </c>
      <c r="BO3">
        <v>3.17</v>
      </c>
      <c r="BP3">
        <v>8.16</v>
      </c>
      <c r="BQ3">
        <v>8.64</v>
      </c>
      <c r="BR3">
        <v>6.66</v>
      </c>
      <c r="BS3">
        <v>14.81</v>
      </c>
      <c r="BT3" t="s">
        <v>2947</v>
      </c>
      <c r="BU3" t="s">
        <v>2920</v>
      </c>
      <c r="BV3">
        <v>21.09</v>
      </c>
      <c r="BW3">
        <v>17.78</v>
      </c>
      <c r="BX3">
        <v>19.46</v>
      </c>
      <c r="BY3">
        <v>5.24</v>
      </c>
      <c r="BZ3">
        <v>3.24</v>
      </c>
      <c r="CA3">
        <v>5.68</v>
      </c>
      <c r="CB3">
        <v>-13.18</v>
      </c>
      <c r="CC3">
        <v>-11.58</v>
      </c>
      <c r="CD3" t="s">
        <v>36</v>
      </c>
      <c r="CE3" t="s">
        <v>2948</v>
      </c>
      <c r="CF3" s="14">
        <v>5.5133435640228927E-2</v>
      </c>
      <c r="CG3" s="15">
        <v>0.40067834051724155</v>
      </c>
      <c r="CH3" s="14">
        <v>0.22151428461074829</v>
      </c>
      <c r="CI3" s="14">
        <v>-0.20460458099842072</v>
      </c>
      <c r="CJ3" s="14">
        <v>0.11621081829071045</v>
      </c>
      <c r="CK3" s="14">
        <v>0.13149155676364899</v>
      </c>
      <c r="CL3" s="14">
        <v>9.4847284257411957E-2</v>
      </c>
      <c r="CM3" s="15">
        <v>0.83771657943725586</v>
      </c>
      <c r="CN3" s="15">
        <v>-0.48330351710319519</v>
      </c>
      <c r="CO3" s="15">
        <v>2.8716940432786942E-2</v>
      </c>
      <c r="CP3" s="15">
        <v>1.3509038835763931E-2</v>
      </c>
      <c r="CQ3" s="15">
        <v>5.1628619432449341E-2</v>
      </c>
      <c r="CR3">
        <v>14.647277066841259</v>
      </c>
      <c r="CS3">
        <v>2.0374037481858664</v>
      </c>
      <c r="CT3">
        <v>2.0780141843971633</v>
      </c>
      <c r="CU3" s="14">
        <v>7.1891872584819799E-2</v>
      </c>
      <c r="CV3" s="15">
        <v>8.9653532207012179E-2</v>
      </c>
      <c r="CW3">
        <v>0.06</v>
      </c>
      <c r="CX3">
        <v>25.004860733901523</v>
      </c>
      <c r="CY3">
        <v>9115125791.9618549</v>
      </c>
      <c r="CZ3">
        <v>7.1891872584819799E-2</v>
      </c>
      <c r="DA3">
        <v>8.2978768127721168</v>
      </c>
      <c r="DB3">
        <v>27467562623.87278</v>
      </c>
      <c r="DC3">
        <v>6.82972789555788E-2</v>
      </c>
      <c r="DD3">
        <v>4.16905615223145</v>
      </c>
      <c r="DE3">
        <v>54670036257.009048</v>
      </c>
      <c r="DF3">
        <v>6.3264847874641428E-2</v>
      </c>
      <c r="DG3">
        <v>2.561352635067494</v>
      </c>
      <c r="DH3">
        <v>88985190043.538864</v>
      </c>
      <c r="DI3">
        <v>5.7513498067855842E-2</v>
      </c>
      <c r="DJ3">
        <v>1.3901072299357511</v>
      </c>
      <c r="DK3">
        <v>163960337801.08768</v>
      </c>
      <c r="DL3">
        <v>5.0324310809373857E-2</v>
      </c>
      <c r="DM3">
        <v>9014000000</v>
      </c>
      <c r="DN3">
        <v>7.1891872584819799E-2</v>
      </c>
      <c r="DO3">
        <v>227922451000</v>
      </c>
      <c r="DP3">
        <v>55448700000</v>
      </c>
      <c r="DQ3">
        <v>67</v>
      </c>
      <c r="DR3">
        <v>-1.6758436944590872E-2</v>
      </c>
      <c r="DS3">
        <v>0.31102480831022938</v>
      </c>
      <c r="DT3" s="16">
        <v>-0.42333333333333334</v>
      </c>
      <c r="DU3">
        <v>0.40333333333333332</v>
      </c>
      <c r="DV3">
        <v>-2.0000000000000018E-2</v>
      </c>
      <c r="DW3">
        <v>-5.8786039453717756</v>
      </c>
      <c r="DX3">
        <v>0.37934930554833735</v>
      </c>
      <c r="DY3">
        <v>-5.2190792836304816</v>
      </c>
      <c r="DZ3">
        <v>1747</v>
      </c>
      <c r="EA3">
        <v>-5.1441807496769689</v>
      </c>
      <c r="EB3">
        <v>5</v>
      </c>
      <c r="EC3">
        <v>5.4889919469727169E-2</v>
      </c>
      <c r="ED3">
        <v>0.22013264154769496</v>
      </c>
      <c r="EE3" s="17">
        <v>3.0928100000000001</v>
      </c>
      <c r="EF3">
        <v>3.09091</v>
      </c>
      <c r="EG3">
        <v>13.249349305548337</v>
      </c>
      <c r="EH3" t="s">
        <v>2487</v>
      </c>
      <c r="EI3">
        <v>0</v>
      </c>
      <c r="EJ3">
        <v>0</v>
      </c>
      <c r="EK3" s="19">
        <v>45470</v>
      </c>
      <c r="EL3" s="20">
        <v>0.52</v>
      </c>
      <c r="EM3" s="20">
        <v>-0.91</v>
      </c>
      <c r="EN3" s="20">
        <v>4.26</v>
      </c>
      <c r="EO3" s="20">
        <v>1.38</v>
      </c>
      <c r="EP3" s="20">
        <v>0.19</v>
      </c>
    </row>
    <row r="4" spans="1:146" x14ac:dyDescent="0.25">
      <c r="A4" s="7"/>
      <c r="B4" s="7"/>
      <c r="C4" s="7" t="str">
        <f>""&amp;CHAR(10)&amp;Basic_Fundamental_Information_Constructure(F4)&amp;CHAR(10)&amp;Basic_Fundamental_Information_Concatenate("")</f>
        <v xml:space="preserve">
市值145.6972亿, 利润8.22亿; PE17.35; 平均PE21.79; 平均PEG3.78, PB1.6; ROIC5.8467%; ROE8.2467%; 股利率3.4014%; 毛利14%; 净利5.49%; 上一年度营收增3.37%, 利润增1.61%; 当季营收增.77%, 利润增7.13%; 过往5年营收增5.76%, 利润增6.47%
Income profile:
</v>
      </c>
      <c r="D4" t="s">
        <v>196</v>
      </c>
      <c r="E4" t="s">
        <v>197</v>
      </c>
      <c r="F4">
        <v>4.41</v>
      </c>
      <c r="G4">
        <v>1.38</v>
      </c>
      <c r="H4" t="s">
        <v>2949</v>
      </c>
      <c r="I4">
        <v>14569720000</v>
      </c>
      <c r="J4">
        <v>17.350000000000001</v>
      </c>
      <c r="K4">
        <v>1.6</v>
      </c>
      <c r="L4" t="s">
        <v>172</v>
      </c>
      <c r="M4" t="s">
        <v>2950</v>
      </c>
      <c r="N4" t="s">
        <v>2951</v>
      </c>
      <c r="O4" t="s">
        <v>2952</v>
      </c>
      <c r="P4">
        <v>0.77</v>
      </c>
      <c r="Q4" t="s">
        <v>2953</v>
      </c>
      <c r="R4">
        <v>278529450</v>
      </c>
      <c r="S4" s="5">
        <v>7.0699999999999999E-2</v>
      </c>
      <c r="T4" t="s">
        <v>2625</v>
      </c>
      <c r="U4">
        <v>3303629800</v>
      </c>
      <c r="V4">
        <v>3303791300</v>
      </c>
      <c r="W4">
        <v>2.23</v>
      </c>
      <c r="X4">
        <v>0.17</v>
      </c>
      <c r="Y4">
        <v>7.91</v>
      </c>
      <c r="Z4" t="s">
        <v>2954</v>
      </c>
      <c r="AA4" t="s">
        <v>2955</v>
      </c>
      <c r="AB4" t="s">
        <v>2956</v>
      </c>
      <c r="AC4" t="s">
        <v>414</v>
      </c>
      <c r="AD4" t="s">
        <v>19</v>
      </c>
      <c r="AE4">
        <v>20789010</v>
      </c>
      <c r="AF4" t="s">
        <v>2957</v>
      </c>
      <c r="AG4" t="s">
        <v>2958</v>
      </c>
      <c r="AH4" t="s">
        <v>2959</v>
      </c>
      <c r="AI4" t="s">
        <v>2960</v>
      </c>
      <c r="AJ4" t="s">
        <v>2961</v>
      </c>
      <c r="AK4" t="s">
        <v>2962</v>
      </c>
      <c r="AL4" t="s">
        <v>2963</v>
      </c>
      <c r="AM4" t="s">
        <v>19</v>
      </c>
      <c r="AN4" t="s">
        <v>157</v>
      </c>
      <c r="AO4" t="s">
        <v>2964</v>
      </c>
      <c r="AP4" t="s">
        <v>2965</v>
      </c>
      <c r="AQ4" t="s">
        <v>2966</v>
      </c>
      <c r="AR4" t="s">
        <v>19</v>
      </c>
      <c r="AS4" t="s">
        <v>2967</v>
      </c>
      <c r="AT4" t="s">
        <v>111</v>
      </c>
      <c r="AU4" t="s">
        <v>2968</v>
      </c>
      <c r="AV4" t="s">
        <v>2969</v>
      </c>
      <c r="AW4" t="s">
        <v>2970</v>
      </c>
      <c r="AX4" t="s">
        <v>2092</v>
      </c>
      <c r="AY4" t="s">
        <v>1565</v>
      </c>
      <c r="AZ4" t="s">
        <v>198</v>
      </c>
      <c r="BA4" t="s">
        <v>203</v>
      </c>
      <c r="BB4" t="s">
        <v>204</v>
      </c>
      <c r="BC4" t="s">
        <v>704</v>
      </c>
      <c r="BD4" t="s">
        <v>1566</v>
      </c>
      <c r="BE4" t="s">
        <v>185</v>
      </c>
      <c r="BF4" t="s">
        <v>110</v>
      </c>
      <c r="BG4" t="s">
        <v>205</v>
      </c>
      <c r="BH4" t="s">
        <v>2953</v>
      </c>
      <c r="BI4" t="s">
        <v>2971</v>
      </c>
      <c r="BJ4" t="s">
        <v>2092</v>
      </c>
      <c r="BK4" t="s">
        <v>2625</v>
      </c>
      <c r="BL4" t="s">
        <v>153</v>
      </c>
      <c r="BM4" t="s">
        <v>704</v>
      </c>
      <c r="BN4">
        <v>4.91</v>
      </c>
      <c r="BO4">
        <v>6.64</v>
      </c>
      <c r="BP4">
        <v>5.99</v>
      </c>
      <c r="BQ4">
        <v>7.21</v>
      </c>
      <c r="BR4">
        <v>9.48</v>
      </c>
      <c r="BS4">
        <v>8.0500000000000007</v>
      </c>
      <c r="BT4" t="s">
        <v>2045</v>
      </c>
      <c r="BU4" t="s">
        <v>2920</v>
      </c>
      <c r="BV4">
        <v>15.45</v>
      </c>
      <c r="BW4">
        <v>13.24</v>
      </c>
      <c r="BX4">
        <v>13.31</v>
      </c>
      <c r="BY4">
        <v>5.74</v>
      </c>
      <c r="BZ4">
        <v>5.83</v>
      </c>
      <c r="CA4">
        <v>4.9000000000000004</v>
      </c>
      <c r="CB4">
        <v>-1.1200000000000001</v>
      </c>
      <c r="CC4">
        <v>-9.4499999999999993</v>
      </c>
      <c r="CD4" t="s">
        <v>2972</v>
      </c>
      <c r="CE4" t="s">
        <v>91</v>
      </c>
      <c r="CF4" s="14">
        <v>7.6508926041371494E-3</v>
      </c>
      <c r="CG4" s="15">
        <v>7.1267115384615387E-2</v>
      </c>
      <c r="CH4" s="14">
        <v>3.3678241074085236E-2</v>
      </c>
      <c r="CI4" s="14">
        <v>-2.1435575559735298E-2</v>
      </c>
      <c r="CJ4" s="14">
        <v>0.31611835956573486</v>
      </c>
      <c r="CK4" s="14">
        <v>2.8447186574339867E-2</v>
      </c>
      <c r="CL4" s="14">
        <v>-6.8737871944904327E-2</v>
      </c>
      <c r="CM4" s="15">
        <v>1.6069220378994942E-2</v>
      </c>
      <c r="CN4" s="15">
        <v>0.17930029332637787</v>
      </c>
      <c r="CO4" s="15">
        <v>0.57339447736740112</v>
      </c>
      <c r="CP4" s="15">
        <v>-0.18656715750694275</v>
      </c>
      <c r="CQ4" s="15">
        <v>-0.25864455103874207</v>
      </c>
      <c r="CR4">
        <v>21.789212362911268</v>
      </c>
      <c r="CS4">
        <v>3.7819256895525442</v>
      </c>
      <c r="CT4">
        <v>3.4013605442176869</v>
      </c>
      <c r="CU4" s="14">
        <v>5.7614067941904067E-2</v>
      </c>
      <c r="CV4" s="15">
        <v>6.4710456505417818E-2</v>
      </c>
      <c r="CW4">
        <v>0.06</v>
      </c>
      <c r="CX4">
        <v>20.828780881952284</v>
      </c>
      <c r="CY4">
        <v>820149777.21532571</v>
      </c>
      <c r="CZ4">
        <v>5.7614067941904067E-2</v>
      </c>
      <c r="DA4">
        <v>6.9965947615713446</v>
      </c>
      <c r="DB4">
        <v>2441576307.0667596</v>
      </c>
      <c r="DC4">
        <v>5.4733364544808857E-2</v>
      </c>
      <c r="DD4">
        <v>3.5717346943153392</v>
      </c>
      <c r="DE4">
        <v>4782751649.2723608</v>
      </c>
      <c r="DF4">
        <v>5.070037978887558E-2</v>
      </c>
      <c r="DG4">
        <v>2.233172802810198</v>
      </c>
      <c r="DH4">
        <v>7649528947.5598612</v>
      </c>
      <c r="DI4">
        <v>4.6091254353523257E-2</v>
      </c>
      <c r="DJ4">
        <v>1.2575939148925557</v>
      </c>
      <c r="DK4">
        <v>13583653513.033646</v>
      </c>
      <c r="DL4">
        <v>4.0329847559332846E-2</v>
      </c>
      <c r="DM4">
        <v>822000000.00000012</v>
      </c>
      <c r="DN4">
        <v>5.7614067941904067E-2</v>
      </c>
      <c r="DO4">
        <v>17082720000</v>
      </c>
      <c r="DP4">
        <v>2824129900</v>
      </c>
      <c r="DQ4">
        <v>139</v>
      </c>
      <c r="DR4">
        <v>-4.9963175337766917E-2</v>
      </c>
      <c r="DS4">
        <v>6.5566588791975688E-3</v>
      </c>
      <c r="DT4" s="16">
        <v>-0.3066666666666667</v>
      </c>
      <c r="DU4">
        <v>6.6666666666666707E-2</v>
      </c>
      <c r="DV4">
        <v>-0.24</v>
      </c>
      <c r="DW4">
        <v>-2.0945</v>
      </c>
      <c r="DX4">
        <v>0.33703894009216456</v>
      </c>
      <c r="DY4">
        <v>-2.0129501798387097</v>
      </c>
      <c r="DZ4">
        <v>2287</v>
      </c>
      <c r="EA4">
        <v>-2.0071542774334006</v>
      </c>
      <c r="EB4">
        <v>2</v>
      </c>
      <c r="EC4">
        <v>1.8002014836711992E-2</v>
      </c>
      <c r="ED4">
        <v>0.13136422993788985</v>
      </c>
      <c r="EE4" s="17">
        <v>-1.1123099999999999</v>
      </c>
      <c r="EF4">
        <v>-1.1365099999999999</v>
      </c>
      <c r="EG4">
        <v>20.137038940092165</v>
      </c>
      <c r="EH4" t="s">
        <v>1838</v>
      </c>
      <c r="EI4">
        <v>0</v>
      </c>
      <c r="EJ4">
        <v>0</v>
      </c>
      <c r="EK4" s="19">
        <v>45470</v>
      </c>
      <c r="EL4" s="20">
        <v>0.88</v>
      </c>
      <c r="EM4" s="20">
        <v>-2.84</v>
      </c>
      <c r="EN4" s="20">
        <v>0.67</v>
      </c>
      <c r="EO4" s="20">
        <v>1.56</v>
      </c>
      <c r="EP4" s="20">
        <v>-2.42</v>
      </c>
    </row>
    <row r="5" spans="1:146" ht="84" x14ac:dyDescent="0.25">
      <c r="A5" s="7"/>
      <c r="B5" s="7"/>
      <c r="C5" s="7" t="str">
        <f>""&amp;CHAR(10)&amp;Basic_Fundamental_Information_Constructure(F5)&amp;CHAR(10)&amp;Basic_Fundamental_Information_Concatenate("")</f>
        <v xml:space="preserve">
市值31.403317亿, 利润1.08亿; PE26.85; 平均PE44.08; 平均PEG89.49, PB.909; ROIC3.3967%; ROE3.68%; 股利率1.0562%; 毛利13.4633%; 净利4.3833%; 上一年度营收增-1.19%, 利润增40.84%; 当季营收增18.92%, 利润增35.3%; 过往5年营收增.49%, 利润增32.35%
Income profile:
</v>
      </c>
      <c r="D5" t="s">
        <v>210</v>
      </c>
      <c r="E5" t="s">
        <v>211</v>
      </c>
      <c r="F5">
        <v>4.45</v>
      </c>
      <c r="G5">
        <v>1.6</v>
      </c>
      <c r="H5" t="s">
        <v>2888</v>
      </c>
      <c r="I5">
        <v>3140331700</v>
      </c>
      <c r="J5">
        <v>26.85</v>
      </c>
      <c r="K5">
        <v>0.90900000000000003</v>
      </c>
      <c r="L5" t="s">
        <v>172</v>
      </c>
      <c r="M5" t="s">
        <v>2973</v>
      </c>
      <c r="N5" t="s">
        <v>2971</v>
      </c>
      <c r="O5" t="s">
        <v>2033</v>
      </c>
      <c r="P5">
        <v>18.97</v>
      </c>
      <c r="Q5" t="s">
        <v>2974</v>
      </c>
      <c r="R5">
        <v>32382778</v>
      </c>
      <c r="S5" s="5">
        <v>0.35299999999999998</v>
      </c>
      <c r="T5" t="s">
        <v>242</v>
      </c>
      <c r="U5">
        <v>555692510</v>
      </c>
      <c r="V5">
        <v>705692510</v>
      </c>
      <c r="W5">
        <v>1.5</v>
      </c>
      <c r="X5">
        <v>0.16</v>
      </c>
      <c r="Y5">
        <v>4.07</v>
      </c>
      <c r="Z5" t="s">
        <v>2821</v>
      </c>
      <c r="AA5" t="s">
        <v>2975</v>
      </c>
      <c r="AB5" t="s">
        <v>2976</v>
      </c>
      <c r="AC5" t="s">
        <v>2977</v>
      </c>
      <c r="AD5" t="s">
        <v>19</v>
      </c>
      <c r="AE5">
        <v>-3640059</v>
      </c>
      <c r="AF5" t="s">
        <v>2978</v>
      </c>
      <c r="AG5" t="s">
        <v>2979</v>
      </c>
      <c r="AH5" t="s">
        <v>2980</v>
      </c>
      <c r="AI5" t="s">
        <v>1639</v>
      </c>
      <c r="AJ5" t="s">
        <v>2981</v>
      </c>
      <c r="AK5" t="s">
        <v>99</v>
      </c>
      <c r="AL5" t="s">
        <v>2982</v>
      </c>
      <c r="AM5" t="s">
        <v>19</v>
      </c>
      <c r="AN5" t="s">
        <v>2983</v>
      </c>
      <c r="AO5" t="s">
        <v>19</v>
      </c>
      <c r="AP5" t="s">
        <v>486</v>
      </c>
      <c r="AQ5" t="s">
        <v>2984</v>
      </c>
      <c r="AR5" t="s">
        <v>2985</v>
      </c>
      <c r="AS5" t="s">
        <v>1284</v>
      </c>
      <c r="AT5" t="s">
        <v>19</v>
      </c>
      <c r="AU5" t="s">
        <v>2986</v>
      </c>
      <c r="AV5" t="s">
        <v>2987</v>
      </c>
      <c r="AW5" t="s">
        <v>19</v>
      </c>
      <c r="AX5" t="s">
        <v>2094</v>
      </c>
      <c r="AY5" t="s">
        <v>1567</v>
      </c>
      <c r="AZ5" t="s">
        <v>212</v>
      </c>
      <c r="BA5" t="s">
        <v>218</v>
      </c>
      <c r="BB5" t="s">
        <v>219</v>
      </c>
      <c r="BC5" t="s">
        <v>2095</v>
      </c>
      <c r="BD5" t="s">
        <v>25</v>
      </c>
      <c r="BE5" t="s">
        <v>213</v>
      </c>
      <c r="BF5" t="s">
        <v>220</v>
      </c>
      <c r="BG5" t="s">
        <v>221</v>
      </c>
      <c r="BH5" t="s">
        <v>2974</v>
      </c>
      <c r="BI5" t="s">
        <v>1955</v>
      </c>
      <c r="BJ5" t="s">
        <v>2094</v>
      </c>
      <c r="BK5" t="s">
        <v>242</v>
      </c>
      <c r="BL5" t="s">
        <v>2988</v>
      </c>
      <c r="BM5" t="s">
        <v>2095</v>
      </c>
      <c r="BN5">
        <v>4.43</v>
      </c>
      <c r="BO5">
        <v>2.0699999999999998</v>
      </c>
      <c r="BP5">
        <v>3.69</v>
      </c>
      <c r="BQ5">
        <v>4.67</v>
      </c>
      <c r="BR5">
        <v>2.5099999999999998</v>
      </c>
      <c r="BS5">
        <v>3.86</v>
      </c>
      <c r="BT5" t="s">
        <v>2989</v>
      </c>
      <c r="BU5" t="s">
        <v>2920</v>
      </c>
      <c r="BV5">
        <v>14.7</v>
      </c>
      <c r="BW5">
        <v>10.69</v>
      </c>
      <c r="BX5">
        <v>15</v>
      </c>
      <c r="BY5">
        <v>5.32</v>
      </c>
      <c r="BZ5">
        <v>3.63</v>
      </c>
      <c r="CA5">
        <v>4.2</v>
      </c>
      <c r="CB5">
        <v>-0.45</v>
      </c>
      <c r="CC5">
        <v>-10.46</v>
      </c>
      <c r="CD5" t="s">
        <v>2990</v>
      </c>
      <c r="CE5" t="s">
        <v>445</v>
      </c>
      <c r="CF5" s="14">
        <v>0.1891891891891892</v>
      </c>
      <c r="CG5" s="15">
        <v>0.35296925789442901</v>
      </c>
      <c r="CH5" s="14">
        <v>-1.1915731243789196E-2</v>
      </c>
      <c r="CI5" s="14">
        <v>-0.11011414229869843</v>
      </c>
      <c r="CJ5" s="14">
        <v>6.7944251000881195E-2</v>
      </c>
      <c r="CK5" s="14">
        <v>0.12218964099884033</v>
      </c>
      <c r="CL5" s="14">
        <v>-4.3478287756443024E-2</v>
      </c>
      <c r="CM5" s="15">
        <v>0.40836253762245178</v>
      </c>
      <c r="CN5" s="15">
        <v>-0.25548738241195679</v>
      </c>
      <c r="CO5" s="15">
        <v>0.96443420648574829</v>
      </c>
      <c r="CP5" s="15">
        <v>1.1001101732254028</v>
      </c>
      <c r="CQ5" s="15">
        <v>-0.59995675086975098</v>
      </c>
      <c r="CR5">
        <v>44.075531961677981</v>
      </c>
      <c r="CS5">
        <v>89.490810439713044</v>
      </c>
      <c r="CT5">
        <v>1.0561797752808988</v>
      </c>
      <c r="CU5" s="14">
        <v>4.9251461401581768E-3</v>
      </c>
      <c r="CV5" s="15">
        <v>0.32349255681037903</v>
      </c>
      <c r="CW5">
        <v>0.06</v>
      </c>
      <c r="CX5">
        <v>12.69996564654909</v>
      </c>
      <c r="CY5">
        <v>102388599.79541235</v>
      </c>
      <c r="CZ5">
        <v>4.9251461401581768E-3</v>
      </c>
      <c r="DA5">
        <v>4.4632426528961862</v>
      </c>
      <c r="DB5">
        <v>291342371.70730978</v>
      </c>
      <c r="DC5">
        <v>4.6788888331502675E-3</v>
      </c>
      <c r="DD5">
        <v>2.4134290273601064</v>
      </c>
      <c r="DE5">
        <v>538790113.67587161</v>
      </c>
      <c r="DF5">
        <v>4.3341286033391959E-3</v>
      </c>
      <c r="DG5">
        <v>1.6037754526680499</v>
      </c>
      <c r="DH5">
        <v>810794115.74529397</v>
      </c>
      <c r="DI5">
        <v>3.9401169121265414E-3</v>
      </c>
      <c r="DJ5">
        <v>1.0188908085107726</v>
      </c>
      <c r="DK5">
        <v>1276222819.107168</v>
      </c>
      <c r="DL5">
        <v>3.4476022981107233E-3</v>
      </c>
      <c r="DM5">
        <v>108000000</v>
      </c>
      <c r="DN5">
        <v>4.9251461401581768E-3</v>
      </c>
      <c r="DO5">
        <v>1300331700</v>
      </c>
      <c r="DP5">
        <v>1465688300</v>
      </c>
      <c r="DQ5">
        <v>148</v>
      </c>
      <c r="DR5">
        <v>0.18426404304903102</v>
      </c>
      <c r="DS5">
        <v>2.9476701084049983E-2</v>
      </c>
      <c r="DT5" s="16">
        <v>-0.44</v>
      </c>
      <c r="DU5">
        <v>0.6366666666666666</v>
      </c>
      <c r="DV5">
        <v>0.1966666666666666</v>
      </c>
      <c r="DW5">
        <v>-2.1046</v>
      </c>
      <c r="DX5">
        <v>0.33690103092783641</v>
      </c>
      <c r="DY5">
        <v>-2.0132738478350514</v>
      </c>
      <c r="DZ5">
        <v>1269</v>
      </c>
      <c r="EA5">
        <v>-2.0099774656623155</v>
      </c>
      <c r="EB5">
        <v>2</v>
      </c>
      <c r="EC5">
        <v>3.4886015723760481E-2</v>
      </c>
      <c r="ED5">
        <v>0.27490726803944682</v>
      </c>
      <c r="EE5" s="17">
        <v>-1.1171</v>
      </c>
      <c r="EF5">
        <v>-1.1036999999999999</v>
      </c>
      <c r="EG5">
        <v>21.126901030927836</v>
      </c>
      <c r="EH5" t="s">
        <v>1844</v>
      </c>
      <c r="EI5">
        <v>0</v>
      </c>
      <c r="EJ5">
        <v>1</v>
      </c>
      <c r="EK5" s="19">
        <v>45470</v>
      </c>
      <c r="EL5" s="20">
        <v>0</v>
      </c>
      <c r="EM5" s="20">
        <v>-3.79</v>
      </c>
      <c r="EN5" s="20">
        <v>1.1599999999999999</v>
      </c>
      <c r="EO5" s="20">
        <v>2.75</v>
      </c>
      <c r="EP5" s="20">
        <v>-1.34</v>
      </c>
    </row>
    <row r="6" spans="1:146" ht="84" x14ac:dyDescent="0.25">
      <c r="A6" s="7"/>
      <c r="B6" s="7"/>
      <c r="C6" s="7" t="str">
        <f>""&amp;CHAR(10)&amp;Basic_Fundamental_Information_Constructure(F6)&amp;CHAR(10)&amp;Basic_Fundamental_Information_Concatenate("")</f>
        <v xml:space="preserve">
市值163.30635亿, 利润18.37亿; PE8.28; 平均PE8.19; 平均PEG1.21, PB.824; ROIC6.9367%; ROE7.1833%; 股利率6.105%; 毛利16.32%; 净利12.7033%; 上一年度营收增-12.86%, 利润增1443.7%; 当季营收增-7.67%, 利润增32.32%; 过往5年营收增6.75%, 利润增271.62%
Income profile:
</v>
      </c>
      <c r="D6" t="s">
        <v>225</v>
      </c>
      <c r="E6" t="s">
        <v>226</v>
      </c>
      <c r="F6">
        <v>16.38</v>
      </c>
      <c r="G6">
        <v>-0.06</v>
      </c>
      <c r="H6" t="s">
        <v>2991</v>
      </c>
      <c r="I6">
        <v>16330635000</v>
      </c>
      <c r="J6">
        <v>8.2799999999999994</v>
      </c>
      <c r="K6">
        <v>0.82399999999999995</v>
      </c>
      <c r="L6" t="s">
        <v>172</v>
      </c>
      <c r="M6" t="s">
        <v>2992</v>
      </c>
      <c r="N6" t="s">
        <v>2993</v>
      </c>
      <c r="O6" t="s">
        <v>2994</v>
      </c>
      <c r="P6">
        <v>-7.66</v>
      </c>
      <c r="Q6" t="s">
        <v>2995</v>
      </c>
      <c r="R6">
        <v>549126310</v>
      </c>
      <c r="S6" s="5">
        <v>0.32390000000000002</v>
      </c>
      <c r="T6" t="s">
        <v>2783</v>
      </c>
      <c r="U6">
        <v>823800120</v>
      </c>
      <c r="V6">
        <v>996986290</v>
      </c>
      <c r="W6">
        <v>1.36</v>
      </c>
      <c r="X6">
        <v>0.1</v>
      </c>
      <c r="Y6">
        <v>19.829999999999998</v>
      </c>
      <c r="Z6" t="s">
        <v>2996</v>
      </c>
      <c r="AA6" t="s">
        <v>2997</v>
      </c>
      <c r="AB6" t="s">
        <v>2998</v>
      </c>
      <c r="AC6" t="s">
        <v>333</v>
      </c>
      <c r="AD6" t="s">
        <v>19</v>
      </c>
      <c r="AE6">
        <v>6977086</v>
      </c>
      <c r="AF6" t="s">
        <v>2999</v>
      </c>
      <c r="AG6" t="s">
        <v>3000</v>
      </c>
      <c r="AH6" t="s">
        <v>3001</v>
      </c>
      <c r="AI6" t="s">
        <v>466</v>
      </c>
      <c r="AJ6" t="s">
        <v>3002</v>
      </c>
      <c r="AK6" t="s">
        <v>3003</v>
      </c>
      <c r="AL6" t="s">
        <v>3004</v>
      </c>
      <c r="AM6" t="s">
        <v>19</v>
      </c>
      <c r="AN6" t="s">
        <v>2796</v>
      </c>
      <c r="AO6" t="s">
        <v>2201</v>
      </c>
      <c r="AP6" t="s">
        <v>3005</v>
      </c>
      <c r="AQ6" t="s">
        <v>3006</v>
      </c>
      <c r="AR6" t="s">
        <v>19</v>
      </c>
      <c r="AS6" t="s">
        <v>3007</v>
      </c>
      <c r="AT6" t="s">
        <v>509</v>
      </c>
      <c r="AU6" t="s">
        <v>3008</v>
      </c>
      <c r="AV6" t="s">
        <v>3009</v>
      </c>
      <c r="AW6" t="s">
        <v>3010</v>
      </c>
      <c r="AX6" t="s">
        <v>2096</v>
      </c>
      <c r="AY6" t="s">
        <v>1569</v>
      </c>
      <c r="AZ6" t="s">
        <v>227</v>
      </c>
      <c r="BA6" t="s">
        <v>231</v>
      </c>
      <c r="BB6" t="s">
        <v>232</v>
      </c>
      <c r="BC6" t="s">
        <v>186</v>
      </c>
      <c r="BD6" t="s">
        <v>1570</v>
      </c>
      <c r="BE6" t="s">
        <v>228</v>
      </c>
      <c r="BF6" t="s">
        <v>233</v>
      </c>
      <c r="BG6" t="s">
        <v>234</v>
      </c>
      <c r="BH6" t="s">
        <v>2995</v>
      </c>
      <c r="BI6" t="s">
        <v>3011</v>
      </c>
      <c r="BJ6" t="s">
        <v>2096</v>
      </c>
      <c r="BK6" t="s">
        <v>2783</v>
      </c>
      <c r="BL6" t="s">
        <v>296</v>
      </c>
      <c r="BM6" t="s">
        <v>186</v>
      </c>
      <c r="BN6">
        <v>6.49</v>
      </c>
      <c r="BO6">
        <v>1.2</v>
      </c>
      <c r="BP6">
        <v>13.12</v>
      </c>
      <c r="BQ6">
        <v>7.24</v>
      </c>
      <c r="BR6">
        <v>0.64</v>
      </c>
      <c r="BS6">
        <v>13.67</v>
      </c>
      <c r="BT6" t="s">
        <v>2044</v>
      </c>
      <c r="BU6" t="s">
        <v>2920</v>
      </c>
      <c r="BV6">
        <v>17.510000000000002</v>
      </c>
      <c r="BW6">
        <v>13.46</v>
      </c>
      <c r="BX6">
        <v>17.989999999999998</v>
      </c>
      <c r="BY6">
        <v>17.25</v>
      </c>
      <c r="BZ6">
        <v>1.5</v>
      </c>
      <c r="CA6">
        <v>19.36</v>
      </c>
      <c r="CB6">
        <v>0.61</v>
      </c>
      <c r="CC6">
        <v>-4.32</v>
      </c>
      <c r="CD6" t="s">
        <v>3012</v>
      </c>
      <c r="CE6" t="s">
        <v>2198</v>
      </c>
      <c r="CF6" s="14">
        <v>-7.6653944020356232E-2</v>
      </c>
      <c r="CG6" s="15">
        <v>0.32319592771084316</v>
      </c>
      <c r="CH6" s="14">
        <v>-0.12859387695789337</v>
      </c>
      <c r="CI6" s="14">
        <v>-6.9580435752868652E-2</v>
      </c>
      <c r="CJ6" s="14">
        <v>6.1937298625707626E-2</v>
      </c>
      <c r="CK6" s="14">
        <v>0.46675771474838257</v>
      </c>
      <c r="CL6" s="14">
        <v>7.1084760129451752E-3</v>
      </c>
      <c r="CM6" s="15">
        <v>14.436973571777344</v>
      </c>
      <c r="CN6" s="15">
        <v>-0.95378637313842773</v>
      </c>
      <c r="CO6" s="15">
        <v>-7.1402765810489655E-2</v>
      </c>
      <c r="CP6" s="15">
        <v>0.22266310453414917</v>
      </c>
      <c r="CQ6" s="15">
        <v>-5.3422369062900543E-2</v>
      </c>
      <c r="CR6">
        <v>8.1871498997326206</v>
      </c>
      <c r="CS6">
        <v>1.2124470373575933</v>
      </c>
      <c r="CT6">
        <v>6.1050061050061055</v>
      </c>
      <c r="CU6" s="14">
        <v>6.7525835335254664E-2</v>
      </c>
      <c r="CV6" s="15">
        <v>2.7162050336599348</v>
      </c>
      <c r="CW6">
        <v>0.06</v>
      </c>
      <c r="CX6">
        <v>1.8932728094750415</v>
      </c>
      <c r="CY6">
        <v>1850042414.6328893</v>
      </c>
      <c r="CZ6">
        <v>6.7525835335254664E-2</v>
      </c>
      <c r="DA6">
        <v>0.63062134510917034</v>
      </c>
      <c r="DB6">
        <v>5554260139.0912952</v>
      </c>
      <c r="DC6">
        <v>6.4149543568491924E-2</v>
      </c>
      <c r="DD6">
        <v>0.31839211707222775</v>
      </c>
      <c r="DE6">
        <v>11001010427.671555</v>
      </c>
      <c r="DF6">
        <v>5.9422735095024104E-2</v>
      </c>
      <c r="DG6">
        <v>0.19667106148890126</v>
      </c>
      <c r="DH6">
        <v>17809610491.158428</v>
      </c>
      <c r="DI6">
        <v>5.4020668268203731E-2</v>
      </c>
      <c r="DJ6">
        <v>0.10797069785148172</v>
      </c>
      <c r="DK6">
        <v>32440607217.506577</v>
      </c>
      <c r="DL6">
        <v>4.7268084734678265E-2</v>
      </c>
      <c r="DM6">
        <v>1837000000</v>
      </c>
      <c r="DN6">
        <v>6.7525835335254664E-2</v>
      </c>
      <c r="DO6">
        <v>3502635000</v>
      </c>
      <c r="DP6">
        <v>7028251000</v>
      </c>
      <c r="DQ6">
        <v>153</v>
      </c>
      <c r="DR6">
        <v>-0.14417977935561088</v>
      </c>
      <c r="DS6">
        <v>-2.3930091059490914</v>
      </c>
      <c r="DT6" s="16">
        <v>-0.32333333333333336</v>
      </c>
      <c r="DU6">
        <v>0.33666666666666667</v>
      </c>
      <c r="DV6">
        <v>1.3333333333333308E-2</v>
      </c>
      <c r="DW6">
        <v>-1.0431999999999999</v>
      </c>
      <c r="DX6">
        <v>0.36929272030651461</v>
      </c>
      <c r="DY6">
        <v>-1.0051534455172413</v>
      </c>
      <c r="DZ6">
        <v>1675</v>
      </c>
      <c r="EA6">
        <v>-1.003464204569809</v>
      </c>
      <c r="EB6">
        <v>1</v>
      </c>
      <c r="EC6">
        <v>3.1229516706794434E-2</v>
      </c>
      <c r="ED6">
        <v>0.26178895599457042</v>
      </c>
      <c r="EE6" s="17">
        <v>1.1318999999999999</v>
      </c>
      <c r="EF6">
        <v>1.1068</v>
      </c>
      <c r="EG6">
        <v>25.119292720306515</v>
      </c>
      <c r="EH6" t="s">
        <v>1832</v>
      </c>
      <c r="EI6">
        <v>0</v>
      </c>
      <c r="EJ6">
        <v>0</v>
      </c>
      <c r="EK6" s="19">
        <v>45470</v>
      </c>
      <c r="EL6" s="20">
        <v>1.1000000000000001</v>
      </c>
      <c r="EM6" s="20">
        <v>-1.57</v>
      </c>
      <c r="EN6" s="20">
        <v>0.55000000000000004</v>
      </c>
      <c r="EO6" s="20">
        <v>1.64</v>
      </c>
      <c r="EP6" s="20">
        <v>-2.5099999999999998</v>
      </c>
    </row>
    <row r="7" spans="1:146" ht="156" x14ac:dyDescent="0.25">
      <c r="A7" s="7" t="s">
        <v>1555</v>
      </c>
      <c r="B7" s="7" t="s">
        <v>1554</v>
      </c>
      <c r="C7" s="7" t="str">
        <f>"公司主要从事商用轮胎研发、生产及销售，主要产品有“前进”、“大力士”、“多力通”、“劲虎”、“金刚”等品牌卡客车轮胎、工程机械轮胎、农业机械轮胎、工业车辆（含实心）轮胎和特种轮胎（如重型越野轮胎、轻轨走行轮胎、沙漠运输轮胎等），是国内商用轮胎规格品种较为齐全的轮胎制造企业之一"&amp;CHAR(10)&amp;Basic_Fundamental_Information_Constructure(F7)&amp;CHAR(10)&amp;Basic_Fundamental_Information_Concatenate("轮胎销售业务 34.48亿 98.79% 毛利17.29%
其他业务 2580.42万 0.74% 毛利88.25%
混炼胶及其他 1644.37万 0.47% 毛利4.48%")</f>
        <v>公司主要从事商用轮胎研发、生产及销售，主要产品有“前进”、“大力士”、“多力通”、“劲虎”、“金刚”等品牌卡客车轮胎、工程机械轮胎、农业机械轮胎、工业车辆（含实心）轮胎和特种轮胎（如重型越野轮胎、轻轨走行轮胎、沙漠运输轮胎等），是国内商用轮胎规格品种较为齐全的轮胎制造企业之一
市值78.073831亿, 利润8.33亿; PE8.24; 平均PE15.65; 平均PEG2.14, PB.869; ROIC5.1633%; ROE7.52%; 股利率3.9841%; 毛利18.22%; 净利6.2967%; 上一年度营收增13.76%, 利润增94.17%; 当季营收增22.12%, 利润增123.66%; 过往5年营收增7.32%, 利润增167.74%
Income profile:
轮胎销售业务 34.48亿 98.79% 毛利17.29%
其他业务 2580.42万 0.74% 毛利88.25%
混炼胶及其他 1644.37万 0.47% 毛利4.48%</v>
      </c>
      <c r="D7" t="s">
        <v>237</v>
      </c>
      <c r="E7" t="s">
        <v>238</v>
      </c>
      <c r="F7">
        <v>5.0199999999999996</v>
      </c>
      <c r="G7">
        <v>1.01</v>
      </c>
      <c r="H7" t="s">
        <v>3013</v>
      </c>
      <c r="I7">
        <v>7807383100</v>
      </c>
      <c r="J7">
        <v>8.24</v>
      </c>
      <c r="K7">
        <v>0.86899999999999999</v>
      </c>
      <c r="L7" t="s">
        <v>172</v>
      </c>
      <c r="M7" t="s">
        <v>3014</v>
      </c>
      <c r="N7" t="s">
        <v>3015</v>
      </c>
      <c r="O7" t="s">
        <v>2522</v>
      </c>
      <c r="P7">
        <v>22.11</v>
      </c>
      <c r="Q7" t="s">
        <v>3016</v>
      </c>
      <c r="R7">
        <v>207433240</v>
      </c>
      <c r="S7" s="5">
        <v>1.2370000000000001</v>
      </c>
      <c r="T7" t="s">
        <v>2865</v>
      </c>
      <c r="U7">
        <v>1530107500</v>
      </c>
      <c r="V7">
        <v>1555255600</v>
      </c>
      <c r="W7">
        <v>2.34</v>
      </c>
      <c r="X7">
        <v>0.14000000000000001</v>
      </c>
      <c r="Y7">
        <v>8.56</v>
      </c>
      <c r="Z7" t="s">
        <v>3017</v>
      </c>
      <c r="AA7" t="s">
        <v>3018</v>
      </c>
      <c r="AB7" t="s">
        <v>3019</v>
      </c>
      <c r="AC7" t="s">
        <v>3020</v>
      </c>
      <c r="AD7" t="s">
        <v>19</v>
      </c>
      <c r="AE7">
        <v>3734580</v>
      </c>
      <c r="AF7" t="s">
        <v>21</v>
      </c>
      <c r="AG7" t="s">
        <v>3021</v>
      </c>
      <c r="AH7" t="s">
        <v>3022</v>
      </c>
      <c r="AI7" t="s">
        <v>3023</v>
      </c>
      <c r="AJ7" t="s">
        <v>3024</v>
      </c>
      <c r="AK7" t="s">
        <v>2754</v>
      </c>
      <c r="AL7" t="s">
        <v>3025</v>
      </c>
      <c r="AM7" t="s">
        <v>19</v>
      </c>
      <c r="AN7" t="s">
        <v>1430</v>
      </c>
      <c r="AO7" t="s">
        <v>2622</v>
      </c>
      <c r="AP7" t="s">
        <v>3026</v>
      </c>
      <c r="AQ7" t="s">
        <v>3027</v>
      </c>
      <c r="AR7" t="s">
        <v>19</v>
      </c>
      <c r="AS7" t="s">
        <v>3028</v>
      </c>
      <c r="AT7" t="s">
        <v>1701</v>
      </c>
      <c r="AU7" t="s">
        <v>3029</v>
      </c>
      <c r="AV7" t="s">
        <v>2684</v>
      </c>
      <c r="AW7" t="s">
        <v>347</v>
      </c>
      <c r="AX7" t="s">
        <v>2098</v>
      </c>
      <c r="AY7" t="s">
        <v>1571</v>
      </c>
      <c r="AZ7" t="s">
        <v>239</v>
      </c>
      <c r="BA7" t="s">
        <v>246</v>
      </c>
      <c r="BB7" t="s">
        <v>247</v>
      </c>
      <c r="BC7" t="s">
        <v>1208</v>
      </c>
      <c r="BD7" t="s">
        <v>788</v>
      </c>
      <c r="BE7" t="s">
        <v>240</v>
      </c>
      <c r="BF7" t="s">
        <v>115</v>
      </c>
      <c r="BG7" t="s">
        <v>248</v>
      </c>
      <c r="BH7" t="s">
        <v>3016</v>
      </c>
      <c r="BI7" t="s">
        <v>3030</v>
      </c>
      <c r="BJ7" t="s">
        <v>2098</v>
      </c>
      <c r="BK7" t="s">
        <v>2865</v>
      </c>
      <c r="BL7" t="s">
        <v>3031</v>
      </c>
      <c r="BM7" t="s">
        <v>1208</v>
      </c>
      <c r="BN7">
        <v>5.68</v>
      </c>
      <c r="BO7">
        <v>4.83</v>
      </c>
      <c r="BP7">
        <v>4.9800000000000004</v>
      </c>
      <c r="BQ7">
        <v>9.2100000000000009</v>
      </c>
      <c r="BR7">
        <v>6.89</v>
      </c>
      <c r="BS7">
        <v>6.46</v>
      </c>
      <c r="BT7" t="s">
        <v>1989</v>
      </c>
      <c r="BU7" t="s">
        <v>3032</v>
      </c>
      <c r="BV7">
        <v>22.21</v>
      </c>
      <c r="BW7">
        <v>16.72</v>
      </c>
      <c r="BX7">
        <v>15.73</v>
      </c>
      <c r="BY7">
        <v>8.74</v>
      </c>
      <c r="BZ7">
        <v>5.1100000000000003</v>
      </c>
      <c r="CA7">
        <v>5.04</v>
      </c>
      <c r="CB7">
        <v>-0.99</v>
      </c>
      <c r="CC7">
        <v>-14.19</v>
      </c>
      <c r="CD7" t="s">
        <v>224</v>
      </c>
      <c r="CE7" t="s">
        <v>97</v>
      </c>
      <c r="CF7" s="14">
        <v>0.22122122122122123</v>
      </c>
      <c r="CG7" s="15">
        <v>1.2366047871199108</v>
      </c>
      <c r="CH7" s="14">
        <v>0.13755929470062256</v>
      </c>
      <c r="CI7" s="14">
        <v>0.15002046525478363</v>
      </c>
      <c r="CJ7" s="14">
        <v>7.7838137745857239E-2</v>
      </c>
      <c r="CK7" s="14">
        <v>5.4351203143596649E-2</v>
      </c>
      <c r="CL7" s="14">
        <v>-5.3772903978824615E-2</v>
      </c>
      <c r="CM7" s="15">
        <v>0.94172495603561401</v>
      </c>
      <c r="CN7" s="15">
        <v>0.15945945680141449</v>
      </c>
      <c r="CO7" s="15">
        <v>-0.67486816644668579</v>
      </c>
      <c r="CP7" s="15">
        <v>7.4296298027038574</v>
      </c>
      <c r="CQ7" s="15">
        <v>0.53107911348342896</v>
      </c>
      <c r="CR7">
        <v>15.650380728064141</v>
      </c>
      <c r="CS7">
        <v>2.1380523707726673</v>
      </c>
      <c r="CT7">
        <v>3.9840637450199208</v>
      </c>
      <c r="CU7" s="14">
        <v>7.319923937320709E-2</v>
      </c>
      <c r="CV7" s="15">
        <v>1.6774050325155259</v>
      </c>
      <c r="CW7">
        <v>0.06</v>
      </c>
      <c r="CX7">
        <v>12.688796121111254</v>
      </c>
      <c r="CY7">
        <v>843372609.809322</v>
      </c>
      <c r="CZ7">
        <v>7.319923937320709E-2</v>
      </c>
      <c r="DA7">
        <v>4.206106746998258</v>
      </c>
      <c r="DB7">
        <v>2544249051.12957</v>
      </c>
      <c r="DC7">
        <v>6.9539277404546726E-2</v>
      </c>
      <c r="DD7">
        <v>2.110154826113861</v>
      </c>
      <c r="DE7">
        <v>5071373421.3086452</v>
      </c>
      <c r="DF7">
        <v>6.4415330648422239E-2</v>
      </c>
      <c r="DG7">
        <v>1.2943153247729966</v>
      </c>
      <c r="DH7">
        <v>8267987634.2164621</v>
      </c>
      <c r="DI7">
        <v>5.8559391498565677E-2</v>
      </c>
      <c r="DJ7">
        <v>0.70002239498170904</v>
      </c>
      <c r="DK7">
        <v>15287201062.016905</v>
      </c>
      <c r="DL7">
        <v>5.1239467561244957E-2</v>
      </c>
      <c r="DM7">
        <v>833000000</v>
      </c>
      <c r="DN7">
        <v>7.319923937320709E-2</v>
      </c>
      <c r="DO7">
        <v>10701383100</v>
      </c>
      <c r="DP7">
        <v>-67734600</v>
      </c>
      <c r="DQ7">
        <v>157</v>
      </c>
      <c r="DR7">
        <v>0.14802198184801413</v>
      </c>
      <c r="DS7">
        <v>-0.44080024539561502</v>
      </c>
      <c r="DT7" s="16">
        <v>-0.28999999999999998</v>
      </c>
      <c r="DU7">
        <v>1.2283333333333333</v>
      </c>
      <c r="DV7">
        <v>0.93833333333333324</v>
      </c>
      <c r="DW7">
        <v>-2.1419000000000001</v>
      </c>
      <c r="DX7">
        <v>0.31894736842105359</v>
      </c>
      <c r="DY7">
        <v>-2.0197166315789472</v>
      </c>
      <c r="DZ7">
        <v>242</v>
      </c>
      <c r="EA7">
        <v>-2.0187828889483983</v>
      </c>
      <c r="EB7">
        <v>2</v>
      </c>
      <c r="EC7">
        <v>8.4873508894615132E-2</v>
      </c>
      <c r="ED7">
        <v>0.61083207159003317</v>
      </c>
      <c r="EE7" s="17">
        <v>6.099999999999964E-4</v>
      </c>
      <c r="EF7">
        <v>2.181E-2</v>
      </c>
      <c r="EG7">
        <v>18.138947368421054</v>
      </c>
      <c r="EH7">
        <v>-1</v>
      </c>
      <c r="EI7">
        <v>0</v>
      </c>
      <c r="EJ7">
        <v>1</v>
      </c>
      <c r="EK7" s="19">
        <v>45470</v>
      </c>
      <c r="EL7" s="20">
        <v>0.56999999999999995</v>
      </c>
      <c r="EM7" s="20">
        <v>-3.79</v>
      </c>
      <c r="EN7" s="20">
        <v>0.39</v>
      </c>
      <c r="EO7" s="20">
        <v>1.57</v>
      </c>
      <c r="EP7" s="20">
        <v>-2.12</v>
      </c>
    </row>
    <row r="8" spans="1:146" ht="84" x14ac:dyDescent="0.25">
      <c r="A8" s="7"/>
      <c r="B8" s="7"/>
      <c r="C8" s="7" t="str">
        <f>""&amp;CHAR(10)&amp;Basic_Fundamental_Information_Constructure(F8)&amp;CHAR(10)&amp;Basic_Fundamental_Information_Concatenate("")</f>
        <v xml:space="preserve">
市值28.423213亿, 利润-1.76亿; PE; 平均PE-12.41; 平均PEG-2.5, PB1.35; ROIC0%; ROE-13.5533%; 股利率0%; 毛利4.4567%; 净利-10.93%; 上一年度营收增19.08%, 利润增70.76%; 当季营收增9.86%, 利润增78.61%; 过往5年营收增4.96%, 利润增-388.86%
Income profile:
</v>
      </c>
      <c r="D8" t="s">
        <v>252</v>
      </c>
      <c r="E8" t="s">
        <v>253</v>
      </c>
      <c r="F8">
        <v>3.48</v>
      </c>
      <c r="G8">
        <v>2.35</v>
      </c>
      <c r="H8" t="s">
        <v>3033</v>
      </c>
      <c r="I8">
        <v>2842321300</v>
      </c>
      <c r="K8">
        <v>1.35</v>
      </c>
      <c r="L8" t="s">
        <v>172</v>
      </c>
      <c r="M8" t="s">
        <v>3034</v>
      </c>
      <c r="N8" t="s">
        <v>2793</v>
      </c>
      <c r="O8" t="s">
        <v>1193</v>
      </c>
      <c r="P8">
        <v>9.8699999999999992</v>
      </c>
      <c r="Q8" t="s">
        <v>3035</v>
      </c>
      <c r="R8">
        <v>-21601924</v>
      </c>
      <c r="S8" s="6">
        <v>0.78600000000000003</v>
      </c>
      <c r="T8" t="s">
        <v>2017</v>
      </c>
      <c r="U8">
        <v>816745110</v>
      </c>
      <c r="V8">
        <v>816758990</v>
      </c>
      <c r="W8">
        <v>4.5599999999999996</v>
      </c>
      <c r="X8">
        <v>0.12</v>
      </c>
      <c r="Y8">
        <v>-3.09</v>
      </c>
      <c r="Z8" t="s">
        <v>1393</v>
      </c>
      <c r="AA8" t="s">
        <v>1843</v>
      </c>
      <c r="AB8" t="s">
        <v>3036</v>
      </c>
      <c r="AC8" t="s">
        <v>3037</v>
      </c>
      <c r="AD8" t="s">
        <v>19</v>
      </c>
      <c r="AE8">
        <v>42553215</v>
      </c>
      <c r="AF8" t="s">
        <v>3038</v>
      </c>
      <c r="AG8" t="s">
        <v>3039</v>
      </c>
      <c r="AH8" t="s">
        <v>3040</v>
      </c>
      <c r="AI8" t="s">
        <v>29</v>
      </c>
      <c r="AJ8" t="s">
        <v>3041</v>
      </c>
      <c r="AK8" t="s">
        <v>1189</v>
      </c>
      <c r="AL8" t="s">
        <v>3042</v>
      </c>
      <c r="AM8" t="s">
        <v>19</v>
      </c>
      <c r="AN8" t="s">
        <v>1644</v>
      </c>
      <c r="AO8" t="s">
        <v>443</v>
      </c>
      <c r="AP8" t="s">
        <v>1303</v>
      </c>
      <c r="AQ8" t="s">
        <v>3043</v>
      </c>
      <c r="AR8" t="s">
        <v>3044</v>
      </c>
      <c r="AS8" t="s">
        <v>3045</v>
      </c>
      <c r="AT8" t="s">
        <v>3046</v>
      </c>
      <c r="AU8" t="s">
        <v>323</v>
      </c>
      <c r="AV8" t="s">
        <v>3047</v>
      </c>
      <c r="AW8" t="s">
        <v>3048</v>
      </c>
      <c r="AX8" t="s">
        <v>2101</v>
      </c>
      <c r="AY8" t="s">
        <v>1572</v>
      </c>
      <c r="AZ8" t="s">
        <v>254</v>
      </c>
      <c r="BA8" t="s">
        <v>258</v>
      </c>
      <c r="BB8" t="s">
        <v>259</v>
      </c>
      <c r="BC8" t="s">
        <v>2102</v>
      </c>
      <c r="BD8" t="s">
        <v>1573</v>
      </c>
      <c r="BE8" t="s">
        <v>255</v>
      </c>
      <c r="BF8" t="s">
        <v>260</v>
      </c>
      <c r="BG8" t="s">
        <v>261</v>
      </c>
      <c r="BH8" t="s">
        <v>3035</v>
      </c>
      <c r="BI8" t="s">
        <v>1843</v>
      </c>
      <c r="BJ8" t="s">
        <v>2101</v>
      </c>
      <c r="BK8" t="s">
        <v>2017</v>
      </c>
      <c r="BL8" t="s">
        <v>2621</v>
      </c>
      <c r="BM8" t="s">
        <v>2102</v>
      </c>
      <c r="BN8" t="s">
        <v>19</v>
      </c>
      <c r="BO8" t="s">
        <v>19</v>
      </c>
      <c r="BP8" t="s">
        <v>19</v>
      </c>
      <c r="BQ8">
        <v>-8.16</v>
      </c>
      <c r="BR8">
        <v>-22.39</v>
      </c>
      <c r="BS8">
        <v>-10.11</v>
      </c>
      <c r="BT8" t="s">
        <v>1983</v>
      </c>
      <c r="BU8" t="s">
        <v>3032</v>
      </c>
      <c r="BV8">
        <v>8.6300000000000008</v>
      </c>
      <c r="BW8">
        <v>1.31</v>
      </c>
      <c r="BX8">
        <v>3.43</v>
      </c>
      <c r="BY8">
        <v>-5.04</v>
      </c>
      <c r="BZ8">
        <v>-17.690000000000001</v>
      </c>
      <c r="CA8">
        <v>-10.06</v>
      </c>
      <c r="CB8">
        <v>-1.42</v>
      </c>
      <c r="CC8">
        <v>-16.55</v>
      </c>
      <c r="CD8" t="s">
        <v>3049</v>
      </c>
      <c r="CE8" t="s">
        <v>1404</v>
      </c>
      <c r="CF8" s="14">
        <v>9.8604651162790699E-2</v>
      </c>
      <c r="CG8" s="15">
        <v>0.7861195643564356</v>
      </c>
      <c r="CH8" s="14">
        <v>0.19079279899597168</v>
      </c>
      <c r="CI8" s="14">
        <v>-3.8216072134673595E-3</v>
      </c>
      <c r="CJ8" s="14">
        <v>-0.11219186335802078</v>
      </c>
      <c r="CK8" s="14">
        <v>7.2017505764961243E-2</v>
      </c>
      <c r="CL8" s="14">
        <v>0.1012016236782074</v>
      </c>
      <c r="CM8" s="15">
        <v>0.70764118432998657</v>
      </c>
      <c r="CN8" s="15">
        <v>-0.88125002384185791</v>
      </c>
      <c r="CO8" s="15">
        <v>-9.2675657272338867</v>
      </c>
      <c r="CP8" s="15">
        <v>0.88541877269744873</v>
      </c>
      <c r="CQ8" s="15">
        <v>-10.88716983795166</v>
      </c>
      <c r="CR8">
        <v>-12.414994383235916</v>
      </c>
      <c r="CS8">
        <v>-2.5030386257202757</v>
      </c>
      <c r="CT8">
        <v>0</v>
      </c>
      <c r="CU8" s="14">
        <v>4.9599691573530433E-2</v>
      </c>
      <c r="CV8" s="15">
        <v>-3.888585126399994</v>
      </c>
      <c r="CW8">
        <v>0.06</v>
      </c>
      <c r="CX8" t="e">
        <v>#VALUE!</v>
      </c>
      <c r="CY8" t="s">
        <v>1834</v>
      </c>
      <c r="CZ8">
        <v>4.9599691573530433E-2</v>
      </c>
      <c r="DA8" t="e">
        <v>#VALUE!</v>
      </c>
      <c r="DB8" t="s">
        <v>1835</v>
      </c>
      <c r="DC8">
        <v>4.7119706994853912E-2</v>
      </c>
      <c r="DD8" t="e">
        <v>#VALUE!</v>
      </c>
      <c r="DE8" t="s">
        <v>1835</v>
      </c>
      <c r="DF8">
        <v>4.364772858470678E-2</v>
      </c>
      <c r="DG8" t="e">
        <v>#VALUE!</v>
      </c>
      <c r="DH8" t="s">
        <v>1835</v>
      </c>
      <c r="DI8">
        <v>3.9679753258824349E-2</v>
      </c>
      <c r="DJ8" t="e">
        <v>#VALUE!</v>
      </c>
      <c r="DK8" t="s">
        <v>1835</v>
      </c>
      <c r="DL8">
        <v>3.47197841014713E-2</v>
      </c>
      <c r="DM8">
        <v>-176000000</v>
      </c>
      <c r="DN8">
        <v>4.9599691573530433E-2</v>
      </c>
      <c r="DO8">
        <v>8474321300</v>
      </c>
      <c r="DP8">
        <v>-2120642300</v>
      </c>
      <c r="DQ8">
        <v>166</v>
      </c>
      <c r="DR8">
        <v>4.9004959589260266E-2</v>
      </c>
      <c r="DS8">
        <v>4.67470469075643</v>
      </c>
      <c r="DT8" s="16">
        <v>-0.27333333333333337</v>
      </c>
      <c r="DU8">
        <v>-2.5216666666666669</v>
      </c>
      <c r="DV8">
        <v>-2.7950000000000004</v>
      </c>
      <c r="DW8">
        <v>-3.0062202380952381</v>
      </c>
      <c r="DX8">
        <v>0.38145180722891647</v>
      </c>
      <c r="DY8">
        <v>-3.001439685348537</v>
      </c>
      <c r="DZ8">
        <v>4834</v>
      </c>
      <c r="EA8">
        <v>-3.0000777599131498</v>
      </c>
      <c r="EB8">
        <v>3</v>
      </c>
      <c r="EC8">
        <v>7.0561206801041762E-2</v>
      </c>
      <c r="ED8">
        <v>0.3048634946766855</v>
      </c>
      <c r="EE8" s="17">
        <v>-1.0557000000000001</v>
      </c>
      <c r="EF8">
        <v>-1.0278</v>
      </c>
      <c r="EG8">
        <v>15.231451807228916</v>
      </c>
      <c r="EH8" t="s">
        <v>1844</v>
      </c>
      <c r="EI8">
        <v>0</v>
      </c>
      <c r="EJ8">
        <v>0</v>
      </c>
      <c r="EK8" s="19">
        <v>45470</v>
      </c>
      <c r="EL8" s="20">
        <v>0.85</v>
      </c>
      <c r="EM8" s="20">
        <v>-3.67</v>
      </c>
      <c r="EN8" s="20">
        <v>2.64</v>
      </c>
      <c r="EO8" s="20">
        <v>2.57</v>
      </c>
      <c r="EP8" s="20">
        <v>-2.79</v>
      </c>
    </row>
    <row r="9" spans="1:146" ht="84" x14ac:dyDescent="0.25">
      <c r="A9" s="7"/>
      <c r="B9" s="7"/>
      <c r="C9" s="7" t="str">
        <f>""&amp;CHAR(10)&amp;Basic_Fundamental_Information_Constructure(F9)&amp;CHAR(10)&amp;Basic_Fundamental_Information_Concatenate("")</f>
        <v xml:space="preserve">
市值16.959675亿, 利润-5372.17万; PE; 平均PE-27.72; 平均PEG-128.37, PB2.09; ROIC0%; ROE-7.5167%; 股利率0%; 毛利9.9%; 净利-6.4267%; 上一年度营收增23.25%, 利润增57.02%; 当季营收增9.91%, 利润增38.5%; 过往5年营收增-.22%, 利润增-154.62%
Income profile:
</v>
      </c>
      <c r="D9" t="s">
        <v>265</v>
      </c>
      <c r="E9" t="s">
        <v>266</v>
      </c>
      <c r="F9">
        <v>3.69</v>
      </c>
      <c r="G9">
        <v>0.82</v>
      </c>
      <c r="H9" t="s">
        <v>3050</v>
      </c>
      <c r="I9">
        <v>1695967500</v>
      </c>
      <c r="K9">
        <v>2.09</v>
      </c>
      <c r="L9" t="s">
        <v>172</v>
      </c>
      <c r="M9" t="s">
        <v>2692</v>
      </c>
      <c r="N9" t="s">
        <v>745</v>
      </c>
      <c r="O9" t="s">
        <v>112</v>
      </c>
      <c r="P9">
        <v>9.92</v>
      </c>
      <c r="Q9" t="s">
        <v>202</v>
      </c>
      <c r="R9">
        <v>-13391522</v>
      </c>
      <c r="S9" s="5">
        <v>0.38500000000000001</v>
      </c>
      <c r="T9" t="s">
        <v>3051</v>
      </c>
      <c r="U9">
        <v>459611800</v>
      </c>
      <c r="V9">
        <v>459611800</v>
      </c>
      <c r="W9">
        <v>2.61</v>
      </c>
      <c r="X9">
        <v>0.15</v>
      </c>
      <c r="Y9">
        <v>-4.21</v>
      </c>
      <c r="Z9" t="s">
        <v>1407</v>
      </c>
      <c r="AA9" t="s">
        <v>402</v>
      </c>
      <c r="AB9" t="s">
        <v>3052</v>
      </c>
      <c r="AC9" t="s">
        <v>3053</v>
      </c>
      <c r="AD9" t="s">
        <v>19</v>
      </c>
      <c r="AE9">
        <v>7797444</v>
      </c>
      <c r="AF9" t="s">
        <v>21</v>
      </c>
      <c r="AG9" t="s">
        <v>3054</v>
      </c>
      <c r="AH9" t="s">
        <v>3055</v>
      </c>
      <c r="AI9" t="s">
        <v>526</v>
      </c>
      <c r="AJ9" t="s">
        <v>3056</v>
      </c>
      <c r="AK9" t="s">
        <v>3057</v>
      </c>
      <c r="AL9" t="s">
        <v>3058</v>
      </c>
      <c r="AM9" t="s">
        <v>19</v>
      </c>
      <c r="AN9" t="s">
        <v>3059</v>
      </c>
      <c r="AO9" t="s">
        <v>488</v>
      </c>
      <c r="AP9" t="s">
        <v>245</v>
      </c>
      <c r="AQ9" t="s">
        <v>679</v>
      </c>
      <c r="AR9" t="s">
        <v>19</v>
      </c>
      <c r="AS9" t="s">
        <v>2648</v>
      </c>
      <c r="AT9" t="s">
        <v>1855</v>
      </c>
      <c r="AU9" t="s">
        <v>3060</v>
      </c>
      <c r="AV9" t="s">
        <v>3061</v>
      </c>
      <c r="AW9" t="s">
        <v>3062</v>
      </c>
      <c r="AX9" t="s">
        <v>2064</v>
      </c>
      <c r="AY9" t="s">
        <v>49</v>
      </c>
      <c r="AZ9" t="s">
        <v>268</v>
      </c>
      <c r="BA9" t="s">
        <v>273</v>
      </c>
      <c r="BB9" t="s">
        <v>274</v>
      </c>
      <c r="BC9" t="s">
        <v>2103</v>
      </c>
      <c r="BD9" t="s">
        <v>1574</v>
      </c>
      <c r="BE9" t="s">
        <v>269</v>
      </c>
      <c r="BF9" t="s">
        <v>275</v>
      </c>
      <c r="BG9" t="s">
        <v>276</v>
      </c>
      <c r="BH9" t="s">
        <v>202</v>
      </c>
      <c r="BI9" t="s">
        <v>2533</v>
      </c>
      <c r="BJ9" t="s">
        <v>2064</v>
      </c>
      <c r="BK9" t="s">
        <v>3051</v>
      </c>
      <c r="BL9" t="s">
        <v>3063</v>
      </c>
      <c r="BM9" t="s">
        <v>2103</v>
      </c>
      <c r="BN9" t="s">
        <v>19</v>
      </c>
      <c r="BO9" t="s">
        <v>19</v>
      </c>
      <c r="BP9" t="s">
        <v>19</v>
      </c>
      <c r="BQ9">
        <v>-5.23</v>
      </c>
      <c r="BR9">
        <v>-12.91</v>
      </c>
      <c r="BS9">
        <v>-4.41</v>
      </c>
      <c r="BT9" t="s">
        <v>1983</v>
      </c>
      <c r="BU9" t="s">
        <v>2920</v>
      </c>
      <c r="BV9">
        <v>11.13</v>
      </c>
      <c r="BW9">
        <v>6</v>
      </c>
      <c r="BX9">
        <v>12.57</v>
      </c>
      <c r="BY9">
        <v>-4.3099999999999996</v>
      </c>
      <c r="BZ9">
        <v>-11.26</v>
      </c>
      <c r="CA9">
        <v>-3.71</v>
      </c>
      <c r="CB9">
        <v>-1.86</v>
      </c>
      <c r="CC9">
        <v>-18.36</v>
      </c>
      <c r="CD9" t="s">
        <v>3064</v>
      </c>
      <c r="CE9" t="s">
        <v>278</v>
      </c>
      <c r="CF9" s="14">
        <v>9.9071207430340563E-2</v>
      </c>
      <c r="CG9" s="15">
        <v>0.38495106346822455</v>
      </c>
      <c r="CH9" s="14">
        <v>0.23253750801086426</v>
      </c>
      <c r="CI9" s="14">
        <v>-0.14188158512115479</v>
      </c>
      <c r="CJ9" s="14">
        <v>0.10570469498634338</v>
      </c>
      <c r="CK9" s="14">
        <v>-3.9484236389398575E-2</v>
      </c>
      <c r="CL9" s="14">
        <v>-0.1676727831363678</v>
      </c>
      <c r="CM9" s="15">
        <v>0.57022643089294434</v>
      </c>
      <c r="CN9" s="15">
        <v>-1.5174660682678223</v>
      </c>
      <c r="CO9" s="15">
        <v>0.4562390148639679</v>
      </c>
      <c r="CP9" s="15">
        <v>-8.4456510543823242</v>
      </c>
      <c r="CQ9" s="15">
        <v>1.2054833173751831</v>
      </c>
      <c r="CR9">
        <v>-27.718749004042667</v>
      </c>
      <c r="CS9">
        <v>-128.37031218071712</v>
      </c>
      <c r="CT9">
        <v>0</v>
      </c>
      <c r="CU9" s="14">
        <v>-2.1592803299427033E-3</v>
      </c>
      <c r="CV9" s="15">
        <v>-1.5462336719036103</v>
      </c>
      <c r="CW9">
        <v>0.06</v>
      </c>
      <c r="CX9" t="e">
        <v>#VALUE!</v>
      </c>
      <c r="CY9" t="s">
        <v>1834</v>
      </c>
      <c r="CZ9">
        <v>-2.1592803299427033E-3</v>
      </c>
      <c r="DA9" t="e">
        <v>#VALUE!</v>
      </c>
      <c r="DB9" t="s">
        <v>1835</v>
      </c>
      <c r="DC9">
        <v>-2.0513163134455682E-3</v>
      </c>
      <c r="DD9" t="e">
        <v>#VALUE!</v>
      </c>
      <c r="DE9" t="s">
        <v>1835</v>
      </c>
      <c r="DF9">
        <v>-1.9001666903495789E-3</v>
      </c>
      <c r="DG9" t="e">
        <v>#VALUE!</v>
      </c>
      <c r="DH9" t="s">
        <v>1835</v>
      </c>
      <c r="DI9">
        <v>-1.7274242639541628E-3</v>
      </c>
      <c r="DJ9" t="e">
        <v>#VALUE!</v>
      </c>
      <c r="DK9" t="s">
        <v>1835</v>
      </c>
      <c r="DL9">
        <v>-1.5114962309598922E-3</v>
      </c>
      <c r="DM9">
        <v>-53721700</v>
      </c>
      <c r="DN9">
        <v>-2.1592803299427033E-3</v>
      </c>
      <c r="DO9">
        <v>2242967500</v>
      </c>
      <c r="DP9">
        <v>-307468710</v>
      </c>
      <c r="DQ9">
        <v>212</v>
      </c>
      <c r="DR9">
        <v>0.10123048776028326</v>
      </c>
      <c r="DS9">
        <v>1.9311847353718348</v>
      </c>
      <c r="DT9" s="16">
        <v>-0.37333333333333335</v>
      </c>
      <c r="DU9">
        <v>-2.5983333333333336</v>
      </c>
      <c r="DV9">
        <v>-2.9716666666666671</v>
      </c>
      <c r="DW9">
        <v>-3.0266904761904763</v>
      </c>
      <c r="DX9">
        <v>0.3151953271028054</v>
      </c>
      <c r="DY9">
        <v>-3.0028077133733868</v>
      </c>
      <c r="DZ9">
        <v>4899</v>
      </c>
      <c r="EA9">
        <v>-3.0001159349357698</v>
      </c>
      <c r="EB9">
        <v>3</v>
      </c>
      <c r="EC9">
        <v>4.8980030538815583E-2</v>
      </c>
      <c r="ED9">
        <v>0.46561032593157964</v>
      </c>
      <c r="EE9" s="17">
        <v>-2.0178099999999999</v>
      </c>
      <c r="EF9">
        <v>-2.04121</v>
      </c>
      <c r="EG9">
        <v>21.105195327102805</v>
      </c>
      <c r="EH9" t="s">
        <v>2497</v>
      </c>
      <c r="EI9">
        <v>0</v>
      </c>
      <c r="EJ9">
        <v>0</v>
      </c>
      <c r="EK9" s="19">
        <v>45470</v>
      </c>
      <c r="EL9" s="20">
        <v>-0.52</v>
      </c>
      <c r="EM9" s="20">
        <v>-4.99</v>
      </c>
      <c r="EN9" s="20">
        <v>3.04</v>
      </c>
      <c r="EO9" s="20">
        <v>2.95</v>
      </c>
      <c r="EP9" s="20">
        <v>-2.34</v>
      </c>
    </row>
    <row r="10" spans="1:146" ht="84" x14ac:dyDescent="0.25">
      <c r="A10" s="7"/>
      <c r="B10" s="7"/>
      <c r="C10" s="7" t="str">
        <f>""&amp;CHAR(10)&amp;Basic_Fundamental_Information_Constructure(F10)&amp;CHAR(10)&amp;Basic_Fundamental_Information_Concatenate("")</f>
        <v xml:space="preserve">
市值47.644999亿, 利润4.49亿; PE9.04; 平均PE33.69; 平均PEG2.79, PB1.3; ROIC9.54%; ROE8.05%; 股利率0%; 毛利17.4467%; 净利3.03%; 上一年度营收增13.8%, 利润增-9.84%; 当季营收增2.38%, 利润增116.66%; 过往5年营收增12.06%, 利润增-903.01%
Income profile:
</v>
      </c>
      <c r="D10" t="s">
        <v>280</v>
      </c>
      <c r="E10" t="s">
        <v>281</v>
      </c>
      <c r="F10">
        <v>5.19</v>
      </c>
      <c r="G10">
        <v>0.19</v>
      </c>
      <c r="H10" t="s">
        <v>3065</v>
      </c>
      <c r="I10">
        <v>4764499900</v>
      </c>
      <c r="J10">
        <v>9.0399999999999991</v>
      </c>
      <c r="K10">
        <v>1.3</v>
      </c>
      <c r="L10" t="s">
        <v>172</v>
      </c>
      <c r="M10" t="s">
        <v>3066</v>
      </c>
      <c r="N10" t="s">
        <v>2329</v>
      </c>
      <c r="O10" t="s">
        <v>3067</v>
      </c>
      <c r="P10">
        <v>2.38</v>
      </c>
      <c r="Q10" t="s">
        <v>232</v>
      </c>
      <c r="R10">
        <v>144411460</v>
      </c>
      <c r="S10" s="5">
        <v>1.167</v>
      </c>
      <c r="T10" t="s">
        <v>2081</v>
      </c>
      <c r="U10">
        <v>918015390</v>
      </c>
      <c r="V10">
        <v>918015390</v>
      </c>
      <c r="W10">
        <v>2.52</v>
      </c>
      <c r="X10">
        <v>0.19</v>
      </c>
      <c r="Y10">
        <v>7.93</v>
      </c>
      <c r="Z10" t="s">
        <v>3068</v>
      </c>
      <c r="AA10" t="s">
        <v>3069</v>
      </c>
      <c r="AB10" t="s">
        <v>3070</v>
      </c>
      <c r="AC10" t="s">
        <v>190</v>
      </c>
      <c r="AD10" t="s">
        <v>19</v>
      </c>
      <c r="AE10">
        <v>32987994</v>
      </c>
      <c r="AF10" t="s">
        <v>3071</v>
      </c>
      <c r="AG10">
        <v>9401.07</v>
      </c>
      <c r="AH10" t="s">
        <v>3072</v>
      </c>
      <c r="AI10" t="s">
        <v>3073</v>
      </c>
      <c r="AJ10" t="s">
        <v>3074</v>
      </c>
      <c r="AK10" t="s">
        <v>3075</v>
      </c>
      <c r="AL10" t="s">
        <v>3076</v>
      </c>
      <c r="AM10" t="s">
        <v>19</v>
      </c>
      <c r="AN10" t="s">
        <v>3077</v>
      </c>
      <c r="AO10" t="s">
        <v>2590</v>
      </c>
      <c r="AP10" t="s">
        <v>558</v>
      </c>
      <c r="AQ10" t="s">
        <v>3078</v>
      </c>
      <c r="AR10" t="s">
        <v>3079</v>
      </c>
      <c r="AS10" t="s">
        <v>3080</v>
      </c>
      <c r="AT10" t="s">
        <v>3081</v>
      </c>
      <c r="AU10" t="s">
        <v>446</v>
      </c>
      <c r="AV10" t="s">
        <v>3082</v>
      </c>
      <c r="AW10" t="s">
        <v>186</v>
      </c>
      <c r="AX10" t="s">
        <v>2105</v>
      </c>
      <c r="AY10" t="s">
        <v>1575</v>
      </c>
      <c r="AZ10" t="s">
        <v>2106</v>
      </c>
      <c r="BA10" t="s">
        <v>2107</v>
      </c>
      <c r="BB10" t="s">
        <v>285</v>
      </c>
      <c r="BC10" t="s">
        <v>679</v>
      </c>
      <c r="BD10" t="s">
        <v>2108</v>
      </c>
      <c r="BE10" t="s">
        <v>2109</v>
      </c>
      <c r="BF10" t="s">
        <v>2110</v>
      </c>
      <c r="BG10" t="s">
        <v>286</v>
      </c>
      <c r="BH10" t="s">
        <v>232</v>
      </c>
      <c r="BI10" t="s">
        <v>2736</v>
      </c>
      <c r="BJ10" t="s">
        <v>2105</v>
      </c>
      <c r="BK10" t="s">
        <v>2081</v>
      </c>
      <c r="BL10" t="s">
        <v>3083</v>
      </c>
      <c r="BM10" t="s">
        <v>679</v>
      </c>
      <c r="BN10">
        <v>8.4700000000000006</v>
      </c>
      <c r="BO10">
        <v>10.61</v>
      </c>
      <c r="BP10" t="s">
        <v>19</v>
      </c>
      <c r="BQ10">
        <v>12.61</v>
      </c>
      <c r="BR10">
        <v>19.510000000000002</v>
      </c>
      <c r="BS10">
        <v>-7.97</v>
      </c>
      <c r="BT10" t="s">
        <v>1983</v>
      </c>
      <c r="BU10" t="s">
        <v>3084</v>
      </c>
      <c r="BV10">
        <v>17.39</v>
      </c>
      <c r="BW10">
        <v>17.62</v>
      </c>
      <c r="BX10">
        <v>17.329999999999998</v>
      </c>
      <c r="BY10">
        <v>5.2</v>
      </c>
      <c r="BZ10">
        <v>6.55</v>
      </c>
      <c r="CA10">
        <v>-2.66</v>
      </c>
      <c r="CB10">
        <v>-1.1399999999999999</v>
      </c>
      <c r="CC10">
        <v>-10.82</v>
      </c>
      <c r="CD10" t="s">
        <v>3085</v>
      </c>
      <c r="CE10" t="s">
        <v>870</v>
      </c>
      <c r="CF10" s="14">
        <v>2.3755656108597419E-2</v>
      </c>
      <c r="CG10" s="15">
        <v>1.1666030540077474</v>
      </c>
      <c r="CH10" s="14">
        <v>0.13804799318313599</v>
      </c>
      <c r="CI10" s="14">
        <v>3.707711398601532E-2</v>
      </c>
      <c r="CJ10" s="14">
        <v>0.21107833087444305</v>
      </c>
      <c r="CK10" s="14">
        <v>0.11127305775880814</v>
      </c>
      <c r="CL10" s="14">
        <v>0.10571882128715515</v>
      </c>
      <c r="CM10" s="15">
        <v>-9.8393574357032776E-2</v>
      </c>
      <c r="CN10" s="15">
        <v>3.5408163070678711</v>
      </c>
      <c r="CO10" s="15">
        <v>-54.735652923583984</v>
      </c>
      <c r="CP10" s="15">
        <v>-1.0390788316726685</v>
      </c>
      <c r="CQ10" s="15">
        <v>7.1818628311157227</v>
      </c>
      <c r="CR10">
        <v>33.692442106325132</v>
      </c>
      <c r="CS10">
        <v>2.7928302120192643</v>
      </c>
      <c r="CT10">
        <v>0</v>
      </c>
      <c r="CU10" s="14">
        <v>0.12063906341791153</v>
      </c>
      <c r="CV10" s="15">
        <v>-9.0300892382860187</v>
      </c>
      <c r="CW10">
        <v>0.06</v>
      </c>
      <c r="CX10">
        <v>14.737116674919577</v>
      </c>
      <c r="CY10">
        <v>474685791.95720971</v>
      </c>
      <c r="CZ10">
        <v>0.12063906341791153</v>
      </c>
      <c r="DA10">
        <v>4.6930378196979445</v>
      </c>
      <c r="DB10">
        <v>1490612300.339452</v>
      </c>
      <c r="DC10">
        <v>0.11460711024701595</v>
      </c>
      <c r="DD10">
        <v>2.2308757110130331</v>
      </c>
      <c r="DE10">
        <v>3135764070.3449888</v>
      </c>
      <c r="DF10">
        <v>0.10616237580776215</v>
      </c>
      <c r="DG10">
        <v>1.2871529868603515</v>
      </c>
      <c r="DH10">
        <v>5434862810.7242785</v>
      </c>
      <c r="DI10">
        <v>9.6511250734329229E-2</v>
      </c>
      <c r="DJ10">
        <v>0.60787982430617638</v>
      </c>
      <c r="DK10">
        <v>11508031061.870731</v>
      </c>
      <c r="DL10">
        <v>8.4447344392538065E-2</v>
      </c>
      <c r="DM10">
        <v>449000000</v>
      </c>
      <c r="DN10">
        <v>0.12063906341791153</v>
      </c>
      <c r="DO10">
        <v>6995499900</v>
      </c>
      <c r="DP10">
        <v>-250285700</v>
      </c>
      <c r="DQ10">
        <v>227</v>
      </c>
      <c r="DR10">
        <v>-9.6883407309314107E-2</v>
      </c>
      <c r="DS10">
        <v>10.196692292293767</v>
      </c>
      <c r="DT10" s="16">
        <v>-0.3066666666666667</v>
      </c>
      <c r="DU10">
        <v>-1.0566666666666669</v>
      </c>
      <c r="DV10">
        <v>-1.3633333333333335</v>
      </c>
      <c r="DW10">
        <v>-2.1082000000000001</v>
      </c>
      <c r="DX10">
        <v>0.35074164588528661</v>
      </c>
      <c r="DY10">
        <v>-2.0163102460847879</v>
      </c>
      <c r="DZ10">
        <v>3911</v>
      </c>
      <c r="EA10">
        <v>-2.0038270029463132</v>
      </c>
      <c r="EB10">
        <v>2</v>
      </c>
      <c r="EC10">
        <v>6.5845737074190003E-2</v>
      </c>
      <c r="ED10">
        <v>0.43681184909111381</v>
      </c>
      <c r="EE10" s="17">
        <v>-1.0306999999999999</v>
      </c>
      <c r="EF10">
        <v>-1.00261</v>
      </c>
      <c r="EG10">
        <v>20.150741645885287</v>
      </c>
      <c r="EH10" t="s">
        <v>1838</v>
      </c>
      <c r="EI10">
        <v>0</v>
      </c>
      <c r="EJ10">
        <v>0</v>
      </c>
      <c r="EK10" s="19">
        <v>45470</v>
      </c>
      <c r="EL10" s="20">
        <v>1.72</v>
      </c>
      <c r="EM10" s="20">
        <v>-3.38</v>
      </c>
      <c r="EN10" s="20">
        <v>1.56</v>
      </c>
      <c r="EO10" s="20">
        <v>3.45</v>
      </c>
      <c r="EP10" s="20">
        <v>-3.33</v>
      </c>
    </row>
    <row r="11" spans="1:146" ht="84" x14ac:dyDescent="0.25">
      <c r="A11" s="7"/>
      <c r="B11" s="7"/>
      <c r="C11" s="7" t="str">
        <f>""&amp;CHAR(10)&amp;Basic_Fundamental_Information_Constructure(F11)&amp;CHAR(10)&amp;Basic_Fundamental_Information_Concatenate("")</f>
        <v xml:space="preserve">
市值25.611082亿, 利润1.66亿; PE15.15; 平均PE22.62; 平均PEG2.26, PB1.3; ROIC6.34%; ROE7.8767%; 股利率2.3286%; 毛利13.0033%; 净利4.17%; 上一年度营收增8.89%, 利润增17.73%; 当季营收增.34%, 利润增12.09%; 过往5年营收增10%, 利润增35.59%
Income profile:
</v>
      </c>
      <c r="D11" t="s">
        <v>297</v>
      </c>
      <c r="E11" t="s">
        <v>298</v>
      </c>
      <c r="F11">
        <v>7.73</v>
      </c>
      <c r="G11">
        <v>1.05</v>
      </c>
      <c r="H11" t="s">
        <v>3086</v>
      </c>
      <c r="I11">
        <v>2561108200</v>
      </c>
      <c r="J11">
        <v>15.15</v>
      </c>
      <c r="K11">
        <v>1.3</v>
      </c>
      <c r="L11" t="s">
        <v>172</v>
      </c>
      <c r="M11" t="s">
        <v>3087</v>
      </c>
      <c r="N11" t="s">
        <v>3088</v>
      </c>
      <c r="O11" t="s">
        <v>362</v>
      </c>
      <c r="P11">
        <v>0.43</v>
      </c>
      <c r="Q11" t="s">
        <v>3089</v>
      </c>
      <c r="R11">
        <v>23880442</v>
      </c>
      <c r="S11" s="5">
        <v>0.12089999999999999</v>
      </c>
      <c r="T11" t="s">
        <v>2558</v>
      </c>
      <c r="U11">
        <v>162162000</v>
      </c>
      <c r="V11">
        <v>331320600</v>
      </c>
      <c r="W11">
        <v>2.78</v>
      </c>
      <c r="X11">
        <v>0.16</v>
      </c>
      <c r="Y11">
        <v>2.72</v>
      </c>
      <c r="Z11" t="s">
        <v>3090</v>
      </c>
      <c r="AA11" t="s">
        <v>2575</v>
      </c>
      <c r="AB11" t="s">
        <v>3091</v>
      </c>
      <c r="AC11" t="s">
        <v>3092</v>
      </c>
      <c r="AD11" t="s">
        <v>19</v>
      </c>
      <c r="AE11">
        <v>-8979917</v>
      </c>
      <c r="AF11" t="s">
        <v>3093</v>
      </c>
      <c r="AG11" t="s">
        <v>3094</v>
      </c>
      <c r="AH11" t="s">
        <v>3095</v>
      </c>
      <c r="AI11" t="s">
        <v>3096</v>
      </c>
      <c r="AJ11" t="s">
        <v>3097</v>
      </c>
      <c r="AK11" t="s">
        <v>19</v>
      </c>
      <c r="AL11" t="s">
        <v>3098</v>
      </c>
      <c r="AM11" t="s">
        <v>19</v>
      </c>
      <c r="AN11" t="s">
        <v>3099</v>
      </c>
      <c r="AO11" t="s">
        <v>19</v>
      </c>
      <c r="AP11" t="s">
        <v>1875</v>
      </c>
      <c r="AQ11" t="s">
        <v>3100</v>
      </c>
      <c r="AR11" t="s">
        <v>19</v>
      </c>
      <c r="AS11" t="s">
        <v>2829</v>
      </c>
      <c r="AT11" t="s">
        <v>19</v>
      </c>
      <c r="AU11" t="s">
        <v>3101</v>
      </c>
      <c r="AV11" t="s">
        <v>3102</v>
      </c>
      <c r="AW11" t="s">
        <v>19</v>
      </c>
      <c r="AX11" t="s">
        <v>2111</v>
      </c>
      <c r="AY11" t="s">
        <v>1576</v>
      </c>
      <c r="AZ11" t="s">
        <v>299</v>
      </c>
      <c r="BA11" t="s">
        <v>303</v>
      </c>
      <c r="BB11" t="s">
        <v>304</v>
      </c>
      <c r="BC11" t="s">
        <v>650</v>
      </c>
      <c r="BD11" t="s">
        <v>501</v>
      </c>
      <c r="BE11" t="s">
        <v>279</v>
      </c>
      <c r="BF11" t="s">
        <v>305</v>
      </c>
      <c r="BG11" t="s">
        <v>306</v>
      </c>
      <c r="BH11" t="s">
        <v>3089</v>
      </c>
      <c r="BI11" t="s">
        <v>2262</v>
      </c>
      <c r="BJ11" t="s">
        <v>2111</v>
      </c>
      <c r="BK11" t="s">
        <v>2558</v>
      </c>
      <c r="BL11" t="s">
        <v>3103</v>
      </c>
      <c r="BM11" t="s">
        <v>650</v>
      </c>
      <c r="BN11">
        <v>5.9</v>
      </c>
      <c r="BO11">
        <v>6.51</v>
      </c>
      <c r="BP11">
        <v>6.61</v>
      </c>
      <c r="BQ11">
        <v>7.22</v>
      </c>
      <c r="BR11">
        <v>8.01</v>
      </c>
      <c r="BS11">
        <v>8.4</v>
      </c>
      <c r="BT11" t="s">
        <v>1980</v>
      </c>
      <c r="BU11" t="s">
        <v>2920</v>
      </c>
      <c r="BV11">
        <v>12.11</v>
      </c>
      <c r="BW11">
        <v>13.25</v>
      </c>
      <c r="BX11">
        <v>13.65</v>
      </c>
      <c r="BY11">
        <v>4.43</v>
      </c>
      <c r="BZ11">
        <v>4.07</v>
      </c>
      <c r="CA11">
        <v>4.01</v>
      </c>
      <c r="CB11">
        <v>-3.25</v>
      </c>
      <c r="CC11">
        <v>-10.94</v>
      </c>
      <c r="CD11" t="s">
        <v>3104</v>
      </c>
      <c r="CE11" t="s">
        <v>3105</v>
      </c>
      <c r="CF11" s="14">
        <v>3.4285714285712922E-3</v>
      </c>
      <c r="CG11" s="15">
        <v>0.12086334919785595</v>
      </c>
      <c r="CH11" s="14">
        <v>8.885667473077774E-2</v>
      </c>
      <c r="CI11" s="14">
        <v>1.2899442575871944E-2</v>
      </c>
      <c r="CJ11" s="14">
        <v>3.1136658042669296E-2</v>
      </c>
      <c r="CK11" s="14">
        <v>0.2440766841173172</v>
      </c>
      <c r="CL11" s="14">
        <v>0.12288854271173477</v>
      </c>
      <c r="CM11" s="15">
        <v>0.17730496823787689</v>
      </c>
      <c r="CN11" s="15">
        <v>2.9197080060839653E-2</v>
      </c>
      <c r="CO11" s="15">
        <v>0.24545454978942871</v>
      </c>
      <c r="CP11" s="15">
        <v>0.31460216641426086</v>
      </c>
      <c r="CQ11" s="15">
        <v>1.0130999088287354</v>
      </c>
      <c r="CR11">
        <v>22.62326508558818</v>
      </c>
      <c r="CS11">
        <v>2.2629691819473186</v>
      </c>
      <c r="CT11">
        <v>2.3285899094437257</v>
      </c>
      <c r="CU11" s="14">
        <v>9.9971600435674185E-2</v>
      </c>
      <c r="CV11" s="15">
        <v>0.35593173466622829</v>
      </c>
      <c r="CW11">
        <v>0.06</v>
      </c>
      <c r="CX11">
        <v>23.709016780252067</v>
      </c>
      <c r="CY11">
        <v>172259703.46445462</v>
      </c>
      <c r="CZ11">
        <v>9.9971600435674185E-2</v>
      </c>
      <c r="DA11">
        <v>7.6828130267705097</v>
      </c>
      <c r="DB11">
        <v>531590211.26364249</v>
      </c>
      <c r="DC11">
        <v>9.4973020413890469E-2</v>
      </c>
      <c r="DD11">
        <v>3.7394913684682214</v>
      </c>
      <c r="DE11">
        <v>1092156070.8596959</v>
      </c>
      <c r="DF11">
        <v>8.7975008383393283E-2</v>
      </c>
      <c r="DG11">
        <v>2.2170049623555697</v>
      </c>
      <c r="DH11">
        <v>1842173684.4741347</v>
      </c>
      <c r="DI11">
        <v>7.9977280348539348E-2</v>
      </c>
      <c r="DJ11">
        <v>1.1132479935918305</v>
      </c>
      <c r="DK11">
        <v>3668641869.1156678</v>
      </c>
      <c r="DL11">
        <v>6.9980120304971929E-2</v>
      </c>
      <c r="DM11">
        <v>166000000</v>
      </c>
      <c r="DN11">
        <v>9.9971600435674185E-2</v>
      </c>
      <c r="DO11">
        <v>4084108200</v>
      </c>
      <c r="DP11">
        <v>414003500</v>
      </c>
      <c r="DQ11">
        <v>339</v>
      </c>
      <c r="DR11">
        <v>-9.654302900710289E-2</v>
      </c>
      <c r="DS11">
        <v>-0.23506838546837233</v>
      </c>
      <c r="DT11" s="16">
        <v>-0.32333333333333336</v>
      </c>
      <c r="DU11">
        <v>0.6166666666666667</v>
      </c>
      <c r="DV11">
        <v>0.29333333333333333</v>
      </c>
      <c r="DW11">
        <v>-8.2970749542961606</v>
      </c>
      <c r="DX11">
        <v>0.35243846072411</v>
      </c>
      <c r="DY11">
        <v>-8.0393441496666682</v>
      </c>
      <c r="DZ11">
        <v>1057</v>
      </c>
      <c r="EA11">
        <v>-8.0312058392561649</v>
      </c>
      <c r="EB11">
        <v>8</v>
      </c>
      <c r="EC11">
        <v>3.1595982863727758E-2</v>
      </c>
      <c r="ED11">
        <v>0.23857103965162443</v>
      </c>
      <c r="EE11" s="17">
        <v>-2.00271</v>
      </c>
      <c r="EF11">
        <v>-2.0228099999999998</v>
      </c>
      <c r="EG11">
        <v>22.13243846072411</v>
      </c>
      <c r="EH11" t="s">
        <v>2497</v>
      </c>
      <c r="EI11">
        <v>0</v>
      </c>
      <c r="EJ11">
        <v>1</v>
      </c>
      <c r="EK11" s="19">
        <v>45470</v>
      </c>
      <c r="EL11" s="20">
        <v>-0.63</v>
      </c>
      <c r="EM11" s="20">
        <v>-3.78</v>
      </c>
      <c r="EN11" s="20">
        <v>1.83</v>
      </c>
      <c r="EO11" s="20">
        <v>2.7</v>
      </c>
      <c r="EP11" s="20">
        <v>-2.0099999999999998</v>
      </c>
    </row>
    <row r="12" spans="1:146" ht="180" x14ac:dyDescent="0.25">
      <c r="A12" s="7" t="s">
        <v>1879</v>
      </c>
      <c r="B12" s="7"/>
      <c r="C12" s="7" t="str">
        <f>"公司主营业务为液压气动密封件,汽车非轮胎橡胶制品(制动,减震除外)生产和销售。主要业务有智能底盘系统业务-空气悬挂系统；智能底盘系统业务-轻量化底盘系统；流体管路系统；密封系统。"&amp;CHAR(10)&amp;Basic_Fundamental_Information_Constructure(F12)&amp;CHAR(10)&amp;Basic_Fundamental_Information_Concatenate("（国内国外占比6：4开）
冷却系统 32.97亿 26.22% 29.77% 25.56%
密封系统 30.58亿 24.31% 30.13% 27.91%
智能底盘-橡胶业务 27.59亿 21.94% 19.50% 20.02%
其他 20.43亿 16.25% 12.38% 17.15%
智能底盘-轻量化 7.89亿 6.28% 4.48% 16.06%
智能底盘-空悬系统 6.31亿 5.02% 3.74% 16.81%")</f>
        <v>公司主营业务为液压气动密封件,汽车非轮胎橡胶制品(制动,减震除外)生产和销售。主要业务有智能底盘系统业务-空气悬挂系统；智能底盘系统业务-轻量化底盘系统；流体管路系统；密封系统。
市值157.05723亿, 利润11.31亿; PE12.77; 平均PE17.92; 平均PEG2.47, PB1.27; ROIC6.56%; ROE9.2433%; 股利率1.6764%; 毛利21.7767%; 净利6.8267%; 上一年度营收增15.63%, 利润增16.72%; 当季营收增21.59%, 利润增37.76%; 过往5年营收增7.24%, 利润增9.46%
Income profile:
（国内国外占比6：4开）
冷却系统 32.97亿 26.22% 29.77% 25.56%
密封系统 30.58亿 24.31% 30.13% 27.91%
智能底盘-橡胶业务 27.59亿 21.94% 19.50% 20.02%
其他 20.43亿 16.25% 12.38% 17.15%
智能底盘-轻量化 7.89亿 6.28% 4.48% 16.06%
智能底盘-空悬系统 6.31亿 5.02% 3.74% 16.81%</v>
      </c>
      <c r="D12" t="s">
        <v>308</v>
      </c>
      <c r="E12" t="s">
        <v>309</v>
      </c>
      <c r="F12">
        <v>11.93</v>
      </c>
      <c r="G12">
        <v>0.08</v>
      </c>
      <c r="H12" t="s">
        <v>3106</v>
      </c>
      <c r="I12">
        <v>15705723000</v>
      </c>
      <c r="J12">
        <v>12.77</v>
      </c>
      <c r="K12">
        <v>1.27</v>
      </c>
      <c r="L12" t="s">
        <v>172</v>
      </c>
      <c r="M12" t="s">
        <v>3107</v>
      </c>
      <c r="N12" t="s">
        <v>3108</v>
      </c>
      <c r="O12" t="s">
        <v>3109</v>
      </c>
      <c r="P12">
        <v>21.58</v>
      </c>
      <c r="Q12" t="s">
        <v>3110</v>
      </c>
      <c r="R12">
        <v>360935100</v>
      </c>
      <c r="S12" s="5">
        <v>0.37559999999999999</v>
      </c>
      <c r="T12" t="s">
        <v>2064</v>
      </c>
      <c r="U12">
        <v>1313881520</v>
      </c>
      <c r="V12">
        <v>1316489750</v>
      </c>
      <c r="W12">
        <v>1.86</v>
      </c>
      <c r="X12">
        <v>0.2</v>
      </c>
      <c r="Y12">
        <v>7.65</v>
      </c>
      <c r="Z12" t="s">
        <v>3111</v>
      </c>
      <c r="AA12" t="s">
        <v>3112</v>
      </c>
      <c r="AB12" t="s">
        <v>506</v>
      </c>
      <c r="AC12" t="s">
        <v>95</v>
      </c>
      <c r="AD12" t="s">
        <v>19</v>
      </c>
      <c r="AE12">
        <v>69363522</v>
      </c>
      <c r="AF12" t="s">
        <v>3113</v>
      </c>
      <c r="AG12" t="s">
        <v>3114</v>
      </c>
      <c r="AH12" t="s">
        <v>3115</v>
      </c>
      <c r="AI12" t="s">
        <v>3116</v>
      </c>
      <c r="AJ12" t="s">
        <v>3117</v>
      </c>
      <c r="AK12" t="s">
        <v>555</v>
      </c>
      <c r="AL12" t="s">
        <v>3118</v>
      </c>
      <c r="AM12" t="s">
        <v>19</v>
      </c>
      <c r="AN12" t="s">
        <v>502</v>
      </c>
      <c r="AO12" t="s">
        <v>3119</v>
      </c>
      <c r="AP12" t="s">
        <v>2564</v>
      </c>
      <c r="AQ12" t="s">
        <v>2516</v>
      </c>
      <c r="AR12" t="s">
        <v>19</v>
      </c>
      <c r="AS12" t="s">
        <v>3120</v>
      </c>
      <c r="AT12" t="s">
        <v>3121</v>
      </c>
      <c r="AU12" t="s">
        <v>402</v>
      </c>
      <c r="AV12" t="s">
        <v>3122</v>
      </c>
      <c r="AW12" t="s">
        <v>424</v>
      </c>
      <c r="AX12" t="s">
        <v>3123</v>
      </c>
      <c r="AY12" t="s">
        <v>2114</v>
      </c>
      <c r="AZ12" t="s">
        <v>310</v>
      </c>
      <c r="BA12" t="s">
        <v>316</v>
      </c>
      <c r="BB12" t="s">
        <v>317</v>
      </c>
      <c r="BC12" t="s">
        <v>2825</v>
      </c>
      <c r="BD12" t="s">
        <v>97</v>
      </c>
      <c r="BE12" t="s">
        <v>311</v>
      </c>
      <c r="BF12" t="s">
        <v>318</v>
      </c>
      <c r="BG12" t="s">
        <v>319</v>
      </c>
      <c r="BH12" t="s">
        <v>3110</v>
      </c>
      <c r="BI12" t="s">
        <v>3124</v>
      </c>
      <c r="BJ12" t="s">
        <v>3123</v>
      </c>
      <c r="BK12" t="s">
        <v>2064</v>
      </c>
      <c r="BL12" t="s">
        <v>514</v>
      </c>
      <c r="BM12" t="s">
        <v>2825</v>
      </c>
      <c r="BN12">
        <v>5.64</v>
      </c>
      <c r="BO12">
        <v>6.74</v>
      </c>
      <c r="BP12">
        <v>7.3</v>
      </c>
      <c r="BQ12">
        <v>7.64</v>
      </c>
      <c r="BR12">
        <v>9.4700000000000006</v>
      </c>
      <c r="BS12">
        <v>10.62</v>
      </c>
      <c r="BT12" t="s">
        <v>1989</v>
      </c>
      <c r="BU12" t="s">
        <v>3125</v>
      </c>
      <c r="BV12">
        <v>21.95</v>
      </c>
      <c r="BW12">
        <v>20.87</v>
      </c>
      <c r="BX12">
        <v>22.51</v>
      </c>
      <c r="BY12">
        <v>6.45</v>
      </c>
      <c r="BZ12">
        <v>6.37</v>
      </c>
      <c r="CA12">
        <v>7.66</v>
      </c>
      <c r="CB12">
        <v>-2.5299999999999998</v>
      </c>
      <c r="CC12">
        <v>-6.5</v>
      </c>
      <c r="CD12" t="s">
        <v>3126</v>
      </c>
      <c r="CE12" t="s">
        <v>289</v>
      </c>
      <c r="CF12" s="14">
        <v>0.21585903083700425</v>
      </c>
      <c r="CG12" s="15">
        <v>0.37761488549618322</v>
      </c>
      <c r="CH12" s="14">
        <v>0.15630656480789185</v>
      </c>
      <c r="CI12" s="14">
        <v>0.16498710215091705</v>
      </c>
      <c r="CJ12" s="14">
        <v>0.10850365459918976</v>
      </c>
      <c r="CK12" s="14">
        <v>-1.3497361913323402E-2</v>
      </c>
      <c r="CL12" s="14">
        <v>-5.4060578346252441E-2</v>
      </c>
      <c r="CM12" s="15">
        <v>0.16718272864818573</v>
      </c>
      <c r="CN12" s="15">
        <v>1.9999999552965164E-2</v>
      </c>
      <c r="CO12" s="15">
        <v>0.92697769403457642</v>
      </c>
      <c r="CP12" s="15">
        <v>-0.18106311559677124</v>
      </c>
      <c r="CQ12" s="15">
        <v>-0.46008971333503723</v>
      </c>
      <c r="CR12">
        <v>17.915273384030421</v>
      </c>
      <c r="CS12">
        <v>2.4728500418444734</v>
      </c>
      <c r="CT12">
        <v>1.6764459346186087</v>
      </c>
      <c r="CU12" s="14">
        <v>7.244787625968456E-2</v>
      </c>
      <c r="CV12" s="15">
        <v>9.460151866078377E-2</v>
      </c>
      <c r="CW12">
        <v>0.06</v>
      </c>
      <c r="CX12">
        <v>12.268590526640772</v>
      </c>
      <c r="CY12">
        <v>1144281649.1034935</v>
      </c>
      <c r="CZ12">
        <v>7.244787625968456E-2</v>
      </c>
      <c r="DA12">
        <v>4.0694144661007341</v>
      </c>
      <c r="DB12">
        <v>3449814000.7478132</v>
      </c>
      <c r="DC12">
        <v>6.8825482446700323E-2</v>
      </c>
      <c r="DD12">
        <v>2.0432991442728778</v>
      </c>
      <c r="DE12">
        <v>6870615611.6929102</v>
      </c>
      <c r="DF12">
        <v>6.3754131108522419E-2</v>
      </c>
      <c r="DG12">
        <v>1.2544795100345478</v>
      </c>
      <c r="DH12">
        <v>11190874691.61882</v>
      </c>
      <c r="DI12">
        <v>5.7958301007747653E-2</v>
      </c>
      <c r="DJ12">
        <v>0.67983315416016177</v>
      </c>
      <c r="DK12">
        <v>20650247658.696297</v>
      </c>
      <c r="DL12">
        <v>5.0713513381779186E-2</v>
      </c>
      <c r="DM12">
        <v>1131000000</v>
      </c>
      <c r="DN12">
        <v>7.244787625968456E-2</v>
      </c>
      <c r="DO12">
        <v>14038723000</v>
      </c>
      <c r="DP12">
        <v>6023169000</v>
      </c>
      <c r="DQ12">
        <v>345</v>
      </c>
      <c r="DR12">
        <v>0.14341115457731968</v>
      </c>
      <c r="DS12">
        <v>0.28301336683539946</v>
      </c>
      <c r="DT12" s="16">
        <v>-0.12333333333333336</v>
      </c>
      <c r="DU12">
        <v>0.4366666666666667</v>
      </c>
      <c r="DV12">
        <v>0.31333333333333335</v>
      </c>
      <c r="DW12">
        <v>-8.3892307692307693</v>
      </c>
      <c r="DX12">
        <v>0.40241728813559319</v>
      </c>
      <c r="DY12">
        <v>-8.0632178059973931</v>
      </c>
      <c r="DZ12">
        <v>1014</v>
      </c>
      <c r="EA12">
        <v>-8.0506732159227639</v>
      </c>
      <c r="EB12">
        <v>8</v>
      </c>
      <c r="EC12">
        <v>3.6394586437152286E-2</v>
      </c>
      <c r="ED12">
        <v>0.22408074198830641</v>
      </c>
      <c r="EE12" s="17">
        <v>1.03451</v>
      </c>
      <c r="EF12">
        <v>1.05691</v>
      </c>
      <c r="EG12">
        <v>24.162417288135593</v>
      </c>
      <c r="EH12" t="s">
        <v>1840</v>
      </c>
      <c r="EI12">
        <v>0</v>
      </c>
      <c r="EJ12">
        <v>1</v>
      </c>
      <c r="EK12" s="19">
        <v>45470</v>
      </c>
      <c r="EL12" s="20">
        <v>1.93</v>
      </c>
      <c r="EM12" s="20">
        <v>-2.6</v>
      </c>
      <c r="EN12" s="20">
        <v>0.82</v>
      </c>
      <c r="EO12" s="20">
        <v>1.96</v>
      </c>
      <c r="EP12" s="20">
        <v>-2.2400000000000002</v>
      </c>
    </row>
    <row r="13" spans="1:146" ht="84" x14ac:dyDescent="0.25">
      <c r="A13" s="7"/>
      <c r="B13" s="7"/>
      <c r="C13" s="7" t="str">
        <f>""&amp;CHAR(10)&amp;Basic_Fundamental_Information_Constructure(F13)&amp;CHAR(10)&amp;Basic_Fundamental_Information_Concatenate("")</f>
        <v xml:space="preserve">
市值65.931436亿, 利润-1.46亿; PE; 平均PE-91.46; 平均PEG-24.77, PB1.58; ROIC.95%; ROE.6433%; 股利率0%; 毛利17.5267%; 净利-.26%; 上一年度营收增18.55%, 利润增-655.03%; 当季营收增7.72%, 利润增282.18%; 过往5年营收增3.69%, 利润增-216.13%
Income profile:
</v>
      </c>
      <c r="D13" t="s">
        <v>324</v>
      </c>
      <c r="E13" t="s">
        <v>325</v>
      </c>
      <c r="F13">
        <v>8.26</v>
      </c>
      <c r="G13">
        <v>-0.84</v>
      </c>
      <c r="H13" t="s">
        <v>3127</v>
      </c>
      <c r="I13">
        <v>6593143600</v>
      </c>
      <c r="K13">
        <v>1.58</v>
      </c>
      <c r="L13" t="s">
        <v>172</v>
      </c>
      <c r="M13" t="s">
        <v>3128</v>
      </c>
      <c r="N13" t="s">
        <v>3129</v>
      </c>
      <c r="O13" t="s">
        <v>3130</v>
      </c>
      <c r="P13">
        <v>7.7</v>
      </c>
      <c r="Q13" t="s">
        <v>2752</v>
      </c>
      <c r="R13">
        <v>7481236</v>
      </c>
      <c r="S13" s="5">
        <v>2.8220000000000001</v>
      </c>
      <c r="T13" t="s">
        <v>3131</v>
      </c>
      <c r="U13">
        <v>798193380</v>
      </c>
      <c r="V13">
        <v>798201410</v>
      </c>
      <c r="W13">
        <v>1.97</v>
      </c>
      <c r="X13">
        <v>0.19</v>
      </c>
      <c r="Y13">
        <v>0.56999999999999995</v>
      </c>
      <c r="Z13" t="s">
        <v>3132</v>
      </c>
      <c r="AA13" t="s">
        <v>2087</v>
      </c>
      <c r="AB13" t="s">
        <v>3133</v>
      </c>
      <c r="AC13" t="s">
        <v>1303</v>
      </c>
      <c r="AD13" t="s">
        <v>19</v>
      </c>
      <c r="AE13">
        <v>2459602</v>
      </c>
      <c r="AF13" t="s">
        <v>3134</v>
      </c>
      <c r="AG13" t="s">
        <v>3135</v>
      </c>
      <c r="AH13" t="s">
        <v>3136</v>
      </c>
      <c r="AI13" t="s">
        <v>3137</v>
      </c>
      <c r="AJ13" t="s">
        <v>3138</v>
      </c>
      <c r="AK13" t="s">
        <v>251</v>
      </c>
      <c r="AL13" t="s">
        <v>3139</v>
      </c>
      <c r="AM13" t="s">
        <v>19</v>
      </c>
      <c r="AN13" t="s">
        <v>209</v>
      </c>
      <c r="AO13" t="s">
        <v>3140</v>
      </c>
      <c r="AP13" t="s">
        <v>124</v>
      </c>
      <c r="AQ13" t="s">
        <v>3141</v>
      </c>
      <c r="AR13" t="s">
        <v>19</v>
      </c>
      <c r="AS13" t="s">
        <v>1785</v>
      </c>
      <c r="AT13" t="s">
        <v>428</v>
      </c>
      <c r="AU13" t="s">
        <v>3142</v>
      </c>
      <c r="AV13" t="s">
        <v>3143</v>
      </c>
      <c r="AW13" t="s">
        <v>1648</v>
      </c>
      <c r="AX13" t="s">
        <v>2115</v>
      </c>
      <c r="AY13" t="s">
        <v>2117</v>
      </c>
      <c r="AZ13" t="s">
        <v>326</v>
      </c>
      <c r="BA13" t="s">
        <v>331</v>
      </c>
      <c r="BB13" t="s">
        <v>332</v>
      </c>
      <c r="BC13" t="s">
        <v>3144</v>
      </c>
      <c r="BD13" t="s">
        <v>2118</v>
      </c>
      <c r="BE13" t="s">
        <v>327</v>
      </c>
      <c r="BF13" t="s">
        <v>209</v>
      </c>
      <c r="BG13" t="s">
        <v>201</v>
      </c>
      <c r="BH13" t="s">
        <v>2752</v>
      </c>
      <c r="BI13" t="s">
        <v>2542</v>
      </c>
      <c r="BJ13" t="s">
        <v>2115</v>
      </c>
      <c r="BK13" t="s">
        <v>3131</v>
      </c>
      <c r="BL13" t="s">
        <v>3145</v>
      </c>
      <c r="BM13" t="s">
        <v>3144</v>
      </c>
      <c r="BN13">
        <v>0.57999999999999996</v>
      </c>
      <c r="BO13">
        <v>1.17</v>
      </c>
      <c r="BP13">
        <v>1.1000000000000001</v>
      </c>
      <c r="BQ13">
        <v>0.56000000000000005</v>
      </c>
      <c r="BR13">
        <v>0.66</v>
      </c>
      <c r="BS13">
        <v>0.71</v>
      </c>
      <c r="BT13" t="s">
        <v>1983</v>
      </c>
      <c r="BU13" t="s">
        <v>3146</v>
      </c>
      <c r="BV13">
        <v>16.38</v>
      </c>
      <c r="BW13">
        <v>18.559999999999999</v>
      </c>
      <c r="BX13">
        <v>17.64</v>
      </c>
      <c r="BY13">
        <v>-2.25</v>
      </c>
      <c r="BZ13">
        <v>0.77</v>
      </c>
      <c r="CA13">
        <v>0.7</v>
      </c>
      <c r="CB13">
        <v>-5.71</v>
      </c>
      <c r="CC13">
        <v>1.72</v>
      </c>
      <c r="CD13" t="s">
        <v>3147</v>
      </c>
      <c r="CE13" t="s">
        <v>3148</v>
      </c>
      <c r="CF13" s="14">
        <v>7.717462393721386E-2</v>
      </c>
      <c r="CG13" s="15">
        <v>2.8218319284802043</v>
      </c>
      <c r="CH13" s="14">
        <v>0.18554005026817322</v>
      </c>
      <c r="CI13" s="14">
        <v>-1.8299950286746025E-2</v>
      </c>
      <c r="CJ13" s="14">
        <v>9.2897184193134308E-2</v>
      </c>
      <c r="CK13" s="14">
        <v>-9.8111949861049652E-2</v>
      </c>
      <c r="CL13" s="14">
        <v>2.2582368925213814E-2</v>
      </c>
      <c r="CM13" s="15">
        <v>-6.5503177642822266</v>
      </c>
      <c r="CN13" s="15">
        <v>-0.20735727250576019</v>
      </c>
      <c r="CO13" s="15">
        <v>1.0499792098999023</v>
      </c>
      <c r="CP13" s="15">
        <v>-5.1242237091064453</v>
      </c>
      <c r="CQ13" s="15">
        <v>2.5477707386016846E-2</v>
      </c>
      <c r="CR13">
        <v>-91.463672663459036</v>
      </c>
      <c r="CS13">
        <v>-24.772442064669068</v>
      </c>
      <c r="CT13">
        <v>0</v>
      </c>
      <c r="CU13" s="14">
        <v>3.6921540647745131E-2</v>
      </c>
      <c r="CV13" s="15">
        <v>-2.1612883657217026</v>
      </c>
      <c r="CW13">
        <v>0.06</v>
      </c>
      <c r="CX13" t="e">
        <v>#VALUE!</v>
      </c>
      <c r="CY13" t="s">
        <v>1835</v>
      </c>
      <c r="CZ13">
        <v>3.6921540647745131E-2</v>
      </c>
      <c r="DA13" t="e">
        <v>#VALUE!</v>
      </c>
      <c r="DB13" t="s">
        <v>1835</v>
      </c>
      <c r="DC13">
        <v>3.507546361535787E-2</v>
      </c>
      <c r="DD13" t="e">
        <v>#VALUE!</v>
      </c>
      <c r="DE13" t="s">
        <v>1835</v>
      </c>
      <c r="DF13">
        <v>3.2490955770015713E-2</v>
      </c>
      <c r="DG13" t="e">
        <v>#VALUE!</v>
      </c>
      <c r="DH13" t="s">
        <v>1835</v>
      </c>
      <c r="DI13">
        <v>2.9537232518196108E-2</v>
      </c>
      <c r="DJ13" t="e">
        <v>#VALUE!</v>
      </c>
      <c r="DK13" t="s">
        <v>1835</v>
      </c>
      <c r="DL13">
        <v>2.5845078453421589E-2</v>
      </c>
      <c r="DM13">
        <v>-146000000</v>
      </c>
      <c r="DN13">
        <v>3.6921540647745131E-2</v>
      </c>
      <c r="DO13">
        <v>6602143600</v>
      </c>
      <c r="DP13">
        <v>2264504800</v>
      </c>
      <c r="DQ13">
        <v>356</v>
      </c>
      <c r="DR13">
        <v>4.0253083289468729E-2</v>
      </c>
      <c r="DS13">
        <v>4.9831202942019068</v>
      </c>
      <c r="DT13" s="16">
        <v>-0.27333333333333337</v>
      </c>
      <c r="DU13">
        <v>-1.7233333333333334</v>
      </c>
      <c r="DV13">
        <v>-1.9966666666666668</v>
      </c>
      <c r="DW13">
        <v>-4.3012259194395801</v>
      </c>
      <c r="DX13">
        <v>0.34162626025791409</v>
      </c>
      <c r="DY13">
        <v>-4.0336247228797921</v>
      </c>
      <c r="DZ13">
        <v>4385</v>
      </c>
      <c r="EA13">
        <v>-4.0047706309369566</v>
      </c>
      <c r="EB13">
        <v>4</v>
      </c>
      <c r="EC13">
        <v>0.11928969155792396</v>
      </c>
      <c r="ED13">
        <v>1.0686525848156543</v>
      </c>
      <c r="EE13" s="17">
        <v>-1.133</v>
      </c>
      <c r="EF13">
        <v>-1.0951</v>
      </c>
      <c r="EG13">
        <v>23.111626260257914</v>
      </c>
      <c r="EH13" t="s">
        <v>1844</v>
      </c>
      <c r="EI13">
        <v>0</v>
      </c>
      <c r="EJ13">
        <v>0</v>
      </c>
      <c r="EK13" s="19">
        <v>45470</v>
      </c>
      <c r="EL13" s="20">
        <v>-0.67</v>
      </c>
      <c r="EM13" s="20">
        <v>1.45</v>
      </c>
      <c r="EN13" s="20">
        <v>-0.99</v>
      </c>
      <c r="EO13" s="20">
        <v>-0.33</v>
      </c>
      <c r="EP13" s="20">
        <v>-3.79</v>
      </c>
    </row>
    <row r="14" spans="1:146" ht="84" x14ac:dyDescent="0.25">
      <c r="A14" s="7"/>
      <c r="B14" s="7"/>
      <c r="C14" s="7" t="str">
        <f>""&amp;CHAR(10)&amp;Basic_Fundamental_Information_Constructure(F14)&amp;CHAR(10)&amp;Basic_Fundamental_Information_Concatenate("")</f>
        <v xml:space="preserve">
市值35.270533亿, 利润-12.55亿; PE; 平均PE-11.36; 平均PEG-12.67, PB1.2; ROIC2.89%; ROE-11.3733%; 股利率0%; 毛利-.7833%; 净利-16.8733%; 上一年度营收增11.78%, 利润增5.07%; 当季营收增3.08%, 利润增82.81%; 过往5年营收增.9%, 利润增-398.77%
Income profile:
</v>
      </c>
      <c r="D14" t="s">
        <v>335</v>
      </c>
      <c r="E14" t="s">
        <v>336</v>
      </c>
      <c r="F14">
        <v>1.79</v>
      </c>
      <c r="G14">
        <v>0.56000000000000005</v>
      </c>
      <c r="H14" t="s">
        <v>3149</v>
      </c>
      <c r="I14">
        <v>3527053300</v>
      </c>
      <c r="K14">
        <v>1.2</v>
      </c>
      <c r="L14" t="s">
        <v>172</v>
      </c>
      <c r="M14" t="s">
        <v>3150</v>
      </c>
      <c r="N14" t="s">
        <v>3151</v>
      </c>
      <c r="O14" t="s">
        <v>3152</v>
      </c>
      <c r="P14">
        <v>3.05</v>
      </c>
      <c r="Q14" t="s">
        <v>3153</v>
      </c>
      <c r="R14">
        <v>-8676244</v>
      </c>
      <c r="S14" s="5">
        <v>0.82809999999999995</v>
      </c>
      <c r="T14" t="s">
        <v>3154</v>
      </c>
      <c r="U14">
        <v>1920261600</v>
      </c>
      <c r="V14">
        <v>1970420900</v>
      </c>
      <c r="W14">
        <v>4.26</v>
      </c>
      <c r="X14">
        <v>0.14000000000000001</v>
      </c>
      <c r="Y14">
        <v>-0.41</v>
      </c>
      <c r="Z14" t="s">
        <v>3155</v>
      </c>
      <c r="AA14" t="s">
        <v>3156</v>
      </c>
      <c r="AB14" t="s">
        <v>3157</v>
      </c>
      <c r="AC14" t="s">
        <v>2587</v>
      </c>
      <c r="AD14" t="s">
        <v>19</v>
      </c>
      <c r="AE14">
        <v>52893080</v>
      </c>
      <c r="AF14" t="s">
        <v>3158</v>
      </c>
      <c r="AG14" t="s">
        <v>3159</v>
      </c>
      <c r="AH14" t="s">
        <v>3160</v>
      </c>
      <c r="AI14" t="s">
        <v>1793</v>
      </c>
      <c r="AJ14" t="s">
        <v>3161</v>
      </c>
      <c r="AK14" t="s">
        <v>3162</v>
      </c>
      <c r="AL14" t="s">
        <v>3163</v>
      </c>
      <c r="AM14" t="s">
        <v>19</v>
      </c>
      <c r="AN14" t="s">
        <v>406</v>
      </c>
      <c r="AO14" t="s">
        <v>2768</v>
      </c>
      <c r="AP14" t="s">
        <v>118</v>
      </c>
      <c r="AQ14" t="s">
        <v>3164</v>
      </c>
      <c r="AR14" t="s">
        <v>19</v>
      </c>
      <c r="AS14" t="s">
        <v>3165</v>
      </c>
      <c r="AT14" t="s">
        <v>3166</v>
      </c>
      <c r="AU14" t="s">
        <v>3167</v>
      </c>
      <c r="AV14" t="s">
        <v>3168</v>
      </c>
      <c r="AW14" t="s">
        <v>93</v>
      </c>
      <c r="AX14" t="s">
        <v>3169</v>
      </c>
      <c r="AY14" t="s">
        <v>3170</v>
      </c>
      <c r="AZ14" t="s">
        <v>3171</v>
      </c>
      <c r="BA14" t="s">
        <v>342</v>
      </c>
      <c r="BB14" t="s">
        <v>343</v>
      </c>
      <c r="BC14" t="s">
        <v>3172</v>
      </c>
      <c r="BD14" t="s">
        <v>3173</v>
      </c>
      <c r="BE14" t="s">
        <v>424</v>
      </c>
      <c r="BF14" t="s">
        <v>344</v>
      </c>
      <c r="BG14" t="s">
        <v>345</v>
      </c>
      <c r="BH14" t="s">
        <v>3153</v>
      </c>
      <c r="BI14" t="s">
        <v>2973</v>
      </c>
      <c r="BJ14" t="s">
        <v>3169</v>
      </c>
      <c r="BK14" t="s">
        <v>3154</v>
      </c>
      <c r="BL14" t="s">
        <v>3174</v>
      </c>
      <c r="BM14" t="s">
        <v>3172</v>
      </c>
      <c r="BN14" t="s">
        <v>19</v>
      </c>
      <c r="BO14" t="s">
        <v>19</v>
      </c>
      <c r="BP14">
        <v>2.89</v>
      </c>
      <c r="BQ14">
        <v>-9.4600000000000009</v>
      </c>
      <c r="BR14">
        <v>-25.92</v>
      </c>
      <c r="BS14">
        <v>1.26</v>
      </c>
      <c r="BT14" t="s">
        <v>1983</v>
      </c>
      <c r="BU14" t="s">
        <v>2920</v>
      </c>
      <c r="BV14">
        <v>-5.43</v>
      </c>
      <c r="BW14">
        <v>-6.36</v>
      </c>
      <c r="BX14">
        <v>9.44</v>
      </c>
      <c r="BY14">
        <v>-23.68</v>
      </c>
      <c r="BZ14">
        <v>-27.86</v>
      </c>
      <c r="CA14">
        <v>0.92</v>
      </c>
      <c r="CB14">
        <v>4.07</v>
      </c>
      <c r="CC14">
        <v>-15.17</v>
      </c>
      <c r="CD14" t="s">
        <v>545</v>
      </c>
      <c r="CE14" t="s">
        <v>1853</v>
      </c>
      <c r="CF14" s="14">
        <v>3.078744819419775E-2</v>
      </c>
      <c r="CG14" s="15">
        <v>0.82807777894467771</v>
      </c>
      <c r="CH14" s="14">
        <v>0.11779554188251495</v>
      </c>
      <c r="CI14" s="14">
        <v>-0.4204559326171875</v>
      </c>
      <c r="CJ14" s="14">
        <v>-0.19939488172531128</v>
      </c>
      <c r="CK14" s="14">
        <v>0.50433123111724854</v>
      </c>
      <c r="CL14" s="14">
        <v>4.25531305372715E-2</v>
      </c>
      <c r="CM14" s="15">
        <v>5.0680737942457199E-2</v>
      </c>
      <c r="CN14" s="15">
        <v>-19.311643600463867</v>
      </c>
      <c r="CO14" s="15">
        <v>-0.67625784873962402</v>
      </c>
      <c r="CP14" s="15">
        <v>0.1925133615732193</v>
      </c>
      <c r="CQ14" s="15">
        <v>-0.19396552443504333</v>
      </c>
      <c r="CR14">
        <v>-11.360455935952519</v>
      </c>
      <c r="CS14">
        <v>-12.670852944004421</v>
      </c>
      <c r="CT14">
        <v>0</v>
      </c>
      <c r="CU14" s="14">
        <v>8.9658178389072415E-3</v>
      </c>
      <c r="CV14" s="15">
        <v>-3.9877345748245716</v>
      </c>
      <c r="CW14">
        <v>0.06</v>
      </c>
      <c r="CX14" t="e">
        <v>#VALUE!</v>
      </c>
      <c r="CY14" t="s">
        <v>1834</v>
      </c>
      <c r="CZ14">
        <v>8.9658178389072415E-3</v>
      </c>
      <c r="DA14" t="e">
        <v>#VALUE!</v>
      </c>
      <c r="DB14" t="s">
        <v>1835</v>
      </c>
      <c r="DC14">
        <v>8.5175269469618797E-3</v>
      </c>
      <c r="DD14" t="e">
        <v>#VALUE!</v>
      </c>
      <c r="DE14" t="s">
        <v>1835</v>
      </c>
      <c r="DF14">
        <v>7.8899196982383721E-3</v>
      </c>
      <c r="DG14" t="e">
        <v>#VALUE!</v>
      </c>
      <c r="DH14" t="s">
        <v>1835</v>
      </c>
      <c r="DI14">
        <v>7.1726542711257934E-3</v>
      </c>
      <c r="DJ14" t="e">
        <v>#VALUE!</v>
      </c>
      <c r="DK14" t="s">
        <v>1835</v>
      </c>
      <c r="DL14">
        <v>6.2760724872350689E-3</v>
      </c>
      <c r="DM14">
        <v>-1255000000</v>
      </c>
      <c r="DN14">
        <v>8.9658178389072415E-3</v>
      </c>
      <c r="DO14">
        <v>10434053300</v>
      </c>
      <c r="DP14">
        <v>-2678184300</v>
      </c>
      <c r="DQ14">
        <v>358</v>
      </c>
      <c r="DR14">
        <v>2.1821630355290507E-2</v>
      </c>
      <c r="DS14">
        <v>4.8158123537692497</v>
      </c>
      <c r="DT14" s="16">
        <v>-0.60666666666666669</v>
      </c>
      <c r="DU14">
        <v>-1.4016666666666666</v>
      </c>
      <c r="DV14">
        <v>-2.0083333333333333</v>
      </c>
      <c r="DW14">
        <v>6.2115384615384617</v>
      </c>
      <c r="DX14">
        <v>0.4691139240506329</v>
      </c>
      <c r="DY14">
        <v>6.0696202531645573</v>
      </c>
      <c r="DZ14">
        <v>4393</v>
      </c>
      <c r="EA14">
        <v>6.0097686343481387</v>
      </c>
      <c r="EB14">
        <v>6</v>
      </c>
      <c r="EC14">
        <v>0.11875635302081905</v>
      </c>
      <c r="ED14">
        <v>0.36083661110171944</v>
      </c>
      <c r="EE14" s="17">
        <v>3.09131</v>
      </c>
      <c r="EF14">
        <v>3.11381</v>
      </c>
      <c r="EG14">
        <v>14.329113924050633</v>
      </c>
      <c r="EH14" t="s">
        <v>2487</v>
      </c>
      <c r="EI14">
        <v>0</v>
      </c>
      <c r="EJ14">
        <v>0</v>
      </c>
      <c r="EK14" s="19">
        <v>45470</v>
      </c>
      <c r="EL14" s="20">
        <v>0.56000000000000005</v>
      </c>
      <c r="EM14" s="20">
        <v>-4.47</v>
      </c>
      <c r="EN14" s="20">
        <v>1.17</v>
      </c>
      <c r="EO14" s="20">
        <v>2.89</v>
      </c>
      <c r="EP14" s="20">
        <v>-2.25</v>
      </c>
    </row>
    <row r="15" spans="1:146" ht="84" x14ac:dyDescent="0.25">
      <c r="A15" s="7"/>
      <c r="B15" s="7"/>
      <c r="C15" s="7" t="str">
        <f>""&amp;CHAR(10)&amp;Basic_Fundamental_Information_Constructure(F15)&amp;CHAR(10)&amp;Basic_Fundamental_Information_Concatenate("")</f>
        <v xml:space="preserve">
市值133.96611亿, 利润-20.57亿; PE; 平均PE-5.36; 平均PEG-1.23, PB3.95; ROIC0%; ROE-38.78%; 股利率0%; 毛利11.61%; 净利-46.7933%; 上一年度营收增42.75%, 利润增-112.28%; 当季营收增2.08%, 利润增332.59%; 过往5年营收增-4.35%, 利润增-131.55%
Income profile:
</v>
      </c>
      <c r="D15" t="s">
        <v>349</v>
      </c>
      <c r="E15" t="s">
        <v>2870</v>
      </c>
      <c r="F15">
        <v>1.34</v>
      </c>
      <c r="G15">
        <v>0.75</v>
      </c>
      <c r="H15" t="s">
        <v>3175</v>
      </c>
      <c r="I15">
        <v>13396611000</v>
      </c>
      <c r="K15">
        <v>3.95</v>
      </c>
      <c r="L15" t="s">
        <v>172</v>
      </c>
      <c r="M15" t="s">
        <v>3176</v>
      </c>
      <c r="N15" t="s">
        <v>3177</v>
      </c>
      <c r="O15" t="s">
        <v>3178</v>
      </c>
      <c r="P15">
        <v>2.0699999999999998</v>
      </c>
      <c r="Q15" t="s">
        <v>3179</v>
      </c>
      <c r="R15">
        <v>458195720</v>
      </c>
      <c r="S15" s="5">
        <v>3.3250000000000002</v>
      </c>
      <c r="T15" t="s">
        <v>3180</v>
      </c>
      <c r="U15">
        <v>6525155500</v>
      </c>
      <c r="V15">
        <v>9997470900</v>
      </c>
      <c r="W15">
        <v>4.21</v>
      </c>
      <c r="X15">
        <v>0.08</v>
      </c>
      <c r="Y15">
        <v>38.11</v>
      </c>
      <c r="Z15" t="s">
        <v>2816</v>
      </c>
      <c r="AA15" t="s">
        <v>2320</v>
      </c>
      <c r="AB15" t="s">
        <v>3181</v>
      </c>
      <c r="AC15" t="s">
        <v>348</v>
      </c>
      <c r="AD15" t="s">
        <v>19</v>
      </c>
      <c r="AE15">
        <v>48624853</v>
      </c>
      <c r="AF15" t="s">
        <v>3182</v>
      </c>
      <c r="AG15" t="s">
        <v>3183</v>
      </c>
      <c r="AH15" t="s">
        <v>3184</v>
      </c>
      <c r="AI15" t="s">
        <v>2177</v>
      </c>
      <c r="AJ15" t="s">
        <v>3185</v>
      </c>
      <c r="AK15" t="s">
        <v>3186</v>
      </c>
      <c r="AL15" t="s">
        <v>3187</v>
      </c>
      <c r="AM15" t="s">
        <v>19</v>
      </c>
      <c r="AN15" t="s">
        <v>166</v>
      </c>
      <c r="AO15" t="s">
        <v>3188</v>
      </c>
      <c r="AP15" t="s">
        <v>19</v>
      </c>
      <c r="AQ15" t="s">
        <v>3189</v>
      </c>
      <c r="AR15" t="s">
        <v>3190</v>
      </c>
      <c r="AS15" t="s">
        <v>3191</v>
      </c>
      <c r="AT15" t="s">
        <v>2149</v>
      </c>
      <c r="AU15" t="s">
        <v>3192</v>
      </c>
      <c r="AV15" t="s">
        <v>3193</v>
      </c>
      <c r="AW15" t="s">
        <v>3194</v>
      </c>
      <c r="AX15" t="s">
        <v>2121</v>
      </c>
      <c r="AY15" t="s">
        <v>1578</v>
      </c>
      <c r="AZ15" t="s">
        <v>350</v>
      </c>
      <c r="BA15" t="s">
        <v>355</v>
      </c>
      <c r="BB15" t="s">
        <v>356</v>
      </c>
      <c r="BC15" t="s">
        <v>2122</v>
      </c>
      <c r="BD15" t="s">
        <v>1579</v>
      </c>
      <c r="BE15" t="s">
        <v>351</v>
      </c>
      <c r="BF15" t="s">
        <v>357</v>
      </c>
      <c r="BG15" t="s">
        <v>358</v>
      </c>
      <c r="BH15" t="s">
        <v>3179</v>
      </c>
      <c r="BI15" t="s">
        <v>1042</v>
      </c>
      <c r="BJ15" t="s">
        <v>2121</v>
      </c>
      <c r="BK15" t="s">
        <v>3180</v>
      </c>
      <c r="BL15" t="s">
        <v>3195</v>
      </c>
      <c r="BM15" t="s">
        <v>2122</v>
      </c>
      <c r="BN15" t="s">
        <v>19</v>
      </c>
      <c r="BO15" t="s">
        <v>19</v>
      </c>
      <c r="BP15" t="s">
        <v>19</v>
      </c>
      <c r="BQ15">
        <v>-29.02</v>
      </c>
      <c r="BR15">
        <v>-20.85</v>
      </c>
      <c r="BS15">
        <v>-66.47</v>
      </c>
      <c r="BT15" t="s">
        <v>1983</v>
      </c>
      <c r="BU15" t="s">
        <v>2920</v>
      </c>
      <c r="BV15">
        <v>14.37</v>
      </c>
      <c r="BW15">
        <v>7.67</v>
      </c>
      <c r="BX15">
        <v>12.79</v>
      </c>
      <c r="BY15">
        <v>-41.59</v>
      </c>
      <c r="BZ15">
        <v>-29.91</v>
      </c>
      <c r="CA15">
        <v>-68.88</v>
      </c>
      <c r="CB15">
        <v>-0.74</v>
      </c>
      <c r="CC15">
        <v>-9.4600000000000009</v>
      </c>
      <c r="CD15" t="s">
        <v>103</v>
      </c>
      <c r="CE15" t="s">
        <v>984</v>
      </c>
      <c r="CF15" s="14">
        <v>2.0761245674740483E-2</v>
      </c>
      <c r="CG15" s="15">
        <v>3.3258665989847715</v>
      </c>
      <c r="CH15" s="14">
        <v>0.42750129103660583</v>
      </c>
      <c r="CI15" s="14">
        <v>-5.9859123080968857E-2</v>
      </c>
      <c r="CJ15" s="14">
        <v>-0.50050252676010132</v>
      </c>
      <c r="CK15" s="14">
        <v>0.1293984055519104</v>
      </c>
      <c r="CL15" s="14">
        <v>-0.21426981687545776</v>
      </c>
      <c r="CM15" s="15">
        <v>-1.1228070259094238</v>
      </c>
      <c r="CN15" s="15">
        <v>0.62930381298065186</v>
      </c>
      <c r="CO15" s="15">
        <v>-1.4047837257385254</v>
      </c>
      <c r="CP15" s="15">
        <v>0.84848064184188843</v>
      </c>
      <c r="CQ15" s="15">
        <v>-5.5277519226074219</v>
      </c>
      <c r="CR15">
        <v>-5.3586444000000002</v>
      </c>
      <c r="CS15">
        <v>-1.2305609780441036</v>
      </c>
      <c r="CT15">
        <v>0</v>
      </c>
      <c r="CU15" s="14">
        <v>-4.3546354025602342E-2</v>
      </c>
      <c r="CV15" s="15">
        <v>-1.3155116438865662</v>
      </c>
      <c r="CW15">
        <v>0.06</v>
      </c>
      <c r="CX15" t="e">
        <v>#VALUE!</v>
      </c>
      <c r="CY15" t="s">
        <v>1835</v>
      </c>
      <c r="CZ15">
        <v>-4.3546354025602342E-2</v>
      </c>
      <c r="DA15" t="e">
        <v>#VALUE!</v>
      </c>
      <c r="DB15" t="s">
        <v>1835</v>
      </c>
      <c r="DC15">
        <v>-4.136903632432222E-2</v>
      </c>
      <c r="DD15" t="e">
        <v>#VALUE!</v>
      </c>
      <c r="DE15" t="s">
        <v>1835</v>
      </c>
      <c r="DF15">
        <v>-3.8320791542530062E-2</v>
      </c>
      <c r="DG15" t="e">
        <v>#VALUE!</v>
      </c>
      <c r="DH15" t="s">
        <v>1835</v>
      </c>
      <c r="DI15">
        <v>-3.4837083220481874E-2</v>
      </c>
      <c r="DJ15" t="e">
        <v>#VALUE!</v>
      </c>
      <c r="DK15" t="s">
        <v>1835</v>
      </c>
      <c r="DL15">
        <v>-3.0482447817921636E-2</v>
      </c>
      <c r="DM15">
        <v>-2057000000</v>
      </c>
      <c r="DN15">
        <v>-4.3546354025602342E-2</v>
      </c>
      <c r="DO15">
        <v>21193611000</v>
      </c>
      <c r="DP15">
        <v>-2726295400</v>
      </c>
      <c r="DQ15">
        <v>415</v>
      </c>
      <c r="DR15">
        <v>6.4307599700342832E-2</v>
      </c>
      <c r="DS15">
        <v>4.6413782428713377</v>
      </c>
      <c r="DT15" s="16">
        <v>-0.50666666666666671</v>
      </c>
      <c r="DU15">
        <v>-1.75</v>
      </c>
      <c r="DV15">
        <v>-2.2566666666666668</v>
      </c>
      <c r="DW15">
        <v>-2.0945999999999998</v>
      </c>
      <c r="DX15">
        <v>0.37434579439252302</v>
      </c>
      <c r="DY15">
        <v>-2.0127091121495329</v>
      </c>
      <c r="DZ15">
        <v>4556</v>
      </c>
      <c r="EA15">
        <v>-2.0013778567770726</v>
      </c>
      <c r="EB15">
        <v>2</v>
      </c>
      <c r="EC15">
        <v>1.1502909200765965E-2</v>
      </c>
      <c r="ED15">
        <v>8.5621654572657968E-2</v>
      </c>
      <c r="EE15" s="17">
        <v>-1.0419100000000001</v>
      </c>
      <c r="EF15">
        <v>-1.0640099999999999</v>
      </c>
      <c r="EG15">
        <v>24.134345794392523</v>
      </c>
      <c r="EH15" t="s">
        <v>1838</v>
      </c>
      <c r="EI15">
        <v>0</v>
      </c>
      <c r="EJ15">
        <v>0</v>
      </c>
      <c r="EK15" s="19">
        <v>45470</v>
      </c>
      <c r="EL15" s="20">
        <v>0</v>
      </c>
      <c r="EM15" s="20">
        <v>-2.2200000000000002</v>
      </c>
      <c r="EN15" s="20">
        <v>0.76</v>
      </c>
      <c r="EO15" s="20">
        <v>2.2599999999999998</v>
      </c>
      <c r="EP15" s="20">
        <v>-2.21</v>
      </c>
    </row>
    <row r="16" spans="1:146" ht="84" x14ac:dyDescent="0.25">
      <c r="C16" s="7" t="str">
        <f>""&amp;CHAR(10)&amp;Basic_Fundamental_Information_Constructure(F16)&amp;CHAR(10)&amp;Basic_Fundamental_Information_Concatenate("")</f>
        <v xml:space="preserve">
市值15.548亿, 利润4788.96万; PE33.11; 平均PE25.92; 平均PEG2.63, PB2; ROIC12.8233%; ROE12.06%; 股利率.9246%; 毛利30.5167%; 净利13.87%; 上一年度营收增9.13%, 利润增-25.52%; 当季营收增31.43%, 利润增-10%; 过往5年营收增9.86%, 利润增11.17%
Income profile:
</v>
      </c>
      <c r="D16" t="s">
        <v>2065</v>
      </c>
      <c r="E16" t="s">
        <v>2066</v>
      </c>
      <c r="F16">
        <v>13.52</v>
      </c>
      <c r="G16">
        <v>7.0000000000000007E-2</v>
      </c>
      <c r="H16" t="s">
        <v>3196</v>
      </c>
      <c r="I16">
        <v>1554800000</v>
      </c>
      <c r="J16">
        <v>33.11</v>
      </c>
      <c r="K16">
        <v>2</v>
      </c>
      <c r="L16" t="s">
        <v>172</v>
      </c>
      <c r="M16" t="s">
        <v>59</v>
      </c>
      <c r="N16" t="s">
        <v>2619</v>
      </c>
      <c r="O16" t="s">
        <v>347</v>
      </c>
      <c r="P16" s="5">
        <v>30.71</v>
      </c>
      <c r="Q16" t="s">
        <v>2546</v>
      </c>
      <c r="R16">
        <v>8398523</v>
      </c>
      <c r="S16">
        <v>-0.1</v>
      </c>
      <c r="T16" t="s">
        <v>3197</v>
      </c>
      <c r="U16">
        <v>31750000</v>
      </c>
      <c r="V16">
        <v>115000000</v>
      </c>
      <c r="W16">
        <v>1.31</v>
      </c>
      <c r="X16">
        <v>0.13</v>
      </c>
      <c r="Y16">
        <v>6.09</v>
      </c>
      <c r="Z16" t="s">
        <v>155</v>
      </c>
      <c r="AA16" t="s">
        <v>250</v>
      </c>
      <c r="AB16" t="s">
        <v>3198</v>
      </c>
      <c r="AC16" t="s">
        <v>3199</v>
      </c>
      <c r="AD16" t="s">
        <v>19</v>
      </c>
      <c r="AE16">
        <v>-22073</v>
      </c>
      <c r="AF16" t="s">
        <v>3200</v>
      </c>
      <c r="AG16">
        <v>0.62</v>
      </c>
      <c r="AH16" t="s">
        <v>3201</v>
      </c>
      <c r="AI16" t="s">
        <v>845</v>
      </c>
      <c r="AJ16" t="s">
        <v>3202</v>
      </c>
      <c r="AK16" t="s">
        <v>3203</v>
      </c>
      <c r="AL16" t="s">
        <v>3204</v>
      </c>
      <c r="AM16" t="s">
        <v>19</v>
      </c>
      <c r="AN16" t="s">
        <v>3205</v>
      </c>
      <c r="AO16" t="s">
        <v>3206</v>
      </c>
      <c r="AP16" t="s">
        <v>3207</v>
      </c>
      <c r="AQ16" t="s">
        <v>3208</v>
      </c>
      <c r="AR16" t="s">
        <v>3209</v>
      </c>
      <c r="AS16" t="s">
        <v>257</v>
      </c>
      <c r="AT16" t="s">
        <v>19</v>
      </c>
      <c r="AU16" t="s">
        <v>3210</v>
      </c>
      <c r="AV16" t="s">
        <v>3211</v>
      </c>
      <c r="AW16" t="s">
        <v>3212</v>
      </c>
      <c r="AX16" t="s">
        <v>2081</v>
      </c>
      <c r="AY16" t="s">
        <v>603</v>
      </c>
      <c r="AZ16" t="s">
        <v>2124</v>
      </c>
      <c r="BA16" t="s">
        <v>140</v>
      </c>
      <c r="BB16" t="s">
        <v>1012</v>
      </c>
      <c r="BC16" t="s">
        <v>2123</v>
      </c>
      <c r="BD16" t="s">
        <v>2067</v>
      </c>
      <c r="BE16" t="s">
        <v>2068</v>
      </c>
      <c r="BF16" t="s">
        <v>2125</v>
      </c>
      <c r="BG16" t="s">
        <v>2126</v>
      </c>
      <c r="BH16" t="s">
        <v>2546</v>
      </c>
      <c r="BI16" t="s">
        <v>414</v>
      </c>
      <c r="BJ16" t="s">
        <v>2081</v>
      </c>
      <c r="BK16" t="s">
        <v>3197</v>
      </c>
      <c r="BL16" t="s">
        <v>3213</v>
      </c>
      <c r="BM16" t="s">
        <v>2123</v>
      </c>
      <c r="BN16">
        <v>5.76</v>
      </c>
      <c r="BO16">
        <v>14.42</v>
      </c>
      <c r="BP16">
        <v>18.29</v>
      </c>
      <c r="BQ16">
        <v>7.86</v>
      </c>
      <c r="BR16">
        <v>16.260000000000002</v>
      </c>
      <c r="BS16" t="s">
        <v>19</v>
      </c>
      <c r="BT16" t="s">
        <v>2225</v>
      </c>
      <c r="BU16" t="s">
        <v>3084</v>
      </c>
      <c r="BV16">
        <v>28.73</v>
      </c>
      <c r="BW16">
        <v>29.57</v>
      </c>
      <c r="BX16">
        <v>33.25</v>
      </c>
      <c r="BY16">
        <v>9.76</v>
      </c>
      <c r="BZ16">
        <v>14.31</v>
      </c>
      <c r="CA16">
        <v>17.54</v>
      </c>
      <c r="CB16">
        <v>-2.94</v>
      </c>
      <c r="CC16" s="14">
        <v>-12.46</v>
      </c>
      <c r="CD16" s="15" t="s">
        <v>3214</v>
      </c>
      <c r="CE16" s="14" t="s">
        <v>3215</v>
      </c>
      <c r="CF16" s="14">
        <v>0.31428571428571428</v>
      </c>
      <c r="CG16" s="14">
        <v>-0.10002968281183026</v>
      </c>
      <c r="CH16" s="14">
        <v>9.1314032673835754E-2</v>
      </c>
      <c r="CI16" s="14">
        <v>8.4541060030460358E-2</v>
      </c>
      <c r="CJ16" s="15">
        <v>9.8143234848976135E-2</v>
      </c>
      <c r="CK16" s="15">
        <v>0.16358025372028351</v>
      </c>
      <c r="CL16" s="15">
        <v>5.5374592542648315E-2</v>
      </c>
      <c r="CM16" s="15">
        <v>-0.25524166226387024</v>
      </c>
      <c r="CN16" s="15">
        <v>-0.11571138352155685</v>
      </c>
      <c r="CO16">
        <v>-0.12276483327150345</v>
      </c>
      <c r="CP16">
        <v>0.46832630038261414</v>
      </c>
      <c r="CQ16">
        <v>0.58379226922988892</v>
      </c>
      <c r="CR16" s="14">
        <v>25.920591098841008</v>
      </c>
      <c r="CS16" s="15">
        <v>2.6291129133195734</v>
      </c>
      <c r="CT16">
        <v>0.92455621301775148</v>
      </c>
      <c r="CU16">
        <v>9.8590634763240814E-2</v>
      </c>
      <c r="CV16">
        <v>0.1116801381111145</v>
      </c>
      <c r="CW16">
        <v>0.06</v>
      </c>
      <c r="CX16">
        <v>21.131067724004854</v>
      </c>
      <c r="CY16">
        <v>49633081.191092163</v>
      </c>
      <c r="CZ16">
        <v>9.8590634763240814E-2</v>
      </c>
      <c r="DA16">
        <v>6.855433833337309</v>
      </c>
      <c r="DB16">
        <v>152988129.63517895</v>
      </c>
      <c r="DC16">
        <v>9.3661103025078768E-2</v>
      </c>
      <c r="DD16">
        <v>3.3420252138813757</v>
      </c>
      <c r="DE16">
        <v>313821689.80764216</v>
      </c>
      <c r="DF16">
        <v>8.6759758591651914E-2</v>
      </c>
      <c r="DG16">
        <v>1.9849073886121416</v>
      </c>
      <c r="DH16">
        <v>528387372.63874406</v>
      </c>
      <c r="DI16">
        <v>7.8872507810592657E-2</v>
      </c>
      <c r="DJ16">
        <v>1.0006732225818193</v>
      </c>
      <c r="DK16">
        <v>1048094399.1825918</v>
      </c>
      <c r="DL16">
        <v>6.9013444334268564E-2</v>
      </c>
      <c r="DM16">
        <v>47889600</v>
      </c>
      <c r="DN16">
        <v>9.8590634763240814E-2</v>
      </c>
      <c r="DO16">
        <v>1048800000</v>
      </c>
      <c r="DP16">
        <v>383413890</v>
      </c>
      <c r="DQ16" s="16">
        <v>462</v>
      </c>
      <c r="DR16">
        <v>0.21569507952247347</v>
      </c>
      <c r="DS16">
        <v>-0.21170982092294477</v>
      </c>
      <c r="DT16">
        <v>-0.32333333333333336</v>
      </c>
      <c r="DU16">
        <v>4.9999999999999968E-2</v>
      </c>
      <c r="DV16">
        <v>-0.27333333333333337</v>
      </c>
      <c r="DW16">
        <v>-8.2359550561797761</v>
      </c>
      <c r="DX16">
        <v>0.31052567727120134</v>
      </c>
      <c r="DY16">
        <v>-8.03079819351343</v>
      </c>
      <c r="DZ16">
        <v>2365</v>
      </c>
      <c r="EA16">
        <v>-8.016544235067391</v>
      </c>
      <c r="EB16" s="17">
        <v>8</v>
      </c>
      <c r="EC16" s="17">
        <v>4.1913043478260872E-2</v>
      </c>
      <c r="ED16">
        <v>0.32110956521739131</v>
      </c>
      <c r="EE16">
        <v>3.0880999999999998</v>
      </c>
      <c r="EF16">
        <v>3.0775000000000001</v>
      </c>
      <c r="EG16">
        <v>18.130525677271201</v>
      </c>
      <c r="EH16" s="19" t="s">
        <v>2080</v>
      </c>
      <c r="EI16" s="20">
        <v>0</v>
      </c>
      <c r="EJ16" s="20">
        <v>0</v>
      </c>
      <c r="EK16" s="20">
        <v>45470</v>
      </c>
      <c r="EL16" s="20">
        <v>-0.14000000000000001</v>
      </c>
      <c r="EM16" s="20">
        <v>-5.03</v>
      </c>
      <c r="EN16" s="20">
        <v>2.27</v>
      </c>
      <c r="EO16" s="20">
        <v>4.7300000000000004</v>
      </c>
      <c r="EP16" s="20">
        <v>-1.06</v>
      </c>
    </row>
    <row r="17" spans="1:146" ht="84" x14ac:dyDescent="0.25">
      <c r="C17" s="7" t="str">
        <f>""&amp;CHAR(10)&amp;Basic_Fundamental_Information_Constructure(F17)&amp;CHAR(10)&amp;Basic_Fundamental_Information_Concatenate("")</f>
        <v xml:space="preserve">
市值18.757983亿, 利润1.02亿; PE18.31; 平均PE23.41; 平均PEG2.61, PB1.43; ROIC9.5967%; ROE11.21%; 股利率.6596%; 毛利22.19%; 净利5.9133%; 上一年度营收增11.28%, 利润增-8.11%; 当季营收增16.95%, 利润增.12%; 过往5年营收增8.95%, 利润增41.84%
Income profile:
</v>
      </c>
      <c r="D17" t="s">
        <v>2069</v>
      </c>
      <c r="E17" t="s">
        <v>2070</v>
      </c>
      <c r="F17">
        <v>15.16</v>
      </c>
      <c r="G17">
        <v>1.61</v>
      </c>
      <c r="H17" t="s">
        <v>3216</v>
      </c>
      <c r="I17">
        <v>1875798300</v>
      </c>
      <c r="J17">
        <v>18.309999999999999</v>
      </c>
      <c r="K17">
        <v>1.43</v>
      </c>
      <c r="L17" t="s">
        <v>172</v>
      </c>
      <c r="M17" t="s">
        <v>2127</v>
      </c>
      <c r="N17" t="s">
        <v>2100</v>
      </c>
      <c r="O17" t="s">
        <v>79</v>
      </c>
      <c r="P17">
        <v>16.91</v>
      </c>
      <c r="Q17" t="s">
        <v>2569</v>
      </c>
      <c r="R17">
        <v>18894194</v>
      </c>
      <c r="S17">
        <v>1.16E-3</v>
      </c>
      <c r="T17" t="s">
        <v>250</v>
      </c>
      <c r="U17">
        <v>50534501</v>
      </c>
      <c r="V17">
        <v>123733400</v>
      </c>
      <c r="W17">
        <v>2.4300000000000002</v>
      </c>
      <c r="X17">
        <v>0.15</v>
      </c>
      <c r="Y17">
        <v>3.76</v>
      </c>
      <c r="Z17" t="s">
        <v>165</v>
      </c>
      <c r="AA17" t="s">
        <v>145</v>
      </c>
      <c r="AB17" t="s">
        <v>3217</v>
      </c>
      <c r="AC17" t="s">
        <v>3218</v>
      </c>
      <c r="AD17" t="s">
        <v>19</v>
      </c>
      <c r="AE17">
        <v>1300733</v>
      </c>
      <c r="AF17" t="s">
        <v>21</v>
      </c>
      <c r="AG17" t="s">
        <v>3219</v>
      </c>
      <c r="AH17" t="s">
        <v>3220</v>
      </c>
      <c r="AI17" t="s">
        <v>985</v>
      </c>
      <c r="AJ17" t="s">
        <v>3221</v>
      </c>
      <c r="AK17" t="s">
        <v>3222</v>
      </c>
      <c r="AL17" t="s">
        <v>3223</v>
      </c>
      <c r="AM17" t="s">
        <v>19</v>
      </c>
      <c r="AN17" t="s">
        <v>50</v>
      </c>
      <c r="AO17" t="s">
        <v>2519</v>
      </c>
      <c r="AP17" t="s">
        <v>2490</v>
      </c>
      <c r="AQ17" t="s">
        <v>2245</v>
      </c>
      <c r="AR17" t="s">
        <v>19</v>
      </c>
      <c r="AS17" t="s">
        <v>2378</v>
      </c>
      <c r="AT17" t="s">
        <v>115</v>
      </c>
      <c r="AU17" t="s">
        <v>3224</v>
      </c>
      <c r="AV17" t="s">
        <v>2020</v>
      </c>
      <c r="AW17" t="s">
        <v>3225</v>
      </c>
      <c r="AX17" t="s">
        <v>2127</v>
      </c>
      <c r="AY17" t="s">
        <v>2071</v>
      </c>
      <c r="AZ17" t="s">
        <v>2128</v>
      </c>
      <c r="BA17" t="s">
        <v>2129</v>
      </c>
      <c r="BB17" t="s">
        <v>2130</v>
      </c>
      <c r="BC17" t="s">
        <v>229</v>
      </c>
      <c r="BD17" t="s">
        <v>2072</v>
      </c>
      <c r="BE17" t="s">
        <v>2073</v>
      </c>
      <c r="BF17" t="s">
        <v>2132</v>
      </c>
      <c r="BG17" t="s">
        <v>2133</v>
      </c>
      <c r="BH17" t="s">
        <v>2569</v>
      </c>
      <c r="BI17" t="s">
        <v>608</v>
      </c>
      <c r="BJ17" t="s">
        <v>2127</v>
      </c>
      <c r="BK17" t="s">
        <v>250</v>
      </c>
      <c r="BL17" t="s">
        <v>3226</v>
      </c>
      <c r="BM17" t="s">
        <v>229</v>
      </c>
      <c r="BN17">
        <v>4.83</v>
      </c>
      <c r="BO17">
        <v>11.54</v>
      </c>
      <c r="BP17">
        <v>12.42</v>
      </c>
      <c r="BQ17">
        <v>5.87</v>
      </c>
      <c r="BR17">
        <v>16.55</v>
      </c>
      <c r="BS17" t="s">
        <v>19</v>
      </c>
      <c r="BT17" t="s">
        <v>2003</v>
      </c>
      <c r="BU17" t="s">
        <v>3084</v>
      </c>
      <c r="BV17">
        <v>21.9</v>
      </c>
      <c r="BW17">
        <v>20.99</v>
      </c>
      <c r="BX17">
        <v>23.68</v>
      </c>
      <c r="BY17">
        <v>5</v>
      </c>
      <c r="BZ17">
        <v>5.86</v>
      </c>
      <c r="CA17">
        <v>6.88</v>
      </c>
      <c r="CB17">
        <v>-4.1100000000000003</v>
      </c>
      <c r="CC17" s="14">
        <v>-10.72</v>
      </c>
      <c r="CD17" s="15" t="s">
        <v>3227</v>
      </c>
      <c r="CE17" s="14" t="s">
        <v>3228</v>
      </c>
      <c r="CF17" s="14">
        <v>0.16953316953316952</v>
      </c>
      <c r="CG17" s="14">
        <v>1.160112969802303E-3</v>
      </c>
      <c r="CH17" s="14">
        <v>0.11278195679187775</v>
      </c>
      <c r="CI17" s="14">
        <v>0.30483525991439819</v>
      </c>
      <c r="CJ17" s="15">
        <v>8.1060655415058136E-2</v>
      </c>
      <c r="CK17" s="15">
        <v>1.0719754733145237E-2</v>
      </c>
      <c r="CL17" s="15">
        <v>-6.1781607568264008E-2</v>
      </c>
      <c r="CM17" s="15">
        <v>-8.1081077456474304E-2</v>
      </c>
      <c r="CN17" s="15">
        <v>0.13128398358821869</v>
      </c>
      <c r="CO17">
        <v>0.11121988296508789</v>
      </c>
      <c r="CP17">
        <v>0.53746402263641357</v>
      </c>
      <c r="CQ17">
        <v>1.3933073282241821</v>
      </c>
      <c r="CR17" s="14">
        <v>23.406312897192063</v>
      </c>
      <c r="CS17" s="15">
        <v>2.6145526398403498</v>
      </c>
      <c r="CT17">
        <v>0.65963060686015829</v>
      </c>
      <c r="CU17">
        <v>8.9523203857243064E-2</v>
      </c>
      <c r="CV17">
        <v>0.41843882799148557</v>
      </c>
      <c r="CW17">
        <v>0.06</v>
      </c>
      <c r="CX17">
        <v>23.109282933354731</v>
      </c>
      <c r="CY17">
        <v>104840912.06928189</v>
      </c>
      <c r="CZ17">
        <v>8.9523203857243064E-2</v>
      </c>
      <c r="DA17">
        <v>7.5549478845817086</v>
      </c>
      <c r="DB17">
        <v>320690273.05198175</v>
      </c>
      <c r="DC17">
        <v>8.50470436643809E-2</v>
      </c>
      <c r="DD17">
        <v>3.7211343261913434</v>
      </c>
      <c r="DE17">
        <v>651091330.65878415</v>
      </c>
      <c r="DF17">
        <v>7.8780419394373899E-2</v>
      </c>
      <c r="DG17">
        <v>2.2359661306699832</v>
      </c>
      <c r="DH17">
        <v>1083557692.0273092</v>
      </c>
      <c r="DI17">
        <v>7.1618563085794451E-2</v>
      </c>
      <c r="DJ17">
        <v>1.1566070180800481</v>
      </c>
      <c r="DK17">
        <v>2094746324.4878213</v>
      </c>
      <c r="DL17">
        <v>6.2666242700070138E-2</v>
      </c>
      <c r="DM17">
        <v>102000000</v>
      </c>
      <c r="DN17">
        <v>8.9523203857243064E-2</v>
      </c>
      <c r="DO17">
        <v>2422798300</v>
      </c>
      <c r="DP17">
        <v>380688800</v>
      </c>
      <c r="DQ17" s="16">
        <v>468</v>
      </c>
      <c r="DR17">
        <v>8.0009965675926456E-2</v>
      </c>
      <c r="DS17">
        <v>-0.41727871502168329</v>
      </c>
      <c r="DT17">
        <v>-0.28999999999999998</v>
      </c>
      <c r="DU17">
        <v>0.31666666666666665</v>
      </c>
      <c r="DV17">
        <v>2.6666666666666672E-2</v>
      </c>
      <c r="DW17">
        <v>-8.3833955223880601</v>
      </c>
      <c r="DX17">
        <v>0.40706679442715454</v>
      </c>
      <c r="DY17">
        <v>-8.1100601236096654</v>
      </c>
      <c r="DZ17">
        <v>1648</v>
      </c>
      <c r="EA17">
        <v>-8.0745651952909316</v>
      </c>
      <c r="EB17" s="17">
        <v>8</v>
      </c>
      <c r="EC17" s="17">
        <v>0.16416020249989088</v>
      </c>
      <c r="ED17">
        <v>0.57185367895814709</v>
      </c>
      <c r="EE17">
        <v>0.13949999999999999</v>
      </c>
      <c r="EF17">
        <v>0.1401</v>
      </c>
      <c r="EG17">
        <v>12.287066794427155</v>
      </c>
      <c r="EH17" s="19" t="s">
        <v>1831</v>
      </c>
      <c r="EI17" s="20">
        <v>0</v>
      </c>
      <c r="EJ17" s="20">
        <v>0</v>
      </c>
      <c r="EK17" s="20">
        <v>45470</v>
      </c>
      <c r="EL17" s="20">
        <v>0.67</v>
      </c>
      <c r="EM17" s="20">
        <v>-5.46</v>
      </c>
      <c r="EN17" s="20">
        <v>3.31</v>
      </c>
      <c r="EO17" s="20">
        <v>10.01</v>
      </c>
      <c r="EP17" s="20">
        <v>0.06</v>
      </c>
    </row>
    <row r="18" spans="1:146" ht="84" x14ac:dyDescent="0.25">
      <c r="C18" s="7" t="str">
        <f>""&amp;CHAR(10)&amp;Basic_Fundamental_Information_Constructure(F18)&amp;CHAR(10)&amp;Basic_Fundamental_Information_Concatenate("")</f>
        <v xml:space="preserve">
市值30.505176亿, 利润1.25亿; PE22.5; 平均PE36.12; 平均PEG1.48, PB2.07; ROIC10.7633%; ROE12.245%; 股利率1.2375%; 毛利20.9967%; 净利9.1433%; 上一年度营收增17.71%, 利润增31.72%; 当季营收增40.74%, 利润增53.03%; 过往5年营收增24.42%, 利润增24.46%
Income profile:
</v>
      </c>
      <c r="D18" t="s">
        <v>2134</v>
      </c>
      <c r="E18" t="s">
        <v>2135</v>
      </c>
      <c r="F18">
        <v>26.91</v>
      </c>
      <c r="G18">
        <v>-0.7</v>
      </c>
      <c r="H18" t="s">
        <v>3229</v>
      </c>
      <c r="I18">
        <v>3050517600</v>
      </c>
      <c r="J18">
        <v>22.5</v>
      </c>
      <c r="K18">
        <v>2.0699999999999998</v>
      </c>
      <c r="L18" t="s">
        <v>172</v>
      </c>
      <c r="M18" t="s">
        <v>136</v>
      </c>
      <c r="N18" t="s">
        <v>996</v>
      </c>
      <c r="O18" t="s">
        <v>214</v>
      </c>
      <c r="P18">
        <v>40.549999999999997</v>
      </c>
      <c r="Q18" t="s">
        <v>3230</v>
      </c>
      <c r="R18">
        <v>29239075</v>
      </c>
      <c r="S18">
        <v>0.53029999999999999</v>
      </c>
      <c r="T18" t="s">
        <v>632</v>
      </c>
      <c r="U18">
        <v>39880000</v>
      </c>
      <c r="V18">
        <v>113360000</v>
      </c>
      <c r="W18">
        <v>1.3</v>
      </c>
      <c r="X18">
        <v>0.18</v>
      </c>
      <c r="Y18">
        <v>8.5500000000000007</v>
      </c>
      <c r="Z18" t="s">
        <v>654</v>
      </c>
      <c r="AA18" t="s">
        <v>195</v>
      </c>
      <c r="AB18" t="s">
        <v>3231</v>
      </c>
      <c r="AC18" t="s">
        <v>3232</v>
      </c>
      <c r="AD18" t="s">
        <v>19</v>
      </c>
      <c r="AE18">
        <v>927914</v>
      </c>
      <c r="AF18" t="s">
        <v>3233</v>
      </c>
      <c r="AG18" t="s">
        <v>3234</v>
      </c>
      <c r="AH18" t="s">
        <v>3235</v>
      </c>
      <c r="AI18" t="s">
        <v>3236</v>
      </c>
      <c r="AJ18" t="s">
        <v>3237</v>
      </c>
      <c r="AK18" t="s">
        <v>3238</v>
      </c>
      <c r="AL18" t="s">
        <v>3239</v>
      </c>
      <c r="AM18" t="s">
        <v>19</v>
      </c>
      <c r="AN18" t="s">
        <v>186</v>
      </c>
      <c r="AO18" t="s">
        <v>3240</v>
      </c>
      <c r="AP18" t="s">
        <v>3241</v>
      </c>
      <c r="AQ18" t="s">
        <v>52</v>
      </c>
      <c r="AR18" t="s">
        <v>19</v>
      </c>
      <c r="AS18" t="s">
        <v>542</v>
      </c>
      <c r="AT18" t="s">
        <v>19</v>
      </c>
      <c r="AU18" t="s">
        <v>3242</v>
      </c>
      <c r="AV18" t="s">
        <v>2185</v>
      </c>
      <c r="AW18" t="s">
        <v>3243</v>
      </c>
      <c r="AX18" t="s">
        <v>1848</v>
      </c>
      <c r="AY18" t="s">
        <v>729</v>
      </c>
      <c r="AZ18" t="s">
        <v>217</v>
      </c>
      <c r="BA18" t="s">
        <v>98</v>
      </c>
      <c r="BB18" t="s">
        <v>19</v>
      </c>
      <c r="BC18" t="s">
        <v>3244</v>
      </c>
      <c r="BD18" t="s">
        <v>2136</v>
      </c>
      <c r="BE18" t="s">
        <v>2137</v>
      </c>
      <c r="BF18" t="s">
        <v>2138</v>
      </c>
      <c r="BG18" t="s">
        <v>19</v>
      </c>
      <c r="BH18" t="s">
        <v>3230</v>
      </c>
      <c r="BI18" t="s">
        <v>559</v>
      </c>
      <c r="BJ18" t="s">
        <v>1848</v>
      </c>
      <c r="BK18" t="s">
        <v>632</v>
      </c>
      <c r="BL18" t="s">
        <v>3245</v>
      </c>
      <c r="BM18" t="s">
        <v>3244</v>
      </c>
      <c r="BN18">
        <v>7.22</v>
      </c>
      <c r="BO18">
        <v>12.76</v>
      </c>
      <c r="BP18">
        <v>12.31</v>
      </c>
      <c r="BQ18">
        <v>8.56</v>
      </c>
      <c r="BR18">
        <v>15.93</v>
      </c>
      <c r="BS18" t="s">
        <v>19</v>
      </c>
      <c r="BT18" t="s">
        <v>3246</v>
      </c>
      <c r="BU18" t="s">
        <v>2920</v>
      </c>
      <c r="BV18">
        <v>21.26</v>
      </c>
      <c r="BW18">
        <v>20.58</v>
      </c>
      <c r="BX18">
        <v>21.15</v>
      </c>
      <c r="BY18">
        <v>10.15</v>
      </c>
      <c r="BZ18">
        <v>9.0299999999999994</v>
      </c>
      <c r="CA18">
        <v>8.25</v>
      </c>
      <c r="CB18">
        <v>-2.89</v>
      </c>
      <c r="CC18" s="14">
        <v>-6.3</v>
      </c>
      <c r="CD18" s="15" t="s">
        <v>3247</v>
      </c>
      <c r="CE18" s="14" t="s">
        <v>3248</v>
      </c>
      <c r="CF18" s="14">
        <v>0.40740740740740722</v>
      </c>
      <c r="CG18" s="14">
        <v>0.53033685224245408</v>
      </c>
      <c r="CH18" s="14">
        <v>0.17714285850524902</v>
      </c>
      <c r="CI18" s="14">
        <v>0.1302475780248642</v>
      </c>
      <c r="CJ18" s="15">
        <v>0.50323623418807983</v>
      </c>
      <c r="CK18" s="15">
        <v>0.16603773832321167</v>
      </c>
      <c r="CL18" s="15" t="s">
        <v>19</v>
      </c>
      <c r="CM18" s="15">
        <v>0.31716486811637878</v>
      </c>
      <c r="CN18" s="15">
        <v>0.23830276727676392</v>
      </c>
      <c r="CO18">
        <v>5.4738190025091171E-2</v>
      </c>
      <c r="CP18">
        <v>0.36815965175628662</v>
      </c>
      <c r="CQ18" t="s">
        <v>19</v>
      </c>
      <c r="CR18" s="14">
        <v>36.117272895827277</v>
      </c>
      <c r="CS18" s="15">
        <v>1.4792091351532446</v>
      </c>
      <c r="CT18">
        <v>1.2374581939799332</v>
      </c>
      <c r="CU18">
        <v>0.24416610226035118</v>
      </c>
      <c r="CV18">
        <v>0.24459136929363012</v>
      </c>
      <c r="CW18">
        <v>0.06</v>
      </c>
      <c r="CX18">
        <v>13.478384612419612</v>
      </c>
      <c r="CY18">
        <v>146717700.73824894</v>
      </c>
      <c r="CZ18">
        <v>0.24416610226035118</v>
      </c>
      <c r="DA18">
        <v>3.874748304814648</v>
      </c>
      <c r="DB18">
        <v>510360272.31569982</v>
      </c>
      <c r="DC18">
        <v>0.23195779714733361</v>
      </c>
      <c r="DD18">
        <v>1.5924638025116433</v>
      </c>
      <c r="DE18">
        <v>1241797519.5926259</v>
      </c>
      <c r="DF18">
        <v>0.21486616998910904</v>
      </c>
      <c r="DG18">
        <v>0.77027710498813862</v>
      </c>
      <c r="DH18">
        <v>2567280771.0290852</v>
      </c>
      <c r="DI18">
        <v>0.19533288180828096</v>
      </c>
      <c r="DJ18">
        <v>0.23718755854335991</v>
      </c>
      <c r="DK18">
        <v>8337358047.5490789</v>
      </c>
      <c r="DL18">
        <v>0.17091627158224582</v>
      </c>
      <c r="DM18">
        <v>125000000</v>
      </c>
      <c r="DN18">
        <v>0.24416610226035118</v>
      </c>
      <c r="DO18">
        <v>1977517600</v>
      </c>
      <c r="DP18">
        <v>593770410</v>
      </c>
      <c r="DQ18" s="16">
        <v>469</v>
      </c>
      <c r="DR18">
        <v>0.16324130514705604</v>
      </c>
      <c r="DS18">
        <v>0.28574548294882396</v>
      </c>
      <c r="DT18">
        <v>-2.8000000000000025E-2</v>
      </c>
      <c r="DU18">
        <v>0.78400000000000003</v>
      </c>
      <c r="DV18">
        <v>0.75600000000000001</v>
      </c>
      <c r="DW18">
        <v>-8.4587301587301589</v>
      </c>
      <c r="DX18">
        <v>0.38181825400501679</v>
      </c>
      <c r="DY18">
        <v>-8.0650563101705544</v>
      </c>
      <c r="DZ18">
        <v>401</v>
      </c>
      <c r="EA18">
        <v>-8.0599511085309476</v>
      </c>
      <c r="EB18" s="17">
        <v>8</v>
      </c>
      <c r="EC18" s="17">
        <v>3.7812279463655611E-2</v>
      </c>
      <c r="ED18">
        <v>0.26662491178546227</v>
      </c>
      <c r="EE18">
        <v>3.0264099999999998</v>
      </c>
      <c r="EF18">
        <v>3.0499100000000001</v>
      </c>
      <c r="EG18">
        <v>24.141818254005017</v>
      </c>
      <c r="EH18" s="19" t="s">
        <v>2487</v>
      </c>
      <c r="EI18" s="20">
        <v>0</v>
      </c>
      <c r="EJ18" s="20">
        <v>1</v>
      </c>
      <c r="EK18" s="20">
        <v>45470</v>
      </c>
      <c r="EL18" s="20">
        <v>-0.73</v>
      </c>
      <c r="EM18" s="20">
        <v>-4.2300000000000004</v>
      </c>
      <c r="EN18" s="20">
        <v>0.85</v>
      </c>
      <c r="EO18" s="20">
        <v>3.79</v>
      </c>
      <c r="EP18" s="20">
        <v>-2.35</v>
      </c>
    </row>
    <row r="19" spans="1:146" ht="84" x14ac:dyDescent="0.25">
      <c r="C19" s="7" t="str">
        <f>""&amp;CHAR(10)&amp;Basic_Fundamental_Information_Constructure(F19)&amp;CHAR(10)&amp;Basic_Fundamental_Information_Concatenate("")</f>
        <v xml:space="preserve">
市值56.441043亿, 利润4.97亿; PE11.18; 平均PE18.27; 平均PEG.9, PB1.28; ROIC19.7267%; ROE18.99%; 股利率3.4702%; 毛利24.13%; 净利13.2933%; 上一年度营收增16.63%, 利润增11.19%; 当季营收增-5.57%, 利润增7.41%; 过往5年营收增20.39%, 利润增34.11%
Income profile:
</v>
      </c>
      <c r="D19" t="s">
        <v>2074</v>
      </c>
      <c r="E19" t="s">
        <v>2075</v>
      </c>
      <c r="F19">
        <v>23.63</v>
      </c>
      <c r="G19">
        <v>-0.51</v>
      </c>
      <c r="H19" t="s">
        <v>3249</v>
      </c>
      <c r="I19">
        <v>5644104300</v>
      </c>
      <c r="J19">
        <v>11.18</v>
      </c>
      <c r="K19">
        <v>1.28</v>
      </c>
      <c r="L19" t="s">
        <v>172</v>
      </c>
      <c r="M19" t="s">
        <v>1871</v>
      </c>
      <c r="N19" t="s">
        <v>3164</v>
      </c>
      <c r="O19" t="s">
        <v>2251</v>
      </c>
      <c r="P19">
        <v>-5.53</v>
      </c>
      <c r="Q19" t="s">
        <v>3250</v>
      </c>
      <c r="R19">
        <v>114929426</v>
      </c>
      <c r="S19">
        <v>7.8299999999999995E-2</v>
      </c>
      <c r="T19" t="s">
        <v>915</v>
      </c>
      <c r="U19">
        <v>60625447</v>
      </c>
      <c r="V19">
        <v>238853330</v>
      </c>
      <c r="W19">
        <v>1.19</v>
      </c>
      <c r="X19">
        <v>0.15</v>
      </c>
      <c r="Y19">
        <v>14.67</v>
      </c>
      <c r="Z19" t="s">
        <v>3251</v>
      </c>
      <c r="AA19" t="s">
        <v>719</v>
      </c>
      <c r="AB19" t="s">
        <v>3252</v>
      </c>
      <c r="AC19" t="s">
        <v>3253</v>
      </c>
      <c r="AD19" t="s">
        <v>19</v>
      </c>
      <c r="AE19">
        <v>-2288706</v>
      </c>
      <c r="AF19" t="s">
        <v>3254</v>
      </c>
      <c r="AG19" t="s">
        <v>3255</v>
      </c>
      <c r="AH19" t="s">
        <v>3256</v>
      </c>
      <c r="AI19" t="s">
        <v>160</v>
      </c>
      <c r="AJ19" t="s">
        <v>3257</v>
      </c>
      <c r="AK19" t="s">
        <v>3258</v>
      </c>
      <c r="AL19" t="s">
        <v>3259</v>
      </c>
      <c r="AM19" t="s">
        <v>19</v>
      </c>
      <c r="AN19" t="s">
        <v>54</v>
      </c>
      <c r="AO19" t="s">
        <v>19</v>
      </c>
      <c r="AP19" t="s">
        <v>19</v>
      </c>
      <c r="AQ19" t="s">
        <v>2871</v>
      </c>
      <c r="AR19" t="s">
        <v>19</v>
      </c>
      <c r="AS19" t="s">
        <v>3260</v>
      </c>
      <c r="AT19" t="s">
        <v>19</v>
      </c>
      <c r="AU19" t="s">
        <v>74</v>
      </c>
      <c r="AV19" t="s">
        <v>2808</v>
      </c>
      <c r="AW19" t="s">
        <v>3261</v>
      </c>
      <c r="AX19" t="s">
        <v>2139</v>
      </c>
      <c r="AY19" t="s">
        <v>1900</v>
      </c>
      <c r="AZ19" t="s">
        <v>2140</v>
      </c>
      <c r="BA19" t="s">
        <v>2141</v>
      </c>
      <c r="BB19" t="s">
        <v>2142</v>
      </c>
      <c r="BC19" t="s">
        <v>130</v>
      </c>
      <c r="BD19" t="s">
        <v>2143</v>
      </c>
      <c r="BE19" t="s">
        <v>127</v>
      </c>
      <c r="BF19" t="s">
        <v>163</v>
      </c>
      <c r="BG19" t="s">
        <v>241</v>
      </c>
      <c r="BH19" t="s">
        <v>3250</v>
      </c>
      <c r="BI19" t="s">
        <v>1644</v>
      </c>
      <c r="BJ19" t="s">
        <v>2139</v>
      </c>
      <c r="BK19" t="s">
        <v>915</v>
      </c>
      <c r="BL19" t="s">
        <v>216</v>
      </c>
      <c r="BM19" t="s">
        <v>130</v>
      </c>
      <c r="BN19">
        <v>11.21</v>
      </c>
      <c r="BO19">
        <v>21.39</v>
      </c>
      <c r="BP19">
        <v>26.58</v>
      </c>
      <c r="BQ19">
        <v>10.75</v>
      </c>
      <c r="BR19">
        <v>27.23</v>
      </c>
      <c r="BS19" t="s">
        <v>19</v>
      </c>
      <c r="BT19" t="s">
        <v>3262</v>
      </c>
      <c r="BU19" t="s">
        <v>3125</v>
      </c>
      <c r="BV19">
        <v>23.21</v>
      </c>
      <c r="BW19">
        <v>24.53</v>
      </c>
      <c r="BX19">
        <v>24.65</v>
      </c>
      <c r="BY19">
        <v>12.67</v>
      </c>
      <c r="BZ19">
        <v>13.3</v>
      </c>
      <c r="CA19">
        <v>13.91</v>
      </c>
      <c r="CB19">
        <v>-2.27</v>
      </c>
      <c r="CC19" s="14">
        <v>-16.8</v>
      </c>
      <c r="CD19" s="15" t="s">
        <v>3263</v>
      </c>
      <c r="CE19" s="14" t="s">
        <v>3264</v>
      </c>
      <c r="CF19" s="14">
        <v>-5.569007263922518E-2</v>
      </c>
      <c r="CG19" s="14">
        <v>7.4106785046728976E-2</v>
      </c>
      <c r="CH19" s="14">
        <v>0.16631887853145599</v>
      </c>
      <c r="CI19" s="14">
        <v>0.21031747758388519</v>
      </c>
      <c r="CJ19" s="15">
        <v>0.64608073234558105</v>
      </c>
      <c r="CK19" s="15">
        <v>4.5962732285261154E-2</v>
      </c>
      <c r="CL19" s="15">
        <v>-4.9025364220142365E-2</v>
      </c>
      <c r="CM19" s="15">
        <v>0.11185682564973831</v>
      </c>
      <c r="CN19" s="15">
        <v>0.15803109109401703</v>
      </c>
      <c r="CO19">
        <v>1.4743589162826538</v>
      </c>
      <c r="CP19">
        <v>-0.21608039736747742</v>
      </c>
      <c r="CQ19">
        <v>0.17751479148864746</v>
      </c>
      <c r="CR19" s="14">
        <v>18.265709708737862</v>
      </c>
      <c r="CS19" s="15">
        <v>0.89568135518031611</v>
      </c>
      <c r="CT19">
        <v>3.4701650444350403</v>
      </c>
      <c r="CU19">
        <v>0.2039308913052082</v>
      </c>
      <c r="CV19">
        <v>0.34113624542951582</v>
      </c>
      <c r="CW19">
        <v>0.06</v>
      </c>
      <c r="CX19">
        <v>4.1951620843357755</v>
      </c>
      <c r="CY19">
        <v>564484578.28178155</v>
      </c>
      <c r="CZ19">
        <v>0.2039308913052082</v>
      </c>
      <c r="DA19">
        <v>1.2464595763013875</v>
      </c>
      <c r="DB19">
        <v>1899864500.2406437</v>
      </c>
      <c r="DC19">
        <v>0.19373434673994777</v>
      </c>
      <c r="DD19">
        <v>0.53749742009053569</v>
      </c>
      <c r="DE19">
        <v>4405796588.9419861</v>
      </c>
      <c r="DF19">
        <v>0.17945918434858321</v>
      </c>
      <c r="DG19">
        <v>0.27599704698297672</v>
      </c>
      <c r="DH19">
        <v>8580179845.7143011</v>
      </c>
      <c r="DI19">
        <v>0.16314471304416656</v>
      </c>
      <c r="DJ19">
        <v>9.8668304028545581E-2</v>
      </c>
      <c r="DK19">
        <v>24000658806.447987</v>
      </c>
      <c r="DL19">
        <v>0.14275162391364574</v>
      </c>
      <c r="DM19">
        <v>497000000</v>
      </c>
      <c r="DN19">
        <v>0.2039308913052082</v>
      </c>
      <c r="DO19">
        <v>2368104300</v>
      </c>
      <c r="DP19">
        <v>2149881300</v>
      </c>
      <c r="DQ19" s="16">
        <v>483</v>
      </c>
      <c r="DR19">
        <v>-0.25962096394443335</v>
      </c>
      <c r="DS19">
        <v>-0.26702946038278685</v>
      </c>
      <c r="DT19">
        <v>0.14333333333333331</v>
      </c>
      <c r="DU19">
        <v>0.39999999999999997</v>
      </c>
      <c r="DV19">
        <v>0.54333333333333322</v>
      </c>
      <c r="DW19">
        <v>-3.0090476190476192</v>
      </c>
      <c r="DX19">
        <v>0.40158318759702116</v>
      </c>
      <c r="DY19">
        <v>-3.0020952764592113</v>
      </c>
      <c r="DZ19">
        <v>652</v>
      </c>
      <c r="EA19">
        <v>-3.0018279339442588</v>
      </c>
      <c r="EB19" s="17">
        <v>3</v>
      </c>
      <c r="EC19" s="17">
        <v>3.9473596620989121E-2</v>
      </c>
      <c r="ED19">
        <v>0.1704510462550386</v>
      </c>
      <c r="EE19">
        <v>-5.0385999999999997</v>
      </c>
      <c r="EF19">
        <v>-5.0106000000000002</v>
      </c>
      <c r="EG19">
        <v>17.231583187597021</v>
      </c>
      <c r="EH19" s="19" t="s">
        <v>2890</v>
      </c>
      <c r="EI19" s="20">
        <v>0</v>
      </c>
      <c r="EJ19" s="20">
        <v>1</v>
      </c>
      <c r="EK19" s="20">
        <v>45470</v>
      </c>
      <c r="EL19" s="20">
        <v>-0.51</v>
      </c>
      <c r="EM19" s="20">
        <v>-4.41</v>
      </c>
      <c r="EN19" s="20">
        <v>0.91</v>
      </c>
      <c r="EO19" s="20">
        <v>4.24</v>
      </c>
      <c r="EP19" s="20">
        <v>-2.8</v>
      </c>
    </row>
    <row r="20" spans="1:146" ht="84" x14ac:dyDescent="0.25">
      <c r="C20" s="7" t="str">
        <f>""&amp;CHAR(10)&amp;Basic_Fundamental_Information_Constructure(F20)&amp;CHAR(10)&amp;Basic_Fundamental_Information_Concatenate("")</f>
        <v xml:space="preserve">
市值22.0584亿, 利润1.01亿; PE21.24; 平均PE26.24; 平均PEG3.87, PB1.76; ROIC8.9167%; ROE9.6533%; 股利率2.4359%; 毛利26.9767%; 净利10.6433%; 上一年度营收增3.88%, 利润增33.42%; 当季营收增12.5%, 利润增13.28%; 过往5年营收增6.78%, 利润增23.61%
Income profile:
</v>
      </c>
      <c r="D20" s="5" t="s">
        <v>1993</v>
      </c>
      <c r="E20" t="s">
        <v>1994</v>
      </c>
      <c r="F20">
        <v>15.6</v>
      </c>
      <c r="G20">
        <v>1.1000000000000001</v>
      </c>
      <c r="H20" t="s">
        <v>3265</v>
      </c>
      <c r="I20">
        <v>2205840000</v>
      </c>
      <c r="J20">
        <v>21.24</v>
      </c>
      <c r="K20">
        <v>1.76</v>
      </c>
      <c r="L20" t="s">
        <v>172</v>
      </c>
      <c r="M20" t="s">
        <v>788</v>
      </c>
      <c r="N20" t="s">
        <v>794</v>
      </c>
      <c r="O20" t="s">
        <v>406</v>
      </c>
      <c r="P20" s="5">
        <v>12.1</v>
      </c>
      <c r="Q20" t="s">
        <v>2173</v>
      </c>
      <c r="R20">
        <v>20409927</v>
      </c>
      <c r="S20">
        <v>0.1328</v>
      </c>
      <c r="T20" t="s">
        <v>367</v>
      </c>
      <c r="U20">
        <v>60967000</v>
      </c>
      <c r="V20">
        <v>141400000</v>
      </c>
      <c r="W20">
        <v>1.25</v>
      </c>
      <c r="X20">
        <v>0.13</v>
      </c>
      <c r="Y20">
        <v>10.039999999999999</v>
      </c>
      <c r="Z20" t="s">
        <v>56</v>
      </c>
      <c r="AA20" t="s">
        <v>128</v>
      </c>
      <c r="AB20" t="s">
        <v>3266</v>
      </c>
      <c r="AC20" t="s">
        <v>3267</v>
      </c>
      <c r="AD20" t="s">
        <v>19</v>
      </c>
      <c r="AE20">
        <v>1129215</v>
      </c>
      <c r="AF20" t="s">
        <v>3268</v>
      </c>
      <c r="AG20">
        <v>3000.48</v>
      </c>
      <c r="AH20" t="s">
        <v>3269</v>
      </c>
      <c r="AI20" t="s">
        <v>284</v>
      </c>
      <c r="AJ20" t="s">
        <v>3270</v>
      </c>
      <c r="AK20" t="s">
        <v>3271</v>
      </c>
      <c r="AL20" t="s">
        <v>3272</v>
      </c>
      <c r="AM20" t="s">
        <v>19</v>
      </c>
      <c r="AN20" t="s">
        <v>3273</v>
      </c>
      <c r="AO20" t="s">
        <v>19</v>
      </c>
      <c r="AP20" t="s">
        <v>3274</v>
      </c>
      <c r="AQ20" t="s">
        <v>93</v>
      </c>
      <c r="AR20" t="s">
        <v>19</v>
      </c>
      <c r="AS20" t="s">
        <v>587</v>
      </c>
      <c r="AT20" t="s">
        <v>19</v>
      </c>
      <c r="AU20" t="s">
        <v>3275</v>
      </c>
      <c r="AV20" t="s">
        <v>3276</v>
      </c>
      <c r="AW20" t="s">
        <v>3277</v>
      </c>
      <c r="AX20" t="s">
        <v>1886</v>
      </c>
      <c r="AY20" t="s">
        <v>984</v>
      </c>
      <c r="AZ20" t="s">
        <v>372</v>
      </c>
      <c r="BA20" t="s">
        <v>578</v>
      </c>
      <c r="BB20" t="s">
        <v>314</v>
      </c>
      <c r="BC20" t="s">
        <v>3278</v>
      </c>
      <c r="BD20" t="s">
        <v>1995</v>
      </c>
      <c r="BE20" t="s">
        <v>25</v>
      </c>
      <c r="BF20" t="s">
        <v>1996</v>
      </c>
      <c r="BG20" t="s">
        <v>1997</v>
      </c>
      <c r="BH20" t="s">
        <v>2173</v>
      </c>
      <c r="BI20" t="s">
        <v>606</v>
      </c>
      <c r="BJ20" t="s">
        <v>1886</v>
      </c>
      <c r="BK20" t="s">
        <v>367</v>
      </c>
      <c r="BL20" t="s">
        <v>3279</v>
      </c>
      <c r="BM20" t="s">
        <v>3278</v>
      </c>
      <c r="BN20">
        <v>5.77</v>
      </c>
      <c r="BO20">
        <v>7.78</v>
      </c>
      <c r="BP20">
        <v>13.2</v>
      </c>
      <c r="BQ20">
        <v>5.95</v>
      </c>
      <c r="BR20">
        <v>7.89</v>
      </c>
      <c r="BS20">
        <v>15.12</v>
      </c>
      <c r="BT20" t="s">
        <v>2047</v>
      </c>
      <c r="BU20" t="s">
        <v>3084</v>
      </c>
      <c r="BV20">
        <v>27.41</v>
      </c>
      <c r="BW20">
        <v>25.34</v>
      </c>
      <c r="BX20">
        <v>28.18</v>
      </c>
      <c r="BY20">
        <v>11.64</v>
      </c>
      <c r="BZ20">
        <v>9.08</v>
      </c>
      <c r="CA20">
        <v>11.21</v>
      </c>
      <c r="CB20">
        <v>-4.29</v>
      </c>
      <c r="CC20" s="14">
        <v>-8.8800000000000008</v>
      </c>
      <c r="CD20" s="15" t="s">
        <v>3280</v>
      </c>
      <c r="CE20" s="14" t="s">
        <v>3281</v>
      </c>
      <c r="CF20" s="14">
        <v>0.12499999999999983</v>
      </c>
      <c r="CG20" s="14">
        <v>0.1327960904242034</v>
      </c>
      <c r="CH20" s="14">
        <v>3.8823530077934265E-2</v>
      </c>
      <c r="CI20" s="14">
        <v>-7.0093455724418163E-3</v>
      </c>
      <c r="CJ20" s="15">
        <v>0.16939890384674072</v>
      </c>
      <c r="CK20" s="15">
        <v>-1.7449663951992989E-2</v>
      </c>
      <c r="CL20" s="15">
        <v>0.15503875911235809</v>
      </c>
      <c r="CM20" s="15">
        <v>0.33423346281051636</v>
      </c>
      <c r="CN20" s="15">
        <v>-0.19826798141002655</v>
      </c>
      <c r="CO20">
        <v>-8.3308741450309753E-2</v>
      </c>
      <c r="CP20">
        <v>0.20161034166812897</v>
      </c>
      <c r="CQ20">
        <v>0.92646616697311401</v>
      </c>
      <c r="CR20" s="14">
        <v>26.242739150737165</v>
      </c>
      <c r="CS20" s="15">
        <v>3.8728704282039157</v>
      </c>
      <c r="CT20">
        <v>2.4358974358974357</v>
      </c>
      <c r="CU20">
        <v>6.7760436702519661E-2</v>
      </c>
      <c r="CV20">
        <v>0.23614664971828461</v>
      </c>
      <c r="CW20">
        <v>0.06</v>
      </c>
      <c r="CX20">
        <v>12.884285856811653</v>
      </c>
      <c r="CY20">
        <v>101739437.83674951</v>
      </c>
      <c r="CZ20">
        <v>6.7760436702519661E-2</v>
      </c>
      <c r="DA20">
        <v>4.2907095141136473</v>
      </c>
      <c r="DB20">
        <v>305506582.46338695</v>
      </c>
      <c r="DC20">
        <v>6.4372414867393674E-2</v>
      </c>
      <c r="DD20">
        <v>2.1657524935735903</v>
      </c>
      <c r="DE20">
        <v>605258451.22636998</v>
      </c>
      <c r="DF20">
        <v>5.96291842982173E-2</v>
      </c>
      <c r="DG20">
        <v>1.3373999837986001</v>
      </c>
      <c r="DH20">
        <v>980140583.13118696</v>
      </c>
      <c r="DI20">
        <v>5.4208349362015733E-2</v>
      </c>
      <c r="DJ20">
        <v>0.73377116774963935</v>
      </c>
      <c r="DK20">
        <v>1786442500.8959398</v>
      </c>
      <c r="DL20">
        <v>4.7432305691763758E-2</v>
      </c>
      <c r="DM20">
        <v>101000000</v>
      </c>
      <c r="DN20">
        <v>6.7760436702519661E-2</v>
      </c>
      <c r="DO20">
        <v>1310840000</v>
      </c>
      <c r="DP20">
        <v>767884950</v>
      </c>
      <c r="DQ20" s="16">
        <v>489</v>
      </c>
      <c r="DR20">
        <v>5.7239563297480173E-2</v>
      </c>
      <c r="DS20">
        <v>-0.10335055929408121</v>
      </c>
      <c r="DT20">
        <v>-0.20666666666666669</v>
      </c>
      <c r="DU20">
        <v>0.33333333333333331</v>
      </c>
      <c r="DV20">
        <v>0.12666666666666662</v>
      </c>
      <c r="DW20">
        <v>-8.4831081081081088</v>
      </c>
      <c r="DX20">
        <v>0.38456032171581833</v>
      </c>
      <c r="DY20">
        <v>-8.1181490743424387</v>
      </c>
      <c r="DZ20">
        <v>1421</v>
      </c>
      <c r="EA20">
        <v>-8.0852939207924184</v>
      </c>
      <c r="EB20" s="17">
        <v>8</v>
      </c>
      <c r="EC20">
        <v>0.12902545968882603</v>
      </c>
      <c r="ED20">
        <v>0.52758132956152759</v>
      </c>
      <c r="EE20">
        <v>4.8399999999999999E-2</v>
      </c>
      <c r="EF20">
        <v>7.6799999999999993E-2</v>
      </c>
      <c r="EG20">
        <v>14.244560321715818</v>
      </c>
      <c r="EH20" s="19" t="s">
        <v>1831</v>
      </c>
      <c r="EI20" s="20">
        <v>0</v>
      </c>
      <c r="EJ20" s="20">
        <v>1</v>
      </c>
      <c r="EK20" s="20">
        <v>45470</v>
      </c>
      <c r="EL20" s="20">
        <v>0.5</v>
      </c>
      <c r="EM20" s="20">
        <v>-5.89</v>
      </c>
      <c r="EN20" s="20">
        <v>9.98</v>
      </c>
      <c r="EO20" s="20">
        <v>0.36</v>
      </c>
      <c r="EP20" s="20">
        <v>2.84</v>
      </c>
    </row>
    <row r="21" spans="1:146" ht="84" x14ac:dyDescent="0.25">
      <c r="C21" s="7" t="str">
        <f>""&amp;CHAR(10)&amp;Basic_Fundamental_Information_Constructure(F21)&amp;CHAR(10)&amp;Basic_Fundamental_Information_Concatenate("")</f>
        <v xml:space="preserve">
市值33.454155亿, 利润1.64亿; PE18.85; 平均PE36.65; 平均PEG1.16, PB2.15; ROIC13.2233%; ROE16.6%; 股利率1.6411%; 毛利24.3367%; 净利11.6367%; 上一年度营收增39.66%, 利润增45.13%; 当季营收增41.86%, 利润增49.46%; 过往5年营收增31.7%, 利润增44.08%
Income profile:
</v>
      </c>
      <c r="D21" t="s">
        <v>2144</v>
      </c>
      <c r="E21" t="s">
        <v>2145</v>
      </c>
      <c r="F21">
        <v>18.28</v>
      </c>
      <c r="G21">
        <v>0.27</v>
      </c>
      <c r="H21" t="s">
        <v>2588</v>
      </c>
      <c r="I21">
        <v>3345415500</v>
      </c>
      <c r="J21">
        <v>18.850000000000001</v>
      </c>
      <c r="K21">
        <v>2.15</v>
      </c>
      <c r="L21" t="s">
        <v>172</v>
      </c>
      <c r="M21" t="s">
        <v>2247</v>
      </c>
      <c r="N21" t="s">
        <v>3282</v>
      </c>
      <c r="O21" t="s">
        <v>199</v>
      </c>
      <c r="P21">
        <v>41.96</v>
      </c>
      <c r="Q21" t="s">
        <v>2354</v>
      </c>
      <c r="R21">
        <v>40556864</v>
      </c>
      <c r="S21">
        <v>0.49459999999999998</v>
      </c>
      <c r="T21" t="s">
        <v>207</v>
      </c>
      <c r="U21">
        <v>59469600</v>
      </c>
      <c r="V21">
        <v>183009600</v>
      </c>
      <c r="W21">
        <v>1.5</v>
      </c>
      <c r="X21">
        <v>0.13</v>
      </c>
      <c r="Y21">
        <v>12.88</v>
      </c>
      <c r="Z21" t="s">
        <v>514</v>
      </c>
      <c r="AA21" t="s">
        <v>337</v>
      </c>
      <c r="AB21" t="s">
        <v>3283</v>
      </c>
      <c r="AC21" t="s">
        <v>3284</v>
      </c>
      <c r="AD21" t="s">
        <v>19</v>
      </c>
      <c r="AE21">
        <v>-1420234</v>
      </c>
      <c r="AF21" t="s">
        <v>3285</v>
      </c>
      <c r="AG21">
        <v>827.37</v>
      </c>
      <c r="AH21" t="s">
        <v>3286</v>
      </c>
      <c r="AI21" t="s">
        <v>690</v>
      </c>
      <c r="AJ21" t="s">
        <v>3287</v>
      </c>
      <c r="AK21" t="s">
        <v>3288</v>
      </c>
      <c r="AL21" t="s">
        <v>3289</v>
      </c>
      <c r="AM21" t="s">
        <v>19</v>
      </c>
      <c r="AN21" t="s">
        <v>3290</v>
      </c>
      <c r="AO21" t="s">
        <v>3291</v>
      </c>
      <c r="AP21" t="s">
        <v>608</v>
      </c>
      <c r="AQ21" t="s">
        <v>201</v>
      </c>
      <c r="AR21" t="s">
        <v>19</v>
      </c>
      <c r="AS21" t="s">
        <v>3292</v>
      </c>
      <c r="AT21" t="s">
        <v>3293</v>
      </c>
      <c r="AU21" t="s">
        <v>3294</v>
      </c>
      <c r="AV21" t="s">
        <v>3295</v>
      </c>
      <c r="AW21" t="s">
        <v>3296</v>
      </c>
      <c r="AX21" t="s">
        <v>1318</v>
      </c>
      <c r="AY21" t="s">
        <v>1651</v>
      </c>
      <c r="AZ21" t="s">
        <v>147</v>
      </c>
      <c r="BA21" t="s">
        <v>296</v>
      </c>
      <c r="BB21" t="s">
        <v>19</v>
      </c>
      <c r="BC21" t="s">
        <v>67</v>
      </c>
      <c r="BD21" t="s">
        <v>2146</v>
      </c>
      <c r="BE21" t="s">
        <v>2147</v>
      </c>
      <c r="BF21" t="s">
        <v>2148</v>
      </c>
      <c r="BG21" t="s">
        <v>19</v>
      </c>
      <c r="BH21" t="s">
        <v>2354</v>
      </c>
      <c r="BI21" t="s">
        <v>535</v>
      </c>
      <c r="BJ21" t="s">
        <v>1318</v>
      </c>
      <c r="BK21" t="s">
        <v>207</v>
      </c>
      <c r="BL21" t="s">
        <v>3297</v>
      </c>
      <c r="BM21" t="s">
        <v>67</v>
      </c>
      <c r="BN21">
        <v>9.68</v>
      </c>
      <c r="BO21">
        <v>17.760000000000002</v>
      </c>
      <c r="BP21">
        <v>12.23</v>
      </c>
      <c r="BQ21">
        <v>11.18</v>
      </c>
      <c r="BR21">
        <v>22.02</v>
      </c>
      <c r="BS21" t="s">
        <v>19</v>
      </c>
      <c r="BT21" t="s">
        <v>3298</v>
      </c>
      <c r="BU21" t="s">
        <v>2920</v>
      </c>
      <c r="BV21">
        <v>27.38</v>
      </c>
      <c r="BW21">
        <v>23.91</v>
      </c>
      <c r="BX21">
        <v>21.72</v>
      </c>
      <c r="BY21">
        <v>13.47</v>
      </c>
      <c r="BZ21">
        <v>12.62</v>
      </c>
      <c r="CA21">
        <v>8.82</v>
      </c>
      <c r="CB21">
        <v>-5.97</v>
      </c>
      <c r="CC21" s="14">
        <v>-7.26</v>
      </c>
      <c r="CD21" s="15" t="s">
        <v>3299</v>
      </c>
      <c r="CE21" s="14" t="s">
        <v>3300</v>
      </c>
      <c r="CF21" s="14">
        <v>0.41860465116279072</v>
      </c>
      <c r="CG21" s="14">
        <v>0.49456130717894481</v>
      </c>
      <c r="CH21" s="14">
        <v>0.39662927389144897</v>
      </c>
      <c r="CI21" s="14">
        <v>0.23955431580543518</v>
      </c>
      <c r="CJ21" s="15">
        <v>0.35727787017822266</v>
      </c>
      <c r="CK21" s="15">
        <v>0.27469879388809204</v>
      </c>
      <c r="CL21" s="15" t="s">
        <v>19</v>
      </c>
      <c r="CM21" s="15">
        <v>0.45132744312286377</v>
      </c>
      <c r="CN21" s="15">
        <v>0.82562828063964844</v>
      </c>
      <c r="CO21">
        <v>-0.15146222710609436</v>
      </c>
      <c r="CP21">
        <v>0.6375882625579834</v>
      </c>
      <c r="CQ21" t="s">
        <v>19</v>
      </c>
      <c r="CR21" s="14">
        <v>36.651202766082619</v>
      </c>
      <c r="CS21" s="15">
        <v>1.1560432573824042</v>
      </c>
      <c r="CT21">
        <v>1.6411378555798686</v>
      </c>
      <c r="CU21">
        <v>0.31704006344079971</v>
      </c>
      <c r="CV21">
        <v>0.44077043980360031</v>
      </c>
      <c r="CW21">
        <v>0.06</v>
      </c>
      <c r="CX21">
        <v>12.63402327610447</v>
      </c>
      <c r="CY21">
        <v>203768462.64555767</v>
      </c>
      <c r="CZ21">
        <v>0.31704006344079971</v>
      </c>
      <c r="DA21">
        <v>3.4243807355227176</v>
      </c>
      <c r="DB21">
        <v>751790089.6049242</v>
      </c>
      <c r="DC21">
        <v>0.30118806026875972</v>
      </c>
      <c r="DD21">
        <v>1.2885823243408614</v>
      </c>
      <c r="DE21">
        <v>1997866532.3667784</v>
      </c>
      <c r="DF21">
        <v>0.27899525582790374</v>
      </c>
      <c r="DG21">
        <v>0.55692662482574995</v>
      </c>
      <c r="DH21">
        <v>4622539819.8649197</v>
      </c>
      <c r="DI21">
        <v>0.25363205075263978</v>
      </c>
      <c r="DJ21">
        <v>0.12863958071349044</v>
      </c>
      <c r="DK21">
        <v>20012623530.962898</v>
      </c>
      <c r="DL21">
        <v>0.22192804440855979</v>
      </c>
      <c r="DM21">
        <v>164000000</v>
      </c>
      <c r="DN21">
        <v>0.31704006344079971</v>
      </c>
      <c r="DO21">
        <v>2574415500</v>
      </c>
      <c r="DP21">
        <v>1134669400</v>
      </c>
      <c r="DQ21" s="16">
        <v>513</v>
      </c>
      <c r="DR21">
        <v>0.10156458772199101</v>
      </c>
      <c r="DS21">
        <v>5.3790867375344498E-2</v>
      </c>
      <c r="DT21">
        <v>0.15199999999999997</v>
      </c>
      <c r="DU21">
        <v>0.94399999999999995</v>
      </c>
      <c r="DV21">
        <v>1.0959999999999999</v>
      </c>
      <c r="DW21">
        <v>-8.822314049586776</v>
      </c>
      <c r="DX21">
        <v>0.29300773494299481</v>
      </c>
      <c r="DY21">
        <v>-8.1011509886514705</v>
      </c>
      <c r="DZ21">
        <v>161</v>
      </c>
      <c r="EA21">
        <v>-8.0979640396939576</v>
      </c>
      <c r="EB21" s="17">
        <v>8</v>
      </c>
      <c r="EC21" s="17">
        <v>1.851760781948051E-2</v>
      </c>
      <c r="ED21">
        <v>0.15054019024138626</v>
      </c>
      <c r="EE21">
        <v>1.01851</v>
      </c>
      <c r="EF21">
        <v>1.0283100000000001</v>
      </c>
      <c r="EG21">
        <v>17.123007734942995</v>
      </c>
      <c r="EH21" s="19" t="s">
        <v>1840</v>
      </c>
      <c r="EI21" s="20">
        <v>0</v>
      </c>
      <c r="EJ21" s="20">
        <v>1</v>
      </c>
      <c r="EK21" s="20">
        <v>45470</v>
      </c>
      <c r="EL21" s="20">
        <v>0.1</v>
      </c>
      <c r="EM21" s="20">
        <v>-4.49</v>
      </c>
      <c r="EN21" s="20">
        <v>1.44</v>
      </c>
      <c r="EO21" s="20">
        <v>1.79</v>
      </c>
      <c r="EP21" s="20">
        <v>-0.98</v>
      </c>
    </row>
    <row r="22" spans="1:146" ht="84" x14ac:dyDescent="0.25">
      <c r="A22" s="7"/>
      <c r="B22" s="7"/>
      <c r="C22" s="7" t="str">
        <f>""&amp;CHAR(10)&amp;Basic_Fundamental_Information_Constructure(F22)&amp;CHAR(10)&amp;Basic_Fundamental_Information_Concatenate("")</f>
        <v xml:space="preserve">
市值106.076645亿, 利润10.28亿; PE10.08; 平均PE10.9; 平均PEG1.15, PB.853; ROIC9.76%; ROE9.2033%; 股利率4.8503%; 毛利17.6067%; 净利7.2233%; 上一年度营收增17.85%, 利润增4.37%; 当季营收增22.58%, 利润增11.71%; 过往5年营收增9.48%, 利润增10.37%
Income profile:
</v>
      </c>
      <c r="D22" t="s">
        <v>363</v>
      </c>
      <c r="E22" t="s">
        <v>364</v>
      </c>
      <c r="F22">
        <v>13.03</v>
      </c>
      <c r="G22">
        <v>1.32</v>
      </c>
      <c r="H22" t="s">
        <v>3301</v>
      </c>
      <c r="I22">
        <v>10607664500</v>
      </c>
      <c r="J22">
        <v>10.08</v>
      </c>
      <c r="K22">
        <v>0.85299999999999998</v>
      </c>
      <c r="L22" t="s">
        <v>172</v>
      </c>
      <c r="M22" t="s">
        <v>3302</v>
      </c>
      <c r="N22" t="s">
        <v>3303</v>
      </c>
      <c r="O22" t="s">
        <v>3304</v>
      </c>
      <c r="P22">
        <v>22.59</v>
      </c>
      <c r="Q22" t="s">
        <v>3305</v>
      </c>
      <c r="R22">
        <v>223411660</v>
      </c>
      <c r="S22" s="5">
        <v>0.11899999999999999</v>
      </c>
      <c r="T22" t="s">
        <v>2884</v>
      </c>
      <c r="U22">
        <v>522214360</v>
      </c>
      <c r="V22">
        <v>814095510</v>
      </c>
      <c r="W22">
        <v>1.9</v>
      </c>
      <c r="X22">
        <v>0.21</v>
      </c>
      <c r="Y22">
        <v>5.37</v>
      </c>
      <c r="Z22" t="s">
        <v>3306</v>
      </c>
      <c r="AA22" t="s">
        <v>3307</v>
      </c>
      <c r="AB22" t="s">
        <v>3308</v>
      </c>
      <c r="AC22" t="s">
        <v>505</v>
      </c>
      <c r="AD22" t="s">
        <v>19</v>
      </c>
      <c r="AE22">
        <v>19434450</v>
      </c>
      <c r="AF22" t="s">
        <v>3309</v>
      </c>
      <c r="AG22" t="s">
        <v>3310</v>
      </c>
      <c r="AH22" t="s">
        <v>3311</v>
      </c>
      <c r="AI22" t="s">
        <v>3312</v>
      </c>
      <c r="AJ22" t="s">
        <v>3313</v>
      </c>
      <c r="AK22" t="s">
        <v>3314</v>
      </c>
      <c r="AL22" t="s">
        <v>3315</v>
      </c>
      <c r="AM22" t="s">
        <v>19</v>
      </c>
      <c r="AN22" t="s">
        <v>2599</v>
      </c>
      <c r="AO22" t="s">
        <v>1044</v>
      </c>
      <c r="AP22" t="s">
        <v>3316</v>
      </c>
      <c r="AQ22" t="s">
        <v>2549</v>
      </c>
      <c r="AR22" t="s">
        <v>3317</v>
      </c>
      <c r="AS22" t="s">
        <v>3318</v>
      </c>
      <c r="AT22" t="s">
        <v>3319</v>
      </c>
      <c r="AU22" t="s">
        <v>3320</v>
      </c>
      <c r="AV22" t="s">
        <v>3321</v>
      </c>
      <c r="AW22" t="s">
        <v>3322</v>
      </c>
      <c r="AX22" t="s">
        <v>3323</v>
      </c>
      <c r="AY22" t="s">
        <v>1581</v>
      </c>
      <c r="AZ22" t="s">
        <v>365</v>
      </c>
      <c r="BA22" t="s">
        <v>369</v>
      </c>
      <c r="BB22" t="s">
        <v>370</v>
      </c>
      <c r="BC22" t="s">
        <v>2647</v>
      </c>
      <c r="BD22" t="s">
        <v>1780</v>
      </c>
      <c r="BE22" t="s">
        <v>366</v>
      </c>
      <c r="BF22" t="s">
        <v>371</v>
      </c>
      <c r="BG22" t="s">
        <v>372</v>
      </c>
      <c r="BH22" t="s">
        <v>3305</v>
      </c>
      <c r="BI22" t="s">
        <v>3324</v>
      </c>
      <c r="BJ22" t="s">
        <v>3323</v>
      </c>
      <c r="BK22" t="s">
        <v>2884</v>
      </c>
      <c r="BL22" t="s">
        <v>245</v>
      </c>
      <c r="BM22" t="s">
        <v>2647</v>
      </c>
      <c r="BN22">
        <v>7.93</v>
      </c>
      <c r="BO22">
        <v>9.76</v>
      </c>
      <c r="BP22">
        <v>11.59</v>
      </c>
      <c r="BQ22">
        <v>6.4</v>
      </c>
      <c r="BR22">
        <v>9.27</v>
      </c>
      <c r="BS22">
        <v>11.94</v>
      </c>
      <c r="BT22" t="s">
        <v>3325</v>
      </c>
      <c r="BU22" t="s">
        <v>3084</v>
      </c>
      <c r="BV22">
        <v>17.02</v>
      </c>
      <c r="BW22">
        <v>17.04</v>
      </c>
      <c r="BX22">
        <v>18.760000000000002</v>
      </c>
      <c r="BY22">
        <v>6.2</v>
      </c>
      <c r="BZ22">
        <v>6.82</v>
      </c>
      <c r="CA22">
        <v>8.65</v>
      </c>
      <c r="CB22">
        <v>0.7</v>
      </c>
      <c r="CC22">
        <v>-5.5</v>
      </c>
      <c r="CD22" t="s">
        <v>3326</v>
      </c>
      <c r="CE22" t="s">
        <v>593</v>
      </c>
      <c r="CF22" s="14">
        <v>0.22579253827905973</v>
      </c>
      <c r="CG22" s="15">
        <v>0.1170583</v>
      </c>
      <c r="CH22" s="14">
        <v>0.17853520810604095</v>
      </c>
      <c r="CI22" s="14">
        <v>0.12099152058362961</v>
      </c>
      <c r="CJ22" s="14">
        <v>4.1202966123819351E-2</v>
      </c>
      <c r="CK22" s="14">
        <v>-1.1759195476770401E-2</v>
      </c>
      <c r="CL22" s="14">
        <v>0.14510622620582581</v>
      </c>
      <c r="CM22" s="15">
        <v>4.3654821813106537E-2</v>
      </c>
      <c r="CN22" s="15">
        <v>-0.22195892035961151</v>
      </c>
      <c r="CO22" s="15">
        <v>0.49116608500480652</v>
      </c>
      <c r="CP22" s="15">
        <v>-0.13455657660961151</v>
      </c>
      <c r="CQ22" s="15">
        <v>0.3401639461517334</v>
      </c>
      <c r="CR22">
        <v>10.896419619928094</v>
      </c>
      <c r="CS22">
        <v>1.1492253292394767</v>
      </c>
      <c r="CT22">
        <v>4.8503453568687647</v>
      </c>
      <c r="CU22" s="14">
        <v>9.4815345108509058E-2</v>
      </c>
      <c r="CV22" s="15">
        <v>0.10369387120008469</v>
      </c>
      <c r="CW22">
        <v>0.06</v>
      </c>
      <c r="CX22">
        <v>9.2748120776446683</v>
      </c>
      <c r="CY22">
        <v>1061764315.8222141</v>
      </c>
      <c r="CZ22">
        <v>9.4815345108509058E-2</v>
      </c>
      <c r="DA22">
        <v>3.0185952136425764</v>
      </c>
      <c r="DB22">
        <v>3262333570.0968995</v>
      </c>
      <c r="DC22">
        <v>9.0074577853083607E-2</v>
      </c>
      <c r="DD22">
        <v>1.4778930241830599</v>
      </c>
      <c r="DE22">
        <v>6663313473.2086096</v>
      </c>
      <c r="DF22">
        <v>8.3437503695487969E-2</v>
      </c>
      <c r="DG22">
        <v>0.8820397806065019</v>
      </c>
      <c r="DH22">
        <v>11164648938.201653</v>
      </c>
      <c r="DI22">
        <v>7.5852276086807252E-2</v>
      </c>
      <c r="DJ22">
        <v>0.44949636930408332</v>
      </c>
      <c r="DK22">
        <v>21908218113.63303</v>
      </c>
      <c r="DL22">
        <v>6.6370741575956335E-2</v>
      </c>
      <c r="DM22">
        <v>1027999999.9999999</v>
      </c>
      <c r="DN22">
        <v>9.4815345108509058E-2</v>
      </c>
      <c r="DO22">
        <v>9847664500</v>
      </c>
      <c r="DP22">
        <v>4624852000</v>
      </c>
      <c r="DQ22">
        <v>566</v>
      </c>
      <c r="DR22">
        <v>0.13097719317055068</v>
      </c>
      <c r="DS22">
        <v>1.3364428799915312E-2</v>
      </c>
      <c r="DT22" s="16">
        <v>-0.27333333333333337</v>
      </c>
      <c r="DU22">
        <v>8.3333333333333315E-2</v>
      </c>
      <c r="DV22">
        <v>-0.19000000000000006</v>
      </c>
      <c r="DW22">
        <v>-1.0549999999999999</v>
      </c>
      <c r="DX22">
        <v>0.38571908396946442</v>
      </c>
      <c r="DY22">
        <v>-1.0069145496183207</v>
      </c>
      <c r="DZ22">
        <v>2179</v>
      </c>
      <c r="EA22">
        <v>-1.0039660557595496</v>
      </c>
      <c r="EB22">
        <v>1</v>
      </c>
      <c r="EC22">
        <v>2.023005875563667E-2</v>
      </c>
      <c r="ED22">
        <v>0.16091478013433583</v>
      </c>
      <c r="EE22" s="17">
        <v>-1.0036099999999999</v>
      </c>
      <c r="EF22">
        <v>-1.0397099999999999</v>
      </c>
      <c r="EG22">
        <v>26.125719083969464</v>
      </c>
      <c r="EH22" t="s">
        <v>1838</v>
      </c>
      <c r="EI22">
        <v>0</v>
      </c>
      <c r="EJ22">
        <v>0</v>
      </c>
      <c r="EK22" s="19">
        <v>45470</v>
      </c>
      <c r="EL22" s="20">
        <v>1.54</v>
      </c>
      <c r="EM22" s="20">
        <v>-3.19</v>
      </c>
      <c r="EN22" s="20">
        <v>1.18</v>
      </c>
      <c r="EO22" s="20">
        <v>2.95</v>
      </c>
      <c r="EP22" s="20">
        <v>-3.61</v>
      </c>
    </row>
    <row r="23" spans="1:146" ht="84" x14ac:dyDescent="0.25">
      <c r="A23" s="7"/>
      <c r="B23" s="7"/>
      <c r="C23" s="7" t="str">
        <f>""&amp;CHAR(10)&amp;Basic_Fundamental_Information_Constructure(F23)&amp;CHAR(10)&amp;Basic_Fundamental_Information_Concatenate("")</f>
        <v xml:space="preserve">
市值265.62452亿, 利润7.27亿; PE36.4; 平均PE37.15; 平均PEG4, PB3.87; ROIC7.02%; ROE9.83%; 股利率1.199%; 毛利18.2933%; 净利5.6533%; 上一年度营收增-1.07%, 利润增-10.14%; 当季营收增-2.05%, 利润增1.24%; 过往5年营收增9.28%, 利润增9.65%
Income profile:
</v>
      </c>
      <c r="D23" t="s">
        <v>375</v>
      </c>
      <c r="E23" t="s">
        <v>376</v>
      </c>
      <c r="F23">
        <v>12.51</v>
      </c>
      <c r="G23">
        <v>-0.24</v>
      </c>
      <c r="H23" t="s">
        <v>3327</v>
      </c>
      <c r="I23">
        <v>26562452000</v>
      </c>
      <c r="J23">
        <v>36.4</v>
      </c>
      <c r="K23">
        <v>3.87</v>
      </c>
      <c r="L23" t="s">
        <v>172</v>
      </c>
      <c r="M23" t="s">
        <v>3328</v>
      </c>
      <c r="N23" t="s">
        <v>3329</v>
      </c>
      <c r="O23" t="s">
        <v>2791</v>
      </c>
      <c r="P23">
        <v>-2.04</v>
      </c>
      <c r="Q23" t="s">
        <v>3330</v>
      </c>
      <c r="R23">
        <v>226787590</v>
      </c>
      <c r="S23" s="5">
        <v>1.2500000000000001E-2</v>
      </c>
      <c r="T23" t="s">
        <v>1850</v>
      </c>
      <c r="U23">
        <v>2123297500</v>
      </c>
      <c r="V23">
        <v>2123297500</v>
      </c>
      <c r="W23">
        <v>1.85</v>
      </c>
      <c r="X23">
        <v>0.2</v>
      </c>
      <c r="Y23">
        <v>8.24</v>
      </c>
      <c r="Z23" t="s">
        <v>3331</v>
      </c>
      <c r="AA23" t="s">
        <v>3332</v>
      </c>
      <c r="AB23" t="s">
        <v>3333</v>
      </c>
      <c r="AC23" t="s">
        <v>445</v>
      </c>
      <c r="AD23" t="s">
        <v>19</v>
      </c>
      <c r="AE23">
        <v>21126477</v>
      </c>
      <c r="AF23" t="s">
        <v>3334</v>
      </c>
      <c r="AG23" t="s">
        <v>3335</v>
      </c>
      <c r="AH23" t="s">
        <v>3336</v>
      </c>
      <c r="AI23" t="s">
        <v>3337</v>
      </c>
      <c r="AJ23" t="s">
        <v>3338</v>
      </c>
      <c r="AK23" t="s">
        <v>1230</v>
      </c>
      <c r="AL23" t="s">
        <v>3339</v>
      </c>
      <c r="AM23" t="s">
        <v>19</v>
      </c>
      <c r="AN23" t="s">
        <v>60</v>
      </c>
      <c r="AO23" t="s">
        <v>3340</v>
      </c>
      <c r="AP23" t="s">
        <v>52</v>
      </c>
      <c r="AQ23" t="s">
        <v>1456</v>
      </c>
      <c r="AR23" t="s">
        <v>3341</v>
      </c>
      <c r="AS23" t="s">
        <v>3342</v>
      </c>
      <c r="AT23" t="s">
        <v>2509</v>
      </c>
      <c r="AU23" t="s">
        <v>3343</v>
      </c>
      <c r="AV23" t="s">
        <v>3344</v>
      </c>
      <c r="AW23" t="s">
        <v>3345</v>
      </c>
      <c r="AX23" t="s">
        <v>2150</v>
      </c>
      <c r="AY23" t="s">
        <v>1583</v>
      </c>
      <c r="AZ23" t="s">
        <v>377</v>
      </c>
      <c r="BA23" t="s">
        <v>381</v>
      </c>
      <c r="BB23" t="s">
        <v>382</v>
      </c>
      <c r="BC23" t="s">
        <v>704</v>
      </c>
      <c r="BD23" t="s">
        <v>393</v>
      </c>
      <c r="BE23" t="s">
        <v>378</v>
      </c>
      <c r="BF23" t="s">
        <v>383</v>
      </c>
      <c r="BG23" t="s">
        <v>384</v>
      </c>
      <c r="BH23" t="s">
        <v>3330</v>
      </c>
      <c r="BI23" t="s">
        <v>3346</v>
      </c>
      <c r="BJ23" t="s">
        <v>2150</v>
      </c>
      <c r="BK23" t="s">
        <v>1850</v>
      </c>
      <c r="BL23" t="s">
        <v>162</v>
      </c>
      <c r="BM23" t="s">
        <v>704</v>
      </c>
      <c r="BN23">
        <v>5.76</v>
      </c>
      <c r="BO23">
        <v>9.4499999999999993</v>
      </c>
      <c r="BP23">
        <v>5.85</v>
      </c>
      <c r="BQ23">
        <v>8.5</v>
      </c>
      <c r="BR23">
        <v>14.5</v>
      </c>
      <c r="BS23">
        <v>6.49</v>
      </c>
      <c r="BT23" t="s">
        <v>2045</v>
      </c>
      <c r="BU23" t="s">
        <v>3032</v>
      </c>
      <c r="BV23">
        <v>20.329999999999998</v>
      </c>
      <c r="BW23">
        <v>18.46</v>
      </c>
      <c r="BX23">
        <v>16.09</v>
      </c>
      <c r="BY23">
        <v>6.38</v>
      </c>
      <c r="BZ23">
        <v>6.3</v>
      </c>
      <c r="CA23">
        <v>4.28</v>
      </c>
      <c r="CB23">
        <v>-5.51</v>
      </c>
      <c r="CC23">
        <v>-29</v>
      </c>
      <c r="CD23" t="s">
        <v>568</v>
      </c>
      <c r="CE23" t="s">
        <v>3347</v>
      </c>
      <c r="CF23" s="14">
        <v>-2.0475926950747094E-2</v>
      </c>
      <c r="CG23" s="15">
        <v>1.244459821428558E-2</v>
      </c>
      <c r="CH23" s="14">
        <v>-1.0682491585612297E-2</v>
      </c>
      <c r="CI23" s="14">
        <v>0.31730464100837708</v>
      </c>
      <c r="CJ23" s="14">
        <v>0.16235162317752838</v>
      </c>
      <c r="CK23" s="14">
        <v>-0.15322516858577728</v>
      </c>
      <c r="CL23" s="14">
        <v>0.14811450242996216</v>
      </c>
      <c r="CM23" s="15">
        <v>-0.10135970264673233</v>
      </c>
      <c r="CN23" s="15">
        <v>1.4294294118881226</v>
      </c>
      <c r="CO23" s="15">
        <v>-0.41166079044342041</v>
      </c>
      <c r="CP23" s="15">
        <v>-0.3683035671710968</v>
      </c>
      <c r="CQ23" s="15">
        <v>-6.5693430602550507E-2</v>
      </c>
      <c r="CR23">
        <v>37.150282517482516</v>
      </c>
      <c r="CS23">
        <v>4.0044446304687105</v>
      </c>
      <c r="CT23">
        <v>1.1990407673860912</v>
      </c>
      <c r="CU23" s="14">
        <v>9.2772621288895601E-2</v>
      </c>
      <c r="CV23" s="15">
        <v>9.6482384204864505E-2</v>
      </c>
      <c r="CW23">
        <v>0.06</v>
      </c>
      <c r="CX23">
        <v>33.753470206856605</v>
      </c>
      <c r="CY23">
        <v>749477071.39342177</v>
      </c>
      <c r="CZ23">
        <v>9.2772621288895601E-2</v>
      </c>
      <c r="DA23">
        <v>11.00446061772835</v>
      </c>
      <c r="DB23">
        <v>2298836160.9696188</v>
      </c>
      <c r="DC23">
        <v>8.8133990224450814E-2</v>
      </c>
      <c r="DD23">
        <v>5.40024609677294</v>
      </c>
      <c r="DE23">
        <v>4684499844.3898993</v>
      </c>
      <c r="DF23">
        <v>8.1639906734228135E-2</v>
      </c>
      <c r="DG23">
        <v>3.2314547417854129</v>
      </c>
      <c r="DH23">
        <v>7828502647.0842323</v>
      </c>
      <c r="DI23">
        <v>7.4218097031116481E-2</v>
      </c>
      <c r="DJ23">
        <v>1.6563430417482421</v>
      </c>
      <c r="DK23">
        <v>15273075300.45163</v>
      </c>
      <c r="DL23">
        <v>6.4940834902226921E-2</v>
      </c>
      <c r="DM23">
        <v>727000000</v>
      </c>
      <c r="DN23">
        <v>9.2772621288895601E-2</v>
      </c>
      <c r="DO23">
        <v>25297452000</v>
      </c>
      <c r="DP23">
        <v>2596023000</v>
      </c>
      <c r="DQ23">
        <v>601</v>
      </c>
      <c r="DR23">
        <v>-0.1132485482396427</v>
      </c>
      <c r="DS23">
        <v>-8.4037785990578928E-2</v>
      </c>
      <c r="DT23" s="16">
        <v>-0.27333333333333337</v>
      </c>
      <c r="DU23">
        <v>5.000000000000001E-2</v>
      </c>
      <c r="DV23">
        <v>-0.22333333333333336</v>
      </c>
      <c r="DW23">
        <v>-8.19</v>
      </c>
      <c r="DX23">
        <v>0.28371203151570185</v>
      </c>
      <c r="DY23">
        <v>-8.0197052859879836</v>
      </c>
      <c r="DZ23">
        <v>2255</v>
      </c>
      <c r="EA23">
        <v>-8.0110095090989617</v>
      </c>
      <c r="EB23">
        <v>8</v>
      </c>
      <c r="EC23">
        <v>0.21711512399934538</v>
      </c>
      <c r="ED23">
        <v>2.0934419222930369</v>
      </c>
      <c r="EE23" s="17">
        <v>5.03111</v>
      </c>
      <c r="EF23">
        <v>5.0851100000000002</v>
      </c>
      <c r="EG23">
        <v>18.103712031515702</v>
      </c>
      <c r="EH23" t="s">
        <v>2827</v>
      </c>
      <c r="EI23">
        <v>0</v>
      </c>
      <c r="EJ23">
        <v>0</v>
      </c>
      <c r="EK23" s="19">
        <v>45470</v>
      </c>
      <c r="EL23" s="20">
        <v>-1.21</v>
      </c>
      <c r="EM23" s="20">
        <v>-1.91</v>
      </c>
      <c r="EN23" s="20">
        <v>-4.8</v>
      </c>
      <c r="EO23" s="20">
        <v>0.15</v>
      </c>
      <c r="EP23" s="20">
        <v>-5.4</v>
      </c>
    </row>
    <row r="24" spans="1:146" ht="84" x14ac:dyDescent="0.25">
      <c r="A24" s="7"/>
      <c r="B24" s="7"/>
      <c r="C24" s="7" t="str">
        <f>""&amp;CHAR(10)&amp;Basic_Fundamental_Information_Constructure(F24)&amp;CHAR(10)&amp;Basic_Fundamental_Information_Concatenate("")</f>
        <v xml:space="preserve">
市值66.265529亿, 利润4.23亿; PE16.08; 平均PE23.27; 平均PEG4.7, PB.865; ROIC6.67%; ROE7.2433%; 股利率3.2096%; 毛利19.56%; 净利6.28%; 上一年度营收增14.13%, 利润增-9.03%; 当季营收增9.07%, 利润增-13.99%; 过往5年营收增4.95%, 利润增102.4%
Income profile:
</v>
      </c>
      <c r="D24" t="s">
        <v>388</v>
      </c>
      <c r="E24" t="s">
        <v>389</v>
      </c>
      <c r="F24">
        <v>9.9700000000000006</v>
      </c>
      <c r="G24">
        <v>0.1</v>
      </c>
      <c r="H24" t="s">
        <v>3348</v>
      </c>
      <c r="I24">
        <v>6626552900</v>
      </c>
      <c r="J24">
        <v>16.079999999999998</v>
      </c>
      <c r="K24">
        <v>0.86499999999999999</v>
      </c>
      <c r="L24" t="s">
        <v>172</v>
      </c>
      <c r="M24" t="s">
        <v>3349</v>
      </c>
      <c r="N24" t="s">
        <v>3350</v>
      </c>
      <c r="O24" t="s">
        <v>2556</v>
      </c>
      <c r="P24">
        <v>9.08</v>
      </c>
      <c r="Q24" t="s">
        <v>3351</v>
      </c>
      <c r="R24">
        <v>66399053</v>
      </c>
      <c r="S24" s="5">
        <v>-0.1399</v>
      </c>
      <c r="T24" t="s">
        <v>2632</v>
      </c>
      <c r="U24">
        <v>622958870</v>
      </c>
      <c r="V24">
        <v>664649240</v>
      </c>
      <c r="W24">
        <v>1.56</v>
      </c>
      <c r="X24">
        <v>0.14000000000000001</v>
      </c>
      <c r="Y24">
        <v>3.63</v>
      </c>
      <c r="Z24" t="s">
        <v>2120</v>
      </c>
      <c r="AA24" t="s">
        <v>274</v>
      </c>
      <c r="AB24" t="s">
        <v>3352</v>
      </c>
      <c r="AC24" t="s">
        <v>3353</v>
      </c>
      <c r="AD24" t="s">
        <v>19</v>
      </c>
      <c r="AE24">
        <v>-2934101</v>
      </c>
      <c r="AF24" t="s">
        <v>3354</v>
      </c>
      <c r="AG24" t="s">
        <v>3355</v>
      </c>
      <c r="AH24" t="s">
        <v>3356</v>
      </c>
      <c r="AI24" t="s">
        <v>137</v>
      </c>
      <c r="AJ24" t="s">
        <v>3357</v>
      </c>
      <c r="AK24" t="s">
        <v>284</v>
      </c>
      <c r="AL24" t="s">
        <v>3358</v>
      </c>
      <c r="AM24" t="s">
        <v>19</v>
      </c>
      <c r="AN24" t="s">
        <v>446</v>
      </c>
      <c r="AO24" t="s">
        <v>2558</v>
      </c>
      <c r="AP24" t="s">
        <v>2640</v>
      </c>
      <c r="AQ24" t="s">
        <v>3359</v>
      </c>
      <c r="AR24" t="s">
        <v>19</v>
      </c>
      <c r="AS24" t="s">
        <v>3360</v>
      </c>
      <c r="AT24" t="s">
        <v>24</v>
      </c>
      <c r="AU24" t="s">
        <v>3361</v>
      </c>
      <c r="AV24" t="s">
        <v>3362</v>
      </c>
      <c r="AW24" t="s">
        <v>3363</v>
      </c>
      <c r="AX24" t="s">
        <v>2152</v>
      </c>
      <c r="AY24" t="s">
        <v>1585</v>
      </c>
      <c r="AZ24" t="s">
        <v>390</v>
      </c>
      <c r="BA24" t="s">
        <v>394</v>
      </c>
      <c r="BB24" t="s">
        <v>395</v>
      </c>
      <c r="BC24" t="s">
        <v>962</v>
      </c>
      <c r="BD24" t="s">
        <v>509</v>
      </c>
      <c r="BE24" t="s">
        <v>127</v>
      </c>
      <c r="BF24" t="s">
        <v>396</v>
      </c>
      <c r="BG24" t="s">
        <v>397</v>
      </c>
      <c r="BH24" t="s">
        <v>3351</v>
      </c>
      <c r="BI24" t="s">
        <v>3364</v>
      </c>
      <c r="BJ24" t="s">
        <v>2152</v>
      </c>
      <c r="BK24" t="s">
        <v>2632</v>
      </c>
      <c r="BL24" t="s">
        <v>3365</v>
      </c>
      <c r="BM24" t="s">
        <v>962</v>
      </c>
      <c r="BN24">
        <v>4.57</v>
      </c>
      <c r="BO24">
        <v>8.7899999999999991</v>
      </c>
      <c r="BP24">
        <v>6.65</v>
      </c>
      <c r="BQ24">
        <v>5.74</v>
      </c>
      <c r="BR24">
        <v>9.57</v>
      </c>
      <c r="BS24">
        <v>6.42</v>
      </c>
      <c r="BT24" t="s">
        <v>2347</v>
      </c>
      <c r="BU24" t="s">
        <v>3125</v>
      </c>
      <c r="BV24">
        <v>18.989999999999998</v>
      </c>
      <c r="BW24">
        <v>19.62</v>
      </c>
      <c r="BX24">
        <v>20.07</v>
      </c>
      <c r="BY24">
        <v>5.86</v>
      </c>
      <c r="BZ24">
        <v>7.2</v>
      </c>
      <c r="CA24">
        <v>5.78</v>
      </c>
      <c r="CB24">
        <v>-2.35</v>
      </c>
      <c r="CC24">
        <v>-12.7</v>
      </c>
      <c r="CD24" t="s">
        <v>3366</v>
      </c>
      <c r="CE24" t="s">
        <v>177</v>
      </c>
      <c r="CF24" s="14">
        <v>9.0739589807333751E-2</v>
      </c>
      <c r="CG24" s="15">
        <v>-0.13990195519654297</v>
      </c>
      <c r="CH24" s="14">
        <v>0.14133693277835846</v>
      </c>
      <c r="CI24" s="14">
        <v>0.11144431680440903</v>
      </c>
      <c r="CJ24" s="14">
        <v>7.273043692111969E-2</v>
      </c>
      <c r="CK24" s="14">
        <v>-5.2488930523395538E-2</v>
      </c>
      <c r="CL24" s="14">
        <v>-2.5412604212760925E-2</v>
      </c>
      <c r="CM24" s="15">
        <v>-9.0322583913803101E-2</v>
      </c>
      <c r="CN24" s="15">
        <v>0.55000001192092896</v>
      </c>
      <c r="CO24" s="15">
        <v>0.92307692766189575</v>
      </c>
      <c r="CP24" s="15">
        <v>4.655390739440918</v>
      </c>
      <c r="CQ24" s="15">
        <v>-0.9181475043296814</v>
      </c>
      <c r="CR24">
        <v>23.270328189250012</v>
      </c>
      <c r="CS24">
        <v>4.6989850826226647</v>
      </c>
      <c r="CT24">
        <v>3.20962888665998</v>
      </c>
      <c r="CU24" s="14">
        <v>4.9522030353546145E-2</v>
      </c>
      <c r="CV24" s="15">
        <v>1.0239995181560517</v>
      </c>
      <c r="CW24">
        <v>0.06</v>
      </c>
      <c r="CX24">
        <v>8.8356917356940237</v>
      </c>
      <c r="CY24">
        <v>418818697.01844347</v>
      </c>
      <c r="CZ24">
        <v>4.9522030353546145E-2</v>
      </c>
      <c r="DA24">
        <v>2.9885695900073634</v>
      </c>
      <c r="DB24">
        <v>1238235479.7335947</v>
      </c>
      <c r="DC24">
        <v>4.7045928835868833E-2</v>
      </c>
      <c r="DD24">
        <v>1.5394016254577676</v>
      </c>
      <c r="DE24">
        <v>2403890471.9875016</v>
      </c>
      <c r="DF24">
        <v>4.3579386711120612E-2</v>
      </c>
      <c r="DG24">
        <v>0.97191524825489006</v>
      </c>
      <c r="DH24">
        <v>3807485175.9394455</v>
      </c>
      <c r="DI24">
        <v>3.9617624282836918E-2</v>
      </c>
      <c r="DJ24">
        <v>0.55845934323621604</v>
      </c>
      <c r="DK24">
        <v>6626360441.1301746</v>
      </c>
      <c r="DL24">
        <v>3.46654212474823E-2</v>
      </c>
      <c r="DM24">
        <v>423000000.00000006</v>
      </c>
      <c r="DN24">
        <v>4.9522030353546145E-2</v>
      </c>
      <c r="DO24">
        <v>3700552900</v>
      </c>
      <c r="DP24">
        <v>2823408100.0000005</v>
      </c>
      <c r="DQ24">
        <v>615</v>
      </c>
      <c r="DR24">
        <v>4.1217559453787606E-2</v>
      </c>
      <c r="DS24">
        <v>-1.1639014733525948</v>
      </c>
      <c r="DT24" s="16">
        <v>-0.44</v>
      </c>
      <c r="DU24">
        <v>0.70833333333333337</v>
      </c>
      <c r="DV24">
        <v>0.26833333333333337</v>
      </c>
      <c r="DW24">
        <v>-2.1269999999999998</v>
      </c>
      <c r="DX24">
        <v>0.38292619047619181</v>
      </c>
      <c r="DY24">
        <v>-2.0206916261904762</v>
      </c>
      <c r="DZ24">
        <v>1113</v>
      </c>
      <c r="EA24">
        <v>-2.0161848199380299</v>
      </c>
      <c r="EB24">
        <v>2</v>
      </c>
      <c r="EC24">
        <v>3.0886516924325379E-2</v>
      </c>
      <c r="ED24">
        <v>0.18957367648535942</v>
      </c>
      <c r="EE24" s="17">
        <v>-3.0350999999999999</v>
      </c>
      <c r="EF24">
        <v>-3.008</v>
      </c>
      <c r="EG24">
        <v>22.162926190476192</v>
      </c>
      <c r="EH24" t="s">
        <v>2802</v>
      </c>
      <c r="EI24">
        <v>0</v>
      </c>
      <c r="EJ24">
        <v>1</v>
      </c>
      <c r="EK24" s="19">
        <v>45470</v>
      </c>
      <c r="EL24" s="20">
        <v>-0.09</v>
      </c>
      <c r="EM24" s="20">
        <v>-4.01</v>
      </c>
      <c r="EN24" s="20">
        <v>0.28999999999999998</v>
      </c>
      <c r="EO24" s="20">
        <v>3.78</v>
      </c>
      <c r="EP24" s="20">
        <v>-2.71</v>
      </c>
    </row>
    <row r="25" spans="1:146" ht="84" x14ac:dyDescent="0.25">
      <c r="A25" s="7"/>
      <c r="B25" s="7"/>
      <c r="C25" s="7" t="str">
        <f>""&amp;CHAR(10)&amp;Basic_Fundamental_Information_Constructure(F25)&amp;CHAR(10)&amp;Basic_Fundamental_Information_Concatenate("")</f>
        <v xml:space="preserve">
市值143.51872亿, 利润6.12亿; PE21.21; 平均PE39.07; 平均PEG2.26, PB2.5; ROIC6.1033%; ROE7.57%; 股利率.5767%; 毛利20.5933%; 净利5.01%; 上一年度营收增29.93%, 利润增59.79%; 当季营收增16.2%, 利润增50.79%; 过往5年营收增17.31%, 利润增18.92%
Income profile:
</v>
      </c>
      <c r="D25" t="s">
        <v>399</v>
      </c>
      <c r="E25" t="s">
        <v>400</v>
      </c>
      <c r="F25">
        <v>17.34</v>
      </c>
      <c r="G25">
        <v>-1.31</v>
      </c>
      <c r="H25" t="s">
        <v>3367</v>
      </c>
      <c r="I25">
        <v>14351872000</v>
      </c>
      <c r="J25">
        <v>21.21</v>
      </c>
      <c r="K25">
        <v>2.5</v>
      </c>
      <c r="L25" t="s">
        <v>172</v>
      </c>
      <c r="M25" t="s">
        <v>3368</v>
      </c>
      <c r="N25" t="s">
        <v>3369</v>
      </c>
      <c r="O25" t="s">
        <v>3370</v>
      </c>
      <c r="P25">
        <v>16.22</v>
      </c>
      <c r="Q25" t="s">
        <v>3371</v>
      </c>
      <c r="R25">
        <v>191504960</v>
      </c>
      <c r="S25" s="5">
        <v>0.50849999999999995</v>
      </c>
      <c r="T25" t="s">
        <v>3372</v>
      </c>
      <c r="U25">
        <v>778247710</v>
      </c>
      <c r="V25">
        <v>827674260</v>
      </c>
      <c r="W25">
        <v>2.61</v>
      </c>
      <c r="X25">
        <v>0.18</v>
      </c>
      <c r="Y25">
        <v>7.1</v>
      </c>
      <c r="Z25" t="s">
        <v>3373</v>
      </c>
      <c r="AA25" t="s">
        <v>3374</v>
      </c>
      <c r="AB25" t="s">
        <v>3375</v>
      </c>
      <c r="AC25" t="s">
        <v>201</v>
      </c>
      <c r="AD25" t="s">
        <v>19</v>
      </c>
      <c r="AE25">
        <v>26475703</v>
      </c>
      <c r="AF25" t="s">
        <v>3376</v>
      </c>
      <c r="AG25" t="s">
        <v>3377</v>
      </c>
      <c r="AH25" t="s">
        <v>3378</v>
      </c>
      <c r="AI25" t="s">
        <v>3379</v>
      </c>
      <c r="AJ25" t="s">
        <v>3380</v>
      </c>
      <c r="AK25" t="s">
        <v>160</v>
      </c>
      <c r="AL25" t="s">
        <v>3381</v>
      </c>
      <c r="AM25" t="s">
        <v>19</v>
      </c>
      <c r="AN25" t="s">
        <v>85</v>
      </c>
      <c r="AO25" t="s">
        <v>2523</v>
      </c>
      <c r="AP25" t="s">
        <v>2548</v>
      </c>
      <c r="AQ25" t="s">
        <v>3382</v>
      </c>
      <c r="AR25" t="s">
        <v>19</v>
      </c>
      <c r="AS25" t="s">
        <v>3383</v>
      </c>
      <c r="AT25" t="s">
        <v>2886</v>
      </c>
      <c r="AU25" t="s">
        <v>3384</v>
      </c>
      <c r="AV25" t="s">
        <v>2789</v>
      </c>
      <c r="AW25" t="s">
        <v>2563</v>
      </c>
      <c r="AX25" t="s">
        <v>2153</v>
      </c>
      <c r="AY25" t="s">
        <v>814</v>
      </c>
      <c r="AZ25" t="s">
        <v>401</v>
      </c>
      <c r="BA25" t="s">
        <v>407</v>
      </c>
      <c r="BB25" t="s">
        <v>408</v>
      </c>
      <c r="BC25" t="s">
        <v>1577</v>
      </c>
      <c r="BD25" t="s">
        <v>527</v>
      </c>
      <c r="BE25" t="s">
        <v>402</v>
      </c>
      <c r="BF25" t="s">
        <v>410</v>
      </c>
      <c r="BG25" t="s">
        <v>411</v>
      </c>
      <c r="BH25" t="s">
        <v>3371</v>
      </c>
      <c r="BI25" t="s">
        <v>3385</v>
      </c>
      <c r="BJ25" t="s">
        <v>2153</v>
      </c>
      <c r="BK25" t="s">
        <v>3372</v>
      </c>
      <c r="BL25" t="s">
        <v>620</v>
      </c>
      <c r="BM25" t="s">
        <v>1577</v>
      </c>
      <c r="BN25">
        <v>6.5</v>
      </c>
      <c r="BO25">
        <v>6.9</v>
      </c>
      <c r="BP25">
        <v>4.91</v>
      </c>
      <c r="BQ25">
        <v>8.9700000000000006</v>
      </c>
      <c r="BR25">
        <v>8.4600000000000009</v>
      </c>
      <c r="BS25">
        <v>5.28</v>
      </c>
      <c r="BT25" t="s">
        <v>2003</v>
      </c>
      <c r="BU25" t="s">
        <v>2920</v>
      </c>
      <c r="BV25">
        <v>21.57</v>
      </c>
      <c r="BW25">
        <v>19.84</v>
      </c>
      <c r="BX25">
        <v>20.37</v>
      </c>
      <c r="BY25">
        <v>6.36</v>
      </c>
      <c r="BZ25">
        <v>5.29</v>
      </c>
      <c r="CA25">
        <v>3.38</v>
      </c>
      <c r="CB25">
        <v>-0.4</v>
      </c>
      <c r="CC25">
        <v>0.7</v>
      </c>
      <c r="CD25" t="s">
        <v>3386</v>
      </c>
      <c r="CE25" t="s">
        <v>681</v>
      </c>
      <c r="CF25" s="14">
        <v>0.16203522504892368</v>
      </c>
      <c r="CG25" s="15">
        <v>0.50791307086614168</v>
      </c>
      <c r="CH25" s="14">
        <v>0.29929250478744507</v>
      </c>
      <c r="CI25" s="14">
        <v>8.4953941404819489E-2</v>
      </c>
      <c r="CJ25" s="14">
        <v>0.23592667281627655</v>
      </c>
      <c r="CK25" s="14">
        <v>0.14544463157653809</v>
      </c>
      <c r="CL25" s="14">
        <v>0.10001995414495468</v>
      </c>
      <c r="CM25" s="15">
        <v>0.59791123867034912</v>
      </c>
      <c r="CN25" s="15">
        <v>0.74090909957885742</v>
      </c>
      <c r="CO25" s="15">
        <v>-0.31677019596099854</v>
      </c>
      <c r="CP25" s="15">
        <v>1.2578615918755531E-2</v>
      </c>
      <c r="CQ25" s="15">
        <v>-8.8825218379497528E-2</v>
      </c>
      <c r="CR25">
        <v>39.070431941923779</v>
      </c>
      <c r="CS25">
        <v>2.2567427301534111</v>
      </c>
      <c r="CT25">
        <v>0.57670126874279126</v>
      </c>
      <c r="CU25" s="14">
        <v>0.17312754094600677</v>
      </c>
      <c r="CV25" s="15">
        <v>0.1891607079654932</v>
      </c>
      <c r="CW25">
        <v>0.06</v>
      </c>
      <c r="CX25">
        <v>26.553181482392393</v>
      </c>
      <c r="CY25">
        <v>677315146.28203404</v>
      </c>
      <c r="CZ25">
        <v>0.17312754094600677</v>
      </c>
      <c r="DA25">
        <v>8.093023048253265</v>
      </c>
      <c r="DB25">
        <v>2222268723.6608963</v>
      </c>
      <c r="DC25">
        <v>0.16447116389870642</v>
      </c>
      <c r="DD25">
        <v>3.619233582894068</v>
      </c>
      <c r="DE25">
        <v>4969248761.6725349</v>
      </c>
      <c r="DF25">
        <v>0.15235223603248596</v>
      </c>
      <c r="DG25">
        <v>1.9426609096780909</v>
      </c>
      <c r="DH25">
        <v>9257854477.022543</v>
      </c>
      <c r="DI25">
        <v>0.13850203275680542</v>
      </c>
      <c r="DJ25">
        <v>0.77393228669472791</v>
      </c>
      <c r="DK25">
        <v>23238301734.133499</v>
      </c>
      <c r="DL25">
        <v>0.12118927866220473</v>
      </c>
      <c r="DM25">
        <v>612000000</v>
      </c>
      <c r="DN25">
        <v>0.17312754094600677</v>
      </c>
      <c r="DO25">
        <v>17984872000</v>
      </c>
      <c r="DP25">
        <v>1276750300</v>
      </c>
      <c r="DQ25">
        <v>638</v>
      </c>
      <c r="DR25">
        <v>-1.1092315897083094E-2</v>
      </c>
      <c r="DS25">
        <v>0.31875236290064846</v>
      </c>
      <c r="DT25" s="16">
        <v>-0.14000000000000001</v>
      </c>
      <c r="DU25">
        <v>0.55333333333333334</v>
      </c>
      <c r="DV25">
        <v>0.41333333333333333</v>
      </c>
      <c r="DW25">
        <v>6.9999999999999993E-3</v>
      </c>
      <c r="DX25">
        <v>0.38147801608579202</v>
      </c>
      <c r="DY25">
        <v>8.5034611260053608E-4</v>
      </c>
      <c r="DZ25">
        <v>844</v>
      </c>
      <c r="EA25">
        <v>7.098975570164162E-4</v>
      </c>
      <c r="EB25">
        <v>0</v>
      </c>
      <c r="EC25">
        <v>5.4745329400481782E-2</v>
      </c>
      <c r="ED25">
        <v>0.45066038419510596</v>
      </c>
      <c r="EE25" s="17">
        <v>1.01441</v>
      </c>
      <c r="EF25">
        <v>1.0580099999999999</v>
      </c>
      <c r="EG25">
        <v>26.121478016085792</v>
      </c>
      <c r="EH25" t="s">
        <v>1840</v>
      </c>
      <c r="EI25">
        <v>0</v>
      </c>
      <c r="EJ25">
        <v>1</v>
      </c>
      <c r="EK25" s="19">
        <v>45470</v>
      </c>
      <c r="EL25" s="20">
        <v>-0.11</v>
      </c>
      <c r="EM25" s="20">
        <v>-2.4900000000000002</v>
      </c>
      <c r="EN25" s="20">
        <v>-0.51</v>
      </c>
      <c r="EO25" s="20">
        <v>2.0499999999999998</v>
      </c>
      <c r="EP25" s="20">
        <v>-4.3600000000000003</v>
      </c>
    </row>
    <row r="26" spans="1:146" ht="84" x14ac:dyDescent="0.25">
      <c r="A26" s="7"/>
      <c r="B26" s="7"/>
      <c r="C26" s="7" t="str">
        <f>""&amp;CHAR(10)&amp;Basic_Fundamental_Information_Constructure(F26)&amp;CHAR(10)&amp;Basic_Fundamental_Information_Concatenate("")</f>
        <v xml:space="preserve">
市值49.110047亿, 利润1352.83万; PE947.8; 平均PE43.1; 平均PEG9.61, PB1.7; ROIC2.0567%; ROE1.1967%; 股利率.0877%; 毛利14.1467%; 净利5.56%; 上一年度营收增36.55%, 利润增-76.84%; 当季营收增43.24%, 利润增-329.84%; 过往5年营收增4.49%, 利润增41.3%
Income profile:
</v>
      </c>
      <c r="D26" t="s">
        <v>1890</v>
      </c>
      <c r="E26" t="s">
        <v>1891</v>
      </c>
      <c r="F26">
        <v>13.69</v>
      </c>
      <c r="G26">
        <v>0.66</v>
      </c>
      <c r="H26" t="s">
        <v>3387</v>
      </c>
      <c r="I26">
        <v>4911004700</v>
      </c>
      <c r="J26">
        <v>947.8</v>
      </c>
      <c r="K26">
        <v>1.7</v>
      </c>
      <c r="L26" t="s">
        <v>172</v>
      </c>
      <c r="M26" t="s">
        <v>2747</v>
      </c>
      <c r="N26" t="s">
        <v>2521</v>
      </c>
      <c r="O26" t="s">
        <v>1888</v>
      </c>
      <c r="P26">
        <v>43.27</v>
      </c>
      <c r="Q26" t="s">
        <v>1161</v>
      </c>
      <c r="R26">
        <v>-5816170</v>
      </c>
      <c r="S26" s="5">
        <v>-3.298</v>
      </c>
      <c r="T26" t="s">
        <v>3388</v>
      </c>
      <c r="U26">
        <v>358729340</v>
      </c>
      <c r="V26">
        <v>358729340</v>
      </c>
      <c r="W26">
        <v>1.55</v>
      </c>
      <c r="X26">
        <v>0.1</v>
      </c>
      <c r="Y26">
        <v>2.59</v>
      </c>
      <c r="Z26" t="s">
        <v>582</v>
      </c>
      <c r="AA26" t="s">
        <v>813</v>
      </c>
      <c r="AB26" t="s">
        <v>3389</v>
      </c>
      <c r="AC26" t="s">
        <v>3390</v>
      </c>
      <c r="AD26" t="s">
        <v>19</v>
      </c>
      <c r="AE26">
        <v>5980640</v>
      </c>
      <c r="AF26" t="s">
        <v>3391</v>
      </c>
      <c r="AG26" t="s">
        <v>3392</v>
      </c>
      <c r="AH26" t="s">
        <v>3393</v>
      </c>
      <c r="AI26" t="s">
        <v>714</v>
      </c>
      <c r="AJ26" t="s">
        <v>3394</v>
      </c>
      <c r="AK26" t="s">
        <v>3395</v>
      </c>
      <c r="AL26" t="s">
        <v>3396</v>
      </c>
      <c r="AM26" t="s">
        <v>19</v>
      </c>
      <c r="AN26" t="s">
        <v>3397</v>
      </c>
      <c r="AO26" t="s">
        <v>125</v>
      </c>
      <c r="AP26" t="s">
        <v>129</v>
      </c>
      <c r="AQ26" t="s">
        <v>1833</v>
      </c>
      <c r="AR26" t="s">
        <v>3398</v>
      </c>
      <c r="AS26" t="s">
        <v>2771</v>
      </c>
      <c r="AT26" t="s">
        <v>1920</v>
      </c>
      <c r="AU26" t="s">
        <v>3399</v>
      </c>
      <c r="AV26" t="s">
        <v>3400</v>
      </c>
      <c r="AW26" t="s">
        <v>3401</v>
      </c>
      <c r="AX26" t="s">
        <v>2154</v>
      </c>
      <c r="AY26" t="s">
        <v>1892</v>
      </c>
      <c r="AZ26" t="s">
        <v>1894</v>
      </c>
      <c r="BA26" t="s">
        <v>807</v>
      </c>
      <c r="BB26" t="s">
        <v>1895</v>
      </c>
      <c r="BC26" t="s">
        <v>3402</v>
      </c>
      <c r="BD26" t="s">
        <v>1893</v>
      </c>
      <c r="BE26" t="s">
        <v>186</v>
      </c>
      <c r="BF26" t="s">
        <v>802</v>
      </c>
      <c r="BG26" t="s">
        <v>1868</v>
      </c>
      <c r="BH26" t="s">
        <v>1161</v>
      </c>
      <c r="BI26" t="s">
        <v>803</v>
      </c>
      <c r="BJ26" t="s">
        <v>2154</v>
      </c>
      <c r="BK26" t="s">
        <v>3388</v>
      </c>
      <c r="BL26" t="s">
        <v>3403</v>
      </c>
      <c r="BM26" t="s">
        <v>3402</v>
      </c>
      <c r="BN26">
        <v>1.94</v>
      </c>
      <c r="BO26">
        <v>2.09</v>
      </c>
      <c r="BP26">
        <v>2.14</v>
      </c>
      <c r="BQ26">
        <v>0.85</v>
      </c>
      <c r="BR26">
        <v>1.34</v>
      </c>
      <c r="BS26">
        <v>1.4</v>
      </c>
      <c r="BT26" t="s">
        <v>3404</v>
      </c>
      <c r="BU26" t="s">
        <v>3125</v>
      </c>
      <c r="BV26">
        <v>11.01</v>
      </c>
      <c r="BW26">
        <v>13.43</v>
      </c>
      <c r="BX26">
        <v>18</v>
      </c>
      <c r="BY26">
        <v>3.23</v>
      </c>
      <c r="BZ26">
        <v>6.24</v>
      </c>
      <c r="CA26">
        <v>7.21</v>
      </c>
      <c r="CB26">
        <v>-3.05</v>
      </c>
      <c r="CC26">
        <v>-11.38</v>
      </c>
      <c r="CD26" t="s">
        <v>3405</v>
      </c>
      <c r="CE26" t="s">
        <v>3406</v>
      </c>
      <c r="CF26" s="14">
        <v>0.43235294117647061</v>
      </c>
      <c r="CG26" s="15">
        <v>-3.298427188302707</v>
      </c>
      <c r="CH26" s="14">
        <v>0.36548551917076111</v>
      </c>
      <c r="CI26" s="14">
        <v>0.20189274847507477</v>
      </c>
      <c r="CJ26" s="14">
        <v>0.28861787915229797</v>
      </c>
      <c r="CK26" s="14">
        <v>-0.4125373363494873</v>
      </c>
      <c r="CL26" s="14">
        <v>-0.21911416947841644</v>
      </c>
      <c r="CM26" s="15">
        <v>-0.76843273639678955</v>
      </c>
      <c r="CN26" s="15">
        <v>4.8309300094842911E-2</v>
      </c>
      <c r="CO26" s="15">
        <v>-0.53169411420822144</v>
      </c>
      <c r="CP26" s="15">
        <v>-0.81464177370071411</v>
      </c>
      <c r="CQ26" s="15">
        <v>4.1317071914672852</v>
      </c>
      <c r="CR26">
        <v>43.099322150962152</v>
      </c>
      <c r="CS26">
        <v>9.6056054569810989</v>
      </c>
      <c r="CT26">
        <v>8.7655222790357923E-2</v>
      </c>
      <c r="CU26" s="14">
        <v>4.4868928194046018E-2</v>
      </c>
      <c r="CV26" s="15">
        <v>0.41304957345128057</v>
      </c>
      <c r="CW26">
        <v>0.06</v>
      </c>
      <c r="CX26">
        <v>268.23802082859743</v>
      </c>
      <c r="CY26">
        <v>13335188.98234671</v>
      </c>
      <c r="CZ26">
        <v>4.4868928194046018E-2</v>
      </c>
      <c r="DA26">
        <v>91.089968421996033</v>
      </c>
      <c r="DB26">
        <v>39268920.189198785</v>
      </c>
      <c r="DC26">
        <v>4.2625481784343715E-2</v>
      </c>
      <c r="DD26">
        <v>47.161801506001204</v>
      </c>
      <c r="DE26">
        <v>75845378.797602475</v>
      </c>
      <c r="DF26">
        <v>3.9484656810760493E-2</v>
      </c>
      <c r="DG26">
        <v>29.941541386495825</v>
      </c>
      <c r="DH26">
        <v>119466284.44497162</v>
      </c>
      <c r="DI26">
        <v>3.5895142555236813E-2</v>
      </c>
      <c r="DJ26">
        <v>17.400094419578586</v>
      </c>
      <c r="DK26">
        <v>205573867.23000503</v>
      </c>
      <c r="DL26">
        <v>3.1408249735832214E-2</v>
      </c>
      <c r="DM26">
        <v>13528300</v>
      </c>
      <c r="DN26">
        <v>4.4868928194046018E-2</v>
      </c>
      <c r="DO26">
        <v>3577004700</v>
      </c>
      <c r="DP26">
        <v>546355800</v>
      </c>
      <c r="DQ26">
        <v>700</v>
      </c>
      <c r="DR26">
        <v>0.38748401298242457</v>
      </c>
      <c r="DS26">
        <v>-3.7114767617539877</v>
      </c>
      <c r="DT26" s="16">
        <v>-0.20666666666666664</v>
      </c>
      <c r="DU26">
        <v>-1.1683333333333334</v>
      </c>
      <c r="DV26">
        <v>-1.375</v>
      </c>
      <c r="DW26">
        <v>-8.2680140597539538</v>
      </c>
      <c r="DX26">
        <v>0.3772036462282955</v>
      </c>
      <c r="DY26">
        <v>-8.0340923656411505</v>
      </c>
      <c r="DZ26">
        <v>3922</v>
      </c>
      <c r="EA26">
        <v>-8.0079259746343805</v>
      </c>
      <c r="EB26">
        <v>8</v>
      </c>
      <c r="EC26">
        <v>1.8142926363369106E-2</v>
      </c>
      <c r="ED26">
        <v>0.14262898038950483</v>
      </c>
      <c r="EE26" s="17">
        <v>2.0752100000000002</v>
      </c>
      <c r="EF26">
        <v>2.0983100000000001</v>
      </c>
      <c r="EG26">
        <v>25.127203646228295</v>
      </c>
      <c r="EH26" t="s">
        <v>1836</v>
      </c>
      <c r="EI26">
        <v>0</v>
      </c>
      <c r="EJ26">
        <v>0</v>
      </c>
      <c r="EK26" s="19">
        <v>45470</v>
      </c>
      <c r="EL26" s="20">
        <v>0.21</v>
      </c>
      <c r="EM26" s="20">
        <v>-4.12</v>
      </c>
      <c r="EN26" s="20">
        <v>0.66</v>
      </c>
      <c r="EO26" s="20">
        <v>3.55</v>
      </c>
      <c r="EP26" s="20">
        <v>-2.31</v>
      </c>
    </row>
    <row r="27" spans="1:146" ht="84" x14ac:dyDescent="0.25">
      <c r="A27" s="7"/>
      <c r="B27" s="7"/>
      <c r="C27" s="7" t="str">
        <f>""&amp;CHAR(10)&amp;Basic_Fundamental_Information_Constructure(F27)&amp;CHAR(10)&amp;Basic_Fundamental_Information_Concatenate("")</f>
        <v xml:space="preserve">
市值75.243589亿, 利润7324.75万; PE97.3; 平均PE-358.57; 平均PEG-28.17, PB1.35; ROIC1.53%; ROE.0733%; 股利率.3664%; 毛利13.82%; 净利.1833%; 上一年度营收增9.98%, 利润增-17.74%; 当季营收增17.43%, 利润增11.64%; 过往5年营收增12.73%, 利润增-6.1%
Income profile:
</v>
      </c>
      <c r="D27" t="s">
        <v>416</v>
      </c>
      <c r="E27" t="s">
        <v>417</v>
      </c>
      <c r="F27">
        <v>2.3199999999999998</v>
      </c>
      <c r="G27">
        <v>1.31</v>
      </c>
      <c r="H27" t="s">
        <v>3407</v>
      </c>
      <c r="I27">
        <v>7524358900</v>
      </c>
      <c r="J27">
        <v>97.3</v>
      </c>
      <c r="K27">
        <v>1.35</v>
      </c>
      <c r="L27" t="s">
        <v>172</v>
      </c>
      <c r="M27" t="s">
        <v>3408</v>
      </c>
      <c r="N27" t="s">
        <v>3409</v>
      </c>
      <c r="O27" t="s">
        <v>3410</v>
      </c>
      <c r="P27">
        <v>17.38</v>
      </c>
      <c r="Q27" t="s">
        <v>3411</v>
      </c>
      <c r="R27">
        <v>39172577</v>
      </c>
      <c r="S27" s="5">
        <v>0.1164</v>
      </c>
      <c r="T27" t="s">
        <v>3412</v>
      </c>
      <c r="U27">
        <v>3243153100</v>
      </c>
      <c r="V27">
        <v>3243258100</v>
      </c>
      <c r="W27">
        <v>2.21</v>
      </c>
      <c r="X27">
        <v>0.13</v>
      </c>
      <c r="Y27">
        <v>2.29</v>
      </c>
      <c r="Z27" t="s">
        <v>3413</v>
      </c>
      <c r="AA27" t="s">
        <v>3414</v>
      </c>
      <c r="AB27" t="s">
        <v>3415</v>
      </c>
      <c r="AC27" t="s">
        <v>3416</v>
      </c>
      <c r="AD27" t="s">
        <v>19</v>
      </c>
      <c r="AE27">
        <v>2199566</v>
      </c>
      <c r="AF27" t="s">
        <v>3417</v>
      </c>
      <c r="AG27" t="s">
        <v>3418</v>
      </c>
      <c r="AH27" t="s">
        <v>3419</v>
      </c>
      <c r="AI27" t="s">
        <v>2532</v>
      </c>
      <c r="AJ27" t="s">
        <v>3420</v>
      </c>
      <c r="AK27" t="s">
        <v>37</v>
      </c>
      <c r="AL27" t="s">
        <v>3421</v>
      </c>
      <c r="AM27" t="s">
        <v>19</v>
      </c>
      <c r="AN27" t="s">
        <v>95</v>
      </c>
      <c r="AO27" t="s">
        <v>3422</v>
      </c>
      <c r="AP27" t="s">
        <v>3423</v>
      </c>
      <c r="AQ27" t="s">
        <v>756</v>
      </c>
      <c r="AR27" t="s">
        <v>19</v>
      </c>
      <c r="AS27" t="s">
        <v>3424</v>
      </c>
      <c r="AT27" t="s">
        <v>3425</v>
      </c>
      <c r="AU27" t="s">
        <v>3426</v>
      </c>
      <c r="AV27" t="s">
        <v>3427</v>
      </c>
      <c r="AW27" t="s">
        <v>2689</v>
      </c>
      <c r="AX27" t="s">
        <v>2155</v>
      </c>
      <c r="AY27" t="s">
        <v>1587</v>
      </c>
      <c r="AZ27" t="s">
        <v>418</v>
      </c>
      <c r="BA27" t="s">
        <v>420</v>
      </c>
      <c r="BB27" t="s">
        <v>421</v>
      </c>
      <c r="BC27" t="s">
        <v>3428</v>
      </c>
      <c r="BD27" t="s">
        <v>1276</v>
      </c>
      <c r="BE27" t="s">
        <v>76</v>
      </c>
      <c r="BF27" t="s">
        <v>250</v>
      </c>
      <c r="BG27" t="s">
        <v>422</v>
      </c>
      <c r="BH27" t="s">
        <v>3411</v>
      </c>
      <c r="BI27" t="s">
        <v>2536</v>
      </c>
      <c r="BJ27" t="s">
        <v>2155</v>
      </c>
      <c r="BK27" t="s">
        <v>3412</v>
      </c>
      <c r="BL27" t="s">
        <v>3429</v>
      </c>
      <c r="BM27" t="s">
        <v>3428</v>
      </c>
      <c r="BN27">
        <v>1.21</v>
      </c>
      <c r="BO27">
        <v>1.85</v>
      </c>
      <c r="BP27" t="s">
        <v>19</v>
      </c>
      <c r="BQ27">
        <v>1.1399999999999999</v>
      </c>
      <c r="BR27">
        <v>1.65</v>
      </c>
      <c r="BS27">
        <v>-2.57</v>
      </c>
      <c r="BT27" t="s">
        <v>3430</v>
      </c>
      <c r="BU27" t="s">
        <v>3146</v>
      </c>
      <c r="BV27">
        <v>13.79</v>
      </c>
      <c r="BW27">
        <v>15.19</v>
      </c>
      <c r="BX27">
        <v>12.48</v>
      </c>
      <c r="BY27">
        <v>1.24</v>
      </c>
      <c r="BZ27">
        <v>1.83</v>
      </c>
      <c r="CA27">
        <v>-2.52</v>
      </c>
      <c r="CB27">
        <v>1.24</v>
      </c>
      <c r="CC27">
        <v>-10.130000000000001</v>
      </c>
      <c r="CD27" t="s">
        <v>720</v>
      </c>
      <c r="CE27" t="s">
        <v>724</v>
      </c>
      <c r="CF27" s="14">
        <v>0.17428571428571446</v>
      </c>
      <c r="CG27" s="15">
        <v>0.11643814963334102</v>
      </c>
      <c r="CH27" s="14">
        <v>9.983941912651062E-2</v>
      </c>
      <c r="CI27" s="14">
        <v>0.21277013421058655</v>
      </c>
      <c r="CJ27" s="14">
        <v>0.37832033634185791</v>
      </c>
      <c r="CK27" s="14">
        <v>0.16069759428501129</v>
      </c>
      <c r="CL27" s="14">
        <v>-0.21510632336139679</v>
      </c>
      <c r="CM27" s="15">
        <v>-0.17739547789096832</v>
      </c>
      <c r="CN27" s="15">
        <v>1.6645029783248901</v>
      </c>
      <c r="CO27" s="15">
        <v>0.54729729890823364</v>
      </c>
      <c r="CP27" s="15">
        <v>-3.9019608497619629</v>
      </c>
      <c r="CQ27" s="15">
        <v>1.5626723766326904</v>
      </c>
      <c r="CR27">
        <v>-358.567746485697</v>
      </c>
      <c r="CS27">
        <v>-28.166207871726918</v>
      </c>
      <c r="CT27">
        <v>0.36637931034482762</v>
      </c>
      <c r="CU27" s="14">
        <v>0.12730423212051392</v>
      </c>
      <c r="CV27" s="15">
        <v>-6.0976734757423399E-2</v>
      </c>
      <c r="CW27">
        <v>0.06</v>
      </c>
      <c r="CX27">
        <v>114.74392728943626</v>
      </c>
      <c r="CY27">
        <v>77898317.681365415</v>
      </c>
      <c r="CZ27">
        <v>0.12730423212051392</v>
      </c>
      <c r="DA27">
        <v>36.33618043041723</v>
      </c>
      <c r="DB27">
        <v>245990602.04241082</v>
      </c>
      <c r="DC27">
        <v>0.12093902051448822</v>
      </c>
      <c r="DD27">
        <v>17.140618796652682</v>
      </c>
      <c r="DE27">
        <v>521472357.91426235</v>
      </c>
      <c r="DF27">
        <v>0.11202772426605224</v>
      </c>
      <c r="DG27">
        <v>9.801806144399885</v>
      </c>
      <c r="DH27">
        <v>911909373.46856201</v>
      </c>
      <c r="DI27">
        <v>0.10184338569641115</v>
      </c>
      <c r="DJ27">
        <v>4.5351674109095566</v>
      </c>
      <c r="DK27">
        <v>1970899437.6918392</v>
      </c>
      <c r="DL27">
        <v>8.9112962484359737E-2</v>
      </c>
      <c r="DM27">
        <v>73247500</v>
      </c>
      <c r="DN27">
        <v>0.12730423212051392</v>
      </c>
      <c r="DO27">
        <v>8938358900</v>
      </c>
      <c r="DP27">
        <v>1138854500</v>
      </c>
      <c r="DQ27">
        <v>748</v>
      </c>
      <c r="DR27">
        <v>4.6981482165200539E-2</v>
      </c>
      <c r="DS27">
        <v>0.17741488439076442</v>
      </c>
      <c r="DT27" s="16">
        <v>-0.14000000000000001</v>
      </c>
      <c r="DU27">
        <v>-0.16000000000000006</v>
      </c>
      <c r="DV27">
        <v>-0.30000000000000004</v>
      </c>
      <c r="DW27">
        <v>-2.1013000000000002</v>
      </c>
      <c r="DX27">
        <v>0.35557830092118864</v>
      </c>
      <c r="DY27">
        <v>-2.0157600818833163</v>
      </c>
      <c r="DZ27">
        <v>2445</v>
      </c>
      <c r="EA27">
        <v>-2.008219299064391</v>
      </c>
      <c r="EB27">
        <v>2</v>
      </c>
      <c r="EC27">
        <v>4.6866451979261224E-2</v>
      </c>
      <c r="ED27">
        <v>0.30124028673511982</v>
      </c>
      <c r="EE27" s="17">
        <v>-2.1020099999999999</v>
      </c>
      <c r="EF27">
        <v>-2.1356099999999998</v>
      </c>
      <c r="EG27">
        <v>20.155578300921189</v>
      </c>
      <c r="EH27" t="s">
        <v>2497</v>
      </c>
      <c r="EI27">
        <v>0</v>
      </c>
      <c r="EJ27">
        <v>0</v>
      </c>
      <c r="EK27" s="19">
        <v>45470</v>
      </c>
      <c r="EL27" s="20">
        <v>-0.42</v>
      </c>
      <c r="EM27" s="20">
        <v>-4.18</v>
      </c>
      <c r="EN27" s="20">
        <v>0.87</v>
      </c>
      <c r="EO27" s="20">
        <v>3.03</v>
      </c>
      <c r="EP27" s="20">
        <v>-3.36</v>
      </c>
    </row>
    <row r="28" spans="1:146" ht="168" x14ac:dyDescent="0.25">
      <c r="A28" s="7" t="s">
        <v>1877</v>
      </c>
      <c r="B28" s="7"/>
      <c r="C28" s="7" t="str">
        <f>"公司是以生产“天”牌内燃机曲轴、连杆为主导产品的曲轴、连杆专业生产企业，是中国内燃机工业协会副会长单位、中国曲轴连杆及高强度螺栓行业会长单位。公司产品有曲轴、连杆、铸锻件（毛坯及成品）、空气悬架等。国内主流商用车发动机客户配套率达95%以上"&amp;CHAR(10)&amp;Basic_Fundamental_Information_Constructure(F28)&amp;CHAR(10)&amp;Basic_Fundamental_Information_Concatenate("发动机及船级曲轴 9.33亿 59.38% 62.43% 23.99%
连杆 3.48亿 22.14% 23.07% 23.78%
曲轴毛坯及铸锻件 1.19亿 7.58% 6.54% 19.68%
空气悬架 9775.76万 6.22% 6.56% 24.07%
其他 7356.10万 4.68% 1.40% 6.82%")</f>
        <v>公司是以生产“天”牌内燃机曲轴、连杆为主导产品的曲轴、连杆专业生产企业，是中国内燃机工业协会副会长单位、中国曲轴连杆及高强度螺栓行业会长单位。公司产品有曲轴、连杆、铸锻件（毛坯及成品）、空气悬架等。国内主流商用车发动机客户配套率达95%以上
市值48.199039亿, 利润3.91亿; PE12.74; 平均PE12.36; 平均PEG2.09, PB.791; ROIC5.5933%; ROE6.44%; 股利率5.4374%; 毛利23.4033%; 净利9.2033%; 上一年度营收增27.74%, 利润增91.67%; 当季营收增-2.23%, 利润增-11.88%; 过往5年营收增5.9%, 利润增16.58%
Income profile:
发动机及船级曲轴 9.33亿 59.38% 62.43% 23.99%
连杆 3.48亿 22.14% 23.07% 23.78%
曲轴毛坯及铸锻件 1.19亿 7.58% 6.54% 19.68%
空气悬架 9775.76万 6.22% 6.56% 24.07%
其他 7356.10万 4.68% 1.40% 6.82%</v>
      </c>
      <c r="D28" t="s">
        <v>433</v>
      </c>
      <c r="E28" t="s">
        <v>434</v>
      </c>
      <c r="F28">
        <v>4.2300000000000004</v>
      </c>
      <c r="G28">
        <v>0.24</v>
      </c>
      <c r="H28" t="s">
        <v>3431</v>
      </c>
      <c r="I28">
        <v>4819903900</v>
      </c>
      <c r="J28">
        <v>12.74</v>
      </c>
      <c r="K28">
        <v>0.79100000000000004</v>
      </c>
      <c r="L28" t="s">
        <v>172</v>
      </c>
      <c r="M28" t="s">
        <v>2567</v>
      </c>
      <c r="N28" t="s">
        <v>3432</v>
      </c>
      <c r="O28" t="s">
        <v>2806</v>
      </c>
      <c r="P28">
        <v>-2.27</v>
      </c>
      <c r="Q28" t="s">
        <v>3433</v>
      </c>
      <c r="R28">
        <v>92526109</v>
      </c>
      <c r="S28" s="5">
        <v>-0.11799999999999999</v>
      </c>
      <c r="T28" t="s">
        <v>2519</v>
      </c>
      <c r="U28">
        <v>1003824930</v>
      </c>
      <c r="V28">
        <v>1139457180</v>
      </c>
      <c r="W28">
        <v>1.39</v>
      </c>
      <c r="X28">
        <v>0.11</v>
      </c>
      <c r="Y28">
        <v>9.57</v>
      </c>
      <c r="Z28" t="s">
        <v>984</v>
      </c>
      <c r="AA28" t="s">
        <v>2500</v>
      </c>
      <c r="AB28" t="s">
        <v>3434</v>
      </c>
      <c r="AC28" t="s">
        <v>3435</v>
      </c>
      <c r="AD28" t="s">
        <v>19</v>
      </c>
      <c r="AE28">
        <v>-5033737</v>
      </c>
      <c r="AF28" t="s">
        <v>3436</v>
      </c>
      <c r="AG28" t="s">
        <v>3437</v>
      </c>
      <c r="AH28" t="s">
        <v>3438</v>
      </c>
      <c r="AI28" t="s">
        <v>2315</v>
      </c>
      <c r="AJ28" t="s">
        <v>3439</v>
      </c>
      <c r="AK28" t="s">
        <v>704</v>
      </c>
      <c r="AL28" t="s">
        <v>3440</v>
      </c>
      <c r="AM28" t="s">
        <v>19</v>
      </c>
      <c r="AN28" t="s">
        <v>546</v>
      </c>
      <c r="AO28" t="s">
        <v>1473</v>
      </c>
      <c r="AP28" t="s">
        <v>1870</v>
      </c>
      <c r="AQ28" t="s">
        <v>2613</v>
      </c>
      <c r="AR28" t="s">
        <v>19</v>
      </c>
      <c r="AS28" t="s">
        <v>2310</v>
      </c>
      <c r="AT28" t="s">
        <v>19</v>
      </c>
      <c r="AU28" t="s">
        <v>3441</v>
      </c>
      <c r="AV28" t="s">
        <v>2679</v>
      </c>
      <c r="AW28" t="s">
        <v>3442</v>
      </c>
      <c r="AX28" t="s">
        <v>2156</v>
      </c>
      <c r="AY28" t="s">
        <v>1588</v>
      </c>
      <c r="AZ28" t="s">
        <v>435</v>
      </c>
      <c r="BA28" t="s">
        <v>442</v>
      </c>
      <c r="BB28" t="s">
        <v>443</v>
      </c>
      <c r="BC28" t="s">
        <v>415</v>
      </c>
      <c r="BD28" t="s">
        <v>1205</v>
      </c>
      <c r="BE28" t="s">
        <v>436</v>
      </c>
      <c r="BF28" t="s">
        <v>444</v>
      </c>
      <c r="BG28" t="s">
        <v>214</v>
      </c>
      <c r="BH28" t="s">
        <v>3433</v>
      </c>
      <c r="BI28" t="s">
        <v>2647</v>
      </c>
      <c r="BJ28" t="s">
        <v>2156</v>
      </c>
      <c r="BK28" t="s">
        <v>2519</v>
      </c>
      <c r="BL28" t="s">
        <v>414</v>
      </c>
      <c r="BM28" t="s">
        <v>415</v>
      </c>
      <c r="BN28">
        <v>4.76</v>
      </c>
      <c r="BO28">
        <v>3.08</v>
      </c>
      <c r="BP28">
        <v>8.94</v>
      </c>
      <c r="BQ28">
        <v>5.38</v>
      </c>
      <c r="BR28">
        <v>3.65</v>
      </c>
      <c r="BS28">
        <v>10.29</v>
      </c>
      <c r="BT28" t="s">
        <v>2046</v>
      </c>
      <c r="BU28" t="s">
        <v>2920</v>
      </c>
      <c r="BV28">
        <v>24.91</v>
      </c>
      <c r="BW28">
        <v>21.17</v>
      </c>
      <c r="BX28">
        <v>24.13</v>
      </c>
      <c r="BY28">
        <v>9.7200000000000006</v>
      </c>
      <c r="BZ28">
        <v>6.45</v>
      </c>
      <c r="CA28">
        <v>11.44</v>
      </c>
      <c r="CB28">
        <v>-1.4</v>
      </c>
      <c r="CC28">
        <v>-12.06</v>
      </c>
      <c r="CD28" t="s">
        <v>3443</v>
      </c>
      <c r="CE28" t="s">
        <v>655</v>
      </c>
      <c r="CF28" s="14">
        <v>-2.2335025380710537E-2</v>
      </c>
      <c r="CG28" s="15">
        <v>-0.1187989619047619</v>
      </c>
      <c r="CH28" s="14">
        <v>0.27742350101470947</v>
      </c>
      <c r="CI28" s="14">
        <v>-0.33573395013809204</v>
      </c>
      <c r="CJ28" s="14">
        <v>6.6169753670692444E-2</v>
      </c>
      <c r="CK28" s="14">
        <v>0.22897590696811676</v>
      </c>
      <c r="CL28" s="14">
        <v>5.8149818331003189E-2</v>
      </c>
      <c r="CM28" s="15">
        <v>0.91666668653488159</v>
      </c>
      <c r="CN28" s="15">
        <v>-0.62292051315307617</v>
      </c>
      <c r="CO28" s="15">
        <v>6.4960628747940063E-2</v>
      </c>
      <c r="CP28" s="15">
        <v>0.43502825498580933</v>
      </c>
      <c r="CQ28" s="15">
        <v>3.5087719559669495E-2</v>
      </c>
      <c r="CR28">
        <v>12.358727948717949</v>
      </c>
      <c r="CS28">
        <v>2.0948059559415513</v>
      </c>
      <c r="CT28">
        <v>5.4373522458628836</v>
      </c>
      <c r="CU28" s="14">
        <v>5.8997005969285962E-2</v>
      </c>
      <c r="CV28" s="15">
        <v>0.16576455533504486</v>
      </c>
      <c r="CW28">
        <v>0.06</v>
      </c>
      <c r="CX28">
        <v>2.6058004451480499</v>
      </c>
      <c r="CY28">
        <v>390630027.67357624</v>
      </c>
      <c r="CZ28">
        <v>5.8997005969285962E-2</v>
      </c>
      <c r="DA28">
        <v>0.87428263742265255</v>
      </c>
      <c r="DB28">
        <v>1164273264.0793791</v>
      </c>
      <c r="DC28">
        <v>5.6047155670821663E-2</v>
      </c>
      <c r="DD28">
        <v>0.44563214088411918</v>
      </c>
      <c r="DE28">
        <v>2284179722.7204323</v>
      </c>
      <c r="DF28">
        <v>5.1917365252971644E-2</v>
      </c>
      <c r="DG28">
        <v>0.27815718101078446</v>
      </c>
      <c r="DH28">
        <v>3659455766.3443341</v>
      </c>
      <c r="DI28">
        <v>4.7197604775428774E-2</v>
      </c>
      <c r="DJ28">
        <v>0.15609489620515105</v>
      </c>
      <c r="DK28">
        <v>6521058181.5705109</v>
      </c>
      <c r="DL28">
        <v>4.1297904178500169E-2</v>
      </c>
      <c r="DM28">
        <v>391000000</v>
      </c>
      <c r="DN28">
        <v>5.8997005969285962E-2</v>
      </c>
      <c r="DO28">
        <v>1017903900</v>
      </c>
      <c r="DP28">
        <v>2799915900</v>
      </c>
      <c r="DQ28">
        <v>790</v>
      </c>
      <c r="DR28">
        <v>-8.1332031349996503E-2</v>
      </c>
      <c r="DS28">
        <v>-0.28456351723980677</v>
      </c>
      <c r="DT28" s="16">
        <v>-0.3066666666666667</v>
      </c>
      <c r="DU28">
        <v>0.15</v>
      </c>
      <c r="DV28">
        <v>-0.1566666666666667</v>
      </c>
      <c r="DW28">
        <v>-2.1206</v>
      </c>
      <c r="DX28">
        <v>0.32980501672240681</v>
      </c>
      <c r="DY28">
        <v>-2.0204784850167226</v>
      </c>
      <c r="DZ28">
        <v>2090</v>
      </c>
      <c r="EA28">
        <v>-2.0121027445695701</v>
      </c>
      <c r="EB28">
        <v>2</v>
      </c>
      <c r="EC28">
        <v>4.4557795493464704E-2</v>
      </c>
      <c r="ED28">
        <v>0.26240564827543583</v>
      </c>
      <c r="EE28" s="17">
        <v>1.0692999999999999</v>
      </c>
      <c r="EF28">
        <v>1.0310999999999999</v>
      </c>
      <c r="EG28">
        <v>16.169805016722407</v>
      </c>
      <c r="EH28" t="s">
        <v>1832</v>
      </c>
      <c r="EI28">
        <v>0</v>
      </c>
      <c r="EJ28">
        <v>0</v>
      </c>
      <c r="EK28" s="19">
        <v>45470</v>
      </c>
      <c r="EL28" s="20">
        <v>0.46</v>
      </c>
      <c r="EM28" s="20">
        <v>-4.3099999999999996</v>
      </c>
      <c r="EN28" s="20">
        <v>1.66</v>
      </c>
      <c r="EO28" s="20">
        <v>3.73</v>
      </c>
      <c r="EP28" s="20">
        <v>-3.82</v>
      </c>
    </row>
    <row r="29" spans="1:146" ht="84" x14ac:dyDescent="0.25">
      <c r="A29" s="7"/>
      <c r="B29" s="7"/>
      <c r="C29" s="7" t="str">
        <f>""&amp;CHAR(10)&amp;Basic_Fundamental_Information_Constructure(F29)&amp;CHAR(10)&amp;Basic_Fundamental_Information_Concatenate("")</f>
        <v xml:space="preserve">
市值48.189343亿, 利润9695.35万; PE40.38; 平均PE214.46; 平均PEG255.85, PB1.69; ROIC1.5867%; ROE2.5867%; 股利率1.5337%; 毛利14.61%; 净利1.87%; 上一年度营收增3.31%, 利润增42.74%; 当季营收增16.14%, 利润增58.61%; 过往5年营收增.84%, 利润增-190.26%
Income profile:
</v>
      </c>
      <c r="D29" t="s">
        <v>447</v>
      </c>
      <c r="E29" t="s">
        <v>448</v>
      </c>
      <c r="F29">
        <v>6.52</v>
      </c>
      <c r="G29">
        <v>0</v>
      </c>
      <c r="H29" t="s">
        <v>3444</v>
      </c>
      <c r="I29">
        <v>4818934300</v>
      </c>
      <c r="J29">
        <v>40.380000000000003</v>
      </c>
      <c r="K29">
        <v>1.69</v>
      </c>
      <c r="L29" t="s">
        <v>172</v>
      </c>
      <c r="M29" t="s">
        <v>785</v>
      </c>
      <c r="N29" t="s">
        <v>3445</v>
      </c>
      <c r="O29" t="s">
        <v>2210</v>
      </c>
      <c r="P29">
        <v>16.16</v>
      </c>
      <c r="Q29" t="s">
        <v>3446</v>
      </c>
      <c r="R29">
        <v>60591199</v>
      </c>
      <c r="S29" s="5">
        <v>0.58609999999999995</v>
      </c>
      <c r="T29" t="s">
        <v>3447</v>
      </c>
      <c r="U29">
        <v>731214170</v>
      </c>
      <c r="V29">
        <v>739100350</v>
      </c>
      <c r="W29">
        <v>2.2200000000000002</v>
      </c>
      <c r="X29">
        <v>0.16</v>
      </c>
      <c r="Y29">
        <v>5.94</v>
      </c>
      <c r="Z29" t="s">
        <v>3448</v>
      </c>
      <c r="AA29" t="s">
        <v>1639</v>
      </c>
      <c r="AB29" t="s">
        <v>3449</v>
      </c>
      <c r="AC29" t="s">
        <v>3450</v>
      </c>
      <c r="AD29" t="s">
        <v>19</v>
      </c>
      <c r="AE29">
        <v>-14095209</v>
      </c>
      <c r="AF29" t="s">
        <v>3451</v>
      </c>
      <c r="AG29" t="s">
        <v>3452</v>
      </c>
      <c r="AH29" t="s">
        <v>3453</v>
      </c>
      <c r="AI29" t="s">
        <v>3454</v>
      </c>
      <c r="AJ29" t="s">
        <v>3455</v>
      </c>
      <c r="AK29" t="s">
        <v>3456</v>
      </c>
      <c r="AL29" t="s">
        <v>3457</v>
      </c>
      <c r="AM29" t="s">
        <v>19</v>
      </c>
      <c r="AN29" t="s">
        <v>25</v>
      </c>
      <c r="AO29" t="s">
        <v>2021</v>
      </c>
      <c r="AP29" t="s">
        <v>3458</v>
      </c>
      <c r="AQ29" t="s">
        <v>1422</v>
      </c>
      <c r="AR29" t="s">
        <v>3459</v>
      </c>
      <c r="AS29" t="s">
        <v>3460</v>
      </c>
      <c r="AT29" t="s">
        <v>19</v>
      </c>
      <c r="AU29" t="s">
        <v>3461</v>
      </c>
      <c r="AV29" t="s">
        <v>456</v>
      </c>
      <c r="AW29" t="s">
        <v>3462</v>
      </c>
      <c r="AX29" t="s">
        <v>2158</v>
      </c>
      <c r="AY29" t="s">
        <v>1590</v>
      </c>
      <c r="AZ29" t="s">
        <v>449</v>
      </c>
      <c r="BA29" t="s">
        <v>452</v>
      </c>
      <c r="BB29" t="s">
        <v>453</v>
      </c>
      <c r="BC29" t="s">
        <v>2159</v>
      </c>
      <c r="BD29" t="s">
        <v>1591</v>
      </c>
      <c r="BE29" t="s">
        <v>450</v>
      </c>
      <c r="BF29" t="s">
        <v>454</v>
      </c>
      <c r="BG29" t="s">
        <v>455</v>
      </c>
      <c r="BH29" t="s">
        <v>3446</v>
      </c>
      <c r="BI29" t="s">
        <v>670</v>
      </c>
      <c r="BJ29" t="s">
        <v>2158</v>
      </c>
      <c r="BK29" t="s">
        <v>3447</v>
      </c>
      <c r="BL29" t="s">
        <v>3463</v>
      </c>
      <c r="BM29" t="s">
        <v>2159</v>
      </c>
      <c r="BN29">
        <v>1.91</v>
      </c>
      <c r="BO29">
        <v>1.35</v>
      </c>
      <c r="BP29">
        <v>1.5</v>
      </c>
      <c r="BQ29">
        <v>3.57</v>
      </c>
      <c r="BR29">
        <v>2.5499999999999998</v>
      </c>
      <c r="BS29">
        <v>1.64</v>
      </c>
      <c r="BT29" t="s">
        <v>2003</v>
      </c>
      <c r="BU29" t="s">
        <v>2920</v>
      </c>
      <c r="BV29">
        <v>16.66</v>
      </c>
      <c r="BW29">
        <v>13.68</v>
      </c>
      <c r="BX29">
        <v>13.49</v>
      </c>
      <c r="BY29">
        <v>2.5</v>
      </c>
      <c r="BZ29">
        <v>1.84</v>
      </c>
      <c r="CA29">
        <v>1.27</v>
      </c>
      <c r="CB29">
        <v>-3.55</v>
      </c>
      <c r="CC29">
        <v>-11.29</v>
      </c>
      <c r="CD29" t="s">
        <v>3464</v>
      </c>
      <c r="CE29" t="s">
        <v>554</v>
      </c>
      <c r="CF29" s="14">
        <v>0.16136363636363635</v>
      </c>
      <c r="CG29" s="15">
        <v>0.58614873744116525</v>
      </c>
      <c r="CH29" s="14">
        <v>3.3066596835851669E-2</v>
      </c>
      <c r="CI29" s="14">
        <v>3.2773356884717941E-2</v>
      </c>
      <c r="CJ29" s="14">
        <v>0.24306748807430267</v>
      </c>
      <c r="CK29" s="14">
        <v>-8.2312323153018951E-2</v>
      </c>
      <c r="CL29" s="14">
        <v>-0.18468235433101654</v>
      </c>
      <c r="CM29" s="15">
        <v>0.42741575837135315</v>
      </c>
      <c r="CN29" s="15">
        <v>0.54706984758377075</v>
      </c>
      <c r="CO29" s="15">
        <v>1.6837437152862549</v>
      </c>
      <c r="CP29" s="15">
        <v>1.1664422750473022</v>
      </c>
      <c r="CQ29" s="15">
        <v>-13.337447166442871</v>
      </c>
      <c r="CR29">
        <v>214.46382792814913</v>
      </c>
      <c r="CS29">
        <v>255.84548222305901</v>
      </c>
      <c r="CT29">
        <v>1.5337423312883436</v>
      </c>
      <c r="CU29" s="14">
        <v>8.3825528621673581E-3</v>
      </c>
      <c r="CV29" s="15">
        <v>-1.9025551140308381</v>
      </c>
      <c r="CW29">
        <v>0.06</v>
      </c>
      <c r="CX29">
        <v>58.536276481809885</v>
      </c>
      <c r="CY29">
        <v>92232280.98011522</v>
      </c>
      <c r="CZ29">
        <v>8.3825528621673581E-3</v>
      </c>
      <c r="DA29">
        <v>20.510618151706883</v>
      </c>
      <c r="DB29">
        <v>263226308.44505793</v>
      </c>
      <c r="DC29">
        <v>7.9634252190589894E-3</v>
      </c>
      <c r="DD29">
        <v>11.049724201021414</v>
      </c>
      <c r="DE29">
        <v>488603534.51183271</v>
      </c>
      <c r="DF29">
        <v>7.3766465187072748E-3</v>
      </c>
      <c r="DG29">
        <v>7.3148524792792697</v>
      </c>
      <c r="DH29">
        <v>738078357.05416107</v>
      </c>
      <c r="DI29">
        <v>6.7060422897338868E-3</v>
      </c>
      <c r="DJ29">
        <v>4.6141012130497776</v>
      </c>
      <c r="DK29">
        <v>1170094467.0937274</v>
      </c>
      <c r="DL29">
        <v>5.8677870035171503E-3</v>
      </c>
      <c r="DM29">
        <v>96953500</v>
      </c>
      <c r="DN29">
        <v>8.3825528621673581E-3</v>
      </c>
      <c r="DO29">
        <v>5398934300</v>
      </c>
      <c r="DP29">
        <v>993174300.00000048</v>
      </c>
      <c r="DQ29">
        <v>791</v>
      </c>
      <c r="DR29">
        <v>0.152981083501469</v>
      </c>
      <c r="DS29">
        <v>2.4887038514720032</v>
      </c>
      <c r="DT29" s="16">
        <v>-0.40666666666666668</v>
      </c>
      <c r="DU29">
        <v>0.64</v>
      </c>
      <c r="DV29">
        <v>0.23333333333333334</v>
      </c>
      <c r="DW29">
        <v>-8.3144375553587242</v>
      </c>
      <c r="DX29">
        <v>0.37287633136094711</v>
      </c>
      <c r="DY29">
        <v>-8.0417813087981713</v>
      </c>
      <c r="DZ29">
        <v>1186</v>
      </c>
      <c r="EA29">
        <v>-8.0320841204939377</v>
      </c>
      <c r="EB29">
        <v>8</v>
      </c>
      <c r="EC29">
        <v>6.0766038062355129E-2</v>
      </c>
      <c r="ED29">
        <v>0.45731273162027319</v>
      </c>
      <c r="EE29" s="17">
        <v>1.0301</v>
      </c>
      <c r="EF29">
        <v>1.0219100000000001</v>
      </c>
      <c r="EG29">
        <v>24.132876331360947</v>
      </c>
      <c r="EH29" t="s">
        <v>1840</v>
      </c>
      <c r="EI29">
        <v>0</v>
      </c>
      <c r="EJ29">
        <v>1</v>
      </c>
      <c r="EK29" s="19">
        <v>45470</v>
      </c>
      <c r="EL29" s="20">
        <v>1.1100000000000001</v>
      </c>
      <c r="EM29" s="20">
        <v>-5.5</v>
      </c>
      <c r="EN29" s="20">
        <v>0.28999999999999998</v>
      </c>
      <c r="EO29" s="20">
        <v>3.34</v>
      </c>
      <c r="EP29" s="20">
        <v>-5.2</v>
      </c>
    </row>
    <row r="30" spans="1:146" ht="84" x14ac:dyDescent="0.25">
      <c r="A30" s="7"/>
      <c r="B30" s="7"/>
      <c r="C30" s="7" t="str">
        <f>""&amp;CHAR(10)&amp;Basic_Fundamental_Information_Constructure(F30)&amp;CHAR(10)&amp;Basic_Fundamental_Information_Concatenate("")</f>
        <v xml:space="preserve">
市值36.813429亿, 利润1.89亿; PE20.08; 平均PE17.64; 平均PEG2.12, PB1.12; ROIC9.31%; ROE10.28%; 股利率2.7254%; 毛利9.6433%; 净利6.93%; 上一年度营收增-3.79%, 利润增-39.23%; 当季营收增10.58%, 利润增-9.97%; 过往5年营收增8.33%, 利润增31.23%
Income profile:
</v>
      </c>
      <c r="D30" t="s">
        <v>458</v>
      </c>
      <c r="E30" t="s">
        <v>459</v>
      </c>
      <c r="F30">
        <v>4.7699999999999996</v>
      </c>
      <c r="G30">
        <v>0.85</v>
      </c>
      <c r="H30" t="s">
        <v>3465</v>
      </c>
      <c r="I30">
        <v>3681342900</v>
      </c>
      <c r="J30">
        <v>20.079999999999998</v>
      </c>
      <c r="K30">
        <v>1.1200000000000001</v>
      </c>
      <c r="L30" t="s">
        <v>172</v>
      </c>
      <c r="M30" t="s">
        <v>404</v>
      </c>
      <c r="N30" t="s">
        <v>3466</v>
      </c>
      <c r="O30" t="s">
        <v>3467</v>
      </c>
      <c r="P30">
        <v>10.56</v>
      </c>
      <c r="Q30" t="s">
        <v>3468</v>
      </c>
      <c r="R30">
        <v>48726273</v>
      </c>
      <c r="S30" s="5">
        <v>-9.9699999999999997E-2</v>
      </c>
      <c r="T30" t="s">
        <v>161</v>
      </c>
      <c r="U30">
        <v>567791900</v>
      </c>
      <c r="V30">
        <v>771770000</v>
      </c>
      <c r="W30">
        <v>1.59</v>
      </c>
      <c r="X30">
        <v>0.23</v>
      </c>
      <c r="Y30">
        <v>5.32</v>
      </c>
      <c r="Z30" t="s">
        <v>3469</v>
      </c>
      <c r="AA30" t="s">
        <v>2582</v>
      </c>
      <c r="AB30" t="s">
        <v>3470</v>
      </c>
      <c r="AC30" t="s">
        <v>3471</v>
      </c>
      <c r="AD30" t="s">
        <v>19</v>
      </c>
      <c r="AE30">
        <v>-4750353</v>
      </c>
      <c r="AF30" t="s">
        <v>3472</v>
      </c>
      <c r="AG30">
        <v>901.2</v>
      </c>
      <c r="AH30" t="s">
        <v>3473</v>
      </c>
      <c r="AI30" t="s">
        <v>2766</v>
      </c>
      <c r="AJ30" t="s">
        <v>3474</v>
      </c>
      <c r="AK30" t="s">
        <v>3475</v>
      </c>
      <c r="AL30" t="s">
        <v>3476</v>
      </c>
      <c r="AM30" t="s">
        <v>19</v>
      </c>
      <c r="AN30" t="s">
        <v>622</v>
      </c>
      <c r="AO30" t="s">
        <v>245</v>
      </c>
      <c r="AP30" t="s">
        <v>123</v>
      </c>
      <c r="AQ30" t="s">
        <v>2049</v>
      </c>
      <c r="AR30" t="s">
        <v>3477</v>
      </c>
      <c r="AS30" t="s">
        <v>3478</v>
      </c>
      <c r="AT30" t="s">
        <v>514</v>
      </c>
      <c r="AU30" t="s">
        <v>361</v>
      </c>
      <c r="AV30" t="s">
        <v>2217</v>
      </c>
      <c r="AW30" t="s">
        <v>287</v>
      </c>
      <c r="AX30" t="s">
        <v>2160</v>
      </c>
      <c r="AY30" t="s">
        <v>1592</v>
      </c>
      <c r="AZ30" t="s">
        <v>461</v>
      </c>
      <c r="BA30" t="s">
        <v>463</v>
      </c>
      <c r="BB30" t="s">
        <v>464</v>
      </c>
      <c r="BC30" t="s">
        <v>412</v>
      </c>
      <c r="BD30" t="s">
        <v>62</v>
      </c>
      <c r="BE30" t="s">
        <v>128</v>
      </c>
      <c r="BF30" t="s">
        <v>242</v>
      </c>
      <c r="BG30" t="s">
        <v>465</v>
      </c>
      <c r="BH30" t="s">
        <v>3468</v>
      </c>
      <c r="BI30" t="s">
        <v>2816</v>
      </c>
      <c r="BJ30" t="s">
        <v>2160</v>
      </c>
      <c r="BK30" t="s">
        <v>161</v>
      </c>
      <c r="BL30" t="s">
        <v>3479</v>
      </c>
      <c r="BM30" t="s">
        <v>412</v>
      </c>
      <c r="BN30">
        <v>5.98</v>
      </c>
      <c r="BO30">
        <v>9.36</v>
      </c>
      <c r="BP30">
        <v>12.59</v>
      </c>
      <c r="BQ30">
        <v>5.94</v>
      </c>
      <c r="BR30">
        <v>10.35</v>
      </c>
      <c r="BS30">
        <v>14.55</v>
      </c>
      <c r="BT30" t="s">
        <v>2004</v>
      </c>
      <c r="BU30" t="s">
        <v>3125</v>
      </c>
      <c r="BV30">
        <v>10.59</v>
      </c>
      <c r="BW30">
        <v>9.6999999999999993</v>
      </c>
      <c r="BX30">
        <v>8.64</v>
      </c>
      <c r="BY30">
        <v>5.05</v>
      </c>
      <c r="BZ30">
        <v>6.27</v>
      </c>
      <c r="CA30">
        <v>9.4700000000000006</v>
      </c>
      <c r="CB30">
        <v>1.92</v>
      </c>
      <c r="CC30">
        <v>-11.5</v>
      </c>
      <c r="CD30" t="s">
        <v>3480</v>
      </c>
      <c r="CE30" t="s">
        <v>66</v>
      </c>
      <c r="CF30" s="14">
        <v>0.10579937304075235</v>
      </c>
      <c r="CG30" s="15">
        <v>-9.9738880287337003E-2</v>
      </c>
      <c r="CH30" s="14">
        <v>-3.7870049476623535E-2</v>
      </c>
      <c r="CI30" s="14">
        <v>0.28060150146484375</v>
      </c>
      <c r="CJ30" s="14">
        <v>0.11079741269350052</v>
      </c>
      <c r="CK30" s="14">
        <v>0.18017765879631042</v>
      </c>
      <c r="CL30" s="14">
        <v>-0.11737314611673355</v>
      </c>
      <c r="CM30" s="15">
        <v>-0.39228296279907227</v>
      </c>
      <c r="CN30" s="15">
        <v>-0.22055137157440186</v>
      </c>
      <c r="CO30" s="15">
        <v>1.7517241239547729</v>
      </c>
      <c r="CP30" s="15">
        <v>0.34259259700775146</v>
      </c>
      <c r="CQ30" s="15">
        <v>7.9999998211860657E-2</v>
      </c>
      <c r="CR30">
        <v>17.642218370607029</v>
      </c>
      <c r="CS30">
        <v>2.1187609893809887</v>
      </c>
      <c r="CT30">
        <v>2.725366876310273</v>
      </c>
      <c r="CU30" s="14">
        <v>8.3266675472259521E-2</v>
      </c>
      <c r="CV30" s="15">
        <v>0.3122964769601822</v>
      </c>
      <c r="CW30">
        <v>0.06</v>
      </c>
      <c r="CX30">
        <v>10.620548352790831</v>
      </c>
      <c r="CY30">
        <v>193148492.13609156</v>
      </c>
      <c r="CZ30">
        <v>8.3266675472259521E-2</v>
      </c>
      <c r="DA30">
        <v>3.4905565274307402</v>
      </c>
      <c r="DB30">
        <v>587683621.18745339</v>
      </c>
      <c r="DC30">
        <v>7.9103341698646537E-2</v>
      </c>
      <c r="DD30">
        <v>1.731448410387215</v>
      </c>
      <c r="DE30">
        <v>1184755426.5513721</v>
      </c>
      <c r="DF30">
        <v>7.3274674415588381E-2</v>
      </c>
      <c r="DG30">
        <v>1.0486990090083244</v>
      </c>
      <c r="DH30">
        <v>1956083568.6683831</v>
      </c>
      <c r="DI30">
        <v>6.6613340377807626E-2</v>
      </c>
      <c r="DJ30">
        <v>0.55195569759829288</v>
      </c>
      <c r="DK30">
        <v>3716499184.4924197</v>
      </c>
      <c r="DL30">
        <v>5.8286672830581664E-2</v>
      </c>
      <c r="DM30">
        <v>189000000</v>
      </c>
      <c r="DN30">
        <v>8.3266675472259521E-2</v>
      </c>
      <c r="DO30">
        <v>2051342900</v>
      </c>
      <c r="DP30">
        <v>1756871100</v>
      </c>
      <c r="DQ30">
        <v>835</v>
      </c>
      <c r="DR30">
        <v>2.2532697568492827E-2</v>
      </c>
      <c r="DS30">
        <v>-0.41203535724751922</v>
      </c>
      <c r="DT30" s="16">
        <v>-0.17333333333333334</v>
      </c>
      <c r="DU30">
        <v>6.6666666666666652E-2</v>
      </c>
      <c r="DV30">
        <v>-0.10666666666666669</v>
      </c>
      <c r="DW30">
        <v>-2.1150000000000002</v>
      </c>
      <c r="DX30">
        <v>0.42722380952380945</v>
      </c>
      <c r="DY30">
        <v>-2.0203807380952381</v>
      </c>
      <c r="DZ30">
        <v>1951</v>
      </c>
      <c r="EA30">
        <v>-2.0125993643136706</v>
      </c>
      <c r="EB30">
        <v>2</v>
      </c>
      <c r="EC30">
        <v>4.8222916153776385E-2</v>
      </c>
      <c r="ED30">
        <v>0.27210179198465861</v>
      </c>
      <c r="EE30" s="17">
        <v>-1.0165</v>
      </c>
      <c r="EF30">
        <v>-1.00041</v>
      </c>
      <c r="EG30">
        <v>25.177223809523809</v>
      </c>
      <c r="EH30" t="s">
        <v>1838</v>
      </c>
      <c r="EI30">
        <v>0</v>
      </c>
      <c r="EJ30">
        <v>0</v>
      </c>
      <c r="EK30" s="19">
        <v>45470</v>
      </c>
      <c r="EL30" s="20">
        <v>0.42</v>
      </c>
      <c r="EM30" s="20">
        <v>-2.69</v>
      </c>
      <c r="EN30" s="20">
        <v>1.06</v>
      </c>
      <c r="EO30" s="20">
        <v>2.16</v>
      </c>
      <c r="EP30" s="20">
        <v>-1.69</v>
      </c>
    </row>
    <row r="31" spans="1:146" ht="84" x14ac:dyDescent="0.25">
      <c r="A31" s="7"/>
      <c r="B31" s="7"/>
      <c r="C31" s="7" t="str">
        <f>""&amp;CHAR(10)&amp;Basic_Fundamental_Information_Constructure(F31)&amp;CHAR(10)&amp;Basic_Fundamental_Information_Concatenate("")</f>
        <v xml:space="preserve">
市值27.243041亿, 利润-3.32亿; PE; 平均PE-8.16; 平均PEG-.58, PB2.54; ROIC0%; ROE-23.4467%; 股利率0%; 毛利-.3767%; 净利-48.4267%; 上一年度营收增-1.34%, 利润增36.28%; 当季营收增11.17%, 利润增176.41%; 过往5年营收增-13.96%, 利润增-593.82%
Income profile:
</v>
      </c>
      <c r="D31" t="s">
        <v>468</v>
      </c>
      <c r="E31" t="s">
        <v>469</v>
      </c>
      <c r="F31">
        <v>4.3899999999999997</v>
      </c>
      <c r="G31">
        <v>-1.57</v>
      </c>
      <c r="H31" t="s">
        <v>3481</v>
      </c>
      <c r="I31">
        <v>2724304100</v>
      </c>
      <c r="K31">
        <v>2.54</v>
      </c>
      <c r="L31" t="s">
        <v>172</v>
      </c>
      <c r="M31" t="s">
        <v>3482</v>
      </c>
      <c r="N31" t="s">
        <v>1194</v>
      </c>
      <c r="O31" t="s">
        <v>88</v>
      </c>
      <c r="P31">
        <v>11.51</v>
      </c>
      <c r="Q31" t="s">
        <v>704</v>
      </c>
      <c r="R31">
        <v>7012979</v>
      </c>
      <c r="S31" s="6">
        <v>1.764</v>
      </c>
      <c r="T31" t="s">
        <v>3483</v>
      </c>
      <c r="U31">
        <v>618166650</v>
      </c>
      <c r="V31">
        <v>620570400</v>
      </c>
      <c r="W31">
        <v>2.16</v>
      </c>
      <c r="X31">
        <v>0.09</v>
      </c>
      <c r="Y31">
        <v>3.68</v>
      </c>
      <c r="Z31" t="s">
        <v>524</v>
      </c>
      <c r="AA31" t="s">
        <v>1022</v>
      </c>
      <c r="AB31" t="s">
        <v>3484</v>
      </c>
      <c r="AC31" t="s">
        <v>3485</v>
      </c>
      <c r="AD31" t="s">
        <v>19</v>
      </c>
      <c r="AE31">
        <v>1909402</v>
      </c>
      <c r="AF31" t="s">
        <v>3486</v>
      </c>
      <c r="AG31" t="s">
        <v>3487</v>
      </c>
      <c r="AH31" t="s">
        <v>3488</v>
      </c>
      <c r="AI31" t="s">
        <v>3489</v>
      </c>
      <c r="AJ31" t="s">
        <v>3490</v>
      </c>
      <c r="AK31" t="s">
        <v>3491</v>
      </c>
      <c r="AL31" t="s">
        <v>3492</v>
      </c>
      <c r="AM31" t="s">
        <v>19</v>
      </c>
      <c r="AN31" t="s">
        <v>3493</v>
      </c>
      <c r="AO31" t="s">
        <v>2564</v>
      </c>
      <c r="AP31" t="s">
        <v>19</v>
      </c>
      <c r="AQ31" t="s">
        <v>347</v>
      </c>
      <c r="AR31" t="s">
        <v>19</v>
      </c>
      <c r="AS31" t="s">
        <v>2049</v>
      </c>
      <c r="AT31" t="s">
        <v>3494</v>
      </c>
      <c r="AU31" t="s">
        <v>3495</v>
      </c>
      <c r="AV31" t="s">
        <v>3496</v>
      </c>
      <c r="AW31" t="s">
        <v>3497</v>
      </c>
      <c r="AX31" t="s">
        <v>1990</v>
      </c>
      <c r="AY31" t="s">
        <v>1439</v>
      </c>
      <c r="AZ31" t="s">
        <v>471</v>
      </c>
      <c r="BA31" t="s">
        <v>476</v>
      </c>
      <c r="BB31" t="s">
        <v>477</v>
      </c>
      <c r="BC31" t="s">
        <v>2163</v>
      </c>
      <c r="BD31" t="s">
        <v>1593</v>
      </c>
      <c r="BE31" t="s">
        <v>472</v>
      </c>
      <c r="BF31" t="s">
        <v>478</v>
      </c>
      <c r="BG31" t="s">
        <v>354</v>
      </c>
      <c r="BH31" t="s">
        <v>704</v>
      </c>
      <c r="BI31" t="s">
        <v>946</v>
      </c>
      <c r="BJ31" t="s">
        <v>1990</v>
      </c>
      <c r="BK31" t="s">
        <v>3483</v>
      </c>
      <c r="BL31" t="s">
        <v>3498</v>
      </c>
      <c r="BM31" t="s">
        <v>2163</v>
      </c>
      <c r="BN31" t="s">
        <v>19</v>
      </c>
      <c r="BO31" t="s">
        <v>19</v>
      </c>
      <c r="BP31" t="s">
        <v>19</v>
      </c>
      <c r="BQ31">
        <v>-13.69</v>
      </c>
      <c r="BR31">
        <v>-31.58</v>
      </c>
      <c r="BS31">
        <v>-25.07</v>
      </c>
      <c r="BT31" t="s">
        <v>1983</v>
      </c>
      <c r="BU31" t="s">
        <v>3032</v>
      </c>
      <c r="BV31">
        <v>3.9</v>
      </c>
      <c r="BW31">
        <v>-8.24</v>
      </c>
      <c r="BX31">
        <v>3.21</v>
      </c>
      <c r="BY31">
        <v>-41.83</v>
      </c>
      <c r="BZ31">
        <v>-64.180000000000007</v>
      </c>
      <c r="CA31">
        <v>-39.270000000000003</v>
      </c>
      <c r="CB31">
        <v>-2.44</v>
      </c>
      <c r="CC31">
        <v>0.69</v>
      </c>
      <c r="CD31" t="s">
        <v>654</v>
      </c>
      <c r="CE31" t="s">
        <v>573</v>
      </c>
      <c r="CF31" s="14">
        <v>0.11170212765957446</v>
      </c>
      <c r="CG31" s="15">
        <v>1.7640623521992749</v>
      </c>
      <c r="CH31" s="14">
        <v>-1.3414634391665459E-2</v>
      </c>
      <c r="CI31" s="14">
        <v>-0.42172074317932129</v>
      </c>
      <c r="CJ31" s="14">
        <v>-3.2081868499517441E-2</v>
      </c>
      <c r="CK31" s="14">
        <v>-0.2003275454044342</v>
      </c>
      <c r="CL31" s="14">
        <v>-3.0687831342220306E-2</v>
      </c>
      <c r="CM31" s="15">
        <v>0.362763911485672</v>
      </c>
      <c r="CN31" s="15">
        <v>4.9270074814558029E-2</v>
      </c>
      <c r="CO31" s="15">
        <v>-0.54366195201873779</v>
      </c>
      <c r="CP31" s="15">
        <v>-30.605537414550781</v>
      </c>
      <c r="CQ31" s="15">
        <v>1.046119213104248</v>
      </c>
      <c r="CR31">
        <v>-8.1565624705278275</v>
      </c>
      <c r="CS31">
        <v>-0.58408632051726184</v>
      </c>
      <c r="CT31">
        <v>0</v>
      </c>
      <c r="CU31" s="14">
        <v>-0.13964652456343174</v>
      </c>
      <c r="CV31" s="15">
        <v>-5.9382092334330085</v>
      </c>
      <c r="CW31">
        <v>0.06</v>
      </c>
      <c r="CX31" t="e">
        <v>#VALUE!</v>
      </c>
      <c r="CY31" t="s">
        <v>1835</v>
      </c>
      <c r="CZ31">
        <v>-0.13964652456343174</v>
      </c>
      <c r="DA31" t="e">
        <v>#VALUE!</v>
      </c>
      <c r="DB31" t="s">
        <v>1835</v>
      </c>
      <c r="DC31">
        <v>-0.13266419833526014</v>
      </c>
      <c r="DD31" t="e">
        <v>#VALUE!</v>
      </c>
      <c r="DE31" t="s">
        <v>1835</v>
      </c>
      <c r="DF31">
        <v>-0.12288894161581994</v>
      </c>
      <c r="DG31" t="e">
        <v>#VALUE!</v>
      </c>
      <c r="DH31" t="s">
        <v>1835</v>
      </c>
      <c r="DI31">
        <v>-0.11171721965074539</v>
      </c>
      <c r="DJ31" t="e">
        <v>#VALUE!</v>
      </c>
      <c r="DK31" t="s">
        <v>1835</v>
      </c>
      <c r="DL31">
        <v>-9.7752567194402215E-2</v>
      </c>
      <c r="DM31">
        <v>-332000000</v>
      </c>
      <c r="DN31">
        <v>-0.13964652456343174</v>
      </c>
      <c r="DO31">
        <v>2888304100</v>
      </c>
      <c r="DP31">
        <v>-341227840</v>
      </c>
      <c r="DQ31">
        <v>862</v>
      </c>
      <c r="DR31">
        <v>0.25134865222300617</v>
      </c>
      <c r="DS31">
        <v>7.7022715856322836</v>
      </c>
      <c r="DT31" s="16">
        <v>-0.70666666666666667</v>
      </c>
      <c r="DU31">
        <v>-1.2266666666666668</v>
      </c>
      <c r="DV31">
        <v>-1.9333333333333336</v>
      </c>
      <c r="DW31">
        <v>6.8999999999999999E-3</v>
      </c>
      <c r="DX31">
        <v>0.51080459770115005</v>
      </c>
      <c r="DY31">
        <v>2.6965517241379312E-3</v>
      </c>
      <c r="DZ31">
        <v>4342</v>
      </c>
      <c r="EA31">
        <v>4.052743100074229E-4</v>
      </c>
      <c r="EB31">
        <v>0</v>
      </c>
      <c r="EC31">
        <v>0.49309473993603303</v>
      </c>
      <c r="ED31">
        <v>1.2617424227774963</v>
      </c>
      <c r="EE31" s="17">
        <v>-1.07531</v>
      </c>
      <c r="EF31">
        <v>-1.11521</v>
      </c>
      <c r="EG31">
        <v>12.39080459770115</v>
      </c>
      <c r="EH31" t="s">
        <v>1838</v>
      </c>
      <c r="EI31">
        <v>0</v>
      </c>
      <c r="EJ31">
        <v>0</v>
      </c>
      <c r="EK31" s="19">
        <v>45470</v>
      </c>
      <c r="EL31" s="20">
        <v>-1.99</v>
      </c>
      <c r="EM31" s="20">
        <v>-4.74</v>
      </c>
      <c r="EN31" s="20">
        <v>-0.95</v>
      </c>
      <c r="EO31" s="20">
        <v>1.91</v>
      </c>
      <c r="EP31" s="20">
        <v>-3.99</v>
      </c>
    </row>
    <row r="32" spans="1:146" ht="84" x14ac:dyDescent="0.25">
      <c r="A32" s="7"/>
      <c r="B32" s="7"/>
      <c r="C32" s="7" t="str">
        <f>""&amp;CHAR(10)&amp;Basic_Fundamental_Information_Constructure(F32)&amp;CHAR(10)&amp;Basic_Fundamental_Information_Concatenate("")</f>
        <v xml:space="preserve">
市值23.556809亿, 利润3687.27万; PE62.79; 平均PE46.49; 平均PEG11.42, PB1.1; ROIC1.1533%; ROE1.74%; 股利率1.4235%; 毛利8.3833%; 净利1.5567%; 上一年度营收增-2.11%, 利润增-19.1%; 当季营收增.19%, 利润增4.65%; 过往5年营收增4.07%, 利润增-11.07%
Income profile:
</v>
      </c>
      <c r="D32" t="s">
        <v>481</v>
      </c>
      <c r="E32" t="s">
        <v>482</v>
      </c>
      <c r="F32">
        <v>5.62</v>
      </c>
      <c r="G32">
        <v>1.26</v>
      </c>
      <c r="H32" t="s">
        <v>3499</v>
      </c>
      <c r="I32">
        <v>2355680900</v>
      </c>
      <c r="J32">
        <v>62.79</v>
      </c>
      <c r="K32">
        <v>1.1000000000000001</v>
      </c>
      <c r="L32" t="s">
        <v>172</v>
      </c>
      <c r="M32" t="s">
        <v>3500</v>
      </c>
      <c r="N32" t="s">
        <v>3501</v>
      </c>
      <c r="O32" t="s">
        <v>1417</v>
      </c>
      <c r="P32">
        <v>0.15</v>
      </c>
      <c r="Q32" t="s">
        <v>3502</v>
      </c>
      <c r="R32">
        <v>14521797</v>
      </c>
      <c r="S32" s="5">
        <v>4.65E-2</v>
      </c>
      <c r="T32" t="s">
        <v>3503</v>
      </c>
      <c r="U32">
        <v>415758170</v>
      </c>
      <c r="V32">
        <v>419160300</v>
      </c>
      <c r="W32">
        <v>1.52</v>
      </c>
      <c r="X32">
        <v>0.16</v>
      </c>
      <c r="Y32">
        <v>2.4700000000000002</v>
      </c>
      <c r="Z32" t="s">
        <v>2211</v>
      </c>
      <c r="AA32" t="s">
        <v>118</v>
      </c>
      <c r="AB32" t="s">
        <v>3504</v>
      </c>
      <c r="AC32" t="s">
        <v>3505</v>
      </c>
      <c r="AD32" t="s">
        <v>19</v>
      </c>
      <c r="AE32">
        <v>-4125066</v>
      </c>
      <c r="AF32" t="s">
        <v>3506</v>
      </c>
      <c r="AG32" t="s">
        <v>3507</v>
      </c>
      <c r="AH32" t="s">
        <v>3508</v>
      </c>
      <c r="AI32" t="s">
        <v>2825</v>
      </c>
      <c r="AJ32" t="s">
        <v>3509</v>
      </c>
      <c r="AK32" t="s">
        <v>3510</v>
      </c>
      <c r="AL32" t="s">
        <v>3511</v>
      </c>
      <c r="AM32" t="s">
        <v>19</v>
      </c>
      <c r="AN32" t="s">
        <v>3512</v>
      </c>
      <c r="AO32" t="s">
        <v>3513</v>
      </c>
      <c r="AP32" t="s">
        <v>913</v>
      </c>
      <c r="AQ32" t="s">
        <v>680</v>
      </c>
      <c r="AR32" t="s">
        <v>19</v>
      </c>
      <c r="AS32" t="s">
        <v>1870</v>
      </c>
      <c r="AT32" t="s">
        <v>3514</v>
      </c>
      <c r="AU32" t="s">
        <v>3515</v>
      </c>
      <c r="AV32" t="s">
        <v>3516</v>
      </c>
      <c r="AW32" t="s">
        <v>3517</v>
      </c>
      <c r="AX32" t="s">
        <v>2164</v>
      </c>
      <c r="AY32" t="s">
        <v>1332</v>
      </c>
      <c r="AZ32" t="s">
        <v>483</v>
      </c>
      <c r="BA32" t="s">
        <v>490</v>
      </c>
      <c r="BB32" t="s">
        <v>491</v>
      </c>
      <c r="BC32" t="s">
        <v>2165</v>
      </c>
      <c r="BD32" t="s">
        <v>1594</v>
      </c>
      <c r="BE32" t="s">
        <v>484</v>
      </c>
      <c r="BF32" t="s">
        <v>493</v>
      </c>
      <c r="BG32" t="s">
        <v>494</v>
      </c>
      <c r="BH32" t="s">
        <v>3502</v>
      </c>
      <c r="BI32" t="s">
        <v>223</v>
      </c>
      <c r="BJ32" t="s">
        <v>2164</v>
      </c>
      <c r="BK32" t="s">
        <v>3503</v>
      </c>
      <c r="BL32" t="s">
        <v>3518</v>
      </c>
      <c r="BM32" t="s">
        <v>2165</v>
      </c>
      <c r="BN32">
        <v>0.79</v>
      </c>
      <c r="BO32">
        <v>1.54</v>
      </c>
      <c r="BP32">
        <v>1.1299999999999999</v>
      </c>
      <c r="BQ32">
        <v>1.59</v>
      </c>
      <c r="BR32">
        <v>2.19</v>
      </c>
      <c r="BS32">
        <v>1.44</v>
      </c>
      <c r="BT32" t="s">
        <v>2001</v>
      </c>
      <c r="BU32" t="s">
        <v>2920</v>
      </c>
      <c r="BV32">
        <v>8.81</v>
      </c>
      <c r="BW32">
        <v>6.99</v>
      </c>
      <c r="BX32">
        <v>9.35</v>
      </c>
      <c r="BY32">
        <v>1.37</v>
      </c>
      <c r="BZ32">
        <v>1.82</v>
      </c>
      <c r="CA32">
        <v>1.48</v>
      </c>
      <c r="CB32">
        <v>-2.94</v>
      </c>
      <c r="CC32">
        <v>-11.5</v>
      </c>
      <c r="CD32" t="s">
        <v>3519</v>
      </c>
      <c r="CE32" t="s">
        <v>52</v>
      </c>
      <c r="CF32" s="14">
        <v>1.8587360594795538E-3</v>
      </c>
      <c r="CG32" s="15">
        <v>4.6502864555183224E-2</v>
      </c>
      <c r="CH32" s="14">
        <v>-2.1108180284500122E-2</v>
      </c>
      <c r="CI32" s="14">
        <v>0.16020402312278748</v>
      </c>
      <c r="CJ32" s="14">
        <v>0.22807016968727112</v>
      </c>
      <c r="CK32" s="14">
        <v>-2.2657647728919983E-2</v>
      </c>
      <c r="CL32" s="14">
        <v>-0.14097850024700165</v>
      </c>
      <c r="CM32" s="15">
        <v>-0.19098542630672455</v>
      </c>
      <c r="CN32" s="15">
        <v>0.44233331084251404</v>
      </c>
      <c r="CO32" s="15">
        <v>-0.32823196053504944</v>
      </c>
      <c r="CP32" s="15">
        <v>-0.23949240148067474</v>
      </c>
      <c r="CQ32" s="15">
        <v>-0.23695859313011169</v>
      </c>
      <c r="CR32">
        <v>46.49321257144662</v>
      </c>
      <c r="CS32">
        <v>11.421717563249265</v>
      </c>
      <c r="CT32">
        <v>1.4234875444839858</v>
      </c>
      <c r="CU32" s="14">
        <v>4.070597290992737E-2</v>
      </c>
      <c r="CV32" s="15">
        <v>-0.11066701412200927</v>
      </c>
      <c r="CW32">
        <v>0.06</v>
      </c>
      <c r="CX32">
        <v>38.691189779369047</v>
      </c>
      <c r="CY32">
        <v>36201546.34652441</v>
      </c>
      <c r="CZ32">
        <v>4.070597290992737E-2</v>
      </c>
      <c r="DA32">
        <v>13.185882104568883</v>
      </c>
      <c r="DB32">
        <v>106225801.8759827</v>
      </c>
      <c r="DC32">
        <v>3.8670674264431E-2</v>
      </c>
      <c r="DD32">
        <v>6.8583481126132462</v>
      </c>
      <c r="DE32">
        <v>204230067.79489595</v>
      </c>
      <c r="DF32">
        <v>3.5821256160736087E-2</v>
      </c>
      <c r="DG32">
        <v>4.3756255092179881</v>
      </c>
      <c r="DH32">
        <v>320109867.04626143</v>
      </c>
      <c r="DI32">
        <v>3.2564778327941898E-2</v>
      </c>
      <c r="DJ32">
        <v>2.5682841971958741</v>
      </c>
      <c r="DK32">
        <v>545376131.47692275</v>
      </c>
      <c r="DL32">
        <v>2.8494181036949156E-2</v>
      </c>
      <c r="DM32">
        <v>36872700</v>
      </c>
      <c r="DN32">
        <v>4.070597290992737E-2</v>
      </c>
      <c r="DO32">
        <v>1400680900</v>
      </c>
      <c r="DP32">
        <v>1179100900</v>
      </c>
      <c r="DQ32">
        <v>869</v>
      </c>
      <c r="DR32">
        <v>-3.8847236850447817E-2</v>
      </c>
      <c r="DS32">
        <v>0.15716987867719251</v>
      </c>
      <c r="DT32" s="16">
        <v>-0.15666666666666665</v>
      </c>
      <c r="DU32">
        <v>-0.14666666666666661</v>
      </c>
      <c r="DV32">
        <v>-0.30333333333333323</v>
      </c>
      <c r="DW32">
        <v>-8.2556521739130435</v>
      </c>
      <c r="DX32">
        <v>0.35587901234567881</v>
      </c>
      <c r="DY32">
        <v>-8.0398508083735916</v>
      </c>
      <c r="DZ32">
        <v>2449</v>
      </c>
      <c r="EA32">
        <v>-8.0207520550062874</v>
      </c>
      <c r="EB32">
        <v>8</v>
      </c>
      <c r="EC32">
        <v>6.0245209291051649E-2</v>
      </c>
      <c r="ED32">
        <v>0.38648698361939332</v>
      </c>
      <c r="EE32" s="17">
        <v>1.07481</v>
      </c>
      <c r="EF32">
        <v>1.1285099999999999</v>
      </c>
      <c r="EG32">
        <v>20.155879012345679</v>
      </c>
      <c r="EH32" t="s">
        <v>1840</v>
      </c>
      <c r="EI32">
        <v>0</v>
      </c>
      <c r="EJ32">
        <v>0</v>
      </c>
      <c r="EK32" s="19">
        <v>45470</v>
      </c>
      <c r="EL32" s="20">
        <v>0.85</v>
      </c>
      <c r="EM32" s="20">
        <v>-3.21</v>
      </c>
      <c r="EN32" s="20">
        <v>2.97</v>
      </c>
      <c r="EO32" s="20">
        <v>4.24</v>
      </c>
      <c r="EP32" s="20">
        <v>-5.37</v>
      </c>
    </row>
    <row r="33" spans="1:146" ht="84" x14ac:dyDescent="0.25">
      <c r="A33" s="7"/>
      <c r="B33" s="7"/>
      <c r="C33" s="7" t="str">
        <f>""&amp;CHAR(10)&amp;Basic_Fundamental_Information_Constructure(F33)&amp;CHAR(10)&amp;Basic_Fundamental_Information_Concatenate("")</f>
        <v xml:space="preserve">
市值36.219164亿, 利润9409.75万; PE35.37; 平均PE17.11; 平均PEG12.77, PB.904; ROIC2.9633%; ROE3.62%; 股利率2.0161%; 毛利24.26%; 净利8.56%; 上一年度营收增21.69%, 利润增29.21%; 当季营收增6.06%, 利润增48.53%; 过往5年营收增-1.34%, 利润增-9.57%
Income profile:
</v>
      </c>
      <c r="D33" t="s">
        <v>497</v>
      </c>
      <c r="E33" t="s">
        <v>498</v>
      </c>
      <c r="F33">
        <v>4.96</v>
      </c>
      <c r="G33">
        <v>3.12</v>
      </c>
      <c r="H33" t="s">
        <v>3520</v>
      </c>
      <c r="I33">
        <v>3621916400</v>
      </c>
      <c r="J33">
        <v>35.369999999999997</v>
      </c>
      <c r="K33">
        <v>0.90400000000000003</v>
      </c>
      <c r="L33" t="s">
        <v>172</v>
      </c>
      <c r="M33" t="s">
        <v>2205</v>
      </c>
      <c r="N33" t="s">
        <v>3521</v>
      </c>
      <c r="O33" t="s">
        <v>693</v>
      </c>
      <c r="P33">
        <v>6.28</v>
      </c>
      <c r="Q33" t="s">
        <v>2771</v>
      </c>
      <c r="R33">
        <v>25431096</v>
      </c>
      <c r="S33" s="5">
        <v>0.48530000000000001</v>
      </c>
      <c r="T33" t="s">
        <v>3522</v>
      </c>
      <c r="U33">
        <v>602215490</v>
      </c>
      <c r="V33">
        <v>730225080</v>
      </c>
      <c r="W33">
        <v>1.17</v>
      </c>
      <c r="X33">
        <v>7.0000000000000007E-2</v>
      </c>
      <c r="Y33">
        <v>8.0500000000000007</v>
      </c>
      <c r="Z33" t="s">
        <v>251</v>
      </c>
      <c r="AA33" t="s">
        <v>345</v>
      </c>
      <c r="AB33" t="s">
        <v>3523</v>
      </c>
      <c r="AC33" t="s">
        <v>3524</v>
      </c>
      <c r="AD33" t="s">
        <v>19</v>
      </c>
      <c r="AE33">
        <v>-2910151</v>
      </c>
      <c r="AF33" t="s">
        <v>3525</v>
      </c>
      <c r="AG33" t="s">
        <v>2594</v>
      </c>
      <c r="AH33" t="s">
        <v>3526</v>
      </c>
      <c r="AI33" t="s">
        <v>315</v>
      </c>
      <c r="AJ33" t="s">
        <v>3527</v>
      </c>
      <c r="AK33" t="s">
        <v>496</v>
      </c>
      <c r="AL33" t="s">
        <v>3528</v>
      </c>
      <c r="AM33" t="s">
        <v>19</v>
      </c>
      <c r="AN33" t="s">
        <v>3529</v>
      </c>
      <c r="AO33" t="s">
        <v>19</v>
      </c>
      <c r="AP33" t="s">
        <v>3530</v>
      </c>
      <c r="AQ33" t="s">
        <v>153</v>
      </c>
      <c r="AR33" t="s">
        <v>19</v>
      </c>
      <c r="AS33" t="s">
        <v>2167</v>
      </c>
      <c r="AT33" t="s">
        <v>19</v>
      </c>
      <c r="AU33" t="s">
        <v>3531</v>
      </c>
      <c r="AV33" t="s">
        <v>3532</v>
      </c>
      <c r="AW33" t="s">
        <v>19</v>
      </c>
      <c r="AX33" t="s">
        <v>1950</v>
      </c>
      <c r="AY33" t="s">
        <v>1595</v>
      </c>
      <c r="AZ33" t="s">
        <v>500</v>
      </c>
      <c r="BA33" t="s">
        <v>503</v>
      </c>
      <c r="BB33" t="s">
        <v>504</v>
      </c>
      <c r="BC33" t="s">
        <v>2169</v>
      </c>
      <c r="BD33" t="s">
        <v>50</v>
      </c>
      <c r="BE33" t="s">
        <v>140</v>
      </c>
      <c r="BF33" t="s">
        <v>59</v>
      </c>
      <c r="BG33" t="s">
        <v>505</v>
      </c>
      <c r="BH33" t="s">
        <v>2771</v>
      </c>
      <c r="BI33" t="s">
        <v>767</v>
      </c>
      <c r="BJ33" t="s">
        <v>1950</v>
      </c>
      <c r="BK33" t="s">
        <v>3522</v>
      </c>
      <c r="BL33" t="s">
        <v>3533</v>
      </c>
      <c r="BM33" t="s">
        <v>2169</v>
      </c>
      <c r="BN33">
        <v>1.44</v>
      </c>
      <c r="BO33">
        <v>1.6</v>
      </c>
      <c r="BP33">
        <v>5.85</v>
      </c>
      <c r="BQ33">
        <v>1.8</v>
      </c>
      <c r="BR33">
        <v>2.11</v>
      </c>
      <c r="BS33">
        <v>6.95</v>
      </c>
      <c r="BT33" t="s">
        <v>2003</v>
      </c>
      <c r="BU33" t="s">
        <v>2920</v>
      </c>
      <c r="BV33">
        <v>22.77</v>
      </c>
      <c r="BW33">
        <v>24</v>
      </c>
      <c r="BX33">
        <v>26.01</v>
      </c>
      <c r="BY33">
        <v>7.19</v>
      </c>
      <c r="BZ33">
        <v>6.78</v>
      </c>
      <c r="CA33">
        <v>11.71</v>
      </c>
      <c r="CB33">
        <v>0.61</v>
      </c>
      <c r="CC33">
        <v>-8.66</v>
      </c>
      <c r="CD33" t="s">
        <v>3534</v>
      </c>
      <c r="CE33" t="s">
        <v>214</v>
      </c>
      <c r="CF33" s="14">
        <v>6.0606060606060608E-2</v>
      </c>
      <c r="CG33" s="15">
        <v>0.48531372468855311</v>
      </c>
      <c r="CH33" s="14">
        <v>0.21694605052471161</v>
      </c>
      <c r="CI33" s="14">
        <v>-0.46460619568824768</v>
      </c>
      <c r="CJ33" s="14">
        <v>-7.3441080749034882E-2</v>
      </c>
      <c r="CK33" s="14">
        <v>0.23432151973247528</v>
      </c>
      <c r="CL33" s="14">
        <v>1.9767442718148232E-2</v>
      </c>
      <c r="CM33" s="15">
        <v>0.29213279485702515</v>
      </c>
      <c r="CN33" s="15">
        <v>-0.69011324644088745</v>
      </c>
      <c r="CO33" s="15">
        <v>-0.27469134330749512</v>
      </c>
      <c r="CP33" s="15">
        <v>0.18681319057941437</v>
      </c>
      <c r="CQ33" s="15">
        <v>7.3800738900899887E-3</v>
      </c>
      <c r="CR33">
        <v>17.112481887651427</v>
      </c>
      <c r="CS33">
        <v>12.768171826764707</v>
      </c>
      <c r="CT33">
        <v>2.0161290322580645</v>
      </c>
      <c r="CU33" s="14">
        <v>-1.3402452692389488E-2</v>
      </c>
      <c r="CV33" s="15">
        <v>-9.5695706084370613E-2</v>
      </c>
      <c r="CW33">
        <v>0.06</v>
      </c>
      <c r="CX33">
        <v>4.0374760222110044</v>
      </c>
      <c r="CY33" t="s">
        <v>3535</v>
      </c>
      <c r="CZ33">
        <v>-1.3402452692389488E-2</v>
      </c>
      <c r="DA33">
        <v>1.3458253407370016</v>
      </c>
      <c r="DB33" t="s">
        <v>3536</v>
      </c>
      <c r="DC33">
        <v>-1.2732330057770013E-2</v>
      </c>
      <c r="DD33">
        <v>0.67291267036850078</v>
      </c>
      <c r="DE33" t="s">
        <v>3537</v>
      </c>
      <c r="DF33">
        <v>-1.1794158369302749E-2</v>
      </c>
      <c r="DG33">
        <v>0.40374760222110045</v>
      </c>
      <c r="DH33" t="s">
        <v>3538</v>
      </c>
      <c r="DI33">
        <v>-1.0721962153911592E-2</v>
      </c>
      <c r="DJ33">
        <v>0.20187380111055023</v>
      </c>
      <c r="DK33" t="s">
        <v>3539</v>
      </c>
      <c r="DL33">
        <v>-9.3817168846726407E-3</v>
      </c>
      <c r="DM33">
        <v>94097500</v>
      </c>
      <c r="DN33">
        <v>-1.3402452692389488E-2</v>
      </c>
      <c r="DO33">
        <v>379916400</v>
      </c>
      <c r="DP33">
        <v>2069639900</v>
      </c>
      <c r="DQ33">
        <v>912</v>
      </c>
      <c r="DR33">
        <v>7.4008513298450096E-2</v>
      </c>
      <c r="DS33">
        <v>0.58100943077292366</v>
      </c>
      <c r="DT33" s="16">
        <v>-0.3066666666666667</v>
      </c>
      <c r="DU33">
        <v>-0.15000000000000002</v>
      </c>
      <c r="DV33">
        <v>-0.45666666666666672</v>
      </c>
      <c r="DW33">
        <v>-2.0865999999999998</v>
      </c>
      <c r="DX33">
        <v>0.54988596491228114</v>
      </c>
      <c r="DY33">
        <v>-2.0121141245614034</v>
      </c>
      <c r="DZ33">
        <v>2807</v>
      </c>
      <c r="EA33">
        <v>-2.0054596533982214</v>
      </c>
      <c r="EB33">
        <v>2</v>
      </c>
      <c r="EC33">
        <v>6.5515416150866798E-2</v>
      </c>
      <c r="ED33">
        <v>0.46834874529371134</v>
      </c>
      <c r="EE33" s="17">
        <v>1.0399100000000001</v>
      </c>
      <c r="EF33">
        <v>1.0677099999999999</v>
      </c>
      <c r="EG33">
        <v>41.139885964912281</v>
      </c>
      <c r="EH33" t="s">
        <v>1840</v>
      </c>
      <c r="EI33">
        <v>0</v>
      </c>
      <c r="EJ33">
        <v>0</v>
      </c>
      <c r="EK33" s="19">
        <v>45470</v>
      </c>
      <c r="EL33" s="20">
        <v>-0.79</v>
      </c>
      <c r="EM33" s="20">
        <v>-4.97</v>
      </c>
      <c r="EN33" s="20">
        <v>1.26</v>
      </c>
      <c r="EO33" s="20">
        <v>3.93</v>
      </c>
      <c r="EP33" s="20">
        <v>-2.78</v>
      </c>
    </row>
    <row r="34" spans="1:146" ht="84" x14ac:dyDescent="0.25">
      <c r="A34" s="7"/>
      <c r="B34" s="7"/>
      <c r="C34" s="7" t="str">
        <f>""&amp;CHAR(10)&amp;Basic_Fundamental_Information_Constructure(F34)&amp;CHAR(10)&amp;Basic_Fundamental_Information_Concatenate("")</f>
        <v xml:space="preserve">
市值62.08598亿, 利润3.01亿; PE23.95; 平均PE31.17; 平均PEG4.47, PB1.04; ROIC4.695%; ROE-.5%; 股利率6.3425%; 毛利17.34%; 净利-.95%; 上一年度营收增15.65%, 利润增.33%; 当季营收增3.66%, 利润增-31.47%; 过往5年营收增6.98%, 利润增-3.74%
Income profile:
</v>
      </c>
      <c r="D34" t="s">
        <v>510</v>
      </c>
      <c r="E34" t="s">
        <v>511</v>
      </c>
      <c r="F34">
        <v>4.7300000000000004</v>
      </c>
      <c r="G34">
        <v>0.64</v>
      </c>
      <c r="H34" t="s">
        <v>3540</v>
      </c>
      <c r="I34">
        <v>6208598000</v>
      </c>
      <c r="J34">
        <v>23.95</v>
      </c>
      <c r="K34">
        <v>1.04</v>
      </c>
      <c r="L34" t="s">
        <v>172</v>
      </c>
      <c r="M34" t="s">
        <v>3541</v>
      </c>
      <c r="N34" t="s">
        <v>3542</v>
      </c>
      <c r="O34" t="s">
        <v>2561</v>
      </c>
      <c r="P34">
        <v>3.66</v>
      </c>
      <c r="Q34" t="s">
        <v>3543</v>
      </c>
      <c r="R34">
        <v>90454910</v>
      </c>
      <c r="S34" s="5">
        <v>-0.31659999999999999</v>
      </c>
      <c r="T34" t="s">
        <v>587</v>
      </c>
      <c r="U34">
        <v>1311341050</v>
      </c>
      <c r="V34">
        <v>1312600000</v>
      </c>
      <c r="W34">
        <v>1.84</v>
      </c>
      <c r="X34">
        <v>0.11</v>
      </c>
      <c r="Y34">
        <v>7.2</v>
      </c>
      <c r="Z34" t="s">
        <v>662</v>
      </c>
      <c r="AA34" t="s">
        <v>3448</v>
      </c>
      <c r="AB34" t="s">
        <v>3544</v>
      </c>
      <c r="AC34" t="s">
        <v>3545</v>
      </c>
      <c r="AD34" t="s">
        <v>19</v>
      </c>
      <c r="AE34">
        <v>17530590</v>
      </c>
      <c r="AF34" t="s">
        <v>3546</v>
      </c>
      <c r="AG34" t="s">
        <v>2381</v>
      </c>
      <c r="AH34" t="s">
        <v>3547</v>
      </c>
      <c r="AI34" t="s">
        <v>1414</v>
      </c>
      <c r="AJ34" t="s">
        <v>3548</v>
      </c>
      <c r="AK34" t="s">
        <v>2525</v>
      </c>
      <c r="AL34" t="s">
        <v>3549</v>
      </c>
      <c r="AM34" t="s">
        <v>19</v>
      </c>
      <c r="AN34" t="s">
        <v>2337</v>
      </c>
      <c r="AO34" t="s">
        <v>2776</v>
      </c>
      <c r="AP34" t="s">
        <v>2196</v>
      </c>
      <c r="AQ34" t="s">
        <v>3550</v>
      </c>
      <c r="AR34" t="s">
        <v>19</v>
      </c>
      <c r="AS34" t="s">
        <v>3551</v>
      </c>
      <c r="AT34" t="s">
        <v>1401</v>
      </c>
      <c r="AU34" t="s">
        <v>2063</v>
      </c>
      <c r="AV34" t="s">
        <v>3552</v>
      </c>
      <c r="AW34" t="s">
        <v>2632</v>
      </c>
      <c r="AX34" t="s">
        <v>1984</v>
      </c>
      <c r="AY34" t="s">
        <v>2171</v>
      </c>
      <c r="AZ34" t="s">
        <v>512</v>
      </c>
      <c r="BA34" t="s">
        <v>518</v>
      </c>
      <c r="BB34" t="s">
        <v>519</v>
      </c>
      <c r="BC34" t="s">
        <v>509</v>
      </c>
      <c r="BD34" t="s">
        <v>2172</v>
      </c>
      <c r="BE34" t="s">
        <v>513</v>
      </c>
      <c r="BF34" t="s">
        <v>520</v>
      </c>
      <c r="BG34" t="s">
        <v>521</v>
      </c>
      <c r="BH34" t="s">
        <v>3543</v>
      </c>
      <c r="BI34" t="s">
        <v>533</v>
      </c>
      <c r="BJ34" t="s">
        <v>1984</v>
      </c>
      <c r="BK34" t="s">
        <v>587</v>
      </c>
      <c r="BL34" t="s">
        <v>224</v>
      </c>
      <c r="BM34" t="s">
        <v>509</v>
      </c>
      <c r="BN34">
        <v>4.59</v>
      </c>
      <c r="BO34">
        <v>4.8</v>
      </c>
      <c r="BP34" t="s">
        <v>19</v>
      </c>
      <c r="BQ34">
        <v>5.59</v>
      </c>
      <c r="BR34">
        <v>5.51</v>
      </c>
      <c r="BS34">
        <v>-12.6</v>
      </c>
      <c r="BT34" t="s">
        <v>3553</v>
      </c>
      <c r="BU34" t="s">
        <v>2920</v>
      </c>
      <c r="BV34">
        <v>17.739999999999998</v>
      </c>
      <c r="BW34">
        <v>17.14</v>
      </c>
      <c r="BX34">
        <v>17.14</v>
      </c>
      <c r="BY34">
        <v>4.97</v>
      </c>
      <c r="BZ34">
        <v>5.87</v>
      </c>
      <c r="CA34">
        <v>-13.69</v>
      </c>
      <c r="CB34">
        <v>-3.47</v>
      </c>
      <c r="CC34">
        <v>-11.59</v>
      </c>
      <c r="CD34" t="s">
        <v>3554</v>
      </c>
      <c r="CE34" t="s">
        <v>588</v>
      </c>
      <c r="CF34" s="14">
        <v>3.6595744680851063E-2</v>
      </c>
      <c r="CG34" s="15">
        <v>-0.31473553030303031</v>
      </c>
      <c r="CH34" s="14">
        <v>0.15646392107009888</v>
      </c>
      <c r="CI34" s="14">
        <v>-6.8161129951477051E-2</v>
      </c>
      <c r="CJ34" s="14">
        <v>-9.5300883054733276E-2</v>
      </c>
      <c r="CK34" s="14">
        <v>0.18921561539173126</v>
      </c>
      <c r="CL34" s="14">
        <v>0.16678117215633392</v>
      </c>
      <c r="CM34" s="15">
        <v>3.3333334140479565E-3</v>
      </c>
      <c r="CN34" s="15">
        <v>1.3870968818664551</v>
      </c>
      <c r="CO34" s="15">
        <v>-2.256077766418457</v>
      </c>
      <c r="CP34" s="15">
        <v>0.54250001907348633</v>
      </c>
      <c r="CQ34" s="15">
        <v>0.13636364042758942</v>
      </c>
      <c r="CR34">
        <v>31.172876987447701</v>
      </c>
      <c r="CS34">
        <v>4.4660449135472335</v>
      </c>
      <c r="CT34">
        <v>6.3424947145877368</v>
      </c>
      <c r="CU34" s="14">
        <v>6.979973912239075E-2</v>
      </c>
      <c r="CV34" s="15">
        <v>-3.7356778327375648E-2</v>
      </c>
      <c r="CW34">
        <v>0.06</v>
      </c>
      <c r="CX34">
        <v>16.434764316260154</v>
      </c>
      <c r="CY34">
        <v>303782756.10928267</v>
      </c>
      <c r="CZ34">
        <v>6.979973912239075E-2</v>
      </c>
      <c r="DA34">
        <v>5.4635977459991096</v>
      </c>
      <c r="DB34">
        <v>913793114.37339735</v>
      </c>
      <c r="DC34">
        <v>6.6309752166271205E-2</v>
      </c>
      <c r="DD34">
        <v>2.7514866310111006</v>
      </c>
      <c r="DE34">
        <v>1814509270.6357613</v>
      </c>
      <c r="DF34">
        <v>6.1423770427703861E-2</v>
      </c>
      <c r="DG34">
        <v>1.6948275704246989</v>
      </c>
      <c r="DH34">
        <v>2945785215.6304774</v>
      </c>
      <c r="DI34">
        <v>5.5839791297912604E-2</v>
      </c>
      <c r="DJ34">
        <v>0.92491719259777272</v>
      </c>
      <c r="DK34">
        <v>5397886470.2228289</v>
      </c>
      <c r="DL34">
        <v>4.8859817385673521E-2</v>
      </c>
      <c r="DM34">
        <v>301000000</v>
      </c>
      <c r="DN34">
        <v>6.979973912239075E-2</v>
      </c>
      <c r="DO34">
        <v>4992598000</v>
      </c>
      <c r="DP34">
        <v>625830599.99999952</v>
      </c>
      <c r="DQ34">
        <v>937</v>
      </c>
      <c r="DR34">
        <v>-3.3203994441539687E-2</v>
      </c>
      <c r="DS34">
        <v>-0.27737875197565465</v>
      </c>
      <c r="DT34" s="16">
        <v>-5.6666666666666719E-2</v>
      </c>
      <c r="DU34">
        <v>-0.48666666666666675</v>
      </c>
      <c r="DV34">
        <v>-0.54333333333333345</v>
      </c>
      <c r="DW34">
        <v>-8.29939603106126</v>
      </c>
      <c r="DX34">
        <v>0.35053745019920424</v>
      </c>
      <c r="DY34">
        <v>-8.0420763548051113</v>
      </c>
      <c r="DZ34">
        <v>2949</v>
      </c>
      <c r="EA34">
        <v>-8.0177939339987958</v>
      </c>
      <c r="EB34">
        <v>8</v>
      </c>
      <c r="EC34">
        <v>2.6874066737772359E-2</v>
      </c>
      <c r="ED34">
        <v>0.19122352582660365</v>
      </c>
      <c r="EE34" s="17">
        <v>-1.01051</v>
      </c>
      <c r="EF34">
        <v>-1.0558099999999999</v>
      </c>
      <c r="EG34">
        <v>21.140537450199204</v>
      </c>
      <c r="EH34" t="s">
        <v>1838</v>
      </c>
      <c r="EI34">
        <v>0</v>
      </c>
      <c r="EJ34">
        <v>0</v>
      </c>
      <c r="EK34" s="19">
        <v>45470</v>
      </c>
      <c r="EL34" s="20">
        <v>0.4</v>
      </c>
      <c r="EM34" s="20">
        <v>-4.38</v>
      </c>
      <c r="EN34" s="20">
        <v>1.04</v>
      </c>
      <c r="EO34" s="20">
        <v>4.74</v>
      </c>
      <c r="EP34" s="20">
        <v>-4.53</v>
      </c>
    </row>
    <row r="35" spans="1:146" ht="84" x14ac:dyDescent="0.25">
      <c r="A35" s="7"/>
      <c r="B35" s="7"/>
      <c r="C35" s="7" t="str">
        <f>""&amp;CHAR(10)&amp;Basic_Fundamental_Information_Constructure(F35)&amp;CHAR(10)&amp;Basic_Fundamental_Information_Concatenate("")</f>
        <v xml:space="preserve">
市值33.127463亿, 利润3.11亿; PE10.43; 平均PE16.45; 平均PEG1.2, PB.964; ROIC5.8467%; ROE7.1033%; 股利率2.3091%; 毛利26.1633%; 净利9.2267%; 上一年度营收增24.41%, 利润增86.23%; 当季营收增20.49%, 利润增8.24%; 过往5年营收增13.68%, 利润增21.53%
Income profile:
</v>
      </c>
      <c r="D35" t="s">
        <v>528</v>
      </c>
      <c r="E35" t="s">
        <v>529</v>
      </c>
      <c r="F35">
        <v>5.63</v>
      </c>
      <c r="G35">
        <v>0.72</v>
      </c>
      <c r="H35" t="s">
        <v>3555</v>
      </c>
      <c r="I35">
        <v>3312746300</v>
      </c>
      <c r="J35">
        <v>10.43</v>
      </c>
      <c r="K35">
        <v>0.96399999999999997</v>
      </c>
      <c r="L35" t="s">
        <v>172</v>
      </c>
      <c r="M35" t="s">
        <v>3556</v>
      </c>
      <c r="N35" t="s">
        <v>3557</v>
      </c>
      <c r="O35" t="s">
        <v>985</v>
      </c>
      <c r="P35">
        <v>20.55</v>
      </c>
      <c r="Q35" t="s">
        <v>3558</v>
      </c>
      <c r="R35">
        <v>88886416</v>
      </c>
      <c r="S35" s="5">
        <v>8.2400000000000001E-2</v>
      </c>
      <c r="T35" t="s">
        <v>412</v>
      </c>
      <c r="U35">
        <v>486876660</v>
      </c>
      <c r="V35">
        <v>588409650</v>
      </c>
      <c r="W35">
        <v>1.5</v>
      </c>
      <c r="X35">
        <v>0.15</v>
      </c>
      <c r="Y35">
        <v>11.61</v>
      </c>
      <c r="Z35" t="s">
        <v>2640</v>
      </c>
      <c r="AA35" t="s">
        <v>726</v>
      </c>
      <c r="AB35" t="s">
        <v>3559</v>
      </c>
      <c r="AC35" t="s">
        <v>3560</v>
      </c>
      <c r="AD35" t="s">
        <v>19</v>
      </c>
      <c r="AE35">
        <v>6493659</v>
      </c>
      <c r="AF35" t="s">
        <v>3561</v>
      </c>
      <c r="AG35" t="s">
        <v>3562</v>
      </c>
      <c r="AH35" t="s">
        <v>3563</v>
      </c>
      <c r="AI35" t="s">
        <v>2769</v>
      </c>
      <c r="AJ35" t="s">
        <v>3564</v>
      </c>
      <c r="AK35" t="s">
        <v>3565</v>
      </c>
      <c r="AL35" t="s">
        <v>3566</v>
      </c>
      <c r="AM35" t="s">
        <v>19</v>
      </c>
      <c r="AN35" t="s">
        <v>3567</v>
      </c>
      <c r="AO35" t="s">
        <v>522</v>
      </c>
      <c r="AP35" t="s">
        <v>3568</v>
      </c>
      <c r="AQ35" t="s">
        <v>3569</v>
      </c>
      <c r="AR35" t="s">
        <v>19</v>
      </c>
      <c r="AS35" t="s">
        <v>3570</v>
      </c>
      <c r="AT35" t="s">
        <v>3291</v>
      </c>
      <c r="AU35" t="s">
        <v>3571</v>
      </c>
      <c r="AV35" t="s">
        <v>3572</v>
      </c>
      <c r="AW35" t="s">
        <v>3573</v>
      </c>
      <c r="AX35" t="s">
        <v>586</v>
      </c>
      <c r="AY35" t="s">
        <v>1596</v>
      </c>
      <c r="AZ35" t="s">
        <v>530</v>
      </c>
      <c r="BA35" t="s">
        <v>531</v>
      </c>
      <c r="BB35" t="s">
        <v>532</v>
      </c>
      <c r="BC35" t="s">
        <v>508</v>
      </c>
      <c r="BD35" t="s">
        <v>714</v>
      </c>
      <c r="BE35" t="s">
        <v>446</v>
      </c>
      <c r="BF35" t="s">
        <v>534</v>
      </c>
      <c r="BG35" t="s">
        <v>339</v>
      </c>
      <c r="BH35" t="s">
        <v>3558</v>
      </c>
      <c r="BI35" t="s">
        <v>2193</v>
      </c>
      <c r="BJ35" t="s">
        <v>586</v>
      </c>
      <c r="BK35" t="s">
        <v>412</v>
      </c>
      <c r="BL35" t="s">
        <v>3574</v>
      </c>
      <c r="BM35" t="s">
        <v>508</v>
      </c>
      <c r="BN35">
        <v>6.68</v>
      </c>
      <c r="BO35">
        <v>4.83</v>
      </c>
      <c r="BP35">
        <v>6.03</v>
      </c>
      <c r="BQ35">
        <v>8.16</v>
      </c>
      <c r="BR35">
        <v>5.67</v>
      </c>
      <c r="BS35">
        <v>7.48</v>
      </c>
      <c r="BT35" t="s">
        <v>2004</v>
      </c>
      <c r="BU35" t="s">
        <v>2920</v>
      </c>
      <c r="BV35">
        <v>26.91</v>
      </c>
      <c r="BW35">
        <v>25.01</v>
      </c>
      <c r="BX35">
        <v>26.57</v>
      </c>
      <c r="BY35">
        <v>11.36</v>
      </c>
      <c r="BZ35">
        <v>7.45</v>
      </c>
      <c r="CA35">
        <v>8.8699999999999992</v>
      </c>
      <c r="CB35">
        <v>-1.92</v>
      </c>
      <c r="CC35">
        <v>-10.92</v>
      </c>
      <c r="CD35" t="s">
        <v>3575</v>
      </c>
      <c r="CE35" t="s">
        <v>475</v>
      </c>
      <c r="CF35" s="14">
        <v>0.2049062049062049</v>
      </c>
      <c r="CG35" s="15">
        <v>8.2449413025476162E-2</v>
      </c>
      <c r="CH35" s="14">
        <v>0.24413546919822693</v>
      </c>
      <c r="CI35" s="14">
        <v>-6.0024421662092209E-2</v>
      </c>
      <c r="CJ35" s="14">
        <v>0.34560436010360718</v>
      </c>
      <c r="CK35" s="14">
        <v>0.22147651016712189</v>
      </c>
      <c r="CL35" s="14">
        <v>-6.7000590264797211E-2</v>
      </c>
      <c r="CM35" s="15">
        <v>0.86227542161941528</v>
      </c>
      <c r="CN35" s="15">
        <v>-0.20853079855442047</v>
      </c>
      <c r="CO35" s="15">
        <v>0.40666666626930237</v>
      </c>
      <c r="CP35" s="15">
        <v>0.70225512981414795</v>
      </c>
      <c r="CQ35" s="15">
        <v>-0.68641138076782227</v>
      </c>
      <c r="CR35">
        <v>16.452425358309252</v>
      </c>
      <c r="CS35">
        <v>1.202326359310488</v>
      </c>
      <c r="CT35">
        <v>2.3090586145648313</v>
      </c>
      <c r="CU35" s="14">
        <v>0.13683826550841333</v>
      </c>
      <c r="CV35" s="15">
        <v>0.21525100767612457</v>
      </c>
      <c r="CW35">
        <v>0.06</v>
      </c>
      <c r="CX35">
        <v>4.2835309740843197</v>
      </c>
      <c r="CY35">
        <v>333544057.14444953</v>
      </c>
      <c r="CZ35">
        <v>0.13683826550841333</v>
      </c>
      <c r="DA35">
        <v>1.3456724984595416</v>
      </c>
      <c r="DB35">
        <v>1061734041.2585952</v>
      </c>
      <c r="DC35">
        <v>0.12999635223299266</v>
      </c>
      <c r="DD35">
        <v>0.62782685618691392</v>
      </c>
      <c r="DE35">
        <v>2275701152.1893859</v>
      </c>
      <c r="DF35">
        <v>0.12041767364740373</v>
      </c>
      <c r="DG35">
        <v>0.35442078112890929</v>
      </c>
      <c r="DH35">
        <v>4031214804.7558727</v>
      </c>
      <c r="DI35">
        <v>0.10947061240673067</v>
      </c>
      <c r="DJ35">
        <v>0.15915551948952586</v>
      </c>
      <c r="DK35">
        <v>8977045248.4623184</v>
      </c>
      <c r="DL35">
        <v>9.5786785855889317E-2</v>
      </c>
      <c r="DM35">
        <v>311000000</v>
      </c>
      <c r="DN35">
        <v>0.13683826550841333</v>
      </c>
      <c r="DO35">
        <v>1428746300</v>
      </c>
      <c r="DP35">
        <v>963447100</v>
      </c>
      <c r="DQ35">
        <v>950</v>
      </c>
      <c r="DR35">
        <v>6.8067939397791571E-2</v>
      </c>
      <c r="DS35">
        <v>-0.13280159465064839</v>
      </c>
      <c r="DT35" s="16">
        <v>-2.3333333333333355E-2</v>
      </c>
      <c r="DU35">
        <v>0.35000000000000003</v>
      </c>
      <c r="DV35">
        <v>0.32666666666666666</v>
      </c>
      <c r="DW35">
        <v>-2.1092</v>
      </c>
      <c r="DX35">
        <v>0.34537578124999824</v>
      </c>
      <c r="DY35">
        <v>-2.0125990353124998</v>
      </c>
      <c r="DZ35">
        <v>997</v>
      </c>
      <c r="EA35">
        <v>-2.0101408673660099</v>
      </c>
      <c r="EB35">
        <v>2</v>
      </c>
      <c r="EC35">
        <v>5.0196661458560374E-2</v>
      </c>
      <c r="ED35">
        <v>0.43507104276756847</v>
      </c>
      <c r="EE35" s="17">
        <v>1.0806</v>
      </c>
      <c r="EF35">
        <v>1.0497000000000001</v>
      </c>
      <c r="EG35">
        <v>23.115375781249998</v>
      </c>
      <c r="EH35" t="s">
        <v>1832</v>
      </c>
      <c r="EI35">
        <v>0</v>
      </c>
      <c r="EJ35">
        <v>1</v>
      </c>
      <c r="EK35" s="19">
        <v>45470</v>
      </c>
      <c r="EL35" s="20">
        <v>0.17</v>
      </c>
      <c r="EM35" s="20">
        <v>-5.28</v>
      </c>
      <c r="EN35" s="20">
        <v>3.42</v>
      </c>
      <c r="EO35" s="20">
        <v>1.39</v>
      </c>
      <c r="EP35" s="20">
        <v>-3.09</v>
      </c>
    </row>
    <row r="36" spans="1:146" ht="84" x14ac:dyDescent="0.25">
      <c r="A36" s="7"/>
      <c r="B36" s="7"/>
      <c r="C36" s="7" t="str">
        <f>""&amp;CHAR(10)&amp;Basic_Fundamental_Information_Constructure(F36)&amp;CHAR(10)&amp;Basic_Fundamental_Information_Concatenate("")</f>
        <v xml:space="preserve">
市值34.131981亿, 利润9983.58万; PE30.18; 平均PE22.59; 平均PEG3.94, PB.879; ROIC3%; ROE2.8633%; 股利率1.105%; 毛利17.7867%; 净利2.95%; 上一年度营收增12.62%, 利润增5.21%; 当季营收增.37%, 利润增28.06%; 过往5年营收增5.73%, 利润增-4.95%
Income profile:
</v>
      </c>
      <c r="D36" t="s">
        <v>538</v>
      </c>
      <c r="E36" t="s">
        <v>539</v>
      </c>
      <c r="F36">
        <v>5.43</v>
      </c>
      <c r="G36">
        <v>0</v>
      </c>
      <c r="H36" t="s">
        <v>3576</v>
      </c>
      <c r="I36">
        <v>3413198100</v>
      </c>
      <c r="J36">
        <v>30.18</v>
      </c>
      <c r="K36">
        <v>0.879</v>
      </c>
      <c r="L36" t="s">
        <v>172</v>
      </c>
      <c r="M36" t="s">
        <v>3577</v>
      </c>
      <c r="N36" t="s">
        <v>2375</v>
      </c>
      <c r="O36" t="s">
        <v>3578</v>
      </c>
      <c r="P36">
        <v>0.33</v>
      </c>
      <c r="Q36" t="s">
        <v>3579</v>
      </c>
      <c r="R36">
        <v>60440604</v>
      </c>
      <c r="S36" s="5">
        <v>0.28060000000000002</v>
      </c>
      <c r="T36" t="s">
        <v>3580</v>
      </c>
      <c r="U36">
        <v>626979230</v>
      </c>
      <c r="V36">
        <v>628581600</v>
      </c>
      <c r="W36">
        <v>1.67</v>
      </c>
      <c r="X36">
        <v>0.15</v>
      </c>
      <c r="Y36">
        <v>6.44</v>
      </c>
      <c r="Z36" t="s">
        <v>2792</v>
      </c>
      <c r="AA36" t="s">
        <v>2615</v>
      </c>
      <c r="AB36" t="s">
        <v>3581</v>
      </c>
      <c r="AC36" t="s">
        <v>3582</v>
      </c>
      <c r="AD36" t="s">
        <v>19</v>
      </c>
      <c r="AE36">
        <v>-502883</v>
      </c>
      <c r="AF36" t="s">
        <v>3583</v>
      </c>
      <c r="AG36" t="s">
        <v>3584</v>
      </c>
      <c r="AH36" t="s">
        <v>3585</v>
      </c>
      <c r="AI36" t="s">
        <v>270</v>
      </c>
      <c r="AJ36" t="s">
        <v>3586</v>
      </c>
      <c r="AK36" t="s">
        <v>123</v>
      </c>
      <c r="AL36" t="s">
        <v>3587</v>
      </c>
      <c r="AM36" t="s">
        <v>19</v>
      </c>
      <c r="AN36" t="s">
        <v>3588</v>
      </c>
      <c r="AO36" t="s">
        <v>3589</v>
      </c>
      <c r="AP36" t="s">
        <v>3590</v>
      </c>
      <c r="AQ36" t="s">
        <v>302</v>
      </c>
      <c r="AR36" t="s">
        <v>19</v>
      </c>
      <c r="AS36" t="s">
        <v>1080</v>
      </c>
      <c r="AT36" t="s">
        <v>19</v>
      </c>
      <c r="AU36" t="s">
        <v>3591</v>
      </c>
      <c r="AV36" t="s">
        <v>3592</v>
      </c>
      <c r="AW36" t="s">
        <v>3593</v>
      </c>
      <c r="AX36" t="s">
        <v>2151</v>
      </c>
      <c r="AY36" t="s">
        <v>258</v>
      </c>
      <c r="AZ36" t="s">
        <v>540</v>
      </c>
      <c r="BA36" t="s">
        <v>543</v>
      </c>
      <c r="BB36" t="s">
        <v>544</v>
      </c>
      <c r="BC36" t="s">
        <v>3594</v>
      </c>
      <c r="BD36" t="s">
        <v>67</v>
      </c>
      <c r="BE36" t="s">
        <v>517</v>
      </c>
      <c r="BF36" t="s">
        <v>102</v>
      </c>
      <c r="BG36" t="s">
        <v>102</v>
      </c>
      <c r="BH36" t="s">
        <v>3579</v>
      </c>
      <c r="BI36" t="s">
        <v>1251</v>
      </c>
      <c r="BJ36" t="s">
        <v>2151</v>
      </c>
      <c r="BK36" t="s">
        <v>3580</v>
      </c>
      <c r="BL36" t="s">
        <v>3595</v>
      </c>
      <c r="BM36" t="s">
        <v>3594</v>
      </c>
      <c r="BN36">
        <v>2.8</v>
      </c>
      <c r="BO36">
        <v>2.85</v>
      </c>
      <c r="BP36">
        <v>3.35</v>
      </c>
      <c r="BQ36">
        <v>3</v>
      </c>
      <c r="BR36">
        <v>2.5099999999999998</v>
      </c>
      <c r="BS36">
        <v>3.08</v>
      </c>
      <c r="BT36" t="s">
        <v>2011</v>
      </c>
      <c r="BU36" t="s">
        <v>3146</v>
      </c>
      <c r="BV36">
        <v>16.61</v>
      </c>
      <c r="BW36">
        <v>18.100000000000001</v>
      </c>
      <c r="BX36">
        <v>18.649999999999999</v>
      </c>
      <c r="BY36">
        <v>2.56</v>
      </c>
      <c r="BZ36">
        <v>2.89</v>
      </c>
      <c r="CA36">
        <v>3.4</v>
      </c>
      <c r="CB36">
        <v>-2.86</v>
      </c>
      <c r="CC36">
        <v>-13.54</v>
      </c>
      <c r="CD36" t="s">
        <v>3596</v>
      </c>
      <c r="CE36" t="s">
        <v>125</v>
      </c>
      <c r="CF36" s="14">
        <v>3.7418147801683817E-3</v>
      </c>
      <c r="CG36" s="15">
        <v>0.28061623213585751</v>
      </c>
      <c r="CH36" s="14">
        <v>0.12615388631820679</v>
      </c>
      <c r="CI36" s="14">
        <v>2.4490769952535629E-2</v>
      </c>
      <c r="CJ36" s="14">
        <v>0.2186761200428009</v>
      </c>
      <c r="CK36" s="14">
        <v>-6.4592268317937851E-3</v>
      </c>
      <c r="CL36" s="14">
        <v>-7.6464176177978516E-2</v>
      </c>
      <c r="CM36" s="15">
        <v>5.2089206874370575E-2</v>
      </c>
      <c r="CN36" s="15">
        <v>-0.16023978590965271</v>
      </c>
      <c r="CO36" s="15">
        <v>-0.54251009225845337</v>
      </c>
      <c r="CP36" s="15">
        <v>0.40340909361839294</v>
      </c>
      <c r="CQ36" s="15">
        <v>0</v>
      </c>
      <c r="CR36">
        <v>22.585795067477186</v>
      </c>
      <c r="CS36">
        <v>3.9430869785808538</v>
      </c>
      <c r="CT36">
        <v>1.1049723756906078</v>
      </c>
      <c r="CU36" s="14">
        <v>5.7279474660754205E-2</v>
      </c>
      <c r="CV36" s="15">
        <v>-4.9450315535068512E-2</v>
      </c>
      <c r="CW36">
        <v>0.06</v>
      </c>
      <c r="CX36">
        <v>20.478077371644034</v>
      </c>
      <c r="CY36">
        <v>99579568.090883121</v>
      </c>
      <c r="CZ36">
        <v>5.7279474660754205E-2</v>
      </c>
      <c r="DA36">
        <v>6.8807533179370015</v>
      </c>
      <c r="DB36">
        <v>296362622.77912843</v>
      </c>
      <c r="DC36">
        <v>5.4415500927716492E-2</v>
      </c>
      <c r="DD36">
        <v>3.5139044580752006</v>
      </c>
      <c r="DE36">
        <v>580322579.72005439</v>
      </c>
      <c r="DF36">
        <v>5.0405937701463698E-2</v>
      </c>
      <c r="DG36">
        <v>2.1979069178837118</v>
      </c>
      <c r="DH36">
        <v>927790928.45454657</v>
      </c>
      <c r="DI36">
        <v>4.5823579728603368E-2</v>
      </c>
      <c r="DJ36">
        <v>1.238779384465668</v>
      </c>
      <c r="DK36">
        <v>1646134998.34725</v>
      </c>
      <c r="DL36">
        <v>4.0095632262527943E-2</v>
      </c>
      <c r="DM36">
        <v>99835800</v>
      </c>
      <c r="DN36">
        <v>5.7279474660754205E-2</v>
      </c>
      <c r="DO36">
        <v>2039198100</v>
      </c>
      <c r="DP36">
        <v>2388942000</v>
      </c>
      <c r="DQ36">
        <v>955</v>
      </c>
      <c r="DR36">
        <v>-5.3537659880585821E-2</v>
      </c>
      <c r="DS36">
        <v>0.33006654767092602</v>
      </c>
      <c r="DT36" s="16">
        <v>-0.3066666666666667</v>
      </c>
      <c r="DU36">
        <v>0.27333333333333337</v>
      </c>
      <c r="DV36">
        <v>-3.3333333333333326E-2</v>
      </c>
      <c r="DW36">
        <v>-8.2112259970457906</v>
      </c>
      <c r="DX36">
        <v>0.35447874999999951</v>
      </c>
      <c r="DY36">
        <v>-8.0284054080502223</v>
      </c>
      <c r="DZ36">
        <v>1787</v>
      </c>
      <c r="EA36">
        <v>-8.018471853415047</v>
      </c>
      <c r="EB36">
        <v>8</v>
      </c>
      <c r="EC36">
        <v>3.4230400635335174E-2</v>
      </c>
      <c r="ED36">
        <v>0.25454133560384207</v>
      </c>
      <c r="EE36" s="17">
        <v>-1.0785100000000001</v>
      </c>
      <c r="EF36">
        <v>-1.1150100000000001</v>
      </c>
      <c r="EG36">
        <v>22.13447875</v>
      </c>
      <c r="EH36" t="s">
        <v>1838</v>
      </c>
      <c r="EI36">
        <v>0</v>
      </c>
      <c r="EJ36">
        <v>0</v>
      </c>
      <c r="EK36" s="19">
        <v>45470</v>
      </c>
      <c r="EL36" s="20">
        <v>1.42</v>
      </c>
      <c r="EM36" s="20">
        <v>-4.71</v>
      </c>
      <c r="EN36" s="20">
        <v>1.1000000000000001</v>
      </c>
      <c r="EO36" s="20">
        <v>4.17</v>
      </c>
      <c r="EP36" s="20">
        <v>-3.65</v>
      </c>
    </row>
    <row r="37" spans="1:146" ht="204" x14ac:dyDescent="0.25">
      <c r="A37" s="7" t="s">
        <v>2854</v>
      </c>
      <c r="B37" s="7" t="s">
        <v>2855</v>
      </c>
      <c r="C37" s="7" t="str">
        <f>"公司主营业务为机械传动齿轮及其相关零部件的研发、设计与制造，主要应用领域涵盖汽车的动力总成和传动装置包括变速器、分动箱等，新能源汽车的动力驱动装置如混合动力变速器以及各类纯电驱动电机与减速传动齿轮，非道路机械（含工程机械和农用机械）中的减速和传动装置，以及在轨道交通、风力发电、电动工具、机器人自动化等多个行业门类中的驱动、传动应用场景。"&amp;CHAR(10)&amp;Basic_Fundamental_Information_Constructure(F37)&amp;CHAR(10)&amp;Basic_Fundamental_Information_Concatenate("乘用车齿轮 18.38亿 49.87% 3.73亿 47.86% 20.32%
钢材销售 4.83亿 13.10% 5295.85万 6.79% 10.97%
商用车齿轮 4.43亿 12.01% 1.10亿 14.10% 24.86%
工程机械齿轮 3.45亿 9.36% 8211.76万 10.52% 23.80%
减速器及其他 3.16亿 8.56% 1.20亿 15.37% 37.99%
民生齿轮 1.54亿 4.18% 2678.94万 3.43% 17.40%")</f>
        <v>公司主营业务为机械传动齿轮及其相关零部件的研发、设计与制造，主要应用领域涵盖汽车的动力总成和传动装置包括变速器、分动箱等，新能源汽车的动力驱动装置如混合动力变速器以及各类纯电驱动电机与减速传动齿轮，非道路机械（含工程机械和农用机械）中的减速和传动装置，以及在轨道交通、风力发电、电动工具、机器人自动化等多个行业门类中的驱动、传动应用场景。
市值177.9767亿, 利润8.16亿; PE20.54; 平均PE52.13; 平均PEG2.41, PB2.22; ROIC6.6867%; ROE8.6767%; 股利率.5701%; 毛利20.95%; 净利8.49%; 上一年度营收增18.08%, 利润增40.21%; 当季营收增15.79%, 利润增29.43%; 过往5年营收增21.59%, 利润增112.13%
Income profile:
乘用车齿轮 18.38亿 49.87% 3.73亿 47.86% 20.32%
钢材销售 4.83亿 13.10% 5295.85万 6.79% 10.97%
商用车齿轮 4.43亿 12.01% 1.10亿 14.10% 24.86%
工程机械齿轮 3.45亿 9.36% 8211.76万 10.52% 23.80%
减速器及其他 3.16亿 8.56% 1.20亿 15.37% 37.99%
民生齿轮 1.54亿 4.18% 2678.94万 3.43% 17.40%</v>
      </c>
      <c r="D37" t="s">
        <v>549</v>
      </c>
      <c r="E37" t="s">
        <v>550</v>
      </c>
      <c r="F37">
        <v>21.05</v>
      </c>
      <c r="G37">
        <v>-1.31</v>
      </c>
      <c r="H37" t="s">
        <v>3597</v>
      </c>
      <c r="I37">
        <v>17797670000</v>
      </c>
      <c r="J37">
        <v>20.54</v>
      </c>
      <c r="K37">
        <v>2.2200000000000002</v>
      </c>
      <c r="L37" t="s">
        <v>172</v>
      </c>
      <c r="M37" t="s">
        <v>3598</v>
      </c>
      <c r="N37" t="s">
        <v>3599</v>
      </c>
      <c r="O37" t="s">
        <v>3600</v>
      </c>
      <c r="P37">
        <v>15.79</v>
      </c>
      <c r="Q37" t="s">
        <v>3601</v>
      </c>
      <c r="R37">
        <v>221329480</v>
      </c>
      <c r="S37" s="5">
        <v>0.29370000000000002</v>
      </c>
      <c r="T37" t="s">
        <v>2043</v>
      </c>
      <c r="U37">
        <v>750720210</v>
      </c>
      <c r="V37">
        <v>845495030</v>
      </c>
      <c r="W37">
        <v>1.67</v>
      </c>
      <c r="X37">
        <v>0.15</v>
      </c>
      <c r="Y37">
        <v>11.1</v>
      </c>
      <c r="Z37" t="s">
        <v>3602</v>
      </c>
      <c r="AA37" t="s">
        <v>3603</v>
      </c>
      <c r="AB37" t="s">
        <v>3604</v>
      </c>
      <c r="AC37" t="s">
        <v>3605</v>
      </c>
      <c r="AD37" t="s">
        <v>19</v>
      </c>
      <c r="AE37">
        <v>9711469</v>
      </c>
      <c r="AF37" t="s">
        <v>3606</v>
      </c>
      <c r="AG37" t="s">
        <v>3607</v>
      </c>
      <c r="AH37" t="s">
        <v>3608</v>
      </c>
      <c r="AI37" t="s">
        <v>3609</v>
      </c>
      <c r="AJ37" t="s">
        <v>3610</v>
      </c>
      <c r="AK37" t="s">
        <v>3611</v>
      </c>
      <c r="AL37" t="s">
        <v>3612</v>
      </c>
      <c r="AM37" t="s">
        <v>19</v>
      </c>
      <c r="AN37" t="s">
        <v>2367</v>
      </c>
      <c r="AO37" t="s">
        <v>106</v>
      </c>
      <c r="AP37" t="s">
        <v>1930</v>
      </c>
      <c r="AQ37" t="s">
        <v>2536</v>
      </c>
      <c r="AR37" t="s">
        <v>19</v>
      </c>
      <c r="AS37" t="s">
        <v>3613</v>
      </c>
      <c r="AT37" t="s">
        <v>2059</v>
      </c>
      <c r="AU37" t="s">
        <v>526</v>
      </c>
      <c r="AV37" t="s">
        <v>1372</v>
      </c>
      <c r="AW37" t="s">
        <v>2271</v>
      </c>
      <c r="AX37" t="s">
        <v>2174</v>
      </c>
      <c r="AY37" t="s">
        <v>1597</v>
      </c>
      <c r="AZ37" t="s">
        <v>551</v>
      </c>
      <c r="BA37" t="s">
        <v>368</v>
      </c>
      <c r="BB37" t="s">
        <v>556</v>
      </c>
      <c r="BC37" t="s">
        <v>783</v>
      </c>
      <c r="BD37" t="s">
        <v>341</v>
      </c>
      <c r="BE37" t="s">
        <v>552</v>
      </c>
      <c r="BF37" t="s">
        <v>557</v>
      </c>
      <c r="BG37" t="s">
        <v>558</v>
      </c>
      <c r="BH37" t="s">
        <v>3601</v>
      </c>
      <c r="BI37" t="s">
        <v>3614</v>
      </c>
      <c r="BJ37" t="s">
        <v>2174</v>
      </c>
      <c r="BK37" t="s">
        <v>2043</v>
      </c>
      <c r="BL37" t="s">
        <v>526</v>
      </c>
      <c r="BM37" t="s">
        <v>783</v>
      </c>
      <c r="BN37">
        <v>6.23</v>
      </c>
      <c r="BO37">
        <v>7.6</v>
      </c>
      <c r="BP37">
        <v>6.23</v>
      </c>
      <c r="BQ37">
        <v>7.97</v>
      </c>
      <c r="BR37">
        <v>10.38</v>
      </c>
      <c r="BS37">
        <v>7.68</v>
      </c>
      <c r="BT37" t="s">
        <v>2029</v>
      </c>
      <c r="BU37" t="s">
        <v>2920</v>
      </c>
      <c r="BV37">
        <v>22.24</v>
      </c>
      <c r="BW37">
        <v>21.08</v>
      </c>
      <c r="BX37">
        <v>19.53</v>
      </c>
      <c r="BY37">
        <v>10.33</v>
      </c>
      <c r="BZ37">
        <v>8.57</v>
      </c>
      <c r="CA37">
        <v>6.57</v>
      </c>
      <c r="CB37">
        <v>-4.41</v>
      </c>
      <c r="CC37">
        <v>-4.88</v>
      </c>
      <c r="CD37" t="s">
        <v>3615</v>
      </c>
      <c r="CE37" t="s">
        <v>199</v>
      </c>
      <c r="CF37" s="14">
        <v>0.15792410714285698</v>
      </c>
      <c r="CG37" s="15">
        <v>0.29432444444444444</v>
      </c>
      <c r="CH37" s="14">
        <v>0.18075457215309143</v>
      </c>
      <c r="CI37" s="14">
        <v>0.268410325050354</v>
      </c>
      <c r="CJ37" s="14">
        <v>0.47134280204772949</v>
      </c>
      <c r="CK37" s="14">
        <v>0.13226205110549927</v>
      </c>
      <c r="CL37" s="14">
        <v>2.6975542306900024E-2</v>
      </c>
      <c r="CM37" s="15">
        <v>0.40206184983253479</v>
      </c>
      <c r="CN37" s="15">
        <v>0.78527605533599854</v>
      </c>
      <c r="CO37" s="15">
        <v>5.363347053527832</v>
      </c>
      <c r="CP37" s="15">
        <v>-0.34585297107696533</v>
      </c>
      <c r="CQ37" s="15">
        <v>-0.59837383031845093</v>
      </c>
      <c r="CR37">
        <v>52.127663105770523</v>
      </c>
      <c r="CS37">
        <v>2.4138870277998237</v>
      </c>
      <c r="CT37">
        <v>0.57007125890736343</v>
      </c>
      <c r="CU37" s="14">
        <v>0.21594905853271484</v>
      </c>
      <c r="CV37" s="15">
        <v>1.1212916314601897</v>
      </c>
      <c r="CW37">
        <v>0.06</v>
      </c>
      <c r="CX37">
        <v>15.135569206870541</v>
      </c>
      <c r="CY37">
        <v>936051350.71952379</v>
      </c>
      <c r="CZ37">
        <v>0.21594905853271484</v>
      </c>
      <c r="DA37">
        <v>4.4528117426069036</v>
      </c>
      <c r="DB37">
        <v>3181735680.4996028</v>
      </c>
      <c r="DC37">
        <v>0.20515160560607909</v>
      </c>
      <c r="DD37">
        <v>1.8928782469293619</v>
      </c>
      <c r="DE37">
        <v>7484723342.8683949</v>
      </c>
      <c r="DF37">
        <v>0.19003517150878907</v>
      </c>
      <c r="DG37">
        <v>0.95496899588724116</v>
      </c>
      <c r="DH37">
        <v>14835738187.329445</v>
      </c>
      <c r="DI37">
        <v>0.17275924682617189</v>
      </c>
      <c r="DJ37">
        <v>0.32679232022631516</v>
      </c>
      <c r="DK37">
        <v>43353742187.663376</v>
      </c>
      <c r="DL37">
        <v>0.15116434097290038</v>
      </c>
      <c r="DM37">
        <v>816000000</v>
      </c>
      <c r="DN37">
        <v>0.21594905853271484</v>
      </c>
      <c r="DO37">
        <v>14167670000</v>
      </c>
      <c r="DP37">
        <v>1582569700</v>
      </c>
      <c r="DQ37">
        <v>972</v>
      </c>
      <c r="DR37">
        <v>-5.8024951389857859E-2</v>
      </c>
      <c r="DS37">
        <v>-0.82696718701574534</v>
      </c>
      <c r="DT37" s="16">
        <v>1.0000000000000011E-2</v>
      </c>
      <c r="DU37">
        <v>0.91666666666666685</v>
      </c>
      <c r="DV37">
        <v>0.92666666666666686</v>
      </c>
      <c r="DW37">
        <v>-8.903688524590164</v>
      </c>
      <c r="DX37">
        <v>0.4085586885245911</v>
      </c>
      <c r="DY37">
        <v>-8.1523245525396391</v>
      </c>
      <c r="DZ37">
        <v>252</v>
      </c>
      <c r="EA37">
        <v>-8.1448126567979582</v>
      </c>
      <c r="EB37">
        <v>8</v>
      </c>
      <c r="EC37">
        <v>6.0805088351613371E-2</v>
      </c>
      <c r="ED37">
        <v>0.36073541437612</v>
      </c>
      <c r="EE37" s="17">
        <v>8.7209999999999996E-2</v>
      </c>
      <c r="EF37">
        <v>0.11620999999999999</v>
      </c>
      <c r="EG37">
        <v>24.168558688524591</v>
      </c>
      <c r="EH37">
        <v>-1</v>
      </c>
      <c r="EI37">
        <v>0</v>
      </c>
      <c r="EJ37">
        <v>1</v>
      </c>
      <c r="EK37" s="19">
        <v>45470</v>
      </c>
      <c r="EL37" s="20">
        <v>0.49</v>
      </c>
      <c r="EM37" s="20">
        <v>-2.87</v>
      </c>
      <c r="EN37" s="20">
        <v>-0.05</v>
      </c>
      <c r="EO37" s="20">
        <v>1.91</v>
      </c>
      <c r="EP37" s="20">
        <v>-2.9</v>
      </c>
    </row>
    <row r="38" spans="1:146" ht="84" x14ac:dyDescent="0.25">
      <c r="A38" s="7"/>
      <c r="B38" s="7"/>
      <c r="C38" s="7" t="str">
        <f>""&amp;CHAR(10)&amp;Basic_Fundamental_Information_Constructure(F38)&amp;CHAR(10)&amp;Basic_Fundamental_Information_Concatenate("")</f>
        <v xml:space="preserve">
市值43.898863亿, 利润3204.78万; PE75.97; 平均PE112.23; 平均PEG20.07, PB1.06; ROIC2.31%; ROE1.4867%; 股利率.2721%; 毛利9.31%; 净利2.35%; 上一年度营收增11.2%, 利润增-71.13%; 当季营收增17.72%, 利润增248.44%; 过往5年营收增5.59%, 利润增-151.4%
Income profile:
</v>
      </c>
      <c r="D38" t="s">
        <v>560</v>
      </c>
      <c r="E38" t="s">
        <v>561</v>
      </c>
      <c r="F38">
        <v>4.41</v>
      </c>
      <c r="G38">
        <v>1.1499999999999999</v>
      </c>
      <c r="H38" t="s">
        <v>3616</v>
      </c>
      <c r="I38">
        <v>4389886300</v>
      </c>
      <c r="J38">
        <v>75.97</v>
      </c>
      <c r="K38">
        <v>1.06</v>
      </c>
      <c r="L38" t="s">
        <v>172</v>
      </c>
      <c r="M38" t="s">
        <v>3617</v>
      </c>
      <c r="N38" t="s">
        <v>3618</v>
      </c>
      <c r="O38" t="s">
        <v>169</v>
      </c>
      <c r="P38">
        <v>17.79</v>
      </c>
      <c r="Q38" t="s">
        <v>2903</v>
      </c>
      <c r="R38">
        <v>23500000</v>
      </c>
      <c r="S38" s="6">
        <v>1.6259999999999999</v>
      </c>
      <c r="T38" t="s">
        <v>3619</v>
      </c>
      <c r="U38">
        <v>916953750</v>
      </c>
      <c r="V38">
        <v>995439070</v>
      </c>
      <c r="W38">
        <v>1.95</v>
      </c>
      <c r="X38">
        <v>0.1</v>
      </c>
      <c r="Y38">
        <v>1.19</v>
      </c>
      <c r="Z38" t="s">
        <v>704</v>
      </c>
      <c r="AA38" t="s">
        <v>2624</v>
      </c>
      <c r="AB38" t="s">
        <v>3620</v>
      </c>
      <c r="AC38" t="s">
        <v>3621</v>
      </c>
      <c r="AD38" t="s">
        <v>19</v>
      </c>
      <c r="AE38">
        <v>11340771</v>
      </c>
      <c r="AF38" t="s">
        <v>3622</v>
      </c>
      <c r="AG38" t="s">
        <v>3623</v>
      </c>
      <c r="AH38" t="s">
        <v>3624</v>
      </c>
      <c r="AI38" t="s">
        <v>680</v>
      </c>
      <c r="AJ38" t="s">
        <v>3625</v>
      </c>
      <c r="AK38" t="s">
        <v>3626</v>
      </c>
      <c r="AL38" t="s">
        <v>3627</v>
      </c>
      <c r="AM38" t="s">
        <v>19</v>
      </c>
      <c r="AN38" t="s">
        <v>3628</v>
      </c>
      <c r="AO38" t="s">
        <v>2013</v>
      </c>
      <c r="AP38" t="s">
        <v>424</v>
      </c>
      <c r="AQ38" t="s">
        <v>852</v>
      </c>
      <c r="AR38" t="s">
        <v>3629</v>
      </c>
      <c r="AS38" t="s">
        <v>3630</v>
      </c>
      <c r="AT38" t="s">
        <v>2542</v>
      </c>
      <c r="AU38" t="s">
        <v>2639</v>
      </c>
      <c r="AV38" t="s">
        <v>3631</v>
      </c>
      <c r="AW38" t="s">
        <v>3632</v>
      </c>
      <c r="AX38" t="s">
        <v>2176</v>
      </c>
      <c r="AY38" t="s">
        <v>1598</v>
      </c>
      <c r="AZ38" t="s">
        <v>1987</v>
      </c>
      <c r="BA38" t="s">
        <v>565</v>
      </c>
      <c r="BB38" t="s">
        <v>566</v>
      </c>
      <c r="BC38" t="s">
        <v>229</v>
      </c>
      <c r="BD38" t="s">
        <v>1599</v>
      </c>
      <c r="BE38" t="s">
        <v>562</v>
      </c>
      <c r="BF38" t="s">
        <v>567</v>
      </c>
      <c r="BG38" t="s">
        <v>207</v>
      </c>
      <c r="BH38" t="s">
        <v>2903</v>
      </c>
      <c r="BI38" t="s">
        <v>2488</v>
      </c>
      <c r="BJ38" t="s">
        <v>2176</v>
      </c>
      <c r="BK38" t="s">
        <v>3619</v>
      </c>
      <c r="BL38" t="s">
        <v>3633</v>
      </c>
      <c r="BM38" t="s">
        <v>229</v>
      </c>
      <c r="BN38" t="s">
        <v>19</v>
      </c>
      <c r="BO38">
        <v>2.21</v>
      </c>
      <c r="BP38">
        <v>2.41</v>
      </c>
      <c r="BQ38">
        <v>-0.05</v>
      </c>
      <c r="BR38">
        <v>2.73</v>
      </c>
      <c r="BS38">
        <v>1.78</v>
      </c>
      <c r="BT38" t="s">
        <v>3404</v>
      </c>
      <c r="BU38" t="s">
        <v>3032</v>
      </c>
      <c r="BV38">
        <v>9.66</v>
      </c>
      <c r="BW38">
        <v>7.56</v>
      </c>
      <c r="BX38">
        <v>10.71</v>
      </c>
      <c r="BY38">
        <v>0.95</v>
      </c>
      <c r="BZ38">
        <v>3.62</v>
      </c>
      <c r="CA38">
        <v>2.48</v>
      </c>
      <c r="CB38">
        <v>0.46</v>
      </c>
      <c r="CC38">
        <v>-12.33</v>
      </c>
      <c r="CD38" t="s">
        <v>3634</v>
      </c>
      <c r="CE38" t="s">
        <v>752</v>
      </c>
      <c r="CF38" s="14">
        <v>0.17723342939481268</v>
      </c>
      <c r="CG38" s="15">
        <v>2.4843824021728831</v>
      </c>
      <c r="CH38" s="14">
        <v>0.11195755749940872</v>
      </c>
      <c r="CI38" s="14">
        <v>0.10667157918214798</v>
      </c>
      <c r="CJ38" s="14">
        <v>4.1221372783184052E-2</v>
      </c>
      <c r="CK38" s="14">
        <v>0.23935666680335999</v>
      </c>
      <c r="CL38" s="14">
        <v>-0.21963822841644287</v>
      </c>
      <c r="CM38" s="15">
        <v>-0.71128106117248535</v>
      </c>
      <c r="CN38" s="15">
        <v>0.64318597316741943</v>
      </c>
      <c r="CO38" s="15">
        <v>1.414427638053894</v>
      </c>
      <c r="CP38" s="15">
        <v>-8.0571632385253906</v>
      </c>
      <c r="CQ38" s="15">
        <v>-0.85916399955749512</v>
      </c>
      <c r="CR38">
        <v>112.22709574829801</v>
      </c>
      <c r="CS38">
        <v>20.071452250098758</v>
      </c>
      <c r="CT38">
        <v>0.27210884353741494</v>
      </c>
      <c r="CU38" s="14">
        <v>5.5913789570331572E-2</v>
      </c>
      <c r="CV38" s="15">
        <v>-1.5139989376068115</v>
      </c>
      <c r="CW38">
        <v>0.06</v>
      </c>
      <c r="CX38">
        <v>124.66652303290093</v>
      </c>
      <c r="CY38">
        <v>31924258.439049128</v>
      </c>
      <c r="CZ38">
        <v>5.5913789570331572E-2</v>
      </c>
      <c r="DA38">
        <v>41.937508272955078</v>
      </c>
      <c r="DB38">
        <v>94900399.759004608</v>
      </c>
      <c r="DC38">
        <v>5.3118100091814988E-2</v>
      </c>
      <c r="DD38">
        <v>21.449411164502585</v>
      </c>
      <c r="DE38">
        <v>185547578.41494778</v>
      </c>
      <c r="DF38">
        <v>4.920413482189178E-2</v>
      </c>
      <c r="DG38">
        <v>13.438565173398919</v>
      </c>
      <c r="DH38">
        <v>296154109.3596822</v>
      </c>
      <c r="DI38">
        <v>4.4731031656265262E-2</v>
      </c>
      <c r="DJ38">
        <v>7.6002758875382437</v>
      </c>
      <c r="DK38">
        <v>523650240.97685736</v>
      </c>
      <c r="DL38">
        <v>3.91396526992321E-2</v>
      </c>
      <c r="DM38">
        <v>32047800.000000004</v>
      </c>
      <c r="DN38">
        <v>5.5913789570331572E-2</v>
      </c>
      <c r="DO38">
        <v>3979886300</v>
      </c>
      <c r="DP38">
        <v>936308300</v>
      </c>
      <c r="DQ38">
        <v>986</v>
      </c>
      <c r="DR38">
        <v>0.1213196398244811</v>
      </c>
      <c r="DS38">
        <v>3.9983813397796943</v>
      </c>
      <c r="DT38" s="16">
        <v>-0.42333333333333334</v>
      </c>
      <c r="DU38">
        <v>-1.0566666666666664</v>
      </c>
      <c r="DV38">
        <v>-1.4799999999999998</v>
      </c>
      <c r="DW38">
        <v>-2.1233</v>
      </c>
      <c r="DX38">
        <v>0.37019490909091002</v>
      </c>
      <c r="DY38">
        <v>-2.018519032290909</v>
      </c>
      <c r="DZ38">
        <v>4001</v>
      </c>
      <c r="EA38">
        <v>-2.0040191011371071</v>
      </c>
      <c r="EB38">
        <v>2</v>
      </c>
      <c r="EC38">
        <v>4.1492845965951486E-2</v>
      </c>
      <c r="ED38">
        <v>0.27626000253335448</v>
      </c>
      <c r="EE38" s="17">
        <v>-2.0122100000000001</v>
      </c>
      <c r="EF38">
        <v>-2.0725099999999999</v>
      </c>
      <c r="EG38">
        <v>22.15019490909091</v>
      </c>
      <c r="EH38" t="s">
        <v>2497</v>
      </c>
      <c r="EI38">
        <v>0</v>
      </c>
      <c r="EJ38">
        <v>0</v>
      </c>
      <c r="EK38" s="19">
        <v>45470</v>
      </c>
      <c r="EL38" s="20">
        <v>0.22</v>
      </c>
      <c r="EM38" s="20">
        <v>-4.84</v>
      </c>
      <c r="EN38" s="20">
        <v>0.69</v>
      </c>
      <c r="EO38" s="20">
        <v>6.42</v>
      </c>
      <c r="EP38" s="20">
        <v>-6.03</v>
      </c>
    </row>
    <row r="39" spans="1:146" ht="84" x14ac:dyDescent="0.25">
      <c r="A39" s="7"/>
      <c r="B39" s="7"/>
      <c r="C39" s="7" t="str">
        <f>""&amp;CHAR(10)&amp;Basic_Fundamental_Information_Constructure(F39)&amp;CHAR(10)&amp;Basic_Fundamental_Information_Concatenate("")</f>
        <v xml:space="preserve">
市值38.530342亿, 利润8361.94万; PE36.77; 平均PE-40.41; 平均PEG-4.55, PB1.85; ROIC3.245%; ROE-.7667%; 股利率.7335%; 毛利15.3667%; 净利-1.89%; 上一年度营收增9.56%, 利润增4.28%; 当季营收增-2.81%, 利润增700.6%; 过往5年营收增8.89%, 利润增-173.43%
Income profile:
</v>
      </c>
      <c r="D39" t="s">
        <v>569</v>
      </c>
      <c r="E39" t="s">
        <v>570</v>
      </c>
      <c r="F39">
        <v>4.09</v>
      </c>
      <c r="G39">
        <v>5.96</v>
      </c>
      <c r="H39" t="s">
        <v>3635</v>
      </c>
      <c r="I39">
        <v>3853034200</v>
      </c>
      <c r="J39">
        <v>36.770000000000003</v>
      </c>
      <c r="K39">
        <v>1.85</v>
      </c>
      <c r="L39" t="s">
        <v>172</v>
      </c>
      <c r="M39" t="s">
        <v>3636</v>
      </c>
      <c r="N39" t="s">
        <v>3637</v>
      </c>
      <c r="O39" t="s">
        <v>2081</v>
      </c>
      <c r="P39">
        <v>-2.82</v>
      </c>
      <c r="Q39" t="s">
        <v>3638</v>
      </c>
      <c r="R39">
        <v>24196596</v>
      </c>
      <c r="S39" s="5">
        <v>7.0060000000000002</v>
      </c>
      <c r="T39" t="s">
        <v>3639</v>
      </c>
      <c r="U39">
        <v>931765280</v>
      </c>
      <c r="V39">
        <v>942062140</v>
      </c>
      <c r="W39">
        <v>2.84</v>
      </c>
      <c r="X39">
        <v>7.0000000000000007E-2</v>
      </c>
      <c r="Y39">
        <v>4.93</v>
      </c>
      <c r="Z39" t="s">
        <v>886</v>
      </c>
      <c r="AA39" t="s">
        <v>592</v>
      </c>
      <c r="AB39" t="s">
        <v>3640</v>
      </c>
      <c r="AC39" t="s">
        <v>3641</v>
      </c>
      <c r="AD39" t="s">
        <v>19</v>
      </c>
      <c r="AE39">
        <v>16674215</v>
      </c>
      <c r="AF39" t="s">
        <v>3642</v>
      </c>
      <c r="AG39" t="s">
        <v>3643</v>
      </c>
      <c r="AH39" t="s">
        <v>3644</v>
      </c>
      <c r="AI39" t="s">
        <v>728</v>
      </c>
      <c r="AJ39" t="s">
        <v>3645</v>
      </c>
      <c r="AK39" t="s">
        <v>3646</v>
      </c>
      <c r="AL39" t="s">
        <v>3647</v>
      </c>
      <c r="AM39" t="s">
        <v>19</v>
      </c>
      <c r="AN39" t="s">
        <v>3648</v>
      </c>
      <c r="AO39" t="s">
        <v>3192</v>
      </c>
      <c r="AP39" t="s">
        <v>157</v>
      </c>
      <c r="AQ39" t="s">
        <v>2025</v>
      </c>
      <c r="AR39" t="s">
        <v>19</v>
      </c>
      <c r="AS39" t="s">
        <v>3649</v>
      </c>
      <c r="AT39" t="s">
        <v>75</v>
      </c>
      <c r="AU39" t="s">
        <v>3650</v>
      </c>
      <c r="AV39" t="s">
        <v>3651</v>
      </c>
      <c r="AW39" t="s">
        <v>3652</v>
      </c>
      <c r="AX39" t="s">
        <v>2178</v>
      </c>
      <c r="AY39" t="s">
        <v>1600</v>
      </c>
      <c r="AZ39" t="s">
        <v>571</v>
      </c>
      <c r="BA39" t="s">
        <v>575</v>
      </c>
      <c r="BB39" t="s">
        <v>404</v>
      </c>
      <c r="BC39" t="s">
        <v>2179</v>
      </c>
      <c r="BD39" t="s">
        <v>1601</v>
      </c>
      <c r="BE39" t="s">
        <v>572</v>
      </c>
      <c r="BF39" t="s">
        <v>576</v>
      </c>
      <c r="BG39" t="s">
        <v>524</v>
      </c>
      <c r="BH39" t="s">
        <v>3638</v>
      </c>
      <c r="BI39" t="s">
        <v>886</v>
      </c>
      <c r="BJ39" t="s">
        <v>2178</v>
      </c>
      <c r="BK39" t="s">
        <v>3639</v>
      </c>
      <c r="BL39" t="s">
        <v>3653</v>
      </c>
      <c r="BM39" t="s">
        <v>2179</v>
      </c>
      <c r="BN39">
        <v>3.34</v>
      </c>
      <c r="BO39">
        <v>3.15</v>
      </c>
      <c r="BP39" t="s">
        <v>19</v>
      </c>
      <c r="BQ39">
        <v>4.25</v>
      </c>
      <c r="BR39">
        <v>4.07</v>
      </c>
      <c r="BS39">
        <v>-10.62</v>
      </c>
      <c r="BT39" t="s">
        <v>1991</v>
      </c>
      <c r="BU39" t="s">
        <v>3125</v>
      </c>
      <c r="BV39">
        <v>15.43</v>
      </c>
      <c r="BW39">
        <v>15.38</v>
      </c>
      <c r="BX39">
        <v>15.29</v>
      </c>
      <c r="BY39">
        <v>2.76</v>
      </c>
      <c r="BZ39">
        <v>2.94</v>
      </c>
      <c r="CA39">
        <v>-11.37</v>
      </c>
      <c r="CB39">
        <v>5.14</v>
      </c>
      <c r="CC39">
        <v>6.23</v>
      </c>
      <c r="CD39" t="s">
        <v>37</v>
      </c>
      <c r="CE39" t="s">
        <v>893</v>
      </c>
      <c r="CF39" s="14">
        <v>-2.813852813852814E-2</v>
      </c>
      <c r="CG39" s="15">
        <v>7.0060205803527111</v>
      </c>
      <c r="CH39" s="14">
        <v>9.561128169298172E-2</v>
      </c>
      <c r="CI39" s="14">
        <v>0.35816919803619385</v>
      </c>
      <c r="CJ39" s="14">
        <v>0.39598816633224487</v>
      </c>
      <c r="CK39" s="14">
        <v>-0.37943750619888306</v>
      </c>
      <c r="CL39" s="14">
        <v>-2.6044061407446861E-2</v>
      </c>
      <c r="CM39" s="15">
        <v>4.2837508022785187E-2</v>
      </c>
      <c r="CN39" s="15">
        <v>1.3782287836074829</v>
      </c>
      <c r="CO39" s="15">
        <v>0.74303030967712402</v>
      </c>
      <c r="CP39" s="15">
        <v>-10.255997657775879</v>
      </c>
      <c r="CQ39" s="15">
        <v>-0.57956886291503906</v>
      </c>
      <c r="CR39">
        <v>-40.411871594244495</v>
      </c>
      <c r="CS39">
        <v>-4.5479458613525052</v>
      </c>
      <c r="CT39">
        <v>0.73349633251833746</v>
      </c>
      <c r="CU39" s="14">
        <v>8.8857415691018099E-2</v>
      </c>
      <c r="CV39" s="15">
        <v>-1.7342939838767051</v>
      </c>
      <c r="CW39">
        <v>0.06</v>
      </c>
      <c r="CX39">
        <v>66.487892316948205</v>
      </c>
      <c r="CY39">
        <v>85895852.627956137</v>
      </c>
      <c r="CZ39">
        <v>8.8857415691018099E-2</v>
      </c>
      <c r="DA39">
        <v>21.748657772778177</v>
      </c>
      <c r="DB39">
        <v>262592490.05923694</v>
      </c>
      <c r="DC39">
        <v>8.4414544906467187E-2</v>
      </c>
      <c r="DD39">
        <v>10.72021839948839</v>
      </c>
      <c r="DE39">
        <v>532734874.1582123</v>
      </c>
      <c r="DF39">
        <v>7.8194525808095924E-2</v>
      </c>
      <c r="DG39">
        <v>6.4470692863188104</v>
      </c>
      <c r="DH39">
        <v>885834159.11463296</v>
      </c>
      <c r="DI39">
        <v>7.1085932552814479E-2</v>
      </c>
      <c r="DJ39">
        <v>3.341114216807227</v>
      </c>
      <c r="DK39">
        <v>1709320253.4864168</v>
      </c>
      <c r="DL39">
        <v>6.2200190983712662E-2</v>
      </c>
      <c r="DM39">
        <v>83619400</v>
      </c>
      <c r="DN39">
        <v>8.8857415691018099E-2</v>
      </c>
      <c r="DO39">
        <v>5711034200</v>
      </c>
      <c r="DP39">
        <v>600674400</v>
      </c>
      <c r="DQ39">
        <v>1004</v>
      </c>
      <c r="DR39">
        <v>-0.11699594382954624</v>
      </c>
      <c r="DS39">
        <v>8.7403145642294167</v>
      </c>
      <c r="DT39" s="16">
        <v>-0.27333333333333337</v>
      </c>
      <c r="DU39">
        <v>-1.04</v>
      </c>
      <c r="DV39">
        <v>-1.3133333333333335</v>
      </c>
      <c r="DW39">
        <v>8.8250401284109152</v>
      </c>
      <c r="DX39">
        <v>0.86314878892733593</v>
      </c>
      <c r="DY39">
        <v>8.2583603170283322</v>
      </c>
      <c r="DZ39">
        <v>3864</v>
      </c>
      <c r="EA39">
        <v>8.062997447165813</v>
      </c>
      <c r="EB39">
        <v>8</v>
      </c>
      <c r="EC39">
        <v>0.19213169950763545</v>
      </c>
      <c r="ED39">
        <v>0.61354763710173088</v>
      </c>
      <c r="EE39" s="17">
        <v>4.3400000000000001E-2</v>
      </c>
      <c r="EF39">
        <v>4.0800000000000003E-2</v>
      </c>
      <c r="EG39">
        <v>55.313148788927336</v>
      </c>
      <c r="EH39" t="s">
        <v>1831</v>
      </c>
      <c r="EI39">
        <v>0</v>
      </c>
      <c r="EJ39">
        <v>0</v>
      </c>
      <c r="EK39" s="19">
        <v>45470</v>
      </c>
      <c r="EL39" s="20">
        <v>0.56000000000000005</v>
      </c>
      <c r="EM39" s="20">
        <v>-4.76</v>
      </c>
      <c r="EN39" s="20">
        <v>1.76</v>
      </c>
      <c r="EO39" s="20">
        <v>10.119999999999999</v>
      </c>
      <c r="EP39" s="20">
        <v>-0.26</v>
      </c>
    </row>
    <row r="40" spans="1:146" ht="84" x14ac:dyDescent="0.25">
      <c r="A40" s="7"/>
      <c r="B40" s="7"/>
      <c r="C40" s="7" t="str">
        <f>""&amp;CHAR(10)&amp;Basic_Fundamental_Information_Constructure(F40)&amp;CHAR(10)&amp;Basic_Fundamental_Information_Concatenate("")</f>
        <v xml:space="preserve">
市值52.361857亿, 利润1.91亿; PE27.75; 平均PE26.42; 平均PEG33.1, PB1.43; ROIC4.9033%; ROE5.0633%; 股利率2.809%; 毛利25.82%; 净利10.45%; 上一年度营收增1.07%, 利润增-4.5%; 当季营收增37.46%, 利润增-7.63%; 过往5年营收增.8%, 利润增-2.19%
Income profile:
</v>
      </c>
      <c r="D40" t="s">
        <v>579</v>
      </c>
      <c r="E40" t="s">
        <v>580</v>
      </c>
      <c r="F40">
        <v>3.56</v>
      </c>
      <c r="G40">
        <v>0.85</v>
      </c>
      <c r="H40" t="s">
        <v>3654</v>
      </c>
      <c r="I40">
        <v>5236185700</v>
      </c>
      <c r="J40">
        <v>27.75</v>
      </c>
      <c r="K40">
        <v>1.43</v>
      </c>
      <c r="L40" t="s">
        <v>172</v>
      </c>
      <c r="M40" t="s">
        <v>1869</v>
      </c>
      <c r="N40" t="s">
        <v>3655</v>
      </c>
      <c r="O40" t="s">
        <v>813</v>
      </c>
      <c r="P40">
        <v>37.83</v>
      </c>
      <c r="Q40" t="s">
        <v>3656</v>
      </c>
      <c r="R40">
        <v>30610728</v>
      </c>
      <c r="S40" s="5">
        <v>-7.6300000000000007E-2</v>
      </c>
      <c r="T40" t="s">
        <v>26</v>
      </c>
      <c r="U40">
        <v>1467343700</v>
      </c>
      <c r="V40">
        <v>1470838700</v>
      </c>
      <c r="W40">
        <v>1.19</v>
      </c>
      <c r="X40">
        <v>0.1</v>
      </c>
      <c r="Y40">
        <v>6.97</v>
      </c>
      <c r="Z40" t="s">
        <v>609</v>
      </c>
      <c r="AA40" t="s">
        <v>700</v>
      </c>
      <c r="AB40" t="s">
        <v>3657</v>
      </c>
      <c r="AC40" t="s">
        <v>3658</v>
      </c>
      <c r="AD40" t="s">
        <v>19</v>
      </c>
      <c r="AE40">
        <v>758349</v>
      </c>
      <c r="AF40" t="s">
        <v>3659</v>
      </c>
      <c r="AG40" t="s">
        <v>3660</v>
      </c>
      <c r="AH40" t="s">
        <v>3661</v>
      </c>
      <c r="AI40" t="s">
        <v>496</v>
      </c>
      <c r="AJ40" t="s">
        <v>3662</v>
      </c>
      <c r="AK40" t="s">
        <v>3663</v>
      </c>
      <c r="AL40" t="s">
        <v>3664</v>
      </c>
      <c r="AM40" t="s">
        <v>19</v>
      </c>
      <c r="AN40" t="s">
        <v>3665</v>
      </c>
      <c r="AO40" t="s">
        <v>19</v>
      </c>
      <c r="AP40" t="s">
        <v>3666</v>
      </c>
      <c r="AQ40" t="s">
        <v>1208</v>
      </c>
      <c r="AR40" t="s">
        <v>3667</v>
      </c>
      <c r="AS40" t="s">
        <v>2728</v>
      </c>
      <c r="AT40" t="s">
        <v>19</v>
      </c>
      <c r="AU40" t="s">
        <v>3668</v>
      </c>
      <c r="AV40" t="s">
        <v>3669</v>
      </c>
      <c r="AW40" t="s">
        <v>3670</v>
      </c>
      <c r="AX40" t="s">
        <v>2180</v>
      </c>
      <c r="AY40" t="s">
        <v>1310</v>
      </c>
      <c r="AZ40" t="s">
        <v>531</v>
      </c>
      <c r="BA40" t="s">
        <v>583</v>
      </c>
      <c r="BB40" t="s">
        <v>584</v>
      </c>
      <c r="BC40" t="s">
        <v>245</v>
      </c>
      <c r="BD40" t="s">
        <v>161</v>
      </c>
      <c r="BE40" t="s">
        <v>66</v>
      </c>
      <c r="BF40" t="s">
        <v>508</v>
      </c>
      <c r="BG40" t="s">
        <v>345</v>
      </c>
      <c r="BH40" t="s">
        <v>3656</v>
      </c>
      <c r="BI40" t="s">
        <v>693</v>
      </c>
      <c r="BJ40" t="s">
        <v>2180</v>
      </c>
      <c r="BK40" t="s">
        <v>26</v>
      </c>
      <c r="BL40" t="s">
        <v>3671</v>
      </c>
      <c r="BM40" t="s">
        <v>245</v>
      </c>
      <c r="BN40">
        <v>3.78</v>
      </c>
      <c r="BO40">
        <v>5.48</v>
      </c>
      <c r="BP40">
        <v>5.45</v>
      </c>
      <c r="BQ40">
        <v>3.87</v>
      </c>
      <c r="BR40">
        <v>5.76</v>
      </c>
      <c r="BS40">
        <v>5.56</v>
      </c>
      <c r="BT40" t="s">
        <v>2003</v>
      </c>
      <c r="BU40" t="s">
        <v>3084</v>
      </c>
      <c r="BV40">
        <v>25.34</v>
      </c>
      <c r="BW40">
        <v>26.04</v>
      </c>
      <c r="BX40">
        <v>26.08</v>
      </c>
      <c r="BY40">
        <v>9.43</v>
      </c>
      <c r="BZ40">
        <v>11.02</v>
      </c>
      <c r="CA40">
        <v>10.9</v>
      </c>
      <c r="CB40">
        <v>-2.2000000000000002</v>
      </c>
      <c r="CC40">
        <v>-10.78</v>
      </c>
      <c r="CD40" t="s">
        <v>3672</v>
      </c>
      <c r="CE40" t="s">
        <v>413</v>
      </c>
      <c r="CF40" s="14">
        <v>0.3746031746031746</v>
      </c>
      <c r="CG40" s="15">
        <v>-7.6276223354175221E-2</v>
      </c>
      <c r="CH40" s="14">
        <v>1.0650260373950005E-2</v>
      </c>
      <c r="CI40" s="14">
        <v>3.4802783280611038E-2</v>
      </c>
      <c r="CJ40" s="14">
        <v>0.15704697370529175</v>
      </c>
      <c r="CK40" s="14">
        <v>-5.3367216140031815E-2</v>
      </c>
      <c r="CL40" s="14">
        <v>-0.10922470688819885</v>
      </c>
      <c r="CM40" s="15">
        <v>-4.5000001788139343E-2</v>
      </c>
      <c r="CN40" s="15">
        <v>5.8201059699058533E-2</v>
      </c>
      <c r="CO40" s="15">
        <v>-0.10000000149011612</v>
      </c>
      <c r="CP40" s="15">
        <v>0.257485032081604</v>
      </c>
      <c r="CQ40" s="15">
        <v>-0.28017240762710571</v>
      </c>
      <c r="CR40">
        <v>26.423140622371744</v>
      </c>
      <c r="CS40">
        <v>33.104989181899803</v>
      </c>
      <c r="CT40">
        <v>2.8089887640449436</v>
      </c>
      <c r="CU40" s="14">
        <v>7.9816188663244247E-3</v>
      </c>
      <c r="CV40" s="15">
        <v>-2.1897263824939728E-2</v>
      </c>
      <c r="CW40">
        <v>0.06</v>
      </c>
      <c r="CX40">
        <v>12.884578228271012</v>
      </c>
      <c r="CY40">
        <v>181626876.60704523</v>
      </c>
      <c r="CZ40">
        <v>7.9816188663244247E-3</v>
      </c>
      <c r="DA40">
        <v>4.5162077181263287</v>
      </c>
      <c r="DB40">
        <v>518174948.11130834</v>
      </c>
      <c r="DC40">
        <v>7.5825379230082032E-3</v>
      </c>
      <c r="DD40">
        <v>2.4340734106703361</v>
      </c>
      <c r="DE40">
        <v>961427740.73339093</v>
      </c>
      <c r="DF40">
        <v>7.023824602365494E-3</v>
      </c>
      <c r="DG40">
        <v>1.6120567317202519</v>
      </c>
      <c r="DH40">
        <v>1451677012.3237228</v>
      </c>
      <c r="DI40">
        <v>6.3852950930595401E-3</v>
      </c>
      <c r="DJ40">
        <v>1.0177100410313973</v>
      </c>
      <c r="DK40">
        <v>2299462131.3044543</v>
      </c>
      <c r="DL40">
        <v>5.587133206427097E-3</v>
      </c>
      <c r="DM40">
        <v>191000000</v>
      </c>
      <c r="DN40">
        <v>7.9816188663244247E-3</v>
      </c>
      <c r="DO40">
        <v>2340185700.0000005</v>
      </c>
      <c r="DP40">
        <v>1704105500</v>
      </c>
      <c r="DQ40">
        <v>1010</v>
      </c>
      <c r="DR40">
        <v>0.36662155573685018</v>
      </c>
      <c r="DS40">
        <v>-5.4378959529235493E-2</v>
      </c>
      <c r="DT40" s="16">
        <v>-0.3066666666666667</v>
      </c>
      <c r="DU40">
        <v>1.6666666666666663E-2</v>
      </c>
      <c r="DV40">
        <v>-0.29000000000000004</v>
      </c>
      <c r="DW40">
        <v>-2.1078000000000001</v>
      </c>
      <c r="DX40">
        <v>0.34302996108949274</v>
      </c>
      <c r="DY40">
        <v>-2.0154186298054473</v>
      </c>
      <c r="DZ40">
        <v>2412</v>
      </c>
      <c r="EA40">
        <v>-2.0081407951497252</v>
      </c>
      <c r="EB40">
        <v>2</v>
      </c>
      <c r="EC40">
        <v>2.4991659520517105E-2</v>
      </c>
      <c r="ED40">
        <v>0.1747302406443344</v>
      </c>
      <c r="EE40" s="17">
        <v>-4.0331999999999999</v>
      </c>
      <c r="EF40">
        <v>-4.0218100000000003</v>
      </c>
      <c r="EG40">
        <v>20.143029961089493</v>
      </c>
      <c r="EH40" t="s">
        <v>2873</v>
      </c>
      <c r="EI40">
        <v>0</v>
      </c>
      <c r="EJ40">
        <v>0</v>
      </c>
      <c r="EK40" s="19">
        <v>45470</v>
      </c>
      <c r="EL40" s="20">
        <v>0.81</v>
      </c>
      <c r="EM40" s="20">
        <v>-4.53</v>
      </c>
      <c r="EN40" s="20">
        <v>1.1200000000000001</v>
      </c>
      <c r="EO40" s="20">
        <v>5.52</v>
      </c>
      <c r="EP40" s="20">
        <v>-5.5</v>
      </c>
    </row>
    <row r="41" spans="1:146" ht="84" x14ac:dyDescent="0.25">
      <c r="A41" s="7"/>
      <c r="B41" s="7"/>
      <c r="C41" s="7" t="str">
        <f>""&amp;CHAR(10)&amp;Basic_Fundamental_Information_Constructure(F41)&amp;CHAR(10)&amp;Basic_Fundamental_Information_Concatenate("")</f>
        <v xml:space="preserve">
市值55.40936亿, 利润2.62亿; PE17.71; 平均PE36; 平均PEG4.32, PB1.65; ROIC4.9767%; ROE6.51%; 股利率3.112%; 毛利19.9567%; 净利4.03%; 上一年度营收增25.69%, 利润增211.41%; 当季营收增31.08%, 利润增75.47%; 过往5年营收增8.34%, 利润增39.83%
Income profile:
</v>
      </c>
      <c r="D41" t="s">
        <v>589</v>
      </c>
      <c r="E41" t="s">
        <v>590</v>
      </c>
      <c r="F41">
        <v>9.64</v>
      </c>
      <c r="G41">
        <v>0.52</v>
      </c>
      <c r="H41" t="s">
        <v>3673</v>
      </c>
      <c r="I41">
        <v>5540936000</v>
      </c>
      <c r="J41">
        <v>17.71</v>
      </c>
      <c r="K41">
        <v>1.65</v>
      </c>
      <c r="L41" t="s">
        <v>172</v>
      </c>
      <c r="M41" t="s">
        <v>2777</v>
      </c>
      <c r="N41" t="s">
        <v>3674</v>
      </c>
      <c r="O41" t="s">
        <v>2592</v>
      </c>
      <c r="P41">
        <v>31.15</v>
      </c>
      <c r="Q41" t="s">
        <v>3675</v>
      </c>
      <c r="R41">
        <v>118994725</v>
      </c>
      <c r="S41" s="5">
        <v>0.75470000000000004</v>
      </c>
      <c r="T41" t="s">
        <v>514</v>
      </c>
      <c r="U41">
        <v>536530990</v>
      </c>
      <c r="V41">
        <v>574785890</v>
      </c>
      <c r="W41">
        <v>1.55</v>
      </c>
      <c r="X41">
        <v>0.24</v>
      </c>
      <c r="Y41">
        <v>9.43</v>
      </c>
      <c r="Z41" t="s">
        <v>3676</v>
      </c>
      <c r="AA41" t="s">
        <v>1316</v>
      </c>
      <c r="AB41" t="s">
        <v>3677</v>
      </c>
      <c r="AC41" t="s">
        <v>3678</v>
      </c>
      <c r="AD41" t="s">
        <v>19</v>
      </c>
      <c r="AE41">
        <v>-5312512</v>
      </c>
      <c r="AF41" t="s">
        <v>3679</v>
      </c>
      <c r="AG41" t="s">
        <v>3680</v>
      </c>
      <c r="AH41" t="s">
        <v>3681</v>
      </c>
      <c r="AI41" t="s">
        <v>2586</v>
      </c>
      <c r="AJ41" t="s">
        <v>3682</v>
      </c>
      <c r="AK41" t="s">
        <v>3683</v>
      </c>
      <c r="AL41" t="s">
        <v>3684</v>
      </c>
      <c r="AM41" t="s">
        <v>19</v>
      </c>
      <c r="AN41" t="s">
        <v>3685</v>
      </c>
      <c r="AO41" t="s">
        <v>95</v>
      </c>
      <c r="AP41" t="s">
        <v>3137</v>
      </c>
      <c r="AQ41" t="s">
        <v>2984</v>
      </c>
      <c r="AR41" t="s">
        <v>19</v>
      </c>
      <c r="AS41" t="s">
        <v>3686</v>
      </c>
      <c r="AT41" t="s">
        <v>19</v>
      </c>
      <c r="AU41" t="s">
        <v>53</v>
      </c>
      <c r="AV41" t="s">
        <v>3687</v>
      </c>
      <c r="AW41" t="s">
        <v>3688</v>
      </c>
      <c r="AX41" t="s">
        <v>2099</v>
      </c>
      <c r="AY41" t="s">
        <v>1602</v>
      </c>
      <c r="AZ41" t="s">
        <v>591</v>
      </c>
      <c r="BA41" t="s">
        <v>82</v>
      </c>
      <c r="BB41" t="s">
        <v>594</v>
      </c>
      <c r="BC41" t="s">
        <v>2181</v>
      </c>
      <c r="BD41" t="s">
        <v>457</v>
      </c>
      <c r="BE41" t="s">
        <v>392</v>
      </c>
      <c r="BF41" t="s">
        <v>595</v>
      </c>
      <c r="BG41" t="s">
        <v>55</v>
      </c>
      <c r="BH41" t="s">
        <v>3675</v>
      </c>
      <c r="BI41" t="s">
        <v>883</v>
      </c>
      <c r="BJ41" t="s">
        <v>2099</v>
      </c>
      <c r="BK41" t="s">
        <v>514</v>
      </c>
      <c r="BL41" t="s">
        <v>3689</v>
      </c>
      <c r="BM41" t="s">
        <v>2181</v>
      </c>
      <c r="BN41">
        <v>6.9</v>
      </c>
      <c r="BO41">
        <v>3.13</v>
      </c>
      <c r="BP41">
        <v>4.9000000000000004</v>
      </c>
      <c r="BQ41">
        <v>9.44</v>
      </c>
      <c r="BR41">
        <v>3.69</v>
      </c>
      <c r="BS41">
        <v>6.4</v>
      </c>
      <c r="BT41" t="s">
        <v>1979</v>
      </c>
      <c r="BU41" t="s">
        <v>2920</v>
      </c>
      <c r="BV41">
        <v>20.89</v>
      </c>
      <c r="BW41">
        <v>17.850000000000001</v>
      </c>
      <c r="BX41">
        <v>21.13</v>
      </c>
      <c r="BY41">
        <v>5.89</v>
      </c>
      <c r="BZ41">
        <v>2.2999999999999998</v>
      </c>
      <c r="CA41">
        <v>3.9</v>
      </c>
      <c r="CB41">
        <v>1.26</v>
      </c>
      <c r="CC41">
        <v>-7.13</v>
      </c>
      <c r="CD41" t="s">
        <v>3690</v>
      </c>
      <c r="CE41" t="s">
        <v>61</v>
      </c>
      <c r="CF41" s="14">
        <v>0.31078224101479901</v>
      </c>
      <c r="CG41" s="15">
        <v>0.75467553284042954</v>
      </c>
      <c r="CH41" s="14">
        <v>0.25690615177154541</v>
      </c>
      <c r="CI41" s="14">
        <v>4.5571204274892807E-2</v>
      </c>
      <c r="CJ41" s="14">
        <v>0.16923080384731293</v>
      </c>
      <c r="CK41" s="14">
        <v>1.0234952904284E-2</v>
      </c>
      <c r="CL41" s="14">
        <v>-6.4870543777942657E-2</v>
      </c>
      <c r="CM41" s="15">
        <v>2.1141059398651123</v>
      </c>
      <c r="CN41" s="15">
        <v>-0.40751200914382935</v>
      </c>
      <c r="CO41" s="15">
        <v>0.14516128599643707</v>
      </c>
      <c r="CP41" s="15">
        <v>0.86911660432815552</v>
      </c>
      <c r="CQ41" s="15">
        <v>-0.72921836376190186</v>
      </c>
      <c r="CR41">
        <v>36.000566555795572</v>
      </c>
      <c r="CS41">
        <v>4.3158636206138556</v>
      </c>
      <c r="CT41">
        <v>3.1120331950207465</v>
      </c>
      <c r="CU41" s="14">
        <v>8.34145138040185E-2</v>
      </c>
      <c r="CV41" s="15">
        <v>0.39833069145679473</v>
      </c>
      <c r="CW41">
        <v>0.06</v>
      </c>
      <c r="CX41">
        <v>15.217058734233088</v>
      </c>
      <c r="CY41">
        <v>267787360.95910648</v>
      </c>
      <c r="CZ41">
        <v>8.34145138040185E-2</v>
      </c>
      <c r="DA41">
        <v>5.0006217117328005</v>
      </c>
      <c r="DB41">
        <v>814885875.17810166</v>
      </c>
      <c r="DC41">
        <v>7.9243788113817576E-2</v>
      </c>
      <c r="DD41">
        <v>2.4800842717848042</v>
      </c>
      <c r="DE41">
        <v>1643063522.6227427</v>
      </c>
      <c r="DF41">
        <v>7.3404772147536282E-2</v>
      </c>
      <c r="DG41">
        <v>1.5018500095738958</v>
      </c>
      <c r="DH41">
        <v>2713277606.9669828</v>
      </c>
      <c r="DI41">
        <v>6.6731611043214803E-2</v>
      </c>
      <c r="DJ41">
        <v>0.79013915153184811</v>
      </c>
      <c r="DK41">
        <v>5157238433.3821383</v>
      </c>
      <c r="DL41">
        <v>5.8390159662812947E-2</v>
      </c>
      <c r="DM41">
        <v>262000000</v>
      </c>
      <c r="DN41">
        <v>8.34145138040185E-2</v>
      </c>
      <c r="DO41">
        <v>4074936000</v>
      </c>
      <c r="DP41">
        <v>1379712200.0000002</v>
      </c>
      <c r="DQ41">
        <v>1029</v>
      </c>
      <c r="DR41">
        <v>0.22736772721078052</v>
      </c>
      <c r="DS41">
        <v>0.35634484138363481</v>
      </c>
      <c r="DT41" s="16">
        <v>-0.14000000000000001</v>
      </c>
      <c r="DU41">
        <v>0.62333333333333329</v>
      </c>
      <c r="DV41">
        <v>0.48333333333333328</v>
      </c>
      <c r="DW41">
        <v>-2.0712999999999999</v>
      </c>
      <c r="DX41">
        <v>0.34665703422053112</v>
      </c>
      <c r="DY41">
        <v>-2.0118826465399238</v>
      </c>
      <c r="DZ41">
        <v>732</v>
      </c>
      <c r="EA41">
        <v>-2.0101804748633634</v>
      </c>
      <c r="EB41">
        <v>2</v>
      </c>
      <c r="EC41">
        <v>7.6255873295706683E-2</v>
      </c>
      <c r="ED41">
        <v>0.4575616844039091</v>
      </c>
      <c r="EE41" s="17">
        <v>-1.10101</v>
      </c>
      <c r="EF41">
        <v>-1.1329100000000001</v>
      </c>
      <c r="EG41">
        <v>18.166657034220531</v>
      </c>
      <c r="EH41" t="s">
        <v>1838</v>
      </c>
      <c r="EI41">
        <v>0</v>
      </c>
      <c r="EJ41">
        <v>1</v>
      </c>
      <c r="EK41" s="19">
        <v>45470</v>
      </c>
      <c r="EL41" s="20">
        <v>0.31</v>
      </c>
      <c r="EM41" s="20">
        <v>-4.88</v>
      </c>
      <c r="EN41" s="20">
        <v>2.0299999999999998</v>
      </c>
      <c r="EO41" s="20">
        <v>1.99</v>
      </c>
      <c r="EP41" s="20">
        <v>-3.19</v>
      </c>
    </row>
    <row r="42" spans="1:146" ht="84" x14ac:dyDescent="0.25">
      <c r="A42" s="7"/>
      <c r="B42" s="7"/>
      <c r="C42" s="7" t="str">
        <f>""&amp;CHAR(10)&amp;Basic_Fundamental_Information_Constructure(F42)&amp;CHAR(10)&amp;Basic_Fundamental_Information_Concatenate("")</f>
        <v xml:space="preserve">
市值60.814067亿, 利润5094.22万; PE82.36; 平均PE-21.74; 平均PEG-1.93, PB1.45; ROIC3.1267%; ROE3.6367%; 股利率0%; 毛利11.0633%; 净利1.7733%; 上一年度营收增8.3%, 利润增-50.54%; 当季营收增-5.63%, 利润增71.15%; 过往5年营收增11.24%, 利润增-384.18%
Income profile:
</v>
      </c>
      <c r="D42" t="s">
        <v>596</v>
      </c>
      <c r="E42" t="s">
        <v>597</v>
      </c>
      <c r="F42">
        <v>5.18</v>
      </c>
      <c r="G42">
        <v>1.17</v>
      </c>
      <c r="H42" t="s">
        <v>3691</v>
      </c>
      <c r="I42">
        <v>6081406700</v>
      </c>
      <c r="J42">
        <v>82.36</v>
      </c>
      <c r="K42">
        <v>1.45</v>
      </c>
      <c r="L42" t="s">
        <v>172</v>
      </c>
      <c r="M42" t="s">
        <v>3692</v>
      </c>
      <c r="N42" t="s">
        <v>2204</v>
      </c>
      <c r="O42" t="s">
        <v>3693</v>
      </c>
      <c r="P42">
        <v>-5.6</v>
      </c>
      <c r="Q42" t="s">
        <v>3694</v>
      </c>
      <c r="R42">
        <v>55089029</v>
      </c>
      <c r="S42" s="5">
        <v>0.71150000000000002</v>
      </c>
      <c r="T42" t="s">
        <v>3695</v>
      </c>
      <c r="U42">
        <v>1174016750</v>
      </c>
      <c r="V42">
        <v>1174016750</v>
      </c>
      <c r="W42">
        <v>2.19</v>
      </c>
      <c r="X42">
        <v>0.22</v>
      </c>
      <c r="Y42">
        <v>2.58</v>
      </c>
      <c r="Z42" t="s">
        <v>3696</v>
      </c>
      <c r="AA42" t="s">
        <v>2180</v>
      </c>
      <c r="AB42" t="s">
        <v>3697</v>
      </c>
      <c r="AC42" t="s">
        <v>216</v>
      </c>
      <c r="AD42" t="s">
        <v>19</v>
      </c>
      <c r="AE42">
        <v>4883060</v>
      </c>
      <c r="AF42" t="s">
        <v>3698</v>
      </c>
      <c r="AG42" t="s">
        <v>3699</v>
      </c>
      <c r="AH42" t="s">
        <v>3700</v>
      </c>
      <c r="AI42" t="s">
        <v>824</v>
      </c>
      <c r="AJ42" t="s">
        <v>3701</v>
      </c>
      <c r="AK42" t="s">
        <v>51</v>
      </c>
      <c r="AL42" t="s">
        <v>3702</v>
      </c>
      <c r="AM42" t="s">
        <v>19</v>
      </c>
      <c r="AN42" t="s">
        <v>59</v>
      </c>
      <c r="AO42" t="s">
        <v>1117</v>
      </c>
      <c r="AP42" t="s">
        <v>3703</v>
      </c>
      <c r="AQ42" t="s">
        <v>2162</v>
      </c>
      <c r="AR42" t="s">
        <v>3704</v>
      </c>
      <c r="AS42" t="s">
        <v>2798</v>
      </c>
      <c r="AT42" t="s">
        <v>929</v>
      </c>
      <c r="AU42" t="s">
        <v>161</v>
      </c>
      <c r="AV42" t="s">
        <v>1601</v>
      </c>
      <c r="AW42" t="s">
        <v>3705</v>
      </c>
      <c r="AX42" t="s">
        <v>2183</v>
      </c>
      <c r="AY42" t="s">
        <v>1604</v>
      </c>
      <c r="AZ42" t="s">
        <v>401</v>
      </c>
      <c r="BA42" t="s">
        <v>600</v>
      </c>
      <c r="BB42" t="s">
        <v>601</v>
      </c>
      <c r="BC42" t="s">
        <v>25</v>
      </c>
      <c r="BD42" t="s">
        <v>100</v>
      </c>
      <c r="BE42" t="s">
        <v>598</v>
      </c>
      <c r="BF42" t="s">
        <v>602</v>
      </c>
      <c r="BG42" t="s">
        <v>441</v>
      </c>
      <c r="BH42" t="s">
        <v>3694</v>
      </c>
      <c r="BI42" t="s">
        <v>3706</v>
      </c>
      <c r="BJ42" t="s">
        <v>2183</v>
      </c>
      <c r="BK42" t="s">
        <v>3695</v>
      </c>
      <c r="BL42" t="s">
        <v>3707</v>
      </c>
      <c r="BM42" t="s">
        <v>25</v>
      </c>
      <c r="BN42">
        <v>1.45</v>
      </c>
      <c r="BO42">
        <v>1.94</v>
      </c>
      <c r="BP42">
        <v>5.99</v>
      </c>
      <c r="BQ42">
        <v>1.88</v>
      </c>
      <c r="BR42">
        <v>2.36</v>
      </c>
      <c r="BS42">
        <v>6.67</v>
      </c>
      <c r="BT42" t="s">
        <v>1983</v>
      </c>
      <c r="BU42" t="s">
        <v>3084</v>
      </c>
      <c r="BV42">
        <v>11.2</v>
      </c>
      <c r="BW42">
        <v>9.94</v>
      </c>
      <c r="BX42">
        <v>12.05</v>
      </c>
      <c r="BY42">
        <v>0.36</v>
      </c>
      <c r="BZ42">
        <v>1.17</v>
      </c>
      <c r="CA42">
        <v>3.79</v>
      </c>
      <c r="CB42">
        <v>0.19</v>
      </c>
      <c r="CC42">
        <v>0.78</v>
      </c>
      <c r="CD42" t="s">
        <v>3708</v>
      </c>
      <c r="CE42" t="s">
        <v>1577</v>
      </c>
      <c r="CF42" s="14">
        <v>-5.6252905625290561E-2</v>
      </c>
      <c r="CG42" s="15">
        <v>0.71150913090215451</v>
      </c>
      <c r="CH42" s="14">
        <v>8.2993410527706146E-2</v>
      </c>
      <c r="CI42" s="14">
        <v>8.1931017339229584E-2</v>
      </c>
      <c r="CJ42" s="14">
        <v>0.14642633497714996</v>
      </c>
      <c r="CK42" s="14">
        <v>0.19253246486186981</v>
      </c>
      <c r="CL42" s="14">
        <v>5.8271855115890503E-2</v>
      </c>
      <c r="CM42" s="15">
        <v>-0.50541555881500244</v>
      </c>
      <c r="CN42" s="15">
        <v>-0.62949639558792114</v>
      </c>
      <c r="CO42" s="15">
        <v>0.30516430735588074</v>
      </c>
      <c r="CP42" s="15">
        <v>1.0867263078689575</v>
      </c>
      <c r="CQ42" s="15">
        <v>-19.466165542602539</v>
      </c>
      <c r="CR42">
        <v>-21.744447777662963</v>
      </c>
      <c r="CS42">
        <v>-1.9340257201369155</v>
      </c>
      <c r="CT42">
        <v>0</v>
      </c>
      <c r="CU42" s="14">
        <v>0.1124310165643692</v>
      </c>
      <c r="CV42" s="15">
        <v>-3.8418373763561249</v>
      </c>
      <c r="CW42">
        <v>0.06</v>
      </c>
      <c r="CX42">
        <v>128.52888305948608</v>
      </c>
      <c r="CY42">
        <v>53461965.407571137</v>
      </c>
      <c r="CZ42">
        <v>0.1124310165643692</v>
      </c>
      <c r="DA42">
        <v>41.213777509329425</v>
      </c>
      <c r="DB42">
        <v>166725961.92971009</v>
      </c>
      <c r="DC42">
        <v>0.10680946573615073</v>
      </c>
      <c r="DD42">
        <v>19.776766989878784</v>
      </c>
      <c r="DE42">
        <v>347448432.97777641</v>
      </c>
      <c r="DF42">
        <v>9.8939294576644896E-2</v>
      </c>
      <c r="DG42">
        <v>11.535488999073369</v>
      </c>
      <c r="DH42">
        <v>595675371.93715596</v>
      </c>
      <c r="DI42">
        <v>8.9944813251495365E-2</v>
      </c>
      <c r="DJ42">
        <v>5.584431569128121</v>
      </c>
      <c r="DK42">
        <v>1230457677.7315242</v>
      </c>
      <c r="DL42">
        <v>7.8701711595058441E-2</v>
      </c>
      <c r="DM42">
        <v>50942200</v>
      </c>
      <c r="DN42">
        <v>0.1124310165643692</v>
      </c>
      <c r="DO42">
        <v>6871406700</v>
      </c>
      <c r="DP42">
        <v>1741939399.9999995</v>
      </c>
      <c r="DQ42">
        <v>1030</v>
      </c>
      <c r="DR42">
        <v>-0.16868392218965977</v>
      </c>
      <c r="DS42">
        <v>4.5533465072582793</v>
      </c>
      <c r="DT42" s="16">
        <v>-0.32333333333333336</v>
      </c>
      <c r="DU42">
        <v>-0.27666666666666678</v>
      </c>
      <c r="DV42">
        <v>-0.60000000000000009</v>
      </c>
      <c r="DW42">
        <v>7.8000000000000005E-3</v>
      </c>
      <c r="DX42">
        <v>0.40119112271540303</v>
      </c>
      <c r="DY42">
        <v>1.1792907571801566E-3</v>
      </c>
      <c r="DZ42">
        <v>3039</v>
      </c>
      <c r="EA42">
        <v>4.7794738906459971E-4</v>
      </c>
      <c r="EB42">
        <v>0</v>
      </c>
      <c r="EC42">
        <v>4.9323146369078634E-2</v>
      </c>
      <c r="ED42">
        <v>0.32623043921647626</v>
      </c>
      <c r="EE42" s="17">
        <v>-1.0905</v>
      </c>
      <c r="EF42">
        <v>-1.0623</v>
      </c>
      <c r="EG42">
        <v>25.151191122715403</v>
      </c>
      <c r="EH42" t="s">
        <v>1844</v>
      </c>
      <c r="EI42">
        <v>0</v>
      </c>
      <c r="EJ42">
        <v>0</v>
      </c>
      <c r="EK42" s="19">
        <v>45470</v>
      </c>
      <c r="EL42" s="20">
        <v>1.56</v>
      </c>
      <c r="EM42" s="20">
        <v>-2.87</v>
      </c>
      <c r="EN42" s="20">
        <v>0.59</v>
      </c>
      <c r="EO42" s="20">
        <v>4.3099999999999996</v>
      </c>
      <c r="EP42" s="20">
        <v>-2.82</v>
      </c>
    </row>
    <row r="43" spans="1:146" ht="84" x14ac:dyDescent="0.25">
      <c r="A43" s="7"/>
      <c r="B43" s="7"/>
      <c r="C43" s="7" t="str">
        <f>""&amp;CHAR(10)&amp;Basic_Fundamental_Information_Constructure(F43)&amp;CHAR(10)&amp;Basic_Fundamental_Information_Concatenate("")</f>
        <v xml:space="preserve">
市值26.734955亿, 利润-2.48亿; PE; 平均PE-6.63; 平均PEG-.77, PB13.61; ROIC0%; ROE-41.4367%; 股利率0%; 毛利15.57%; 净利-19.3433%; 上一年度营收增-10.05%, 利润增-73.43%; 当季营收增-20.44%, 利润增-557.98%; 过往5年营收增-8.64%, 利润增-981.92%
Income profile:
</v>
      </c>
      <c r="D43" t="s">
        <v>1904</v>
      </c>
      <c r="E43" t="s">
        <v>1905</v>
      </c>
      <c r="F43">
        <v>2.37</v>
      </c>
      <c r="G43">
        <v>1.28</v>
      </c>
      <c r="H43" t="s">
        <v>3709</v>
      </c>
      <c r="I43">
        <v>2673495500</v>
      </c>
      <c r="K43">
        <v>13.61</v>
      </c>
      <c r="L43" t="s">
        <v>172</v>
      </c>
      <c r="M43" t="s">
        <v>3710</v>
      </c>
      <c r="N43" t="s">
        <v>162</v>
      </c>
      <c r="O43" t="s">
        <v>1245</v>
      </c>
      <c r="P43">
        <v>-20.5</v>
      </c>
      <c r="Q43" t="s">
        <v>825</v>
      </c>
      <c r="R43">
        <v>-46671018</v>
      </c>
      <c r="S43" s="5">
        <v>-5.58</v>
      </c>
      <c r="T43" t="s">
        <v>3711</v>
      </c>
      <c r="U43">
        <v>1104008420</v>
      </c>
      <c r="V43">
        <v>1128057170</v>
      </c>
      <c r="W43">
        <v>21.57</v>
      </c>
      <c r="X43">
        <v>0.1</v>
      </c>
      <c r="Y43">
        <v>-10.7</v>
      </c>
      <c r="Z43" t="s">
        <v>291</v>
      </c>
      <c r="AA43" t="s">
        <v>2116</v>
      </c>
      <c r="AB43" t="s">
        <v>3712</v>
      </c>
      <c r="AC43" t="s">
        <v>3713</v>
      </c>
      <c r="AD43" t="s">
        <v>19</v>
      </c>
      <c r="AE43">
        <v>15333953</v>
      </c>
      <c r="AF43" t="s">
        <v>3714</v>
      </c>
      <c r="AG43" t="s">
        <v>2676</v>
      </c>
      <c r="AH43" t="s">
        <v>3715</v>
      </c>
      <c r="AI43" t="s">
        <v>1916</v>
      </c>
      <c r="AJ43" t="s">
        <v>3716</v>
      </c>
      <c r="AK43" t="s">
        <v>3717</v>
      </c>
      <c r="AL43" t="s">
        <v>3718</v>
      </c>
      <c r="AM43" t="s">
        <v>19</v>
      </c>
      <c r="AN43" t="s">
        <v>130</v>
      </c>
      <c r="AO43" t="s">
        <v>274</v>
      </c>
      <c r="AP43" t="s">
        <v>713</v>
      </c>
      <c r="AQ43" t="s">
        <v>1894</v>
      </c>
      <c r="AR43" t="s">
        <v>3719</v>
      </c>
      <c r="AS43" t="s">
        <v>832</v>
      </c>
      <c r="AT43" t="s">
        <v>432</v>
      </c>
      <c r="AU43" t="s">
        <v>3720</v>
      </c>
      <c r="AV43" t="s">
        <v>3721</v>
      </c>
      <c r="AW43" t="s">
        <v>3722</v>
      </c>
      <c r="AX43" t="s">
        <v>2184</v>
      </c>
      <c r="AY43" t="s">
        <v>1906</v>
      </c>
      <c r="AZ43" t="s">
        <v>1908</v>
      </c>
      <c r="BA43" t="s">
        <v>1909</v>
      </c>
      <c r="BB43" t="s">
        <v>1910</v>
      </c>
      <c r="BC43" t="s">
        <v>2185</v>
      </c>
      <c r="BD43" t="s">
        <v>1907</v>
      </c>
      <c r="BE43" t="s">
        <v>1911</v>
      </c>
      <c r="BF43" t="s">
        <v>1912</v>
      </c>
      <c r="BG43" t="s">
        <v>1913</v>
      </c>
      <c r="BH43" t="s">
        <v>825</v>
      </c>
      <c r="BI43" t="s">
        <v>315</v>
      </c>
      <c r="BJ43" t="s">
        <v>2184</v>
      </c>
      <c r="BK43" t="s">
        <v>3711</v>
      </c>
      <c r="BL43" t="s">
        <v>3723</v>
      </c>
      <c r="BM43" t="s">
        <v>2185</v>
      </c>
      <c r="BN43" t="s">
        <v>19</v>
      </c>
      <c r="BO43" t="s">
        <v>19</v>
      </c>
      <c r="BP43" t="s">
        <v>19</v>
      </c>
      <c r="BQ43">
        <v>-8.56</v>
      </c>
      <c r="BR43">
        <v>-25.62</v>
      </c>
      <c r="BS43">
        <v>-90.13</v>
      </c>
      <c r="BT43" t="s">
        <v>1983</v>
      </c>
      <c r="BU43" t="s">
        <v>3125</v>
      </c>
      <c r="BV43">
        <v>14.42</v>
      </c>
      <c r="BW43">
        <v>21.48</v>
      </c>
      <c r="BX43">
        <v>10.81</v>
      </c>
      <c r="BY43">
        <v>-11.15</v>
      </c>
      <c r="BZ43">
        <v>-5.57</v>
      </c>
      <c r="CA43">
        <v>-41.31</v>
      </c>
      <c r="CB43">
        <v>-2.0699999999999998</v>
      </c>
      <c r="CC43">
        <v>-28.4</v>
      </c>
      <c r="CD43" t="s">
        <v>3724</v>
      </c>
      <c r="CE43" t="s">
        <v>150</v>
      </c>
      <c r="CF43" s="14">
        <v>-0.20439189189189189</v>
      </c>
      <c r="CG43" s="15">
        <v>-5.57977724831174</v>
      </c>
      <c r="CH43" s="14">
        <v>-0.10046368092298508</v>
      </c>
      <c r="CI43" s="14">
        <v>-3.1799454241991043E-2</v>
      </c>
      <c r="CJ43" s="14">
        <v>-0.48127305507659912</v>
      </c>
      <c r="CK43" s="14">
        <v>-0.29041588306427002</v>
      </c>
      <c r="CL43" s="14">
        <v>0.47212645411491394</v>
      </c>
      <c r="CM43" s="15">
        <v>-0.73426574468612671</v>
      </c>
      <c r="CN43" s="15">
        <v>0.86156827211380005</v>
      </c>
      <c r="CO43" s="15">
        <v>2.3629490286111832E-2</v>
      </c>
      <c r="CP43" s="15">
        <v>-48.8004150390625</v>
      </c>
      <c r="CQ43" s="15">
        <v>-0.44661322236061096</v>
      </c>
      <c r="CR43">
        <v>-6.6288587049838847</v>
      </c>
      <c r="CS43">
        <v>-0.76753884095664793</v>
      </c>
      <c r="CT43">
        <v>0</v>
      </c>
      <c r="CU43" s="14">
        <v>-8.6365123838186258E-2</v>
      </c>
      <c r="CV43" s="15">
        <v>-9.8192192487418648</v>
      </c>
      <c r="CW43">
        <v>0.06</v>
      </c>
      <c r="CX43" t="e">
        <v>#VALUE!</v>
      </c>
      <c r="CY43" t="s">
        <v>1834</v>
      </c>
      <c r="CZ43">
        <v>-8.6365123838186258E-2</v>
      </c>
      <c r="DA43" t="e">
        <v>#VALUE!</v>
      </c>
      <c r="DB43" t="s">
        <v>1835</v>
      </c>
      <c r="DC43">
        <v>-8.2046867646276944E-2</v>
      </c>
      <c r="DD43" t="e">
        <v>#VALUE!</v>
      </c>
      <c r="DE43" t="s">
        <v>1835</v>
      </c>
      <c r="DF43">
        <v>-7.6001308977603904E-2</v>
      </c>
      <c r="DG43" t="e">
        <v>#VALUE!</v>
      </c>
      <c r="DH43" t="s">
        <v>1835</v>
      </c>
      <c r="DI43">
        <v>-6.9092099070549015E-2</v>
      </c>
      <c r="DJ43" t="e">
        <v>#VALUE!</v>
      </c>
      <c r="DK43" t="s">
        <v>1835</v>
      </c>
      <c r="DL43">
        <v>-6.045558668673038E-2</v>
      </c>
      <c r="DM43">
        <v>-248000000</v>
      </c>
      <c r="DN43">
        <v>-8.6365123838186258E-2</v>
      </c>
      <c r="DO43">
        <v>7101495500</v>
      </c>
      <c r="DP43">
        <v>-1626758000</v>
      </c>
      <c r="DQ43">
        <v>1040</v>
      </c>
      <c r="DR43">
        <v>-0.11802676805370563</v>
      </c>
      <c r="DS43">
        <v>4.2394420004301248</v>
      </c>
      <c r="DT43" s="16">
        <v>-0.59</v>
      </c>
      <c r="DU43">
        <v>-2.7116666666666664</v>
      </c>
      <c r="DV43">
        <v>-3.3016666666666663</v>
      </c>
      <c r="DW43">
        <v>-3.1402380952380953</v>
      </c>
      <c r="DX43">
        <v>0.35389834074074056</v>
      </c>
      <c r="DY43">
        <v>-3.020180029213404</v>
      </c>
      <c r="DZ43">
        <v>4987</v>
      </c>
      <c r="EA43">
        <v>-3.0004857423861542</v>
      </c>
      <c r="EB43">
        <v>3</v>
      </c>
      <c r="EC43">
        <v>6.8884008777675698E-2</v>
      </c>
      <c r="ED43">
        <v>0.47869914252661505</v>
      </c>
      <c r="EE43" s="17">
        <v>-4.0171099999999997</v>
      </c>
      <c r="EF43">
        <v>-4.04481</v>
      </c>
      <c r="EG43">
        <v>21.143898340740741</v>
      </c>
      <c r="EH43" t="s">
        <v>2873</v>
      </c>
      <c r="EI43">
        <v>0</v>
      </c>
      <c r="EJ43">
        <v>0</v>
      </c>
      <c r="EK43" s="19">
        <v>45470</v>
      </c>
      <c r="EL43" s="20">
        <v>-2.25</v>
      </c>
      <c r="EM43" s="20">
        <v>-5.36</v>
      </c>
      <c r="EN43" s="20">
        <v>-0.4</v>
      </c>
      <c r="EO43" s="20">
        <v>2.85</v>
      </c>
      <c r="EP43" s="20">
        <v>-2.77</v>
      </c>
    </row>
    <row r="44" spans="1:146" ht="84" x14ac:dyDescent="0.25">
      <c r="A44" s="7"/>
      <c r="B44" s="7"/>
      <c r="C44" s="7" t="str">
        <f>""&amp;CHAR(10)&amp;Basic_Fundamental_Information_Constructure(F44)&amp;CHAR(10)&amp;Basic_Fundamental_Information_Concatenate("")</f>
        <v xml:space="preserve">
市值30.6588亿, 利润2728.13万; PE77.02; 平均PE23.08; 平均PEG1.96, PB2.64; ROIC9.735%; ROE7.37%; 股利率1.1351%; 毛利33.5967%; 净利13.8133%; 上一年度营收增14.12%, 利润增-43.73%; 当季营收增23.31%, 利润增46.21%; 过往5年营收增11.75%, 利润增121.75%
Income profile:
</v>
      </c>
      <c r="D44" t="s">
        <v>605</v>
      </c>
      <c r="E44" t="s">
        <v>1605</v>
      </c>
      <c r="F44">
        <v>8.81</v>
      </c>
      <c r="G44">
        <v>0.46</v>
      </c>
      <c r="H44" t="s">
        <v>3725</v>
      </c>
      <c r="I44">
        <v>3065880000</v>
      </c>
      <c r="J44">
        <v>77.02</v>
      </c>
      <c r="K44">
        <v>2.64</v>
      </c>
      <c r="L44" t="s">
        <v>172</v>
      </c>
      <c r="M44" t="s">
        <v>977</v>
      </c>
      <c r="N44" t="s">
        <v>3726</v>
      </c>
      <c r="O44" t="s">
        <v>207</v>
      </c>
      <c r="P44">
        <v>23.11</v>
      </c>
      <c r="Q44" t="s">
        <v>854</v>
      </c>
      <c r="R44">
        <v>-14575437</v>
      </c>
      <c r="S44" s="5">
        <v>0.46210000000000001</v>
      </c>
      <c r="T44" t="s">
        <v>3727</v>
      </c>
      <c r="U44">
        <v>237750000</v>
      </c>
      <c r="V44">
        <v>348000000</v>
      </c>
      <c r="W44">
        <v>1.17</v>
      </c>
      <c r="X44">
        <v>0.12</v>
      </c>
      <c r="Y44">
        <v>-10.29</v>
      </c>
      <c r="Z44" t="s">
        <v>347</v>
      </c>
      <c r="AA44" t="s">
        <v>242</v>
      </c>
      <c r="AB44" t="s">
        <v>3728</v>
      </c>
      <c r="AC44" t="s">
        <v>3729</v>
      </c>
      <c r="AD44" t="s">
        <v>19</v>
      </c>
      <c r="AE44">
        <v>-999851</v>
      </c>
      <c r="AF44" t="s">
        <v>3730</v>
      </c>
      <c r="AG44">
        <v>0</v>
      </c>
      <c r="AH44" t="s">
        <v>3731</v>
      </c>
      <c r="AI44" t="s">
        <v>608</v>
      </c>
      <c r="AJ44" t="s">
        <v>3732</v>
      </c>
      <c r="AK44" t="s">
        <v>3733</v>
      </c>
      <c r="AL44" t="s">
        <v>3734</v>
      </c>
      <c r="AM44" t="s">
        <v>19</v>
      </c>
      <c r="AN44" t="s">
        <v>3735</v>
      </c>
      <c r="AO44" t="s">
        <v>3736</v>
      </c>
      <c r="AP44" t="s">
        <v>19</v>
      </c>
      <c r="AQ44" t="s">
        <v>25</v>
      </c>
      <c r="AR44" t="s">
        <v>19</v>
      </c>
      <c r="AS44" t="s">
        <v>526</v>
      </c>
      <c r="AT44" t="s">
        <v>19</v>
      </c>
      <c r="AU44" t="s">
        <v>3737</v>
      </c>
      <c r="AV44" t="s">
        <v>3738</v>
      </c>
      <c r="AW44" t="s">
        <v>3739</v>
      </c>
      <c r="AX44" t="s">
        <v>2025</v>
      </c>
      <c r="AY44" t="s">
        <v>935</v>
      </c>
      <c r="AZ44" t="s">
        <v>428</v>
      </c>
      <c r="BA44" t="s">
        <v>608</v>
      </c>
      <c r="BB44" t="s">
        <v>553</v>
      </c>
      <c r="BC44" t="s">
        <v>2188</v>
      </c>
      <c r="BD44" t="s">
        <v>208</v>
      </c>
      <c r="BE44" t="s">
        <v>553</v>
      </c>
      <c r="BF44" t="s">
        <v>611</v>
      </c>
      <c r="BG44" t="s">
        <v>612</v>
      </c>
      <c r="BH44" t="s">
        <v>854</v>
      </c>
      <c r="BI44" t="s">
        <v>441</v>
      </c>
      <c r="BJ44" t="s">
        <v>2025</v>
      </c>
      <c r="BK44" t="s">
        <v>3727</v>
      </c>
      <c r="BL44" t="s">
        <v>3740</v>
      </c>
      <c r="BM44" t="s">
        <v>2188</v>
      </c>
      <c r="BN44" t="s">
        <v>19</v>
      </c>
      <c r="BO44">
        <v>2.92</v>
      </c>
      <c r="BP44">
        <v>16.55</v>
      </c>
      <c r="BQ44">
        <v>0.54</v>
      </c>
      <c r="BR44">
        <v>4.05</v>
      </c>
      <c r="BS44">
        <v>17.52</v>
      </c>
      <c r="BT44" t="s">
        <v>2003</v>
      </c>
      <c r="BU44" t="s">
        <v>2920</v>
      </c>
      <c r="BV44">
        <v>34.35</v>
      </c>
      <c r="BW44">
        <v>31.18</v>
      </c>
      <c r="BX44">
        <v>35.26</v>
      </c>
      <c r="BY44">
        <v>2.2400000000000002</v>
      </c>
      <c r="BZ44">
        <v>6.45</v>
      </c>
      <c r="CA44">
        <v>32.75</v>
      </c>
      <c r="CB44">
        <v>-4.96</v>
      </c>
      <c r="CC44">
        <v>-14.8</v>
      </c>
      <c r="CD44" t="s">
        <v>3741</v>
      </c>
      <c r="CE44" t="s">
        <v>52</v>
      </c>
      <c r="CF44" s="14">
        <v>0.23308270676691728</v>
      </c>
      <c r="CG44" s="15">
        <v>0.4621292401027367</v>
      </c>
      <c r="CH44" s="14">
        <v>0.14115646481513977</v>
      </c>
      <c r="CI44" s="14">
        <v>-1.342281885445118E-2</v>
      </c>
      <c r="CJ44" s="14">
        <v>0.27896994352340698</v>
      </c>
      <c r="CK44" s="14">
        <v>0.14496314525604248</v>
      </c>
      <c r="CL44" s="14">
        <v>3.5623408854007721E-2</v>
      </c>
      <c r="CM44" s="15">
        <v>-0.43733075261116028</v>
      </c>
      <c r="CN44" s="15">
        <v>-0.7526249885559082</v>
      </c>
      <c r="CO44" s="15">
        <v>-0.50127226114273071</v>
      </c>
      <c r="CP44" s="15">
        <v>8.3106565475463867</v>
      </c>
      <c r="CQ44" s="15">
        <v>-0.53184026479721069</v>
      </c>
      <c r="CR44">
        <v>23.076674109130998</v>
      </c>
      <c r="CS44">
        <v>1.9646740508792213</v>
      </c>
      <c r="CT44">
        <v>1.1350737797956867</v>
      </c>
      <c r="CU44" s="14">
        <v>0.11745802871882915</v>
      </c>
      <c r="CV44" s="15">
        <v>1.2175176560878753</v>
      </c>
      <c r="CW44">
        <v>0.06</v>
      </c>
      <c r="CX44">
        <v>72.805027866383824</v>
      </c>
      <c r="CY44">
        <v>28760101.621591501</v>
      </c>
      <c r="CZ44">
        <v>0.11745802871882915</v>
      </c>
      <c r="DA44">
        <v>23.2468939714878</v>
      </c>
      <c r="DB44">
        <v>90071387.711757675</v>
      </c>
      <c r="DC44">
        <v>0.11158512728288769</v>
      </c>
      <c r="DD44">
        <v>11.091080143665861</v>
      </c>
      <c r="DE44">
        <v>188789547.3549363</v>
      </c>
      <c r="DF44">
        <v>0.10336306527256965</v>
      </c>
      <c r="DG44">
        <v>6.4263784101792982</v>
      </c>
      <c r="DH44">
        <v>325825817.6461134</v>
      </c>
      <c r="DI44">
        <v>9.396642297506333E-2</v>
      </c>
      <c r="DJ44">
        <v>3.0644268286980418</v>
      </c>
      <c r="DK44">
        <v>683286016.29219186</v>
      </c>
      <c r="DL44">
        <v>8.2220620103180403E-2</v>
      </c>
      <c r="DM44">
        <v>27281300</v>
      </c>
      <c r="DN44">
        <v>0.11745802871882915</v>
      </c>
      <c r="DO44">
        <v>2093880000</v>
      </c>
      <c r="DP44">
        <v>607229810</v>
      </c>
      <c r="DQ44">
        <v>1046</v>
      </c>
      <c r="DR44">
        <v>0.11562467804808813</v>
      </c>
      <c r="DS44">
        <v>-0.75538841598513862</v>
      </c>
      <c r="DT44" s="16">
        <v>-0.3066666666666667</v>
      </c>
      <c r="DU44">
        <v>-0.54833333333333345</v>
      </c>
      <c r="DV44">
        <v>-0.8550000000000002</v>
      </c>
      <c r="DW44">
        <v>-8.3351351351351344</v>
      </c>
      <c r="DX44">
        <v>0.37761604938271587</v>
      </c>
      <c r="DY44">
        <v>-8.0494713246579916</v>
      </c>
      <c r="DZ44">
        <v>3412</v>
      </c>
      <c r="EA44">
        <v>-8.0164388080761775</v>
      </c>
      <c r="EB44">
        <v>8</v>
      </c>
      <c r="EC44">
        <v>6.8717816091954029E-2</v>
      </c>
      <c r="ED44">
        <v>0.46551724137931033</v>
      </c>
      <c r="EE44" s="17">
        <v>1.0235000000000001</v>
      </c>
      <c r="EF44">
        <v>1.0064</v>
      </c>
      <c r="EG44">
        <v>23.147616049382716</v>
      </c>
      <c r="EH44" t="s">
        <v>1832</v>
      </c>
      <c r="EI44">
        <v>0</v>
      </c>
      <c r="EJ44">
        <v>0</v>
      </c>
      <c r="EK44" s="19">
        <v>45470</v>
      </c>
      <c r="EL44" s="20">
        <v>-0.54</v>
      </c>
      <c r="EM44" s="20">
        <v>-4.21</v>
      </c>
      <c r="EN44" s="20">
        <v>2.25</v>
      </c>
      <c r="EO44" s="20">
        <v>3.2</v>
      </c>
      <c r="EP44" s="20">
        <v>-1.71</v>
      </c>
    </row>
    <row r="45" spans="1:146" ht="84" x14ac:dyDescent="0.25">
      <c r="A45" s="7"/>
      <c r="B45" s="7"/>
      <c r="C45" s="7" t="str">
        <f>""&amp;CHAR(10)&amp;Basic_Fundamental_Information_Constructure(F45)&amp;CHAR(10)&amp;Basic_Fundamental_Information_Concatenate("")</f>
        <v xml:space="preserve">
市值59.572148亿, 利润3.20亿; PE17.54; 平均PE62.44; 平均PEG5.05, PB2.6; ROIC3.9%; ROE4.92%; 股利率0%; 毛利17.1167%; 净利3.4467%; 上一年度营收增18.4%, 利润增346.69%; 当季营收增6.96%, 利润增1890.84%; 过往5年营收增12.37%, 利润增190.76%
Income profile:
</v>
      </c>
      <c r="D45" t="s">
        <v>613</v>
      </c>
      <c r="E45" t="s">
        <v>614</v>
      </c>
      <c r="F45">
        <v>12.42</v>
      </c>
      <c r="G45">
        <v>-0.24</v>
      </c>
      <c r="H45" t="s">
        <v>3742</v>
      </c>
      <c r="I45">
        <v>5957214800</v>
      </c>
      <c r="J45">
        <v>17.54</v>
      </c>
      <c r="K45">
        <v>2.6</v>
      </c>
      <c r="L45" t="s">
        <v>172</v>
      </c>
      <c r="M45" t="s">
        <v>3743</v>
      </c>
      <c r="N45" t="s">
        <v>3744</v>
      </c>
      <c r="O45" t="s">
        <v>2670</v>
      </c>
      <c r="P45">
        <v>7.03</v>
      </c>
      <c r="Q45" t="s">
        <v>3745</v>
      </c>
      <c r="R45">
        <v>21166565</v>
      </c>
      <c r="S45" s="5">
        <v>18.91</v>
      </c>
      <c r="T45" t="s">
        <v>610</v>
      </c>
      <c r="U45">
        <v>455553640</v>
      </c>
      <c r="V45">
        <v>479646930</v>
      </c>
      <c r="W45">
        <v>2.21</v>
      </c>
      <c r="X45">
        <v>0.15</v>
      </c>
      <c r="Y45">
        <v>2.38</v>
      </c>
      <c r="Z45" t="s">
        <v>1184</v>
      </c>
      <c r="AA45" t="s">
        <v>854</v>
      </c>
      <c r="AB45" t="s">
        <v>3746</v>
      </c>
      <c r="AC45" t="s">
        <v>3747</v>
      </c>
      <c r="AD45" t="s">
        <v>19</v>
      </c>
      <c r="AE45">
        <v>1461896</v>
      </c>
      <c r="AF45" t="s">
        <v>3748</v>
      </c>
      <c r="AG45" t="s">
        <v>3749</v>
      </c>
      <c r="AH45" t="s">
        <v>3750</v>
      </c>
      <c r="AI45" t="s">
        <v>2541</v>
      </c>
      <c r="AJ45" t="s">
        <v>3751</v>
      </c>
      <c r="AK45" t="s">
        <v>3752</v>
      </c>
      <c r="AL45" t="s">
        <v>3753</v>
      </c>
      <c r="AM45" t="s">
        <v>19</v>
      </c>
      <c r="AN45" t="s">
        <v>406</v>
      </c>
      <c r="AO45" t="s">
        <v>296</v>
      </c>
      <c r="AP45" t="s">
        <v>958</v>
      </c>
      <c r="AQ45" t="s">
        <v>2290</v>
      </c>
      <c r="AR45" t="s">
        <v>19</v>
      </c>
      <c r="AS45" t="s">
        <v>3754</v>
      </c>
      <c r="AT45" t="s">
        <v>3755</v>
      </c>
      <c r="AU45" t="s">
        <v>3756</v>
      </c>
      <c r="AV45" t="s">
        <v>2765</v>
      </c>
      <c r="AW45" t="s">
        <v>3757</v>
      </c>
      <c r="AX45" t="s">
        <v>2189</v>
      </c>
      <c r="AY45" t="s">
        <v>1606</v>
      </c>
      <c r="AZ45" t="s">
        <v>615</v>
      </c>
      <c r="BA45" t="s">
        <v>618</v>
      </c>
      <c r="BB45" t="s">
        <v>619</v>
      </c>
      <c r="BC45" t="s">
        <v>2190</v>
      </c>
      <c r="BD45" t="s">
        <v>1607</v>
      </c>
      <c r="BE45" t="s">
        <v>616</v>
      </c>
      <c r="BF45" t="s">
        <v>620</v>
      </c>
      <c r="BG45" t="s">
        <v>621</v>
      </c>
      <c r="BH45" t="s">
        <v>3745</v>
      </c>
      <c r="BI45" t="s">
        <v>1512</v>
      </c>
      <c r="BJ45" t="s">
        <v>2189</v>
      </c>
      <c r="BK45" t="s">
        <v>610</v>
      </c>
      <c r="BL45" t="s">
        <v>3758</v>
      </c>
      <c r="BM45" t="s">
        <v>2190</v>
      </c>
      <c r="BN45">
        <v>7.64</v>
      </c>
      <c r="BO45">
        <v>3.11</v>
      </c>
      <c r="BP45">
        <v>0.95</v>
      </c>
      <c r="BQ45">
        <v>9.93</v>
      </c>
      <c r="BR45">
        <v>3.69</v>
      </c>
      <c r="BS45">
        <v>1.1399999999999999</v>
      </c>
      <c r="BT45" t="s">
        <v>1983</v>
      </c>
      <c r="BU45" t="s">
        <v>2920</v>
      </c>
      <c r="BV45">
        <v>18</v>
      </c>
      <c r="BW45">
        <v>16.71</v>
      </c>
      <c r="BX45">
        <v>16.64</v>
      </c>
      <c r="BY45">
        <v>7.98</v>
      </c>
      <c r="BZ45">
        <v>1.99</v>
      </c>
      <c r="CA45">
        <v>0.37</v>
      </c>
      <c r="CB45">
        <v>-5.77</v>
      </c>
      <c r="CC45">
        <v>-18.45</v>
      </c>
      <c r="CD45" t="s">
        <v>3759</v>
      </c>
      <c r="CE45" t="s">
        <v>1899</v>
      </c>
      <c r="CF45" s="14">
        <v>6.9553805774278221E-2</v>
      </c>
      <c r="CG45" s="15">
        <v>18.908356847253575</v>
      </c>
      <c r="CH45" s="14">
        <v>0.18400715291500092</v>
      </c>
      <c r="CI45" s="14">
        <v>0.23995579779148102</v>
      </c>
      <c r="CJ45" s="14">
        <v>7.5733572244644165E-2</v>
      </c>
      <c r="CK45" s="14">
        <v>0.12138725817203522</v>
      </c>
      <c r="CL45" s="14">
        <v>-2.6608104817569256E-3</v>
      </c>
      <c r="CM45" s="15">
        <v>3.4669339656829834</v>
      </c>
      <c r="CN45" s="15">
        <v>2.2829465866088867</v>
      </c>
      <c r="CO45" s="15">
        <v>-0.65983831882476807</v>
      </c>
      <c r="CP45" s="15">
        <v>-0.49488818645477295</v>
      </c>
      <c r="CQ45" s="15">
        <v>4.9430465698242188</v>
      </c>
      <c r="CR45">
        <v>62.444686854908248</v>
      </c>
      <c r="CS45">
        <v>5.0487037043710581</v>
      </c>
      <c r="CT45">
        <v>0</v>
      </c>
      <c r="CU45" s="14">
        <v>0.12368459412828088</v>
      </c>
      <c r="CV45" s="15">
        <v>1.9076401233673095</v>
      </c>
      <c r="CW45">
        <v>0.06</v>
      </c>
      <c r="CX45">
        <v>19.315216777388898</v>
      </c>
      <c r="CY45">
        <v>339225537.85004699</v>
      </c>
      <c r="CZ45">
        <v>0.12368459412828088</v>
      </c>
      <c r="DA45">
        <v>6.1352095438898555</v>
      </c>
      <c r="DB45">
        <v>1067969195.3676538</v>
      </c>
      <c r="DC45">
        <v>0.11750036442186683</v>
      </c>
      <c r="DD45">
        <v>2.9062203446640229</v>
      </c>
      <c r="DE45">
        <v>2254548527.963552</v>
      </c>
      <c r="DF45">
        <v>0.10884244283288717</v>
      </c>
      <c r="DG45">
        <v>1.6700011557402663</v>
      </c>
      <c r="DH45">
        <v>3923479200.8844934</v>
      </c>
      <c r="DI45">
        <v>9.8947675302624716E-2</v>
      </c>
      <c r="DJ45">
        <v>0.78136833453129573</v>
      </c>
      <c r="DK45">
        <v>8385564797.5936346</v>
      </c>
      <c r="DL45">
        <v>8.6579215889796612E-2</v>
      </c>
      <c r="DM45">
        <v>320000000</v>
      </c>
      <c r="DN45">
        <v>0.12368459412828088</v>
      </c>
      <c r="DO45">
        <v>6552214800</v>
      </c>
      <c r="DP45">
        <v>711602300</v>
      </c>
      <c r="DQ45">
        <v>1083</v>
      </c>
      <c r="DR45">
        <v>-5.413078835400266E-2</v>
      </c>
      <c r="DS45">
        <v>17.000716723886267</v>
      </c>
      <c r="DT45" s="16">
        <v>-0.12333333333333336</v>
      </c>
      <c r="DU45">
        <v>1.3283333333333331</v>
      </c>
      <c r="DV45">
        <v>1.2049999999999998</v>
      </c>
      <c r="DW45">
        <v>-8.3127371273712729</v>
      </c>
      <c r="DX45">
        <v>0.27121918699187147</v>
      </c>
      <c r="DY45">
        <v>-8.0285276265009813</v>
      </c>
      <c r="DZ45">
        <v>121</v>
      </c>
      <c r="EA45">
        <v>-8.027852119102425</v>
      </c>
      <c r="EB45">
        <v>8</v>
      </c>
      <c r="EC45">
        <v>0.11696061517583359</v>
      </c>
      <c r="ED45">
        <v>1.2821931331865295</v>
      </c>
      <c r="EE45" s="17">
        <v>1.06711</v>
      </c>
      <c r="EF45">
        <v>1.10541</v>
      </c>
      <c r="EG45">
        <v>18.091219186991871</v>
      </c>
      <c r="EH45" t="s">
        <v>1840</v>
      </c>
      <c r="EI45">
        <v>0</v>
      </c>
      <c r="EJ45">
        <v>1</v>
      </c>
      <c r="EK45" s="19">
        <v>45470</v>
      </c>
      <c r="EL45" s="20">
        <v>0.74</v>
      </c>
      <c r="EM45" s="20">
        <v>-4.92</v>
      </c>
      <c r="EN45" s="20">
        <v>0.77</v>
      </c>
      <c r="EO45" s="20">
        <v>2.15</v>
      </c>
      <c r="EP45" s="20">
        <v>-3.83</v>
      </c>
    </row>
    <row r="46" spans="1:146" ht="84" x14ac:dyDescent="0.25">
      <c r="A46" s="7"/>
      <c r="B46" s="7"/>
      <c r="C46" s="7" t="str">
        <f>""&amp;CHAR(10)&amp;Basic_Fundamental_Information_Constructure(F46)&amp;CHAR(10)&amp;Basic_Fundamental_Information_Concatenate("")</f>
        <v xml:space="preserve">
市值11.6449106亿, 利润1.05亿; PE10.08; 平均PE-7.36; 平均PEG-1.54, PB1.35; ROIC7.745%; ROE6.66%; 股利率0%; 毛利19.1733%; 净利1.44%; 上一年度营收增-1.63%, 利润增676.78%; 当季营收增26.56%, 利润增104.49%; 过往5年营收增-4.79%, 利润增-997.38%
Income profile:
</v>
      </c>
      <c r="D46" t="s">
        <v>623</v>
      </c>
      <c r="E46" t="s">
        <v>624</v>
      </c>
      <c r="F46">
        <v>4.1100000000000003</v>
      </c>
      <c r="G46">
        <v>0.98</v>
      </c>
      <c r="H46" t="s">
        <v>3760</v>
      </c>
      <c r="I46">
        <v>1164491060</v>
      </c>
      <c r="J46">
        <v>10.08</v>
      </c>
      <c r="K46">
        <v>1.35</v>
      </c>
      <c r="L46" t="s">
        <v>172</v>
      </c>
      <c r="M46" t="s">
        <v>199</v>
      </c>
      <c r="N46" t="s">
        <v>1921</v>
      </c>
      <c r="O46" t="s">
        <v>323</v>
      </c>
      <c r="P46">
        <v>27.02</v>
      </c>
      <c r="Q46" t="s">
        <v>291</v>
      </c>
      <c r="R46">
        <v>19635169</v>
      </c>
      <c r="S46" s="5">
        <v>1.0449999999999999</v>
      </c>
      <c r="T46" t="s">
        <v>414</v>
      </c>
      <c r="U46">
        <v>262716370</v>
      </c>
      <c r="V46">
        <v>283331160</v>
      </c>
      <c r="W46">
        <v>1.3</v>
      </c>
      <c r="X46">
        <v>0.11</v>
      </c>
      <c r="Y46">
        <v>16.170000000000002</v>
      </c>
      <c r="Z46" t="s">
        <v>103</v>
      </c>
      <c r="AA46" t="s">
        <v>3761</v>
      </c>
      <c r="AB46" t="s">
        <v>3762</v>
      </c>
      <c r="AC46" t="s">
        <v>3763</v>
      </c>
      <c r="AD46" t="s">
        <v>19</v>
      </c>
      <c r="AE46">
        <v>-2125974</v>
      </c>
      <c r="AF46" t="s">
        <v>3764</v>
      </c>
      <c r="AG46" t="s">
        <v>3765</v>
      </c>
      <c r="AH46" t="s">
        <v>3766</v>
      </c>
      <c r="AI46" t="s">
        <v>437</v>
      </c>
      <c r="AJ46" t="s">
        <v>3767</v>
      </c>
      <c r="AK46" t="s">
        <v>3768</v>
      </c>
      <c r="AL46" t="s">
        <v>3769</v>
      </c>
      <c r="AM46" t="s">
        <v>19</v>
      </c>
      <c r="AN46" t="s">
        <v>3770</v>
      </c>
      <c r="AO46" t="s">
        <v>2589</v>
      </c>
      <c r="AP46" t="s">
        <v>19</v>
      </c>
      <c r="AQ46" t="s">
        <v>121</v>
      </c>
      <c r="AR46" t="s">
        <v>19</v>
      </c>
      <c r="AS46" t="s">
        <v>48</v>
      </c>
      <c r="AT46" t="s">
        <v>19</v>
      </c>
      <c r="AU46" t="s">
        <v>3771</v>
      </c>
      <c r="AV46" t="s">
        <v>3772</v>
      </c>
      <c r="AW46" t="s">
        <v>3773</v>
      </c>
      <c r="AX46" t="s">
        <v>107</v>
      </c>
      <c r="AY46" t="s">
        <v>637</v>
      </c>
      <c r="AZ46" t="s">
        <v>318</v>
      </c>
      <c r="BA46" t="s">
        <v>629</v>
      </c>
      <c r="BB46" t="s">
        <v>156</v>
      </c>
      <c r="BC46" t="s">
        <v>2191</v>
      </c>
      <c r="BD46" t="s">
        <v>1608</v>
      </c>
      <c r="BE46" t="s">
        <v>625</v>
      </c>
      <c r="BF46" t="s">
        <v>630</v>
      </c>
      <c r="BG46" t="s">
        <v>631</v>
      </c>
      <c r="BH46" t="s">
        <v>291</v>
      </c>
      <c r="BI46" t="s">
        <v>3774</v>
      </c>
      <c r="BJ46" t="s">
        <v>107</v>
      </c>
      <c r="BK46" t="s">
        <v>414</v>
      </c>
      <c r="BL46" t="s">
        <v>3775</v>
      </c>
      <c r="BM46" t="s">
        <v>2191</v>
      </c>
      <c r="BN46">
        <v>14.71</v>
      </c>
      <c r="BO46">
        <v>0.78</v>
      </c>
      <c r="BP46" t="s">
        <v>19</v>
      </c>
      <c r="BQ46">
        <v>15.81</v>
      </c>
      <c r="BR46">
        <v>1.88</v>
      </c>
      <c r="BS46">
        <v>2.29</v>
      </c>
      <c r="BT46" t="s">
        <v>1983</v>
      </c>
      <c r="BU46" t="s">
        <v>2920</v>
      </c>
      <c r="BV46">
        <v>22.83</v>
      </c>
      <c r="BW46">
        <v>20.59</v>
      </c>
      <c r="BX46">
        <v>14.1</v>
      </c>
      <c r="BY46">
        <v>19.32</v>
      </c>
      <c r="BZ46">
        <v>1.92</v>
      </c>
      <c r="CA46">
        <v>-16.920000000000002</v>
      </c>
      <c r="CB46">
        <v>0.74</v>
      </c>
      <c r="CC46">
        <v>-13.66</v>
      </c>
      <c r="CD46" t="s">
        <v>3776</v>
      </c>
      <c r="CE46" t="s">
        <v>3777</v>
      </c>
      <c r="CF46" s="14">
        <v>0.26560962114342074</v>
      </c>
      <c r="CG46" s="15">
        <v>1.0449253793520032</v>
      </c>
      <c r="CH46" s="14">
        <v>-1.6304347664117813E-2</v>
      </c>
      <c r="CI46" s="14">
        <v>-8.9108914136886597E-2</v>
      </c>
      <c r="CJ46" s="14">
        <v>6.6445181146264076E-3</v>
      </c>
      <c r="CK46" s="14">
        <v>-0.19840213656425476</v>
      </c>
      <c r="CL46" s="14">
        <v>5.7746477425098419E-2</v>
      </c>
      <c r="CM46" s="15">
        <v>6.767765998840332</v>
      </c>
      <c r="CN46" s="15">
        <v>-0.16099880635738373</v>
      </c>
      <c r="CO46" s="15">
        <v>1.0235201120376587</v>
      </c>
      <c r="CP46" s="15">
        <v>-0.68719214200973511</v>
      </c>
      <c r="CQ46" s="15">
        <v>-56.812164306640625</v>
      </c>
      <c r="CR46">
        <v>-7.3616786231205689</v>
      </c>
      <c r="CS46">
        <v>-1.5373701544710408</v>
      </c>
      <c r="CT46">
        <v>0</v>
      </c>
      <c r="CU46" s="14">
        <v>-4.7884880565106869E-2</v>
      </c>
      <c r="CV46" s="15">
        <v>-9.9738138288259499</v>
      </c>
      <c r="CW46">
        <v>0.06</v>
      </c>
      <c r="CX46">
        <v>5.8046767619047621</v>
      </c>
      <c r="CY46" t="s">
        <v>3778</v>
      </c>
      <c r="CZ46">
        <v>-4.7884880565106869E-2</v>
      </c>
      <c r="DA46">
        <v>1.934892253968254</v>
      </c>
      <c r="DB46" t="s">
        <v>3779</v>
      </c>
      <c r="DC46">
        <v>-4.5490636536851523E-2</v>
      </c>
      <c r="DD46">
        <v>0.96744612698412702</v>
      </c>
      <c r="DE46" t="s">
        <v>3780</v>
      </c>
      <c r="DF46">
        <v>-4.2138694897294042E-2</v>
      </c>
      <c r="DG46">
        <v>0.58046767619047623</v>
      </c>
      <c r="DH46" t="s">
        <v>3781</v>
      </c>
      <c r="DI46">
        <v>-3.8307904452085498E-2</v>
      </c>
      <c r="DJ46">
        <v>0.29023383809523812</v>
      </c>
      <c r="DK46" t="s">
        <v>3782</v>
      </c>
      <c r="DL46">
        <v>-3.3519416395574805E-2</v>
      </c>
      <c r="DM46">
        <v>105000000</v>
      </c>
      <c r="DN46">
        <v>-4.7884880565106869E-2</v>
      </c>
      <c r="DO46">
        <v>609491060</v>
      </c>
      <c r="DP46">
        <v>222482520</v>
      </c>
      <c r="DQ46">
        <v>1085</v>
      </c>
      <c r="DR46">
        <v>0.31349450170852761</v>
      </c>
      <c r="DS46">
        <v>11.018739208177953</v>
      </c>
      <c r="DT46" s="16">
        <v>-0.55666666666666664</v>
      </c>
      <c r="DU46">
        <v>-1.29</v>
      </c>
      <c r="DV46">
        <v>-1.8466666666666667</v>
      </c>
      <c r="DW46">
        <v>-2.1366000000000001</v>
      </c>
      <c r="DX46">
        <v>0.34426929539557616</v>
      </c>
      <c r="DY46">
        <v>-2.0183411857510358</v>
      </c>
      <c r="DZ46">
        <v>4289</v>
      </c>
      <c r="EA46">
        <v>-2.0029467932488454</v>
      </c>
      <c r="EB46">
        <v>2</v>
      </c>
      <c r="EC46">
        <v>3.6984636635095137E-2</v>
      </c>
      <c r="ED46">
        <v>0.27545117169604644</v>
      </c>
      <c r="EE46" s="17">
        <v>2.12E-2</v>
      </c>
      <c r="EF46">
        <v>9.0000000000000011E-3</v>
      </c>
      <c r="EG46">
        <v>21.134269295395576</v>
      </c>
      <c r="EH46" t="s">
        <v>1831</v>
      </c>
      <c r="EI46">
        <v>0</v>
      </c>
      <c r="EJ46">
        <v>0</v>
      </c>
      <c r="EK46" s="19">
        <v>45470</v>
      </c>
      <c r="EL46" s="20">
        <v>0</v>
      </c>
      <c r="EM46" s="20">
        <v>-4.93</v>
      </c>
      <c r="EN46" s="20">
        <v>-0.49</v>
      </c>
      <c r="EO46" s="20">
        <v>1.99</v>
      </c>
      <c r="EP46" s="20">
        <v>-1.22</v>
      </c>
    </row>
    <row r="47" spans="1:146" ht="84" x14ac:dyDescent="0.25">
      <c r="A47" s="7"/>
      <c r="B47" s="7"/>
      <c r="C47" s="7" t="str">
        <f>""&amp;CHAR(10)&amp;Basic_Fundamental_Information_Constructure(F47)&amp;CHAR(10)&amp;Basic_Fundamental_Information_Concatenate("")</f>
        <v xml:space="preserve">
市值44.7亿, 利润5.03亿; PE8.08; 平均PE-32.05; 平均PEG-4.8, PB1.06; ROIC7.6033%; ROE8.2233%; 股利率3.3557%; 毛利28.0833%; 净利9.7%; 上一年度营收增.64%, 利润增15.1%; 当季营收增7.91%, 利润增82.42%; 过往5年营收增-6.68%, 利润增-388.82%
Income profile:
</v>
      </c>
      <c r="D47" t="s">
        <v>634</v>
      </c>
      <c r="E47" t="s">
        <v>635</v>
      </c>
      <c r="F47">
        <v>2.98</v>
      </c>
      <c r="G47">
        <v>0</v>
      </c>
      <c r="H47" t="s">
        <v>3783</v>
      </c>
      <c r="I47">
        <v>4470000000</v>
      </c>
      <c r="J47">
        <v>8.08</v>
      </c>
      <c r="K47">
        <v>1.06</v>
      </c>
      <c r="L47" t="s">
        <v>172</v>
      </c>
      <c r="M47" t="s">
        <v>2370</v>
      </c>
      <c r="N47" t="s">
        <v>3784</v>
      </c>
      <c r="O47" t="s">
        <v>182</v>
      </c>
      <c r="P47">
        <v>7.88</v>
      </c>
      <c r="Q47" t="s">
        <v>3785</v>
      </c>
      <c r="R47">
        <v>110069615</v>
      </c>
      <c r="S47" s="5">
        <v>0.82420000000000004</v>
      </c>
      <c r="T47" t="s">
        <v>184</v>
      </c>
      <c r="U47">
        <v>1499981100</v>
      </c>
      <c r="V47">
        <v>1500000000</v>
      </c>
      <c r="W47">
        <v>1.22</v>
      </c>
      <c r="X47">
        <v>0.16</v>
      </c>
      <c r="Y47">
        <v>13.24</v>
      </c>
      <c r="Z47" t="s">
        <v>3786</v>
      </c>
      <c r="AA47" t="s">
        <v>2564</v>
      </c>
      <c r="AB47" t="s">
        <v>3787</v>
      </c>
      <c r="AC47" t="s">
        <v>3788</v>
      </c>
      <c r="AD47" t="s">
        <v>19</v>
      </c>
      <c r="AE47">
        <v>2619402</v>
      </c>
      <c r="AF47" t="s">
        <v>3789</v>
      </c>
      <c r="AG47" t="s">
        <v>3790</v>
      </c>
      <c r="AH47" t="s">
        <v>3791</v>
      </c>
      <c r="AI47" t="s">
        <v>164</v>
      </c>
      <c r="AJ47" t="s">
        <v>3792</v>
      </c>
      <c r="AK47" t="s">
        <v>282</v>
      </c>
      <c r="AL47" t="s">
        <v>3793</v>
      </c>
      <c r="AM47" t="s">
        <v>19</v>
      </c>
      <c r="AN47" t="s">
        <v>475</v>
      </c>
      <c r="AO47" t="s">
        <v>380</v>
      </c>
      <c r="AP47" t="s">
        <v>3794</v>
      </c>
      <c r="AQ47" t="s">
        <v>553</v>
      </c>
      <c r="AR47" t="s">
        <v>2643</v>
      </c>
      <c r="AS47" t="s">
        <v>2131</v>
      </c>
      <c r="AT47" t="s">
        <v>19</v>
      </c>
      <c r="AU47" t="s">
        <v>628</v>
      </c>
      <c r="AV47" t="s">
        <v>3795</v>
      </c>
      <c r="AW47" t="s">
        <v>3796</v>
      </c>
      <c r="AX47" t="s">
        <v>2192</v>
      </c>
      <c r="AY47" t="s">
        <v>1609</v>
      </c>
      <c r="AZ47" t="s">
        <v>636</v>
      </c>
      <c r="BA47" t="s">
        <v>638</v>
      </c>
      <c r="BB47" t="s">
        <v>639</v>
      </c>
      <c r="BC47" t="s">
        <v>884</v>
      </c>
      <c r="BD47" t="s">
        <v>250</v>
      </c>
      <c r="BE47" t="s">
        <v>67</v>
      </c>
      <c r="BF47" t="s">
        <v>642</v>
      </c>
      <c r="BG47" t="s">
        <v>643</v>
      </c>
      <c r="BH47" t="s">
        <v>3785</v>
      </c>
      <c r="BI47" t="s">
        <v>2761</v>
      </c>
      <c r="BJ47" t="s">
        <v>2192</v>
      </c>
      <c r="BK47" t="s">
        <v>184</v>
      </c>
      <c r="BL47" t="s">
        <v>3797</v>
      </c>
      <c r="BM47" t="s">
        <v>884</v>
      </c>
      <c r="BN47">
        <v>8.3699999999999992</v>
      </c>
      <c r="BO47">
        <v>11.23</v>
      </c>
      <c r="BP47">
        <v>3.21</v>
      </c>
      <c r="BQ47">
        <v>8.9700000000000006</v>
      </c>
      <c r="BR47">
        <v>12.53</v>
      </c>
      <c r="BS47">
        <v>3.17</v>
      </c>
      <c r="BT47" t="s">
        <v>2003</v>
      </c>
      <c r="BU47" t="s">
        <v>3084</v>
      </c>
      <c r="BV47">
        <v>29.02</v>
      </c>
      <c r="BW47">
        <v>28.09</v>
      </c>
      <c r="BX47">
        <v>27.14</v>
      </c>
      <c r="BY47">
        <v>13.98</v>
      </c>
      <c r="BZ47">
        <v>12.21</v>
      </c>
      <c r="CA47">
        <v>2.91</v>
      </c>
      <c r="CB47">
        <v>-1.97</v>
      </c>
      <c r="CC47">
        <v>-6.58</v>
      </c>
      <c r="CD47" t="s">
        <v>3798</v>
      </c>
      <c r="CE47" t="s">
        <v>582</v>
      </c>
      <c r="CF47" s="14">
        <v>7.9118028534370943E-2</v>
      </c>
      <c r="CG47" s="15">
        <v>0.82418692719468334</v>
      </c>
      <c r="CH47" s="14">
        <v>6.4281905069947243E-3</v>
      </c>
      <c r="CI47" s="14">
        <v>1.9663704559206963E-2</v>
      </c>
      <c r="CJ47" s="14">
        <v>-6.5263703465461731E-2</v>
      </c>
      <c r="CK47" s="14">
        <v>3.415977954864502E-2</v>
      </c>
      <c r="CL47" s="14">
        <v>-0.32914432883262634</v>
      </c>
      <c r="CM47" s="15">
        <v>0.15102975070476532</v>
      </c>
      <c r="CN47" s="15">
        <v>3.2843136787414551</v>
      </c>
      <c r="CO47" s="15">
        <v>-9.7345136106014252E-2</v>
      </c>
      <c r="CP47" s="15">
        <v>1.0542486906051636</v>
      </c>
      <c r="CQ47" s="15">
        <v>-23.833200454711914</v>
      </c>
      <c r="CR47">
        <v>-32.051695728304878</v>
      </c>
      <c r="CS47">
        <v>-4.7959128999556269</v>
      </c>
      <c r="CT47">
        <v>3.3557046979865772</v>
      </c>
      <c r="CU47" s="14">
        <v>-6.6831271536648279E-2</v>
      </c>
      <c r="CV47" s="15">
        <v>-3.8881906941533089</v>
      </c>
      <c r="CW47">
        <v>0.06</v>
      </c>
      <c r="CX47">
        <v>2.7276341948310141</v>
      </c>
      <c r="CY47" t="s">
        <v>3799</v>
      </c>
      <c r="CZ47">
        <v>-6.6831271536648279E-2</v>
      </c>
      <c r="DA47">
        <v>0.90921139827700459</v>
      </c>
      <c r="DB47" t="s">
        <v>3800</v>
      </c>
      <c r="DC47">
        <v>-6.3489707959815858E-2</v>
      </c>
      <c r="DD47">
        <v>0.45460569913850229</v>
      </c>
      <c r="DE47" t="s">
        <v>3801</v>
      </c>
      <c r="DF47">
        <v>-5.8811518952250487E-2</v>
      </c>
      <c r="DG47">
        <v>0.2727634194831014</v>
      </c>
      <c r="DH47" t="s">
        <v>3802</v>
      </c>
      <c r="DI47">
        <v>-5.3465017229318623E-2</v>
      </c>
      <c r="DJ47">
        <v>0.1363817097415507</v>
      </c>
      <c r="DK47" t="s">
        <v>3803</v>
      </c>
      <c r="DL47">
        <v>-4.6781890075653795E-2</v>
      </c>
      <c r="DM47">
        <v>503000000</v>
      </c>
      <c r="DN47">
        <v>-6.6831271536648279E-2</v>
      </c>
      <c r="DO47">
        <v>1372000000</v>
      </c>
      <c r="DP47">
        <v>1217321100</v>
      </c>
      <c r="DQ47">
        <v>1152</v>
      </c>
      <c r="DR47">
        <v>0.14594930007101922</v>
      </c>
      <c r="DS47">
        <v>4.7123776213479918</v>
      </c>
      <c r="DT47" s="16">
        <v>-0.54</v>
      </c>
      <c r="DU47">
        <v>-0.29000000000000009</v>
      </c>
      <c r="DV47">
        <v>-0.83000000000000007</v>
      </c>
      <c r="DW47">
        <v>-2.0657999999999999</v>
      </c>
      <c r="DX47">
        <v>0.31548076109936646</v>
      </c>
      <c r="DY47">
        <v>-2.0075986340803382</v>
      </c>
      <c r="DZ47">
        <v>3384</v>
      </c>
      <c r="EA47">
        <v>-2.0025665836443567</v>
      </c>
      <c r="EB47">
        <v>2</v>
      </c>
      <c r="EC47">
        <v>3.6414933333333337E-2</v>
      </c>
      <c r="ED47">
        <v>0.31533333333333335</v>
      </c>
      <c r="EE47" s="17">
        <v>2.8200000000000003E-2</v>
      </c>
      <c r="EF47">
        <v>2.3E-3</v>
      </c>
      <c r="EG47">
        <v>20.115480761099366</v>
      </c>
      <c r="EH47" t="s">
        <v>1831</v>
      </c>
      <c r="EI47">
        <v>0</v>
      </c>
      <c r="EJ47">
        <v>0</v>
      </c>
      <c r="EK47" s="19">
        <v>45470</v>
      </c>
      <c r="EL47" s="20">
        <v>0.33</v>
      </c>
      <c r="EM47" s="20">
        <v>-3.93</v>
      </c>
      <c r="EN47" s="20">
        <v>1.71</v>
      </c>
      <c r="EO47" s="20">
        <v>3.69</v>
      </c>
      <c r="EP47" s="20">
        <v>-2.59</v>
      </c>
    </row>
    <row r="48" spans="1:146" ht="84" x14ac:dyDescent="0.25">
      <c r="A48" s="7"/>
      <c r="B48" s="7"/>
      <c r="C48" s="7" t="str">
        <f>""&amp;CHAR(10)&amp;Basic_Fundamental_Information_Constructure(F48)&amp;CHAR(10)&amp;Basic_Fundamental_Information_Concatenate("")</f>
        <v xml:space="preserve">
市值47.676305亿, 利润2.43亿; PE19.06; 平均PE18.58; 平均PEG1.51, PB1.39; ROIC2.9433%; ROE6.4833%; 股利率.5978%; 毛利12.9967%; 净利5.5833%; 上一年度营收增24.19%, 利润增15.17%; 当季营收增31.1%, 利润增18.56%; 过往5年营收增12.27%, 利润增.82%
Income profile:
</v>
      </c>
      <c r="D48" t="s">
        <v>645</v>
      </c>
      <c r="E48" t="s">
        <v>2015</v>
      </c>
      <c r="F48">
        <v>11.71</v>
      </c>
      <c r="G48">
        <v>0.34</v>
      </c>
      <c r="H48" t="s">
        <v>3804</v>
      </c>
      <c r="I48">
        <v>4767630500</v>
      </c>
      <c r="J48">
        <v>19.059999999999999</v>
      </c>
      <c r="K48">
        <v>1.39</v>
      </c>
      <c r="L48" t="s">
        <v>172</v>
      </c>
      <c r="M48" t="s">
        <v>3805</v>
      </c>
      <c r="N48" t="s">
        <v>3806</v>
      </c>
      <c r="O48" t="s">
        <v>1429</v>
      </c>
      <c r="P48">
        <v>31.1</v>
      </c>
      <c r="Q48" t="s">
        <v>2739</v>
      </c>
      <c r="R48">
        <v>47019085</v>
      </c>
      <c r="S48" s="5">
        <v>0.18559999999999999</v>
      </c>
      <c r="T48" t="s">
        <v>559</v>
      </c>
      <c r="U48">
        <v>401382890</v>
      </c>
      <c r="V48">
        <v>407141800</v>
      </c>
      <c r="W48">
        <v>2.76</v>
      </c>
      <c r="X48">
        <v>0.14000000000000001</v>
      </c>
      <c r="Y48">
        <v>3.64</v>
      </c>
      <c r="Z48" t="s">
        <v>1393</v>
      </c>
      <c r="AA48" t="s">
        <v>702</v>
      </c>
      <c r="AB48" t="s">
        <v>3807</v>
      </c>
      <c r="AC48" t="s">
        <v>3808</v>
      </c>
      <c r="AD48" t="s">
        <v>19</v>
      </c>
      <c r="AE48">
        <v>2645576</v>
      </c>
      <c r="AF48" t="s">
        <v>21</v>
      </c>
      <c r="AG48" t="s">
        <v>3809</v>
      </c>
      <c r="AH48" t="s">
        <v>3810</v>
      </c>
      <c r="AI48" t="s">
        <v>3811</v>
      </c>
      <c r="AJ48" t="s">
        <v>3812</v>
      </c>
      <c r="AK48" t="s">
        <v>141</v>
      </c>
      <c r="AL48" t="s">
        <v>3813</v>
      </c>
      <c r="AM48" t="s">
        <v>19</v>
      </c>
      <c r="AN48" t="s">
        <v>2698</v>
      </c>
      <c r="AO48" t="s">
        <v>1409</v>
      </c>
      <c r="AP48" t="s">
        <v>137</v>
      </c>
      <c r="AQ48" t="s">
        <v>3814</v>
      </c>
      <c r="AR48" t="s">
        <v>19</v>
      </c>
      <c r="AS48" t="s">
        <v>3815</v>
      </c>
      <c r="AT48" t="s">
        <v>3816</v>
      </c>
      <c r="AU48" t="s">
        <v>367</v>
      </c>
      <c r="AV48" t="s">
        <v>3817</v>
      </c>
      <c r="AW48" t="s">
        <v>1566</v>
      </c>
      <c r="AX48" t="s">
        <v>2195</v>
      </c>
      <c r="AY48" t="s">
        <v>1610</v>
      </c>
      <c r="AZ48" t="s">
        <v>647</v>
      </c>
      <c r="BA48" t="s">
        <v>200</v>
      </c>
      <c r="BB48" t="s">
        <v>651</v>
      </c>
      <c r="BC48" t="s">
        <v>714</v>
      </c>
      <c r="BD48" t="s">
        <v>415</v>
      </c>
      <c r="BE48" t="s">
        <v>35</v>
      </c>
      <c r="BF48" t="s">
        <v>654</v>
      </c>
      <c r="BG48" t="s">
        <v>153</v>
      </c>
      <c r="BH48" t="s">
        <v>2739</v>
      </c>
      <c r="BI48" t="s">
        <v>2614</v>
      </c>
      <c r="BJ48" t="s">
        <v>2195</v>
      </c>
      <c r="BK48" t="s">
        <v>559</v>
      </c>
      <c r="BL48" t="s">
        <v>3818</v>
      </c>
      <c r="BM48" t="s">
        <v>714</v>
      </c>
      <c r="BN48">
        <v>2.73</v>
      </c>
      <c r="BO48">
        <v>2.4300000000000002</v>
      </c>
      <c r="BP48">
        <v>3.67</v>
      </c>
      <c r="BQ48">
        <v>5.28</v>
      </c>
      <c r="BR48">
        <v>7.01</v>
      </c>
      <c r="BS48">
        <v>7.16</v>
      </c>
      <c r="BT48" t="s">
        <v>2062</v>
      </c>
      <c r="BU48" t="s">
        <v>3146</v>
      </c>
      <c r="BV48">
        <v>13.8</v>
      </c>
      <c r="BW48">
        <v>11.59</v>
      </c>
      <c r="BX48">
        <v>13.6</v>
      </c>
      <c r="BY48">
        <v>5.18</v>
      </c>
      <c r="BZ48">
        <v>5.56</v>
      </c>
      <c r="CA48">
        <v>6.01</v>
      </c>
      <c r="CB48">
        <v>-1.6</v>
      </c>
      <c r="CC48">
        <v>-11.15</v>
      </c>
      <c r="CD48" t="s">
        <v>3819</v>
      </c>
      <c r="CE48" t="s">
        <v>620</v>
      </c>
      <c r="CF48" s="14">
        <v>0.31104356636271546</v>
      </c>
      <c r="CG48" s="15">
        <v>0.18560515705413494</v>
      </c>
      <c r="CH48" s="14">
        <v>0.2418617308139801</v>
      </c>
      <c r="CI48" s="14">
        <v>0.10756851732730865</v>
      </c>
      <c r="CJ48" s="14">
        <v>0.16608750820159912</v>
      </c>
      <c r="CK48" s="14">
        <v>-3.162848949432373E-2</v>
      </c>
      <c r="CL48" s="14">
        <v>0.12960848212242126</v>
      </c>
      <c r="CM48" s="15">
        <v>0.15165877342224121</v>
      </c>
      <c r="CN48" s="15">
        <v>3.4313727170228958E-2</v>
      </c>
      <c r="CO48" s="15">
        <v>-0.35443037748336792</v>
      </c>
      <c r="CP48" s="15">
        <v>3.2679740339517593E-2</v>
      </c>
      <c r="CQ48" s="15">
        <v>0.17692308127880096</v>
      </c>
      <c r="CR48">
        <v>18.575183766233767</v>
      </c>
      <c r="CS48">
        <v>1.5138754622482125</v>
      </c>
      <c r="CT48">
        <v>0.59777967549103317</v>
      </c>
      <c r="CU48" s="14">
        <v>0.12269954979419709</v>
      </c>
      <c r="CV48" s="15">
        <v>8.228988945484161E-3</v>
      </c>
      <c r="CW48">
        <v>0.06</v>
      </c>
      <c r="CX48">
        <v>26.967144828351099</v>
      </c>
      <c r="CY48">
        <v>257373576.03772634</v>
      </c>
      <c r="CZ48">
        <v>0.12269954979419709</v>
      </c>
      <c r="DA48">
        <v>8.5728311042246155</v>
      </c>
      <c r="DB48">
        <v>809607749.83420801</v>
      </c>
      <c r="DC48">
        <v>0.11656457230448723</v>
      </c>
      <c r="DD48">
        <v>4.065518819836905</v>
      </c>
      <c r="DE48">
        <v>1707194286.282614</v>
      </c>
      <c r="DF48">
        <v>0.10797560381889344</v>
      </c>
      <c r="DG48">
        <v>2.3392484414076029</v>
      </c>
      <c r="DH48">
        <v>2967034359.0455036</v>
      </c>
      <c r="DI48">
        <v>9.8159639835357679E-2</v>
      </c>
      <c r="DJ48">
        <v>1.0978126397302095</v>
      </c>
      <c r="DK48">
        <v>6322235916.0536528</v>
      </c>
      <c r="DL48">
        <v>8.5889684855937953E-2</v>
      </c>
      <c r="DM48">
        <v>243000000.00000003</v>
      </c>
      <c r="DN48">
        <v>0.12269954979419709</v>
      </c>
      <c r="DO48">
        <v>6940630500</v>
      </c>
      <c r="DP48">
        <v>885221500</v>
      </c>
      <c r="DQ48">
        <v>1154</v>
      </c>
      <c r="DR48">
        <v>0.18834401656851837</v>
      </c>
      <c r="DS48">
        <v>0.17737616810865078</v>
      </c>
      <c r="DT48" s="16">
        <v>-0.14000000000000001</v>
      </c>
      <c r="DU48">
        <v>0.13333333333333333</v>
      </c>
      <c r="DV48">
        <v>-6.6666666666666818E-3</v>
      </c>
      <c r="DW48">
        <v>-2.1114999999999999</v>
      </c>
      <c r="DX48">
        <v>0.30542519685039365</v>
      </c>
      <c r="DY48">
        <v>-2.0139849094488187</v>
      </c>
      <c r="DZ48">
        <v>1725</v>
      </c>
      <c r="EA48">
        <v>-2.00926397622001</v>
      </c>
      <c r="EB48">
        <v>2</v>
      </c>
      <c r="EC48">
        <v>3.9123961234144959E-2</v>
      </c>
      <c r="ED48">
        <v>0.31193063448655972</v>
      </c>
      <c r="EE48" s="17">
        <v>-1.0273099999999999</v>
      </c>
      <c r="EF48">
        <v>-1.0639099999999999</v>
      </c>
      <c r="EG48">
        <v>18.125425196850394</v>
      </c>
      <c r="EH48" t="s">
        <v>1838</v>
      </c>
      <c r="EI48">
        <v>0</v>
      </c>
      <c r="EJ48">
        <v>0</v>
      </c>
      <c r="EK48" s="19">
        <v>45470</v>
      </c>
      <c r="EL48" s="20">
        <v>0.33</v>
      </c>
      <c r="EM48" s="20">
        <v>-4.26</v>
      </c>
      <c r="EN48" s="20">
        <v>1.2</v>
      </c>
      <c r="EO48" s="20">
        <v>4.1500000000000004</v>
      </c>
      <c r="EP48" s="20">
        <v>-3.66</v>
      </c>
    </row>
    <row r="49" spans="1:146" ht="84" x14ac:dyDescent="0.25">
      <c r="A49" s="7"/>
      <c r="B49" s="7"/>
      <c r="C49" s="7" t="str">
        <f>""&amp;CHAR(10)&amp;Basic_Fundamental_Information_Constructure(F49)&amp;CHAR(10)&amp;Basic_Fundamental_Information_Concatenate("")</f>
        <v xml:space="preserve">
市值89.502403亿, 利润7720.43万; PE99.54; 平均PE-31749.7; 平均PEG-2902.85, PB4.68; ROIC2.13%; ROE2.1767%; 股利率.2298%; 毛利20.51%; 净利2.7167%; 上一年度营收增31.24%, 利润增387.91%; 当季营收增42.9%, 利润增140.12%; 过往5年营收增10.94%, 利润增-418.18%
Income profile:
</v>
      </c>
      <c r="D49" t="s">
        <v>656</v>
      </c>
      <c r="E49" t="s">
        <v>657</v>
      </c>
      <c r="F49">
        <v>10.88</v>
      </c>
      <c r="G49">
        <v>-0.46</v>
      </c>
      <c r="H49" t="s">
        <v>3820</v>
      </c>
      <c r="I49">
        <v>8950240300</v>
      </c>
      <c r="J49">
        <v>99.54</v>
      </c>
      <c r="K49">
        <v>4.68</v>
      </c>
      <c r="L49" t="s">
        <v>172</v>
      </c>
      <c r="M49" t="s">
        <v>1947</v>
      </c>
      <c r="N49" t="s">
        <v>2504</v>
      </c>
      <c r="O49" t="s">
        <v>311</v>
      </c>
      <c r="P49">
        <v>43.03</v>
      </c>
      <c r="Q49" t="s">
        <v>3821</v>
      </c>
      <c r="R49">
        <v>21779301</v>
      </c>
      <c r="S49" s="5">
        <v>1.401</v>
      </c>
      <c r="T49" t="s">
        <v>3822</v>
      </c>
      <c r="U49">
        <v>553060330</v>
      </c>
      <c r="V49">
        <v>822632380</v>
      </c>
      <c r="W49">
        <v>1.58</v>
      </c>
      <c r="X49">
        <v>0.18</v>
      </c>
      <c r="Y49">
        <v>5.18</v>
      </c>
      <c r="Z49" t="s">
        <v>133</v>
      </c>
      <c r="AA49" t="s">
        <v>2519</v>
      </c>
      <c r="AB49" t="s">
        <v>3823</v>
      </c>
      <c r="AC49" t="s">
        <v>3824</v>
      </c>
      <c r="AD49" t="s">
        <v>19</v>
      </c>
      <c r="AE49">
        <v>1865588</v>
      </c>
      <c r="AF49" t="s">
        <v>3825</v>
      </c>
      <c r="AG49" t="s">
        <v>3826</v>
      </c>
      <c r="AH49" t="s">
        <v>3827</v>
      </c>
      <c r="AI49" t="s">
        <v>888</v>
      </c>
      <c r="AJ49" t="s">
        <v>3828</v>
      </c>
      <c r="AK49" t="s">
        <v>19</v>
      </c>
      <c r="AL49" t="s">
        <v>3829</v>
      </c>
      <c r="AM49" t="s">
        <v>19</v>
      </c>
      <c r="AN49" t="s">
        <v>3830</v>
      </c>
      <c r="AO49" t="s">
        <v>28</v>
      </c>
      <c r="AP49" t="s">
        <v>632</v>
      </c>
      <c r="AQ49" t="s">
        <v>318</v>
      </c>
      <c r="AR49" t="s">
        <v>3831</v>
      </c>
      <c r="AS49" t="s">
        <v>2360</v>
      </c>
      <c r="AT49" t="s">
        <v>3832</v>
      </c>
      <c r="AU49" t="s">
        <v>3833</v>
      </c>
      <c r="AV49" t="s">
        <v>3834</v>
      </c>
      <c r="AW49" t="s">
        <v>120</v>
      </c>
      <c r="AX49" t="s">
        <v>492</v>
      </c>
      <c r="AY49" t="s">
        <v>1611</v>
      </c>
      <c r="AZ49" t="s">
        <v>658</v>
      </c>
      <c r="BA49" t="s">
        <v>660</v>
      </c>
      <c r="BB49" t="s">
        <v>661</v>
      </c>
      <c r="BC49" t="s">
        <v>2197</v>
      </c>
      <c r="BD49" t="s">
        <v>1612</v>
      </c>
      <c r="BE49" t="s">
        <v>659</v>
      </c>
      <c r="BF49" t="s">
        <v>664</v>
      </c>
      <c r="BG49" t="s">
        <v>665</v>
      </c>
      <c r="BH49" t="s">
        <v>3821</v>
      </c>
      <c r="BI49" t="s">
        <v>1010</v>
      </c>
      <c r="BJ49" t="s">
        <v>492</v>
      </c>
      <c r="BK49" t="s">
        <v>3822</v>
      </c>
      <c r="BL49" t="s">
        <v>3835</v>
      </c>
      <c r="BM49" t="s">
        <v>2197</v>
      </c>
      <c r="BN49">
        <v>2.98</v>
      </c>
      <c r="BO49">
        <v>1.46</v>
      </c>
      <c r="BP49">
        <v>1.95</v>
      </c>
      <c r="BQ49">
        <v>2.88</v>
      </c>
      <c r="BR49">
        <v>1.1399999999999999</v>
      </c>
      <c r="BS49">
        <v>2.5099999999999998</v>
      </c>
      <c r="BT49" t="s">
        <v>1988</v>
      </c>
      <c r="BU49" t="s">
        <v>2920</v>
      </c>
      <c r="BV49">
        <v>20.62</v>
      </c>
      <c r="BW49">
        <v>19.399999999999999</v>
      </c>
      <c r="BX49">
        <v>21.51</v>
      </c>
      <c r="BY49">
        <v>4.66</v>
      </c>
      <c r="BZ49">
        <v>1.32</v>
      </c>
      <c r="CA49">
        <v>2.17</v>
      </c>
      <c r="CB49">
        <v>-2.33</v>
      </c>
      <c r="CC49">
        <v>-9.56</v>
      </c>
      <c r="CD49" t="s">
        <v>3836</v>
      </c>
      <c r="CE49" t="s">
        <v>58</v>
      </c>
      <c r="CF49" s="14">
        <v>0.4289855072463768</v>
      </c>
      <c r="CG49" s="15">
        <v>1.4011930277171396</v>
      </c>
      <c r="CH49" s="14">
        <v>0.31240984797477722</v>
      </c>
      <c r="CI49" s="14">
        <v>0.17657046020030975</v>
      </c>
      <c r="CJ49" s="14">
        <v>6.8965516984462738E-2</v>
      </c>
      <c r="CK49" s="14">
        <v>0.12219959497451782</v>
      </c>
      <c r="CL49" s="14">
        <v>-0.13327445089817047</v>
      </c>
      <c r="CM49" s="15">
        <v>3.8790607452392578</v>
      </c>
      <c r="CN49" s="15">
        <v>-0.53672969341278076</v>
      </c>
      <c r="CO49" s="15">
        <v>-0.16377858817577362</v>
      </c>
      <c r="CP49" s="15">
        <v>1.2307683229446411</v>
      </c>
      <c r="CQ49" s="15">
        <v>-25.318531036376953</v>
      </c>
      <c r="CR49">
        <v>-31749.699538843561</v>
      </c>
      <c r="CS49">
        <v>-2902.8510677029631</v>
      </c>
      <c r="CT49">
        <v>0.22977941176470587</v>
      </c>
      <c r="CU49" s="14">
        <v>0.10937419384717942</v>
      </c>
      <c r="CV49" s="15">
        <v>-4.1818420499563214</v>
      </c>
      <c r="CW49">
        <v>0.06</v>
      </c>
      <c r="CX49">
        <v>102.91083945003322</v>
      </c>
      <c r="CY49">
        <v>80800432.145316795</v>
      </c>
      <c r="CZ49">
        <v>0.10937419384717942</v>
      </c>
      <c r="DA49">
        <v>33.084272415625833</v>
      </c>
      <c r="DB49">
        <v>251335141.83230695</v>
      </c>
      <c r="DC49">
        <v>0.10390548415482044</v>
      </c>
      <c r="DD49">
        <v>15.931405304564821</v>
      </c>
      <c r="DE49">
        <v>521940164.16225606</v>
      </c>
      <c r="DF49">
        <v>9.6249290585517885E-2</v>
      </c>
      <c r="DG49">
        <v>9.3299974200009466</v>
      </c>
      <c r="DH49">
        <v>891237148.91650593</v>
      </c>
      <c r="DI49">
        <v>8.7499355077743535E-2</v>
      </c>
      <c r="DJ49">
        <v>4.5579664417993593</v>
      </c>
      <c r="DK49">
        <v>1824331180.6212802</v>
      </c>
      <c r="DL49">
        <v>7.6561935693025593E-2</v>
      </c>
      <c r="DM49">
        <v>77204300</v>
      </c>
      <c r="DN49">
        <v>0.10937419384717942</v>
      </c>
      <c r="DO49">
        <v>8315240300</v>
      </c>
      <c r="DP49">
        <v>921646000.00000012</v>
      </c>
      <c r="DQ49">
        <v>1190</v>
      </c>
      <c r="DR49">
        <v>0.31961131339919735</v>
      </c>
      <c r="DS49">
        <v>5.5830350776734612</v>
      </c>
      <c r="DT49" s="16">
        <v>-0.12333333333333336</v>
      </c>
      <c r="DU49">
        <v>-0.80666666666666675</v>
      </c>
      <c r="DV49">
        <v>-0.93000000000000016</v>
      </c>
      <c r="DW49">
        <v>-2.0956000000000001</v>
      </c>
      <c r="DX49">
        <v>0.32801666666666618</v>
      </c>
      <c r="DY49">
        <v>-2.0093703933333331</v>
      </c>
      <c r="DZ49">
        <v>3489</v>
      </c>
      <c r="EA49">
        <v>-2.0029724868088716</v>
      </c>
      <c r="EB49">
        <v>2</v>
      </c>
      <c r="EC49">
        <v>4.2894008135201292E-2</v>
      </c>
      <c r="ED49">
        <v>0.43761953547221177</v>
      </c>
      <c r="EE49" s="17">
        <v>-1.02071</v>
      </c>
      <c r="EF49">
        <v>-1.05061</v>
      </c>
      <c r="EG49">
        <v>23.098016666666666</v>
      </c>
      <c r="EH49" t="s">
        <v>1838</v>
      </c>
      <c r="EI49">
        <v>0</v>
      </c>
      <c r="EJ49">
        <v>0</v>
      </c>
      <c r="EK49" s="19">
        <v>45470</v>
      </c>
      <c r="EL49" s="20">
        <v>0.26</v>
      </c>
      <c r="EM49" s="20">
        <v>-4.55</v>
      </c>
      <c r="EN49" s="20">
        <v>4.12</v>
      </c>
      <c r="EO49" s="20">
        <v>0</v>
      </c>
      <c r="EP49" s="20">
        <v>-2.99</v>
      </c>
    </row>
    <row r="50" spans="1:146" ht="84" x14ac:dyDescent="0.25">
      <c r="A50" s="7"/>
      <c r="B50" s="7"/>
      <c r="C50" s="7" t="str">
        <f>""&amp;CHAR(10)&amp;Basic_Fundamental_Information_Constructure(F50)&amp;CHAR(10)&amp;Basic_Fundamental_Information_Concatenate("")</f>
        <v xml:space="preserve">
市值38.953389亿, 利润-1.17亿; PE; 平均PE-50.73; 平均PEG-7.57, PB2.28; ROIC0%; ROE-9.4867%; 股利率0%; 毛利8.5767%; 净利-9.7833%; 上一年度营收增22.51%, 利润增50%; 当季营收增61.47%, 利润增373.14%; 过往5年营收增6.7%, 利润增10.03%
Income profile:
</v>
      </c>
      <c r="D50" t="s">
        <v>666</v>
      </c>
      <c r="E50" t="s">
        <v>667</v>
      </c>
      <c r="F50">
        <v>6.93</v>
      </c>
      <c r="G50">
        <v>-0.14000000000000001</v>
      </c>
      <c r="H50" t="s">
        <v>3837</v>
      </c>
      <c r="I50">
        <v>3895338900</v>
      </c>
      <c r="K50">
        <v>2.2799999999999998</v>
      </c>
      <c r="L50" t="s">
        <v>172</v>
      </c>
      <c r="M50" t="s">
        <v>3838</v>
      </c>
      <c r="N50" t="s">
        <v>3839</v>
      </c>
      <c r="O50" t="s">
        <v>1463</v>
      </c>
      <c r="P50">
        <v>61.28</v>
      </c>
      <c r="Q50" t="s">
        <v>3602</v>
      </c>
      <c r="R50">
        <v>23851731</v>
      </c>
      <c r="S50" s="5">
        <v>3.7309999999999999</v>
      </c>
      <c r="T50" t="s">
        <v>3840</v>
      </c>
      <c r="U50">
        <v>494665360</v>
      </c>
      <c r="V50">
        <v>562097970</v>
      </c>
      <c r="W50">
        <v>1.93</v>
      </c>
      <c r="X50">
        <v>0.18</v>
      </c>
      <c r="Y50">
        <v>3.52</v>
      </c>
      <c r="Z50" t="s">
        <v>3841</v>
      </c>
      <c r="AA50" t="s">
        <v>855</v>
      </c>
      <c r="AB50" t="s">
        <v>3842</v>
      </c>
      <c r="AC50" t="s">
        <v>3843</v>
      </c>
      <c r="AD50" t="s">
        <v>19</v>
      </c>
      <c r="AE50">
        <v>4411164</v>
      </c>
      <c r="AF50" t="s">
        <v>3844</v>
      </c>
      <c r="AG50" t="s">
        <v>3845</v>
      </c>
      <c r="AH50" t="s">
        <v>3846</v>
      </c>
      <c r="AI50" t="s">
        <v>133</v>
      </c>
      <c r="AJ50" t="s">
        <v>3847</v>
      </c>
      <c r="AK50" t="s">
        <v>3848</v>
      </c>
      <c r="AL50" t="s">
        <v>3849</v>
      </c>
      <c r="AM50" t="s">
        <v>19</v>
      </c>
      <c r="AN50" t="s">
        <v>74</v>
      </c>
      <c r="AO50" t="s">
        <v>3372</v>
      </c>
      <c r="AP50" t="s">
        <v>287</v>
      </c>
      <c r="AQ50" t="s">
        <v>1842</v>
      </c>
      <c r="AR50" t="s">
        <v>19</v>
      </c>
      <c r="AS50" t="s">
        <v>3850</v>
      </c>
      <c r="AT50" t="s">
        <v>3851</v>
      </c>
      <c r="AU50" t="s">
        <v>3852</v>
      </c>
      <c r="AV50" t="s">
        <v>3853</v>
      </c>
      <c r="AW50" t="s">
        <v>3854</v>
      </c>
      <c r="AX50" t="s">
        <v>736</v>
      </c>
      <c r="AY50" t="s">
        <v>1267</v>
      </c>
      <c r="AZ50" t="s">
        <v>668</v>
      </c>
      <c r="BA50" t="s">
        <v>673</v>
      </c>
      <c r="BB50" t="s">
        <v>154</v>
      </c>
      <c r="BC50" t="s">
        <v>2055</v>
      </c>
      <c r="BD50" t="s">
        <v>1613</v>
      </c>
      <c r="BE50" t="s">
        <v>669</v>
      </c>
      <c r="BF50" t="s">
        <v>675</v>
      </c>
      <c r="BG50" t="s">
        <v>676</v>
      </c>
      <c r="BH50" t="s">
        <v>3602</v>
      </c>
      <c r="BI50" t="s">
        <v>2104</v>
      </c>
      <c r="BJ50" t="s">
        <v>736</v>
      </c>
      <c r="BK50" t="s">
        <v>3840</v>
      </c>
      <c r="BL50" t="s">
        <v>3855</v>
      </c>
      <c r="BM50" t="s">
        <v>2055</v>
      </c>
      <c r="BN50" t="s">
        <v>19</v>
      </c>
      <c r="BO50" t="s">
        <v>19</v>
      </c>
      <c r="BP50" t="s">
        <v>19</v>
      </c>
      <c r="BQ50">
        <v>-5.17</v>
      </c>
      <c r="BR50">
        <v>-17.809999999999999</v>
      </c>
      <c r="BS50">
        <v>-5.48</v>
      </c>
      <c r="BT50" t="s">
        <v>1983</v>
      </c>
      <c r="BU50" t="s">
        <v>2920</v>
      </c>
      <c r="BV50">
        <v>9.6</v>
      </c>
      <c r="BW50">
        <v>2.69</v>
      </c>
      <c r="BX50">
        <v>13.44</v>
      </c>
      <c r="BY50">
        <v>-7.6</v>
      </c>
      <c r="BZ50">
        <v>-16.739999999999998</v>
      </c>
      <c r="CA50">
        <v>-5.01</v>
      </c>
      <c r="CB50">
        <v>-3.88</v>
      </c>
      <c r="CC50">
        <v>-14.86</v>
      </c>
      <c r="CD50" t="s">
        <v>3856</v>
      </c>
      <c r="CE50" t="s">
        <v>2543</v>
      </c>
      <c r="CF50" s="14">
        <v>0.61473087818696881</v>
      </c>
      <c r="CG50" s="15">
        <v>3.7314374219850439</v>
      </c>
      <c r="CH50" s="14">
        <v>0.22513444721698761</v>
      </c>
      <c r="CI50" s="14">
        <v>-8.2614056766033173E-2</v>
      </c>
      <c r="CJ50" s="14">
        <v>0.1311018168926239</v>
      </c>
      <c r="CK50" s="14">
        <v>9.549279510974884E-2</v>
      </c>
      <c r="CL50" s="14">
        <v>-3.394843265414238E-2</v>
      </c>
      <c r="CM50" s="15">
        <v>0.5</v>
      </c>
      <c r="CN50" s="15">
        <v>-1.8804219961166382</v>
      </c>
      <c r="CO50" s="15">
        <v>-2.6132113933563232</v>
      </c>
      <c r="CP50" s="15">
        <v>3.3676385879516602</v>
      </c>
      <c r="CQ50" s="15">
        <v>1.1275370121002197</v>
      </c>
      <c r="CR50">
        <v>-50.725633358719264</v>
      </c>
      <c r="CS50">
        <v>-7.5672274518773683</v>
      </c>
      <c r="CT50">
        <v>0</v>
      </c>
      <c r="CU50" s="14">
        <v>6.7033313959836957E-2</v>
      </c>
      <c r="CV50" s="15">
        <v>0.10030844211578369</v>
      </c>
      <c r="CW50">
        <v>0.06</v>
      </c>
      <c r="CX50" t="e">
        <v>#VALUE!</v>
      </c>
      <c r="CY50" t="s">
        <v>1835</v>
      </c>
      <c r="CZ50">
        <v>6.7033313959836957E-2</v>
      </c>
      <c r="DA50" t="e">
        <v>#VALUE!</v>
      </c>
      <c r="DB50" t="s">
        <v>1835</v>
      </c>
      <c r="DC50">
        <v>6.3681648261845109E-2</v>
      </c>
      <c r="DD50" t="e">
        <v>#VALUE!</v>
      </c>
      <c r="DE50" t="s">
        <v>1835</v>
      </c>
      <c r="DF50">
        <v>5.8989316284656521E-2</v>
      </c>
      <c r="DG50" t="e">
        <v>#VALUE!</v>
      </c>
      <c r="DH50" t="s">
        <v>1835</v>
      </c>
      <c r="DI50">
        <v>5.362665116786957E-2</v>
      </c>
      <c r="DJ50" t="e">
        <v>#VALUE!</v>
      </c>
      <c r="DK50" t="s">
        <v>1835</v>
      </c>
      <c r="DL50">
        <v>4.6923319771885866E-2</v>
      </c>
      <c r="DM50">
        <v>-117000000</v>
      </c>
      <c r="DN50">
        <v>6.7033313959836957E-2</v>
      </c>
      <c r="DO50">
        <v>3796338900</v>
      </c>
      <c r="DP50">
        <v>425204000</v>
      </c>
      <c r="DQ50">
        <v>1194</v>
      </c>
      <c r="DR50">
        <v>0.54769756422713189</v>
      </c>
      <c r="DS50">
        <v>3.6311289798692603</v>
      </c>
      <c r="DT50" s="16">
        <v>-0.27333333333333337</v>
      </c>
      <c r="DU50">
        <v>-0.56500000000000039</v>
      </c>
      <c r="DV50">
        <v>-0.83833333333333382</v>
      </c>
      <c r="DW50">
        <v>-8.2611036339165551</v>
      </c>
      <c r="DX50">
        <v>0.32927447183098435</v>
      </c>
      <c r="DY50">
        <v>-8.0259209253502171</v>
      </c>
      <c r="DZ50">
        <v>3393</v>
      </c>
      <c r="EA50">
        <v>-8.0087096338211978</v>
      </c>
      <c r="EB50">
        <v>8</v>
      </c>
      <c r="EC50">
        <v>0.10031685401745892</v>
      </c>
      <c r="ED50">
        <v>1.0105000023394499</v>
      </c>
      <c r="EE50" s="17">
        <v>6.0568999999999997</v>
      </c>
      <c r="EF50">
        <v>6.0254000000000003</v>
      </c>
      <c r="EG50">
        <v>23.099274471830984</v>
      </c>
      <c r="EH50" t="s">
        <v>2892</v>
      </c>
      <c r="EI50">
        <v>0</v>
      </c>
      <c r="EJ50">
        <v>0</v>
      </c>
      <c r="EK50" s="19">
        <v>45470</v>
      </c>
      <c r="EL50" s="20">
        <v>0</v>
      </c>
      <c r="EM50" s="20">
        <v>-5.49</v>
      </c>
      <c r="EN50" s="20">
        <v>1.42</v>
      </c>
      <c r="EO50" s="20">
        <v>2.09</v>
      </c>
      <c r="EP50" s="20">
        <v>-3.15</v>
      </c>
    </row>
    <row r="51" spans="1:146" ht="84" x14ac:dyDescent="0.25">
      <c r="A51" s="7"/>
      <c r="B51" s="7"/>
      <c r="C51" s="7" t="str">
        <f>""&amp;CHAR(10)&amp;Basic_Fundamental_Information_Constructure(F51)&amp;CHAR(10)&amp;Basic_Fundamental_Information_Concatenate("")</f>
        <v xml:space="preserve">
市值15.87亿, 利润2378.08万; PE43.05; 平均PE-132.25; 平均PEG-13.84, PB3.79; ROIC2.19%; ROE-8.2533%; 股利率0%; 毛利26.48%; 净利-6.7467%; 上一年度营收增7.3%, 利润增118.02%; 当季营收增-1.6%, 利润增159.02%; 过往5年营收增9.56%, 利润增-341.3%
Income profile:
</v>
      </c>
      <c r="D51" t="s">
        <v>677</v>
      </c>
      <c r="E51" t="s">
        <v>678</v>
      </c>
      <c r="F51">
        <v>11.5</v>
      </c>
      <c r="G51">
        <v>1.59</v>
      </c>
      <c r="H51" t="s">
        <v>3857</v>
      </c>
      <c r="I51">
        <v>1587000000</v>
      </c>
      <c r="J51">
        <v>43.05</v>
      </c>
      <c r="K51">
        <v>3.79</v>
      </c>
      <c r="L51" t="s">
        <v>172</v>
      </c>
      <c r="M51" t="s">
        <v>2245</v>
      </c>
      <c r="N51" t="s">
        <v>167</v>
      </c>
      <c r="O51" t="s">
        <v>155</v>
      </c>
      <c r="P51">
        <v>-1.32</v>
      </c>
      <c r="Q51" t="s">
        <v>1847</v>
      </c>
      <c r="R51">
        <v>4855951</v>
      </c>
      <c r="S51" s="5">
        <v>1.59</v>
      </c>
      <c r="T51" t="s">
        <v>3858</v>
      </c>
      <c r="U51">
        <v>138000000</v>
      </c>
      <c r="V51">
        <v>138000000</v>
      </c>
      <c r="W51">
        <v>2.5099999999999998</v>
      </c>
      <c r="X51">
        <v>0.12</v>
      </c>
      <c r="Y51">
        <v>3.94</v>
      </c>
      <c r="Z51" t="s">
        <v>92</v>
      </c>
      <c r="AA51" t="s">
        <v>3859</v>
      </c>
      <c r="AB51" t="s">
        <v>3860</v>
      </c>
      <c r="AC51" t="s">
        <v>3861</v>
      </c>
      <c r="AD51" t="s">
        <v>19</v>
      </c>
      <c r="AE51">
        <v>3736524</v>
      </c>
      <c r="AF51" t="s">
        <v>21</v>
      </c>
      <c r="AG51" t="s">
        <v>19</v>
      </c>
      <c r="AH51" t="s">
        <v>3862</v>
      </c>
      <c r="AI51" t="s">
        <v>3863</v>
      </c>
      <c r="AJ51" t="s">
        <v>3864</v>
      </c>
      <c r="AK51" t="s">
        <v>3865</v>
      </c>
      <c r="AL51" t="s">
        <v>3866</v>
      </c>
      <c r="AM51" t="s">
        <v>19</v>
      </c>
      <c r="AN51" t="s">
        <v>3867</v>
      </c>
      <c r="AO51" t="s">
        <v>323</v>
      </c>
      <c r="AP51" t="s">
        <v>19</v>
      </c>
      <c r="AQ51" t="s">
        <v>3868</v>
      </c>
      <c r="AR51" t="s">
        <v>19</v>
      </c>
      <c r="AS51" t="s">
        <v>2525</v>
      </c>
      <c r="AT51" t="s">
        <v>3869</v>
      </c>
      <c r="AU51" t="s">
        <v>3870</v>
      </c>
      <c r="AV51" t="s">
        <v>3871</v>
      </c>
      <c r="AW51" t="s">
        <v>3872</v>
      </c>
      <c r="AX51" t="s">
        <v>2201</v>
      </c>
      <c r="AY51" t="s">
        <v>1614</v>
      </c>
      <c r="AZ51" t="s">
        <v>681</v>
      </c>
      <c r="BA51" t="s">
        <v>282</v>
      </c>
      <c r="BB51" t="s">
        <v>444</v>
      </c>
      <c r="BC51" t="s">
        <v>2063</v>
      </c>
      <c r="BD51" t="s">
        <v>1615</v>
      </c>
      <c r="BE51" t="s">
        <v>682</v>
      </c>
      <c r="BF51" t="s">
        <v>685</v>
      </c>
      <c r="BG51" t="s">
        <v>686</v>
      </c>
      <c r="BH51" t="s">
        <v>1847</v>
      </c>
      <c r="BI51" t="s">
        <v>632</v>
      </c>
      <c r="BJ51" t="s">
        <v>2201</v>
      </c>
      <c r="BK51" t="s">
        <v>3858</v>
      </c>
      <c r="BL51" t="s">
        <v>3873</v>
      </c>
      <c r="BM51" t="s">
        <v>2063</v>
      </c>
      <c r="BN51">
        <v>2.36</v>
      </c>
      <c r="BO51" t="s">
        <v>19</v>
      </c>
      <c r="BP51">
        <v>2.02</v>
      </c>
      <c r="BQ51">
        <v>2.96</v>
      </c>
      <c r="BR51">
        <v>-29.06</v>
      </c>
      <c r="BS51">
        <v>1.34</v>
      </c>
      <c r="BT51" t="s">
        <v>1983</v>
      </c>
      <c r="BU51" t="s">
        <v>2920</v>
      </c>
      <c r="BV51">
        <v>29.64</v>
      </c>
      <c r="BW51">
        <v>23.3</v>
      </c>
      <c r="BX51">
        <v>26.5</v>
      </c>
      <c r="BY51">
        <v>4.37</v>
      </c>
      <c r="BZ51">
        <v>-26.03</v>
      </c>
      <c r="CA51">
        <v>1.42</v>
      </c>
      <c r="CB51">
        <v>-2.87</v>
      </c>
      <c r="CC51">
        <v>-16.059999999999999</v>
      </c>
      <c r="CD51" t="s">
        <v>3874</v>
      </c>
      <c r="CE51" t="s">
        <v>3875</v>
      </c>
      <c r="CF51" s="14">
        <v>-1.6E-2</v>
      </c>
      <c r="CG51" s="15">
        <v>1.5901810911654251</v>
      </c>
      <c r="CH51" s="14">
        <v>7.2978302836418152E-2</v>
      </c>
      <c r="CI51" s="14">
        <v>4.5360825955867767E-2</v>
      </c>
      <c r="CJ51" s="14">
        <v>0.30026808381080627</v>
      </c>
      <c r="CK51" s="14">
        <v>0.1101190447807312</v>
      </c>
      <c r="CL51" s="14">
        <v>-5.0847455859184265E-2</v>
      </c>
      <c r="CM51" s="15">
        <v>1.1801575422286987</v>
      </c>
      <c r="CN51" s="15">
        <v>-20.169328689575195</v>
      </c>
      <c r="CO51" s="15">
        <v>-0.55108773708343506</v>
      </c>
      <c r="CP51" s="15">
        <v>3.1119718551635742</v>
      </c>
      <c r="CQ51" s="15">
        <v>-0.63663285970687866</v>
      </c>
      <c r="CR51">
        <v>-132.25495956098354</v>
      </c>
      <c r="CS51">
        <v>-13.837709387718526</v>
      </c>
      <c r="CT51">
        <v>0</v>
      </c>
      <c r="CU51" s="14">
        <v>9.5575760304927829E-2</v>
      </c>
      <c r="CV51" s="15">
        <v>-3.4129839777946471</v>
      </c>
      <c r="CW51">
        <v>0.06</v>
      </c>
      <c r="CX51">
        <v>72.501115660648864</v>
      </c>
      <c r="CY51">
        <v>24578932.11382965</v>
      </c>
      <c r="CZ51">
        <v>9.5575760304927829E-2</v>
      </c>
      <c r="DA51">
        <v>23.5811583625092</v>
      </c>
      <c r="DB51">
        <v>75568806.782330722</v>
      </c>
      <c r="DC51">
        <v>9.0796972289681435E-2</v>
      </c>
      <c r="DD51">
        <v>11.53528260137786</v>
      </c>
      <c r="DE51">
        <v>154482561.16301343</v>
      </c>
      <c r="DF51">
        <v>8.4106669068336484E-2</v>
      </c>
      <c r="DG51">
        <v>6.8777820948849921</v>
      </c>
      <c r="DH51">
        <v>259095152.39298928</v>
      </c>
      <c r="DI51">
        <v>7.6460608243942269E-2</v>
      </c>
      <c r="DJ51">
        <v>3.4974110572608854</v>
      </c>
      <c r="DK51">
        <v>509519747.8433184</v>
      </c>
      <c r="DL51">
        <v>6.6903032213449481E-2</v>
      </c>
      <c r="DM51">
        <v>23780800</v>
      </c>
      <c r="DN51">
        <v>9.5575760304927829E-2</v>
      </c>
      <c r="DO51">
        <v>1782000000</v>
      </c>
      <c r="DP51">
        <v>93399690</v>
      </c>
      <c r="DQ51">
        <v>1199</v>
      </c>
      <c r="DR51">
        <v>-0.11157576030492783</v>
      </c>
      <c r="DS51">
        <v>5.0031650689600724</v>
      </c>
      <c r="DT51" s="16">
        <v>-0.3066666666666667</v>
      </c>
      <c r="DU51">
        <v>-0.7583333333333333</v>
      </c>
      <c r="DV51">
        <v>-1.0649999999999999</v>
      </c>
      <c r="DW51">
        <v>-8.1787048567870482</v>
      </c>
      <c r="DX51">
        <v>0.38355935815851327</v>
      </c>
      <c r="DY51">
        <v>-8.0185065602686763</v>
      </c>
      <c r="DZ51">
        <v>3627</v>
      </c>
      <c r="EA51">
        <v>-8.0053708862775821</v>
      </c>
      <c r="EB51">
        <v>8</v>
      </c>
      <c r="EC51">
        <v>3.6969565217391302E-2</v>
      </c>
      <c r="ED51">
        <v>0.35698913043478259</v>
      </c>
      <c r="EE51" s="17">
        <v>-2.0764</v>
      </c>
      <c r="EF51">
        <v>-2.0531000000000001</v>
      </c>
      <c r="EG51">
        <v>28.103559358158513</v>
      </c>
      <c r="EH51" t="s">
        <v>2280</v>
      </c>
      <c r="EI51">
        <v>0</v>
      </c>
      <c r="EJ51">
        <v>0</v>
      </c>
      <c r="EK51" s="19">
        <v>45470</v>
      </c>
      <c r="EL51" s="20">
        <v>1.1499999999999999</v>
      </c>
      <c r="EM51" s="20">
        <v>-6.68</v>
      </c>
      <c r="EN51" s="20">
        <v>1.48</v>
      </c>
      <c r="EO51" s="20">
        <v>3.27</v>
      </c>
      <c r="EP51" s="20">
        <v>-2.33</v>
      </c>
    </row>
    <row r="52" spans="1:146" ht="84" x14ac:dyDescent="0.25">
      <c r="A52" s="7"/>
      <c r="B52" s="7"/>
      <c r="C52" s="7" t="str">
        <f>""&amp;CHAR(10)&amp;Basic_Fundamental_Information_Constructure(F52)&amp;CHAR(10)&amp;Basic_Fundamental_Information_Concatenate("")</f>
        <v xml:space="preserve">
市值20.9152亿, 利润-5101.10万; PE; 平均PE390.2; 平均PEG65.79, PB2.16; ROIC.7%; ROE-.8167%; 股利率0%; 毛利8.9967%; 净利-2.3033%; 上一年度营收增-17.31%, 利润增-2060.75%; 当季营收增12.95%, 利润增118.14%; 过往5年营收增-5.93%, 利润增-412.48%
Income profile:
</v>
      </c>
      <c r="D52" t="s">
        <v>687</v>
      </c>
      <c r="E52" t="s">
        <v>688</v>
      </c>
      <c r="F52">
        <v>8.17</v>
      </c>
      <c r="G52">
        <v>0.12</v>
      </c>
      <c r="H52" t="s">
        <v>3876</v>
      </c>
      <c r="I52">
        <v>2091520000</v>
      </c>
      <c r="K52">
        <v>2.16</v>
      </c>
      <c r="L52" t="s">
        <v>172</v>
      </c>
      <c r="M52" t="s">
        <v>797</v>
      </c>
      <c r="N52" t="s">
        <v>694</v>
      </c>
      <c r="O52" t="s">
        <v>201</v>
      </c>
      <c r="P52">
        <v>12.51</v>
      </c>
      <c r="Q52" t="s">
        <v>2007</v>
      </c>
      <c r="R52">
        <v>2206170</v>
      </c>
      <c r="S52" s="5">
        <v>1.181</v>
      </c>
      <c r="T52" t="s">
        <v>3877</v>
      </c>
      <c r="U52">
        <v>210015960</v>
      </c>
      <c r="V52">
        <v>256000000</v>
      </c>
      <c r="W52">
        <v>1.28</v>
      </c>
      <c r="X52">
        <v>0.13</v>
      </c>
      <c r="Y52">
        <v>1.42</v>
      </c>
      <c r="Z52" t="s">
        <v>93</v>
      </c>
      <c r="AA52" t="s">
        <v>501</v>
      </c>
      <c r="AB52" t="s">
        <v>3878</v>
      </c>
      <c r="AC52" t="s">
        <v>3879</v>
      </c>
      <c r="AD52" t="s">
        <v>19</v>
      </c>
      <c r="AE52">
        <v>-1600275</v>
      </c>
      <c r="AF52" t="s">
        <v>3880</v>
      </c>
      <c r="AG52" t="s">
        <v>19</v>
      </c>
      <c r="AH52" t="s">
        <v>3881</v>
      </c>
      <c r="AI52" t="s">
        <v>599</v>
      </c>
      <c r="AJ52" t="s">
        <v>3882</v>
      </c>
      <c r="AK52" t="s">
        <v>3883</v>
      </c>
      <c r="AL52" t="s">
        <v>3884</v>
      </c>
      <c r="AM52" t="s">
        <v>19</v>
      </c>
      <c r="AN52" t="s">
        <v>3885</v>
      </c>
      <c r="AO52" t="s">
        <v>94</v>
      </c>
      <c r="AP52" t="s">
        <v>3886</v>
      </c>
      <c r="AQ52" t="s">
        <v>3887</v>
      </c>
      <c r="AR52" t="s">
        <v>19</v>
      </c>
      <c r="AS52" t="s">
        <v>514</v>
      </c>
      <c r="AT52" t="s">
        <v>19</v>
      </c>
      <c r="AU52" t="s">
        <v>3888</v>
      </c>
      <c r="AV52" t="s">
        <v>3889</v>
      </c>
      <c r="AW52" t="s">
        <v>3890</v>
      </c>
      <c r="AX52" t="s">
        <v>222</v>
      </c>
      <c r="AY52" t="s">
        <v>1043</v>
      </c>
      <c r="AZ52" t="s">
        <v>537</v>
      </c>
      <c r="BA52" t="s">
        <v>671</v>
      </c>
      <c r="BB52" t="s">
        <v>694</v>
      </c>
      <c r="BC52" t="s">
        <v>2203</v>
      </c>
      <c r="BD52" t="s">
        <v>1616</v>
      </c>
      <c r="BE52" t="s">
        <v>689</v>
      </c>
      <c r="BF52" t="s">
        <v>695</v>
      </c>
      <c r="BG52" t="s">
        <v>696</v>
      </c>
      <c r="BH52" t="s">
        <v>2007</v>
      </c>
      <c r="BI52" t="s">
        <v>190</v>
      </c>
      <c r="BJ52" t="s">
        <v>222</v>
      </c>
      <c r="BK52" t="s">
        <v>3877</v>
      </c>
      <c r="BL52" t="s">
        <v>3891</v>
      </c>
      <c r="BM52" t="s">
        <v>2203</v>
      </c>
      <c r="BN52" t="s">
        <v>19</v>
      </c>
      <c r="BO52" t="s">
        <v>19</v>
      </c>
      <c r="BP52">
        <v>0.7</v>
      </c>
      <c r="BQ52">
        <v>-3.39</v>
      </c>
      <c r="BR52">
        <v>0.25</v>
      </c>
      <c r="BS52">
        <v>0.69</v>
      </c>
      <c r="BT52" t="s">
        <v>1983</v>
      </c>
      <c r="BU52" t="s">
        <v>3032</v>
      </c>
      <c r="BV52">
        <v>5.32</v>
      </c>
      <c r="BW52">
        <v>10.36</v>
      </c>
      <c r="BX52">
        <v>11.31</v>
      </c>
      <c r="BY52">
        <v>-7.99</v>
      </c>
      <c r="BZ52">
        <v>0.33</v>
      </c>
      <c r="CA52">
        <v>0.75</v>
      </c>
      <c r="CB52">
        <v>-2.27</v>
      </c>
      <c r="CC52">
        <v>-9.2200000000000006</v>
      </c>
      <c r="CD52" t="s">
        <v>3892</v>
      </c>
      <c r="CE52" t="s">
        <v>632</v>
      </c>
      <c r="CF52" s="14">
        <v>0.12949640287769784</v>
      </c>
      <c r="CG52" s="15">
        <v>1.1814195023271878</v>
      </c>
      <c r="CH52" s="14">
        <v>-0.17312660813331604</v>
      </c>
      <c r="CI52" s="14">
        <v>-0.18008475005626678</v>
      </c>
      <c r="CJ52" s="14">
        <v>0.30747923254966736</v>
      </c>
      <c r="CK52" s="14">
        <v>9.7902100533246994E-3</v>
      </c>
      <c r="CL52" s="14">
        <v>-0.26059979200363159</v>
      </c>
      <c r="CM52" s="15">
        <v>-20.607549667358398</v>
      </c>
      <c r="CN52" s="15">
        <v>-0.6315118670463562</v>
      </c>
      <c r="CO52" s="15">
        <v>2.0966107845306396</v>
      </c>
      <c r="CP52" s="15">
        <v>-1.1936067342758179</v>
      </c>
      <c r="CQ52" s="15">
        <v>-0.28783902525901794</v>
      </c>
      <c r="CR52">
        <v>390.19560898103612</v>
      </c>
      <c r="CS52">
        <v>65.791016742951697</v>
      </c>
      <c r="CT52">
        <v>0</v>
      </c>
      <c r="CU52" s="14">
        <v>-5.9308341518044469E-2</v>
      </c>
      <c r="CV52" s="15">
        <v>-4.12477930188179</v>
      </c>
      <c r="CW52">
        <v>0.06</v>
      </c>
      <c r="CX52" t="e">
        <v>#VALUE!</v>
      </c>
      <c r="CY52" t="s">
        <v>1835</v>
      </c>
      <c r="CZ52">
        <v>-5.9308341518044469E-2</v>
      </c>
      <c r="DA52" t="e">
        <v>#VALUE!</v>
      </c>
      <c r="DB52" t="s">
        <v>1835</v>
      </c>
      <c r="DC52">
        <v>-5.6342924442142242E-2</v>
      </c>
      <c r="DD52" t="e">
        <v>#VALUE!</v>
      </c>
      <c r="DE52" t="s">
        <v>1835</v>
      </c>
      <c r="DF52">
        <v>-5.2191340535879135E-2</v>
      </c>
      <c r="DG52" t="e">
        <v>#VALUE!</v>
      </c>
      <c r="DH52" t="s">
        <v>1835</v>
      </c>
      <c r="DI52">
        <v>-4.7446673214435575E-2</v>
      </c>
      <c r="DJ52" t="e">
        <v>#VALUE!</v>
      </c>
      <c r="DK52" t="s">
        <v>1835</v>
      </c>
      <c r="DL52">
        <v>-4.1515839062631128E-2</v>
      </c>
      <c r="DM52">
        <v>-51011000</v>
      </c>
      <c r="DN52">
        <v>-5.9308341518044469E-2</v>
      </c>
      <c r="DO52">
        <v>1410520000</v>
      </c>
      <c r="DP52">
        <v>204127130</v>
      </c>
      <c r="DQ52">
        <v>1208</v>
      </c>
      <c r="DR52">
        <v>0.1888047443957423</v>
      </c>
      <c r="DS52">
        <v>5.3061988042089778</v>
      </c>
      <c r="DT52" s="16">
        <v>-0.72333333333333327</v>
      </c>
      <c r="DU52">
        <v>-0.90500000000000025</v>
      </c>
      <c r="DV52">
        <v>-1.6283333333333334</v>
      </c>
      <c r="DW52">
        <v>-2.0922000000000001</v>
      </c>
      <c r="DX52">
        <v>0.34120399999999873</v>
      </c>
      <c r="DY52">
        <v>-2.0111750088</v>
      </c>
      <c r="DZ52">
        <v>4111</v>
      </c>
      <c r="EA52">
        <v>-2.0021847032859492</v>
      </c>
      <c r="EB52">
        <v>2</v>
      </c>
      <c r="EC52">
        <v>5.9181640624999997E-2</v>
      </c>
      <c r="ED52">
        <v>0.48828125</v>
      </c>
      <c r="EE52" s="17">
        <v>-1.0015000000000001</v>
      </c>
      <c r="EF52">
        <v>-1.0174099999999999</v>
      </c>
      <c r="EG52">
        <v>22.121203999999999</v>
      </c>
      <c r="EH52" t="s">
        <v>1838</v>
      </c>
      <c r="EI52">
        <v>0</v>
      </c>
      <c r="EJ52">
        <v>0</v>
      </c>
      <c r="EK52" s="19">
        <v>45470</v>
      </c>
      <c r="EL52" s="20">
        <v>0.12</v>
      </c>
      <c r="EM52" s="20">
        <v>-4.0199999999999996</v>
      </c>
      <c r="EN52" s="20">
        <v>2.1</v>
      </c>
      <c r="EO52" s="20">
        <v>2.0499999999999998</v>
      </c>
      <c r="EP52" s="20">
        <v>-1.89</v>
      </c>
    </row>
    <row r="53" spans="1:146" ht="84" x14ac:dyDescent="0.25">
      <c r="A53" s="7"/>
      <c r="B53" s="7"/>
      <c r="C53" s="7" t="str">
        <f>""&amp;CHAR(10)&amp;Basic_Fundamental_Information_Constructure(F53)&amp;CHAR(10)&amp;Basic_Fundamental_Information_Concatenate("")</f>
        <v xml:space="preserve">
市值37.907078亿, 利润3259.98万; PE90.96; 平均PE-7.7; 平均PEG-1.03, PB5.29; ROIC1.865%; ROE2.105%; 股利率0%; 毛利16.43%; 净利-28.31%; 上一年度营收增52.17%, 利润增270.63%; 当季营收增47.87%, 利润增1523.38%; 过往5年营收增7.5%, 利润增-3268.67%
Income profile:
</v>
      </c>
      <c r="D53" t="s">
        <v>697</v>
      </c>
      <c r="E53" t="s">
        <v>1849</v>
      </c>
      <c r="F53">
        <v>4.42</v>
      </c>
      <c r="G53">
        <v>-4.95</v>
      </c>
      <c r="H53" t="s">
        <v>3893</v>
      </c>
      <c r="I53">
        <v>3790707800</v>
      </c>
      <c r="J53">
        <v>90.96</v>
      </c>
      <c r="K53">
        <v>5.29</v>
      </c>
      <c r="L53" t="s">
        <v>172</v>
      </c>
      <c r="M53" t="s">
        <v>893</v>
      </c>
      <c r="N53" t="s">
        <v>2563</v>
      </c>
      <c r="O53" t="s">
        <v>523</v>
      </c>
      <c r="P53">
        <v>47.81</v>
      </c>
      <c r="Q53" t="s">
        <v>2212</v>
      </c>
      <c r="R53">
        <v>9670495</v>
      </c>
      <c r="S53" s="5">
        <v>15.23</v>
      </c>
      <c r="T53" t="s">
        <v>3894</v>
      </c>
      <c r="U53">
        <v>848020190</v>
      </c>
      <c r="V53">
        <v>857626200</v>
      </c>
      <c r="W53">
        <v>1.63</v>
      </c>
      <c r="X53">
        <v>0.26</v>
      </c>
      <c r="Y53">
        <v>3.09</v>
      </c>
      <c r="Z53" t="s">
        <v>379</v>
      </c>
      <c r="AA53" t="s">
        <v>95</v>
      </c>
      <c r="AB53" t="s">
        <v>3895</v>
      </c>
      <c r="AC53" t="s">
        <v>3896</v>
      </c>
      <c r="AD53" t="s">
        <v>19</v>
      </c>
      <c r="AE53">
        <v>-4407550</v>
      </c>
      <c r="AF53" t="s">
        <v>3897</v>
      </c>
      <c r="AG53" t="s">
        <v>3898</v>
      </c>
      <c r="AH53" t="s">
        <v>3899</v>
      </c>
      <c r="AI53" t="s">
        <v>592</v>
      </c>
      <c r="AJ53" t="s">
        <v>3900</v>
      </c>
      <c r="AK53" t="s">
        <v>3901</v>
      </c>
      <c r="AL53" t="s">
        <v>3902</v>
      </c>
      <c r="AM53" t="s">
        <v>19</v>
      </c>
      <c r="AN53" t="s">
        <v>3903</v>
      </c>
      <c r="AO53" t="s">
        <v>19</v>
      </c>
      <c r="AP53" t="s">
        <v>19</v>
      </c>
      <c r="AQ53" t="s">
        <v>73</v>
      </c>
      <c r="AR53" t="s">
        <v>19</v>
      </c>
      <c r="AS53" t="s">
        <v>1701</v>
      </c>
      <c r="AT53" t="s">
        <v>19</v>
      </c>
      <c r="AU53" t="s">
        <v>3904</v>
      </c>
      <c r="AV53" t="s">
        <v>3905</v>
      </c>
      <c r="AW53" t="s">
        <v>19</v>
      </c>
      <c r="AX53" t="s">
        <v>485</v>
      </c>
      <c r="AY53" t="s">
        <v>1512</v>
      </c>
      <c r="AZ53" t="s">
        <v>698</v>
      </c>
      <c r="BA53" t="s">
        <v>152</v>
      </c>
      <c r="BB53" t="s">
        <v>701</v>
      </c>
      <c r="BC53" t="s">
        <v>3906</v>
      </c>
      <c r="BD53" t="s">
        <v>1617</v>
      </c>
      <c r="BE53" t="s">
        <v>699</v>
      </c>
      <c r="BF53" t="s">
        <v>705</v>
      </c>
      <c r="BG53" t="s">
        <v>706</v>
      </c>
      <c r="BH53" t="s">
        <v>2212</v>
      </c>
      <c r="BI53" t="s">
        <v>714</v>
      </c>
      <c r="BJ53" t="s">
        <v>485</v>
      </c>
      <c r="BK53" t="s">
        <v>3894</v>
      </c>
      <c r="BL53" t="s">
        <v>3907</v>
      </c>
      <c r="BM53" t="s">
        <v>3906</v>
      </c>
      <c r="BN53">
        <v>2.98</v>
      </c>
      <c r="BO53">
        <v>0.75</v>
      </c>
      <c r="BP53" t="s">
        <v>19</v>
      </c>
      <c r="BQ53">
        <v>2.86</v>
      </c>
      <c r="BR53">
        <v>1.35</v>
      </c>
      <c r="BS53" t="s">
        <v>19</v>
      </c>
      <c r="BT53" t="s">
        <v>1983</v>
      </c>
      <c r="BU53" t="s">
        <v>3146</v>
      </c>
      <c r="BV53">
        <v>22.65</v>
      </c>
      <c r="BW53">
        <v>22.57</v>
      </c>
      <c r="BX53">
        <v>4.07</v>
      </c>
      <c r="BY53">
        <v>2.52</v>
      </c>
      <c r="BZ53">
        <v>1</v>
      </c>
      <c r="CA53">
        <v>-88.45</v>
      </c>
      <c r="CB53">
        <v>-8.68</v>
      </c>
      <c r="CC53">
        <v>5.49</v>
      </c>
      <c r="CD53" t="s">
        <v>113</v>
      </c>
      <c r="CE53" t="s">
        <v>2622</v>
      </c>
      <c r="CF53" s="14">
        <v>0.47867298578199052</v>
      </c>
      <c r="CG53" s="15">
        <v>15.23383414470371</v>
      </c>
      <c r="CH53" s="14">
        <v>0.52173912525177002</v>
      </c>
      <c r="CI53" s="14">
        <v>8.6614176630973816E-2</v>
      </c>
      <c r="CJ53" s="14">
        <v>-0.25730994343757629</v>
      </c>
      <c r="CK53" s="14">
        <v>9.265175461769104E-2</v>
      </c>
      <c r="CL53" s="14">
        <v>-6.84523805975914E-2</v>
      </c>
      <c r="CM53" s="15">
        <v>2.7063338756561279</v>
      </c>
      <c r="CN53" s="15">
        <v>1.0131279230117798</v>
      </c>
      <c r="CO53" s="15">
        <v>0.48659002780914307</v>
      </c>
      <c r="CP53" s="15">
        <v>-168.64727783203125</v>
      </c>
      <c r="CQ53" s="15">
        <v>1.0075647830963135</v>
      </c>
      <c r="CR53">
        <v>-7.6973367212889396</v>
      </c>
      <c r="CS53">
        <v>-1.0256476748688814</v>
      </c>
      <c r="CT53">
        <v>0</v>
      </c>
      <c r="CU53" s="14">
        <v>7.5048546493053439E-2</v>
      </c>
      <c r="CV53" s="15">
        <v>-32.68673224449158</v>
      </c>
      <c r="CW53">
        <v>0.06</v>
      </c>
      <c r="CX53">
        <v>110.47850412152496</v>
      </c>
      <c r="CY53">
        <v>33062610.949022874</v>
      </c>
      <c r="CZ53">
        <v>7.5048546493053439E-2</v>
      </c>
      <c r="DA53">
        <v>36.564121397736344</v>
      </c>
      <c r="DB53">
        <v>99898689.216859907</v>
      </c>
      <c r="DC53">
        <v>7.1296119168400771E-2</v>
      </c>
      <c r="DD53">
        <v>18.30575633274422</v>
      </c>
      <c r="DE53">
        <v>199538753.47211188</v>
      </c>
      <c r="DF53">
        <v>6.6042720913887021E-2</v>
      </c>
      <c r="DG53">
        <v>11.202436200809606</v>
      </c>
      <c r="DH53">
        <v>326063700.29904896</v>
      </c>
      <c r="DI53">
        <v>6.0038837194442751E-2</v>
      </c>
      <c r="DJ53">
        <v>6.0289487096668992</v>
      </c>
      <c r="DK53">
        <v>605861481.97665012</v>
      </c>
      <c r="DL53">
        <v>5.2533982545137407E-2</v>
      </c>
      <c r="DM53">
        <v>32599800</v>
      </c>
      <c r="DN53">
        <v>7.5048546493053439E-2</v>
      </c>
      <c r="DO53">
        <v>3652707800</v>
      </c>
      <c r="DP53">
        <v>368478410</v>
      </c>
      <c r="DQ53">
        <v>1244</v>
      </c>
      <c r="DR53">
        <v>0.4036244392889371</v>
      </c>
      <c r="DS53">
        <v>47.920566389195287</v>
      </c>
      <c r="DT53" s="16">
        <v>-0.40666666666666668</v>
      </c>
      <c r="DU53">
        <v>-0.57333333333333347</v>
      </c>
      <c r="DV53">
        <v>-0.9800000000000002</v>
      </c>
      <c r="DW53">
        <v>-5.6324884792626726</v>
      </c>
      <c r="DX53">
        <v>0.45883374689826195</v>
      </c>
      <c r="DY53">
        <v>-5.1510595933722882</v>
      </c>
      <c r="DZ53">
        <v>3549</v>
      </c>
      <c r="EA53">
        <v>-5.0461456018109869</v>
      </c>
      <c r="EB53">
        <v>5</v>
      </c>
      <c r="EC53">
        <v>0.4489135243302968</v>
      </c>
      <c r="ED53">
        <v>1.8796067564167234</v>
      </c>
      <c r="EE53" s="17">
        <v>1.0295099999999999</v>
      </c>
      <c r="EF53">
        <v>1.0456099999999999</v>
      </c>
      <c r="EG53">
        <v>22.238833746898262</v>
      </c>
      <c r="EH53" t="s">
        <v>1840</v>
      </c>
      <c r="EI53">
        <v>0</v>
      </c>
      <c r="EJ53">
        <v>0</v>
      </c>
      <c r="EK53" s="19">
        <v>45470</v>
      </c>
      <c r="EL53" s="20">
        <v>10.050000000000001</v>
      </c>
      <c r="EM53" s="20">
        <v>-10.050000000000001</v>
      </c>
      <c r="EN53" s="20">
        <v>-9.98</v>
      </c>
      <c r="EO53" s="20">
        <v>-6.77</v>
      </c>
      <c r="EP53" s="20">
        <v>-1.61</v>
      </c>
    </row>
    <row r="54" spans="1:146" ht="84" x14ac:dyDescent="0.25">
      <c r="C54" s="7" t="str">
        <f>""&amp;CHAR(10)&amp;Basic_Fundamental_Information_Constructure(F54)&amp;CHAR(10)&amp;Basic_Fundamental_Information_Concatenate("")</f>
        <v xml:space="preserve">
市值15.782861亿, 利润-3.24亿; PE; 平均PE-20.43; 平均PEG-3.17, PB1.89; ROIC5.7%; ROE.0867%; 股利率0%; 毛利18.33%; 净利-12.3133%; 上一年度营收增9.27%, 利润增-3273.07%; 当季营收增46.85%, 利润增119.61%; 过往5年营收增6.44%, 利润增-862.95%
Income profile:
</v>
      </c>
      <c r="D54" t="s">
        <v>2836</v>
      </c>
      <c r="E54" t="s">
        <v>2837</v>
      </c>
      <c r="F54">
        <v>8.3000000000000007</v>
      </c>
      <c r="G54">
        <v>1.59</v>
      </c>
      <c r="H54" t="s">
        <v>3908</v>
      </c>
      <c r="I54">
        <v>1578286100</v>
      </c>
      <c r="K54">
        <v>1.89</v>
      </c>
      <c r="L54" t="s">
        <v>172</v>
      </c>
      <c r="M54" t="s">
        <v>2781</v>
      </c>
      <c r="N54" t="s">
        <v>2262</v>
      </c>
      <c r="O54" t="s">
        <v>66</v>
      </c>
      <c r="P54" s="5">
        <v>47.14</v>
      </c>
      <c r="Q54" t="s">
        <v>2524</v>
      </c>
      <c r="R54">
        <v>2669259</v>
      </c>
      <c r="S54">
        <v>1.196</v>
      </c>
      <c r="T54" t="s">
        <v>2735</v>
      </c>
      <c r="U54">
        <v>151781600</v>
      </c>
      <c r="V54">
        <v>190154950</v>
      </c>
      <c r="W54">
        <v>2.0299999999999998</v>
      </c>
      <c r="X54">
        <v>0.12</v>
      </c>
      <c r="Y54">
        <v>1.36</v>
      </c>
      <c r="Z54" t="s">
        <v>88</v>
      </c>
      <c r="AA54" t="s">
        <v>94</v>
      </c>
      <c r="AB54" t="s">
        <v>3909</v>
      </c>
      <c r="AC54" t="s">
        <v>3910</v>
      </c>
      <c r="AD54" t="s">
        <v>19</v>
      </c>
      <c r="AE54">
        <v>5913817</v>
      </c>
      <c r="AF54" t="s">
        <v>3911</v>
      </c>
      <c r="AG54" t="s">
        <v>3912</v>
      </c>
      <c r="AH54" t="s">
        <v>3913</v>
      </c>
      <c r="AI54" t="s">
        <v>414</v>
      </c>
      <c r="AJ54" t="s">
        <v>3914</v>
      </c>
      <c r="AK54" t="s">
        <v>3915</v>
      </c>
      <c r="AL54" t="s">
        <v>3916</v>
      </c>
      <c r="AM54" t="s">
        <v>19</v>
      </c>
      <c r="AN54" t="s">
        <v>3917</v>
      </c>
      <c r="AO54" t="s">
        <v>344</v>
      </c>
      <c r="AP54" t="s">
        <v>3918</v>
      </c>
      <c r="AQ54" t="s">
        <v>208</v>
      </c>
      <c r="AR54" t="s">
        <v>19</v>
      </c>
      <c r="AS54" t="s">
        <v>1954</v>
      </c>
      <c r="AT54" t="s">
        <v>391</v>
      </c>
      <c r="AU54" t="s">
        <v>3919</v>
      </c>
      <c r="AV54" t="s">
        <v>3920</v>
      </c>
      <c r="AW54" t="s">
        <v>3921</v>
      </c>
      <c r="AX54" t="s">
        <v>143</v>
      </c>
      <c r="AY54" t="s">
        <v>2795</v>
      </c>
      <c r="AZ54" t="s">
        <v>2116</v>
      </c>
      <c r="BA54" t="s">
        <v>839</v>
      </c>
      <c r="BB54" t="s">
        <v>507</v>
      </c>
      <c r="BC54" t="s">
        <v>2838</v>
      </c>
      <c r="BD54" t="s">
        <v>2839</v>
      </c>
      <c r="BE54" t="s">
        <v>2840</v>
      </c>
      <c r="BF54" t="s">
        <v>2841</v>
      </c>
      <c r="BG54" t="s">
        <v>2842</v>
      </c>
      <c r="BH54" t="s">
        <v>2524</v>
      </c>
      <c r="BI54" t="s">
        <v>84</v>
      </c>
      <c r="BJ54" t="s">
        <v>143</v>
      </c>
      <c r="BK54" t="s">
        <v>2735</v>
      </c>
      <c r="BL54" t="s">
        <v>3922</v>
      </c>
      <c r="BM54" t="s">
        <v>2838</v>
      </c>
      <c r="BN54" t="s">
        <v>19</v>
      </c>
      <c r="BO54" t="s">
        <v>19</v>
      </c>
      <c r="BP54">
        <v>5.7</v>
      </c>
      <c r="BQ54">
        <v>-4.4000000000000004</v>
      </c>
      <c r="BR54">
        <v>-0.78</v>
      </c>
      <c r="BS54">
        <v>5.44</v>
      </c>
      <c r="BT54" t="s">
        <v>1983</v>
      </c>
      <c r="BU54" t="s">
        <v>2920</v>
      </c>
      <c r="BV54">
        <v>14.04</v>
      </c>
      <c r="BW54">
        <v>19.399999999999999</v>
      </c>
      <c r="BX54">
        <v>21.55</v>
      </c>
      <c r="BY54">
        <v>-44.91</v>
      </c>
      <c r="BZ54">
        <v>-1.27</v>
      </c>
      <c r="CA54">
        <v>9.24</v>
      </c>
      <c r="CB54">
        <v>-5.14</v>
      </c>
      <c r="CC54" s="14">
        <v>-4.5999999999999996</v>
      </c>
      <c r="CD54" s="15" t="s">
        <v>3923</v>
      </c>
      <c r="CE54" s="14" t="s">
        <v>803</v>
      </c>
      <c r="CF54" s="14">
        <v>0.46853146853146854</v>
      </c>
      <c r="CG54" s="14">
        <v>1.1961450112428906</v>
      </c>
      <c r="CH54" s="14">
        <v>9.2705167829990387E-2</v>
      </c>
      <c r="CI54" s="14">
        <v>-4.3604649603366852E-2</v>
      </c>
      <c r="CJ54" s="15">
        <v>0.56363636255264282</v>
      </c>
      <c r="CK54" s="15">
        <v>-0.37677052617073059</v>
      </c>
      <c r="CL54" s="15">
        <v>8.6153842508792877E-2</v>
      </c>
      <c r="CM54" s="15">
        <v>-32.730674743652344</v>
      </c>
      <c r="CN54" s="15">
        <v>-1.1531304121017456</v>
      </c>
      <c r="CO54">
        <v>1.2056642770767212</v>
      </c>
      <c r="CP54">
        <v>-9.9073200225830078</v>
      </c>
      <c r="CQ54">
        <v>-0.56184566020965576</v>
      </c>
      <c r="CR54" s="14">
        <v>-20.431461076578202</v>
      </c>
      <c r="CS54" s="15">
        <v>-3.1714032928423106</v>
      </c>
      <c r="CT54">
        <v>0</v>
      </c>
      <c r="CU54">
        <v>6.4424039423465723E-2</v>
      </c>
      <c r="CV54">
        <v>-8.6294613122940067</v>
      </c>
      <c r="CW54">
        <v>0.06</v>
      </c>
      <c r="CX54" t="e">
        <v>#VALUE!</v>
      </c>
      <c r="CY54" t="s">
        <v>1835</v>
      </c>
      <c r="CZ54">
        <v>6.4424039423465723E-2</v>
      </c>
      <c r="DA54" t="e">
        <v>#VALUE!</v>
      </c>
      <c r="DB54" t="s">
        <v>1835</v>
      </c>
      <c r="DC54">
        <v>6.1202837452292436E-2</v>
      </c>
      <c r="DD54" t="e">
        <v>#VALUE!</v>
      </c>
      <c r="DE54" t="s">
        <v>1835</v>
      </c>
      <c r="DF54">
        <v>5.6693154692649836E-2</v>
      </c>
      <c r="DG54" t="e">
        <v>#VALUE!</v>
      </c>
      <c r="DH54" t="s">
        <v>1835</v>
      </c>
      <c r="DI54">
        <v>5.153923153877258E-2</v>
      </c>
      <c r="DJ54" t="e">
        <v>#VALUE!</v>
      </c>
      <c r="DK54" t="s">
        <v>1835</v>
      </c>
      <c r="DL54">
        <v>4.5096827596426005E-2</v>
      </c>
      <c r="DM54">
        <v>-324000000</v>
      </c>
      <c r="DN54">
        <v>6.4424039423465723E-2</v>
      </c>
      <c r="DO54">
        <v>1551286100</v>
      </c>
      <c r="DP54">
        <v>301138309.99999994</v>
      </c>
      <c r="DQ54" s="16">
        <v>1278</v>
      </c>
      <c r="DR54">
        <v>0.40410742910800279</v>
      </c>
      <c r="DS54">
        <v>9.8256063235368973</v>
      </c>
      <c r="DT54">
        <v>-0.42333333333333334</v>
      </c>
      <c r="DU54">
        <v>-1.3499999999999999</v>
      </c>
      <c r="DV54">
        <v>-1.7733333333333332</v>
      </c>
      <c r="DW54">
        <v>-4.8949416342412455</v>
      </c>
      <c r="DX54">
        <v>0.38047204705882393</v>
      </c>
      <c r="DY54">
        <v>-4.1794107814145116</v>
      </c>
      <c r="DZ54">
        <v>4234</v>
      </c>
      <c r="EA54">
        <v>-4.030756133956773</v>
      </c>
      <c r="EB54" s="17">
        <v>4</v>
      </c>
      <c r="EC54" s="17">
        <v>0.35844715060007643</v>
      </c>
      <c r="ED54">
        <v>1.7880155105086668</v>
      </c>
      <c r="EE54">
        <v>4.0010000000000004E-2</v>
      </c>
      <c r="EF54">
        <v>1.2499999999999997E-2</v>
      </c>
      <c r="EG54">
        <v>18.200472047058824</v>
      </c>
      <c r="EH54" s="19" t="s">
        <v>1831</v>
      </c>
      <c r="EI54">
        <v>0</v>
      </c>
      <c r="EJ54">
        <v>0</v>
      </c>
      <c r="EK54">
        <v>45470</v>
      </c>
      <c r="EL54">
        <v>10.01</v>
      </c>
      <c r="EM54">
        <v>10.02</v>
      </c>
      <c r="EN54" s="20">
        <v>-4.5</v>
      </c>
      <c r="EO54" s="20">
        <v>-6.03</v>
      </c>
      <c r="EP54" s="20">
        <v>5.25</v>
      </c>
    </row>
    <row r="55" spans="1:146" ht="84" x14ac:dyDescent="0.25">
      <c r="A55" s="7"/>
      <c r="B55" s="7"/>
      <c r="C55" s="7" t="str">
        <f>""&amp;CHAR(10)&amp;Basic_Fundamental_Information_Constructure(F55)&amp;CHAR(10)&amp;Basic_Fundamental_Information_Concatenate("")</f>
        <v xml:space="preserve">
市值23.646782亿, 利润7380.62万; PE31.81; 平均PE27.91; 平均PEG3.02, PB.889; ROIC5.2033%; ROE5.1233%; 股利率.3291%; 毛利12.4833%; 净利2.6133%; 上一年度营收增4.5%, 利润增-34.68%; 当季营收增1.61%, 利润增2.16%; 过往5年营收增9.25%, 利润增11.84%
Income profile:
</v>
      </c>
      <c r="D55" t="s">
        <v>708</v>
      </c>
      <c r="E55" t="s">
        <v>709</v>
      </c>
      <c r="F55">
        <v>3.95</v>
      </c>
      <c r="G55">
        <v>0.25</v>
      </c>
      <c r="H55" t="s">
        <v>3924</v>
      </c>
      <c r="I55">
        <v>2364678200</v>
      </c>
      <c r="J55">
        <v>31.81</v>
      </c>
      <c r="K55">
        <v>0.88900000000000001</v>
      </c>
      <c r="L55" t="s">
        <v>172</v>
      </c>
      <c r="M55" t="s">
        <v>3925</v>
      </c>
      <c r="N55" t="s">
        <v>2585</v>
      </c>
      <c r="O55" t="s">
        <v>2335</v>
      </c>
      <c r="P55">
        <v>1.67</v>
      </c>
      <c r="Q55" t="s">
        <v>2805</v>
      </c>
      <c r="R55">
        <v>25440444</v>
      </c>
      <c r="S55" s="5">
        <v>2.1600000000000001E-2</v>
      </c>
      <c r="T55" t="s">
        <v>3926</v>
      </c>
      <c r="U55">
        <v>498881690</v>
      </c>
      <c r="V55">
        <v>598652710</v>
      </c>
      <c r="W55">
        <v>2.8</v>
      </c>
      <c r="X55">
        <v>0.13</v>
      </c>
      <c r="Y55">
        <v>2.72</v>
      </c>
      <c r="Z55" t="s">
        <v>489</v>
      </c>
      <c r="AA55" t="s">
        <v>81</v>
      </c>
      <c r="AB55" t="s">
        <v>3927</v>
      </c>
      <c r="AC55" t="s">
        <v>3928</v>
      </c>
      <c r="AD55" t="s">
        <v>19</v>
      </c>
      <c r="AE55">
        <v>31124627</v>
      </c>
      <c r="AF55" t="s">
        <v>3929</v>
      </c>
      <c r="AG55" t="s">
        <v>3930</v>
      </c>
      <c r="AH55" t="s">
        <v>3931</v>
      </c>
      <c r="AI55" t="s">
        <v>1402</v>
      </c>
      <c r="AJ55" t="s">
        <v>3932</v>
      </c>
      <c r="AK55" t="s">
        <v>3933</v>
      </c>
      <c r="AL55" t="s">
        <v>3934</v>
      </c>
      <c r="AM55" t="s">
        <v>19</v>
      </c>
      <c r="AN55" t="s">
        <v>1256</v>
      </c>
      <c r="AO55" t="s">
        <v>3935</v>
      </c>
      <c r="AP55" t="s">
        <v>209</v>
      </c>
      <c r="AQ55" t="s">
        <v>802</v>
      </c>
      <c r="AR55" t="s">
        <v>3936</v>
      </c>
      <c r="AS55" t="s">
        <v>2753</v>
      </c>
      <c r="AT55" t="s">
        <v>679</v>
      </c>
      <c r="AU55" t="s">
        <v>3937</v>
      </c>
      <c r="AV55" t="s">
        <v>2789</v>
      </c>
      <c r="AW55" t="s">
        <v>1876</v>
      </c>
      <c r="AX55" t="s">
        <v>2204</v>
      </c>
      <c r="AY55" t="s">
        <v>1618</v>
      </c>
      <c r="AZ55" t="s">
        <v>710</v>
      </c>
      <c r="BA55" t="s">
        <v>715</v>
      </c>
      <c r="BB55" t="s">
        <v>647</v>
      </c>
      <c r="BC55" t="s">
        <v>67</v>
      </c>
      <c r="BD55" t="s">
        <v>115</v>
      </c>
      <c r="BE55" t="s">
        <v>711</v>
      </c>
      <c r="BF55" t="s">
        <v>716</v>
      </c>
      <c r="BG55" t="s">
        <v>717</v>
      </c>
      <c r="BH55" t="s">
        <v>2805</v>
      </c>
      <c r="BI55" t="s">
        <v>2581</v>
      </c>
      <c r="BJ55" t="s">
        <v>2204</v>
      </c>
      <c r="BK55" t="s">
        <v>3926</v>
      </c>
      <c r="BL55" t="s">
        <v>3938</v>
      </c>
      <c r="BM55" t="s">
        <v>67</v>
      </c>
      <c r="BN55">
        <v>3.66</v>
      </c>
      <c r="BO55">
        <v>5.74</v>
      </c>
      <c r="BP55">
        <v>6.21</v>
      </c>
      <c r="BQ55">
        <v>2.73</v>
      </c>
      <c r="BR55">
        <v>5.6</v>
      </c>
      <c r="BS55">
        <v>7.04</v>
      </c>
      <c r="BT55" t="s">
        <v>2119</v>
      </c>
      <c r="BU55" t="s">
        <v>3032</v>
      </c>
      <c r="BV55">
        <v>12.38</v>
      </c>
      <c r="BW55">
        <v>12.22</v>
      </c>
      <c r="BX55">
        <v>12.85</v>
      </c>
      <c r="BY55">
        <v>1.69</v>
      </c>
      <c r="BZ55">
        <v>2.7</v>
      </c>
      <c r="CA55">
        <v>3.45</v>
      </c>
      <c r="CB55">
        <v>-2.95</v>
      </c>
      <c r="CC55">
        <v>-11.57</v>
      </c>
      <c r="CD55" t="s">
        <v>3939</v>
      </c>
      <c r="CE55" t="s">
        <v>69</v>
      </c>
      <c r="CF55" s="14">
        <v>1.6094420600858497E-2</v>
      </c>
      <c r="CG55" s="15">
        <v>2.1614315201066724E-2</v>
      </c>
      <c r="CH55" s="14">
        <v>4.5034337788820267E-2</v>
      </c>
      <c r="CI55" s="14">
        <v>6.6750943660736084E-2</v>
      </c>
      <c r="CJ55" s="14">
        <v>0.26966291666030884</v>
      </c>
      <c r="CK55" s="14">
        <v>5.7365987449884415E-2</v>
      </c>
      <c r="CL55" s="14">
        <v>2.3627428337931633E-2</v>
      </c>
      <c r="CM55" s="15">
        <v>-0.34684780240058899</v>
      </c>
      <c r="CN55" s="15">
        <v>-0.16296295821666718</v>
      </c>
      <c r="CO55" s="15">
        <v>1.0851707458496094</v>
      </c>
      <c r="CP55" s="15">
        <v>0.13258962333202362</v>
      </c>
      <c r="CQ55" s="15">
        <v>-0.11614890396595001</v>
      </c>
      <c r="CR55">
        <v>27.907938085907958</v>
      </c>
      <c r="CS55">
        <v>3.0174553118918492</v>
      </c>
      <c r="CT55">
        <v>0.32911392405063289</v>
      </c>
      <c r="CU55" s="14">
        <v>9.2488322779536253E-2</v>
      </c>
      <c r="CV55" s="15">
        <v>0.11836014091968536</v>
      </c>
      <c r="CW55">
        <v>0.06</v>
      </c>
      <c r="CX55">
        <v>57.036603494326705</v>
      </c>
      <c r="CY55">
        <v>76068312.876161322</v>
      </c>
      <c r="CZ55">
        <v>9.2488322779536253E-2</v>
      </c>
      <c r="DA55">
        <v>18.59980863085088</v>
      </c>
      <c r="DB55">
        <v>233264668.79898861</v>
      </c>
      <c r="DC55">
        <v>8.786390664055943E-2</v>
      </c>
      <c r="DD55">
        <v>9.1304731823714214</v>
      </c>
      <c r="DE55">
        <v>475186566.27532333</v>
      </c>
      <c r="DF55">
        <v>8.1389724045991901E-2</v>
      </c>
      <c r="DG55">
        <v>5.4655781876778393</v>
      </c>
      <c r="DH55">
        <v>793818705.17954743</v>
      </c>
      <c r="DI55">
        <v>7.3990658223629005E-2</v>
      </c>
      <c r="DJ55">
        <v>2.8037355411464597</v>
      </c>
      <c r="DK55">
        <v>1547463423.8241656</v>
      </c>
      <c r="DL55">
        <v>6.4741825945675374E-2</v>
      </c>
      <c r="DM55">
        <v>73806200</v>
      </c>
      <c r="DN55">
        <v>9.2488322779536253E-2</v>
      </c>
      <c r="DO55">
        <v>4338678200</v>
      </c>
      <c r="DP55">
        <v>-364978500</v>
      </c>
      <c r="DQ55">
        <v>1331</v>
      </c>
      <c r="DR55">
        <v>-7.6393902178677753E-2</v>
      </c>
      <c r="DS55">
        <v>-9.674582571861863E-2</v>
      </c>
      <c r="DT55" s="16">
        <v>-0.3066666666666667</v>
      </c>
      <c r="DU55">
        <v>-4.9999999999999989E-2</v>
      </c>
      <c r="DV55">
        <v>-0.35666666666666669</v>
      </c>
      <c r="DW55">
        <v>-8.2549697493517726</v>
      </c>
      <c r="DX55">
        <v>0.4234141552511399</v>
      </c>
      <c r="DY55">
        <v>-8.0365662712178789</v>
      </c>
      <c r="DZ55">
        <v>2583</v>
      </c>
      <c r="EA55">
        <v>-8.0180827724789783</v>
      </c>
      <c r="EB55">
        <v>8</v>
      </c>
      <c r="EC55">
        <v>5.2463973645087147E-2</v>
      </c>
      <c r="ED55">
        <v>0.36582144595987881</v>
      </c>
      <c r="EE55" s="17">
        <v>-1.1346000000000001</v>
      </c>
      <c r="EF55">
        <v>-1.1177999999999999</v>
      </c>
      <c r="EG55">
        <v>28.14341415525114</v>
      </c>
      <c r="EH55" t="s">
        <v>1844</v>
      </c>
      <c r="EI55">
        <v>0</v>
      </c>
      <c r="EJ55">
        <v>0</v>
      </c>
      <c r="EK55" s="19">
        <v>45470</v>
      </c>
      <c r="EL55" s="20">
        <v>-0.72</v>
      </c>
      <c r="EM55" s="20">
        <v>-3.4</v>
      </c>
      <c r="EN55" s="20">
        <v>2.0099999999999998</v>
      </c>
      <c r="EO55" s="20">
        <v>2.71</v>
      </c>
      <c r="EP55" s="20">
        <v>-1.68</v>
      </c>
    </row>
    <row r="56" spans="1:146" ht="84" x14ac:dyDescent="0.25">
      <c r="A56" s="7"/>
      <c r="B56" s="7"/>
      <c r="C56" s="7" t="str">
        <f>""&amp;CHAR(10)&amp;Basic_Fundamental_Information_Constructure(F56)&amp;CHAR(10)&amp;Basic_Fundamental_Information_Concatenate("")</f>
        <v xml:space="preserve">
市值37.773632亿, 利润1.61亿; PE22.19; 平均PE65.5; 平均PEG.77, PB2.42; ROIC6.3467%; ROE7.24%; 股利率.3497%; 毛利23.84%; 净利4.1367%; 上一年度营收增20.16%, 利润增86.65%; 当季营收增22.22%, 利润增25.44%; 过往5年营收增85%, 利润增14.51%
Income profile:
</v>
      </c>
      <c r="D56" t="s">
        <v>722</v>
      </c>
      <c r="E56" t="s">
        <v>723</v>
      </c>
      <c r="F56">
        <v>28.6</v>
      </c>
      <c r="G56">
        <v>0.35</v>
      </c>
      <c r="H56" t="s">
        <v>3940</v>
      </c>
      <c r="I56">
        <v>3777363200</v>
      </c>
      <c r="J56">
        <v>22.19</v>
      </c>
      <c r="K56">
        <v>2.42</v>
      </c>
      <c r="L56" t="s">
        <v>172</v>
      </c>
      <c r="M56" t="s">
        <v>3941</v>
      </c>
      <c r="N56" t="s">
        <v>1636</v>
      </c>
      <c r="O56" t="s">
        <v>2013</v>
      </c>
      <c r="P56">
        <v>22.21</v>
      </c>
      <c r="Q56" t="s">
        <v>3942</v>
      </c>
      <c r="R56">
        <v>44452963</v>
      </c>
      <c r="S56" s="5">
        <v>0.25440000000000002</v>
      </c>
      <c r="T56" t="s">
        <v>209</v>
      </c>
      <c r="U56">
        <v>110286580</v>
      </c>
      <c r="V56">
        <v>132075636</v>
      </c>
      <c r="W56">
        <v>3.02</v>
      </c>
      <c r="X56">
        <v>0.19</v>
      </c>
      <c r="Y56">
        <v>4.88</v>
      </c>
      <c r="Z56" t="s">
        <v>768</v>
      </c>
      <c r="AA56" t="s">
        <v>2286</v>
      </c>
      <c r="AB56" t="s">
        <v>3943</v>
      </c>
      <c r="AC56" t="s">
        <v>3944</v>
      </c>
      <c r="AD56" t="s">
        <v>19</v>
      </c>
      <c r="AE56">
        <v>25560354</v>
      </c>
      <c r="AF56" t="s">
        <v>3945</v>
      </c>
      <c r="AG56" t="s">
        <v>3946</v>
      </c>
      <c r="AH56" t="s">
        <v>3947</v>
      </c>
      <c r="AI56" t="s">
        <v>1953</v>
      </c>
      <c r="AJ56" t="s">
        <v>3948</v>
      </c>
      <c r="AK56" t="s">
        <v>1936</v>
      </c>
      <c r="AL56" t="s">
        <v>3949</v>
      </c>
      <c r="AM56" t="s">
        <v>19</v>
      </c>
      <c r="AN56" t="s">
        <v>520</v>
      </c>
      <c r="AO56" t="s">
        <v>320</v>
      </c>
      <c r="AP56" t="s">
        <v>441</v>
      </c>
      <c r="AQ56" t="s">
        <v>3950</v>
      </c>
      <c r="AR56" t="s">
        <v>19</v>
      </c>
      <c r="AS56" t="s">
        <v>3951</v>
      </c>
      <c r="AT56" t="s">
        <v>1199</v>
      </c>
      <c r="AU56" t="s">
        <v>3952</v>
      </c>
      <c r="AV56" t="s">
        <v>260</v>
      </c>
      <c r="AW56" t="s">
        <v>626</v>
      </c>
      <c r="AX56" t="s">
        <v>2207</v>
      </c>
      <c r="AY56" t="s">
        <v>1619</v>
      </c>
      <c r="AZ56" t="s">
        <v>724</v>
      </c>
      <c r="BA56" t="s">
        <v>727</v>
      </c>
      <c r="BB56" t="s">
        <v>728</v>
      </c>
      <c r="BC56" t="s">
        <v>2208</v>
      </c>
      <c r="BD56" t="s">
        <v>1620</v>
      </c>
      <c r="BE56" t="s">
        <v>725</v>
      </c>
      <c r="BF56" t="s">
        <v>730</v>
      </c>
      <c r="BG56" t="s">
        <v>731</v>
      </c>
      <c r="BH56" t="s">
        <v>3942</v>
      </c>
      <c r="BI56" t="s">
        <v>3953</v>
      </c>
      <c r="BJ56" t="s">
        <v>2207</v>
      </c>
      <c r="BK56" t="s">
        <v>209</v>
      </c>
      <c r="BL56" t="s">
        <v>3954</v>
      </c>
      <c r="BM56" t="s">
        <v>2208</v>
      </c>
      <c r="BN56">
        <v>6.34</v>
      </c>
      <c r="BO56">
        <v>6.86</v>
      </c>
      <c r="BP56">
        <v>5.84</v>
      </c>
      <c r="BQ56">
        <v>8.99</v>
      </c>
      <c r="BR56">
        <v>6.68</v>
      </c>
      <c r="BS56">
        <v>6.05</v>
      </c>
      <c r="BT56" t="s">
        <v>2003</v>
      </c>
      <c r="BU56" t="s">
        <v>3146</v>
      </c>
      <c r="BV56">
        <v>24.4</v>
      </c>
      <c r="BW56">
        <v>23.93</v>
      </c>
      <c r="BX56">
        <v>23.19</v>
      </c>
      <c r="BY56">
        <v>5.51</v>
      </c>
      <c r="BZ56">
        <v>4.34</v>
      </c>
      <c r="CA56">
        <v>2.56</v>
      </c>
      <c r="CB56">
        <v>-4.12</v>
      </c>
      <c r="CC56">
        <v>-12.65</v>
      </c>
      <c r="CD56" t="s">
        <v>3955</v>
      </c>
      <c r="CE56" t="s">
        <v>3956</v>
      </c>
      <c r="CF56" s="14">
        <v>0.22222222222222221</v>
      </c>
      <c r="CG56" s="15">
        <v>0.25441167921935359</v>
      </c>
      <c r="CH56" s="14">
        <v>0.2015778124332428</v>
      </c>
      <c r="CI56" s="14">
        <v>-1.492841262370348E-2</v>
      </c>
      <c r="CJ56" s="14">
        <v>4.0051174163818359</v>
      </c>
      <c r="CK56" s="14">
        <v>0.16033254563808441</v>
      </c>
      <c r="CL56" s="14">
        <v>-0.10234541445970535</v>
      </c>
      <c r="CM56" s="15">
        <v>0.86650651693344116</v>
      </c>
      <c r="CN56" s="15">
        <v>0.72183865308761597</v>
      </c>
      <c r="CO56" s="15">
        <v>-0.33279216289520264</v>
      </c>
      <c r="CP56" s="15">
        <v>2.156545877456665</v>
      </c>
      <c r="CQ56" s="15">
        <v>-2.6864535808563232</v>
      </c>
      <c r="CR56">
        <v>65.501212098091514</v>
      </c>
      <c r="CS56">
        <v>0.77064711168315214</v>
      </c>
      <c r="CT56">
        <v>0.34965034965034963</v>
      </c>
      <c r="CU56" s="14">
        <v>0.84995078947395086</v>
      </c>
      <c r="CV56" s="15">
        <v>0.14512906074523926</v>
      </c>
      <c r="CW56">
        <v>0.06</v>
      </c>
      <c r="CX56">
        <v>21.995498606745684</v>
      </c>
      <c r="CY56">
        <v>280983091.60877931</v>
      </c>
      <c r="CZ56">
        <v>0.84995078947395086</v>
      </c>
      <c r="DA56">
        <v>4.0110491012393963</v>
      </c>
      <c r="DB56">
        <v>1540834590.653676</v>
      </c>
      <c r="DC56">
        <v>0.80745325000025325</v>
      </c>
      <c r="DD56">
        <v>0.79072309960980791</v>
      </c>
      <c r="DE56">
        <v>7816090364.6924906</v>
      </c>
      <c r="DF56">
        <v>0.74795669473707671</v>
      </c>
      <c r="DG56">
        <v>0.14311535266421924</v>
      </c>
      <c r="DH56">
        <v>43184487792.169441</v>
      </c>
      <c r="DI56">
        <v>0.67996063157916076</v>
      </c>
      <c r="DJ56">
        <v>3.6389535127762953E-3</v>
      </c>
      <c r="DK56">
        <v>1698390259260.2144</v>
      </c>
      <c r="DL56">
        <v>0.59496555263176554</v>
      </c>
      <c r="DM56">
        <v>161000000</v>
      </c>
      <c r="DN56">
        <v>0.84995078947395086</v>
      </c>
      <c r="DO56">
        <v>6180363200</v>
      </c>
      <c r="DP56">
        <v>-425628299.99999952</v>
      </c>
      <c r="DQ56">
        <v>1338</v>
      </c>
      <c r="DR56">
        <v>-0.62772856725172865</v>
      </c>
      <c r="DS56">
        <v>0.10928261847411433</v>
      </c>
      <c r="DT56" s="16">
        <v>0.26</v>
      </c>
      <c r="DU56">
        <v>0.60333333333333339</v>
      </c>
      <c r="DV56">
        <v>0.8633333333333334</v>
      </c>
      <c r="DW56">
        <v>-8.325691699604743</v>
      </c>
      <c r="DX56">
        <v>0.38101771041042087</v>
      </c>
      <c r="DY56">
        <v>-8.0329006297937511</v>
      </c>
      <c r="DZ56">
        <v>296</v>
      </c>
      <c r="EA56">
        <v>-8.0309948398878905</v>
      </c>
      <c r="EB56">
        <v>8</v>
      </c>
      <c r="EC56">
        <v>4.2845146700637507E-2</v>
      </c>
      <c r="ED56">
        <v>0.42413500094748741</v>
      </c>
      <c r="EE56" s="17">
        <v>1.0807100000000001</v>
      </c>
      <c r="EF56">
        <v>1.1027100000000001</v>
      </c>
      <c r="EG56">
        <v>28.101017710410421</v>
      </c>
      <c r="EH56" t="s">
        <v>1840</v>
      </c>
      <c r="EI56">
        <v>0</v>
      </c>
      <c r="EJ56">
        <v>1</v>
      </c>
      <c r="EK56" s="19">
        <v>45470</v>
      </c>
      <c r="EL56" s="20">
        <v>0.42</v>
      </c>
      <c r="EM56" s="20">
        <v>-4.01</v>
      </c>
      <c r="EN56" s="20">
        <v>-0.88</v>
      </c>
      <c r="EO56" s="20">
        <v>3.57</v>
      </c>
      <c r="EP56" s="20">
        <v>-2.2000000000000002</v>
      </c>
    </row>
    <row r="57" spans="1:146" ht="84" x14ac:dyDescent="0.25">
      <c r="A57" s="7"/>
      <c r="B57" s="7"/>
      <c r="C57" s="7" t="str">
        <f>""&amp;CHAR(10)&amp;Basic_Fundamental_Information_Constructure(F57)&amp;CHAR(10)&amp;Basic_Fundamental_Information_Concatenate("")</f>
        <v xml:space="preserve">
市值135.30073亿, 利润4.65亿; PE25.55; 平均PE57.33; 平均PEG3.47, PB2.21; ROIC7.4733%; ROE8.0967%; 股利率1.3571%; 毛利22.01%; 净利6.6767%; 上一年度营收增26.59%, 利润增22.37%; 当季营收增51.41%, 利润增83.52%; 过往5年营收增16.5%, 利润增121.09%
Income profile:
</v>
      </c>
      <c r="D57" t="s">
        <v>732</v>
      </c>
      <c r="E57" t="s">
        <v>733</v>
      </c>
      <c r="F57">
        <v>25.79</v>
      </c>
      <c r="G57">
        <v>1.42</v>
      </c>
      <c r="H57" t="s">
        <v>3957</v>
      </c>
      <c r="I57">
        <v>13530073000</v>
      </c>
      <c r="J57">
        <v>25.55</v>
      </c>
      <c r="K57">
        <v>2.21</v>
      </c>
      <c r="L57" t="s">
        <v>172</v>
      </c>
      <c r="M57" t="s">
        <v>3958</v>
      </c>
      <c r="N57" t="s">
        <v>3959</v>
      </c>
      <c r="O57" t="s">
        <v>3960</v>
      </c>
      <c r="P57">
        <v>51.34</v>
      </c>
      <c r="Q57" t="s">
        <v>2511</v>
      </c>
      <c r="R57">
        <v>142283580</v>
      </c>
      <c r="S57" s="5">
        <v>0.83520000000000005</v>
      </c>
      <c r="T57" t="s">
        <v>962</v>
      </c>
      <c r="U57">
        <v>524444330</v>
      </c>
      <c r="V57">
        <v>524624790</v>
      </c>
      <c r="W57">
        <v>1.59</v>
      </c>
      <c r="X57">
        <v>0.21</v>
      </c>
      <c r="Y57">
        <v>7.2</v>
      </c>
      <c r="Z57" t="s">
        <v>3961</v>
      </c>
      <c r="AA57" t="s">
        <v>3962</v>
      </c>
      <c r="AB57" t="s">
        <v>3963</v>
      </c>
      <c r="AC57" t="s">
        <v>3964</v>
      </c>
      <c r="AD57" t="s">
        <v>19</v>
      </c>
      <c r="AE57">
        <v>8651993</v>
      </c>
      <c r="AF57" t="s">
        <v>3965</v>
      </c>
      <c r="AG57" t="s">
        <v>3966</v>
      </c>
      <c r="AH57" t="s">
        <v>3967</v>
      </c>
      <c r="AI57" t="s">
        <v>2520</v>
      </c>
      <c r="AJ57" t="s">
        <v>3968</v>
      </c>
      <c r="AK57" t="s">
        <v>19</v>
      </c>
      <c r="AL57" t="s">
        <v>3969</v>
      </c>
      <c r="AM57" t="s">
        <v>19</v>
      </c>
      <c r="AN57" t="s">
        <v>287</v>
      </c>
      <c r="AO57" t="s">
        <v>3970</v>
      </c>
      <c r="AP57" t="s">
        <v>2220</v>
      </c>
      <c r="AQ57" t="s">
        <v>1969</v>
      </c>
      <c r="AR57" t="s">
        <v>3971</v>
      </c>
      <c r="AS57" t="s">
        <v>734</v>
      </c>
      <c r="AT57" t="s">
        <v>19</v>
      </c>
      <c r="AU57" t="s">
        <v>414</v>
      </c>
      <c r="AV57" t="s">
        <v>3972</v>
      </c>
      <c r="AW57" t="s">
        <v>3973</v>
      </c>
      <c r="AX57" t="s">
        <v>2209</v>
      </c>
      <c r="AY57" t="s">
        <v>1621</v>
      </c>
      <c r="AZ57" t="s">
        <v>734</v>
      </c>
      <c r="BA57" t="s">
        <v>737</v>
      </c>
      <c r="BB57" t="s">
        <v>440</v>
      </c>
      <c r="BC57" t="s">
        <v>622</v>
      </c>
      <c r="BD57" t="s">
        <v>655</v>
      </c>
      <c r="BE57" t="s">
        <v>37</v>
      </c>
      <c r="BF57" t="s">
        <v>739</v>
      </c>
      <c r="BG57" t="s">
        <v>740</v>
      </c>
      <c r="BH57" t="s">
        <v>2511</v>
      </c>
      <c r="BI57" t="s">
        <v>2100</v>
      </c>
      <c r="BJ57" t="s">
        <v>2209</v>
      </c>
      <c r="BK57" t="s">
        <v>962</v>
      </c>
      <c r="BL57" t="s">
        <v>3974</v>
      </c>
      <c r="BM57" t="s">
        <v>622</v>
      </c>
      <c r="BN57">
        <v>5.77</v>
      </c>
      <c r="BO57">
        <v>8.9600000000000009</v>
      </c>
      <c r="BP57">
        <v>7.69</v>
      </c>
      <c r="BQ57">
        <v>6.69</v>
      </c>
      <c r="BR57">
        <v>9.48</v>
      </c>
      <c r="BS57">
        <v>8.1199999999999992</v>
      </c>
      <c r="BT57" t="s">
        <v>1998</v>
      </c>
      <c r="BU57" t="s">
        <v>3146</v>
      </c>
      <c r="BV57">
        <v>22.36</v>
      </c>
      <c r="BW57">
        <v>22.1</v>
      </c>
      <c r="BX57">
        <v>21.57</v>
      </c>
      <c r="BY57">
        <v>6.58</v>
      </c>
      <c r="BZ57">
        <v>6.82</v>
      </c>
      <c r="CA57">
        <v>6.63</v>
      </c>
      <c r="CB57">
        <v>-3.62</v>
      </c>
      <c r="CC57">
        <v>-3.23</v>
      </c>
      <c r="CD57" t="s">
        <v>3975</v>
      </c>
      <c r="CE57" t="s">
        <v>720</v>
      </c>
      <c r="CF57" s="14">
        <v>0.51406844106463878</v>
      </c>
      <c r="CG57" s="15">
        <v>0.83518072102678798</v>
      </c>
      <c r="CH57" s="14">
        <v>0.26587438583374023</v>
      </c>
      <c r="CI57" s="14">
        <v>0.25623887777328491</v>
      </c>
      <c r="CJ57" s="14">
        <v>0.3301718533039093</v>
      </c>
      <c r="CK57" s="14">
        <v>-2.6603415608406067E-3</v>
      </c>
      <c r="CL57" s="14">
        <v>-2.4790968745946884E-2</v>
      </c>
      <c r="CM57" s="15">
        <v>0.22368420660495758</v>
      </c>
      <c r="CN57" s="15">
        <v>0.27090302109718323</v>
      </c>
      <c r="CO57" s="15">
        <v>0.65193372964859009</v>
      </c>
      <c r="CP57" s="15">
        <v>1.4297976493835449</v>
      </c>
      <c r="CQ57" s="15">
        <v>3.4779355525970459</v>
      </c>
      <c r="CR57">
        <v>57.325672250746415</v>
      </c>
      <c r="CS57">
        <v>3.4749831900535852</v>
      </c>
      <c r="CT57">
        <v>1.3571151609150833</v>
      </c>
      <c r="CU57" s="14">
        <v>0.16496676132082938</v>
      </c>
      <c r="CV57" s="15">
        <v>1.2108508318662643</v>
      </c>
      <c r="CW57">
        <v>0.06</v>
      </c>
      <c r="CX57">
        <v>21.184115190149736</v>
      </c>
      <c r="CY57">
        <v>511046739.6360243</v>
      </c>
      <c r="CZ57">
        <v>0.16496676132082938</v>
      </c>
      <c r="DA57">
        <v>6.5005501912215555</v>
      </c>
      <c r="DB57">
        <v>1665408724.1137986</v>
      </c>
      <c r="DC57">
        <v>0.15671842325478791</v>
      </c>
      <c r="DD57">
        <v>2.9350493856130648</v>
      </c>
      <c r="DE57">
        <v>3688548837.7357168</v>
      </c>
      <c r="DF57">
        <v>0.14517074996232984</v>
      </c>
      <c r="DG57">
        <v>1.5936670105713786</v>
      </c>
      <c r="DH57">
        <v>6793183850.9467049</v>
      </c>
      <c r="DI57">
        <v>0.13197340905666352</v>
      </c>
      <c r="DJ57">
        <v>0.65273329015270742</v>
      </c>
      <c r="DK57">
        <v>16585752807.961168</v>
      </c>
      <c r="DL57">
        <v>0.11547673292458056</v>
      </c>
      <c r="DM57">
        <v>465000000.00000006</v>
      </c>
      <c r="DN57">
        <v>0.16496676132082938</v>
      </c>
      <c r="DO57">
        <v>10826073000</v>
      </c>
      <c r="DP57">
        <v>3547252200</v>
      </c>
      <c r="DQ57">
        <v>1371</v>
      </c>
      <c r="DR57">
        <v>0.3491016797438094</v>
      </c>
      <c r="DS57">
        <v>-0.37567011083947632</v>
      </c>
      <c r="DT57" s="16">
        <v>1.0000000000000011E-2</v>
      </c>
      <c r="DU57">
        <v>1.8383333333333336</v>
      </c>
      <c r="DV57">
        <v>1.8483333333333336</v>
      </c>
      <c r="DW57">
        <v>-4.8922651933701653</v>
      </c>
      <c r="DX57">
        <v>0.4505368421052624</v>
      </c>
      <c r="DY57">
        <v>-4.1432414364640886</v>
      </c>
      <c r="DZ57">
        <v>21</v>
      </c>
      <c r="EA57">
        <v>-4.1426527730265645</v>
      </c>
      <c r="EB57">
        <v>4</v>
      </c>
      <c r="EC57">
        <v>4.6512479900158742E-2</v>
      </c>
      <c r="ED57">
        <v>0.28973087604190417</v>
      </c>
      <c r="EE57" s="17">
        <v>2.0217100000000001</v>
      </c>
      <c r="EF57">
        <v>2.0678100000000001</v>
      </c>
      <c r="EG57">
        <v>29.160536842105262</v>
      </c>
      <c r="EH57" t="s">
        <v>1836</v>
      </c>
      <c r="EI57">
        <v>0</v>
      </c>
      <c r="EJ57">
        <v>1</v>
      </c>
      <c r="EK57" s="19">
        <v>45470</v>
      </c>
      <c r="EL57" s="20">
        <v>0.89</v>
      </c>
      <c r="EM57" s="20">
        <v>-3.86</v>
      </c>
      <c r="EN57" s="20">
        <v>0.52</v>
      </c>
      <c r="EO57" s="20">
        <v>1.87</v>
      </c>
      <c r="EP57" s="20">
        <v>-4.6100000000000003</v>
      </c>
    </row>
    <row r="58" spans="1:146" x14ac:dyDescent="0.25">
      <c r="D58" t="s">
        <v>2858</v>
      </c>
      <c r="E58" t="s">
        <v>2859</v>
      </c>
      <c r="F58">
        <v>85.05</v>
      </c>
      <c r="G58">
        <v>0.46</v>
      </c>
      <c r="H58" t="s">
        <v>3976</v>
      </c>
      <c r="I58">
        <v>47203269000</v>
      </c>
      <c r="J58">
        <v>29.48</v>
      </c>
      <c r="K58">
        <v>5.65</v>
      </c>
      <c r="L58" t="s">
        <v>172</v>
      </c>
      <c r="M58" t="s">
        <v>3977</v>
      </c>
      <c r="N58" t="s">
        <v>3978</v>
      </c>
      <c r="O58" t="s">
        <v>3979</v>
      </c>
      <c r="P58" s="5">
        <v>41.78</v>
      </c>
      <c r="Q58" t="s">
        <v>3980</v>
      </c>
      <c r="R58">
        <v>384770980</v>
      </c>
      <c r="S58">
        <v>0.1641</v>
      </c>
      <c r="T58" t="s">
        <v>2813</v>
      </c>
      <c r="U58">
        <v>551512660</v>
      </c>
      <c r="V58">
        <v>555006100</v>
      </c>
      <c r="W58">
        <v>2.1800000000000002</v>
      </c>
      <c r="X58">
        <v>0.31</v>
      </c>
      <c r="Y58">
        <v>6.9</v>
      </c>
      <c r="Z58" t="s">
        <v>3981</v>
      </c>
      <c r="AA58" t="s">
        <v>3982</v>
      </c>
      <c r="AB58" t="s">
        <v>3983</v>
      </c>
      <c r="AC58" t="s">
        <v>465</v>
      </c>
      <c r="AD58" t="s">
        <v>19</v>
      </c>
      <c r="AE58">
        <v>36185545</v>
      </c>
      <c r="AF58" t="s">
        <v>3984</v>
      </c>
      <c r="AG58" t="s">
        <v>3985</v>
      </c>
      <c r="AH58" t="s">
        <v>3986</v>
      </c>
      <c r="AI58" t="s">
        <v>142</v>
      </c>
      <c r="AJ58" t="s">
        <v>3987</v>
      </c>
      <c r="AK58" t="s">
        <v>3988</v>
      </c>
      <c r="AL58" t="s">
        <v>3989</v>
      </c>
      <c r="AM58" t="s">
        <v>19</v>
      </c>
      <c r="AN58" t="s">
        <v>607</v>
      </c>
      <c r="AO58" t="s">
        <v>496</v>
      </c>
      <c r="AP58" t="s">
        <v>3990</v>
      </c>
      <c r="AQ58" t="s">
        <v>3991</v>
      </c>
      <c r="AR58" t="s">
        <v>19</v>
      </c>
      <c r="AS58" t="s">
        <v>231</v>
      </c>
      <c r="AT58" t="s">
        <v>3992</v>
      </c>
      <c r="AU58" t="s">
        <v>101</v>
      </c>
      <c r="AV58" t="s">
        <v>3993</v>
      </c>
      <c r="AW58" t="s">
        <v>3994</v>
      </c>
      <c r="AX58" t="s">
        <v>2860</v>
      </c>
      <c r="AY58" t="s">
        <v>2861</v>
      </c>
      <c r="AZ58" t="s">
        <v>2862</v>
      </c>
      <c r="BA58" t="s">
        <v>2863</v>
      </c>
      <c r="BB58" t="s">
        <v>2864</v>
      </c>
      <c r="BC58" t="s">
        <v>353</v>
      </c>
      <c r="BD58" t="s">
        <v>2865</v>
      </c>
      <c r="BE58" t="s">
        <v>1872</v>
      </c>
      <c r="BF58" t="s">
        <v>480</v>
      </c>
      <c r="BG58" t="s">
        <v>690</v>
      </c>
      <c r="BH58" t="s">
        <v>3980</v>
      </c>
      <c r="BI58" t="s">
        <v>3745</v>
      </c>
      <c r="BJ58" t="s">
        <v>2860</v>
      </c>
      <c r="BK58" t="s">
        <v>2813</v>
      </c>
      <c r="BL58" t="s">
        <v>120</v>
      </c>
      <c r="BM58" t="s">
        <v>353</v>
      </c>
      <c r="BN58">
        <v>12.32</v>
      </c>
      <c r="BO58">
        <v>17.82</v>
      </c>
      <c r="BP58">
        <v>16.010000000000002</v>
      </c>
      <c r="BQ58">
        <v>14.03</v>
      </c>
      <c r="BR58">
        <v>20.21</v>
      </c>
      <c r="BS58">
        <v>16.739999999999998</v>
      </c>
      <c r="BT58" t="s">
        <v>3995</v>
      </c>
      <c r="BU58" t="s">
        <v>3146</v>
      </c>
      <c r="BV58">
        <v>20.440000000000001</v>
      </c>
      <c r="BW58">
        <v>23.03</v>
      </c>
      <c r="BX58">
        <v>24.6</v>
      </c>
      <c r="BY58">
        <v>7.04</v>
      </c>
      <c r="BZ58">
        <v>7.84</v>
      </c>
      <c r="CA58">
        <v>8.69</v>
      </c>
      <c r="CB58">
        <v>-2.34</v>
      </c>
      <c r="CC58" s="14">
        <v>-17.059999999999999</v>
      </c>
      <c r="CD58" s="15" t="s">
        <v>3996</v>
      </c>
      <c r="CE58" s="14" t="s">
        <v>207</v>
      </c>
      <c r="CF58" s="14">
        <v>0.41802661310569922</v>
      </c>
      <c r="CG58" s="14">
        <v>0.16245009063444107</v>
      </c>
      <c r="CH58" s="14">
        <v>0.46708634495735168</v>
      </c>
      <c r="CI58" s="14">
        <v>0.56056010723114014</v>
      </c>
      <c r="CJ58" s="15">
        <v>0.40741291642189026</v>
      </c>
      <c r="CK58" s="15">
        <v>0.2739366888999939</v>
      </c>
      <c r="CL58" s="15">
        <v>-1.3311148621141911E-2</v>
      </c>
      <c r="CM58" s="15">
        <v>0.30548536777496338</v>
      </c>
      <c r="CN58" s="15">
        <v>0.42256894707679749</v>
      </c>
      <c r="CO58">
        <v>0.60810810327529907</v>
      </c>
      <c r="CP58">
        <v>0.77397263050079346</v>
      </c>
      <c r="CQ58">
        <v>-0.29807692766189575</v>
      </c>
      <c r="CR58" s="14">
        <v>59.114926737633063</v>
      </c>
      <c r="CS58" s="15">
        <v>1.7430988041391651</v>
      </c>
      <c r="CT58">
        <v>0.98765432098765438</v>
      </c>
      <c r="CU58">
        <v>0.33913698177784679</v>
      </c>
      <c r="CV58">
        <v>0.36241162419319151</v>
      </c>
      <c r="CW58">
        <v>0.06</v>
      </c>
      <c r="CX58">
        <v>24.911848971170066</v>
      </c>
      <c r="CY58">
        <v>1954381991.3304992</v>
      </c>
      <c r="CZ58">
        <v>0.33913698177784679</v>
      </c>
      <c r="DA58">
        <v>6.634246578821406</v>
      </c>
      <c r="DB58">
        <v>7338778928.6314774</v>
      </c>
      <c r="DC58">
        <v>0.32218013268895446</v>
      </c>
      <c r="DD58">
        <v>2.4300651513741314</v>
      </c>
      <c r="DE58">
        <v>20035375994.947609</v>
      </c>
      <c r="DF58">
        <v>0.2984405439645052</v>
      </c>
      <c r="DG58">
        <v>1.0141305770869307</v>
      </c>
      <c r="DH58">
        <v>48008875878.541382</v>
      </c>
      <c r="DI58">
        <v>0.27130958542227746</v>
      </c>
      <c r="DJ58">
        <v>0.21400783804426746</v>
      </c>
      <c r="DK58">
        <v>227502270220.25732</v>
      </c>
      <c r="DL58">
        <v>0.23739588724449273</v>
      </c>
      <c r="DM58">
        <v>1547000000</v>
      </c>
      <c r="DN58">
        <v>0.33913698177784679</v>
      </c>
      <c r="DO58">
        <v>48687269000</v>
      </c>
      <c r="DP58">
        <v>5191734000</v>
      </c>
      <c r="DQ58" s="16">
        <v>1384</v>
      </c>
      <c r="DR58">
        <v>7.8889631327852427E-2</v>
      </c>
      <c r="DS58">
        <v>-0.19996153355875043</v>
      </c>
      <c r="DT58">
        <v>0.12666666666666662</v>
      </c>
      <c r="DU58">
        <v>0.93666666666666665</v>
      </c>
      <c r="DV58">
        <v>1.0633333333333332</v>
      </c>
      <c r="DW58">
        <v>-3.0119880952380953</v>
      </c>
      <c r="DX58">
        <v>0.39788841463414526</v>
      </c>
      <c r="DY58">
        <v>-3.0020126623040069</v>
      </c>
      <c r="DZ58">
        <v>178</v>
      </c>
      <c r="EA58">
        <v>-3.0019425539106384</v>
      </c>
      <c r="EB58" s="17">
        <v>3</v>
      </c>
      <c r="EC58" s="17">
        <v>4.9609725010229616E-2</v>
      </c>
      <c r="ED58">
        <v>0.29549224774286265</v>
      </c>
      <c r="EE58">
        <v>-1.00701</v>
      </c>
      <c r="EF58">
        <v>-1.0420100000000001</v>
      </c>
      <c r="EG58">
        <v>23.167888414634145</v>
      </c>
      <c r="EH58" s="19" t="s">
        <v>1838</v>
      </c>
      <c r="EI58">
        <v>0</v>
      </c>
      <c r="EJ58">
        <v>1</v>
      </c>
      <c r="EK58">
        <v>45470</v>
      </c>
      <c r="EL58">
        <v>0.28000000000000003</v>
      </c>
      <c r="EM58">
        <v>-3.77</v>
      </c>
      <c r="EN58" s="20">
        <v>-0.5</v>
      </c>
      <c r="EO58" s="20">
        <v>0.96</v>
      </c>
      <c r="EP58" s="20">
        <v>-3.5</v>
      </c>
    </row>
    <row r="59" spans="1:146" ht="84" x14ac:dyDescent="0.25">
      <c r="A59" s="7"/>
      <c r="B59" s="7"/>
      <c r="C59" s="7" t="str">
        <f>""&amp;CHAR(10)&amp;Basic_Fundamental_Information_Constructure(F59)&amp;CHAR(10)&amp;Basic_Fundamental_Information_Concatenate("")</f>
        <v xml:space="preserve">
市值12.7479835亿, 利润487.30万; PE28396; 平均PE28.54; 平均PEG2.44, PB1.21; ROIC3.97%; ROE3.7833%; 股利率1.0267%; 毛利17.6433%; 净利3.1933%; 上一年度营收增-10.24%, 利润增-81.09%; 当季营收增-18.18%, 利润增-280.18%; 过往5年营收增11.7%, 利润增-16.97%
Income profile:
</v>
      </c>
      <c r="D59" t="s">
        <v>743</v>
      </c>
      <c r="E59" t="s">
        <v>744</v>
      </c>
      <c r="F59">
        <v>9.74</v>
      </c>
      <c r="G59">
        <v>0.21</v>
      </c>
      <c r="H59" t="s">
        <v>3997</v>
      </c>
      <c r="I59">
        <v>1274798350</v>
      </c>
      <c r="J59">
        <v>28396</v>
      </c>
      <c r="K59">
        <v>1.21</v>
      </c>
      <c r="L59" t="s">
        <v>172</v>
      </c>
      <c r="M59" t="s">
        <v>809</v>
      </c>
      <c r="N59" t="s">
        <v>2629</v>
      </c>
      <c r="O59" t="s">
        <v>2198</v>
      </c>
      <c r="P59">
        <v>-18.07</v>
      </c>
      <c r="Q59" t="s">
        <v>2565</v>
      </c>
      <c r="R59">
        <v>-6551333</v>
      </c>
      <c r="S59" s="5">
        <v>-2.802</v>
      </c>
      <c r="T59" t="s">
        <v>3998</v>
      </c>
      <c r="U59">
        <v>110434790</v>
      </c>
      <c r="V59">
        <v>130882787</v>
      </c>
      <c r="W59">
        <v>2.09</v>
      </c>
      <c r="X59">
        <v>0.11</v>
      </c>
      <c r="Y59">
        <v>-2.5299999999999998</v>
      </c>
      <c r="Z59" t="s">
        <v>1568</v>
      </c>
      <c r="AA59" t="s">
        <v>424</v>
      </c>
      <c r="AB59" t="s">
        <v>3999</v>
      </c>
      <c r="AC59" t="s">
        <v>4000</v>
      </c>
      <c r="AD59" t="s">
        <v>19</v>
      </c>
      <c r="AE59">
        <v>10585898</v>
      </c>
      <c r="AF59" t="s">
        <v>4001</v>
      </c>
      <c r="AG59" t="s">
        <v>4002</v>
      </c>
      <c r="AH59" t="s">
        <v>4003</v>
      </c>
      <c r="AI59" t="s">
        <v>78</v>
      </c>
      <c r="AJ59" t="s">
        <v>4004</v>
      </c>
      <c r="AK59" t="s">
        <v>4005</v>
      </c>
      <c r="AL59" t="s">
        <v>4006</v>
      </c>
      <c r="AM59" t="s">
        <v>19</v>
      </c>
      <c r="AN59" t="s">
        <v>4007</v>
      </c>
      <c r="AO59" t="s">
        <v>2216</v>
      </c>
      <c r="AP59" t="s">
        <v>4008</v>
      </c>
      <c r="AQ59" t="s">
        <v>628</v>
      </c>
      <c r="AR59" t="s">
        <v>2606</v>
      </c>
      <c r="AS59" t="s">
        <v>111</v>
      </c>
      <c r="AT59" t="s">
        <v>126</v>
      </c>
      <c r="AU59" t="s">
        <v>4009</v>
      </c>
      <c r="AV59" t="s">
        <v>4010</v>
      </c>
      <c r="AW59" t="s">
        <v>99</v>
      </c>
      <c r="AX59" t="s">
        <v>2199</v>
      </c>
      <c r="AY59" t="s">
        <v>1622</v>
      </c>
      <c r="AZ59" t="s">
        <v>745</v>
      </c>
      <c r="BA59" t="s">
        <v>747</v>
      </c>
      <c r="BB59" t="s">
        <v>748</v>
      </c>
      <c r="BC59" t="s">
        <v>2213</v>
      </c>
      <c r="BD59" t="s">
        <v>1623</v>
      </c>
      <c r="BE59" t="s">
        <v>746</v>
      </c>
      <c r="BF59" t="s">
        <v>750</v>
      </c>
      <c r="BG59" t="s">
        <v>751</v>
      </c>
      <c r="BH59" t="s">
        <v>2565</v>
      </c>
      <c r="BI59" t="s">
        <v>684</v>
      </c>
      <c r="BJ59" t="s">
        <v>2199</v>
      </c>
      <c r="BK59" t="s">
        <v>3998</v>
      </c>
      <c r="BL59" t="s">
        <v>4011</v>
      </c>
      <c r="BM59" t="s">
        <v>2213</v>
      </c>
      <c r="BN59">
        <v>1.32</v>
      </c>
      <c r="BO59">
        <v>3.96</v>
      </c>
      <c r="BP59">
        <v>6.63</v>
      </c>
      <c r="BQ59">
        <v>0.68</v>
      </c>
      <c r="BR59">
        <v>2.14</v>
      </c>
      <c r="BS59">
        <v>8.5299999999999994</v>
      </c>
      <c r="BT59" t="s">
        <v>2003</v>
      </c>
      <c r="BU59" t="s">
        <v>3125</v>
      </c>
      <c r="BV59">
        <v>15.45</v>
      </c>
      <c r="BW59">
        <v>15.93</v>
      </c>
      <c r="BX59">
        <v>21.55</v>
      </c>
      <c r="BY59">
        <v>0.53</v>
      </c>
      <c r="BZ59">
        <v>3.15</v>
      </c>
      <c r="CA59">
        <v>5.9</v>
      </c>
      <c r="CB59">
        <v>-2.7</v>
      </c>
      <c r="CC59">
        <v>-11.05</v>
      </c>
      <c r="CD59" t="s">
        <v>4012</v>
      </c>
      <c r="CE59" t="s">
        <v>4013</v>
      </c>
      <c r="CF59" s="14">
        <v>-0.18181818181818182</v>
      </c>
      <c r="CG59" s="15">
        <v>-2.8018413416898791</v>
      </c>
      <c r="CH59" s="14">
        <v>-0.1024390235543251</v>
      </c>
      <c r="CI59" s="14">
        <v>1.5689458698034286E-2</v>
      </c>
      <c r="CJ59" s="14">
        <v>0.32639655470848083</v>
      </c>
      <c r="CK59" s="14">
        <v>0.22058823704719543</v>
      </c>
      <c r="CL59" s="14">
        <v>0.12481202930212021</v>
      </c>
      <c r="CM59" s="15">
        <v>-0.81094521284103394</v>
      </c>
      <c r="CN59" s="15">
        <v>-0.65262651443481445</v>
      </c>
      <c r="CO59" s="15">
        <v>3.1618081033229828E-2</v>
      </c>
      <c r="CP59" s="15">
        <v>0.5536038875579834</v>
      </c>
      <c r="CQ59" s="15">
        <v>2.9703190550208092E-2</v>
      </c>
      <c r="CR59">
        <v>28.536460255107809</v>
      </c>
      <c r="CS59">
        <v>2.4388166898161727</v>
      </c>
      <c r="CT59">
        <v>1.0266940451745379</v>
      </c>
      <c r="CU59" s="14">
        <v>0.11700945124030113</v>
      </c>
      <c r="CV59" s="15">
        <v>-0.16972931362688543</v>
      </c>
      <c r="CW59">
        <v>0.06</v>
      </c>
      <c r="CX59">
        <v>238.71056380343262</v>
      </c>
      <c r="CY59">
        <v>5135082.128201874</v>
      </c>
      <c r="CZ59">
        <v>0.11700945124030113</v>
      </c>
      <c r="DA59">
        <v>76.249874921012719</v>
      </c>
      <c r="DB59">
        <v>16076070.305293027</v>
      </c>
      <c r="DC59">
        <v>0.11115897867828607</v>
      </c>
      <c r="DD59">
        <v>36.397514469114675</v>
      </c>
      <c r="DE59">
        <v>33678078.513854519</v>
      </c>
      <c r="DF59">
        <v>0.10296831709146499</v>
      </c>
      <c r="DG59">
        <v>21.101955241717988</v>
      </c>
      <c r="DH59">
        <v>58089325.655313216</v>
      </c>
      <c r="DI59">
        <v>9.3607560992240907E-2</v>
      </c>
      <c r="DJ59">
        <v>10.076147746582818</v>
      </c>
      <c r="DK59">
        <v>121653471.23018439</v>
      </c>
      <c r="DL59">
        <v>8.1906615868210783E-2</v>
      </c>
      <c r="DM59">
        <v>4873000</v>
      </c>
      <c r="DN59">
        <v>0.11700945124030113</v>
      </c>
      <c r="DO59">
        <v>1225798350</v>
      </c>
      <c r="DP59">
        <v>235599729.99999988</v>
      </c>
      <c r="DQ59">
        <v>1385</v>
      </c>
      <c r="DR59">
        <v>-0.29882763305848292</v>
      </c>
      <c r="DS59">
        <v>-2.6321120280629935</v>
      </c>
      <c r="DT59" s="16">
        <v>-0.19000000000000003</v>
      </c>
      <c r="DU59">
        <v>-1.415</v>
      </c>
      <c r="DV59">
        <v>-1.605</v>
      </c>
      <c r="DW59">
        <v>-8.2443438914027141</v>
      </c>
      <c r="DX59">
        <v>0.42005475910609991</v>
      </c>
      <c r="DY59">
        <v>-8.0342215248494533</v>
      </c>
      <c r="DZ59">
        <v>4096</v>
      </c>
      <c r="EA59">
        <v>-8.0067907291971316</v>
      </c>
      <c r="EB59">
        <v>8</v>
      </c>
      <c r="EC59">
        <v>6.0266137211763375E-2</v>
      </c>
      <c r="ED59">
        <v>0.43030410102743299</v>
      </c>
      <c r="EE59" s="17">
        <v>-3.0558000000000001</v>
      </c>
      <c r="EF59">
        <v>-3.044</v>
      </c>
      <c r="EG59">
        <v>28.1400547591061</v>
      </c>
      <c r="EH59" t="s">
        <v>2802</v>
      </c>
      <c r="EI59">
        <v>0</v>
      </c>
      <c r="EJ59">
        <v>0</v>
      </c>
      <c r="EK59" s="19">
        <v>45470</v>
      </c>
      <c r="EL59" s="20">
        <v>-0.1</v>
      </c>
      <c r="EM59" s="20">
        <v>-5.62</v>
      </c>
      <c r="EN59" s="20">
        <v>2.87</v>
      </c>
      <c r="EO59" s="20">
        <v>5.0599999999999996</v>
      </c>
      <c r="EP59" s="20">
        <v>-1.18</v>
      </c>
    </row>
    <row r="60" spans="1:146" ht="84" x14ac:dyDescent="0.25">
      <c r="A60" s="7"/>
      <c r="B60" s="7"/>
      <c r="C60" s="7" t="str">
        <f>""&amp;CHAR(10)&amp;Basic_Fundamental_Information_Constructure(F60)&amp;CHAR(10)&amp;Basic_Fundamental_Information_Concatenate("")</f>
        <v xml:space="preserve">
市值59.556862亿, 利润4.07亿; PE13.36; 平均PE30.23; 平均PEG.91, PB1.45; ROIC7.96%; ROE8.24%; 股利率2.0576%; 毛利17.32%; 净利5.2733%; 上一年度营收增32.97%, 利润增58.37%; 当季营收增36.73%, 利润增47.76%; 过往5年营收增33.2%, 利润增62.67%
Income profile:
</v>
      </c>
      <c r="D60" t="s">
        <v>1922</v>
      </c>
      <c r="E60" t="s">
        <v>1923</v>
      </c>
      <c r="F60">
        <v>29.16</v>
      </c>
      <c r="G60">
        <v>0</v>
      </c>
      <c r="H60" t="s">
        <v>4014</v>
      </c>
      <c r="I60">
        <v>5955686200</v>
      </c>
      <c r="J60">
        <v>13.36</v>
      </c>
      <c r="K60">
        <v>1.45</v>
      </c>
      <c r="L60" t="s">
        <v>172</v>
      </c>
      <c r="M60" t="s">
        <v>4015</v>
      </c>
      <c r="N60" t="s">
        <v>368</v>
      </c>
      <c r="O60" t="s">
        <v>2553</v>
      </c>
      <c r="P60">
        <v>36.81</v>
      </c>
      <c r="Q60" t="s">
        <v>3409</v>
      </c>
      <c r="R60">
        <v>121242624</v>
      </c>
      <c r="S60" s="5">
        <v>0.47760000000000002</v>
      </c>
      <c r="T60" t="s">
        <v>608</v>
      </c>
      <c r="U60">
        <v>126583138</v>
      </c>
      <c r="V60">
        <v>204241640</v>
      </c>
      <c r="W60">
        <v>2.02</v>
      </c>
      <c r="X60">
        <v>0.24</v>
      </c>
      <c r="Y60">
        <v>7.75</v>
      </c>
      <c r="Z60" t="s">
        <v>2672</v>
      </c>
      <c r="AA60" t="s">
        <v>49</v>
      </c>
      <c r="AB60" t="s">
        <v>4016</v>
      </c>
      <c r="AC60" t="s">
        <v>4017</v>
      </c>
      <c r="AD60" t="s">
        <v>19</v>
      </c>
      <c r="AE60">
        <v>3758003</v>
      </c>
      <c r="AF60" t="s">
        <v>4018</v>
      </c>
      <c r="AG60" t="s">
        <v>4019</v>
      </c>
      <c r="AH60" t="s">
        <v>4020</v>
      </c>
      <c r="AI60" t="s">
        <v>2166</v>
      </c>
      <c r="AJ60" t="s">
        <v>4021</v>
      </c>
      <c r="AK60" t="s">
        <v>975</v>
      </c>
      <c r="AL60" t="s">
        <v>4022</v>
      </c>
      <c r="AM60" t="s">
        <v>19</v>
      </c>
      <c r="AN60" t="s">
        <v>587</v>
      </c>
      <c r="AO60" t="s">
        <v>126</v>
      </c>
      <c r="AP60" t="s">
        <v>3043</v>
      </c>
      <c r="AQ60" t="s">
        <v>2764</v>
      </c>
      <c r="AR60" t="s">
        <v>19</v>
      </c>
      <c r="AS60" t="s">
        <v>2281</v>
      </c>
      <c r="AT60" t="s">
        <v>19</v>
      </c>
      <c r="AU60" t="s">
        <v>4023</v>
      </c>
      <c r="AV60" t="s">
        <v>4024</v>
      </c>
      <c r="AW60" t="s">
        <v>4025</v>
      </c>
      <c r="AX60" t="s">
        <v>2214</v>
      </c>
      <c r="AY60" t="s">
        <v>1924</v>
      </c>
      <c r="AZ60" t="s">
        <v>1926</v>
      </c>
      <c r="BA60" t="s">
        <v>532</v>
      </c>
      <c r="BB60" t="s">
        <v>1927</v>
      </c>
      <c r="BC60" t="s">
        <v>413</v>
      </c>
      <c r="BD60" t="s">
        <v>1925</v>
      </c>
      <c r="BE60" t="s">
        <v>52</v>
      </c>
      <c r="BF60" t="s">
        <v>329</v>
      </c>
      <c r="BG60" t="s">
        <v>650</v>
      </c>
      <c r="BH60" t="s">
        <v>3409</v>
      </c>
      <c r="BI60" t="s">
        <v>4026</v>
      </c>
      <c r="BJ60" t="s">
        <v>2214</v>
      </c>
      <c r="BK60" t="s">
        <v>608</v>
      </c>
      <c r="BL60" t="s">
        <v>4027</v>
      </c>
      <c r="BM60" t="s">
        <v>413</v>
      </c>
      <c r="BN60">
        <v>9.69</v>
      </c>
      <c r="BO60">
        <v>10.35</v>
      </c>
      <c r="BP60">
        <v>3.84</v>
      </c>
      <c r="BQ60">
        <v>9.85</v>
      </c>
      <c r="BR60">
        <v>11.46</v>
      </c>
      <c r="BS60">
        <v>3.41</v>
      </c>
      <c r="BT60" t="s">
        <v>4028</v>
      </c>
      <c r="BU60" t="s">
        <v>3125</v>
      </c>
      <c r="BV60">
        <v>17.91</v>
      </c>
      <c r="BW60">
        <v>17.600000000000001</v>
      </c>
      <c r="BX60">
        <v>16.45</v>
      </c>
      <c r="BY60">
        <v>7.16</v>
      </c>
      <c r="BZ60">
        <v>5.96</v>
      </c>
      <c r="CA60">
        <v>2.7</v>
      </c>
      <c r="CB60">
        <v>-4.6100000000000003</v>
      </c>
      <c r="CC60">
        <v>-14.21</v>
      </c>
      <c r="CD60" t="s">
        <v>4029</v>
      </c>
      <c r="CE60" t="s">
        <v>4030</v>
      </c>
      <c r="CF60" s="14">
        <v>0.36727589208006961</v>
      </c>
      <c r="CG60" s="15">
        <v>0.47764595764595735</v>
      </c>
      <c r="CH60" s="14">
        <v>0.32968062162399292</v>
      </c>
      <c r="CI60" s="14">
        <v>0.8089413046836853</v>
      </c>
      <c r="CJ60" s="14">
        <v>0.28928765654563904</v>
      </c>
      <c r="CK60" s="14">
        <v>0.15153421461582184</v>
      </c>
      <c r="CL60" s="14">
        <v>8.051416277885437E-2</v>
      </c>
      <c r="CM60" s="15">
        <v>0.58365756273269653</v>
      </c>
      <c r="CN60" s="15">
        <v>3.0103991031646729</v>
      </c>
      <c r="CO60" s="15">
        <v>-0.60442346334457397</v>
      </c>
      <c r="CP60" s="15">
        <v>7.2847679257392883E-2</v>
      </c>
      <c r="CQ60" s="15">
        <v>7.0921987295150757E-2</v>
      </c>
      <c r="CR60">
        <v>30.229776680731664</v>
      </c>
      <c r="CS60">
        <v>0.91055850222301449</v>
      </c>
      <c r="CT60">
        <v>2.0576131687242798</v>
      </c>
      <c r="CU60" s="14">
        <v>0.33199159204959872</v>
      </c>
      <c r="CV60" s="15">
        <v>0.62668057382106779</v>
      </c>
      <c r="CW60">
        <v>0.06</v>
      </c>
      <c r="CX60">
        <v>12.19058571216344</v>
      </c>
      <c r="CY60">
        <v>511434507.51338363</v>
      </c>
      <c r="CZ60">
        <v>0.33199159204959872</v>
      </c>
      <c r="DA60">
        <v>3.2649800097331965</v>
      </c>
      <c r="DB60">
        <v>1909563360.6986396</v>
      </c>
      <c r="DC60">
        <v>0.31539201244711879</v>
      </c>
      <c r="DD60">
        <v>1.2064104294357925</v>
      </c>
      <c r="DE60">
        <v>5167964440.5227871</v>
      </c>
      <c r="DF60">
        <v>0.29215260100364687</v>
      </c>
      <c r="DG60">
        <v>0.50922061512519268</v>
      </c>
      <c r="DH60">
        <v>12243585618.518593</v>
      </c>
      <c r="DI60">
        <v>0.265593273639679</v>
      </c>
      <c r="DJ60">
        <v>0.11065865884610769</v>
      </c>
      <c r="DK60">
        <v>56341602772.093407</v>
      </c>
      <c r="DL60">
        <v>0.23239411443471908</v>
      </c>
      <c r="DM60">
        <v>407000000</v>
      </c>
      <c r="DN60">
        <v>0.33199159204959872</v>
      </c>
      <c r="DO60">
        <v>6234686200</v>
      </c>
      <c r="DP60">
        <v>1497146400</v>
      </c>
      <c r="DQ60">
        <v>1424</v>
      </c>
      <c r="DR60">
        <v>3.5284300030470894E-2</v>
      </c>
      <c r="DS60">
        <v>-0.14903461617511043</v>
      </c>
      <c r="DT60" s="16">
        <v>0.27666666666666662</v>
      </c>
      <c r="DU60">
        <v>0.48666666666666664</v>
      </c>
      <c r="DV60">
        <v>0.7633333333333332</v>
      </c>
      <c r="DW60">
        <v>-8.32441942294159</v>
      </c>
      <c r="DX60">
        <v>0.33954806129926407</v>
      </c>
      <c r="DY60">
        <v>-8.0420279072899099</v>
      </c>
      <c r="DZ60">
        <v>390</v>
      </c>
      <c r="EA60">
        <v>-8.0388202979272751</v>
      </c>
      <c r="EB60">
        <v>8</v>
      </c>
      <c r="EC60">
        <v>4.7780168627709806E-2</v>
      </c>
      <c r="ED60">
        <v>0.36882195031336412</v>
      </c>
      <c r="EE60" s="17">
        <v>2.0106999999999999</v>
      </c>
      <c r="EF60">
        <v>2.0176099999999999</v>
      </c>
      <c r="EG60">
        <v>21.129548061299264</v>
      </c>
      <c r="EH60" t="s">
        <v>1836</v>
      </c>
      <c r="EI60">
        <v>0</v>
      </c>
      <c r="EJ60">
        <v>1</v>
      </c>
      <c r="EK60" s="19">
        <v>45470</v>
      </c>
      <c r="EL60" s="20">
        <v>-0.35</v>
      </c>
      <c r="EM60" s="20">
        <v>-4.3899999999999997</v>
      </c>
      <c r="EN60" s="20">
        <v>0.63</v>
      </c>
      <c r="EO60" s="20">
        <v>1.72</v>
      </c>
      <c r="EP60" s="20">
        <v>-2.83</v>
      </c>
    </row>
    <row r="61" spans="1:146" ht="84" x14ac:dyDescent="0.25">
      <c r="A61" s="7"/>
      <c r="B61" s="7"/>
      <c r="C61" s="7" t="str">
        <f>""&amp;CHAR(10)&amp;Basic_Fundamental_Information_Constructure(F61)&amp;CHAR(10)&amp;Basic_Fundamental_Information_Concatenate("")</f>
        <v xml:space="preserve">
市值26.845115亿, 利润5167.79万; PE89.8; 平均PE41.23; 平均PEG1.74, PB3.25; ROIC5.8%; ROE7.0133%; 股利率.6742%; 毛利23.9267%; 净利5.18%; 上一年度营收增30.76%, 利润增-22.92%; 当季营收增-7.12%, 利润增-90.65%; 过往5年营收增23.68%, 利润增-5.63%
Income profile:
</v>
      </c>
      <c r="D61" t="s">
        <v>1928</v>
      </c>
      <c r="E61" t="s">
        <v>1929</v>
      </c>
      <c r="F61">
        <v>22.25</v>
      </c>
      <c r="G61">
        <v>-3.18</v>
      </c>
      <c r="H61" t="s">
        <v>4031</v>
      </c>
      <c r="I61">
        <v>2684511500</v>
      </c>
      <c r="J61">
        <v>89.8</v>
      </c>
      <c r="K61">
        <v>3.25</v>
      </c>
      <c r="L61" t="s">
        <v>172</v>
      </c>
      <c r="M61" t="s">
        <v>2774</v>
      </c>
      <c r="N61" t="s">
        <v>2644</v>
      </c>
      <c r="O61" t="s">
        <v>1382</v>
      </c>
      <c r="P61">
        <v>-7.06</v>
      </c>
      <c r="Q61" t="s">
        <v>3570</v>
      </c>
      <c r="R61">
        <v>2247015</v>
      </c>
      <c r="S61" s="5">
        <v>-0.90649999999999997</v>
      </c>
      <c r="T61" t="s">
        <v>4032</v>
      </c>
      <c r="U61">
        <v>64734075</v>
      </c>
      <c r="V61">
        <v>120652200</v>
      </c>
      <c r="W61">
        <v>2.1800000000000002</v>
      </c>
      <c r="X61">
        <v>0.15</v>
      </c>
      <c r="Y61">
        <v>0.54</v>
      </c>
      <c r="Z61" t="s">
        <v>35</v>
      </c>
      <c r="AA61" t="s">
        <v>2612</v>
      </c>
      <c r="AB61" t="s">
        <v>4033</v>
      </c>
      <c r="AC61" t="s">
        <v>4034</v>
      </c>
      <c r="AD61" t="s">
        <v>19</v>
      </c>
      <c r="AE61">
        <v>3782880</v>
      </c>
      <c r="AF61" t="s">
        <v>4035</v>
      </c>
      <c r="AG61" t="s">
        <v>4036</v>
      </c>
      <c r="AH61" t="s">
        <v>4037</v>
      </c>
      <c r="AI61" t="s">
        <v>23</v>
      </c>
      <c r="AJ61" t="s">
        <v>4038</v>
      </c>
      <c r="AK61" t="s">
        <v>4039</v>
      </c>
      <c r="AL61" t="s">
        <v>4040</v>
      </c>
      <c r="AM61" t="s">
        <v>19</v>
      </c>
      <c r="AN61" t="s">
        <v>224</v>
      </c>
      <c r="AO61" t="s">
        <v>683</v>
      </c>
      <c r="AP61" t="s">
        <v>391</v>
      </c>
      <c r="AQ61" t="s">
        <v>2507</v>
      </c>
      <c r="AR61" t="s">
        <v>19</v>
      </c>
      <c r="AS61" t="s">
        <v>2743</v>
      </c>
      <c r="AT61" t="s">
        <v>201</v>
      </c>
      <c r="AU61" t="s">
        <v>4041</v>
      </c>
      <c r="AV61" t="s">
        <v>4042</v>
      </c>
      <c r="AW61" t="s">
        <v>4043</v>
      </c>
      <c r="AX61" t="s">
        <v>1657</v>
      </c>
      <c r="AY61" t="s">
        <v>1930</v>
      </c>
      <c r="AZ61" t="s">
        <v>1054</v>
      </c>
      <c r="BA61" t="s">
        <v>160</v>
      </c>
      <c r="BB61" t="s">
        <v>1635</v>
      </c>
      <c r="BC61" t="s">
        <v>4044</v>
      </c>
      <c r="BD61" t="s">
        <v>1931</v>
      </c>
      <c r="BE61" t="s">
        <v>1933</v>
      </c>
      <c r="BF61" t="s">
        <v>1934</v>
      </c>
      <c r="BG61" t="s">
        <v>1935</v>
      </c>
      <c r="BH61" t="s">
        <v>3570</v>
      </c>
      <c r="BI61" t="s">
        <v>397</v>
      </c>
      <c r="BJ61" t="s">
        <v>1657</v>
      </c>
      <c r="BK61" t="s">
        <v>4032</v>
      </c>
      <c r="BL61" t="s">
        <v>4045</v>
      </c>
      <c r="BM61" t="s">
        <v>4044</v>
      </c>
      <c r="BN61">
        <v>4.66</v>
      </c>
      <c r="BO61">
        <v>7.19</v>
      </c>
      <c r="BP61">
        <v>5.55</v>
      </c>
      <c r="BQ61">
        <v>6.76</v>
      </c>
      <c r="BR61">
        <v>8.3800000000000008</v>
      </c>
      <c r="BS61">
        <v>5.9</v>
      </c>
      <c r="BT61" t="s">
        <v>2045</v>
      </c>
      <c r="BU61" t="s">
        <v>3125</v>
      </c>
      <c r="BV61">
        <v>23.11</v>
      </c>
      <c r="BW61">
        <v>24.81</v>
      </c>
      <c r="BX61">
        <v>23.86</v>
      </c>
      <c r="BY61">
        <v>3.77</v>
      </c>
      <c r="BZ61">
        <v>6.08</v>
      </c>
      <c r="CA61">
        <v>5.69</v>
      </c>
      <c r="CB61">
        <v>-7.29</v>
      </c>
      <c r="CC61">
        <v>-4.79</v>
      </c>
      <c r="CD61" t="s">
        <v>4046</v>
      </c>
      <c r="CE61" t="s">
        <v>4047</v>
      </c>
      <c r="CF61" s="14">
        <v>-7.1216617210682495E-2</v>
      </c>
      <c r="CG61" s="15">
        <v>-0.90649087178889631</v>
      </c>
      <c r="CH61" s="14">
        <v>0.30762848258018494</v>
      </c>
      <c r="CI61" s="14">
        <v>0.59735101461410522</v>
      </c>
      <c r="CJ61" s="14">
        <v>0.29280820488929749</v>
      </c>
      <c r="CK61" s="14">
        <v>-4.2622949928045273E-2</v>
      </c>
      <c r="CL61" s="14">
        <v>2.8667790815234184E-2</v>
      </c>
      <c r="CM61" s="15">
        <v>-0.22919656336307526</v>
      </c>
      <c r="CN61" s="15">
        <v>0.46937817335128784</v>
      </c>
      <c r="CO61" s="15">
        <v>-0.1782912015914917</v>
      </c>
      <c r="CP61" s="15">
        <v>-0.35271084308624268</v>
      </c>
      <c r="CQ61" s="15">
        <v>9.2827901244163513E-3</v>
      </c>
      <c r="CR61">
        <v>41.230571261234878</v>
      </c>
      <c r="CS61">
        <v>1.741402173223273</v>
      </c>
      <c r="CT61">
        <v>0.6741573033707865</v>
      </c>
      <c r="CU61" s="14">
        <v>0.23676650859415532</v>
      </c>
      <c r="CV61" s="15">
        <v>-5.6307528913021085E-2</v>
      </c>
      <c r="CW61">
        <v>0.06</v>
      </c>
      <c r="CX61">
        <v>48.685213404947426</v>
      </c>
      <c r="CY61">
        <v>60295750.900450841</v>
      </c>
      <c r="CZ61">
        <v>0.23676650859415532</v>
      </c>
      <c r="DA61">
        <v>14.080755025589792</v>
      </c>
      <c r="DB61">
        <v>208476853.31256178</v>
      </c>
      <c r="DC61">
        <v>0.22492818316444754</v>
      </c>
      <c r="DD61">
        <v>5.8385840586279478</v>
      </c>
      <c r="DE61">
        <v>502777980.16148418</v>
      </c>
      <c r="DF61">
        <v>0.20835452756285669</v>
      </c>
      <c r="DG61">
        <v>2.8557493685024298</v>
      </c>
      <c r="DH61">
        <v>1027930368.2519583</v>
      </c>
      <c r="DI61">
        <v>0.18941320687532426</v>
      </c>
      <c r="DJ61">
        <v>0.90436733395031843</v>
      </c>
      <c r="DK61">
        <v>3245928274.7172542</v>
      </c>
      <c r="DL61">
        <v>0.16573655601590873</v>
      </c>
      <c r="DM61">
        <v>51677900</v>
      </c>
      <c r="DN61">
        <v>0.23676650859415532</v>
      </c>
      <c r="DO61">
        <v>2935511500</v>
      </c>
      <c r="DP61">
        <v>317653630.00000012</v>
      </c>
      <c r="DQ61">
        <v>1434</v>
      </c>
      <c r="DR61">
        <v>-0.30798312580483783</v>
      </c>
      <c r="DS61">
        <v>-0.85018334287587527</v>
      </c>
      <c r="DT61" s="16">
        <v>1.0000000000000011E-2</v>
      </c>
      <c r="DU61">
        <v>-0.70666666666666667</v>
      </c>
      <c r="DV61">
        <v>-0.69666666666666666</v>
      </c>
      <c r="DW61">
        <v>-5.6570644718792868</v>
      </c>
      <c r="DX61">
        <v>0.42642797808812133</v>
      </c>
      <c r="DY61">
        <v>-5.1619190692787527</v>
      </c>
      <c r="DZ61">
        <v>3196</v>
      </c>
      <c r="EA61">
        <v>-5.0606483558903195</v>
      </c>
      <c r="EB61">
        <v>5</v>
      </c>
      <c r="EC61">
        <v>0.14536411271406571</v>
      </c>
      <c r="ED61">
        <v>0.58988480939427546</v>
      </c>
      <c r="EE61" s="17">
        <v>-2.0547</v>
      </c>
      <c r="EF61">
        <v>-2.0148999999999999</v>
      </c>
      <c r="EG61">
        <v>18.246427978088121</v>
      </c>
      <c r="EH61" t="s">
        <v>2280</v>
      </c>
      <c r="EI61">
        <v>0</v>
      </c>
      <c r="EJ61">
        <v>0</v>
      </c>
      <c r="EK61" s="19">
        <v>45470</v>
      </c>
      <c r="EL61" s="20">
        <v>1.43</v>
      </c>
      <c r="EM61" s="20">
        <v>-3.83</v>
      </c>
      <c r="EN61" s="20">
        <v>0.55000000000000004</v>
      </c>
      <c r="EO61" s="20">
        <v>9.98</v>
      </c>
      <c r="EP61" s="20">
        <v>-3.98</v>
      </c>
    </row>
    <row r="62" spans="1:146" ht="84" x14ac:dyDescent="0.25">
      <c r="A62" s="7"/>
      <c r="B62" s="7"/>
      <c r="C62" s="7" t="str">
        <f>""&amp;CHAR(10)&amp;Basic_Fundamental_Information_Constructure(F62)&amp;CHAR(10)&amp;Basic_Fundamental_Information_Concatenate("")</f>
        <v xml:space="preserve">
市值231.61974亿, 利润13.69亿; PE14.28; 平均PE27.07; 平均PEG1.97, PB1.96; ROIC9.3433%; ROE11.9233%; 股利率1.8198%; 毛利23.0133%; 净利14.91%; 上一年度营收增24.63%, 利润增70.91%; 当季营收增27.56%, 利润增101.49%; 过往5年营收增13.72%, 利润增27.59%
Income profile:
</v>
      </c>
      <c r="D62" t="s">
        <v>753</v>
      </c>
      <c r="E62" t="s">
        <v>754</v>
      </c>
      <c r="F62">
        <v>22.53</v>
      </c>
      <c r="G62">
        <v>-0.27</v>
      </c>
      <c r="H62" t="s">
        <v>4048</v>
      </c>
      <c r="I62">
        <v>23161974000</v>
      </c>
      <c r="J62">
        <v>14.28</v>
      </c>
      <c r="K62">
        <v>1.96</v>
      </c>
      <c r="L62" t="s">
        <v>172</v>
      </c>
      <c r="M62" t="s">
        <v>4049</v>
      </c>
      <c r="N62" t="s">
        <v>4050</v>
      </c>
      <c r="O62" t="s">
        <v>4051</v>
      </c>
      <c r="P62">
        <v>27.59</v>
      </c>
      <c r="Q62" t="s">
        <v>4052</v>
      </c>
      <c r="R62">
        <v>503718460</v>
      </c>
      <c r="S62" s="5">
        <v>1.0129999999999999</v>
      </c>
      <c r="T62" t="s">
        <v>4053</v>
      </c>
      <c r="U62">
        <v>697903910</v>
      </c>
      <c r="V62">
        <v>1028050340</v>
      </c>
      <c r="W62">
        <v>1.31</v>
      </c>
      <c r="X62">
        <v>0.13</v>
      </c>
      <c r="Y62">
        <v>23.82</v>
      </c>
      <c r="Z62" t="s">
        <v>4054</v>
      </c>
      <c r="AA62" t="s">
        <v>4055</v>
      </c>
      <c r="AB62" t="s">
        <v>4056</v>
      </c>
      <c r="AC62" t="s">
        <v>4057</v>
      </c>
      <c r="AD62" t="s">
        <v>19</v>
      </c>
      <c r="AE62">
        <v>-107207</v>
      </c>
      <c r="AF62" t="s">
        <v>4058</v>
      </c>
      <c r="AG62" t="s">
        <v>4059</v>
      </c>
      <c r="AH62" t="s">
        <v>4060</v>
      </c>
      <c r="AI62" t="s">
        <v>4061</v>
      </c>
      <c r="AJ62" t="s">
        <v>4062</v>
      </c>
      <c r="AK62" t="s">
        <v>4063</v>
      </c>
      <c r="AL62" t="s">
        <v>4064</v>
      </c>
      <c r="AM62" t="s">
        <v>19</v>
      </c>
      <c r="AN62" t="s">
        <v>2389</v>
      </c>
      <c r="AO62" t="s">
        <v>19</v>
      </c>
      <c r="AP62" t="s">
        <v>337</v>
      </c>
      <c r="AQ62" t="s">
        <v>781</v>
      </c>
      <c r="AR62" t="s">
        <v>19</v>
      </c>
      <c r="AS62" t="s">
        <v>4065</v>
      </c>
      <c r="AT62" t="s">
        <v>19</v>
      </c>
      <c r="AU62" t="s">
        <v>62</v>
      </c>
      <c r="AV62" t="s">
        <v>4066</v>
      </c>
      <c r="AW62" t="s">
        <v>4067</v>
      </c>
      <c r="AX62" t="s">
        <v>2219</v>
      </c>
      <c r="AY62" t="s">
        <v>1624</v>
      </c>
      <c r="AZ62" t="s">
        <v>755</v>
      </c>
      <c r="BA62" t="s">
        <v>757</v>
      </c>
      <c r="BB62" t="s">
        <v>758</v>
      </c>
      <c r="BC62" t="s">
        <v>81</v>
      </c>
      <c r="BD62" t="s">
        <v>1177</v>
      </c>
      <c r="BE62" t="s">
        <v>371</v>
      </c>
      <c r="BF62" t="s">
        <v>759</v>
      </c>
      <c r="BG62" t="s">
        <v>118</v>
      </c>
      <c r="BH62" t="s">
        <v>4052</v>
      </c>
      <c r="BI62" t="s">
        <v>2814</v>
      </c>
      <c r="BJ62" t="s">
        <v>2219</v>
      </c>
      <c r="BK62" t="s">
        <v>4053</v>
      </c>
      <c r="BL62" t="s">
        <v>230</v>
      </c>
      <c r="BM62" t="s">
        <v>81</v>
      </c>
      <c r="BN62">
        <v>8.64</v>
      </c>
      <c r="BO62">
        <v>9.18</v>
      </c>
      <c r="BP62">
        <v>10.210000000000001</v>
      </c>
      <c r="BQ62">
        <v>11.43</v>
      </c>
      <c r="BR62">
        <v>11.49</v>
      </c>
      <c r="BS62">
        <v>12.85</v>
      </c>
      <c r="BT62" t="s">
        <v>4068</v>
      </c>
      <c r="BU62" t="s">
        <v>3032</v>
      </c>
      <c r="BV62">
        <v>25.21</v>
      </c>
      <c r="BW62">
        <v>20.5</v>
      </c>
      <c r="BX62">
        <v>23.33</v>
      </c>
      <c r="BY62">
        <v>17.45</v>
      </c>
      <c r="BZ62">
        <v>12.73</v>
      </c>
      <c r="CA62">
        <v>14.55</v>
      </c>
      <c r="CB62">
        <v>-6.48</v>
      </c>
      <c r="CC62">
        <v>-9.8800000000000008</v>
      </c>
      <c r="CD62" t="s">
        <v>4069</v>
      </c>
      <c r="CE62" t="s">
        <v>330</v>
      </c>
      <c r="CF62" s="14">
        <v>0.27563329312424611</v>
      </c>
      <c r="CG62" s="15">
        <v>1.0148738399999999</v>
      </c>
      <c r="CH62" s="14">
        <v>0.24634459614753723</v>
      </c>
      <c r="CI62" s="14">
        <v>0.21537566184997559</v>
      </c>
      <c r="CJ62" s="14">
        <v>0.10031881183385849</v>
      </c>
      <c r="CK62" s="14">
        <v>2.7516953647136688E-2</v>
      </c>
      <c r="CL62" s="14">
        <v>9.6503786742687225E-2</v>
      </c>
      <c r="CM62" s="15">
        <v>0.70911353826522827</v>
      </c>
      <c r="CN62" s="15">
        <v>6.3745021820068359E-2</v>
      </c>
      <c r="CO62" s="15">
        <v>-0.23241589963436127</v>
      </c>
      <c r="CP62" s="15">
        <v>0.32388663291931152</v>
      </c>
      <c r="CQ62" s="15">
        <v>0.51533740758895874</v>
      </c>
      <c r="CR62">
        <v>27.068921698480718</v>
      </c>
      <c r="CS62">
        <v>1.9727814758419766</v>
      </c>
      <c r="CT62">
        <v>1.8197958277851751</v>
      </c>
      <c r="CU62" s="14">
        <v>0.13721196204423905</v>
      </c>
      <c r="CV62" s="15">
        <v>0.27593334019184113</v>
      </c>
      <c r="CW62">
        <v>0.06</v>
      </c>
      <c r="CX62">
        <v>10.065209316633091</v>
      </c>
      <c r="CY62">
        <v>1468719977.3948712</v>
      </c>
      <c r="CZ62">
        <v>0.13721196204423905</v>
      </c>
      <c r="DA62">
        <v>3.1609988931629776</v>
      </c>
      <c r="DB62">
        <v>4676678005.7957478</v>
      </c>
      <c r="DC62">
        <v>0.13035136394202709</v>
      </c>
      <c r="DD62">
        <v>1.4741335335662396</v>
      </c>
      <c r="DE62">
        <v>10028246195.741081</v>
      </c>
      <c r="DF62">
        <v>0.12074652659893037</v>
      </c>
      <c r="DG62">
        <v>0.83175468713232692</v>
      </c>
      <c r="DH62">
        <v>17773237985.550568</v>
      </c>
      <c r="DI62">
        <v>0.10976956963539125</v>
      </c>
      <c r="DJ62">
        <v>0.37306358955098895</v>
      </c>
      <c r="DK62">
        <v>39625882594.955086</v>
      </c>
      <c r="DL62">
        <v>9.6048373430967324E-2</v>
      </c>
      <c r="DM62">
        <v>1369000000</v>
      </c>
      <c r="DN62">
        <v>0.13721196204423905</v>
      </c>
      <c r="DO62">
        <v>14782974000</v>
      </c>
      <c r="DP62">
        <v>7122257200</v>
      </c>
      <c r="DQ62">
        <v>1442</v>
      </c>
      <c r="DR62">
        <v>0.13842133108000707</v>
      </c>
      <c r="DS62">
        <v>0.73894049980815879</v>
      </c>
      <c r="DT62" s="16">
        <v>-0.12333333333333336</v>
      </c>
      <c r="DU62">
        <v>0.6366666666666666</v>
      </c>
      <c r="DV62">
        <v>0.5133333333333332</v>
      </c>
      <c r="DW62">
        <v>-9.6558704453441297</v>
      </c>
      <c r="DX62">
        <v>0.41555496368038858</v>
      </c>
      <c r="DY62">
        <v>-9.1217000166648692</v>
      </c>
      <c r="DZ62">
        <v>694</v>
      </c>
      <c r="EA62">
        <v>-9.1051716778066663</v>
      </c>
      <c r="EB62">
        <v>9</v>
      </c>
      <c r="EC62">
        <v>7.4543236861338916E-2</v>
      </c>
      <c r="ED62">
        <v>0.40173130043417915</v>
      </c>
      <c r="EE62" s="17">
        <v>1.0464100000000001</v>
      </c>
      <c r="EF62">
        <v>1.0656099999999999</v>
      </c>
      <c r="EG62">
        <v>23.185554963680389</v>
      </c>
      <c r="EH62" t="s">
        <v>1840</v>
      </c>
      <c r="EI62">
        <v>0</v>
      </c>
      <c r="EJ62">
        <v>1</v>
      </c>
      <c r="EK62" s="19">
        <v>45470</v>
      </c>
      <c r="EL62" s="20">
        <v>2.79</v>
      </c>
      <c r="EM62" s="20">
        <v>-2.16</v>
      </c>
      <c r="EN62" s="20">
        <v>-0.2</v>
      </c>
      <c r="EO62" s="20">
        <v>-1.53</v>
      </c>
      <c r="EP62" s="20">
        <v>-1.92</v>
      </c>
    </row>
    <row r="63" spans="1:146" ht="84" x14ac:dyDescent="0.25">
      <c r="A63" s="7"/>
      <c r="B63" s="7"/>
      <c r="C63" s="7" t="str">
        <f>""&amp;CHAR(10)&amp;Basic_Fundamental_Information_Constructure(F63)&amp;CHAR(10)&amp;Basic_Fundamental_Information_Concatenate("")</f>
        <v xml:space="preserve">
市值68.301548亿, 利润2.02亿; PE29.04; 平均PE52.08; 平均PEG2.78, PB3.51; ROIC8.94%; ROE10.8167%; 股利率.9194%; 毛利23%; 净利11.9967%; 上一年度营收增60.7%, 利润增44.29%; 当季营收增31.77%, 利润增76.75%; 过往5年营收增18.72%, 利润增20.62%
Income profile:
</v>
      </c>
      <c r="D63" t="s">
        <v>764</v>
      </c>
      <c r="E63" t="s">
        <v>765</v>
      </c>
      <c r="F63">
        <v>32.630000000000003</v>
      </c>
      <c r="G63">
        <v>-0.64</v>
      </c>
      <c r="H63" t="s">
        <v>4070</v>
      </c>
      <c r="I63">
        <v>6830154800</v>
      </c>
      <c r="J63">
        <v>29.04</v>
      </c>
      <c r="K63">
        <v>3.51</v>
      </c>
      <c r="L63" t="s">
        <v>172</v>
      </c>
      <c r="M63" t="s">
        <v>1293</v>
      </c>
      <c r="N63" t="s">
        <v>4071</v>
      </c>
      <c r="O63" t="s">
        <v>581</v>
      </c>
      <c r="P63">
        <v>31.68</v>
      </c>
      <c r="Q63" t="s">
        <v>4072</v>
      </c>
      <c r="R63">
        <v>75831523</v>
      </c>
      <c r="S63" s="5">
        <v>0.76749999999999996</v>
      </c>
      <c r="T63" t="s">
        <v>53</v>
      </c>
      <c r="U63">
        <v>209321330</v>
      </c>
      <c r="V63">
        <v>209321330</v>
      </c>
      <c r="W63">
        <v>2.4900000000000002</v>
      </c>
      <c r="X63">
        <v>0.09</v>
      </c>
      <c r="Y63">
        <v>16.25</v>
      </c>
      <c r="Z63" t="s">
        <v>1230</v>
      </c>
      <c r="AA63" t="s">
        <v>2143</v>
      </c>
      <c r="AB63" t="s">
        <v>4073</v>
      </c>
      <c r="AC63" t="s">
        <v>4074</v>
      </c>
      <c r="AD63" t="s">
        <v>19</v>
      </c>
      <c r="AE63">
        <v>-1775504</v>
      </c>
      <c r="AF63" t="s">
        <v>4075</v>
      </c>
      <c r="AG63" t="s">
        <v>4076</v>
      </c>
      <c r="AH63" t="s">
        <v>4077</v>
      </c>
      <c r="AI63" t="s">
        <v>2389</v>
      </c>
      <c r="AJ63" t="s">
        <v>4078</v>
      </c>
      <c r="AK63" t="s">
        <v>4079</v>
      </c>
      <c r="AL63" t="s">
        <v>4080</v>
      </c>
      <c r="AM63" t="s">
        <v>19</v>
      </c>
      <c r="AN63" t="s">
        <v>1212</v>
      </c>
      <c r="AO63" t="s">
        <v>508</v>
      </c>
      <c r="AP63" t="s">
        <v>2545</v>
      </c>
      <c r="AQ63" t="s">
        <v>1444</v>
      </c>
      <c r="AR63" t="s">
        <v>19</v>
      </c>
      <c r="AS63" t="s">
        <v>4081</v>
      </c>
      <c r="AT63" t="s">
        <v>230</v>
      </c>
      <c r="AU63" t="s">
        <v>2299</v>
      </c>
      <c r="AV63" t="s">
        <v>4082</v>
      </c>
      <c r="AW63" t="s">
        <v>4083</v>
      </c>
      <c r="AX63" t="s">
        <v>267</v>
      </c>
      <c r="AY63" t="s">
        <v>1626</v>
      </c>
      <c r="AZ63" t="s">
        <v>97</v>
      </c>
      <c r="BA63" t="s">
        <v>487</v>
      </c>
      <c r="BB63" t="s">
        <v>139</v>
      </c>
      <c r="BC63" t="s">
        <v>761</v>
      </c>
      <c r="BD63" t="s">
        <v>103</v>
      </c>
      <c r="BE63" t="s">
        <v>25</v>
      </c>
      <c r="BF63" t="s">
        <v>264</v>
      </c>
      <c r="BG63" t="s">
        <v>769</v>
      </c>
      <c r="BH63" t="s">
        <v>4072</v>
      </c>
      <c r="BI63" t="s">
        <v>187</v>
      </c>
      <c r="BJ63" t="s">
        <v>267</v>
      </c>
      <c r="BK63" t="s">
        <v>53</v>
      </c>
      <c r="BL63" t="s">
        <v>4084</v>
      </c>
      <c r="BM63" t="s">
        <v>761</v>
      </c>
      <c r="BN63">
        <v>8.02</v>
      </c>
      <c r="BO63">
        <v>9.15</v>
      </c>
      <c r="BP63">
        <v>9.65</v>
      </c>
      <c r="BQ63">
        <v>11.01</v>
      </c>
      <c r="BR63">
        <v>11.3</v>
      </c>
      <c r="BS63">
        <v>10.14</v>
      </c>
      <c r="BT63" t="s">
        <v>1979</v>
      </c>
      <c r="BU63" t="s">
        <v>3125</v>
      </c>
      <c r="BV63">
        <v>21.66</v>
      </c>
      <c r="BW63">
        <v>23.47</v>
      </c>
      <c r="BX63">
        <v>23.87</v>
      </c>
      <c r="BY63">
        <v>11.67</v>
      </c>
      <c r="BZ63">
        <v>12.43</v>
      </c>
      <c r="CA63">
        <v>11.89</v>
      </c>
      <c r="CB63">
        <v>2.06</v>
      </c>
      <c r="CC63">
        <v>26.82</v>
      </c>
      <c r="CD63" t="s">
        <v>4085</v>
      </c>
      <c r="CE63" t="s">
        <v>163</v>
      </c>
      <c r="CF63" s="14">
        <v>0.3177083333333332</v>
      </c>
      <c r="CG63" s="15">
        <v>0.7675274458890603</v>
      </c>
      <c r="CH63" s="14">
        <v>0.60702049732208252</v>
      </c>
      <c r="CI63" s="14">
        <v>0.11770334839820862</v>
      </c>
      <c r="CJ63" s="14">
        <v>0.10000000149011612</v>
      </c>
      <c r="CK63" s="14">
        <v>-9.7815766930580139E-2</v>
      </c>
      <c r="CL63" s="14">
        <v>0.20895522832870483</v>
      </c>
      <c r="CM63" s="15">
        <v>0.44285714626312256</v>
      </c>
      <c r="CN63" s="15">
        <v>0.21739129722118378</v>
      </c>
      <c r="CO63" s="15">
        <v>0.11650485545396805</v>
      </c>
      <c r="CP63" s="15">
        <v>-0.24264705181121826</v>
      </c>
      <c r="CQ63" s="15">
        <v>0.49674078822135925</v>
      </c>
      <c r="CR63">
        <v>52.081329927239025</v>
      </c>
      <c r="CS63">
        <v>2.78252867957154</v>
      </c>
      <c r="CT63">
        <v>0.91939932577382766</v>
      </c>
      <c r="CU63" s="14">
        <v>0.18717266172170638</v>
      </c>
      <c r="CV63" s="15">
        <v>0.20616940706968306</v>
      </c>
      <c r="CW63">
        <v>0.06</v>
      </c>
      <c r="CX63">
        <v>35.282614097887667</v>
      </c>
      <c r="CY63">
        <v>226234790.25262707</v>
      </c>
      <c r="CZ63">
        <v>0.18717266172170638</v>
      </c>
      <c r="DA63">
        <v>10.629169745477778</v>
      </c>
      <c r="DB63">
        <v>750966913.79832733</v>
      </c>
      <c r="DC63">
        <v>0.17781402863562104</v>
      </c>
      <c r="DD63">
        <v>4.6753899430200958</v>
      </c>
      <c r="DE63">
        <v>1707270387.5569959</v>
      </c>
      <c r="DF63">
        <v>0.16471194231510161</v>
      </c>
      <c r="DG63">
        <v>2.4597504986712555</v>
      </c>
      <c r="DH63">
        <v>3245107503.5097742</v>
      </c>
      <c r="DI63">
        <v>0.14973812937736511</v>
      </c>
      <c r="DJ63">
        <v>0.93338003883236709</v>
      </c>
      <c r="DK63">
        <v>8551880764.4370213</v>
      </c>
      <c r="DL63">
        <v>0.13102086320519446</v>
      </c>
      <c r="DM63">
        <v>202000000</v>
      </c>
      <c r="DN63">
        <v>0.18717266172170638</v>
      </c>
      <c r="DO63">
        <v>7982154800</v>
      </c>
      <c r="DP63">
        <v>836928300</v>
      </c>
      <c r="DQ63">
        <v>1454</v>
      </c>
      <c r="DR63">
        <v>0.13053567161162682</v>
      </c>
      <c r="DS63">
        <v>0.56135803881937729</v>
      </c>
      <c r="DT63" s="16">
        <v>-6.6666666666666714E-3</v>
      </c>
      <c r="DU63">
        <v>0.52</v>
      </c>
      <c r="DV63">
        <v>0.51333333333333331</v>
      </c>
      <c r="DW63">
        <v>3.1223690476190478</v>
      </c>
      <c r="DX63">
        <v>0.34893718592964884</v>
      </c>
      <c r="DY63">
        <v>3.0170016111210818</v>
      </c>
      <c r="DZ63">
        <v>690</v>
      </c>
      <c r="EA63">
        <v>3.0147058945509162</v>
      </c>
      <c r="EB63">
        <v>3</v>
      </c>
      <c r="EC63">
        <v>0.13208639559093188</v>
      </c>
      <c r="ED63">
        <v>0.95069145604989225</v>
      </c>
      <c r="EE63" s="17">
        <v>-1.0403100000000001</v>
      </c>
      <c r="EF63">
        <v>-1.04511</v>
      </c>
      <c r="EG63">
        <v>21.138937185929649</v>
      </c>
      <c r="EH63" t="s">
        <v>1838</v>
      </c>
      <c r="EI63">
        <v>0</v>
      </c>
      <c r="EJ63">
        <v>1</v>
      </c>
      <c r="EK63" s="19">
        <v>45470</v>
      </c>
      <c r="EL63" s="20">
        <v>0.56000000000000005</v>
      </c>
      <c r="EM63" s="20">
        <v>-2.1800000000000002</v>
      </c>
      <c r="EN63" s="20">
        <v>-0.03</v>
      </c>
      <c r="EO63" s="20">
        <v>0.51</v>
      </c>
      <c r="EP63" s="20">
        <v>-0.48</v>
      </c>
    </row>
    <row r="64" spans="1:146" ht="84" x14ac:dyDescent="0.25">
      <c r="A64" s="7"/>
      <c r="B64" s="7"/>
      <c r="C64" s="7" t="str">
        <f>""&amp;CHAR(10)&amp;Basic_Fundamental_Information_Constructure(F64)&amp;CHAR(10)&amp;Basic_Fundamental_Information_Concatenate("")</f>
        <v xml:space="preserve">
市值47.290771亿, 利润8088.19万; PE40.69; 平均PE-45.85; 平均PEG-9.56, PB2.12; ROIC4.0533%; ROE4.9667%; 股利率.8475%; 毛利18.1667%; 净利2.3933%; 上一年度营收增-1.1%, 利润增7.56%; 当季营收增19.57%, 利润增83.68%; 过往5年营收增-4.8%, 利润增-353.54%
Income profile:
</v>
      </c>
      <c r="D64" t="s">
        <v>770</v>
      </c>
      <c r="E64" t="s">
        <v>771</v>
      </c>
      <c r="F64">
        <v>11.8</v>
      </c>
      <c r="G64">
        <v>4.42</v>
      </c>
      <c r="H64" t="s">
        <v>4086</v>
      </c>
      <c r="I64">
        <v>4729077100</v>
      </c>
      <c r="J64">
        <v>40.69</v>
      </c>
      <c r="K64">
        <v>2.12</v>
      </c>
      <c r="L64" t="s">
        <v>172</v>
      </c>
      <c r="M64" t="s">
        <v>4087</v>
      </c>
      <c r="N64" t="s">
        <v>2554</v>
      </c>
      <c r="O64" t="s">
        <v>2008</v>
      </c>
      <c r="P64">
        <v>19.64</v>
      </c>
      <c r="Q64" t="s">
        <v>4088</v>
      </c>
      <c r="R64">
        <v>77578239</v>
      </c>
      <c r="S64" s="5">
        <v>0.83679999999999999</v>
      </c>
      <c r="T64" t="s">
        <v>4089</v>
      </c>
      <c r="U64">
        <v>387062880</v>
      </c>
      <c r="V64">
        <v>400769250</v>
      </c>
      <c r="W64">
        <v>2.5099999999999998</v>
      </c>
      <c r="X64">
        <v>0.18</v>
      </c>
      <c r="Y64">
        <v>7.31</v>
      </c>
      <c r="Z64" t="s">
        <v>1894</v>
      </c>
      <c r="AA64" t="s">
        <v>800</v>
      </c>
      <c r="AB64" t="s">
        <v>4090</v>
      </c>
      <c r="AC64" t="s">
        <v>4091</v>
      </c>
      <c r="AD64" t="s">
        <v>19</v>
      </c>
      <c r="AE64">
        <v>8361657</v>
      </c>
      <c r="AF64" t="s">
        <v>4092</v>
      </c>
      <c r="AG64" t="s">
        <v>4093</v>
      </c>
      <c r="AH64" t="s">
        <v>4094</v>
      </c>
      <c r="AI64" t="s">
        <v>1932</v>
      </c>
      <c r="AJ64" t="s">
        <v>4095</v>
      </c>
      <c r="AK64" t="s">
        <v>19</v>
      </c>
      <c r="AL64" t="s">
        <v>4096</v>
      </c>
      <c r="AM64" t="s">
        <v>19</v>
      </c>
      <c r="AN64" t="s">
        <v>216</v>
      </c>
      <c r="AO64" t="s">
        <v>1512</v>
      </c>
      <c r="AP64" t="s">
        <v>2182</v>
      </c>
      <c r="AQ64" t="s">
        <v>2562</v>
      </c>
      <c r="AR64" t="s">
        <v>19</v>
      </c>
      <c r="AS64" t="s">
        <v>786</v>
      </c>
      <c r="AT64" t="s">
        <v>457</v>
      </c>
      <c r="AU64" t="s">
        <v>4097</v>
      </c>
      <c r="AV64" t="s">
        <v>4098</v>
      </c>
      <c r="AW64" t="s">
        <v>4099</v>
      </c>
      <c r="AX64" t="s">
        <v>2221</v>
      </c>
      <c r="AY64" t="s">
        <v>1627</v>
      </c>
      <c r="AZ64" t="s">
        <v>772</v>
      </c>
      <c r="BA64" t="s">
        <v>775</v>
      </c>
      <c r="BB64" t="s">
        <v>776</v>
      </c>
      <c r="BC64" t="s">
        <v>4100</v>
      </c>
      <c r="BD64" t="s">
        <v>27</v>
      </c>
      <c r="BE64" t="s">
        <v>773</v>
      </c>
      <c r="BF64" t="s">
        <v>777</v>
      </c>
      <c r="BG64" t="s">
        <v>1628</v>
      </c>
      <c r="BH64" t="s">
        <v>4088</v>
      </c>
      <c r="BI64" t="s">
        <v>4101</v>
      </c>
      <c r="BJ64" t="s">
        <v>2221</v>
      </c>
      <c r="BK64" t="s">
        <v>4089</v>
      </c>
      <c r="BL64" t="s">
        <v>4102</v>
      </c>
      <c r="BM64" t="s">
        <v>4100</v>
      </c>
      <c r="BN64">
        <v>3.59</v>
      </c>
      <c r="BO64">
        <v>3.41</v>
      </c>
      <c r="BP64">
        <v>5.16</v>
      </c>
      <c r="BQ64">
        <v>4.4000000000000004</v>
      </c>
      <c r="BR64">
        <v>3.41</v>
      </c>
      <c r="BS64">
        <v>7.09</v>
      </c>
      <c r="BT64" t="s">
        <v>2003</v>
      </c>
      <c r="BU64" t="s">
        <v>3084</v>
      </c>
      <c r="BV64">
        <v>18.899999999999999</v>
      </c>
      <c r="BW64">
        <v>17.05</v>
      </c>
      <c r="BX64">
        <v>18.55</v>
      </c>
      <c r="BY64">
        <v>1.98</v>
      </c>
      <c r="BZ64">
        <v>1.81</v>
      </c>
      <c r="CA64">
        <v>3.39</v>
      </c>
      <c r="CB64">
        <v>9.56</v>
      </c>
      <c r="CC64">
        <v>16.72</v>
      </c>
      <c r="CD64" t="s">
        <v>186</v>
      </c>
      <c r="CE64" t="s">
        <v>2689</v>
      </c>
      <c r="CF64" s="14">
        <v>0.1957255343082116</v>
      </c>
      <c r="CG64" s="15">
        <v>0.83680606789565148</v>
      </c>
      <c r="CH64" s="14">
        <v>-1.0991605930030346E-2</v>
      </c>
      <c r="CI64" s="14">
        <v>0.13661055266857147</v>
      </c>
      <c r="CJ64" s="14">
        <v>2.9354190453886986E-2</v>
      </c>
      <c r="CK64" s="14">
        <v>-0.1685263067483902</v>
      </c>
      <c r="CL64" s="14">
        <v>-0.22625896334648132</v>
      </c>
      <c r="CM64" s="15">
        <v>7.5594425201416016E-2</v>
      </c>
      <c r="CN64" s="15">
        <v>-0.41707441210746765</v>
      </c>
      <c r="CO64" s="15">
        <v>0.4209442138671875</v>
      </c>
      <c r="CP64" s="15">
        <v>1.0958656072616577</v>
      </c>
      <c r="CQ64" s="15">
        <v>-18.852499008178711</v>
      </c>
      <c r="CR64">
        <v>-45.851211092793612</v>
      </c>
      <c r="CS64">
        <v>-9.5598188752706008</v>
      </c>
      <c r="CT64">
        <v>0.84745762711864403</v>
      </c>
      <c r="CU64" s="14">
        <v>-4.796242658048868E-2</v>
      </c>
      <c r="CV64" s="15">
        <v>-3.5354338347911836</v>
      </c>
      <c r="CW64">
        <v>0.06</v>
      </c>
      <c r="CX64">
        <v>77.101021365719646</v>
      </c>
      <c r="CY64" t="s">
        <v>4103</v>
      </c>
      <c r="CZ64">
        <v>-4.796242658048868E-2</v>
      </c>
      <c r="DA64">
        <v>25.700340455239882</v>
      </c>
      <c r="DB64" t="s">
        <v>4104</v>
      </c>
      <c r="DC64">
        <v>-4.5564305251464245E-2</v>
      </c>
      <c r="DD64">
        <v>12.850170227619941</v>
      </c>
      <c r="DE64" t="s">
        <v>4105</v>
      </c>
      <c r="DF64">
        <v>-4.2206935390830036E-2</v>
      </c>
      <c r="DG64">
        <v>7.7101021365719644</v>
      </c>
      <c r="DH64" t="s">
        <v>4106</v>
      </c>
      <c r="DI64">
        <v>-3.8369941264390944E-2</v>
      </c>
      <c r="DJ64">
        <v>3.8550510682859822</v>
      </c>
      <c r="DK64" t="s">
        <v>4107</v>
      </c>
      <c r="DL64">
        <v>-3.3573698606342073E-2</v>
      </c>
      <c r="DM64">
        <v>80881900</v>
      </c>
      <c r="DN64">
        <v>-4.796242658048868E-2</v>
      </c>
      <c r="DO64">
        <v>6236077100</v>
      </c>
      <c r="DP64">
        <v>390409500</v>
      </c>
      <c r="DQ64">
        <v>1591</v>
      </c>
      <c r="DR64">
        <v>0.24368796088870029</v>
      </c>
      <c r="DS64">
        <v>4.372239902686835</v>
      </c>
      <c r="DT64" s="16">
        <v>-0.65666666666666662</v>
      </c>
      <c r="DU64">
        <v>0.19999999999999993</v>
      </c>
      <c r="DV64">
        <v>-0.45666666666666667</v>
      </c>
      <c r="DW64">
        <v>9.5717703349282299</v>
      </c>
      <c r="DX64">
        <v>0.56485596707818764</v>
      </c>
      <c r="DY64">
        <v>9.1400013783054721</v>
      </c>
      <c r="DZ64">
        <v>2798</v>
      </c>
      <c r="EA64">
        <v>9.0633430893624762</v>
      </c>
      <c r="EB64">
        <v>9</v>
      </c>
      <c r="EC64">
        <v>0.29692896847749672</v>
      </c>
      <c r="ED64">
        <v>1.2126678880677599</v>
      </c>
      <c r="EE64" s="17">
        <v>-1.00661</v>
      </c>
      <c r="EF64">
        <v>-1.03721</v>
      </c>
      <c r="EG64">
        <v>32.244855967078188</v>
      </c>
      <c r="EH64" t="s">
        <v>1838</v>
      </c>
      <c r="EI64">
        <v>1</v>
      </c>
      <c r="EJ64">
        <v>0</v>
      </c>
      <c r="EK64" s="19">
        <v>45470</v>
      </c>
      <c r="EL64" s="20">
        <v>8.2200000000000006</v>
      </c>
      <c r="EM64" s="20">
        <v>-5.32</v>
      </c>
      <c r="EN64" s="20">
        <v>-1.47</v>
      </c>
      <c r="EO64" s="20">
        <v>4.0199999999999996</v>
      </c>
      <c r="EP64" s="20">
        <v>-3.06</v>
      </c>
    </row>
    <row r="65" spans="1:146" ht="84" x14ac:dyDescent="0.25">
      <c r="A65" s="7"/>
      <c r="B65" s="7"/>
      <c r="C65" s="7" t="str">
        <f>""&amp;CHAR(10)&amp;Basic_Fundamental_Information_Constructure(F65)&amp;CHAR(10)&amp;Basic_Fundamental_Information_Concatenate("")</f>
        <v xml:space="preserve">
市值18.821847亿, 利润1549.64万; PE53.62; 平均PE-193.02; 平均PEG-24.71, PB2.06; ROIC3.15%; ROE-1.4767%; 股利率0%; 毛利12.84%; 净利-.6933%; 上一年度营收增11.65%, 利润增45.77%; 当季营收增7.13%, 利润增199.97%; 过往5年营收增-7.81%, 利润增-54.04%
Income profile:
</v>
      </c>
      <c r="D65" t="s">
        <v>779</v>
      </c>
      <c r="E65" t="s">
        <v>780</v>
      </c>
      <c r="F65">
        <v>4.8600000000000003</v>
      </c>
      <c r="G65">
        <v>-3.57</v>
      </c>
      <c r="H65" t="s">
        <v>4108</v>
      </c>
      <c r="I65">
        <v>1882184700</v>
      </c>
      <c r="J65">
        <v>53.62</v>
      </c>
      <c r="K65">
        <v>2.06</v>
      </c>
      <c r="L65" t="s">
        <v>172</v>
      </c>
      <c r="M65" t="s">
        <v>3230</v>
      </c>
      <c r="N65" t="s">
        <v>1948</v>
      </c>
      <c r="O65" t="s">
        <v>185</v>
      </c>
      <c r="P65">
        <v>6.98</v>
      </c>
      <c r="Q65" t="s">
        <v>2557</v>
      </c>
      <c r="R65">
        <v>9800386</v>
      </c>
      <c r="S65" s="5">
        <v>2</v>
      </c>
      <c r="T65" t="s">
        <v>4109</v>
      </c>
      <c r="U65">
        <v>387280800</v>
      </c>
      <c r="V65">
        <v>387280800</v>
      </c>
      <c r="W65">
        <v>2.25</v>
      </c>
      <c r="X65">
        <v>0.21</v>
      </c>
      <c r="Y65">
        <v>2.25</v>
      </c>
      <c r="Z65" t="s">
        <v>2671</v>
      </c>
      <c r="AA65" t="s">
        <v>681</v>
      </c>
      <c r="AB65" t="s">
        <v>4110</v>
      </c>
      <c r="AC65" t="s">
        <v>4111</v>
      </c>
      <c r="AD65" t="s">
        <v>19</v>
      </c>
      <c r="AE65">
        <v>5771372</v>
      </c>
      <c r="AF65" t="s">
        <v>4112</v>
      </c>
      <c r="AG65" t="s">
        <v>2690</v>
      </c>
      <c r="AH65" t="s">
        <v>4113</v>
      </c>
      <c r="AI65" t="s">
        <v>2079</v>
      </c>
      <c r="AJ65" t="s">
        <v>4114</v>
      </c>
      <c r="AK65" t="s">
        <v>4115</v>
      </c>
      <c r="AL65" t="s">
        <v>4116</v>
      </c>
      <c r="AM65" t="s">
        <v>19</v>
      </c>
      <c r="AN65" t="s">
        <v>4117</v>
      </c>
      <c r="AO65" t="s">
        <v>1072</v>
      </c>
      <c r="AP65" t="s">
        <v>19</v>
      </c>
      <c r="AQ65" t="s">
        <v>1473</v>
      </c>
      <c r="AR65" t="s">
        <v>4118</v>
      </c>
      <c r="AS65" t="s">
        <v>2370</v>
      </c>
      <c r="AT65" t="s">
        <v>4119</v>
      </c>
      <c r="AU65" t="s">
        <v>4120</v>
      </c>
      <c r="AV65" t="s">
        <v>4121</v>
      </c>
      <c r="AW65" t="s">
        <v>4122</v>
      </c>
      <c r="AX65" t="s">
        <v>2057</v>
      </c>
      <c r="AY65" t="s">
        <v>1349</v>
      </c>
      <c r="AZ65" t="s">
        <v>782</v>
      </c>
      <c r="BA65" t="s">
        <v>784</v>
      </c>
      <c r="BB65" t="s">
        <v>785</v>
      </c>
      <c r="BC65" t="s">
        <v>4123</v>
      </c>
      <c r="BD65" t="s">
        <v>1629</v>
      </c>
      <c r="BE65" t="s">
        <v>1630</v>
      </c>
      <c r="BF65" t="s">
        <v>787</v>
      </c>
      <c r="BG65" t="s">
        <v>788</v>
      </c>
      <c r="BH65" t="s">
        <v>2557</v>
      </c>
      <c r="BI65" t="s">
        <v>608</v>
      </c>
      <c r="BJ65" t="s">
        <v>2057</v>
      </c>
      <c r="BK65" t="s">
        <v>4109</v>
      </c>
      <c r="BL65" t="s">
        <v>4124</v>
      </c>
      <c r="BM65" t="s">
        <v>4123</v>
      </c>
      <c r="BN65" t="s">
        <v>19</v>
      </c>
      <c r="BO65">
        <v>3.15</v>
      </c>
      <c r="BP65" t="s">
        <v>19</v>
      </c>
      <c r="BQ65">
        <v>-0.49</v>
      </c>
      <c r="BR65">
        <v>1.18</v>
      </c>
      <c r="BS65">
        <v>-5.12</v>
      </c>
      <c r="BT65" t="s">
        <v>1983</v>
      </c>
      <c r="BU65" t="s">
        <v>2920</v>
      </c>
      <c r="BV65">
        <v>13.98</v>
      </c>
      <c r="BW65">
        <v>13.22</v>
      </c>
      <c r="BX65">
        <v>11.32</v>
      </c>
      <c r="BY65">
        <v>0.91</v>
      </c>
      <c r="BZ65">
        <v>0.7</v>
      </c>
      <c r="CA65">
        <v>-3.69</v>
      </c>
      <c r="CB65">
        <v>10.199999999999999</v>
      </c>
      <c r="CC65">
        <v>-2.99</v>
      </c>
      <c r="CD65" t="s">
        <v>367</v>
      </c>
      <c r="CE65" t="s">
        <v>78</v>
      </c>
      <c r="CF65" s="14">
        <v>7.1253071253071398E-2</v>
      </c>
      <c r="CG65" s="15">
        <v>1.9996721612468888</v>
      </c>
      <c r="CH65" s="14">
        <v>0.11652398109436035</v>
      </c>
      <c r="CI65" s="14">
        <v>0.1802641749382019</v>
      </c>
      <c r="CJ65" s="14">
        <v>9.7186818718910217E-2</v>
      </c>
      <c r="CK65" s="14">
        <v>-0.22317884862422943</v>
      </c>
      <c r="CL65" s="14">
        <v>-0.56130152940750122</v>
      </c>
      <c r="CM65" s="15">
        <v>0.45768898725509644</v>
      </c>
      <c r="CN65" s="15">
        <v>1.2237281799316406</v>
      </c>
      <c r="CO65" s="15">
        <v>-3.2755141258239746</v>
      </c>
      <c r="CP65" s="15">
        <v>1.0487890243530273</v>
      </c>
      <c r="CQ65" s="15">
        <v>-2.1567566394805908</v>
      </c>
      <c r="CR65">
        <v>-193.01917867220894</v>
      </c>
      <c r="CS65">
        <v>-24.71402150275534</v>
      </c>
      <c r="CT65">
        <v>0</v>
      </c>
      <c r="CU65" s="14">
        <v>-7.8101080656051633E-2</v>
      </c>
      <c r="CV65" s="15">
        <v>-0.54041291475296016</v>
      </c>
      <c r="CW65">
        <v>0.06</v>
      </c>
      <c r="CX65">
        <v>142.10943832115845</v>
      </c>
      <c r="CY65" t="s">
        <v>4125</v>
      </c>
      <c r="CZ65">
        <v>-7.8101080656051633E-2</v>
      </c>
      <c r="DA65">
        <v>47.369812773719488</v>
      </c>
      <c r="DB65" t="s">
        <v>4126</v>
      </c>
      <c r="DC65">
        <v>-7.4196026623249048E-2</v>
      </c>
      <c r="DD65">
        <v>23.684906386859744</v>
      </c>
      <c r="DE65" t="s">
        <v>4127</v>
      </c>
      <c r="DF65">
        <v>-6.872895097732544E-2</v>
      </c>
      <c r="DG65">
        <v>14.210943832115847</v>
      </c>
      <c r="DH65" t="s">
        <v>4128</v>
      </c>
      <c r="DI65">
        <v>-6.2480864524841306E-2</v>
      </c>
      <c r="DJ65">
        <v>7.1054719160579234</v>
      </c>
      <c r="DK65" t="s">
        <v>4129</v>
      </c>
      <c r="DL65">
        <v>-5.4670756459236136E-2</v>
      </c>
      <c r="DM65">
        <v>15496400.000000002</v>
      </c>
      <c r="DN65">
        <v>-7.8101080656051633E-2</v>
      </c>
      <c r="DO65">
        <v>2202184700</v>
      </c>
      <c r="DP65">
        <v>-182732950</v>
      </c>
      <c r="DQ65">
        <v>1665</v>
      </c>
      <c r="DR65">
        <v>0.14935415190912305</v>
      </c>
      <c r="DS65">
        <v>2.540085075999849</v>
      </c>
      <c r="DT65" s="16">
        <v>-0.50666666666666671</v>
      </c>
      <c r="DU65">
        <v>-0.16000000000000006</v>
      </c>
      <c r="DV65">
        <v>-0.66666666666666674</v>
      </c>
      <c r="DW65">
        <v>5.2931372549019606</v>
      </c>
      <c r="DX65">
        <v>0.63257575757575779</v>
      </c>
      <c r="DY65">
        <v>5.112147207367796</v>
      </c>
      <c r="DZ65">
        <v>3147</v>
      </c>
      <c r="EA65">
        <v>5.0430812070573356</v>
      </c>
      <c r="EB65">
        <v>5</v>
      </c>
      <c r="EC65">
        <v>0.26079268582382603</v>
      </c>
      <c r="ED65">
        <v>0.68167593126227788</v>
      </c>
      <c r="EE65" s="17">
        <v>-2.0698099999999999</v>
      </c>
      <c r="EF65">
        <v>-2.10331</v>
      </c>
      <c r="EG65">
        <v>25.382575757575758</v>
      </c>
      <c r="EH65" t="s">
        <v>2497</v>
      </c>
      <c r="EI65">
        <v>1</v>
      </c>
      <c r="EJ65">
        <v>0</v>
      </c>
      <c r="EK65" s="19">
        <v>45470</v>
      </c>
      <c r="EL65" s="20">
        <v>-0.67</v>
      </c>
      <c r="EM65" s="20">
        <v>-4.5199999999999996</v>
      </c>
      <c r="EN65" s="20">
        <v>3.79</v>
      </c>
      <c r="EO65" s="20">
        <v>2.2799999999999998</v>
      </c>
      <c r="EP65" s="20">
        <v>-3.35</v>
      </c>
    </row>
    <row r="66" spans="1:146" ht="84" x14ac:dyDescent="0.25">
      <c r="A66" s="7"/>
      <c r="B66" s="7"/>
      <c r="C66" s="7" t="str">
        <f>""&amp;CHAR(10)&amp;Basic_Fundamental_Information_Constructure(F66)&amp;CHAR(10)&amp;Basic_Fundamental_Information_Concatenate("")</f>
        <v xml:space="preserve">
市值17.447171亿, 利润-13.91亿; PE; 平均PE-3.53; 平均PEG-.33, PB7.24; ROIC0%; ROE-57.3%; 股利率0%; 毛利8.0167%; 净利-67.7867%; 上一年度营收增23.19%, 利润增-2.51%; 当季营收增19.06%, 利润增19.32%; 过往5年营收增-10.63%, 利润增-234.79%
Income profile:
</v>
      </c>
      <c r="D66" t="s">
        <v>1937</v>
      </c>
      <c r="E66" t="s">
        <v>1938</v>
      </c>
      <c r="F66">
        <v>1.21</v>
      </c>
      <c r="G66">
        <v>8.0399999999999991</v>
      </c>
      <c r="H66" t="s">
        <v>4130</v>
      </c>
      <c r="I66">
        <v>1744717100</v>
      </c>
      <c r="K66">
        <v>7.24</v>
      </c>
      <c r="L66" t="s">
        <v>172</v>
      </c>
      <c r="M66" t="s">
        <v>4131</v>
      </c>
      <c r="N66" t="s">
        <v>2662</v>
      </c>
      <c r="O66" t="s">
        <v>4132</v>
      </c>
      <c r="P66">
        <v>19.11</v>
      </c>
      <c r="Q66" t="s">
        <v>2140</v>
      </c>
      <c r="R66">
        <v>-92782652</v>
      </c>
      <c r="S66" s="5">
        <v>0.19489999999999999</v>
      </c>
      <c r="T66" t="s">
        <v>4133</v>
      </c>
      <c r="U66">
        <v>1438454800</v>
      </c>
      <c r="V66">
        <v>1441914900</v>
      </c>
      <c r="W66">
        <v>20</v>
      </c>
      <c r="X66">
        <v>0.05</v>
      </c>
      <c r="Y66">
        <v>-21.9</v>
      </c>
      <c r="Z66" t="s">
        <v>893</v>
      </c>
      <c r="AA66" t="s">
        <v>2663</v>
      </c>
      <c r="AB66" t="s">
        <v>4134</v>
      </c>
      <c r="AC66" t="s">
        <v>4135</v>
      </c>
      <c r="AD66" t="s">
        <v>19</v>
      </c>
      <c r="AE66">
        <v>78993665</v>
      </c>
      <c r="AF66" t="s">
        <v>4136</v>
      </c>
      <c r="AG66" t="s">
        <v>4137</v>
      </c>
      <c r="AH66" t="s">
        <v>4138</v>
      </c>
      <c r="AI66" t="s">
        <v>604</v>
      </c>
      <c r="AJ66" t="s">
        <v>4139</v>
      </c>
      <c r="AK66" t="s">
        <v>4140</v>
      </c>
      <c r="AL66" t="s">
        <v>4141</v>
      </c>
      <c r="AM66" t="s">
        <v>19</v>
      </c>
      <c r="AN66" t="s">
        <v>128</v>
      </c>
      <c r="AO66" t="s">
        <v>19</v>
      </c>
      <c r="AP66" t="s">
        <v>19</v>
      </c>
      <c r="AQ66" t="s">
        <v>4142</v>
      </c>
      <c r="AR66" t="s">
        <v>4143</v>
      </c>
      <c r="AS66" t="s">
        <v>1722</v>
      </c>
      <c r="AT66" t="s">
        <v>1644</v>
      </c>
      <c r="AU66" t="s">
        <v>4144</v>
      </c>
      <c r="AV66" t="s">
        <v>4145</v>
      </c>
      <c r="AW66" t="s">
        <v>4146</v>
      </c>
      <c r="AX66" t="s">
        <v>1969</v>
      </c>
      <c r="AY66" t="s">
        <v>1885</v>
      </c>
      <c r="AZ66" t="s">
        <v>1883</v>
      </c>
      <c r="BA66" t="s">
        <v>1940</v>
      </c>
      <c r="BB66" t="s">
        <v>1941</v>
      </c>
      <c r="BC66" t="s">
        <v>2223</v>
      </c>
      <c r="BD66" t="s">
        <v>1939</v>
      </c>
      <c r="BE66" t="s">
        <v>1942</v>
      </c>
      <c r="BF66" t="s">
        <v>1943</v>
      </c>
      <c r="BG66" t="s">
        <v>1944</v>
      </c>
      <c r="BH66" t="s">
        <v>2140</v>
      </c>
      <c r="BI66" t="s">
        <v>24</v>
      </c>
      <c r="BJ66" t="s">
        <v>1969</v>
      </c>
      <c r="BK66" t="s">
        <v>4133</v>
      </c>
      <c r="BL66" t="s">
        <v>2608</v>
      </c>
      <c r="BM66" t="s">
        <v>2223</v>
      </c>
      <c r="BN66" t="s">
        <v>19</v>
      </c>
      <c r="BO66" t="s">
        <v>19</v>
      </c>
      <c r="BP66" t="s">
        <v>19</v>
      </c>
      <c r="BQ66">
        <v>-70.02</v>
      </c>
      <c r="BR66">
        <v>-86.15</v>
      </c>
      <c r="BS66">
        <v>-15.73</v>
      </c>
      <c r="BT66" t="s">
        <v>1983</v>
      </c>
      <c r="BU66" t="s">
        <v>3125</v>
      </c>
      <c r="BV66">
        <v>5.4</v>
      </c>
      <c r="BW66">
        <v>1.7</v>
      </c>
      <c r="BX66">
        <v>16.95</v>
      </c>
      <c r="BY66">
        <v>-83.42</v>
      </c>
      <c r="BZ66">
        <v>-101.33</v>
      </c>
      <c r="CA66">
        <v>-18.61</v>
      </c>
      <c r="CB66">
        <v>14.15</v>
      </c>
      <c r="CC66">
        <v>-3.2</v>
      </c>
      <c r="CD66" t="s">
        <v>607</v>
      </c>
      <c r="CE66" t="s">
        <v>473</v>
      </c>
      <c r="CF66" s="14">
        <v>0.19060773480662968</v>
      </c>
      <c r="CG66" s="15">
        <v>0.19319433043478251</v>
      </c>
      <c r="CH66" s="14">
        <v>0.2318945974111557</v>
      </c>
      <c r="CI66" s="14">
        <v>-0.34152212738990784</v>
      </c>
      <c r="CJ66" s="14">
        <v>-0.32267534732818604</v>
      </c>
      <c r="CK66" s="14">
        <v>4.0040675550699234E-2</v>
      </c>
      <c r="CL66" s="14">
        <v>-0.13905930519104004</v>
      </c>
      <c r="CM66" s="15">
        <v>-2.5055363774299622E-2</v>
      </c>
      <c r="CN66" s="15">
        <v>-2.697547435760498</v>
      </c>
      <c r="CO66" s="15">
        <v>-9.6379566192626953</v>
      </c>
      <c r="CP66" s="15">
        <v>-0.41817820072174072</v>
      </c>
      <c r="CQ66" s="15">
        <v>1.0392156839370728</v>
      </c>
      <c r="CR66">
        <v>-3.5321980508418016</v>
      </c>
      <c r="CS66">
        <v>-0.33239742836085573</v>
      </c>
      <c r="CT66">
        <v>0</v>
      </c>
      <c r="CU66" s="14">
        <v>-0.10626430138945579</v>
      </c>
      <c r="CV66" s="15">
        <v>-2.347904387116432</v>
      </c>
      <c r="CW66">
        <v>0.06</v>
      </c>
      <c r="CX66" t="e">
        <v>#VALUE!</v>
      </c>
      <c r="CY66" t="s">
        <v>1834</v>
      </c>
      <c r="CZ66">
        <v>-0.10626430138945579</v>
      </c>
      <c r="DA66" t="e">
        <v>#VALUE!</v>
      </c>
      <c r="DB66" t="s">
        <v>1835</v>
      </c>
      <c r="DC66">
        <v>-0.10095108631998299</v>
      </c>
      <c r="DD66" t="e">
        <v>#VALUE!</v>
      </c>
      <c r="DE66" t="s">
        <v>1835</v>
      </c>
      <c r="DF66">
        <v>-9.3512585222721101E-2</v>
      </c>
      <c r="DG66" t="e">
        <v>#VALUE!</v>
      </c>
      <c r="DH66" t="s">
        <v>1835</v>
      </c>
      <c r="DI66">
        <v>-8.501144111156464E-2</v>
      </c>
      <c r="DJ66" t="e">
        <v>#VALUE!</v>
      </c>
      <c r="DK66" t="s">
        <v>1835</v>
      </c>
      <c r="DL66">
        <v>-7.4385010972619056E-2</v>
      </c>
      <c r="DM66">
        <v>-1391000000</v>
      </c>
      <c r="DN66">
        <v>-0.10626430138945579</v>
      </c>
      <c r="DO66">
        <v>9191717100</v>
      </c>
      <c r="DP66">
        <v>-383335400</v>
      </c>
      <c r="DQ66">
        <v>1722</v>
      </c>
      <c r="DR66">
        <v>0.29687203619608549</v>
      </c>
      <c r="DS66">
        <v>2.5410987175512147</v>
      </c>
      <c r="DT66" s="16">
        <v>-0.55666666666666675</v>
      </c>
      <c r="DU66">
        <v>-1.7516666666666663</v>
      </c>
      <c r="DV66">
        <v>-2.3083333333333331</v>
      </c>
      <c r="DW66">
        <v>5.2261484098939928</v>
      </c>
      <c r="DX66">
        <v>0.69085130533484795</v>
      </c>
      <c r="DY66">
        <v>5.0567296238213082</v>
      </c>
      <c r="DZ66">
        <v>4585</v>
      </c>
      <c r="EA66">
        <v>5.0058283860090382</v>
      </c>
      <c r="EB66">
        <v>5</v>
      </c>
      <c r="EC66">
        <v>0.15326840717160214</v>
      </c>
      <c r="ED66">
        <v>0.61099306207321946</v>
      </c>
      <c r="EE66" s="17">
        <v>-1.0756000000000001</v>
      </c>
      <c r="EF66">
        <v>-1.0481</v>
      </c>
      <c r="EG66">
        <v>44.250851305334848</v>
      </c>
      <c r="EH66" t="s">
        <v>1844</v>
      </c>
      <c r="EI66">
        <v>1</v>
      </c>
      <c r="EJ66">
        <v>0</v>
      </c>
      <c r="EK66" s="19">
        <v>45470</v>
      </c>
      <c r="EL66" s="20">
        <v>-0.89</v>
      </c>
      <c r="EM66" s="20">
        <v>-2.7</v>
      </c>
      <c r="EN66" s="20">
        <v>-2.78</v>
      </c>
      <c r="EO66" s="20">
        <v>3.81</v>
      </c>
      <c r="EP66" s="20">
        <v>-2.75</v>
      </c>
    </row>
    <row r="67" spans="1:146" ht="84" x14ac:dyDescent="0.25">
      <c r="A67" s="7"/>
      <c r="B67" s="7"/>
      <c r="C67" s="7" t="str">
        <f>""&amp;CHAR(10)&amp;Basic_Fundamental_Information_Constructure(F67)&amp;CHAR(10)&amp;Basic_Fundamental_Information_Concatenate("")</f>
        <v xml:space="preserve">
市值37.964042亿, 利润2.38亿; PE15.92; 平均PE18.28; 平均PEG1.61, PB1.04; ROIC4.9733%; ROE6.2433%; 股利率1.9036%; 毛利27.7667%; 净利12.3367%; 上一年度营收增16.32%, 利润增-3.64%; 当季营收增12.5%, 利润增1.77%; 过往5年营收增11.34%, 利润增1.41%
Income profile:
</v>
      </c>
      <c r="D67" t="s">
        <v>790</v>
      </c>
      <c r="E67" t="s">
        <v>791</v>
      </c>
      <c r="F67">
        <v>7.88</v>
      </c>
      <c r="G67">
        <v>0.64</v>
      </c>
      <c r="H67" t="s">
        <v>4147</v>
      </c>
      <c r="I67">
        <v>3796404200</v>
      </c>
      <c r="J67">
        <v>15.92</v>
      </c>
      <c r="K67">
        <v>1.04</v>
      </c>
      <c r="L67" t="s">
        <v>172</v>
      </c>
      <c r="M67" t="s">
        <v>4148</v>
      </c>
      <c r="N67" t="s">
        <v>4149</v>
      </c>
      <c r="O67" t="s">
        <v>1839</v>
      </c>
      <c r="P67">
        <v>12.4</v>
      </c>
      <c r="Q67" t="s">
        <v>4150</v>
      </c>
      <c r="R67">
        <v>46933240</v>
      </c>
      <c r="S67" s="5">
        <v>1.77E-2</v>
      </c>
      <c r="T67" t="s">
        <v>322</v>
      </c>
      <c r="U67">
        <v>462731880</v>
      </c>
      <c r="V67">
        <v>481777190</v>
      </c>
      <c r="W67">
        <v>1.69</v>
      </c>
      <c r="X67">
        <v>0.08</v>
      </c>
      <c r="Y67">
        <v>9.32</v>
      </c>
      <c r="Z67" t="s">
        <v>515</v>
      </c>
      <c r="AA67" t="s">
        <v>542</v>
      </c>
      <c r="AB67" t="s">
        <v>4151</v>
      </c>
      <c r="AC67" t="s">
        <v>4152</v>
      </c>
      <c r="AD67" t="s">
        <v>19</v>
      </c>
      <c r="AE67">
        <v>9769775</v>
      </c>
      <c r="AF67" t="s">
        <v>4153</v>
      </c>
      <c r="AG67" t="s">
        <v>4154</v>
      </c>
      <c r="AH67" t="s">
        <v>4155</v>
      </c>
      <c r="AI67" t="s">
        <v>3046</v>
      </c>
      <c r="AJ67" t="s">
        <v>4156</v>
      </c>
      <c r="AK67" t="s">
        <v>593</v>
      </c>
      <c r="AL67" t="s">
        <v>4157</v>
      </c>
      <c r="AM67" t="s">
        <v>19</v>
      </c>
      <c r="AN67" t="s">
        <v>929</v>
      </c>
      <c r="AO67" t="s">
        <v>1949</v>
      </c>
      <c r="AP67" t="s">
        <v>115</v>
      </c>
      <c r="AQ67" t="s">
        <v>2104</v>
      </c>
      <c r="AR67" t="s">
        <v>19</v>
      </c>
      <c r="AS67" t="s">
        <v>4158</v>
      </c>
      <c r="AT67" t="s">
        <v>2519</v>
      </c>
      <c r="AU67" t="s">
        <v>4159</v>
      </c>
      <c r="AV67" t="s">
        <v>249</v>
      </c>
      <c r="AW67" t="s">
        <v>2612</v>
      </c>
      <c r="AX67" t="s">
        <v>2224</v>
      </c>
      <c r="AY67" t="s">
        <v>1631</v>
      </c>
      <c r="AZ67" t="s">
        <v>792</v>
      </c>
      <c r="BA67" t="s">
        <v>302</v>
      </c>
      <c r="BB67" t="s">
        <v>794</v>
      </c>
      <c r="BC67" t="s">
        <v>517</v>
      </c>
      <c r="BD67" t="s">
        <v>121</v>
      </c>
      <c r="BE67" t="s">
        <v>127</v>
      </c>
      <c r="BF67" t="s">
        <v>683</v>
      </c>
      <c r="BG67" t="s">
        <v>496</v>
      </c>
      <c r="BH67" t="s">
        <v>4150</v>
      </c>
      <c r="BI67" t="s">
        <v>2769</v>
      </c>
      <c r="BJ67" t="s">
        <v>2224</v>
      </c>
      <c r="BK67" t="s">
        <v>322</v>
      </c>
      <c r="BL67" t="s">
        <v>4160</v>
      </c>
      <c r="BM67" t="s">
        <v>517</v>
      </c>
      <c r="BN67">
        <v>3.66</v>
      </c>
      <c r="BO67">
        <v>6.2</v>
      </c>
      <c r="BP67">
        <v>5.0599999999999996</v>
      </c>
      <c r="BQ67">
        <v>5.51</v>
      </c>
      <c r="BR67">
        <v>7.63</v>
      </c>
      <c r="BS67">
        <v>5.59</v>
      </c>
      <c r="BT67" t="s">
        <v>2045</v>
      </c>
      <c r="BU67" t="s">
        <v>2920</v>
      </c>
      <c r="BV67">
        <v>25.63</v>
      </c>
      <c r="BW67">
        <v>28.41</v>
      </c>
      <c r="BX67">
        <v>29.26</v>
      </c>
      <c r="BY67">
        <v>11.23</v>
      </c>
      <c r="BZ67">
        <v>13.7</v>
      </c>
      <c r="CA67">
        <v>12.08</v>
      </c>
      <c r="CB67">
        <v>-3.08</v>
      </c>
      <c r="CC67">
        <v>-15.72</v>
      </c>
      <c r="CD67" t="s">
        <v>4161</v>
      </c>
      <c r="CE67" t="s">
        <v>845</v>
      </c>
      <c r="CF67" s="14">
        <v>0.12499999999999985</v>
      </c>
      <c r="CG67" s="15">
        <v>1.7723605090652031E-2</v>
      </c>
      <c r="CH67" s="14">
        <v>0.16316375136375427</v>
      </c>
      <c r="CI67" s="14">
        <v>0.27055510878562927</v>
      </c>
      <c r="CJ67" s="14">
        <v>0.18287613987922668</v>
      </c>
      <c r="CK67" s="14">
        <v>-2.1155307069420815E-2</v>
      </c>
      <c r="CL67" s="14">
        <v>-2.8458500280976295E-2</v>
      </c>
      <c r="CM67" s="15">
        <v>-3.6437246948480606E-2</v>
      </c>
      <c r="CN67" s="15">
        <v>0.43604651093482971</v>
      </c>
      <c r="CO67" s="15">
        <v>0.10256410390138626</v>
      </c>
      <c r="CP67" s="15">
        <v>-0.10344827920198441</v>
      </c>
      <c r="CQ67" s="15">
        <v>-0.3281853199005127</v>
      </c>
      <c r="CR67">
        <v>18.281240128410914</v>
      </c>
      <c r="CS67">
        <v>1.6121557791059153</v>
      </c>
      <c r="CT67">
        <v>1.9035532994923858</v>
      </c>
      <c r="CU67" s="14">
        <v>0.11339623853564262</v>
      </c>
      <c r="CV67" s="15">
        <v>1.4107953757047653E-2</v>
      </c>
      <c r="CW67">
        <v>0.06</v>
      </c>
      <c r="CX67">
        <v>9.9740569844365101</v>
      </c>
      <c r="CY67">
        <v>249988966.76554993</v>
      </c>
      <c r="CZ67">
        <v>0.11339623853564262</v>
      </c>
      <c r="DA67">
        <v>3.1956590207956324</v>
      </c>
      <c r="DB67">
        <v>780247261.60527921</v>
      </c>
      <c r="DC67">
        <v>0.10772642660886049</v>
      </c>
      <c r="DD67">
        <v>1.5317680266794473</v>
      </c>
      <c r="DE67">
        <v>1627794911.8739467</v>
      </c>
      <c r="DF67">
        <v>9.9788689911365511E-2</v>
      </c>
      <c r="DG67">
        <v>0.89232006373208195</v>
      </c>
      <c r="DH67">
        <v>2794293551.544126</v>
      </c>
      <c r="DI67">
        <v>9.0716990828514102E-2</v>
      </c>
      <c r="DJ67">
        <v>0.43073558547514479</v>
      </c>
      <c r="DK67">
        <v>5788711878.1921015</v>
      </c>
      <c r="DL67">
        <v>7.9377366974949834E-2</v>
      </c>
      <c r="DM67">
        <v>238000000</v>
      </c>
      <c r="DN67">
        <v>0.11339623853564262</v>
      </c>
      <c r="DO67">
        <v>2493404200</v>
      </c>
      <c r="DP67">
        <v>1301632600</v>
      </c>
      <c r="DQ67">
        <v>1743</v>
      </c>
      <c r="DR67">
        <v>1.1603761464357223E-2</v>
      </c>
      <c r="DS67">
        <v>3.6156513336043777E-3</v>
      </c>
      <c r="DT67" s="16">
        <v>1.0000000000000011E-2</v>
      </c>
      <c r="DU67">
        <v>5.000000000000001E-2</v>
      </c>
      <c r="DV67">
        <v>6.0000000000000019E-2</v>
      </c>
      <c r="DW67">
        <v>-8.1959287531806613</v>
      </c>
      <c r="DX67">
        <v>0.35270848484848383</v>
      </c>
      <c r="DY67">
        <v>-8.0279606955046656</v>
      </c>
      <c r="DZ67">
        <v>1561</v>
      </c>
      <c r="EA67">
        <v>-8.0194192775628288</v>
      </c>
      <c r="EB67">
        <v>8</v>
      </c>
      <c r="EC67">
        <v>4.8875082691233265E-2</v>
      </c>
      <c r="ED67">
        <v>0.34248196764981753</v>
      </c>
      <c r="EE67" s="17">
        <v>-2.0398000000000001</v>
      </c>
      <c r="EF67">
        <v>-2.0122</v>
      </c>
      <c r="EG67">
        <v>21.142708484848484</v>
      </c>
      <c r="EH67" t="s">
        <v>2280</v>
      </c>
      <c r="EI67">
        <v>0</v>
      </c>
      <c r="EJ67">
        <v>0</v>
      </c>
      <c r="EK67" s="19">
        <v>45470</v>
      </c>
      <c r="EL67" s="20">
        <v>0</v>
      </c>
      <c r="EM67" s="20">
        <v>-4.2699999999999996</v>
      </c>
      <c r="EN67" s="20">
        <v>1.1200000000000001</v>
      </c>
      <c r="EO67" s="20">
        <v>2.08</v>
      </c>
      <c r="EP67" s="20">
        <v>-2.76</v>
      </c>
    </row>
    <row r="68" spans="1:146" ht="84" x14ac:dyDescent="0.25">
      <c r="A68" s="7"/>
      <c r="B68" s="7"/>
      <c r="C68" s="7" t="str">
        <f>""&amp;CHAR(10)&amp;Basic_Fundamental_Information_Constructure(F68)&amp;CHAR(10)&amp;Basic_Fundamental_Information_Concatenate("")</f>
        <v xml:space="preserve">
市值54.830845亿, 利润3.05亿; PE16.65; 平均PE28.71; 平均PEG1.35, PB1.98; ROIC7.98%; ROE8.2967%; 股利率.96%; 毛利31.1133%; 净利17.98%; 上一年度营收增42.21%, 利润增124.26%; 当季营收增41.19%, 利润增30.37%; 过往5年营收增21.19%, 利润增29.14%
Income profile:
</v>
      </c>
      <c r="D68" t="s">
        <v>798</v>
      </c>
      <c r="E68" t="s">
        <v>799</v>
      </c>
      <c r="F68">
        <v>6.25</v>
      </c>
      <c r="G68">
        <v>1.46</v>
      </c>
      <c r="H68" t="s">
        <v>4162</v>
      </c>
      <c r="I68">
        <v>5483084500</v>
      </c>
      <c r="J68">
        <v>16.649999999999999</v>
      </c>
      <c r="K68">
        <v>1.98</v>
      </c>
      <c r="L68" t="s">
        <v>172</v>
      </c>
      <c r="M68" t="s">
        <v>473</v>
      </c>
      <c r="N68" t="s">
        <v>4163</v>
      </c>
      <c r="O68" t="s">
        <v>582</v>
      </c>
      <c r="P68">
        <v>41.08</v>
      </c>
      <c r="Q68" t="s">
        <v>4164</v>
      </c>
      <c r="R68">
        <v>104082132</v>
      </c>
      <c r="S68" s="5">
        <v>0.30370000000000003</v>
      </c>
      <c r="T68" t="s">
        <v>199</v>
      </c>
      <c r="U68">
        <v>854878380</v>
      </c>
      <c r="V68">
        <v>877293520</v>
      </c>
      <c r="W68">
        <v>1.31</v>
      </c>
      <c r="X68">
        <v>0.13</v>
      </c>
      <c r="Y68">
        <v>23.9</v>
      </c>
      <c r="Z68" t="s">
        <v>1728</v>
      </c>
      <c r="AA68" t="s">
        <v>610</v>
      </c>
      <c r="AB68" t="s">
        <v>4165</v>
      </c>
      <c r="AC68" t="s">
        <v>4166</v>
      </c>
      <c r="AD68" t="s">
        <v>19</v>
      </c>
      <c r="AE68">
        <v>-1955061</v>
      </c>
      <c r="AF68" t="s">
        <v>4167</v>
      </c>
      <c r="AG68">
        <v>9427.98</v>
      </c>
      <c r="AH68" t="s">
        <v>4168</v>
      </c>
      <c r="AI68" t="s">
        <v>4169</v>
      </c>
      <c r="AJ68" t="s">
        <v>4170</v>
      </c>
      <c r="AK68" t="s">
        <v>2238</v>
      </c>
      <c r="AL68" t="s">
        <v>4171</v>
      </c>
      <c r="AM68" t="s">
        <v>19</v>
      </c>
      <c r="AN68" t="s">
        <v>1022</v>
      </c>
      <c r="AO68" t="s">
        <v>391</v>
      </c>
      <c r="AP68" t="s">
        <v>558</v>
      </c>
      <c r="AQ68" t="s">
        <v>681</v>
      </c>
      <c r="AR68" t="s">
        <v>19</v>
      </c>
      <c r="AS68" t="s">
        <v>1869</v>
      </c>
      <c r="AT68" t="s">
        <v>19</v>
      </c>
      <c r="AU68" t="s">
        <v>4172</v>
      </c>
      <c r="AV68" t="s">
        <v>155</v>
      </c>
      <c r="AW68" t="s">
        <v>4173</v>
      </c>
      <c r="AX68" t="s">
        <v>533</v>
      </c>
      <c r="AY68" t="s">
        <v>1632</v>
      </c>
      <c r="AZ68" t="s">
        <v>800</v>
      </c>
      <c r="BA68" t="s">
        <v>321</v>
      </c>
      <c r="BB68" t="s">
        <v>122</v>
      </c>
      <c r="BC68" t="s">
        <v>264</v>
      </c>
      <c r="BD68" t="s">
        <v>604</v>
      </c>
      <c r="BE68" t="s">
        <v>101</v>
      </c>
      <c r="BF68" t="s">
        <v>190</v>
      </c>
      <c r="BG68" t="s">
        <v>115</v>
      </c>
      <c r="BH68" t="s">
        <v>4164</v>
      </c>
      <c r="BI68" t="s">
        <v>380</v>
      </c>
      <c r="BJ68" t="s">
        <v>533</v>
      </c>
      <c r="BK68" t="s">
        <v>199</v>
      </c>
      <c r="BL68" t="s">
        <v>4174</v>
      </c>
      <c r="BM68" t="s">
        <v>264</v>
      </c>
      <c r="BN68">
        <v>8.5</v>
      </c>
      <c r="BO68">
        <v>5.26</v>
      </c>
      <c r="BP68">
        <v>10.18</v>
      </c>
      <c r="BQ68">
        <v>8.94</v>
      </c>
      <c r="BR68">
        <v>5.6</v>
      </c>
      <c r="BS68">
        <v>10.35</v>
      </c>
      <c r="BT68" t="s">
        <v>2011</v>
      </c>
      <c r="BU68" t="s">
        <v>3146</v>
      </c>
      <c r="BV68">
        <v>30.9</v>
      </c>
      <c r="BW68">
        <v>29.66</v>
      </c>
      <c r="BX68">
        <v>32.78</v>
      </c>
      <c r="BY68">
        <v>19.62</v>
      </c>
      <c r="BZ68">
        <v>11.87</v>
      </c>
      <c r="CA68">
        <v>22.45</v>
      </c>
      <c r="CB68">
        <v>-3.99</v>
      </c>
      <c r="CC68">
        <v>-6.02</v>
      </c>
      <c r="CD68" t="s">
        <v>4175</v>
      </c>
      <c r="CE68" t="s">
        <v>2081</v>
      </c>
      <c r="CF68" s="14">
        <v>0.41194029850746289</v>
      </c>
      <c r="CG68" s="15">
        <v>0.30366167616294437</v>
      </c>
      <c r="CH68" s="14">
        <v>0.42212763428688049</v>
      </c>
      <c r="CI68" s="14">
        <v>6.9153770804405212E-2</v>
      </c>
      <c r="CJ68" s="14">
        <v>0.30833339691162109</v>
      </c>
      <c r="CK68" s="14">
        <v>0.17647059261798859</v>
      </c>
      <c r="CL68" s="14">
        <v>8.345978707075119E-2</v>
      </c>
      <c r="CM68" s="15">
        <v>1.2426470518112183</v>
      </c>
      <c r="CN68" s="15">
        <v>-0.41630899906158447</v>
      </c>
      <c r="CO68" s="15">
        <v>0.17676767706871033</v>
      </c>
      <c r="CP68" s="15">
        <v>0.42446044087409973</v>
      </c>
      <c r="CQ68" s="15">
        <v>2.9629629105329514E-2</v>
      </c>
      <c r="CR68">
        <v>28.707248691099476</v>
      </c>
      <c r="CS68">
        <v>1.3546967692904852</v>
      </c>
      <c r="CT68">
        <v>0.96</v>
      </c>
      <c r="CU68" s="14">
        <v>0.2119090363383293</v>
      </c>
      <c r="CV68" s="15">
        <v>0.29143915995955466</v>
      </c>
      <c r="CW68">
        <v>0.06</v>
      </c>
      <c r="CX68">
        <v>9.9340074075504532</v>
      </c>
      <c r="CY68">
        <v>348709675.55017966</v>
      </c>
      <c r="CZ68">
        <v>0.2119090363383293</v>
      </c>
      <c r="DA68">
        <v>2.9322569680786894</v>
      </c>
      <c r="DB68">
        <v>1181371393.3365743</v>
      </c>
      <c r="DC68">
        <v>0.20131358452141282</v>
      </c>
      <c r="DD68">
        <v>1.252507540716485</v>
      </c>
      <c r="DE68">
        <v>2765719476.6415567</v>
      </c>
      <c r="DF68">
        <v>0.18647995197772979</v>
      </c>
      <c r="DG68">
        <v>0.63566945535493069</v>
      </c>
      <c r="DH68">
        <v>5449505982.7372122</v>
      </c>
      <c r="DI68">
        <v>0.16952722907066345</v>
      </c>
      <c r="DJ68">
        <v>0.22076762865188643</v>
      </c>
      <c r="DK68">
        <v>15691088956.987806</v>
      </c>
      <c r="DL68">
        <v>0.14833632543683051</v>
      </c>
      <c r="DM68">
        <v>305000000</v>
      </c>
      <c r="DN68">
        <v>0.2119090363383293</v>
      </c>
      <c r="DO68">
        <v>3464084500</v>
      </c>
      <c r="DP68">
        <v>2033605600</v>
      </c>
      <c r="DQ68">
        <v>1787</v>
      </c>
      <c r="DR68">
        <v>0.20003126216913358</v>
      </c>
      <c r="DS68">
        <v>1.2222516203389711E-2</v>
      </c>
      <c r="DT68" s="16">
        <v>-2.3333333333333355E-2</v>
      </c>
      <c r="DU68">
        <v>0.65333333333333332</v>
      </c>
      <c r="DV68">
        <v>0.63</v>
      </c>
      <c r="DW68">
        <v>-8.6627906976744189</v>
      </c>
      <c r="DX68">
        <v>0.41817282850779347</v>
      </c>
      <c r="DY68">
        <v>-8.1313471072667944</v>
      </c>
      <c r="DZ68">
        <v>536</v>
      </c>
      <c r="EA68">
        <v>-8.1175697981679686</v>
      </c>
      <c r="EB68">
        <v>8</v>
      </c>
      <c r="EC68">
        <v>0.10142511938307715</v>
      </c>
      <c r="ED68">
        <v>0.51180134101526253</v>
      </c>
      <c r="EE68" s="17">
        <v>2.0425</v>
      </c>
      <c r="EF68">
        <v>2.0108100000000002</v>
      </c>
      <c r="EG68">
        <v>22.198172828507793</v>
      </c>
      <c r="EH68" t="s">
        <v>1836</v>
      </c>
      <c r="EI68">
        <v>0</v>
      </c>
      <c r="EJ68">
        <v>1</v>
      </c>
      <c r="EK68" s="19">
        <v>45470</v>
      </c>
      <c r="EL68" s="20">
        <v>-1.1499999999999999</v>
      </c>
      <c r="EM68" s="20">
        <v>-4.6500000000000004</v>
      </c>
      <c r="EN68" s="20">
        <v>-0.3</v>
      </c>
      <c r="EO68" s="20">
        <v>3.21</v>
      </c>
      <c r="EP68" s="20">
        <v>-5.33</v>
      </c>
    </row>
    <row r="69" spans="1:146" ht="84" x14ac:dyDescent="0.25">
      <c r="A69" s="7"/>
      <c r="B69" s="7"/>
      <c r="C69" s="7" t="str">
        <f>""&amp;CHAR(10)&amp;Basic_Fundamental_Information_Constructure(F69)&amp;CHAR(10)&amp;Basic_Fundamental_Information_Concatenate("")</f>
        <v xml:space="preserve">
市值29.082084亿, 利润2840.56万; PE71.58; 平均PE49.6; 平均PEG8.06, PB1.31; ROIC2.7433%; ROE3.1433%; 股利率.9091%; 毛利22.1167%; 净利3.23%; 上一年度营收增14.96%, 利润增-62.48%; 当季营收增40.81%, 利润增63.76%; 过往5年营收增6.16%, 利润增2.87%
Income profile:
</v>
      </c>
      <c r="D69" t="s">
        <v>804</v>
      </c>
      <c r="E69" t="s">
        <v>805</v>
      </c>
      <c r="F69">
        <v>3.85</v>
      </c>
      <c r="G69">
        <v>2.39</v>
      </c>
      <c r="H69" t="s">
        <v>4176</v>
      </c>
      <c r="I69">
        <v>2908208400</v>
      </c>
      <c r="J69">
        <v>71.58</v>
      </c>
      <c r="K69">
        <v>1.31</v>
      </c>
      <c r="L69" t="s">
        <v>172</v>
      </c>
      <c r="M69" t="s">
        <v>908</v>
      </c>
      <c r="N69" t="s">
        <v>4177</v>
      </c>
      <c r="O69" t="s">
        <v>926</v>
      </c>
      <c r="P69">
        <v>40.69</v>
      </c>
      <c r="Q69" t="s">
        <v>3027</v>
      </c>
      <c r="R69">
        <v>31396320</v>
      </c>
      <c r="S69" s="5">
        <v>0.63759999999999994</v>
      </c>
      <c r="T69" t="s">
        <v>4178</v>
      </c>
      <c r="U69">
        <v>505117980</v>
      </c>
      <c r="V69">
        <v>755378820</v>
      </c>
      <c r="W69">
        <v>1.44</v>
      </c>
      <c r="X69">
        <v>0.16</v>
      </c>
      <c r="Y69">
        <v>6.02</v>
      </c>
      <c r="Z69" t="s">
        <v>915</v>
      </c>
      <c r="AA69" t="s">
        <v>2663</v>
      </c>
      <c r="AB69" t="s">
        <v>4179</v>
      </c>
      <c r="AC69" t="s">
        <v>4180</v>
      </c>
      <c r="AD69" t="s">
        <v>19</v>
      </c>
      <c r="AE69">
        <v>-3874926</v>
      </c>
      <c r="AF69" t="s">
        <v>4181</v>
      </c>
      <c r="AG69" t="s">
        <v>4182</v>
      </c>
      <c r="AH69" t="s">
        <v>4183</v>
      </c>
      <c r="AI69" t="s">
        <v>581</v>
      </c>
      <c r="AJ69" t="s">
        <v>4184</v>
      </c>
      <c r="AK69" t="s">
        <v>720</v>
      </c>
      <c r="AL69" t="s">
        <v>4185</v>
      </c>
      <c r="AM69" t="s">
        <v>19</v>
      </c>
      <c r="AN69" t="s">
        <v>4186</v>
      </c>
      <c r="AO69" t="s">
        <v>31</v>
      </c>
      <c r="AP69" t="s">
        <v>856</v>
      </c>
      <c r="AQ69" t="s">
        <v>135</v>
      </c>
      <c r="AR69" t="s">
        <v>19</v>
      </c>
      <c r="AS69" t="s">
        <v>2005</v>
      </c>
      <c r="AT69" t="s">
        <v>19</v>
      </c>
      <c r="AU69" t="s">
        <v>4187</v>
      </c>
      <c r="AV69" t="s">
        <v>4188</v>
      </c>
      <c r="AW69" t="s">
        <v>4189</v>
      </c>
      <c r="AX69" t="s">
        <v>2226</v>
      </c>
      <c r="AY69" t="s">
        <v>470</v>
      </c>
      <c r="AZ69" t="s">
        <v>807</v>
      </c>
      <c r="BA69" t="s">
        <v>359</v>
      </c>
      <c r="BB69" t="s">
        <v>766</v>
      </c>
      <c r="BC69" t="s">
        <v>4190</v>
      </c>
      <c r="BD69" t="s">
        <v>1633</v>
      </c>
      <c r="BE69" t="s">
        <v>808</v>
      </c>
      <c r="BF69" t="s">
        <v>264</v>
      </c>
      <c r="BG69" t="s">
        <v>92</v>
      </c>
      <c r="BH69" t="s">
        <v>3027</v>
      </c>
      <c r="BI69" t="s">
        <v>788</v>
      </c>
      <c r="BJ69" t="s">
        <v>2226</v>
      </c>
      <c r="BK69" t="s">
        <v>4178</v>
      </c>
      <c r="BL69" t="s">
        <v>4191</v>
      </c>
      <c r="BM69" t="s">
        <v>4190</v>
      </c>
      <c r="BN69">
        <v>1.48</v>
      </c>
      <c r="BO69">
        <v>3.55</v>
      </c>
      <c r="BP69">
        <v>3.2</v>
      </c>
      <c r="BQ69">
        <v>2.12</v>
      </c>
      <c r="BR69">
        <v>3.96</v>
      </c>
      <c r="BS69">
        <v>3.35</v>
      </c>
      <c r="BT69" t="s">
        <v>2041</v>
      </c>
      <c r="BU69" t="s">
        <v>2920</v>
      </c>
      <c r="BV69">
        <v>21.91</v>
      </c>
      <c r="BW69">
        <v>22.15</v>
      </c>
      <c r="BX69">
        <v>22.29</v>
      </c>
      <c r="BY69">
        <v>1.46</v>
      </c>
      <c r="BZ69">
        <v>4.46</v>
      </c>
      <c r="CA69">
        <v>3.77</v>
      </c>
      <c r="CB69">
        <v>-0.52</v>
      </c>
      <c r="CC69">
        <v>-8.33</v>
      </c>
      <c r="CD69" t="s">
        <v>4192</v>
      </c>
      <c r="CE69" t="s">
        <v>136</v>
      </c>
      <c r="CF69" s="14">
        <v>0.4081081081081081</v>
      </c>
      <c r="CG69" s="15">
        <v>0.6376046442486738</v>
      </c>
      <c r="CH69" s="14">
        <v>0.14958775043487549</v>
      </c>
      <c r="CI69" s="14">
        <v>2.4743551388382912E-2</v>
      </c>
      <c r="CJ69" s="14">
        <v>-1.0746344923973083E-2</v>
      </c>
      <c r="CK69" s="14">
        <v>4.6221110969781876E-2</v>
      </c>
      <c r="CL69" s="14">
        <v>9.8079606890678406E-2</v>
      </c>
      <c r="CM69" s="15">
        <v>-0.62479311227798462</v>
      </c>
      <c r="CN69" s="15">
        <v>0.21334235370159149</v>
      </c>
      <c r="CO69" s="15">
        <v>1.9077775478363037</v>
      </c>
      <c r="CP69" s="15">
        <v>-1.5053955316543579</v>
      </c>
      <c r="CQ69" s="15">
        <v>0.1525423675775528</v>
      </c>
      <c r="CR69">
        <v>49.603680552219281</v>
      </c>
      <c r="CS69">
        <v>8.0555356449966116</v>
      </c>
      <c r="CT69">
        <v>0.90909090909090906</v>
      </c>
      <c r="CU69" s="14">
        <v>6.1577134951949122E-2</v>
      </c>
      <c r="CV69" s="15">
        <v>2.8694725036621092E-2</v>
      </c>
      <c r="CW69">
        <v>0.06</v>
      </c>
      <c r="CX69">
        <v>63.28096979131886</v>
      </c>
      <c r="CY69">
        <v>28447863.645840649</v>
      </c>
      <c r="CZ69">
        <v>6.1577134951949122E-2</v>
      </c>
      <c r="DA69">
        <v>21.185010798975135</v>
      </c>
      <c r="DB69">
        <v>84975571.505825639</v>
      </c>
      <c r="DC69">
        <v>5.8498278204351661E-2</v>
      </c>
      <c r="DD69">
        <v>10.767276965605744</v>
      </c>
      <c r="DE69">
        <v>167192541.41511017</v>
      </c>
      <c r="DF69">
        <v>5.4187878757715226E-2</v>
      </c>
      <c r="DG69">
        <v>6.6996841545929895</v>
      </c>
      <c r="DH69">
        <v>268700487.73356897</v>
      </c>
      <c r="DI69">
        <v>4.9261707961559299E-2</v>
      </c>
      <c r="DJ69">
        <v>3.7350637097377373</v>
      </c>
      <c r="DK69">
        <v>481975286.07253772</v>
      </c>
      <c r="DL69">
        <v>4.3103994466364384E-2</v>
      </c>
      <c r="DM69">
        <v>28405600</v>
      </c>
      <c r="DN69">
        <v>6.1577134951949122E-2</v>
      </c>
      <c r="DO69">
        <v>1800208400</v>
      </c>
      <c r="DP69">
        <v>1037896900</v>
      </c>
      <c r="DQ69">
        <v>1848</v>
      </c>
      <c r="DR69">
        <v>0.34653097315615899</v>
      </c>
      <c r="DS69">
        <v>0.60890991921205273</v>
      </c>
      <c r="DT69" s="16">
        <v>-0.44</v>
      </c>
      <c r="DU69">
        <v>8.8333333333333375E-2</v>
      </c>
      <c r="DV69">
        <v>-0.35166666666666663</v>
      </c>
      <c r="DW69">
        <v>-2.0832999999999999</v>
      </c>
      <c r="DX69">
        <v>0.43625522388059762</v>
      </c>
      <c r="DY69">
        <v>-2.0121830601492539</v>
      </c>
      <c r="DZ69">
        <v>2576</v>
      </c>
      <c r="EA69">
        <v>-2.0060414627041507</v>
      </c>
      <c r="EB69">
        <v>2</v>
      </c>
      <c r="EC69">
        <v>7.7834589007936439E-2</v>
      </c>
      <c r="ED69">
        <v>0.53218330903161937</v>
      </c>
      <c r="EE69" s="17">
        <v>-1.0053099999999999</v>
      </c>
      <c r="EF69">
        <v>-1.0303100000000001</v>
      </c>
      <c r="EG69">
        <v>29.146255223880598</v>
      </c>
      <c r="EH69" t="s">
        <v>1838</v>
      </c>
      <c r="EI69">
        <v>0</v>
      </c>
      <c r="EJ69">
        <v>0</v>
      </c>
      <c r="EK69" s="19">
        <v>45470</v>
      </c>
      <c r="EL69" s="20">
        <v>0</v>
      </c>
      <c r="EM69" s="20">
        <v>-5.0599999999999996</v>
      </c>
      <c r="EN69" s="20">
        <v>3.47</v>
      </c>
      <c r="EO69" s="20">
        <v>3.09</v>
      </c>
      <c r="EP69" s="20">
        <v>-2.5</v>
      </c>
    </row>
    <row r="70" spans="1:146" ht="84" x14ac:dyDescent="0.25">
      <c r="A70" s="7"/>
      <c r="B70" s="7"/>
      <c r="C70" s="7" t="str">
        <f>""&amp;CHAR(10)&amp;Basic_Fundamental_Information_Constructure(F70)&amp;CHAR(10)&amp;Basic_Fundamental_Information_Concatenate("")</f>
        <v xml:space="preserve">
市值116.603549亿, 利润6.06亿; PE15.3; 平均PE23.57; 平均PEG.72, PB1.7; ROIC5.0967%; ROE8.55%; 股利率.6442%; 毛利9.78%; 净利2.5133%; 上一年度营收增9.33%, 利润增23.17%; 当季营收增16.5%, 利润增132.47%; 过往5年营收增32.69%, 利润增12.41%
Income profile:
</v>
      </c>
      <c r="D70" t="s">
        <v>810</v>
      </c>
      <c r="E70" t="s">
        <v>811</v>
      </c>
      <c r="F70">
        <v>18.43</v>
      </c>
      <c r="G70">
        <v>1.26</v>
      </c>
      <c r="H70" t="s">
        <v>4193</v>
      </c>
      <c r="I70">
        <v>11660354900</v>
      </c>
      <c r="J70">
        <v>15.3</v>
      </c>
      <c r="K70">
        <v>1.7</v>
      </c>
      <c r="L70" t="s">
        <v>172</v>
      </c>
      <c r="M70" t="s">
        <v>1075</v>
      </c>
      <c r="N70" t="s">
        <v>4194</v>
      </c>
      <c r="O70" t="s">
        <v>4195</v>
      </c>
      <c r="P70">
        <v>16.489999999999998</v>
      </c>
      <c r="Q70" t="s">
        <v>4196</v>
      </c>
      <c r="R70">
        <v>274308730</v>
      </c>
      <c r="S70" s="5">
        <v>1.325</v>
      </c>
      <c r="T70" t="s">
        <v>637</v>
      </c>
      <c r="U70">
        <v>535403410</v>
      </c>
      <c r="V70">
        <v>632683390</v>
      </c>
      <c r="W70">
        <v>2.69</v>
      </c>
      <c r="X70">
        <v>0.31</v>
      </c>
      <c r="Y70">
        <v>4.72</v>
      </c>
      <c r="Z70" t="s">
        <v>4197</v>
      </c>
      <c r="AA70" t="s">
        <v>4198</v>
      </c>
      <c r="AB70" t="s">
        <v>4199</v>
      </c>
      <c r="AC70" t="s">
        <v>593</v>
      </c>
      <c r="AD70" t="s">
        <v>19</v>
      </c>
      <c r="AE70">
        <v>75079235</v>
      </c>
      <c r="AF70" t="s">
        <v>4200</v>
      </c>
      <c r="AG70" t="s">
        <v>4201</v>
      </c>
      <c r="AH70" t="s">
        <v>4202</v>
      </c>
      <c r="AI70" t="s">
        <v>4203</v>
      </c>
      <c r="AJ70" t="s">
        <v>4204</v>
      </c>
      <c r="AK70" t="s">
        <v>1256</v>
      </c>
      <c r="AL70" t="s">
        <v>4205</v>
      </c>
      <c r="AM70" t="s">
        <v>19</v>
      </c>
      <c r="AN70" t="s">
        <v>1198</v>
      </c>
      <c r="AO70" t="s">
        <v>4206</v>
      </c>
      <c r="AP70" t="s">
        <v>2984</v>
      </c>
      <c r="AQ70" t="s">
        <v>907</v>
      </c>
      <c r="AR70" t="s">
        <v>19</v>
      </c>
      <c r="AS70" t="s">
        <v>4207</v>
      </c>
      <c r="AT70" t="s">
        <v>4208</v>
      </c>
      <c r="AU70" t="s">
        <v>4209</v>
      </c>
      <c r="AV70" t="s">
        <v>4210</v>
      </c>
      <c r="AW70" t="s">
        <v>900</v>
      </c>
      <c r="AX70" t="s">
        <v>2227</v>
      </c>
      <c r="AY70" t="s">
        <v>1634</v>
      </c>
      <c r="AZ70" t="s">
        <v>812</v>
      </c>
      <c r="BA70" t="s">
        <v>816</v>
      </c>
      <c r="BB70" t="s">
        <v>817</v>
      </c>
      <c r="BC70" t="s">
        <v>2166</v>
      </c>
      <c r="BD70" t="s">
        <v>1230</v>
      </c>
      <c r="BE70" t="s">
        <v>813</v>
      </c>
      <c r="BF70" t="s">
        <v>818</v>
      </c>
      <c r="BG70" t="s">
        <v>819</v>
      </c>
      <c r="BH70" t="s">
        <v>4196</v>
      </c>
      <c r="BI70" t="s">
        <v>4211</v>
      </c>
      <c r="BJ70" t="s">
        <v>2227</v>
      </c>
      <c r="BK70" t="s">
        <v>637</v>
      </c>
      <c r="BL70" t="s">
        <v>92</v>
      </c>
      <c r="BM70" t="s">
        <v>2166</v>
      </c>
      <c r="BN70">
        <v>3.61</v>
      </c>
      <c r="BO70">
        <v>5.57</v>
      </c>
      <c r="BP70">
        <v>6.11</v>
      </c>
      <c r="BQ70">
        <v>6.8</v>
      </c>
      <c r="BR70">
        <v>9.1300000000000008</v>
      </c>
      <c r="BS70">
        <v>9.7200000000000006</v>
      </c>
      <c r="BT70" t="s">
        <v>4212</v>
      </c>
      <c r="BU70" t="s">
        <v>3032</v>
      </c>
      <c r="BV70">
        <v>10.48</v>
      </c>
      <c r="BW70">
        <v>9.51</v>
      </c>
      <c r="BX70">
        <v>9.35</v>
      </c>
      <c r="BY70">
        <v>2.64</v>
      </c>
      <c r="BZ70">
        <v>2.35</v>
      </c>
      <c r="CA70">
        <v>2.5499999999999998</v>
      </c>
      <c r="CB70">
        <v>-0.86</v>
      </c>
      <c r="CC70">
        <v>-7.95</v>
      </c>
      <c r="CD70" t="s">
        <v>4213</v>
      </c>
      <c r="CE70" t="s">
        <v>1303</v>
      </c>
      <c r="CF70" s="14">
        <v>0.1649746192893401</v>
      </c>
      <c r="CG70" s="15">
        <v>1.3246502542372882</v>
      </c>
      <c r="CH70" s="14">
        <v>9.3303926289081573E-2</v>
      </c>
      <c r="CI70" s="14">
        <v>0.14688205718994141</v>
      </c>
      <c r="CJ70" s="14">
        <v>0.39142775535583496</v>
      </c>
      <c r="CK70" s="14">
        <v>-1.9978078082203865E-2</v>
      </c>
      <c r="CL70" s="14">
        <v>1.0229461193084717</v>
      </c>
      <c r="CM70" s="15">
        <v>0.23170731961727142</v>
      </c>
      <c r="CN70" s="15">
        <v>9.3333333730697632E-2</v>
      </c>
      <c r="CO70" s="15">
        <v>3.9260968565940857E-2</v>
      </c>
      <c r="CP70" s="15">
        <v>-0.27470687031745911</v>
      </c>
      <c r="CQ70" s="15">
        <v>0.5307692289352417</v>
      </c>
      <c r="CR70">
        <v>23.57214602425876</v>
      </c>
      <c r="CS70">
        <v>0.72104517228184417</v>
      </c>
      <c r="CT70">
        <v>0.64422571893651659</v>
      </c>
      <c r="CU70" s="14">
        <v>0.32691635601222513</v>
      </c>
      <c r="CV70" s="15">
        <v>0.12407279610633851</v>
      </c>
      <c r="CW70">
        <v>0.06</v>
      </c>
      <c r="CX70">
        <v>21.58640966804219</v>
      </c>
      <c r="CY70">
        <v>758595577.11642313</v>
      </c>
      <c r="CZ70">
        <v>0.32691635601222513</v>
      </c>
      <c r="DA70">
        <v>5.8048883123264305</v>
      </c>
      <c r="DB70">
        <v>2820959511.8699594</v>
      </c>
      <c r="DC70">
        <v>0.31057053821161384</v>
      </c>
      <c r="DD70">
        <v>2.1582268993104194</v>
      </c>
      <c r="DE70">
        <v>7587411177.7738161</v>
      </c>
      <c r="DF70">
        <v>0.28768639329075812</v>
      </c>
      <c r="DG70">
        <v>0.91834051500286185</v>
      </c>
      <c r="DH70">
        <v>17831462984.02066</v>
      </c>
      <c r="DI70">
        <v>0.2615330848097801</v>
      </c>
      <c r="DJ70">
        <v>0.20375301890505745</v>
      </c>
      <c r="DK70">
        <v>80368649200.875916</v>
      </c>
      <c r="DL70">
        <v>0.22884144920855756</v>
      </c>
      <c r="DM70">
        <v>606000000</v>
      </c>
      <c r="DN70">
        <v>0.32691635601222513</v>
      </c>
      <c r="DO70">
        <v>16375354900</v>
      </c>
      <c r="DP70">
        <v>4914047499.999999</v>
      </c>
      <c r="DQ70">
        <v>1900</v>
      </c>
      <c r="DR70">
        <v>-0.16194173672288503</v>
      </c>
      <c r="DS70">
        <v>1.2005774581309496</v>
      </c>
      <c r="DT70" s="16">
        <v>-0.10666666666666669</v>
      </c>
      <c r="DU70">
        <v>0.59</v>
      </c>
      <c r="DV70">
        <v>0.48333333333333328</v>
      </c>
      <c r="DW70">
        <v>-2.0794999999999999</v>
      </c>
      <c r="DX70">
        <v>0.37299794520547791</v>
      </c>
      <c r="DY70">
        <v>-2.0105733366438354</v>
      </c>
      <c r="DZ70">
        <v>733</v>
      </c>
      <c r="EA70">
        <v>-2.0090566525420877</v>
      </c>
      <c r="EB70">
        <v>2</v>
      </c>
      <c r="EC70">
        <v>3.0691022250481398E-2</v>
      </c>
      <c r="ED70">
        <v>0.23076313098720672</v>
      </c>
      <c r="EE70" s="17">
        <v>5.5800000000000002E-2</v>
      </c>
      <c r="EF70">
        <v>1.0000000000000002E-2</v>
      </c>
      <c r="EG70">
        <v>24.132997945205478</v>
      </c>
      <c r="EH70" t="s">
        <v>1831</v>
      </c>
      <c r="EI70">
        <v>0</v>
      </c>
      <c r="EJ70">
        <v>1</v>
      </c>
      <c r="EK70" s="19">
        <v>45470</v>
      </c>
      <c r="EL70" s="20">
        <v>1.05</v>
      </c>
      <c r="EM70" s="20">
        <v>-4.57</v>
      </c>
      <c r="EN70" s="20">
        <v>0.71</v>
      </c>
      <c r="EO70" s="20">
        <v>3.89</v>
      </c>
      <c r="EP70" s="20">
        <v>-4.58</v>
      </c>
    </row>
    <row r="71" spans="1:146" ht="84" x14ac:dyDescent="0.25">
      <c r="A71" s="7"/>
      <c r="B71" s="7"/>
      <c r="C71" s="7" t="str">
        <f>""&amp;CHAR(10)&amp;Basic_Fundamental_Information_Constructure(F71)&amp;CHAR(10)&amp;Basic_Fundamental_Information_Concatenate("")</f>
        <v xml:space="preserve">
市值77.64678亿, 利润-5.43亿; PE408.9; 平均PE-47.59; 平均PEG-1.07, PB1.92; ROIC15.89%; ROE8.1633%; 股利率0%; 毛利17.1833%; 净利4.5667%; 上一年度营收增-21.59%, 利润增-184.19%; 当季营收增106.34%, 利润增107.6%; 过往5年营收增44.65%, 利润增-3.06%
Income profile:
</v>
      </c>
      <c r="D71" t="s">
        <v>821</v>
      </c>
      <c r="E71" t="s">
        <v>822</v>
      </c>
      <c r="F71">
        <v>6.36</v>
      </c>
      <c r="G71">
        <v>0.95</v>
      </c>
      <c r="H71" t="s">
        <v>4214</v>
      </c>
      <c r="I71">
        <v>7764678000</v>
      </c>
      <c r="J71">
        <v>408.9</v>
      </c>
      <c r="K71">
        <v>1.92</v>
      </c>
      <c r="L71" t="s">
        <v>172</v>
      </c>
      <c r="M71" t="s">
        <v>4215</v>
      </c>
      <c r="N71" t="s">
        <v>2882</v>
      </c>
      <c r="O71" t="s">
        <v>106</v>
      </c>
      <c r="P71">
        <v>106.34</v>
      </c>
      <c r="Q71" t="s">
        <v>4216</v>
      </c>
      <c r="R71">
        <v>39684489</v>
      </c>
      <c r="S71" s="5">
        <v>1.0760000000000001</v>
      </c>
      <c r="T71" t="s">
        <v>2646</v>
      </c>
      <c r="U71">
        <v>1204900130</v>
      </c>
      <c r="V71">
        <v>1220861320</v>
      </c>
      <c r="W71">
        <v>2.13</v>
      </c>
      <c r="X71">
        <v>0.17</v>
      </c>
      <c r="Y71">
        <v>2.59</v>
      </c>
      <c r="Z71" t="s">
        <v>293</v>
      </c>
      <c r="AA71" t="s">
        <v>2520</v>
      </c>
      <c r="AB71" t="s">
        <v>4217</v>
      </c>
      <c r="AC71" t="s">
        <v>4218</v>
      </c>
      <c r="AD71" t="s">
        <v>19</v>
      </c>
      <c r="AE71">
        <v>16866130</v>
      </c>
      <c r="AF71" t="s">
        <v>4219</v>
      </c>
      <c r="AG71" t="s">
        <v>4220</v>
      </c>
      <c r="AH71" t="s">
        <v>4221</v>
      </c>
      <c r="AI71" t="s">
        <v>4222</v>
      </c>
      <c r="AJ71" t="s">
        <v>4223</v>
      </c>
      <c r="AK71" t="s">
        <v>190</v>
      </c>
      <c r="AL71" t="s">
        <v>4224</v>
      </c>
      <c r="AM71" t="s">
        <v>19</v>
      </c>
      <c r="AN71" t="s">
        <v>4225</v>
      </c>
      <c r="AO71" t="s">
        <v>1137</v>
      </c>
      <c r="AP71" t="s">
        <v>2692</v>
      </c>
      <c r="AQ71" t="s">
        <v>1429</v>
      </c>
      <c r="AR71" t="s">
        <v>19</v>
      </c>
      <c r="AS71" t="s">
        <v>4226</v>
      </c>
      <c r="AT71" t="s">
        <v>185</v>
      </c>
      <c r="AU71" t="s">
        <v>67</v>
      </c>
      <c r="AV71" t="s">
        <v>2828</v>
      </c>
      <c r="AW71" t="s">
        <v>4227</v>
      </c>
      <c r="AX71" t="s">
        <v>2228</v>
      </c>
      <c r="AY71" t="s">
        <v>1636</v>
      </c>
      <c r="AZ71" t="s">
        <v>823</v>
      </c>
      <c r="BA71" t="s">
        <v>648</v>
      </c>
      <c r="BB71" t="s">
        <v>824</v>
      </c>
      <c r="BC71" t="s">
        <v>314</v>
      </c>
      <c r="BD71" t="s">
        <v>62</v>
      </c>
      <c r="BE71" t="s">
        <v>438</v>
      </c>
      <c r="BF71" t="s">
        <v>89</v>
      </c>
      <c r="BG71" t="s">
        <v>826</v>
      </c>
      <c r="BH71" t="s">
        <v>4216</v>
      </c>
      <c r="BI71" t="s">
        <v>1659</v>
      </c>
      <c r="BJ71" t="s">
        <v>2228</v>
      </c>
      <c r="BK71" t="s">
        <v>2646</v>
      </c>
      <c r="BL71" t="s">
        <v>4228</v>
      </c>
      <c r="BM71" t="s">
        <v>314</v>
      </c>
      <c r="BN71" t="s">
        <v>19</v>
      </c>
      <c r="BO71">
        <v>16.53</v>
      </c>
      <c r="BP71">
        <v>15.25</v>
      </c>
      <c r="BQ71">
        <v>-8.9600000000000009</v>
      </c>
      <c r="BR71">
        <v>16.03</v>
      </c>
      <c r="BS71">
        <v>17.420000000000002</v>
      </c>
      <c r="BT71" t="s">
        <v>1983</v>
      </c>
      <c r="BU71" t="s">
        <v>2920</v>
      </c>
      <c r="BV71">
        <v>5.46</v>
      </c>
      <c r="BW71">
        <v>19.18</v>
      </c>
      <c r="BX71">
        <v>26.91</v>
      </c>
      <c r="BY71">
        <v>-10.119999999999999</v>
      </c>
      <c r="BZ71">
        <v>8.7899999999999991</v>
      </c>
      <c r="CA71">
        <v>15.03</v>
      </c>
      <c r="CB71">
        <v>-1.24</v>
      </c>
      <c r="CC71">
        <v>-15.31</v>
      </c>
      <c r="CD71" t="s">
        <v>4229</v>
      </c>
      <c r="CE71" t="s">
        <v>2082</v>
      </c>
      <c r="CF71" s="14">
        <v>1.0634482758620689</v>
      </c>
      <c r="CG71" s="15">
        <v>1.0760239252873562</v>
      </c>
      <c r="CH71" s="14">
        <v>-0.21587041020393372</v>
      </c>
      <c r="CI71" s="14">
        <v>1.7661896944046021</v>
      </c>
      <c r="CJ71" s="14">
        <v>0.43956643342971802</v>
      </c>
      <c r="CK71" s="14">
        <v>0.22023805975914001</v>
      </c>
      <c r="CL71" s="14">
        <v>2.2312328219413757E-2</v>
      </c>
      <c r="CM71" s="15">
        <v>-1.8418604135513306</v>
      </c>
      <c r="CN71" s="15">
        <v>0.61654132604598999</v>
      </c>
      <c r="CO71" s="15">
        <v>0.20909090340137482</v>
      </c>
      <c r="CP71" s="15">
        <v>-0.35797664523124695</v>
      </c>
      <c r="CQ71" s="15">
        <v>1.2211704254150391</v>
      </c>
      <c r="CR71">
        <v>-47.587403472931562</v>
      </c>
      <c r="CS71">
        <v>-1.0658178156447433</v>
      </c>
      <c r="CT71">
        <v>0</v>
      </c>
      <c r="CU71" s="14">
        <v>0.44648722112178801</v>
      </c>
      <c r="CV71" s="15">
        <v>-3.0606880784034729E-2</v>
      </c>
      <c r="CW71">
        <v>0.06</v>
      </c>
      <c r="CX71" t="e">
        <v>#VALUE!</v>
      </c>
      <c r="CY71" t="s">
        <v>1835</v>
      </c>
      <c r="CZ71">
        <v>0.44648722112178801</v>
      </c>
      <c r="DA71" t="e">
        <v>#VALUE!</v>
      </c>
      <c r="DB71" t="s">
        <v>1835</v>
      </c>
      <c r="DC71">
        <v>0.42416286006569859</v>
      </c>
      <c r="DD71" t="e">
        <v>#VALUE!</v>
      </c>
      <c r="DE71" t="s">
        <v>1835</v>
      </c>
      <c r="DF71">
        <v>0.39290875458717345</v>
      </c>
      <c r="DG71" t="e">
        <v>#VALUE!</v>
      </c>
      <c r="DH71" t="s">
        <v>1835</v>
      </c>
      <c r="DI71">
        <v>0.35718977689743042</v>
      </c>
      <c r="DJ71" t="e">
        <v>#VALUE!</v>
      </c>
      <c r="DK71" t="s">
        <v>1835</v>
      </c>
      <c r="DL71">
        <v>0.31254105478525157</v>
      </c>
      <c r="DM71">
        <v>-543000000</v>
      </c>
      <c r="DN71">
        <v>0.44648722112178801</v>
      </c>
      <c r="DO71">
        <v>8731678000</v>
      </c>
      <c r="DP71">
        <v>441975500</v>
      </c>
      <c r="DQ71">
        <v>1903</v>
      </c>
      <c r="DR71">
        <v>0.61696105474028085</v>
      </c>
      <c r="DS71">
        <v>1.106630806071391</v>
      </c>
      <c r="DT71" s="16">
        <v>-5.6666666666666719E-2</v>
      </c>
      <c r="DU71">
        <v>-0.23333333333333331</v>
      </c>
      <c r="DV71">
        <v>-0.29000000000000004</v>
      </c>
      <c r="DW71">
        <v>-2.1531000000000002</v>
      </c>
      <c r="DX71">
        <v>0.3167546218487412</v>
      </c>
      <c r="DY71">
        <v>-2.020937132605042</v>
      </c>
      <c r="DZ71">
        <v>2413</v>
      </c>
      <c r="EA71">
        <v>-2.0110503809463403</v>
      </c>
      <c r="EB71">
        <v>2</v>
      </c>
      <c r="EC71">
        <v>3.9989308531783119E-2</v>
      </c>
      <c r="ED71">
        <v>0.29241650476730641</v>
      </c>
      <c r="EE71" s="17">
        <v>-1.0418000000000001</v>
      </c>
      <c r="EF71">
        <v>-1.00671</v>
      </c>
      <c r="EG71">
        <v>18.136754621848741</v>
      </c>
      <c r="EH71" t="s">
        <v>1838</v>
      </c>
      <c r="EI71">
        <v>0</v>
      </c>
      <c r="EJ71">
        <v>0</v>
      </c>
      <c r="EK71" s="19">
        <v>45470</v>
      </c>
      <c r="EL71" s="20">
        <v>2.5099999999999998</v>
      </c>
      <c r="EM71" s="20">
        <v>-7.78</v>
      </c>
      <c r="EN71" s="20">
        <v>0.94</v>
      </c>
      <c r="EO71" s="20">
        <v>5.26</v>
      </c>
      <c r="EP71" s="20">
        <v>-4.8499999999999996</v>
      </c>
    </row>
    <row r="72" spans="1:146" ht="84" x14ac:dyDescent="0.25">
      <c r="C72" s="7" t="str">
        <f>""&amp;CHAR(10)&amp;Basic_Fundamental_Information_Constructure(F72)&amp;CHAR(10)&amp;Basic_Fundamental_Information_Concatenate("")</f>
        <v xml:space="preserve">
市值96.545835亿, 利润4.23亿; PE17.61; 平均PE65.62; 平均PEG.11, PB2.05; ROIC3.7967%; ROE4.82%; 股利率.8757%; 毛利34.73%; 净利5.1533%; 上一年度营收增20.11%, 利润增61.45%; 当季营收增70.2%, 利润增295.34%; 过往5年营收增618.31%, 利润增1044.94%
Income profile:
</v>
      </c>
      <c r="D72" t="s">
        <v>2631</v>
      </c>
      <c r="E72" t="s">
        <v>2843</v>
      </c>
      <c r="F72">
        <v>11.42</v>
      </c>
      <c r="G72">
        <v>0.53</v>
      </c>
      <c r="H72" t="s">
        <v>4230</v>
      </c>
      <c r="I72">
        <v>9654583500</v>
      </c>
      <c r="J72">
        <v>17.61</v>
      </c>
      <c r="K72">
        <v>2.0499999999999998</v>
      </c>
      <c r="L72" t="s">
        <v>172</v>
      </c>
      <c r="M72" t="s">
        <v>2089</v>
      </c>
      <c r="N72" t="s">
        <v>3349</v>
      </c>
      <c r="O72" t="s">
        <v>4231</v>
      </c>
      <c r="P72" s="5">
        <v>70.14</v>
      </c>
      <c r="Q72" t="s">
        <v>4232</v>
      </c>
      <c r="R72">
        <v>167123860</v>
      </c>
      <c r="S72">
        <v>2.9529999999999998</v>
      </c>
      <c r="T72" t="s">
        <v>2632</v>
      </c>
      <c r="U72">
        <v>311536420</v>
      </c>
      <c r="V72">
        <v>845410110</v>
      </c>
      <c r="W72">
        <v>1.83</v>
      </c>
      <c r="X72">
        <v>0.2</v>
      </c>
      <c r="Y72">
        <v>10.14</v>
      </c>
      <c r="Z72" t="s">
        <v>4233</v>
      </c>
      <c r="AA72" t="s">
        <v>1992</v>
      </c>
      <c r="AB72" t="s">
        <v>4234</v>
      </c>
      <c r="AC72" t="s">
        <v>4235</v>
      </c>
      <c r="AD72" t="s">
        <v>19</v>
      </c>
      <c r="AE72">
        <v>2561491</v>
      </c>
      <c r="AF72" t="s">
        <v>4236</v>
      </c>
      <c r="AG72" t="s">
        <v>4237</v>
      </c>
      <c r="AH72" t="s">
        <v>4238</v>
      </c>
      <c r="AI72" t="s">
        <v>4239</v>
      </c>
      <c r="AJ72" t="s">
        <v>4240</v>
      </c>
      <c r="AK72" t="s">
        <v>292</v>
      </c>
      <c r="AL72" t="s">
        <v>4241</v>
      </c>
      <c r="AM72" t="s">
        <v>19</v>
      </c>
      <c r="AN72" t="s">
        <v>778</v>
      </c>
      <c r="AO72" t="s">
        <v>626</v>
      </c>
      <c r="AP72" t="s">
        <v>792</v>
      </c>
      <c r="AQ72" t="s">
        <v>756</v>
      </c>
      <c r="AR72" t="s">
        <v>4242</v>
      </c>
      <c r="AS72" t="s">
        <v>4243</v>
      </c>
      <c r="AT72" t="s">
        <v>2387</v>
      </c>
      <c r="AU72" t="s">
        <v>4244</v>
      </c>
      <c r="AV72" t="s">
        <v>4245</v>
      </c>
      <c r="AW72" t="s">
        <v>2742</v>
      </c>
      <c r="AX72" t="s">
        <v>4246</v>
      </c>
      <c r="AY72" t="s">
        <v>93</v>
      </c>
      <c r="AZ72" t="s">
        <v>593</v>
      </c>
      <c r="BA72" t="s">
        <v>700</v>
      </c>
      <c r="BB72" t="s">
        <v>78</v>
      </c>
      <c r="BC72" t="s">
        <v>514</v>
      </c>
      <c r="BD72" t="s">
        <v>2634</v>
      </c>
      <c r="BE72" t="s">
        <v>2635</v>
      </c>
      <c r="BF72" t="s">
        <v>103</v>
      </c>
      <c r="BG72" t="s">
        <v>25</v>
      </c>
      <c r="BH72" t="s">
        <v>4232</v>
      </c>
      <c r="BI72" t="s">
        <v>2626</v>
      </c>
      <c r="BJ72" t="s">
        <v>4246</v>
      </c>
      <c r="BK72" t="s">
        <v>2632</v>
      </c>
      <c r="BL72" t="s">
        <v>4247</v>
      </c>
      <c r="BM72" t="s">
        <v>514</v>
      </c>
      <c r="BN72">
        <v>10.37</v>
      </c>
      <c r="BO72">
        <v>0.24</v>
      </c>
      <c r="BP72">
        <v>0.78</v>
      </c>
      <c r="BQ72">
        <v>12.92</v>
      </c>
      <c r="BR72">
        <v>0.77</v>
      </c>
      <c r="BS72">
        <v>0.77</v>
      </c>
      <c r="BT72" t="s">
        <v>2003</v>
      </c>
      <c r="BU72" t="s">
        <v>3084</v>
      </c>
      <c r="BV72">
        <v>23.29</v>
      </c>
      <c r="BW72">
        <v>38.75</v>
      </c>
      <c r="BX72">
        <v>42.15</v>
      </c>
      <c r="BY72">
        <v>8.9700000000000006</v>
      </c>
      <c r="BZ72">
        <v>3.18</v>
      </c>
      <c r="CA72">
        <v>3.31</v>
      </c>
      <c r="CB72">
        <v>-4.03</v>
      </c>
      <c r="CC72" s="14">
        <v>-23.61</v>
      </c>
      <c r="CD72" s="15" t="s">
        <v>4248</v>
      </c>
      <c r="CE72" s="14" t="s">
        <v>521</v>
      </c>
      <c r="CF72" s="14">
        <v>0.70197486535008979</v>
      </c>
      <c r="CG72" s="14">
        <v>2.95343279768931</v>
      </c>
      <c r="CH72" s="14">
        <v>0.20106571912765503</v>
      </c>
      <c r="CI72" s="14">
        <v>30.888889312744141</v>
      </c>
      <c r="CJ72" s="15">
        <v>0.16793893277645111</v>
      </c>
      <c r="CK72" s="15">
        <v>-0.6077844500541687</v>
      </c>
      <c r="CL72" s="15">
        <v>0.2651515007019043</v>
      </c>
      <c r="CM72" s="15">
        <v>0.61450380086898804</v>
      </c>
      <c r="CN72" s="15">
        <v>51.536594390869141</v>
      </c>
      <c r="CO72">
        <v>1.1981098651885986</v>
      </c>
      <c r="CP72">
        <v>-1.2188947200775146</v>
      </c>
      <c r="CQ72">
        <v>0.11650485545396805</v>
      </c>
      <c r="CR72" s="14">
        <v>65.616873359861373</v>
      </c>
      <c r="CS72" s="15">
        <v>0.10612375766032839</v>
      </c>
      <c r="CT72">
        <v>0.87565674255691772</v>
      </c>
      <c r="CU72">
        <v>6.1830522030591961</v>
      </c>
      <c r="CV72">
        <v>10.449363638460635</v>
      </c>
      <c r="CW72">
        <v>0.06</v>
      </c>
      <c r="CX72">
        <v>3.3374390389920432</v>
      </c>
      <c r="CY72">
        <v>2866444416.8811703</v>
      </c>
      <c r="CZ72">
        <v>6.1830522030591961</v>
      </c>
      <c r="DA72">
        <v>7.0401896772823352E-2</v>
      </c>
      <c r="DB72">
        <v>135885309040.32272</v>
      </c>
      <c r="DC72">
        <v>5.8738995929062359</v>
      </c>
      <c r="DD72">
        <v>3.7533286184848784E-4</v>
      </c>
      <c r="DE72">
        <v>25488265143865.238</v>
      </c>
      <c r="DF72">
        <v>5.4410859386920922</v>
      </c>
      <c r="DG72">
        <v>6.0205896005143059E-7</v>
      </c>
      <c r="DH72">
        <v>1.5889778468179894E+16</v>
      </c>
      <c r="DI72">
        <v>4.9464417624473569</v>
      </c>
      <c r="DJ72">
        <v>1.7087945374365076E-13</v>
      </c>
      <c r="DK72">
        <v>5.5984398887133374E+22</v>
      </c>
      <c r="DL72">
        <v>4.3281365421414373</v>
      </c>
      <c r="DM72">
        <v>423000000.00000006</v>
      </c>
      <c r="DN72">
        <v>6.1830522030591961</v>
      </c>
      <c r="DO72">
        <v>9566583500</v>
      </c>
      <c r="DP72">
        <v>2430285099.9999995</v>
      </c>
      <c r="DQ72" s="16">
        <v>1917</v>
      </c>
      <c r="DR72">
        <v>-5.481077337709106</v>
      </c>
      <c r="DS72">
        <v>-7.4959308407713259</v>
      </c>
      <c r="DT72">
        <v>9.3333333333333338E-2</v>
      </c>
      <c r="DU72">
        <v>0.93333333333333324</v>
      </c>
      <c r="DV72">
        <v>1.0266666666666666</v>
      </c>
      <c r="DW72">
        <v>-8.1706903854299018</v>
      </c>
      <c r="DX72">
        <v>0.3242002840909089</v>
      </c>
      <c r="DY72">
        <v>-8.0229066982162802</v>
      </c>
      <c r="DZ72">
        <v>196</v>
      </c>
      <c r="EA72">
        <v>-8.0220280851340124</v>
      </c>
      <c r="EB72" s="17">
        <v>8</v>
      </c>
      <c r="EC72" s="17">
        <v>5.5876431380741352E-2</v>
      </c>
      <c r="ED72">
        <v>0.41636596941098802</v>
      </c>
      <c r="EE72">
        <v>3.01661</v>
      </c>
      <c r="EF72">
        <v>3.0384099999999998</v>
      </c>
      <c r="EG72">
        <v>19.134200284090909</v>
      </c>
      <c r="EH72" s="19" t="s">
        <v>2487</v>
      </c>
      <c r="EI72">
        <v>0</v>
      </c>
      <c r="EJ72">
        <v>1</v>
      </c>
      <c r="EK72">
        <v>45470</v>
      </c>
      <c r="EL72">
        <v>-0.4</v>
      </c>
      <c r="EM72">
        <v>-4.71</v>
      </c>
      <c r="EN72" s="20">
        <v>-0.94</v>
      </c>
      <c r="EO72" s="20">
        <v>2.75</v>
      </c>
      <c r="EP72" s="20">
        <v>-2.1800000000000002</v>
      </c>
    </row>
    <row r="73" spans="1:146" ht="84" x14ac:dyDescent="0.25">
      <c r="A73" s="7"/>
      <c r="B73" s="7"/>
      <c r="C73" s="7" t="str">
        <f>""&amp;CHAR(10)&amp;Basic_Fundamental_Information_Constructure(F73)&amp;CHAR(10)&amp;Basic_Fundamental_Information_Concatenate("")</f>
        <v xml:space="preserve">
市值20.148425亿, 利润1288.17万; PE46.65; 平均PE-10.9; 平均PEG-4, PB1.32; ROIC4.265%; ROE-17.0867%; 股利率0%; 毛利19.2333%; 净利-7.34%; 上一年度营收增6.54%, 利润增101.41%; 当季营收增.95%, 利润增124.93%; 过往5年营收增2.72%, 利润增-928.46%
Income profile:
</v>
      </c>
      <c r="D73" t="s">
        <v>830</v>
      </c>
      <c r="E73" t="s">
        <v>831</v>
      </c>
      <c r="F73">
        <v>13.39</v>
      </c>
      <c r="G73">
        <v>0.83</v>
      </c>
      <c r="H73" t="s">
        <v>4249</v>
      </c>
      <c r="I73">
        <v>2014842500</v>
      </c>
      <c r="J73">
        <v>46.65</v>
      </c>
      <c r="K73">
        <v>1.32</v>
      </c>
      <c r="L73" t="s">
        <v>172</v>
      </c>
      <c r="M73" t="s">
        <v>4250</v>
      </c>
      <c r="N73" t="s">
        <v>4251</v>
      </c>
      <c r="O73" t="s">
        <v>4252</v>
      </c>
      <c r="P73">
        <v>1.02</v>
      </c>
      <c r="Q73" t="s">
        <v>4253</v>
      </c>
      <c r="R73">
        <v>6047322</v>
      </c>
      <c r="S73" s="5">
        <v>1.2490000000000001</v>
      </c>
      <c r="T73" t="s">
        <v>4254</v>
      </c>
      <c r="U73">
        <v>149450570</v>
      </c>
      <c r="V73">
        <v>150473680</v>
      </c>
      <c r="W73">
        <v>2.7</v>
      </c>
      <c r="X73">
        <v>0.25</v>
      </c>
      <c r="Y73">
        <v>0.41</v>
      </c>
      <c r="Z73" t="s">
        <v>1194</v>
      </c>
      <c r="AA73" t="s">
        <v>1794</v>
      </c>
      <c r="AB73" t="s">
        <v>4255</v>
      </c>
      <c r="AC73" t="s">
        <v>115</v>
      </c>
      <c r="AD73" t="s">
        <v>19</v>
      </c>
      <c r="AE73">
        <v>20526761</v>
      </c>
      <c r="AF73" t="s">
        <v>4256</v>
      </c>
      <c r="AG73" t="s">
        <v>4257</v>
      </c>
      <c r="AH73" t="s">
        <v>4258</v>
      </c>
      <c r="AI73" t="s">
        <v>2187</v>
      </c>
      <c r="AJ73" t="s">
        <v>4259</v>
      </c>
      <c r="AK73" t="s">
        <v>4260</v>
      </c>
      <c r="AL73" t="s">
        <v>4261</v>
      </c>
      <c r="AM73" t="s">
        <v>19</v>
      </c>
      <c r="AN73" t="s">
        <v>74</v>
      </c>
      <c r="AO73" t="s">
        <v>827</v>
      </c>
      <c r="AP73" t="s">
        <v>224</v>
      </c>
      <c r="AQ73" t="s">
        <v>1853</v>
      </c>
      <c r="AR73" t="s">
        <v>19</v>
      </c>
      <c r="AS73" t="s">
        <v>4262</v>
      </c>
      <c r="AT73" t="s">
        <v>2546</v>
      </c>
      <c r="AU73" t="s">
        <v>242</v>
      </c>
      <c r="AV73" t="s">
        <v>4263</v>
      </c>
      <c r="AW73" t="s">
        <v>4264</v>
      </c>
      <c r="AX73" t="s">
        <v>2229</v>
      </c>
      <c r="AY73" t="s">
        <v>551</v>
      </c>
      <c r="AZ73" t="s">
        <v>832</v>
      </c>
      <c r="BA73" t="s">
        <v>403</v>
      </c>
      <c r="BB73" t="s">
        <v>646</v>
      </c>
      <c r="BC73" t="s">
        <v>2230</v>
      </c>
      <c r="BD73" t="s">
        <v>1637</v>
      </c>
      <c r="BE73" t="s">
        <v>833</v>
      </c>
      <c r="BF73" t="s">
        <v>835</v>
      </c>
      <c r="BG73" t="s">
        <v>287</v>
      </c>
      <c r="BH73" t="s">
        <v>4253</v>
      </c>
      <c r="BI73" t="s">
        <v>4265</v>
      </c>
      <c r="BJ73" t="s">
        <v>2229</v>
      </c>
      <c r="BK73" t="s">
        <v>4254</v>
      </c>
      <c r="BL73" t="s">
        <v>4266</v>
      </c>
      <c r="BM73" t="s">
        <v>2230</v>
      </c>
      <c r="BN73">
        <v>5.71</v>
      </c>
      <c r="BO73" t="s">
        <v>19</v>
      </c>
      <c r="BP73">
        <v>2.82</v>
      </c>
      <c r="BQ73">
        <v>0.73</v>
      </c>
      <c r="BR73">
        <v>-53.08</v>
      </c>
      <c r="BS73">
        <v>1.0900000000000001</v>
      </c>
      <c r="BT73" t="s">
        <v>1983</v>
      </c>
      <c r="BU73" t="s">
        <v>3125</v>
      </c>
      <c r="BV73">
        <v>19.89</v>
      </c>
      <c r="BW73">
        <v>16.36</v>
      </c>
      <c r="BX73">
        <v>21.45</v>
      </c>
      <c r="BY73">
        <v>0.21</v>
      </c>
      <c r="BZ73">
        <v>-22.89</v>
      </c>
      <c r="CA73">
        <v>0.66</v>
      </c>
      <c r="CB73">
        <v>-1.62</v>
      </c>
      <c r="CC73">
        <v>-8.1</v>
      </c>
      <c r="CD73" t="s">
        <v>4267</v>
      </c>
      <c r="CE73" t="s">
        <v>367</v>
      </c>
      <c r="CF73" s="14">
        <v>9.5328884652049577E-3</v>
      </c>
      <c r="CG73" s="15">
        <v>1.2492610362309879</v>
      </c>
      <c r="CH73" s="14">
        <v>6.5427444875240326E-2</v>
      </c>
      <c r="CI73" s="14">
        <v>0.10125547647476196</v>
      </c>
      <c r="CJ73" s="14">
        <v>8.210282027721405E-2</v>
      </c>
      <c r="CK73" s="14">
        <v>-0.12302514165639877</v>
      </c>
      <c r="CL73" s="14">
        <v>1.0468464344739914E-2</v>
      </c>
      <c r="CM73" s="15">
        <v>1.0140630006790161</v>
      </c>
      <c r="CN73" s="15">
        <v>-39.876979827880859</v>
      </c>
      <c r="CO73" s="15">
        <v>1.0557008981704712</v>
      </c>
      <c r="CP73" s="15">
        <v>-8.062748908996582</v>
      </c>
      <c r="CQ73" s="15">
        <v>-0.5530470609664917</v>
      </c>
      <c r="CR73">
        <v>-10.904154013687272</v>
      </c>
      <c r="CS73">
        <v>-4.002139363017708</v>
      </c>
      <c r="CT73">
        <v>0</v>
      </c>
      <c r="CU73" s="14">
        <v>2.7245812863111497E-2</v>
      </c>
      <c r="CV73" s="15">
        <v>-9.2846023797988888</v>
      </c>
      <c r="CW73">
        <v>0.06</v>
      </c>
      <c r="CX73">
        <v>242.38437679569293</v>
      </c>
      <c r="CY73">
        <v>12483653.195810135</v>
      </c>
      <c r="CZ73">
        <v>2.7245812863111497E-2</v>
      </c>
      <c r="DA73">
        <v>83.562723134386601</v>
      </c>
      <c r="DB73">
        <v>36210434.348026246</v>
      </c>
      <c r="DC73">
        <v>2.5883522219955921E-2</v>
      </c>
      <c r="DD73">
        <v>44.108354956394578</v>
      </c>
      <c r="DE73">
        <v>68600211.977783829</v>
      </c>
      <c r="DF73">
        <v>2.3976315319538116E-2</v>
      </c>
      <c r="DG73">
        <v>28.585103504691237</v>
      </c>
      <c r="DH73">
        <v>105853823.46100006</v>
      </c>
      <c r="DI73">
        <v>2.1796650290489199E-2</v>
      </c>
      <c r="DJ73">
        <v>17.308756658127123</v>
      </c>
      <c r="DK73">
        <v>174815705.12340939</v>
      </c>
      <c r="DL73">
        <v>1.9072069004178047E-2</v>
      </c>
      <c r="DM73">
        <v>12881700</v>
      </c>
      <c r="DN73">
        <v>2.7245812863111497E-2</v>
      </c>
      <c r="DO73">
        <v>3025842500</v>
      </c>
      <c r="DP73">
        <v>550790200.00000024</v>
      </c>
      <c r="DQ73">
        <v>1944</v>
      </c>
      <c r="DR73">
        <v>-1.7712924397906539E-2</v>
      </c>
      <c r="DS73">
        <v>10.533863416029877</v>
      </c>
      <c r="DT73" s="16">
        <v>-0.44</v>
      </c>
      <c r="DU73">
        <v>-0.42666666666666669</v>
      </c>
      <c r="DV73">
        <v>-0.8666666666666667</v>
      </c>
      <c r="DW73">
        <v>-2.081</v>
      </c>
      <c r="DX73">
        <v>0.32722673267326574</v>
      </c>
      <c r="DY73">
        <v>-2.0127353653465345</v>
      </c>
      <c r="DZ73">
        <v>3424</v>
      </c>
      <c r="EA73">
        <v>-2.004201922891244</v>
      </c>
      <c r="EB73">
        <v>2</v>
      </c>
      <c r="EC73">
        <v>0.10553274167282943</v>
      </c>
      <c r="ED73">
        <v>0.67121372986956918</v>
      </c>
      <c r="EE73" s="17">
        <v>-5.0160999999999998</v>
      </c>
      <c r="EF73">
        <v>-5.0015099999999997</v>
      </c>
      <c r="EG73">
        <v>17.157226732673266</v>
      </c>
      <c r="EH73" t="s">
        <v>2872</v>
      </c>
      <c r="EI73">
        <v>0</v>
      </c>
      <c r="EJ73">
        <v>0</v>
      </c>
      <c r="EK73" s="19">
        <v>45470</v>
      </c>
      <c r="EL73" s="20">
        <v>-0.44</v>
      </c>
      <c r="EM73" s="20">
        <v>-4.67</v>
      </c>
      <c r="EN73" s="20">
        <v>1.55</v>
      </c>
      <c r="EO73" s="20">
        <v>4.59</v>
      </c>
      <c r="EP73" s="20">
        <v>-1.76</v>
      </c>
    </row>
    <row r="74" spans="1:146" ht="84" x14ac:dyDescent="0.25">
      <c r="A74" s="7"/>
      <c r="B74" s="7"/>
      <c r="C74" s="7" t="str">
        <f>""&amp;CHAR(10)&amp;Basic_Fundamental_Information_Constructure(F74)&amp;CHAR(10)&amp;Basic_Fundamental_Information_Concatenate("")</f>
        <v xml:space="preserve">
市值43.217478亿, 利润1.24亿; PE33.48; 平均PE34.21; 平均PEG3.1, PB2.19; ROIC9.67%; ROE9.38%; 股利率1.0989%; 毛利24.3367%; 净利20.78%; 上一年度营收增16.65%, 利润增-55.23%; 当季营收增27.23%, 利润增22.79%; 过往5年营收增11.04%, 利润增30.5%
Income profile:
</v>
      </c>
      <c r="D74" t="s">
        <v>836</v>
      </c>
      <c r="E74" t="s">
        <v>837</v>
      </c>
      <c r="F74">
        <v>5.46</v>
      </c>
      <c r="G74">
        <v>-2.85</v>
      </c>
      <c r="H74" t="s">
        <v>4268</v>
      </c>
      <c r="I74">
        <v>4321747800</v>
      </c>
      <c r="J74">
        <v>33.479999999999997</v>
      </c>
      <c r="K74">
        <v>2.19</v>
      </c>
      <c r="L74" t="s">
        <v>172</v>
      </c>
      <c r="M74" t="s">
        <v>563</v>
      </c>
      <c r="N74" t="s">
        <v>4269</v>
      </c>
      <c r="O74" t="s">
        <v>559</v>
      </c>
      <c r="P74">
        <v>27.57</v>
      </c>
      <c r="Q74" t="s">
        <v>1586</v>
      </c>
      <c r="R74">
        <v>28127031</v>
      </c>
      <c r="S74" s="5">
        <v>0.22789999999999999</v>
      </c>
      <c r="T74" t="s">
        <v>392</v>
      </c>
      <c r="U74">
        <v>767448750</v>
      </c>
      <c r="V74">
        <v>791528910</v>
      </c>
      <c r="W74">
        <v>1.41</v>
      </c>
      <c r="X74">
        <v>0.08</v>
      </c>
      <c r="Y74">
        <v>15.56</v>
      </c>
      <c r="Z74" t="s">
        <v>827</v>
      </c>
      <c r="AA74" t="s">
        <v>946</v>
      </c>
      <c r="AB74" t="s">
        <v>4270</v>
      </c>
      <c r="AC74" t="s">
        <v>4271</v>
      </c>
      <c r="AD74" t="s">
        <v>19</v>
      </c>
      <c r="AE74">
        <v>4135048</v>
      </c>
      <c r="AF74" t="s">
        <v>4272</v>
      </c>
      <c r="AG74" t="s">
        <v>4273</v>
      </c>
      <c r="AH74" t="s">
        <v>4274</v>
      </c>
      <c r="AI74" t="s">
        <v>102</v>
      </c>
      <c r="AJ74" t="s">
        <v>4275</v>
      </c>
      <c r="AK74" t="s">
        <v>4276</v>
      </c>
      <c r="AL74" t="s">
        <v>4277</v>
      </c>
      <c r="AM74" t="s">
        <v>19</v>
      </c>
      <c r="AN74" t="s">
        <v>4278</v>
      </c>
      <c r="AO74" t="s">
        <v>236</v>
      </c>
      <c r="AP74" t="s">
        <v>4279</v>
      </c>
      <c r="AQ74" t="s">
        <v>545</v>
      </c>
      <c r="AR74" t="s">
        <v>19</v>
      </c>
      <c r="AS74" t="s">
        <v>2193</v>
      </c>
      <c r="AT74" t="s">
        <v>4280</v>
      </c>
      <c r="AU74" t="s">
        <v>4281</v>
      </c>
      <c r="AV74" t="s">
        <v>4282</v>
      </c>
      <c r="AW74" t="s">
        <v>4283</v>
      </c>
      <c r="AX74" t="s">
        <v>1977</v>
      </c>
      <c r="AY74" t="s">
        <v>1639</v>
      </c>
      <c r="AZ74" t="s">
        <v>649</v>
      </c>
      <c r="BA74" t="s">
        <v>839</v>
      </c>
      <c r="BB74" t="s">
        <v>840</v>
      </c>
      <c r="BC74" t="s">
        <v>151</v>
      </c>
      <c r="BD74" t="s">
        <v>1640</v>
      </c>
      <c r="BE74" t="s">
        <v>23</v>
      </c>
      <c r="BF74" t="s">
        <v>841</v>
      </c>
      <c r="BG74" t="s">
        <v>842</v>
      </c>
      <c r="BH74" t="s">
        <v>1586</v>
      </c>
      <c r="BI74" t="s">
        <v>26</v>
      </c>
      <c r="BJ74" t="s">
        <v>1977</v>
      </c>
      <c r="BK74" t="s">
        <v>392</v>
      </c>
      <c r="BL74" t="s">
        <v>4284</v>
      </c>
      <c r="BM74" t="s">
        <v>151</v>
      </c>
      <c r="BN74">
        <v>5.14</v>
      </c>
      <c r="BO74">
        <v>15.33</v>
      </c>
      <c r="BP74">
        <v>8.5399999999999991</v>
      </c>
      <c r="BQ74">
        <v>4.79</v>
      </c>
      <c r="BR74">
        <v>15.72</v>
      </c>
      <c r="BS74">
        <v>7.63</v>
      </c>
      <c r="BT74" t="s">
        <v>2011</v>
      </c>
      <c r="BU74" t="s">
        <v>2920</v>
      </c>
      <c r="BV74">
        <v>23.82</v>
      </c>
      <c r="BW74">
        <v>23.83</v>
      </c>
      <c r="BX74">
        <v>25.36</v>
      </c>
      <c r="BY74">
        <v>14.66</v>
      </c>
      <c r="BZ74">
        <v>32.130000000000003</v>
      </c>
      <c r="CA74">
        <v>15.55</v>
      </c>
      <c r="CB74">
        <v>-5.04</v>
      </c>
      <c r="CC74">
        <v>8.98</v>
      </c>
      <c r="CD74" t="s">
        <v>121</v>
      </c>
      <c r="CE74" t="s">
        <v>1409</v>
      </c>
      <c r="CF74" s="14">
        <v>0.27225130890052374</v>
      </c>
      <c r="CG74" s="15">
        <v>0.22790073603240987</v>
      </c>
      <c r="CH74" s="14">
        <v>0.16649316251277924</v>
      </c>
      <c r="CI74" s="14">
        <v>0.12135355919599533</v>
      </c>
      <c r="CJ74" s="14">
        <v>5.2825551480054855E-2</v>
      </c>
      <c r="CK74" s="14">
        <v>0.15297450125217438</v>
      </c>
      <c r="CL74" s="14">
        <v>5.8470763266086578E-2</v>
      </c>
      <c r="CM74" s="15">
        <v>-0.55234658718109131</v>
      </c>
      <c r="CN74" s="15">
        <v>1.8148919343948364</v>
      </c>
      <c r="CO74" s="15">
        <v>-5.3796153515577316E-2</v>
      </c>
      <c r="CP74" s="15">
        <v>0.53783148527145386</v>
      </c>
      <c r="CQ74" s="15">
        <v>-0.22139303386211395</v>
      </c>
      <c r="CR74">
        <v>34.214041559054337</v>
      </c>
      <c r="CS74">
        <v>3.0984382149082887</v>
      </c>
      <c r="CT74">
        <v>1.0989010989010988</v>
      </c>
      <c r="CU74" s="14">
        <v>0.11042350754141808</v>
      </c>
      <c r="CV74" s="15">
        <v>0.30503752902150155</v>
      </c>
      <c r="CW74">
        <v>0.06</v>
      </c>
      <c r="CX74">
        <v>22.969822793126543</v>
      </c>
      <c r="CY74">
        <v>129898598.99541117</v>
      </c>
      <c r="CZ74">
        <v>0.11042350754141808</v>
      </c>
      <c r="DA74">
        <v>7.3779206520253418</v>
      </c>
      <c r="DB74">
        <v>404415815.88179857</v>
      </c>
      <c r="DC74">
        <v>0.10490233216434718</v>
      </c>
      <c r="DD74">
        <v>3.5485023332075065</v>
      </c>
      <c r="DE74">
        <v>840847072.88411939</v>
      </c>
      <c r="DF74">
        <v>9.7172686636447916E-2</v>
      </c>
      <c r="DG74">
        <v>2.0752659305420957</v>
      </c>
      <c r="DH74">
        <v>1437766483.8455632</v>
      </c>
      <c r="DI74">
        <v>8.8338806033134473E-2</v>
      </c>
      <c r="DJ74">
        <v>1.0106766479257132</v>
      </c>
      <c r="DK74">
        <v>2952227902.0928874</v>
      </c>
      <c r="DL74">
        <v>7.7296455278992648E-2</v>
      </c>
      <c r="DM74">
        <v>124000000</v>
      </c>
      <c r="DN74">
        <v>0.11042350754141808</v>
      </c>
      <c r="DO74">
        <v>2983747800</v>
      </c>
      <c r="DP74">
        <v>1382791500</v>
      </c>
      <c r="DQ74">
        <v>1978</v>
      </c>
      <c r="DR74">
        <v>0.16182780135910566</v>
      </c>
      <c r="DS74">
        <v>-7.7136792989091679E-2</v>
      </c>
      <c r="DT74" s="16">
        <v>-0.1566666666666667</v>
      </c>
      <c r="DU74">
        <v>0.40333333333333327</v>
      </c>
      <c r="DV74">
        <v>0.24666666666666656</v>
      </c>
      <c r="DW74">
        <v>-6.3594864479315261</v>
      </c>
      <c r="DX74">
        <v>0.34976771196283318</v>
      </c>
      <c r="DY74">
        <v>-6.0718137851849274</v>
      </c>
      <c r="DZ74">
        <v>1161</v>
      </c>
      <c r="EA74">
        <v>-6.0554975807622853</v>
      </c>
      <c r="EB74">
        <v>6</v>
      </c>
      <c r="EC74">
        <v>0.21730097009343602</v>
      </c>
      <c r="ED74">
        <v>1.0877682282002814</v>
      </c>
      <c r="EE74" s="17">
        <v>2.0541999999999998</v>
      </c>
      <c r="EF74">
        <v>2.0150000000000001</v>
      </c>
      <c r="EG74">
        <v>15.199767711962833</v>
      </c>
      <c r="EH74" t="s">
        <v>1841</v>
      </c>
      <c r="EI74">
        <v>0</v>
      </c>
      <c r="EJ74">
        <v>1</v>
      </c>
      <c r="EK74" s="19">
        <v>45470</v>
      </c>
      <c r="EL74" s="20">
        <v>0.76</v>
      </c>
      <c r="EM74" s="20">
        <v>2.83</v>
      </c>
      <c r="EN74" s="20">
        <v>1.83</v>
      </c>
      <c r="EO74" s="20">
        <v>1.08</v>
      </c>
      <c r="EP74" s="20">
        <v>-3.92</v>
      </c>
    </row>
    <row r="75" spans="1:146" ht="84" x14ac:dyDescent="0.25">
      <c r="A75" s="7"/>
      <c r="B75" s="7"/>
      <c r="C75" s="7" t="str">
        <f>""&amp;CHAR(10)&amp;Basic_Fundamental_Information_Constructure(F75)&amp;CHAR(10)&amp;Basic_Fundamental_Information_Concatenate("")</f>
        <v xml:space="preserve">
市值33.815673亿, 利润1.62亿; PE18.41; 平均PE26.98; 平均PEG2.05, PB2.99; ROIC11.4567%; ROE11.6533%; 股利率1.7768%; 毛利24.8333%; 净利13.8733%; 上一年度营收增22.27%, 利润增32.79%; 当季营收增45.85%, 利润增96.27%; 过往5年营收增13.14%, 利润增4.88%
Income profile:
</v>
      </c>
      <c r="D75" t="s">
        <v>843</v>
      </c>
      <c r="E75" t="s">
        <v>844</v>
      </c>
      <c r="F75">
        <v>15.59</v>
      </c>
      <c r="G75">
        <v>0.57999999999999996</v>
      </c>
      <c r="H75" t="s">
        <v>4285</v>
      </c>
      <c r="I75">
        <v>3381567300</v>
      </c>
      <c r="J75">
        <v>18.41</v>
      </c>
      <c r="K75">
        <v>2.99</v>
      </c>
      <c r="L75" t="s">
        <v>172</v>
      </c>
      <c r="M75" t="s">
        <v>1568</v>
      </c>
      <c r="N75" t="s">
        <v>2286</v>
      </c>
      <c r="O75" t="s">
        <v>655</v>
      </c>
      <c r="P75">
        <v>45.82</v>
      </c>
      <c r="Q75" t="s">
        <v>1093</v>
      </c>
      <c r="R75">
        <v>44199718</v>
      </c>
      <c r="S75" s="5">
        <v>0.9627</v>
      </c>
      <c r="T75" t="s">
        <v>52</v>
      </c>
      <c r="U75">
        <v>178223600</v>
      </c>
      <c r="V75">
        <v>216906170</v>
      </c>
      <c r="W75">
        <v>1.24</v>
      </c>
      <c r="X75">
        <v>0.22</v>
      </c>
      <c r="Y75">
        <v>14.78</v>
      </c>
      <c r="Z75" t="s">
        <v>288</v>
      </c>
      <c r="AA75" t="s">
        <v>424</v>
      </c>
      <c r="AB75" t="s">
        <v>4286</v>
      </c>
      <c r="AC75" t="s">
        <v>4287</v>
      </c>
      <c r="AD75" t="s">
        <v>19</v>
      </c>
      <c r="AE75">
        <v>-845944</v>
      </c>
      <c r="AF75" t="s">
        <v>4288</v>
      </c>
      <c r="AG75" t="s">
        <v>4289</v>
      </c>
      <c r="AH75" t="s">
        <v>4290</v>
      </c>
      <c r="AI75" t="s">
        <v>333</v>
      </c>
      <c r="AJ75" t="s">
        <v>4291</v>
      </c>
      <c r="AK75" t="s">
        <v>4292</v>
      </c>
      <c r="AL75" t="s">
        <v>4293</v>
      </c>
      <c r="AM75" t="s">
        <v>19</v>
      </c>
      <c r="AN75" t="s">
        <v>4294</v>
      </c>
      <c r="AO75" t="s">
        <v>19</v>
      </c>
      <c r="AP75" t="s">
        <v>19</v>
      </c>
      <c r="AQ75" t="s">
        <v>87</v>
      </c>
      <c r="AR75" t="s">
        <v>19</v>
      </c>
      <c r="AS75" t="s">
        <v>78</v>
      </c>
      <c r="AT75" t="s">
        <v>19</v>
      </c>
      <c r="AU75" t="s">
        <v>4295</v>
      </c>
      <c r="AV75" t="s">
        <v>4296</v>
      </c>
      <c r="AW75" t="s">
        <v>19</v>
      </c>
      <c r="AX75" t="s">
        <v>2131</v>
      </c>
      <c r="AY75" t="s">
        <v>1641</v>
      </c>
      <c r="AZ75" t="s">
        <v>183</v>
      </c>
      <c r="BA75" t="s">
        <v>847</v>
      </c>
      <c r="BB75" t="s">
        <v>160</v>
      </c>
      <c r="BC75" t="s">
        <v>175</v>
      </c>
      <c r="BD75" t="s">
        <v>414</v>
      </c>
      <c r="BE75" t="s">
        <v>67</v>
      </c>
      <c r="BF75" t="s">
        <v>67</v>
      </c>
      <c r="BG75" t="s">
        <v>501</v>
      </c>
      <c r="BH75" t="s">
        <v>1093</v>
      </c>
      <c r="BI75" t="s">
        <v>80</v>
      </c>
      <c r="BJ75" t="s">
        <v>2131</v>
      </c>
      <c r="BK75" t="s">
        <v>52</v>
      </c>
      <c r="BL75" t="s">
        <v>4297</v>
      </c>
      <c r="BM75" t="s">
        <v>175</v>
      </c>
      <c r="BN75">
        <v>10.58</v>
      </c>
      <c r="BO75">
        <v>12.3</v>
      </c>
      <c r="BP75">
        <v>11.49</v>
      </c>
      <c r="BQ75">
        <v>10.7</v>
      </c>
      <c r="BR75">
        <v>12.68</v>
      </c>
      <c r="BS75">
        <v>11.58</v>
      </c>
      <c r="BT75" t="s">
        <v>2024</v>
      </c>
      <c r="BU75" t="s">
        <v>2920</v>
      </c>
      <c r="BV75">
        <v>25.83</v>
      </c>
      <c r="BW75">
        <v>23.46</v>
      </c>
      <c r="BX75">
        <v>25.21</v>
      </c>
      <c r="BY75">
        <v>14.6</v>
      </c>
      <c r="BZ75">
        <v>13.5</v>
      </c>
      <c r="CA75">
        <v>13.52</v>
      </c>
      <c r="CB75">
        <v>-4.6500000000000004</v>
      </c>
      <c r="CC75">
        <v>-8.5299999999999994</v>
      </c>
      <c r="CD75" t="s">
        <v>4298</v>
      </c>
      <c r="CE75" t="s">
        <v>87</v>
      </c>
      <c r="CF75" s="14">
        <v>0.45853658536585384</v>
      </c>
      <c r="CG75" s="15">
        <v>0.96271344644910928</v>
      </c>
      <c r="CH75" s="14">
        <v>0.22271217405796051</v>
      </c>
      <c r="CI75" s="14">
        <v>0.16881443560123444</v>
      </c>
      <c r="CJ75" s="14">
        <v>0.14623337984085083</v>
      </c>
      <c r="CK75" s="14">
        <v>0.17331022024154663</v>
      </c>
      <c r="CL75" s="14">
        <v>-5.4098360240459442E-2</v>
      </c>
      <c r="CM75" s="15">
        <v>0.32786884903907776</v>
      </c>
      <c r="CN75" s="15">
        <v>0.16190476715564728</v>
      </c>
      <c r="CO75" s="15">
        <v>-7.0796459913253784E-2</v>
      </c>
      <c r="CP75" s="15">
        <v>0</v>
      </c>
      <c r="CQ75" s="15">
        <v>-0.17518247663974762</v>
      </c>
      <c r="CR75">
        <v>26.980590159574469</v>
      </c>
      <c r="CS75">
        <v>2.0534053460633048</v>
      </c>
      <c r="CT75">
        <v>1.7767799871712637</v>
      </c>
      <c r="CU75" s="14">
        <v>0.1313943699002266</v>
      </c>
      <c r="CV75" s="15">
        <v>4.8758935928344724E-2</v>
      </c>
      <c r="CW75">
        <v>0.06</v>
      </c>
      <c r="CX75">
        <v>14.571451017057077</v>
      </c>
      <c r="CY75">
        <v>172911215.02248746</v>
      </c>
      <c r="CZ75">
        <v>0.1313943699002266</v>
      </c>
      <c r="DA75">
        <v>4.5985600090097654</v>
      </c>
      <c r="DB75">
        <v>547903538.29536152</v>
      </c>
      <c r="DC75">
        <v>0.12482465140521526</v>
      </c>
      <c r="DD75">
        <v>2.1590268959567984</v>
      </c>
      <c r="DE75">
        <v>1166992085.5170374</v>
      </c>
      <c r="DF75">
        <v>0.11562704551219941</v>
      </c>
      <c r="DG75">
        <v>1.2278441776933013</v>
      </c>
      <c r="DH75">
        <v>2052025286.0858972</v>
      </c>
      <c r="DI75">
        <v>0.10511549592018128</v>
      </c>
      <c r="DJ75">
        <v>0.56091378470274478</v>
      </c>
      <c r="DK75">
        <v>4491897629.7493563</v>
      </c>
      <c r="DL75">
        <v>9.1976058930158616E-2</v>
      </c>
      <c r="DM75">
        <v>162000000</v>
      </c>
      <c r="DN75">
        <v>0.1313943699002266</v>
      </c>
      <c r="DO75">
        <v>2519567300</v>
      </c>
      <c r="DP75">
        <v>741095690</v>
      </c>
      <c r="DQ75">
        <v>2015</v>
      </c>
      <c r="DR75">
        <v>0.32714221546562727</v>
      </c>
      <c r="DS75">
        <v>0.9139545105207646</v>
      </c>
      <c r="DT75" s="16">
        <v>-6.6666666666666714E-3</v>
      </c>
      <c r="DU75">
        <v>0.21666666666666667</v>
      </c>
      <c r="DV75">
        <v>0.21</v>
      </c>
      <c r="DW75">
        <v>-8.5451348182883944</v>
      </c>
      <c r="DX75">
        <v>0.33194684210526204</v>
      </c>
      <c r="DY75">
        <v>-8.0501234250632443</v>
      </c>
      <c r="DZ75">
        <v>1243</v>
      </c>
      <c r="EA75">
        <v>-8.0379309754832811</v>
      </c>
      <c r="EB75">
        <v>8</v>
      </c>
      <c r="EC75">
        <v>8.0541277364309188E-2</v>
      </c>
      <c r="ED75">
        <v>0.87595479649103569</v>
      </c>
      <c r="EE75" s="17">
        <v>3.0303</v>
      </c>
      <c r="EF75">
        <v>3.00631</v>
      </c>
      <c r="EG75">
        <v>24.091946842105262</v>
      </c>
      <c r="EH75" t="s">
        <v>2487</v>
      </c>
      <c r="EI75">
        <v>0</v>
      </c>
      <c r="EJ75">
        <v>1</v>
      </c>
      <c r="EK75" s="19">
        <v>45470</v>
      </c>
      <c r="EL75" s="20">
        <v>1.1299999999999999</v>
      </c>
      <c r="EM75" s="20">
        <v>-4.5999999999999996</v>
      </c>
      <c r="EN75" s="20">
        <v>1.55</v>
      </c>
      <c r="EO75" s="20">
        <v>1.65</v>
      </c>
      <c r="EP75" s="20">
        <v>-3.66</v>
      </c>
    </row>
    <row r="76" spans="1:146" ht="168" x14ac:dyDescent="0.25">
      <c r="A76" s="7"/>
      <c r="B76" s="7"/>
      <c r="C76" s="7" t="str">
        <f>"公司主营业务为精密零部件和智能装备及工装产品的研发、生产及销售。公司主要产品包括涡轮增压器精密轴承件、涡轮增压器叶轮、涡轮增压器中间壳、发动机缸体等关键汽车零部件，座椅构件等飞机机舱零部件，用于汽车、轨道交通等领域的智能装备及工装，以及飞机机身自动化钻铆系统、自动化工业生产线等智能制造系统集成产品。"&amp;CHAR(10)&amp;Basic_Fundamental_Information_Constructure(F76)&amp;CHAR(10)&amp;Basic_Fundamental_Information_Concatenate("汽车零部件 8.87亿 83.91% 84.23% 34.52%
智能装备及工装 8148.19万 7.71% 7.82% 34.89%
其他零部件 6189.68万 5.86% 4.90% 28.75%
飞机机舱零部件 1649.99万 1.56% 0.39% 8.62%")</f>
        <v>公司主营业务为精密零部件和智能装备及工装产品的研发、生产及销售。公司主要产品包括涡轮增压器精密轴承件、涡轮增压器叶轮、涡轮增压器中间壳、发动机缸体等关键汽车零部件，座椅构件等飞机机舱零部件，用于汽车、轨道交通等领域的智能装备及工装，以及飞机机身自动化钻铆系统、自动化工业生产线等智能制造系统集成产品。
市值72.77664亿, 利润2.64亿; PE26.06; 平均PE36.57; 平均PEG2.88, PB2.48; ROIC8.8%; ROE10.0733%; 股利率1.3717%; 毛利34.3733%; 净利19.91%; 上一年度营收增22.42%, 利润增15.28%; 当季营收增11%, 利润增29.44%; 过往5年营收增12.7%, 利润增10.77%
Income profile:
汽车零部件 8.87亿 83.91% 84.23% 34.52%
智能装备及工装 8148.19万 7.71% 7.82% 34.89%
其他零部件 6189.68万 5.86% 4.90% 28.75%
飞机机舱零部件 1649.99万 1.56% 0.39% 8.62%</v>
      </c>
      <c r="D76" t="s">
        <v>849</v>
      </c>
      <c r="E76" t="s">
        <v>850</v>
      </c>
      <c r="F76">
        <v>14.58</v>
      </c>
      <c r="G76">
        <v>-6.42</v>
      </c>
      <c r="H76" t="s">
        <v>4299</v>
      </c>
      <c r="I76">
        <v>7277664000</v>
      </c>
      <c r="J76">
        <v>26.06</v>
      </c>
      <c r="K76">
        <v>2.48</v>
      </c>
      <c r="L76" t="s">
        <v>172</v>
      </c>
      <c r="M76" t="s">
        <v>2336</v>
      </c>
      <c r="N76" t="s">
        <v>715</v>
      </c>
      <c r="O76" t="s">
        <v>1473</v>
      </c>
      <c r="P76">
        <v>11.21</v>
      </c>
      <c r="Q76" t="s">
        <v>4300</v>
      </c>
      <c r="R76">
        <v>69241292</v>
      </c>
      <c r="S76" s="5">
        <v>0.2944</v>
      </c>
      <c r="T76" t="s">
        <v>78</v>
      </c>
      <c r="U76">
        <v>469423620</v>
      </c>
      <c r="V76">
        <v>499153910</v>
      </c>
      <c r="W76">
        <v>1.22</v>
      </c>
      <c r="X76">
        <v>0.1</v>
      </c>
      <c r="Y76">
        <v>20.239999999999998</v>
      </c>
      <c r="Z76" t="s">
        <v>283</v>
      </c>
      <c r="AA76" t="s">
        <v>607</v>
      </c>
      <c r="AB76" t="s">
        <v>4301</v>
      </c>
      <c r="AC76" t="s">
        <v>4302</v>
      </c>
      <c r="AD76" t="s">
        <v>19</v>
      </c>
      <c r="AE76">
        <v>-1137729</v>
      </c>
      <c r="AF76" t="s">
        <v>4303</v>
      </c>
      <c r="AG76" t="s">
        <v>4304</v>
      </c>
      <c r="AH76" t="s">
        <v>4305</v>
      </c>
      <c r="AI76" t="s">
        <v>241</v>
      </c>
      <c r="AJ76" t="s">
        <v>4306</v>
      </c>
      <c r="AK76" t="s">
        <v>4307</v>
      </c>
      <c r="AL76" t="s">
        <v>4308</v>
      </c>
      <c r="AM76" t="s">
        <v>19</v>
      </c>
      <c r="AN76" t="s">
        <v>53</v>
      </c>
      <c r="AO76" t="s">
        <v>19</v>
      </c>
      <c r="AP76" t="s">
        <v>4309</v>
      </c>
      <c r="AQ76" t="s">
        <v>138</v>
      </c>
      <c r="AR76" t="s">
        <v>19</v>
      </c>
      <c r="AS76" t="s">
        <v>330</v>
      </c>
      <c r="AT76" t="s">
        <v>19</v>
      </c>
      <c r="AU76" t="s">
        <v>4310</v>
      </c>
      <c r="AV76" t="s">
        <v>4311</v>
      </c>
      <c r="AW76" t="s">
        <v>19</v>
      </c>
      <c r="AX76" t="s">
        <v>272</v>
      </c>
      <c r="AY76" t="s">
        <v>1589</v>
      </c>
      <c r="AZ76" t="s">
        <v>851</v>
      </c>
      <c r="BA76" t="s">
        <v>853</v>
      </c>
      <c r="BB76" t="s">
        <v>578</v>
      </c>
      <c r="BC76" t="s">
        <v>827</v>
      </c>
      <c r="BD76" t="s">
        <v>149</v>
      </c>
      <c r="BE76" t="s">
        <v>292</v>
      </c>
      <c r="BF76" t="s">
        <v>386</v>
      </c>
      <c r="BG76" t="s">
        <v>86</v>
      </c>
      <c r="BH76" t="s">
        <v>4300</v>
      </c>
      <c r="BI76" t="s">
        <v>2886</v>
      </c>
      <c r="BJ76" t="s">
        <v>272</v>
      </c>
      <c r="BK76" t="s">
        <v>78</v>
      </c>
      <c r="BL76" t="s">
        <v>4312</v>
      </c>
      <c r="BM76" t="s">
        <v>827</v>
      </c>
      <c r="BN76">
        <v>7.78</v>
      </c>
      <c r="BO76">
        <v>9.94</v>
      </c>
      <c r="BP76">
        <v>8.68</v>
      </c>
      <c r="BQ76">
        <v>8.5</v>
      </c>
      <c r="BR76">
        <v>11.21</v>
      </c>
      <c r="BS76">
        <v>10.51</v>
      </c>
      <c r="BT76" t="s">
        <v>4313</v>
      </c>
      <c r="BU76" t="s">
        <v>2920</v>
      </c>
      <c r="BV76">
        <v>34.46</v>
      </c>
      <c r="BW76">
        <v>34.270000000000003</v>
      </c>
      <c r="BX76">
        <v>34.39</v>
      </c>
      <c r="BY76">
        <v>19.760000000000002</v>
      </c>
      <c r="BZ76">
        <v>21.12</v>
      </c>
      <c r="CA76">
        <v>18.850000000000001</v>
      </c>
      <c r="CB76">
        <v>-0.82</v>
      </c>
      <c r="CC76">
        <v>-15.29</v>
      </c>
      <c r="CD76" t="s">
        <v>4314</v>
      </c>
      <c r="CE76" t="s">
        <v>313</v>
      </c>
      <c r="CF76" s="14">
        <v>0.11003236245954692</v>
      </c>
      <c r="CG76" s="15">
        <v>0.29435556353140885</v>
      </c>
      <c r="CH76" s="14">
        <v>0.22424808144569397</v>
      </c>
      <c r="CI76" s="14">
        <v>3.7842892110347748E-2</v>
      </c>
      <c r="CJ76" s="14">
        <v>0.13533835113048553</v>
      </c>
      <c r="CK76" s="14">
        <v>0.16084788739681244</v>
      </c>
      <c r="CL76" s="14">
        <v>7.6510064303874969E-2</v>
      </c>
      <c r="CM76" s="15">
        <v>0.15283842384815216</v>
      </c>
      <c r="CN76" s="15">
        <v>0.16243654489517212</v>
      </c>
      <c r="CO76" s="15">
        <v>0.11299435049295425</v>
      </c>
      <c r="CP76" s="15">
        <v>5.35714291036129E-2</v>
      </c>
      <c r="CQ76" s="15">
        <v>5.6603774428367615E-2</v>
      </c>
      <c r="CR76">
        <v>36.571175879396982</v>
      </c>
      <c r="CS76">
        <v>2.8805851377122504</v>
      </c>
      <c r="CT76">
        <v>1.3717421124828533</v>
      </c>
      <c r="CU76" s="14">
        <v>0.12695745527744293</v>
      </c>
      <c r="CV76" s="15">
        <v>0.10768890455365181</v>
      </c>
      <c r="CW76">
        <v>0.06</v>
      </c>
      <c r="CX76">
        <v>17.873492886780888</v>
      </c>
      <c r="CY76">
        <v>280676196.40872157</v>
      </c>
      <c r="CZ76">
        <v>0.12695745527744293</v>
      </c>
      <c r="DA76">
        <v>5.6616814679072913</v>
      </c>
      <c r="DB76">
        <v>886073161.9107306</v>
      </c>
      <c r="DC76">
        <v>0.12060958251357078</v>
      </c>
      <c r="DD76">
        <v>2.6718149412431802</v>
      </c>
      <c r="DE76">
        <v>1877624053.4330475</v>
      </c>
      <c r="DF76">
        <v>0.11172256064414977</v>
      </c>
      <c r="DG76">
        <v>1.5285808857306475</v>
      </c>
      <c r="DH76">
        <v>3281909414.6935382</v>
      </c>
      <c r="DI76">
        <v>0.10156596422195435</v>
      </c>
      <c r="DJ76">
        <v>0.70801480551744489</v>
      </c>
      <c r="DK76">
        <v>7085535444.8889322</v>
      </c>
      <c r="DL76">
        <v>8.8870218694210038E-2</v>
      </c>
      <c r="DM76">
        <v>264000000</v>
      </c>
      <c r="DN76">
        <v>0.12695745527744293</v>
      </c>
      <c r="DO76">
        <v>5016664000</v>
      </c>
      <c r="DP76">
        <v>1479093000</v>
      </c>
      <c r="DQ76">
        <v>2047</v>
      </c>
      <c r="DR76">
        <v>-1.6925092817896004E-2</v>
      </c>
      <c r="DS76">
        <v>0.18666665897775703</v>
      </c>
      <c r="DT76" s="16">
        <v>-0.1566666666666667</v>
      </c>
      <c r="DU76">
        <v>0.31666666666666665</v>
      </c>
      <c r="DV76">
        <v>0.15999999999999995</v>
      </c>
      <c r="DW76">
        <v>-2.1528999999999998</v>
      </c>
      <c r="DX76">
        <v>0.63066219081271946</v>
      </c>
      <c r="DY76">
        <v>-2.0322102489752649</v>
      </c>
      <c r="DZ76">
        <v>1348</v>
      </c>
      <c r="EA76">
        <v>-2.0237132987563498</v>
      </c>
      <c r="EB76">
        <v>2</v>
      </c>
      <c r="EC76">
        <v>0.11943690874824561</v>
      </c>
      <c r="ED76">
        <v>0.56695939735301282</v>
      </c>
      <c r="EE76" s="17">
        <v>0.10910999999999998</v>
      </c>
      <c r="EF76">
        <v>-1.00241</v>
      </c>
      <c r="EG76">
        <v>42.21066219081272</v>
      </c>
      <c r="EH76" t="s">
        <v>1838</v>
      </c>
      <c r="EI76">
        <v>0</v>
      </c>
      <c r="EJ76">
        <v>1</v>
      </c>
      <c r="EK76" s="19">
        <v>45470</v>
      </c>
      <c r="EL76" s="20">
        <v>0.32</v>
      </c>
      <c r="EM76" s="20">
        <v>-5.96</v>
      </c>
      <c r="EN76" s="20">
        <v>0.4</v>
      </c>
      <c r="EO76" s="20">
        <v>2.2799999999999998</v>
      </c>
      <c r="EP76" s="20">
        <v>-4.33</v>
      </c>
    </row>
    <row r="77" spans="1:146" ht="84" x14ac:dyDescent="0.25">
      <c r="A77" s="7"/>
      <c r="B77" s="7"/>
      <c r="C77" s="7" t="str">
        <f>""&amp;CHAR(10)&amp;Basic_Fundamental_Information_Constructure(F77)&amp;CHAR(10)&amp;Basic_Fundamental_Information_Concatenate("")</f>
        <v xml:space="preserve">
市值18.035111亿, 利润522.42万; PE356.2; 平均PE69.01; 平均PEG9.25, PB2.5; ROIC3.15%; ROE3.28%; 股利率.0949%; 毛利30.2233%; 净利4.5533%; 上一年度营收增21.09%, 利润增-73.58%; 当季营收增0%, 利润增-20.22%; 过往5年营收增7.46%, 利润增-22.14%
Income profile:
</v>
      </c>
      <c r="D77" t="s">
        <v>857</v>
      </c>
      <c r="E77" t="s">
        <v>858</v>
      </c>
      <c r="F77">
        <v>10.54</v>
      </c>
      <c r="G77">
        <v>0.67</v>
      </c>
      <c r="H77" t="s">
        <v>4315</v>
      </c>
      <c r="I77">
        <v>1803511100</v>
      </c>
      <c r="J77">
        <v>356.2</v>
      </c>
      <c r="K77">
        <v>2.5</v>
      </c>
      <c r="L77" t="s">
        <v>172</v>
      </c>
      <c r="M77" t="s">
        <v>599</v>
      </c>
      <c r="N77" t="s">
        <v>2598</v>
      </c>
      <c r="O77" t="s">
        <v>250</v>
      </c>
      <c r="P77">
        <v>-0.42</v>
      </c>
      <c r="Q77" t="s">
        <v>929</v>
      </c>
      <c r="R77">
        <v>633203</v>
      </c>
      <c r="S77" s="5">
        <v>-0.20219999999999999</v>
      </c>
      <c r="T77" t="s">
        <v>4316</v>
      </c>
      <c r="U77">
        <v>160000000</v>
      </c>
      <c r="V77">
        <v>171111110</v>
      </c>
      <c r="W77">
        <v>1.28</v>
      </c>
      <c r="X77">
        <v>0.11</v>
      </c>
      <c r="Y77">
        <v>-0.27</v>
      </c>
      <c r="Z77" t="s">
        <v>242</v>
      </c>
      <c r="AA77" t="s">
        <v>4317</v>
      </c>
      <c r="AB77" t="s">
        <v>4318</v>
      </c>
      <c r="AC77" t="s">
        <v>4319</v>
      </c>
      <c r="AD77" t="s">
        <v>19</v>
      </c>
      <c r="AE77">
        <v>105670</v>
      </c>
      <c r="AF77" t="s">
        <v>4320</v>
      </c>
      <c r="AG77" t="s">
        <v>2510</v>
      </c>
      <c r="AH77" t="s">
        <v>4321</v>
      </c>
      <c r="AI77" t="s">
        <v>4322</v>
      </c>
      <c r="AJ77" t="s">
        <v>4323</v>
      </c>
      <c r="AK77" t="s">
        <v>4324</v>
      </c>
      <c r="AL77" t="s">
        <v>4325</v>
      </c>
      <c r="AM77" t="s">
        <v>19</v>
      </c>
      <c r="AN77" t="s">
        <v>4326</v>
      </c>
      <c r="AO77" t="s">
        <v>4327</v>
      </c>
      <c r="AP77" t="s">
        <v>4328</v>
      </c>
      <c r="AQ77" t="s">
        <v>4329</v>
      </c>
      <c r="AR77" t="s">
        <v>19</v>
      </c>
      <c r="AS77" t="s">
        <v>606</v>
      </c>
      <c r="AT77" t="s">
        <v>19</v>
      </c>
      <c r="AU77" t="s">
        <v>4330</v>
      </c>
      <c r="AV77" t="s">
        <v>4331</v>
      </c>
      <c r="AW77" t="s">
        <v>4332</v>
      </c>
      <c r="AX77" t="s">
        <v>913</v>
      </c>
      <c r="AY77" t="s">
        <v>515</v>
      </c>
      <c r="AZ77" t="s">
        <v>690</v>
      </c>
      <c r="BA77" t="s">
        <v>788</v>
      </c>
      <c r="BB77" t="s">
        <v>411</v>
      </c>
      <c r="BC77" t="s">
        <v>2231</v>
      </c>
      <c r="BD77" t="s">
        <v>1642</v>
      </c>
      <c r="BE77" t="s">
        <v>859</v>
      </c>
      <c r="BF77" t="s">
        <v>862</v>
      </c>
      <c r="BG77" t="s">
        <v>863</v>
      </c>
      <c r="BH77" t="s">
        <v>929</v>
      </c>
      <c r="BI77" t="s">
        <v>250</v>
      </c>
      <c r="BJ77" t="s">
        <v>913</v>
      </c>
      <c r="BK77" t="s">
        <v>4316</v>
      </c>
      <c r="BL77" t="s">
        <v>4333</v>
      </c>
      <c r="BM77" t="s">
        <v>2231</v>
      </c>
      <c r="BN77">
        <v>1.1599999999999999</v>
      </c>
      <c r="BO77">
        <v>2.98</v>
      </c>
      <c r="BP77">
        <v>5.31</v>
      </c>
      <c r="BQ77">
        <v>1.05</v>
      </c>
      <c r="BR77">
        <v>2.83</v>
      </c>
      <c r="BS77">
        <v>5.96</v>
      </c>
      <c r="BT77" t="s">
        <v>1982</v>
      </c>
      <c r="BU77" t="s">
        <v>2920</v>
      </c>
      <c r="BV77">
        <v>29.02</v>
      </c>
      <c r="BW77">
        <v>27.84</v>
      </c>
      <c r="BX77">
        <v>33.81</v>
      </c>
      <c r="BY77">
        <v>1.03</v>
      </c>
      <c r="BZ77">
        <v>5.27</v>
      </c>
      <c r="CA77">
        <v>7.36</v>
      </c>
      <c r="CB77">
        <v>-8.67</v>
      </c>
      <c r="CC77">
        <v>-3.3</v>
      </c>
      <c r="CD77" t="s">
        <v>4334</v>
      </c>
      <c r="CE77" t="s">
        <v>1473</v>
      </c>
      <c r="CF77" s="14">
        <v>0</v>
      </c>
      <c r="CG77" s="15">
        <v>-0.2022136827516694</v>
      </c>
      <c r="CH77" s="14">
        <v>0.2109181135892868</v>
      </c>
      <c r="CI77" s="14">
        <v>-0.10643015801906586</v>
      </c>
      <c r="CJ77" s="14">
        <v>8.4134615957736969E-2</v>
      </c>
      <c r="CK77" s="14">
        <v>0.12432432174682617</v>
      </c>
      <c r="CL77" s="14">
        <v>6.017192080616951E-2</v>
      </c>
      <c r="CM77" s="15">
        <v>-0.73577255010604858</v>
      </c>
      <c r="CN77" s="15">
        <v>-0.42583504319190979</v>
      </c>
      <c r="CO77" s="15">
        <v>9.0607926249504089E-2</v>
      </c>
      <c r="CP77" s="15">
        <v>0.48849961161613464</v>
      </c>
      <c r="CQ77" s="15">
        <v>-0.52434736490249634</v>
      </c>
      <c r="CR77">
        <v>69.005655100112108</v>
      </c>
      <c r="CS77">
        <v>9.2471422635284632</v>
      </c>
      <c r="CT77">
        <v>9.4876660341555993E-2</v>
      </c>
      <c r="CU77" s="14">
        <v>7.4623762816190722E-2</v>
      </c>
      <c r="CV77" s="15">
        <v>-0.22136948406696319</v>
      </c>
      <c r="CW77">
        <v>0.06</v>
      </c>
      <c r="CX77">
        <v>245.17449933227672</v>
      </c>
      <c r="CY77">
        <v>5296273.077079569</v>
      </c>
      <c r="CZ77">
        <v>7.4623762816190722E-2</v>
      </c>
      <c r="DA77">
        <v>81.172589735639903</v>
      </c>
      <c r="DB77">
        <v>15996916.006116673</v>
      </c>
      <c r="DC77">
        <v>7.0892574675381181E-2</v>
      </c>
      <c r="DD77">
        <v>40.658288627670231</v>
      </c>
      <c r="DE77">
        <v>31937180.433027148</v>
      </c>
      <c r="DF77">
        <v>6.5668911278247838E-2</v>
      </c>
      <c r="DG77">
        <v>24.89453841509776</v>
      </c>
      <c r="DH77">
        <v>52160481.080159076</v>
      </c>
      <c r="DI77">
        <v>5.9699010252952579E-2</v>
      </c>
      <c r="DJ77">
        <v>13.413017785830069</v>
      </c>
      <c r="DK77">
        <v>96809765.015877903</v>
      </c>
      <c r="DL77">
        <v>5.2236633971333504E-2</v>
      </c>
      <c r="DM77">
        <v>5224200</v>
      </c>
      <c r="DN77">
        <v>7.4623762816190722E-2</v>
      </c>
      <c r="DO77">
        <v>1298511100</v>
      </c>
      <c r="DP77">
        <v>285913660</v>
      </c>
      <c r="DQ77">
        <v>2052</v>
      </c>
      <c r="DR77">
        <v>-7.4623762816190722E-2</v>
      </c>
      <c r="DS77">
        <v>1.9155801315293791E-2</v>
      </c>
      <c r="DT77" s="16">
        <v>-0.27333333333333337</v>
      </c>
      <c r="DU77">
        <v>-0.68666666666666665</v>
      </c>
      <c r="DV77">
        <v>-0.96</v>
      </c>
      <c r="DW77">
        <v>-5.3806228373702423</v>
      </c>
      <c r="DX77">
        <v>0.28673498542273979</v>
      </c>
      <c r="DY77">
        <v>-5.0482382297456798</v>
      </c>
      <c r="DZ77">
        <v>3522</v>
      </c>
      <c r="EA77">
        <v>-5.0149906670912214</v>
      </c>
      <c r="EB77">
        <v>5</v>
      </c>
      <c r="EC77">
        <v>0.25404604061068858</v>
      </c>
      <c r="ED77">
        <v>2.0045454675619836</v>
      </c>
      <c r="EE77" s="17">
        <v>-5.0173100000000002</v>
      </c>
      <c r="EF77">
        <v>-5.0989100000000001</v>
      </c>
      <c r="EG77">
        <v>16.12673498542274</v>
      </c>
      <c r="EH77" t="s">
        <v>2872</v>
      </c>
      <c r="EI77">
        <v>0</v>
      </c>
      <c r="EJ77">
        <v>0</v>
      </c>
      <c r="EK77" s="19">
        <v>45470</v>
      </c>
      <c r="EL77" s="20">
        <v>2.61</v>
      </c>
      <c r="EM77" s="20">
        <v>-8.3800000000000008</v>
      </c>
      <c r="EN77" s="20">
        <v>7.11</v>
      </c>
      <c r="EO77" s="20">
        <v>-1.83</v>
      </c>
      <c r="EP77" s="20">
        <v>-8.16</v>
      </c>
    </row>
    <row r="78" spans="1:146" ht="84" x14ac:dyDescent="0.25">
      <c r="A78" s="7"/>
      <c r="B78" s="7"/>
      <c r="C78" s="7" t="str">
        <f>""&amp;CHAR(10)&amp;Basic_Fundamental_Information_Constructure(F78)&amp;CHAR(10)&amp;Basic_Fundamental_Information_Concatenate("")</f>
        <v xml:space="preserve">
市值15.513989亿, 利润4069.77万; PE32.42; 平均PE90.02; 平均PEG4.36, PB1.54; ROIC2.625%; ROE.51%; 股利率.6803%; 毛利18.1933%; 净利-.1633%; 上一年度营收增26.59%, 利润增208.15%; 当季营收增29.06%, 利润增79.86%; 过往5年营收增20.65%, 利润增1.2%
Income profile:
</v>
      </c>
      <c r="D78" t="s">
        <v>864</v>
      </c>
      <c r="E78" t="s">
        <v>865</v>
      </c>
      <c r="F78">
        <v>7.35</v>
      </c>
      <c r="G78">
        <v>-0.54</v>
      </c>
      <c r="H78" t="s">
        <v>4335</v>
      </c>
      <c r="I78">
        <v>1551398900</v>
      </c>
      <c r="J78">
        <v>32.42</v>
      </c>
      <c r="K78">
        <v>1.54</v>
      </c>
      <c r="L78" t="s">
        <v>172</v>
      </c>
      <c r="M78" t="s">
        <v>2628</v>
      </c>
      <c r="N78" t="s">
        <v>4336</v>
      </c>
      <c r="O78" t="s">
        <v>158</v>
      </c>
      <c r="P78">
        <v>29.06</v>
      </c>
      <c r="Q78" t="s">
        <v>1270</v>
      </c>
      <c r="R78">
        <v>16115106</v>
      </c>
      <c r="S78" s="5">
        <v>0.79859999999999998</v>
      </c>
      <c r="T78" t="s">
        <v>4337</v>
      </c>
      <c r="U78">
        <v>146986880</v>
      </c>
      <c r="V78">
        <v>211074680</v>
      </c>
      <c r="W78">
        <v>1.88</v>
      </c>
      <c r="X78">
        <v>0.14000000000000001</v>
      </c>
      <c r="Y78">
        <v>5</v>
      </c>
      <c r="Z78" t="s">
        <v>71</v>
      </c>
      <c r="AA78" t="s">
        <v>138</v>
      </c>
      <c r="AB78" t="s">
        <v>4338</v>
      </c>
      <c r="AC78" t="s">
        <v>4339</v>
      </c>
      <c r="AD78" t="s">
        <v>19</v>
      </c>
      <c r="AE78">
        <v>3204867</v>
      </c>
      <c r="AF78" t="s">
        <v>21</v>
      </c>
      <c r="AG78" t="s">
        <v>4340</v>
      </c>
      <c r="AH78" t="s">
        <v>4341</v>
      </c>
      <c r="AI78" t="s">
        <v>2612</v>
      </c>
      <c r="AJ78" t="s">
        <v>4342</v>
      </c>
      <c r="AK78" t="s">
        <v>4343</v>
      </c>
      <c r="AL78" t="s">
        <v>4344</v>
      </c>
      <c r="AM78" t="s">
        <v>19</v>
      </c>
      <c r="AN78" t="s">
        <v>4345</v>
      </c>
      <c r="AO78" t="s">
        <v>509</v>
      </c>
      <c r="AP78" t="s">
        <v>4346</v>
      </c>
      <c r="AQ78" t="s">
        <v>77</v>
      </c>
      <c r="AR78" t="s">
        <v>19</v>
      </c>
      <c r="AS78" t="s">
        <v>2758</v>
      </c>
      <c r="AT78" t="s">
        <v>129</v>
      </c>
      <c r="AU78" t="s">
        <v>4347</v>
      </c>
      <c r="AV78" t="s">
        <v>4348</v>
      </c>
      <c r="AW78" t="s">
        <v>4349</v>
      </c>
      <c r="AX78" t="s">
        <v>2232</v>
      </c>
      <c r="AY78" t="s">
        <v>169</v>
      </c>
      <c r="AZ78" t="s">
        <v>867</v>
      </c>
      <c r="BA78" t="s">
        <v>869</v>
      </c>
      <c r="BB78" t="s">
        <v>703</v>
      </c>
      <c r="BC78" t="s">
        <v>2233</v>
      </c>
      <c r="BD78" t="s">
        <v>1643</v>
      </c>
      <c r="BE78" t="s">
        <v>868</v>
      </c>
      <c r="BF78" t="s">
        <v>872</v>
      </c>
      <c r="BG78" t="s">
        <v>873</v>
      </c>
      <c r="BH78" t="s">
        <v>1270</v>
      </c>
      <c r="BI78" t="s">
        <v>545</v>
      </c>
      <c r="BJ78" t="s">
        <v>2232</v>
      </c>
      <c r="BK78" t="s">
        <v>4337</v>
      </c>
      <c r="BL78" t="s">
        <v>4350</v>
      </c>
      <c r="BM78" t="s">
        <v>2233</v>
      </c>
      <c r="BN78">
        <v>1.69</v>
      </c>
      <c r="BO78" t="s">
        <v>19</v>
      </c>
      <c r="BP78">
        <v>3.56</v>
      </c>
      <c r="BQ78">
        <v>3.06</v>
      </c>
      <c r="BR78">
        <v>-4.38</v>
      </c>
      <c r="BS78">
        <v>2.85</v>
      </c>
      <c r="BT78" t="s">
        <v>2002</v>
      </c>
      <c r="BU78" t="s">
        <v>3084</v>
      </c>
      <c r="BV78">
        <v>18.489999999999998</v>
      </c>
      <c r="BW78">
        <v>14.57</v>
      </c>
      <c r="BX78">
        <v>21.52</v>
      </c>
      <c r="BY78">
        <v>2.09</v>
      </c>
      <c r="BZ78">
        <v>-5.04</v>
      </c>
      <c r="CA78">
        <v>2.46</v>
      </c>
      <c r="CB78">
        <v>-3.54</v>
      </c>
      <c r="CC78">
        <v>-13.43</v>
      </c>
      <c r="CD78" t="s">
        <v>4351</v>
      </c>
      <c r="CE78" t="s">
        <v>84</v>
      </c>
      <c r="CF78" s="14">
        <v>0.29059829059829062</v>
      </c>
      <c r="CG78" s="15">
        <v>0.79858101094878287</v>
      </c>
      <c r="CH78" s="14">
        <v>0.26586928963661194</v>
      </c>
      <c r="CI78" s="14">
        <v>0.33047744631767273</v>
      </c>
      <c r="CJ78" s="14">
        <v>0.21216617524623871</v>
      </c>
      <c r="CK78" s="14">
        <v>0.12146422266960144</v>
      </c>
      <c r="CL78" s="14">
        <v>0.10275229066610336</v>
      </c>
      <c r="CM78" s="15">
        <v>2.0814566612243652</v>
      </c>
      <c r="CN78" s="15">
        <v>-2.7038443088531494</v>
      </c>
      <c r="CO78" s="15">
        <v>-0.45119938254356384</v>
      </c>
      <c r="CP78" s="15">
        <v>1.2260239124298096</v>
      </c>
      <c r="CQ78" s="15">
        <v>-9.2440135776996613E-2</v>
      </c>
      <c r="CR78">
        <v>90.024888295711719</v>
      </c>
      <c r="CS78">
        <v>4.3585902636665717</v>
      </c>
      <c r="CT78">
        <v>0.68027210884353739</v>
      </c>
      <c r="CU78" s="14">
        <v>0.20654588490724562</v>
      </c>
      <c r="CV78" s="15">
        <v>1.1999349296092986E-2</v>
      </c>
      <c r="CW78">
        <v>0.06</v>
      </c>
      <c r="CX78">
        <v>31.914187125130614</v>
      </c>
      <c r="CY78">
        <v>46324191.000178874</v>
      </c>
      <c r="CZ78">
        <v>0.20654588490724562</v>
      </c>
      <c r="DA78">
        <v>9.4618887965590748</v>
      </c>
      <c r="DB78">
        <v>156247756.84719914</v>
      </c>
      <c r="DC78">
        <v>0.19621859066188332</v>
      </c>
      <c r="DD78">
        <v>4.06749245276984</v>
      </c>
      <c r="DE78">
        <v>363466906.74084836</v>
      </c>
      <c r="DF78">
        <v>0.18176037871837616</v>
      </c>
      <c r="DG78">
        <v>2.0806289465278494</v>
      </c>
      <c r="DH78">
        <v>710553845.97390616</v>
      </c>
      <c r="DI78">
        <v>0.16523670792579651</v>
      </c>
      <c r="DJ78">
        <v>0.73682557385478942</v>
      </c>
      <c r="DK78">
        <v>2006443522.6719706</v>
      </c>
      <c r="DL78">
        <v>0.14458211943507193</v>
      </c>
      <c r="DM78">
        <v>40697700</v>
      </c>
      <c r="DN78">
        <v>0.20654588490724562</v>
      </c>
      <c r="DO78">
        <v>1478398900</v>
      </c>
      <c r="DP78">
        <v>423517070</v>
      </c>
      <c r="DQ78">
        <v>2078</v>
      </c>
      <c r="DR78">
        <v>8.4052405691044996E-2</v>
      </c>
      <c r="DS78">
        <v>0.78658166165268983</v>
      </c>
      <c r="DT78" s="16">
        <v>1.0000000000000011E-2</v>
      </c>
      <c r="DU78">
        <v>-9.666666666666672E-2</v>
      </c>
      <c r="DV78">
        <v>-8.6666666666666711E-2</v>
      </c>
      <c r="DW78">
        <v>-8.263588979895756</v>
      </c>
      <c r="DX78">
        <v>0.401191608391607</v>
      </c>
      <c r="DY78">
        <v>-8.0530318908195309</v>
      </c>
      <c r="DZ78">
        <v>1905</v>
      </c>
      <c r="EA78">
        <v>-8.0332616849464955</v>
      </c>
      <c r="EB78">
        <v>8</v>
      </c>
      <c r="EC78">
        <v>0.13630436393412984</v>
      </c>
      <c r="ED78">
        <v>0.67748533362694185</v>
      </c>
      <c r="EE78" s="17">
        <v>-3.0821000000000001</v>
      </c>
      <c r="EF78">
        <v>-3.0514000000000001</v>
      </c>
      <c r="EG78">
        <v>20.201191608391607</v>
      </c>
      <c r="EH78" t="s">
        <v>2802</v>
      </c>
      <c r="EI78">
        <v>0</v>
      </c>
      <c r="EJ78">
        <v>0</v>
      </c>
      <c r="EK78" s="19">
        <v>45470</v>
      </c>
      <c r="EL78" s="20">
        <v>-0.91</v>
      </c>
      <c r="EM78" s="20">
        <v>-4.83</v>
      </c>
      <c r="EN78" s="20">
        <v>2.33</v>
      </c>
      <c r="EO78" s="20">
        <v>4.96</v>
      </c>
      <c r="EP78" s="20">
        <v>-3.07</v>
      </c>
    </row>
    <row r="79" spans="1:146" ht="132" x14ac:dyDescent="0.25">
      <c r="A79" s="7" t="s">
        <v>1552</v>
      </c>
      <c r="B79" s="7"/>
      <c r="C79" s="7" t="str">
        <f>""&amp;CHAR(10)&amp;Basic_Fundamental_Information_Constructure(F79)&amp;CHAR(10)&amp;Basic_Fundamental_Information_Concatenate("金属软管 2.95亿 58.55% 毛利26.43%
轮胎气门嘴 1.18亿 23.44% 毛利22.15%
TPMS 7079.33万 14.07% 毛利58.45%
工具及配件 1825.55万 3.63% 毛利27.53%
其他业务 155.52万 0.31% 毛利54.81%")</f>
        <v xml:space="preserve">
市值28.083亿, 利润1.20亿; PE21.28; 平均PE37.22; 平均PEG1.22, PB2.62; ROIC11.8333%; ROE13.83%; 股利率1.3104%; 毛利30.9967%; 净利11.84%; 上一年度营收增-.09%, 利润增-10.45%; 当季营收增15.29%, 利润增81.12%; 过往5年营收增30.43%, 利润增51.66%
Income profile:
金属软管 2.95亿 58.55% 毛利26.43%
轮胎气门嘴 1.18亿 23.44% 毛利22.15%
TPMS 7079.33万 14.07% 毛利58.45%
工具及配件 1825.55万 3.63% 毛利27.53%
其他业务 155.52万 0.31% 毛利54.81%</v>
      </c>
      <c r="D79" t="s">
        <v>874</v>
      </c>
      <c r="E79" t="s">
        <v>875</v>
      </c>
      <c r="F79">
        <v>12.21</v>
      </c>
      <c r="G79">
        <v>-0.73</v>
      </c>
      <c r="H79" t="s">
        <v>4352</v>
      </c>
      <c r="I79">
        <v>2808300000</v>
      </c>
      <c r="J79">
        <v>21.28</v>
      </c>
      <c r="K79">
        <v>2.62</v>
      </c>
      <c r="L79" t="s">
        <v>172</v>
      </c>
      <c r="M79" t="s">
        <v>937</v>
      </c>
      <c r="N79" t="s">
        <v>2810</v>
      </c>
      <c r="O79" t="s">
        <v>60</v>
      </c>
      <c r="P79">
        <v>15.23</v>
      </c>
      <c r="Q79" t="s">
        <v>953</v>
      </c>
      <c r="R79">
        <v>27085582</v>
      </c>
      <c r="S79" s="5">
        <v>0.81120000000000003</v>
      </c>
      <c r="T79" t="s">
        <v>391</v>
      </c>
      <c r="U79">
        <v>229459250</v>
      </c>
      <c r="V79">
        <v>230000000</v>
      </c>
      <c r="W79">
        <v>1.29</v>
      </c>
      <c r="X79">
        <v>0.2</v>
      </c>
      <c r="Y79">
        <v>10.25</v>
      </c>
      <c r="Z79" t="s">
        <v>2612</v>
      </c>
      <c r="AA79" t="s">
        <v>344</v>
      </c>
      <c r="AB79" t="s">
        <v>4353</v>
      </c>
      <c r="AC79" t="s">
        <v>4354</v>
      </c>
      <c r="AD79" t="s">
        <v>19</v>
      </c>
      <c r="AE79">
        <v>731289</v>
      </c>
      <c r="AF79" t="s">
        <v>4355</v>
      </c>
      <c r="AG79" t="s">
        <v>4356</v>
      </c>
      <c r="AH79" t="s">
        <v>4357</v>
      </c>
      <c r="AI79" t="s">
        <v>313</v>
      </c>
      <c r="AJ79" t="s">
        <v>4358</v>
      </c>
      <c r="AK79" t="s">
        <v>4359</v>
      </c>
      <c r="AL79" t="s">
        <v>4360</v>
      </c>
      <c r="AM79" t="s">
        <v>19</v>
      </c>
      <c r="AN79" t="s">
        <v>4361</v>
      </c>
      <c r="AO79" t="s">
        <v>19</v>
      </c>
      <c r="AP79" t="s">
        <v>4362</v>
      </c>
      <c r="AQ79" t="s">
        <v>224</v>
      </c>
      <c r="AR79" t="s">
        <v>19</v>
      </c>
      <c r="AS79" t="s">
        <v>78</v>
      </c>
      <c r="AT79" t="s">
        <v>4363</v>
      </c>
      <c r="AU79" t="s">
        <v>4364</v>
      </c>
      <c r="AV79" t="s">
        <v>4365</v>
      </c>
      <c r="AW79" t="s">
        <v>4366</v>
      </c>
      <c r="AX79" t="s">
        <v>1251</v>
      </c>
      <c r="AY79" t="s">
        <v>1645</v>
      </c>
      <c r="AZ79" t="s">
        <v>876</v>
      </c>
      <c r="BA79" t="s">
        <v>878</v>
      </c>
      <c r="BB79" t="s">
        <v>778</v>
      </c>
      <c r="BC79" t="s">
        <v>287</v>
      </c>
      <c r="BD79" t="s">
        <v>279</v>
      </c>
      <c r="BE79" t="s">
        <v>877</v>
      </c>
      <c r="BF79" t="s">
        <v>879</v>
      </c>
      <c r="BG79" t="s">
        <v>880</v>
      </c>
      <c r="BH79" t="s">
        <v>953</v>
      </c>
      <c r="BI79" t="s">
        <v>295</v>
      </c>
      <c r="BJ79" t="s">
        <v>1251</v>
      </c>
      <c r="BK79" t="s">
        <v>391</v>
      </c>
      <c r="BL79" t="s">
        <v>4367</v>
      </c>
      <c r="BM79" t="s">
        <v>287</v>
      </c>
      <c r="BN79">
        <v>7.53</v>
      </c>
      <c r="BO79">
        <v>13.97</v>
      </c>
      <c r="BP79">
        <v>14</v>
      </c>
      <c r="BQ79">
        <v>8.56</v>
      </c>
      <c r="BR79">
        <v>15.01</v>
      </c>
      <c r="BS79">
        <v>17.920000000000002</v>
      </c>
      <c r="BT79" t="s">
        <v>4368</v>
      </c>
      <c r="BU79" t="s">
        <v>3125</v>
      </c>
      <c r="BV79">
        <v>31.23</v>
      </c>
      <c r="BW79">
        <v>31.41</v>
      </c>
      <c r="BX79">
        <v>30.35</v>
      </c>
      <c r="BY79">
        <v>11.54</v>
      </c>
      <c r="BZ79">
        <v>13</v>
      </c>
      <c r="CA79">
        <v>10.98</v>
      </c>
      <c r="CB79">
        <v>-13.4</v>
      </c>
      <c r="CC79">
        <v>12.85</v>
      </c>
      <c r="CD79" t="s">
        <v>414</v>
      </c>
      <c r="CE79" t="s">
        <v>2640</v>
      </c>
      <c r="CF79" s="14">
        <v>0.15289256198347106</v>
      </c>
      <c r="CG79" s="15">
        <v>0.81121154977799181</v>
      </c>
      <c r="CH79" s="14">
        <v>-9.3545368872582912E-4</v>
      </c>
      <c r="CI79" s="14">
        <v>4.4965788722038269E-2</v>
      </c>
      <c r="CJ79" s="14">
        <v>0.29657796025276184</v>
      </c>
      <c r="CK79" s="14">
        <v>0.71895426511764526</v>
      </c>
      <c r="CL79" s="14">
        <v>0.46178343892097473</v>
      </c>
      <c r="CM79" s="15">
        <v>-0.10447761416435242</v>
      </c>
      <c r="CN79" s="15">
        <v>0.21818181872367859</v>
      </c>
      <c r="CO79" s="15">
        <v>2.0253357887268066</v>
      </c>
      <c r="CP79" s="15">
        <v>0.83302915096282959</v>
      </c>
      <c r="CQ79" s="15">
        <v>-0.38914516568183899</v>
      </c>
      <c r="CR79">
        <v>37.223340040241446</v>
      </c>
      <c r="CS79">
        <v>1.2233686504176042</v>
      </c>
      <c r="CT79">
        <v>1.3104013104013104</v>
      </c>
      <c r="CU79" s="14">
        <v>0.30426919986493883</v>
      </c>
      <c r="CV79" s="15">
        <v>0.51658479571342464</v>
      </c>
      <c r="CW79">
        <v>0.06</v>
      </c>
      <c r="CX79">
        <v>14.021376876716666</v>
      </c>
      <c r="CY79">
        <v>147653116.96584213</v>
      </c>
      <c r="CZ79">
        <v>0.30426919986493883</v>
      </c>
      <c r="DA79">
        <v>3.8395096120480714</v>
      </c>
      <c r="DB79">
        <v>539209484.85284829</v>
      </c>
      <c r="DC79">
        <v>0.28905573987169186</v>
      </c>
      <c r="DD79">
        <v>1.467417258150884</v>
      </c>
      <c r="DE79">
        <v>1410846157.4241114</v>
      </c>
      <c r="DF79">
        <v>0.26775689588114615</v>
      </c>
      <c r="DG79">
        <v>0.64707848110557953</v>
      </c>
      <c r="DH79">
        <v>3199457346.290894</v>
      </c>
      <c r="DI79">
        <v>0.24341535989195107</v>
      </c>
      <c r="DJ79">
        <v>0.15738599455142344</v>
      </c>
      <c r="DK79">
        <v>13154283555.539381</v>
      </c>
      <c r="DL79">
        <v>0.21298843990545718</v>
      </c>
      <c r="DM79">
        <v>120000000</v>
      </c>
      <c r="DN79">
        <v>0.30426919986493883</v>
      </c>
      <c r="DO79">
        <v>2070300000</v>
      </c>
      <c r="DP79">
        <v>514945070</v>
      </c>
      <c r="DQ79">
        <v>2110</v>
      </c>
      <c r="DR79">
        <v>-0.15137663788146777</v>
      </c>
      <c r="DS79">
        <v>0.29462675406456718</v>
      </c>
      <c r="DT79" s="16">
        <v>2.6666666666666616E-2</v>
      </c>
      <c r="DU79">
        <v>1.1383333333333334</v>
      </c>
      <c r="DV79">
        <v>1.165</v>
      </c>
      <c r="DW79">
        <v>-5.9589552238805972</v>
      </c>
      <c r="DX79">
        <v>0.33075067024128529</v>
      </c>
      <c r="DY79">
        <v>-5.1349735904925771</v>
      </c>
      <c r="DZ79">
        <v>139</v>
      </c>
      <c r="EA79">
        <v>-5.131302097522231</v>
      </c>
      <c r="EB79">
        <v>5</v>
      </c>
      <c r="EC79">
        <v>0.45652173913043476</v>
      </c>
      <c r="ED79">
        <v>3.2434782608695651</v>
      </c>
      <c r="EE79" s="17">
        <v>-6.1088000000000005</v>
      </c>
      <c r="EF79">
        <v>-6.0608000000000004</v>
      </c>
      <c r="EG79">
        <v>19.140750670241285</v>
      </c>
      <c r="EH79" t="s">
        <v>4369</v>
      </c>
      <c r="EI79">
        <v>0</v>
      </c>
      <c r="EJ79">
        <v>1</v>
      </c>
      <c r="EK79" s="19">
        <v>45470</v>
      </c>
      <c r="EL79" s="20">
        <v>-6.8</v>
      </c>
      <c r="EM79" s="20">
        <v>-6.19</v>
      </c>
      <c r="EN79" s="20">
        <v>20.03</v>
      </c>
      <c r="EO79" s="20">
        <v>4.1500000000000004</v>
      </c>
      <c r="EP79" s="20">
        <v>-4.8</v>
      </c>
    </row>
    <row r="80" spans="1:146" ht="84" x14ac:dyDescent="0.25">
      <c r="A80" s="7"/>
      <c r="B80" s="7"/>
      <c r="C80" s="7" t="str">
        <f>""&amp;CHAR(10)&amp;Basic_Fundamental_Information_Constructure(F80)&amp;CHAR(10)&amp;Basic_Fundamental_Information_Concatenate("")</f>
        <v xml:space="preserve">
市值19.17746亿, 利润1.20亿; PE14.05; 平均PE21.91; 平均PEG2.67, PB1.42; ROIC8.1233%; ROE8.8133%; 股利率2.6752%; 毛利30.7933%; 净利16.9033%; 上一年度营收增.62%, 利润增15.38%; 当季营收增17.97%, 利润增95.97%; 过往5年营收增8.19%, 利润增11.14%
Income profile:
</v>
      </c>
      <c r="D80" t="s">
        <v>881</v>
      </c>
      <c r="E80" t="s">
        <v>882</v>
      </c>
      <c r="F80">
        <v>18.690000000000001</v>
      </c>
      <c r="G80">
        <v>1.03</v>
      </c>
      <c r="H80" t="s">
        <v>4370</v>
      </c>
      <c r="I80">
        <v>1917746000</v>
      </c>
      <c r="J80">
        <v>14.05</v>
      </c>
      <c r="K80">
        <v>1.42</v>
      </c>
      <c r="L80" t="s">
        <v>172</v>
      </c>
      <c r="M80" t="s">
        <v>112</v>
      </c>
      <c r="N80" t="s">
        <v>154</v>
      </c>
      <c r="O80" t="s">
        <v>329</v>
      </c>
      <c r="P80">
        <v>17.760000000000002</v>
      </c>
      <c r="Q80" t="s">
        <v>3251</v>
      </c>
      <c r="R80">
        <v>32892322</v>
      </c>
      <c r="S80" s="5">
        <v>0.9597</v>
      </c>
      <c r="T80" t="s">
        <v>391</v>
      </c>
      <c r="U80">
        <v>92090714</v>
      </c>
      <c r="V80">
        <v>102608133</v>
      </c>
      <c r="W80">
        <v>1.3</v>
      </c>
      <c r="X80">
        <v>0.09</v>
      </c>
      <c r="Y80">
        <v>21.82</v>
      </c>
      <c r="Z80" t="s">
        <v>65</v>
      </c>
      <c r="AA80" t="s">
        <v>4371</v>
      </c>
      <c r="AB80" t="s">
        <v>4372</v>
      </c>
      <c r="AC80" t="s">
        <v>4373</v>
      </c>
      <c r="AD80" t="s">
        <v>19</v>
      </c>
      <c r="AE80">
        <v>-3240294</v>
      </c>
      <c r="AF80" t="s">
        <v>21</v>
      </c>
      <c r="AG80" t="s">
        <v>4374</v>
      </c>
      <c r="AH80" t="s">
        <v>4375</v>
      </c>
      <c r="AI80" t="s">
        <v>479</v>
      </c>
      <c r="AJ80" t="s">
        <v>4376</v>
      </c>
      <c r="AK80" t="s">
        <v>4377</v>
      </c>
      <c r="AL80" t="s">
        <v>4378</v>
      </c>
      <c r="AM80" t="s">
        <v>19</v>
      </c>
      <c r="AN80" t="s">
        <v>128</v>
      </c>
      <c r="AO80" t="s">
        <v>672</v>
      </c>
      <c r="AP80" t="s">
        <v>264</v>
      </c>
      <c r="AQ80" t="s">
        <v>88</v>
      </c>
      <c r="AR80" t="s">
        <v>19</v>
      </c>
      <c r="AS80" t="s">
        <v>870</v>
      </c>
      <c r="AT80" t="s">
        <v>19</v>
      </c>
      <c r="AU80" t="s">
        <v>4379</v>
      </c>
      <c r="AV80" t="s">
        <v>4380</v>
      </c>
      <c r="AW80" t="s">
        <v>4381</v>
      </c>
      <c r="AX80" t="s">
        <v>721</v>
      </c>
      <c r="AY80" t="s">
        <v>793</v>
      </c>
      <c r="AZ80" t="s">
        <v>884</v>
      </c>
      <c r="BA80" t="s">
        <v>886</v>
      </c>
      <c r="BB80" t="s">
        <v>887</v>
      </c>
      <c r="BC80" t="s">
        <v>23</v>
      </c>
      <c r="BD80" t="s">
        <v>1646</v>
      </c>
      <c r="BE80" t="s">
        <v>885</v>
      </c>
      <c r="BF80" t="s">
        <v>889</v>
      </c>
      <c r="BG80" t="s">
        <v>890</v>
      </c>
      <c r="BH80" t="s">
        <v>3251</v>
      </c>
      <c r="BI80" t="s">
        <v>126</v>
      </c>
      <c r="BJ80" t="s">
        <v>721</v>
      </c>
      <c r="BK80" t="s">
        <v>391</v>
      </c>
      <c r="BL80" t="s">
        <v>4382</v>
      </c>
      <c r="BM80" t="s">
        <v>23</v>
      </c>
      <c r="BN80">
        <v>6.59</v>
      </c>
      <c r="BO80">
        <v>8.84</v>
      </c>
      <c r="BP80">
        <v>8.94</v>
      </c>
      <c r="BQ80">
        <v>7.21</v>
      </c>
      <c r="BR80">
        <v>9.4600000000000009</v>
      </c>
      <c r="BS80">
        <v>9.77</v>
      </c>
      <c r="BT80" t="s">
        <v>2053</v>
      </c>
      <c r="BU80" t="s">
        <v>3032</v>
      </c>
      <c r="BV80">
        <v>32.020000000000003</v>
      </c>
      <c r="BW80">
        <v>29.47</v>
      </c>
      <c r="BX80">
        <v>30.89</v>
      </c>
      <c r="BY80">
        <v>18.47</v>
      </c>
      <c r="BZ80">
        <v>16.010000000000002</v>
      </c>
      <c r="CA80">
        <v>16.23</v>
      </c>
      <c r="CB80">
        <v>-5.75</v>
      </c>
      <c r="CC80">
        <v>-18.059999999999999</v>
      </c>
      <c r="CD80" t="s">
        <v>4383</v>
      </c>
      <c r="CE80" t="s">
        <v>4384</v>
      </c>
      <c r="CF80" s="14">
        <v>0.1796875</v>
      </c>
      <c r="CG80" s="15">
        <v>0.95970770303200015</v>
      </c>
      <c r="CH80" s="14">
        <v>6.1728395521640778E-3</v>
      </c>
      <c r="CI80" s="14">
        <v>9.6446700394153595E-2</v>
      </c>
      <c r="CJ80" s="14">
        <v>0.35240274667739868</v>
      </c>
      <c r="CK80" s="14">
        <v>-5.4112553596496582E-2</v>
      </c>
      <c r="CL80" s="14">
        <v>8.733624592423439E-3</v>
      </c>
      <c r="CM80" s="15">
        <v>0.15384615957736969</v>
      </c>
      <c r="CN80" s="15">
        <v>8.4139660000801086E-2</v>
      </c>
      <c r="CO80" s="15">
        <v>0.61664426326751709</v>
      </c>
      <c r="CP80" s="15">
        <v>-5.6681971997022629E-2</v>
      </c>
      <c r="CQ80" s="15">
        <v>-0.24118180572986603</v>
      </c>
      <c r="CR80">
        <v>21.914296287084071</v>
      </c>
      <c r="CS80">
        <v>2.6748018586733258</v>
      </c>
      <c r="CT80">
        <v>2.6752273943285179</v>
      </c>
      <c r="CU80" s="14">
        <v>8.1928671523928645E-2</v>
      </c>
      <c r="CV80" s="15">
        <v>0.11135326102375984</v>
      </c>
      <c r="CW80">
        <v>0.06</v>
      </c>
      <c r="CX80">
        <v>7.4928750357588054</v>
      </c>
      <c r="CY80">
        <v>122482491.11591645</v>
      </c>
      <c r="CZ80">
        <v>8.1928671523928645E-2</v>
      </c>
      <c r="DA80">
        <v>2.4654097073406041</v>
      </c>
      <c r="DB80">
        <v>372248879.06763262</v>
      </c>
      <c r="DC80">
        <v>7.7832237947732211E-2</v>
      </c>
      <c r="DD80">
        <v>1.2247836132047698</v>
      </c>
      <c r="DE80">
        <v>749312768.48048699</v>
      </c>
      <c r="DF80">
        <v>7.2097230941057203E-2</v>
      </c>
      <c r="DG80">
        <v>0.74307821897893334</v>
      </c>
      <c r="DH80">
        <v>1235059750.8578281</v>
      </c>
      <c r="DI80">
        <v>6.5542937219142922E-2</v>
      </c>
      <c r="DJ80">
        <v>0.39253666195105658</v>
      </c>
      <c r="DK80">
        <v>2337987986.7486854</v>
      </c>
      <c r="DL80">
        <v>5.7350070066750046E-2</v>
      </c>
      <c r="DM80">
        <v>120000000</v>
      </c>
      <c r="DN80">
        <v>8.1928671523928645E-2</v>
      </c>
      <c r="DO80">
        <v>917746000</v>
      </c>
      <c r="DP80">
        <v>771587560</v>
      </c>
      <c r="DQ80">
        <v>2118</v>
      </c>
      <c r="DR80">
        <v>9.7758828476071355E-2</v>
      </c>
      <c r="DS80">
        <v>0.84835444200824028</v>
      </c>
      <c r="DT80" s="16">
        <v>-0.3066666666666667</v>
      </c>
      <c r="DU80">
        <v>0.33333333333333331</v>
      </c>
      <c r="DV80">
        <v>2.6666666666666616E-2</v>
      </c>
      <c r="DW80">
        <v>-8.318383167220377</v>
      </c>
      <c r="DX80">
        <v>0.378081145431441</v>
      </c>
      <c r="DY80">
        <v>-8.0407788807436749</v>
      </c>
      <c r="DZ80">
        <v>1659</v>
      </c>
      <c r="EA80">
        <v>-8.027539709872098</v>
      </c>
      <c r="EB80">
        <v>8</v>
      </c>
      <c r="EC80">
        <v>5.441868823400188E-2</v>
      </c>
      <c r="ED80">
        <v>0.42487665183421669</v>
      </c>
      <c r="EE80" s="17">
        <v>-3.1191</v>
      </c>
      <c r="EF80">
        <v>-3.0888</v>
      </c>
      <c r="EG80">
        <v>25.128081145431441</v>
      </c>
      <c r="EH80" t="s">
        <v>2802</v>
      </c>
      <c r="EI80">
        <v>0</v>
      </c>
      <c r="EJ80">
        <v>0</v>
      </c>
      <c r="EK80" s="19">
        <v>45470</v>
      </c>
      <c r="EL80" s="20">
        <v>-0.92</v>
      </c>
      <c r="EM80" s="20">
        <v>-5.94</v>
      </c>
      <c r="EN80" s="20">
        <v>-0.47</v>
      </c>
      <c r="EO80" s="20">
        <v>5.46</v>
      </c>
      <c r="EP80" s="20">
        <v>-3.03</v>
      </c>
    </row>
    <row r="81" spans="1:146" ht="84" x14ac:dyDescent="0.25">
      <c r="A81" s="7"/>
      <c r="B81" s="7"/>
      <c r="C81" s="7" t="str">
        <f>""&amp;CHAR(10)&amp;Basic_Fundamental_Information_Constructure(F81)&amp;CHAR(10)&amp;Basic_Fundamental_Information_Concatenate("")</f>
        <v xml:space="preserve">
市值40.891297亿, 利润1.47亿; PE25.71; 平均PE60.17; 平均PEG1.14, PB2.29; ROIC5.9967%; ROE8.1333%; 股利率1.1299%; 毛利19.9867%; 净利8.31%; 上一年度营收增59.15%, 利润增94.51%; 当季营收增66.96%, 利润增30.18%; 过往5年营收增52.96%, 利润增183.48%
Income profile:
</v>
      </c>
      <c r="D81" t="s">
        <v>891</v>
      </c>
      <c r="E81" t="s">
        <v>892</v>
      </c>
      <c r="F81">
        <v>17.7</v>
      </c>
      <c r="G81">
        <v>0.4</v>
      </c>
      <c r="H81" t="s">
        <v>4385</v>
      </c>
      <c r="I81">
        <v>4089129700</v>
      </c>
      <c r="J81">
        <v>25.71</v>
      </c>
      <c r="K81">
        <v>2.29</v>
      </c>
      <c r="L81" t="s">
        <v>172</v>
      </c>
      <c r="M81" t="s">
        <v>4386</v>
      </c>
      <c r="N81" t="s">
        <v>4387</v>
      </c>
      <c r="O81" t="s">
        <v>378</v>
      </c>
      <c r="P81">
        <v>66.78</v>
      </c>
      <c r="Q81" t="s">
        <v>4387</v>
      </c>
      <c r="R81">
        <v>52661551</v>
      </c>
      <c r="S81" s="5">
        <v>0.30180000000000001</v>
      </c>
      <c r="T81" t="s">
        <v>437</v>
      </c>
      <c r="U81">
        <v>173217720</v>
      </c>
      <c r="V81">
        <v>231024280</v>
      </c>
      <c r="W81">
        <v>2</v>
      </c>
      <c r="X81">
        <v>0.16</v>
      </c>
      <c r="Y81">
        <v>9.39</v>
      </c>
      <c r="Z81" t="s">
        <v>801</v>
      </c>
      <c r="AA81" t="s">
        <v>568</v>
      </c>
      <c r="AB81" t="s">
        <v>4388</v>
      </c>
      <c r="AC81" t="s">
        <v>4389</v>
      </c>
      <c r="AD81" t="s">
        <v>19</v>
      </c>
      <c r="AE81">
        <v>6581820</v>
      </c>
      <c r="AF81" t="s">
        <v>4390</v>
      </c>
      <c r="AG81" t="s">
        <v>4391</v>
      </c>
      <c r="AH81" t="s">
        <v>4392</v>
      </c>
      <c r="AI81" t="s">
        <v>2545</v>
      </c>
      <c r="AJ81" t="s">
        <v>4393</v>
      </c>
      <c r="AK81" t="s">
        <v>4394</v>
      </c>
      <c r="AL81" t="s">
        <v>4395</v>
      </c>
      <c r="AM81" t="s">
        <v>19</v>
      </c>
      <c r="AN81" t="s">
        <v>509</v>
      </c>
      <c r="AO81" t="s">
        <v>2809</v>
      </c>
      <c r="AP81" t="s">
        <v>4396</v>
      </c>
      <c r="AQ81" t="s">
        <v>105</v>
      </c>
      <c r="AR81" t="s">
        <v>19</v>
      </c>
      <c r="AS81" t="s">
        <v>4397</v>
      </c>
      <c r="AT81" t="s">
        <v>1568</v>
      </c>
      <c r="AU81" t="s">
        <v>4398</v>
      </c>
      <c r="AV81" t="s">
        <v>4399</v>
      </c>
      <c r="AW81" t="s">
        <v>32</v>
      </c>
      <c r="AX81" t="s">
        <v>2234</v>
      </c>
      <c r="AY81" t="s">
        <v>1414</v>
      </c>
      <c r="AZ81" t="s">
        <v>893</v>
      </c>
      <c r="BA81" t="s">
        <v>608</v>
      </c>
      <c r="BB81" t="s">
        <v>474</v>
      </c>
      <c r="BC81" t="s">
        <v>2235</v>
      </c>
      <c r="BD81" t="s">
        <v>1647</v>
      </c>
      <c r="BE81" t="s">
        <v>894</v>
      </c>
      <c r="BF81" t="s">
        <v>895</v>
      </c>
      <c r="BG81" t="s">
        <v>896</v>
      </c>
      <c r="BH81" t="s">
        <v>4387</v>
      </c>
      <c r="BI81" t="s">
        <v>284</v>
      </c>
      <c r="BJ81" t="s">
        <v>2234</v>
      </c>
      <c r="BK81" t="s">
        <v>437</v>
      </c>
      <c r="BL81" t="s">
        <v>4400</v>
      </c>
      <c r="BM81" t="s">
        <v>2235</v>
      </c>
      <c r="BN81">
        <v>4.43</v>
      </c>
      <c r="BO81">
        <v>4.9000000000000004</v>
      </c>
      <c r="BP81">
        <v>8.66</v>
      </c>
      <c r="BQ81">
        <v>5.77</v>
      </c>
      <c r="BR81">
        <v>7.23</v>
      </c>
      <c r="BS81">
        <v>11.4</v>
      </c>
      <c r="BT81" t="s">
        <v>1989</v>
      </c>
      <c r="BU81" t="s">
        <v>2920</v>
      </c>
      <c r="BV81">
        <v>17.79</v>
      </c>
      <c r="BW81">
        <v>18.920000000000002</v>
      </c>
      <c r="BX81">
        <v>23.25</v>
      </c>
      <c r="BY81">
        <v>8.14</v>
      </c>
      <c r="BZ81">
        <v>6.28</v>
      </c>
      <c r="CA81">
        <v>10.51</v>
      </c>
      <c r="CB81">
        <v>-7.18</v>
      </c>
      <c r="CC81">
        <v>-13.45</v>
      </c>
      <c r="CD81" t="s">
        <v>4401</v>
      </c>
      <c r="CE81" t="s">
        <v>2716</v>
      </c>
      <c r="CF81" s="14">
        <v>0.6696165191740413</v>
      </c>
      <c r="CG81" s="15">
        <v>0.30177019216983325</v>
      </c>
      <c r="CH81" s="14">
        <v>0.59146344661712646</v>
      </c>
      <c r="CI81" s="14">
        <v>0.23440860211849213</v>
      </c>
      <c r="CJ81" s="14">
        <v>0.60899651050567627</v>
      </c>
      <c r="CK81" s="14">
        <v>0.42014741897583008</v>
      </c>
      <c r="CL81" s="14">
        <v>0.79295152425765991</v>
      </c>
      <c r="CM81" s="15">
        <v>0.94508767127990723</v>
      </c>
      <c r="CN81" s="15">
        <v>-0.22603152692317963</v>
      </c>
      <c r="CO81" s="15">
        <v>0.81939643621444702</v>
      </c>
      <c r="CP81" s="15">
        <v>0.78665471076965332</v>
      </c>
      <c r="CQ81" s="15">
        <v>6.8488450050354004</v>
      </c>
      <c r="CR81">
        <v>60.170111652310489</v>
      </c>
      <c r="CS81">
        <v>1.1361565350797473</v>
      </c>
      <c r="CT81">
        <v>1.1299435028248588</v>
      </c>
      <c r="CU81" s="14">
        <v>0.52959350049495701</v>
      </c>
      <c r="CV81" s="15">
        <v>1.8347904592752458</v>
      </c>
      <c r="CW81">
        <v>0.06</v>
      </c>
      <c r="CX81">
        <v>18.852892466515815</v>
      </c>
      <c r="CY81">
        <v>212122872.23845157</v>
      </c>
      <c r="CZ81">
        <v>0.52959350049495701</v>
      </c>
      <c r="DA81">
        <v>4.331831260006723</v>
      </c>
      <c r="DB81">
        <v>923196094.20653963</v>
      </c>
      <c r="DC81">
        <v>0.50311382547020911</v>
      </c>
      <c r="DD81">
        <v>1.2559864947730204</v>
      </c>
      <c r="DE81">
        <v>3184054698.5520854</v>
      </c>
      <c r="DF81">
        <v>0.46604228043556217</v>
      </c>
      <c r="DG81">
        <v>0.38393274147864925</v>
      </c>
      <c r="DH81">
        <v>10416224687.162802</v>
      </c>
      <c r="DI81">
        <v>0.42367480039596561</v>
      </c>
      <c r="DJ81">
        <v>3.6289669497224973E-2</v>
      </c>
      <c r="DK81">
        <v>110200223793.87634</v>
      </c>
      <c r="DL81">
        <v>0.37071545034646991</v>
      </c>
      <c r="DM81">
        <v>147000000</v>
      </c>
      <c r="DN81">
        <v>0.52959350049495701</v>
      </c>
      <c r="DO81">
        <v>3999129700</v>
      </c>
      <c r="DP81">
        <v>468104400</v>
      </c>
      <c r="DQ81">
        <v>2146</v>
      </c>
      <c r="DR81">
        <v>0.14002301867908429</v>
      </c>
      <c r="DS81">
        <v>-1.5330202671054125</v>
      </c>
      <c r="DT81" s="16">
        <v>0.46</v>
      </c>
      <c r="DU81">
        <v>1.4716666666666667</v>
      </c>
      <c r="DV81">
        <v>1.9316666666666666</v>
      </c>
      <c r="DW81">
        <v>-9.5338289962825282</v>
      </c>
      <c r="DX81">
        <v>0.24360734557595962</v>
      </c>
      <c r="DY81">
        <v>-9.044632025370662</v>
      </c>
      <c r="DZ81">
        <v>14</v>
      </c>
      <c r="EA81">
        <v>-9.0445097458490977</v>
      </c>
      <c r="EB81">
        <v>9</v>
      </c>
      <c r="EC81">
        <v>0.21677721493169463</v>
      </c>
      <c r="ED81">
        <v>2.5928010683552394</v>
      </c>
      <c r="EE81" s="17">
        <v>-2.0186999999999999</v>
      </c>
      <c r="EF81">
        <v>-2.0102000000000002</v>
      </c>
      <c r="EG81">
        <v>16.08360734557596</v>
      </c>
      <c r="EH81" t="s">
        <v>2280</v>
      </c>
      <c r="EI81">
        <v>0</v>
      </c>
      <c r="EJ81">
        <v>1</v>
      </c>
      <c r="EK81" s="19">
        <v>45470</v>
      </c>
      <c r="EL81" s="20">
        <v>2.23</v>
      </c>
      <c r="EM81" s="20">
        <v>-4.5199999999999996</v>
      </c>
      <c r="EN81" s="20">
        <v>1</v>
      </c>
      <c r="EO81" s="20">
        <v>3.25</v>
      </c>
      <c r="EP81" s="20">
        <v>-0.85</v>
      </c>
    </row>
    <row r="82" spans="1:146" ht="84" x14ac:dyDescent="0.25">
      <c r="A82" s="7"/>
      <c r="B82" s="7"/>
      <c r="C82" s="7" t="str">
        <f>""&amp;CHAR(10)&amp;Basic_Fundamental_Information_Constructure(F82)&amp;CHAR(10)&amp;Basic_Fundamental_Information_Concatenate("")</f>
        <v xml:space="preserve">
市值31.212319亿, 利润8236.15万; PE31.63; 平均PE133.08; 平均PEG3.08, PB1.69; ROIC4.61%; ROE4.1667%; 股利率.2425%; 毛利17.9967%; 净利3.41%; 上一年度营收增-2.14%, 利润增234.33%; 当季营收增83.72%, 利润增207.94%; 过往5年营收增43.23%, 利润增62.01%
Income profile:
</v>
      </c>
      <c r="D82" t="s">
        <v>897</v>
      </c>
      <c r="E82" t="s">
        <v>898</v>
      </c>
      <c r="F82">
        <v>12.37</v>
      </c>
      <c r="G82">
        <v>0</v>
      </c>
      <c r="H82" t="s">
        <v>4402</v>
      </c>
      <c r="I82">
        <v>3121231900</v>
      </c>
      <c r="J82">
        <v>31.63</v>
      </c>
      <c r="K82">
        <v>1.69</v>
      </c>
      <c r="L82" t="s">
        <v>172</v>
      </c>
      <c r="M82" t="s">
        <v>2748</v>
      </c>
      <c r="N82" t="s">
        <v>4403</v>
      </c>
      <c r="O82" t="s">
        <v>1689</v>
      </c>
      <c r="P82">
        <v>83.8</v>
      </c>
      <c r="Q82" t="s">
        <v>4404</v>
      </c>
      <c r="R82">
        <v>8464508</v>
      </c>
      <c r="S82" s="5">
        <v>2.0790000000000002</v>
      </c>
      <c r="T82" t="s">
        <v>4405</v>
      </c>
      <c r="U82">
        <v>172972380</v>
      </c>
      <c r="V82">
        <v>252322710</v>
      </c>
      <c r="W82">
        <v>2.31</v>
      </c>
      <c r="X82">
        <v>0.11</v>
      </c>
      <c r="Y82">
        <v>1.79</v>
      </c>
      <c r="Z82" t="s">
        <v>2546</v>
      </c>
      <c r="AA82" t="s">
        <v>913</v>
      </c>
      <c r="AB82" t="s">
        <v>4406</v>
      </c>
      <c r="AC82" t="s">
        <v>4407</v>
      </c>
      <c r="AD82" t="s">
        <v>19</v>
      </c>
      <c r="AE82">
        <v>5847689</v>
      </c>
      <c r="AF82" t="s">
        <v>21</v>
      </c>
      <c r="AG82" t="s">
        <v>2604</v>
      </c>
      <c r="AH82" t="s">
        <v>4408</v>
      </c>
      <c r="AI82" t="s">
        <v>2526</v>
      </c>
      <c r="AJ82" t="s">
        <v>4409</v>
      </c>
      <c r="AK82" t="s">
        <v>1382</v>
      </c>
      <c r="AL82" t="s">
        <v>4410</v>
      </c>
      <c r="AM82" t="s">
        <v>19</v>
      </c>
      <c r="AN82" t="s">
        <v>1952</v>
      </c>
      <c r="AO82" t="s">
        <v>424</v>
      </c>
      <c r="AP82" t="s">
        <v>1344</v>
      </c>
      <c r="AQ82" t="s">
        <v>2541</v>
      </c>
      <c r="AR82" t="s">
        <v>19</v>
      </c>
      <c r="AS82" t="s">
        <v>2783</v>
      </c>
      <c r="AT82" t="s">
        <v>929</v>
      </c>
      <c r="AU82" t="s">
        <v>176</v>
      </c>
      <c r="AV82" t="s">
        <v>4411</v>
      </c>
      <c r="AW82" t="s">
        <v>4412</v>
      </c>
      <c r="AX82" t="s">
        <v>1595</v>
      </c>
      <c r="AY82" t="s">
        <v>90</v>
      </c>
      <c r="AZ82" t="s">
        <v>168</v>
      </c>
      <c r="BA82" t="s">
        <v>410</v>
      </c>
      <c r="BB82" t="s">
        <v>334</v>
      </c>
      <c r="BC82" t="s">
        <v>4413</v>
      </c>
      <c r="BD82" t="s">
        <v>1649</v>
      </c>
      <c r="BE82" t="s">
        <v>899</v>
      </c>
      <c r="BF82" t="s">
        <v>901</v>
      </c>
      <c r="BG82" t="s">
        <v>902</v>
      </c>
      <c r="BH82" t="s">
        <v>4404</v>
      </c>
      <c r="BI82" t="s">
        <v>328</v>
      </c>
      <c r="BJ82" t="s">
        <v>1595</v>
      </c>
      <c r="BK82" t="s">
        <v>4405</v>
      </c>
      <c r="BL82" t="s">
        <v>4414</v>
      </c>
      <c r="BM82" t="s">
        <v>4413</v>
      </c>
      <c r="BN82">
        <v>1.95</v>
      </c>
      <c r="BO82" t="s">
        <v>19</v>
      </c>
      <c r="BP82">
        <v>7.27</v>
      </c>
      <c r="BQ82">
        <v>2.44</v>
      </c>
      <c r="BR82">
        <v>2.2799999999999998</v>
      </c>
      <c r="BS82">
        <v>7.78</v>
      </c>
      <c r="BT82" t="s">
        <v>1991</v>
      </c>
      <c r="BU82" t="s">
        <v>3146</v>
      </c>
      <c r="BV82">
        <v>17.059999999999999</v>
      </c>
      <c r="BW82">
        <v>16.22</v>
      </c>
      <c r="BX82">
        <v>20.71</v>
      </c>
      <c r="BY82">
        <v>4.2</v>
      </c>
      <c r="BZ82">
        <v>1.23</v>
      </c>
      <c r="CA82">
        <v>4.8</v>
      </c>
      <c r="CB82">
        <v>-5.14</v>
      </c>
      <c r="CC82">
        <v>-12.08</v>
      </c>
      <c r="CD82" t="s">
        <v>4415</v>
      </c>
      <c r="CE82" t="s">
        <v>84</v>
      </c>
      <c r="CF82" s="14">
        <v>0.83720930232558144</v>
      </c>
      <c r="CG82" s="15">
        <v>2.0794225741867196</v>
      </c>
      <c r="CH82" s="14">
        <v>-2.1435661241412163E-2</v>
      </c>
      <c r="CI82" s="14">
        <v>1.0553278923034668</v>
      </c>
      <c r="CJ82" s="14">
        <v>1.3182897567749023</v>
      </c>
      <c r="CK82" s="14">
        <v>0.32389935851097107</v>
      </c>
      <c r="CL82" s="14">
        <v>-0.5145038366317749</v>
      </c>
      <c r="CM82" s="15">
        <v>2.3432719707489014</v>
      </c>
      <c r="CN82" s="15">
        <v>-0.47406849265098572</v>
      </c>
      <c r="CO82" s="15">
        <v>2.5601081848144531</v>
      </c>
      <c r="CP82" s="15">
        <v>1.165826678276062</v>
      </c>
      <c r="CQ82" s="15">
        <v>-2.4948816299438477</v>
      </c>
      <c r="CR82">
        <v>133.07518551758395</v>
      </c>
      <c r="CS82">
        <v>3.0781960147026761</v>
      </c>
      <c r="CT82">
        <v>0.24252223120452709</v>
      </c>
      <c r="CU82" s="14">
        <v>0.43231550194323065</v>
      </c>
      <c r="CV82" s="15">
        <v>0.62005134224891667</v>
      </c>
      <c r="CW82">
        <v>0.06</v>
      </c>
      <c r="CX82">
        <v>32.152252848007485</v>
      </c>
      <c r="CY82">
        <v>111290238.88046922</v>
      </c>
      <c r="CZ82">
        <v>0.43231550194323065</v>
      </c>
      <c r="DA82">
        <v>7.9582776547734513</v>
      </c>
      <c r="DB82">
        <v>449623907.98890287</v>
      </c>
      <c r="DC82">
        <v>0.41069972684606909</v>
      </c>
      <c r="DD82">
        <v>2.6003587254224838</v>
      </c>
      <c r="DE82">
        <v>1376053182.5925825</v>
      </c>
      <c r="DF82">
        <v>0.38043764171004296</v>
      </c>
      <c r="DG82">
        <v>0.93328845939360838</v>
      </c>
      <c r="DH82">
        <v>3834004228.7942872</v>
      </c>
      <c r="DI82">
        <v>0.34585240155458452</v>
      </c>
      <c r="DJ82">
        <v>0.13332398518361505</v>
      </c>
      <c r="DK82">
        <v>26838620935.850555</v>
      </c>
      <c r="DL82">
        <v>0.30262085136026146</v>
      </c>
      <c r="DM82">
        <v>82361500</v>
      </c>
      <c r="DN82">
        <v>0.43231550194323065</v>
      </c>
      <c r="DO82">
        <v>3578231900</v>
      </c>
      <c r="DP82">
        <v>737601200</v>
      </c>
      <c r="DQ82">
        <v>2147</v>
      </c>
      <c r="DR82">
        <v>0.40489380038235079</v>
      </c>
      <c r="DS82">
        <v>1.4593712319378029</v>
      </c>
      <c r="DT82" s="16">
        <v>0.14333333333333331</v>
      </c>
      <c r="DU82">
        <v>0.59166666666666667</v>
      </c>
      <c r="DV82">
        <v>0.73499999999999999</v>
      </c>
      <c r="DW82">
        <v>-8.4254966887417222</v>
      </c>
      <c r="DX82">
        <v>0.3018279720279709</v>
      </c>
      <c r="DY82">
        <v>-8.0475824318066032</v>
      </c>
      <c r="DZ82">
        <v>422</v>
      </c>
      <c r="EA82">
        <v>-8.0436529237396002</v>
      </c>
      <c r="EB82">
        <v>8</v>
      </c>
      <c r="EC82">
        <v>6.3376776509732322E-2</v>
      </c>
      <c r="ED82">
        <v>0.56673455988166899</v>
      </c>
      <c r="EE82" s="17">
        <v>-1.1089100000000001</v>
      </c>
      <c r="EF82">
        <v>-2.0161099999999998</v>
      </c>
      <c r="EG82">
        <v>19.111827972027971</v>
      </c>
      <c r="EH82" t="s">
        <v>2497</v>
      </c>
      <c r="EI82">
        <v>0</v>
      </c>
      <c r="EJ82">
        <v>1</v>
      </c>
      <c r="EK82" s="19">
        <v>45470</v>
      </c>
      <c r="EL82" s="20">
        <v>5.7</v>
      </c>
      <c r="EM82" s="20">
        <v>-10.84</v>
      </c>
      <c r="EN82" s="20">
        <v>-0.22</v>
      </c>
      <c r="EO82" s="20">
        <v>1.94</v>
      </c>
      <c r="EP82" s="20">
        <v>-5.72</v>
      </c>
    </row>
    <row r="83" spans="1:146" ht="84" x14ac:dyDescent="0.25">
      <c r="A83" s="7"/>
      <c r="B83" s="7"/>
      <c r="C83" s="7" t="str">
        <f>""&amp;CHAR(10)&amp;Basic_Fundamental_Information_Constructure(F83)&amp;CHAR(10)&amp;Basic_Fundamental_Information_Concatenate("")</f>
        <v xml:space="preserve">
市值17.957436亿, 利润6762.93万; PE22.29; 平均PE32.81; 平均PEG4.03, PB1.32; ROIC3.555%; ROE2.31%; 股利率.5995%; 毛利13.9233%; 净利1.9967%; 上一年度营收增7.88%, 利润增41.82%; 当季营收增6.45%, 利润增122.71%; 过往5年营收增8.14%, 利润增46.04%
Income profile:
</v>
      </c>
      <c r="D83" t="s">
        <v>903</v>
      </c>
      <c r="E83" t="s">
        <v>904</v>
      </c>
      <c r="F83">
        <v>8.34</v>
      </c>
      <c r="G83">
        <v>1.34</v>
      </c>
      <c r="H83" t="s">
        <v>4416</v>
      </c>
      <c r="I83">
        <v>1795743600</v>
      </c>
      <c r="J83">
        <v>22.29</v>
      </c>
      <c r="K83">
        <v>1.32</v>
      </c>
      <c r="L83" t="s">
        <v>172</v>
      </c>
      <c r="M83" t="s">
        <v>1990</v>
      </c>
      <c r="N83" t="s">
        <v>4417</v>
      </c>
      <c r="O83" t="s">
        <v>1117</v>
      </c>
      <c r="P83">
        <v>6.33</v>
      </c>
      <c r="Q83" t="s">
        <v>359</v>
      </c>
      <c r="R83">
        <v>23455415</v>
      </c>
      <c r="S83" s="5">
        <v>1.2270000000000001</v>
      </c>
      <c r="T83" t="s">
        <v>4418</v>
      </c>
      <c r="U83">
        <v>215316980</v>
      </c>
      <c r="V83">
        <v>215316980</v>
      </c>
      <c r="W83">
        <v>1.6</v>
      </c>
      <c r="X83">
        <v>0.18</v>
      </c>
      <c r="Y83">
        <v>5.85</v>
      </c>
      <c r="Z83" t="s">
        <v>592</v>
      </c>
      <c r="AA83" t="s">
        <v>352</v>
      </c>
      <c r="AB83" t="s">
        <v>4419</v>
      </c>
      <c r="AC83" t="s">
        <v>4420</v>
      </c>
      <c r="AD83" t="s">
        <v>19</v>
      </c>
      <c r="AE83">
        <v>-2481595</v>
      </c>
      <c r="AF83" t="s">
        <v>4421</v>
      </c>
      <c r="AG83">
        <v>4974.4399999999996</v>
      </c>
      <c r="AH83" t="s">
        <v>4422</v>
      </c>
      <c r="AI83" t="s">
        <v>446</v>
      </c>
      <c r="AJ83" t="s">
        <v>4423</v>
      </c>
      <c r="AK83" t="s">
        <v>4424</v>
      </c>
      <c r="AL83" t="s">
        <v>4425</v>
      </c>
      <c r="AM83" t="s">
        <v>19</v>
      </c>
      <c r="AN83" t="s">
        <v>99</v>
      </c>
      <c r="AO83" t="s">
        <v>124</v>
      </c>
      <c r="AP83" t="s">
        <v>4426</v>
      </c>
      <c r="AQ83" t="s">
        <v>245</v>
      </c>
      <c r="AR83" t="s">
        <v>4427</v>
      </c>
      <c r="AS83" t="s">
        <v>3992</v>
      </c>
      <c r="AT83" t="s">
        <v>4428</v>
      </c>
      <c r="AU83" t="s">
        <v>2823</v>
      </c>
      <c r="AV83" t="s">
        <v>4429</v>
      </c>
      <c r="AW83" t="s">
        <v>4430</v>
      </c>
      <c r="AX83" t="s">
        <v>2236</v>
      </c>
      <c r="AY83" t="s">
        <v>202</v>
      </c>
      <c r="AZ83" t="s">
        <v>905</v>
      </c>
      <c r="BA83" t="s">
        <v>907</v>
      </c>
      <c r="BB83" t="s">
        <v>908</v>
      </c>
      <c r="BC83" t="s">
        <v>2237</v>
      </c>
      <c r="BD83" t="s">
        <v>1650</v>
      </c>
      <c r="BE83" t="s">
        <v>906</v>
      </c>
      <c r="BF83" t="s">
        <v>32</v>
      </c>
      <c r="BG83" t="s">
        <v>909</v>
      </c>
      <c r="BH83" t="s">
        <v>359</v>
      </c>
      <c r="BI83" t="s">
        <v>2545</v>
      </c>
      <c r="BJ83" t="s">
        <v>2236</v>
      </c>
      <c r="BK83" t="s">
        <v>4418</v>
      </c>
      <c r="BL83" t="s">
        <v>4431</v>
      </c>
      <c r="BM83" t="s">
        <v>2237</v>
      </c>
      <c r="BN83">
        <v>3.47</v>
      </c>
      <c r="BO83">
        <v>3.64</v>
      </c>
      <c r="BP83" t="s">
        <v>19</v>
      </c>
      <c r="BQ83">
        <v>4.62</v>
      </c>
      <c r="BR83">
        <v>3.84</v>
      </c>
      <c r="BS83">
        <v>-1.53</v>
      </c>
      <c r="BT83" t="s">
        <v>2002</v>
      </c>
      <c r="BU83" t="s">
        <v>2920</v>
      </c>
      <c r="BV83">
        <v>15.87</v>
      </c>
      <c r="BW83">
        <v>14.57</v>
      </c>
      <c r="BX83">
        <v>11.33</v>
      </c>
      <c r="BY83">
        <v>4.16</v>
      </c>
      <c r="BZ83">
        <v>3.18</v>
      </c>
      <c r="CA83">
        <v>-1.35</v>
      </c>
      <c r="CB83">
        <v>-2</v>
      </c>
      <c r="CC83">
        <v>-15.67</v>
      </c>
      <c r="CD83" t="s">
        <v>4432</v>
      </c>
      <c r="CE83" t="s">
        <v>32</v>
      </c>
      <c r="CF83" s="14">
        <v>6.4516129032258063E-2</v>
      </c>
      <c r="CG83" s="15">
        <v>1.2270618116217242</v>
      </c>
      <c r="CH83" s="14">
        <v>7.8841015696525574E-2</v>
      </c>
      <c r="CI83" s="14">
        <v>6.4562410116195679E-2</v>
      </c>
      <c r="CJ83" s="14">
        <v>0.29193690419197083</v>
      </c>
      <c r="CK83" s="14">
        <v>-0.10604804754257202</v>
      </c>
      <c r="CL83" s="14">
        <v>7.7678628265857697E-2</v>
      </c>
      <c r="CM83" s="15">
        <v>0.41815575957298279</v>
      </c>
      <c r="CN83" s="15">
        <v>3.5381050109863281</v>
      </c>
      <c r="CO83" s="15">
        <v>-1.4100973606109619</v>
      </c>
      <c r="CP83" s="15">
        <v>-0.56777644157409668</v>
      </c>
      <c r="CQ83" s="15">
        <v>0.3237440288066864</v>
      </c>
      <c r="CR83">
        <v>32.806939402631144</v>
      </c>
      <c r="CS83">
        <v>4.0306246144161806</v>
      </c>
      <c r="CT83">
        <v>0.59952038369304561</v>
      </c>
      <c r="CU83" s="14">
        <v>8.1394182145595545E-2</v>
      </c>
      <c r="CV83" s="15">
        <v>0.46042619943618773</v>
      </c>
      <c r="CW83">
        <v>0.06</v>
      </c>
      <c r="CX83">
        <v>18.200692723062712</v>
      </c>
      <c r="CY83">
        <v>68994275.059036896</v>
      </c>
      <c r="CZ83">
        <v>8.1394182145595545E-2</v>
      </c>
      <c r="DA83">
        <v>5.9913606055337016</v>
      </c>
      <c r="DB83">
        <v>209592391.89178136</v>
      </c>
      <c r="DC83">
        <v>7.7324473038315758E-2</v>
      </c>
      <c r="DD83">
        <v>2.9782242373979231</v>
      </c>
      <c r="DE83">
        <v>421641723.35698408</v>
      </c>
      <c r="DF83">
        <v>7.1626880288124084E-2</v>
      </c>
      <c r="DG83">
        <v>1.8081118436566816</v>
      </c>
      <c r="DH83">
        <v>694505488.91954303</v>
      </c>
      <c r="DI83">
        <v>6.5115345716476439E-2</v>
      </c>
      <c r="DJ83">
        <v>0.95654460576052558</v>
      </c>
      <c r="DK83">
        <v>1312791470.9231865</v>
      </c>
      <c r="DL83">
        <v>5.6975927501916879E-2</v>
      </c>
      <c r="DM83">
        <v>67629300</v>
      </c>
      <c r="DN83">
        <v>8.1394182145595545E-2</v>
      </c>
      <c r="DO83">
        <v>1255743600</v>
      </c>
      <c r="DP83">
        <v>610810700</v>
      </c>
      <c r="DQ83">
        <v>2160</v>
      </c>
      <c r="DR83">
        <v>-1.6878053113337482E-2</v>
      </c>
      <c r="DS83">
        <v>0.76663561218553644</v>
      </c>
      <c r="DT83" s="16">
        <v>-0.3066666666666667</v>
      </c>
      <c r="DU83">
        <v>5.3333333333333267E-2</v>
      </c>
      <c r="DV83">
        <v>-0.25333333333333341</v>
      </c>
      <c r="DW83">
        <v>-2.1566999999999998</v>
      </c>
      <c r="DX83">
        <v>0.31178962264150939</v>
      </c>
      <c r="DY83">
        <v>-2.0206514338679247</v>
      </c>
      <c r="DZ83">
        <v>2329</v>
      </c>
      <c r="EA83">
        <v>-2.0112390680208803</v>
      </c>
      <c r="EB83">
        <v>2</v>
      </c>
      <c r="EC83">
        <v>6.487969504309414E-2</v>
      </c>
      <c r="ED83">
        <v>0.49229744909110279</v>
      </c>
      <c r="EE83" s="17">
        <v>-2.0017999999999998</v>
      </c>
      <c r="EF83">
        <v>-2.0179100000000001</v>
      </c>
      <c r="EG83">
        <v>18.131789622641509</v>
      </c>
      <c r="EH83" t="s">
        <v>2497</v>
      </c>
      <c r="EI83">
        <v>0</v>
      </c>
      <c r="EJ83">
        <v>0</v>
      </c>
      <c r="EK83" s="19">
        <v>45470</v>
      </c>
      <c r="EL83" s="20">
        <v>0.56999999999999995</v>
      </c>
      <c r="EM83" s="20">
        <v>-5.63</v>
      </c>
      <c r="EN83" s="20">
        <v>1.07</v>
      </c>
      <c r="EO83" s="20">
        <v>2.0099999999999998</v>
      </c>
      <c r="EP83" s="20">
        <v>-1.97</v>
      </c>
    </row>
    <row r="84" spans="1:146" ht="84" x14ac:dyDescent="0.25">
      <c r="A84" s="7"/>
      <c r="B84" s="7"/>
      <c r="C84" s="7" t="str">
        <f>""&amp;CHAR(10)&amp;Basic_Fundamental_Information_Constructure(F84)&amp;CHAR(10)&amp;Basic_Fundamental_Information_Concatenate("")</f>
        <v xml:space="preserve">
市值25.697893亿, 利润1.84亿; PE13.9; 平均PE14.75; 平均PEG.98, PB1.01; ROIC4.8333%; ROE6.45%; 股利率0%; 毛利30.9767%; 净利22.0967%; 上一年度营收增52.65%, 利润增11.52%; 当季营收增11.76%, 利润增5.21%; 过往5年营收增15.1%, 利润增1.03%
Income profile:
</v>
      </c>
      <c r="D84" t="s">
        <v>911</v>
      </c>
      <c r="E84" t="s">
        <v>912</v>
      </c>
      <c r="F84">
        <v>36.229999999999997</v>
      </c>
      <c r="G84">
        <v>-0.06</v>
      </c>
      <c r="H84" t="s">
        <v>4433</v>
      </c>
      <c r="I84">
        <v>2569789300</v>
      </c>
      <c r="J84">
        <v>13.9</v>
      </c>
      <c r="K84">
        <v>1.01</v>
      </c>
      <c r="L84" t="s">
        <v>172</v>
      </c>
      <c r="M84" t="s">
        <v>1842</v>
      </c>
      <c r="N84" t="s">
        <v>4434</v>
      </c>
      <c r="O84" t="s">
        <v>720</v>
      </c>
      <c r="P84">
        <v>11.64</v>
      </c>
      <c r="Q84" t="s">
        <v>1157</v>
      </c>
      <c r="R84">
        <v>26148371</v>
      </c>
      <c r="S84" s="5">
        <v>5.21E-2</v>
      </c>
      <c r="T84" t="s">
        <v>606</v>
      </c>
      <c r="U84">
        <v>70929872</v>
      </c>
      <c r="V84">
        <v>70929872</v>
      </c>
      <c r="W84">
        <v>1.21</v>
      </c>
      <c r="X84">
        <v>0.05</v>
      </c>
      <c r="Y84">
        <v>15.31</v>
      </c>
      <c r="Z84" t="s">
        <v>620</v>
      </c>
      <c r="AA84" t="s">
        <v>242</v>
      </c>
      <c r="AB84" t="s">
        <v>4435</v>
      </c>
      <c r="AC84" t="s">
        <v>4436</v>
      </c>
      <c r="AD84" t="s">
        <v>19</v>
      </c>
      <c r="AE84">
        <v>-9811832</v>
      </c>
      <c r="AF84" t="s">
        <v>4437</v>
      </c>
      <c r="AG84" t="s">
        <v>4438</v>
      </c>
      <c r="AH84" t="s">
        <v>4439</v>
      </c>
      <c r="AI84" t="s">
        <v>4440</v>
      </c>
      <c r="AJ84" t="s">
        <v>4441</v>
      </c>
      <c r="AK84" t="s">
        <v>4442</v>
      </c>
      <c r="AL84" t="s">
        <v>4443</v>
      </c>
      <c r="AM84" t="s">
        <v>19</v>
      </c>
      <c r="AN84" t="s">
        <v>4444</v>
      </c>
      <c r="AO84" t="s">
        <v>19</v>
      </c>
      <c r="AP84" t="s">
        <v>761</v>
      </c>
      <c r="AQ84" t="s">
        <v>138</v>
      </c>
      <c r="AR84" t="s">
        <v>19</v>
      </c>
      <c r="AS84" t="s">
        <v>428</v>
      </c>
      <c r="AT84" t="s">
        <v>19</v>
      </c>
      <c r="AU84" t="s">
        <v>4445</v>
      </c>
      <c r="AV84" t="s">
        <v>2530</v>
      </c>
      <c r="AW84" t="s">
        <v>19</v>
      </c>
      <c r="AX84" t="s">
        <v>951</v>
      </c>
      <c r="AY84" t="s">
        <v>1651</v>
      </c>
      <c r="AZ84" t="s">
        <v>133</v>
      </c>
      <c r="BA84" t="s">
        <v>914</v>
      </c>
      <c r="BB84" t="s">
        <v>915</v>
      </c>
      <c r="BC84" t="s">
        <v>845</v>
      </c>
      <c r="BD84" t="s">
        <v>177</v>
      </c>
      <c r="BE84" t="s">
        <v>125</v>
      </c>
      <c r="BF84" t="s">
        <v>278</v>
      </c>
      <c r="BG84" t="s">
        <v>208</v>
      </c>
      <c r="BH84" t="s">
        <v>1157</v>
      </c>
      <c r="BI84" t="s">
        <v>264</v>
      </c>
      <c r="BJ84" t="s">
        <v>951</v>
      </c>
      <c r="BK84" t="s">
        <v>606</v>
      </c>
      <c r="BL84" t="s">
        <v>4446</v>
      </c>
      <c r="BM84" t="s">
        <v>845</v>
      </c>
      <c r="BN84">
        <v>3.79</v>
      </c>
      <c r="BO84">
        <v>5.77</v>
      </c>
      <c r="BP84">
        <v>4.9400000000000004</v>
      </c>
      <c r="BQ84">
        <v>5.36</v>
      </c>
      <c r="BR84">
        <v>7.34</v>
      </c>
      <c r="BS84">
        <v>6.65</v>
      </c>
      <c r="BT84" t="s">
        <v>1983</v>
      </c>
      <c r="BU84" t="s">
        <v>3032</v>
      </c>
      <c r="BV84">
        <v>34.229999999999997</v>
      </c>
      <c r="BW84">
        <v>29.25</v>
      </c>
      <c r="BX84">
        <v>29.45</v>
      </c>
      <c r="BY84">
        <v>20.99</v>
      </c>
      <c r="BZ84">
        <v>28.87</v>
      </c>
      <c r="CA84">
        <v>16.43</v>
      </c>
      <c r="CB84">
        <v>-1.23</v>
      </c>
      <c r="CC84">
        <v>-8.23</v>
      </c>
      <c r="CD84" t="s">
        <v>4447</v>
      </c>
      <c r="CE84" t="s">
        <v>4448</v>
      </c>
      <c r="CF84" s="14">
        <v>0.11764705882352941</v>
      </c>
      <c r="CG84" s="15">
        <v>5.2100146860603137E-2</v>
      </c>
      <c r="CH84" s="14">
        <v>0.52651512622833252</v>
      </c>
      <c r="CI84" s="14">
        <v>-0.2646239697933197</v>
      </c>
      <c r="CJ84" s="14">
        <v>0.52765959501266479</v>
      </c>
      <c r="CK84" s="14">
        <v>-0.15921288728713989</v>
      </c>
      <c r="CL84" s="14">
        <v>0.12474849075078964</v>
      </c>
      <c r="CM84" s="15">
        <v>0.11515151709318161</v>
      </c>
      <c r="CN84" s="15">
        <v>0.3095238208770752</v>
      </c>
      <c r="CO84" s="15">
        <v>-0.21250000596046448</v>
      </c>
      <c r="CP84" s="15">
        <v>-0.25233644247055054</v>
      </c>
      <c r="CQ84" s="15">
        <v>9.1836735606193542E-2</v>
      </c>
      <c r="CR84">
        <v>14.75477110047847</v>
      </c>
      <c r="CS84">
        <v>0.97702540937924764</v>
      </c>
      <c r="CT84">
        <v>0</v>
      </c>
      <c r="CU84" s="14">
        <v>0.15101727098226547</v>
      </c>
      <c r="CV84" s="15">
        <v>1.0335125029087067E-2</v>
      </c>
      <c r="CW84">
        <v>0.06</v>
      </c>
      <c r="CX84">
        <v>2.9569148818432689</v>
      </c>
      <c r="CY84">
        <v>199799224.39692155</v>
      </c>
      <c r="CZ84">
        <v>0.15101727098226547</v>
      </c>
      <c r="DA84">
        <v>0.91796724295145948</v>
      </c>
      <c r="DB84">
        <v>643584294.03263569</v>
      </c>
      <c r="DC84">
        <v>0.1434664074331522</v>
      </c>
      <c r="DD84">
        <v>0.42128147088303736</v>
      </c>
      <c r="DE84">
        <v>1402362412.8582289</v>
      </c>
      <c r="DF84">
        <v>0.13289519846439363</v>
      </c>
      <c r="DG84">
        <v>0.23323958801210734</v>
      </c>
      <c r="DH84">
        <v>2532971803.9517908</v>
      </c>
      <c r="DI84">
        <v>0.12081381678581238</v>
      </c>
      <c r="DJ84">
        <v>0.10005990364044101</v>
      </c>
      <c r="DK84">
        <v>5904356075.766016</v>
      </c>
      <c r="DL84">
        <v>0.10571208968758583</v>
      </c>
      <c r="DM84">
        <v>184000000</v>
      </c>
      <c r="DN84">
        <v>0.15101727098226547</v>
      </c>
      <c r="DO84">
        <v>590789300</v>
      </c>
      <c r="DP84">
        <v>1586072000</v>
      </c>
      <c r="DQ84">
        <v>2161</v>
      </c>
      <c r="DR84">
        <v>-3.3370212158736062E-2</v>
      </c>
      <c r="DS84">
        <v>4.1765021831516071E-2</v>
      </c>
      <c r="DT84" s="16">
        <v>-0.40666666666666668</v>
      </c>
      <c r="DU84">
        <v>-9.9999999999999992E-2</v>
      </c>
      <c r="DV84">
        <v>-0.50666666666666671</v>
      </c>
      <c r="DW84">
        <v>-2.0823</v>
      </c>
      <c r="DX84">
        <v>0.44602524354353873</v>
      </c>
      <c r="DY84">
        <v>-2.0128408775436331</v>
      </c>
      <c r="DZ84">
        <v>2889</v>
      </c>
      <c r="EA84">
        <v>-2.0055811328814892</v>
      </c>
      <c r="EB84">
        <v>2</v>
      </c>
      <c r="EC84">
        <v>1.3977185804029084E-2</v>
      </c>
      <c r="ED84">
        <v>8.9582848817209196E-2</v>
      </c>
      <c r="EE84" s="17">
        <v>-3.0173100000000002</v>
      </c>
      <c r="EF84">
        <v>-3.0435099999999999</v>
      </c>
      <c r="EG84">
        <v>29.156025243543539</v>
      </c>
      <c r="EH84" t="s">
        <v>2845</v>
      </c>
      <c r="EI84">
        <v>0</v>
      </c>
      <c r="EJ84">
        <v>0</v>
      </c>
      <c r="EK84" s="19">
        <v>45470</v>
      </c>
      <c r="EL84" s="20">
        <v>-0.08</v>
      </c>
      <c r="EM84" s="20">
        <v>-3.84</v>
      </c>
      <c r="EN84" s="20">
        <v>0.72</v>
      </c>
      <c r="EO84" s="20">
        <v>3.08</v>
      </c>
      <c r="EP84" s="20">
        <v>-2.62</v>
      </c>
    </row>
    <row r="85" spans="1:146" ht="84" x14ac:dyDescent="0.25">
      <c r="A85" s="7"/>
      <c r="B85" s="7"/>
      <c r="C85" s="7" t="str">
        <f>""&amp;CHAR(10)&amp;Basic_Fundamental_Information_Constructure(F85)&amp;CHAR(10)&amp;Basic_Fundamental_Information_Concatenate("")</f>
        <v xml:space="preserve">
市值20.900853亿, 利润2031.59万; PE44.85; 平均PE45.11; 平均PEG3.73, PB1.86; ROIC4.04%; ROE5.24%; 股利率.168%; 毛利23.8367%; 净利5.3533%; 上一年度营收增-.49%, 利润增-64.78%; 当季营收增51.9%, 利润增695.09%; 过往5年营收增12.09%, 利润增-12.42%
Income profile:
</v>
      </c>
      <c r="D85" t="s">
        <v>917</v>
      </c>
      <c r="E85" t="s">
        <v>918</v>
      </c>
      <c r="F85">
        <v>11.81</v>
      </c>
      <c r="G85">
        <v>0</v>
      </c>
      <c r="H85" t="s">
        <v>4449</v>
      </c>
      <c r="I85">
        <v>2090085300</v>
      </c>
      <c r="J85">
        <v>44.85</v>
      </c>
      <c r="K85">
        <v>1.86</v>
      </c>
      <c r="L85" t="s">
        <v>172</v>
      </c>
      <c r="M85" t="s">
        <v>4450</v>
      </c>
      <c r="N85" t="s">
        <v>2161</v>
      </c>
      <c r="O85" t="s">
        <v>166</v>
      </c>
      <c r="P85">
        <v>52.11</v>
      </c>
      <c r="Q85" t="s">
        <v>2733</v>
      </c>
      <c r="R85">
        <v>22508545</v>
      </c>
      <c r="S85" s="5">
        <v>6.9509999999999996</v>
      </c>
      <c r="T85" t="s">
        <v>4451</v>
      </c>
      <c r="U85">
        <v>143178910</v>
      </c>
      <c r="V85">
        <v>176975890</v>
      </c>
      <c r="W85">
        <v>1.61</v>
      </c>
      <c r="X85">
        <v>0.12</v>
      </c>
      <c r="Y85">
        <v>9.3000000000000007</v>
      </c>
      <c r="Z85" t="s">
        <v>524</v>
      </c>
      <c r="AA85" t="s">
        <v>848</v>
      </c>
      <c r="AB85" t="s">
        <v>4452</v>
      </c>
      <c r="AC85" t="s">
        <v>4453</v>
      </c>
      <c r="AD85" t="s">
        <v>19</v>
      </c>
      <c r="AE85">
        <v>4802833</v>
      </c>
      <c r="AF85" t="s">
        <v>4454</v>
      </c>
      <c r="AG85" t="s">
        <v>4455</v>
      </c>
      <c r="AH85" t="s">
        <v>4456</v>
      </c>
      <c r="AI85" t="s">
        <v>748</v>
      </c>
      <c r="AJ85" t="s">
        <v>4457</v>
      </c>
      <c r="AK85" t="s">
        <v>4458</v>
      </c>
      <c r="AL85" t="s">
        <v>4459</v>
      </c>
      <c r="AM85" t="s">
        <v>19</v>
      </c>
      <c r="AN85" t="s">
        <v>4460</v>
      </c>
      <c r="AO85" t="s">
        <v>4461</v>
      </c>
      <c r="AP85" t="s">
        <v>4462</v>
      </c>
      <c r="AQ85" t="s">
        <v>4463</v>
      </c>
      <c r="AR85" t="s">
        <v>19</v>
      </c>
      <c r="AS85" t="s">
        <v>140</v>
      </c>
      <c r="AT85" t="s">
        <v>4464</v>
      </c>
      <c r="AU85" t="s">
        <v>4465</v>
      </c>
      <c r="AV85" t="s">
        <v>4466</v>
      </c>
      <c r="AW85" t="s">
        <v>4467</v>
      </c>
      <c r="AX85" t="s">
        <v>1387</v>
      </c>
      <c r="AY85" t="s">
        <v>1249</v>
      </c>
      <c r="AZ85" t="s">
        <v>713</v>
      </c>
      <c r="BA85" t="s">
        <v>913</v>
      </c>
      <c r="BB85" t="s">
        <v>680</v>
      </c>
      <c r="BC85" t="s">
        <v>4468</v>
      </c>
      <c r="BD85" t="s">
        <v>1652</v>
      </c>
      <c r="BE85" t="s">
        <v>919</v>
      </c>
      <c r="BF85" t="s">
        <v>920</v>
      </c>
      <c r="BG85" t="s">
        <v>921</v>
      </c>
      <c r="BH85" t="s">
        <v>2733</v>
      </c>
      <c r="BI85" t="s">
        <v>564</v>
      </c>
      <c r="BJ85" t="s">
        <v>1387</v>
      </c>
      <c r="BK85" t="s">
        <v>4451</v>
      </c>
      <c r="BL85" t="s">
        <v>4469</v>
      </c>
      <c r="BM85" t="s">
        <v>4468</v>
      </c>
      <c r="BN85">
        <v>1.79</v>
      </c>
      <c r="BO85">
        <v>5.63</v>
      </c>
      <c r="BP85">
        <v>4.7</v>
      </c>
      <c r="BQ85">
        <v>1.8</v>
      </c>
      <c r="BR85">
        <v>7.32</v>
      </c>
      <c r="BS85">
        <v>6.6</v>
      </c>
      <c r="BT85" t="s">
        <v>4470</v>
      </c>
      <c r="BU85" t="s">
        <v>3125</v>
      </c>
      <c r="BV85">
        <v>22.77</v>
      </c>
      <c r="BW85">
        <v>23.46</v>
      </c>
      <c r="BX85">
        <v>25.28</v>
      </c>
      <c r="BY85">
        <v>2.36</v>
      </c>
      <c r="BZ85">
        <v>6.99</v>
      </c>
      <c r="CA85">
        <v>6.71</v>
      </c>
      <c r="CB85">
        <v>-4.5999999999999996</v>
      </c>
      <c r="CC85">
        <v>-16.18</v>
      </c>
      <c r="CD85" t="s">
        <v>4471</v>
      </c>
      <c r="CE85" t="s">
        <v>577</v>
      </c>
      <c r="CF85" s="14">
        <v>0.51898734177215189</v>
      </c>
      <c r="CG85" s="15">
        <v>6.9508632085448392</v>
      </c>
      <c r="CH85" s="14">
        <v>-4.8602675087749958E-3</v>
      </c>
      <c r="CI85" s="14">
        <v>0.14147017896175385</v>
      </c>
      <c r="CJ85" s="14">
        <v>0.29909908771514893</v>
      </c>
      <c r="CK85" s="14">
        <v>0.37717121839523315</v>
      </c>
      <c r="CL85" s="14">
        <v>-0.2082514762878418</v>
      </c>
      <c r="CM85" s="15">
        <v>-0.64784789085388184</v>
      </c>
      <c r="CN85" s="15">
        <v>0.18303254246711731</v>
      </c>
      <c r="CO85" s="15">
        <v>0.53435254096984863</v>
      </c>
      <c r="CP85" s="15">
        <v>-0.13437502086162567</v>
      </c>
      <c r="CQ85" s="15">
        <v>-0.55627864599227905</v>
      </c>
      <c r="CR85">
        <v>45.107288378477151</v>
      </c>
      <c r="CS85">
        <v>3.7301640907211291</v>
      </c>
      <c r="CT85">
        <v>0.16800084674005081</v>
      </c>
      <c r="CU85" s="14">
        <v>0.12092574825510383</v>
      </c>
      <c r="CV85" s="15">
        <v>-0.12422329485416413</v>
      </c>
      <c r="CW85">
        <v>0.06</v>
      </c>
      <c r="CX85">
        <v>80.018495252932837</v>
      </c>
      <c r="CY85">
        <v>21483599.442430057</v>
      </c>
      <c r="CZ85">
        <v>0.12092574825510383</v>
      </c>
      <c r="DA85">
        <v>25.475764708994966</v>
      </c>
      <c r="DB85">
        <v>67479242.316640899</v>
      </c>
      <c r="DC85">
        <v>0.11487946084234862</v>
      </c>
      <c r="DD85">
        <v>12.106130602156155</v>
      </c>
      <c r="DE85">
        <v>142001218.76215538</v>
      </c>
      <c r="DF85">
        <v>0.10641465846449137</v>
      </c>
      <c r="DG85">
        <v>6.9822300771685715</v>
      </c>
      <c r="DH85">
        <v>246208629.76447809</v>
      </c>
      <c r="DI85">
        <v>9.6740598604083072E-2</v>
      </c>
      <c r="DJ85">
        <v>3.2945942775156949</v>
      </c>
      <c r="DK85">
        <v>521789681.88346541</v>
      </c>
      <c r="DL85">
        <v>8.4648023778572667E-2</v>
      </c>
      <c r="DM85">
        <v>20315900</v>
      </c>
      <c r="DN85">
        <v>0.12092574825510383</v>
      </c>
      <c r="DO85">
        <v>1719085300</v>
      </c>
      <c r="DP85">
        <v>908344600</v>
      </c>
      <c r="DQ85">
        <v>2172</v>
      </c>
      <c r="DR85">
        <v>0.39806159351704806</v>
      </c>
      <c r="DS85">
        <v>7.0750865033990031</v>
      </c>
      <c r="DT85" s="16">
        <v>-0.28999999999999998</v>
      </c>
      <c r="DU85">
        <v>-0.15</v>
      </c>
      <c r="DV85">
        <v>-0.43999999999999995</v>
      </c>
      <c r="DW85">
        <v>-8.284301606922126</v>
      </c>
      <c r="DX85">
        <v>0.44803506493506334</v>
      </c>
      <c r="DY85">
        <v>-8.0705167675340732</v>
      </c>
      <c r="DZ85">
        <v>2751</v>
      </c>
      <c r="EA85">
        <v>-8.0325536310397023</v>
      </c>
      <c r="EB85">
        <v>8</v>
      </c>
      <c r="EC85">
        <v>0.21583391952429226</v>
      </c>
      <c r="ED85">
        <v>0.87017502779615907</v>
      </c>
      <c r="EE85" s="17">
        <v>3.0810000000000001E-2</v>
      </c>
      <c r="EF85">
        <v>9.8710000000000006E-2</v>
      </c>
      <c r="EG85">
        <v>20.248035064935063</v>
      </c>
      <c r="EH85">
        <v>-1</v>
      </c>
      <c r="EI85">
        <v>0</v>
      </c>
      <c r="EJ85">
        <v>0</v>
      </c>
      <c r="EK85" s="19">
        <v>45470</v>
      </c>
      <c r="EL85" s="20">
        <v>0.08</v>
      </c>
      <c r="EM85" s="20">
        <v>-6.18</v>
      </c>
      <c r="EN85" s="20">
        <v>2.0299999999999998</v>
      </c>
      <c r="EO85" s="20">
        <v>4.47</v>
      </c>
      <c r="EP85" s="20">
        <v>-6.79</v>
      </c>
    </row>
    <row r="86" spans="1:146" ht="84" x14ac:dyDescent="0.25">
      <c r="A86" s="7"/>
      <c r="B86" s="7"/>
      <c r="C86" s="7" t="str">
        <f>""&amp;CHAR(10)&amp;Basic_Fundamental_Information_Constructure(F86)&amp;CHAR(10)&amp;Basic_Fundamental_Information_Concatenate("")</f>
        <v xml:space="preserve">
市值28.397326亿, 利润-1.06亿; PE; 平均PE361.99; 平均PEG13.97, PB1.8; ROIC2.605%; ROE1.2267%; 股利率0%; 毛利16.9967%; 净利-.6833%; 上一年度营收增37.31%, 利润增-386.55%; 当季营收增26.06%, 利润增-.9%; 过往5年营收增25.92%, 利润增-56.98%
Income profile:
</v>
      </c>
      <c r="D86" t="s">
        <v>922</v>
      </c>
      <c r="E86" t="s">
        <v>923</v>
      </c>
      <c r="F86">
        <v>9.2899999999999991</v>
      </c>
      <c r="G86">
        <v>-0.32</v>
      </c>
      <c r="H86" t="s">
        <v>4472</v>
      </c>
      <c r="I86">
        <v>2839732600</v>
      </c>
      <c r="K86">
        <v>1.8</v>
      </c>
      <c r="L86" t="s">
        <v>172</v>
      </c>
      <c r="M86" t="s">
        <v>668</v>
      </c>
      <c r="N86" t="s">
        <v>3603</v>
      </c>
      <c r="O86" t="s">
        <v>931</v>
      </c>
      <c r="P86">
        <v>26.05</v>
      </c>
      <c r="Q86" t="s">
        <v>2790</v>
      </c>
      <c r="R86">
        <v>10117616</v>
      </c>
      <c r="S86" s="5">
        <v>-9.0200000000000002E-3</v>
      </c>
      <c r="T86" t="s">
        <v>4473</v>
      </c>
      <c r="U86">
        <v>244071780</v>
      </c>
      <c r="V86">
        <v>305676280</v>
      </c>
      <c r="W86">
        <v>1.88</v>
      </c>
      <c r="X86">
        <v>0.13</v>
      </c>
      <c r="Y86">
        <v>3.25</v>
      </c>
      <c r="Z86" t="s">
        <v>4474</v>
      </c>
      <c r="AA86" t="s">
        <v>1473</v>
      </c>
      <c r="AB86" t="s">
        <v>4475</v>
      </c>
      <c r="AC86" t="s">
        <v>4476</v>
      </c>
      <c r="AD86" t="s">
        <v>19</v>
      </c>
      <c r="AE86">
        <v>3458464</v>
      </c>
      <c r="AF86" t="s">
        <v>4477</v>
      </c>
      <c r="AG86">
        <v>4088.14</v>
      </c>
      <c r="AH86" t="s">
        <v>4478</v>
      </c>
      <c r="AI86" t="s">
        <v>65</v>
      </c>
      <c r="AJ86" t="s">
        <v>4479</v>
      </c>
      <c r="AK86" t="s">
        <v>4480</v>
      </c>
      <c r="AL86" t="s">
        <v>4481</v>
      </c>
      <c r="AM86" t="s">
        <v>19</v>
      </c>
      <c r="AN86" t="s">
        <v>410</v>
      </c>
      <c r="AO86" t="s">
        <v>201</v>
      </c>
      <c r="AP86" t="s">
        <v>871</v>
      </c>
      <c r="AQ86" t="s">
        <v>1001</v>
      </c>
      <c r="AR86" t="s">
        <v>19</v>
      </c>
      <c r="AS86" t="s">
        <v>3953</v>
      </c>
      <c r="AT86" t="s">
        <v>94</v>
      </c>
      <c r="AU86" t="s">
        <v>4482</v>
      </c>
      <c r="AV86" t="s">
        <v>4483</v>
      </c>
      <c r="AW86" t="s">
        <v>4484</v>
      </c>
      <c r="AX86" t="s">
        <v>2027</v>
      </c>
      <c r="AY86" t="s">
        <v>815</v>
      </c>
      <c r="AZ86" t="s">
        <v>164</v>
      </c>
      <c r="BA86" t="s">
        <v>548</v>
      </c>
      <c r="BB86" t="s">
        <v>926</v>
      </c>
      <c r="BC86" t="s">
        <v>2240</v>
      </c>
      <c r="BD86" t="s">
        <v>1653</v>
      </c>
      <c r="BE86" t="s">
        <v>924</v>
      </c>
      <c r="BF86" t="s">
        <v>927</v>
      </c>
      <c r="BG86" t="s">
        <v>928</v>
      </c>
      <c r="BH86" t="s">
        <v>2790</v>
      </c>
      <c r="BI86" t="s">
        <v>1012</v>
      </c>
      <c r="BJ86" t="s">
        <v>2027</v>
      </c>
      <c r="BK86" t="s">
        <v>4473</v>
      </c>
      <c r="BL86" t="s">
        <v>4485</v>
      </c>
      <c r="BM86" t="s">
        <v>2240</v>
      </c>
      <c r="BN86" t="s">
        <v>19</v>
      </c>
      <c r="BO86">
        <v>2.82</v>
      </c>
      <c r="BP86">
        <v>2.39</v>
      </c>
      <c r="BQ86">
        <v>-0.69</v>
      </c>
      <c r="BR86">
        <v>2.77</v>
      </c>
      <c r="BS86">
        <v>1.6</v>
      </c>
      <c r="BT86" t="s">
        <v>1983</v>
      </c>
      <c r="BU86" t="s">
        <v>2920</v>
      </c>
      <c r="BV86">
        <v>9.44</v>
      </c>
      <c r="BW86">
        <v>19.93</v>
      </c>
      <c r="BX86">
        <v>21.62</v>
      </c>
      <c r="BY86">
        <v>-8.06</v>
      </c>
      <c r="BZ86">
        <v>3.2</v>
      </c>
      <c r="CA86">
        <v>2.81</v>
      </c>
      <c r="CB86">
        <v>-6.73</v>
      </c>
      <c r="CC86">
        <v>-5.97</v>
      </c>
      <c r="CD86" t="s">
        <v>4486</v>
      </c>
      <c r="CE86" t="s">
        <v>1067</v>
      </c>
      <c r="CF86" s="14">
        <v>0.26058631921824105</v>
      </c>
      <c r="CG86" s="15">
        <v>-9.0192659921447243E-3</v>
      </c>
      <c r="CH86" s="14">
        <v>0.37308031320571899</v>
      </c>
      <c r="CI86" s="14">
        <v>0.47600007057189941</v>
      </c>
      <c r="CJ86" s="14">
        <v>0.46198830008506775</v>
      </c>
      <c r="CK86" s="14">
        <v>-2.2857142612338066E-2</v>
      </c>
      <c r="CL86" s="14">
        <v>7.6775429770350456E-3</v>
      </c>
      <c r="CM86" s="15">
        <v>-3.8655154705047607</v>
      </c>
      <c r="CN86" s="15">
        <v>0.84584218263626099</v>
      </c>
      <c r="CO86" s="15">
        <v>1.4702626466751099</v>
      </c>
      <c r="CP86" s="15">
        <v>-0.61797422170639038</v>
      </c>
      <c r="CQ86" s="15">
        <v>-0.6815599799156189</v>
      </c>
      <c r="CR86">
        <v>361.99224107894042</v>
      </c>
      <c r="CS86">
        <v>13.966945376917129</v>
      </c>
      <c r="CT86">
        <v>0</v>
      </c>
      <c r="CU86" s="14">
        <v>0.25917781684547664</v>
      </c>
      <c r="CV86" s="15">
        <v>-0.56978896856307981</v>
      </c>
      <c r="CW86">
        <v>0.06</v>
      </c>
      <c r="CX86" t="e">
        <v>#VALUE!</v>
      </c>
      <c r="CY86" t="s">
        <v>1835</v>
      </c>
      <c r="CZ86">
        <v>0.25917781684547664</v>
      </c>
      <c r="DA86" t="e">
        <v>#VALUE!</v>
      </c>
      <c r="DB86" t="s">
        <v>1835</v>
      </c>
      <c r="DC86">
        <v>0.2462189260032028</v>
      </c>
      <c r="DD86" t="e">
        <v>#VALUE!</v>
      </c>
      <c r="DE86" t="s">
        <v>1835</v>
      </c>
      <c r="DF86">
        <v>0.22807647882401944</v>
      </c>
      <c r="DG86" t="e">
        <v>#VALUE!</v>
      </c>
      <c r="DH86" t="s">
        <v>1835</v>
      </c>
      <c r="DI86">
        <v>0.20734225347638133</v>
      </c>
      <c r="DJ86" t="e">
        <v>#VALUE!</v>
      </c>
      <c r="DK86" t="s">
        <v>1835</v>
      </c>
      <c r="DL86">
        <v>0.18142447179183363</v>
      </c>
      <c r="DM86">
        <v>-106000000</v>
      </c>
      <c r="DN86">
        <v>0.25917781684547664</v>
      </c>
      <c r="DO86">
        <v>2668732600</v>
      </c>
      <c r="DP86">
        <v>215358100</v>
      </c>
      <c r="DQ86">
        <v>2196</v>
      </c>
      <c r="DR86">
        <v>1.4085023727644086E-3</v>
      </c>
      <c r="DS86">
        <v>0.56076970257093506</v>
      </c>
      <c r="DT86" s="16">
        <v>1.0000000000000011E-2</v>
      </c>
      <c r="DU86">
        <v>-0.83666666666666656</v>
      </c>
      <c r="DV86">
        <v>-0.82666666666666655</v>
      </c>
      <c r="DW86">
        <v>-5.8870728083209505</v>
      </c>
      <c r="DX86">
        <v>0.26066262135922269</v>
      </c>
      <c r="DY86">
        <v>-5.0449414338060272</v>
      </c>
      <c r="DZ86">
        <v>3374</v>
      </c>
      <c r="EA86">
        <v>-5.0152677747724583</v>
      </c>
      <c r="EB86">
        <v>5</v>
      </c>
      <c r="EC86">
        <v>3.414232860986139E-2</v>
      </c>
      <c r="ED86">
        <v>0.67391555537119208</v>
      </c>
      <c r="EE86" s="17">
        <v>-4.0841099999999999</v>
      </c>
      <c r="EF86">
        <v>-4.1156100000000002</v>
      </c>
      <c r="EG86">
        <v>21.050662621359223</v>
      </c>
      <c r="EH86" t="s">
        <v>2873</v>
      </c>
      <c r="EI86">
        <v>0</v>
      </c>
      <c r="EJ86">
        <v>0</v>
      </c>
      <c r="EK86" s="19">
        <v>45470</v>
      </c>
      <c r="EL86" s="20">
        <v>-0.68</v>
      </c>
      <c r="EM86" s="20">
        <v>-4.38</v>
      </c>
      <c r="EN86" s="20">
        <v>1.1200000000000001</v>
      </c>
      <c r="EO86" s="20">
        <v>2.42</v>
      </c>
      <c r="EP86" s="20">
        <v>-3.15</v>
      </c>
    </row>
    <row r="87" spans="1:146" ht="84" x14ac:dyDescent="0.25">
      <c r="A87" s="7"/>
      <c r="B87" s="7"/>
      <c r="C87" s="7" t="str">
        <f>""&amp;CHAR(10)&amp;Basic_Fundamental_Information_Constructure(F87)&amp;CHAR(10)&amp;Basic_Fundamental_Information_Concatenate("")</f>
        <v xml:space="preserve">
市值23.231355亿, 利润-2804.65万; PE; 平均PE-160.99; 平均PEG-3.75, PB.89; ROIC2.41%; ROE-8.0367%; 股利率0%; 毛利14.76%; 净利-23.8033%; 上一年度营收增62.03%, 利润增-210.12%; 当季营收增-44.62%, 利润增-1934.72%; 过往5年营收增42.94%, 利润增-266.44%
Income profile:
</v>
      </c>
      <c r="D87" t="s">
        <v>932</v>
      </c>
      <c r="E87" t="s">
        <v>933</v>
      </c>
      <c r="F87">
        <v>13.86</v>
      </c>
      <c r="G87">
        <v>-1.28</v>
      </c>
      <c r="H87" t="s">
        <v>2883</v>
      </c>
      <c r="I87">
        <v>2323135500</v>
      </c>
      <c r="K87">
        <v>0.89</v>
      </c>
      <c r="L87" t="s">
        <v>172</v>
      </c>
      <c r="M87" t="s">
        <v>2651</v>
      </c>
      <c r="N87" t="s">
        <v>2652</v>
      </c>
      <c r="O87" t="s">
        <v>1851</v>
      </c>
      <c r="P87">
        <v>2.97</v>
      </c>
      <c r="Q87" t="s">
        <v>235</v>
      </c>
      <c r="R87">
        <v>-18306637</v>
      </c>
      <c r="S87" s="5">
        <v>-3.4489999999999998</v>
      </c>
      <c r="T87" t="s">
        <v>2243</v>
      </c>
      <c r="U87">
        <v>101964629</v>
      </c>
      <c r="V87">
        <v>165688470</v>
      </c>
      <c r="W87">
        <v>1.53</v>
      </c>
      <c r="X87">
        <v>0.31</v>
      </c>
      <c r="Y87">
        <v>-1.78</v>
      </c>
      <c r="Z87" t="s">
        <v>795</v>
      </c>
      <c r="AA87" t="s">
        <v>1948</v>
      </c>
      <c r="AB87" t="s">
        <v>2653</v>
      </c>
      <c r="AC87" t="s">
        <v>2654</v>
      </c>
      <c r="AD87" t="s">
        <v>2655</v>
      </c>
      <c r="AE87">
        <v>17737823</v>
      </c>
      <c r="AF87" t="s">
        <v>2656</v>
      </c>
      <c r="AG87" t="s">
        <v>2657</v>
      </c>
      <c r="AH87" t="s">
        <v>2658</v>
      </c>
      <c r="AI87" t="s">
        <v>910</v>
      </c>
      <c r="AJ87" t="s">
        <v>2659</v>
      </c>
      <c r="AK87" t="s">
        <v>2660</v>
      </c>
      <c r="AL87" t="s">
        <v>2661</v>
      </c>
      <c r="AM87" t="s">
        <v>19</v>
      </c>
      <c r="AN87" t="s">
        <v>329</v>
      </c>
      <c r="AO87" t="s">
        <v>741</v>
      </c>
      <c r="AP87" t="s">
        <v>2662</v>
      </c>
      <c r="AQ87" t="s">
        <v>2663</v>
      </c>
      <c r="AR87" t="s">
        <v>19</v>
      </c>
      <c r="AS87" t="s">
        <v>2592</v>
      </c>
      <c r="AT87" t="s">
        <v>2664</v>
      </c>
      <c r="AU87" t="s">
        <v>2665</v>
      </c>
      <c r="AV87" t="s">
        <v>2666</v>
      </c>
      <c r="AW87" t="s">
        <v>1146</v>
      </c>
      <c r="AX87" t="s">
        <v>489</v>
      </c>
      <c r="AY87" t="s">
        <v>444</v>
      </c>
      <c r="AZ87" t="s">
        <v>935</v>
      </c>
      <c r="BA87" t="s">
        <v>936</v>
      </c>
      <c r="BB87" t="s">
        <v>789</v>
      </c>
      <c r="BC87" t="s">
        <v>1654</v>
      </c>
      <c r="BD87" t="s">
        <v>934</v>
      </c>
      <c r="BE87" t="s">
        <v>938</v>
      </c>
      <c r="BF87" t="s">
        <v>939</v>
      </c>
      <c r="BG87" t="s">
        <v>940</v>
      </c>
      <c r="BH87" t="s">
        <v>111</v>
      </c>
      <c r="BI87" t="s">
        <v>2008</v>
      </c>
      <c r="BJ87" t="s">
        <v>513</v>
      </c>
      <c r="BK87" t="s">
        <v>2667</v>
      </c>
      <c r="BL87" t="s">
        <v>2668</v>
      </c>
      <c r="BM87" t="s">
        <v>2669</v>
      </c>
      <c r="BN87">
        <v>2.41</v>
      </c>
      <c r="BO87" t="s">
        <v>19</v>
      </c>
      <c r="BP87" t="s">
        <v>19</v>
      </c>
      <c r="BQ87">
        <v>2.96</v>
      </c>
      <c r="BR87">
        <v>2.79</v>
      </c>
      <c r="BS87">
        <v>-29.86</v>
      </c>
      <c r="BT87" t="s">
        <v>1983</v>
      </c>
      <c r="BU87" t="s">
        <v>172</v>
      </c>
      <c r="BV87">
        <v>21.23</v>
      </c>
      <c r="BW87">
        <v>20.77</v>
      </c>
      <c r="BX87">
        <v>2.2799999999999998</v>
      </c>
      <c r="BY87">
        <v>6.38</v>
      </c>
      <c r="BZ87">
        <v>2.73</v>
      </c>
      <c r="CA87">
        <v>-80.52</v>
      </c>
      <c r="CB87">
        <v>-6.1</v>
      </c>
      <c r="CC87">
        <v>-23.21</v>
      </c>
      <c r="CD87" t="s">
        <v>2889</v>
      </c>
      <c r="CE87" t="s">
        <v>628</v>
      </c>
      <c r="CF87" s="14">
        <v>-0.44618834080717529</v>
      </c>
      <c r="CG87" s="15">
        <v>-19.347197043717902</v>
      </c>
      <c r="CH87" s="14">
        <v>0.62032091617584229</v>
      </c>
      <c r="CI87" s="14">
        <v>1.6412429809570312</v>
      </c>
      <c r="CJ87" s="14">
        <v>-0.40604028105735779</v>
      </c>
      <c r="CK87" s="14">
        <v>-0.16875872015953064</v>
      </c>
      <c r="CL87" s="14">
        <v>0.46028512716293335</v>
      </c>
      <c r="CM87" s="15">
        <v>-2.1012318134307861</v>
      </c>
      <c r="CN87" s="15">
        <v>1.0893623828887939</v>
      </c>
      <c r="CO87" s="15">
        <v>-11.539434432983398</v>
      </c>
      <c r="CP87" s="15">
        <v>-0.67205691337585449</v>
      </c>
      <c r="CQ87" s="15">
        <v>-9.8795846104621887E-2</v>
      </c>
      <c r="CR87">
        <v>-160.98824477840864</v>
      </c>
      <c r="CS87">
        <v>-3.7490566835407924</v>
      </c>
      <c r="CT87">
        <v>0</v>
      </c>
      <c r="CU87" s="14">
        <v>0.42941000461578371</v>
      </c>
      <c r="CV87" s="15">
        <v>-2.6644313246011735</v>
      </c>
      <c r="CW87">
        <v>0.06</v>
      </c>
      <c r="CX87" t="e">
        <v>#VALUE!</v>
      </c>
      <c r="CY87" t="s">
        <v>1834</v>
      </c>
      <c r="CZ87">
        <v>0.42941000461578371</v>
      </c>
      <c r="DA87" t="e">
        <v>#VALUE!</v>
      </c>
      <c r="DB87" t="s">
        <v>1835</v>
      </c>
      <c r="DC87">
        <v>0.40793950438499449</v>
      </c>
      <c r="DD87" t="e">
        <v>#VALUE!</v>
      </c>
      <c r="DE87" t="s">
        <v>1835</v>
      </c>
      <c r="DF87">
        <v>0.37788080406188967</v>
      </c>
      <c r="DG87" t="e">
        <v>#VALUE!</v>
      </c>
      <c r="DH87" t="s">
        <v>1835</v>
      </c>
      <c r="DI87">
        <v>0.34352800369262698</v>
      </c>
      <c r="DJ87" t="e">
        <v>#VALUE!</v>
      </c>
      <c r="DK87" t="s">
        <v>1835</v>
      </c>
      <c r="DL87">
        <v>0.30058700323104859</v>
      </c>
      <c r="DM87">
        <v>-28046500</v>
      </c>
      <c r="DN87">
        <v>0.42941000461578371</v>
      </c>
      <c r="DO87">
        <v>1102135500</v>
      </c>
      <c r="DP87">
        <v>1874402000</v>
      </c>
      <c r="DQ87">
        <v>2213</v>
      </c>
      <c r="DR87">
        <v>-0.875598345422959</v>
      </c>
      <c r="DS87">
        <v>-16.682765719116727</v>
      </c>
      <c r="DT87" s="16">
        <v>4.33333333333333E-2</v>
      </c>
      <c r="DU87">
        <v>-2.2650000000000001</v>
      </c>
      <c r="DV87">
        <v>-2.2216666666666667</v>
      </c>
      <c r="DW87">
        <v>-9.2628177509694094</v>
      </c>
      <c r="DX87">
        <v>0.35362977528089728</v>
      </c>
      <c r="DY87">
        <v>-9.0456329870406496</v>
      </c>
      <c r="DZ87">
        <v>4606</v>
      </c>
      <c r="EA87">
        <v>-9.0045329599954336</v>
      </c>
      <c r="EB87">
        <v>9</v>
      </c>
      <c r="EC87">
        <v>0.18653138628173704</v>
      </c>
      <c r="ED87">
        <v>1.074305291128586</v>
      </c>
      <c r="EE87" s="17">
        <v>-5.0378999999999996</v>
      </c>
      <c r="EF87">
        <v>-5.0251000000000001</v>
      </c>
      <c r="EG87">
        <v>18.173629775280897</v>
      </c>
      <c r="EH87" t="s">
        <v>2890</v>
      </c>
      <c r="EI87">
        <v>0</v>
      </c>
      <c r="EJ87">
        <v>0</v>
      </c>
      <c r="EK87" s="19">
        <v>45404</v>
      </c>
      <c r="EL87" s="20">
        <v>-9.35</v>
      </c>
      <c r="EM87" s="20">
        <v>9.19</v>
      </c>
      <c r="EN87" s="20">
        <v>-1.85</v>
      </c>
      <c r="EO87" s="20">
        <v>-2.09</v>
      </c>
      <c r="EP87" s="20">
        <v>-1.28</v>
      </c>
    </row>
    <row r="88" spans="1:146" ht="84" x14ac:dyDescent="0.25">
      <c r="A88" s="7"/>
      <c r="B88" s="7"/>
      <c r="C88" s="7" t="str">
        <f>""&amp;CHAR(10)&amp;Basic_Fundamental_Information_Constructure(F88)&amp;CHAR(10)&amp;Basic_Fundamental_Information_Concatenate("")</f>
        <v xml:space="preserve">
市值19.24亿, 利润5817.63万; PE119.8; 平均PE26.96; 平均PEG2.21, PB2.39; ROIC4.65%; ROE2.8233%; 股利率0%; 毛利19.49%; 净利2.52%; 上一年度营收增-7.84%, 利润增651.84%; 当季营收增32.6%, 利润增19.98%; 过往5年营收增12.22%, 利润增107.61%
Income profile:
</v>
      </c>
      <c r="D88" t="s">
        <v>941</v>
      </c>
      <c r="E88" t="s">
        <v>942</v>
      </c>
      <c r="F88">
        <v>24.05</v>
      </c>
      <c r="G88">
        <v>1.56</v>
      </c>
      <c r="H88" t="s">
        <v>4487</v>
      </c>
      <c r="I88">
        <v>1924000000</v>
      </c>
      <c r="J88">
        <v>119.8</v>
      </c>
      <c r="K88">
        <v>2.39</v>
      </c>
      <c r="L88" t="s">
        <v>172</v>
      </c>
      <c r="M88" t="s">
        <v>781</v>
      </c>
      <c r="N88" t="s">
        <v>169</v>
      </c>
      <c r="O88" t="s">
        <v>166</v>
      </c>
      <c r="P88">
        <v>-2.57</v>
      </c>
      <c r="Q88" t="s">
        <v>2218</v>
      </c>
      <c r="R88">
        <v>13723430</v>
      </c>
      <c r="S88" s="5">
        <v>0.64290000000000003</v>
      </c>
      <c r="T88" t="s">
        <v>4488</v>
      </c>
      <c r="U88">
        <v>48366203</v>
      </c>
      <c r="V88">
        <v>80000000</v>
      </c>
      <c r="W88">
        <v>2.31</v>
      </c>
      <c r="X88">
        <v>0.13</v>
      </c>
      <c r="Y88">
        <v>6.51</v>
      </c>
      <c r="Z88" t="s">
        <v>345</v>
      </c>
      <c r="AA88" t="s">
        <v>348</v>
      </c>
      <c r="AB88" t="s">
        <v>4489</v>
      </c>
      <c r="AC88" t="s">
        <v>4490</v>
      </c>
      <c r="AD88" t="s">
        <v>19</v>
      </c>
      <c r="AE88">
        <v>4503690</v>
      </c>
      <c r="AF88" t="s">
        <v>4491</v>
      </c>
      <c r="AG88" t="s">
        <v>4492</v>
      </c>
      <c r="AH88" t="s">
        <v>4493</v>
      </c>
      <c r="AI88" t="s">
        <v>620</v>
      </c>
      <c r="AJ88" t="s">
        <v>4494</v>
      </c>
      <c r="AK88" t="s">
        <v>4495</v>
      </c>
      <c r="AL88" t="s">
        <v>4496</v>
      </c>
      <c r="AM88" t="s">
        <v>19</v>
      </c>
      <c r="AN88" t="s">
        <v>506</v>
      </c>
      <c r="AO88" t="s">
        <v>888</v>
      </c>
      <c r="AP88" t="s">
        <v>4497</v>
      </c>
      <c r="AQ88" t="s">
        <v>607</v>
      </c>
      <c r="AR88" t="s">
        <v>19</v>
      </c>
      <c r="AS88" t="s">
        <v>2262</v>
      </c>
      <c r="AT88" t="s">
        <v>506</v>
      </c>
      <c r="AU88" t="s">
        <v>4498</v>
      </c>
      <c r="AV88" t="s">
        <v>4499</v>
      </c>
      <c r="AW88" t="s">
        <v>4500</v>
      </c>
      <c r="AX88" t="s">
        <v>2043</v>
      </c>
      <c r="AY88" t="s">
        <v>1443</v>
      </c>
      <c r="AZ88" t="s">
        <v>183</v>
      </c>
      <c r="BA88" t="s">
        <v>378</v>
      </c>
      <c r="BB88" t="s">
        <v>944</v>
      </c>
      <c r="BC88" t="s">
        <v>4501</v>
      </c>
      <c r="BD88" t="s">
        <v>1655</v>
      </c>
      <c r="BE88" t="s">
        <v>632</v>
      </c>
      <c r="BF88" t="s">
        <v>25</v>
      </c>
      <c r="BG88" t="s">
        <v>945</v>
      </c>
      <c r="BH88" t="s">
        <v>4502</v>
      </c>
      <c r="BI88" t="s">
        <v>37</v>
      </c>
      <c r="BJ88" t="s">
        <v>2043</v>
      </c>
      <c r="BK88" t="s">
        <v>4503</v>
      </c>
      <c r="BL88" t="s">
        <v>4504</v>
      </c>
      <c r="BM88" t="s">
        <v>4501</v>
      </c>
      <c r="BN88">
        <v>2.4900000000000002</v>
      </c>
      <c r="BO88" t="s">
        <v>19</v>
      </c>
      <c r="BP88">
        <v>6.81</v>
      </c>
      <c r="BQ88">
        <v>0.96</v>
      </c>
      <c r="BR88">
        <v>-1.31</v>
      </c>
      <c r="BS88">
        <v>8.82</v>
      </c>
      <c r="BT88" t="s">
        <v>1983</v>
      </c>
      <c r="BU88" t="s">
        <v>3125</v>
      </c>
      <c r="BV88">
        <v>18.22</v>
      </c>
      <c r="BW88">
        <v>17.12</v>
      </c>
      <c r="BX88">
        <v>23.13</v>
      </c>
      <c r="BY88">
        <v>1.34</v>
      </c>
      <c r="BZ88">
        <v>-1.46</v>
      </c>
      <c r="CA88">
        <v>7.68</v>
      </c>
      <c r="CB88">
        <v>3.22</v>
      </c>
      <c r="CC88">
        <v>-1.8</v>
      </c>
      <c r="CD88" t="s">
        <v>4505</v>
      </c>
      <c r="CE88" t="s">
        <v>4506</v>
      </c>
      <c r="CF88" s="14">
        <v>0.32596685082872928</v>
      </c>
      <c r="CG88" s="15">
        <v>0.19975783538051317</v>
      </c>
      <c r="CH88" s="14">
        <v>-7.8431375324726105E-2</v>
      </c>
      <c r="CI88" s="14">
        <v>-5.7736720889806747E-2</v>
      </c>
      <c r="CJ88" s="14">
        <v>0.27917280793190002</v>
      </c>
      <c r="CK88" s="14">
        <v>0.19611307978630066</v>
      </c>
      <c r="CL88" s="14">
        <v>0.27191010117530823</v>
      </c>
      <c r="CM88" s="15">
        <v>6.5184206962585449</v>
      </c>
      <c r="CN88" s="15">
        <v>-1.1513111591339111</v>
      </c>
      <c r="CO88" s="15">
        <v>-0.44262155890464783</v>
      </c>
      <c r="CP88" s="15">
        <v>0.21359223127365112</v>
      </c>
      <c r="CQ88" s="15">
        <v>0.242618128657341</v>
      </c>
      <c r="CR88">
        <v>26.959622920256827</v>
      </c>
      <c r="CS88">
        <v>2.2060877451973346</v>
      </c>
      <c r="CT88">
        <v>0</v>
      </c>
      <c r="CU88" s="14">
        <v>0.12220557853579521</v>
      </c>
      <c r="CV88" s="15">
        <v>1.0761396676301955</v>
      </c>
      <c r="CW88">
        <v>0.06</v>
      </c>
      <c r="CX88">
        <v>33.26819999636411</v>
      </c>
      <c r="CY88">
        <v>61590347.545822613</v>
      </c>
      <c r="CZ88">
        <v>0.12220557853579521</v>
      </c>
      <c r="DA88">
        <v>10.580322535295927</v>
      </c>
      <c r="DB88">
        <v>193661392.94568211</v>
      </c>
      <c r="DC88">
        <v>0.11609529960900544</v>
      </c>
      <c r="DD88">
        <v>5.0203909729515477</v>
      </c>
      <c r="DE88">
        <v>408135543.83302712</v>
      </c>
      <c r="DF88">
        <v>0.10754090911149979</v>
      </c>
      <c r="DG88">
        <v>2.8905770469196117</v>
      </c>
      <c r="DH88">
        <v>708855002.56204855</v>
      </c>
      <c r="DI88">
        <v>9.776446282863617E-2</v>
      </c>
      <c r="DJ88">
        <v>1.3586061049481541</v>
      </c>
      <c r="DK88">
        <v>1508163398.160346</v>
      </c>
      <c r="DL88">
        <v>8.5543904975056637E-2</v>
      </c>
      <c r="DM88">
        <v>58176300</v>
      </c>
      <c r="DN88">
        <v>0.12220557853579521</v>
      </c>
      <c r="DO88">
        <v>2049000000</v>
      </c>
      <c r="DP88">
        <v>445817100</v>
      </c>
      <c r="DQ88">
        <v>2273</v>
      </c>
      <c r="DR88">
        <v>0.20376127229293406</v>
      </c>
      <c r="DS88">
        <v>-0.87638183224968236</v>
      </c>
      <c r="DT88" s="16">
        <v>-9.000000000000008E-2</v>
      </c>
      <c r="DU88">
        <v>-0.11333333333333333</v>
      </c>
      <c r="DV88">
        <v>-0.20333333333333342</v>
      </c>
      <c r="DW88">
        <v>4.5590062111801242</v>
      </c>
      <c r="DX88">
        <v>0.29553982270943313</v>
      </c>
      <c r="DY88">
        <v>4.1093079754276332</v>
      </c>
      <c r="DZ88">
        <v>1537</v>
      </c>
      <c r="EA88">
        <v>4.0764300188264055</v>
      </c>
      <c r="EB88">
        <v>4</v>
      </c>
      <c r="EC88">
        <v>5.7793749999999998E-2</v>
      </c>
      <c r="ED88">
        <v>0.29555999999999999</v>
      </c>
      <c r="EE88" s="17">
        <v>-1.0032000000000001</v>
      </c>
      <c r="EF88">
        <v>-1.0194099999999999</v>
      </c>
      <c r="EG88">
        <v>10.195539822709433</v>
      </c>
      <c r="EH88" t="s">
        <v>1838</v>
      </c>
      <c r="EI88">
        <v>0</v>
      </c>
      <c r="EJ88">
        <v>0</v>
      </c>
      <c r="EK88" s="19">
        <v>45470</v>
      </c>
      <c r="EL88" s="20">
        <v>1.0900000000000001</v>
      </c>
      <c r="EM88" s="20">
        <v>-4.47</v>
      </c>
      <c r="EN88" s="20">
        <v>2.08</v>
      </c>
      <c r="EO88" s="20">
        <v>1.36</v>
      </c>
      <c r="EP88" s="20">
        <v>-2.2599999999999998</v>
      </c>
    </row>
    <row r="89" spans="1:146" ht="84" x14ac:dyDescent="0.25">
      <c r="A89" s="7"/>
      <c r="B89" s="7"/>
      <c r="C89" s="7" t="str">
        <f>""&amp;CHAR(10)&amp;Basic_Fundamental_Information_Constructure(F89)&amp;CHAR(10)&amp;Basic_Fundamental_Information_Concatenate("")</f>
        <v xml:space="preserve">
市值43.663507亿, 利润1.54亿; PE25.15; 平均PE47.14; 平均PEG4.01, PB3.47; ROIC7.6333%; ROE15.2767%; 股利率1.4249%; 毛利11.7767%; 净利4.4567%; 上一年度营收增-74.59%, 利润增10%; 当季营收增371.52%, 利润增-4.67%; 过往5年营收增11.75%, 利润增24.03%
Income profile:
</v>
      </c>
      <c r="D89" t="s">
        <v>947</v>
      </c>
      <c r="E89" t="s">
        <v>948</v>
      </c>
      <c r="F89">
        <v>35.090000000000003</v>
      </c>
      <c r="G89">
        <v>2.0699999999999998</v>
      </c>
      <c r="H89" t="s">
        <v>4507</v>
      </c>
      <c r="I89">
        <v>4366350700</v>
      </c>
      <c r="J89">
        <v>25.15</v>
      </c>
      <c r="K89">
        <v>3.47</v>
      </c>
      <c r="L89" t="s">
        <v>172</v>
      </c>
      <c r="M89" t="s">
        <v>4508</v>
      </c>
      <c r="N89" t="s">
        <v>2129</v>
      </c>
      <c r="O89" t="s">
        <v>1668</v>
      </c>
      <c r="P89">
        <v>5.27</v>
      </c>
      <c r="Q89" t="s">
        <v>2673</v>
      </c>
      <c r="R89">
        <v>44162408</v>
      </c>
      <c r="S89" s="5">
        <v>0.21010000000000001</v>
      </c>
      <c r="T89" t="s">
        <v>577</v>
      </c>
      <c r="U89">
        <v>46853922</v>
      </c>
      <c r="V89">
        <v>124432908</v>
      </c>
      <c r="W89">
        <v>2.35</v>
      </c>
      <c r="X89">
        <v>0.26</v>
      </c>
      <c r="Y89">
        <v>5.68</v>
      </c>
      <c r="Z89" t="s">
        <v>2598</v>
      </c>
      <c r="AA89" t="s">
        <v>2600</v>
      </c>
      <c r="AB89" t="s">
        <v>4509</v>
      </c>
      <c r="AC89" t="s">
        <v>4510</v>
      </c>
      <c r="AD89" t="s">
        <v>19</v>
      </c>
      <c r="AE89">
        <v>11641933</v>
      </c>
      <c r="AF89" t="s">
        <v>4511</v>
      </c>
      <c r="AG89" t="s">
        <v>4512</v>
      </c>
      <c r="AH89" t="s">
        <v>4513</v>
      </c>
      <c r="AI89" t="s">
        <v>1842</v>
      </c>
      <c r="AJ89" t="s">
        <v>4514</v>
      </c>
      <c r="AK89" t="s">
        <v>4515</v>
      </c>
      <c r="AL89" t="s">
        <v>4516</v>
      </c>
      <c r="AM89" t="s">
        <v>19</v>
      </c>
      <c r="AN89" t="s">
        <v>620</v>
      </c>
      <c r="AO89" t="s">
        <v>4517</v>
      </c>
      <c r="AP89" t="s">
        <v>1855</v>
      </c>
      <c r="AQ89" t="s">
        <v>155</v>
      </c>
      <c r="AR89" t="s">
        <v>4518</v>
      </c>
      <c r="AS89" t="s">
        <v>2354</v>
      </c>
      <c r="AT89" t="s">
        <v>19</v>
      </c>
      <c r="AU89" t="s">
        <v>4519</v>
      </c>
      <c r="AV89" t="s">
        <v>2649</v>
      </c>
      <c r="AW89" t="s">
        <v>113</v>
      </c>
      <c r="AX89" t="s">
        <v>2244</v>
      </c>
      <c r="AY89" t="s">
        <v>233</v>
      </c>
      <c r="AZ89" t="s">
        <v>949</v>
      </c>
      <c r="BA89" t="s">
        <v>745</v>
      </c>
      <c r="BB89" t="s">
        <v>953</v>
      </c>
      <c r="BC89" t="s">
        <v>761</v>
      </c>
      <c r="BD89" t="s">
        <v>1656</v>
      </c>
      <c r="BE89" t="s">
        <v>950</v>
      </c>
      <c r="BF89" t="s">
        <v>956</v>
      </c>
      <c r="BG89" t="s">
        <v>957</v>
      </c>
      <c r="BH89" t="s">
        <v>4520</v>
      </c>
      <c r="BI89" t="s">
        <v>845</v>
      </c>
      <c r="BJ89" t="s">
        <v>2244</v>
      </c>
      <c r="BK89" t="s">
        <v>2558</v>
      </c>
      <c r="BL89" t="s">
        <v>4521</v>
      </c>
      <c r="BM89" t="s">
        <v>761</v>
      </c>
      <c r="BN89">
        <v>6.3</v>
      </c>
      <c r="BO89">
        <v>8.92</v>
      </c>
      <c r="BP89">
        <v>7.68</v>
      </c>
      <c r="BQ89">
        <v>12.32</v>
      </c>
      <c r="BR89">
        <v>19.37</v>
      </c>
      <c r="BS89">
        <v>14.14</v>
      </c>
      <c r="BT89" t="s">
        <v>4522</v>
      </c>
      <c r="BU89" t="s">
        <v>3146</v>
      </c>
      <c r="BV89">
        <v>12.4</v>
      </c>
      <c r="BW89">
        <v>12.02</v>
      </c>
      <c r="BX89">
        <v>10.91</v>
      </c>
      <c r="BY89">
        <v>4.8099999999999996</v>
      </c>
      <c r="BZ89">
        <v>4.75</v>
      </c>
      <c r="CA89">
        <v>3.81</v>
      </c>
      <c r="CB89">
        <v>3.79</v>
      </c>
      <c r="CC89">
        <v>9.58</v>
      </c>
      <c r="CD89" t="s">
        <v>4523</v>
      </c>
      <c r="CE89" t="s">
        <v>4524</v>
      </c>
      <c r="CF89" s="14">
        <v>3.7151515151515153</v>
      </c>
      <c r="CG89" s="15">
        <v>-4.6674812086882567E-2</v>
      </c>
      <c r="CH89" s="14">
        <v>-0.74592947959899902</v>
      </c>
      <c r="CI89" s="14">
        <v>0.29982364177703857</v>
      </c>
      <c r="CJ89" s="14">
        <v>0.7943037748336792</v>
      </c>
      <c r="CK89" s="14">
        <v>0.3844468891620636</v>
      </c>
      <c r="CL89" s="14">
        <v>-0.14513108134269714</v>
      </c>
      <c r="CM89" s="15">
        <v>0.10000000149011612</v>
      </c>
      <c r="CN89" s="15">
        <v>0.62147760391235352</v>
      </c>
      <c r="CO89" s="15">
        <v>0.63198226690292358</v>
      </c>
      <c r="CP89" s="15">
        <v>-0.12334796041250229</v>
      </c>
      <c r="CQ89" s="15">
        <v>-2.8746712952852249E-2</v>
      </c>
      <c r="CR89">
        <v>47.14161538295437</v>
      </c>
      <c r="CS89">
        <v>4.0119585114138863</v>
      </c>
      <c r="CT89">
        <v>1.4249073810202335</v>
      </c>
      <c r="CU89" s="14">
        <v>0.11750274896621704</v>
      </c>
      <c r="CV89" s="15">
        <v>0.24027303978800774</v>
      </c>
      <c r="CW89">
        <v>0.06</v>
      </c>
      <c r="CX89">
        <v>28.741797114527969</v>
      </c>
      <c r="CY89">
        <v>162354172.96301642</v>
      </c>
      <c r="CZ89">
        <v>0.11750274896621704</v>
      </c>
      <c r="DA89">
        <v>9.1770086174158116</v>
      </c>
      <c r="DB89">
        <v>508482763.2333656</v>
      </c>
      <c r="DC89">
        <v>0.11162761151790618</v>
      </c>
      <c r="DD89">
        <v>4.3781208554615487</v>
      </c>
      <c r="DE89">
        <v>1065834145.2997798</v>
      </c>
      <c r="DF89">
        <v>0.10340241909027099</v>
      </c>
      <c r="DG89">
        <v>2.5366141817893335</v>
      </c>
      <c r="DH89">
        <v>1839598127.8904407</v>
      </c>
      <c r="DI89">
        <v>9.4002199172973644E-2</v>
      </c>
      <c r="DJ89">
        <v>1.2094241416542697</v>
      </c>
      <c r="DK89">
        <v>3858324420.0973949</v>
      </c>
      <c r="DL89">
        <v>8.2251924276351918E-2</v>
      </c>
      <c r="DM89">
        <v>154000000</v>
      </c>
      <c r="DN89">
        <v>0.11750274896621704</v>
      </c>
      <c r="DO89">
        <v>4666350700</v>
      </c>
      <c r="DP89">
        <v>873146200</v>
      </c>
      <c r="DQ89">
        <v>2320</v>
      </c>
      <c r="DR89">
        <v>3.5976487661852983</v>
      </c>
      <c r="DS89">
        <v>-0.2869478518748903</v>
      </c>
      <c r="DT89" s="16">
        <v>-0.24000000000000007</v>
      </c>
      <c r="DU89">
        <v>0.56666666666666676</v>
      </c>
      <c r="DV89">
        <v>0.32666666666666666</v>
      </c>
      <c r="DW89">
        <v>8.3956158663883098</v>
      </c>
      <c r="DX89">
        <v>0.38785362674542623</v>
      </c>
      <c r="DY89">
        <v>8.0664055579713114</v>
      </c>
      <c r="DZ89">
        <v>2833</v>
      </c>
      <c r="EA89">
        <v>8.0295901087085468</v>
      </c>
      <c r="EB89">
        <v>8</v>
      </c>
      <c r="EC89">
        <v>9.7282143402129609E-2</v>
      </c>
      <c r="ED89">
        <v>0.57956533491928031</v>
      </c>
      <c r="EE89" s="17">
        <v>3.0296099999999999</v>
      </c>
      <c r="EF89">
        <v>3.0367099999999998</v>
      </c>
      <c r="EG89">
        <v>22.167853626745426</v>
      </c>
      <c r="EH89" t="s">
        <v>2487</v>
      </c>
      <c r="EI89">
        <v>0</v>
      </c>
      <c r="EJ89">
        <v>0</v>
      </c>
      <c r="EK89" s="19">
        <v>45470</v>
      </c>
      <c r="EL89" s="20">
        <v>4.57</v>
      </c>
      <c r="EM89" s="20">
        <v>-8.74</v>
      </c>
      <c r="EN89" s="20">
        <v>-7.3</v>
      </c>
      <c r="EO89" s="20">
        <v>2.2599999999999998</v>
      </c>
      <c r="EP89" s="20">
        <v>-0.71</v>
      </c>
    </row>
    <row r="90" spans="1:146" ht="108" x14ac:dyDescent="0.25">
      <c r="A90" s="7" t="s">
        <v>1551</v>
      </c>
      <c r="B90" s="7"/>
      <c r="C90" s="7" t="str">
        <f>""&amp;CHAR(10)&amp;Basic_Fundamental_Information_Constructure(F90)&amp;CHAR(10)&amp;Basic_Fundamental_Information_Concatenate("汽车安全带总成 2.86亿 85.42% 毛利33.07%
特殊座椅安全装置 3652.41万 10.92% 毛利42.03%
其他业务 1222.31万 3.65% 毛利45.22%")</f>
        <v xml:space="preserve">
市值68.489938亿, 利润2.47亿; PE30.26; 平均PE57.87; 平均PEG1.36, PB6.05; ROIC11.89%; ROE13.5733%; 股利率.6605%; 毛利31.0033%; 净利14.0933%; 上一年度营收增115.63%, 利润增109.32%; 当季营收增-10.68%, 利润增157.97%; 过往5年营收增42.7%, 利润增35.51%
Income profile:
汽车安全带总成 2.86亿 85.42% 毛利33.07%
特殊座椅安全装置 3652.41万 10.92% 毛利42.03%
其他业务 1222.31万 3.65% 毛利45.22%</v>
      </c>
      <c r="D90" t="s">
        <v>959</v>
      </c>
      <c r="E90" t="s">
        <v>960</v>
      </c>
      <c r="F90">
        <v>30.28</v>
      </c>
      <c r="G90">
        <v>3.31</v>
      </c>
      <c r="H90" t="s">
        <v>4525</v>
      </c>
      <c r="I90">
        <v>6848993800</v>
      </c>
      <c r="J90">
        <v>30.26</v>
      </c>
      <c r="K90">
        <v>6.05</v>
      </c>
      <c r="L90" t="s">
        <v>172</v>
      </c>
      <c r="M90" t="s">
        <v>1271</v>
      </c>
      <c r="N90" t="s">
        <v>795</v>
      </c>
      <c r="O90" t="s">
        <v>592</v>
      </c>
      <c r="P90">
        <v>63.27</v>
      </c>
      <c r="Q90" t="s">
        <v>219</v>
      </c>
      <c r="R90">
        <v>126056000</v>
      </c>
      <c r="S90" s="5">
        <v>0.87880000000000003</v>
      </c>
      <c r="T90" t="s">
        <v>517</v>
      </c>
      <c r="U90">
        <v>113096468</v>
      </c>
      <c r="V90">
        <v>226188700</v>
      </c>
      <c r="W90">
        <v>1.85</v>
      </c>
      <c r="X90">
        <v>0.18</v>
      </c>
      <c r="Y90">
        <v>16.559999999999999</v>
      </c>
      <c r="Z90" t="s">
        <v>1053</v>
      </c>
      <c r="AA90" t="s">
        <v>479</v>
      </c>
      <c r="AB90" t="s">
        <v>4526</v>
      </c>
      <c r="AC90" t="s">
        <v>4527</v>
      </c>
      <c r="AD90" t="s">
        <v>19</v>
      </c>
      <c r="AE90">
        <v>2502741</v>
      </c>
      <c r="AF90" t="s">
        <v>4528</v>
      </c>
      <c r="AG90" t="s">
        <v>4529</v>
      </c>
      <c r="AH90" t="s">
        <v>4530</v>
      </c>
      <c r="AI90" t="s">
        <v>564</v>
      </c>
      <c r="AJ90" t="s">
        <v>4531</v>
      </c>
      <c r="AK90" t="s">
        <v>4532</v>
      </c>
      <c r="AL90" t="s">
        <v>4533</v>
      </c>
      <c r="AM90" t="s">
        <v>19</v>
      </c>
      <c r="AN90" t="s">
        <v>848</v>
      </c>
      <c r="AO90" t="s">
        <v>4534</v>
      </c>
      <c r="AP90" t="s">
        <v>264</v>
      </c>
      <c r="AQ90" t="s">
        <v>121</v>
      </c>
      <c r="AR90" t="s">
        <v>19</v>
      </c>
      <c r="AS90" t="s">
        <v>1304</v>
      </c>
      <c r="AT90" t="s">
        <v>20</v>
      </c>
      <c r="AU90" t="s">
        <v>4535</v>
      </c>
      <c r="AV90" t="s">
        <v>4536</v>
      </c>
      <c r="AW90" t="s">
        <v>4537</v>
      </c>
      <c r="AX90" t="s">
        <v>954</v>
      </c>
      <c r="AY90" t="s">
        <v>578</v>
      </c>
      <c r="AZ90" t="s">
        <v>110</v>
      </c>
      <c r="BA90" t="s">
        <v>962</v>
      </c>
      <c r="BB90" t="s">
        <v>168</v>
      </c>
      <c r="BC90" t="s">
        <v>92</v>
      </c>
      <c r="BD90" t="s">
        <v>229</v>
      </c>
      <c r="BE90" t="s">
        <v>961</v>
      </c>
      <c r="BF90" t="s">
        <v>963</v>
      </c>
      <c r="BG90" t="s">
        <v>964</v>
      </c>
      <c r="BH90" t="s">
        <v>1915</v>
      </c>
      <c r="BI90" t="s">
        <v>2583</v>
      </c>
      <c r="BJ90" t="s">
        <v>954</v>
      </c>
      <c r="BK90" t="s">
        <v>101</v>
      </c>
      <c r="BL90" t="s">
        <v>4538</v>
      </c>
      <c r="BM90" t="s">
        <v>92</v>
      </c>
      <c r="BN90">
        <v>9.66</v>
      </c>
      <c r="BO90">
        <v>11.86</v>
      </c>
      <c r="BP90">
        <v>14.15</v>
      </c>
      <c r="BQ90">
        <v>12.43</v>
      </c>
      <c r="BR90">
        <v>13.78</v>
      </c>
      <c r="BS90">
        <v>14.51</v>
      </c>
      <c r="BT90" t="s">
        <v>1989</v>
      </c>
      <c r="BU90" t="s">
        <v>3084</v>
      </c>
      <c r="BV90">
        <v>31.52</v>
      </c>
      <c r="BW90">
        <v>28.39</v>
      </c>
      <c r="BX90">
        <v>33.1</v>
      </c>
      <c r="BY90">
        <v>15.45</v>
      </c>
      <c r="BZ90">
        <v>11.9</v>
      </c>
      <c r="CA90">
        <v>14.93</v>
      </c>
      <c r="CB90">
        <v>5.99</v>
      </c>
      <c r="CC90">
        <v>6.25</v>
      </c>
      <c r="CD90" t="s">
        <v>4539</v>
      </c>
      <c r="CE90" t="s">
        <v>4540</v>
      </c>
      <c r="CF90" s="14">
        <v>-0.10679611650485436</v>
      </c>
      <c r="CG90" s="15">
        <v>1.5796945443234074</v>
      </c>
      <c r="CH90" s="14">
        <v>1.1562501192092896</v>
      </c>
      <c r="CI90" s="14">
        <v>0.33154362440109253</v>
      </c>
      <c r="CJ90" s="14">
        <v>0.38992536067962646</v>
      </c>
      <c r="CK90" s="14">
        <v>0.15268817543983459</v>
      </c>
      <c r="CL90" s="14">
        <v>0.10451306402683258</v>
      </c>
      <c r="CM90" s="15">
        <v>1.0932203531265259</v>
      </c>
      <c r="CN90" s="15">
        <v>6.3063062727451324E-2</v>
      </c>
      <c r="CO90" s="15">
        <v>0.23287984728813171</v>
      </c>
      <c r="CP90" s="15">
        <v>0.11714136600494385</v>
      </c>
      <c r="CQ90" s="15">
        <v>0.26922962069511414</v>
      </c>
      <c r="CR90">
        <v>57.868828284017432</v>
      </c>
      <c r="CS90">
        <v>1.3552924457637971</v>
      </c>
      <c r="CT90">
        <v>0.66050198150594452</v>
      </c>
      <c r="CU90" s="14">
        <v>0.42698406875133516</v>
      </c>
      <c r="CV90" s="15">
        <v>0.35510684996843339</v>
      </c>
      <c r="CW90">
        <v>0.06</v>
      </c>
      <c r="CX90">
        <v>19.960030445478807</v>
      </c>
      <c r="CY90">
        <v>332514212.24677342</v>
      </c>
      <c r="CZ90">
        <v>0.42698406875133516</v>
      </c>
      <c r="DA90">
        <v>4.9609550757049261</v>
      </c>
      <c r="DB90">
        <v>1337845978.9936552</v>
      </c>
      <c r="DC90">
        <v>0.40563486531376836</v>
      </c>
      <c r="DD90">
        <v>1.6316413068229703</v>
      </c>
      <c r="DE90">
        <v>4067679441.7047081</v>
      </c>
      <c r="DF90">
        <v>0.37574598050117491</v>
      </c>
      <c r="DG90">
        <v>0.59074464688486739</v>
      </c>
      <c r="DH90">
        <v>11234962237.911757</v>
      </c>
      <c r="DI90">
        <v>0.34158725500106812</v>
      </c>
      <c r="DJ90">
        <v>8.6316906184142381E-2</v>
      </c>
      <c r="DK90">
        <v>76891006564.126694</v>
      </c>
      <c r="DL90">
        <v>0.29888884812593458</v>
      </c>
      <c r="DM90">
        <v>247000000.00000003</v>
      </c>
      <c r="DN90">
        <v>0.42698406875133516</v>
      </c>
      <c r="DO90">
        <v>6636993800</v>
      </c>
      <c r="DP90">
        <v>635642190</v>
      </c>
      <c r="DQ90">
        <v>2349</v>
      </c>
      <c r="DR90">
        <v>-0.53378018525618953</v>
      </c>
      <c r="DS90">
        <v>1.2245876943549741</v>
      </c>
      <c r="DT90" s="16">
        <v>0.29333333333333339</v>
      </c>
      <c r="DU90">
        <v>1.0066666666666666</v>
      </c>
      <c r="DV90">
        <v>1.3</v>
      </c>
      <c r="DW90">
        <v>8.9583999999999993</v>
      </c>
      <c r="DX90">
        <v>0.65210895622552578</v>
      </c>
      <c r="DY90">
        <v>8.2128692236465426</v>
      </c>
      <c r="DZ90">
        <v>4663</v>
      </c>
      <c r="EA90">
        <v>8.0186208498962834</v>
      </c>
      <c r="EB90">
        <v>8</v>
      </c>
      <c r="EC90">
        <v>3.4678124946118001E-2</v>
      </c>
      <c r="ED90">
        <v>0.15613114182980847</v>
      </c>
      <c r="EE90" s="17">
        <v>-8.04331</v>
      </c>
      <c r="EF90">
        <v>-8.0533099999999997</v>
      </c>
      <c r="EG90">
        <v>43.222108956225526</v>
      </c>
      <c r="EH90" t="s">
        <v>4541</v>
      </c>
      <c r="EI90">
        <v>0</v>
      </c>
      <c r="EJ90">
        <v>0</v>
      </c>
      <c r="EK90" s="19">
        <v>45470</v>
      </c>
      <c r="EL90" s="20">
        <v>1.86</v>
      </c>
      <c r="EM90" s="20">
        <v>-6.67</v>
      </c>
      <c r="EN90" s="20">
        <v>2.1800000000000002</v>
      </c>
      <c r="EO90" s="20">
        <v>3.61</v>
      </c>
      <c r="EP90" s="20">
        <v>-1</v>
      </c>
    </row>
    <row r="91" spans="1:146" ht="84" x14ac:dyDescent="0.25">
      <c r="A91" s="7"/>
      <c r="B91" s="7"/>
      <c r="C91" s="7" t="str">
        <f>""&amp;CHAR(10)&amp;Basic_Fundamental_Information_Constructure(F91)&amp;CHAR(10)&amp;Basic_Fundamental_Information_Concatenate("")</f>
        <v xml:space="preserve">
市值10.6703296亿, 利润9815.36万; PE; 平均PE-95.05; 平均PEG-4.93, PB1.39; ROIC0%; ROE-13.9633%; 股利率0%; 毛利10.52%; 净利-19.4933%; 上一年度营收增150.56%, 利润增135.82%; 当季营收增-46.65%, 利润增-305.02%; 过往5年营收增19.29%, 利润增-32.57%
Income profile:
</v>
      </c>
      <c r="D91" t="s">
        <v>965</v>
      </c>
      <c r="E91" t="s">
        <v>966</v>
      </c>
      <c r="F91">
        <v>9.2799999999999994</v>
      </c>
      <c r="G91">
        <v>0.65</v>
      </c>
      <c r="H91" t="s">
        <v>4542</v>
      </c>
      <c r="I91">
        <v>1067032960</v>
      </c>
      <c r="K91">
        <v>1.39</v>
      </c>
      <c r="L91" t="s">
        <v>172</v>
      </c>
      <c r="M91" t="s">
        <v>2012</v>
      </c>
      <c r="N91" t="s">
        <v>1045</v>
      </c>
      <c r="O91" t="s">
        <v>94</v>
      </c>
      <c r="P91">
        <v>-44.8</v>
      </c>
      <c r="Q91" t="s">
        <v>2645</v>
      </c>
      <c r="R91">
        <v>-32254600</v>
      </c>
      <c r="S91" s="6">
        <v>-206.55</v>
      </c>
      <c r="T91" t="s">
        <v>4543</v>
      </c>
      <c r="U91">
        <v>85096375</v>
      </c>
      <c r="V91">
        <v>114982000</v>
      </c>
      <c r="W91">
        <v>2.15</v>
      </c>
      <c r="X91">
        <v>0.1</v>
      </c>
      <c r="Y91">
        <v>-18.86</v>
      </c>
      <c r="Z91" t="s">
        <v>1067</v>
      </c>
      <c r="AA91" t="s">
        <v>720</v>
      </c>
      <c r="AB91" t="s">
        <v>4544</v>
      </c>
      <c r="AC91" t="s">
        <v>4545</v>
      </c>
      <c r="AD91" t="s">
        <v>19</v>
      </c>
      <c r="AE91">
        <v>2576421</v>
      </c>
      <c r="AF91" t="s">
        <v>4546</v>
      </c>
      <c r="AG91" t="s">
        <v>4547</v>
      </c>
      <c r="AH91" t="s">
        <v>4548</v>
      </c>
      <c r="AI91" t="s">
        <v>127</v>
      </c>
      <c r="AJ91" t="s">
        <v>4549</v>
      </c>
      <c r="AK91" t="s">
        <v>4550</v>
      </c>
      <c r="AL91" t="s">
        <v>4551</v>
      </c>
      <c r="AM91" t="s">
        <v>19</v>
      </c>
      <c r="AN91" t="s">
        <v>4552</v>
      </c>
      <c r="AO91" t="s">
        <v>554</v>
      </c>
      <c r="AP91" t="s">
        <v>845</v>
      </c>
      <c r="AQ91" t="s">
        <v>752</v>
      </c>
      <c r="AR91" t="s">
        <v>19</v>
      </c>
      <c r="AS91" t="s">
        <v>2042</v>
      </c>
      <c r="AT91" t="s">
        <v>19</v>
      </c>
      <c r="AU91" t="s">
        <v>4553</v>
      </c>
      <c r="AV91" t="s">
        <v>4554</v>
      </c>
      <c r="AW91" t="s">
        <v>4555</v>
      </c>
      <c r="AX91" t="s">
        <v>1402</v>
      </c>
      <c r="AY91" t="s">
        <v>485</v>
      </c>
      <c r="AZ91" t="s">
        <v>967</v>
      </c>
      <c r="BA91" t="s">
        <v>57</v>
      </c>
      <c r="BB91" t="s">
        <v>969</v>
      </c>
      <c r="BC91" t="s">
        <v>2048</v>
      </c>
      <c r="BD91" t="s">
        <v>952</v>
      </c>
      <c r="BE91" t="s">
        <v>968</v>
      </c>
      <c r="BF91" t="s">
        <v>970</v>
      </c>
      <c r="BG91" t="s">
        <v>971</v>
      </c>
      <c r="BH91" t="s">
        <v>1424</v>
      </c>
      <c r="BI91" t="s">
        <v>1257</v>
      </c>
      <c r="BJ91" t="s">
        <v>1402</v>
      </c>
      <c r="BK91" t="s">
        <v>4556</v>
      </c>
      <c r="BL91" t="s">
        <v>4557</v>
      </c>
      <c r="BM91" t="s">
        <v>2048</v>
      </c>
      <c r="BN91" t="s">
        <v>19</v>
      </c>
      <c r="BO91" t="s">
        <v>19</v>
      </c>
      <c r="BP91" t="s">
        <v>19</v>
      </c>
      <c r="BQ91">
        <v>-1.34</v>
      </c>
      <c r="BR91">
        <v>-29.52</v>
      </c>
      <c r="BS91">
        <v>-11.03</v>
      </c>
      <c r="BT91" t="s">
        <v>1983</v>
      </c>
      <c r="BU91" t="s">
        <v>3125</v>
      </c>
      <c r="BV91">
        <v>19.5</v>
      </c>
      <c r="BW91">
        <v>-3.08</v>
      </c>
      <c r="BX91">
        <v>15.14</v>
      </c>
      <c r="BY91">
        <v>0.85</v>
      </c>
      <c r="BZ91">
        <v>-44.17</v>
      </c>
      <c r="CA91">
        <v>-15.16</v>
      </c>
      <c r="CB91">
        <v>-0.96</v>
      </c>
      <c r="CC91">
        <v>-16.399999999999999</v>
      </c>
      <c r="CD91" t="s">
        <v>4558</v>
      </c>
      <c r="CE91" t="s">
        <v>4559</v>
      </c>
      <c r="CF91" s="14">
        <v>-0.46646341463414637</v>
      </c>
      <c r="CG91" s="15">
        <v>-3.0501760675285712</v>
      </c>
      <c r="CH91" s="14">
        <v>1.5056360960006714</v>
      </c>
      <c r="CI91" s="14">
        <v>-0.25</v>
      </c>
      <c r="CJ91" s="14">
        <v>-0.2626892626285553</v>
      </c>
      <c r="CK91" s="14">
        <v>5.2483659237623215E-2</v>
      </c>
      <c r="CL91" s="14">
        <v>-8.0964632332324982E-2</v>
      </c>
      <c r="CM91" s="15">
        <v>1.3582248687744141</v>
      </c>
      <c r="CN91" s="15">
        <v>-1.1574803590774536</v>
      </c>
      <c r="CO91" s="15">
        <v>-2.2759139537811279</v>
      </c>
      <c r="CP91" s="15">
        <v>0.64085662364959717</v>
      </c>
      <c r="CQ91" s="15">
        <v>-0.19430558383464813</v>
      </c>
      <c r="CR91">
        <v>-95.047466741094965</v>
      </c>
      <c r="CS91">
        <v>-4.9274666245706182</v>
      </c>
      <c r="CT91">
        <v>0</v>
      </c>
      <c r="CU91" s="14">
        <v>0.19289317205548287</v>
      </c>
      <c r="CV91" s="15">
        <v>-0.32572368085384368</v>
      </c>
      <c r="CW91">
        <v>0.06</v>
      </c>
      <c r="CX91">
        <v>10.782559408580299</v>
      </c>
      <c r="CY91">
        <v>110459206.84213684</v>
      </c>
      <c r="CZ91">
        <v>0.19289317205548287</v>
      </c>
      <c r="DA91">
        <v>3.2330049109670096</v>
      </c>
      <c r="DB91">
        <v>368398128.92327327</v>
      </c>
      <c r="DC91">
        <v>0.18324851345270871</v>
      </c>
      <c r="DD91">
        <v>1.4124970420869181</v>
      </c>
      <c r="DE91">
        <v>843210940.98737919</v>
      </c>
      <c r="DF91">
        <v>0.16974599140882493</v>
      </c>
      <c r="DG91">
        <v>0.73702078096112245</v>
      </c>
      <c r="DH91">
        <v>1616010010.5275409</v>
      </c>
      <c r="DI91">
        <v>0.1543145376443863</v>
      </c>
      <c r="DJ91">
        <v>0.27408659143516007</v>
      </c>
      <c r="DK91">
        <v>4345462336.4228287</v>
      </c>
      <c r="DL91">
        <v>0.135025220438838</v>
      </c>
      <c r="DM91">
        <v>98153600</v>
      </c>
      <c r="DN91">
        <v>0.19289317205548287</v>
      </c>
      <c r="DO91">
        <v>1191032960</v>
      </c>
      <c r="DP91">
        <v>-17577469.999999881</v>
      </c>
      <c r="DQ91">
        <v>2368</v>
      </c>
      <c r="DR91">
        <v>-0.65935658668962926</v>
      </c>
      <c r="DS91">
        <v>-2.7244523866747277</v>
      </c>
      <c r="DT91" s="16">
        <v>-0.39000000000000007</v>
      </c>
      <c r="DU91">
        <v>-1.831666666666667</v>
      </c>
      <c r="DV91">
        <v>-2.2216666666666671</v>
      </c>
      <c r="DW91">
        <v>-3.0045238095238096</v>
      </c>
      <c r="DX91">
        <v>0.34810490585542819</v>
      </c>
      <c r="DY91">
        <v>-3.0006247602883938</v>
      </c>
      <c r="DZ91">
        <v>2356</v>
      </c>
      <c r="EA91">
        <v>-3.000336710339381</v>
      </c>
      <c r="EB91">
        <v>3</v>
      </c>
      <c r="EC91">
        <v>9.0161068689012192E-2</v>
      </c>
      <c r="ED91">
        <v>0.6528447930980501</v>
      </c>
      <c r="EE91" s="17">
        <v>-2.1192099999999998</v>
      </c>
      <c r="EF91">
        <v>-2.1064099999999999</v>
      </c>
      <c r="EG91">
        <v>21.138104905855428</v>
      </c>
      <c r="EH91" t="s">
        <v>2497</v>
      </c>
      <c r="EI91">
        <v>0</v>
      </c>
      <c r="EJ91">
        <v>0</v>
      </c>
      <c r="EK91" s="19">
        <v>45470</v>
      </c>
      <c r="EL91" s="20">
        <v>-0.84</v>
      </c>
      <c r="EM91" s="20">
        <v>-1.81</v>
      </c>
      <c r="EN91" s="20">
        <v>1.02</v>
      </c>
      <c r="EO91" s="20">
        <v>1.58</v>
      </c>
      <c r="EP91" s="20">
        <v>1.28</v>
      </c>
    </row>
    <row r="92" spans="1:146" ht="84" x14ac:dyDescent="0.25">
      <c r="A92" s="7"/>
      <c r="B92" s="7"/>
      <c r="C92" s="7" t="str">
        <f>""&amp;CHAR(10)&amp;Basic_Fundamental_Information_Constructure(F92)&amp;CHAR(10)&amp;Basic_Fundamental_Information_Concatenate("")</f>
        <v xml:space="preserve">
市值82.600205亿, 利润6854.69万; PE22.03; 平均PE100.49; 平均PEG5.9, PB4.95; ROIC9.2%; ROE12.1967%; 股利率.7342%; 毛利24.9567%; 净利10.9833%; 上一年度营收增-49.03%, 利润增-53.68%; 当季营收增317.8%, 利润增342.17%; 过往5年营收增17.04%, 利润增11.32%
Income profile:
</v>
      </c>
      <c r="D92" t="s">
        <v>973</v>
      </c>
      <c r="E92" t="s">
        <v>974</v>
      </c>
      <c r="F92">
        <v>20.43</v>
      </c>
      <c r="G92">
        <v>0.89</v>
      </c>
      <c r="H92" t="s">
        <v>4560</v>
      </c>
      <c r="I92">
        <v>8260020500</v>
      </c>
      <c r="J92">
        <v>22.03</v>
      </c>
      <c r="K92">
        <v>4.95</v>
      </c>
      <c r="L92" t="s">
        <v>172</v>
      </c>
      <c r="M92" t="s">
        <v>3331</v>
      </c>
      <c r="N92" t="s">
        <v>4561</v>
      </c>
      <c r="O92" t="s">
        <v>263</v>
      </c>
      <c r="P92">
        <v>93.31</v>
      </c>
      <c r="Q92" t="s">
        <v>2677</v>
      </c>
      <c r="R92">
        <v>100912025</v>
      </c>
      <c r="S92" s="5">
        <v>1.93</v>
      </c>
      <c r="T92" t="s">
        <v>4562</v>
      </c>
      <c r="U92">
        <v>267975200</v>
      </c>
      <c r="V92">
        <v>404308390</v>
      </c>
      <c r="W92">
        <v>2.78</v>
      </c>
      <c r="X92">
        <v>0.16</v>
      </c>
      <c r="Y92">
        <v>12.64</v>
      </c>
      <c r="Z92" t="s">
        <v>4563</v>
      </c>
      <c r="AA92" t="s">
        <v>1635</v>
      </c>
      <c r="AB92" t="s">
        <v>4564</v>
      </c>
      <c r="AC92" t="s">
        <v>4565</v>
      </c>
      <c r="AD92" t="s">
        <v>19</v>
      </c>
      <c r="AE92">
        <v>15952111</v>
      </c>
      <c r="AF92" t="s">
        <v>21</v>
      </c>
      <c r="AG92">
        <v>1066.72</v>
      </c>
      <c r="AH92" t="s">
        <v>4566</v>
      </c>
      <c r="AI92" t="s">
        <v>374</v>
      </c>
      <c r="AJ92" t="s">
        <v>4567</v>
      </c>
      <c r="AK92" t="s">
        <v>86</v>
      </c>
      <c r="AL92" t="s">
        <v>4568</v>
      </c>
      <c r="AM92" t="s">
        <v>19</v>
      </c>
      <c r="AN92" t="s">
        <v>1108</v>
      </c>
      <c r="AO92" t="s">
        <v>2640</v>
      </c>
      <c r="AP92" t="s">
        <v>371</v>
      </c>
      <c r="AQ92" t="s">
        <v>679</v>
      </c>
      <c r="AR92" t="s">
        <v>19</v>
      </c>
      <c r="AS92" t="s">
        <v>2547</v>
      </c>
      <c r="AT92" t="s">
        <v>386</v>
      </c>
      <c r="AU92" t="s">
        <v>4569</v>
      </c>
      <c r="AV92" t="s">
        <v>2830</v>
      </c>
      <c r="AW92" t="s">
        <v>77</v>
      </c>
      <c r="AX92" t="s">
        <v>2014</v>
      </c>
      <c r="AY92" t="s">
        <v>1157</v>
      </c>
      <c r="AZ92" t="s">
        <v>975</v>
      </c>
      <c r="BA92" t="s">
        <v>978</v>
      </c>
      <c r="BB92" t="s">
        <v>79</v>
      </c>
      <c r="BC92" t="s">
        <v>28</v>
      </c>
      <c r="BD92" t="s">
        <v>1658</v>
      </c>
      <c r="BE92" t="s">
        <v>976</v>
      </c>
      <c r="BF92" t="s">
        <v>979</v>
      </c>
      <c r="BG92" t="s">
        <v>980</v>
      </c>
      <c r="BH92" t="s">
        <v>2334</v>
      </c>
      <c r="BI92" t="s">
        <v>26</v>
      </c>
      <c r="BJ92" t="s">
        <v>2014</v>
      </c>
      <c r="BK92" t="s">
        <v>2886</v>
      </c>
      <c r="BL92" t="s">
        <v>4570</v>
      </c>
      <c r="BM92" t="s">
        <v>28</v>
      </c>
      <c r="BN92">
        <v>8.9499999999999993</v>
      </c>
      <c r="BO92">
        <v>10.69</v>
      </c>
      <c r="BP92">
        <v>7.96</v>
      </c>
      <c r="BQ92">
        <v>13.36</v>
      </c>
      <c r="BR92">
        <v>13.95</v>
      </c>
      <c r="BS92">
        <v>9.2799999999999994</v>
      </c>
      <c r="BT92" t="s">
        <v>4571</v>
      </c>
      <c r="BU92" t="s">
        <v>3125</v>
      </c>
      <c r="BV92">
        <v>25.54</v>
      </c>
      <c r="BW92">
        <v>25.1</v>
      </c>
      <c r="BX92">
        <v>24.23</v>
      </c>
      <c r="BY92">
        <v>11.86</v>
      </c>
      <c r="BZ92">
        <v>10.63</v>
      </c>
      <c r="CA92">
        <v>10.46</v>
      </c>
      <c r="CB92">
        <v>2.0499999999999998</v>
      </c>
      <c r="CC92">
        <v>1.44</v>
      </c>
      <c r="CD92" t="s">
        <v>4572</v>
      </c>
      <c r="CE92" t="s">
        <v>564</v>
      </c>
      <c r="CF92" s="14">
        <v>3.1780104712041886</v>
      </c>
      <c r="CG92" s="15">
        <v>3.4216994566646219</v>
      </c>
      <c r="CH92" s="14">
        <v>-0.49029478430747986</v>
      </c>
      <c r="CI92" s="14">
        <v>0.72580653429031372</v>
      </c>
      <c r="CJ92" s="14">
        <v>0.46812385320663452</v>
      </c>
      <c r="CK92" s="14">
        <v>5.1724139600992203E-2</v>
      </c>
      <c r="CL92" s="14">
        <v>9.663865715265274E-2</v>
      </c>
      <c r="CM92" s="15">
        <v>-0.53684532642364502</v>
      </c>
      <c r="CN92" s="15">
        <v>0.75718128681182861</v>
      </c>
      <c r="CO92" s="15">
        <v>0.25152572989463806</v>
      </c>
      <c r="CP92" s="15">
        <v>5.6376874446868896E-2</v>
      </c>
      <c r="CQ92" s="15">
        <v>3.7744056433439255E-2</v>
      </c>
      <c r="CR92">
        <v>100.49340802594816</v>
      </c>
      <c r="CS92">
        <v>5.8975115465391692</v>
      </c>
      <c r="CT92">
        <v>0.73420362212432699</v>
      </c>
      <c r="CU92" s="14">
        <v>0.17039967998862265</v>
      </c>
      <c r="CV92" s="15">
        <v>0.11319652423262597</v>
      </c>
      <c r="CW92">
        <v>0.06</v>
      </c>
      <c r="CX92">
        <v>127.1966720587605</v>
      </c>
      <c r="CY92">
        <v>75686103.607747272</v>
      </c>
      <c r="CZ92">
        <v>0.17039967998862265</v>
      </c>
      <c r="DA92">
        <v>38.855625710674133</v>
      </c>
      <c r="DB92">
        <v>247763877.78913918</v>
      </c>
      <c r="DC92">
        <v>0.16187969598919152</v>
      </c>
      <c r="DD92">
        <v>17.432172072592511</v>
      </c>
      <c r="DE92">
        <v>552255935.74399996</v>
      </c>
      <c r="DF92">
        <v>0.14995171838998794</v>
      </c>
      <c r="DG92">
        <v>9.393092575597727</v>
      </c>
      <c r="DH92">
        <v>1024904249.8537694</v>
      </c>
      <c r="DI92">
        <v>0.13631974399089813</v>
      </c>
      <c r="DJ92">
        <v>3.7770910663976793</v>
      </c>
      <c r="DK92">
        <v>2548792266.5263052</v>
      </c>
      <c r="DL92">
        <v>0.11927977599203585</v>
      </c>
      <c r="DM92">
        <v>68546900</v>
      </c>
      <c r="DN92">
        <v>0.17039967998862265</v>
      </c>
      <c r="DO92">
        <v>9627020500</v>
      </c>
      <c r="DP92">
        <v>277395100</v>
      </c>
      <c r="DQ92">
        <v>2380</v>
      </c>
      <c r="DR92">
        <v>3.0076107912155661</v>
      </c>
      <c r="DS92">
        <v>3.3085029324319959</v>
      </c>
      <c r="DT92" s="16">
        <v>-0.17333333333333334</v>
      </c>
      <c r="DU92">
        <v>0.70666666666666667</v>
      </c>
      <c r="DV92">
        <v>0.53333333333333333</v>
      </c>
      <c r="DW92">
        <v>1.44E-2</v>
      </c>
      <c r="DX92">
        <v>0.374486075949366</v>
      </c>
      <c r="DY92">
        <v>2.3685994936708862E-3</v>
      </c>
      <c r="DZ92">
        <v>912</v>
      </c>
      <c r="EA92">
        <v>1.9458670595754169E-3</v>
      </c>
      <c r="EB92">
        <v>0</v>
      </c>
      <c r="EC92">
        <v>6.4279645544827804E-2</v>
      </c>
      <c r="ED92">
        <v>0.3907908020409866</v>
      </c>
      <c r="EE92" s="17">
        <v>-1.00421</v>
      </c>
      <c r="EF92">
        <v>-1.0217099999999999</v>
      </c>
      <c r="EG92">
        <v>21.164486075949366</v>
      </c>
      <c r="EH92" t="s">
        <v>1838</v>
      </c>
      <c r="EI92">
        <v>0</v>
      </c>
      <c r="EJ92">
        <v>1</v>
      </c>
      <c r="EK92" s="19">
        <v>45470</v>
      </c>
      <c r="EL92" s="20">
        <v>-0.66</v>
      </c>
      <c r="EM92" s="20">
        <v>-4.5599999999999996</v>
      </c>
      <c r="EN92" s="20">
        <v>-2.29</v>
      </c>
      <c r="EO92" s="20">
        <v>4.58</v>
      </c>
      <c r="EP92" s="20">
        <v>-1.75</v>
      </c>
    </row>
    <row r="93" spans="1:146" ht="84" x14ac:dyDescent="0.25">
      <c r="A93" s="7"/>
      <c r="B93" s="7"/>
      <c r="C93" s="7" t="str">
        <f>""&amp;CHAR(10)&amp;Basic_Fundamental_Information_Constructure(F93)&amp;CHAR(10)&amp;Basic_Fundamental_Information_Concatenate("")</f>
        <v xml:space="preserve">
市值29.408亿, 利润648.09万; PE; 平均PE53.36; 平均PEG5.04, PB2.39; ROIC3.68%; ROE2.44%; 股利率.4081%; 毛利10.9533%; 净利2.9933%; 上一年度营收增-60.56%, 利润增-86.08%; 当季营收增120.39%, 利润增-319.1%; 过往5年营收增-10.58%, 利润增-24.29%
Income profile:
</v>
      </c>
      <c r="D93" t="s">
        <v>981</v>
      </c>
      <c r="E93" t="s">
        <v>982</v>
      </c>
      <c r="F93">
        <v>36.76</v>
      </c>
      <c r="G93">
        <v>2.08</v>
      </c>
      <c r="H93" t="s">
        <v>4573</v>
      </c>
      <c r="I93">
        <v>2940800000</v>
      </c>
      <c r="K93">
        <v>2.39</v>
      </c>
      <c r="L93" t="s">
        <v>172</v>
      </c>
      <c r="M93" t="s">
        <v>4574</v>
      </c>
      <c r="N93" t="s">
        <v>1508</v>
      </c>
      <c r="O93" t="s">
        <v>2079</v>
      </c>
      <c r="P93">
        <v>-38.659999999999997</v>
      </c>
      <c r="Q93" t="s">
        <v>1173</v>
      </c>
      <c r="R93">
        <v>-9710143</v>
      </c>
      <c r="S93" s="5">
        <v>-2.6850000000000001</v>
      </c>
      <c r="T93" t="s">
        <v>4575</v>
      </c>
      <c r="U93">
        <v>50460562</v>
      </c>
      <c r="V93">
        <v>80000000</v>
      </c>
      <c r="W93">
        <v>1.08</v>
      </c>
      <c r="X93">
        <v>0.14000000000000001</v>
      </c>
      <c r="Y93">
        <v>-5.16</v>
      </c>
      <c r="Z93" t="s">
        <v>149</v>
      </c>
      <c r="AA93" t="s">
        <v>386</v>
      </c>
      <c r="AB93" t="s">
        <v>4576</v>
      </c>
      <c r="AC93" t="s">
        <v>4577</v>
      </c>
      <c r="AD93" t="s">
        <v>19</v>
      </c>
      <c r="AE93">
        <v>-470396</v>
      </c>
      <c r="AF93" t="s">
        <v>4578</v>
      </c>
      <c r="AG93" t="s">
        <v>19</v>
      </c>
      <c r="AH93" t="s">
        <v>4579</v>
      </c>
      <c r="AI93" t="s">
        <v>700</v>
      </c>
      <c r="AJ93" t="s">
        <v>4580</v>
      </c>
      <c r="AK93" t="s">
        <v>4581</v>
      </c>
      <c r="AL93" t="s">
        <v>4582</v>
      </c>
      <c r="AM93" t="s">
        <v>19</v>
      </c>
      <c r="AN93" t="s">
        <v>60</v>
      </c>
      <c r="AO93" t="s">
        <v>19</v>
      </c>
      <c r="AP93" t="s">
        <v>19</v>
      </c>
      <c r="AQ93" t="s">
        <v>4583</v>
      </c>
      <c r="AR93" t="s">
        <v>19</v>
      </c>
      <c r="AS93" t="s">
        <v>4584</v>
      </c>
      <c r="AT93" t="s">
        <v>19</v>
      </c>
      <c r="AU93" t="s">
        <v>4585</v>
      </c>
      <c r="AV93" t="s">
        <v>4586</v>
      </c>
      <c r="AW93" t="s">
        <v>4587</v>
      </c>
      <c r="AX93" t="s">
        <v>1318</v>
      </c>
      <c r="AY93" t="s">
        <v>1659</v>
      </c>
      <c r="AZ93" t="s">
        <v>174</v>
      </c>
      <c r="BA93" t="s">
        <v>984</v>
      </c>
      <c r="BB93" t="s">
        <v>925</v>
      </c>
      <c r="BC93" t="s">
        <v>2249</v>
      </c>
      <c r="BD93" t="s">
        <v>1660</v>
      </c>
      <c r="BE93" t="s">
        <v>983</v>
      </c>
      <c r="BF93" t="s">
        <v>987</v>
      </c>
      <c r="BG93" t="s">
        <v>988</v>
      </c>
      <c r="BH93" t="s">
        <v>1977</v>
      </c>
      <c r="BI93" t="s">
        <v>4588</v>
      </c>
      <c r="BJ93" t="s">
        <v>1318</v>
      </c>
      <c r="BK93" t="s">
        <v>4589</v>
      </c>
      <c r="BL93" t="s">
        <v>4590</v>
      </c>
      <c r="BM93" t="s">
        <v>2249</v>
      </c>
      <c r="BN93" t="s">
        <v>19</v>
      </c>
      <c r="BO93">
        <v>3.34</v>
      </c>
      <c r="BP93">
        <v>4.0199999999999996</v>
      </c>
      <c r="BQ93">
        <v>-0.69</v>
      </c>
      <c r="BR93">
        <v>3.64</v>
      </c>
      <c r="BS93">
        <v>4.37</v>
      </c>
      <c r="BT93" t="s">
        <v>2045</v>
      </c>
      <c r="BU93" t="s">
        <v>3146</v>
      </c>
      <c r="BV93">
        <v>7.22</v>
      </c>
      <c r="BW93">
        <v>12.64</v>
      </c>
      <c r="BX93">
        <v>13</v>
      </c>
      <c r="BY93">
        <v>-4.08</v>
      </c>
      <c r="BZ93">
        <v>5.43</v>
      </c>
      <c r="CA93">
        <v>7.63</v>
      </c>
      <c r="CB93">
        <v>3.43</v>
      </c>
      <c r="CC93">
        <v>-2.62</v>
      </c>
      <c r="CD93" t="s">
        <v>4591</v>
      </c>
      <c r="CE93" t="s">
        <v>4592</v>
      </c>
      <c r="CF93" s="14">
        <v>1.2039026947177813</v>
      </c>
      <c r="CG93" s="15">
        <v>-3.1909661770346802</v>
      </c>
      <c r="CH93" s="14">
        <v>-0.60561800003051758</v>
      </c>
      <c r="CI93" s="14">
        <v>0.22758620977401733</v>
      </c>
      <c r="CJ93" s="14">
        <v>-0.19533851742744446</v>
      </c>
      <c r="CK93" s="14">
        <v>5.2570093423128128E-2</v>
      </c>
      <c r="CL93" s="14">
        <v>-8.1112394109368324E-3</v>
      </c>
      <c r="CM93" s="15">
        <v>-0.86083561182022095</v>
      </c>
      <c r="CN93" s="15">
        <v>-0.14654099941253662</v>
      </c>
      <c r="CO93" s="15">
        <v>-0.22489835321903229</v>
      </c>
      <c r="CP93" s="15">
        <v>-0.14086818695068359</v>
      </c>
      <c r="CQ93" s="15">
        <v>0.15840558707714081</v>
      </c>
      <c r="CR93">
        <v>53.356734561071249</v>
      </c>
      <c r="CS93">
        <v>5.044013907305632</v>
      </c>
      <c r="CT93">
        <v>0.40805223068552776</v>
      </c>
      <c r="CU93" s="14">
        <v>-0.10578229073435068</v>
      </c>
      <c r="CV93" s="15">
        <v>-0.24294751286506652</v>
      </c>
      <c r="CW93">
        <v>0.06</v>
      </c>
      <c r="CX93" t="e">
        <v>#VALUE!</v>
      </c>
      <c r="CY93" t="s">
        <v>1957</v>
      </c>
      <c r="CZ93">
        <v>-0.10578229073435068</v>
      </c>
      <c r="DA93">
        <v>91.691961507403803</v>
      </c>
      <c r="DB93" t="s">
        <v>4593</v>
      </c>
      <c r="DC93">
        <v>-0.10049317619763314</v>
      </c>
      <c r="DD93">
        <v>45.845980753701902</v>
      </c>
      <c r="DE93" t="s">
        <v>4594</v>
      </c>
      <c r="DF93">
        <v>-9.3088415846228595E-2</v>
      </c>
      <c r="DG93">
        <v>27.507588452221142</v>
      </c>
      <c r="DH93" t="s">
        <v>4595</v>
      </c>
      <c r="DI93">
        <v>-8.4625832587480548E-2</v>
      </c>
      <c r="DJ93">
        <v>13.753794226110571</v>
      </c>
      <c r="DK93" t="s">
        <v>4596</v>
      </c>
      <c r="DL93">
        <v>-7.4047603514045476E-2</v>
      </c>
      <c r="DM93">
        <v>6480900</v>
      </c>
      <c r="DN93">
        <v>-0.10578229073435068</v>
      </c>
      <c r="DO93">
        <v>1782739300</v>
      </c>
      <c r="DP93">
        <v>751161090</v>
      </c>
      <c r="DQ93">
        <v>2382</v>
      </c>
      <c r="DR93">
        <v>1.309684985452132</v>
      </c>
      <c r="DS93">
        <v>-2.9480186641696138</v>
      </c>
      <c r="DT93" s="16">
        <v>-0.75666666666666671</v>
      </c>
      <c r="DU93">
        <v>-1.2649999999999999</v>
      </c>
      <c r="DV93">
        <v>-2.0216666666666665</v>
      </c>
      <c r="DW93">
        <v>4.7638483965014577</v>
      </c>
      <c r="DX93">
        <v>0.29731298129812977</v>
      </c>
      <c r="DY93">
        <v>4.1278017524784545</v>
      </c>
      <c r="DZ93">
        <v>2897</v>
      </c>
      <c r="EA93">
        <v>4.0553474125704145</v>
      </c>
      <c r="EB93">
        <v>4</v>
      </c>
      <c r="EC93">
        <v>0.16729624999999998</v>
      </c>
      <c r="ED93">
        <v>0.99990000000000001</v>
      </c>
      <c r="EE93" s="17">
        <v>8.201E-2</v>
      </c>
      <c r="EF93">
        <v>0.11971</v>
      </c>
      <c r="EG93">
        <v>13.16731298129813</v>
      </c>
      <c r="EH93">
        <v>-1</v>
      </c>
      <c r="EI93">
        <v>0</v>
      </c>
      <c r="EJ93">
        <v>0</v>
      </c>
      <c r="EK93" s="19">
        <v>45470</v>
      </c>
      <c r="EL93" s="20">
        <v>-0.75</v>
      </c>
      <c r="EM93" s="20">
        <v>-5.54</v>
      </c>
      <c r="EN93" s="20">
        <v>1.01</v>
      </c>
      <c r="EO93" s="20">
        <v>2.58</v>
      </c>
      <c r="EP93" s="20">
        <v>-3.77</v>
      </c>
    </row>
    <row r="94" spans="1:146" ht="84" x14ac:dyDescent="0.25">
      <c r="A94" s="7"/>
      <c r="B94" s="7"/>
      <c r="C94" s="7" t="str">
        <f>""&amp;CHAR(10)&amp;Basic_Fundamental_Information_Constructure(F94)&amp;CHAR(10)&amp;Basic_Fundamental_Information_Concatenate("")</f>
        <v xml:space="preserve">
市值51.336亿, 利润3034.89万; PE22.71; 平均PE64.72; 平均PEG2.34, PB4.43; ROIC17.4433%; ROE17.11%; 股利率.6233%; 毛利34.6833%; 净利20.4567%; 上一年度营收增34.78%, 利润增-79.21%; 当季营收增-27.33%, 利润增-50.16%; 过往5年营收增27.68%, 利润增9.75%
Income profile:
</v>
      </c>
      <c r="D94" t="s">
        <v>989</v>
      </c>
      <c r="E94" t="s">
        <v>990</v>
      </c>
      <c r="F94">
        <v>64.17</v>
      </c>
      <c r="G94">
        <v>-1.44</v>
      </c>
      <c r="H94" t="s">
        <v>4597</v>
      </c>
      <c r="I94">
        <v>5133600000</v>
      </c>
      <c r="J94">
        <v>22.71</v>
      </c>
      <c r="K94">
        <v>4.43</v>
      </c>
      <c r="L94" t="s">
        <v>172</v>
      </c>
      <c r="M94" t="s">
        <v>1936</v>
      </c>
      <c r="N94" t="s">
        <v>4598</v>
      </c>
      <c r="O94" t="s">
        <v>295</v>
      </c>
      <c r="P94">
        <v>31.73</v>
      </c>
      <c r="Q94" t="s">
        <v>2050</v>
      </c>
      <c r="R94">
        <v>64788926</v>
      </c>
      <c r="S94" s="5">
        <v>0.58599999999999997</v>
      </c>
      <c r="T94" t="s">
        <v>4599</v>
      </c>
      <c r="U94">
        <v>35607578</v>
      </c>
      <c r="V94">
        <v>80000000</v>
      </c>
      <c r="W94">
        <v>1.25</v>
      </c>
      <c r="X94">
        <v>0.17</v>
      </c>
      <c r="Y94">
        <v>26.82</v>
      </c>
      <c r="Z94" t="s">
        <v>683</v>
      </c>
      <c r="AA94" t="s">
        <v>93</v>
      </c>
      <c r="AB94" t="s">
        <v>4600</v>
      </c>
      <c r="AC94" t="s">
        <v>4601</v>
      </c>
      <c r="AD94" t="s">
        <v>19</v>
      </c>
      <c r="AE94">
        <v>-3457483</v>
      </c>
      <c r="AF94" t="s">
        <v>21</v>
      </c>
      <c r="AG94">
        <v>0.26</v>
      </c>
      <c r="AH94" t="s">
        <v>4602</v>
      </c>
      <c r="AI94" t="s">
        <v>402</v>
      </c>
      <c r="AJ94" t="s">
        <v>4603</v>
      </c>
      <c r="AK94" t="s">
        <v>4604</v>
      </c>
      <c r="AL94" t="s">
        <v>4605</v>
      </c>
      <c r="AM94" t="s">
        <v>19</v>
      </c>
      <c r="AN94" t="s">
        <v>4606</v>
      </c>
      <c r="AO94" t="s">
        <v>19</v>
      </c>
      <c r="AP94" t="s">
        <v>216</v>
      </c>
      <c r="AQ94" t="s">
        <v>391</v>
      </c>
      <c r="AR94" t="s">
        <v>19</v>
      </c>
      <c r="AS94" t="s">
        <v>413</v>
      </c>
      <c r="AT94" t="s">
        <v>19</v>
      </c>
      <c r="AU94" t="s">
        <v>4607</v>
      </c>
      <c r="AV94" t="s">
        <v>4608</v>
      </c>
      <c r="AW94" t="s">
        <v>19</v>
      </c>
      <c r="AX94" t="s">
        <v>1311</v>
      </c>
      <c r="AY94" t="s">
        <v>1054</v>
      </c>
      <c r="AZ94" t="s">
        <v>829</v>
      </c>
      <c r="BA94" t="s">
        <v>120</v>
      </c>
      <c r="BB94" t="s">
        <v>402</v>
      </c>
      <c r="BC94" t="s">
        <v>1303</v>
      </c>
      <c r="BD94" t="s">
        <v>65</v>
      </c>
      <c r="BE94" t="s">
        <v>991</v>
      </c>
      <c r="BF94" t="s">
        <v>992</v>
      </c>
      <c r="BG94" t="s">
        <v>993</v>
      </c>
      <c r="BH94" t="s">
        <v>1200</v>
      </c>
      <c r="BI94" t="s">
        <v>393</v>
      </c>
      <c r="BJ94" t="s">
        <v>1311</v>
      </c>
      <c r="BK94" t="s">
        <v>53</v>
      </c>
      <c r="BL94" t="s">
        <v>462</v>
      </c>
      <c r="BM94" t="s">
        <v>1303</v>
      </c>
      <c r="BN94">
        <v>14.6</v>
      </c>
      <c r="BO94">
        <v>16.940000000000001</v>
      </c>
      <c r="BP94">
        <v>20.79</v>
      </c>
      <c r="BQ94">
        <v>15.31</v>
      </c>
      <c r="BR94">
        <v>17.14</v>
      </c>
      <c r="BS94">
        <v>18.88</v>
      </c>
      <c r="BT94" t="s">
        <v>2032</v>
      </c>
      <c r="BU94" t="s">
        <v>3125</v>
      </c>
      <c r="BV94">
        <v>36.25</v>
      </c>
      <c r="BW94">
        <v>33.15</v>
      </c>
      <c r="BX94">
        <v>34.65</v>
      </c>
      <c r="BY94">
        <v>21.89</v>
      </c>
      <c r="BZ94">
        <v>19.7</v>
      </c>
      <c r="CA94">
        <v>19.78</v>
      </c>
      <c r="CB94">
        <v>-7.17</v>
      </c>
      <c r="CC94">
        <v>-24.4</v>
      </c>
      <c r="CD94" t="s">
        <v>4609</v>
      </c>
      <c r="CE94" t="s">
        <v>4610</v>
      </c>
      <c r="CF94" s="14">
        <v>-0.27327327327327328</v>
      </c>
      <c r="CG94" s="15">
        <v>-0.50162364615384614</v>
      </c>
      <c r="CH94" s="14">
        <v>0.34776726365089417</v>
      </c>
      <c r="CI94" s="14">
        <v>0.26541095972061157</v>
      </c>
      <c r="CJ94" s="14">
        <v>0.71260994672775269</v>
      </c>
      <c r="CK94" s="14">
        <v>3.0211480334401131E-2</v>
      </c>
      <c r="CL94" s="14">
        <v>2.7950311079621315E-2</v>
      </c>
      <c r="CM94" s="15">
        <v>-0.79213082790374756</v>
      </c>
      <c r="CN94" s="15">
        <v>0.25862067937850952</v>
      </c>
      <c r="CO94" s="15">
        <v>0.74816745519638062</v>
      </c>
      <c r="CP94" s="15">
        <v>1.7277803272008896E-2</v>
      </c>
      <c r="CQ94" s="15">
        <v>0.25554260611534119</v>
      </c>
      <c r="CR94">
        <v>64.724949015990234</v>
      </c>
      <c r="CS94">
        <v>2.3384136282361214</v>
      </c>
      <c r="CT94">
        <v>0.62334424185756587</v>
      </c>
      <c r="CU94" s="14">
        <v>0.27678999230265616</v>
      </c>
      <c r="CV94" s="15">
        <v>9.7495543211698538E-2</v>
      </c>
      <c r="CW94">
        <v>0.06</v>
      </c>
      <c r="CX94">
        <v>117.50795665537854</v>
      </c>
      <c r="CY94">
        <v>36555822.450371772</v>
      </c>
      <c r="CZ94">
        <v>0.27678999230265616</v>
      </c>
      <c r="DA94">
        <v>32.897839481000261</v>
      </c>
      <c r="DB94">
        <v>130573924.23842515</v>
      </c>
      <c r="DC94">
        <v>0.26295049268752335</v>
      </c>
      <c r="DD94">
        <v>12.999180531919054</v>
      </c>
      <c r="DE94">
        <v>330451599.57985795</v>
      </c>
      <c r="DF94">
        <v>0.24357519322633742</v>
      </c>
      <c r="DG94">
        <v>5.9823743854793721</v>
      </c>
      <c r="DH94">
        <v>718042657.18080604</v>
      </c>
      <c r="DI94">
        <v>0.22143199384212495</v>
      </c>
      <c r="DJ94">
        <v>1.6233917651498349</v>
      </c>
      <c r="DK94">
        <v>2646064919.2732153</v>
      </c>
      <c r="DL94">
        <v>0.1937529946118593</v>
      </c>
      <c r="DM94">
        <v>30348900</v>
      </c>
      <c r="DN94">
        <v>0.27678999230265616</v>
      </c>
      <c r="DO94">
        <v>4295600000</v>
      </c>
      <c r="DP94">
        <v>714316740</v>
      </c>
      <c r="DQ94">
        <v>2420</v>
      </c>
      <c r="DR94">
        <v>-0.55006326557592944</v>
      </c>
      <c r="DS94">
        <v>-0.59911918936554465</v>
      </c>
      <c r="DT94" s="16">
        <v>0.14333333333333331</v>
      </c>
      <c r="DU94">
        <v>-3.666666666666666E-2</v>
      </c>
      <c r="DV94">
        <v>0.10666666666666666</v>
      </c>
      <c r="DW94">
        <v>-9.293852459016394</v>
      </c>
      <c r="DX94">
        <v>0.44619014127720802</v>
      </c>
      <c r="DY94">
        <v>-9.0605894800392441</v>
      </c>
      <c r="DZ94">
        <v>2910</v>
      </c>
      <c r="EA94">
        <v>-9.0260854904278549</v>
      </c>
      <c r="EB94">
        <v>9</v>
      </c>
      <c r="EC94">
        <v>5.4602499999999998E-2</v>
      </c>
      <c r="ED94">
        <v>0.26481625000000003</v>
      </c>
      <c r="EE94" s="17">
        <v>7.3910000000000017E-2</v>
      </c>
      <c r="EF94">
        <v>6.4609999999999987E-2</v>
      </c>
      <c r="EG94">
        <v>24.206190141277208</v>
      </c>
      <c r="EH94">
        <v>-1</v>
      </c>
      <c r="EI94">
        <v>0</v>
      </c>
      <c r="EJ94">
        <v>0</v>
      </c>
      <c r="EK94" s="19">
        <v>45470</v>
      </c>
      <c r="EL94" s="20">
        <v>-1.43</v>
      </c>
      <c r="EM94" s="20">
        <v>-7.14</v>
      </c>
      <c r="EN94" s="20">
        <v>-2.2799999999999998</v>
      </c>
      <c r="EO94" s="20">
        <v>6.03</v>
      </c>
      <c r="EP94" s="20">
        <v>0.93</v>
      </c>
    </row>
    <row r="95" spans="1:146" ht="84" x14ac:dyDescent="0.25">
      <c r="A95" s="7"/>
      <c r="B95" s="7"/>
      <c r="C95" s="7" t="str">
        <f>""&amp;CHAR(10)&amp;Basic_Fundamental_Information_Constructure(F95)&amp;CHAR(10)&amp;Basic_Fundamental_Information_Concatenate("")</f>
        <v xml:space="preserve">
市值37.789625亿, 利润32.00亿; PE25.81; 平均PE5.76; 平均PEG.03, PB2.28; ROIC5.52%; ROE7.5333%; 股利率2.2371%; 毛利28.6433%; 净利6.06%; 上一年度营收增1038.31%, 利润增3641.86%; 当季营收增-85.99%, 利润增-91.53%; 过往5年营收增209.69%, 利润增722.83%
Income profile:
</v>
      </c>
      <c r="D95" t="s">
        <v>994</v>
      </c>
      <c r="E95" t="s">
        <v>995</v>
      </c>
      <c r="F95">
        <v>8.94</v>
      </c>
      <c r="G95">
        <v>0.79</v>
      </c>
      <c r="H95" t="s">
        <v>4611</v>
      </c>
      <c r="I95">
        <v>3778962500</v>
      </c>
      <c r="J95">
        <v>25.81</v>
      </c>
      <c r="K95">
        <v>2.2799999999999998</v>
      </c>
      <c r="L95" t="s">
        <v>172</v>
      </c>
      <c r="M95" t="s">
        <v>967</v>
      </c>
      <c r="N95" t="s">
        <v>2140</v>
      </c>
      <c r="O95" t="s">
        <v>164</v>
      </c>
      <c r="P95">
        <v>26.55</v>
      </c>
      <c r="Q95" t="s">
        <v>4612</v>
      </c>
      <c r="R95">
        <v>40747357</v>
      </c>
      <c r="S95" s="5">
        <v>0.16370000000000001</v>
      </c>
      <c r="T95" t="s">
        <v>4613</v>
      </c>
      <c r="U95">
        <v>185946710</v>
      </c>
      <c r="V95">
        <v>422702740</v>
      </c>
      <c r="W95">
        <v>1.8</v>
      </c>
      <c r="X95">
        <v>0.18</v>
      </c>
      <c r="Y95">
        <v>8.67</v>
      </c>
      <c r="Z95" t="s">
        <v>541</v>
      </c>
      <c r="AA95" t="s">
        <v>592</v>
      </c>
      <c r="AB95" t="s">
        <v>4614</v>
      </c>
      <c r="AC95" t="s">
        <v>4615</v>
      </c>
      <c r="AD95" t="s">
        <v>19</v>
      </c>
      <c r="AE95">
        <v>-4533469</v>
      </c>
      <c r="AF95" t="s">
        <v>4616</v>
      </c>
      <c r="AG95">
        <v>2245.3000000000002</v>
      </c>
      <c r="AH95" t="s">
        <v>4617</v>
      </c>
      <c r="AI95" t="s">
        <v>2488</v>
      </c>
      <c r="AJ95" t="s">
        <v>4618</v>
      </c>
      <c r="AK95" t="s">
        <v>4619</v>
      </c>
      <c r="AL95" t="s">
        <v>4620</v>
      </c>
      <c r="AM95" t="s">
        <v>19</v>
      </c>
      <c r="AN95" t="s">
        <v>4621</v>
      </c>
      <c r="AO95" t="s">
        <v>1117</v>
      </c>
      <c r="AP95" t="s">
        <v>607</v>
      </c>
      <c r="AQ95" t="s">
        <v>71</v>
      </c>
      <c r="AR95" t="s">
        <v>4622</v>
      </c>
      <c r="AS95" t="s">
        <v>662</v>
      </c>
      <c r="AT95" t="s">
        <v>242</v>
      </c>
      <c r="AU95" t="s">
        <v>4623</v>
      </c>
      <c r="AV95" t="s">
        <v>4624</v>
      </c>
      <c r="AW95" t="s">
        <v>148</v>
      </c>
      <c r="AX95" t="s">
        <v>584</v>
      </c>
      <c r="AY95" t="s">
        <v>1661</v>
      </c>
      <c r="AZ95" t="s">
        <v>996</v>
      </c>
      <c r="BA95" t="s">
        <v>997</v>
      </c>
      <c r="BB95" t="s">
        <v>22</v>
      </c>
      <c r="BC95" t="s">
        <v>2250</v>
      </c>
      <c r="BD95" t="s">
        <v>65</v>
      </c>
      <c r="BE95" t="s">
        <v>26</v>
      </c>
      <c r="BF95" t="s">
        <v>53</v>
      </c>
      <c r="BG95" t="s">
        <v>650</v>
      </c>
      <c r="BH95" t="s">
        <v>4625</v>
      </c>
      <c r="BI95" t="s">
        <v>4626</v>
      </c>
      <c r="BJ95" t="s">
        <v>584</v>
      </c>
      <c r="BK95" t="s">
        <v>650</v>
      </c>
      <c r="BL95" t="s">
        <v>1580</v>
      </c>
      <c r="BM95" t="s">
        <v>2250</v>
      </c>
      <c r="BN95">
        <v>5.7</v>
      </c>
      <c r="BO95">
        <v>4.22</v>
      </c>
      <c r="BP95">
        <v>6.64</v>
      </c>
      <c r="BQ95">
        <v>7.87</v>
      </c>
      <c r="BR95">
        <v>5.55</v>
      </c>
      <c r="BS95">
        <v>9.18</v>
      </c>
      <c r="BT95" t="s">
        <v>1989</v>
      </c>
      <c r="BU95" t="s">
        <v>3084</v>
      </c>
      <c r="BV95">
        <v>31.02</v>
      </c>
      <c r="BW95">
        <v>26.79</v>
      </c>
      <c r="BX95">
        <v>28.12</v>
      </c>
      <c r="BY95">
        <v>6.6</v>
      </c>
      <c r="BZ95">
        <v>4.4400000000000004</v>
      </c>
      <c r="CA95">
        <v>7.14</v>
      </c>
      <c r="CB95">
        <v>-3.14</v>
      </c>
      <c r="CC95">
        <v>-12.95</v>
      </c>
      <c r="CD95" t="s">
        <v>4627</v>
      </c>
      <c r="CE95" t="s">
        <v>4628</v>
      </c>
      <c r="CF95" s="14">
        <v>-0.85987435127014478</v>
      </c>
      <c r="CG95" s="15">
        <v>-0.91528616008316011</v>
      </c>
      <c r="CH95" s="14">
        <v>10.383134841918945</v>
      </c>
      <c r="CI95" s="14">
        <v>8.0073386430740356E-2</v>
      </c>
      <c r="CJ95" s="14">
        <v>0.10915249586105347</v>
      </c>
      <c r="CK95" s="14">
        <v>-5.8109793812036514E-2</v>
      </c>
      <c r="CL95" s="14">
        <v>-2.9739776626229286E-2</v>
      </c>
      <c r="CM95" s="15">
        <v>36.418582916259766</v>
      </c>
      <c r="CN95" s="15">
        <v>-0.2627672553062439</v>
      </c>
      <c r="CO95" s="15">
        <v>-0.3926701545715332</v>
      </c>
      <c r="CP95" s="15">
        <v>-5.445544421672821E-2</v>
      </c>
      <c r="CQ95" s="15">
        <v>0.43262410163879395</v>
      </c>
      <c r="CR95">
        <v>5.7613176305336093</v>
      </c>
      <c r="CS95">
        <v>2.7475375561313638E-2</v>
      </c>
      <c r="CT95">
        <v>2.2371364653243848</v>
      </c>
      <c r="CU95" s="14">
        <v>2.0969022307544947</v>
      </c>
      <c r="CV95" s="15">
        <v>7.2282628327608105</v>
      </c>
      <c r="CW95">
        <v>0.06</v>
      </c>
      <c r="CX95">
        <v>0.34419881504147581</v>
      </c>
      <c r="CY95">
        <v>9349138809.8248882</v>
      </c>
      <c r="CZ95">
        <v>2.0969022307544947</v>
      </c>
      <c r="DA95">
        <v>3.0216346857815872E-2</v>
      </c>
      <c r="DB95">
        <v>106497404042.32982</v>
      </c>
      <c r="DC95">
        <v>1.9920571192167698</v>
      </c>
      <c r="DD95">
        <v>1.6914731358243329E-3</v>
      </c>
      <c r="DE95">
        <v>1902461488654.8218</v>
      </c>
      <c r="DF95">
        <v>1.8452739630639554</v>
      </c>
      <c r="DG95">
        <v>5.7453662586218463E-5</v>
      </c>
      <c r="DH95">
        <v>56009701647321.953</v>
      </c>
      <c r="DI95">
        <v>1.6775217846035959</v>
      </c>
      <c r="DJ95">
        <v>2.6210374405993438E-8</v>
      </c>
      <c r="DK95">
        <v>1.2277438124898206E+17</v>
      </c>
      <c r="DL95">
        <v>1.4678315615281461</v>
      </c>
      <c r="DM95">
        <v>3200000000</v>
      </c>
      <c r="DN95">
        <v>2.0969022307544947</v>
      </c>
      <c r="DO95">
        <v>3217962500</v>
      </c>
      <c r="DP95">
        <v>753871900</v>
      </c>
      <c r="DQ95">
        <v>2428</v>
      </c>
      <c r="DR95">
        <v>-2.9567765820246397</v>
      </c>
      <c r="DS95">
        <v>-8.1435489928439715</v>
      </c>
      <c r="DT95" s="16">
        <v>-0.14000000000000004</v>
      </c>
      <c r="DU95">
        <v>-0.32333333333333336</v>
      </c>
      <c r="DV95">
        <v>-0.46333333333333337</v>
      </c>
      <c r="DW95">
        <v>-8.2424710424710419</v>
      </c>
      <c r="DX95">
        <v>0.37455295023525093</v>
      </c>
      <c r="DY95">
        <v>-8.0398993253852264</v>
      </c>
      <c r="DZ95">
        <v>2013</v>
      </c>
      <c r="EA95">
        <v>-8.0241816459330817</v>
      </c>
      <c r="EB95">
        <v>8</v>
      </c>
      <c r="EC95">
        <v>3.2736717060315244E-2</v>
      </c>
      <c r="ED95">
        <v>0.19894335201139221</v>
      </c>
      <c r="EE95" s="17">
        <v>6.0800999999999998</v>
      </c>
      <c r="EF95">
        <v>7.13</v>
      </c>
      <c r="EG95">
        <v>21.164552950235251</v>
      </c>
      <c r="EH95" t="s">
        <v>2857</v>
      </c>
      <c r="EI95">
        <v>0</v>
      </c>
      <c r="EJ95">
        <v>0</v>
      </c>
      <c r="EK95" s="19">
        <v>45470</v>
      </c>
      <c r="EL95" s="20">
        <v>3.58</v>
      </c>
      <c r="EM95" s="20">
        <v>-7.45</v>
      </c>
      <c r="EN95" s="20">
        <v>0.66</v>
      </c>
      <c r="EO95" s="20">
        <v>19.989999999999998</v>
      </c>
      <c r="EP95" s="20">
        <v>19.989999999999998</v>
      </c>
    </row>
    <row r="96" spans="1:146" ht="84" x14ac:dyDescent="0.25">
      <c r="A96" s="7"/>
      <c r="B96" s="7"/>
      <c r="C96" s="7" t="str">
        <f>""&amp;CHAR(10)&amp;Basic_Fundamental_Information_Constructure(F96)&amp;CHAR(10)&amp;Basic_Fundamental_Information_Concatenate("")</f>
        <v xml:space="preserve">
市值23.497089亿, 利润28.48亿; PE; 平均PE4.62; 平均PEG0, PB1.8; ROIC2.99%; ROE2.9067%; 股利率.5838%; 毛利17.0067%; 净利1.5567%; 上一年度营收增32146.67%, 利润增16098.02%; 当季营收增-99.68%, 利润增-100.69%; 过往5年营收增6436.8%, 利润增3200.1%
Income profile:
</v>
      </c>
      <c r="D96" t="s">
        <v>998</v>
      </c>
      <c r="E96" t="s">
        <v>999</v>
      </c>
      <c r="F96">
        <v>17.13</v>
      </c>
      <c r="G96">
        <v>0.59</v>
      </c>
      <c r="H96" t="s">
        <v>4629</v>
      </c>
      <c r="I96">
        <v>2349708900</v>
      </c>
      <c r="K96">
        <v>1.8</v>
      </c>
      <c r="L96" t="s">
        <v>172</v>
      </c>
      <c r="M96" t="s">
        <v>1999</v>
      </c>
      <c r="N96" t="s">
        <v>2694</v>
      </c>
      <c r="O96" t="s">
        <v>149</v>
      </c>
      <c r="P96">
        <v>-0.54</v>
      </c>
      <c r="Q96" t="s">
        <v>4630</v>
      </c>
      <c r="R96">
        <v>-5910585</v>
      </c>
      <c r="S96" s="5">
        <v>-2.3029999999999999</v>
      </c>
      <c r="T96" t="s">
        <v>2767</v>
      </c>
      <c r="U96">
        <v>74169230</v>
      </c>
      <c r="V96">
        <v>137169230</v>
      </c>
      <c r="W96">
        <v>1.61</v>
      </c>
      <c r="X96">
        <v>0.08</v>
      </c>
      <c r="Y96">
        <v>-2.6</v>
      </c>
      <c r="Z96" t="s">
        <v>1067</v>
      </c>
      <c r="AA96" t="s">
        <v>241</v>
      </c>
      <c r="AB96" t="s">
        <v>4631</v>
      </c>
      <c r="AC96" t="s">
        <v>4632</v>
      </c>
      <c r="AD96" t="s">
        <v>19</v>
      </c>
      <c r="AE96">
        <v>4372900</v>
      </c>
      <c r="AF96" t="s">
        <v>4633</v>
      </c>
      <c r="AG96" t="s">
        <v>4634</v>
      </c>
      <c r="AH96" t="s">
        <v>4635</v>
      </c>
      <c r="AI96" t="s">
        <v>438</v>
      </c>
      <c r="AJ96" t="s">
        <v>4636</v>
      </c>
      <c r="AK96" t="s">
        <v>4637</v>
      </c>
      <c r="AL96" t="s">
        <v>4638</v>
      </c>
      <c r="AM96" t="s">
        <v>19</v>
      </c>
      <c r="AN96" t="s">
        <v>279</v>
      </c>
      <c r="AO96" t="s">
        <v>162</v>
      </c>
      <c r="AP96" t="s">
        <v>4639</v>
      </c>
      <c r="AQ96" t="s">
        <v>415</v>
      </c>
      <c r="AR96" t="s">
        <v>19</v>
      </c>
      <c r="AS96" t="s">
        <v>2488</v>
      </c>
      <c r="AT96" t="s">
        <v>190</v>
      </c>
      <c r="AU96" t="s">
        <v>4640</v>
      </c>
      <c r="AV96" t="s">
        <v>4641</v>
      </c>
      <c r="AW96" t="s">
        <v>4642</v>
      </c>
      <c r="AX96" t="s">
        <v>2251</v>
      </c>
      <c r="AY96" t="s">
        <v>1562</v>
      </c>
      <c r="AZ96" t="s">
        <v>314</v>
      </c>
      <c r="BA96" t="s">
        <v>1001</v>
      </c>
      <c r="BB96" t="s">
        <v>633</v>
      </c>
      <c r="BC96" t="s">
        <v>4643</v>
      </c>
      <c r="BD96" t="s">
        <v>1662</v>
      </c>
      <c r="BE96" t="s">
        <v>1000</v>
      </c>
      <c r="BF96" t="s">
        <v>1002</v>
      </c>
      <c r="BG96" t="s">
        <v>1003</v>
      </c>
      <c r="BH96" t="s">
        <v>2825</v>
      </c>
      <c r="BI96" t="s">
        <v>4644</v>
      </c>
      <c r="BJ96" t="s">
        <v>2251</v>
      </c>
      <c r="BK96" t="s">
        <v>4645</v>
      </c>
      <c r="BL96" t="s">
        <v>4646</v>
      </c>
      <c r="BM96" t="s">
        <v>4643</v>
      </c>
      <c r="BN96">
        <v>0.68</v>
      </c>
      <c r="BO96">
        <v>3.17</v>
      </c>
      <c r="BP96">
        <v>5.12</v>
      </c>
      <c r="BQ96">
        <v>0.25</v>
      </c>
      <c r="BR96">
        <v>3.17</v>
      </c>
      <c r="BS96">
        <v>5.3</v>
      </c>
      <c r="BT96" t="s">
        <v>2003</v>
      </c>
      <c r="BU96" t="s">
        <v>3125</v>
      </c>
      <c r="BV96">
        <v>15.65</v>
      </c>
      <c r="BW96">
        <v>16.27</v>
      </c>
      <c r="BX96">
        <v>19.100000000000001</v>
      </c>
      <c r="BY96">
        <v>-0.99</v>
      </c>
      <c r="BZ96">
        <v>1.98</v>
      </c>
      <c r="CA96">
        <v>3.68</v>
      </c>
      <c r="CB96">
        <v>-22.1</v>
      </c>
      <c r="CC96">
        <v>-30.56</v>
      </c>
      <c r="CD96" t="s">
        <v>4647</v>
      </c>
      <c r="CE96" t="s">
        <v>4648</v>
      </c>
      <c r="CF96" s="14">
        <v>-0.99677266099834538</v>
      </c>
      <c r="CG96" s="15">
        <v>-1.0069210597189695</v>
      </c>
      <c r="CH96" s="14">
        <v>321.4666748046875</v>
      </c>
      <c r="CI96" s="14">
        <v>0.1111111119389534</v>
      </c>
      <c r="CJ96" s="14">
        <v>8.8372096419334412E-2</v>
      </c>
      <c r="CK96" s="14">
        <v>4.0322579443454742E-2</v>
      </c>
      <c r="CL96" s="14">
        <v>0.13345521688461304</v>
      </c>
      <c r="CM96" s="15">
        <v>160.98016357421875</v>
      </c>
      <c r="CN96" s="15">
        <v>-0.32201194763183594</v>
      </c>
      <c r="CO96" s="15">
        <v>-0.45047000050544739</v>
      </c>
      <c r="CP96" s="15">
        <v>-0.10149916261434555</v>
      </c>
      <c r="CQ96" s="15">
        <v>-0.1014128252863884</v>
      </c>
      <c r="CR96">
        <v>4.6228631856457074</v>
      </c>
      <c r="CS96">
        <v>7.1819290760482797E-4</v>
      </c>
      <c r="CT96">
        <v>0.58377116170461185</v>
      </c>
      <c r="CU96" s="14">
        <v>64.367987161874765</v>
      </c>
      <c r="CV96" s="15">
        <v>32.000953927636147</v>
      </c>
      <c r="CW96">
        <v>0.06</v>
      </c>
      <c r="CX96">
        <v>1.0372411743220847E-2</v>
      </c>
      <c r="CY96">
        <v>175630214563.22577</v>
      </c>
      <c r="CZ96">
        <v>64.367987161874765</v>
      </c>
      <c r="DA96">
        <v>3.1194133753841443E-6</v>
      </c>
      <c r="DB96">
        <v>583990860068574</v>
      </c>
      <c r="DC96">
        <v>61.149587803781024</v>
      </c>
      <c r="DD96">
        <v>2.4277098730172839E-11</v>
      </c>
      <c r="DE96">
        <v>7.5038163342635565E+19</v>
      </c>
      <c r="DF96">
        <v>56.643828702449795</v>
      </c>
      <c r="DG96">
        <v>7.06332900118828E-18</v>
      </c>
      <c r="DH96">
        <v>2.5791080943469144E+26</v>
      </c>
      <c r="DI96">
        <v>51.494389729499815</v>
      </c>
      <c r="DJ96">
        <v>1.0862254300657424E-33</v>
      </c>
      <c r="DK96">
        <v>1.6771002128809885E+42</v>
      </c>
      <c r="DL96">
        <v>45.057591013312333</v>
      </c>
      <c r="DM96">
        <v>2848000000</v>
      </c>
      <c r="DN96">
        <v>64.367987161874765</v>
      </c>
      <c r="DO96">
        <v>1821708900</v>
      </c>
      <c r="DP96">
        <v>968455600</v>
      </c>
      <c r="DQ96">
        <v>2448</v>
      </c>
      <c r="DR96">
        <v>-65.364759822873111</v>
      </c>
      <c r="DS96">
        <v>-33.007874987355116</v>
      </c>
      <c r="DT96" s="16">
        <v>-0.14000000000000004</v>
      </c>
      <c r="DU96">
        <v>-0.88166666666666671</v>
      </c>
      <c r="DV96">
        <v>-1.0216666666666667</v>
      </c>
      <c r="DW96">
        <v>-9.7231675392670152</v>
      </c>
      <c r="DX96">
        <v>0.30642049736247173</v>
      </c>
      <c r="DY96">
        <v>-9.1782033047025724</v>
      </c>
      <c r="DZ96">
        <v>1418</v>
      </c>
      <c r="EA96">
        <v>-9.1287527594837368</v>
      </c>
      <c r="EB96">
        <v>9</v>
      </c>
      <c r="EC96">
        <v>0.11776547845314872</v>
      </c>
      <c r="ED96">
        <v>0.47790455629152401</v>
      </c>
      <c r="EE96" s="17">
        <v>1.0630999999999999</v>
      </c>
      <c r="EF96">
        <v>1.0450999999999999</v>
      </c>
      <c r="EG96">
        <v>6.2464204973624717</v>
      </c>
      <c r="EH96" t="s">
        <v>1832</v>
      </c>
      <c r="EI96">
        <v>0</v>
      </c>
      <c r="EJ96">
        <v>1</v>
      </c>
      <c r="EK96" s="19">
        <v>45470</v>
      </c>
      <c r="EL96" s="20">
        <v>0.08</v>
      </c>
      <c r="EM96" s="20">
        <v>-3.87</v>
      </c>
      <c r="EN96" s="20">
        <v>1.37</v>
      </c>
      <c r="EO96" s="20">
        <v>3.64</v>
      </c>
      <c r="EP96" s="20">
        <v>-1.8</v>
      </c>
    </row>
    <row r="97" spans="1:146" ht="84" x14ac:dyDescent="0.25">
      <c r="A97" s="7"/>
      <c r="B97" s="7"/>
      <c r="C97" s="7" t="str">
        <f>""&amp;CHAR(10)&amp;Basic_Fundamental_Information_Constructure(F97)&amp;CHAR(10)&amp;Basic_Fundamental_Information_Concatenate("")</f>
        <v xml:space="preserve">
市值31.722888亿, 利润703.05万; PE26.77; 平均PE42.65; 平均PEG2.36, PB2.68; ROIC10.35%; ROE10.0633%; 股利率3.4351%; 毛利32.2967%; 净利18.3233%; 上一年度营收增19.25%, 利润增-92.54%; 当季营收增11.27%, 利润增2548.01%; 过往5年营收增18.03%, 利润增-3.98%
Income profile:
</v>
      </c>
      <c r="D97" t="s">
        <v>1004</v>
      </c>
      <c r="E97" t="s">
        <v>1005</v>
      </c>
      <c r="F97">
        <v>13.1</v>
      </c>
      <c r="G97">
        <v>-2.5299999999999998</v>
      </c>
      <c r="H97" t="s">
        <v>4649</v>
      </c>
      <c r="I97">
        <v>3172288800</v>
      </c>
      <c r="J97">
        <v>26.77</v>
      </c>
      <c r="K97">
        <v>2.68</v>
      </c>
      <c r="L97" t="s">
        <v>172</v>
      </c>
      <c r="M97" t="s">
        <v>66</v>
      </c>
      <c r="N97" t="s">
        <v>4650</v>
      </c>
      <c r="O97" t="s">
        <v>564</v>
      </c>
      <c r="P97">
        <v>20.22</v>
      </c>
      <c r="Q97" t="s">
        <v>1254</v>
      </c>
      <c r="R97">
        <v>35483276</v>
      </c>
      <c r="S97" s="5">
        <v>0.74919999999999998</v>
      </c>
      <c r="T97" t="s">
        <v>4651</v>
      </c>
      <c r="U97">
        <v>228551450</v>
      </c>
      <c r="V97">
        <v>242159450</v>
      </c>
      <c r="W97">
        <v>1.1499999999999999</v>
      </c>
      <c r="X97">
        <v>0.12</v>
      </c>
      <c r="Y97">
        <v>22.44</v>
      </c>
      <c r="Z97" t="s">
        <v>392</v>
      </c>
      <c r="AA97" t="s">
        <v>25</v>
      </c>
      <c r="AB97" t="s">
        <v>4652</v>
      </c>
      <c r="AC97" t="s">
        <v>4653</v>
      </c>
      <c r="AD97" t="s">
        <v>19</v>
      </c>
      <c r="AE97">
        <v>-375141</v>
      </c>
      <c r="AF97" t="s">
        <v>4654</v>
      </c>
      <c r="AG97" t="s">
        <v>4655</v>
      </c>
      <c r="AH97" t="s">
        <v>4656</v>
      </c>
      <c r="AI97" t="s">
        <v>155</v>
      </c>
      <c r="AJ97" t="s">
        <v>4657</v>
      </c>
      <c r="AK97" t="s">
        <v>4658</v>
      </c>
      <c r="AL97" t="s">
        <v>4659</v>
      </c>
      <c r="AM97" t="s">
        <v>19</v>
      </c>
      <c r="AN97" t="s">
        <v>4660</v>
      </c>
      <c r="AO97" t="s">
        <v>19</v>
      </c>
      <c r="AP97" t="s">
        <v>4661</v>
      </c>
      <c r="AQ97" t="s">
        <v>367</v>
      </c>
      <c r="AR97" t="s">
        <v>19</v>
      </c>
      <c r="AS97" t="s">
        <v>207</v>
      </c>
      <c r="AT97" t="s">
        <v>19</v>
      </c>
      <c r="AU97" t="s">
        <v>4662</v>
      </c>
      <c r="AV97" t="s">
        <v>4663</v>
      </c>
      <c r="AW97" t="s">
        <v>4664</v>
      </c>
      <c r="AX97" t="s">
        <v>1919</v>
      </c>
      <c r="AY97" t="s">
        <v>1054</v>
      </c>
      <c r="AZ97" t="s">
        <v>888</v>
      </c>
      <c r="BA97" t="s">
        <v>380</v>
      </c>
      <c r="BB97" t="s">
        <v>289</v>
      </c>
      <c r="BC97" t="s">
        <v>4665</v>
      </c>
      <c r="BD97" t="s">
        <v>65</v>
      </c>
      <c r="BE97" t="s">
        <v>23</v>
      </c>
      <c r="BF97" t="s">
        <v>1006</v>
      </c>
      <c r="BG97" t="s">
        <v>1007</v>
      </c>
      <c r="BH97" t="s">
        <v>793</v>
      </c>
      <c r="BI97" t="s">
        <v>457</v>
      </c>
      <c r="BJ97" t="s">
        <v>1919</v>
      </c>
      <c r="BK97" t="s">
        <v>25</v>
      </c>
      <c r="BL97" t="s">
        <v>4666</v>
      </c>
      <c r="BM97" t="s">
        <v>4665</v>
      </c>
      <c r="BN97">
        <v>6.15</v>
      </c>
      <c r="BO97">
        <v>8.3699999999999992</v>
      </c>
      <c r="BP97">
        <v>16.53</v>
      </c>
      <c r="BQ97">
        <v>6.19</v>
      </c>
      <c r="BR97">
        <v>8.5299999999999994</v>
      </c>
      <c r="BS97">
        <v>15.47</v>
      </c>
      <c r="BT97" t="s">
        <v>4667</v>
      </c>
      <c r="BU97" t="s">
        <v>3125</v>
      </c>
      <c r="BV97">
        <v>31.69</v>
      </c>
      <c r="BW97">
        <v>31.09</v>
      </c>
      <c r="BX97">
        <v>34.11</v>
      </c>
      <c r="BY97">
        <v>17.48</v>
      </c>
      <c r="BZ97">
        <v>17.57</v>
      </c>
      <c r="CA97">
        <v>19.920000000000002</v>
      </c>
      <c r="CB97">
        <v>-8.7100000000000009</v>
      </c>
      <c r="CC97">
        <v>-7.14</v>
      </c>
      <c r="CD97" t="s">
        <v>4668</v>
      </c>
      <c r="CE97" t="s">
        <v>446</v>
      </c>
      <c r="CF97" s="14">
        <v>0.11267605633802817</v>
      </c>
      <c r="CG97" s="15">
        <v>25.480056716417909</v>
      </c>
      <c r="CH97" s="14">
        <v>0.19252336025238037</v>
      </c>
      <c r="CI97" s="14">
        <v>-8.390410989522934E-2</v>
      </c>
      <c r="CJ97" s="14">
        <v>0.17979797720909119</v>
      </c>
      <c r="CK97" s="14">
        <v>0.47761192917823792</v>
      </c>
      <c r="CL97" s="14">
        <v>0.1355932205915451</v>
      </c>
      <c r="CM97" s="15">
        <v>-0.92540246248245239</v>
      </c>
      <c r="CN97" s="15">
        <v>-0.18753620982170105</v>
      </c>
      <c r="CO97" s="15">
        <v>0.11538461595773697</v>
      </c>
      <c r="CP97" s="15">
        <v>0.44710147380828857</v>
      </c>
      <c r="CQ97" s="15">
        <v>0.35163784027099609</v>
      </c>
      <c r="CR97">
        <v>42.646410718886891</v>
      </c>
      <c r="CS97">
        <v>2.36498182558933</v>
      </c>
      <c r="CT97">
        <v>3.4351145038167941</v>
      </c>
      <c r="CU97" s="14">
        <v>0.18032447546720504</v>
      </c>
      <c r="CV97" s="15">
        <v>-3.9762948453426358E-2</v>
      </c>
      <c r="CW97">
        <v>0.06</v>
      </c>
      <c r="CX97">
        <v>281.05927907460386</v>
      </c>
      <c r="CY97">
        <v>7828557.759219042</v>
      </c>
      <c r="CZ97">
        <v>0.18032447546720504</v>
      </c>
      <c r="DA97">
        <v>85.152884856486764</v>
      </c>
      <c r="DB97">
        <v>25839274.896068148</v>
      </c>
      <c r="DC97">
        <v>0.17130825169384478</v>
      </c>
      <c r="DD97">
        <v>37.759542388219508</v>
      </c>
      <c r="DE97">
        <v>58271066.353983723</v>
      </c>
      <c r="DF97">
        <v>0.15868553841114044</v>
      </c>
      <c r="DG97">
        <v>20.061377884415347</v>
      </c>
      <c r="DH97">
        <v>109677850.27913219</v>
      </c>
      <c r="DI97">
        <v>0.14425958037376405</v>
      </c>
      <c r="DJ97">
        <v>7.7965335234707167</v>
      </c>
      <c r="DK97">
        <v>282213729.13696086</v>
      </c>
      <c r="DL97">
        <v>0.12622713282704351</v>
      </c>
      <c r="DM97">
        <v>7030500</v>
      </c>
      <c r="DN97">
        <v>0.18032447546720504</v>
      </c>
      <c r="DO97">
        <v>2200288800</v>
      </c>
      <c r="DP97">
        <v>946344870</v>
      </c>
      <c r="DQ97">
        <v>2450</v>
      </c>
      <c r="DR97">
        <v>-6.7648419129176865E-2</v>
      </c>
      <c r="DS97">
        <v>25.519819664871335</v>
      </c>
      <c r="DT97" s="16">
        <v>-2.3333333333333355E-2</v>
      </c>
      <c r="DU97">
        <v>-0.26666666666666666</v>
      </c>
      <c r="DV97">
        <v>-0.29000000000000004</v>
      </c>
      <c r="DW97">
        <v>-5.8197474167623424</v>
      </c>
      <c r="DX97">
        <v>0.33956266666666568</v>
      </c>
      <c r="DY97">
        <v>-5.1471960321469572</v>
      </c>
      <c r="DZ97">
        <v>2612</v>
      </c>
      <c r="EA97">
        <v>-5.0719561033861247</v>
      </c>
      <c r="EB97">
        <v>5</v>
      </c>
      <c r="EC97">
        <v>0.11122588856226755</v>
      </c>
      <c r="ED97">
        <v>0.61942658029657727</v>
      </c>
      <c r="EE97" s="17">
        <v>-1.07341</v>
      </c>
      <c r="EF97">
        <v>-1.0866100000000001</v>
      </c>
      <c r="EG97">
        <v>16.179562666666666</v>
      </c>
      <c r="EH97" t="s">
        <v>1838</v>
      </c>
      <c r="EI97">
        <v>0</v>
      </c>
      <c r="EJ97">
        <v>0</v>
      </c>
      <c r="EK97" s="19">
        <v>45470</v>
      </c>
      <c r="EL97" s="20">
        <v>-0.75</v>
      </c>
      <c r="EM97" s="20">
        <v>-0.14000000000000001</v>
      </c>
      <c r="EN97" s="20">
        <v>-0.68</v>
      </c>
      <c r="EO97" s="20">
        <v>1.66</v>
      </c>
      <c r="EP97" s="20">
        <v>-1.32</v>
      </c>
    </row>
    <row r="98" spans="1:146" ht="84" x14ac:dyDescent="0.25">
      <c r="A98" s="7"/>
      <c r="B98" s="7"/>
      <c r="C98" s="7" t="str">
        <f>""&amp;CHAR(10)&amp;Basic_Fundamental_Information_Constructure(F98)&amp;CHAR(10)&amp;Basic_Fundamental_Information_Concatenate("")</f>
        <v xml:space="preserve">
市值36.712184亿, 利润1.12亿; PE126.9; 平均PE52.33; 平均PEG9.08, PB4.65; ROIC7.8333%; ROE8.2533%; 股利率.369%; 毛利29.1833%; 净利11.95%; 上一年度营收增-18.72%, 利润增80.3%; 当季营收增36.39%, 利润增-69.52%; 过往5年营收增5.76%, 利润增27.33%
Income profile:
</v>
      </c>
      <c r="D98" t="s">
        <v>1008</v>
      </c>
      <c r="E98" t="s">
        <v>1009</v>
      </c>
      <c r="F98">
        <v>27.1</v>
      </c>
      <c r="G98">
        <v>-1.92</v>
      </c>
      <c r="H98" t="s">
        <v>4669</v>
      </c>
      <c r="I98">
        <v>3671218400</v>
      </c>
      <c r="J98">
        <v>126.9</v>
      </c>
      <c r="K98">
        <v>4.6500000000000004</v>
      </c>
      <c r="L98" t="s">
        <v>172</v>
      </c>
      <c r="M98" t="s">
        <v>2886</v>
      </c>
      <c r="N98" t="s">
        <v>1156</v>
      </c>
      <c r="O98" t="s">
        <v>264</v>
      </c>
      <c r="P98">
        <v>60.14</v>
      </c>
      <c r="Q98" t="s">
        <v>124</v>
      </c>
      <c r="R98">
        <v>12570357</v>
      </c>
      <c r="S98" s="5">
        <v>0.74019999999999997</v>
      </c>
      <c r="T98" t="s">
        <v>74</v>
      </c>
      <c r="U98">
        <v>132371786</v>
      </c>
      <c r="V98">
        <v>135469320</v>
      </c>
      <c r="W98">
        <v>1.37</v>
      </c>
      <c r="X98">
        <v>0.12</v>
      </c>
      <c r="Y98">
        <v>8.3800000000000008</v>
      </c>
      <c r="Z98" t="s">
        <v>620</v>
      </c>
      <c r="AA98" t="s">
        <v>367</v>
      </c>
      <c r="AB98" t="s">
        <v>4670</v>
      </c>
      <c r="AC98" t="s">
        <v>4671</v>
      </c>
      <c r="AD98" t="s">
        <v>19</v>
      </c>
      <c r="AE98">
        <v>1115612</v>
      </c>
      <c r="AF98" t="s">
        <v>4672</v>
      </c>
      <c r="AG98" t="s">
        <v>4673</v>
      </c>
      <c r="AH98" t="s">
        <v>4674</v>
      </c>
      <c r="AI98" t="s">
        <v>4675</v>
      </c>
      <c r="AJ98" t="s">
        <v>4676</v>
      </c>
      <c r="AK98" t="s">
        <v>4677</v>
      </c>
      <c r="AL98" t="s">
        <v>4678</v>
      </c>
      <c r="AM98" t="s">
        <v>19</v>
      </c>
      <c r="AN98" t="s">
        <v>4679</v>
      </c>
      <c r="AO98" t="s">
        <v>175</v>
      </c>
      <c r="AP98" t="s">
        <v>19</v>
      </c>
      <c r="AQ98" t="s">
        <v>155</v>
      </c>
      <c r="AR98" t="s">
        <v>19</v>
      </c>
      <c r="AS98" t="s">
        <v>251</v>
      </c>
      <c r="AT98" t="s">
        <v>19</v>
      </c>
      <c r="AU98" t="s">
        <v>4680</v>
      </c>
      <c r="AV98" t="s">
        <v>4681</v>
      </c>
      <c r="AW98" t="s">
        <v>4682</v>
      </c>
      <c r="AX98" t="s">
        <v>133</v>
      </c>
      <c r="AY98" t="s">
        <v>405</v>
      </c>
      <c r="AZ98" t="s">
        <v>1010</v>
      </c>
      <c r="BA98" t="s">
        <v>1012</v>
      </c>
      <c r="BB98" t="s">
        <v>158</v>
      </c>
      <c r="BC98" t="s">
        <v>4683</v>
      </c>
      <c r="BD98" t="s">
        <v>1663</v>
      </c>
      <c r="BE98" t="s">
        <v>1011</v>
      </c>
      <c r="BF98" t="s">
        <v>1013</v>
      </c>
      <c r="BG98" t="s">
        <v>1014</v>
      </c>
      <c r="BH98" t="s">
        <v>311</v>
      </c>
      <c r="BI98" t="s">
        <v>4684</v>
      </c>
      <c r="BJ98" t="s">
        <v>133</v>
      </c>
      <c r="BK98" t="s">
        <v>4685</v>
      </c>
      <c r="BL98" t="s">
        <v>4686</v>
      </c>
      <c r="BM98" t="s">
        <v>4683</v>
      </c>
      <c r="BN98">
        <v>1.78</v>
      </c>
      <c r="BO98">
        <v>7.58</v>
      </c>
      <c r="BP98">
        <v>14.14</v>
      </c>
      <c r="BQ98">
        <v>2.5</v>
      </c>
      <c r="BR98">
        <v>7.89</v>
      </c>
      <c r="BS98">
        <v>14.37</v>
      </c>
      <c r="BT98" t="s">
        <v>4687</v>
      </c>
      <c r="BU98" t="s">
        <v>3125</v>
      </c>
      <c r="BV98">
        <v>22.77</v>
      </c>
      <c r="BW98">
        <v>30.22</v>
      </c>
      <c r="BX98">
        <v>34.56</v>
      </c>
      <c r="BY98">
        <v>3.01</v>
      </c>
      <c r="BZ98">
        <v>13.58</v>
      </c>
      <c r="CA98">
        <v>19.260000000000002</v>
      </c>
      <c r="CB98">
        <v>-12.58</v>
      </c>
      <c r="CC98">
        <v>3.95</v>
      </c>
      <c r="CD98" t="s">
        <v>4688</v>
      </c>
      <c r="CE98" t="s">
        <v>158</v>
      </c>
      <c r="CF98" s="14">
        <v>0.3638542521164812</v>
      </c>
      <c r="CG98" s="15">
        <v>-0.69516061208652635</v>
      </c>
      <c r="CH98" s="14">
        <v>-0.18723404407501221</v>
      </c>
      <c r="CI98" s="14">
        <v>0.19289340078830719</v>
      </c>
      <c r="CJ98" s="14">
        <v>0.14202898740768433</v>
      </c>
      <c r="CK98" s="14">
        <v>0.12377849966287613</v>
      </c>
      <c r="CL98" s="14">
        <v>1.6556290909647942E-2</v>
      </c>
      <c r="CM98" s="15">
        <v>0.80302298069000244</v>
      </c>
      <c r="CN98" s="15">
        <v>-0.18119613826274872</v>
      </c>
      <c r="CO98" s="15">
        <v>-6.6569380462169647E-2</v>
      </c>
      <c r="CP98" s="15">
        <v>0.83828860521316528</v>
      </c>
      <c r="CQ98" s="15">
        <v>-2.6932507753372192E-2</v>
      </c>
      <c r="CR98">
        <v>52.333261266329707</v>
      </c>
      <c r="CS98">
        <v>9.0849058569582546</v>
      </c>
      <c r="CT98">
        <v>0.36900369003690037</v>
      </c>
      <c r="CU98" s="14">
        <v>5.7604626938700679E-2</v>
      </c>
      <c r="CV98" s="15">
        <v>0.27332271188497542</v>
      </c>
      <c r="CW98">
        <v>0.06</v>
      </c>
      <c r="CX98">
        <v>28.235398813456811</v>
      </c>
      <c r="CY98">
        <v>111746903.97842877</v>
      </c>
      <c r="CZ98">
        <v>5.7604626938700679E-2</v>
      </c>
      <c r="DA98">
        <v>9.484627797738618</v>
      </c>
      <c r="DB98">
        <v>332666549.20842397</v>
      </c>
      <c r="DC98">
        <v>5.4724395591765645E-2</v>
      </c>
      <c r="DD98">
        <v>4.841916788661921</v>
      </c>
      <c r="DE98">
        <v>651646556.04747689</v>
      </c>
      <c r="DF98">
        <v>5.06920717060566E-2</v>
      </c>
      <c r="DG98">
        <v>3.0273695097937869</v>
      </c>
      <c r="DH98">
        <v>1042231016.0000659</v>
      </c>
      <c r="DI98">
        <v>4.6083701550960546E-2</v>
      </c>
      <c r="DJ98">
        <v>1.7048802476120763</v>
      </c>
      <c r="DK98">
        <v>1850697962.1702611</v>
      </c>
      <c r="DL98">
        <v>4.0323238857090472E-2</v>
      </c>
      <c r="DM98">
        <v>112000000.00000001</v>
      </c>
      <c r="DN98">
        <v>5.7604626938700679E-2</v>
      </c>
      <c r="DO98">
        <v>3155218400</v>
      </c>
      <c r="DP98">
        <v>354865880</v>
      </c>
      <c r="DQ98">
        <v>2455</v>
      </c>
      <c r="DR98">
        <v>0.30624962517778054</v>
      </c>
      <c r="DS98">
        <v>-0.96848332397150183</v>
      </c>
      <c r="DT98" s="16">
        <v>-0.45666666666666672</v>
      </c>
      <c r="DU98">
        <v>-2.3333333333333355E-2</v>
      </c>
      <c r="DV98">
        <v>-0.48000000000000009</v>
      </c>
      <c r="DW98">
        <v>-5.3139904610492845</v>
      </c>
      <c r="DX98">
        <v>0.38547317880794818</v>
      </c>
      <c r="DY98">
        <v>-5.0550969043156906</v>
      </c>
      <c r="DZ98">
        <v>42</v>
      </c>
      <c r="EA98">
        <v>-5.0546440530473422</v>
      </c>
      <c r="EB98">
        <v>5</v>
      </c>
      <c r="EC98">
        <v>0.39118008416961125</v>
      </c>
      <c r="ED98">
        <v>2.2292870444761959</v>
      </c>
      <c r="EE98" s="17">
        <v>3.0402</v>
      </c>
      <c r="EF98">
        <v>3.0455000000000001</v>
      </c>
      <c r="EG98">
        <v>21.175473178807948</v>
      </c>
      <c r="EH98" t="s">
        <v>2080</v>
      </c>
      <c r="EI98">
        <v>0</v>
      </c>
      <c r="EJ98">
        <v>1</v>
      </c>
      <c r="EK98" s="19">
        <v>45470</v>
      </c>
      <c r="EL98" s="20">
        <v>-1.5</v>
      </c>
      <c r="EM98" s="20">
        <v>-0.67</v>
      </c>
      <c r="EN98" s="20">
        <v>0.15</v>
      </c>
      <c r="EO98" s="20">
        <v>3.49</v>
      </c>
      <c r="EP98" s="20">
        <v>0.53</v>
      </c>
    </row>
    <row r="99" spans="1:146" ht="84" x14ac:dyDescent="0.25">
      <c r="A99" s="7"/>
      <c r="B99" s="7"/>
      <c r="C99" s="7" t="str">
        <f>""&amp;CHAR(10)&amp;Basic_Fundamental_Information_Constructure(F99)&amp;CHAR(10)&amp;Basic_Fundamental_Information_Concatenate("")</f>
        <v xml:space="preserve">
市值18.140122亿, 利润8591.24万; PE31.03; 平均PE33.54; 平均PEG1.76, PB2.73; ROIC7.24%; ROE8.2233%; 股利率1.268%; 毛利22.2933%; 净利8.68%; 上一年度营收增53.65%, 利润增83.11%; 当季营收增14.19%, 利润增35.35%; 过往5年营收增19.09%, 利润增16.51%
Income profile:
</v>
      </c>
      <c r="D99" t="s">
        <v>1015</v>
      </c>
      <c r="E99" t="s">
        <v>1016</v>
      </c>
      <c r="F99">
        <v>11.83</v>
      </c>
      <c r="G99">
        <v>-3.51</v>
      </c>
      <c r="H99" t="s">
        <v>4689</v>
      </c>
      <c r="I99">
        <v>1814012200</v>
      </c>
      <c r="J99">
        <v>31.03</v>
      </c>
      <c r="K99">
        <v>2.73</v>
      </c>
      <c r="L99" t="s">
        <v>172</v>
      </c>
      <c r="M99" t="s">
        <v>1473</v>
      </c>
      <c r="N99" t="s">
        <v>748</v>
      </c>
      <c r="O99" t="s">
        <v>241</v>
      </c>
      <c r="P99">
        <v>25.44</v>
      </c>
      <c r="Q99" t="s">
        <v>4690</v>
      </c>
      <c r="R99">
        <v>13002651</v>
      </c>
      <c r="S99" s="5">
        <v>0.64629999999999999</v>
      </c>
      <c r="T99" t="s">
        <v>4691</v>
      </c>
      <c r="U99">
        <v>150484560</v>
      </c>
      <c r="V99">
        <v>153340000</v>
      </c>
      <c r="W99">
        <v>1.54</v>
      </c>
      <c r="X99">
        <v>0.17</v>
      </c>
      <c r="Y99">
        <v>7.7</v>
      </c>
      <c r="Z99" t="s">
        <v>201</v>
      </c>
      <c r="AA99" t="s">
        <v>501</v>
      </c>
      <c r="AB99" t="s">
        <v>4692</v>
      </c>
      <c r="AC99" t="s">
        <v>4693</v>
      </c>
      <c r="AD99" t="s">
        <v>19</v>
      </c>
      <c r="AE99">
        <v>38866</v>
      </c>
      <c r="AF99" t="s">
        <v>21</v>
      </c>
      <c r="AG99" t="s">
        <v>4694</v>
      </c>
      <c r="AH99" t="s">
        <v>4695</v>
      </c>
      <c r="AI99" t="s">
        <v>441</v>
      </c>
      <c r="AJ99" t="s">
        <v>4696</v>
      </c>
      <c r="AK99" t="s">
        <v>4697</v>
      </c>
      <c r="AL99" t="s">
        <v>4698</v>
      </c>
      <c r="AM99" t="s">
        <v>19</v>
      </c>
      <c r="AN99" t="s">
        <v>4699</v>
      </c>
      <c r="AO99" t="s">
        <v>4700</v>
      </c>
      <c r="AP99" t="s">
        <v>4701</v>
      </c>
      <c r="AQ99" t="s">
        <v>27</v>
      </c>
      <c r="AR99" t="s">
        <v>4702</v>
      </c>
      <c r="AS99" t="s">
        <v>352</v>
      </c>
      <c r="AT99" t="s">
        <v>19</v>
      </c>
      <c r="AU99" t="s">
        <v>4703</v>
      </c>
      <c r="AV99" t="s">
        <v>4704</v>
      </c>
      <c r="AW99" t="s">
        <v>4705</v>
      </c>
      <c r="AX99" t="s">
        <v>2252</v>
      </c>
      <c r="AY99" t="s">
        <v>749</v>
      </c>
      <c r="AZ99" t="s">
        <v>495</v>
      </c>
      <c r="BA99" t="s">
        <v>692</v>
      </c>
      <c r="BB99" t="s">
        <v>626</v>
      </c>
      <c r="BC99" t="s">
        <v>2253</v>
      </c>
      <c r="BD99" t="s">
        <v>1664</v>
      </c>
      <c r="BE99" t="s">
        <v>1017</v>
      </c>
      <c r="BF99" t="s">
        <v>1018</v>
      </c>
      <c r="BG99" t="s">
        <v>1019</v>
      </c>
      <c r="BH99" t="s">
        <v>2703</v>
      </c>
      <c r="BI99" t="s">
        <v>28</v>
      </c>
      <c r="BJ99" t="s">
        <v>2252</v>
      </c>
      <c r="BK99" t="s">
        <v>4706</v>
      </c>
      <c r="BL99" t="s">
        <v>4707</v>
      </c>
      <c r="BM99" t="s">
        <v>2253</v>
      </c>
      <c r="BN99">
        <v>5.72</v>
      </c>
      <c r="BO99">
        <v>7.12</v>
      </c>
      <c r="BP99">
        <v>8.8800000000000008</v>
      </c>
      <c r="BQ99">
        <v>6.62</v>
      </c>
      <c r="BR99">
        <v>7.79</v>
      </c>
      <c r="BS99">
        <v>10.26</v>
      </c>
      <c r="BT99" t="s">
        <v>2045</v>
      </c>
      <c r="BU99" t="s">
        <v>2920</v>
      </c>
      <c r="BV99">
        <v>21.98</v>
      </c>
      <c r="BW99">
        <v>21.53</v>
      </c>
      <c r="BX99">
        <v>23.37</v>
      </c>
      <c r="BY99">
        <v>8.25</v>
      </c>
      <c r="BZ99">
        <v>8.14</v>
      </c>
      <c r="CA99">
        <v>9.65</v>
      </c>
      <c r="CB99">
        <v>1.28</v>
      </c>
      <c r="CC99">
        <v>-4.9800000000000004</v>
      </c>
      <c r="CD99" t="s">
        <v>4708</v>
      </c>
      <c r="CE99" t="s">
        <v>445</v>
      </c>
      <c r="CF99" s="14">
        <v>0.14189189189189189</v>
      </c>
      <c r="CG99" s="15">
        <v>0.35347000593323546</v>
      </c>
      <c r="CH99" s="14">
        <v>0.53645831346511841</v>
      </c>
      <c r="CI99" s="14">
        <v>0.125</v>
      </c>
      <c r="CJ99" s="14">
        <v>0.15315315127372742</v>
      </c>
      <c r="CK99" s="14">
        <v>8.5574574768543243E-2</v>
      </c>
      <c r="CL99" s="14">
        <v>5.4123710840940475E-2</v>
      </c>
      <c r="CM99" s="15">
        <v>0.83112591505050659</v>
      </c>
      <c r="CN99" s="15">
        <v>-5.045647919178009E-2</v>
      </c>
      <c r="CO99" s="15">
        <v>-2.6367021724581718E-2</v>
      </c>
      <c r="CP99" s="15">
        <v>0.45775166153907776</v>
      </c>
      <c r="CQ99" s="15">
        <v>-0.38632336258888245</v>
      </c>
      <c r="CR99">
        <v>33.537729692153817</v>
      </c>
      <c r="CS99">
        <v>1.7571721173294268</v>
      </c>
      <c r="CT99">
        <v>1.2679628064243449</v>
      </c>
      <c r="CU99" s="14">
        <v>0.19086195006966591</v>
      </c>
      <c r="CV99" s="15">
        <v>0.16514614261686802</v>
      </c>
      <c r="CW99">
        <v>0.06</v>
      </c>
      <c r="CX99">
        <v>15.45827286589425</v>
      </c>
      <c r="CY99">
        <v>96518686.980344504</v>
      </c>
      <c r="CZ99">
        <v>0.19086195006966591</v>
      </c>
      <c r="DA99">
        <v>4.6427414197040457</v>
      </c>
      <c r="DB99">
        <v>321364483.85167855</v>
      </c>
      <c r="DC99">
        <v>0.1813188525661826</v>
      </c>
      <c r="DD99">
        <v>2.0332898427757962</v>
      </c>
      <c r="DE99">
        <v>733792186.73671365</v>
      </c>
      <c r="DF99">
        <v>0.16795851606130602</v>
      </c>
      <c r="DG99">
        <v>1.064057913853421</v>
      </c>
      <c r="DH99">
        <v>1402190783.5794094</v>
      </c>
      <c r="DI99">
        <v>0.15268956005573275</v>
      </c>
      <c r="DJ99">
        <v>0.3985595717437434</v>
      </c>
      <c r="DK99">
        <v>3743511148.088295</v>
      </c>
      <c r="DL99">
        <v>0.13360336504876613</v>
      </c>
      <c r="DM99">
        <v>85912400</v>
      </c>
      <c r="DN99">
        <v>0.19086195006966591</v>
      </c>
      <c r="DO99">
        <v>1492012200</v>
      </c>
      <c r="DP99">
        <v>151446600</v>
      </c>
      <c r="DQ99">
        <v>2457</v>
      </c>
      <c r="DR99">
        <v>-4.8970058177774028E-2</v>
      </c>
      <c r="DS99">
        <v>0.18832386331636744</v>
      </c>
      <c r="DT99" s="16">
        <v>-0.14000000000000001</v>
      </c>
      <c r="DU99">
        <v>0.56999999999999995</v>
      </c>
      <c r="DV99">
        <v>0.42999999999999994</v>
      </c>
      <c r="DW99">
        <v>-1.0498000000000001</v>
      </c>
      <c r="DX99">
        <v>0.50533659793814345</v>
      </c>
      <c r="DY99">
        <v>-1.0162017625773196</v>
      </c>
      <c r="DZ99">
        <v>2927</v>
      </c>
      <c r="EA99">
        <v>-1.0069214183378257</v>
      </c>
      <c r="EB99">
        <v>1</v>
      </c>
      <c r="EC99">
        <v>0.41160362592930744</v>
      </c>
      <c r="ED99">
        <v>1.2651623842441633</v>
      </c>
      <c r="EE99" s="17">
        <v>-3.0438999999999998</v>
      </c>
      <c r="EF99">
        <v>-3.0261</v>
      </c>
      <c r="EG99">
        <v>18.325336597938144</v>
      </c>
      <c r="EH99" t="s">
        <v>2802</v>
      </c>
      <c r="EI99">
        <v>0</v>
      </c>
      <c r="EJ99">
        <v>0</v>
      </c>
      <c r="EK99" s="19">
        <v>45470</v>
      </c>
      <c r="EL99" s="20">
        <v>-0.42</v>
      </c>
      <c r="EM99" s="20">
        <v>-5.75</v>
      </c>
      <c r="EN99" s="20">
        <v>1.08</v>
      </c>
      <c r="EO99" s="20">
        <v>4.71</v>
      </c>
      <c r="EP99" s="20">
        <v>-1.78</v>
      </c>
    </row>
    <row r="100" spans="1:146" ht="84" x14ac:dyDescent="0.25">
      <c r="A100" s="7"/>
      <c r="B100" s="7"/>
      <c r="C100" s="7" t="str">
        <f>""&amp;CHAR(10)&amp;Basic_Fundamental_Information_Constructure(F100)&amp;CHAR(10)&amp;Basic_Fundamental_Information_Concatenate("")</f>
        <v xml:space="preserve">
市值28.06488亿, 利润-449.92万; PE36.91; 平均PE39.89; 平均PEG23.95, PB3.03; ROIC8.33%; ROE9.6267%; 股利率1.0433%; 毛利35.06%; 净利16.35%; 上一年度营收增-8.91%, 利润增-106.97%; 当季营收增112.72%, 利润增548.88%; 过往5年营收增-1.67%, 利润增-25.94%
Income profile:
</v>
      </c>
      <c r="D100" t="s">
        <v>1020</v>
      </c>
      <c r="E100" t="s">
        <v>1021</v>
      </c>
      <c r="F100">
        <v>19.170000000000002</v>
      </c>
      <c r="G100">
        <v>-3.81</v>
      </c>
      <c r="H100" t="s">
        <v>4709</v>
      </c>
      <c r="I100">
        <v>2806488000</v>
      </c>
      <c r="J100">
        <v>36.909999999999997</v>
      </c>
      <c r="K100">
        <v>3.03</v>
      </c>
      <c r="L100" t="s">
        <v>172</v>
      </c>
      <c r="M100" t="s">
        <v>61</v>
      </c>
      <c r="N100" t="s">
        <v>1762</v>
      </c>
      <c r="O100" t="s">
        <v>155</v>
      </c>
      <c r="P100">
        <v>0.91</v>
      </c>
      <c r="Q100" t="s">
        <v>592</v>
      </c>
      <c r="R100">
        <v>22250807</v>
      </c>
      <c r="S100" s="5">
        <v>0.1976</v>
      </c>
      <c r="T100" t="s">
        <v>4710</v>
      </c>
      <c r="U100">
        <v>72921840</v>
      </c>
      <c r="V100">
        <v>146400000</v>
      </c>
      <c r="W100">
        <v>1.28</v>
      </c>
      <c r="X100">
        <v>0.1</v>
      </c>
      <c r="Y100">
        <v>18.14</v>
      </c>
      <c r="Z100" t="s">
        <v>367</v>
      </c>
      <c r="AA100" t="s">
        <v>4711</v>
      </c>
      <c r="AB100" t="s">
        <v>4712</v>
      </c>
      <c r="AC100" t="s">
        <v>4713</v>
      </c>
      <c r="AD100" t="s">
        <v>19</v>
      </c>
      <c r="AE100">
        <v>-3162880</v>
      </c>
      <c r="AF100" t="s">
        <v>4714</v>
      </c>
      <c r="AG100">
        <v>725.45</v>
      </c>
      <c r="AH100" t="s">
        <v>4715</v>
      </c>
      <c r="AI100" t="s">
        <v>1845</v>
      </c>
      <c r="AJ100" t="s">
        <v>4716</v>
      </c>
      <c r="AK100" t="s">
        <v>4717</v>
      </c>
      <c r="AL100" t="s">
        <v>4718</v>
      </c>
      <c r="AM100" t="s">
        <v>19</v>
      </c>
      <c r="AN100" t="s">
        <v>4719</v>
      </c>
      <c r="AO100" t="s">
        <v>19</v>
      </c>
      <c r="AP100" t="s">
        <v>23</v>
      </c>
      <c r="AQ100" t="s">
        <v>4720</v>
      </c>
      <c r="AR100" t="s">
        <v>4721</v>
      </c>
      <c r="AS100" t="s">
        <v>607</v>
      </c>
      <c r="AT100" t="s">
        <v>19</v>
      </c>
      <c r="AU100" t="s">
        <v>4722</v>
      </c>
      <c r="AV100" t="s">
        <v>4723</v>
      </c>
      <c r="AW100" t="s">
        <v>19</v>
      </c>
      <c r="AX100" t="s">
        <v>1837</v>
      </c>
      <c r="AY100" t="s">
        <v>888</v>
      </c>
      <c r="AZ100" t="s">
        <v>929</v>
      </c>
      <c r="BA100" t="s">
        <v>62</v>
      </c>
      <c r="BB100" t="s">
        <v>167</v>
      </c>
      <c r="BC100" t="s">
        <v>2254</v>
      </c>
      <c r="BD100" t="s">
        <v>1665</v>
      </c>
      <c r="BE100" t="s">
        <v>367</v>
      </c>
      <c r="BF100" t="s">
        <v>1023</v>
      </c>
      <c r="BG100" t="s">
        <v>1024</v>
      </c>
      <c r="BH100" t="s">
        <v>749</v>
      </c>
      <c r="BI100" t="s">
        <v>4724</v>
      </c>
      <c r="BJ100" t="s">
        <v>1837</v>
      </c>
      <c r="BK100" t="s">
        <v>4725</v>
      </c>
      <c r="BL100" t="s">
        <v>4726</v>
      </c>
      <c r="BM100" t="s">
        <v>2254</v>
      </c>
      <c r="BN100">
        <v>4.9000000000000004</v>
      </c>
      <c r="BO100">
        <v>5.91</v>
      </c>
      <c r="BP100">
        <v>14.18</v>
      </c>
      <c r="BQ100">
        <v>6.13</v>
      </c>
      <c r="BR100">
        <v>7.64</v>
      </c>
      <c r="BS100">
        <v>15.11</v>
      </c>
      <c r="BT100" t="s">
        <v>1989</v>
      </c>
      <c r="BU100" t="s">
        <v>2920</v>
      </c>
      <c r="BV100">
        <v>32.07</v>
      </c>
      <c r="BW100">
        <v>32.31</v>
      </c>
      <c r="BX100">
        <v>40.799999999999997</v>
      </c>
      <c r="BY100">
        <v>14.13</v>
      </c>
      <c r="BZ100">
        <v>15.97</v>
      </c>
      <c r="CA100">
        <v>18.95</v>
      </c>
      <c r="CB100">
        <v>21.18</v>
      </c>
      <c r="CC100">
        <v>10.68</v>
      </c>
      <c r="CD100" t="s">
        <v>4727</v>
      </c>
      <c r="CE100" t="s">
        <v>4728</v>
      </c>
      <c r="CF100" s="14">
        <v>1.1272216928188112</v>
      </c>
      <c r="CG100" s="15">
        <v>5.4887647770829133</v>
      </c>
      <c r="CH100" s="14">
        <v>-8.9108914136886597E-2</v>
      </c>
      <c r="CI100" s="14">
        <v>-0.1838383823633194</v>
      </c>
      <c r="CJ100" s="14">
        <v>1.4344261959195137E-2</v>
      </c>
      <c r="CK100" s="14">
        <v>0.22305764257907867</v>
      </c>
      <c r="CL100" s="14">
        <v>-4.7732695937156677E-2</v>
      </c>
      <c r="CM100" s="15">
        <v>-1.0696839094161987</v>
      </c>
      <c r="CN100" s="15">
        <v>-0.30309957265853882</v>
      </c>
      <c r="CO100" s="15">
        <v>-8.2702018320560455E-2</v>
      </c>
      <c r="CP100" s="15">
        <v>0.29269582033157349</v>
      </c>
      <c r="CQ100" s="15">
        <v>-0.13439343869686127</v>
      </c>
      <c r="CR100">
        <v>39.892567498896604</v>
      </c>
      <c r="CS100">
        <v>23.951418977844391</v>
      </c>
      <c r="CT100">
        <v>1.0432968179447051</v>
      </c>
      <c r="CU100" s="14">
        <v>-1.6655617579817771E-2</v>
      </c>
      <c r="CV100" s="15">
        <v>-0.25943662375211718</v>
      </c>
      <c r="CW100">
        <v>0.06</v>
      </c>
      <c r="CX100" t="e">
        <v>#VALUE!</v>
      </c>
      <c r="CY100" t="s">
        <v>1835</v>
      </c>
      <c r="CZ100">
        <v>-1.6655617579817771E-2</v>
      </c>
      <c r="DA100" t="e">
        <v>#VALUE!</v>
      </c>
      <c r="DB100" t="s">
        <v>1835</v>
      </c>
      <c r="DC100">
        <v>-1.5822836700826882E-2</v>
      </c>
      <c r="DD100" t="e">
        <v>#VALUE!</v>
      </c>
      <c r="DE100" t="s">
        <v>1835</v>
      </c>
      <c r="DF100">
        <v>-1.4656943470239639E-2</v>
      </c>
      <c r="DG100" t="e">
        <v>#VALUE!</v>
      </c>
      <c r="DH100" t="s">
        <v>1835</v>
      </c>
      <c r="DI100">
        <v>-1.3324494063854218E-2</v>
      </c>
      <c r="DJ100" t="e">
        <v>#VALUE!</v>
      </c>
      <c r="DK100" t="s">
        <v>1835</v>
      </c>
      <c r="DL100">
        <v>-1.1658932305872439E-2</v>
      </c>
      <c r="DM100">
        <v>-4499200</v>
      </c>
      <c r="DN100">
        <v>-1.6655617579817771E-2</v>
      </c>
      <c r="DO100">
        <v>2142488000</v>
      </c>
      <c r="DP100">
        <v>887613460</v>
      </c>
      <c r="DQ100">
        <v>2469</v>
      </c>
      <c r="DR100">
        <v>1.1438773103986291</v>
      </c>
      <c r="DS100">
        <v>5.7482014008350308</v>
      </c>
      <c r="DT100" s="16">
        <v>-0.47333333333333338</v>
      </c>
      <c r="DU100">
        <v>-1.0033333333333334</v>
      </c>
      <c r="DV100">
        <v>-1.4766666666666668</v>
      </c>
      <c r="DW100">
        <v>5.5042492917847028</v>
      </c>
      <c r="DX100">
        <v>0.9024726534355153</v>
      </c>
      <c r="DY100">
        <v>5.2785839442252733</v>
      </c>
      <c r="DZ100">
        <v>2002</v>
      </c>
      <c r="EA100">
        <v>5.1694400975835908</v>
      </c>
      <c r="EB100">
        <v>5</v>
      </c>
      <c r="EC100">
        <v>0.23045355191256831</v>
      </c>
      <c r="ED100">
        <v>0.41713114754098363</v>
      </c>
      <c r="EE100" s="17">
        <v>-1.0048999999999999</v>
      </c>
      <c r="EF100">
        <v>-1.0233099999999999</v>
      </c>
      <c r="EG100">
        <v>35.552472653435515</v>
      </c>
      <c r="EH100" t="s">
        <v>1838</v>
      </c>
      <c r="EI100">
        <v>1</v>
      </c>
      <c r="EJ100">
        <v>0</v>
      </c>
      <c r="EK100" s="19">
        <v>45470</v>
      </c>
      <c r="EL100" s="20">
        <v>-1.03</v>
      </c>
      <c r="EM100" s="20">
        <v>-3.75</v>
      </c>
      <c r="EN100" s="20">
        <v>1.68</v>
      </c>
      <c r="EO100" s="20">
        <v>1.91</v>
      </c>
      <c r="EP100" s="20">
        <v>-2.82</v>
      </c>
    </row>
    <row r="101" spans="1:146" ht="84" x14ac:dyDescent="0.25">
      <c r="A101" s="7"/>
      <c r="B101" s="7"/>
      <c r="C101" s="7" t="str">
        <f>""&amp;CHAR(10)&amp;Basic_Fundamental_Information_Constructure(F101)&amp;CHAR(10)&amp;Basic_Fundamental_Information_Concatenate("")</f>
        <v xml:space="preserve">
市值16.197855亿, 利润4760.83万; PE110.5; 平均PE31.58; 平均PEG18.9, PB1.76; ROIC6.4233%; ROE6.5167%; 股利率1.3355%; 毛利22.9333%; 净利8.3733%; 上一年度营收增-65%, 利润增-12.43%; 当季营收增262.5%, 利润增-98.34%; 过往5年营收增1.67%, 利润增25.73%
Income profile:
</v>
      </c>
      <c r="D101" t="s">
        <v>1025</v>
      </c>
      <c r="E101" t="s">
        <v>1026</v>
      </c>
      <c r="F101">
        <v>19.239999999999998</v>
      </c>
      <c r="G101">
        <v>-0.16</v>
      </c>
      <c r="H101" t="s">
        <v>4729</v>
      </c>
      <c r="I101">
        <v>1619785500</v>
      </c>
      <c r="J101">
        <v>110.5</v>
      </c>
      <c r="K101">
        <v>1.76</v>
      </c>
      <c r="L101" t="s">
        <v>172</v>
      </c>
      <c r="M101" t="s">
        <v>2005</v>
      </c>
      <c r="N101" t="s">
        <v>2550</v>
      </c>
      <c r="O101" t="s">
        <v>761</v>
      </c>
      <c r="P101">
        <v>34.51</v>
      </c>
      <c r="Q101" t="s">
        <v>94</v>
      </c>
      <c r="R101">
        <v>238397</v>
      </c>
      <c r="S101" s="5">
        <v>-0.97309999999999997</v>
      </c>
      <c r="T101" t="s">
        <v>4730</v>
      </c>
      <c r="U101">
        <v>51709397</v>
      </c>
      <c r="V101">
        <v>84188437</v>
      </c>
      <c r="W101">
        <v>1.87</v>
      </c>
      <c r="X101">
        <v>0.08</v>
      </c>
      <c r="Y101">
        <v>0.17</v>
      </c>
      <c r="Z101" t="s">
        <v>761</v>
      </c>
      <c r="AA101" t="s">
        <v>242</v>
      </c>
      <c r="AB101" t="s">
        <v>4731</v>
      </c>
      <c r="AC101" t="s">
        <v>4732</v>
      </c>
      <c r="AD101" t="s">
        <v>19</v>
      </c>
      <c r="AE101">
        <v>12377197</v>
      </c>
      <c r="AF101" t="s">
        <v>4733</v>
      </c>
      <c r="AG101">
        <v>4322.21</v>
      </c>
      <c r="AH101" t="s">
        <v>4734</v>
      </c>
      <c r="AI101" t="s">
        <v>27</v>
      </c>
      <c r="AJ101" t="s">
        <v>4735</v>
      </c>
      <c r="AK101" t="s">
        <v>4736</v>
      </c>
      <c r="AL101" t="s">
        <v>4737</v>
      </c>
      <c r="AM101" t="s">
        <v>19</v>
      </c>
      <c r="AN101" t="s">
        <v>4738</v>
      </c>
      <c r="AO101" t="s">
        <v>4739</v>
      </c>
      <c r="AP101" t="s">
        <v>4740</v>
      </c>
      <c r="AQ101" t="s">
        <v>287</v>
      </c>
      <c r="AR101" t="s">
        <v>19</v>
      </c>
      <c r="AS101" t="s">
        <v>291</v>
      </c>
      <c r="AT101" t="s">
        <v>19</v>
      </c>
      <c r="AU101" t="s">
        <v>4741</v>
      </c>
      <c r="AV101" t="s">
        <v>4742</v>
      </c>
      <c r="AW101" t="s">
        <v>4743</v>
      </c>
      <c r="AX101" t="s">
        <v>2222</v>
      </c>
      <c r="AY101" t="s">
        <v>315</v>
      </c>
      <c r="AZ101" t="s">
        <v>131</v>
      </c>
      <c r="BA101" t="s">
        <v>214</v>
      </c>
      <c r="BB101" t="s">
        <v>856</v>
      </c>
      <c r="BC101" t="s">
        <v>2255</v>
      </c>
      <c r="BD101" t="s">
        <v>1666</v>
      </c>
      <c r="BE101" t="s">
        <v>1027</v>
      </c>
      <c r="BF101" t="s">
        <v>1028</v>
      </c>
      <c r="BG101" t="s">
        <v>1029</v>
      </c>
      <c r="BH101" t="s">
        <v>4744</v>
      </c>
      <c r="BI101" t="s">
        <v>4745</v>
      </c>
      <c r="BJ101" t="s">
        <v>2222</v>
      </c>
      <c r="BK101" t="s">
        <v>4746</v>
      </c>
      <c r="BL101" t="s">
        <v>4747</v>
      </c>
      <c r="BM101" t="s">
        <v>2255</v>
      </c>
      <c r="BN101">
        <v>3.3</v>
      </c>
      <c r="BO101">
        <v>6.05</v>
      </c>
      <c r="BP101">
        <v>9.92</v>
      </c>
      <c r="BQ101">
        <v>3.37</v>
      </c>
      <c r="BR101">
        <v>6.2</v>
      </c>
      <c r="BS101">
        <v>9.98</v>
      </c>
      <c r="BT101" t="s">
        <v>4748</v>
      </c>
      <c r="BU101" t="s">
        <v>3125</v>
      </c>
      <c r="BV101">
        <v>23.88</v>
      </c>
      <c r="BW101">
        <v>22.51</v>
      </c>
      <c r="BX101">
        <v>22.41</v>
      </c>
      <c r="BY101">
        <v>4.07</v>
      </c>
      <c r="BZ101">
        <v>10.87</v>
      </c>
      <c r="CA101">
        <v>10.18</v>
      </c>
      <c r="CB101">
        <v>-2.58</v>
      </c>
      <c r="CC101">
        <v>-17.510000000000002</v>
      </c>
      <c r="CD101" t="s">
        <v>4749</v>
      </c>
      <c r="CE101" t="s">
        <v>4750</v>
      </c>
      <c r="CF101" s="14">
        <v>2.6249896428867348</v>
      </c>
      <c r="CG101" s="15">
        <v>-0.98339634074146298</v>
      </c>
      <c r="CH101" s="14">
        <v>-0.64999997615814209</v>
      </c>
      <c r="CI101" s="14">
        <v>-0.15540540218353271</v>
      </c>
      <c r="CJ101" s="14">
        <v>0.29824560880661011</v>
      </c>
      <c r="CK101" s="14">
        <v>0.3333333432674408</v>
      </c>
      <c r="CL101" s="14">
        <v>0.25735294818878174</v>
      </c>
      <c r="CM101" s="15">
        <v>-0.12430011481046677</v>
      </c>
      <c r="CN101" s="15">
        <v>-9.8757699131965637E-2</v>
      </c>
      <c r="CO101" s="15">
        <v>-0.11770229041576385</v>
      </c>
      <c r="CP101" s="15">
        <v>0.26183801889419556</v>
      </c>
      <c r="CQ101" s="15">
        <v>1.3653479814529419</v>
      </c>
      <c r="CR101">
        <v>31.57895198583828</v>
      </c>
      <c r="CS101">
        <v>18.903547795062156</v>
      </c>
      <c r="CT101">
        <v>1.3354859667359669</v>
      </c>
      <c r="CU101" s="14">
        <v>1.6705304384231567E-2</v>
      </c>
      <c r="CV101" s="15">
        <v>0.25728517919778826</v>
      </c>
      <c r="CW101">
        <v>0.06</v>
      </c>
      <c r="CX101">
        <v>31.94622453768519</v>
      </c>
      <c r="CY101">
        <v>45663784.096901707</v>
      </c>
      <c r="CZ101">
        <v>1.6705304384231567E-2</v>
      </c>
      <c r="DA101">
        <v>11.113764881292621</v>
      </c>
      <c r="DB101">
        <v>131259345.10775177</v>
      </c>
      <c r="DC101">
        <v>1.587003916501999E-2</v>
      </c>
      <c r="DD101">
        <v>5.9338670966881155</v>
      </c>
      <c r="DE101">
        <v>245840608.86941597</v>
      </c>
      <c r="DF101">
        <v>1.4700667858123779E-2</v>
      </c>
      <c r="DG101">
        <v>3.8918840870505469</v>
      </c>
      <c r="DH101">
        <v>374827581.54432505</v>
      </c>
      <c r="DI101">
        <v>1.3364243507385255E-2</v>
      </c>
      <c r="DJ101">
        <v>2.4120150162614142</v>
      </c>
      <c r="DK101">
        <v>604799510.02174723</v>
      </c>
      <c r="DL101">
        <v>1.1693713068962096E-2</v>
      </c>
      <c r="DM101">
        <v>47608300</v>
      </c>
      <c r="DN101">
        <v>1.6705304384231567E-2</v>
      </c>
      <c r="DO101">
        <v>1458785500</v>
      </c>
      <c r="DP101">
        <v>781181370</v>
      </c>
      <c r="DQ101">
        <v>2471</v>
      </c>
      <c r="DR101">
        <v>2.6082843385025032</v>
      </c>
      <c r="DS101">
        <v>-1.2406815199392511</v>
      </c>
      <c r="DT101" s="16">
        <v>-0.57333333333333336</v>
      </c>
      <c r="DU101">
        <v>-0.12333333333333336</v>
      </c>
      <c r="DV101">
        <v>-0.69666666666666677</v>
      </c>
      <c r="DW101">
        <v>-8.1473443746430618</v>
      </c>
      <c r="DX101">
        <v>0.28195443002523335</v>
      </c>
      <c r="DY101">
        <v>-8.0209161867198802</v>
      </c>
      <c r="DZ101">
        <v>4407</v>
      </c>
      <c r="EA101">
        <v>-8.0028775106191929</v>
      </c>
      <c r="EB101">
        <v>8</v>
      </c>
      <c r="EC101">
        <v>0.12522741098044141</v>
      </c>
      <c r="ED101">
        <v>0.88216627658736557</v>
      </c>
      <c r="EE101" s="17">
        <v>-5.0755100000000004</v>
      </c>
      <c r="EF101">
        <v>-5.0958100000000002</v>
      </c>
      <c r="EG101">
        <v>14.141954430025233</v>
      </c>
      <c r="EH101" t="s">
        <v>2872</v>
      </c>
      <c r="EI101">
        <v>0</v>
      </c>
      <c r="EJ101">
        <v>0</v>
      </c>
      <c r="EK101" s="19">
        <v>45470</v>
      </c>
      <c r="EL101" s="20">
        <v>-2.29</v>
      </c>
      <c r="EM101" s="20">
        <v>-5.87</v>
      </c>
      <c r="EN101" s="20">
        <v>-0.98</v>
      </c>
      <c r="EO101" s="20">
        <v>4.58</v>
      </c>
      <c r="EP101" s="20">
        <v>-2.0299999999999998</v>
      </c>
    </row>
    <row r="102" spans="1:146" ht="84" x14ac:dyDescent="0.25">
      <c r="A102" s="7"/>
      <c r="B102" s="7"/>
      <c r="C102" s="7" t="str">
        <f>""&amp;CHAR(10)&amp;Basic_Fundamental_Information_Constructure(F102)&amp;CHAR(10)&amp;Basic_Fundamental_Information_Concatenate("")</f>
        <v xml:space="preserve">
市值21.294608亿, 利润3051.99万; PE117.2; 平均PE45.88; 平均PEG85.59, PB2.57; ROIC4.08%; ROE4.66%; 股利率.2977%; 毛利15.7533%; 净利5.22%; 上一年度营收增-22.94%, 利润增-14.75%; 当季营收增77.6%, 利润增-47.2%; 过往5年营收增.54%, 利润增-11.17%
Income profile:
</v>
      </c>
      <c r="D102" t="s">
        <v>1030</v>
      </c>
      <c r="E102" t="s">
        <v>1667</v>
      </c>
      <c r="F102">
        <v>20.27</v>
      </c>
      <c r="G102">
        <v>1.35</v>
      </c>
      <c r="H102" t="s">
        <v>4751</v>
      </c>
      <c r="I102">
        <v>2129460800</v>
      </c>
      <c r="J102">
        <v>117.2</v>
      </c>
      <c r="K102">
        <v>2.57</v>
      </c>
      <c r="L102" t="s">
        <v>172</v>
      </c>
      <c r="M102" t="s">
        <v>521</v>
      </c>
      <c r="N102" t="s">
        <v>114</v>
      </c>
      <c r="O102" t="s">
        <v>333</v>
      </c>
      <c r="P102">
        <v>4.05</v>
      </c>
      <c r="Q102" t="s">
        <v>1789</v>
      </c>
      <c r="R102">
        <v>2159345</v>
      </c>
      <c r="S102" s="5">
        <v>-0.70230000000000004</v>
      </c>
      <c r="T102" t="s">
        <v>4752</v>
      </c>
      <c r="U102">
        <v>33354800</v>
      </c>
      <c r="V102">
        <v>105054800</v>
      </c>
      <c r="W102">
        <v>1.41</v>
      </c>
      <c r="X102">
        <v>0.14000000000000001</v>
      </c>
      <c r="Y102">
        <v>0.46</v>
      </c>
      <c r="Z102" t="s">
        <v>508</v>
      </c>
      <c r="AA102" t="s">
        <v>456</v>
      </c>
      <c r="AB102" t="s">
        <v>4753</v>
      </c>
      <c r="AC102" t="s">
        <v>4754</v>
      </c>
      <c r="AD102" t="s">
        <v>19</v>
      </c>
      <c r="AE102">
        <v>-99188</v>
      </c>
      <c r="AF102" t="s">
        <v>4755</v>
      </c>
      <c r="AG102">
        <v>7992.82</v>
      </c>
      <c r="AH102" t="s">
        <v>4756</v>
      </c>
      <c r="AI102" t="s">
        <v>103</v>
      </c>
      <c r="AJ102" t="s">
        <v>4757</v>
      </c>
      <c r="AK102" t="s">
        <v>4758</v>
      </c>
      <c r="AL102" t="s">
        <v>4759</v>
      </c>
      <c r="AM102" t="s">
        <v>19</v>
      </c>
      <c r="AN102" t="s">
        <v>524</v>
      </c>
      <c r="AO102" t="s">
        <v>4760</v>
      </c>
      <c r="AP102" t="s">
        <v>4761</v>
      </c>
      <c r="AQ102" t="s">
        <v>245</v>
      </c>
      <c r="AR102" t="s">
        <v>19</v>
      </c>
      <c r="AS102" t="s">
        <v>214</v>
      </c>
      <c r="AT102" t="s">
        <v>19</v>
      </c>
      <c r="AU102" t="s">
        <v>4762</v>
      </c>
      <c r="AV102" t="s">
        <v>4763</v>
      </c>
      <c r="AW102" t="s">
        <v>4764</v>
      </c>
      <c r="AX102" t="s">
        <v>2193</v>
      </c>
      <c r="AY102" t="s">
        <v>834</v>
      </c>
      <c r="AZ102" t="s">
        <v>431</v>
      </c>
      <c r="BA102" t="s">
        <v>486</v>
      </c>
      <c r="BB102" t="s">
        <v>975</v>
      </c>
      <c r="BC102" t="s">
        <v>4765</v>
      </c>
      <c r="BD102" t="s">
        <v>1669</v>
      </c>
      <c r="BE102" t="s">
        <v>1031</v>
      </c>
      <c r="BF102" t="s">
        <v>1032</v>
      </c>
      <c r="BG102" t="s">
        <v>1033</v>
      </c>
      <c r="BH102" t="s">
        <v>1431</v>
      </c>
      <c r="BI102" t="s">
        <v>4766</v>
      </c>
      <c r="BJ102" t="s">
        <v>2193</v>
      </c>
      <c r="BK102" t="s">
        <v>4767</v>
      </c>
      <c r="BL102" t="s">
        <v>4768</v>
      </c>
      <c r="BM102" t="s">
        <v>4765</v>
      </c>
      <c r="BN102">
        <v>1.61</v>
      </c>
      <c r="BO102">
        <v>4.05</v>
      </c>
      <c r="BP102">
        <v>6.58</v>
      </c>
      <c r="BQ102">
        <v>2.19</v>
      </c>
      <c r="BR102">
        <v>4.5599999999999996</v>
      </c>
      <c r="BS102">
        <v>7.23</v>
      </c>
      <c r="BT102" t="s">
        <v>4769</v>
      </c>
      <c r="BU102" t="s">
        <v>2920</v>
      </c>
      <c r="BV102">
        <v>15.49</v>
      </c>
      <c r="BW102">
        <v>13.7</v>
      </c>
      <c r="BX102">
        <v>18.07</v>
      </c>
      <c r="BY102">
        <v>2.77</v>
      </c>
      <c r="BZ102">
        <v>5.25</v>
      </c>
      <c r="CA102">
        <v>7.64</v>
      </c>
      <c r="CB102">
        <v>1.96</v>
      </c>
      <c r="CC102">
        <v>0.65</v>
      </c>
      <c r="CD102" t="s">
        <v>4770</v>
      </c>
      <c r="CE102" t="s">
        <v>4771</v>
      </c>
      <c r="CF102" s="14">
        <v>0.77601151691233083</v>
      </c>
      <c r="CG102" s="15">
        <v>-0.47201696904494106</v>
      </c>
      <c r="CH102" s="14">
        <v>-0.22943723201751709</v>
      </c>
      <c r="CI102" s="14">
        <v>0.11235955357551575</v>
      </c>
      <c r="CJ102" s="14">
        <v>0.18441064655780792</v>
      </c>
      <c r="CK102" s="14">
        <v>-6.2388591468334198E-2</v>
      </c>
      <c r="CL102" s="14">
        <v>2.1857922896742821E-2</v>
      </c>
      <c r="CM102" s="15">
        <v>-0.14746738970279694</v>
      </c>
      <c r="CN102" s="15">
        <v>-0.22964146733283997</v>
      </c>
      <c r="CO102" s="15">
        <v>-0.11505114287137985</v>
      </c>
      <c r="CP102" s="15">
        <v>-7.7255189418792725E-2</v>
      </c>
      <c r="CQ102" s="15">
        <v>1.1068510822951794E-2</v>
      </c>
      <c r="CR102">
        <v>45.877632976488762</v>
      </c>
      <c r="CS102">
        <v>85.585255289019841</v>
      </c>
      <c r="CT102">
        <v>0.29773211642821906</v>
      </c>
      <c r="CU102" s="14">
        <v>5.3604599088430405E-3</v>
      </c>
      <c r="CV102" s="15">
        <v>-0.11166933570057154</v>
      </c>
      <c r="CW102">
        <v>0.06</v>
      </c>
      <c r="CX102">
        <v>56.602682495708507</v>
      </c>
      <c r="CY102">
        <v>28946698.77393575</v>
      </c>
      <c r="CZ102">
        <v>5.3604599088430405E-3</v>
      </c>
      <c r="DA102">
        <v>19.884833344429598</v>
      </c>
      <c r="DB102">
        <v>82397512.295922115</v>
      </c>
      <c r="DC102">
        <v>5.0924369134008884E-3</v>
      </c>
      <c r="DD102">
        <v>10.747398244214166</v>
      </c>
      <c r="DE102">
        <v>152451855.11591712</v>
      </c>
      <c r="DF102">
        <v>4.7172047197818756E-3</v>
      </c>
      <c r="DG102">
        <v>7.13846214914994</v>
      </c>
      <c r="DH102">
        <v>229525738.9849872</v>
      </c>
      <c r="DI102">
        <v>4.2883679270744324E-3</v>
      </c>
      <c r="DJ102">
        <v>4.5310692390513641</v>
      </c>
      <c r="DK102">
        <v>361605774.16888738</v>
      </c>
      <c r="DL102">
        <v>3.7523219361901279E-3</v>
      </c>
      <c r="DM102">
        <v>30519899.999999996</v>
      </c>
      <c r="DN102">
        <v>5.3604599088430405E-3</v>
      </c>
      <c r="DO102">
        <v>1638460800</v>
      </c>
      <c r="DP102">
        <v>177621590</v>
      </c>
      <c r="DQ102">
        <v>2517</v>
      </c>
      <c r="DR102">
        <v>0.77065105700348779</v>
      </c>
      <c r="DS102">
        <v>-0.36034763334436953</v>
      </c>
      <c r="DT102" s="16">
        <v>-0.47333333333333333</v>
      </c>
      <c r="DU102">
        <v>-0.37000000000000005</v>
      </c>
      <c r="DV102">
        <v>-0.84333333333333338</v>
      </c>
      <c r="DW102">
        <v>6.5000000000000006E-3</v>
      </c>
      <c r="DX102">
        <v>0.4270576788855972</v>
      </c>
      <c r="DY102">
        <v>1.9308749127563837E-3</v>
      </c>
      <c r="DZ102">
        <v>310</v>
      </c>
      <c r="EA102">
        <v>1.813737687129284E-3</v>
      </c>
      <c r="EB102">
        <v>0</v>
      </c>
      <c r="EC102">
        <v>0.17582918629134509</v>
      </c>
      <c r="ED102">
        <v>0.59190251183192011</v>
      </c>
      <c r="EE102" s="17">
        <v>-1.0098100000000001</v>
      </c>
      <c r="EF102">
        <v>-1.0343100000000001</v>
      </c>
      <c r="EG102">
        <v>13.297057678885597</v>
      </c>
      <c r="EH102" t="s">
        <v>1838</v>
      </c>
      <c r="EI102">
        <v>0</v>
      </c>
      <c r="EJ102">
        <v>1</v>
      </c>
      <c r="EK102" s="19">
        <v>45470</v>
      </c>
      <c r="EL102" s="20">
        <v>-1.1399999999999999</v>
      </c>
      <c r="EM102" s="20">
        <v>-3.23</v>
      </c>
      <c r="EN102" s="20">
        <v>0.4</v>
      </c>
      <c r="EO102" s="20">
        <v>3.29</v>
      </c>
      <c r="EP102" s="20">
        <v>-2.4500000000000002</v>
      </c>
    </row>
    <row r="103" spans="1:146" ht="84" x14ac:dyDescent="0.25">
      <c r="A103" s="7"/>
      <c r="B103" s="7"/>
      <c r="C103" s="7" t="str">
        <f>""&amp;CHAR(10)&amp;Basic_Fundamental_Information_Constructure(F103)&amp;CHAR(10)&amp;Basic_Fundamental_Information_Concatenate("")</f>
        <v xml:space="preserve">
市值21.8192亿, 利润6936.21万; PE22.78; 平均PE34.36; 平均PEG4.42, PB2.24; ROIC8.32%; ROE10.42%; 股利率.4766%; 毛利30.1%; 净利20.3633%; 上一年度营收增4.67%, 利润增-29.25%; 当季营收增6.64%, 利润增-3.01%; 过往5年营收增7.78%, 利润增10.05%
Income profile:
</v>
      </c>
      <c r="D103" t="s">
        <v>1670</v>
      </c>
      <c r="E103" t="s">
        <v>1671</v>
      </c>
      <c r="F103">
        <v>20.98</v>
      </c>
      <c r="G103">
        <v>-4.6399999999999997</v>
      </c>
      <c r="H103" t="s">
        <v>4772</v>
      </c>
      <c r="I103">
        <v>2181920000</v>
      </c>
      <c r="J103">
        <v>22.78</v>
      </c>
      <c r="K103">
        <v>2.2400000000000002</v>
      </c>
      <c r="L103" t="s">
        <v>172</v>
      </c>
      <c r="M103" t="s">
        <v>361</v>
      </c>
      <c r="N103" t="s">
        <v>4773</v>
      </c>
      <c r="O103" t="s">
        <v>4774</v>
      </c>
      <c r="P103">
        <v>9.3699999999999992</v>
      </c>
      <c r="Q103" t="s">
        <v>2769</v>
      </c>
      <c r="R103">
        <v>19003093</v>
      </c>
      <c r="S103" s="5">
        <v>-5.7000000000000002E-2</v>
      </c>
      <c r="T103" t="s">
        <v>4775</v>
      </c>
      <c r="U103">
        <v>27300000</v>
      </c>
      <c r="V103">
        <v>104000000</v>
      </c>
      <c r="W103">
        <v>1.26</v>
      </c>
      <c r="X103">
        <v>0.08</v>
      </c>
      <c r="Y103">
        <v>19.21</v>
      </c>
      <c r="Z103" t="s">
        <v>4776</v>
      </c>
      <c r="AA103" t="s">
        <v>4777</v>
      </c>
      <c r="AB103" t="s">
        <v>4778</v>
      </c>
      <c r="AC103" t="s">
        <v>4779</v>
      </c>
      <c r="AD103" t="s">
        <v>19</v>
      </c>
      <c r="AE103">
        <v>-4002021</v>
      </c>
      <c r="AF103" t="s">
        <v>21</v>
      </c>
      <c r="AG103">
        <v>965.15</v>
      </c>
      <c r="AH103" t="s">
        <v>4780</v>
      </c>
      <c r="AI103" t="s">
        <v>1854</v>
      </c>
      <c r="AJ103" t="s">
        <v>4781</v>
      </c>
      <c r="AK103" t="s">
        <v>4782</v>
      </c>
      <c r="AL103" t="s">
        <v>4783</v>
      </c>
      <c r="AM103" t="s">
        <v>19</v>
      </c>
      <c r="AN103" t="s">
        <v>4784</v>
      </c>
      <c r="AO103" t="s">
        <v>229</v>
      </c>
      <c r="AP103" t="s">
        <v>4785</v>
      </c>
      <c r="AQ103" t="s">
        <v>4786</v>
      </c>
      <c r="AR103" t="s">
        <v>4787</v>
      </c>
      <c r="AS103" t="s">
        <v>95</v>
      </c>
      <c r="AT103" t="s">
        <v>19</v>
      </c>
      <c r="AU103" t="s">
        <v>4788</v>
      </c>
      <c r="AV103" t="s">
        <v>4789</v>
      </c>
      <c r="AW103" t="s">
        <v>4790</v>
      </c>
      <c r="AX103" t="s">
        <v>1873</v>
      </c>
      <c r="AY103" t="s">
        <v>444</v>
      </c>
      <c r="AZ103" t="s">
        <v>77</v>
      </c>
      <c r="BA103" t="s">
        <v>199</v>
      </c>
      <c r="BB103" t="s">
        <v>610</v>
      </c>
      <c r="BC103" t="s">
        <v>2256</v>
      </c>
      <c r="BD103" t="s">
        <v>2257</v>
      </c>
      <c r="BE103" t="s">
        <v>1672</v>
      </c>
      <c r="BF103" t="s">
        <v>1673</v>
      </c>
      <c r="BG103" t="s">
        <v>1674</v>
      </c>
      <c r="BH103" t="s">
        <v>1917</v>
      </c>
      <c r="BI103" t="s">
        <v>4791</v>
      </c>
      <c r="BJ103" t="s">
        <v>1873</v>
      </c>
      <c r="BK103" t="s">
        <v>4792</v>
      </c>
      <c r="BL103" t="s">
        <v>4793</v>
      </c>
      <c r="BM103" t="s">
        <v>2256</v>
      </c>
      <c r="BN103">
        <v>6.67</v>
      </c>
      <c r="BO103">
        <v>10.36</v>
      </c>
      <c r="BP103">
        <v>7.93</v>
      </c>
      <c r="BQ103">
        <v>8.39</v>
      </c>
      <c r="BR103">
        <v>11.95</v>
      </c>
      <c r="BS103">
        <v>10.92</v>
      </c>
      <c r="BT103" t="s">
        <v>2003</v>
      </c>
      <c r="BU103" t="s">
        <v>2920</v>
      </c>
      <c r="BV103">
        <v>33.4</v>
      </c>
      <c r="BW103">
        <v>30.37</v>
      </c>
      <c r="BX103">
        <v>26.53</v>
      </c>
      <c r="BY103">
        <v>23.2</v>
      </c>
      <c r="BZ103">
        <v>22.92</v>
      </c>
      <c r="CA103">
        <v>14.97</v>
      </c>
      <c r="CB103">
        <v>10.89</v>
      </c>
      <c r="CC103">
        <v>10.54</v>
      </c>
      <c r="CD103" t="s">
        <v>4794</v>
      </c>
      <c r="CE103" t="s">
        <v>4795</v>
      </c>
      <c r="CF103" s="14">
        <v>6.638372533627783E-2</v>
      </c>
      <c r="CG103" s="15">
        <v>-3.010309857142128E-2</v>
      </c>
      <c r="CH103" s="14">
        <v>4.6728972345590591E-2</v>
      </c>
      <c r="CI103" s="14">
        <v>0.20903955399990082</v>
      </c>
      <c r="CJ103" s="14">
        <v>0.25531914830207825</v>
      </c>
      <c r="CK103" s="14">
        <v>-7.5409837067127228E-2</v>
      </c>
      <c r="CL103" s="14">
        <v>-4.6875E-2</v>
      </c>
      <c r="CM103" s="15">
        <v>-0.29253467917442322</v>
      </c>
      <c r="CN103" s="15">
        <v>0.84955233335494995</v>
      </c>
      <c r="CO103" s="15">
        <v>1.7101737903431058E-3</v>
      </c>
      <c r="CP103" s="15">
        <v>2.9010223224759102E-2</v>
      </c>
      <c r="CQ103" s="15">
        <v>-8.5323147475719452E-2</v>
      </c>
      <c r="CR103">
        <v>34.362433018752782</v>
      </c>
      <c r="CS103">
        <v>4.4190049168099597</v>
      </c>
      <c r="CT103">
        <v>0.47664442326024786</v>
      </c>
      <c r="CU103" s="14">
        <v>7.776056751608848E-2</v>
      </c>
      <c r="CV103" s="15">
        <v>0.1004829807439819</v>
      </c>
      <c r="CW103">
        <v>0.06</v>
      </c>
      <c r="CX103">
        <v>19.5382357671919</v>
      </c>
      <c r="CY103">
        <v>70524279.490667611</v>
      </c>
      <c r="CZ103">
        <v>7.776056751608848E-2</v>
      </c>
      <c r="DA103">
        <v>6.4515237248376351</v>
      </c>
      <c r="DB103">
        <v>213580552.24925613</v>
      </c>
      <c r="DC103">
        <v>7.3872539140284049E-2</v>
      </c>
      <c r="DD103">
        <v>3.2201125585152544</v>
      </c>
      <c r="DE103">
        <v>427910507.77285194</v>
      </c>
      <c r="DF103">
        <v>6.842929941415786E-2</v>
      </c>
      <c r="DG103">
        <v>1.9639147165052997</v>
      </c>
      <c r="DH103">
        <v>701619061.36736345</v>
      </c>
      <c r="DI103">
        <v>6.2208454012870784E-2</v>
      </c>
      <c r="DJ103">
        <v>1.049267822053084</v>
      </c>
      <c r="DK103">
        <v>1313220486.7426965</v>
      </c>
      <c r="DL103">
        <v>5.4432397261261936E-2</v>
      </c>
      <c r="DM103">
        <v>69362100</v>
      </c>
      <c r="DN103">
        <v>7.776056751608848E-2</v>
      </c>
      <c r="DO103">
        <v>1377920000</v>
      </c>
      <c r="DP103">
        <v>867989700</v>
      </c>
      <c r="DQ103">
        <v>2559</v>
      </c>
      <c r="DR103">
        <v>-1.1376842179810651E-2</v>
      </c>
      <c r="DS103">
        <v>-0.13058607931540317</v>
      </c>
      <c r="DT103" s="16">
        <v>-0.15666666666666665</v>
      </c>
      <c r="DU103">
        <v>0.13333333333333333</v>
      </c>
      <c r="DV103">
        <v>-2.3333333333333317E-2</v>
      </c>
      <c r="DW103">
        <v>5.9678604224058764</v>
      </c>
      <c r="DX103">
        <v>0.71673327767640438</v>
      </c>
      <c r="DY103">
        <v>5.5194828968511755</v>
      </c>
      <c r="DZ103">
        <v>4245</v>
      </c>
      <c r="EA103">
        <v>5.0879359502497588</v>
      </c>
      <c r="EB103">
        <v>5</v>
      </c>
      <c r="EC103">
        <v>0.4890048076923077</v>
      </c>
      <c r="ED103">
        <v>0.91107596153846149</v>
      </c>
      <c r="EE103" s="17">
        <v>-1.1186</v>
      </c>
      <c r="EF103">
        <v>-1.0766</v>
      </c>
      <c r="EG103">
        <v>18.536733277676404</v>
      </c>
      <c r="EH103" t="s">
        <v>1844</v>
      </c>
      <c r="EI103">
        <v>1</v>
      </c>
      <c r="EJ103">
        <v>0</v>
      </c>
      <c r="EK103" s="19">
        <v>45470</v>
      </c>
      <c r="EL103" s="20">
        <v>-0.94</v>
      </c>
      <c r="EM103" s="20">
        <v>-4.55</v>
      </c>
      <c r="EN103" s="20">
        <v>0.78</v>
      </c>
      <c r="EO103" s="20">
        <v>11.09</v>
      </c>
      <c r="EP103" s="20">
        <v>-4.2</v>
      </c>
    </row>
    <row r="104" spans="1:146" ht="84" x14ac:dyDescent="0.25">
      <c r="A104" s="7"/>
      <c r="B104" s="7"/>
      <c r="C104" s="7" t="str">
        <f>""&amp;CHAR(10)&amp;Basic_Fundamental_Information_Constructure(F104)&amp;CHAR(10)&amp;Basic_Fundamental_Information_Concatenate("")</f>
        <v xml:space="preserve">
市值22.592266亿, 利润4087.88万; PE22.52; 平均PE44.79; 平均PEG1.67, PB2.36; ROIC6.0333%; ROE7.4267%; 股利率.7079%; 毛利24.3%; 净利8.1767%; 上一年度营收增46.64%, 利润增-21.87%; 当季营收增18.14%, 利润增275.93%; 过往5年营收增26.79%, 利润增-6.97%
Income profile:
</v>
      </c>
      <c r="D104" t="s">
        <v>1675</v>
      </c>
      <c r="E104" t="s">
        <v>1676</v>
      </c>
      <c r="F104">
        <v>21.19</v>
      </c>
      <c r="G104">
        <v>-2.8</v>
      </c>
      <c r="H104" t="s">
        <v>4796</v>
      </c>
      <c r="I104">
        <v>2259226600</v>
      </c>
      <c r="J104">
        <v>22.52</v>
      </c>
      <c r="K104">
        <v>2.36</v>
      </c>
      <c r="L104" t="s">
        <v>172</v>
      </c>
      <c r="M104" t="s">
        <v>1842</v>
      </c>
      <c r="N104" t="s">
        <v>1950</v>
      </c>
      <c r="O104" t="s">
        <v>861</v>
      </c>
      <c r="P104">
        <v>35.479999999999997</v>
      </c>
      <c r="Q104" t="s">
        <v>1251</v>
      </c>
      <c r="R104">
        <v>27022620</v>
      </c>
      <c r="S104" s="5">
        <v>0.53700000000000003</v>
      </c>
      <c r="T104" t="s">
        <v>4797</v>
      </c>
      <c r="U104">
        <v>35024050</v>
      </c>
      <c r="V104">
        <v>106617586</v>
      </c>
      <c r="W104">
        <v>1.53</v>
      </c>
      <c r="X104">
        <v>0.16</v>
      </c>
      <c r="Y104">
        <v>9.9700000000000006</v>
      </c>
      <c r="Z104" t="s">
        <v>604</v>
      </c>
      <c r="AA104" t="s">
        <v>101</v>
      </c>
      <c r="AB104" t="s">
        <v>4798</v>
      </c>
      <c r="AC104" t="s">
        <v>4799</v>
      </c>
      <c r="AD104" t="s">
        <v>19</v>
      </c>
      <c r="AE104">
        <v>-842676</v>
      </c>
      <c r="AF104" t="s">
        <v>4800</v>
      </c>
      <c r="AG104" t="s">
        <v>4801</v>
      </c>
      <c r="AH104" t="s">
        <v>4802</v>
      </c>
      <c r="AI104" t="s">
        <v>411</v>
      </c>
      <c r="AJ104" t="s">
        <v>4803</v>
      </c>
      <c r="AK104" t="s">
        <v>4804</v>
      </c>
      <c r="AL104" t="s">
        <v>4805</v>
      </c>
      <c r="AM104" t="s">
        <v>19</v>
      </c>
      <c r="AN104" t="s">
        <v>155</v>
      </c>
      <c r="AO104" t="s">
        <v>4806</v>
      </c>
      <c r="AP104" t="s">
        <v>19</v>
      </c>
      <c r="AQ104" t="s">
        <v>68</v>
      </c>
      <c r="AR104" t="s">
        <v>19</v>
      </c>
      <c r="AS104" t="s">
        <v>1382</v>
      </c>
      <c r="AT104" t="s">
        <v>19</v>
      </c>
      <c r="AU104" t="s">
        <v>4807</v>
      </c>
      <c r="AV104" t="s">
        <v>1896</v>
      </c>
      <c r="AW104" t="s">
        <v>4808</v>
      </c>
      <c r="AX104" t="s">
        <v>2059</v>
      </c>
      <c r="AY104" t="s">
        <v>975</v>
      </c>
      <c r="AZ104" t="s">
        <v>1117</v>
      </c>
      <c r="BA104" t="s">
        <v>134</v>
      </c>
      <c r="BB104" t="s">
        <v>803</v>
      </c>
      <c r="BC104" t="s">
        <v>2258</v>
      </c>
      <c r="BD104" t="s">
        <v>1677</v>
      </c>
      <c r="BE104" t="s">
        <v>1678</v>
      </c>
      <c r="BF104" t="s">
        <v>1679</v>
      </c>
      <c r="BG104" t="s">
        <v>1680</v>
      </c>
      <c r="BH104" t="s">
        <v>3814</v>
      </c>
      <c r="BI104" t="s">
        <v>337</v>
      </c>
      <c r="BJ104" t="s">
        <v>2059</v>
      </c>
      <c r="BK104" t="s">
        <v>4809</v>
      </c>
      <c r="BL104" t="s">
        <v>4810</v>
      </c>
      <c r="BM104" t="s">
        <v>2258</v>
      </c>
      <c r="BN104">
        <v>5.76</v>
      </c>
      <c r="BO104">
        <v>5.79</v>
      </c>
      <c r="BP104">
        <v>6.55</v>
      </c>
      <c r="BQ104">
        <v>7.17</v>
      </c>
      <c r="BR104">
        <v>6.34</v>
      </c>
      <c r="BS104">
        <v>8.77</v>
      </c>
      <c r="BT104" t="s">
        <v>2045</v>
      </c>
      <c r="BU104" t="s">
        <v>3084</v>
      </c>
      <c r="BV104">
        <v>25.49</v>
      </c>
      <c r="BW104">
        <v>19.559999999999999</v>
      </c>
      <c r="BX104">
        <v>27.85</v>
      </c>
      <c r="BY104">
        <v>9.7799999999999994</v>
      </c>
      <c r="BZ104">
        <v>7.18</v>
      </c>
      <c r="CA104">
        <v>7.57</v>
      </c>
      <c r="CB104">
        <v>-2.75</v>
      </c>
      <c r="CC104">
        <v>-1.67</v>
      </c>
      <c r="CD104" t="s">
        <v>4811</v>
      </c>
      <c r="CE104" t="s">
        <v>4812</v>
      </c>
      <c r="CF104" s="14">
        <v>0.18141592920353997</v>
      </c>
      <c r="CG104" s="15">
        <v>2.7592504486457159</v>
      </c>
      <c r="CH104" s="14">
        <v>0.46639230847358704</v>
      </c>
      <c r="CI104" s="14">
        <v>0.32786884903907776</v>
      </c>
      <c r="CJ104" s="14">
        <v>0.38636362552642822</v>
      </c>
      <c r="CK104" s="14">
        <v>5.3191490471363068E-2</v>
      </c>
      <c r="CL104" s="14">
        <v>0.10588235408067703</v>
      </c>
      <c r="CM104" s="15">
        <v>-0.2187027633190155</v>
      </c>
      <c r="CN104" s="15">
        <v>0.25844106078147888</v>
      </c>
      <c r="CO104" s="15">
        <v>-0.14626403152942657</v>
      </c>
      <c r="CP104" s="15">
        <v>-0.13245722651481628</v>
      </c>
      <c r="CQ104" s="15">
        <v>-0.10963091254234314</v>
      </c>
      <c r="CR104">
        <v>44.787594479327872</v>
      </c>
      <c r="CS104">
        <v>1.6715548391603166</v>
      </c>
      <c r="CT104">
        <v>0.70788107597923544</v>
      </c>
      <c r="CU104" s="14">
        <v>0.26793972551822665</v>
      </c>
      <c r="CV104" s="15">
        <v>-6.9722774624824527E-2</v>
      </c>
      <c r="CW104">
        <v>0.06</v>
      </c>
      <c r="CX104">
        <v>36.079747016370888</v>
      </c>
      <c r="CY104">
        <v>48897975.897655174</v>
      </c>
      <c r="CZ104">
        <v>0.26793972551822665</v>
      </c>
      <c r="DA104">
        <v>10.173611692138516</v>
      </c>
      <c r="DB104">
        <v>173412024.49895701</v>
      </c>
      <c r="DC104">
        <v>0.2545427392423153</v>
      </c>
      <c r="DD104">
        <v>4.0632025544632544</v>
      </c>
      <c r="DE104">
        <v>434196074.73471206</v>
      </c>
      <c r="DF104">
        <v>0.23578695845603945</v>
      </c>
      <c r="DG104">
        <v>1.8955601064393088</v>
      </c>
      <c r="DH104">
        <v>930715198.11312628</v>
      </c>
      <c r="DI104">
        <v>0.21435178041458133</v>
      </c>
      <c r="DJ104">
        <v>0.5325488186606484</v>
      </c>
      <c r="DK104">
        <v>3312797884.7779651</v>
      </c>
      <c r="DL104">
        <v>0.18755780786275864</v>
      </c>
      <c r="DM104">
        <v>40878800</v>
      </c>
      <c r="DN104">
        <v>0.26793972551822665</v>
      </c>
      <c r="DO104">
        <v>1764226600</v>
      </c>
      <c r="DP104">
        <v>726503570</v>
      </c>
      <c r="DQ104">
        <v>2572</v>
      </c>
      <c r="DR104">
        <v>-8.652379631468668E-2</v>
      </c>
      <c r="DS104">
        <v>2.8289732232705402</v>
      </c>
      <c r="DT104" s="16">
        <v>1.0000000000000011E-2</v>
      </c>
      <c r="DU104">
        <v>0.42333333333333334</v>
      </c>
      <c r="DV104">
        <v>0.43333333333333335</v>
      </c>
      <c r="DW104">
        <v>-4.6072727272727274</v>
      </c>
      <c r="DX104">
        <v>0.47854537395776464</v>
      </c>
      <c r="DY104">
        <v>-4.1934439180034424</v>
      </c>
      <c r="DZ104">
        <v>2568</v>
      </c>
      <c r="EA104">
        <v>-4.096229831617368</v>
      </c>
      <c r="EB104">
        <v>4</v>
      </c>
      <c r="EC104">
        <v>0.25755225784234131</v>
      </c>
      <c r="ED104">
        <v>0.80852609062073488</v>
      </c>
      <c r="EE104" s="17">
        <v>5.0343999999999998</v>
      </c>
      <c r="EF104">
        <v>5.0792000000000002</v>
      </c>
      <c r="EG104">
        <v>16.318545373957765</v>
      </c>
      <c r="EH104" t="s">
        <v>2856</v>
      </c>
      <c r="EI104">
        <v>0</v>
      </c>
      <c r="EJ104">
        <v>0</v>
      </c>
      <c r="EK104" s="19">
        <v>45470</v>
      </c>
      <c r="EL104" s="20">
        <v>19.989999999999998</v>
      </c>
      <c r="EM104" s="20">
        <v>11.54</v>
      </c>
      <c r="EN104" s="20">
        <v>-13.99</v>
      </c>
      <c r="EO104" s="20">
        <v>20.010000000000002</v>
      </c>
      <c r="EP104" s="20">
        <v>4.4800000000000004</v>
      </c>
    </row>
    <row r="105" spans="1:146" ht="84" x14ac:dyDescent="0.25">
      <c r="C105" s="7" t="str">
        <f>""&amp;CHAR(10)&amp;Basic_Fundamental_Information_Constructure(F105)&amp;CHAR(10)&amp;Basic_Fundamental_Information_Concatenate("")</f>
        <v xml:space="preserve">
市值24.49亿, 利润2.17亿; PE24.37; 平均PE19.73; 平均PEG.52, PB1.48; ROIC9.7%; ROE9.6%; 股利率1.0208%; 毛利21.0067%; 净利10.08%; 上一年度营收增144.91%, 利润增136.83%; 当季营收增-44.4%, 利润增-31.83%; 过往5年营收增37.88%, 利润增26.06%
Income profile:
</v>
      </c>
      <c r="D105" t="s">
        <v>2259</v>
      </c>
      <c r="E105" t="s">
        <v>2260</v>
      </c>
      <c r="F105">
        <v>24.49</v>
      </c>
      <c r="G105">
        <v>-4.82</v>
      </c>
      <c r="H105" t="s">
        <v>4813</v>
      </c>
      <c r="I105">
        <v>2449000000</v>
      </c>
      <c r="J105">
        <v>24.37</v>
      </c>
      <c r="K105">
        <v>1.48</v>
      </c>
      <c r="L105" t="s">
        <v>172</v>
      </c>
      <c r="M105" t="s">
        <v>432</v>
      </c>
      <c r="N105" t="s">
        <v>4814</v>
      </c>
      <c r="O105" t="s">
        <v>61</v>
      </c>
      <c r="P105" s="5">
        <v>8.5299999999999994</v>
      </c>
      <c r="Q105" t="s">
        <v>4815</v>
      </c>
      <c r="R105">
        <v>28170938</v>
      </c>
      <c r="S105">
        <v>0.3528</v>
      </c>
      <c r="T105" t="s">
        <v>977</v>
      </c>
      <c r="U105">
        <v>33575425</v>
      </c>
      <c r="V105">
        <v>100000000</v>
      </c>
      <c r="W105">
        <v>1.1100000000000001</v>
      </c>
      <c r="X105">
        <v>0.14000000000000001</v>
      </c>
      <c r="Y105">
        <v>10.73</v>
      </c>
      <c r="Z105" t="s">
        <v>373</v>
      </c>
      <c r="AA105" t="s">
        <v>535</v>
      </c>
      <c r="AB105" t="s">
        <v>4816</v>
      </c>
      <c r="AC105" t="s">
        <v>4817</v>
      </c>
      <c r="AD105" t="s">
        <v>19</v>
      </c>
      <c r="AE105">
        <v>-1772401</v>
      </c>
      <c r="AF105" t="s">
        <v>4818</v>
      </c>
      <c r="AG105" t="s">
        <v>4819</v>
      </c>
      <c r="AH105" t="s">
        <v>4820</v>
      </c>
      <c r="AI105" t="s">
        <v>141</v>
      </c>
      <c r="AJ105" t="s">
        <v>4821</v>
      </c>
      <c r="AK105" t="s">
        <v>4822</v>
      </c>
      <c r="AL105" t="s">
        <v>4823</v>
      </c>
      <c r="AM105" t="s">
        <v>19</v>
      </c>
      <c r="AN105" t="s">
        <v>4824</v>
      </c>
      <c r="AO105" t="s">
        <v>19</v>
      </c>
      <c r="AP105" t="s">
        <v>4825</v>
      </c>
      <c r="AQ105" t="s">
        <v>4826</v>
      </c>
      <c r="AR105" t="s">
        <v>19</v>
      </c>
      <c r="AS105" t="s">
        <v>1022</v>
      </c>
      <c r="AT105" t="s">
        <v>19</v>
      </c>
      <c r="AU105" t="s">
        <v>4827</v>
      </c>
      <c r="AV105" t="s">
        <v>4828</v>
      </c>
      <c r="AW105" t="s">
        <v>4829</v>
      </c>
      <c r="AX105" t="s">
        <v>2262</v>
      </c>
      <c r="AY105" t="s">
        <v>2028</v>
      </c>
      <c r="AZ105" t="s">
        <v>1903</v>
      </c>
      <c r="BA105" t="s">
        <v>1566</v>
      </c>
      <c r="BB105" t="s">
        <v>1842</v>
      </c>
      <c r="BC105" t="s">
        <v>2681</v>
      </c>
      <c r="BD105" t="s">
        <v>2682</v>
      </c>
      <c r="BE105" t="s">
        <v>506</v>
      </c>
      <c r="BF105" t="s">
        <v>593</v>
      </c>
      <c r="BG105" t="s">
        <v>242</v>
      </c>
      <c r="BH105" t="s">
        <v>4830</v>
      </c>
      <c r="BI105" t="s">
        <v>582</v>
      </c>
      <c r="BJ105" t="s">
        <v>2262</v>
      </c>
      <c r="BK105" t="s">
        <v>4831</v>
      </c>
      <c r="BL105" t="s">
        <v>4832</v>
      </c>
      <c r="BM105" t="s">
        <v>2681</v>
      </c>
      <c r="BN105">
        <v>5.59</v>
      </c>
      <c r="BO105">
        <v>11.72</v>
      </c>
      <c r="BP105">
        <v>11.79</v>
      </c>
      <c r="BQ105">
        <v>6.66</v>
      </c>
      <c r="BR105">
        <v>12.54</v>
      </c>
      <c r="BS105" t="s">
        <v>19</v>
      </c>
      <c r="BT105" t="s">
        <v>2030</v>
      </c>
      <c r="BU105" t="s">
        <v>2920</v>
      </c>
      <c r="BV105">
        <v>19.82</v>
      </c>
      <c r="BW105">
        <v>21.42</v>
      </c>
      <c r="BX105">
        <v>21.78</v>
      </c>
      <c r="BY105">
        <v>9.2200000000000006</v>
      </c>
      <c r="BZ105">
        <v>10.48</v>
      </c>
      <c r="CA105">
        <v>10.54</v>
      </c>
      <c r="CB105">
        <v>-5.99</v>
      </c>
      <c r="CC105" s="14">
        <v>4.6100000000000003</v>
      </c>
      <c r="CD105" s="15" t="s">
        <v>4833</v>
      </c>
      <c r="CE105" s="14" t="s">
        <v>4834</v>
      </c>
      <c r="CF105" s="14">
        <v>-0.44397463002114174</v>
      </c>
      <c r="CG105" s="14">
        <v>-0.31827791652146981</v>
      </c>
      <c r="CH105" s="14">
        <v>1.4491428136825562</v>
      </c>
      <c r="CI105" s="14">
        <v>0.15283267199993134</v>
      </c>
      <c r="CJ105" s="15">
        <v>0.11453744769096375</v>
      </c>
      <c r="CK105" s="15">
        <v>-7.2886296547949314E-3</v>
      </c>
      <c r="CL105" s="15">
        <v>0.184801384806633</v>
      </c>
      <c r="CM105" s="15">
        <v>1.3683465719223022</v>
      </c>
      <c r="CN105" s="15">
        <v>0.14436683058738708</v>
      </c>
      <c r="CO105">
        <v>-0.31567350029945374</v>
      </c>
      <c r="CP105">
        <v>-0.10687022656202316</v>
      </c>
      <c r="CQ105">
        <v>0.21296297013759613</v>
      </c>
      <c r="CR105" s="14">
        <v>19.73166599368087</v>
      </c>
      <c r="CS105" s="15">
        <v>0.52089224853766836</v>
      </c>
      <c r="CT105">
        <v>1.0208248264597797</v>
      </c>
      <c r="CU105">
        <v>0.37880513770505786</v>
      </c>
      <c r="CV105">
        <v>0.26062652915716172</v>
      </c>
      <c r="CW105">
        <v>0.06</v>
      </c>
      <c r="CX105">
        <v>3.5994566404186057</v>
      </c>
      <c r="CY105">
        <v>282264825.36037505</v>
      </c>
      <c r="CZ105">
        <v>0.37880513770505786</v>
      </c>
      <c r="DA105">
        <v>0.92895574054294161</v>
      </c>
      <c r="DB105">
        <v>1093701191.1958089</v>
      </c>
      <c r="DC105">
        <v>0.35986488081980494</v>
      </c>
      <c r="DD105">
        <v>0.32414482458342836</v>
      </c>
      <c r="DE105">
        <v>3134401424.751121</v>
      </c>
      <c r="DF105">
        <v>0.33334852118045094</v>
      </c>
      <c r="DG105">
        <v>0.12693000514794769</v>
      </c>
      <c r="DH105">
        <v>8004411555.9261637</v>
      </c>
      <c r="DI105">
        <v>0.30304411016404631</v>
      </c>
      <c r="DJ105">
        <v>2.271827787700573E-2</v>
      </c>
      <c r="DK105">
        <v>44721699659.653465</v>
      </c>
      <c r="DL105">
        <v>0.26516359639354048</v>
      </c>
      <c r="DM105">
        <v>217000000</v>
      </c>
      <c r="DN105">
        <v>0.37880513770505786</v>
      </c>
      <c r="DO105">
        <v>1016000000</v>
      </c>
      <c r="DP105">
        <v>1198821900</v>
      </c>
      <c r="DQ105" s="16">
        <v>2599</v>
      </c>
      <c r="DR105">
        <v>-0.82277976772619965</v>
      </c>
      <c r="DS105">
        <v>-0.57890444567863153</v>
      </c>
      <c r="DT105">
        <v>0.14333333333333331</v>
      </c>
      <c r="DU105">
        <v>7.999999999999996E-2</v>
      </c>
      <c r="DV105">
        <v>0.22333333333333327</v>
      </c>
      <c r="DW105">
        <v>-4.7696160267111853</v>
      </c>
      <c r="DX105">
        <v>0.40185854325377168</v>
      </c>
      <c r="DY105">
        <v>-4.1784420508180107</v>
      </c>
      <c r="DZ105">
        <v>4784</v>
      </c>
      <c r="EA105">
        <v>-4.0113839742791919</v>
      </c>
      <c r="EB105" s="17">
        <v>4</v>
      </c>
      <c r="EC105" s="17">
        <v>0.20865900000000001</v>
      </c>
      <c r="ED105">
        <v>0.89994099999999999</v>
      </c>
      <c r="EE105">
        <v>0.12789999999999999</v>
      </c>
      <c r="EF105">
        <v>1.0221</v>
      </c>
      <c r="EG105">
        <v>17.231858543253772</v>
      </c>
      <c r="EH105" s="19" t="s">
        <v>1832</v>
      </c>
      <c r="EI105" s="20">
        <v>0</v>
      </c>
      <c r="EJ105" s="20">
        <v>0</v>
      </c>
      <c r="EK105" s="20">
        <v>45470</v>
      </c>
      <c r="EL105" s="20">
        <v>-1.25</v>
      </c>
      <c r="EM105" s="20">
        <v>-4.13</v>
      </c>
      <c r="EN105" s="20">
        <v>-1.25</v>
      </c>
      <c r="EO105" s="20">
        <v>8.1999999999999993</v>
      </c>
      <c r="EP105" s="20">
        <v>4.42</v>
      </c>
    </row>
    <row r="106" spans="1:146" ht="84" x14ac:dyDescent="0.25">
      <c r="A106" s="7"/>
      <c r="B106" s="7"/>
      <c r="C106" s="7" t="str">
        <f>""&amp;CHAR(10)&amp;Basic_Fundamental_Information_Constructure(F106)&amp;CHAR(10)&amp;Basic_Fundamental_Information_Concatenate("")</f>
        <v xml:space="preserve">
市值25.7868亿, 利润-5682.02万; PE17.15; 平均PE36.57; 平均PEG2.36, PB1.79; ROIC16.3867%; ROE15.8133%; 股利率2.2686%; 毛利33.1067%; 净利23.5433%; 上一年度营收增5.41%, 利润增-146.96%; 当季营收增23.76%, 利润增594.38%; 过往5年营收增15.51%, 利润增2.07%
Income profile:
</v>
      </c>
      <c r="D106" t="s">
        <v>1681</v>
      </c>
      <c r="E106" t="s">
        <v>1682</v>
      </c>
      <c r="F106">
        <v>22.04</v>
      </c>
      <c r="G106">
        <v>-1.65</v>
      </c>
      <c r="H106" t="s">
        <v>4835</v>
      </c>
      <c r="I106">
        <v>2578680000</v>
      </c>
      <c r="J106">
        <v>17.149999999999999</v>
      </c>
      <c r="K106">
        <v>1.79</v>
      </c>
      <c r="L106" t="s">
        <v>172</v>
      </c>
      <c r="M106" t="s">
        <v>37</v>
      </c>
      <c r="N106" t="s">
        <v>2820</v>
      </c>
      <c r="O106" t="s">
        <v>632</v>
      </c>
      <c r="P106">
        <v>-1.02</v>
      </c>
      <c r="Q106" t="s">
        <v>1846</v>
      </c>
      <c r="R106">
        <v>32669607</v>
      </c>
      <c r="S106" s="5">
        <v>4.9500000000000002E-2</v>
      </c>
      <c r="T106" t="s">
        <v>4836</v>
      </c>
      <c r="U106">
        <v>39000000</v>
      </c>
      <c r="V106">
        <v>117000000</v>
      </c>
      <c r="W106">
        <v>1.1100000000000001</v>
      </c>
      <c r="X106">
        <v>0.08</v>
      </c>
      <c r="Y106">
        <v>26.11</v>
      </c>
      <c r="Z106" t="s">
        <v>4837</v>
      </c>
      <c r="AA106" t="s">
        <v>4838</v>
      </c>
      <c r="AB106" t="s">
        <v>4839</v>
      </c>
      <c r="AC106" t="s">
        <v>4840</v>
      </c>
      <c r="AD106" t="s">
        <v>19</v>
      </c>
      <c r="AE106">
        <v>-481987</v>
      </c>
      <c r="AF106" t="s">
        <v>4841</v>
      </c>
      <c r="AG106">
        <v>1433.63</v>
      </c>
      <c r="AH106" t="s">
        <v>4842</v>
      </c>
      <c r="AI106" t="s">
        <v>406</v>
      </c>
      <c r="AJ106" t="s">
        <v>4843</v>
      </c>
      <c r="AK106" t="s">
        <v>4844</v>
      </c>
      <c r="AL106" t="s">
        <v>4845</v>
      </c>
      <c r="AM106" t="s">
        <v>19</v>
      </c>
      <c r="AN106" t="s">
        <v>4846</v>
      </c>
      <c r="AO106" t="s">
        <v>19</v>
      </c>
      <c r="AP106" t="s">
        <v>4847</v>
      </c>
      <c r="AQ106" t="s">
        <v>4848</v>
      </c>
      <c r="AR106" t="s">
        <v>19</v>
      </c>
      <c r="AS106" t="s">
        <v>564</v>
      </c>
      <c r="AT106" t="s">
        <v>19</v>
      </c>
      <c r="AU106" t="s">
        <v>4849</v>
      </c>
      <c r="AV106" t="s">
        <v>4850</v>
      </c>
      <c r="AW106" t="s">
        <v>19</v>
      </c>
      <c r="AX106" t="s">
        <v>1872</v>
      </c>
      <c r="AY106" t="s">
        <v>36</v>
      </c>
      <c r="AZ106" t="s">
        <v>1683</v>
      </c>
      <c r="BA106" t="s">
        <v>1378</v>
      </c>
      <c r="BB106" t="s">
        <v>610</v>
      </c>
      <c r="BC106" t="s">
        <v>323</v>
      </c>
      <c r="BD106" t="s">
        <v>367</v>
      </c>
      <c r="BE106" t="s">
        <v>392</v>
      </c>
      <c r="BF106" t="s">
        <v>1684</v>
      </c>
      <c r="BG106" t="s">
        <v>1685</v>
      </c>
      <c r="BH106" t="s">
        <v>2574</v>
      </c>
      <c r="BI106" t="s">
        <v>367</v>
      </c>
      <c r="BJ106" t="s">
        <v>1872</v>
      </c>
      <c r="BK106" t="s">
        <v>387</v>
      </c>
      <c r="BL106" t="s">
        <v>4851</v>
      </c>
      <c r="BM106" t="s">
        <v>323</v>
      </c>
      <c r="BN106">
        <v>7.89</v>
      </c>
      <c r="BO106">
        <v>13.61</v>
      </c>
      <c r="BP106">
        <v>27.66</v>
      </c>
      <c r="BQ106">
        <v>8.31</v>
      </c>
      <c r="BR106">
        <v>10.72</v>
      </c>
      <c r="BS106">
        <v>28.41</v>
      </c>
      <c r="BT106" t="s">
        <v>2053</v>
      </c>
      <c r="BU106" t="s">
        <v>2920</v>
      </c>
      <c r="BV106">
        <v>34.89</v>
      </c>
      <c r="BW106">
        <v>32.9</v>
      </c>
      <c r="BX106">
        <v>31.53</v>
      </c>
      <c r="BY106">
        <v>26.06</v>
      </c>
      <c r="BZ106">
        <v>23.4</v>
      </c>
      <c r="CA106">
        <v>21.17</v>
      </c>
      <c r="CB106">
        <v>-2.82</v>
      </c>
      <c r="CC106">
        <v>9.65</v>
      </c>
      <c r="CD106" t="s">
        <v>4852</v>
      </c>
      <c r="CE106" t="s">
        <v>4853</v>
      </c>
      <c r="CF106" s="14">
        <v>0.23762376237623761</v>
      </c>
      <c r="CG106" s="15">
        <v>5.9437981598619887</v>
      </c>
      <c r="CH106" s="14">
        <v>5.4054055362939835E-2</v>
      </c>
      <c r="CI106" s="14">
        <v>8.1419624388217926E-2</v>
      </c>
      <c r="CJ106" s="14">
        <v>-0.24208860099315643</v>
      </c>
      <c r="CK106" s="14">
        <v>0.12255772948265076</v>
      </c>
      <c r="CL106" s="14">
        <v>0.75937497615814209</v>
      </c>
      <c r="CM106" s="15">
        <v>-1.4695883989334106</v>
      </c>
      <c r="CN106" s="15">
        <v>0.19801980257034302</v>
      </c>
      <c r="CO106" s="15">
        <v>-0.18548387289047241</v>
      </c>
      <c r="CP106" s="15">
        <v>0.34398114681243896</v>
      </c>
      <c r="CQ106" s="15">
        <v>1.2165173292160034</v>
      </c>
      <c r="CR106">
        <v>36.571116294933944</v>
      </c>
      <c r="CS106">
        <v>2.3584597845444972</v>
      </c>
      <c r="CT106">
        <v>2.2686025408348458</v>
      </c>
      <c r="CU106" s="14">
        <v>0.15506355687975884</v>
      </c>
      <c r="CV106" s="15">
        <v>2.0689201354980469E-2</v>
      </c>
      <c r="CW106">
        <v>0.06</v>
      </c>
      <c r="CX106" t="e">
        <v>#VALUE!</v>
      </c>
      <c r="CY106" t="s">
        <v>1835</v>
      </c>
      <c r="CZ106">
        <v>0.15506355687975884</v>
      </c>
      <c r="DA106" t="e">
        <v>#VALUE!</v>
      </c>
      <c r="DB106" t="s">
        <v>1835</v>
      </c>
      <c r="DC106">
        <v>0.14731037903577091</v>
      </c>
      <c r="DD106" t="e">
        <v>#VALUE!</v>
      </c>
      <c r="DE106" t="s">
        <v>1835</v>
      </c>
      <c r="DF106">
        <v>0.13645593005418777</v>
      </c>
      <c r="DG106" t="e">
        <v>#VALUE!</v>
      </c>
      <c r="DH106" t="s">
        <v>1835</v>
      </c>
      <c r="DI106">
        <v>0.12405084550380707</v>
      </c>
      <c r="DJ106" t="e">
        <v>#VALUE!</v>
      </c>
      <c r="DK106" t="s">
        <v>1835</v>
      </c>
      <c r="DL106">
        <v>0.10854448981583119</v>
      </c>
      <c r="DM106">
        <v>-56820200.000000007</v>
      </c>
      <c r="DN106">
        <v>0.15506355687975884</v>
      </c>
      <c r="DO106">
        <v>1319680000</v>
      </c>
      <c r="DP106">
        <v>1273630000</v>
      </c>
      <c r="DQ106">
        <v>2608</v>
      </c>
      <c r="DR106">
        <v>8.2560205496478772E-2</v>
      </c>
      <c r="DS106">
        <v>5.923108958507008</v>
      </c>
      <c r="DT106" s="16">
        <v>-0.37333333333333335</v>
      </c>
      <c r="DU106">
        <v>-0.41666666666666669</v>
      </c>
      <c r="DV106">
        <v>-0.79</v>
      </c>
      <c r="DW106">
        <v>-6.2261427425821969</v>
      </c>
      <c r="DX106">
        <v>0.48301753547385445</v>
      </c>
      <c r="DY106">
        <v>-6.0662637890967339</v>
      </c>
      <c r="DZ106">
        <v>3176</v>
      </c>
      <c r="EA106">
        <v>-6.0250790935642042</v>
      </c>
      <c r="EB106">
        <v>6</v>
      </c>
      <c r="EC106">
        <v>0.23682478632478632</v>
      </c>
      <c r="ED106">
        <v>0.80822735042735039</v>
      </c>
      <c r="EE106" s="17">
        <v>2.0106099999999998</v>
      </c>
      <c r="EF106">
        <v>2.0291100000000002</v>
      </c>
      <c r="EG106">
        <v>19.293017535473854</v>
      </c>
      <c r="EH106" t="s">
        <v>1836</v>
      </c>
      <c r="EI106">
        <v>0</v>
      </c>
      <c r="EJ106">
        <v>0</v>
      </c>
      <c r="EK106" s="19">
        <v>45470</v>
      </c>
      <c r="EL106" s="20">
        <v>-8.0299999999999994</v>
      </c>
      <c r="EM106" s="20">
        <v>-6.79</v>
      </c>
      <c r="EN106" s="20">
        <v>0.47</v>
      </c>
      <c r="EO106" s="20">
        <v>1.41</v>
      </c>
      <c r="EP106" s="20">
        <v>-1.85</v>
      </c>
    </row>
    <row r="107" spans="1:146" ht="84" x14ac:dyDescent="0.25">
      <c r="A107" s="7"/>
      <c r="B107" s="7"/>
      <c r="C107" s="7" t="str">
        <f>""&amp;CHAR(10)&amp;Basic_Fundamental_Information_Constructure(F107)&amp;CHAR(10)&amp;Basic_Fundamental_Information_Concatenate("")</f>
        <v xml:space="preserve">
市值25.149628亿, 利润1.75亿; PE24.39; 平均PE29.22; 平均PEG.99, PB2; ROIC5.6067%; ROE6.89%; 股利率1.6312%; 毛利32.87%; 净利13.5133%; 上一年度营收增137.96%, 利润增153.6%; 当季营收增-34.02%, 利润增25.21%; 过往5年营收增29.39%, 利润增28.93%
Income profile:
</v>
      </c>
      <c r="D107" t="s">
        <v>1686</v>
      </c>
      <c r="E107" t="s">
        <v>1687</v>
      </c>
      <c r="F107">
        <v>34.33</v>
      </c>
      <c r="G107">
        <v>-1.41</v>
      </c>
      <c r="H107" t="s">
        <v>4854</v>
      </c>
      <c r="I107">
        <v>2514962800</v>
      </c>
      <c r="J107">
        <v>24.39</v>
      </c>
      <c r="K107">
        <v>2</v>
      </c>
      <c r="L107" t="s">
        <v>172</v>
      </c>
      <c r="M107" t="s">
        <v>2559</v>
      </c>
      <c r="N107" t="s">
        <v>2515</v>
      </c>
      <c r="O107" t="s">
        <v>209</v>
      </c>
      <c r="P107">
        <v>15.83</v>
      </c>
      <c r="Q107" t="s">
        <v>2527</v>
      </c>
      <c r="R107">
        <v>23631306</v>
      </c>
      <c r="S107" s="5">
        <v>0.48480000000000001</v>
      </c>
      <c r="T107" t="s">
        <v>94</v>
      </c>
      <c r="U107">
        <v>22100368</v>
      </c>
      <c r="V107">
        <v>73258456</v>
      </c>
      <c r="W107">
        <v>1.63</v>
      </c>
      <c r="X107">
        <v>0.08</v>
      </c>
      <c r="Y107">
        <v>15.12</v>
      </c>
      <c r="Z107" t="s">
        <v>593</v>
      </c>
      <c r="AA107" t="s">
        <v>367</v>
      </c>
      <c r="AB107" t="s">
        <v>4855</v>
      </c>
      <c r="AC107" t="s">
        <v>4856</v>
      </c>
      <c r="AD107" t="s">
        <v>19</v>
      </c>
      <c r="AE107">
        <v>-1345904</v>
      </c>
      <c r="AF107" t="s">
        <v>4857</v>
      </c>
      <c r="AG107" t="s">
        <v>4858</v>
      </c>
      <c r="AH107" t="s">
        <v>4859</v>
      </c>
      <c r="AI107" t="s">
        <v>2824</v>
      </c>
      <c r="AJ107" t="s">
        <v>4860</v>
      </c>
      <c r="AK107" t="s">
        <v>4861</v>
      </c>
      <c r="AL107" t="s">
        <v>4862</v>
      </c>
      <c r="AM107" t="s">
        <v>19</v>
      </c>
      <c r="AN107" t="s">
        <v>4863</v>
      </c>
      <c r="AO107" t="s">
        <v>4864</v>
      </c>
      <c r="AP107" t="s">
        <v>4865</v>
      </c>
      <c r="AQ107" t="s">
        <v>4866</v>
      </c>
      <c r="AR107" t="s">
        <v>19</v>
      </c>
      <c r="AS107" t="s">
        <v>123</v>
      </c>
      <c r="AT107" t="s">
        <v>19</v>
      </c>
      <c r="AU107" t="s">
        <v>4867</v>
      </c>
      <c r="AV107" t="s">
        <v>588</v>
      </c>
      <c r="AW107" t="s">
        <v>4868</v>
      </c>
      <c r="AX107" t="s">
        <v>801</v>
      </c>
      <c r="AY107" t="s">
        <v>958</v>
      </c>
      <c r="AZ107" t="s">
        <v>735</v>
      </c>
      <c r="BA107" t="s">
        <v>130</v>
      </c>
      <c r="BB107" t="s">
        <v>1689</v>
      </c>
      <c r="BC107" t="s">
        <v>4869</v>
      </c>
      <c r="BD107" t="s">
        <v>1688</v>
      </c>
      <c r="BE107" t="s">
        <v>1690</v>
      </c>
      <c r="BF107" t="s">
        <v>1691</v>
      </c>
      <c r="BG107" t="s">
        <v>1692</v>
      </c>
      <c r="BH107" t="s">
        <v>2362</v>
      </c>
      <c r="BI107" t="s">
        <v>95</v>
      </c>
      <c r="BJ107" t="s">
        <v>801</v>
      </c>
      <c r="BK107" t="s">
        <v>4870</v>
      </c>
      <c r="BL107" t="s">
        <v>4871</v>
      </c>
      <c r="BM107" t="s">
        <v>4869</v>
      </c>
      <c r="BN107">
        <v>5.51</v>
      </c>
      <c r="BO107">
        <v>5.85</v>
      </c>
      <c r="BP107">
        <v>5.46</v>
      </c>
      <c r="BQ107">
        <v>6.91</v>
      </c>
      <c r="BR107">
        <v>6.13</v>
      </c>
      <c r="BS107">
        <v>7.63</v>
      </c>
      <c r="BT107" t="s">
        <v>4872</v>
      </c>
      <c r="BU107" t="s">
        <v>3125</v>
      </c>
      <c r="BV107">
        <v>34.53</v>
      </c>
      <c r="BW107">
        <v>31.09</v>
      </c>
      <c r="BX107">
        <v>32.99</v>
      </c>
      <c r="BY107">
        <v>15.48</v>
      </c>
      <c r="BZ107">
        <v>13.79</v>
      </c>
      <c r="CA107">
        <v>11.27</v>
      </c>
      <c r="CB107">
        <v>9.68</v>
      </c>
      <c r="CC107">
        <v>7.99</v>
      </c>
      <c r="CD107" t="s">
        <v>4873</v>
      </c>
      <c r="CE107" t="s">
        <v>4874</v>
      </c>
      <c r="CF107" s="14">
        <v>-0.3401639344262295</v>
      </c>
      <c r="CG107" s="15">
        <v>0.25210249399945955</v>
      </c>
      <c r="CH107" s="14">
        <v>1.3796477317810059</v>
      </c>
      <c r="CI107" s="14">
        <v>0.1666666716337204</v>
      </c>
      <c r="CJ107" s="14">
        <v>-3.0973451212048531E-2</v>
      </c>
      <c r="CK107" s="14">
        <v>1.1185682378709316E-2</v>
      </c>
      <c r="CL107" s="14">
        <v>-5.6962024420499802E-2</v>
      </c>
      <c r="CM107" s="15">
        <v>1.5360333919525146</v>
      </c>
      <c r="CN107" s="15">
        <v>0.4374687671661377</v>
      </c>
      <c r="CO107" s="15">
        <v>-0.26822173595428467</v>
      </c>
      <c r="CP107" s="15">
        <v>-8.9483007788658142E-2</v>
      </c>
      <c r="CQ107" s="15">
        <v>-0.16942636668682098</v>
      </c>
      <c r="CR107">
        <v>29.221016592709354</v>
      </c>
      <c r="CS107">
        <v>0.99420659665689182</v>
      </c>
      <c r="CT107">
        <v>1.6312263326536556</v>
      </c>
      <c r="CU107" s="14">
        <v>0.29391292203217745</v>
      </c>
      <c r="CV107" s="15">
        <v>0.28927420973777773</v>
      </c>
      <c r="CW107">
        <v>0.06</v>
      </c>
      <c r="CX107">
        <v>9.4044772774771808</v>
      </c>
      <c r="CY107">
        <v>213617699.39210474</v>
      </c>
      <c r="CZ107">
        <v>0.29391292203217745</v>
      </c>
      <c r="DA107">
        <v>2.5967804089571072</v>
      </c>
      <c r="DB107">
        <v>773635996.74060214</v>
      </c>
      <c r="DC107">
        <v>0.27921727593056855</v>
      </c>
      <c r="DD107">
        <v>1.0050206957984913</v>
      </c>
      <c r="DE107">
        <v>1998926796.6306646</v>
      </c>
      <c r="DF107">
        <v>0.25864337138831617</v>
      </c>
      <c r="DG107">
        <v>0.4504068185675516</v>
      </c>
      <c r="DH107">
        <v>4460329455.9109735</v>
      </c>
      <c r="DI107">
        <v>0.23513033762574198</v>
      </c>
      <c r="DJ107">
        <v>0.11419702638054913</v>
      </c>
      <c r="DK107">
        <v>17592076288.443367</v>
      </c>
      <c r="DL107">
        <v>0.20573904542252419</v>
      </c>
      <c r="DM107">
        <v>175000000</v>
      </c>
      <c r="DN107">
        <v>0.29391292203217745</v>
      </c>
      <c r="DO107">
        <v>2008962800</v>
      </c>
      <c r="DP107">
        <v>1328358700</v>
      </c>
      <c r="DQ107">
        <v>2612</v>
      </c>
      <c r="DR107">
        <v>-0.63407685645840695</v>
      </c>
      <c r="DS107">
        <v>-3.7171715738318178E-2</v>
      </c>
      <c r="DT107" s="16">
        <v>4.33333333333333E-2</v>
      </c>
      <c r="DU107">
        <v>0.47</v>
      </c>
      <c r="DV107">
        <v>0.51333333333333331</v>
      </c>
      <c r="DW107">
        <v>5.8254132231404956</v>
      </c>
      <c r="DX107">
        <v>0.63433454204525219</v>
      </c>
      <c r="DY107">
        <v>5.3172348131137968</v>
      </c>
      <c r="DZ107">
        <v>2594</v>
      </c>
      <c r="EA107">
        <v>5.156196240664249</v>
      </c>
      <c r="EB107">
        <v>5</v>
      </c>
      <c r="EC107">
        <v>0.19025380496689692</v>
      </c>
      <c r="ED107">
        <v>0.49502135289337795</v>
      </c>
      <c r="EE107" s="17">
        <v>-2.1347</v>
      </c>
      <c r="EF107">
        <v>-2.1196999999999999</v>
      </c>
      <c r="EG107">
        <v>25.384334542045252</v>
      </c>
      <c r="EH107" t="s">
        <v>2280</v>
      </c>
      <c r="EI107">
        <v>1</v>
      </c>
      <c r="EJ107">
        <v>0</v>
      </c>
      <c r="EK107" s="19">
        <v>45470</v>
      </c>
      <c r="EL107" s="20">
        <v>-0.62</v>
      </c>
      <c r="EM107" s="20">
        <v>-5.72</v>
      </c>
      <c r="EN107" s="20">
        <v>-0.44</v>
      </c>
      <c r="EO107" s="20">
        <v>7.7</v>
      </c>
      <c r="EP107" s="20">
        <v>-1.5</v>
      </c>
    </row>
    <row r="108" spans="1:146" ht="84" x14ac:dyDescent="0.25">
      <c r="A108" s="7"/>
      <c r="B108" s="7"/>
      <c r="C108" s="7" t="str">
        <f>""&amp;CHAR(10)&amp;Basic_Fundamental_Information_Constructure(F108)&amp;CHAR(10)&amp;Basic_Fundamental_Information_Concatenate("")</f>
        <v xml:space="preserve">
市值16.983亿, 利润4535.50万; PE54.64; 平均PE25.02; 平均PEG.12, PB2.93; ROIC8.41%; ROE8.9567%; 股利率1.1765%; 毛利47.3267%; 净利30.11%; 上一年度营收增1095.14%, 利润增-12.52%; 当季营收增-69.67%, 利润增-48.36%; 过往5年营收增213.16%, 利润增-12.49%
Income profile:
</v>
      </c>
      <c r="D108" t="s">
        <v>1951</v>
      </c>
      <c r="E108" t="s">
        <v>1807</v>
      </c>
      <c r="F108">
        <v>17</v>
      </c>
      <c r="G108">
        <v>1.98</v>
      </c>
      <c r="H108" t="s">
        <v>4875</v>
      </c>
      <c r="I108">
        <v>1698300000</v>
      </c>
      <c r="J108">
        <v>54.64</v>
      </c>
      <c r="K108">
        <v>2.93</v>
      </c>
      <c r="L108" t="s">
        <v>172</v>
      </c>
      <c r="M108" t="s">
        <v>288</v>
      </c>
      <c r="N108" t="s">
        <v>2097</v>
      </c>
      <c r="O108" t="s">
        <v>4876</v>
      </c>
      <c r="P108">
        <v>248.75</v>
      </c>
      <c r="Q108" t="s">
        <v>2283</v>
      </c>
      <c r="R108">
        <v>9490463</v>
      </c>
      <c r="S108" s="5">
        <v>-0.10970000000000001</v>
      </c>
      <c r="T108" t="s">
        <v>4877</v>
      </c>
      <c r="U108">
        <v>47868750</v>
      </c>
      <c r="V108">
        <v>99900000</v>
      </c>
      <c r="W108">
        <v>1.43</v>
      </c>
      <c r="X108">
        <v>0.12</v>
      </c>
      <c r="Y108">
        <v>9.51</v>
      </c>
      <c r="Z108" t="s">
        <v>4878</v>
      </c>
      <c r="AA108" t="s">
        <v>4879</v>
      </c>
      <c r="AB108" t="s">
        <v>4880</v>
      </c>
      <c r="AC108" t="s">
        <v>4881</v>
      </c>
      <c r="AD108" t="s">
        <v>19</v>
      </c>
      <c r="AE108">
        <v>481792</v>
      </c>
      <c r="AF108" t="s">
        <v>4882</v>
      </c>
      <c r="AG108" t="s">
        <v>2811</v>
      </c>
      <c r="AH108" t="s">
        <v>4883</v>
      </c>
      <c r="AI108" t="s">
        <v>4884</v>
      </c>
      <c r="AJ108" t="s">
        <v>4885</v>
      </c>
      <c r="AK108" t="s">
        <v>4886</v>
      </c>
      <c r="AL108" t="s">
        <v>4887</v>
      </c>
      <c r="AM108" t="s">
        <v>19</v>
      </c>
      <c r="AN108" t="s">
        <v>4888</v>
      </c>
      <c r="AO108" t="s">
        <v>2715</v>
      </c>
      <c r="AP108" t="s">
        <v>4889</v>
      </c>
      <c r="AQ108" t="s">
        <v>4890</v>
      </c>
      <c r="AR108" t="s">
        <v>4891</v>
      </c>
      <c r="AS108" t="s">
        <v>115</v>
      </c>
      <c r="AT108" t="s">
        <v>25</v>
      </c>
      <c r="AU108" t="s">
        <v>4892</v>
      </c>
      <c r="AV108" t="s">
        <v>4893</v>
      </c>
      <c r="AW108" t="s">
        <v>4894</v>
      </c>
      <c r="AX108" t="s">
        <v>456</v>
      </c>
      <c r="AY108" t="s">
        <v>125</v>
      </c>
      <c r="AZ108" t="s">
        <v>73</v>
      </c>
      <c r="BA108" t="s">
        <v>146</v>
      </c>
      <c r="BB108" t="s">
        <v>149</v>
      </c>
      <c r="BC108" t="s">
        <v>2263</v>
      </c>
      <c r="BD108" t="s">
        <v>1808</v>
      </c>
      <c r="BE108" t="s">
        <v>1809</v>
      </c>
      <c r="BF108" t="s">
        <v>1810</v>
      </c>
      <c r="BG108" t="s">
        <v>1811</v>
      </c>
      <c r="BH108" t="s">
        <v>523</v>
      </c>
      <c r="BI108" t="s">
        <v>1257</v>
      </c>
      <c r="BJ108" t="s">
        <v>456</v>
      </c>
      <c r="BK108" t="s">
        <v>4895</v>
      </c>
      <c r="BL108" t="s">
        <v>4896</v>
      </c>
      <c r="BM108" t="s">
        <v>2263</v>
      </c>
      <c r="BN108">
        <v>4.4400000000000004</v>
      </c>
      <c r="BO108">
        <v>7.65</v>
      </c>
      <c r="BP108">
        <v>13.14</v>
      </c>
      <c r="BQ108">
        <v>4.82</v>
      </c>
      <c r="BR108">
        <v>9.18</v>
      </c>
      <c r="BS108">
        <v>12.87</v>
      </c>
      <c r="BT108" t="s">
        <v>1989</v>
      </c>
      <c r="BU108" t="s">
        <v>2920</v>
      </c>
      <c r="BV108">
        <v>28.41</v>
      </c>
      <c r="BW108">
        <v>54.95</v>
      </c>
      <c r="BX108">
        <v>58.62</v>
      </c>
      <c r="BY108">
        <v>10.31</v>
      </c>
      <c r="BZ108">
        <v>36.119999999999997</v>
      </c>
      <c r="CA108">
        <v>43.9</v>
      </c>
      <c r="CB108">
        <v>-1.51</v>
      </c>
      <c r="CC108">
        <v>12.06</v>
      </c>
      <c r="CD108" t="s">
        <v>4897</v>
      </c>
      <c r="CE108" t="s">
        <v>4898</v>
      </c>
      <c r="CF108" s="14">
        <v>-0.69671189024390245</v>
      </c>
      <c r="CG108" s="15">
        <v>-0.48355999717032982</v>
      </c>
      <c r="CH108" s="14">
        <v>10.951388359069824</v>
      </c>
      <c r="CI108" s="14">
        <v>-0.10000000149011612</v>
      </c>
      <c r="CJ108" s="14">
        <v>3.2258063554763794E-2</v>
      </c>
      <c r="CK108" s="14">
        <v>-0.13407821953296661</v>
      </c>
      <c r="CL108" s="14">
        <v>-9.1370560228824615E-2</v>
      </c>
      <c r="CM108" s="15">
        <v>-0.12519095838069916</v>
      </c>
      <c r="CN108" s="15">
        <v>-0.26359549164772034</v>
      </c>
      <c r="CO108" s="15">
        <v>1.5342456754297018E-4</v>
      </c>
      <c r="CP108" s="15">
        <v>-0.10561878234148026</v>
      </c>
      <c r="CQ108" s="15">
        <v>-0.13045446574687958</v>
      </c>
      <c r="CR108">
        <v>25.023052847809456</v>
      </c>
      <c r="CS108">
        <v>0.11738876351230204</v>
      </c>
      <c r="CT108">
        <v>1.1764705882352942</v>
      </c>
      <c r="CU108" s="14">
        <v>2.131639528274536</v>
      </c>
      <c r="CV108" s="15">
        <v>-0.12494125470984727</v>
      </c>
      <c r="CW108">
        <v>0.06</v>
      </c>
      <c r="CX108">
        <v>10.218979688775217</v>
      </c>
      <c r="CY108">
        <v>133995764.91027507</v>
      </c>
      <c r="CZ108">
        <v>2.131639528274536</v>
      </c>
      <c r="DA108">
        <v>0.88172054264214783</v>
      </c>
      <c r="DB108">
        <v>1552986387.1570694</v>
      </c>
      <c r="DC108">
        <v>2.0250575518608089</v>
      </c>
      <c r="DD108">
        <v>4.7920490950979361E-2</v>
      </c>
      <c r="DE108">
        <v>28574415095.219624</v>
      </c>
      <c r="DF108">
        <v>1.8758427848815917</v>
      </c>
      <c r="DG108">
        <v>1.5661271368357784E-3</v>
      </c>
      <c r="DH108">
        <v>874322376385.45093</v>
      </c>
      <c r="DI108">
        <v>1.7053116226196288</v>
      </c>
      <c r="DJ108">
        <v>6.515223789849603E-7</v>
      </c>
      <c r="DK108">
        <v>2101692964305081.8</v>
      </c>
      <c r="DL108">
        <v>1.4921476697921752</v>
      </c>
      <c r="DM108">
        <v>45355000</v>
      </c>
      <c r="DN108">
        <v>2.131639528274536</v>
      </c>
      <c r="DO108">
        <v>1369300000</v>
      </c>
      <c r="DP108">
        <v>346333810</v>
      </c>
      <c r="DQ108">
        <v>2618</v>
      </c>
      <c r="DR108">
        <v>-2.8283514185184382</v>
      </c>
      <c r="DS108">
        <v>-0.35861874246048253</v>
      </c>
      <c r="DT108" s="16">
        <v>-0.14000000000000004</v>
      </c>
      <c r="DU108">
        <v>-0.37000000000000005</v>
      </c>
      <c r="DV108">
        <v>-0.51000000000000012</v>
      </c>
      <c r="DW108">
        <v>2.1206</v>
      </c>
      <c r="DX108">
        <v>0.23792855574021032</v>
      </c>
      <c r="DY108">
        <v>2.0142221838222696</v>
      </c>
      <c r="DZ108">
        <v>438</v>
      </c>
      <c r="EA108">
        <v>2.0130031394946464</v>
      </c>
      <c r="EB108">
        <v>2</v>
      </c>
      <c r="EC108">
        <v>9.6227227227227222E-2</v>
      </c>
      <c r="ED108">
        <v>0.81597897897897897</v>
      </c>
      <c r="EE108" s="17">
        <v>1.4800000000000001E-2</v>
      </c>
      <c r="EF108">
        <v>2.3709999999999998E-2</v>
      </c>
      <c r="EG108">
        <v>12.11792855574021</v>
      </c>
      <c r="EH108">
        <v>-1</v>
      </c>
      <c r="EI108">
        <v>1</v>
      </c>
      <c r="EJ108">
        <v>1</v>
      </c>
      <c r="EK108" s="19">
        <v>45470</v>
      </c>
      <c r="EL108" s="20">
        <v>-0.4</v>
      </c>
      <c r="EM108" s="20">
        <v>-5.29</v>
      </c>
      <c r="EN108" s="20">
        <v>-1.75</v>
      </c>
      <c r="EO108" s="20">
        <v>4.99</v>
      </c>
      <c r="EP108" s="20">
        <v>-3.85</v>
      </c>
    </row>
    <row r="109" spans="1:146" ht="84" x14ac:dyDescent="0.25">
      <c r="A109" s="7"/>
      <c r="B109" s="7"/>
      <c r="C109" s="7" t="str">
        <f>""&amp;CHAR(10)&amp;Basic_Fundamental_Information_Constructure(F109)&amp;CHAR(10)&amp;Basic_Fundamental_Information_Concatenate("")</f>
        <v xml:space="preserve">
市值32.176987亿, 利润1.22亿; PE; 平均PE45.04; 平均PEG2.3, PB1.6; ROIC1.8467%; ROE5.7733%; 股利率.2879%; 毛利37.8733%; 净利7.0733%; 上一年度营收增10.94%, 利润增282.98%; 当季营收增-7.63%, 利润增-112.29%; 过往5年营收增19.6%, 利润增47.05%
Income profile:
</v>
      </c>
      <c r="D109" t="s">
        <v>1693</v>
      </c>
      <c r="E109" t="s">
        <v>1694</v>
      </c>
      <c r="F109">
        <v>34.74</v>
      </c>
      <c r="G109">
        <v>-0.71</v>
      </c>
      <c r="H109" t="s">
        <v>4899</v>
      </c>
      <c r="I109">
        <v>3217698700</v>
      </c>
      <c r="K109">
        <v>1.6</v>
      </c>
      <c r="L109" t="s">
        <v>172</v>
      </c>
      <c r="M109" t="s">
        <v>153</v>
      </c>
      <c r="N109" t="s">
        <v>4900</v>
      </c>
      <c r="O109" t="s">
        <v>323</v>
      </c>
      <c r="P109">
        <v>6.04</v>
      </c>
      <c r="Q109" t="s">
        <v>2025</v>
      </c>
      <c r="R109">
        <v>-3268493</v>
      </c>
      <c r="S109" s="5">
        <v>-1.512</v>
      </c>
      <c r="T109" t="s">
        <v>175</v>
      </c>
      <c r="U109">
        <v>43506800</v>
      </c>
      <c r="V109">
        <v>92622300</v>
      </c>
      <c r="W109">
        <v>1.0900000000000001</v>
      </c>
      <c r="X109">
        <v>0.05</v>
      </c>
      <c r="Y109">
        <v>-3.16</v>
      </c>
      <c r="Z109" t="s">
        <v>323</v>
      </c>
      <c r="AA109" t="s">
        <v>4901</v>
      </c>
      <c r="AB109" t="s">
        <v>4902</v>
      </c>
      <c r="AC109" t="s">
        <v>4903</v>
      </c>
      <c r="AD109" t="s">
        <v>19</v>
      </c>
      <c r="AE109">
        <v>5553509</v>
      </c>
      <c r="AF109" t="s">
        <v>4904</v>
      </c>
      <c r="AG109">
        <v>1736.16</v>
      </c>
      <c r="AH109" t="s">
        <v>4905</v>
      </c>
      <c r="AI109" t="s">
        <v>2603</v>
      </c>
      <c r="AJ109" t="s">
        <v>4906</v>
      </c>
      <c r="AK109" t="s">
        <v>4907</v>
      </c>
      <c r="AL109" t="s">
        <v>4908</v>
      </c>
      <c r="AM109" t="s">
        <v>19</v>
      </c>
      <c r="AN109" t="s">
        <v>4909</v>
      </c>
      <c r="AO109" t="s">
        <v>4910</v>
      </c>
      <c r="AP109" t="s">
        <v>19</v>
      </c>
      <c r="AQ109" t="s">
        <v>4911</v>
      </c>
      <c r="AR109" t="s">
        <v>19</v>
      </c>
      <c r="AS109" t="s">
        <v>86</v>
      </c>
      <c r="AT109" t="s">
        <v>4912</v>
      </c>
      <c r="AU109" t="s">
        <v>4913</v>
      </c>
      <c r="AV109" t="s">
        <v>4914</v>
      </c>
      <c r="AW109" t="s">
        <v>4915</v>
      </c>
      <c r="AX109" t="s">
        <v>98</v>
      </c>
      <c r="AY109" t="s">
        <v>64</v>
      </c>
      <c r="AZ109" t="s">
        <v>700</v>
      </c>
      <c r="BA109" t="s">
        <v>199</v>
      </c>
      <c r="BB109" t="s">
        <v>559</v>
      </c>
      <c r="BC109" t="s">
        <v>4916</v>
      </c>
      <c r="BD109" t="s">
        <v>1695</v>
      </c>
      <c r="BE109" t="s">
        <v>1696</v>
      </c>
      <c r="BF109" t="s">
        <v>1697</v>
      </c>
      <c r="BG109" t="s">
        <v>1698</v>
      </c>
      <c r="BH109" t="s">
        <v>2871</v>
      </c>
      <c r="BI109" t="s">
        <v>593</v>
      </c>
      <c r="BJ109" t="s">
        <v>98</v>
      </c>
      <c r="BK109" t="s">
        <v>4917</v>
      </c>
      <c r="BL109" t="s">
        <v>4918</v>
      </c>
      <c r="BM109" t="s">
        <v>4916</v>
      </c>
      <c r="BN109">
        <v>-0.33</v>
      </c>
      <c r="BO109">
        <v>-0.21</v>
      </c>
      <c r="BP109">
        <v>6.08</v>
      </c>
      <c r="BQ109">
        <v>0.17</v>
      </c>
      <c r="BR109">
        <v>1.58</v>
      </c>
      <c r="BS109">
        <v>15.57</v>
      </c>
      <c r="BT109" t="s">
        <v>2003</v>
      </c>
      <c r="BU109" t="s">
        <v>3146</v>
      </c>
      <c r="BV109">
        <v>35.21</v>
      </c>
      <c r="BW109">
        <v>33.58</v>
      </c>
      <c r="BX109">
        <v>44.83</v>
      </c>
      <c r="BY109">
        <v>-2.4900000000000002</v>
      </c>
      <c r="BZ109">
        <v>5.99</v>
      </c>
      <c r="CA109">
        <v>17.72</v>
      </c>
      <c r="CB109">
        <v>-2.63</v>
      </c>
      <c r="CC109">
        <v>-4.22</v>
      </c>
      <c r="CD109" t="s">
        <v>4919</v>
      </c>
      <c r="CE109" t="s">
        <v>720</v>
      </c>
      <c r="CF109" s="14">
        <v>-7.6335877862595422E-2</v>
      </c>
      <c r="CG109" s="15">
        <v>-1.1229075587276398</v>
      </c>
      <c r="CH109" s="14">
        <v>0.10943396389484406</v>
      </c>
      <c r="CI109" s="14">
        <v>0.22685185074806213</v>
      </c>
      <c r="CJ109" s="14">
        <v>0.29341316223144531</v>
      </c>
      <c r="CK109" s="14">
        <v>9.508197009563446E-2</v>
      </c>
      <c r="CL109" s="14">
        <v>0.25514402985572815</v>
      </c>
      <c r="CM109" s="15">
        <v>2.829805850982666</v>
      </c>
      <c r="CN109" s="15">
        <v>-0.56516802310943604</v>
      </c>
      <c r="CO109" s="15">
        <v>3.3514485694468021E-3</v>
      </c>
      <c r="CP109" s="15">
        <v>0.24343535304069519</v>
      </c>
      <c r="CQ109" s="15">
        <v>-0.15891179442405701</v>
      </c>
      <c r="CR109">
        <v>45.038158646769141</v>
      </c>
      <c r="CS109">
        <v>2.298041161919453</v>
      </c>
      <c r="CT109">
        <v>0.28785261945883706</v>
      </c>
      <c r="CU109" s="14">
        <v>0.19598499536514283</v>
      </c>
      <c r="CV109" s="15">
        <v>0.47050256701186299</v>
      </c>
      <c r="CW109">
        <v>0.06</v>
      </c>
      <c r="CX109">
        <v>10.61160183694089</v>
      </c>
      <c r="CY109">
        <v>137651103.24013907</v>
      </c>
      <c r="CZ109">
        <v>0.19598499536514283</v>
      </c>
      <c r="DA109">
        <v>3.1736313708533719</v>
      </c>
      <c r="DB109">
        <v>460260984.75552499</v>
      </c>
      <c r="DC109">
        <v>0.18618574559688567</v>
      </c>
      <c r="DD109">
        <v>1.3814901613484001</v>
      </c>
      <c r="DE109">
        <v>1057335579.2662963</v>
      </c>
      <c r="DF109">
        <v>0.17246679592132569</v>
      </c>
      <c r="DG109">
        <v>0.71762306832144218</v>
      </c>
      <c r="DH109">
        <v>2035467872.3144314</v>
      </c>
      <c r="DI109">
        <v>0.15678799629211426</v>
      </c>
      <c r="DJ109">
        <v>0.26395830043243601</v>
      </c>
      <c r="DK109">
        <v>5533823704.7555437</v>
      </c>
      <c r="DL109">
        <v>0.13718949675559997</v>
      </c>
      <c r="DM109">
        <v>122000000</v>
      </c>
      <c r="DN109">
        <v>0.19598499536514283</v>
      </c>
      <c r="DO109">
        <v>1460698699.9999998</v>
      </c>
      <c r="DP109">
        <v>1445326300</v>
      </c>
      <c r="DQ109">
        <v>2644</v>
      </c>
      <c r="DR109">
        <v>-0.27232087322773824</v>
      </c>
      <c r="DS109">
        <v>-1.5934101257395028</v>
      </c>
      <c r="DT109" s="16">
        <v>-5.6666666666666719E-2</v>
      </c>
      <c r="DU109">
        <v>-0.7316666666666668</v>
      </c>
      <c r="DV109">
        <v>-0.78833333333333355</v>
      </c>
      <c r="DW109">
        <v>-8.6232227488151665</v>
      </c>
      <c r="DX109">
        <v>0.32086447368421023</v>
      </c>
      <c r="DY109">
        <v>-8.100254399476178</v>
      </c>
      <c r="DZ109">
        <v>2257</v>
      </c>
      <c r="EA109">
        <v>-8.0559737381028445</v>
      </c>
      <c r="EB109">
        <v>8</v>
      </c>
      <c r="EC109">
        <v>0.26399042131322586</v>
      </c>
      <c r="ED109">
        <v>1.6410734779853231</v>
      </c>
      <c r="EE109" s="17">
        <v>-2.0206</v>
      </c>
      <c r="EF109">
        <v>-2.0100099999999999</v>
      </c>
      <c r="EG109">
        <v>16.16086447368421</v>
      </c>
      <c r="EH109" t="s">
        <v>2497</v>
      </c>
      <c r="EI109">
        <v>0</v>
      </c>
      <c r="EJ109">
        <v>0</v>
      </c>
      <c r="EK109" s="19">
        <v>45470</v>
      </c>
      <c r="EL109" s="20">
        <v>-0.51</v>
      </c>
      <c r="EM109" s="20">
        <v>7.41</v>
      </c>
      <c r="EN109" s="20">
        <v>0.7</v>
      </c>
      <c r="EO109" s="20">
        <v>-1.35</v>
      </c>
      <c r="EP109" s="20">
        <v>-3.06</v>
      </c>
    </row>
    <row r="110" spans="1:146" ht="84" x14ac:dyDescent="0.25">
      <c r="C110" s="7" t="str">
        <f>""&amp;CHAR(10)&amp;Basic_Fundamental_Information_Constructure(F110)&amp;CHAR(10)&amp;Basic_Fundamental_Information_Concatenate("")</f>
        <v xml:space="preserve">
市值28.057332亿, 利润4103.68万; PE24.23; 平均PE48.16; 平均PEG9.33, PB1.99; ROIC18.2467%; ROE16.59%; 股利率1.4738%; 毛利33.1233%; 净利14.7467%; 上一年度营收增-18.37%, 利润增-60.54%; 当季营收增20.13%, 利润增88.21%; 过往5年营收增5.16%, 利润增79.48%
Income profile:
</v>
      </c>
      <c r="D110" t="s">
        <v>2264</v>
      </c>
      <c r="E110" t="s">
        <v>2265</v>
      </c>
      <c r="F110">
        <v>27.14</v>
      </c>
      <c r="G110">
        <v>0.89</v>
      </c>
      <c r="H110" t="s">
        <v>4920</v>
      </c>
      <c r="I110">
        <v>2805733200</v>
      </c>
      <c r="J110">
        <v>24.23</v>
      </c>
      <c r="K110">
        <v>1.99</v>
      </c>
      <c r="L110" t="s">
        <v>172</v>
      </c>
      <c r="M110" t="s">
        <v>555</v>
      </c>
      <c r="N110" t="s">
        <v>3467</v>
      </c>
      <c r="O110" t="s">
        <v>2079</v>
      </c>
      <c r="P110" s="5">
        <v>5.69</v>
      </c>
      <c r="Q110" t="s">
        <v>783</v>
      </c>
      <c r="R110">
        <v>29583222</v>
      </c>
      <c r="S110">
        <v>3.6900000000000002E-2</v>
      </c>
      <c r="T110" t="s">
        <v>4921</v>
      </c>
      <c r="U110">
        <v>30180000</v>
      </c>
      <c r="V110">
        <v>103380000</v>
      </c>
      <c r="W110">
        <v>1.26</v>
      </c>
      <c r="X110">
        <v>0.1</v>
      </c>
      <c r="Y110">
        <v>16.03</v>
      </c>
      <c r="Z110" t="s">
        <v>577</v>
      </c>
      <c r="AA110" t="s">
        <v>27</v>
      </c>
      <c r="AB110" t="s">
        <v>4922</v>
      </c>
      <c r="AC110" t="s">
        <v>4923</v>
      </c>
      <c r="AD110" t="s">
        <v>19</v>
      </c>
      <c r="AE110">
        <v>-2669499</v>
      </c>
      <c r="AF110" t="s">
        <v>4924</v>
      </c>
      <c r="AG110">
        <v>1682.26</v>
      </c>
      <c r="AH110" t="s">
        <v>4925</v>
      </c>
      <c r="AI110" t="s">
        <v>1949</v>
      </c>
      <c r="AJ110" t="s">
        <v>4926</v>
      </c>
      <c r="AK110" t="s">
        <v>4927</v>
      </c>
      <c r="AL110" t="s">
        <v>4928</v>
      </c>
      <c r="AM110" t="s">
        <v>19</v>
      </c>
      <c r="AN110" t="s">
        <v>4929</v>
      </c>
      <c r="AO110" t="s">
        <v>4930</v>
      </c>
      <c r="AP110" t="s">
        <v>329</v>
      </c>
      <c r="AQ110" t="s">
        <v>103</v>
      </c>
      <c r="AR110" t="s">
        <v>19</v>
      </c>
      <c r="AS110" t="s">
        <v>2112</v>
      </c>
      <c r="AT110" t="s">
        <v>19</v>
      </c>
      <c r="AU110" t="s">
        <v>4931</v>
      </c>
      <c r="AV110" t="s">
        <v>4932</v>
      </c>
      <c r="AW110" t="s">
        <v>4933</v>
      </c>
      <c r="AX110" t="s">
        <v>1717</v>
      </c>
      <c r="AY110" t="s">
        <v>2641</v>
      </c>
      <c r="AZ110" t="s">
        <v>2540</v>
      </c>
      <c r="BA110" t="s">
        <v>888</v>
      </c>
      <c r="BB110" t="s">
        <v>133</v>
      </c>
      <c r="BC110" t="s">
        <v>23</v>
      </c>
      <c r="BD110" t="s">
        <v>2685</v>
      </c>
      <c r="BE110" t="s">
        <v>2686</v>
      </c>
      <c r="BF110" t="s">
        <v>2687</v>
      </c>
      <c r="BG110" t="s">
        <v>2688</v>
      </c>
      <c r="BH110" t="s">
        <v>2559</v>
      </c>
      <c r="BI110" t="s">
        <v>577</v>
      </c>
      <c r="BJ110" t="s">
        <v>1717</v>
      </c>
      <c r="BK110" t="s">
        <v>103</v>
      </c>
      <c r="BL110" t="s">
        <v>4934</v>
      </c>
      <c r="BM110" t="s">
        <v>23</v>
      </c>
      <c r="BN110">
        <v>8.15</v>
      </c>
      <c r="BO110">
        <v>23.12</v>
      </c>
      <c r="BP110">
        <v>23.47</v>
      </c>
      <c r="BQ110">
        <v>9.74</v>
      </c>
      <c r="BR110">
        <v>23.44</v>
      </c>
      <c r="BS110" t="s">
        <v>19</v>
      </c>
      <c r="BT110" t="s">
        <v>2032</v>
      </c>
      <c r="BU110" t="s">
        <v>2920</v>
      </c>
      <c r="BV110">
        <v>31.33</v>
      </c>
      <c r="BW110">
        <v>32.979999999999997</v>
      </c>
      <c r="BX110">
        <v>35.06</v>
      </c>
      <c r="BY110">
        <v>14.61</v>
      </c>
      <c r="BZ110">
        <v>14.57</v>
      </c>
      <c r="CA110">
        <v>15.06</v>
      </c>
      <c r="CB110">
        <v>-4.4400000000000004</v>
      </c>
      <c r="CC110" s="14">
        <v>3.59</v>
      </c>
      <c r="CD110" s="15" t="s">
        <v>4935</v>
      </c>
      <c r="CE110" s="14" t="s">
        <v>4936</v>
      </c>
      <c r="CF110" s="14">
        <v>0.20129870129870131</v>
      </c>
      <c r="CG110" s="14">
        <v>0.88212380710013993</v>
      </c>
      <c r="CH110" s="14">
        <v>-0.18373072147369385</v>
      </c>
      <c r="CI110" s="14">
        <v>0.12638230621814728</v>
      </c>
      <c r="CJ110" s="15">
        <v>0.10471203923225403</v>
      </c>
      <c r="CK110" s="15">
        <v>0.15757575631141663</v>
      </c>
      <c r="CL110" s="15">
        <v>5.3191490471363068E-2</v>
      </c>
      <c r="CM110" s="15">
        <v>-0.60541540384292603</v>
      </c>
      <c r="CN110" s="15">
        <v>9.041421115398407E-2</v>
      </c>
      <c r="CO110">
        <v>0.47321382164955139</v>
      </c>
      <c r="CP110">
        <v>0.80346202850341797</v>
      </c>
      <c r="CQ110">
        <v>3.2121820449829102</v>
      </c>
      <c r="CR110" s="14">
        <v>48.156869700338298</v>
      </c>
      <c r="CS110" s="15">
        <v>9.3279950512405687</v>
      </c>
      <c r="CT110">
        <v>1.4738393515106853</v>
      </c>
      <c r="CU110">
        <v>5.1626174151897429E-2</v>
      </c>
      <c r="CV110">
        <v>0.79477134048938747</v>
      </c>
      <c r="CW110">
        <v>0.06</v>
      </c>
      <c r="CX110">
        <v>42.289918168485428</v>
      </c>
      <c r="CY110">
        <v>40712616.022109985</v>
      </c>
      <c r="CZ110">
        <v>5.1626174151897429E-2</v>
      </c>
      <c r="DA110">
        <v>14.278385173213152</v>
      </c>
      <c r="DB110">
        <v>120583187.74240966</v>
      </c>
      <c r="DC110">
        <v>4.9044865444302553E-2</v>
      </c>
      <c r="DD110">
        <v>7.3376414413104865</v>
      </c>
      <c r="DE110">
        <v>234643953.88779071</v>
      </c>
      <c r="DF110">
        <v>4.5431033253669741E-2</v>
      </c>
      <c r="DG110">
        <v>4.6210201348515874</v>
      </c>
      <c r="DH110">
        <v>372587253.41072261</v>
      </c>
      <c r="DI110">
        <v>4.1300939321517946E-2</v>
      </c>
      <c r="DJ110">
        <v>2.6415042143456073</v>
      </c>
      <c r="DK110">
        <v>651800285.0987438</v>
      </c>
      <c r="DL110">
        <v>3.6138321906328201E-2</v>
      </c>
      <c r="DM110">
        <v>41036800</v>
      </c>
      <c r="DN110">
        <v>5.1626174151897429E-2</v>
      </c>
      <c r="DO110">
        <v>1721733200</v>
      </c>
      <c r="DP110">
        <v>952134240</v>
      </c>
      <c r="DQ110" s="16">
        <v>2647</v>
      </c>
      <c r="DR110">
        <v>0.14967252714680387</v>
      </c>
      <c r="DS110">
        <v>8.7352466610752466E-2</v>
      </c>
      <c r="DT110">
        <v>-0.49</v>
      </c>
      <c r="DU110">
        <v>0.97666666666666657</v>
      </c>
      <c r="DV110">
        <v>0.48666666666666658</v>
      </c>
      <c r="DW110">
        <v>-4.8085585585585582</v>
      </c>
      <c r="DX110">
        <v>0.3270839537429987</v>
      </c>
      <c r="DY110">
        <v>-4.1512683319678754</v>
      </c>
      <c r="DZ110">
        <v>2735</v>
      </c>
      <c r="EA110">
        <v>-4.0703057315897659</v>
      </c>
      <c r="EB110" s="17">
        <v>4</v>
      </c>
      <c r="EC110" s="17">
        <v>9.7351518668988196E-2</v>
      </c>
      <c r="ED110">
        <v>0.52036273940800926</v>
      </c>
      <c r="EE110">
        <v>-3.1034999999999999</v>
      </c>
      <c r="EF110">
        <v>-3.0893000000000002</v>
      </c>
      <c r="EG110">
        <v>14.187083953742999</v>
      </c>
      <c r="EH110" s="19" t="s">
        <v>2802</v>
      </c>
      <c r="EI110" s="20">
        <v>0</v>
      </c>
      <c r="EJ110" s="20">
        <v>0</v>
      </c>
      <c r="EK110" s="20">
        <v>45470</v>
      </c>
      <c r="EL110" s="20">
        <v>-0.67</v>
      </c>
      <c r="EM110" s="20">
        <v>-3.16</v>
      </c>
      <c r="EN110" s="20">
        <v>7.0000000000000007E-2</v>
      </c>
      <c r="EO110" s="20">
        <v>2.5</v>
      </c>
      <c r="EP110" s="20">
        <v>-1.42</v>
      </c>
    </row>
    <row r="111" spans="1:146" ht="84" x14ac:dyDescent="0.25">
      <c r="A111" s="7"/>
      <c r="B111" s="7"/>
      <c r="C111" s="7" t="str">
        <f>""&amp;CHAR(10)&amp;Basic_Fundamental_Information_Constructure(F111)&amp;CHAR(10)&amp;Basic_Fundamental_Information_Concatenate("")</f>
        <v xml:space="preserve">
市值26.797928亿, 利润3761.92万; PE33.16; 平均PE56.83; 平均PEG3.97, PB3.04; ROIC7.8667%; ROE8.43%; 股利率.5225%; 毛利22.6867%; 净利7.8933%; 上一年度营收增-29.19%, 利润增-9.34%; 当季营收增91.74%, 利润增49.22%; 过往5年营收增14.31%, 利润增-4.15%
Income profile:
</v>
      </c>
      <c r="D111" t="s">
        <v>1699</v>
      </c>
      <c r="E111" t="s">
        <v>1700</v>
      </c>
      <c r="F111">
        <v>23.92</v>
      </c>
      <c r="G111">
        <v>1.01</v>
      </c>
      <c r="H111" t="s">
        <v>4937</v>
      </c>
      <c r="I111">
        <v>2679792800</v>
      </c>
      <c r="J111">
        <v>33.159999999999997</v>
      </c>
      <c r="K111">
        <v>3.04</v>
      </c>
      <c r="L111" t="s">
        <v>172</v>
      </c>
      <c r="M111" t="s">
        <v>2575</v>
      </c>
      <c r="N111" t="s">
        <v>2320</v>
      </c>
      <c r="O111" t="s">
        <v>345</v>
      </c>
      <c r="P111">
        <v>27.36</v>
      </c>
      <c r="Q111" t="s">
        <v>2546</v>
      </c>
      <c r="R111">
        <v>22794034</v>
      </c>
      <c r="S111" s="5">
        <v>0.55969999999999998</v>
      </c>
      <c r="T111" t="s">
        <v>3646</v>
      </c>
      <c r="U111">
        <v>47288097</v>
      </c>
      <c r="V111">
        <v>112031472</v>
      </c>
      <c r="W111">
        <v>1.68</v>
      </c>
      <c r="X111">
        <v>0.14000000000000001</v>
      </c>
      <c r="Y111">
        <v>9.84</v>
      </c>
      <c r="Z111" t="s">
        <v>88</v>
      </c>
      <c r="AA111" t="s">
        <v>121</v>
      </c>
      <c r="AB111" t="s">
        <v>4938</v>
      </c>
      <c r="AC111" t="s">
        <v>4939</v>
      </c>
      <c r="AD111" t="s">
        <v>19</v>
      </c>
      <c r="AE111">
        <v>2769421</v>
      </c>
      <c r="AF111" t="s">
        <v>4940</v>
      </c>
      <c r="AG111">
        <v>0</v>
      </c>
      <c r="AH111" t="s">
        <v>4941</v>
      </c>
      <c r="AI111" t="s">
        <v>4132</v>
      </c>
      <c r="AJ111" t="s">
        <v>4942</v>
      </c>
      <c r="AK111" t="s">
        <v>19</v>
      </c>
      <c r="AL111" t="s">
        <v>4943</v>
      </c>
      <c r="AM111" t="s">
        <v>19</v>
      </c>
      <c r="AN111" t="s">
        <v>250</v>
      </c>
      <c r="AO111" t="s">
        <v>4944</v>
      </c>
      <c r="AP111" t="s">
        <v>4945</v>
      </c>
      <c r="AQ111" t="s">
        <v>683</v>
      </c>
      <c r="AR111" t="s">
        <v>19</v>
      </c>
      <c r="AS111" t="s">
        <v>341</v>
      </c>
      <c r="AT111" t="s">
        <v>19</v>
      </c>
      <c r="AU111" t="s">
        <v>4946</v>
      </c>
      <c r="AV111" t="s">
        <v>4947</v>
      </c>
      <c r="AW111" t="s">
        <v>4948</v>
      </c>
      <c r="AX111" t="s">
        <v>1243</v>
      </c>
      <c r="AY111" t="s">
        <v>975</v>
      </c>
      <c r="AZ111" t="s">
        <v>1379</v>
      </c>
      <c r="BA111" t="s">
        <v>330</v>
      </c>
      <c r="BB111" t="s">
        <v>1298</v>
      </c>
      <c r="BC111" t="s">
        <v>4949</v>
      </c>
      <c r="BD111" t="s">
        <v>1702</v>
      </c>
      <c r="BE111" t="s">
        <v>1703</v>
      </c>
      <c r="BF111" t="s">
        <v>1704</v>
      </c>
      <c r="BG111" t="s">
        <v>1705</v>
      </c>
      <c r="BH111" t="s">
        <v>4950</v>
      </c>
      <c r="BI111" t="s">
        <v>323</v>
      </c>
      <c r="BJ111" t="s">
        <v>1243</v>
      </c>
      <c r="BK111" t="s">
        <v>4951</v>
      </c>
      <c r="BL111" t="s">
        <v>4952</v>
      </c>
      <c r="BM111" t="s">
        <v>4949</v>
      </c>
      <c r="BN111">
        <v>5.19</v>
      </c>
      <c r="BO111">
        <v>6.02</v>
      </c>
      <c r="BP111">
        <v>12.39</v>
      </c>
      <c r="BQ111">
        <v>6.38</v>
      </c>
      <c r="BR111">
        <v>5.82</v>
      </c>
      <c r="BS111">
        <v>13.09</v>
      </c>
      <c r="BT111" t="s">
        <v>4953</v>
      </c>
      <c r="BU111" t="s">
        <v>3084</v>
      </c>
      <c r="BV111">
        <v>24.38</v>
      </c>
      <c r="BW111">
        <v>19.489999999999998</v>
      </c>
      <c r="BX111">
        <v>24.19</v>
      </c>
      <c r="BY111">
        <v>8.1300000000000008</v>
      </c>
      <c r="BZ111">
        <v>5.98</v>
      </c>
      <c r="CA111">
        <v>9.57</v>
      </c>
      <c r="CB111">
        <v>1.66</v>
      </c>
      <c r="CC111">
        <v>6.03</v>
      </c>
      <c r="CD111" t="s">
        <v>4954</v>
      </c>
      <c r="CE111" t="s">
        <v>67</v>
      </c>
      <c r="CF111" s="14">
        <v>0.91735537190082617</v>
      </c>
      <c r="CG111" s="15">
        <v>0.49216630225585567</v>
      </c>
      <c r="CH111" s="14">
        <v>-0.29190751910209656</v>
      </c>
      <c r="CI111" s="14">
        <v>0.2604735791683197</v>
      </c>
      <c r="CJ111" s="14">
        <v>0.10685484111309052</v>
      </c>
      <c r="CK111" s="14">
        <v>0.20096851885318756</v>
      </c>
      <c r="CL111" s="14">
        <v>0.43902438879013062</v>
      </c>
      <c r="CM111" s="15">
        <v>-9.3379989266395569E-2</v>
      </c>
      <c r="CN111" s="15">
        <v>-0.20983566343784332</v>
      </c>
      <c r="CO111" s="15">
        <v>-8.5566319525241852E-2</v>
      </c>
      <c r="CP111" s="15">
        <v>0.33554735779762268</v>
      </c>
      <c r="CQ111" s="15">
        <v>-0.1545075923204422</v>
      </c>
      <c r="CR111">
        <v>56.833871081765096</v>
      </c>
      <c r="CS111">
        <v>3.9720977133008883</v>
      </c>
      <c r="CT111">
        <v>0.52247742474916381</v>
      </c>
      <c r="CU111" s="14">
        <v>0.14308276176452636</v>
      </c>
      <c r="CV111" s="15">
        <v>-4.1548441350460055E-2</v>
      </c>
      <c r="CW111">
        <v>0.06</v>
      </c>
      <c r="CX111">
        <v>61.718735603122553</v>
      </c>
      <c r="CY111">
        <v>40567791.539030246</v>
      </c>
      <c r="CZ111">
        <v>0.14308276176452636</v>
      </c>
      <c r="DA111">
        <v>19.287886348849927</v>
      </c>
      <c r="DB111">
        <v>129811673.2292594</v>
      </c>
      <c r="DC111">
        <v>0.13592862367630004</v>
      </c>
      <c r="DD111">
        <v>8.9338606029984486</v>
      </c>
      <c r="DE111">
        <v>280258771.7967816</v>
      </c>
      <c r="DF111">
        <v>0.12591283035278319</v>
      </c>
      <c r="DG111">
        <v>5.0005156412562641</v>
      </c>
      <c r="DH111">
        <v>500706922.97064382</v>
      </c>
      <c r="DI111">
        <v>0.1144662094116211</v>
      </c>
      <c r="DJ111">
        <v>2.2011766630950182</v>
      </c>
      <c r="DK111">
        <v>1137479259.1520033</v>
      </c>
      <c r="DL111">
        <v>0.10015793323516844</v>
      </c>
      <c r="DM111">
        <v>37619200</v>
      </c>
      <c r="DN111">
        <v>0.14308276176452636</v>
      </c>
      <c r="DO111">
        <v>2503792800</v>
      </c>
      <c r="DP111">
        <v>609769020</v>
      </c>
      <c r="DQ111">
        <v>2651</v>
      </c>
      <c r="DR111">
        <v>0.77427261013629978</v>
      </c>
      <c r="DS111">
        <v>0.53371474360631577</v>
      </c>
      <c r="DT111" s="16">
        <v>-0.24000000000000007</v>
      </c>
      <c r="DU111">
        <v>0.3066666666666667</v>
      </c>
      <c r="DV111">
        <v>6.6666666666666624E-2</v>
      </c>
      <c r="DW111">
        <v>2.0602999999999998</v>
      </c>
      <c r="DX111">
        <v>0.21302123893805358</v>
      </c>
      <c r="DY111">
        <v>2.0056091807079648</v>
      </c>
      <c r="DZ111">
        <v>4566</v>
      </c>
      <c r="EA111">
        <v>2.0005971417426873</v>
      </c>
      <c r="EB111">
        <v>2</v>
      </c>
      <c r="EC111">
        <v>9.3825420771049065E-2</v>
      </c>
      <c r="ED111">
        <v>1.0086451421436289</v>
      </c>
      <c r="EE111" s="17">
        <v>-2.0539000000000001</v>
      </c>
      <c r="EF111">
        <v>-2.0360999999999998</v>
      </c>
      <c r="EG111">
        <v>12.093021238938054</v>
      </c>
      <c r="EH111" t="s">
        <v>2280</v>
      </c>
      <c r="EI111">
        <v>1</v>
      </c>
      <c r="EJ111">
        <v>0</v>
      </c>
      <c r="EK111" s="19">
        <v>45470</v>
      </c>
      <c r="EL111" s="20">
        <v>-0.84</v>
      </c>
      <c r="EM111" s="20">
        <v>-5.21</v>
      </c>
      <c r="EN111" s="20">
        <v>1.35</v>
      </c>
      <c r="EO111" s="20">
        <v>5.54</v>
      </c>
      <c r="EP111" s="20">
        <v>-1.78</v>
      </c>
    </row>
    <row r="112" spans="1:146" ht="84" x14ac:dyDescent="0.25">
      <c r="A112" s="7"/>
      <c r="B112" s="7"/>
      <c r="C112" s="7" t="str">
        <f>""&amp;CHAR(10)&amp;Basic_Fundamental_Information_Constructure(F112)&amp;CHAR(10)&amp;Basic_Fundamental_Information_Concatenate("")</f>
        <v xml:space="preserve">
市值18.611552亿, 利润6026.51万; PE26.78; 平均PE35.49; 平均PEG1.61, PB2.12; ROIC10.6433%; ROE10.82%; 股利率1.2223%; 毛利38.92%; 净利18.4733%; 上一年度营收增75.08%, 利润增26.78%; 当季营收增-24.39%, 利润增47.18%; 过往5年营收增21.99%, 利润增24.42%
Income profile:
</v>
      </c>
      <c r="D112" t="s">
        <v>1856</v>
      </c>
      <c r="E112" t="s">
        <v>1857</v>
      </c>
      <c r="F112">
        <v>36.159999999999997</v>
      </c>
      <c r="G112">
        <v>1.32</v>
      </c>
      <c r="H112" t="s">
        <v>4955</v>
      </c>
      <c r="I112">
        <v>1861155200</v>
      </c>
      <c r="J112">
        <v>26.78</v>
      </c>
      <c r="K112">
        <v>2.12</v>
      </c>
      <c r="L112" t="s">
        <v>172</v>
      </c>
      <c r="M112" t="s">
        <v>650</v>
      </c>
      <c r="N112" t="s">
        <v>4956</v>
      </c>
      <c r="O112" t="s">
        <v>4957</v>
      </c>
      <c r="P112">
        <v>26.71</v>
      </c>
      <c r="Q112" t="s">
        <v>1789</v>
      </c>
      <c r="R112">
        <v>19085108</v>
      </c>
      <c r="S112" s="5">
        <v>0.4017</v>
      </c>
      <c r="T112" t="s">
        <v>4958</v>
      </c>
      <c r="U112">
        <v>18668550</v>
      </c>
      <c r="V112">
        <v>51470000</v>
      </c>
      <c r="W112">
        <v>1.1299999999999999</v>
      </c>
      <c r="X112">
        <v>0.09</v>
      </c>
      <c r="Y112">
        <v>21.57</v>
      </c>
      <c r="Z112" t="s">
        <v>4959</v>
      </c>
      <c r="AA112" t="s">
        <v>4960</v>
      </c>
      <c r="AB112" t="s">
        <v>4961</v>
      </c>
      <c r="AC112" t="s">
        <v>4962</v>
      </c>
      <c r="AD112" t="s">
        <v>19</v>
      </c>
      <c r="AE112">
        <v>-120341</v>
      </c>
      <c r="AF112" t="s">
        <v>4963</v>
      </c>
      <c r="AG112" t="s">
        <v>4964</v>
      </c>
      <c r="AH112" t="s">
        <v>4965</v>
      </c>
      <c r="AI112" t="s">
        <v>250</v>
      </c>
      <c r="AJ112" t="s">
        <v>4966</v>
      </c>
      <c r="AK112" t="s">
        <v>4967</v>
      </c>
      <c r="AL112" t="s">
        <v>4968</v>
      </c>
      <c r="AM112" t="s">
        <v>19</v>
      </c>
      <c r="AN112" t="s">
        <v>4969</v>
      </c>
      <c r="AO112" t="s">
        <v>19</v>
      </c>
      <c r="AP112" t="s">
        <v>4970</v>
      </c>
      <c r="AQ112" t="s">
        <v>4971</v>
      </c>
      <c r="AR112">
        <v>4583.33</v>
      </c>
      <c r="AS112" t="s">
        <v>250</v>
      </c>
      <c r="AT112" t="s">
        <v>19</v>
      </c>
      <c r="AU112" t="s">
        <v>4972</v>
      </c>
      <c r="AV112" t="s">
        <v>2757</v>
      </c>
      <c r="AW112" t="s">
        <v>4973</v>
      </c>
      <c r="AX112" t="s">
        <v>199</v>
      </c>
      <c r="AY112" t="s">
        <v>523</v>
      </c>
      <c r="AZ112" t="s">
        <v>856</v>
      </c>
      <c r="BA112" t="s">
        <v>95</v>
      </c>
      <c r="BB112" t="s">
        <v>527</v>
      </c>
      <c r="BC112" t="s">
        <v>4974</v>
      </c>
      <c r="BD112" t="s">
        <v>1858</v>
      </c>
      <c r="BE112" t="s">
        <v>1859</v>
      </c>
      <c r="BF112" t="s">
        <v>1860</v>
      </c>
      <c r="BG112" t="s">
        <v>1861</v>
      </c>
      <c r="BH112" t="s">
        <v>803</v>
      </c>
      <c r="BI112" t="s">
        <v>506</v>
      </c>
      <c r="BJ112" t="s">
        <v>199</v>
      </c>
      <c r="BK112" t="s">
        <v>4975</v>
      </c>
      <c r="BL112" t="s">
        <v>4976</v>
      </c>
      <c r="BM112" t="s">
        <v>4974</v>
      </c>
      <c r="BN112">
        <v>5.35</v>
      </c>
      <c r="BO112">
        <v>7.51</v>
      </c>
      <c r="BP112">
        <v>19.07</v>
      </c>
      <c r="BQ112">
        <v>5.5</v>
      </c>
      <c r="BR112">
        <v>7.72</v>
      </c>
      <c r="BS112">
        <v>19.239999999999998</v>
      </c>
      <c r="BT112" t="s">
        <v>4977</v>
      </c>
      <c r="BU112" t="s">
        <v>2920</v>
      </c>
      <c r="BV112">
        <v>40.909999999999997</v>
      </c>
      <c r="BW112">
        <v>35.29</v>
      </c>
      <c r="BX112">
        <v>40.56</v>
      </c>
      <c r="BY112">
        <v>18.829999999999998</v>
      </c>
      <c r="BZ112">
        <v>15.6</v>
      </c>
      <c r="CA112">
        <v>20.99</v>
      </c>
      <c r="CB112">
        <v>-4.8899999999999997</v>
      </c>
      <c r="CC112">
        <v>-11.48</v>
      </c>
      <c r="CD112" t="s">
        <v>4978</v>
      </c>
      <c r="CE112" t="s">
        <v>4979</v>
      </c>
      <c r="CF112" s="14">
        <v>-0.24392393162393161</v>
      </c>
      <c r="CG112" s="15">
        <v>0.47175329282211048</v>
      </c>
      <c r="CH112" s="14">
        <v>0.75081968307495117</v>
      </c>
      <c r="CI112" s="14">
        <v>-2.2435897961258888E-2</v>
      </c>
      <c r="CJ112" s="14">
        <v>0.14705882966518402</v>
      </c>
      <c r="CK112" s="14">
        <v>0.1147540956735611</v>
      </c>
      <c r="CL112" s="14">
        <v>0.10909090936183929</v>
      </c>
      <c r="CM112" s="15">
        <v>0.26782879233360291</v>
      </c>
      <c r="CN112" s="15">
        <v>-0.27389723062515259</v>
      </c>
      <c r="CO112" s="15">
        <v>-0.1482006311416626</v>
      </c>
      <c r="CP112" s="15">
        <v>1.2634518146514893</v>
      </c>
      <c r="CQ112" s="15">
        <v>0.11171646416187286</v>
      </c>
      <c r="CR112">
        <v>35.493889050638302</v>
      </c>
      <c r="CS112">
        <v>1.6144041109384526</v>
      </c>
      <c r="CT112">
        <v>1.222345132743363</v>
      </c>
      <c r="CU112" s="14">
        <v>0.21985752396285535</v>
      </c>
      <c r="CV112" s="15">
        <v>0.24417984187602998</v>
      </c>
      <c r="CW112">
        <v>0.06</v>
      </c>
      <c r="CX112">
        <v>16.194615701608207</v>
      </c>
      <c r="CY112">
        <v>69353618.554126292</v>
      </c>
      <c r="CZ112">
        <v>0.21985752396285535</v>
      </c>
      <c r="DA112">
        <v>4.7491142088826619</v>
      </c>
      <c r="DB112">
        <v>236497828.98445985</v>
      </c>
      <c r="DC112">
        <v>0.20886464776471259</v>
      </c>
      <c r="DD112">
        <v>2.0094477505979169</v>
      </c>
      <c r="DE112">
        <v>558937250.13044107</v>
      </c>
      <c r="DF112">
        <v>0.1934746210873127</v>
      </c>
      <c r="DG112">
        <v>1.0079399059931211</v>
      </c>
      <c r="DH112">
        <v>1114307701.6018703</v>
      </c>
      <c r="DI112">
        <v>0.17588601917028429</v>
      </c>
      <c r="DJ112">
        <v>0.33999271225915778</v>
      </c>
      <c r="DK112">
        <v>3303468455.3587737</v>
      </c>
      <c r="DL112">
        <v>0.15390026677399873</v>
      </c>
      <c r="DM112">
        <v>60265100</v>
      </c>
      <c r="DN112">
        <v>0.21985752396285535</v>
      </c>
      <c r="DO112">
        <v>1123155200</v>
      </c>
      <c r="DP112">
        <v>682428570</v>
      </c>
      <c r="DQ112">
        <v>2655</v>
      </c>
      <c r="DR112">
        <v>-0.46378145558678696</v>
      </c>
      <c r="DS112">
        <v>0.2275734509460805</v>
      </c>
      <c r="DT112" s="16">
        <v>-0.10666666666666669</v>
      </c>
      <c r="DU112">
        <v>0.47</v>
      </c>
      <c r="DV112">
        <v>0.36333333333333329</v>
      </c>
      <c r="DW112">
        <v>-8.4259581881533094</v>
      </c>
      <c r="DX112">
        <v>0.24300320654365279</v>
      </c>
      <c r="DY112">
        <v>-8.0396154773517825</v>
      </c>
      <c r="DZ112">
        <v>2793</v>
      </c>
      <c r="EA112">
        <v>-8.0179626342512869</v>
      </c>
      <c r="EB112">
        <v>8</v>
      </c>
      <c r="EC112">
        <v>9.4107246939965028E-2</v>
      </c>
      <c r="ED112">
        <v>1.0118709928113465</v>
      </c>
      <c r="EE112" s="17">
        <v>5.1040000000000001</v>
      </c>
      <c r="EF112">
        <v>5.1081000000000003</v>
      </c>
      <c r="EG112">
        <v>15.093003206543653</v>
      </c>
      <c r="EH112" t="s">
        <v>2856</v>
      </c>
      <c r="EI112">
        <v>0</v>
      </c>
      <c r="EJ112">
        <v>0</v>
      </c>
      <c r="EK112" s="19">
        <v>45470</v>
      </c>
      <c r="EL112" s="20">
        <v>2.08</v>
      </c>
      <c r="EM112" s="20">
        <v>-6.54</v>
      </c>
      <c r="EN112" s="20">
        <v>7.99</v>
      </c>
      <c r="EO112" s="20">
        <v>-2.64</v>
      </c>
      <c r="EP112" s="20">
        <v>0.41</v>
      </c>
    </row>
    <row r="113" spans="1:146" ht="84" x14ac:dyDescent="0.25">
      <c r="A113" s="7"/>
      <c r="B113" s="7"/>
      <c r="C113" s="7" t="str">
        <f>""&amp;CHAR(10)&amp;Basic_Fundamental_Information_Constructure(F113)&amp;CHAR(10)&amp;Basic_Fundamental_Information_Concatenate("")</f>
        <v xml:space="preserve">
市值18.2032亿, 利润5206.47万; PE19.48; 平均PE36.84; 平均PEG43.11, PB2; ROIC8.14%; ROE9.27%; 股利率2.4194%; 毛利28.1567%; 净利12.73%; 上一年度营收增-45.07%, 利润增-8.58%; 当季营收增117.62%, 利润增1.81%; 过往5年营收增.85%, 利润增7.74%
Income profile:
</v>
      </c>
      <c r="D113" t="s">
        <v>1862</v>
      </c>
      <c r="E113" t="s">
        <v>1863</v>
      </c>
      <c r="F113">
        <v>12.4</v>
      </c>
      <c r="G113">
        <v>-0.32</v>
      </c>
      <c r="H113" t="s">
        <v>4980</v>
      </c>
      <c r="I113">
        <v>1820320000</v>
      </c>
      <c r="J113">
        <v>19.48</v>
      </c>
      <c r="K113">
        <v>2</v>
      </c>
      <c r="L113" t="s">
        <v>172</v>
      </c>
      <c r="M113" t="s">
        <v>26</v>
      </c>
      <c r="N113" t="s">
        <v>2246</v>
      </c>
      <c r="O113" t="s">
        <v>86</v>
      </c>
      <c r="P113">
        <v>20.72</v>
      </c>
      <c r="Q113" t="s">
        <v>251</v>
      </c>
      <c r="R113">
        <v>17278120</v>
      </c>
      <c r="S113" s="5">
        <v>0.82130000000000003</v>
      </c>
      <c r="T113" t="s">
        <v>4981</v>
      </c>
      <c r="U113">
        <v>82453494</v>
      </c>
      <c r="V113">
        <v>146800000</v>
      </c>
      <c r="W113">
        <v>1.22</v>
      </c>
      <c r="X113">
        <v>0.14000000000000001</v>
      </c>
      <c r="Y113">
        <v>10.86</v>
      </c>
      <c r="Z113" t="s">
        <v>761</v>
      </c>
      <c r="AA113" t="s">
        <v>67</v>
      </c>
      <c r="AB113" t="s">
        <v>4982</v>
      </c>
      <c r="AC113" t="s">
        <v>4287</v>
      </c>
      <c r="AD113" t="s">
        <v>19</v>
      </c>
      <c r="AE113">
        <v>1956393</v>
      </c>
      <c r="AF113" t="s">
        <v>4983</v>
      </c>
      <c r="AG113" t="s">
        <v>4984</v>
      </c>
      <c r="AH113" t="s">
        <v>4985</v>
      </c>
      <c r="AI113" t="s">
        <v>683</v>
      </c>
      <c r="AJ113" t="s">
        <v>4986</v>
      </c>
      <c r="AK113" t="s">
        <v>19</v>
      </c>
      <c r="AL113" t="s">
        <v>4987</v>
      </c>
      <c r="AM113" t="s">
        <v>19</v>
      </c>
      <c r="AN113" t="s">
        <v>4988</v>
      </c>
      <c r="AO113" t="s">
        <v>4989</v>
      </c>
      <c r="AP113" t="s">
        <v>4990</v>
      </c>
      <c r="AQ113" t="s">
        <v>4991</v>
      </c>
      <c r="AR113" t="s">
        <v>4992</v>
      </c>
      <c r="AS113" t="s">
        <v>2079</v>
      </c>
      <c r="AT113" t="s">
        <v>4993</v>
      </c>
      <c r="AU113" t="s">
        <v>4994</v>
      </c>
      <c r="AV113" t="s">
        <v>4995</v>
      </c>
      <c r="AW113" t="s">
        <v>4996</v>
      </c>
      <c r="AX113" t="s">
        <v>2211</v>
      </c>
      <c r="AY113" t="s">
        <v>627</v>
      </c>
      <c r="AZ113" t="s">
        <v>931</v>
      </c>
      <c r="BA113" t="s">
        <v>1577</v>
      </c>
      <c r="BB113" t="s">
        <v>352</v>
      </c>
      <c r="BC113" t="s">
        <v>2266</v>
      </c>
      <c r="BD113" t="s">
        <v>1864</v>
      </c>
      <c r="BE113" t="s">
        <v>1865</v>
      </c>
      <c r="BF113" t="s">
        <v>1866</v>
      </c>
      <c r="BG113" t="s">
        <v>1867</v>
      </c>
      <c r="BH113" t="s">
        <v>1463</v>
      </c>
      <c r="BI113" t="s">
        <v>4997</v>
      </c>
      <c r="BJ113" t="s">
        <v>2211</v>
      </c>
      <c r="BK113" t="s">
        <v>4998</v>
      </c>
      <c r="BL113" t="s">
        <v>4999</v>
      </c>
      <c r="BM113" t="s">
        <v>2266</v>
      </c>
      <c r="BN113">
        <v>4.83</v>
      </c>
      <c r="BO113">
        <v>8.1</v>
      </c>
      <c r="BP113">
        <v>11.49</v>
      </c>
      <c r="BQ113">
        <v>5.34</v>
      </c>
      <c r="BR113">
        <v>8.25</v>
      </c>
      <c r="BS113">
        <v>14.22</v>
      </c>
      <c r="BT113" t="s">
        <v>1979</v>
      </c>
      <c r="BU113" t="s">
        <v>3125</v>
      </c>
      <c r="BV113">
        <v>25.54</v>
      </c>
      <c r="BW113">
        <v>27.64</v>
      </c>
      <c r="BX113">
        <v>31.29</v>
      </c>
      <c r="BY113">
        <v>15.02</v>
      </c>
      <c r="BZ113">
        <v>11.02</v>
      </c>
      <c r="CA113">
        <v>12.15</v>
      </c>
      <c r="CB113">
        <v>-2.75</v>
      </c>
      <c r="CC113">
        <v>-10.01</v>
      </c>
      <c r="CD113" t="s">
        <v>5000</v>
      </c>
      <c r="CE113" t="s">
        <v>5001</v>
      </c>
      <c r="CF113" s="14">
        <v>1.1762398407923156</v>
      </c>
      <c r="CG113" s="15">
        <v>1.807875648889596E-2</v>
      </c>
      <c r="CH113" s="14">
        <v>-0.45067697763442993</v>
      </c>
      <c r="CI113" s="14">
        <v>6.8181820213794708E-2</v>
      </c>
      <c r="CJ113" s="14">
        <v>0.25064599514007568</v>
      </c>
      <c r="CK113" s="14">
        <v>1.0443864390254021E-2</v>
      </c>
      <c r="CL113" s="14">
        <v>0.16413374245166779</v>
      </c>
      <c r="CM113" s="15">
        <v>-8.5782267153263092E-2</v>
      </c>
      <c r="CN113" s="15">
        <v>-3.0854396522045135E-2</v>
      </c>
      <c r="CO113" s="15">
        <v>0.56620573997497559</v>
      </c>
      <c r="CP113" s="15">
        <v>-0.23832395672798157</v>
      </c>
      <c r="CQ113" s="15">
        <v>0.17552024126052856</v>
      </c>
      <c r="CR113">
        <v>36.841100424272803</v>
      </c>
      <c r="CS113">
        <v>43.110743677277256</v>
      </c>
      <c r="CT113">
        <v>2.4193548387096775</v>
      </c>
      <c r="CU113" s="14">
        <v>8.545688912272453E-3</v>
      </c>
      <c r="CV113" s="15">
        <v>7.7353072166442868E-2</v>
      </c>
      <c r="CW113">
        <v>0.06</v>
      </c>
      <c r="CX113">
        <v>22.252284548020764</v>
      </c>
      <c r="CY113">
        <v>49537385.593878098</v>
      </c>
      <c r="CZ113">
        <v>8.545688912272453E-3</v>
      </c>
      <c r="DA113">
        <v>7.7959170970458862</v>
      </c>
      <c r="DB113">
        <v>141397091.10268798</v>
      </c>
      <c r="DC113">
        <v>8.1184044666588306E-3</v>
      </c>
      <c r="DD113">
        <v>4.1991729860026874</v>
      </c>
      <c r="DE113">
        <v>262508832.97125846</v>
      </c>
      <c r="DF113">
        <v>7.5202062427997584E-3</v>
      </c>
      <c r="DG113">
        <v>2.7793262003788266</v>
      </c>
      <c r="DH113">
        <v>396614114.54681069</v>
      </c>
      <c r="DI113">
        <v>6.8365511298179625E-3</v>
      </c>
      <c r="DJ113">
        <v>1.752562490563629</v>
      </c>
      <c r="DK113">
        <v>628976145.46428573</v>
      </c>
      <c r="DL113">
        <v>5.9819822385907169E-3</v>
      </c>
      <c r="DM113">
        <v>52064700</v>
      </c>
      <c r="DN113">
        <v>8.545688912272453E-3</v>
      </c>
      <c r="DO113">
        <v>1102320000</v>
      </c>
      <c r="DP113">
        <v>387584100</v>
      </c>
      <c r="DQ113">
        <v>2703</v>
      </c>
      <c r="DR113">
        <v>1.1676941518800432</v>
      </c>
      <c r="DS113">
        <v>-5.9274315677546908E-2</v>
      </c>
      <c r="DT113" s="16">
        <v>-0.37333333333333335</v>
      </c>
      <c r="DU113">
        <v>0.11666666666666668</v>
      </c>
      <c r="DV113">
        <v>-0.25666666666666665</v>
      </c>
      <c r="DW113">
        <v>-8.2747252747252755</v>
      </c>
      <c r="DX113">
        <v>0.59319010703251507</v>
      </c>
      <c r="DY113">
        <v>-8.0613159634704719</v>
      </c>
      <c r="DZ113">
        <v>355</v>
      </c>
      <c r="EA113">
        <v>-8.0570562438947348</v>
      </c>
      <c r="EB113">
        <v>8</v>
      </c>
      <c r="EC113">
        <v>9.3254087193460497E-2</v>
      </c>
      <c r="ED113">
        <v>0.41782356948228883</v>
      </c>
      <c r="EE113" s="17">
        <v>9.1084099999999992</v>
      </c>
      <c r="EF113">
        <v>8.0110100000000006</v>
      </c>
      <c r="EG113">
        <v>37.223190107032515</v>
      </c>
      <c r="EH113" t="s">
        <v>5002</v>
      </c>
      <c r="EI113">
        <v>0</v>
      </c>
      <c r="EJ113">
        <v>1</v>
      </c>
      <c r="EK113" s="19">
        <v>45470</v>
      </c>
      <c r="EL113" s="20">
        <v>-5.96</v>
      </c>
      <c r="EM113" s="20">
        <v>-5.29</v>
      </c>
      <c r="EN113" s="20">
        <v>-4.71</v>
      </c>
      <c r="EO113" s="20">
        <v>3.2</v>
      </c>
      <c r="EP113" s="20">
        <v>-5.26</v>
      </c>
    </row>
    <row r="114" spans="1:146" ht="84" x14ac:dyDescent="0.25">
      <c r="C114" s="7" t="str">
        <f>""&amp;CHAR(10)&amp;Basic_Fundamental_Information_Constructure(F114)&amp;CHAR(10)&amp;Basic_Fundamental_Information_Concatenate("")</f>
        <v xml:space="preserve">
市值29.960744亿, 利润8053.33万; PE18.97; 平均PE36.65; 平均PEG1.1, PB1.32; ROIC16.4567%; ROE17.4%; 股利率2.2686%; 毛利14.3633%; 净利8.35%; 上一年度营收增15.38%, 利润增-44.46%; 当季营收增59.34%, 利润增345.5%; 过往5年营收增33.25%, 利润增19.15%
Income profile:
</v>
      </c>
      <c r="D114" t="s">
        <v>2267</v>
      </c>
      <c r="E114" t="s">
        <v>2268</v>
      </c>
      <c r="F114">
        <v>22.04</v>
      </c>
      <c r="G114">
        <v>-0.94</v>
      </c>
      <c r="H114" t="s">
        <v>5003</v>
      </c>
      <c r="I114">
        <v>2996074400</v>
      </c>
      <c r="J114">
        <v>18.97</v>
      </c>
      <c r="K114">
        <v>1.32</v>
      </c>
      <c r="L114" t="s">
        <v>172</v>
      </c>
      <c r="M114" t="s">
        <v>663</v>
      </c>
      <c r="N114" t="s">
        <v>3096</v>
      </c>
      <c r="O114" t="s">
        <v>2689</v>
      </c>
      <c r="P114" s="5">
        <v>15.4</v>
      </c>
      <c r="Q114" t="s">
        <v>5004</v>
      </c>
      <c r="R114">
        <v>28590376</v>
      </c>
      <c r="S114">
        <v>-0.20180000000000001</v>
      </c>
      <c r="T114" t="s">
        <v>5005</v>
      </c>
      <c r="U114">
        <v>43100260</v>
      </c>
      <c r="V114">
        <v>135938040</v>
      </c>
      <c r="W114">
        <v>1.51</v>
      </c>
      <c r="X114">
        <v>0.14000000000000001</v>
      </c>
      <c r="Y114">
        <v>5.88</v>
      </c>
      <c r="Z114" t="s">
        <v>878</v>
      </c>
      <c r="AA114" t="s">
        <v>1701</v>
      </c>
      <c r="AB114" t="s">
        <v>5006</v>
      </c>
      <c r="AC114" t="s">
        <v>5007</v>
      </c>
      <c r="AD114" t="s">
        <v>19</v>
      </c>
      <c r="AE114">
        <v>-832890</v>
      </c>
      <c r="AF114" t="s">
        <v>5008</v>
      </c>
      <c r="AG114" t="s">
        <v>5009</v>
      </c>
      <c r="AH114" t="s">
        <v>5010</v>
      </c>
      <c r="AI114" t="s">
        <v>428</v>
      </c>
      <c r="AJ114" t="s">
        <v>5011</v>
      </c>
      <c r="AK114" t="s">
        <v>761</v>
      </c>
      <c r="AL114" t="s">
        <v>5012</v>
      </c>
      <c r="AM114" t="s">
        <v>19</v>
      </c>
      <c r="AN114" t="s">
        <v>577</v>
      </c>
      <c r="AO114" t="s">
        <v>5013</v>
      </c>
      <c r="AP114" t="s">
        <v>1249</v>
      </c>
      <c r="AQ114" t="s">
        <v>496</v>
      </c>
      <c r="AR114" t="s">
        <v>19</v>
      </c>
      <c r="AS114" t="s">
        <v>617</v>
      </c>
      <c r="AT114" t="s">
        <v>19</v>
      </c>
      <c r="AU114" t="s">
        <v>5014</v>
      </c>
      <c r="AV114" t="s">
        <v>5015</v>
      </c>
      <c r="AW114" t="s">
        <v>5016</v>
      </c>
      <c r="AX114" t="s">
        <v>2224</v>
      </c>
      <c r="AY114" t="s">
        <v>1146</v>
      </c>
      <c r="AZ114" t="s">
        <v>1474</v>
      </c>
      <c r="BA114" t="s">
        <v>1417</v>
      </c>
      <c r="BB114" t="s">
        <v>633</v>
      </c>
      <c r="BC114" t="s">
        <v>128</v>
      </c>
      <c r="BD114" t="s">
        <v>216</v>
      </c>
      <c r="BE114" t="s">
        <v>2695</v>
      </c>
      <c r="BF114" t="s">
        <v>2696</v>
      </c>
      <c r="BG114" t="s">
        <v>2697</v>
      </c>
      <c r="BH114" t="s">
        <v>2751</v>
      </c>
      <c r="BI114" t="s">
        <v>199</v>
      </c>
      <c r="BJ114" t="s">
        <v>2224</v>
      </c>
      <c r="BK114" t="s">
        <v>845</v>
      </c>
      <c r="BL114" t="s">
        <v>5017</v>
      </c>
      <c r="BM114" t="s">
        <v>128</v>
      </c>
      <c r="BN114">
        <v>7.34</v>
      </c>
      <c r="BO114">
        <v>21.29</v>
      </c>
      <c r="BP114">
        <v>20.74</v>
      </c>
      <c r="BQ114">
        <v>8.82</v>
      </c>
      <c r="BR114">
        <v>25.98</v>
      </c>
      <c r="BS114" t="s">
        <v>19</v>
      </c>
      <c r="BT114" t="s">
        <v>4522</v>
      </c>
      <c r="BU114" t="s">
        <v>3146</v>
      </c>
      <c r="BV114">
        <v>12.78</v>
      </c>
      <c r="BW114">
        <v>14.37</v>
      </c>
      <c r="BX114">
        <v>15.94</v>
      </c>
      <c r="BY114">
        <v>8.25</v>
      </c>
      <c r="BZ114">
        <v>8.01</v>
      </c>
      <c r="CA114">
        <v>8.7899999999999991</v>
      </c>
      <c r="CB114">
        <v>-8.5500000000000007</v>
      </c>
      <c r="CC114" s="14">
        <v>-12.19</v>
      </c>
      <c r="CD114" s="15" t="s">
        <v>5018</v>
      </c>
      <c r="CE114" s="14" t="s">
        <v>5019</v>
      </c>
      <c r="CF114" s="14">
        <v>0.59344262295081984</v>
      </c>
      <c r="CG114" s="14">
        <v>3.4549950137122911</v>
      </c>
      <c r="CH114" s="14">
        <v>0.15376105904579163</v>
      </c>
      <c r="CI114" s="14">
        <v>0.48318284749984741</v>
      </c>
      <c r="CJ114" s="15">
        <v>0.7414286732673645</v>
      </c>
      <c r="CK114" s="15">
        <v>0.29870128631591797</v>
      </c>
      <c r="CL114" s="15">
        <v>-1.4625228941440582E-2</v>
      </c>
      <c r="CM114" s="15">
        <v>-0.44459795951843262</v>
      </c>
      <c r="CN114" s="15">
        <v>0.35514017939567566</v>
      </c>
      <c r="CO114">
        <v>0.60867661237716675</v>
      </c>
      <c r="CP114">
        <v>0.52224403619766235</v>
      </c>
      <c r="CQ114">
        <v>-8.3720400929450989E-2</v>
      </c>
      <c r="CR114" s="14">
        <v>36.654474095986828</v>
      </c>
      <c r="CS114" s="15">
        <v>1.1024242576901087</v>
      </c>
      <c r="CT114">
        <v>2.2686025408348458</v>
      </c>
      <c r="CU114">
        <v>0.33248972743749616</v>
      </c>
      <c r="CV114">
        <v>0.19154849350452424</v>
      </c>
      <c r="CW114">
        <v>0.06</v>
      </c>
      <c r="CX114">
        <v>18.324318526666278</v>
      </c>
      <c r="CY114">
        <v>101235655.62890767</v>
      </c>
      <c r="CZ114">
        <v>0.33248972743749616</v>
      </c>
      <c r="DA114">
        <v>4.9058178257020693</v>
      </c>
      <c r="DB114">
        <v>378137645.12026519</v>
      </c>
      <c r="DC114">
        <v>0.31586524106562136</v>
      </c>
      <c r="DD114">
        <v>1.811598639233936</v>
      </c>
      <c r="DE114">
        <v>1023998561.1738195</v>
      </c>
      <c r="DF114">
        <v>0.29259096014499664</v>
      </c>
      <c r="DG114">
        <v>0.7640633059020846</v>
      </c>
      <c r="DH114">
        <v>2427906674.3164988</v>
      </c>
      <c r="DI114">
        <v>0.26599178194999695</v>
      </c>
      <c r="DJ114">
        <v>0.1656997929713481</v>
      </c>
      <c r="DK114">
        <v>11195393589.422102</v>
      </c>
      <c r="DL114">
        <v>0.23274280920624729</v>
      </c>
      <c r="DM114">
        <v>80533300</v>
      </c>
      <c r="DN114">
        <v>0.33248972743749616</v>
      </c>
      <c r="DO114">
        <v>1855074400</v>
      </c>
      <c r="DP114">
        <v>1603857900</v>
      </c>
      <c r="DQ114" s="16">
        <v>2714</v>
      </c>
      <c r="DR114">
        <v>0.26095289551332368</v>
      </c>
      <c r="DS114">
        <v>3.2634465202077667</v>
      </c>
      <c r="DT114">
        <v>0.25999999999999984</v>
      </c>
      <c r="DU114">
        <v>0.58666666666666656</v>
      </c>
      <c r="DV114">
        <v>0.84666666666666646</v>
      </c>
      <c r="DW114">
        <v>-9.7013945857260051</v>
      </c>
      <c r="DX114">
        <v>0.34096611550735445</v>
      </c>
      <c r="DY114">
        <v>-9.0708170867586446</v>
      </c>
      <c r="DZ114">
        <v>1154</v>
      </c>
      <c r="EA114">
        <v>-9.0548243434867324</v>
      </c>
      <c r="EB114" s="17">
        <v>9</v>
      </c>
      <c r="EC114" s="17">
        <v>3.900821285932915E-2</v>
      </c>
      <c r="ED114">
        <v>0.38634954571950575</v>
      </c>
      <c r="EE114">
        <v>3.44E-2</v>
      </c>
      <c r="EF114">
        <v>2.1600000000000001E-2</v>
      </c>
      <c r="EG114">
        <v>24.100966115507354</v>
      </c>
      <c r="EH114" s="19" t="s">
        <v>1831</v>
      </c>
      <c r="EI114" s="20">
        <v>0</v>
      </c>
      <c r="EJ114" s="20">
        <v>1</v>
      </c>
      <c r="EK114" s="20">
        <v>45470</v>
      </c>
      <c r="EL114" s="20">
        <v>0.23</v>
      </c>
      <c r="EM114" s="20">
        <v>-4.63</v>
      </c>
      <c r="EN114" s="20">
        <v>1.1299999999999999</v>
      </c>
      <c r="EO114" s="20">
        <v>3.04</v>
      </c>
      <c r="EP114" s="20">
        <v>-1.28</v>
      </c>
    </row>
    <row r="115" spans="1:146" ht="84" x14ac:dyDescent="0.25">
      <c r="C115" s="7" t="str">
        <f>""&amp;CHAR(10)&amp;Basic_Fundamental_Information_Constructure(F115)&amp;CHAR(10)&amp;Basic_Fundamental_Information_Concatenate("")</f>
        <v xml:space="preserve">
市值29.181668亿, 利润8008.21万; PE19.11; 平均PE35.47; 平均PEG2.58, PB1.47; ROIC19.4367%; ROE19.24%; 股利率3.4282%; 毛利30.4533%; 净利16.0933%; 上一年度营收增-58.54%, 利润增-47.66%; 当季营收增187.24%, 利润增91.92%; 过往5年营收增13.73%, 利润增42.29%
Income profile:
</v>
      </c>
      <c r="D115" t="s">
        <v>2269</v>
      </c>
      <c r="E115" t="s">
        <v>2270</v>
      </c>
      <c r="F115">
        <v>29.17</v>
      </c>
      <c r="G115">
        <v>-1.1499999999999999</v>
      </c>
      <c r="H115" t="s">
        <v>5020</v>
      </c>
      <c r="I115">
        <v>2918166800</v>
      </c>
      <c r="J115">
        <v>19.11</v>
      </c>
      <c r="K115">
        <v>1.47</v>
      </c>
      <c r="L115" t="s">
        <v>172</v>
      </c>
      <c r="M115" t="s">
        <v>1473</v>
      </c>
      <c r="N115" t="s">
        <v>5021</v>
      </c>
      <c r="O115" t="s">
        <v>256</v>
      </c>
      <c r="P115" s="5">
        <v>4.16</v>
      </c>
      <c r="Q115" t="s">
        <v>521</v>
      </c>
      <c r="R115">
        <v>32511748</v>
      </c>
      <c r="S115">
        <v>6.3E-2</v>
      </c>
      <c r="T115" t="s">
        <v>5022</v>
      </c>
      <c r="U115">
        <v>45470000</v>
      </c>
      <c r="V115">
        <v>100040000</v>
      </c>
      <c r="W115">
        <v>1.1399999999999999</v>
      </c>
      <c r="X115">
        <v>0.1</v>
      </c>
      <c r="Y115">
        <v>14.1</v>
      </c>
      <c r="Z115" t="s">
        <v>101</v>
      </c>
      <c r="AA115" t="s">
        <v>386</v>
      </c>
      <c r="AB115" t="s">
        <v>4230</v>
      </c>
      <c r="AC115" t="s">
        <v>5023</v>
      </c>
      <c r="AD115" t="s">
        <v>19</v>
      </c>
      <c r="AE115">
        <v>-1699995</v>
      </c>
      <c r="AF115" t="s">
        <v>5024</v>
      </c>
      <c r="AG115" t="s">
        <v>5025</v>
      </c>
      <c r="AH115" t="s">
        <v>5026</v>
      </c>
      <c r="AI115" t="s">
        <v>1317</v>
      </c>
      <c r="AJ115" t="s">
        <v>5027</v>
      </c>
      <c r="AK115" t="s">
        <v>5028</v>
      </c>
      <c r="AL115" t="s">
        <v>5029</v>
      </c>
      <c r="AM115" t="s">
        <v>19</v>
      </c>
      <c r="AN115" t="s">
        <v>5030</v>
      </c>
      <c r="AO115" t="s">
        <v>5031</v>
      </c>
      <c r="AP115" t="s">
        <v>5032</v>
      </c>
      <c r="AQ115" t="s">
        <v>56</v>
      </c>
      <c r="AR115" t="s">
        <v>19</v>
      </c>
      <c r="AS115" t="s">
        <v>856</v>
      </c>
      <c r="AT115" t="s">
        <v>19</v>
      </c>
      <c r="AU115" t="s">
        <v>5033</v>
      </c>
      <c r="AV115" t="s">
        <v>5034</v>
      </c>
      <c r="AW115" t="s">
        <v>5035</v>
      </c>
      <c r="AX115" t="s">
        <v>366</v>
      </c>
      <c r="AY115" t="s">
        <v>2271</v>
      </c>
      <c r="AZ115" t="s">
        <v>2570</v>
      </c>
      <c r="BA115" t="s">
        <v>788</v>
      </c>
      <c r="BB115" t="s">
        <v>1920</v>
      </c>
      <c r="BC115" t="s">
        <v>93</v>
      </c>
      <c r="BD115" t="s">
        <v>279</v>
      </c>
      <c r="BE115" t="s">
        <v>2700</v>
      </c>
      <c r="BF115" t="s">
        <v>2701</v>
      </c>
      <c r="BG115" t="s">
        <v>2702</v>
      </c>
      <c r="BH115" t="s">
        <v>4830</v>
      </c>
      <c r="BI115" t="s">
        <v>5036</v>
      </c>
      <c r="BJ115" t="s">
        <v>366</v>
      </c>
      <c r="BK115" t="s">
        <v>329</v>
      </c>
      <c r="BL115" t="s">
        <v>5037</v>
      </c>
      <c r="BM115" t="s">
        <v>93</v>
      </c>
      <c r="BN115">
        <v>8.25</v>
      </c>
      <c r="BO115">
        <v>26</v>
      </c>
      <c r="BP115">
        <v>24.06</v>
      </c>
      <c r="BQ115">
        <v>10.35</v>
      </c>
      <c r="BR115">
        <v>28.13</v>
      </c>
      <c r="BS115" t="s">
        <v>19</v>
      </c>
      <c r="BT115" t="s">
        <v>5038</v>
      </c>
      <c r="BU115" t="s">
        <v>2920</v>
      </c>
      <c r="BV115">
        <v>28.11</v>
      </c>
      <c r="BW115">
        <v>32.72</v>
      </c>
      <c r="BX115">
        <v>30.53</v>
      </c>
      <c r="BY115">
        <v>14.92</v>
      </c>
      <c r="BZ115">
        <v>18.02</v>
      </c>
      <c r="CA115">
        <v>15.34</v>
      </c>
      <c r="CB115">
        <v>-7.1</v>
      </c>
      <c r="CC115" s="14">
        <v>-10.49</v>
      </c>
      <c r="CD115" s="15" t="s">
        <v>5039</v>
      </c>
      <c r="CE115" s="14" t="s">
        <v>5040</v>
      </c>
      <c r="CF115" s="14">
        <v>1.8724269396342692</v>
      </c>
      <c r="CG115" s="14">
        <v>0.9192295159386068</v>
      </c>
      <c r="CH115" s="14">
        <v>-0.58539456129074097</v>
      </c>
      <c r="CI115" s="14">
        <v>0.1694214940071106</v>
      </c>
      <c r="CJ115" s="15">
        <v>0.2410256415605545</v>
      </c>
      <c r="CK115" s="15">
        <v>0.5810810923576355</v>
      </c>
      <c r="CL115" s="15">
        <v>0.28027680516242981</v>
      </c>
      <c r="CM115" s="15">
        <v>-0.47658759355545044</v>
      </c>
      <c r="CN115" s="15">
        <v>0.3909091055393219</v>
      </c>
      <c r="CO115">
        <v>0.26067563891410828</v>
      </c>
      <c r="CP115">
        <v>1.151974081993103</v>
      </c>
      <c r="CQ115">
        <v>0.78731095790863037</v>
      </c>
      <c r="CR115" s="14">
        <v>35.474271682378756</v>
      </c>
      <c r="CS115" s="15">
        <v>2.5840421395020989</v>
      </c>
      <c r="CT115">
        <v>3.4281796366129584</v>
      </c>
      <c r="CU115">
        <v>0.13728209435939789</v>
      </c>
      <c r="CV115">
        <v>0.42285643815994262</v>
      </c>
      <c r="CW115">
        <v>0.06</v>
      </c>
      <c r="CX115">
        <v>14.911038323930056</v>
      </c>
      <c r="CY115">
        <v>85920696.611979932</v>
      </c>
      <c r="CZ115">
        <v>0.13728209435939789</v>
      </c>
      <c r="DA115">
        <v>4.6825660273438263</v>
      </c>
      <c r="DB115">
        <v>273603573.87779081</v>
      </c>
      <c r="DC115">
        <v>0.13041798964142801</v>
      </c>
      <c r="DD115">
        <v>2.1835397396536012</v>
      </c>
      <c r="DE115">
        <v>586738485.55797088</v>
      </c>
      <c r="DF115">
        <v>0.12080824303627015</v>
      </c>
      <c r="DG115">
        <v>1.2319074215358929</v>
      </c>
      <c r="DH115">
        <v>1039986266.5026342</v>
      </c>
      <c r="DI115">
        <v>0.10982567548751831</v>
      </c>
      <c r="DJ115">
        <v>0.5524194917985189</v>
      </c>
      <c r="DK115">
        <v>2319191880.4835968</v>
      </c>
      <c r="DL115">
        <v>9.6097466051578526E-2</v>
      </c>
      <c r="DM115">
        <v>80082100</v>
      </c>
      <c r="DN115">
        <v>0.13728209435939789</v>
      </c>
      <c r="DO115">
        <v>1281166800</v>
      </c>
      <c r="DP115">
        <v>1388205400</v>
      </c>
      <c r="DQ115" s="16">
        <v>2782</v>
      </c>
      <c r="DR115">
        <v>1.7351448452748712</v>
      </c>
      <c r="DS115">
        <v>0.49637307777866418</v>
      </c>
      <c r="DT115">
        <v>-0.10666666666666676</v>
      </c>
      <c r="DU115">
        <v>0.77</v>
      </c>
      <c r="DV115">
        <v>0.66333333333333322</v>
      </c>
      <c r="DW115">
        <v>-9.6768350810295516</v>
      </c>
      <c r="DX115">
        <v>0.40300679696644637</v>
      </c>
      <c r="DY115">
        <v>-9.0967920170125627</v>
      </c>
      <c r="DZ115">
        <v>3496</v>
      </c>
      <c r="EA115">
        <v>-9.0305718816943781</v>
      </c>
      <c r="EB115" s="17">
        <v>9</v>
      </c>
      <c r="EC115" s="17">
        <v>2.9065373850459816E-2</v>
      </c>
      <c r="ED115">
        <v>0.20324470211915233</v>
      </c>
      <c r="EE115">
        <v>-1.0479100000000001</v>
      </c>
      <c r="EF115">
        <v>-1.04891</v>
      </c>
      <c r="EG115">
        <v>26.143006796966446</v>
      </c>
      <c r="EH115" s="19" t="s">
        <v>1838</v>
      </c>
      <c r="EI115" s="20">
        <v>0</v>
      </c>
      <c r="EJ115" s="20">
        <v>0</v>
      </c>
      <c r="EK115" s="20">
        <v>45470</v>
      </c>
      <c r="EL115" s="20">
        <v>-1.01</v>
      </c>
      <c r="EM115" s="20">
        <v>-5.86</v>
      </c>
      <c r="EN115" s="20">
        <v>0.23</v>
      </c>
      <c r="EO115" s="20">
        <v>9.4499999999999993</v>
      </c>
      <c r="EP115" s="20">
        <v>-0.1</v>
      </c>
    </row>
    <row r="116" spans="1:146" ht="84" x14ac:dyDescent="0.25">
      <c r="C116" s="7" t="str">
        <f>""&amp;CHAR(10)&amp;Basic_Fundamental_Information_Constructure(F116)&amp;CHAR(10)&amp;Basic_Fundamental_Information_Concatenate("")</f>
        <v xml:space="preserve">
市值30.352亿, 利润1.01亿; PE37.56; 平均PE51.89; 平均PEG1.2, PB2.83; ROIC9.5267%; ROE12.45%; 股利率.9225%; 毛利38.5033%; 净利22.67%; 上一年度营收增109.23%, 利润增79.62%; 当季营收增-16.41%, 利润增36.28%; 过往5年营收增43.18%, 利润增31.23%
Income profile:
</v>
      </c>
      <c r="D116" t="s">
        <v>2034</v>
      </c>
      <c r="E116" t="s">
        <v>2035</v>
      </c>
      <c r="F116">
        <v>37.94</v>
      </c>
      <c r="G116">
        <v>-0.18</v>
      </c>
      <c r="H116" t="s">
        <v>5041</v>
      </c>
      <c r="I116">
        <v>3035200000</v>
      </c>
      <c r="J116">
        <v>37.56</v>
      </c>
      <c r="K116">
        <v>2.83</v>
      </c>
      <c r="L116" t="s">
        <v>172</v>
      </c>
      <c r="M116" t="s">
        <v>5042</v>
      </c>
      <c r="N116" t="s">
        <v>2699</v>
      </c>
      <c r="O116" t="s">
        <v>5043</v>
      </c>
      <c r="P116">
        <v>2.4</v>
      </c>
      <c r="Q116" t="s">
        <v>2564</v>
      </c>
      <c r="R116">
        <v>17660754</v>
      </c>
      <c r="S116">
        <v>4.2500000000000003E-2</v>
      </c>
      <c r="T116" t="s">
        <v>367</v>
      </c>
      <c r="U116">
        <v>23900000</v>
      </c>
      <c r="V116">
        <v>80000000</v>
      </c>
      <c r="W116">
        <v>1.1399999999999999</v>
      </c>
      <c r="X116">
        <v>7.0000000000000007E-2</v>
      </c>
      <c r="Y116">
        <v>21.45</v>
      </c>
      <c r="Z116" t="s">
        <v>5044</v>
      </c>
      <c r="AA116" t="s">
        <v>5045</v>
      </c>
      <c r="AB116" t="s">
        <v>5046</v>
      </c>
      <c r="AC116" t="s">
        <v>5047</v>
      </c>
      <c r="AD116" t="s">
        <v>19</v>
      </c>
      <c r="AE116">
        <v>-2355793</v>
      </c>
      <c r="AF116" t="s">
        <v>21</v>
      </c>
      <c r="AG116">
        <v>2949.58</v>
      </c>
      <c r="AH116" t="s">
        <v>5048</v>
      </c>
      <c r="AI116" t="s">
        <v>610</v>
      </c>
      <c r="AJ116" t="s">
        <v>5049</v>
      </c>
      <c r="AK116" t="s">
        <v>5050</v>
      </c>
      <c r="AL116" t="s">
        <v>5051</v>
      </c>
      <c r="AM116" t="s">
        <v>19</v>
      </c>
      <c r="AN116" t="s">
        <v>5052</v>
      </c>
      <c r="AO116" t="s">
        <v>19</v>
      </c>
      <c r="AP116" t="s">
        <v>5053</v>
      </c>
      <c r="AQ116" t="s">
        <v>5054</v>
      </c>
      <c r="AR116" t="s">
        <v>19</v>
      </c>
      <c r="AS116" t="s">
        <v>761</v>
      </c>
      <c r="AT116" t="s">
        <v>19</v>
      </c>
      <c r="AU116" t="s">
        <v>5055</v>
      </c>
      <c r="AV116" t="s">
        <v>5056</v>
      </c>
      <c r="AW116" t="s">
        <v>19</v>
      </c>
      <c r="AX116" t="s">
        <v>505</v>
      </c>
      <c r="AY116" t="s">
        <v>69</v>
      </c>
      <c r="AZ116" t="s">
        <v>683</v>
      </c>
      <c r="BA116" t="s">
        <v>437</v>
      </c>
      <c r="BB116" t="s">
        <v>32</v>
      </c>
      <c r="BC116" t="s">
        <v>2272</v>
      </c>
      <c r="BD116" t="s">
        <v>2036</v>
      </c>
      <c r="BE116" t="s">
        <v>2037</v>
      </c>
      <c r="BF116" t="s">
        <v>2038</v>
      </c>
      <c r="BG116" t="s">
        <v>2039</v>
      </c>
      <c r="BH116" t="s">
        <v>521</v>
      </c>
      <c r="BI116" t="s">
        <v>5057</v>
      </c>
      <c r="BJ116" t="s">
        <v>505</v>
      </c>
      <c r="BK116" t="s">
        <v>5022</v>
      </c>
      <c r="BL116" t="s">
        <v>5058</v>
      </c>
      <c r="BM116" t="s">
        <v>2272</v>
      </c>
      <c r="BN116">
        <v>5.01</v>
      </c>
      <c r="BO116">
        <v>7.95</v>
      </c>
      <c r="BP116">
        <v>15.62</v>
      </c>
      <c r="BQ116">
        <v>5.7</v>
      </c>
      <c r="BR116">
        <v>14.94</v>
      </c>
      <c r="BS116">
        <v>16.71</v>
      </c>
      <c r="BT116" t="s">
        <v>1998</v>
      </c>
      <c r="BU116" t="s">
        <v>3084</v>
      </c>
      <c r="BV116">
        <v>35.68</v>
      </c>
      <c r="BW116">
        <v>37.299999999999997</v>
      </c>
      <c r="BX116">
        <v>42.53</v>
      </c>
      <c r="BY116">
        <v>22.74</v>
      </c>
      <c r="BZ116">
        <v>20.78</v>
      </c>
      <c r="CA116">
        <v>24.49</v>
      </c>
      <c r="CB116">
        <v>-6.44</v>
      </c>
      <c r="CC116" s="14">
        <v>-17.25</v>
      </c>
      <c r="CD116" s="15" t="s">
        <v>5059</v>
      </c>
      <c r="CE116" s="14" t="s">
        <v>5060</v>
      </c>
      <c r="CF116" s="14">
        <v>-0.16408097054204721</v>
      </c>
      <c r="CG116" s="14">
        <v>0.36280713938467951</v>
      </c>
      <c r="CH116" s="14">
        <v>1.0922509431838989</v>
      </c>
      <c r="CI116" s="14">
        <v>0.23744292557239532</v>
      </c>
      <c r="CJ116" s="15">
        <v>0.25862067937850952</v>
      </c>
      <c r="CK116" s="15">
        <v>0.18367347121238708</v>
      </c>
      <c r="CL116" s="15">
        <v>0.38679245114326477</v>
      </c>
      <c r="CM116" s="15">
        <v>0.79615265130996704</v>
      </c>
      <c r="CN116" s="15">
        <v>4.8199664801359177E-2</v>
      </c>
      <c r="CO116">
        <v>-0.10886523127555847</v>
      </c>
      <c r="CP116">
        <v>0.2238520085811615</v>
      </c>
      <c r="CQ116">
        <v>0.60210996866226196</v>
      </c>
      <c r="CR116" s="14">
        <v>51.888698240801261</v>
      </c>
      <c r="CS116" s="15">
        <v>1.2018058100417366</v>
      </c>
      <c r="CT116">
        <v>0.92250922509225097</v>
      </c>
      <c r="CU116">
        <v>0.43175609409809113</v>
      </c>
      <c r="CV116">
        <v>0.31228981241583825</v>
      </c>
      <c r="CW116">
        <v>0.06</v>
      </c>
      <c r="CX116">
        <v>15.056968477454003</v>
      </c>
      <c r="CY116">
        <v>136422042.92821434</v>
      </c>
      <c r="CZ116">
        <v>0.43175609409809113</v>
      </c>
      <c r="DA116">
        <v>3.7284951870806173</v>
      </c>
      <c r="DB116">
        <v>550919954.81650233</v>
      </c>
      <c r="DC116">
        <v>0.41016828939318656</v>
      </c>
      <c r="DD116">
        <v>1.2191196136284046</v>
      </c>
      <c r="DE116">
        <v>1684906367.707823</v>
      </c>
      <c r="DF116">
        <v>0.37994536280632019</v>
      </c>
      <c r="DG116">
        <v>0.43795256576793756</v>
      </c>
      <c r="DH116">
        <v>4690239447.2748184</v>
      </c>
      <c r="DI116">
        <v>0.34540487527847291</v>
      </c>
      <c r="DJ116">
        <v>6.2711686444487033E-2</v>
      </c>
      <c r="DK116">
        <v>32754698788.371933</v>
      </c>
      <c r="DL116">
        <v>0.30222926586866378</v>
      </c>
      <c r="DM116">
        <v>101000000</v>
      </c>
      <c r="DN116">
        <v>0.43175609409809113</v>
      </c>
      <c r="DO116">
        <v>2054102400</v>
      </c>
      <c r="DP116">
        <v>637482050</v>
      </c>
      <c r="DQ116" s="16">
        <v>2783</v>
      </c>
      <c r="DR116">
        <v>-0.5958370646401383</v>
      </c>
      <c r="DS116">
        <v>5.0517326968841259E-2</v>
      </c>
      <c r="DT116">
        <v>0.39333333333333331</v>
      </c>
      <c r="DU116">
        <v>0.87</v>
      </c>
      <c r="DV116">
        <v>1.2633333333333332</v>
      </c>
      <c r="DW116">
        <v>-9.3733333333333331</v>
      </c>
      <c r="DX116">
        <v>0.3333729939381973</v>
      </c>
      <c r="DY116">
        <v>-9.0460592510702593</v>
      </c>
      <c r="DZ116">
        <v>241</v>
      </c>
      <c r="EA116">
        <v>-9.0438869850217394</v>
      </c>
      <c r="EB116" s="17">
        <v>9</v>
      </c>
      <c r="EC116">
        <v>4.9939999999999998E-2</v>
      </c>
      <c r="ED116">
        <v>0.40478874999999997</v>
      </c>
      <c r="EE116">
        <v>1.0127999999999999</v>
      </c>
      <c r="EF116">
        <v>1.0254099999999999</v>
      </c>
      <c r="EG116">
        <v>21.123372993938197</v>
      </c>
      <c r="EH116" s="19" t="s">
        <v>1840</v>
      </c>
      <c r="EI116" s="20">
        <v>0</v>
      </c>
      <c r="EJ116" s="20">
        <v>1</v>
      </c>
      <c r="EK116" s="20">
        <v>45470</v>
      </c>
      <c r="EL116" s="20">
        <v>2.2000000000000002</v>
      </c>
      <c r="EM116" s="20">
        <v>-5.6</v>
      </c>
      <c r="EN116" s="20">
        <v>4.47</v>
      </c>
      <c r="EO116" s="20">
        <v>2.1800000000000002</v>
      </c>
      <c r="EP116" s="20">
        <v>-3.82</v>
      </c>
    </row>
    <row r="117" spans="1:146" ht="84" x14ac:dyDescent="0.25">
      <c r="C117" s="7" t="str">
        <f>""&amp;CHAR(10)&amp;Basic_Fundamental_Information_Constructure(F117)&amp;CHAR(10)&amp;Basic_Fundamental_Information_Concatenate("")</f>
        <v xml:space="preserve">
市值43.4516亿, 利润5457.51万; PE37.31; 平均PE81.86; 平均PEG65.24, PB3.42; ROIC26.98%; ROE22.835%; 股利率1.0586%; 毛利22.41%; 净利9.67%; 上一年度营收增-59.78%, 利润增-48.02%; 当季营收增187.46%, 利润增41.29%; 过往5年营收增-1.25%, 利润增87.62%
Income profile:
</v>
      </c>
      <c r="D117" t="s">
        <v>2273</v>
      </c>
      <c r="E117" t="s">
        <v>2274</v>
      </c>
      <c r="F117">
        <v>47.23</v>
      </c>
      <c r="G117">
        <v>1.35</v>
      </c>
      <c r="H117" t="s">
        <v>5061</v>
      </c>
      <c r="I117">
        <v>4345160000</v>
      </c>
      <c r="J117">
        <v>37.31</v>
      </c>
      <c r="K117">
        <v>3.42</v>
      </c>
      <c r="L117" t="s">
        <v>172</v>
      </c>
      <c r="M117" t="s">
        <v>578</v>
      </c>
      <c r="N117" t="s">
        <v>1250</v>
      </c>
      <c r="O117" t="s">
        <v>1315</v>
      </c>
      <c r="P117" s="5">
        <v>16.579999999999998</v>
      </c>
      <c r="Q117" t="s">
        <v>91</v>
      </c>
      <c r="R117">
        <v>18090828</v>
      </c>
      <c r="S117">
        <v>0.19089999999999999</v>
      </c>
      <c r="T117" t="s">
        <v>5062</v>
      </c>
      <c r="U117">
        <v>23415000</v>
      </c>
      <c r="V117">
        <v>92000000</v>
      </c>
      <c r="W117">
        <v>1.52</v>
      </c>
      <c r="X117">
        <v>0.14000000000000001</v>
      </c>
      <c r="Y117">
        <v>6.35</v>
      </c>
      <c r="Z117" t="s">
        <v>4396</v>
      </c>
      <c r="AA117" t="s">
        <v>424</v>
      </c>
      <c r="AB117" t="s">
        <v>5063</v>
      </c>
      <c r="AC117" t="s">
        <v>5064</v>
      </c>
      <c r="AD117" t="s">
        <v>19</v>
      </c>
      <c r="AE117">
        <v>-1595917</v>
      </c>
      <c r="AF117" t="s">
        <v>5065</v>
      </c>
      <c r="AG117" t="s">
        <v>5066</v>
      </c>
      <c r="AH117" t="s">
        <v>5067</v>
      </c>
      <c r="AI117" t="s">
        <v>2507</v>
      </c>
      <c r="AJ117" t="s">
        <v>5068</v>
      </c>
      <c r="AK117" t="s">
        <v>92</v>
      </c>
      <c r="AL117" t="s">
        <v>5069</v>
      </c>
      <c r="AM117" t="s">
        <v>19</v>
      </c>
      <c r="AN117" t="s">
        <v>5070</v>
      </c>
      <c r="AO117" t="s">
        <v>19</v>
      </c>
      <c r="AP117" t="s">
        <v>333</v>
      </c>
      <c r="AQ117" t="s">
        <v>488</v>
      </c>
      <c r="AR117" t="s">
        <v>19</v>
      </c>
      <c r="AS117" t="s">
        <v>1001</v>
      </c>
      <c r="AT117" t="s">
        <v>19</v>
      </c>
      <c r="AU117" t="s">
        <v>5071</v>
      </c>
      <c r="AV117" t="s">
        <v>5072</v>
      </c>
      <c r="AW117" t="s">
        <v>5073</v>
      </c>
      <c r="AX117" t="s">
        <v>905</v>
      </c>
      <c r="AY117" t="s">
        <v>371</v>
      </c>
      <c r="AZ117" t="s">
        <v>2524</v>
      </c>
      <c r="BA117" t="s">
        <v>1254</v>
      </c>
      <c r="BB117" t="s">
        <v>1149</v>
      </c>
      <c r="BC117" t="s">
        <v>414</v>
      </c>
      <c r="BD117" t="s">
        <v>2275</v>
      </c>
      <c r="BE117" t="s">
        <v>2704</v>
      </c>
      <c r="BF117" t="s">
        <v>2705</v>
      </c>
      <c r="BG117" t="s">
        <v>2706</v>
      </c>
      <c r="BH117" t="s">
        <v>499</v>
      </c>
      <c r="BI117" t="s">
        <v>5074</v>
      </c>
      <c r="BJ117" t="s">
        <v>905</v>
      </c>
      <c r="BK117" t="s">
        <v>99</v>
      </c>
      <c r="BL117" t="s">
        <v>5075</v>
      </c>
      <c r="BM117" t="s">
        <v>414</v>
      </c>
      <c r="BN117">
        <v>8.6199999999999992</v>
      </c>
      <c r="BO117">
        <v>32.520000000000003</v>
      </c>
      <c r="BP117">
        <v>39.799999999999997</v>
      </c>
      <c r="BQ117">
        <v>10.43</v>
      </c>
      <c r="BR117">
        <v>35.24</v>
      </c>
      <c r="BS117" t="s">
        <v>19</v>
      </c>
      <c r="BT117" t="s">
        <v>2053</v>
      </c>
      <c r="BU117" t="s">
        <v>3146</v>
      </c>
      <c r="BV117">
        <v>22.96</v>
      </c>
      <c r="BW117">
        <v>22.1</v>
      </c>
      <c r="BX117">
        <v>22.17</v>
      </c>
      <c r="BY117">
        <v>9.4499999999999993</v>
      </c>
      <c r="BZ117">
        <v>9.6999999999999993</v>
      </c>
      <c r="CA117">
        <v>9.86</v>
      </c>
      <c r="CB117">
        <v>-1.81</v>
      </c>
      <c r="CC117" s="14">
        <v>-13.91</v>
      </c>
      <c r="CD117" s="15" t="s">
        <v>5076</v>
      </c>
      <c r="CE117" s="14" t="s">
        <v>5077</v>
      </c>
      <c r="CF117" s="14">
        <v>1.8745805381819942</v>
      </c>
      <c r="CG117" s="14">
        <v>0.41293751025094327</v>
      </c>
      <c r="CH117" s="14">
        <v>-0.59777575731277466</v>
      </c>
      <c r="CI117" s="14">
        <v>9.989812970161438E-2</v>
      </c>
      <c r="CJ117" s="15">
        <v>0.36439499258995056</v>
      </c>
      <c r="CK117" s="15">
        <v>0.12695924937725067</v>
      </c>
      <c r="CL117" s="15">
        <v>-5.6213017553091049E-2</v>
      </c>
      <c r="CM117" s="15">
        <v>-0.48023715615272522</v>
      </c>
      <c r="CN117" s="15">
        <v>8.5814505815505981E-2</v>
      </c>
      <c r="CO117">
        <v>0.43147754669189453</v>
      </c>
      <c r="CP117">
        <v>2.5638608932495117</v>
      </c>
      <c r="CQ117">
        <v>1.780184268951416</v>
      </c>
      <c r="CR117" s="14">
        <v>81.858068924028331</v>
      </c>
      <c r="CS117" s="15">
        <v>65.239689201593677</v>
      </c>
      <c r="CT117">
        <v>1.0586491636671607</v>
      </c>
      <c r="CU117">
        <v>-1.2547280639410019E-2</v>
      </c>
      <c r="CV117">
        <v>0.87622001171112063</v>
      </c>
      <c r="CW117">
        <v>0.06</v>
      </c>
      <c r="CX117">
        <v>69.979899258086562</v>
      </c>
      <c r="CY117" t="s">
        <v>5078</v>
      </c>
      <c r="CZ117">
        <v>-1.2547280639410019E-2</v>
      </c>
      <c r="DA117">
        <v>23.326633086028853</v>
      </c>
      <c r="DB117" t="s">
        <v>5079</v>
      </c>
      <c r="DC117">
        <v>-1.1919916607439518E-2</v>
      </c>
      <c r="DD117">
        <v>11.663316543014426</v>
      </c>
      <c r="DE117" t="s">
        <v>5080</v>
      </c>
      <c r="DF117">
        <v>-1.1041606962680816E-2</v>
      </c>
      <c r="DG117">
        <v>6.997989925808656</v>
      </c>
      <c r="DH117" t="s">
        <v>5081</v>
      </c>
      <c r="DI117">
        <v>-1.0037824511528015E-2</v>
      </c>
      <c r="DJ117">
        <v>3.498994962904328</v>
      </c>
      <c r="DK117" t="s">
        <v>5082</v>
      </c>
      <c r="DL117">
        <v>-8.7830964475870132E-3</v>
      </c>
      <c r="DM117">
        <v>54575100</v>
      </c>
      <c r="DN117">
        <v>-1.2547280639410019E-2</v>
      </c>
      <c r="DO117">
        <v>3819160000</v>
      </c>
      <c r="DP117">
        <v>1059953100</v>
      </c>
      <c r="DQ117" s="16">
        <v>2801</v>
      </c>
      <c r="DR117">
        <v>1.8871278188214042</v>
      </c>
      <c r="DS117">
        <v>-0.46328250146017735</v>
      </c>
      <c r="DT117">
        <v>-0.47333333333333333</v>
      </c>
      <c r="DU117">
        <v>0.83333333333333337</v>
      </c>
      <c r="DV117">
        <v>0.36000000000000004</v>
      </c>
      <c r="DW117">
        <v>-2.1391</v>
      </c>
      <c r="DX117">
        <v>0.27772287771009757</v>
      </c>
      <c r="DY117">
        <v>-2.0135932522894748</v>
      </c>
      <c r="DZ117">
        <v>3650</v>
      </c>
      <c r="EA117">
        <v>-2.0038837863684216</v>
      </c>
      <c r="EB117" s="17">
        <v>2</v>
      </c>
      <c r="EC117" s="17">
        <v>6.2343478260869556E-2</v>
      </c>
      <c r="ED117">
        <v>0.63796195652173915</v>
      </c>
      <c r="EE117">
        <v>116.00411</v>
      </c>
      <c r="EF117">
        <v>116.03291</v>
      </c>
      <c r="EG117">
        <v>18.097722877710098</v>
      </c>
      <c r="EH117" s="19" t="s">
        <v>5083</v>
      </c>
      <c r="EI117" s="20">
        <v>0</v>
      </c>
      <c r="EJ117" s="20">
        <v>0</v>
      </c>
      <c r="EK117" s="20">
        <v>45470</v>
      </c>
      <c r="EL117" s="20">
        <v>-2.48</v>
      </c>
      <c r="EM117" s="20">
        <v>-5.8</v>
      </c>
      <c r="EN117" s="20">
        <v>1.18</v>
      </c>
      <c r="EO117" s="20">
        <v>3.37</v>
      </c>
      <c r="EP117" s="20">
        <v>-2.88</v>
      </c>
    </row>
    <row r="118" spans="1:146" ht="84" x14ac:dyDescent="0.25">
      <c r="C118" s="7" t="str">
        <f>""&amp;CHAR(10)&amp;Basic_Fundamental_Information_Constructure(F118)&amp;CHAR(10)&amp;Basic_Fundamental_Information_Concatenate("")</f>
        <v xml:space="preserve">
市值29.918353亿, 利润1.80亿; PE46.58; 平均PE39.98; 平均PEG.17, PB2.39; ROIC7.7033%; ROE8.835%; 股利率.647%; 毛利24.0633%; 净利8.7233%; 上一年度营收增1126.03%, 利润增166.33%; 当季营收增-89.72%, 利润增-78.84%; 过往5年营收增231.48%, 利润增40.42%
Income profile:
</v>
      </c>
      <c r="D118" t="s">
        <v>2493</v>
      </c>
      <c r="E118" t="s">
        <v>2494</v>
      </c>
      <c r="F118">
        <v>21.64</v>
      </c>
      <c r="G118">
        <v>0.05</v>
      </c>
      <c r="H118" t="s">
        <v>5084</v>
      </c>
      <c r="I118">
        <v>2991835300</v>
      </c>
      <c r="J118">
        <v>46.58</v>
      </c>
      <c r="K118">
        <v>2.39</v>
      </c>
      <c r="L118" t="s">
        <v>172</v>
      </c>
      <c r="M118" t="s">
        <v>752</v>
      </c>
      <c r="N118" t="s">
        <v>2170</v>
      </c>
      <c r="O118" t="s">
        <v>149</v>
      </c>
      <c r="P118" s="5">
        <v>17.43</v>
      </c>
      <c r="Q118" t="s">
        <v>5085</v>
      </c>
      <c r="R118">
        <v>9813294</v>
      </c>
      <c r="S118">
        <v>3.0000000000000001E-3</v>
      </c>
      <c r="T118" t="s">
        <v>852</v>
      </c>
      <c r="U118">
        <v>34563717</v>
      </c>
      <c r="V118">
        <v>138254870</v>
      </c>
      <c r="W118">
        <v>1.18</v>
      </c>
      <c r="X118">
        <v>0.13</v>
      </c>
      <c r="Y118">
        <v>4.9800000000000004</v>
      </c>
      <c r="Z118" t="s">
        <v>946</v>
      </c>
      <c r="AA118" t="s">
        <v>93</v>
      </c>
      <c r="AB118" t="s">
        <v>5086</v>
      </c>
      <c r="AC118" t="s">
        <v>5087</v>
      </c>
      <c r="AD118" t="s">
        <v>19</v>
      </c>
      <c r="AE118">
        <v>1565877</v>
      </c>
      <c r="AF118" t="s">
        <v>5088</v>
      </c>
      <c r="AG118" t="s">
        <v>5089</v>
      </c>
      <c r="AH118" t="s">
        <v>5090</v>
      </c>
      <c r="AI118" t="s">
        <v>2079</v>
      </c>
      <c r="AJ118" t="s">
        <v>5091</v>
      </c>
      <c r="AK118" t="s">
        <v>5092</v>
      </c>
      <c r="AL118" t="s">
        <v>5093</v>
      </c>
      <c r="AM118" t="s">
        <v>19</v>
      </c>
      <c r="AN118" t="s">
        <v>5094</v>
      </c>
      <c r="AO118" t="s">
        <v>5095</v>
      </c>
      <c r="AP118" t="s">
        <v>19</v>
      </c>
      <c r="AQ118" t="s">
        <v>5096</v>
      </c>
      <c r="AR118" t="s">
        <v>19</v>
      </c>
      <c r="AS118" t="s">
        <v>446</v>
      </c>
      <c r="AT118" t="s">
        <v>5097</v>
      </c>
      <c r="AU118" t="s">
        <v>5098</v>
      </c>
      <c r="AV118" t="s">
        <v>155</v>
      </c>
      <c r="AW118" t="s">
        <v>5099</v>
      </c>
      <c r="AX118" t="s">
        <v>2365</v>
      </c>
      <c r="AY118" t="s">
        <v>2186</v>
      </c>
      <c r="AZ118" t="s">
        <v>1918</v>
      </c>
      <c r="BA118" t="s">
        <v>223</v>
      </c>
      <c r="BB118" t="s">
        <v>147</v>
      </c>
      <c r="BC118" t="s">
        <v>2495</v>
      </c>
      <c r="BD118" t="s">
        <v>2496</v>
      </c>
      <c r="BE118" t="s">
        <v>2709</v>
      </c>
      <c r="BF118" t="s">
        <v>2710</v>
      </c>
      <c r="BG118" t="s">
        <v>2711</v>
      </c>
      <c r="BH118" t="s">
        <v>2028</v>
      </c>
      <c r="BI118" t="s">
        <v>1394</v>
      </c>
      <c r="BJ118" t="s">
        <v>2365</v>
      </c>
      <c r="BK118" t="s">
        <v>5100</v>
      </c>
      <c r="BL118" t="s">
        <v>5101</v>
      </c>
      <c r="BM118" t="s">
        <v>2495</v>
      </c>
      <c r="BN118">
        <v>3.72</v>
      </c>
      <c r="BO118">
        <v>10.14</v>
      </c>
      <c r="BP118">
        <v>9.25</v>
      </c>
      <c r="BQ118">
        <v>5.16</v>
      </c>
      <c r="BR118">
        <v>12.51</v>
      </c>
      <c r="BS118" t="s">
        <v>19</v>
      </c>
      <c r="BT118" t="s">
        <v>5102</v>
      </c>
      <c r="BU118" t="s">
        <v>3146</v>
      </c>
      <c r="BV118">
        <v>24.69</v>
      </c>
      <c r="BW118">
        <v>24.52</v>
      </c>
      <c r="BX118">
        <v>22.98</v>
      </c>
      <c r="BY118">
        <v>8.4600000000000009</v>
      </c>
      <c r="BZ118">
        <v>9.56</v>
      </c>
      <c r="CA118">
        <v>8.15</v>
      </c>
      <c r="CB118">
        <v>-4.8</v>
      </c>
      <c r="CC118" s="14">
        <v>-17.559999999999999</v>
      </c>
      <c r="CD118" s="15" t="s">
        <v>2894</v>
      </c>
      <c r="CE118" s="14" t="s">
        <v>5103</v>
      </c>
      <c r="CF118" s="14">
        <v>-0.89718162839248439</v>
      </c>
      <c r="CG118" s="14">
        <v>-0.78835515929501276</v>
      </c>
      <c r="CH118" s="14">
        <v>11.260254859924316</v>
      </c>
      <c r="CI118" s="14">
        <v>3.9705883711576462E-2</v>
      </c>
      <c r="CJ118" s="15">
        <v>0.22743682563304901</v>
      </c>
      <c r="CK118" s="15">
        <v>2.9739776626229286E-2</v>
      </c>
      <c r="CL118" s="15">
        <v>1.7013233155012131E-2</v>
      </c>
      <c r="CM118" s="15">
        <v>1.6633244752883911</v>
      </c>
      <c r="CN118" s="15">
        <v>0.20365424454212189</v>
      </c>
      <c r="CO118">
        <v>0.4936065673828125</v>
      </c>
      <c r="CP118">
        <v>-0.27951955795288086</v>
      </c>
      <c r="CQ118">
        <v>-5.9947211295366287E-2</v>
      </c>
      <c r="CR118" s="14">
        <v>39.97898448858291</v>
      </c>
      <c r="CS118" s="15">
        <v>0.17270807138515612</v>
      </c>
      <c r="CT118">
        <v>0.64695009242144175</v>
      </c>
      <c r="CU118">
        <v>2.3148301158100368</v>
      </c>
      <c r="CV118">
        <v>0.40422370359301568</v>
      </c>
      <c r="CW118">
        <v>0.06</v>
      </c>
      <c r="CX118">
        <v>3.5829646087267304</v>
      </c>
      <c r="CY118">
        <v>562895680.04321373</v>
      </c>
      <c r="CZ118">
        <v>2.3148301158100368</v>
      </c>
      <c r="DA118">
        <v>0.28283458502433662</v>
      </c>
      <c r="DB118">
        <v>7130794488.3277292</v>
      </c>
      <c r="DC118">
        <v>2.199088610019535</v>
      </c>
      <c r="DD118">
        <v>1.3209079879560047E-2</v>
      </c>
      <c r="DE118">
        <v>152685525289.37955</v>
      </c>
      <c r="DF118">
        <v>2.0370505019128324</v>
      </c>
      <c r="DG118">
        <v>3.5429614581548906E-4</v>
      </c>
      <c r="DH118">
        <v>5692512672859.6445</v>
      </c>
      <c r="DI118">
        <v>1.8518640926480296</v>
      </c>
      <c r="DJ118">
        <v>9.1852790979620405E-8</v>
      </c>
      <c r="DK118">
        <v>2.195725658948654E+16</v>
      </c>
      <c r="DL118">
        <v>1.6203810810670256</v>
      </c>
      <c r="DM118">
        <v>180000000</v>
      </c>
      <c r="DN118">
        <v>2.3148301158100368</v>
      </c>
      <c r="DO118">
        <v>2016835300</v>
      </c>
      <c r="DP118">
        <v>746133940</v>
      </c>
      <c r="DQ118" s="16">
        <v>2804</v>
      </c>
      <c r="DR118">
        <v>-3.2120117442025213</v>
      </c>
      <c r="DS118">
        <v>-1.1925788628880285</v>
      </c>
      <c r="DT118">
        <v>-6.6666666666666714E-3</v>
      </c>
      <c r="DU118">
        <v>5.9999999999999977E-2</v>
      </c>
      <c r="DV118">
        <v>5.3333333333333302E-2</v>
      </c>
      <c r="DW118">
        <v>-8.2733485193621874</v>
      </c>
      <c r="DX118">
        <v>0.25216665987281928</v>
      </c>
      <c r="DY118">
        <v>-8.03612756078528</v>
      </c>
      <c r="DZ118">
        <v>32</v>
      </c>
      <c r="EA118">
        <v>-8.0359013216570752</v>
      </c>
      <c r="EB118" s="17">
        <v>8</v>
      </c>
      <c r="EC118" s="17">
        <v>7.5045457711543903E-2</v>
      </c>
      <c r="ED118">
        <v>0.56780929308312977</v>
      </c>
      <c r="EE118">
        <v>3.0237099999999999</v>
      </c>
      <c r="EF118">
        <v>3.0539100000000001</v>
      </c>
      <c r="EG118">
        <v>12.132166659872819</v>
      </c>
      <c r="EH118" s="19" t="s">
        <v>2487</v>
      </c>
      <c r="EI118">
        <v>0</v>
      </c>
      <c r="EJ118">
        <v>1</v>
      </c>
      <c r="EK118">
        <v>45470</v>
      </c>
      <c r="EL118">
        <v>5.89</v>
      </c>
      <c r="EM118">
        <v>-2.15</v>
      </c>
      <c r="EN118" s="20">
        <v>-2.75</v>
      </c>
      <c r="EO118" s="20">
        <v>3.58</v>
      </c>
      <c r="EP118" s="20">
        <v>-3.02</v>
      </c>
    </row>
    <row r="119" spans="1:146" ht="84" x14ac:dyDescent="0.25">
      <c r="C119" s="7" t="str">
        <f>""&amp;CHAR(10)&amp;Basic_Fundamental_Information_Constructure(F119)&amp;CHAR(10)&amp;Basic_Fundamental_Information_Concatenate("")</f>
        <v xml:space="preserve">
市值28.95494亿, 利润7263.07万; PE31.85; 平均PE47.62; 平均PEG2.7, PB2.31; ROIC14.7533%; ROE17.41%; 股利率.879%; 毛利29.3967%; 净利11.2867%; 上一年度营收增13.85%, 利润增-19.98%; 当季营收增51.16%, 利润增71.15%; 过往5年营收增17.65%, 利润增74.74%
Income profile:
</v>
      </c>
      <c r="D119" t="s">
        <v>2712</v>
      </c>
      <c r="E119" t="s">
        <v>2713</v>
      </c>
      <c r="F119">
        <v>34.130000000000003</v>
      </c>
      <c r="G119">
        <v>3.17</v>
      </c>
      <c r="H119" t="s">
        <v>5104</v>
      </c>
      <c r="I119">
        <v>2895494000</v>
      </c>
      <c r="J119">
        <v>31.85</v>
      </c>
      <c r="K119">
        <v>2.31</v>
      </c>
      <c r="L119" t="s">
        <v>172</v>
      </c>
      <c r="M119" t="s">
        <v>2716</v>
      </c>
      <c r="N119" t="s">
        <v>2212</v>
      </c>
      <c r="O119" t="s">
        <v>153</v>
      </c>
      <c r="P119" s="5">
        <v>44.92</v>
      </c>
      <c r="Q119" t="s">
        <v>876</v>
      </c>
      <c r="R119">
        <v>23810232</v>
      </c>
      <c r="S119">
        <v>0.3962</v>
      </c>
      <c r="T119" t="s">
        <v>5105</v>
      </c>
      <c r="U119">
        <v>20269468</v>
      </c>
      <c r="V119">
        <v>84837210</v>
      </c>
      <c r="W119">
        <v>1.49</v>
      </c>
      <c r="X119">
        <v>0.14000000000000001</v>
      </c>
      <c r="Y119">
        <v>8.9600000000000009</v>
      </c>
      <c r="Z119" t="s">
        <v>257</v>
      </c>
      <c r="AA119" t="s">
        <v>445</v>
      </c>
      <c r="AB119" t="s">
        <v>5106</v>
      </c>
      <c r="AC119" t="s">
        <v>5107</v>
      </c>
      <c r="AD119" t="s">
        <v>19</v>
      </c>
      <c r="AE119">
        <v>-4485204</v>
      </c>
      <c r="AF119" t="s">
        <v>5108</v>
      </c>
      <c r="AG119" t="s">
        <v>5109</v>
      </c>
      <c r="AH119" t="s">
        <v>5110</v>
      </c>
      <c r="AI119" t="s">
        <v>588</v>
      </c>
      <c r="AJ119" t="s">
        <v>5111</v>
      </c>
      <c r="AK119" t="s">
        <v>5112</v>
      </c>
      <c r="AL119" t="s">
        <v>5113</v>
      </c>
      <c r="AM119" t="s">
        <v>19</v>
      </c>
      <c r="AN119" t="s">
        <v>5114</v>
      </c>
      <c r="AO119" t="s">
        <v>19</v>
      </c>
      <c r="AP119" t="s">
        <v>329</v>
      </c>
      <c r="AQ119" t="s">
        <v>838</v>
      </c>
      <c r="AR119" t="s">
        <v>19</v>
      </c>
      <c r="AS119" t="s">
        <v>3841</v>
      </c>
      <c r="AT119" t="s">
        <v>19</v>
      </c>
      <c r="AU119" t="s">
        <v>5115</v>
      </c>
      <c r="AV119" t="s">
        <v>5116</v>
      </c>
      <c r="AW119" t="s">
        <v>5117</v>
      </c>
      <c r="AX119" t="s">
        <v>2193</v>
      </c>
      <c r="AY119" t="s">
        <v>2716</v>
      </c>
      <c r="AZ119" t="s">
        <v>2597</v>
      </c>
      <c r="BA119" t="s">
        <v>215</v>
      </c>
      <c r="BB119" t="s">
        <v>2104</v>
      </c>
      <c r="BC119" t="s">
        <v>2714</v>
      </c>
      <c r="BD119" t="s">
        <v>2717</v>
      </c>
      <c r="BE119" t="s">
        <v>2718</v>
      </c>
      <c r="BF119" t="s">
        <v>2719</v>
      </c>
      <c r="BG119" t="s">
        <v>2720</v>
      </c>
      <c r="BH119" t="s">
        <v>97</v>
      </c>
      <c r="BI119" t="s">
        <v>121</v>
      </c>
      <c r="BJ119" t="s">
        <v>2193</v>
      </c>
      <c r="BK119" t="s">
        <v>5118</v>
      </c>
      <c r="BL119" t="s">
        <v>5119</v>
      </c>
      <c r="BM119" t="s">
        <v>2714</v>
      </c>
      <c r="BN119">
        <v>5.29</v>
      </c>
      <c r="BO119">
        <v>18.48</v>
      </c>
      <c r="BP119">
        <v>20.49</v>
      </c>
      <c r="BQ119">
        <v>12.6</v>
      </c>
      <c r="BR119">
        <v>22.22</v>
      </c>
      <c r="BS119" t="s">
        <v>19</v>
      </c>
      <c r="BT119" t="s">
        <v>1979</v>
      </c>
      <c r="BU119" t="s">
        <v>3084</v>
      </c>
      <c r="BV119">
        <v>26.72</v>
      </c>
      <c r="BW119">
        <v>30.21</v>
      </c>
      <c r="BX119">
        <v>31.26</v>
      </c>
      <c r="BY119">
        <v>8.59</v>
      </c>
      <c r="BZ119">
        <v>12.7</v>
      </c>
      <c r="CA119">
        <v>12.57</v>
      </c>
      <c r="CB119">
        <v>4.0199999999999996</v>
      </c>
      <c r="CC119" s="14">
        <v>7.67</v>
      </c>
      <c r="CD119" s="15" t="s">
        <v>5120</v>
      </c>
      <c r="CE119" s="14" t="s">
        <v>5121</v>
      </c>
      <c r="CF119" s="14">
        <v>0.51162790697674421</v>
      </c>
      <c r="CG119" s="14">
        <v>0.7115133915093661</v>
      </c>
      <c r="CH119" s="14">
        <v>0.13852813839912415</v>
      </c>
      <c r="CI119" s="14">
        <v>0.15692821145057678</v>
      </c>
      <c r="CJ119" s="15">
        <v>0.29094827175140381</v>
      </c>
      <c r="CK119" s="15">
        <v>8.6651057004928589E-2</v>
      </c>
      <c r="CL119" s="15">
        <v>0.20963172614574432</v>
      </c>
      <c r="CM119" s="15">
        <v>-0.19981332123279572</v>
      </c>
      <c r="CN119" s="15">
        <v>0.16730512678623199</v>
      </c>
      <c r="CO119">
        <v>0.22966170310974121</v>
      </c>
      <c r="CP119">
        <v>0.29264584183692932</v>
      </c>
      <c r="CQ119">
        <v>3.2469744682312012</v>
      </c>
      <c r="CR119" s="14">
        <v>47.619497144962239</v>
      </c>
      <c r="CS119" s="15">
        <v>2.6974156926116679</v>
      </c>
      <c r="CT119">
        <v>0.8789920890711983</v>
      </c>
      <c r="CU119">
        <v>0.17653748095035554</v>
      </c>
      <c r="CV119">
        <v>0.74735476374626164</v>
      </c>
      <c r="CW119">
        <v>0.06</v>
      </c>
      <c r="CX119">
        <v>27.71781943254506</v>
      </c>
      <c r="CY119">
        <v>80615793.224208474</v>
      </c>
      <c r="CZ119">
        <v>0.17653748095035554</v>
      </c>
      <c r="DA119">
        <v>8.4241139291531617</v>
      </c>
      <c r="DB119">
        <v>265249736.50547761</v>
      </c>
      <c r="DC119">
        <v>0.16771060690283776</v>
      </c>
      <c r="DD119">
        <v>3.7522206265520208</v>
      </c>
      <c r="DE119">
        <v>595512423.81323254</v>
      </c>
      <c r="DF119">
        <v>0.15535298323631289</v>
      </c>
      <c r="DG119">
        <v>2.0043156740386507</v>
      </c>
      <c r="DH119">
        <v>1114841354.0555441</v>
      </c>
      <c r="DI119">
        <v>0.14122998476028445</v>
      </c>
      <c r="DJ119">
        <v>0.78920386345314242</v>
      </c>
      <c r="DK119">
        <v>2831326737.5846663</v>
      </c>
      <c r="DL119">
        <v>0.12357623666524888</v>
      </c>
      <c r="DM119">
        <v>72630700</v>
      </c>
      <c r="DN119">
        <v>0.17653748095035554</v>
      </c>
      <c r="DO119">
        <v>2234494000</v>
      </c>
      <c r="DP119">
        <v>641566990</v>
      </c>
      <c r="DQ119" s="16">
        <v>2824</v>
      </c>
      <c r="DR119">
        <v>0.33509042602638867</v>
      </c>
      <c r="DS119">
        <v>-3.5841372236895541E-2</v>
      </c>
      <c r="DT119">
        <v>-5.6666666666666719E-2</v>
      </c>
      <c r="DU119">
        <v>1.1966666666666668</v>
      </c>
      <c r="DV119">
        <v>1.1400000000000001</v>
      </c>
      <c r="DW119">
        <v>8.5241199478487619</v>
      </c>
      <c r="DX119">
        <v>0.3715005514365527</v>
      </c>
      <c r="DY119">
        <v>8.1056104585104229</v>
      </c>
      <c r="DZ119">
        <v>2285</v>
      </c>
      <c r="EA119">
        <v>8.0583854296070339</v>
      </c>
      <c r="EB119" s="17">
        <v>8</v>
      </c>
      <c r="EC119" s="17">
        <v>0.14752135295349764</v>
      </c>
      <c r="ED119">
        <v>0.73211389200564236</v>
      </c>
      <c r="EE119">
        <v>4.0312000000000001</v>
      </c>
      <c r="EF119">
        <v>4.0149999999999997</v>
      </c>
      <c r="EG119">
        <v>17.201500551436553</v>
      </c>
      <c r="EH119" s="19" t="s">
        <v>2248</v>
      </c>
      <c r="EI119">
        <v>0</v>
      </c>
      <c r="EJ119">
        <v>0</v>
      </c>
      <c r="EK119">
        <v>45470</v>
      </c>
      <c r="EL119">
        <v>-0.6</v>
      </c>
      <c r="EM119">
        <v>-5.46</v>
      </c>
      <c r="EN119" s="20">
        <v>0.05</v>
      </c>
      <c r="EO119" s="20">
        <v>3.94</v>
      </c>
      <c r="EP119" s="20">
        <v>-1.62</v>
      </c>
    </row>
    <row r="120" spans="1:146" x14ac:dyDescent="0.25">
      <c r="C120" s="7" t="str">
        <f>""&amp;CHAR(10)&amp;Basic_Fundamental_Information_Constructure(F120)&amp;CHAR(10)&amp;Basic_Fundamental_Information_Concatenate("")</f>
        <v xml:space="preserve">
市值35.668亿, 利润1.01亿; PE48.64; 平均PE52.95; 平均PEG9.22, PB4.69; ROIC16.195%; ROE0%; 股利率.8299%; 毛利15.24%; 净利7.4533%; 上一年度营收增-45.29%, 利润增39.39%; 当季营收增93.91%, 利润增-43.29%; 过往5年营收增5.74%, 利润增24.32%
Income profile:
</v>
      </c>
      <c r="D120" t="s">
        <v>2867</v>
      </c>
      <c r="E120" t="s">
        <v>2868</v>
      </c>
      <c r="F120">
        <v>24.1</v>
      </c>
      <c r="G120">
        <v>-1.51</v>
      </c>
      <c r="H120" t="s">
        <v>5122</v>
      </c>
      <c r="I120">
        <v>3566800000</v>
      </c>
      <c r="J120">
        <v>48.64</v>
      </c>
      <c r="K120">
        <v>4.6900000000000004</v>
      </c>
      <c r="L120" t="s">
        <v>172</v>
      </c>
      <c r="M120" t="s">
        <v>2607</v>
      </c>
      <c r="N120" t="s">
        <v>644</v>
      </c>
      <c r="O120" t="s">
        <v>424</v>
      </c>
      <c r="P120" s="5">
        <v>14.12</v>
      </c>
      <c r="Q120" t="s">
        <v>1954</v>
      </c>
      <c r="R120">
        <v>12939906</v>
      </c>
      <c r="S120">
        <v>3.0300000000000001E-2</v>
      </c>
      <c r="T120" t="s">
        <v>367</v>
      </c>
      <c r="U120">
        <v>35091569</v>
      </c>
      <c r="V120">
        <v>148000000</v>
      </c>
      <c r="W120">
        <v>2.64</v>
      </c>
      <c r="X120">
        <v>0.19</v>
      </c>
      <c r="Y120">
        <v>5.81</v>
      </c>
      <c r="Z120" t="s">
        <v>66</v>
      </c>
      <c r="AA120" t="s">
        <v>348</v>
      </c>
      <c r="AB120" t="s">
        <v>5123</v>
      </c>
      <c r="AC120" t="s">
        <v>5124</v>
      </c>
      <c r="AD120" t="s">
        <v>19</v>
      </c>
      <c r="AE120">
        <v>-681250</v>
      </c>
      <c r="AF120" t="s">
        <v>5125</v>
      </c>
      <c r="AG120">
        <v>346.11</v>
      </c>
      <c r="AH120" t="s">
        <v>5126</v>
      </c>
      <c r="AI120" t="s">
        <v>5127</v>
      </c>
      <c r="AJ120" t="s">
        <v>5128</v>
      </c>
      <c r="AK120" t="s">
        <v>5129</v>
      </c>
      <c r="AL120" t="s">
        <v>5130</v>
      </c>
      <c r="AM120" t="s">
        <v>19</v>
      </c>
      <c r="AN120" t="s">
        <v>462</v>
      </c>
      <c r="AO120" t="s">
        <v>67</v>
      </c>
      <c r="AP120" t="s">
        <v>2663</v>
      </c>
      <c r="AQ120" t="s">
        <v>84</v>
      </c>
      <c r="AR120" t="s">
        <v>19</v>
      </c>
      <c r="AS120" t="s">
        <v>1659</v>
      </c>
      <c r="AT120" t="s">
        <v>19</v>
      </c>
      <c r="AU120" t="s">
        <v>5131</v>
      </c>
      <c r="AV120" t="s">
        <v>5132</v>
      </c>
      <c r="AW120" t="s">
        <v>5133</v>
      </c>
      <c r="AX120" t="s">
        <v>2788</v>
      </c>
      <c r="AY120" t="s">
        <v>2335</v>
      </c>
      <c r="AZ120" t="s">
        <v>513</v>
      </c>
      <c r="BA120" t="s">
        <v>2537</v>
      </c>
      <c r="BB120" t="s">
        <v>19</v>
      </c>
      <c r="BC120" t="s">
        <v>2869</v>
      </c>
      <c r="BD120" t="s">
        <v>5134</v>
      </c>
      <c r="BE120" t="s">
        <v>5135</v>
      </c>
      <c r="BF120" t="s">
        <v>5136</v>
      </c>
      <c r="BG120" t="s">
        <v>19</v>
      </c>
      <c r="BH120" t="s">
        <v>117</v>
      </c>
      <c r="BI120" t="s">
        <v>103</v>
      </c>
      <c r="BJ120" t="s">
        <v>2788</v>
      </c>
      <c r="BK120" t="s">
        <v>5137</v>
      </c>
      <c r="BL120" t="s">
        <v>5138</v>
      </c>
      <c r="BM120" t="s">
        <v>2869</v>
      </c>
      <c r="BN120" t="s">
        <v>19</v>
      </c>
      <c r="BO120">
        <v>14.95</v>
      </c>
      <c r="BP120">
        <v>17.440000000000001</v>
      </c>
      <c r="BQ120" t="s">
        <v>19</v>
      </c>
      <c r="BR120" t="s">
        <v>19</v>
      </c>
      <c r="BS120" t="s">
        <v>19</v>
      </c>
      <c r="BT120" t="s">
        <v>1989</v>
      </c>
      <c r="BU120" t="s">
        <v>3032</v>
      </c>
      <c r="BV120">
        <v>16.61</v>
      </c>
      <c r="BW120">
        <v>14.54</v>
      </c>
      <c r="BX120">
        <v>14.57</v>
      </c>
      <c r="BY120">
        <v>7.59</v>
      </c>
      <c r="BZ120">
        <v>7.58</v>
      </c>
      <c r="CA120">
        <v>7.19</v>
      </c>
      <c r="CB120">
        <v>-8.5</v>
      </c>
      <c r="CC120" s="14">
        <v>-13.12</v>
      </c>
      <c r="CD120" s="15" t="s">
        <v>5139</v>
      </c>
      <c r="CE120" s="14" t="s">
        <v>69</v>
      </c>
      <c r="CF120" s="14">
        <v>0.93913043478260894</v>
      </c>
      <c r="CG120" s="14">
        <v>-0.43286820006661875</v>
      </c>
      <c r="CH120" s="14">
        <v>-0.45292887091636658</v>
      </c>
      <c r="CI120" s="14">
        <v>9.5036961138248444E-3</v>
      </c>
      <c r="CJ120" s="15">
        <v>0.53484600782394409</v>
      </c>
      <c r="CK120" s="15">
        <v>0.138376384973526</v>
      </c>
      <c r="CL120" s="15" t="s">
        <v>19</v>
      </c>
      <c r="CM120" s="15">
        <v>0.39386478066444397</v>
      </c>
      <c r="CN120" s="15">
        <v>6.3863776624202728E-2</v>
      </c>
      <c r="CO120">
        <v>0.30671578645706177</v>
      </c>
      <c r="CP120">
        <v>0.20833864808082581</v>
      </c>
      <c r="CQ120" t="s">
        <v>19</v>
      </c>
      <c r="CR120" s="14">
        <v>52.946433077715533</v>
      </c>
      <c r="CS120" s="15">
        <v>9.2162008817502858</v>
      </c>
      <c r="CT120">
        <v>0.82987551867219911</v>
      </c>
      <c r="CU120">
        <v>5.744930449873209E-2</v>
      </c>
      <c r="CV120">
        <v>0.24319574795663357</v>
      </c>
      <c r="CW120">
        <v>0.06</v>
      </c>
      <c r="CX120">
        <v>37.633131483060147</v>
      </c>
      <c r="CY120">
        <v>100756962.03242636</v>
      </c>
      <c r="CZ120">
        <v>5.744930449873209E-2</v>
      </c>
      <c r="DA120">
        <v>12.643119923371016</v>
      </c>
      <c r="DB120">
        <v>299910150.57848144</v>
      </c>
      <c r="DC120">
        <v>5.4576839273795481E-2</v>
      </c>
      <c r="DD120">
        <v>6.4554460385753751</v>
      </c>
      <c r="DE120">
        <v>587380016.39880431</v>
      </c>
      <c r="DF120">
        <v>5.0555387958884236E-2</v>
      </c>
      <c r="DG120">
        <v>4.0369760784540114</v>
      </c>
      <c r="DH120">
        <v>939267393.78948629</v>
      </c>
      <c r="DI120">
        <v>4.5959443598985676E-2</v>
      </c>
      <c r="DJ120">
        <v>2.2743371189135657</v>
      </c>
      <c r="DK120">
        <v>1667211060.5182908</v>
      </c>
      <c r="DL120">
        <v>4.0214513149112459E-2</v>
      </c>
      <c r="DM120">
        <v>101000000</v>
      </c>
      <c r="DN120">
        <v>5.744930449873209E-2</v>
      </c>
      <c r="DO120">
        <v>3791800000</v>
      </c>
      <c r="DP120">
        <v>-228642180</v>
      </c>
      <c r="DQ120" s="16">
        <v>2828</v>
      </c>
      <c r="DR120">
        <v>0.88168113028387685</v>
      </c>
      <c r="DS120">
        <v>-0.67606394802325231</v>
      </c>
      <c r="DT120">
        <v>-0.56799999999999995</v>
      </c>
      <c r="DU120">
        <v>0.23599999999999999</v>
      </c>
      <c r="DV120">
        <v>-0.33199999999999996</v>
      </c>
      <c r="DW120">
        <v>-9.6478658536585371</v>
      </c>
      <c r="DX120">
        <v>0.2974114155251158</v>
      </c>
      <c r="DY120">
        <v>-9.0631095298752644</v>
      </c>
      <c r="DZ120">
        <v>262</v>
      </c>
      <c r="EA120">
        <v>-9.0598737770714841</v>
      </c>
      <c r="EB120" s="17">
        <v>9</v>
      </c>
      <c r="EC120" s="17">
        <v>0.14414256756756758</v>
      </c>
      <c r="ED120">
        <v>1.4797297297297298</v>
      </c>
      <c r="EE120">
        <v>20.023409999999998</v>
      </c>
      <c r="EF120">
        <v>20.07151</v>
      </c>
      <c r="EG120">
        <v>20.097411415525116</v>
      </c>
      <c r="EH120" s="19" t="s">
        <v>5140</v>
      </c>
      <c r="EI120">
        <v>0</v>
      </c>
      <c r="EJ120">
        <v>1</v>
      </c>
      <c r="EK120">
        <v>45470</v>
      </c>
      <c r="EL120">
        <v>1.88</v>
      </c>
      <c r="EM120">
        <v>-6.64</v>
      </c>
      <c r="EN120" s="20">
        <v>-2.33</v>
      </c>
      <c r="EO120" s="20">
        <v>-0.85</v>
      </c>
      <c r="EP120" s="20">
        <v>-4.8099999999999996</v>
      </c>
    </row>
    <row r="121" spans="1:146" ht="84" x14ac:dyDescent="0.25">
      <c r="C121" s="7" t="str">
        <f>""&amp;CHAR(10)&amp;Basic_Fundamental_Information_Constructure(F121)&amp;CHAR(10)&amp;Basic_Fundamental_Information_Concatenate("")</f>
        <v xml:space="preserve">
市值48.433亿, 利润5739.85万; PE27.93; 平均PE78.34; 平均PEG1.75, PB2.95; ROIC16.7133%; ROE22.94%; 股利率.9085%; 毛利27.8733%; 净利16.4433%; 上一年度营收增83.73%, 利润增-53.33%; 当季营收增-38.72%, 利润增301.61%; 过往5年营收增44.67%, 利润增28.44%
Income profile:
</v>
      </c>
      <c r="D121" t="s">
        <v>2721</v>
      </c>
      <c r="E121" t="s">
        <v>2722</v>
      </c>
      <c r="F121">
        <v>44.03</v>
      </c>
      <c r="G121">
        <v>-8.99</v>
      </c>
      <c r="H121" t="s">
        <v>5141</v>
      </c>
      <c r="I121">
        <v>4843300000</v>
      </c>
      <c r="J121">
        <v>27.93</v>
      </c>
      <c r="K121">
        <v>2.95</v>
      </c>
      <c r="L121" t="s">
        <v>172</v>
      </c>
      <c r="M121" t="s">
        <v>2124</v>
      </c>
      <c r="N121" t="s">
        <v>2878</v>
      </c>
      <c r="O121" t="s">
        <v>144</v>
      </c>
      <c r="P121" s="5">
        <v>11.95</v>
      </c>
      <c r="Q121" t="s">
        <v>1970</v>
      </c>
      <c r="R121">
        <v>47021068</v>
      </c>
      <c r="S121">
        <v>1.014</v>
      </c>
      <c r="T121" t="s">
        <v>5142</v>
      </c>
      <c r="U121">
        <v>27500000</v>
      </c>
      <c r="V121">
        <v>110000000</v>
      </c>
      <c r="W121">
        <v>1.21</v>
      </c>
      <c r="X121">
        <v>0.08</v>
      </c>
      <c r="Y121">
        <v>28.8</v>
      </c>
      <c r="Z121" t="s">
        <v>506</v>
      </c>
      <c r="AA121" t="s">
        <v>262</v>
      </c>
      <c r="AB121" t="s">
        <v>5143</v>
      </c>
      <c r="AC121" t="s">
        <v>5144</v>
      </c>
      <c r="AD121" t="s">
        <v>19</v>
      </c>
      <c r="AE121">
        <v>-10006372</v>
      </c>
      <c r="AF121" t="s">
        <v>5145</v>
      </c>
      <c r="AG121" t="s">
        <v>5146</v>
      </c>
      <c r="AH121" t="s">
        <v>5147</v>
      </c>
      <c r="AI121" t="s">
        <v>5148</v>
      </c>
      <c r="AJ121" t="s">
        <v>5149</v>
      </c>
      <c r="AK121" t="s">
        <v>19</v>
      </c>
      <c r="AL121" t="s">
        <v>5150</v>
      </c>
      <c r="AM121" t="s">
        <v>19</v>
      </c>
      <c r="AN121" t="s">
        <v>5151</v>
      </c>
      <c r="AO121" t="s">
        <v>5152</v>
      </c>
      <c r="AP121" t="s">
        <v>28</v>
      </c>
      <c r="AQ121" t="s">
        <v>52</v>
      </c>
      <c r="AR121" t="s">
        <v>19</v>
      </c>
      <c r="AS121" t="s">
        <v>397</v>
      </c>
      <c r="AT121" t="s">
        <v>19</v>
      </c>
      <c r="AU121" t="s">
        <v>5153</v>
      </c>
      <c r="AV121" t="s">
        <v>5154</v>
      </c>
      <c r="AW121" t="s">
        <v>5155</v>
      </c>
      <c r="AX121" t="s">
        <v>815</v>
      </c>
      <c r="AY121" t="s">
        <v>671</v>
      </c>
      <c r="AZ121" t="s">
        <v>548</v>
      </c>
      <c r="BA121" t="s">
        <v>546</v>
      </c>
      <c r="BB121" t="s">
        <v>166</v>
      </c>
      <c r="BC121" t="s">
        <v>155</v>
      </c>
      <c r="BD121" t="s">
        <v>2724</v>
      </c>
      <c r="BE121" t="s">
        <v>2725</v>
      </c>
      <c r="BF121" t="s">
        <v>2726</v>
      </c>
      <c r="BG121" t="s">
        <v>2727</v>
      </c>
      <c r="BH121" t="s">
        <v>828</v>
      </c>
      <c r="BI121" t="s">
        <v>4396</v>
      </c>
      <c r="BJ121" t="s">
        <v>815</v>
      </c>
      <c r="BK121" t="s">
        <v>446</v>
      </c>
      <c r="BL121" t="s">
        <v>5156</v>
      </c>
      <c r="BM121" t="s">
        <v>155</v>
      </c>
      <c r="BN121">
        <v>8.69</v>
      </c>
      <c r="BO121">
        <v>22.18</v>
      </c>
      <c r="BP121">
        <v>19.27</v>
      </c>
      <c r="BQ121">
        <v>18.760000000000002</v>
      </c>
      <c r="BR121">
        <v>27.12</v>
      </c>
      <c r="BS121" t="s">
        <v>19</v>
      </c>
      <c r="BT121" t="s">
        <v>2032</v>
      </c>
      <c r="BU121" t="s">
        <v>3032</v>
      </c>
      <c r="BV121">
        <v>32.119999999999997</v>
      </c>
      <c r="BW121">
        <v>26.19</v>
      </c>
      <c r="BX121">
        <v>25.31</v>
      </c>
      <c r="BY121">
        <v>20.29</v>
      </c>
      <c r="BZ121">
        <v>16.350000000000001</v>
      </c>
      <c r="CA121">
        <v>12.69</v>
      </c>
      <c r="CB121">
        <v>-8.1</v>
      </c>
      <c r="CC121" s="14">
        <v>14.75</v>
      </c>
      <c r="CD121" s="15" t="s">
        <v>5157</v>
      </c>
      <c r="CE121" s="14" t="s">
        <v>283</v>
      </c>
      <c r="CF121" s="14">
        <v>-0.38721804511278196</v>
      </c>
      <c r="CG121" s="14">
        <v>3.0161486163307138</v>
      </c>
      <c r="CH121" s="14">
        <v>0.8373333215713501</v>
      </c>
      <c r="CI121" s="14">
        <v>4.8951048403978348E-2</v>
      </c>
      <c r="CJ121" s="15">
        <v>0.36190477013587952</v>
      </c>
      <c r="CK121" s="15">
        <v>0.69354838132858276</v>
      </c>
      <c r="CL121" s="15">
        <v>0.2916666567325592</v>
      </c>
      <c r="CM121" s="15">
        <v>-0.53334552049636841</v>
      </c>
      <c r="CN121" s="15">
        <v>0.35623416304588318</v>
      </c>
      <c r="CO121">
        <v>1.1755692958831787</v>
      </c>
      <c r="CP121">
        <v>0.67580008506774902</v>
      </c>
      <c r="CQ121">
        <v>-0.25249487161636353</v>
      </c>
      <c r="CR121" s="14">
        <v>78.342766791173034</v>
      </c>
      <c r="CS121" s="15">
        <v>1.7538869040552003</v>
      </c>
      <c r="CT121">
        <v>0.90847149670679084</v>
      </c>
      <c r="CU121">
        <v>0.44668083563446997</v>
      </c>
      <c r="CV121">
        <v>0.2843526303768158</v>
      </c>
      <c r="CW121">
        <v>0.06</v>
      </c>
      <c r="CX121">
        <v>45.69100326770161</v>
      </c>
      <c r="CY121">
        <v>78337084.852985963</v>
      </c>
      <c r="CZ121">
        <v>0.44668083563446997</v>
      </c>
      <c r="DA121">
        <v>11.184360983228446</v>
      </c>
      <c r="DB121">
        <v>320027224.20774454</v>
      </c>
      <c r="DC121">
        <v>0.42434679385274643</v>
      </c>
      <c r="DD121">
        <v>3.5905225083278736</v>
      </c>
      <c r="DE121">
        <v>996874408.02784443</v>
      </c>
      <c r="DF121">
        <v>0.39307913535833355</v>
      </c>
      <c r="DG121">
        <v>1.2586412407482657</v>
      </c>
      <c r="DH121">
        <v>2843780963.2489843</v>
      </c>
      <c r="DI121">
        <v>0.35734466850757601</v>
      </c>
      <c r="DJ121">
        <v>0.16917868959125126</v>
      </c>
      <c r="DK121">
        <v>21156919991.801949</v>
      </c>
      <c r="DL121">
        <v>0.31267658494412898</v>
      </c>
      <c r="DM121">
        <v>57398500</v>
      </c>
      <c r="DN121">
        <v>0.44668083563446997</v>
      </c>
      <c r="DO121">
        <v>3579300000</v>
      </c>
      <c r="DP121">
        <v>1378583600</v>
      </c>
      <c r="DQ121" s="16">
        <v>2830</v>
      </c>
      <c r="DR121">
        <v>-0.83389888074725194</v>
      </c>
      <c r="DS121">
        <v>2.7317959859538981</v>
      </c>
      <c r="DT121">
        <v>0.35999999999999993</v>
      </c>
      <c r="DU121">
        <v>0.60333333333333328</v>
      </c>
      <c r="DV121">
        <v>0.96333333333333315</v>
      </c>
      <c r="DW121">
        <v>-7.3544857768052516</v>
      </c>
      <c r="DX121">
        <v>0.39333643122676665</v>
      </c>
      <c r="DY121">
        <v>-7.0401761528637552</v>
      </c>
      <c r="DZ121">
        <v>581</v>
      </c>
      <c r="EA121">
        <v>-7.035608179318972</v>
      </c>
      <c r="EB121" s="17">
        <v>7</v>
      </c>
      <c r="EC121" s="17">
        <v>0.27715909090909091</v>
      </c>
      <c r="ED121">
        <v>2.4454545454545453</v>
      </c>
      <c r="EE121">
        <v>11.06231</v>
      </c>
      <c r="EF121">
        <v>11.077909999999999</v>
      </c>
      <c r="EG121">
        <v>28.113336431226767</v>
      </c>
      <c r="EH121" s="19" t="s">
        <v>5158</v>
      </c>
      <c r="EI121">
        <v>0</v>
      </c>
      <c r="EJ121">
        <v>1</v>
      </c>
      <c r="EK121">
        <v>45470</v>
      </c>
      <c r="EL121">
        <v>-4.75</v>
      </c>
      <c r="EM121">
        <v>-3.98</v>
      </c>
      <c r="EN121" s="20">
        <v>0.31</v>
      </c>
      <c r="EO121" s="20">
        <v>1.63</v>
      </c>
      <c r="EP121" s="20">
        <v>-1.56</v>
      </c>
    </row>
    <row r="122" spans="1:146" ht="84" x14ac:dyDescent="0.25">
      <c r="A122" s="7"/>
      <c r="B122" s="7"/>
      <c r="C122" s="7" t="str">
        <f>""&amp;CHAR(10)&amp;Basic_Fundamental_Information_Constructure(F122)&amp;CHAR(10)&amp;Basic_Fundamental_Information_Concatenate("")</f>
        <v xml:space="preserve">
市值48.580856亿, 利润1269.03万; PE35.15; 平均PE79.84; 平均PEG2.99, PB1.06; ROIC6.7967%; ROE5.1%; 股利率.8333%; 毛利13.4233%; 净利4.6633%; 上一年度营收增-93.27%, 利润增-88.36%; 当季营收增6992.1%, 利润增660.95%; 过往5年营收增-26.73%, 利润增-88.36%
Income profile:
</v>
      </c>
      <c r="D122" t="s">
        <v>1034</v>
      </c>
      <c r="E122" t="s">
        <v>1035</v>
      </c>
      <c r="F122">
        <v>8.4</v>
      </c>
      <c r="G122">
        <v>-0.36</v>
      </c>
      <c r="H122" t="s">
        <v>5159</v>
      </c>
      <c r="I122">
        <v>4858085600</v>
      </c>
      <c r="J122">
        <v>35.15</v>
      </c>
      <c r="K122">
        <v>1.06</v>
      </c>
      <c r="L122" t="s">
        <v>172</v>
      </c>
      <c r="M122" t="s">
        <v>5160</v>
      </c>
      <c r="N122" t="s">
        <v>5161</v>
      </c>
      <c r="O122" t="s">
        <v>5162</v>
      </c>
      <c r="P122">
        <v>5.01</v>
      </c>
      <c r="Q122" t="s">
        <v>568</v>
      </c>
      <c r="R122">
        <v>14694558</v>
      </c>
      <c r="S122" s="5">
        <v>0.37759999999999999</v>
      </c>
      <c r="T122" t="s">
        <v>5163</v>
      </c>
      <c r="U122">
        <v>444627210</v>
      </c>
      <c r="V122">
        <v>578343530</v>
      </c>
      <c r="W122">
        <v>1.85</v>
      </c>
      <c r="X122" t="s">
        <v>19</v>
      </c>
      <c r="Y122">
        <v>2.82</v>
      </c>
      <c r="Z122" t="s">
        <v>19</v>
      </c>
      <c r="AA122" t="s">
        <v>19</v>
      </c>
      <c r="AB122" t="s">
        <v>19</v>
      </c>
      <c r="AC122" t="s">
        <v>19</v>
      </c>
      <c r="AD122" t="s">
        <v>19</v>
      </c>
      <c r="AE122">
        <v>-7394398</v>
      </c>
      <c r="AF122" t="s">
        <v>5164</v>
      </c>
      <c r="AG122" t="s">
        <v>5165</v>
      </c>
      <c r="AH122" t="s">
        <v>5166</v>
      </c>
      <c r="AI122" t="s">
        <v>1341</v>
      </c>
      <c r="AJ122" t="s">
        <v>5167</v>
      </c>
      <c r="AK122" t="s">
        <v>19</v>
      </c>
      <c r="AL122" t="s">
        <v>5168</v>
      </c>
      <c r="AM122" t="s">
        <v>19</v>
      </c>
      <c r="AN122" t="s">
        <v>5169</v>
      </c>
      <c r="AO122" t="s">
        <v>19</v>
      </c>
      <c r="AP122" t="s">
        <v>834</v>
      </c>
      <c r="AQ122" t="s">
        <v>5170</v>
      </c>
      <c r="AR122" t="s">
        <v>5171</v>
      </c>
      <c r="AS122" t="s">
        <v>19</v>
      </c>
      <c r="AT122" t="s">
        <v>19</v>
      </c>
      <c r="AU122" t="s">
        <v>5172</v>
      </c>
      <c r="AV122" t="s">
        <v>5173</v>
      </c>
      <c r="AW122" t="s">
        <v>5174</v>
      </c>
      <c r="AX122" t="s">
        <v>2276</v>
      </c>
      <c r="AY122" t="s">
        <v>19</v>
      </c>
      <c r="AZ122" t="s">
        <v>1706</v>
      </c>
      <c r="BA122" t="s">
        <v>1038</v>
      </c>
      <c r="BB122" t="s">
        <v>1039</v>
      </c>
      <c r="BC122" t="s">
        <v>262</v>
      </c>
      <c r="BD122" t="s">
        <v>19</v>
      </c>
      <c r="BE122" t="s">
        <v>19</v>
      </c>
      <c r="BF122" t="s">
        <v>19</v>
      </c>
      <c r="BG122" t="s">
        <v>19</v>
      </c>
      <c r="BH122" t="s">
        <v>5175</v>
      </c>
      <c r="BI122" t="s">
        <v>5176</v>
      </c>
      <c r="BJ122" t="s">
        <v>2276</v>
      </c>
      <c r="BK122" t="s">
        <v>287</v>
      </c>
      <c r="BL122" t="s">
        <v>5177</v>
      </c>
      <c r="BM122" t="s">
        <v>262</v>
      </c>
      <c r="BN122">
        <v>2.74</v>
      </c>
      <c r="BO122">
        <v>6.15</v>
      </c>
      <c r="BP122">
        <v>11.5</v>
      </c>
      <c r="BQ122">
        <v>1.66</v>
      </c>
      <c r="BR122">
        <v>3.43</v>
      </c>
      <c r="BS122">
        <v>10.210000000000001</v>
      </c>
      <c r="BT122" t="s">
        <v>2062</v>
      </c>
      <c r="BU122" t="s">
        <v>3084</v>
      </c>
      <c r="BV122">
        <v>12.49</v>
      </c>
      <c r="BW122">
        <v>14.29</v>
      </c>
      <c r="BX122">
        <v>13.49</v>
      </c>
      <c r="BY122">
        <v>4.24</v>
      </c>
      <c r="BZ122">
        <v>4.21</v>
      </c>
      <c r="CA122">
        <v>5.54</v>
      </c>
      <c r="CB122">
        <v>-4</v>
      </c>
      <c r="CC122">
        <v>-10.73</v>
      </c>
      <c r="CD122" t="s">
        <v>5178</v>
      </c>
      <c r="CE122" t="s">
        <v>5179</v>
      </c>
      <c r="CF122" s="14">
        <v>69.921026528882393</v>
      </c>
      <c r="CG122" s="15">
        <v>6.6094663307375168</v>
      </c>
      <c r="CH122" s="14">
        <v>-0.93270069360733032</v>
      </c>
      <c r="CI122" s="14" t="s">
        <v>19</v>
      </c>
      <c r="CJ122" s="14" t="s">
        <v>19</v>
      </c>
      <c r="CK122" s="14">
        <v>0.15219727158546448</v>
      </c>
      <c r="CL122" s="14">
        <v>-2.1279804408550262E-2</v>
      </c>
      <c r="CM122" s="15">
        <v>-0.8835752010345459</v>
      </c>
      <c r="CN122" s="15" t="s">
        <v>19</v>
      </c>
      <c r="CO122" s="15" t="s">
        <v>19</v>
      </c>
      <c r="CP122" s="15" t="s">
        <v>19</v>
      </c>
      <c r="CQ122" s="15" t="s">
        <v>19</v>
      </c>
      <c r="CR122">
        <v>79.843432056622419</v>
      </c>
      <c r="CS122">
        <v>2.9874695338323498</v>
      </c>
      <c r="CT122">
        <v>0.83333333333333326</v>
      </c>
      <c r="CU122" s="14">
        <v>-0.26726107547680539</v>
      </c>
      <c r="CV122" s="15">
        <v>-0.8835752010345459</v>
      </c>
      <c r="CW122">
        <v>0.06</v>
      </c>
      <c r="CX122">
        <v>349.01346697871605</v>
      </c>
      <c r="CY122" t="s">
        <v>5180</v>
      </c>
      <c r="CZ122">
        <v>-0.26726107547680539</v>
      </c>
      <c r="DA122">
        <v>116.33782232623868</v>
      </c>
      <c r="DB122" t="s">
        <v>5181</v>
      </c>
      <c r="DC122">
        <v>-0.2538980217029651</v>
      </c>
      <c r="DD122">
        <v>58.16891116311934</v>
      </c>
      <c r="DE122" t="s">
        <v>5182</v>
      </c>
      <c r="DF122">
        <v>-0.23518974641958873</v>
      </c>
      <c r="DG122">
        <v>34.901346697871602</v>
      </c>
      <c r="DH122" t="s">
        <v>5183</v>
      </c>
      <c r="DI122">
        <v>-0.21380886038144431</v>
      </c>
      <c r="DJ122">
        <v>17.450673348935801</v>
      </c>
      <c r="DK122" t="s">
        <v>5184</v>
      </c>
      <c r="DL122">
        <v>-0.18708275283376377</v>
      </c>
      <c r="DM122">
        <v>12690300</v>
      </c>
      <c r="DN122">
        <v>-0.26726107547680539</v>
      </c>
      <c r="DO122">
        <v>4429085600</v>
      </c>
      <c r="DP122">
        <v>6796943100</v>
      </c>
      <c r="DQ122">
        <v>2905</v>
      </c>
      <c r="DR122">
        <v>70.188287604359203</v>
      </c>
      <c r="DS122">
        <v>7.4930415317720627</v>
      </c>
      <c r="DT122" s="16">
        <v>-1.1599999999999999</v>
      </c>
      <c r="DU122">
        <v>-2.3199999999999998</v>
      </c>
      <c r="DV122">
        <v>-3.4799999999999995</v>
      </c>
      <c r="DW122">
        <v>-8.3727865796831313</v>
      </c>
      <c r="DX122">
        <v>0.41035038054575979</v>
      </c>
      <c r="DY122">
        <v>-8.0560486041177111</v>
      </c>
      <c r="DZ122">
        <v>3682</v>
      </c>
      <c r="EA122">
        <v>-8.0156628975890598</v>
      </c>
      <c r="EB122">
        <v>8</v>
      </c>
      <c r="EC122">
        <v>1.7925678186457798E-2</v>
      </c>
      <c r="ED122">
        <v>0.11922602471233663</v>
      </c>
      <c r="EE122" s="17">
        <v>-4.0536000000000003</v>
      </c>
      <c r="EF122">
        <v>-4.0404999999999998</v>
      </c>
      <c r="EG122">
        <v>26.15035038054576</v>
      </c>
      <c r="EH122" t="s">
        <v>2844</v>
      </c>
      <c r="EI122">
        <v>0</v>
      </c>
      <c r="EJ122">
        <v>0</v>
      </c>
      <c r="EK122" s="19">
        <v>45470</v>
      </c>
      <c r="EL122" s="20">
        <v>-0.97</v>
      </c>
      <c r="EM122" s="20">
        <v>-2.2999999999999998</v>
      </c>
      <c r="EN122" s="20">
        <v>1.01</v>
      </c>
      <c r="EO122" s="20">
        <v>1.33</v>
      </c>
      <c r="EP122" s="20">
        <v>-1.31</v>
      </c>
    </row>
    <row r="123" spans="1:146" ht="84" x14ac:dyDescent="0.25">
      <c r="A123" s="7"/>
      <c r="B123" s="7"/>
      <c r="C123" s="7" t="str">
        <f>""&amp;CHAR(10)&amp;Basic_Fundamental_Information_Constructure(F123)&amp;CHAR(10)&amp;Basic_Fundamental_Information_Concatenate("")</f>
        <v xml:space="preserve">
市值16.840458亿, 利润-1490.86万; PE185.8; 平均PE-153.41; 平均PEG-12.88, PB3.59; ROIC5.64%; ROE2.0167%; 股利率.2521%; 毛利21.45%; 净利2.6033%; 上一年度营收增-64.61%, 利润增-111.6%; 当季营收增108.47%, 利润增49.28%; 过往5年营收增-11.91%, 利润增-111.6%
Income profile:
</v>
      </c>
      <c r="D123" t="s">
        <v>1040</v>
      </c>
      <c r="E123" t="s">
        <v>1041</v>
      </c>
      <c r="F123">
        <v>11.9</v>
      </c>
      <c r="G123">
        <v>1.71</v>
      </c>
      <c r="H123" t="s">
        <v>5185</v>
      </c>
      <c r="I123">
        <v>1684045800</v>
      </c>
      <c r="J123">
        <v>185.8</v>
      </c>
      <c r="K123">
        <v>3.59</v>
      </c>
      <c r="L123" t="s">
        <v>172</v>
      </c>
      <c r="M123" t="s">
        <v>2324</v>
      </c>
      <c r="N123" t="s">
        <v>160</v>
      </c>
      <c r="O123" t="s">
        <v>292</v>
      </c>
      <c r="P123">
        <v>28.54</v>
      </c>
      <c r="Q123" t="s">
        <v>558</v>
      </c>
      <c r="R123">
        <v>-1742020</v>
      </c>
      <c r="S123" s="5">
        <v>0.82830000000000004</v>
      </c>
      <c r="T123" t="s">
        <v>5186</v>
      </c>
      <c r="U123">
        <v>141516450</v>
      </c>
      <c r="V123">
        <v>141516450</v>
      </c>
      <c r="W123">
        <v>2.0699999999999998</v>
      </c>
      <c r="X123" t="s">
        <v>19</v>
      </c>
      <c r="Y123">
        <v>0.53</v>
      </c>
      <c r="Z123" t="s">
        <v>19</v>
      </c>
      <c r="AA123" t="s">
        <v>19</v>
      </c>
      <c r="AB123" t="s">
        <v>19</v>
      </c>
      <c r="AC123" t="s">
        <v>19</v>
      </c>
      <c r="AD123" t="s">
        <v>19</v>
      </c>
      <c r="AE123">
        <v>-1064737</v>
      </c>
      <c r="AF123" t="s">
        <v>21</v>
      </c>
      <c r="AG123">
        <v>3939.88</v>
      </c>
      <c r="AH123" t="s">
        <v>5187</v>
      </c>
      <c r="AI123" t="s">
        <v>116</v>
      </c>
      <c r="AJ123" t="s">
        <v>5188</v>
      </c>
      <c r="AK123" t="s">
        <v>19</v>
      </c>
      <c r="AL123" t="s">
        <v>5189</v>
      </c>
      <c r="AM123" t="s">
        <v>19</v>
      </c>
      <c r="AN123" t="s">
        <v>5190</v>
      </c>
      <c r="AO123" t="s">
        <v>19</v>
      </c>
      <c r="AP123" t="s">
        <v>278</v>
      </c>
      <c r="AQ123" t="s">
        <v>509</v>
      </c>
      <c r="AR123" t="s">
        <v>19</v>
      </c>
      <c r="AS123" t="s">
        <v>19</v>
      </c>
      <c r="AT123" t="s">
        <v>19</v>
      </c>
      <c r="AU123" t="s">
        <v>5191</v>
      </c>
      <c r="AV123" t="s">
        <v>5192</v>
      </c>
      <c r="AW123" t="s">
        <v>19</v>
      </c>
      <c r="AX123" t="s">
        <v>47</v>
      </c>
      <c r="AY123" t="s">
        <v>19</v>
      </c>
      <c r="AZ123" t="s">
        <v>1042</v>
      </c>
      <c r="BA123" t="s">
        <v>1043</v>
      </c>
      <c r="BB123" t="s">
        <v>1044</v>
      </c>
      <c r="BC123" t="s">
        <v>5193</v>
      </c>
      <c r="BD123" t="s">
        <v>19</v>
      </c>
      <c r="BE123" t="s">
        <v>19</v>
      </c>
      <c r="BF123" t="s">
        <v>19</v>
      </c>
      <c r="BG123" t="s">
        <v>19</v>
      </c>
      <c r="BH123" t="s">
        <v>5194</v>
      </c>
      <c r="BI123" t="s">
        <v>5195</v>
      </c>
      <c r="BJ123" t="s">
        <v>47</v>
      </c>
      <c r="BK123" t="s">
        <v>5196</v>
      </c>
      <c r="BL123" t="s">
        <v>5197</v>
      </c>
      <c r="BM123" t="s">
        <v>5193</v>
      </c>
      <c r="BN123" t="s">
        <v>19</v>
      </c>
      <c r="BO123">
        <v>0.71</v>
      </c>
      <c r="BP123">
        <v>10.57</v>
      </c>
      <c r="BQ123">
        <v>-0.76</v>
      </c>
      <c r="BR123">
        <v>-1.7</v>
      </c>
      <c r="BS123">
        <v>8.51</v>
      </c>
      <c r="BT123" t="s">
        <v>1991</v>
      </c>
      <c r="BU123" t="s">
        <v>2920</v>
      </c>
      <c r="BV123">
        <v>19.96</v>
      </c>
      <c r="BW123">
        <v>20.079999999999998</v>
      </c>
      <c r="BX123">
        <v>24.31</v>
      </c>
      <c r="BY123">
        <v>1.93</v>
      </c>
      <c r="BZ123">
        <v>-0.3</v>
      </c>
      <c r="CA123">
        <v>6.18</v>
      </c>
      <c r="CB123">
        <v>0</v>
      </c>
      <c r="CC123">
        <v>-7.1</v>
      </c>
      <c r="CD123" t="s">
        <v>5198</v>
      </c>
      <c r="CE123" t="s">
        <v>5199</v>
      </c>
      <c r="CF123" s="14">
        <v>1.0846951575004857</v>
      </c>
      <c r="CG123" s="15">
        <v>0.49277311903098064</v>
      </c>
      <c r="CH123" s="14">
        <v>-0.64609801769256592</v>
      </c>
      <c r="CI123" s="14" t="s">
        <v>19</v>
      </c>
      <c r="CJ123" s="14" t="s">
        <v>19</v>
      </c>
      <c r="CK123" s="14">
        <v>0.22457626461982727</v>
      </c>
      <c r="CL123" s="14">
        <v>6.4261555671691895E-2</v>
      </c>
      <c r="CM123" s="15">
        <v>-1.1160156726837158</v>
      </c>
      <c r="CN123" s="15" t="s">
        <v>19</v>
      </c>
      <c r="CO123" s="15" t="s">
        <v>19</v>
      </c>
      <c r="CP123" s="15" t="s">
        <v>19</v>
      </c>
      <c r="CQ123" s="15" t="s">
        <v>19</v>
      </c>
      <c r="CR123">
        <v>-153.41445372639407</v>
      </c>
      <c r="CS123">
        <v>-12.882581505784998</v>
      </c>
      <c r="CT123">
        <v>0.25210084033613445</v>
      </c>
      <c r="CU123" s="14">
        <v>-0.11908673246701558</v>
      </c>
      <c r="CV123" s="15">
        <v>-1.1160156726837158</v>
      </c>
      <c r="CW123">
        <v>0.06</v>
      </c>
      <c r="CX123" t="e">
        <v>#VALUE!</v>
      </c>
      <c r="CY123" t="s">
        <v>1834</v>
      </c>
      <c r="CZ123">
        <v>-0.11908673246701558</v>
      </c>
      <c r="DA123" t="e">
        <v>#VALUE!</v>
      </c>
      <c r="DB123" t="s">
        <v>1835</v>
      </c>
      <c r="DC123">
        <v>-0.1131323958436648</v>
      </c>
      <c r="DD123" t="e">
        <v>#VALUE!</v>
      </c>
      <c r="DE123" t="s">
        <v>1835</v>
      </c>
      <c r="DF123">
        <v>-0.10479632457097371</v>
      </c>
      <c r="DG123" t="e">
        <v>#VALUE!</v>
      </c>
      <c r="DH123" t="s">
        <v>1835</v>
      </c>
      <c r="DI123">
        <v>-9.5269385973612467E-2</v>
      </c>
      <c r="DJ123" t="e">
        <v>#VALUE!</v>
      </c>
      <c r="DK123" t="s">
        <v>1835</v>
      </c>
      <c r="DL123">
        <v>-8.3360712726910896E-2</v>
      </c>
      <c r="DM123">
        <v>-14908599.999999998</v>
      </c>
      <c r="DN123">
        <v>-0.11908673246701558</v>
      </c>
      <c r="DO123">
        <v>1711045800</v>
      </c>
      <c r="DP123">
        <v>1028880950</v>
      </c>
      <c r="DQ123">
        <v>2955</v>
      </c>
      <c r="DR123">
        <v>1.2037818899675012</v>
      </c>
      <c r="DS123">
        <v>1.6087887917146966</v>
      </c>
      <c r="DT123" s="16">
        <v>-1.1599999999999999</v>
      </c>
      <c r="DU123">
        <v>-4.9450000000000003</v>
      </c>
      <c r="DV123">
        <v>-6.1050000000000004</v>
      </c>
      <c r="DW123">
        <v>-2.0710000000000002</v>
      </c>
      <c r="DX123">
        <v>0.36805299008556913</v>
      </c>
      <c r="DY123">
        <v>-2.0098017622960755</v>
      </c>
      <c r="DZ123">
        <v>2559</v>
      </c>
      <c r="EA123">
        <v>-2.0048932085356728</v>
      </c>
      <c r="EB123">
        <v>2</v>
      </c>
      <c r="EC123">
        <v>4.0243378066648787E-2</v>
      </c>
      <c r="ED123">
        <v>0.29150674709547902</v>
      </c>
      <c r="EE123" s="17">
        <v>-2.10121</v>
      </c>
      <c r="EF123">
        <v>-2.12181</v>
      </c>
      <c r="EG123">
        <v>23.138052990085569</v>
      </c>
      <c r="EH123" t="s">
        <v>2497</v>
      </c>
      <c r="EI123">
        <v>0</v>
      </c>
      <c r="EJ123">
        <v>0</v>
      </c>
      <c r="EK123" s="19">
        <v>45470</v>
      </c>
      <c r="EL123" s="20">
        <v>0.28999999999999998</v>
      </c>
      <c r="EM123" s="20">
        <v>-2.78</v>
      </c>
      <c r="EN123" s="20">
        <v>0.3</v>
      </c>
      <c r="EO123" s="20">
        <v>2.1</v>
      </c>
      <c r="EP123" s="20">
        <v>-2.06</v>
      </c>
    </row>
    <row r="124" spans="1:146" ht="84" x14ac:dyDescent="0.25">
      <c r="A124" s="7"/>
      <c r="B124" s="7"/>
      <c r="C124" s="7" t="str">
        <f>""&amp;CHAR(10)&amp;Basic_Fundamental_Information_Constructure(F124)&amp;CHAR(10)&amp;Basic_Fundamental_Information_Concatenate("")</f>
        <v xml:space="preserve">
市值42.442851亿, 利润5.68亿; PE514.8; 平均PE12.56; 平均PEG.15, PB1.68; ROIC1.7167%; ROE3.07%; 股利率.0291%; 毛利8.7567%; 净利1.3533%; 上一年度营收增27.35%, 利润增425.93%; 当季营收增-39%, 利润增-109.1%; 过往5年营收增84.96%, 利润增425.93%
Income profile:
</v>
      </c>
      <c r="D124" t="s">
        <v>1046</v>
      </c>
      <c r="E124" t="s">
        <v>1047</v>
      </c>
      <c r="F124">
        <v>8.93</v>
      </c>
      <c r="G124">
        <v>-1.87</v>
      </c>
      <c r="H124" t="s">
        <v>4557</v>
      </c>
      <c r="I124">
        <v>4244285100</v>
      </c>
      <c r="J124">
        <v>514.79999999999995</v>
      </c>
      <c r="K124">
        <v>1.68</v>
      </c>
      <c r="L124" t="s">
        <v>172</v>
      </c>
      <c r="M124" t="s">
        <v>5200</v>
      </c>
      <c r="N124" t="s">
        <v>5201</v>
      </c>
      <c r="O124" t="s">
        <v>2489</v>
      </c>
      <c r="P124">
        <v>-17.43</v>
      </c>
      <c r="Q124" t="s">
        <v>5202</v>
      </c>
      <c r="R124">
        <v>-7514998</v>
      </c>
      <c r="S124" s="5">
        <v>0.35799999999999998</v>
      </c>
      <c r="T124" t="s">
        <v>2543</v>
      </c>
      <c r="U124">
        <v>466476160</v>
      </c>
      <c r="V124">
        <v>475283890</v>
      </c>
      <c r="W124">
        <v>2.23</v>
      </c>
      <c r="X124" t="s">
        <v>19</v>
      </c>
      <c r="Y124">
        <v>0.35</v>
      </c>
      <c r="Z124" t="s">
        <v>19</v>
      </c>
      <c r="AA124" t="s">
        <v>19</v>
      </c>
      <c r="AB124" t="s">
        <v>19</v>
      </c>
      <c r="AC124" t="s">
        <v>19</v>
      </c>
      <c r="AD124" t="s">
        <v>19</v>
      </c>
      <c r="AE124">
        <v>-6883653</v>
      </c>
      <c r="AF124" t="s">
        <v>5203</v>
      </c>
      <c r="AG124" t="s">
        <v>5204</v>
      </c>
      <c r="AH124" t="s">
        <v>5205</v>
      </c>
      <c r="AI124" t="s">
        <v>5206</v>
      </c>
      <c r="AJ124" t="s">
        <v>5207</v>
      </c>
      <c r="AK124" t="s">
        <v>19</v>
      </c>
      <c r="AL124" t="s">
        <v>5208</v>
      </c>
      <c r="AM124" t="s">
        <v>19</v>
      </c>
      <c r="AN124" t="s">
        <v>132</v>
      </c>
      <c r="AO124" t="s">
        <v>19</v>
      </c>
      <c r="AP124" t="s">
        <v>5209</v>
      </c>
      <c r="AQ124" t="s">
        <v>2308</v>
      </c>
      <c r="AR124" t="s">
        <v>19</v>
      </c>
      <c r="AS124" t="s">
        <v>19</v>
      </c>
      <c r="AT124" t="s">
        <v>19</v>
      </c>
      <c r="AU124" t="s">
        <v>5210</v>
      </c>
      <c r="AV124" t="s">
        <v>878</v>
      </c>
      <c r="AW124" t="s">
        <v>5211</v>
      </c>
      <c r="AX124" t="s">
        <v>2277</v>
      </c>
      <c r="AY124" t="s">
        <v>19</v>
      </c>
      <c r="AZ124" t="s">
        <v>1707</v>
      </c>
      <c r="BA124" t="s">
        <v>1049</v>
      </c>
      <c r="BB124" t="s">
        <v>1050</v>
      </c>
      <c r="BC124" t="s">
        <v>242</v>
      </c>
      <c r="BD124" t="s">
        <v>19</v>
      </c>
      <c r="BE124" t="s">
        <v>19</v>
      </c>
      <c r="BF124" t="s">
        <v>19</v>
      </c>
      <c r="BG124" t="s">
        <v>19</v>
      </c>
      <c r="BH124" t="s">
        <v>5212</v>
      </c>
      <c r="BI124" t="s">
        <v>2508</v>
      </c>
      <c r="BJ124" t="s">
        <v>2277</v>
      </c>
      <c r="BK124" t="s">
        <v>5213</v>
      </c>
      <c r="BL124" t="s">
        <v>5214</v>
      </c>
      <c r="BM124" t="s">
        <v>242</v>
      </c>
      <c r="BN124">
        <v>0.3</v>
      </c>
      <c r="BO124">
        <v>2.92</v>
      </c>
      <c r="BP124">
        <v>1.93</v>
      </c>
      <c r="BQ124">
        <v>1.18</v>
      </c>
      <c r="BR124">
        <v>4.29</v>
      </c>
      <c r="BS124">
        <v>3.74</v>
      </c>
      <c r="BT124" t="s">
        <v>5215</v>
      </c>
      <c r="BU124" t="s">
        <v>2920</v>
      </c>
      <c r="BV124">
        <v>6.67</v>
      </c>
      <c r="BW124">
        <v>9.39</v>
      </c>
      <c r="BX124">
        <v>10.210000000000001</v>
      </c>
      <c r="BY124">
        <v>0.09</v>
      </c>
      <c r="BZ124">
        <v>2.48</v>
      </c>
      <c r="CA124">
        <v>1.49</v>
      </c>
      <c r="CB124">
        <v>-10.88</v>
      </c>
      <c r="CC124">
        <v>-11.06</v>
      </c>
      <c r="CD124" t="s">
        <v>367</v>
      </c>
      <c r="CE124" t="s">
        <v>3569</v>
      </c>
      <c r="CF124" s="14">
        <v>-0.39004149377593367</v>
      </c>
      <c r="CG124" s="15">
        <v>-1.0910188420559241</v>
      </c>
      <c r="CH124" s="14">
        <v>0.27345240116119385</v>
      </c>
      <c r="CI124" s="14" t="s">
        <v>19</v>
      </c>
      <c r="CJ124" s="14" t="s">
        <v>19</v>
      </c>
      <c r="CK124" s="14">
        <v>1.7756575345993042</v>
      </c>
      <c r="CL124" s="14">
        <v>0.4996134340763092</v>
      </c>
      <c r="CM124" s="15">
        <v>4.2592592239379883</v>
      </c>
      <c r="CN124" s="15" t="s">
        <v>19</v>
      </c>
      <c r="CO124" s="15" t="s">
        <v>19</v>
      </c>
      <c r="CP124" s="15" t="s">
        <v>19</v>
      </c>
      <c r="CQ124" s="15" t="s">
        <v>19</v>
      </c>
      <c r="CR124">
        <v>12.557056508875739</v>
      </c>
      <c r="CS124">
        <v>0.14780407309969962</v>
      </c>
      <c r="CT124">
        <v>2.9115341545352742E-2</v>
      </c>
      <c r="CU124" s="14">
        <v>0.84957445661226905</v>
      </c>
      <c r="CV124" s="15">
        <v>4.2592592239379883</v>
      </c>
      <c r="CW124">
        <v>0.06</v>
      </c>
      <c r="CX124">
        <v>5.3418665600722299</v>
      </c>
      <c r="CY124">
        <v>991092727.69412148</v>
      </c>
      <c r="CZ124">
        <v>0.84957445661226905</v>
      </c>
      <c r="DA124">
        <v>0.97438337071038539</v>
      </c>
      <c r="DB124">
        <v>5433472346.8650131</v>
      </c>
      <c r="DC124">
        <v>0.80709573378165556</v>
      </c>
      <c r="DD124">
        <v>0.19217109689264469</v>
      </c>
      <c r="DE124">
        <v>27549851073.377712</v>
      </c>
      <c r="DF124">
        <v>0.74762552181879671</v>
      </c>
      <c r="DG124">
        <v>3.4802481882831277E-2</v>
      </c>
      <c r="DH124">
        <v>152123780074.7702</v>
      </c>
      <c r="DI124">
        <v>0.6796595652898153</v>
      </c>
      <c r="DJ124">
        <v>8.8621751900935753E-4</v>
      </c>
      <c r="DK124">
        <v>5974024420007.0908</v>
      </c>
      <c r="DL124">
        <v>0.59470211962858832</v>
      </c>
      <c r="DM124">
        <v>568000000</v>
      </c>
      <c r="DN124">
        <v>0.84957445661226905</v>
      </c>
      <c r="DO124">
        <v>5294285100</v>
      </c>
      <c r="DP124">
        <v>4732443800</v>
      </c>
      <c r="DQ124">
        <v>2981</v>
      </c>
      <c r="DR124">
        <v>-1.2396159503882027</v>
      </c>
      <c r="DS124">
        <v>-5.350278065993912</v>
      </c>
      <c r="DT124" s="16">
        <v>-0.41000000000000003</v>
      </c>
      <c r="DU124">
        <v>-1.7950000000000002</v>
      </c>
      <c r="DV124">
        <v>-2.2050000000000001</v>
      </c>
      <c r="DW124">
        <v>-9.9837251356238692</v>
      </c>
      <c r="DX124">
        <v>0.39041666666666713</v>
      </c>
      <c r="DY124">
        <v>-9.2069921639541885</v>
      </c>
      <c r="DZ124">
        <v>2368</v>
      </c>
      <c r="EA124">
        <v>-9.111070941988725</v>
      </c>
      <c r="EB124">
        <v>9</v>
      </c>
      <c r="EC124">
        <v>0.21250457279332569</v>
      </c>
      <c r="ED124">
        <v>1.0099227221861022</v>
      </c>
      <c r="EE124" s="17">
        <v>-1.0418099999999999</v>
      </c>
      <c r="EF124">
        <v>-1.04881</v>
      </c>
      <c r="EG124">
        <v>18.210416666666667</v>
      </c>
      <c r="EH124" t="s">
        <v>1838</v>
      </c>
      <c r="EI124">
        <v>0</v>
      </c>
      <c r="EJ124">
        <v>0</v>
      </c>
      <c r="EK124" s="19">
        <v>45470</v>
      </c>
      <c r="EL124" s="20">
        <v>-0.14000000000000001</v>
      </c>
      <c r="EM124" s="20">
        <v>-0.28000000000000003</v>
      </c>
      <c r="EN124" s="20">
        <v>-0.28000000000000003</v>
      </c>
      <c r="EO124" s="20">
        <v>0.7</v>
      </c>
      <c r="EP124" s="20">
        <v>-0.7</v>
      </c>
    </row>
    <row r="125" spans="1:146" ht="84" x14ac:dyDescent="0.25">
      <c r="A125" s="7"/>
      <c r="B125" s="7"/>
      <c r="C125" s="7" t="str">
        <f>""&amp;CHAR(10)&amp;Basic_Fundamental_Information_Constructure(F125)&amp;CHAR(10)&amp;Basic_Fundamental_Information_Concatenate("")</f>
        <v xml:space="preserve">
市值47.6亿, 利润11.64亿; PE23.49; 平均PE7.94; 平均PEG.07, PB3.77; ROIC6.1467%; ROE6.23%; 股利率1.9286%; 毛利14.2667%; 净利4.45%; 上一年度营收增372.94%, 利润增3281.63%; 当季营收增-71.41%, 利润增-81.33%; 过往5年营收增118.46%, 利润增3281.63%
Income profile:
</v>
      </c>
      <c r="D125" t="s">
        <v>1051</v>
      </c>
      <c r="E125" t="s">
        <v>2731</v>
      </c>
      <c r="F125">
        <v>14</v>
      </c>
      <c r="G125">
        <v>1.6</v>
      </c>
      <c r="H125" t="s">
        <v>5216</v>
      </c>
      <c r="I125">
        <v>4760000000</v>
      </c>
      <c r="J125">
        <v>23.49</v>
      </c>
      <c r="K125">
        <v>3.77</v>
      </c>
      <c r="L125" t="s">
        <v>172</v>
      </c>
      <c r="M125" t="s">
        <v>5217</v>
      </c>
      <c r="N125" t="s">
        <v>5218</v>
      </c>
      <c r="O125" t="s">
        <v>1950</v>
      </c>
      <c r="P125">
        <v>12.22</v>
      </c>
      <c r="Q125" t="s">
        <v>5219</v>
      </c>
      <c r="R125">
        <v>46308991</v>
      </c>
      <c r="S125" s="5">
        <v>0.73580000000000001</v>
      </c>
      <c r="T125" t="s">
        <v>2544</v>
      </c>
      <c r="U125">
        <v>170000000</v>
      </c>
      <c r="V125">
        <v>340000000</v>
      </c>
      <c r="W125">
        <v>1.82</v>
      </c>
      <c r="X125" t="s">
        <v>19</v>
      </c>
      <c r="Y125">
        <v>8.6300000000000008</v>
      </c>
      <c r="Z125" t="s">
        <v>19</v>
      </c>
      <c r="AA125" t="s">
        <v>19</v>
      </c>
      <c r="AB125" t="s">
        <v>19</v>
      </c>
      <c r="AC125" t="s">
        <v>19</v>
      </c>
      <c r="AD125" t="s">
        <v>19</v>
      </c>
      <c r="AE125">
        <v>6023157</v>
      </c>
      <c r="AF125" t="s">
        <v>21</v>
      </c>
      <c r="AG125" t="s">
        <v>5220</v>
      </c>
      <c r="AH125" t="s">
        <v>5221</v>
      </c>
      <c r="AI125" t="s">
        <v>346</v>
      </c>
      <c r="AJ125" t="s">
        <v>5222</v>
      </c>
      <c r="AK125" t="s">
        <v>19</v>
      </c>
      <c r="AL125" t="s">
        <v>5223</v>
      </c>
      <c r="AM125" t="s">
        <v>19</v>
      </c>
      <c r="AN125" t="s">
        <v>5224</v>
      </c>
      <c r="AO125" t="s">
        <v>19</v>
      </c>
      <c r="AP125" t="s">
        <v>554</v>
      </c>
      <c r="AQ125" t="s">
        <v>168</v>
      </c>
      <c r="AR125" t="s">
        <v>19</v>
      </c>
      <c r="AS125" t="s">
        <v>19</v>
      </c>
      <c r="AT125" t="s">
        <v>19</v>
      </c>
      <c r="AU125" t="s">
        <v>5225</v>
      </c>
      <c r="AV125" t="s">
        <v>5226</v>
      </c>
      <c r="AW125" t="s">
        <v>5227</v>
      </c>
      <c r="AX125" t="s">
        <v>2168</v>
      </c>
      <c r="AY125" t="s">
        <v>19</v>
      </c>
      <c r="AZ125" t="s">
        <v>1052</v>
      </c>
      <c r="BA125" t="s">
        <v>1055</v>
      </c>
      <c r="BB125" t="s">
        <v>1056</v>
      </c>
      <c r="BC125" t="s">
        <v>5228</v>
      </c>
      <c r="BD125" t="s">
        <v>19</v>
      </c>
      <c r="BE125" t="s">
        <v>19</v>
      </c>
      <c r="BF125" t="s">
        <v>19</v>
      </c>
      <c r="BG125" t="s">
        <v>19</v>
      </c>
      <c r="BH125" t="s">
        <v>5229</v>
      </c>
      <c r="BI125" t="s">
        <v>5230</v>
      </c>
      <c r="BJ125" t="s">
        <v>2168</v>
      </c>
      <c r="BK125" t="s">
        <v>1022</v>
      </c>
      <c r="BL125" t="s">
        <v>157</v>
      </c>
      <c r="BM125" t="s">
        <v>5228</v>
      </c>
      <c r="BN125">
        <v>10.77</v>
      </c>
      <c r="BO125">
        <v>3.77</v>
      </c>
      <c r="BP125">
        <v>3.9</v>
      </c>
      <c r="BQ125">
        <v>11.79</v>
      </c>
      <c r="BR125">
        <v>3.33</v>
      </c>
      <c r="BS125">
        <v>3.57</v>
      </c>
      <c r="BT125" t="s">
        <v>2031</v>
      </c>
      <c r="BU125" t="s">
        <v>3032</v>
      </c>
      <c r="BV125">
        <v>20.09</v>
      </c>
      <c r="BW125">
        <v>10.84</v>
      </c>
      <c r="BX125">
        <v>11.87</v>
      </c>
      <c r="BY125">
        <v>8.81</v>
      </c>
      <c r="BZ125">
        <v>2.2000000000000002</v>
      </c>
      <c r="CA125">
        <v>2.34</v>
      </c>
      <c r="CB125">
        <v>0.28999999999999998</v>
      </c>
      <c r="CC125">
        <v>-7.16</v>
      </c>
      <c r="CD125" t="s">
        <v>5231</v>
      </c>
      <c r="CE125" t="s">
        <v>5232</v>
      </c>
      <c r="CF125" s="14">
        <v>-0.71405750798722045</v>
      </c>
      <c r="CG125" s="15">
        <v>-0.81327019758064512</v>
      </c>
      <c r="CH125" s="14">
        <v>3.729398250579834</v>
      </c>
      <c r="CI125" s="14" t="s">
        <v>19</v>
      </c>
      <c r="CJ125" s="14" t="s">
        <v>19</v>
      </c>
      <c r="CK125" s="14">
        <v>-8.6970701813697815E-2</v>
      </c>
      <c r="CL125" s="14">
        <v>-8.8750317692756653E-2</v>
      </c>
      <c r="CM125" s="15">
        <v>32.816272735595703</v>
      </c>
      <c r="CN125" s="15" t="s">
        <v>19</v>
      </c>
      <c r="CO125" s="15" t="s">
        <v>19</v>
      </c>
      <c r="CP125" s="15" t="s">
        <v>19</v>
      </c>
      <c r="CQ125" s="15" t="s">
        <v>19</v>
      </c>
      <c r="CR125">
        <v>7.9437840432241984</v>
      </c>
      <c r="CS125">
        <v>6.7061104822044831E-2</v>
      </c>
      <c r="CT125">
        <v>1.9285714285714286</v>
      </c>
      <c r="CU125" s="14">
        <v>1.1845590770244598</v>
      </c>
      <c r="CV125" s="15">
        <v>32.816272735595703</v>
      </c>
      <c r="CW125">
        <v>0.06</v>
      </c>
      <c r="CX125">
        <v>1.8646099152475839</v>
      </c>
      <c r="CY125">
        <v>2398893175.147614</v>
      </c>
      <c r="CZ125">
        <v>1.1845590770244598</v>
      </c>
      <c r="DA125">
        <v>0.27281497984854591</v>
      </c>
      <c r="DB125">
        <v>16395727252.525503</v>
      </c>
      <c r="DC125">
        <v>1.1253311231732368</v>
      </c>
      <c r="DD125">
        <v>3.6841935113537151E-2</v>
      </c>
      <c r="DE125">
        <v>121410560716.08049</v>
      </c>
      <c r="DF125">
        <v>1.0424119877815248</v>
      </c>
      <c r="DG125">
        <v>4.0024231974303721E-3</v>
      </c>
      <c r="DH125">
        <v>1117572975009.6758</v>
      </c>
      <c r="DI125">
        <v>0.94764726161956792</v>
      </c>
      <c r="DJ125">
        <v>2.9468877852548418E-5</v>
      </c>
      <c r="DK125">
        <v>151787252381351.97</v>
      </c>
      <c r="DL125">
        <v>0.82919135391712184</v>
      </c>
      <c r="DM125">
        <v>1164000000</v>
      </c>
      <c r="DN125">
        <v>1.1845590770244598</v>
      </c>
      <c r="DO125">
        <v>4473000000</v>
      </c>
      <c r="DP125">
        <v>2745752500</v>
      </c>
      <c r="DQ125">
        <v>2984</v>
      </c>
      <c r="DR125">
        <v>-1.8986165850116803</v>
      </c>
      <c r="DS125">
        <v>-33.629542933176346</v>
      </c>
      <c r="DT125" s="16">
        <v>-0.21000000000000008</v>
      </c>
      <c r="DU125">
        <v>-0.42000000000000015</v>
      </c>
      <c r="DV125">
        <v>-0.63000000000000023</v>
      </c>
      <c r="DW125">
        <v>-2.0716000000000001</v>
      </c>
      <c r="DX125">
        <v>0.48178199052132753</v>
      </c>
      <c r="DY125">
        <v>-2.0087195905213271</v>
      </c>
      <c r="DZ125">
        <v>3237</v>
      </c>
      <c r="EA125">
        <v>-2.0031960456059581</v>
      </c>
      <c r="EB125">
        <v>2</v>
      </c>
      <c r="EC125">
        <v>9.4470588235294126E-3</v>
      </c>
      <c r="ED125">
        <v>7.7573529411764708E-2</v>
      </c>
      <c r="EE125" s="17">
        <v>-3.1404999999999998</v>
      </c>
      <c r="EF125">
        <v>-3.1225000000000001</v>
      </c>
      <c r="EG125">
        <v>36.121781990521328</v>
      </c>
      <c r="EH125" t="s">
        <v>2802</v>
      </c>
      <c r="EI125">
        <v>0</v>
      </c>
      <c r="EJ125">
        <v>0</v>
      </c>
      <c r="EK125" s="19">
        <v>45470</v>
      </c>
      <c r="EL125" s="20">
        <v>0.78</v>
      </c>
      <c r="EM125" s="20">
        <v>-4.1500000000000004</v>
      </c>
      <c r="EN125" s="20">
        <v>1.35</v>
      </c>
      <c r="EO125" s="20">
        <v>3.47</v>
      </c>
      <c r="EP125" s="20">
        <v>-1.8</v>
      </c>
    </row>
    <row r="126" spans="1:146" ht="84" x14ac:dyDescent="0.25">
      <c r="A126" s="7"/>
      <c r="B126" s="7"/>
      <c r="C126" s="7" t="str">
        <f>""&amp;CHAR(10)&amp;Basic_Fundamental_Information_Constructure(F126)&amp;CHAR(10)&amp;Basic_Fundamental_Information_Concatenate("")</f>
        <v xml:space="preserve">
市值28.793155亿, 利润34.74亿; PE31.79; 平均PE1.61; 平均PEG.01, PB.904; ROIC3.01%; ROE3.9633%; 股利率1.059%; 毛利10.29%; 净利2.1167%; 上一年度营收增484.36%, 利润增3272.82%; 当季营收增-82.12%, 利润增-95.11%; 过往5年营收增170.28%, 利润增3272.82%
Income profile:
</v>
      </c>
      <c r="D126" t="s">
        <v>1057</v>
      </c>
      <c r="E126" t="s">
        <v>1058</v>
      </c>
      <c r="F126">
        <v>6.61</v>
      </c>
      <c r="G126">
        <v>0.46</v>
      </c>
      <c r="H126" t="s">
        <v>5233</v>
      </c>
      <c r="I126">
        <v>2879315500</v>
      </c>
      <c r="J126">
        <v>31.79</v>
      </c>
      <c r="K126">
        <v>0.90400000000000003</v>
      </c>
      <c r="L126" t="s">
        <v>172</v>
      </c>
      <c r="M126" t="s">
        <v>2605</v>
      </c>
      <c r="N126" t="s">
        <v>5234</v>
      </c>
      <c r="O126" t="s">
        <v>1280</v>
      </c>
      <c r="P126">
        <v>-25.2</v>
      </c>
      <c r="Q126" t="s">
        <v>5235</v>
      </c>
      <c r="R126">
        <v>25362049</v>
      </c>
      <c r="S126" s="5">
        <v>-0.20799999999999999</v>
      </c>
      <c r="T126" t="s">
        <v>5236</v>
      </c>
      <c r="U126">
        <v>412658740</v>
      </c>
      <c r="V126">
        <v>435599920</v>
      </c>
      <c r="W126">
        <v>1.87</v>
      </c>
      <c r="X126" t="s">
        <v>19</v>
      </c>
      <c r="Y126">
        <v>2.02</v>
      </c>
      <c r="Z126" t="s">
        <v>19</v>
      </c>
      <c r="AA126" t="s">
        <v>19</v>
      </c>
      <c r="AB126" t="s">
        <v>19</v>
      </c>
      <c r="AC126" t="s">
        <v>19</v>
      </c>
      <c r="AD126" t="s">
        <v>19</v>
      </c>
      <c r="AE126">
        <v>-4875610</v>
      </c>
      <c r="AF126" t="s">
        <v>5237</v>
      </c>
      <c r="AG126" t="s">
        <v>5238</v>
      </c>
      <c r="AH126" t="s">
        <v>5239</v>
      </c>
      <c r="AI126" t="s">
        <v>2703</v>
      </c>
      <c r="AJ126" t="s">
        <v>5240</v>
      </c>
      <c r="AK126" t="s">
        <v>19</v>
      </c>
      <c r="AL126" t="s">
        <v>5241</v>
      </c>
      <c r="AM126" t="s">
        <v>19</v>
      </c>
      <c r="AN126" t="s">
        <v>5242</v>
      </c>
      <c r="AO126" t="s">
        <v>19</v>
      </c>
      <c r="AP126" t="s">
        <v>1205</v>
      </c>
      <c r="AQ126" t="s">
        <v>503</v>
      </c>
      <c r="AR126" t="s">
        <v>19</v>
      </c>
      <c r="AS126" t="s">
        <v>19</v>
      </c>
      <c r="AT126" t="s">
        <v>19</v>
      </c>
      <c r="AU126" t="s">
        <v>2744</v>
      </c>
      <c r="AV126" t="s">
        <v>5243</v>
      </c>
      <c r="AW126" t="s">
        <v>19</v>
      </c>
      <c r="AX126" t="s">
        <v>2282</v>
      </c>
      <c r="AY126" t="s">
        <v>19</v>
      </c>
      <c r="AZ126" t="s">
        <v>1059</v>
      </c>
      <c r="BA126" t="s">
        <v>72</v>
      </c>
      <c r="BB126" t="s">
        <v>1060</v>
      </c>
      <c r="BC126" t="s">
        <v>25</v>
      </c>
      <c r="BD126" t="s">
        <v>19</v>
      </c>
      <c r="BE126" t="s">
        <v>19</v>
      </c>
      <c r="BF126" t="s">
        <v>19</v>
      </c>
      <c r="BG126" t="s">
        <v>19</v>
      </c>
      <c r="BH126" t="s">
        <v>5244</v>
      </c>
      <c r="BI126" t="s">
        <v>5245</v>
      </c>
      <c r="BJ126" t="s">
        <v>2282</v>
      </c>
      <c r="BK126" t="s">
        <v>5246</v>
      </c>
      <c r="BL126" t="s">
        <v>1222</v>
      </c>
      <c r="BM126" t="s">
        <v>25</v>
      </c>
      <c r="BN126">
        <v>1.68</v>
      </c>
      <c r="BO126">
        <v>2.31</v>
      </c>
      <c r="BP126">
        <v>5.04</v>
      </c>
      <c r="BQ126">
        <v>2.38</v>
      </c>
      <c r="BR126">
        <v>3.37</v>
      </c>
      <c r="BS126">
        <v>6.14</v>
      </c>
      <c r="BT126" t="s">
        <v>2062</v>
      </c>
      <c r="BU126" t="s">
        <v>2920</v>
      </c>
      <c r="BV126">
        <v>10.63</v>
      </c>
      <c r="BW126">
        <v>9.6999999999999993</v>
      </c>
      <c r="BX126">
        <v>10.54</v>
      </c>
      <c r="BY126">
        <v>1.89</v>
      </c>
      <c r="BZ126">
        <v>1.87</v>
      </c>
      <c r="CA126">
        <v>2.59</v>
      </c>
      <c r="CB126">
        <v>-1.49</v>
      </c>
      <c r="CC126">
        <v>-10.55</v>
      </c>
      <c r="CD126" t="s">
        <v>5247</v>
      </c>
      <c r="CE126" t="s">
        <v>262</v>
      </c>
      <c r="CF126" s="14">
        <v>-0.82118817676324263</v>
      </c>
      <c r="CG126" s="15">
        <v>-0.95113285356454724</v>
      </c>
      <c r="CH126" s="14">
        <v>4.8435978889465332</v>
      </c>
      <c r="CI126" s="14" t="s">
        <v>19</v>
      </c>
      <c r="CJ126" s="14" t="s">
        <v>19</v>
      </c>
      <c r="CK126" s="14">
        <v>0.10187932848930359</v>
      </c>
      <c r="CL126" s="14">
        <v>0.16307163238525391</v>
      </c>
      <c r="CM126" s="15">
        <v>32.728153228759766</v>
      </c>
      <c r="CN126" s="15" t="s">
        <v>19</v>
      </c>
      <c r="CO126" s="15" t="s">
        <v>19</v>
      </c>
      <c r="CP126" s="15" t="s">
        <v>19</v>
      </c>
      <c r="CQ126" s="15" t="s">
        <v>19</v>
      </c>
      <c r="CR126">
        <v>1.6099052278445625</v>
      </c>
      <c r="CS126">
        <v>9.4541832240731764E-3</v>
      </c>
      <c r="CT126">
        <v>1.059001512859304</v>
      </c>
      <c r="CU126" s="14">
        <v>1.7028496166070302</v>
      </c>
      <c r="CV126" s="15">
        <v>32.728153228759766</v>
      </c>
      <c r="CW126">
        <v>0.06</v>
      </c>
      <c r="CX126">
        <v>0.28496912074722403</v>
      </c>
      <c r="CY126">
        <v>8858207139.7102089</v>
      </c>
      <c r="CZ126">
        <v>1.7028496166070302</v>
      </c>
      <c r="DA126">
        <v>3.0751845455884712E-2</v>
      </c>
      <c r="DB126">
        <v>82086634560.559174</v>
      </c>
      <c r="DC126">
        <v>1.6177071357766786</v>
      </c>
      <c r="DD126">
        <v>2.453783384405371E-3</v>
      </c>
      <c r="DE126">
        <v>1028744230661.4696</v>
      </c>
      <c r="DF126">
        <v>1.4985076626141864</v>
      </c>
      <c r="DG126">
        <v>1.3260991773724452E-4</v>
      </c>
      <c r="DH126">
        <v>19035646376025.367</v>
      </c>
      <c r="DI126">
        <v>1.3622796932856243</v>
      </c>
      <c r="DJ126">
        <v>1.8350424579134298E-7</v>
      </c>
      <c r="DK126">
        <v>1.3756169450544058E+16</v>
      </c>
      <c r="DL126">
        <v>1.1919947316249211</v>
      </c>
      <c r="DM126">
        <v>3474000000</v>
      </c>
      <c r="DN126">
        <v>1.7028496166070302</v>
      </c>
      <c r="DO126">
        <v>2524315500.0000005</v>
      </c>
      <c r="DP126">
        <v>4518869400</v>
      </c>
      <c r="DQ126">
        <v>3015</v>
      </c>
      <c r="DR126">
        <v>-2.5240377933702729</v>
      </c>
      <c r="DS126">
        <v>-33.67928608232431</v>
      </c>
      <c r="DT126" s="16">
        <v>-0.21000000000000008</v>
      </c>
      <c r="DU126">
        <v>-0.42000000000000015</v>
      </c>
      <c r="DV126">
        <v>-0.63000000000000023</v>
      </c>
      <c r="DW126">
        <v>-2.1055000000000001</v>
      </c>
      <c r="DX126">
        <v>0.27972293577981733</v>
      </c>
      <c r="DY126">
        <v>-2.0136857697247708</v>
      </c>
      <c r="DZ126">
        <v>3048</v>
      </c>
      <c r="EA126">
        <v>-2.0055225160807195</v>
      </c>
      <c r="EB126">
        <v>2</v>
      </c>
      <c r="EC126">
        <v>3.2460520194769547E-2</v>
      </c>
      <c r="ED126">
        <v>0.25022961436723867</v>
      </c>
      <c r="EE126" s="17">
        <v>-1.0582100000000001</v>
      </c>
      <c r="EF126">
        <v>-1.08351</v>
      </c>
      <c r="EG126">
        <v>15.129722935779817</v>
      </c>
      <c r="EH126" t="s">
        <v>1838</v>
      </c>
      <c r="EI126">
        <v>0</v>
      </c>
      <c r="EJ126">
        <v>0</v>
      </c>
      <c r="EK126" s="19">
        <v>45470</v>
      </c>
      <c r="EL126" s="20">
        <v>0.25</v>
      </c>
      <c r="EM126" s="20">
        <v>-3.01</v>
      </c>
      <c r="EN126" s="20">
        <v>0.78</v>
      </c>
      <c r="EO126" s="20">
        <v>1.28</v>
      </c>
      <c r="EP126" s="20">
        <v>-2.5299999999999998</v>
      </c>
    </row>
    <row r="127" spans="1:146" ht="84" x14ac:dyDescent="0.25">
      <c r="A127" s="7"/>
      <c r="B127" s="7"/>
      <c r="C127" s="7" t="str">
        <f>""&amp;CHAR(10)&amp;Basic_Fundamental_Information_Constructure(F127)&amp;CHAR(10)&amp;Basic_Fundamental_Information_Concatenate("")</f>
        <v xml:space="preserve">
市值41.651645亿, 利润2275.16万; PE11.19; 平均PE59; 平均PEG16.58, PB1.26; ROIC4.46%; ROE2.7867%; 股利率2.9772%; 毛利14.56%; 净利1.9367%; 上一年度营收增38.99%, 利润增-73.08%; 当季营收增-2.84%, 利润增454.67%; 过往5年营收增3.56%, 利润增195.06%
Income profile:
</v>
      </c>
      <c r="D127" t="s">
        <v>1061</v>
      </c>
      <c r="E127" t="s">
        <v>1062</v>
      </c>
      <c r="F127">
        <v>5.71</v>
      </c>
      <c r="G127">
        <v>-2.89</v>
      </c>
      <c r="H127" t="s">
        <v>5248</v>
      </c>
      <c r="I127">
        <v>4165164500</v>
      </c>
      <c r="J127">
        <v>11.19</v>
      </c>
      <c r="K127">
        <v>1.26</v>
      </c>
      <c r="L127" t="s">
        <v>172</v>
      </c>
      <c r="M127" t="s">
        <v>1371</v>
      </c>
      <c r="N127" t="s">
        <v>5249</v>
      </c>
      <c r="O127" t="s">
        <v>547</v>
      </c>
      <c r="P127">
        <v>15.57</v>
      </c>
      <c r="Q127" t="s">
        <v>5250</v>
      </c>
      <c r="R127">
        <v>74441281</v>
      </c>
      <c r="S127" s="5">
        <v>0.45960000000000001</v>
      </c>
      <c r="T127" t="s">
        <v>5251</v>
      </c>
      <c r="U127">
        <v>729450870</v>
      </c>
      <c r="V127">
        <v>729450870</v>
      </c>
      <c r="W127">
        <v>2.19</v>
      </c>
      <c r="X127">
        <v>0.2</v>
      </c>
      <c r="Y127">
        <v>5.07</v>
      </c>
      <c r="Z127" t="s">
        <v>5252</v>
      </c>
      <c r="AA127" t="s">
        <v>5253</v>
      </c>
      <c r="AB127" t="s">
        <v>5254</v>
      </c>
      <c r="AC127" t="s">
        <v>5255</v>
      </c>
      <c r="AD127" t="s">
        <v>19</v>
      </c>
      <c r="AE127">
        <v>-4125503</v>
      </c>
      <c r="AF127" t="s">
        <v>5256</v>
      </c>
      <c r="AG127" t="s">
        <v>5257</v>
      </c>
      <c r="AH127" t="s">
        <v>5258</v>
      </c>
      <c r="AI127" t="s">
        <v>1950</v>
      </c>
      <c r="AJ127" t="s">
        <v>5259</v>
      </c>
      <c r="AK127" t="s">
        <v>608</v>
      </c>
      <c r="AL127" t="s">
        <v>5260</v>
      </c>
      <c r="AM127" t="s">
        <v>19</v>
      </c>
      <c r="AN127" t="s">
        <v>1298</v>
      </c>
      <c r="AO127" t="s">
        <v>19</v>
      </c>
      <c r="AP127" t="s">
        <v>2555</v>
      </c>
      <c r="AQ127" t="s">
        <v>3814</v>
      </c>
      <c r="AR127" t="s">
        <v>19</v>
      </c>
      <c r="AS127" t="s">
        <v>5261</v>
      </c>
      <c r="AT127" t="s">
        <v>1947</v>
      </c>
      <c r="AU127" t="s">
        <v>5262</v>
      </c>
      <c r="AV127" t="s">
        <v>5263</v>
      </c>
      <c r="AW127" t="s">
        <v>5264</v>
      </c>
      <c r="AX127" t="s">
        <v>2284</v>
      </c>
      <c r="AY127" t="s">
        <v>1709</v>
      </c>
      <c r="AZ127" t="s">
        <v>1063</v>
      </c>
      <c r="BA127" t="s">
        <v>1065</v>
      </c>
      <c r="BB127" t="s">
        <v>1066</v>
      </c>
      <c r="BC127" t="s">
        <v>2285</v>
      </c>
      <c r="BD127" t="s">
        <v>1648</v>
      </c>
      <c r="BE127" t="s">
        <v>68</v>
      </c>
      <c r="BF127" t="s">
        <v>1067</v>
      </c>
      <c r="BG127" t="s">
        <v>1068</v>
      </c>
      <c r="BH127" t="s">
        <v>5265</v>
      </c>
      <c r="BI127" t="s">
        <v>648</v>
      </c>
      <c r="BJ127" t="s">
        <v>2284</v>
      </c>
      <c r="BK127" t="s">
        <v>411</v>
      </c>
      <c r="BL127" t="s">
        <v>5266</v>
      </c>
      <c r="BM127" t="s">
        <v>2285</v>
      </c>
      <c r="BN127">
        <v>6.43</v>
      </c>
      <c r="BO127">
        <v>2.4900000000000002</v>
      </c>
      <c r="BP127" t="s">
        <v>19</v>
      </c>
      <c r="BQ127">
        <v>9.1199999999999992</v>
      </c>
      <c r="BR127">
        <v>3.11</v>
      </c>
      <c r="BS127">
        <v>-3.87</v>
      </c>
      <c r="BT127" t="s">
        <v>2018</v>
      </c>
      <c r="BU127" t="s">
        <v>3032</v>
      </c>
      <c r="BV127">
        <v>19.559999999999999</v>
      </c>
      <c r="BW127">
        <v>13.9</v>
      </c>
      <c r="BX127">
        <v>10.220000000000001</v>
      </c>
      <c r="BY127">
        <v>6.08</v>
      </c>
      <c r="BZ127">
        <v>1.69</v>
      </c>
      <c r="CA127">
        <v>-1.96</v>
      </c>
      <c r="CB127">
        <v>-2.23</v>
      </c>
      <c r="CC127">
        <v>3.07</v>
      </c>
      <c r="CD127" t="s">
        <v>5267</v>
      </c>
      <c r="CE127" t="s">
        <v>803</v>
      </c>
      <c r="CF127" s="14">
        <v>-2.8439153439153438E-2</v>
      </c>
      <c r="CG127" s="15">
        <v>4.5466683307378792</v>
      </c>
      <c r="CH127" s="14">
        <v>0.38993582129478455</v>
      </c>
      <c r="CI127" s="14">
        <v>-0.10255485028028488</v>
      </c>
      <c r="CJ127" s="14">
        <v>-3.7640582304447889E-3</v>
      </c>
      <c r="CK127" s="14">
        <v>-5.6645259261131287E-2</v>
      </c>
      <c r="CL127" s="14">
        <v>-4.9043245613574982E-2</v>
      </c>
      <c r="CM127" s="15">
        <v>-0.73081845045089722</v>
      </c>
      <c r="CN127" s="15">
        <v>1.7754257917404175</v>
      </c>
      <c r="CO127" s="15">
        <v>-1.5422885417938232</v>
      </c>
      <c r="CP127" s="15">
        <v>-2.4271843954920769E-2</v>
      </c>
      <c r="CQ127" s="15">
        <v>10.274759292602539</v>
      </c>
      <c r="CR127">
        <v>59.004478638459922</v>
      </c>
      <c r="CS127">
        <v>16.580960660458913</v>
      </c>
      <c r="CT127">
        <v>2.9772329246935203</v>
      </c>
      <c r="CU127" s="14">
        <v>3.558568158186972E-2</v>
      </c>
      <c r="CV127" s="15">
        <v>1.9505612496286631</v>
      </c>
      <c r="CW127">
        <v>0.06</v>
      </c>
      <c r="CX127">
        <v>216.00035788856141</v>
      </c>
      <c r="CY127">
        <v>22227576.597243462</v>
      </c>
      <c r="CZ127">
        <v>3.558568158186972E-2</v>
      </c>
      <c r="DA127">
        <v>73.936018429934407</v>
      </c>
      <c r="DB127">
        <v>64936746.689299092</v>
      </c>
      <c r="DC127">
        <v>3.3806397502776232E-2</v>
      </c>
      <c r="DD127">
        <v>38.672932539653999</v>
      </c>
      <c r="DE127">
        <v>124147929.43558231</v>
      </c>
      <c r="DF127">
        <v>3.1315399792045354E-2</v>
      </c>
      <c r="DG127">
        <v>24.821835905089038</v>
      </c>
      <c r="DH127">
        <v>193425035.85786951</v>
      </c>
      <c r="DI127">
        <v>2.8468545265495776E-2</v>
      </c>
      <c r="DJ127">
        <v>14.745670660799565</v>
      </c>
      <c r="DK127">
        <v>325598245.77959639</v>
      </c>
      <c r="DL127">
        <v>2.4909977107308804E-2</v>
      </c>
      <c r="DM127">
        <v>22751600</v>
      </c>
      <c r="DN127">
        <v>3.558568158186972E-2</v>
      </c>
      <c r="DO127">
        <v>4801164500</v>
      </c>
      <c r="DP127">
        <v>1156820500</v>
      </c>
      <c r="DQ127">
        <v>3198</v>
      </c>
      <c r="DR127">
        <v>-6.4024835021023158E-2</v>
      </c>
      <c r="DS127">
        <v>2.5961070811092162</v>
      </c>
      <c r="DT127" s="16">
        <v>-0.27333333333333337</v>
      </c>
      <c r="DU127">
        <v>0.31166666666666659</v>
      </c>
      <c r="DV127">
        <v>3.8333333333333219E-2</v>
      </c>
      <c r="DW127">
        <v>1.0306999999999999</v>
      </c>
      <c r="DX127">
        <v>0.54445058823529568</v>
      </c>
      <c r="DY127">
        <v>1.0075046330588235</v>
      </c>
      <c r="DZ127">
        <v>743</v>
      </c>
      <c r="EA127">
        <v>1.0064134506003684</v>
      </c>
      <c r="EB127">
        <v>1</v>
      </c>
      <c r="EC127">
        <v>0.1139394075984857</v>
      </c>
      <c r="ED127">
        <v>0.46610404344298062</v>
      </c>
      <c r="EE127" s="17">
        <v>-2.0283099999999998</v>
      </c>
      <c r="EF127">
        <v>-2.06671</v>
      </c>
      <c r="EG127">
        <v>30.244450588235296</v>
      </c>
      <c r="EH127" t="s">
        <v>2497</v>
      </c>
      <c r="EI127">
        <v>0</v>
      </c>
      <c r="EJ127">
        <v>1</v>
      </c>
      <c r="EK127" s="19">
        <v>45470</v>
      </c>
      <c r="EL127" s="20">
        <v>-1.17</v>
      </c>
      <c r="EM127" s="20">
        <v>-3.31</v>
      </c>
      <c r="EN127" s="20">
        <v>0.24</v>
      </c>
      <c r="EO127" s="20">
        <v>8.0500000000000007</v>
      </c>
      <c r="EP127" s="20">
        <v>-3.84</v>
      </c>
    </row>
    <row r="128" spans="1:146" ht="84" x14ac:dyDescent="0.25">
      <c r="A128" s="7"/>
      <c r="B128" s="7"/>
      <c r="C128" s="7" t="str">
        <f>""&amp;CHAR(10)&amp;Basic_Fundamental_Information_Constructure(F128)&amp;CHAR(10)&amp;Basic_Fundamental_Information_Concatenate("")</f>
        <v xml:space="preserve">
市值90.758097亿, 利润15.02亿; PE11.8; 平均PE22.49; 平均PEG1.56, PB1.25; ROIC5.9033%; ROE6.0067%; 股利率2.5907%; 毛利15.7367%; 净利3.9067%; 上一年度营收增38.71%, 利润增340.47%; 当季营收增-21.31%, 利润增-55.86%; 过往5年营收增14.42%, 利润增131.14%
Income profile:
</v>
      </c>
      <c r="D128" t="s">
        <v>1069</v>
      </c>
      <c r="E128" t="s">
        <v>1070</v>
      </c>
      <c r="F128">
        <v>9.65</v>
      </c>
      <c r="G128">
        <v>1.1499999999999999</v>
      </c>
      <c r="H128" t="s">
        <v>5268</v>
      </c>
      <c r="I128">
        <v>9075809700</v>
      </c>
      <c r="J128">
        <v>11.8</v>
      </c>
      <c r="K128">
        <v>1.25</v>
      </c>
      <c r="L128" t="s">
        <v>172</v>
      </c>
      <c r="M128" t="s">
        <v>5269</v>
      </c>
      <c r="N128" t="s">
        <v>5270</v>
      </c>
      <c r="O128" t="s">
        <v>4253</v>
      </c>
      <c r="P128">
        <v>8.48</v>
      </c>
      <c r="Q128" t="s">
        <v>5271</v>
      </c>
      <c r="R128">
        <v>221591980</v>
      </c>
      <c r="S128" s="5">
        <v>1.6339999999999999</v>
      </c>
      <c r="T128" t="s">
        <v>2535</v>
      </c>
      <c r="U128">
        <v>916965410</v>
      </c>
      <c r="V128">
        <v>940498410</v>
      </c>
      <c r="W128">
        <v>2.06</v>
      </c>
      <c r="X128">
        <v>0.22</v>
      </c>
      <c r="Y128">
        <v>6.22</v>
      </c>
      <c r="Z128" t="s">
        <v>5272</v>
      </c>
      <c r="AA128" t="s">
        <v>2729</v>
      </c>
      <c r="AB128" t="s">
        <v>5273</v>
      </c>
      <c r="AC128" t="s">
        <v>535</v>
      </c>
      <c r="AD128" t="s">
        <v>19</v>
      </c>
      <c r="AE128">
        <v>28758119</v>
      </c>
      <c r="AF128" t="s">
        <v>5274</v>
      </c>
      <c r="AG128" t="s">
        <v>5275</v>
      </c>
      <c r="AH128" t="s">
        <v>5276</v>
      </c>
      <c r="AI128" t="s">
        <v>5277</v>
      </c>
      <c r="AJ128" t="s">
        <v>5278</v>
      </c>
      <c r="AK128" t="s">
        <v>1845</v>
      </c>
      <c r="AL128" t="s">
        <v>5279</v>
      </c>
      <c r="AM128" t="s">
        <v>19</v>
      </c>
      <c r="AN128" t="s">
        <v>541</v>
      </c>
      <c r="AO128" t="s">
        <v>2351</v>
      </c>
      <c r="AP128" t="s">
        <v>2534</v>
      </c>
      <c r="AQ128" t="s">
        <v>5280</v>
      </c>
      <c r="AR128" t="s">
        <v>19</v>
      </c>
      <c r="AS128" t="s">
        <v>5281</v>
      </c>
      <c r="AT128" t="s">
        <v>93</v>
      </c>
      <c r="AU128" t="s">
        <v>5282</v>
      </c>
      <c r="AV128" t="s">
        <v>2608</v>
      </c>
      <c r="AW128" t="s">
        <v>506</v>
      </c>
      <c r="AX128" t="s">
        <v>2287</v>
      </c>
      <c r="AY128" t="s">
        <v>1710</v>
      </c>
      <c r="AZ128" t="s">
        <v>1071</v>
      </c>
      <c r="BA128" t="s">
        <v>1073</v>
      </c>
      <c r="BB128" t="s">
        <v>1074</v>
      </c>
      <c r="BC128" t="s">
        <v>829</v>
      </c>
      <c r="BD128" t="s">
        <v>752</v>
      </c>
      <c r="BE128" t="s">
        <v>367</v>
      </c>
      <c r="BF128" t="s">
        <v>1076</v>
      </c>
      <c r="BG128" t="s">
        <v>856</v>
      </c>
      <c r="BH128" t="s">
        <v>5283</v>
      </c>
      <c r="BI128" t="s">
        <v>5284</v>
      </c>
      <c r="BJ128" t="s">
        <v>2287</v>
      </c>
      <c r="BK128" t="s">
        <v>1683</v>
      </c>
      <c r="BL128" t="s">
        <v>2000</v>
      </c>
      <c r="BM128" t="s">
        <v>829</v>
      </c>
      <c r="BN128">
        <v>5.51</v>
      </c>
      <c r="BO128">
        <v>6.25</v>
      </c>
      <c r="BP128">
        <v>5.95</v>
      </c>
      <c r="BQ128">
        <v>6.61</v>
      </c>
      <c r="BR128">
        <v>5.66</v>
      </c>
      <c r="BS128">
        <v>5.75</v>
      </c>
      <c r="BT128" t="s">
        <v>2030</v>
      </c>
      <c r="BU128" t="s">
        <v>3125</v>
      </c>
      <c r="BV128">
        <v>16.34</v>
      </c>
      <c r="BW128">
        <v>14.78</v>
      </c>
      <c r="BX128">
        <v>16.09</v>
      </c>
      <c r="BY128">
        <v>4.6399999999999997</v>
      </c>
      <c r="BZ128">
        <v>3.62</v>
      </c>
      <c r="CA128">
        <v>3.46</v>
      </c>
      <c r="CB128">
        <v>-1.83</v>
      </c>
      <c r="CC128">
        <v>-13.3</v>
      </c>
      <c r="CD128" t="s">
        <v>5285</v>
      </c>
      <c r="CE128" t="s">
        <v>690</v>
      </c>
      <c r="CF128" s="14">
        <v>-0.21306974190005493</v>
      </c>
      <c r="CG128" s="15">
        <v>-0.55858171314741034</v>
      </c>
      <c r="CH128" s="14">
        <v>0.3870813250541687</v>
      </c>
      <c r="CI128" s="14">
        <v>5.9619102627038956E-2</v>
      </c>
      <c r="CJ128" s="14">
        <v>0.16322007775306702</v>
      </c>
      <c r="CK128" s="14">
        <v>0.14950330555438995</v>
      </c>
      <c r="CL128" s="14">
        <v>-3.8605935871601105E-2</v>
      </c>
      <c r="CM128" s="15">
        <v>3.4046919345855713</v>
      </c>
      <c r="CN128" s="15">
        <v>0.23999999463558197</v>
      </c>
      <c r="CO128" s="15">
        <v>1.7227722406387329</v>
      </c>
      <c r="CP128" s="15">
        <v>2.4461977481842041</v>
      </c>
      <c r="CQ128" s="15">
        <v>-1.256758451461792</v>
      </c>
      <c r="CR128">
        <v>22.491210810083441</v>
      </c>
      <c r="CS128">
        <v>1.5601174434270781</v>
      </c>
      <c r="CT128">
        <v>2.5906735751295336</v>
      </c>
      <c r="CU128" s="14">
        <v>0.1441635750234127</v>
      </c>
      <c r="CV128" s="15">
        <v>1.3113806933164596</v>
      </c>
      <c r="CW128">
        <v>0.06</v>
      </c>
      <c r="CX128">
        <v>5.9699372456757258</v>
      </c>
      <c r="CY128">
        <v>1621258197.8161941</v>
      </c>
      <c r="CZ128">
        <v>0.1441635750234127</v>
      </c>
      <c r="DA128">
        <v>1.8639954913331056</v>
      </c>
      <c r="DB128">
        <v>5192507033.9509459</v>
      </c>
      <c r="DC128">
        <v>0.13695539627224207</v>
      </c>
      <c r="DD128">
        <v>0.86229134587964029</v>
      </c>
      <c r="DE128">
        <v>11224523760.152617</v>
      </c>
      <c r="DF128">
        <v>0.12686394602060319</v>
      </c>
      <c r="DG128">
        <v>0.48193203112649785</v>
      </c>
      <c r="DH128">
        <v>20083350088.551178</v>
      </c>
      <c r="DI128">
        <v>0.11533086001873016</v>
      </c>
      <c r="DJ128">
        <v>0.21140445803912436</v>
      </c>
      <c r="DK128">
        <v>45783375571.998367</v>
      </c>
      <c r="DL128">
        <v>0.10091450251638889</v>
      </c>
      <c r="DM128">
        <v>1502000000</v>
      </c>
      <c r="DN128">
        <v>0.1441635750234127</v>
      </c>
      <c r="DO128">
        <v>9678809700</v>
      </c>
      <c r="DP128">
        <v>3701971600</v>
      </c>
      <c r="DQ128">
        <v>3205</v>
      </c>
      <c r="DR128">
        <v>-0.3572333169234676</v>
      </c>
      <c r="DS128">
        <v>-1.8699624064638698</v>
      </c>
      <c r="DT128" s="16">
        <v>-0.14000000000000001</v>
      </c>
      <c r="DU128">
        <v>0.37166666666666676</v>
      </c>
      <c r="DV128">
        <v>0.23166666666666674</v>
      </c>
      <c r="DW128">
        <v>-2.133</v>
      </c>
      <c r="DX128">
        <v>0.34041995192307867</v>
      </c>
      <c r="DY128">
        <v>-2.0186758536057692</v>
      </c>
      <c r="DZ128">
        <v>2551</v>
      </c>
      <c r="EA128">
        <v>-2.0093525458663724</v>
      </c>
      <c r="EB128">
        <v>2</v>
      </c>
      <c r="EC128">
        <v>6.2110365502903934E-2</v>
      </c>
      <c r="ED128">
        <v>0.44231866378168572</v>
      </c>
      <c r="EE128" s="17">
        <v>3.0071099999999999</v>
      </c>
      <c r="EF128">
        <v>3.01511</v>
      </c>
      <c r="EG128">
        <v>20.140419951923079</v>
      </c>
      <c r="EH128" t="s">
        <v>2487</v>
      </c>
      <c r="EI128">
        <v>0</v>
      </c>
      <c r="EJ128">
        <v>0</v>
      </c>
      <c r="EK128" s="19">
        <v>45470</v>
      </c>
      <c r="EL128" s="20">
        <v>1.75</v>
      </c>
      <c r="EM128" s="20">
        <v>-2.2999999999999998</v>
      </c>
      <c r="EN128" s="20">
        <v>0.78</v>
      </c>
      <c r="EO128" s="20">
        <v>1.17</v>
      </c>
      <c r="EP128" s="20">
        <v>-0.8</v>
      </c>
    </row>
    <row r="129" spans="1:146" ht="84" x14ac:dyDescent="0.25">
      <c r="A129" s="7"/>
      <c r="B129" s="7"/>
      <c r="C129" s="7" t="str">
        <f>""&amp;CHAR(10)&amp;Basic_Fundamental_Information_Constructure(F129)&amp;CHAR(10)&amp;Basic_Fundamental_Information_Concatenate("")</f>
        <v xml:space="preserve">
市值38.773456亿, 利润8553.98万; PE23.13; 平均PE30.43; 平均PEG.56, PB1.3; ROIC4.4733%; ROE4.6867%; 股利率1.2722%; 毛利23.6267%; 净利6.6467%; 上一年度营收增294.15%, 利润增-30.46%; 当季营收增-69.64%, 利润增131.97%; 过往5年营收增54.27%, 利润增-4.51%
Income profile:
</v>
      </c>
      <c r="D129" t="s">
        <v>1077</v>
      </c>
      <c r="E129" t="s">
        <v>1078</v>
      </c>
      <c r="F129">
        <v>9.59</v>
      </c>
      <c r="G129">
        <v>0.74</v>
      </c>
      <c r="H129" t="s">
        <v>5286</v>
      </c>
      <c r="I129">
        <v>3877345600</v>
      </c>
      <c r="J129">
        <v>23.13</v>
      </c>
      <c r="K129">
        <v>1.3</v>
      </c>
      <c r="L129" t="s">
        <v>172</v>
      </c>
      <c r="M129" t="s">
        <v>5287</v>
      </c>
      <c r="N129" t="s">
        <v>5288</v>
      </c>
      <c r="O129" t="s">
        <v>1847</v>
      </c>
      <c r="P129">
        <v>12.82</v>
      </c>
      <c r="Q129" t="s">
        <v>5289</v>
      </c>
      <c r="R129">
        <v>36726767</v>
      </c>
      <c r="S129" s="5">
        <v>0.1045</v>
      </c>
      <c r="T129" t="s">
        <v>5290</v>
      </c>
      <c r="U129">
        <v>404044620</v>
      </c>
      <c r="V129">
        <v>404311320</v>
      </c>
      <c r="W129">
        <v>1.24</v>
      </c>
      <c r="X129">
        <v>0.14000000000000001</v>
      </c>
      <c r="Y129">
        <v>6.96</v>
      </c>
      <c r="Z129" t="s">
        <v>89</v>
      </c>
      <c r="AA129" t="s">
        <v>215</v>
      </c>
      <c r="AB129" t="s">
        <v>5291</v>
      </c>
      <c r="AC129" t="s">
        <v>5292</v>
      </c>
      <c r="AD129" t="s">
        <v>19</v>
      </c>
      <c r="AE129">
        <v>-2023867</v>
      </c>
      <c r="AF129" t="s">
        <v>5293</v>
      </c>
      <c r="AG129" t="s">
        <v>5294</v>
      </c>
      <c r="AH129" t="s">
        <v>5295</v>
      </c>
      <c r="AI129" t="s">
        <v>2539</v>
      </c>
      <c r="AJ129" t="s">
        <v>5296</v>
      </c>
      <c r="AK129" t="s">
        <v>128</v>
      </c>
      <c r="AL129" t="s">
        <v>5297</v>
      </c>
      <c r="AM129" t="s">
        <v>19</v>
      </c>
      <c r="AN129" t="s">
        <v>216</v>
      </c>
      <c r="AO129" t="s">
        <v>5298</v>
      </c>
      <c r="AP129" t="s">
        <v>5299</v>
      </c>
      <c r="AQ129" t="s">
        <v>75</v>
      </c>
      <c r="AR129" t="s">
        <v>5300</v>
      </c>
      <c r="AS129" t="s">
        <v>2186</v>
      </c>
      <c r="AT129" t="s">
        <v>19</v>
      </c>
      <c r="AU129" t="s">
        <v>5301</v>
      </c>
      <c r="AV129" t="s">
        <v>5302</v>
      </c>
      <c r="AW129" t="s">
        <v>5303</v>
      </c>
      <c r="AX129" t="s">
        <v>2288</v>
      </c>
      <c r="AY129" t="s">
        <v>1711</v>
      </c>
      <c r="AZ129" t="s">
        <v>1079</v>
      </c>
      <c r="BA129" t="s">
        <v>1036</v>
      </c>
      <c r="BB129" t="s">
        <v>1080</v>
      </c>
      <c r="BC129" t="s">
        <v>155</v>
      </c>
      <c r="BD129" t="s">
        <v>93</v>
      </c>
      <c r="BE129" t="s">
        <v>446</v>
      </c>
      <c r="BF129" t="s">
        <v>115</v>
      </c>
      <c r="BG129" t="s">
        <v>92</v>
      </c>
      <c r="BH129" t="s">
        <v>5304</v>
      </c>
      <c r="BI129" t="s">
        <v>3614</v>
      </c>
      <c r="BJ129" t="s">
        <v>2288</v>
      </c>
      <c r="BK129" t="s">
        <v>207</v>
      </c>
      <c r="BL129" t="s">
        <v>5305</v>
      </c>
      <c r="BM129" t="s">
        <v>155</v>
      </c>
      <c r="BN129">
        <v>3.8</v>
      </c>
      <c r="BO129">
        <v>4.22</v>
      </c>
      <c r="BP129">
        <v>5.4</v>
      </c>
      <c r="BQ129">
        <v>3.9</v>
      </c>
      <c r="BR129">
        <v>4.42</v>
      </c>
      <c r="BS129">
        <v>5.74</v>
      </c>
      <c r="BT129" t="s">
        <v>5306</v>
      </c>
      <c r="BU129" t="s">
        <v>3125</v>
      </c>
      <c r="BV129">
        <v>23.84</v>
      </c>
      <c r="BW129">
        <v>23.35</v>
      </c>
      <c r="BX129">
        <v>23.69</v>
      </c>
      <c r="BY129">
        <v>7.23</v>
      </c>
      <c r="BZ129">
        <v>5.98</v>
      </c>
      <c r="CA129">
        <v>6.73</v>
      </c>
      <c r="CB129">
        <v>-3.13</v>
      </c>
      <c r="CC129">
        <v>-11.35</v>
      </c>
      <c r="CD129" t="s">
        <v>5307</v>
      </c>
      <c r="CE129" t="s">
        <v>437</v>
      </c>
      <c r="CF129" s="14">
        <v>-0.69642857142857151</v>
      </c>
      <c r="CG129" s="15">
        <v>1.3196927226103103</v>
      </c>
      <c r="CH129" s="14">
        <v>2.9414772987365723</v>
      </c>
      <c r="CI129" s="14">
        <v>-0.10066831856966019</v>
      </c>
      <c r="CJ129" s="14">
        <v>7.0661835372447968E-2</v>
      </c>
      <c r="CK129" s="14">
        <v>1.2681159190833569E-2</v>
      </c>
      <c r="CL129" s="14">
        <v>-0.21086494624614716</v>
      </c>
      <c r="CM129" s="15">
        <v>-0.30455446243286133</v>
      </c>
      <c r="CN129" s="15">
        <v>-0.19607843458652496</v>
      </c>
      <c r="CO129" s="15">
        <v>1.9999999552965164E-2</v>
      </c>
      <c r="CP129" s="15">
        <v>0.1111111119389534</v>
      </c>
      <c r="CQ129" s="15">
        <v>0.14406779408454895</v>
      </c>
      <c r="CR129">
        <v>30.428858772296746</v>
      </c>
      <c r="CS129">
        <v>0.56073792512283149</v>
      </c>
      <c r="CT129">
        <v>1.2721584984358707</v>
      </c>
      <c r="CU129" s="14">
        <v>0.54265740569680931</v>
      </c>
      <c r="CV129" s="15">
        <v>-4.5090798288583755E-2</v>
      </c>
      <c r="CW129">
        <v>0.06</v>
      </c>
      <c r="CX129">
        <v>13.369392039834711</v>
      </c>
      <c r="CY129">
        <v>124489250.89794709</v>
      </c>
      <c r="CZ129">
        <v>0.54265740569680931</v>
      </c>
      <c r="DA129">
        <v>3.0418108012981193</v>
      </c>
      <c r="DB129">
        <v>547156187.12699878</v>
      </c>
      <c r="DC129">
        <v>0.51552453541196885</v>
      </c>
      <c r="DD129">
        <v>0.86793904318747117</v>
      </c>
      <c r="DE129">
        <v>1917583513.5699828</v>
      </c>
      <c r="DF129">
        <v>0.47753851701319222</v>
      </c>
      <c r="DG129">
        <v>0.25963098890011377</v>
      </c>
      <c r="DH129">
        <v>6410427380.2242975</v>
      </c>
      <c r="DI129">
        <v>0.43412592455744747</v>
      </c>
      <c r="DJ129">
        <v>2.3219136877677505E-2</v>
      </c>
      <c r="DK129">
        <v>71679908205.376678</v>
      </c>
      <c r="DL129">
        <v>0.3798601839877665</v>
      </c>
      <c r="DM129">
        <v>85539800</v>
      </c>
      <c r="DN129">
        <v>0.54265740569680931</v>
      </c>
      <c r="DO129">
        <v>1664345600</v>
      </c>
      <c r="DP129">
        <v>1345689000</v>
      </c>
      <c r="DQ129">
        <v>3242</v>
      </c>
      <c r="DR129">
        <v>-1.2390859771253808</v>
      </c>
      <c r="DS129">
        <v>1.3647835208988941</v>
      </c>
      <c r="DT129" s="16">
        <v>-0.24000000000000002</v>
      </c>
      <c r="DU129">
        <v>-0.31666666666666665</v>
      </c>
      <c r="DV129">
        <v>-0.55666666666666664</v>
      </c>
      <c r="DW129">
        <v>-8.2757709251101321</v>
      </c>
      <c r="DX129">
        <v>0.36485850340136183</v>
      </c>
      <c r="DY129">
        <v>-8.0261592172375558</v>
      </c>
      <c r="DZ129">
        <v>2818</v>
      </c>
      <c r="EA129">
        <v>-8.0117332536024417</v>
      </c>
      <c r="EB129">
        <v>8</v>
      </c>
      <c r="EC129">
        <v>3.4488769693611351E-2</v>
      </c>
      <c r="ED129">
        <v>0.3635812126160603</v>
      </c>
      <c r="EE129" s="17">
        <v>3.08101</v>
      </c>
      <c r="EF129">
        <v>3.0901100000000001</v>
      </c>
      <c r="EG129">
        <v>27.094858503401362</v>
      </c>
      <c r="EH129" t="s">
        <v>2487</v>
      </c>
      <c r="EI129">
        <v>0</v>
      </c>
      <c r="EJ129">
        <v>0</v>
      </c>
      <c r="EK129" s="19">
        <v>45470</v>
      </c>
      <c r="EL129" s="20">
        <v>1.22</v>
      </c>
      <c r="EM129" s="20">
        <v>-0.7</v>
      </c>
      <c r="EN129" s="20">
        <v>-2.68</v>
      </c>
      <c r="EO129" s="20">
        <v>0.26</v>
      </c>
      <c r="EP129" s="20">
        <v>-0.91</v>
      </c>
    </row>
    <row r="130" spans="1:146" ht="84" x14ac:dyDescent="0.25">
      <c r="A130" s="7"/>
      <c r="B130" s="7"/>
      <c r="C130" s="7" t="str">
        <f>""&amp;CHAR(10)&amp;Basic_Fundamental_Information_Constructure(F130)&amp;CHAR(10)&amp;Basic_Fundamental_Information_Concatenate("")</f>
        <v xml:space="preserve">
市值43.400738亿, 利润-1.20亿; PE31.37; 平均PE-293.96; 平均PEG-17.01, PB3.83; ROIC17.7567%; ROE21.86%; 股利率0%; 毛利17.5933%; 净利6.3367%; 上一年度营收增-78.58%, 利润增-180%; 当季营收增207.67%, 利润增730.3%; 过往5年营收增-17.28%, 利润增-187.05%
Income profile:
</v>
      </c>
      <c r="D130" t="s">
        <v>1081</v>
      </c>
      <c r="E130" t="s">
        <v>1082</v>
      </c>
      <c r="F130">
        <v>3.31</v>
      </c>
      <c r="G130">
        <v>-0.9</v>
      </c>
      <c r="H130" t="s">
        <v>5308</v>
      </c>
      <c r="I130">
        <v>4340073800</v>
      </c>
      <c r="J130">
        <v>31.37</v>
      </c>
      <c r="K130">
        <v>3.83</v>
      </c>
      <c r="L130" t="s">
        <v>172</v>
      </c>
      <c r="M130" t="s">
        <v>2051</v>
      </c>
      <c r="N130" t="s">
        <v>5309</v>
      </c>
      <c r="O130" t="s">
        <v>1889</v>
      </c>
      <c r="P130">
        <v>-32.33</v>
      </c>
      <c r="Q130" t="s">
        <v>1657</v>
      </c>
      <c r="R130">
        <v>74017716</v>
      </c>
      <c r="S130" s="5">
        <v>0.29270000000000002</v>
      </c>
      <c r="T130" t="s">
        <v>2611</v>
      </c>
      <c r="U130">
        <v>1311200560</v>
      </c>
      <c r="V130">
        <v>1311200560</v>
      </c>
      <c r="W130">
        <v>2.61</v>
      </c>
      <c r="X130">
        <v>0.25</v>
      </c>
      <c r="Y130">
        <v>10.35</v>
      </c>
      <c r="Z130" t="s">
        <v>2052</v>
      </c>
      <c r="AA130" t="s">
        <v>1443</v>
      </c>
      <c r="AB130" t="s">
        <v>5310</v>
      </c>
      <c r="AC130" t="s">
        <v>5311</v>
      </c>
      <c r="AD130" t="s">
        <v>19</v>
      </c>
      <c r="AE130">
        <v>912539</v>
      </c>
      <c r="AF130" t="s">
        <v>5312</v>
      </c>
      <c r="AG130" t="s">
        <v>5313</v>
      </c>
      <c r="AH130" t="s">
        <v>5314</v>
      </c>
      <c r="AI130" t="s">
        <v>5315</v>
      </c>
      <c r="AJ130" t="s">
        <v>5316</v>
      </c>
      <c r="AK130" t="s">
        <v>5317</v>
      </c>
      <c r="AL130" t="s">
        <v>5318</v>
      </c>
      <c r="AM130" t="s">
        <v>19</v>
      </c>
      <c r="AN130" t="s">
        <v>5319</v>
      </c>
      <c r="AO130" t="s">
        <v>1580</v>
      </c>
      <c r="AP130" t="s">
        <v>5320</v>
      </c>
      <c r="AQ130" t="s">
        <v>5321</v>
      </c>
      <c r="AR130" t="s">
        <v>19</v>
      </c>
      <c r="AS130" t="s">
        <v>5322</v>
      </c>
      <c r="AT130" t="s">
        <v>19</v>
      </c>
      <c r="AU130" t="s">
        <v>628</v>
      </c>
      <c r="AV130" t="s">
        <v>5323</v>
      </c>
      <c r="AW130" t="s">
        <v>5324</v>
      </c>
      <c r="AX130" t="s">
        <v>2289</v>
      </c>
      <c r="AY130" t="s">
        <v>1712</v>
      </c>
      <c r="AZ130" t="s">
        <v>1083</v>
      </c>
      <c r="BA130" t="s">
        <v>1085</v>
      </c>
      <c r="BB130" t="s">
        <v>1086</v>
      </c>
      <c r="BC130" t="s">
        <v>446</v>
      </c>
      <c r="BD130" t="s">
        <v>558</v>
      </c>
      <c r="BE130" t="s">
        <v>1084</v>
      </c>
      <c r="BF130" t="s">
        <v>1087</v>
      </c>
      <c r="BG130" t="s">
        <v>1088</v>
      </c>
      <c r="BH130" t="s">
        <v>5325</v>
      </c>
      <c r="BI130" t="s">
        <v>341</v>
      </c>
      <c r="BJ130" t="s">
        <v>2289</v>
      </c>
      <c r="BK130" t="s">
        <v>175</v>
      </c>
      <c r="BL130" t="s">
        <v>5326</v>
      </c>
      <c r="BM130" t="s">
        <v>446</v>
      </c>
      <c r="BN130">
        <v>15.82</v>
      </c>
      <c r="BO130">
        <v>18.11</v>
      </c>
      <c r="BP130">
        <v>19.34</v>
      </c>
      <c r="BQ130">
        <v>18.559999999999999</v>
      </c>
      <c r="BR130">
        <v>17.52</v>
      </c>
      <c r="BS130">
        <v>29.5</v>
      </c>
      <c r="BT130" t="s">
        <v>1983</v>
      </c>
      <c r="BU130" t="s">
        <v>3084</v>
      </c>
      <c r="BV130">
        <v>17.75</v>
      </c>
      <c r="BW130">
        <v>16.809999999999999</v>
      </c>
      <c r="BX130">
        <v>18.22</v>
      </c>
      <c r="BY130">
        <v>5.72</v>
      </c>
      <c r="BZ130">
        <v>6.26</v>
      </c>
      <c r="CA130">
        <v>7.03</v>
      </c>
      <c r="CB130">
        <v>-4.6100000000000003</v>
      </c>
      <c r="CC130">
        <v>-25.62</v>
      </c>
      <c r="CD130" t="s">
        <v>5327</v>
      </c>
      <c r="CE130" t="s">
        <v>100</v>
      </c>
      <c r="CF130" s="14">
        <v>2.076687116564417</v>
      </c>
      <c r="CG130" s="15">
        <v>7.3030277948089104</v>
      </c>
      <c r="CH130" s="14">
        <v>-0.78582841157913208</v>
      </c>
      <c r="CI130" s="14">
        <v>8.47620889544487E-2</v>
      </c>
      <c r="CJ130" s="14">
        <v>-4.8744708299636841E-2</v>
      </c>
      <c r="CK130" s="14">
        <v>-2.5535725057125092E-2</v>
      </c>
      <c r="CL130" s="14">
        <v>-8.8838249444961548E-2</v>
      </c>
      <c r="CM130" s="15">
        <v>-1.7999999523162842</v>
      </c>
      <c r="CN130" s="15">
        <v>-0.23076923191547394</v>
      </c>
      <c r="CO130" s="15">
        <v>1.4285714626312256</v>
      </c>
      <c r="CP130" s="15">
        <v>-8.5012073516845703</v>
      </c>
      <c r="CQ130" s="15">
        <v>-0.24891743063926697</v>
      </c>
      <c r="CR130">
        <v>-293.96393923042365</v>
      </c>
      <c r="CS130">
        <v>-17.008160138428675</v>
      </c>
      <c r="CT130">
        <v>0</v>
      </c>
      <c r="CU130" s="14">
        <v>-0.17283700108528138</v>
      </c>
      <c r="CV130" s="15">
        <v>-1.8704645007848739</v>
      </c>
      <c r="CW130">
        <v>0.06</v>
      </c>
      <c r="CX130" t="e">
        <v>#VALUE!</v>
      </c>
      <c r="CY130" t="s">
        <v>1835</v>
      </c>
      <c r="CZ130">
        <v>-0.17283700108528138</v>
      </c>
      <c r="DA130" t="e">
        <v>#VALUE!</v>
      </c>
      <c r="DB130" t="s">
        <v>1835</v>
      </c>
      <c r="DC130">
        <v>-0.16419515103101731</v>
      </c>
      <c r="DD130" t="e">
        <v>#VALUE!</v>
      </c>
      <c r="DE130" t="s">
        <v>1835</v>
      </c>
      <c r="DF130">
        <v>-0.15209656095504762</v>
      </c>
      <c r="DG130" t="e">
        <v>#VALUE!</v>
      </c>
      <c r="DH130" t="s">
        <v>1835</v>
      </c>
      <c r="DI130">
        <v>-0.13826960086822512</v>
      </c>
      <c r="DJ130" t="e">
        <v>#VALUE!</v>
      </c>
      <c r="DK130" t="s">
        <v>1835</v>
      </c>
      <c r="DL130">
        <v>-0.12098590075969697</v>
      </c>
      <c r="DM130">
        <v>-120000000</v>
      </c>
      <c r="DN130">
        <v>-0.17283700108528138</v>
      </c>
      <c r="DO130">
        <v>5533073800</v>
      </c>
      <c r="DP130">
        <v>190385300</v>
      </c>
      <c r="DQ130">
        <v>3315</v>
      </c>
      <c r="DR130">
        <v>2.2495241176496985</v>
      </c>
      <c r="DS130">
        <v>9.1734922955937837</v>
      </c>
      <c r="DT130" s="16">
        <v>-0.77333333333333332</v>
      </c>
      <c r="DU130">
        <v>-1.8233333333333335</v>
      </c>
      <c r="DV130">
        <v>-2.5966666666666667</v>
      </c>
      <c r="DW130">
        <v>-8.1799375487900079</v>
      </c>
      <c r="DX130">
        <v>0.42459928057553897</v>
      </c>
      <c r="DY130">
        <v>-8.027818215591461</v>
      </c>
      <c r="DZ130">
        <v>3931</v>
      </c>
      <c r="EA130">
        <v>-8.0064183319339204</v>
      </c>
      <c r="EB130">
        <v>8</v>
      </c>
      <c r="EC130">
        <v>3.2778051894669723E-2</v>
      </c>
      <c r="ED130">
        <v>0.21201943354874711</v>
      </c>
      <c r="EE130" s="17">
        <v>-3.0133100000000002</v>
      </c>
      <c r="EF130">
        <v>-3.0133100000000002</v>
      </c>
      <c r="EG130">
        <v>27.154599280575539</v>
      </c>
      <c r="EH130" t="s">
        <v>2845</v>
      </c>
      <c r="EI130">
        <v>0</v>
      </c>
      <c r="EJ130">
        <v>0</v>
      </c>
      <c r="EK130" s="19">
        <v>45470</v>
      </c>
      <c r="EL130" s="20">
        <v>0.99</v>
      </c>
      <c r="EM130" s="20">
        <v>-4.88</v>
      </c>
      <c r="EN130" s="20">
        <v>-5.13</v>
      </c>
      <c r="EO130" s="20">
        <v>4.8600000000000003</v>
      </c>
      <c r="EP130" s="20">
        <v>0</v>
      </c>
    </row>
    <row r="131" spans="1:146" ht="84" x14ac:dyDescent="0.25">
      <c r="A131" s="7"/>
      <c r="B131" s="7"/>
      <c r="C131" s="7" t="str">
        <f>""&amp;CHAR(10)&amp;Basic_Fundamental_Information_Constructure(F131)&amp;CHAR(10)&amp;Basic_Fundamental_Information_Concatenate("")</f>
        <v xml:space="preserve">
市值31.565798亿, 利润3165.73万; PE; 平均PE-25.52; 平均PEG-1.04, PB.985; ROIC-3.53%; ROE-4.15%; 股利率0%; 毛利7.9567%; 净利-2.0933%; 上一年度营收增-89.91%, 利润增116.57%; 当季营收增993.21%, 利润增-143.21%; 过往5年营收增-24.45%, 利润增-359.65%
Income profile:
</v>
      </c>
      <c r="D131" t="s">
        <v>1089</v>
      </c>
      <c r="E131" t="s">
        <v>1090</v>
      </c>
      <c r="F131">
        <v>2.39</v>
      </c>
      <c r="G131">
        <v>1.27</v>
      </c>
      <c r="H131" t="s">
        <v>5328</v>
      </c>
      <c r="I131">
        <v>3156579800</v>
      </c>
      <c r="K131">
        <v>0.98499999999999999</v>
      </c>
      <c r="L131" t="s">
        <v>172</v>
      </c>
      <c r="M131" t="s">
        <v>5329</v>
      </c>
      <c r="N131" t="s">
        <v>5330</v>
      </c>
      <c r="O131" t="s">
        <v>5331</v>
      </c>
      <c r="P131">
        <v>10.3</v>
      </c>
      <c r="Q131" t="s">
        <v>5332</v>
      </c>
      <c r="R131">
        <v>-10330134</v>
      </c>
      <c r="S131" s="5">
        <v>0.89149999999999996</v>
      </c>
      <c r="T131" t="s">
        <v>5333</v>
      </c>
      <c r="U131">
        <v>852291320</v>
      </c>
      <c r="V131">
        <v>1320744670</v>
      </c>
      <c r="W131">
        <v>2.87</v>
      </c>
      <c r="X131">
        <v>0.28000000000000003</v>
      </c>
      <c r="Y131">
        <v>-7.0000000000000007E-2</v>
      </c>
      <c r="Z131" t="s">
        <v>5331</v>
      </c>
      <c r="AA131" t="s">
        <v>5334</v>
      </c>
      <c r="AB131" t="s">
        <v>5335</v>
      </c>
      <c r="AC131" t="s">
        <v>457</v>
      </c>
      <c r="AD131" t="s">
        <v>19</v>
      </c>
      <c r="AE131">
        <v>-12980771</v>
      </c>
      <c r="AF131" t="s">
        <v>5336</v>
      </c>
      <c r="AG131" t="s">
        <v>5337</v>
      </c>
      <c r="AH131" t="s">
        <v>5338</v>
      </c>
      <c r="AI131" t="s">
        <v>5339</v>
      </c>
      <c r="AJ131" t="s">
        <v>5340</v>
      </c>
      <c r="AK131" t="s">
        <v>5341</v>
      </c>
      <c r="AL131" t="s">
        <v>5342</v>
      </c>
      <c r="AM131" t="s">
        <v>19</v>
      </c>
      <c r="AN131" t="s">
        <v>295</v>
      </c>
      <c r="AO131" t="s">
        <v>3950</v>
      </c>
      <c r="AP131" t="s">
        <v>5343</v>
      </c>
      <c r="AQ131" t="s">
        <v>5344</v>
      </c>
      <c r="AR131" t="s">
        <v>5345</v>
      </c>
      <c r="AS131" t="s">
        <v>3579</v>
      </c>
      <c r="AT131" t="s">
        <v>2620</v>
      </c>
      <c r="AU131" t="s">
        <v>5346</v>
      </c>
      <c r="AV131" t="s">
        <v>5347</v>
      </c>
      <c r="AW131" t="s">
        <v>5348</v>
      </c>
      <c r="AX131" t="s">
        <v>1981</v>
      </c>
      <c r="AY131" t="s">
        <v>1713</v>
      </c>
      <c r="AZ131" t="s">
        <v>1091</v>
      </c>
      <c r="BA131" t="s">
        <v>1094</v>
      </c>
      <c r="BB131" t="s">
        <v>1095</v>
      </c>
      <c r="BC131" t="s">
        <v>1902</v>
      </c>
      <c r="BD131" t="s">
        <v>1714</v>
      </c>
      <c r="BE131" t="s">
        <v>1092</v>
      </c>
      <c r="BF131" t="s">
        <v>1096</v>
      </c>
      <c r="BG131" t="s">
        <v>632</v>
      </c>
      <c r="BH131" t="s">
        <v>5349</v>
      </c>
      <c r="BI131" t="s">
        <v>346</v>
      </c>
      <c r="BJ131" t="s">
        <v>1981</v>
      </c>
      <c r="BK131" t="s">
        <v>5350</v>
      </c>
      <c r="BL131" t="s">
        <v>5351</v>
      </c>
      <c r="BM131" t="s">
        <v>1902</v>
      </c>
      <c r="BN131" t="s">
        <v>19</v>
      </c>
      <c r="BO131" t="s">
        <v>19</v>
      </c>
      <c r="BP131">
        <v>-3.53</v>
      </c>
      <c r="BQ131">
        <v>-7.74</v>
      </c>
      <c r="BR131">
        <v>-5.98</v>
      </c>
      <c r="BS131">
        <v>1.27</v>
      </c>
      <c r="BT131" t="s">
        <v>1983</v>
      </c>
      <c r="BU131" t="s">
        <v>3084</v>
      </c>
      <c r="BV131">
        <v>7.51</v>
      </c>
      <c r="BW131">
        <v>8.33</v>
      </c>
      <c r="BX131">
        <v>8.0299999999999994</v>
      </c>
      <c r="BY131">
        <v>-3.37</v>
      </c>
      <c r="BZ131">
        <v>-2.2599999999999998</v>
      </c>
      <c r="CA131">
        <v>-0.65</v>
      </c>
      <c r="CB131">
        <v>-1.24</v>
      </c>
      <c r="CC131">
        <v>-18.98</v>
      </c>
      <c r="CD131" t="s">
        <v>5352</v>
      </c>
      <c r="CE131" t="s">
        <v>78</v>
      </c>
      <c r="CF131" s="14">
        <v>9.9320754716981128</v>
      </c>
      <c r="CG131" s="15">
        <v>-1.4320659006972358</v>
      </c>
      <c r="CH131" s="14">
        <v>-0.89914619922637939</v>
      </c>
      <c r="CI131" s="14">
        <v>6.5782055258750916E-2</v>
      </c>
      <c r="CJ131" s="14">
        <v>-2.5314105674624443E-2</v>
      </c>
      <c r="CK131" s="14">
        <v>-0.26352319121360779</v>
      </c>
      <c r="CL131" s="14">
        <v>-0.10005510598421097</v>
      </c>
      <c r="CM131" s="15">
        <v>1.1657450199127197</v>
      </c>
      <c r="CN131" s="15">
        <v>-6.3949618339538574</v>
      </c>
      <c r="CO131" s="15">
        <v>1.0437619686126709</v>
      </c>
      <c r="CP131" s="15">
        <v>-13.322285652160645</v>
      </c>
      <c r="CQ131" s="15">
        <v>-0.47477281093597412</v>
      </c>
      <c r="CR131">
        <v>-25.515072831101868</v>
      </c>
      <c r="CS131">
        <v>-1.0437691210190929</v>
      </c>
      <c r="CT131">
        <v>0</v>
      </c>
      <c r="CU131" s="14">
        <v>-0.24445130936801435</v>
      </c>
      <c r="CV131" s="15">
        <v>-3.5965026617050171</v>
      </c>
      <c r="CW131">
        <v>0.06</v>
      </c>
      <c r="CX131" t="e">
        <v>#VALUE!</v>
      </c>
      <c r="CY131" t="s">
        <v>1957</v>
      </c>
      <c r="CZ131">
        <v>-0.24445130936801435</v>
      </c>
      <c r="DA131">
        <v>72.880291960042925</v>
      </c>
      <c r="DB131" t="s">
        <v>5353</v>
      </c>
      <c r="DC131">
        <v>-0.23222874389961362</v>
      </c>
      <c r="DD131">
        <v>36.440145980021462</v>
      </c>
      <c r="DE131" t="s">
        <v>5354</v>
      </c>
      <c r="DF131">
        <v>-0.21511715224385264</v>
      </c>
      <c r="DG131">
        <v>21.864087588012875</v>
      </c>
      <c r="DH131" t="s">
        <v>5355</v>
      </c>
      <c r="DI131">
        <v>-0.1955610474944115</v>
      </c>
      <c r="DJ131">
        <v>10.932043794006438</v>
      </c>
      <c r="DK131" t="s">
        <v>5356</v>
      </c>
      <c r="DL131">
        <v>-0.17111591655761002</v>
      </c>
      <c r="DM131">
        <v>31657300</v>
      </c>
      <c r="DN131">
        <v>-0.24445130936801435</v>
      </c>
      <c r="DO131">
        <v>6921579800</v>
      </c>
      <c r="DP131">
        <v>25871500</v>
      </c>
      <c r="DQ131">
        <v>3330</v>
      </c>
      <c r="DR131">
        <v>10.176526781066126</v>
      </c>
      <c r="DS131">
        <v>2.1644367610077815</v>
      </c>
      <c r="DT131" s="16">
        <v>-0.89</v>
      </c>
      <c r="DU131">
        <v>-1.7649999999999999</v>
      </c>
      <c r="DV131">
        <v>-2.6549999999999998</v>
      </c>
      <c r="DW131">
        <v>-3.0337023809523811</v>
      </c>
      <c r="DX131">
        <v>0.28223371212121179</v>
      </c>
      <c r="DY131">
        <v>-3.003445519512085</v>
      </c>
      <c r="DZ131">
        <v>4855</v>
      </c>
      <c r="EA131">
        <v>-3.0001719388406225</v>
      </c>
      <c r="EB131">
        <v>3</v>
      </c>
      <c r="EC131">
        <v>2.0435214022101633E-2</v>
      </c>
      <c r="ED131">
        <v>0.19988723482790963</v>
      </c>
      <c r="EE131" s="17">
        <v>-4.0731000000000002</v>
      </c>
      <c r="EF131">
        <v>-4.0503999999999998</v>
      </c>
      <c r="EG131">
        <v>18.102233712121212</v>
      </c>
      <c r="EH131" t="s">
        <v>2844</v>
      </c>
      <c r="EI131">
        <v>0</v>
      </c>
      <c r="EJ131">
        <v>0</v>
      </c>
      <c r="EK131" s="19">
        <v>45470</v>
      </c>
      <c r="EL131" s="20">
        <v>0.31</v>
      </c>
      <c r="EM131" s="20">
        <v>-6.27</v>
      </c>
      <c r="EN131" s="20">
        <v>-0.67</v>
      </c>
      <c r="EO131" s="20">
        <v>3.7</v>
      </c>
      <c r="EP131" s="20">
        <v>-2.27</v>
      </c>
    </row>
    <row r="132" spans="1:146" ht="120" x14ac:dyDescent="0.25">
      <c r="A132" s="7"/>
      <c r="B132" s="7"/>
      <c r="C132" s="7" t="str">
        <f>""&amp;CHAR(10)&amp;Basic_Fundamental_Information_Constructure(F132)&amp;CHAR(10)&amp;Basic_Fundamental_Information_Concatenate("汽车玻璃 103.67亿 89.81% 毛利34.63%
浮法玻璃 19.36亿 16.77% 毛利42.56%
其他 8.40亿 7.28% 毛利18.36%
其他业务 1.46亿 1.26% 毛利81.69%")</f>
        <v xml:space="preserve">
市值1245.89156亿, 利润-1.88亿; PE20.42; 平均PE43.13; 平均PEG3.58, PB3.79; ROIC10.1967%; ROE14.8867%; 股利率2.7231%; 毛利35.1067%; 净利15.7367%; 上一年度营收增-96.56%, 利润增-103.95%; 当季营收增4575.13%, 利润增4763.17%; 过往5年营收增-12.05%, 利润增-14.35%
Income profile:
汽车玻璃 103.67亿 89.81% 毛利34.63%
浮法玻璃 19.36亿 16.77% 毛利42.56%
其他 8.40亿 7.28% 毛利18.36%
其他业务 1.46亿 1.26% 毛利81.69%</v>
      </c>
      <c r="D132" t="s">
        <v>1097</v>
      </c>
      <c r="E132" t="s">
        <v>1098</v>
      </c>
      <c r="F132">
        <v>47.74</v>
      </c>
      <c r="G132">
        <v>1.36</v>
      </c>
      <c r="H132" t="s">
        <v>5357</v>
      </c>
      <c r="I132">
        <v>124589156000</v>
      </c>
      <c r="J132">
        <v>20.420000000000002</v>
      </c>
      <c r="K132">
        <v>3.79</v>
      </c>
      <c r="L132" t="s">
        <v>172</v>
      </c>
      <c r="M132" t="s">
        <v>5358</v>
      </c>
      <c r="N132" t="s">
        <v>5359</v>
      </c>
      <c r="O132" t="s">
        <v>5360</v>
      </c>
      <c r="P132">
        <v>25.29</v>
      </c>
      <c r="Q132" t="s">
        <v>5361</v>
      </c>
      <c r="R132">
        <v>1387825500</v>
      </c>
      <c r="S132" s="5">
        <v>0.51759999999999995</v>
      </c>
      <c r="T132" t="s">
        <v>2987</v>
      </c>
      <c r="U132">
        <v>2002986300</v>
      </c>
      <c r="V132">
        <v>2609743500</v>
      </c>
      <c r="W132">
        <v>1.82</v>
      </c>
      <c r="X132">
        <v>0.15</v>
      </c>
      <c r="Y132">
        <v>15.71</v>
      </c>
      <c r="Z132" t="s">
        <v>5362</v>
      </c>
      <c r="AA132" t="s">
        <v>5363</v>
      </c>
      <c r="AB132" t="s">
        <v>626</v>
      </c>
      <c r="AC132" t="s">
        <v>156</v>
      </c>
      <c r="AD132" t="s">
        <v>19</v>
      </c>
      <c r="AE132">
        <v>-69310421</v>
      </c>
      <c r="AF132" t="s">
        <v>5364</v>
      </c>
      <c r="AG132" t="s">
        <v>5365</v>
      </c>
      <c r="AH132" t="s">
        <v>5366</v>
      </c>
      <c r="AI132" t="s">
        <v>5367</v>
      </c>
      <c r="AJ132" t="s">
        <v>5368</v>
      </c>
      <c r="AK132" t="s">
        <v>937</v>
      </c>
      <c r="AL132" t="s">
        <v>5369</v>
      </c>
      <c r="AM132" t="s">
        <v>19</v>
      </c>
      <c r="AN132" t="s">
        <v>5370</v>
      </c>
      <c r="AO132" t="s">
        <v>5371</v>
      </c>
      <c r="AP132" t="s">
        <v>5372</v>
      </c>
      <c r="AQ132" t="s">
        <v>5373</v>
      </c>
      <c r="AR132" t="s">
        <v>19</v>
      </c>
      <c r="AS132" t="s">
        <v>5374</v>
      </c>
      <c r="AT132" t="s">
        <v>5375</v>
      </c>
      <c r="AU132" t="s">
        <v>2596</v>
      </c>
      <c r="AV132" t="s">
        <v>5376</v>
      </c>
      <c r="AW132" t="s">
        <v>4065</v>
      </c>
      <c r="AX132" t="s">
        <v>2291</v>
      </c>
      <c r="AY132" t="s">
        <v>1715</v>
      </c>
      <c r="AZ132" t="s">
        <v>1099</v>
      </c>
      <c r="BA132" t="s">
        <v>1101</v>
      </c>
      <c r="BB132" t="s">
        <v>1102</v>
      </c>
      <c r="BC132" t="s">
        <v>2292</v>
      </c>
      <c r="BD132" t="s">
        <v>1716</v>
      </c>
      <c r="BE132" t="s">
        <v>1100</v>
      </c>
      <c r="BF132" t="s">
        <v>1103</v>
      </c>
      <c r="BG132" t="s">
        <v>1104</v>
      </c>
      <c r="BH132" t="s">
        <v>5377</v>
      </c>
      <c r="BI132" t="s">
        <v>161</v>
      </c>
      <c r="BJ132" t="s">
        <v>2291</v>
      </c>
      <c r="BK132" t="s">
        <v>5378</v>
      </c>
      <c r="BL132" t="s">
        <v>5379</v>
      </c>
      <c r="BM132" t="s">
        <v>2292</v>
      </c>
      <c r="BN132">
        <v>8.44</v>
      </c>
      <c r="BO132">
        <v>12.48</v>
      </c>
      <c r="BP132">
        <v>9.67</v>
      </c>
      <c r="BQ132">
        <v>14.05</v>
      </c>
      <c r="BR132">
        <v>17.649999999999999</v>
      </c>
      <c r="BS132">
        <v>12.96</v>
      </c>
      <c r="BT132" t="s">
        <v>5380</v>
      </c>
      <c r="BU132" t="s">
        <v>3084</v>
      </c>
      <c r="BV132">
        <v>35.39</v>
      </c>
      <c r="BW132">
        <v>34.03</v>
      </c>
      <c r="BX132">
        <v>35.9</v>
      </c>
      <c r="BY132">
        <v>16.98</v>
      </c>
      <c r="BZ132">
        <v>16.91</v>
      </c>
      <c r="CA132">
        <v>13.32</v>
      </c>
      <c r="CB132">
        <v>-0.33</v>
      </c>
      <c r="CC132">
        <v>3.04</v>
      </c>
      <c r="CD132" t="s">
        <v>5381</v>
      </c>
      <c r="CE132" t="s">
        <v>1010</v>
      </c>
      <c r="CF132" s="14">
        <v>45.751322751322753</v>
      </c>
      <c r="CG132" s="15">
        <v>47.631727674101356</v>
      </c>
      <c r="CH132" s="14">
        <v>-0.96562153100967407</v>
      </c>
      <c r="CI132" s="14">
        <v>0.19048431515693665</v>
      </c>
      <c r="CJ132" s="14">
        <v>0.18566328287124634</v>
      </c>
      <c r="CK132" s="14">
        <v>-5.6719135493040085E-2</v>
      </c>
      <c r="CL132" s="14">
        <v>4.3461143970489502E-2</v>
      </c>
      <c r="CM132" s="15">
        <v>-1.0395290851593018</v>
      </c>
      <c r="CN132" s="15">
        <v>0.51176095008850098</v>
      </c>
      <c r="CO132" s="15">
        <v>0.20953477919101715</v>
      </c>
      <c r="CP132" s="15">
        <v>-0.10248445719480515</v>
      </c>
      <c r="CQ132" s="15">
        <v>-0.29660198092460632</v>
      </c>
      <c r="CR132">
        <v>43.127844920094617</v>
      </c>
      <c r="CS132">
        <v>3.5776970794754557</v>
      </c>
      <c r="CT132">
        <v>2.7230833682446582</v>
      </c>
      <c r="CU132" s="14">
        <v>-0.12054638490080834</v>
      </c>
      <c r="CV132" s="15">
        <v>-0.14346395879983903</v>
      </c>
      <c r="CW132">
        <v>0.06</v>
      </c>
      <c r="CX132" t="e">
        <v>#VALUE!</v>
      </c>
      <c r="CY132" t="s">
        <v>1835</v>
      </c>
      <c r="CZ132">
        <v>-0.12054638490080834</v>
      </c>
      <c r="DA132" t="e">
        <v>#VALUE!</v>
      </c>
      <c r="DB132" t="s">
        <v>1835</v>
      </c>
      <c r="DC132">
        <v>-0.11451906565576792</v>
      </c>
      <c r="DD132" t="e">
        <v>#VALUE!</v>
      </c>
      <c r="DE132" t="s">
        <v>1835</v>
      </c>
      <c r="DF132">
        <v>-0.10608081871271134</v>
      </c>
      <c r="DG132" t="e">
        <v>#VALUE!</v>
      </c>
      <c r="DH132" t="s">
        <v>1835</v>
      </c>
      <c r="DI132">
        <v>-9.6437107920646678E-2</v>
      </c>
      <c r="DJ132" t="e">
        <v>#VALUE!</v>
      </c>
      <c r="DK132" t="s">
        <v>1835</v>
      </c>
      <c r="DL132">
        <v>-8.4382469430565835E-2</v>
      </c>
      <c r="DM132">
        <v>-188000000</v>
      </c>
      <c r="DN132">
        <v>-0.12054638490080834</v>
      </c>
      <c r="DO132">
        <v>116961156000</v>
      </c>
      <c r="DP132">
        <v>20380772000</v>
      </c>
      <c r="DQ132">
        <v>3355</v>
      </c>
      <c r="DR132">
        <v>45.871869136223559</v>
      </c>
      <c r="DS132">
        <v>47.775191632901198</v>
      </c>
      <c r="DT132" s="16">
        <v>-0.49</v>
      </c>
      <c r="DU132">
        <v>-0.56666666666666665</v>
      </c>
      <c r="DV132">
        <v>-1.0566666666666666</v>
      </c>
      <c r="DW132">
        <v>1.0304</v>
      </c>
      <c r="DX132">
        <v>0.41075130434782681</v>
      </c>
      <c r="DY132">
        <v>1.004278839652174</v>
      </c>
      <c r="DZ132">
        <v>3711</v>
      </c>
      <c r="EA132">
        <v>1.0011714474899005</v>
      </c>
      <c r="EB132">
        <v>1</v>
      </c>
      <c r="EC132">
        <v>1.8606886079034202E-2</v>
      </c>
      <c r="ED132">
        <v>0.13219689981026872</v>
      </c>
      <c r="EE132" s="17">
        <v>4.1499999999999995E-2</v>
      </c>
      <c r="EF132">
        <v>2.6700000000000002E-2</v>
      </c>
      <c r="EG132">
        <v>27.140751304347827</v>
      </c>
      <c r="EH132" t="s">
        <v>1831</v>
      </c>
      <c r="EI132">
        <v>0</v>
      </c>
      <c r="EJ132">
        <v>0</v>
      </c>
      <c r="EK132" s="19">
        <v>45470</v>
      </c>
      <c r="EL132" s="20">
        <v>-0.3</v>
      </c>
      <c r="EM132" s="20">
        <v>-4.46</v>
      </c>
      <c r="EN132" s="20">
        <v>1.87</v>
      </c>
      <c r="EO132" s="20">
        <v>3.36</v>
      </c>
      <c r="EP132" s="20">
        <v>-1.48</v>
      </c>
    </row>
    <row r="133" spans="1:146" ht="84" x14ac:dyDescent="0.25">
      <c r="A133" s="7"/>
      <c r="B133" s="7"/>
      <c r="C133" s="7" t="str">
        <f>""&amp;CHAR(10)&amp;Basic_Fundamental_Information_Constructure(F133)&amp;CHAR(10)&amp;Basic_Fundamental_Information_Concatenate("")</f>
        <v xml:space="preserve">
市值36.240023亿, 利润10.83亿; PE1287; 平均PE21.81; 平均PEG.01, PB4.74; ROIC.75%; ROE-.6367%; 股利率0%; 毛利13.6633%; 净利-2.0967%; 上一年度营收增16736.25%, 利润增3995.81%; 当季营收增-99.24%, 利润增-99.69%; 过往5年营收增3343.59%, 利润增732.92%
Income profile:
</v>
      </c>
      <c r="D133" t="s">
        <v>1105</v>
      </c>
      <c r="E133" t="s">
        <v>1106</v>
      </c>
      <c r="F133">
        <v>3.38</v>
      </c>
      <c r="G133">
        <v>0.6</v>
      </c>
      <c r="H133" t="s">
        <v>5382</v>
      </c>
      <c r="I133">
        <v>3624002300</v>
      </c>
      <c r="J133">
        <v>1287</v>
      </c>
      <c r="K133">
        <v>4.74</v>
      </c>
      <c r="L133" t="s">
        <v>172</v>
      </c>
      <c r="M133" t="s">
        <v>159</v>
      </c>
      <c r="N133" t="s">
        <v>2817</v>
      </c>
      <c r="O133" t="s">
        <v>367</v>
      </c>
      <c r="P133">
        <v>-6.5</v>
      </c>
      <c r="Q133" t="s">
        <v>5383</v>
      </c>
      <c r="R133">
        <v>628473</v>
      </c>
      <c r="S133" s="5">
        <v>-5.5800000000000002E-2</v>
      </c>
      <c r="T133" t="s">
        <v>525</v>
      </c>
      <c r="U133">
        <v>830345270</v>
      </c>
      <c r="V133">
        <v>1072190030</v>
      </c>
      <c r="W133">
        <v>1.5</v>
      </c>
      <c r="X133">
        <v>0.08</v>
      </c>
      <c r="Y133">
        <v>0.63</v>
      </c>
      <c r="Z133" t="s">
        <v>25</v>
      </c>
      <c r="AA133" t="s">
        <v>5384</v>
      </c>
      <c r="AB133" t="s">
        <v>5385</v>
      </c>
      <c r="AC133" t="s">
        <v>5386</v>
      </c>
      <c r="AD133" t="s">
        <v>19</v>
      </c>
      <c r="AE133">
        <v>-655025</v>
      </c>
      <c r="AF133" t="s">
        <v>21</v>
      </c>
      <c r="AG133" t="s">
        <v>5387</v>
      </c>
      <c r="AH133" t="s">
        <v>5388</v>
      </c>
      <c r="AI133" t="s">
        <v>514</v>
      </c>
      <c r="AJ133" t="s">
        <v>5389</v>
      </c>
      <c r="AK133" t="s">
        <v>5390</v>
      </c>
      <c r="AL133" t="s">
        <v>5391</v>
      </c>
      <c r="AM133" t="s">
        <v>19</v>
      </c>
      <c r="AN133" t="s">
        <v>5392</v>
      </c>
      <c r="AO133" t="s">
        <v>19</v>
      </c>
      <c r="AP133" t="s">
        <v>5393</v>
      </c>
      <c r="AQ133" t="s">
        <v>161</v>
      </c>
      <c r="AR133" t="s">
        <v>19</v>
      </c>
      <c r="AS133" t="s">
        <v>134</v>
      </c>
      <c r="AT133" t="s">
        <v>19</v>
      </c>
      <c r="AU133" t="s">
        <v>5394</v>
      </c>
      <c r="AV133" t="s">
        <v>5395</v>
      </c>
      <c r="AW133" t="s">
        <v>5396</v>
      </c>
      <c r="AX133" t="s">
        <v>120</v>
      </c>
      <c r="AY133" t="s">
        <v>1312</v>
      </c>
      <c r="AZ133" t="s">
        <v>802</v>
      </c>
      <c r="BA133" t="s">
        <v>184</v>
      </c>
      <c r="BB133" t="s">
        <v>1072</v>
      </c>
      <c r="BC133" t="s">
        <v>2293</v>
      </c>
      <c r="BD133" t="s">
        <v>1718</v>
      </c>
      <c r="BE133" t="s">
        <v>1107</v>
      </c>
      <c r="BF133" t="s">
        <v>1109</v>
      </c>
      <c r="BG133" t="s">
        <v>1110</v>
      </c>
      <c r="BH133" t="s">
        <v>929</v>
      </c>
      <c r="BI133" t="s">
        <v>5397</v>
      </c>
      <c r="BJ133" t="s">
        <v>120</v>
      </c>
      <c r="BK133" t="s">
        <v>5398</v>
      </c>
      <c r="BL133" t="s">
        <v>245</v>
      </c>
      <c r="BM133" t="s">
        <v>2293</v>
      </c>
      <c r="BN133" t="s">
        <v>19</v>
      </c>
      <c r="BO133" t="s">
        <v>19</v>
      </c>
      <c r="BP133">
        <v>0.75</v>
      </c>
      <c r="BQ133">
        <v>0.56000000000000005</v>
      </c>
      <c r="BR133">
        <v>-3.59</v>
      </c>
      <c r="BS133">
        <v>1.1200000000000001</v>
      </c>
      <c r="BT133" t="s">
        <v>1983</v>
      </c>
      <c r="BU133" t="s">
        <v>2920</v>
      </c>
      <c r="BV133">
        <v>11.13</v>
      </c>
      <c r="BW133">
        <v>13.57</v>
      </c>
      <c r="BX133">
        <v>16.29</v>
      </c>
      <c r="BY133">
        <v>0.57999999999999996</v>
      </c>
      <c r="BZ133">
        <v>-8.41</v>
      </c>
      <c r="CA133">
        <v>1.54</v>
      </c>
      <c r="CB133">
        <v>-0.28999999999999998</v>
      </c>
      <c r="CC133">
        <v>-11.98</v>
      </c>
      <c r="CD133" t="s">
        <v>5399</v>
      </c>
      <c r="CE133" t="s">
        <v>146</v>
      </c>
      <c r="CF133" s="14">
        <v>-0.99236121615489337</v>
      </c>
      <c r="CG133" s="15">
        <v>-0.99685763500000002</v>
      </c>
      <c r="CH133" s="14">
        <v>167.36253356933594</v>
      </c>
      <c r="CI133" s="14">
        <v>-0.41827768087387085</v>
      </c>
      <c r="CJ133" s="14">
        <v>-0.11370716243982315</v>
      </c>
      <c r="CK133" s="14">
        <v>0.27634194493293762</v>
      </c>
      <c r="CL133" s="14">
        <v>7.2494670748710632E-2</v>
      </c>
      <c r="CM133" s="15">
        <v>39.958095550537109</v>
      </c>
      <c r="CN133" s="15">
        <v>-4.1716032028198242</v>
      </c>
      <c r="CO133" s="15">
        <v>-0.14088842272758484</v>
      </c>
      <c r="CP133" s="15">
        <v>-0.13180668652057648</v>
      </c>
      <c r="CQ133" s="15">
        <v>1.1321249008178711</v>
      </c>
      <c r="CR133">
        <v>21.809905887667821</v>
      </c>
      <c r="CS133">
        <v>6.5229052742028504E-3</v>
      </c>
      <c r="CT133">
        <v>0</v>
      </c>
      <c r="CU133" s="14">
        <v>33.43587706834078</v>
      </c>
      <c r="CV133" s="15">
        <v>7.329184427857399</v>
      </c>
      <c r="CW133">
        <v>0.06</v>
      </c>
      <c r="CX133">
        <v>9.4704704296271813E-2</v>
      </c>
      <c r="CY133">
        <v>35183070627.370819</v>
      </c>
      <c r="CZ133">
        <v>33.43587706834078</v>
      </c>
      <c r="DA133">
        <v>1.0081664863622074E-4</v>
      </c>
      <c r="DB133">
        <v>33050119648620.223</v>
      </c>
      <c r="DC133">
        <v>31.76408321492374</v>
      </c>
      <c r="DD133">
        <v>5.3118953376062102E-9</v>
      </c>
      <c r="DE133">
        <v>6.2727182827016256E+17</v>
      </c>
      <c r="DF133">
        <v>29.423571820139887</v>
      </c>
      <c r="DG133">
        <v>1.957913912137655E-14</v>
      </c>
      <c r="DH133">
        <v>1.7018124644520821E+23</v>
      </c>
      <c r="DI133">
        <v>26.748701654672626</v>
      </c>
      <c r="DJ133">
        <v>1.6799351032787824E-27</v>
      </c>
      <c r="DK133">
        <v>1.9834113195782538E+36</v>
      </c>
      <c r="DL133">
        <v>23.405113947838544</v>
      </c>
      <c r="DM133">
        <v>1083000000</v>
      </c>
      <c r="DN133">
        <v>33.43587706834078</v>
      </c>
      <c r="DO133">
        <v>3332002300</v>
      </c>
      <c r="DP133">
        <v>413461070</v>
      </c>
      <c r="DQ133">
        <v>3386</v>
      </c>
      <c r="DR133">
        <v>-34.42823828449567</v>
      </c>
      <c r="DS133">
        <v>-8.3260420628573986</v>
      </c>
      <c r="DT133" s="16">
        <v>-0.17333333333333337</v>
      </c>
      <c r="DU133">
        <v>-0.65666666666666673</v>
      </c>
      <c r="DV133">
        <v>-0.83000000000000007</v>
      </c>
      <c r="DW133">
        <v>-2.1198000000000001</v>
      </c>
      <c r="DX133">
        <v>0.31465698324022473</v>
      </c>
      <c r="DY133">
        <v>-2.0173299065921788</v>
      </c>
      <c r="DZ133">
        <v>3020</v>
      </c>
      <c r="EA133">
        <v>-2.0070879657099128</v>
      </c>
      <c r="EB133">
        <v>2</v>
      </c>
      <c r="EC133">
        <v>2.4150196584088738E-2</v>
      </c>
      <c r="ED133">
        <v>0.1669480176009471</v>
      </c>
      <c r="EE133" s="17">
        <v>0.11119999999999999</v>
      </c>
      <c r="EF133">
        <v>9.5399999999999985E-2</v>
      </c>
      <c r="EG133">
        <v>17.144656983240225</v>
      </c>
      <c r="EH133" t="s">
        <v>1831</v>
      </c>
      <c r="EI133">
        <v>0</v>
      </c>
      <c r="EJ133">
        <v>0</v>
      </c>
      <c r="EK133" s="19">
        <v>45470</v>
      </c>
      <c r="EL133" s="20">
        <v>0.1</v>
      </c>
      <c r="EM133" s="20">
        <v>-3.98</v>
      </c>
      <c r="EN133" s="20">
        <v>2.48</v>
      </c>
      <c r="EO133" s="20">
        <v>2.2200000000000002</v>
      </c>
      <c r="EP133" s="20">
        <v>-1.58</v>
      </c>
    </row>
    <row r="134" spans="1:146" ht="84" x14ac:dyDescent="0.25">
      <c r="A134" s="7"/>
      <c r="B134" s="7"/>
      <c r="C134" s="7" t="str">
        <f>""&amp;CHAR(10)&amp;Basic_Fundamental_Information_Constructure(F134)&amp;CHAR(10)&amp;Basic_Fundamental_Information_Concatenate("")</f>
        <v xml:space="preserve">
市值202.28954亿, 利润17.71亿; PE17.01; 平均PE94.38; 平均PEG5.02, PB1.48; ROIC2.645%; ROE-6.1867%; 股利率1.8106%; 毛利12.8933%; 净利-2.41%; 上一年度营收增-85.78%, 利润增349.49%; 当季营收增556.68%, 利润增-46.13%; 过往5年营收增-18.79%, 利润增-62.48%
Income profile:
</v>
      </c>
      <c r="D134" t="s">
        <v>1111</v>
      </c>
      <c r="E134" t="s">
        <v>1112</v>
      </c>
      <c r="F134">
        <v>14.36</v>
      </c>
      <c r="G134">
        <v>-1.03</v>
      </c>
      <c r="H134" t="s">
        <v>5400</v>
      </c>
      <c r="I134">
        <v>20228954000</v>
      </c>
      <c r="J134">
        <v>17.010000000000002</v>
      </c>
      <c r="K134">
        <v>1.48</v>
      </c>
      <c r="L134" t="s">
        <v>172</v>
      </c>
      <c r="M134" t="s">
        <v>5401</v>
      </c>
      <c r="N134" t="s">
        <v>5402</v>
      </c>
      <c r="O134" t="s">
        <v>5403</v>
      </c>
      <c r="P134">
        <v>0.42</v>
      </c>
      <c r="Q134" t="s">
        <v>5404</v>
      </c>
      <c r="R134">
        <v>306501980</v>
      </c>
      <c r="S134" s="5">
        <v>0.53110000000000002</v>
      </c>
      <c r="T134" t="s">
        <v>5405</v>
      </c>
      <c r="U134">
        <v>1368084600</v>
      </c>
      <c r="V134">
        <v>1408701500</v>
      </c>
      <c r="W134">
        <v>2.97</v>
      </c>
      <c r="X134">
        <v>0.23</v>
      </c>
      <c r="Y134">
        <v>2.86</v>
      </c>
      <c r="Z134" t="s">
        <v>1560</v>
      </c>
      <c r="AA134" t="s">
        <v>5406</v>
      </c>
      <c r="AB134" t="s">
        <v>128</v>
      </c>
      <c r="AC134" t="s">
        <v>160</v>
      </c>
      <c r="AD134" t="s">
        <v>19</v>
      </c>
      <c r="AE134">
        <v>210918700</v>
      </c>
      <c r="AF134" t="s">
        <v>5407</v>
      </c>
      <c r="AG134" t="s">
        <v>5408</v>
      </c>
      <c r="AH134" t="s">
        <v>5409</v>
      </c>
      <c r="AI134" t="s">
        <v>5410</v>
      </c>
      <c r="AJ134" t="s">
        <v>5411</v>
      </c>
      <c r="AK134" t="s">
        <v>5412</v>
      </c>
      <c r="AL134" t="s">
        <v>5413</v>
      </c>
      <c r="AM134" t="s">
        <v>19</v>
      </c>
      <c r="AN134" t="s">
        <v>2531</v>
      </c>
      <c r="AO134" t="s">
        <v>5414</v>
      </c>
      <c r="AP134" t="s">
        <v>5415</v>
      </c>
      <c r="AQ134" t="s">
        <v>5416</v>
      </c>
      <c r="AR134" t="s">
        <v>19</v>
      </c>
      <c r="AS134" t="s">
        <v>5417</v>
      </c>
      <c r="AT134" t="s">
        <v>5418</v>
      </c>
      <c r="AU134" t="s">
        <v>2193</v>
      </c>
      <c r="AV134" t="s">
        <v>5419</v>
      </c>
      <c r="AW134" t="s">
        <v>2579</v>
      </c>
      <c r="AX134" t="s">
        <v>2294</v>
      </c>
      <c r="AY134" t="s">
        <v>1719</v>
      </c>
      <c r="AZ134" t="s">
        <v>1113</v>
      </c>
      <c r="BA134" t="s">
        <v>1114</v>
      </c>
      <c r="BB134" t="s">
        <v>1115</v>
      </c>
      <c r="BC134" t="s">
        <v>405</v>
      </c>
      <c r="BD134" t="s">
        <v>1720</v>
      </c>
      <c r="BE134" t="s">
        <v>726</v>
      </c>
      <c r="BF134" t="s">
        <v>1116</v>
      </c>
      <c r="BG134" t="s">
        <v>49</v>
      </c>
      <c r="BH134" t="s">
        <v>5383</v>
      </c>
      <c r="BI134" t="s">
        <v>2636</v>
      </c>
      <c r="BJ134" t="s">
        <v>2294</v>
      </c>
      <c r="BK134" t="s">
        <v>525</v>
      </c>
      <c r="BL134" t="s">
        <v>1312</v>
      </c>
      <c r="BM134" t="s">
        <v>405</v>
      </c>
      <c r="BN134">
        <v>3.54</v>
      </c>
      <c r="BO134">
        <v>1.75</v>
      </c>
      <c r="BP134" t="s">
        <v>19</v>
      </c>
      <c r="BQ134">
        <v>6.05</v>
      </c>
      <c r="BR134">
        <v>3.35</v>
      </c>
      <c r="BS134">
        <v>-27.96</v>
      </c>
      <c r="BT134" t="s">
        <v>5420</v>
      </c>
      <c r="BU134" t="s">
        <v>3146</v>
      </c>
      <c r="BV134">
        <v>15.09</v>
      </c>
      <c r="BW134">
        <v>11.96</v>
      </c>
      <c r="BX134">
        <v>11.63</v>
      </c>
      <c r="BY134">
        <v>2.23</v>
      </c>
      <c r="BZ134">
        <v>0.47</v>
      </c>
      <c r="CA134">
        <v>-9.93</v>
      </c>
      <c r="CB134">
        <v>-3.1</v>
      </c>
      <c r="CC134">
        <v>-9.23</v>
      </c>
      <c r="CD134" t="s">
        <v>5421</v>
      </c>
      <c r="CE134" t="s">
        <v>2691</v>
      </c>
      <c r="CF134" s="14">
        <v>5.5667655786350148</v>
      </c>
      <c r="CG134" s="15">
        <v>-0.46133219683655535</v>
      </c>
      <c r="CH134" s="14">
        <v>-0.8577912449836731</v>
      </c>
      <c r="CI134" s="14">
        <v>9.0278103947639465E-2</v>
      </c>
      <c r="CJ134" s="14">
        <v>-4.6356301754713058E-2</v>
      </c>
      <c r="CK134" s="14">
        <v>-0.22381232678890228</v>
      </c>
      <c r="CL134" s="14">
        <v>9.8218262195587158E-2</v>
      </c>
      <c r="CM134" s="15">
        <v>3.4949240684509277</v>
      </c>
      <c r="CN134" s="15">
        <v>1.1049826145172119</v>
      </c>
      <c r="CO134" s="15">
        <v>-7.0925321578979492</v>
      </c>
      <c r="CP134" s="15">
        <v>-0.34468084573745728</v>
      </c>
      <c r="CQ134" s="15">
        <v>-0.28679817914962769</v>
      </c>
      <c r="CR134">
        <v>94.380811819595635</v>
      </c>
      <c r="CS134">
        <v>5.023122829028198</v>
      </c>
      <c r="CT134">
        <v>1.8105849582172704</v>
      </c>
      <c r="CU134" s="14">
        <v>-0.18789270147681236</v>
      </c>
      <c r="CV134" s="15">
        <v>-0.62482089996337886</v>
      </c>
      <c r="CW134">
        <v>0.06</v>
      </c>
      <c r="CX134">
        <v>21.583260304912478</v>
      </c>
      <c r="CY134" t="s">
        <v>5422</v>
      </c>
      <c r="CZ134">
        <v>-0.18789270147681236</v>
      </c>
      <c r="DA134">
        <v>7.1944201016374931</v>
      </c>
      <c r="DB134" t="s">
        <v>5423</v>
      </c>
      <c r="DC134">
        <v>-0.17849806640297172</v>
      </c>
      <c r="DD134">
        <v>3.5972100508187466</v>
      </c>
      <c r="DE134" t="s">
        <v>5424</v>
      </c>
      <c r="DF134">
        <v>-0.16534557729959487</v>
      </c>
      <c r="DG134">
        <v>2.1583260304912479</v>
      </c>
      <c r="DH134" t="s">
        <v>5425</v>
      </c>
      <c r="DI134">
        <v>-0.15031416118144991</v>
      </c>
      <c r="DJ134">
        <v>1.079163015245624</v>
      </c>
      <c r="DK134" t="s">
        <v>5426</v>
      </c>
      <c r="DL134">
        <v>-0.13152489103376863</v>
      </c>
      <c r="DM134">
        <v>1771000000</v>
      </c>
      <c r="DN134">
        <v>-0.18789270147681236</v>
      </c>
      <c r="DO134">
        <v>38223954000</v>
      </c>
      <c r="DP134">
        <v>6845804000</v>
      </c>
      <c r="DQ134">
        <v>3387</v>
      </c>
      <c r="DR134">
        <v>5.7546582801118271</v>
      </c>
      <c r="DS134">
        <v>0.16348870312682351</v>
      </c>
      <c r="DT134" s="16">
        <v>-0.89</v>
      </c>
      <c r="DU134">
        <v>-0.7400000000000001</v>
      </c>
      <c r="DV134">
        <v>-1.6300000000000001</v>
      </c>
      <c r="DW134">
        <v>-8.3358613217768145</v>
      </c>
      <c r="DX134">
        <v>0.46280021413276445</v>
      </c>
      <c r="DY134">
        <v>-8.0446024554508728</v>
      </c>
      <c r="DZ134">
        <v>3214</v>
      </c>
      <c r="EA134">
        <v>-8.0165491693805979</v>
      </c>
      <c r="EB134">
        <v>8</v>
      </c>
      <c r="EC134">
        <v>4.4024727736855541E-2</v>
      </c>
      <c r="ED134">
        <v>0.3315109694992161</v>
      </c>
      <c r="EE134" s="17">
        <v>1.03721</v>
      </c>
      <c r="EF134">
        <v>1.05461</v>
      </c>
      <c r="EG134">
        <v>33.132800214132764</v>
      </c>
      <c r="EH134" t="s">
        <v>1840</v>
      </c>
      <c r="EI134">
        <v>0</v>
      </c>
      <c r="EJ134">
        <v>0</v>
      </c>
      <c r="EK134" s="19">
        <v>45470</v>
      </c>
      <c r="EL134" s="20">
        <v>0.59</v>
      </c>
      <c r="EM134" s="20">
        <v>-3.8</v>
      </c>
      <c r="EN134" s="20">
        <v>2.4300000000000002</v>
      </c>
      <c r="EO134" s="20">
        <v>2.08</v>
      </c>
      <c r="EP134" s="20">
        <v>-1.74</v>
      </c>
    </row>
    <row r="135" spans="1:146" ht="168" x14ac:dyDescent="0.25">
      <c r="A135" s="7"/>
      <c r="B135" s="7"/>
      <c r="C135" s="7" t="str">
        <f>"公司主要业务包括汽车等交通运输车辆和工程机械的零部件及其总成的设计、研发和销售。公司主要产品涵盖汽车内外饰件、金属成型和模具、功能件、电子电器件、热加工件、新能源等，各类主要产品均具有较高国内市场占有率。"&amp;CHAR(10)&amp;Basic_Fundamental_Information_Constructure(F135)&amp;CHAR(10)&amp;Basic_Fundamental_Information_Concatenate("内外饰件 459.19亿 66.79% 67.59% 13.77%
功能件 116.25亿 16.91% 13.41% 10.80%
金属成型和模具 52.83亿 7.68% 5.90% 10.45%
其他业务 32.11亿 4.67% 10.77% 31.38%
电子电器件 24.64亿 3.58% 2.42% 9.19%")</f>
        <v>公司主要业务包括汽车等交通运输车辆和工程机械的零部件及其总成的设计、研发和销售。公司主要产品涵盖汽车内外饰件、金属成型和模具、功能件、电子电器件、热加工件、新能源等，各类主要产品均具有较高国内市场占有率。
市值493.4013亿, 利润5.21亿; PE7.01; 平均PE8.69; 平均PEG.51, PB.838; ROIC10.0567%; ROE11.8233%; 股利率4.7923%; 毛利13.9733%; 净利5.2%; 上一年度营收增-86.88%, 利润增-92.77%; 当季营收增791.43%, 利润增1737.49%; 过往5年营收增-16.93%, 利润增-19.52%
Income profile:
内外饰件 459.19亿 66.79% 67.59% 13.77%
功能件 116.25亿 16.91% 13.41% 10.80%
金属成型和模具 52.83亿 7.68% 5.90% 10.45%
其他业务 32.11亿 4.67% 10.77% 31.38%
电子电器件 24.64亿 3.58% 2.42% 9.19%</v>
      </c>
      <c r="D135" t="s">
        <v>1118</v>
      </c>
      <c r="E135" t="s">
        <v>1119</v>
      </c>
      <c r="F135">
        <v>15.65</v>
      </c>
      <c r="G135">
        <v>0.19</v>
      </c>
      <c r="H135" t="s">
        <v>5427</v>
      </c>
      <c r="I135">
        <v>49340130000</v>
      </c>
      <c r="J135">
        <v>7.01</v>
      </c>
      <c r="K135">
        <v>0.83799999999999997</v>
      </c>
      <c r="L135" t="s">
        <v>172</v>
      </c>
      <c r="M135" t="s">
        <v>5428</v>
      </c>
      <c r="N135" t="s">
        <v>5429</v>
      </c>
      <c r="O135" t="s">
        <v>5430</v>
      </c>
      <c r="P135">
        <v>0.56000000000000005</v>
      </c>
      <c r="Q135" t="s">
        <v>5431</v>
      </c>
      <c r="R135">
        <v>1262788620</v>
      </c>
      <c r="S135" s="5">
        <v>-0.1193</v>
      </c>
      <c r="T135" t="s">
        <v>926</v>
      </c>
      <c r="U135">
        <v>3152724000</v>
      </c>
      <c r="V135">
        <v>3152724000</v>
      </c>
      <c r="W135">
        <v>2.77</v>
      </c>
      <c r="X135">
        <v>0.21</v>
      </c>
      <c r="Y135">
        <v>3.87</v>
      </c>
      <c r="Z135" t="s">
        <v>5432</v>
      </c>
      <c r="AA135" t="s">
        <v>5433</v>
      </c>
      <c r="AB135" t="s">
        <v>2612</v>
      </c>
      <c r="AC135" t="s">
        <v>2939</v>
      </c>
      <c r="AD135" t="s">
        <v>19</v>
      </c>
      <c r="AE135">
        <v>162817250</v>
      </c>
      <c r="AF135" t="s">
        <v>5434</v>
      </c>
      <c r="AG135" t="s">
        <v>5435</v>
      </c>
      <c r="AH135" t="s">
        <v>5436</v>
      </c>
      <c r="AI135" t="s">
        <v>5437</v>
      </c>
      <c r="AJ135" t="s">
        <v>5438</v>
      </c>
      <c r="AK135" t="s">
        <v>2973</v>
      </c>
      <c r="AL135" t="s">
        <v>5439</v>
      </c>
      <c r="AM135" t="s">
        <v>19</v>
      </c>
      <c r="AN135" t="s">
        <v>5440</v>
      </c>
      <c r="AO135" t="s">
        <v>5441</v>
      </c>
      <c r="AP135" t="s">
        <v>5442</v>
      </c>
      <c r="AQ135" t="s">
        <v>5443</v>
      </c>
      <c r="AR135" t="s">
        <v>19</v>
      </c>
      <c r="AS135" t="s">
        <v>5444</v>
      </c>
      <c r="AT135" t="s">
        <v>5445</v>
      </c>
      <c r="AU135" t="s">
        <v>5446</v>
      </c>
      <c r="AV135" t="s">
        <v>5447</v>
      </c>
      <c r="AW135" t="s">
        <v>713</v>
      </c>
      <c r="AX135" t="s">
        <v>2295</v>
      </c>
      <c r="AY135" t="s">
        <v>1721</v>
      </c>
      <c r="AZ135" t="s">
        <v>1120</v>
      </c>
      <c r="BA135" t="s">
        <v>1122</v>
      </c>
      <c r="BB135" t="s">
        <v>1123</v>
      </c>
      <c r="BC135" t="s">
        <v>2296</v>
      </c>
      <c r="BD135" t="s">
        <v>1722</v>
      </c>
      <c r="BE135" t="s">
        <v>1121</v>
      </c>
      <c r="BF135" t="s">
        <v>1124</v>
      </c>
      <c r="BG135" t="s">
        <v>1125</v>
      </c>
      <c r="BH135" t="s">
        <v>5448</v>
      </c>
      <c r="BI135" t="s">
        <v>2741</v>
      </c>
      <c r="BJ135" t="s">
        <v>2295</v>
      </c>
      <c r="BK135" t="s">
        <v>5449</v>
      </c>
      <c r="BL135" t="s">
        <v>5450</v>
      </c>
      <c r="BM135" t="s">
        <v>2296</v>
      </c>
      <c r="BN135">
        <v>7.46</v>
      </c>
      <c r="BO135">
        <v>11.44</v>
      </c>
      <c r="BP135">
        <v>11.27</v>
      </c>
      <c r="BQ135">
        <v>8.69</v>
      </c>
      <c r="BR135">
        <v>14.11</v>
      </c>
      <c r="BS135">
        <v>12.67</v>
      </c>
      <c r="BT135" t="s">
        <v>5451</v>
      </c>
      <c r="BU135" t="s">
        <v>3084</v>
      </c>
      <c r="BV135">
        <v>13.32</v>
      </c>
      <c r="BW135">
        <v>14.22</v>
      </c>
      <c r="BX135">
        <v>14.38</v>
      </c>
      <c r="BY135">
        <v>4.8</v>
      </c>
      <c r="BZ135">
        <v>5.09</v>
      </c>
      <c r="CA135">
        <v>5.71</v>
      </c>
      <c r="CB135">
        <v>-4.46</v>
      </c>
      <c r="CC135">
        <v>-3.63</v>
      </c>
      <c r="CD135" t="s">
        <v>5452</v>
      </c>
      <c r="CE135" t="s">
        <v>700</v>
      </c>
      <c r="CF135" s="14">
        <v>7.9142788345774138</v>
      </c>
      <c r="CG135" s="15">
        <v>17.374917168072056</v>
      </c>
      <c r="CH135" s="14">
        <v>-0.86879217624664307</v>
      </c>
      <c r="CI135" s="14">
        <v>0.13093806803226471</v>
      </c>
      <c r="CJ135" s="14">
        <v>4.7657571732997894E-2</v>
      </c>
      <c r="CK135" s="14">
        <v>-7.252955436706543E-2</v>
      </c>
      <c r="CL135" s="14">
        <v>-8.3641998469829559E-2</v>
      </c>
      <c r="CM135" s="15">
        <v>-0.92766904830932617</v>
      </c>
      <c r="CN135" s="15">
        <v>0.11346415430307388</v>
      </c>
      <c r="CO135" s="15">
        <v>0.19729787111282349</v>
      </c>
      <c r="CP135" s="15">
        <v>-0.16401055455207825</v>
      </c>
      <c r="CQ135" s="15">
        <v>-0.1948423832654953</v>
      </c>
      <c r="CR135">
        <v>8.6851135363492347</v>
      </c>
      <c r="CS135">
        <v>0.51308134403701566</v>
      </c>
      <c r="CT135">
        <v>4.7923322683706067</v>
      </c>
      <c r="CU135" s="14">
        <v>-0.16927361786365508</v>
      </c>
      <c r="CV135" s="15">
        <v>-0.19515199214220047</v>
      </c>
      <c r="CW135">
        <v>0.06</v>
      </c>
      <c r="CX135">
        <v>193.58182341650672</v>
      </c>
      <c r="CY135" t="s">
        <v>5453</v>
      </c>
      <c r="CZ135">
        <v>-0.16927361786365508</v>
      </c>
      <c r="DA135">
        <v>64.527274472168912</v>
      </c>
      <c r="DB135" t="s">
        <v>5454</v>
      </c>
      <c r="DC135">
        <v>-0.16080993697047233</v>
      </c>
      <c r="DD135">
        <v>32.263637236084456</v>
      </c>
      <c r="DE135" t="s">
        <v>5455</v>
      </c>
      <c r="DF135">
        <v>-0.14896078372001648</v>
      </c>
      <c r="DG135">
        <v>19.358182341650672</v>
      </c>
      <c r="DH135" t="s">
        <v>5456</v>
      </c>
      <c r="DI135">
        <v>-0.13541889429092407</v>
      </c>
      <c r="DJ135">
        <v>9.6790911708253358</v>
      </c>
      <c r="DK135" t="s">
        <v>5457</v>
      </c>
      <c r="DL135">
        <v>-0.11849153250455854</v>
      </c>
      <c r="DM135">
        <v>521000000</v>
      </c>
      <c r="DN135">
        <v>-0.16927361786365508</v>
      </c>
      <c r="DO135">
        <v>100856130000</v>
      </c>
      <c r="DP135">
        <v>13730711000</v>
      </c>
      <c r="DQ135">
        <v>3425</v>
      </c>
      <c r="DR135">
        <v>8.0835524524410687</v>
      </c>
      <c r="DS135">
        <v>17.570069160214256</v>
      </c>
      <c r="DT135" s="16">
        <v>-0.77333333333333332</v>
      </c>
      <c r="DU135">
        <v>-0.6366666666666666</v>
      </c>
      <c r="DV135">
        <v>-1.41</v>
      </c>
      <c r="DW135">
        <v>-4.8139013452914794</v>
      </c>
      <c r="DX135">
        <v>0.37738053892215434</v>
      </c>
      <c r="DY135">
        <v>-4.1443702592572702</v>
      </c>
      <c r="DZ135">
        <v>3272</v>
      </c>
      <c r="EA135">
        <v>-4.0519280893375464</v>
      </c>
      <c r="EB135">
        <v>4</v>
      </c>
      <c r="EC135">
        <v>1.8791717892210038E-2</v>
      </c>
      <c r="ED135">
        <v>0.10594013304050719</v>
      </c>
      <c r="EE135" s="17">
        <v>-2.08161</v>
      </c>
      <c r="EF135">
        <v>-2.10161</v>
      </c>
      <c r="EG135">
        <v>20.177380538922154</v>
      </c>
      <c r="EH135" t="s">
        <v>2497</v>
      </c>
      <c r="EI135">
        <v>0</v>
      </c>
      <c r="EJ135">
        <v>0</v>
      </c>
      <c r="EK135" s="19">
        <v>45470</v>
      </c>
      <c r="EL135" s="20">
        <v>-0.49</v>
      </c>
      <c r="EM135" s="20">
        <v>-4.1900000000000004</v>
      </c>
      <c r="EN135" s="20">
        <v>1.03</v>
      </c>
      <c r="EO135" s="20">
        <v>1.78</v>
      </c>
      <c r="EP135" s="20">
        <v>-2</v>
      </c>
    </row>
    <row r="136" spans="1:146" ht="84" x14ac:dyDescent="0.25">
      <c r="A136" s="7"/>
      <c r="B136" s="7"/>
      <c r="C136" s="7" t="str">
        <f>""&amp;CHAR(10)&amp;Basic_Fundamental_Information_Constructure(F136)&amp;CHAR(10)&amp;Basic_Fundamental_Information_Concatenate("")</f>
        <v xml:space="preserve">
市值55.803647亿, 利润-15.37亿; PE10.22; 平均PE25.46; 平均PEG5.55, PB.671; ROIC8.3133%; ROE7.6633%; 股利率3.3289%; 毛利9.8067%; 净利4.19%; 上一年度营收增-19.96%, 利润增-382.02%; 当季营收增207.86%, 利润增210.49%; 过往5年营收增4.59%, 利润增-73.82%
Income profile:
</v>
      </c>
      <c r="D136" t="s">
        <v>1126</v>
      </c>
      <c r="E136" t="s">
        <v>1127</v>
      </c>
      <c r="F136">
        <v>7.51</v>
      </c>
      <c r="G136">
        <v>0.67</v>
      </c>
      <c r="H136" t="s">
        <v>5458</v>
      </c>
      <c r="I136">
        <v>5580364700</v>
      </c>
      <c r="J136">
        <v>10.220000000000001</v>
      </c>
      <c r="K136">
        <v>0.67100000000000004</v>
      </c>
      <c r="L136" t="s">
        <v>172</v>
      </c>
      <c r="M136" t="s">
        <v>5459</v>
      </c>
      <c r="N136" t="s">
        <v>5460</v>
      </c>
      <c r="O136" t="s">
        <v>5461</v>
      </c>
      <c r="P136">
        <v>8.4499999999999993</v>
      </c>
      <c r="Q136" t="s">
        <v>5462</v>
      </c>
      <c r="R136">
        <v>94045819</v>
      </c>
      <c r="S136" s="5">
        <v>0.36849999999999999</v>
      </c>
      <c r="T136" t="s">
        <v>5463</v>
      </c>
      <c r="U136">
        <v>743057880</v>
      </c>
      <c r="V136">
        <v>743057880</v>
      </c>
      <c r="W136">
        <v>2.25</v>
      </c>
      <c r="X136">
        <v>0.2</v>
      </c>
      <c r="Y136">
        <v>2.67</v>
      </c>
      <c r="Z136" t="s">
        <v>5464</v>
      </c>
      <c r="AA136" t="s">
        <v>5465</v>
      </c>
      <c r="AB136" t="s">
        <v>5466</v>
      </c>
      <c r="AC136" t="s">
        <v>445</v>
      </c>
      <c r="AD136" t="s">
        <v>19</v>
      </c>
      <c r="AE136">
        <v>-25020645</v>
      </c>
      <c r="AF136" t="s">
        <v>5467</v>
      </c>
      <c r="AG136" t="s">
        <v>5468</v>
      </c>
      <c r="AH136" t="s">
        <v>5469</v>
      </c>
      <c r="AI136" t="s">
        <v>5470</v>
      </c>
      <c r="AJ136" t="s">
        <v>5471</v>
      </c>
      <c r="AK136" t="s">
        <v>5472</v>
      </c>
      <c r="AL136" t="s">
        <v>5473</v>
      </c>
      <c r="AM136" t="s">
        <v>19</v>
      </c>
      <c r="AN136" t="s">
        <v>2222</v>
      </c>
      <c r="AO136" t="s">
        <v>5474</v>
      </c>
      <c r="AP136" t="s">
        <v>1375</v>
      </c>
      <c r="AQ136" t="s">
        <v>5475</v>
      </c>
      <c r="AR136" t="s">
        <v>5476</v>
      </c>
      <c r="AS136" t="s">
        <v>5477</v>
      </c>
      <c r="AT136" t="s">
        <v>1012</v>
      </c>
      <c r="AU136" t="s">
        <v>588</v>
      </c>
      <c r="AV136" t="s">
        <v>2022</v>
      </c>
      <c r="AW136" t="s">
        <v>5478</v>
      </c>
      <c r="AX136" t="s">
        <v>2297</v>
      </c>
      <c r="AY136" t="s">
        <v>1723</v>
      </c>
      <c r="AZ136" t="s">
        <v>1128</v>
      </c>
      <c r="BA136" t="s">
        <v>1130</v>
      </c>
      <c r="BB136" t="s">
        <v>1131</v>
      </c>
      <c r="BC136" t="s">
        <v>703</v>
      </c>
      <c r="BD136" t="s">
        <v>122</v>
      </c>
      <c r="BE136" t="s">
        <v>513</v>
      </c>
      <c r="BF136" t="s">
        <v>110</v>
      </c>
      <c r="BG136" t="s">
        <v>888</v>
      </c>
      <c r="BH136" t="s">
        <v>5431</v>
      </c>
      <c r="BI136" t="s">
        <v>5479</v>
      </c>
      <c r="BJ136" t="s">
        <v>2297</v>
      </c>
      <c r="BK136" t="s">
        <v>926</v>
      </c>
      <c r="BL136" t="s">
        <v>5480</v>
      </c>
      <c r="BM136" t="s">
        <v>703</v>
      </c>
      <c r="BN136">
        <v>5.88</v>
      </c>
      <c r="BO136">
        <v>8.19</v>
      </c>
      <c r="BP136">
        <v>10.87</v>
      </c>
      <c r="BQ136">
        <v>5.39</v>
      </c>
      <c r="BR136">
        <v>7.51</v>
      </c>
      <c r="BS136">
        <v>10.09</v>
      </c>
      <c r="BT136" t="s">
        <v>5481</v>
      </c>
      <c r="BU136" t="s">
        <v>3084</v>
      </c>
      <c r="BV136">
        <v>10.130000000000001</v>
      </c>
      <c r="BW136">
        <v>9.65</v>
      </c>
      <c r="BX136">
        <v>9.64</v>
      </c>
      <c r="BY136">
        <v>3.68</v>
      </c>
      <c r="BZ136">
        <v>4.1399999999999997</v>
      </c>
      <c r="CA136">
        <v>4.75</v>
      </c>
      <c r="CB136">
        <v>0.81</v>
      </c>
      <c r="CC136">
        <v>-7.97</v>
      </c>
      <c r="CD136" t="s">
        <v>5482</v>
      </c>
      <c r="CE136" t="s">
        <v>946</v>
      </c>
      <c r="CF136" s="14">
        <v>2.0786056049213943</v>
      </c>
      <c r="CG136" s="15">
        <v>2.1049239031336353</v>
      </c>
      <c r="CH136" s="14">
        <v>-0.19957940280437469</v>
      </c>
      <c r="CI136" s="14">
        <v>-2.751133032143116E-2</v>
      </c>
      <c r="CJ136" s="14">
        <v>5.2100405097007751E-2</v>
      </c>
      <c r="CK136" s="14">
        <v>9.8418787121772766E-2</v>
      </c>
      <c r="CL136" s="14">
        <v>0.30592292547225952</v>
      </c>
      <c r="CM136" s="15">
        <v>-3.820183277130127</v>
      </c>
      <c r="CN136" s="15">
        <v>-0.1729893833398819</v>
      </c>
      <c r="CO136" s="15">
        <v>6.8071313202381134E-2</v>
      </c>
      <c r="CP136" s="15">
        <v>0.15111939609050751</v>
      </c>
      <c r="CQ136" s="15">
        <v>8.2828283309936523E-2</v>
      </c>
      <c r="CR136">
        <v>25.461740076045629</v>
      </c>
      <c r="CS136">
        <v>5.5508145556460704</v>
      </c>
      <c r="CT136">
        <v>3.3288948069241013</v>
      </c>
      <c r="CU136" s="14">
        <v>4.5870276913046834E-2</v>
      </c>
      <c r="CV136" s="15">
        <v>-0.73823073357343671</v>
      </c>
      <c r="CW136">
        <v>0.06</v>
      </c>
      <c r="CX136" t="e">
        <v>#VALUE!</v>
      </c>
      <c r="CY136" t="s">
        <v>1835</v>
      </c>
      <c r="CZ136">
        <v>4.5870276913046834E-2</v>
      </c>
      <c r="DA136" t="e">
        <v>#VALUE!</v>
      </c>
      <c r="DB136" t="s">
        <v>1835</v>
      </c>
      <c r="DC136">
        <v>4.357676306739449E-2</v>
      </c>
      <c r="DD136" t="e">
        <v>#VALUE!</v>
      </c>
      <c r="DE136" t="s">
        <v>1835</v>
      </c>
      <c r="DF136">
        <v>4.0365843683481215E-2</v>
      </c>
      <c r="DG136" t="e">
        <v>#VALUE!</v>
      </c>
      <c r="DH136" t="s">
        <v>1835</v>
      </c>
      <c r="DI136">
        <v>3.6696221530437466E-2</v>
      </c>
      <c r="DJ136" t="e">
        <v>#VALUE!</v>
      </c>
      <c r="DK136" t="s">
        <v>1835</v>
      </c>
      <c r="DL136">
        <v>3.2109193839132785E-2</v>
      </c>
      <c r="DM136">
        <v>-1537000000</v>
      </c>
      <c r="DN136">
        <v>4.5870276913046834E-2</v>
      </c>
      <c r="DO136">
        <v>8348364700</v>
      </c>
      <c r="DP136">
        <v>2943729000</v>
      </c>
      <c r="DQ136">
        <v>3426</v>
      </c>
      <c r="DR136">
        <v>2.0327353280083473</v>
      </c>
      <c r="DS136">
        <v>2.8431546367070721</v>
      </c>
      <c r="DT136" s="16">
        <v>-0.50666666666666671</v>
      </c>
      <c r="DU136">
        <v>-1.2233333333333334</v>
      </c>
      <c r="DV136">
        <v>-1.73</v>
      </c>
      <c r="DW136">
        <v>-2.0796999999999999</v>
      </c>
      <c r="DX136">
        <v>0.36615425531914991</v>
      </c>
      <c r="DY136">
        <v>-2.0116484941489361</v>
      </c>
      <c r="DZ136">
        <v>2912</v>
      </c>
      <c r="EA136">
        <v>-2.0050104481681723</v>
      </c>
      <c r="EB136">
        <v>2</v>
      </c>
      <c r="EC136">
        <v>3.6978276847020312E-2</v>
      </c>
      <c r="ED136">
        <v>0.25300855432688502</v>
      </c>
      <c r="EE136" s="17">
        <v>1.0228999999999999</v>
      </c>
      <c r="EF136">
        <v>1.0185999999999999</v>
      </c>
      <c r="EG136">
        <v>22.14615425531915</v>
      </c>
      <c r="EH136" t="s">
        <v>1832</v>
      </c>
      <c r="EI136">
        <v>0</v>
      </c>
      <c r="EJ136">
        <v>0</v>
      </c>
      <c r="EK136" s="19">
        <v>45470</v>
      </c>
      <c r="EL136" s="20">
        <v>1.06</v>
      </c>
      <c r="EM136" s="20">
        <v>-0.99</v>
      </c>
      <c r="EN136" s="20">
        <v>1.62</v>
      </c>
      <c r="EO136" s="20">
        <v>0.8</v>
      </c>
      <c r="EP136" s="20">
        <v>-0.43</v>
      </c>
    </row>
    <row r="137" spans="1:146" ht="84" x14ac:dyDescent="0.25">
      <c r="C137" s="7" t="str">
        <f>""&amp;CHAR(10)&amp;Basic_Fundamental_Information_Constructure(F137)&amp;CHAR(10)&amp;Basic_Fundamental_Information_Concatenate("")</f>
        <v xml:space="preserve">
市值45.520555亿, 利润9073.86万; PE; 平均PE-131.78; 平均PEG-1.98, PB.87; ROIC8.64%; ROE-7.3%; 股利率0%; 毛利7.52%; 净利-13.7733%; 上一年度营收增-61.83%, 利润增105.63%; 当季营收增114.81%, 利润增-908.77%; 过往5年营收增66.49%, 利润增12.93%
Income profile:
</v>
      </c>
      <c r="D137" t="s">
        <v>2874</v>
      </c>
      <c r="E137" t="s">
        <v>2875</v>
      </c>
      <c r="F137">
        <v>3.28</v>
      </c>
      <c r="G137">
        <v>0.92</v>
      </c>
      <c r="H137" t="s">
        <v>5483</v>
      </c>
      <c r="I137">
        <v>4552055500</v>
      </c>
      <c r="K137">
        <v>0.87</v>
      </c>
      <c r="L137" t="s">
        <v>172</v>
      </c>
      <c r="M137" t="s">
        <v>5484</v>
      </c>
      <c r="N137" t="s">
        <v>5485</v>
      </c>
      <c r="O137" t="s">
        <v>2504</v>
      </c>
      <c r="P137" s="5">
        <v>-9.11</v>
      </c>
      <c r="Q137" t="s">
        <v>5486</v>
      </c>
      <c r="R137">
        <v>-284381220</v>
      </c>
      <c r="S137">
        <v>0.40710000000000002</v>
      </c>
      <c r="T137" t="s">
        <v>5487</v>
      </c>
      <c r="U137">
        <v>920144120</v>
      </c>
      <c r="V137">
        <v>1387821800</v>
      </c>
      <c r="W137">
        <v>3.35</v>
      </c>
      <c r="X137">
        <v>0.1</v>
      </c>
      <c r="Y137">
        <v>-15.56</v>
      </c>
      <c r="Z137" t="s">
        <v>5488</v>
      </c>
      <c r="AA137" t="s">
        <v>5489</v>
      </c>
      <c r="AB137" t="s">
        <v>5490</v>
      </c>
      <c r="AC137" t="s">
        <v>462</v>
      </c>
      <c r="AD137" t="s">
        <v>19</v>
      </c>
      <c r="AE137">
        <v>9985997</v>
      </c>
      <c r="AF137" t="s">
        <v>5491</v>
      </c>
      <c r="AG137" t="s">
        <v>5492</v>
      </c>
      <c r="AH137" t="s">
        <v>5493</v>
      </c>
      <c r="AI137" t="s">
        <v>5494</v>
      </c>
      <c r="AJ137" t="s">
        <v>5495</v>
      </c>
      <c r="AK137" t="s">
        <v>1177</v>
      </c>
      <c r="AL137" t="s">
        <v>5496</v>
      </c>
      <c r="AM137" t="s">
        <v>19</v>
      </c>
      <c r="AN137" t="s">
        <v>521</v>
      </c>
      <c r="AO137" t="s">
        <v>1873</v>
      </c>
      <c r="AP137" t="s">
        <v>566</v>
      </c>
      <c r="AQ137" t="s">
        <v>5497</v>
      </c>
      <c r="AR137" t="s">
        <v>19</v>
      </c>
      <c r="AS137" t="s">
        <v>5498</v>
      </c>
      <c r="AT137" t="s">
        <v>548</v>
      </c>
      <c r="AU137" t="s">
        <v>5499</v>
      </c>
      <c r="AV137" t="s">
        <v>216</v>
      </c>
      <c r="AW137" t="s">
        <v>5500</v>
      </c>
      <c r="AX137" t="s">
        <v>2876</v>
      </c>
      <c r="AY137" t="s">
        <v>2879</v>
      </c>
      <c r="AZ137" t="s">
        <v>2880</v>
      </c>
      <c r="BA137" t="s">
        <v>2881</v>
      </c>
      <c r="BB137" t="s">
        <v>2882</v>
      </c>
      <c r="BC137" t="s">
        <v>2877</v>
      </c>
      <c r="BD137" t="s">
        <v>2193</v>
      </c>
      <c r="BE137" t="s">
        <v>788</v>
      </c>
      <c r="BF137" t="s">
        <v>506</v>
      </c>
      <c r="BG137" t="s">
        <v>441</v>
      </c>
      <c r="BH137" t="s">
        <v>5501</v>
      </c>
      <c r="BI137" t="s">
        <v>1496</v>
      </c>
      <c r="BJ137" t="s">
        <v>2876</v>
      </c>
      <c r="BK137" t="s">
        <v>5502</v>
      </c>
      <c r="BL137" t="s">
        <v>5503</v>
      </c>
      <c r="BM137" t="s">
        <v>2877</v>
      </c>
      <c r="BN137" t="s">
        <v>19</v>
      </c>
      <c r="BO137" t="s">
        <v>19</v>
      </c>
      <c r="BP137">
        <v>8.64</v>
      </c>
      <c r="BQ137">
        <v>-14.58</v>
      </c>
      <c r="BR137">
        <v>-18.13</v>
      </c>
      <c r="BS137">
        <v>10.81</v>
      </c>
      <c r="BT137" t="s">
        <v>1983</v>
      </c>
      <c r="BU137" t="s">
        <v>2920</v>
      </c>
      <c r="BV137">
        <v>4.17</v>
      </c>
      <c r="BW137">
        <v>7.72</v>
      </c>
      <c r="BX137">
        <v>10.67</v>
      </c>
      <c r="BY137">
        <v>-28.37</v>
      </c>
      <c r="BZ137">
        <v>-16.23</v>
      </c>
      <c r="CA137">
        <v>3.28</v>
      </c>
      <c r="CB137">
        <v>0</v>
      </c>
      <c r="CC137" s="14">
        <v>-19.8</v>
      </c>
      <c r="CD137" s="15" t="s">
        <v>5504</v>
      </c>
      <c r="CE137" s="14" t="s">
        <v>2486</v>
      </c>
      <c r="CF137" s="14">
        <v>1.1480611045828437</v>
      </c>
      <c r="CG137" s="14">
        <v>-9.0876740144984822</v>
      </c>
      <c r="CH137" s="14">
        <v>-0.61828982830047607</v>
      </c>
      <c r="CI137" s="14">
        <v>-0.59310710430145264</v>
      </c>
      <c r="CJ137" s="15">
        <v>0.11094919592142105</v>
      </c>
      <c r="CK137" s="15">
        <v>4.4463181495666504</v>
      </c>
      <c r="CL137" s="15">
        <v>-2.1354040130972862E-2</v>
      </c>
      <c r="CM137" s="15">
        <v>1.0563243627548218</v>
      </c>
      <c r="CN137" s="15">
        <v>-3.3246753215789795</v>
      </c>
      <c r="CO137">
        <v>0.87297296524047852</v>
      </c>
      <c r="CP137">
        <v>2.1623930931091309</v>
      </c>
      <c r="CQ137">
        <v>-0.12030075490474701</v>
      </c>
      <c r="CR137" s="14">
        <v>-131.77722914155748</v>
      </c>
      <c r="CS137" s="15">
        <v>-1.9819007393299137</v>
      </c>
      <c r="CT137">
        <v>0</v>
      </c>
      <c r="CU137">
        <v>0.66490327455103393</v>
      </c>
      <c r="CV137">
        <v>0.12934286892414093</v>
      </c>
      <c r="CW137">
        <v>0.06</v>
      </c>
      <c r="CX137">
        <v>83.609822377930868</v>
      </c>
      <c r="CY137">
        <v>142519804.02658156</v>
      </c>
      <c r="CZ137">
        <v>0.66490327455103393</v>
      </c>
      <c r="DA137">
        <v>17.379876243035529</v>
      </c>
      <c r="DB137">
        <v>685623725.58751714</v>
      </c>
      <c r="DC137">
        <v>0.63165811082348222</v>
      </c>
      <c r="DD137">
        <v>4.2725798941846937</v>
      </c>
      <c r="DE137">
        <v>2788960252.3802204</v>
      </c>
      <c r="DF137">
        <v>0.58511488160490988</v>
      </c>
      <c r="DG137">
        <v>1.0440731049499983</v>
      </c>
      <c r="DH137">
        <v>11413047078.318018</v>
      </c>
      <c r="DI137">
        <v>0.53192261964082721</v>
      </c>
      <c r="DJ137">
        <v>5.5945273505400704E-2</v>
      </c>
      <c r="DK137">
        <v>212994856461.81848</v>
      </c>
      <c r="DL137">
        <v>0.46543229218572374</v>
      </c>
      <c r="DM137">
        <v>90738600</v>
      </c>
      <c r="DN137">
        <v>0.66490327455103393</v>
      </c>
      <c r="DO137">
        <v>11916055500</v>
      </c>
      <c r="DP137">
        <v>1148387100</v>
      </c>
      <c r="DQ137" s="16">
        <v>3510</v>
      </c>
      <c r="DR137">
        <v>0.48315783003180979</v>
      </c>
      <c r="DS137">
        <v>-9.2170168834226232</v>
      </c>
      <c r="DT137">
        <v>-0.52166666666666672</v>
      </c>
      <c r="DU137">
        <v>-0.57666666666666655</v>
      </c>
      <c r="DV137">
        <v>-1.0983333333333332</v>
      </c>
      <c r="DW137">
        <v>-3.0429761904761903</v>
      </c>
      <c r="DX137">
        <v>0.31878034482758633</v>
      </c>
      <c r="DY137">
        <v>-3.004674964819376</v>
      </c>
      <c r="DZ137">
        <v>577</v>
      </c>
      <c r="EA137">
        <v>-3.0041470871871296</v>
      </c>
      <c r="EB137" s="17">
        <v>3</v>
      </c>
      <c r="EC137" s="17">
        <v>2.2730800164689733E-2</v>
      </c>
      <c r="ED137">
        <v>0.2089605452227368</v>
      </c>
      <c r="EE137">
        <v>9.820000000000001E-2</v>
      </c>
      <c r="EF137">
        <v>7.1899999999999992E-2</v>
      </c>
      <c r="EG137">
        <v>21.108780344827586</v>
      </c>
      <c r="EH137" s="19" t="s">
        <v>1831</v>
      </c>
      <c r="EI137">
        <v>0</v>
      </c>
      <c r="EJ137">
        <v>1</v>
      </c>
      <c r="EK137">
        <v>45470</v>
      </c>
      <c r="EL137">
        <v>0</v>
      </c>
      <c r="EM137">
        <v>-3.9</v>
      </c>
      <c r="EN137" s="20">
        <v>-0.45</v>
      </c>
      <c r="EO137" s="20">
        <v>3.17</v>
      </c>
      <c r="EP137" s="20">
        <v>-2.63</v>
      </c>
    </row>
    <row r="138" spans="1:146" ht="84" x14ac:dyDescent="0.25">
      <c r="A138" s="7"/>
      <c r="B138" s="7"/>
      <c r="C138" s="7" t="str">
        <f>""&amp;CHAR(10)&amp;Basic_Fundamental_Information_Constructure(F138)&amp;CHAR(10)&amp;Basic_Fundamental_Information_Concatenate("")</f>
        <v xml:space="preserve">
市值134.68079亿, 利润3017.19万; PE13.8; 平均PE34.8; 平均PEG1.92, PB1.62; ROIC7.4667%; ROE10.34%; 股利率2.1045%; 毛利27.7267%; 净利13.8033%; 上一年度营收增30.43%, 利润增-95.35%; 当季营收增28.28%, 利润增6534.89%; 过往5年营收增18.12%, 利润增-4.48%
Income profile:
</v>
      </c>
      <c r="D138" t="s">
        <v>1132</v>
      </c>
      <c r="E138" t="s">
        <v>1133</v>
      </c>
      <c r="F138">
        <v>13.78</v>
      </c>
      <c r="G138">
        <v>-7.0000000000000007E-2</v>
      </c>
      <c r="H138" t="s">
        <v>5505</v>
      </c>
      <c r="I138">
        <v>13468079000</v>
      </c>
      <c r="J138">
        <v>13.8</v>
      </c>
      <c r="K138">
        <v>1.62</v>
      </c>
      <c r="L138" t="s">
        <v>172</v>
      </c>
      <c r="M138" t="s">
        <v>5506</v>
      </c>
      <c r="N138" t="s">
        <v>5507</v>
      </c>
      <c r="O138" t="s">
        <v>3073</v>
      </c>
      <c r="P138">
        <v>30.69</v>
      </c>
      <c r="Q138" t="s">
        <v>5508</v>
      </c>
      <c r="R138">
        <v>231882730</v>
      </c>
      <c r="S138" s="5">
        <v>0.36919999999999997</v>
      </c>
      <c r="T138" t="s">
        <v>5509</v>
      </c>
      <c r="U138">
        <v>910992570</v>
      </c>
      <c r="V138">
        <v>977364250</v>
      </c>
      <c r="W138">
        <v>1.7</v>
      </c>
      <c r="X138">
        <v>0.13</v>
      </c>
      <c r="Y138">
        <v>14.86</v>
      </c>
      <c r="Z138" t="s">
        <v>3628</v>
      </c>
      <c r="AA138" t="s">
        <v>1440</v>
      </c>
      <c r="AB138" t="s">
        <v>5510</v>
      </c>
      <c r="AC138" t="s">
        <v>5511</v>
      </c>
      <c r="AD138" t="s">
        <v>19</v>
      </c>
      <c r="AE138">
        <v>29577120</v>
      </c>
      <c r="AF138" t="s">
        <v>5512</v>
      </c>
      <c r="AG138" t="s">
        <v>5513</v>
      </c>
      <c r="AH138" t="s">
        <v>5514</v>
      </c>
      <c r="AI138" t="s">
        <v>2512</v>
      </c>
      <c r="AJ138" t="s">
        <v>5515</v>
      </c>
      <c r="AK138" t="s">
        <v>5516</v>
      </c>
      <c r="AL138" t="s">
        <v>5517</v>
      </c>
      <c r="AM138" t="s">
        <v>19</v>
      </c>
      <c r="AN138" t="s">
        <v>975</v>
      </c>
      <c r="AO138" t="s">
        <v>1754</v>
      </c>
      <c r="AP138" t="s">
        <v>87</v>
      </c>
      <c r="AQ138" t="s">
        <v>89</v>
      </c>
      <c r="AR138" t="s">
        <v>19</v>
      </c>
      <c r="AS138" t="s">
        <v>2737</v>
      </c>
      <c r="AT138" t="s">
        <v>1189</v>
      </c>
      <c r="AU138" t="s">
        <v>2082</v>
      </c>
      <c r="AV138" t="s">
        <v>5518</v>
      </c>
      <c r="AW138" t="s">
        <v>2783</v>
      </c>
      <c r="AX138" t="s">
        <v>2300</v>
      </c>
      <c r="AY138" t="s">
        <v>1724</v>
      </c>
      <c r="AZ138" t="s">
        <v>1134</v>
      </c>
      <c r="BA138" t="s">
        <v>1135</v>
      </c>
      <c r="BB138" t="s">
        <v>1136</v>
      </c>
      <c r="BC138" t="s">
        <v>1971</v>
      </c>
      <c r="BD138" t="s">
        <v>546</v>
      </c>
      <c r="BE138" t="s">
        <v>900</v>
      </c>
      <c r="BF138" t="s">
        <v>910</v>
      </c>
      <c r="BG138" t="s">
        <v>541</v>
      </c>
      <c r="BH138" t="s">
        <v>5519</v>
      </c>
      <c r="BI138" t="s">
        <v>1915</v>
      </c>
      <c r="BJ138" t="s">
        <v>2300</v>
      </c>
      <c r="BK138" t="s">
        <v>745</v>
      </c>
      <c r="BL138" t="s">
        <v>5520</v>
      </c>
      <c r="BM138" t="s">
        <v>1971</v>
      </c>
      <c r="BN138">
        <v>6.49</v>
      </c>
      <c r="BO138">
        <v>9.7200000000000006</v>
      </c>
      <c r="BP138">
        <v>6.19</v>
      </c>
      <c r="BQ138">
        <v>10.66</v>
      </c>
      <c r="BR138">
        <v>13.52</v>
      </c>
      <c r="BS138">
        <v>6.84</v>
      </c>
      <c r="BT138" t="s">
        <v>2061</v>
      </c>
      <c r="BU138" t="s">
        <v>2920</v>
      </c>
      <c r="BV138">
        <v>29.09</v>
      </c>
      <c r="BW138">
        <v>27.77</v>
      </c>
      <c r="BX138">
        <v>26.32</v>
      </c>
      <c r="BY138">
        <v>15.54</v>
      </c>
      <c r="BZ138">
        <v>15.8</v>
      </c>
      <c r="CA138">
        <v>10.07</v>
      </c>
      <c r="CB138">
        <v>-6.83</v>
      </c>
      <c r="CC138">
        <v>-22.5</v>
      </c>
      <c r="CD138" t="s">
        <v>1018</v>
      </c>
      <c r="CE138" t="s">
        <v>31</v>
      </c>
      <c r="CF138" s="14">
        <v>0.28281250000000019</v>
      </c>
      <c r="CG138" s="15">
        <v>65.348888380211164</v>
      </c>
      <c r="CH138" s="14">
        <v>0.30433762073516846</v>
      </c>
      <c r="CI138" s="14">
        <v>0.33031809329986572</v>
      </c>
      <c r="CJ138" s="14">
        <v>0.23736010491847992</v>
      </c>
      <c r="CK138" s="14">
        <v>-1.3703844510018826E-2</v>
      </c>
      <c r="CL138" s="14">
        <v>4.7865975648164749E-2</v>
      </c>
      <c r="CM138" s="15">
        <v>-0.95351016521453857</v>
      </c>
      <c r="CN138" s="15">
        <v>1.0935484170913696</v>
      </c>
      <c r="CO138" s="15">
        <v>-0.27230048179626465</v>
      </c>
      <c r="CP138" s="15">
        <v>-2.961275540292263E-2</v>
      </c>
      <c r="CQ138" s="15">
        <v>-6.1965811997652054E-2</v>
      </c>
      <c r="CR138">
        <v>34.798661546115511</v>
      </c>
      <c r="CS138">
        <v>1.920078806960356</v>
      </c>
      <c r="CT138">
        <v>2.1044992743105952</v>
      </c>
      <c r="CU138" s="14">
        <v>0.181235590018332</v>
      </c>
      <c r="CV138" s="15">
        <v>-4.4768159464001658E-2</v>
      </c>
      <c r="CW138">
        <v>0.06</v>
      </c>
      <c r="CX138">
        <v>311.57703975642193</v>
      </c>
      <c r="CY138">
        <v>33622756.696673691</v>
      </c>
      <c r="CZ138">
        <v>0.181235590018332</v>
      </c>
      <c r="DA138">
        <v>94.327641189143534</v>
      </c>
      <c r="DB138">
        <v>111060542.46595244</v>
      </c>
      <c r="DC138">
        <v>0.1721738105174154</v>
      </c>
      <c r="DD138">
        <v>41.783034251590742</v>
      </c>
      <c r="DE138">
        <v>250725663.84048954</v>
      </c>
      <c r="DF138">
        <v>0.15948731921613216</v>
      </c>
      <c r="DG138">
        <v>22.170158531240808</v>
      </c>
      <c r="DH138">
        <v>472530630.9938091</v>
      </c>
      <c r="DI138">
        <v>0.14498847201466561</v>
      </c>
      <c r="DJ138">
        <v>8.5888830126827873</v>
      </c>
      <c r="DK138">
        <v>1219725426.9886413</v>
      </c>
      <c r="DL138">
        <v>0.1268649130128324</v>
      </c>
      <c r="DM138">
        <v>30171900</v>
      </c>
      <c r="DN138">
        <v>0.181235590018332</v>
      </c>
      <c r="DO138">
        <v>10476079000</v>
      </c>
      <c r="DP138">
        <v>4567177700</v>
      </c>
      <c r="DQ138">
        <v>3575</v>
      </c>
      <c r="DR138">
        <v>0.10157690998166818</v>
      </c>
      <c r="DS138">
        <v>65.393656539675163</v>
      </c>
      <c r="DT138" s="16">
        <v>1.0000000000000011E-2</v>
      </c>
      <c r="DU138">
        <v>-0.16666666666666666</v>
      </c>
      <c r="DV138">
        <v>-0.15666666666666665</v>
      </c>
      <c r="DW138">
        <v>-9.3035555555555547</v>
      </c>
      <c r="DX138">
        <v>0.35131874999999912</v>
      </c>
      <c r="DY138">
        <v>-9.0550403138888882</v>
      </c>
      <c r="DZ138">
        <v>531</v>
      </c>
      <c r="EA138">
        <v>-9.0493208605278319</v>
      </c>
      <c r="EB138">
        <v>9</v>
      </c>
      <c r="EC138">
        <v>3.5619473497214574E-2</v>
      </c>
      <c r="ED138">
        <v>0.19644671881542627</v>
      </c>
      <c r="EE138" s="17">
        <v>-2.0356000000000001</v>
      </c>
      <c r="EF138">
        <v>-2.0097999999999998</v>
      </c>
      <c r="EG138">
        <v>17.181318749999999</v>
      </c>
      <c r="EH138" t="s">
        <v>2280</v>
      </c>
      <c r="EI138">
        <v>0</v>
      </c>
      <c r="EJ138">
        <v>1</v>
      </c>
      <c r="EK138" s="19">
        <v>45470</v>
      </c>
      <c r="EL138" s="20">
        <v>0</v>
      </c>
      <c r="EM138" s="20">
        <v>-2.23</v>
      </c>
      <c r="EN138" s="20">
        <v>2.09</v>
      </c>
      <c r="EO138" s="20">
        <v>0.93</v>
      </c>
      <c r="EP138" s="20">
        <v>-2.58</v>
      </c>
    </row>
    <row r="139" spans="1:146" ht="84" x14ac:dyDescent="0.25">
      <c r="A139" s="7"/>
      <c r="B139" s="7"/>
      <c r="C139" s="7" t="str">
        <f>""&amp;CHAR(10)&amp;Basic_Fundamental_Information_Constructure(F139)&amp;CHAR(10)&amp;Basic_Fundamental_Information_Concatenate("")</f>
        <v xml:space="preserve">
市值26.424331亿, 利润6.11亿; PE; 平均PE21.43; 平均PEG.28, PB.574; ROIC0%; ROE-1.8167%; 股利率0%; 毛利9.21%; 净利-2.59%; 上一年度营收增373.09%, 利润增1081.39%; 当季营收增-74.29%, 利润增-132.31%; 过往5年营收增76.46%, 利润增166.46%
Income profile:
</v>
      </c>
      <c r="D139" t="s">
        <v>1138</v>
      </c>
      <c r="E139" t="s">
        <v>1139</v>
      </c>
      <c r="F139">
        <v>2.78</v>
      </c>
      <c r="G139">
        <v>3.73</v>
      </c>
      <c r="H139" t="s">
        <v>5521</v>
      </c>
      <c r="I139">
        <v>2642433100</v>
      </c>
      <c r="K139">
        <v>0.57399999999999995</v>
      </c>
      <c r="L139" t="s">
        <v>172</v>
      </c>
      <c r="M139" t="s">
        <v>5522</v>
      </c>
      <c r="N139" t="s">
        <v>5523</v>
      </c>
      <c r="O139" t="s">
        <v>2620</v>
      </c>
      <c r="P139">
        <v>-4.8899999999999997</v>
      </c>
      <c r="Q139" t="s">
        <v>5524</v>
      </c>
      <c r="R139">
        <v>-45230034</v>
      </c>
      <c r="S139" s="5">
        <v>-34.409999999999997</v>
      </c>
      <c r="T139" t="s">
        <v>806</v>
      </c>
      <c r="U139">
        <v>950515520</v>
      </c>
      <c r="V139">
        <v>950515520</v>
      </c>
      <c r="W139">
        <v>1.68</v>
      </c>
      <c r="X139">
        <v>0.15</v>
      </c>
      <c r="Y139">
        <v>-3.8</v>
      </c>
      <c r="Z139" t="s">
        <v>1611</v>
      </c>
      <c r="AA139" t="s">
        <v>5525</v>
      </c>
      <c r="AB139" t="s">
        <v>5526</v>
      </c>
      <c r="AC139" t="s">
        <v>5527</v>
      </c>
      <c r="AD139" t="s">
        <v>19</v>
      </c>
      <c r="AE139">
        <v>15622501</v>
      </c>
      <c r="AF139" t="s">
        <v>5528</v>
      </c>
      <c r="AG139" t="s">
        <v>5529</v>
      </c>
      <c r="AH139" t="s">
        <v>5530</v>
      </c>
      <c r="AI139" t="s">
        <v>3260</v>
      </c>
      <c r="AJ139" t="s">
        <v>5531</v>
      </c>
      <c r="AK139" t="s">
        <v>900</v>
      </c>
      <c r="AL139" t="s">
        <v>5532</v>
      </c>
      <c r="AM139" t="s">
        <v>19</v>
      </c>
      <c r="AN139" t="s">
        <v>628</v>
      </c>
      <c r="AO139" t="s">
        <v>2707</v>
      </c>
      <c r="AP139" t="s">
        <v>5533</v>
      </c>
      <c r="AQ139" t="s">
        <v>818</v>
      </c>
      <c r="AR139" t="s">
        <v>19</v>
      </c>
      <c r="AS139" t="s">
        <v>5334</v>
      </c>
      <c r="AT139" t="s">
        <v>5534</v>
      </c>
      <c r="AU139" t="s">
        <v>5535</v>
      </c>
      <c r="AV139" t="s">
        <v>5536</v>
      </c>
      <c r="AW139" t="s">
        <v>5537</v>
      </c>
      <c r="AX139" t="s">
        <v>2301</v>
      </c>
      <c r="AY139" t="s">
        <v>1726</v>
      </c>
      <c r="AZ139" t="s">
        <v>1140</v>
      </c>
      <c r="BA139" t="s">
        <v>1143</v>
      </c>
      <c r="BB139" t="s">
        <v>1144</v>
      </c>
      <c r="BC139" t="s">
        <v>2302</v>
      </c>
      <c r="BD139" t="s">
        <v>1727</v>
      </c>
      <c r="BE139" t="s">
        <v>1141</v>
      </c>
      <c r="BF139" t="s">
        <v>1145</v>
      </c>
      <c r="BG139" t="s">
        <v>190</v>
      </c>
      <c r="BH139" t="s">
        <v>5538</v>
      </c>
      <c r="BI139" t="s">
        <v>5539</v>
      </c>
      <c r="BJ139" t="s">
        <v>2301</v>
      </c>
      <c r="BK139" t="s">
        <v>2968</v>
      </c>
      <c r="BL139" t="s">
        <v>761</v>
      </c>
      <c r="BM139" t="s">
        <v>2302</v>
      </c>
      <c r="BN139" t="s">
        <v>19</v>
      </c>
      <c r="BO139" t="s">
        <v>19</v>
      </c>
      <c r="BP139" t="s">
        <v>19</v>
      </c>
      <c r="BQ139">
        <v>-2.37</v>
      </c>
      <c r="BR139">
        <v>-1.29</v>
      </c>
      <c r="BS139">
        <v>-1.79</v>
      </c>
      <c r="BT139" t="s">
        <v>1983</v>
      </c>
      <c r="BU139" t="s">
        <v>2920</v>
      </c>
      <c r="BV139">
        <v>7.91</v>
      </c>
      <c r="BW139">
        <v>9.0399999999999991</v>
      </c>
      <c r="BX139">
        <v>10.68</v>
      </c>
      <c r="BY139">
        <v>-4.12</v>
      </c>
      <c r="BZ139">
        <v>-1.68</v>
      </c>
      <c r="CA139">
        <v>-1.97</v>
      </c>
      <c r="CB139">
        <v>4.51</v>
      </c>
      <c r="CC139">
        <v>-12.03</v>
      </c>
      <c r="CD139" t="s">
        <v>5540</v>
      </c>
      <c r="CE139" t="s">
        <v>411</v>
      </c>
      <c r="CF139" s="14">
        <v>-0.74288888888888893</v>
      </c>
      <c r="CG139" s="15">
        <v>-1.3230716714285715</v>
      </c>
      <c r="CH139" s="14">
        <v>3.7308628559112549</v>
      </c>
      <c r="CI139" s="14">
        <v>-7.089465856552124E-2</v>
      </c>
      <c r="CJ139" s="14">
        <v>-5.7831849902868271E-2</v>
      </c>
      <c r="CK139" s="14">
        <v>-4.7173645347356796E-2</v>
      </c>
      <c r="CL139" s="14">
        <v>0.26817947626113892</v>
      </c>
      <c r="CM139" s="15">
        <v>10.813936233520508</v>
      </c>
      <c r="CN139" s="15">
        <v>0.30906218290328979</v>
      </c>
      <c r="CO139" s="15">
        <v>-2.2874519824981689</v>
      </c>
      <c r="CP139" s="15">
        <v>-3.300868347287178E-2</v>
      </c>
      <c r="CQ139" s="15">
        <v>-0.47929641604423523</v>
      </c>
      <c r="CR139">
        <v>21.425104290399606</v>
      </c>
      <c r="CS139">
        <v>0.28020281866170416</v>
      </c>
      <c r="CT139">
        <v>0</v>
      </c>
      <c r="CU139" s="14">
        <v>0.76462843567132954</v>
      </c>
      <c r="CV139" s="15">
        <v>1.6646482668817044</v>
      </c>
      <c r="CW139">
        <v>0.06</v>
      </c>
      <c r="CX139">
        <v>1.0592578597925</v>
      </c>
      <c r="CY139">
        <v>1017158466.2218701</v>
      </c>
      <c r="CZ139">
        <v>0.76462843567132954</v>
      </c>
      <c r="DA139">
        <v>0.20501067207821419</v>
      </c>
      <c r="DB139">
        <v>5255497623.9917183</v>
      </c>
      <c r="DC139">
        <v>0.72639701388776301</v>
      </c>
      <c r="DD139">
        <v>4.4706802565340306E-2</v>
      </c>
      <c r="DE139">
        <v>24099981170.098217</v>
      </c>
      <c r="DF139">
        <v>0.67287302339077004</v>
      </c>
      <c r="DG139">
        <v>9.2812244053437458E-3</v>
      </c>
      <c r="DH139">
        <v>116087388144.5705</v>
      </c>
      <c r="DI139">
        <v>0.61170274853706363</v>
      </c>
      <c r="DJ139">
        <v>3.3108643416624492E-4</v>
      </c>
      <c r="DK139">
        <v>3254235114504.8726</v>
      </c>
      <c r="DL139">
        <v>0.53523990496993068</v>
      </c>
      <c r="DM139">
        <v>611000000</v>
      </c>
      <c r="DN139">
        <v>0.76462843567132954</v>
      </c>
      <c r="DO139">
        <v>1077433100</v>
      </c>
      <c r="DP139">
        <v>913797900</v>
      </c>
      <c r="DQ139">
        <v>3585</v>
      </c>
      <c r="DR139">
        <v>-1.5075173245602185</v>
      </c>
      <c r="DS139">
        <v>-2.9877199383102759</v>
      </c>
      <c r="DT139" s="16">
        <v>-4.0000000000000036E-2</v>
      </c>
      <c r="DU139">
        <v>-1.6483333333333334</v>
      </c>
      <c r="DV139">
        <v>-1.6883333333333335</v>
      </c>
      <c r="DW139">
        <v>6.2726723095525996</v>
      </c>
      <c r="DX139">
        <v>0.43867878510028518</v>
      </c>
      <c r="DY139">
        <v>6.0678078186700297</v>
      </c>
      <c r="DZ139">
        <v>3052</v>
      </c>
      <c r="EA139">
        <v>6.027308902313683</v>
      </c>
      <c r="EB139">
        <v>6</v>
      </c>
      <c r="EC139">
        <v>9.1307188755844829E-2</v>
      </c>
      <c r="ED139">
        <v>0.3671691757331853</v>
      </c>
      <c r="EE139" s="17">
        <v>-2.0851000000000002</v>
      </c>
      <c r="EF139">
        <v>-2.0777000000000001</v>
      </c>
      <c r="EG139">
        <v>19.248678785100285</v>
      </c>
      <c r="EH139" t="s">
        <v>2280</v>
      </c>
      <c r="EI139">
        <v>0</v>
      </c>
      <c r="EJ139">
        <v>0</v>
      </c>
      <c r="EK139" s="19">
        <v>45470</v>
      </c>
      <c r="EL139" s="20">
        <v>0</v>
      </c>
      <c r="EM139" s="20">
        <v>-1.1299999999999999</v>
      </c>
      <c r="EN139" s="20">
        <v>0.76</v>
      </c>
      <c r="EO139" s="20">
        <v>2.27</v>
      </c>
      <c r="EP139" s="20">
        <v>-0.74</v>
      </c>
    </row>
    <row r="140" spans="1:146" ht="84" x14ac:dyDescent="0.25">
      <c r="A140" s="7"/>
      <c r="B140" s="7"/>
      <c r="C140" s="7" t="str">
        <f>""&amp;CHAR(10)&amp;Basic_Fundamental_Information_Constructure(F140)&amp;CHAR(10)&amp;Basic_Fundamental_Information_Concatenate("")</f>
        <v xml:space="preserve">
市值434.35804亿, 利润14.67亿; PE11.52; 平均PE34.91; 平均PEG5.26, PB2.52; ROIC9%; ROE13.5833%; 股利率1.2869%; 毛利21.6433%; 净利8.77%; 上一年度营收增-84.1%, 利润增10.14%; 当季营收增569.36%, 利润增378.56%; 过往5年营收增-6.64%, 利润增20.66%
Income profile:
</v>
      </c>
      <c r="D140" t="s">
        <v>1147</v>
      </c>
      <c r="E140" t="s">
        <v>1148</v>
      </c>
      <c r="F140">
        <v>13.21</v>
      </c>
      <c r="G140">
        <v>0.15</v>
      </c>
      <c r="H140" t="s">
        <v>5541</v>
      </c>
      <c r="I140">
        <v>43435804000</v>
      </c>
      <c r="J140">
        <v>11.52</v>
      </c>
      <c r="K140">
        <v>2.52</v>
      </c>
      <c r="L140" t="s">
        <v>172</v>
      </c>
      <c r="M140" t="s">
        <v>5542</v>
      </c>
      <c r="N140" t="s">
        <v>5543</v>
      </c>
      <c r="O140" t="s">
        <v>5544</v>
      </c>
      <c r="P140">
        <v>35.840000000000003</v>
      </c>
      <c r="Q140" t="s">
        <v>5545</v>
      </c>
      <c r="R140">
        <v>1033697940</v>
      </c>
      <c r="S140" s="5">
        <v>1.9119999999999999</v>
      </c>
      <c r="T140" t="s">
        <v>2572</v>
      </c>
      <c r="U140">
        <v>3288100300</v>
      </c>
      <c r="V140">
        <v>3288100300</v>
      </c>
      <c r="W140">
        <v>1.97</v>
      </c>
      <c r="X140">
        <v>0.21</v>
      </c>
      <c r="Y140">
        <v>14.39</v>
      </c>
      <c r="Z140" t="s">
        <v>5546</v>
      </c>
      <c r="AA140" t="s">
        <v>5547</v>
      </c>
      <c r="AB140" t="s">
        <v>60</v>
      </c>
      <c r="AC140" t="s">
        <v>230</v>
      </c>
      <c r="AD140" t="s">
        <v>19</v>
      </c>
      <c r="AE140">
        <v>74947581</v>
      </c>
      <c r="AF140" t="s">
        <v>5548</v>
      </c>
      <c r="AG140" t="s">
        <v>5549</v>
      </c>
      <c r="AH140" t="s">
        <v>5550</v>
      </c>
      <c r="AI140" t="s">
        <v>5551</v>
      </c>
      <c r="AJ140" t="s">
        <v>5552</v>
      </c>
      <c r="AK140" t="s">
        <v>5553</v>
      </c>
      <c r="AL140" t="s">
        <v>5554</v>
      </c>
      <c r="AM140" t="s">
        <v>19</v>
      </c>
      <c r="AN140" t="s">
        <v>967</v>
      </c>
      <c r="AO140" t="s">
        <v>5555</v>
      </c>
      <c r="AP140" t="s">
        <v>5556</v>
      </c>
      <c r="AQ140" t="s">
        <v>3655</v>
      </c>
      <c r="AR140" t="s">
        <v>5557</v>
      </c>
      <c r="AS140" t="s">
        <v>5558</v>
      </c>
      <c r="AT140" t="s">
        <v>2552</v>
      </c>
      <c r="AU140" t="s">
        <v>2020</v>
      </c>
      <c r="AV140" t="s">
        <v>5559</v>
      </c>
      <c r="AW140" t="s">
        <v>2363</v>
      </c>
      <c r="AX140" t="s">
        <v>2303</v>
      </c>
      <c r="AY140" t="s">
        <v>2304</v>
      </c>
      <c r="AZ140" t="s">
        <v>2305</v>
      </c>
      <c r="BA140" t="s">
        <v>2306</v>
      </c>
      <c r="BB140" t="s">
        <v>2307</v>
      </c>
      <c r="BC140" t="s">
        <v>1959</v>
      </c>
      <c r="BD140" t="s">
        <v>2308</v>
      </c>
      <c r="BE140" t="s">
        <v>274</v>
      </c>
      <c r="BF140" t="s">
        <v>762</v>
      </c>
      <c r="BG140" t="s">
        <v>2113</v>
      </c>
      <c r="BH140" t="s">
        <v>5560</v>
      </c>
      <c r="BI140" t="s">
        <v>1945</v>
      </c>
      <c r="BJ140" t="s">
        <v>2303</v>
      </c>
      <c r="BK140" t="s">
        <v>3649</v>
      </c>
      <c r="BL140" t="s">
        <v>846</v>
      </c>
      <c r="BM140" t="s">
        <v>1959</v>
      </c>
      <c r="BN140">
        <v>9.69</v>
      </c>
      <c r="BO140">
        <v>8.27</v>
      </c>
      <c r="BP140">
        <v>9.0399999999999991</v>
      </c>
      <c r="BQ140">
        <v>15.64</v>
      </c>
      <c r="BR140">
        <v>11.79</v>
      </c>
      <c r="BS140">
        <v>13.32</v>
      </c>
      <c r="BT140" t="s">
        <v>2018</v>
      </c>
      <c r="BU140" t="s">
        <v>3032</v>
      </c>
      <c r="BV140">
        <v>27.64</v>
      </c>
      <c r="BW140">
        <v>18.420000000000002</v>
      </c>
      <c r="BX140">
        <v>18.87</v>
      </c>
      <c r="BY140">
        <v>12.33</v>
      </c>
      <c r="BZ140">
        <v>6.52</v>
      </c>
      <c r="CA140">
        <v>7.46</v>
      </c>
      <c r="CB140">
        <v>-5.64</v>
      </c>
      <c r="CC140">
        <v>-14.17</v>
      </c>
      <c r="CD140" t="s">
        <v>94</v>
      </c>
      <c r="CE140" t="s">
        <v>1871</v>
      </c>
      <c r="CF140" s="14">
        <v>5.6935779816513756</v>
      </c>
      <c r="CG140" s="15">
        <v>3.7856386111111111</v>
      </c>
      <c r="CH140" s="14">
        <v>-0.8409733772277832</v>
      </c>
      <c r="CI140" s="14">
        <v>0.21691298484802246</v>
      </c>
      <c r="CJ140" s="14">
        <v>0.16832201182842255</v>
      </c>
      <c r="CK140" s="14">
        <v>1.8310362473130226E-2</v>
      </c>
      <c r="CL140" s="14">
        <v>0.10544393956661224</v>
      </c>
      <c r="CM140" s="15">
        <v>0.10135140269994736</v>
      </c>
      <c r="CN140" s="15">
        <v>1.4470727182924747E-2</v>
      </c>
      <c r="CO140" s="15">
        <v>-0.11938304454088211</v>
      </c>
      <c r="CP140" s="15">
        <v>0.24769872426986694</v>
      </c>
      <c r="CQ140" s="15">
        <v>0.78892225027084351</v>
      </c>
      <c r="CR140">
        <v>34.90688775783552</v>
      </c>
      <c r="CS140">
        <v>5.2573135305668393</v>
      </c>
      <c r="CT140">
        <v>1.2869038607115819</v>
      </c>
      <c r="CU140" s="14">
        <v>-6.6396815702319145E-2</v>
      </c>
      <c r="CV140" s="15">
        <v>0.20661201197654008</v>
      </c>
      <c r="CW140">
        <v>0.06</v>
      </c>
      <c r="CX140">
        <v>29.903070211315612</v>
      </c>
      <c r="CY140" t="s">
        <v>5561</v>
      </c>
      <c r="CZ140">
        <v>-6.6396815702319145E-2</v>
      </c>
      <c r="DA140">
        <v>9.9676900704385361</v>
      </c>
      <c r="DB140" t="s">
        <v>5562</v>
      </c>
      <c r="DC140">
        <v>-6.3076974917203182E-2</v>
      </c>
      <c r="DD140">
        <v>4.983845035219268</v>
      </c>
      <c r="DE140" t="s">
        <v>5563</v>
      </c>
      <c r="DF140">
        <v>-5.8429197818040846E-2</v>
      </c>
      <c r="DG140">
        <v>2.990307021131561</v>
      </c>
      <c r="DH140" t="s">
        <v>5564</v>
      </c>
      <c r="DI140">
        <v>-5.3117452561855322E-2</v>
      </c>
      <c r="DJ140">
        <v>1.4951535105657805</v>
      </c>
      <c r="DK140" t="s">
        <v>5565</v>
      </c>
      <c r="DL140">
        <v>-4.6477770991623396E-2</v>
      </c>
      <c r="DM140">
        <v>1467000000</v>
      </c>
      <c r="DN140">
        <v>-6.6396815702319145E-2</v>
      </c>
      <c r="DO140">
        <v>43867804000</v>
      </c>
      <c r="DP140">
        <v>2351223000</v>
      </c>
      <c r="DQ140">
        <v>3641</v>
      </c>
      <c r="DR140">
        <v>5.7599747973536948</v>
      </c>
      <c r="DS140">
        <v>3.5790265991345711</v>
      </c>
      <c r="DT140" s="16">
        <v>-0.49</v>
      </c>
      <c r="DU140">
        <v>0.91666666666666663</v>
      </c>
      <c r="DV140">
        <v>0.42666666666666664</v>
      </c>
      <c r="DW140">
        <v>-8.3980239943542703</v>
      </c>
      <c r="DX140">
        <v>0.31569395017793755</v>
      </c>
      <c r="DY140">
        <v>-8.0619699279466168</v>
      </c>
      <c r="DZ140">
        <v>86</v>
      </c>
      <c r="EA140">
        <v>-8.060926989824619</v>
      </c>
      <c r="EB140">
        <v>8</v>
      </c>
      <c r="EC140">
        <v>5.3222220745516795E-2</v>
      </c>
      <c r="ED140">
        <v>0.34183872067406218</v>
      </c>
      <c r="EE140" s="17">
        <v>3.0406</v>
      </c>
      <c r="EF140">
        <v>3.0038999999999998</v>
      </c>
      <c r="EG140">
        <v>16.155693950177938</v>
      </c>
      <c r="EH140" t="s">
        <v>2080</v>
      </c>
      <c r="EI140">
        <v>0</v>
      </c>
      <c r="EJ140">
        <v>1</v>
      </c>
      <c r="EK140" s="19">
        <v>45470</v>
      </c>
      <c r="EL140" s="20">
        <v>0.06</v>
      </c>
      <c r="EM140" s="20">
        <v>-4.2300000000000004</v>
      </c>
      <c r="EN140" s="20">
        <v>0.76</v>
      </c>
      <c r="EO140" s="20">
        <v>0.81</v>
      </c>
      <c r="EP140" s="20">
        <v>-3.67</v>
      </c>
    </row>
    <row r="141" spans="1:146" ht="84" x14ac:dyDescent="0.25">
      <c r="A141" s="7"/>
      <c r="B141" s="7"/>
      <c r="C141" s="7" t="str">
        <f>""&amp;CHAR(10)&amp;Basic_Fundamental_Information_Constructure(F141)&amp;CHAR(10)&amp;Basic_Fundamental_Information_Concatenate("")</f>
        <v xml:space="preserve">
市值120.48亿, 利润771.16亿; PE8.26; 平均PE.89; 平均PEG0, PB.915; ROIC6.14%; ROE6.8733%; 股利率4.4489%; 毛利17.9567%; 净利9.37%; 上一年度营收增2186.67%, 利润增10349.32%; 当季营收增-95.7%, 利润增-98.83%; 过往5年营收增441.55%, 利润增2085.89%
Income profile:
</v>
      </c>
      <c r="D141" t="s">
        <v>1150</v>
      </c>
      <c r="E141" t="s">
        <v>1151</v>
      </c>
      <c r="F141">
        <v>15.06</v>
      </c>
      <c r="G141">
        <v>1.55</v>
      </c>
      <c r="H141" t="s">
        <v>5566</v>
      </c>
      <c r="I141">
        <v>12048000000</v>
      </c>
      <c r="J141">
        <v>8.26</v>
      </c>
      <c r="K141">
        <v>0.91500000000000004</v>
      </c>
      <c r="L141" t="s">
        <v>172</v>
      </c>
      <c r="M141" t="s">
        <v>5567</v>
      </c>
      <c r="N141" t="s">
        <v>5568</v>
      </c>
      <c r="O141" t="s">
        <v>5569</v>
      </c>
      <c r="P141">
        <v>-2.93</v>
      </c>
      <c r="Q141" t="s">
        <v>5570</v>
      </c>
      <c r="R141">
        <v>294055840</v>
      </c>
      <c r="S141" s="5">
        <v>0.26919999999999999</v>
      </c>
      <c r="T141" t="s">
        <v>5571</v>
      </c>
      <c r="U141">
        <v>800000000</v>
      </c>
      <c r="V141">
        <v>800000000</v>
      </c>
      <c r="W141">
        <v>1.43</v>
      </c>
      <c r="X141">
        <v>0.13</v>
      </c>
      <c r="Y141">
        <v>12.33</v>
      </c>
      <c r="Z141" t="s">
        <v>2580</v>
      </c>
      <c r="AA141" t="s">
        <v>477</v>
      </c>
      <c r="AB141" t="s">
        <v>5572</v>
      </c>
      <c r="AC141" t="s">
        <v>5573</v>
      </c>
      <c r="AD141" t="s">
        <v>19</v>
      </c>
      <c r="AE141">
        <v>-9308984</v>
      </c>
      <c r="AF141" t="s">
        <v>5574</v>
      </c>
      <c r="AG141" t="s">
        <v>5575</v>
      </c>
      <c r="AH141" t="s">
        <v>5576</v>
      </c>
      <c r="AI141" t="s">
        <v>5577</v>
      </c>
      <c r="AJ141" t="s">
        <v>5578</v>
      </c>
      <c r="AK141" t="s">
        <v>5579</v>
      </c>
      <c r="AL141" t="s">
        <v>5580</v>
      </c>
      <c r="AM141" t="s">
        <v>19</v>
      </c>
      <c r="AN141" t="s">
        <v>5581</v>
      </c>
      <c r="AO141" t="s">
        <v>5582</v>
      </c>
      <c r="AP141" t="s">
        <v>50</v>
      </c>
      <c r="AQ141" t="s">
        <v>5583</v>
      </c>
      <c r="AR141" t="s">
        <v>19</v>
      </c>
      <c r="AS141" t="s">
        <v>5584</v>
      </c>
      <c r="AT141" t="s">
        <v>19</v>
      </c>
      <c r="AU141" t="s">
        <v>5585</v>
      </c>
      <c r="AV141" t="s">
        <v>5586</v>
      </c>
      <c r="AW141" t="s">
        <v>1874</v>
      </c>
      <c r="AX141" t="s">
        <v>2309</v>
      </c>
      <c r="AY141" t="s">
        <v>1729</v>
      </c>
      <c r="AZ141" t="s">
        <v>1152</v>
      </c>
      <c r="BA141" t="s">
        <v>1154</v>
      </c>
      <c r="BB141" t="s">
        <v>1155</v>
      </c>
      <c r="BC141" t="s">
        <v>828</v>
      </c>
      <c r="BD141" t="s">
        <v>719</v>
      </c>
      <c r="BE141" t="s">
        <v>1153</v>
      </c>
      <c r="BF141" t="s">
        <v>111</v>
      </c>
      <c r="BG141" t="s">
        <v>1137</v>
      </c>
      <c r="BH141" t="s">
        <v>5587</v>
      </c>
      <c r="BI141" t="s">
        <v>5588</v>
      </c>
      <c r="BJ141" t="s">
        <v>2309</v>
      </c>
      <c r="BK141" t="s">
        <v>5589</v>
      </c>
      <c r="BL141" t="s">
        <v>5590</v>
      </c>
      <c r="BM141" t="s">
        <v>828</v>
      </c>
      <c r="BN141">
        <v>7.72</v>
      </c>
      <c r="BO141">
        <v>5.74</v>
      </c>
      <c r="BP141">
        <v>4.96</v>
      </c>
      <c r="BQ141">
        <v>8.6999999999999993</v>
      </c>
      <c r="BR141">
        <v>6.46</v>
      </c>
      <c r="BS141">
        <v>5.46</v>
      </c>
      <c r="BT141" t="s">
        <v>5591</v>
      </c>
      <c r="BU141" t="s">
        <v>3032</v>
      </c>
      <c r="BV141">
        <v>21.51</v>
      </c>
      <c r="BW141">
        <v>14.83</v>
      </c>
      <c r="BX141">
        <v>17.53</v>
      </c>
      <c r="BY141">
        <v>13.4</v>
      </c>
      <c r="BZ141">
        <v>8</v>
      </c>
      <c r="CA141">
        <v>6.71</v>
      </c>
      <c r="CB141">
        <v>-1.05</v>
      </c>
      <c r="CC141">
        <v>-7.55</v>
      </c>
      <c r="CD141" t="s">
        <v>5592</v>
      </c>
      <c r="CE141" t="s">
        <v>207</v>
      </c>
      <c r="CF141" s="14">
        <v>-0.9569572279371954</v>
      </c>
      <c r="CG141" s="15">
        <v>-0.98829162492534339</v>
      </c>
      <c r="CH141" s="14">
        <v>21.866703033447266</v>
      </c>
      <c r="CI141" s="14">
        <v>2.9707320034503937E-2</v>
      </c>
      <c r="CJ141" s="14">
        <v>4.9092009663581848E-2</v>
      </c>
      <c r="CK141" s="14">
        <v>7.4801646173000336E-2</v>
      </c>
      <c r="CL141" s="14">
        <v>5.7249385863542557E-2</v>
      </c>
      <c r="CM141" s="15">
        <v>103.49322509765625</v>
      </c>
      <c r="CN141" s="15">
        <v>0.23000000417232513</v>
      </c>
      <c r="CO141" s="15">
        <v>-0.43396225571632385</v>
      </c>
      <c r="CP141" s="15">
        <v>0.25147581100463867</v>
      </c>
      <c r="CQ141" s="15">
        <v>0.75362318754196167</v>
      </c>
      <c r="CR141">
        <v>0.8941665429716491</v>
      </c>
      <c r="CS141">
        <v>2.0250580464382167E-3</v>
      </c>
      <c r="CT141">
        <v>4.4488711819389106</v>
      </c>
      <c r="CU141" s="14">
        <v>4.4155106790363785</v>
      </c>
      <c r="CV141" s="15">
        <v>20.85887236893177</v>
      </c>
      <c r="CW141">
        <v>0.06</v>
      </c>
      <c r="CX141">
        <v>1.2099491142272425E-2</v>
      </c>
      <c r="CY141">
        <v>393983510872.23523</v>
      </c>
      <c r="CZ141">
        <v>4.4155106790363785</v>
      </c>
      <c r="DA141">
        <v>4.2161683996824343E-4</v>
      </c>
      <c r="DB141">
        <v>11306474381713.635</v>
      </c>
      <c r="DC141">
        <v>4.1947351450845591</v>
      </c>
      <c r="DD141">
        <v>5.0492890171340001E-6</v>
      </c>
      <c r="DE141">
        <v>944093313697018.87</v>
      </c>
      <c r="DF141">
        <v>3.885649397552013</v>
      </c>
      <c r="DG141">
        <v>2.3183061868149104E-8</v>
      </c>
      <c r="DH141">
        <v>2.0562426253752611E+17</v>
      </c>
      <c r="DI141">
        <v>3.5324085432291028</v>
      </c>
      <c r="DJ141">
        <v>8.5247597314873502E-14</v>
      </c>
      <c r="DK141">
        <v>5.5919464596667097E+22</v>
      </c>
      <c r="DL141">
        <v>3.090857475325465</v>
      </c>
      <c r="DM141">
        <v>77116000000</v>
      </c>
      <c r="DN141">
        <v>4.4155106790363785</v>
      </c>
      <c r="DO141">
        <v>4767000000.0000019</v>
      </c>
      <c r="DP141">
        <v>7447319300</v>
      </c>
      <c r="DQ141">
        <v>3679</v>
      </c>
      <c r="DR141">
        <v>-5.3724679069735739</v>
      </c>
      <c r="DS141">
        <v>-21.847163993857112</v>
      </c>
      <c r="DT141" s="16">
        <v>-0.14000000000000004</v>
      </c>
      <c r="DU141">
        <v>0.19333333333333327</v>
      </c>
      <c r="DV141">
        <v>5.3333333333333233E-2</v>
      </c>
      <c r="DW141">
        <v>-2.0754999999999999</v>
      </c>
      <c r="DX141">
        <v>0.37395304878048674</v>
      </c>
      <c r="DY141">
        <v>-2.0116234551829266</v>
      </c>
      <c r="DZ141">
        <v>3888</v>
      </c>
      <c r="EA141">
        <v>-2.0027796207893416</v>
      </c>
      <c r="EB141">
        <v>2</v>
      </c>
      <c r="EC141">
        <v>3.1560375000000002E-2</v>
      </c>
      <c r="ED141">
        <v>0.20499999999999999</v>
      </c>
      <c r="EE141" s="17">
        <v>1.0011099999999999</v>
      </c>
      <c r="EF141">
        <v>1.02311</v>
      </c>
      <c r="EG141">
        <v>22.153953048780487</v>
      </c>
      <c r="EH141" t="s">
        <v>1840</v>
      </c>
      <c r="EI141">
        <v>0</v>
      </c>
      <c r="EJ141">
        <v>0</v>
      </c>
      <c r="EK141" s="19">
        <v>45470</v>
      </c>
      <c r="EL141" s="20">
        <v>0</v>
      </c>
      <c r="EM141" s="20">
        <v>-2.19</v>
      </c>
      <c r="EN141" s="20">
        <v>-0.9</v>
      </c>
      <c r="EO141" s="20">
        <v>2.71</v>
      </c>
      <c r="EP141" s="20">
        <v>-2.2000000000000002</v>
      </c>
    </row>
    <row r="142" spans="1:146" ht="84" x14ac:dyDescent="0.25">
      <c r="A142" s="7"/>
      <c r="B142" s="7"/>
      <c r="C142" s="7" t="str">
        <f>""&amp;CHAR(10)&amp;Basic_Fundamental_Information_Constructure(F142)&amp;CHAR(10)&amp;Basic_Fundamental_Information_Concatenate("")</f>
        <v xml:space="preserve">
市值58.515503亿, 利润2693.56亿; PE51.48; 平均PE.13; 平均PEG0, PB1.37; ROIC2.65%; ROE2.5233%; 股利率.542%; 毛利12.1133%; 净利2.59%; 上一年度营收增13540.13%, 利润增461365.43%; 当季营收增-99.39%, 利润增-99.97%; 过往5年营收增2709.98%, 利润增92252.06%
Income profile:
</v>
      </c>
      <c r="D142" t="s">
        <v>1158</v>
      </c>
      <c r="E142" t="s">
        <v>1159</v>
      </c>
      <c r="F142">
        <v>3.69</v>
      </c>
      <c r="G142">
        <v>0.82</v>
      </c>
      <c r="H142" t="s">
        <v>5593</v>
      </c>
      <c r="I142">
        <v>5851550300</v>
      </c>
      <c r="J142">
        <v>51.48</v>
      </c>
      <c r="K142">
        <v>1.37</v>
      </c>
      <c r="L142" t="s">
        <v>172</v>
      </c>
      <c r="M142" t="s">
        <v>5594</v>
      </c>
      <c r="N142" t="s">
        <v>5595</v>
      </c>
      <c r="O142" t="s">
        <v>969</v>
      </c>
      <c r="P142">
        <v>-0.31</v>
      </c>
      <c r="Q142" t="s">
        <v>5596</v>
      </c>
      <c r="R142">
        <v>20048603</v>
      </c>
      <c r="S142" s="5">
        <v>1.5409999999999999</v>
      </c>
      <c r="T142" t="s">
        <v>5597</v>
      </c>
      <c r="U142">
        <v>1585786000</v>
      </c>
      <c r="V142">
        <v>1585786000</v>
      </c>
      <c r="W142">
        <v>1.75</v>
      </c>
      <c r="X142">
        <v>0.14000000000000001</v>
      </c>
      <c r="Y142">
        <v>1.55</v>
      </c>
      <c r="Z142" t="s">
        <v>5598</v>
      </c>
      <c r="AA142" t="s">
        <v>698</v>
      </c>
      <c r="AB142" t="s">
        <v>5599</v>
      </c>
      <c r="AC142" t="s">
        <v>5600</v>
      </c>
      <c r="AD142" t="s">
        <v>19</v>
      </c>
      <c r="AE142">
        <v>6182636</v>
      </c>
      <c r="AF142" t="s">
        <v>5601</v>
      </c>
      <c r="AG142" t="s">
        <v>5602</v>
      </c>
      <c r="AH142" t="s">
        <v>5603</v>
      </c>
      <c r="AI142" t="s">
        <v>3364</v>
      </c>
      <c r="AJ142" t="s">
        <v>5604</v>
      </c>
      <c r="AK142" t="s">
        <v>5605</v>
      </c>
      <c r="AL142" t="s">
        <v>5606</v>
      </c>
      <c r="AM142" t="s">
        <v>19</v>
      </c>
      <c r="AN142" t="s">
        <v>574</v>
      </c>
      <c r="AO142" t="s">
        <v>860</v>
      </c>
      <c r="AP142" t="s">
        <v>1156</v>
      </c>
      <c r="AQ142" t="s">
        <v>2505</v>
      </c>
      <c r="AR142" t="s">
        <v>19</v>
      </c>
      <c r="AS142" t="s">
        <v>2601</v>
      </c>
      <c r="AT142" t="s">
        <v>1953</v>
      </c>
      <c r="AU142" t="s">
        <v>392</v>
      </c>
      <c r="AV142" t="s">
        <v>5607</v>
      </c>
      <c r="AW142" t="s">
        <v>5608</v>
      </c>
      <c r="AX142" t="s">
        <v>2312</v>
      </c>
      <c r="AY142" t="s">
        <v>1730</v>
      </c>
      <c r="AZ142" t="s">
        <v>1160</v>
      </c>
      <c r="BA142" t="s">
        <v>641</v>
      </c>
      <c r="BB142" t="s">
        <v>1162</v>
      </c>
      <c r="BC142" t="s">
        <v>2313</v>
      </c>
      <c r="BD142" t="s">
        <v>387</v>
      </c>
      <c r="BE142" t="s">
        <v>845</v>
      </c>
      <c r="BF142" t="s">
        <v>329</v>
      </c>
      <c r="BG142" t="s">
        <v>283</v>
      </c>
      <c r="BH142" t="s">
        <v>5609</v>
      </c>
      <c r="BI142" t="s">
        <v>5610</v>
      </c>
      <c r="BJ142" t="s">
        <v>2312</v>
      </c>
      <c r="BK142" t="s">
        <v>250</v>
      </c>
      <c r="BL142" t="s">
        <v>5611</v>
      </c>
      <c r="BM142" t="s">
        <v>2313</v>
      </c>
      <c r="BN142">
        <v>1.41</v>
      </c>
      <c r="BO142">
        <v>1.75</v>
      </c>
      <c r="BP142">
        <v>4.79</v>
      </c>
      <c r="BQ142">
        <v>1.73</v>
      </c>
      <c r="BR142">
        <v>1.58</v>
      </c>
      <c r="BS142">
        <v>4.26</v>
      </c>
      <c r="BT142" t="s">
        <v>5612</v>
      </c>
      <c r="BU142" t="s">
        <v>3125</v>
      </c>
      <c r="BV142">
        <v>11.76</v>
      </c>
      <c r="BW142">
        <v>10.17</v>
      </c>
      <c r="BX142">
        <v>14.41</v>
      </c>
      <c r="BY142">
        <v>1.89</v>
      </c>
      <c r="BZ142">
        <v>1.4</v>
      </c>
      <c r="CA142">
        <v>4.4800000000000004</v>
      </c>
      <c r="CB142">
        <v>-1.07</v>
      </c>
      <c r="CC142">
        <v>-23.76</v>
      </c>
      <c r="CD142" t="s">
        <v>5613</v>
      </c>
      <c r="CE142" t="s">
        <v>328</v>
      </c>
      <c r="CF142" s="14">
        <v>-0.99386882129277565</v>
      </c>
      <c r="CG142" s="15">
        <v>-0.99971981156888501</v>
      </c>
      <c r="CH142" s="14">
        <v>135.40126037597656</v>
      </c>
      <c r="CI142" s="14">
        <v>0.10859637707471848</v>
      </c>
      <c r="CJ142" s="14">
        <v>-8.4661439061164856E-2</v>
      </c>
      <c r="CK142" s="14">
        <v>4.322526603937149E-2</v>
      </c>
      <c r="CL142" s="14">
        <v>3.0627556145191193E-2</v>
      </c>
      <c r="CM142" s="15">
        <v>4613.654296875</v>
      </c>
      <c r="CN142" s="15">
        <v>-0.60825705528259277</v>
      </c>
      <c r="CO142" s="15">
        <v>-9.6969693899154663E-2</v>
      </c>
      <c r="CP142" s="15">
        <v>9.2715233564376831E-2</v>
      </c>
      <c r="CQ142" s="15">
        <v>-0.43866172432899475</v>
      </c>
      <c r="CR142">
        <v>0.12996303416151986</v>
      </c>
      <c r="CS142">
        <v>4.7957176064775303E-5</v>
      </c>
      <c r="CT142">
        <v>0.5420054200542006</v>
      </c>
      <c r="CU142" s="14">
        <v>27.099809627234936</v>
      </c>
      <c r="CV142" s="15">
        <v>922.52062472701073</v>
      </c>
      <c r="CW142">
        <v>0.06</v>
      </c>
      <c r="CX142">
        <v>6.7048518086163585E-4</v>
      </c>
      <c r="CY142">
        <v>7140426718824.0498</v>
      </c>
      <c r="CZ142">
        <v>27.099809627234936</v>
      </c>
      <c r="DA142">
        <v>1.062794213702983E-6</v>
      </c>
      <c r="DB142">
        <v>4504682315985931</v>
      </c>
      <c r="DC142">
        <v>25.744819145873187</v>
      </c>
      <c r="DD142">
        <v>1.025550826902308E-10</v>
      </c>
      <c r="DE142">
        <v>4.6682720879479652E+19</v>
      </c>
      <c r="DF142">
        <v>23.847832471966743</v>
      </c>
      <c r="DG142">
        <v>8.4266800770406659E-16</v>
      </c>
      <c r="DH142">
        <v>5.6814193208119537E+24</v>
      </c>
      <c r="DI142">
        <v>21.679847701787949</v>
      </c>
      <c r="DJ142">
        <v>5.3053491054097231E-28</v>
      </c>
      <c r="DK142">
        <v>9.0240061584604538E+36</v>
      </c>
      <c r="DL142">
        <v>18.969866739064454</v>
      </c>
      <c r="DM142">
        <v>269356000000</v>
      </c>
      <c r="DN142">
        <v>27.099809627234936</v>
      </c>
      <c r="DO142">
        <v>4787550300</v>
      </c>
      <c r="DP142">
        <v>1938010600</v>
      </c>
      <c r="DQ142">
        <v>3705</v>
      </c>
      <c r="DR142">
        <v>-28.093678448527712</v>
      </c>
      <c r="DS142">
        <v>-923.52034453857959</v>
      </c>
      <c r="DT142" s="16">
        <v>-0.14000000000000004</v>
      </c>
      <c r="DU142">
        <v>-0.54</v>
      </c>
      <c r="DV142">
        <v>-0.68</v>
      </c>
      <c r="DW142">
        <v>-3.0877619047619049</v>
      </c>
      <c r="DX142">
        <v>0.40775193798449721</v>
      </c>
      <c r="DY142">
        <v>-3.0182327057954965</v>
      </c>
      <c r="DZ142">
        <v>2253</v>
      </c>
      <c r="EA142">
        <v>-3.0101939022422179</v>
      </c>
      <c r="EB142">
        <v>3</v>
      </c>
      <c r="EC142">
        <v>3.3800273176834705E-2</v>
      </c>
      <c r="ED142">
        <v>0.16269534476909242</v>
      </c>
      <c r="EE142" s="17">
        <v>3.0674100000000002</v>
      </c>
      <c r="EF142">
        <v>3.0914100000000002</v>
      </c>
      <c r="EG142">
        <v>20.207751937984497</v>
      </c>
      <c r="EH142" t="s">
        <v>2487</v>
      </c>
      <c r="EI142">
        <v>0</v>
      </c>
      <c r="EJ142">
        <v>0</v>
      </c>
      <c r="EK142" s="19">
        <v>45470</v>
      </c>
      <c r="EL142" s="20">
        <v>0.99</v>
      </c>
      <c r="EM142" s="20">
        <v>-2.08</v>
      </c>
      <c r="EN142" s="20">
        <v>-0.75</v>
      </c>
      <c r="EO142" s="20">
        <v>-0.13</v>
      </c>
      <c r="EP142" s="20">
        <v>-2.4</v>
      </c>
    </row>
    <row r="143" spans="1:146" ht="84" x14ac:dyDescent="0.25">
      <c r="A143" s="7"/>
      <c r="B143" s="7"/>
      <c r="C143" s="7" t="str">
        <f>""&amp;CHAR(10)&amp;Basic_Fundamental_Information_Constructure(F143)&amp;CHAR(10)&amp;Basic_Fundamental_Information_Concatenate("")</f>
        <v xml:space="preserve">
市值82.971416亿, 利润13.62亿; PE23.18; 平均PE28.72; 平均PEG156.03, PB1.49; ROIC2.1433%; ROE1.2667%; 股利率1.0728%; 毛利12.0833%; 净利1.6267%; 上一年度营收增-11.24%, 利润增7929.71%; 当季营收增55.16%, 利润增-63.36%; 过往5年营收增-.18%, 利润增1569.27%
Income profile:
</v>
      </c>
      <c r="D143" t="s">
        <v>1164</v>
      </c>
      <c r="E143" t="s">
        <v>1165</v>
      </c>
      <c r="F143">
        <v>5.22</v>
      </c>
      <c r="G143">
        <v>-0.56999999999999995</v>
      </c>
      <c r="H143" t="s">
        <v>5614</v>
      </c>
      <c r="I143">
        <v>8297141600</v>
      </c>
      <c r="J143">
        <v>23.18</v>
      </c>
      <c r="K143">
        <v>1.49</v>
      </c>
      <c r="L143" t="s">
        <v>172</v>
      </c>
      <c r="M143" t="s">
        <v>5615</v>
      </c>
      <c r="N143" t="s">
        <v>5616</v>
      </c>
      <c r="O143" t="s">
        <v>5617</v>
      </c>
      <c r="P143">
        <v>37.58</v>
      </c>
      <c r="Q143" t="s">
        <v>5618</v>
      </c>
      <c r="R143">
        <v>152799930</v>
      </c>
      <c r="S143" s="5">
        <v>12.71</v>
      </c>
      <c r="T143" t="s">
        <v>2239</v>
      </c>
      <c r="U143">
        <v>1568240000</v>
      </c>
      <c r="V143">
        <v>1589490700</v>
      </c>
      <c r="W143">
        <v>2.0699999999999998</v>
      </c>
      <c r="X143">
        <v>0.13</v>
      </c>
      <c r="Y143">
        <v>10.59</v>
      </c>
      <c r="Z143" t="s">
        <v>1050</v>
      </c>
      <c r="AA143" t="s">
        <v>5619</v>
      </c>
      <c r="AB143" t="s">
        <v>5620</v>
      </c>
      <c r="AC143" t="s">
        <v>5621</v>
      </c>
      <c r="AD143" t="s">
        <v>19</v>
      </c>
      <c r="AE143">
        <v>-1889757</v>
      </c>
      <c r="AF143" t="s">
        <v>5622</v>
      </c>
      <c r="AG143" t="s">
        <v>5623</v>
      </c>
      <c r="AH143" t="s">
        <v>5624</v>
      </c>
      <c r="AI143" t="s">
        <v>2774</v>
      </c>
      <c r="AJ143" t="s">
        <v>5625</v>
      </c>
      <c r="AK143" t="s">
        <v>19</v>
      </c>
      <c r="AL143" t="s">
        <v>5626</v>
      </c>
      <c r="AM143" t="s">
        <v>19</v>
      </c>
      <c r="AN143" t="s">
        <v>489</v>
      </c>
      <c r="AO143" t="s">
        <v>5627</v>
      </c>
      <c r="AP143" t="s">
        <v>508</v>
      </c>
      <c r="AQ143" t="s">
        <v>2683</v>
      </c>
      <c r="AR143" t="s">
        <v>19</v>
      </c>
      <c r="AS143" t="s">
        <v>409</v>
      </c>
      <c r="AT143" t="s">
        <v>5628</v>
      </c>
      <c r="AU143" t="s">
        <v>61</v>
      </c>
      <c r="AV143" t="s">
        <v>2623</v>
      </c>
      <c r="AW143" t="s">
        <v>2157</v>
      </c>
      <c r="AX143" t="s">
        <v>1104</v>
      </c>
      <c r="AY143" t="s">
        <v>1731</v>
      </c>
      <c r="AZ143" t="s">
        <v>1166</v>
      </c>
      <c r="BA143" t="s">
        <v>1168</v>
      </c>
      <c r="BB143" t="s">
        <v>1048</v>
      </c>
      <c r="BC143" t="s">
        <v>2314</v>
      </c>
      <c r="BD143" t="s">
        <v>1732</v>
      </c>
      <c r="BE143" t="s">
        <v>1167</v>
      </c>
      <c r="BF143" t="s">
        <v>23</v>
      </c>
      <c r="BG143" t="s">
        <v>28</v>
      </c>
      <c r="BH143" t="s">
        <v>5629</v>
      </c>
      <c r="BI143" t="s">
        <v>1414</v>
      </c>
      <c r="BJ143" t="s">
        <v>1104</v>
      </c>
      <c r="BK143" t="s">
        <v>846</v>
      </c>
      <c r="BL143" t="s">
        <v>1917</v>
      </c>
      <c r="BM143" t="s">
        <v>2314</v>
      </c>
      <c r="BN143">
        <v>2.4700000000000002</v>
      </c>
      <c r="BO143">
        <v>2.2799999999999998</v>
      </c>
      <c r="BP143">
        <v>1.68</v>
      </c>
      <c r="BQ143">
        <v>3.11</v>
      </c>
      <c r="BR143">
        <v>0.4</v>
      </c>
      <c r="BS143">
        <v>0.28999999999999998</v>
      </c>
      <c r="BT143" t="s">
        <v>5630</v>
      </c>
      <c r="BU143" t="s">
        <v>3032</v>
      </c>
      <c r="BV143">
        <v>15.74</v>
      </c>
      <c r="BW143">
        <v>10.55</v>
      </c>
      <c r="BX143">
        <v>9.9600000000000009</v>
      </c>
      <c r="BY143">
        <v>4.2699999999999996</v>
      </c>
      <c r="BZ143">
        <v>0.36</v>
      </c>
      <c r="CA143">
        <v>0.25</v>
      </c>
      <c r="CB143">
        <v>-2.25</v>
      </c>
      <c r="CC143">
        <v>-10.98</v>
      </c>
      <c r="CD143" t="s">
        <v>323</v>
      </c>
      <c r="CE143" t="s">
        <v>943</v>
      </c>
      <c r="CF143" s="14">
        <v>0.55161290322580625</v>
      </c>
      <c r="CG143" s="15">
        <v>-0.63357330935251799</v>
      </c>
      <c r="CH143" s="14">
        <v>-0.11237865686416626</v>
      </c>
      <c r="CI143" s="14">
        <v>-3.1954888254404068E-2</v>
      </c>
      <c r="CJ143" s="14">
        <v>0.23433874547481537</v>
      </c>
      <c r="CK143" s="14">
        <v>3.3883038908243179E-2</v>
      </c>
      <c r="CL143" s="14">
        <v>-0.13309071958065033</v>
      </c>
      <c r="CM143" s="15">
        <v>79.297134399414063</v>
      </c>
      <c r="CN143" s="15">
        <v>0.46093156933784485</v>
      </c>
      <c r="CO143" s="15">
        <v>-0.87243157625198364</v>
      </c>
      <c r="CP143" s="15">
        <v>-0.12487400323152542</v>
      </c>
      <c r="CQ143" s="15">
        <v>-0.29729729890823364</v>
      </c>
      <c r="CR143">
        <v>28.716697042055323</v>
      </c>
      <c r="CS143">
        <v>156.02694086517542</v>
      </c>
      <c r="CT143">
        <v>1.0727969348659006</v>
      </c>
      <c r="CU143" s="14">
        <v>-1.840496063232422E-3</v>
      </c>
      <c r="CV143" s="15">
        <v>15.692692618072034</v>
      </c>
      <c r="CW143">
        <v>0.06</v>
      </c>
      <c r="CX143">
        <v>6.1733785609397946</v>
      </c>
      <c r="CY143" t="s">
        <v>5631</v>
      </c>
      <c r="CZ143">
        <v>-1.840496063232422E-3</v>
      </c>
      <c r="DA143">
        <v>2.0577928536465979</v>
      </c>
      <c r="DB143" t="s">
        <v>5632</v>
      </c>
      <c r="DC143">
        <v>-1.7484712600708008E-3</v>
      </c>
      <c r="DD143">
        <v>1.028896426823299</v>
      </c>
      <c r="DE143" t="s">
        <v>5633</v>
      </c>
      <c r="DF143">
        <v>-1.6196365356445314E-3</v>
      </c>
      <c r="DG143">
        <v>0.6173378560939794</v>
      </c>
      <c r="DH143" t="s">
        <v>5634</v>
      </c>
      <c r="DI143">
        <v>-1.4723968505859376E-3</v>
      </c>
      <c r="DJ143">
        <v>0.3086689280469897</v>
      </c>
      <c r="DK143" t="s">
        <v>5635</v>
      </c>
      <c r="DL143">
        <v>-1.2883472442626954E-3</v>
      </c>
      <c r="DM143">
        <v>1362000000</v>
      </c>
      <c r="DN143">
        <v>-1.840496063232422E-3</v>
      </c>
      <c r="DO143">
        <v>8408141600</v>
      </c>
      <c r="DP143">
        <v>-48979900</v>
      </c>
      <c r="DQ143">
        <v>3728</v>
      </c>
      <c r="DR143">
        <v>0.55345339928903869</v>
      </c>
      <c r="DS143">
        <v>-16.326265927424551</v>
      </c>
      <c r="DT143" s="16">
        <v>-0.3066666666666667</v>
      </c>
      <c r="DU143">
        <v>-0.35666666666666674</v>
      </c>
      <c r="DV143">
        <v>-0.66333333333333344</v>
      </c>
      <c r="DW143">
        <v>-2.1097999999999999</v>
      </c>
      <c r="DX143">
        <v>0.38975247524752432</v>
      </c>
      <c r="DY143">
        <v>-2.0164428217821784</v>
      </c>
      <c r="DZ143">
        <v>2308</v>
      </c>
      <c r="EA143">
        <v>-2.0090162009067836</v>
      </c>
      <c r="EB143">
        <v>2</v>
      </c>
      <c r="EC143">
        <v>7.612501287362046E-2</v>
      </c>
      <c r="ED143">
        <v>0.50833892894120114</v>
      </c>
      <c r="EE143" s="17">
        <v>1.1245099999999999</v>
      </c>
      <c r="EF143">
        <v>2.2100000000000075E-3</v>
      </c>
      <c r="EG143">
        <v>24.149752475247524</v>
      </c>
      <c r="EH143">
        <v>-1</v>
      </c>
      <c r="EI143">
        <v>0</v>
      </c>
      <c r="EJ143">
        <v>0</v>
      </c>
      <c r="EK143" s="19">
        <v>45470</v>
      </c>
      <c r="EL143" s="20">
        <v>0</v>
      </c>
      <c r="EM143" s="20">
        <v>-2.68</v>
      </c>
      <c r="EN143" s="20">
        <v>-2.2599999999999998</v>
      </c>
      <c r="EO143" s="20">
        <v>1.71</v>
      </c>
      <c r="EP143" s="20">
        <v>-2.77</v>
      </c>
    </row>
    <row r="144" spans="1:146" ht="168" x14ac:dyDescent="0.25">
      <c r="A144" s="7" t="s">
        <v>1880</v>
      </c>
      <c r="B144" s="7"/>
      <c r="C144" s="7" t="str">
        <f>"公司的主营业务是汽车零部件的研发、生产和销售。公司的主要产品包括汽车NVH减震系统、整车声学套组、轻量化底盘系统、智能驾驶系统、热管理系统五大业务板块。"&amp;CHAR(10)&amp;Basic_Fundamental_Information_Constructure(F144)&amp;CHAR(10)&amp;Basic_Fundamental_Information_Concatenate("内饰功能件 21.50亿 31.65% 25.49% 17.21%
减震器 18.33亿 26.98% 29.51% 23.37%
底盘系统 17.84亿 26.26% 22.18% 18.04%
热管理系统 6.16亿 9.07% 7.68% 18.07%
其他业务 3.17亿 4.67% 13.49% 61.78%
汽车电子 9334.55万 1.37% 1.65% 25.64%")</f>
        <v>公司的主营业务是汽车零部件的研发、生产和销售。公司的主要产品包括汽车NVH减震系统、整车声学套组、轻量化底盘系统、智能驾驶系统、热管理系统五大业务板块。
市值640.92209亿, 利润9.01亿; PE27.32; 平均PE70.5; 平均PEG7.83, PB3.6; ROIC10.0633%; ROE12.61%; 股利率1.0087%; 毛利21.5067%; 净利10.1367%; 上一年度营收增-81.62%, 利润增-47%; 当季营收增731.58%, 利润增155.1%; 过往5年营收增9%, 利润增16.08%
Income profile:
内饰功能件 21.50亿 31.65% 25.49% 17.21%
减震器 18.33亿 26.98% 29.51% 23.37%
底盘系统 17.84亿 26.26% 22.18% 18.04%
热管理系统 6.16亿 9.07% 7.68% 18.07%
其他业务 3.17亿 4.67% 13.49% 61.78%
汽车电子 9334.55万 1.37% 1.65% 25.64%</v>
      </c>
      <c r="D144" t="s">
        <v>1170</v>
      </c>
      <c r="E144" t="s">
        <v>1171</v>
      </c>
      <c r="F144">
        <v>55.12</v>
      </c>
      <c r="G144">
        <v>-2.82</v>
      </c>
      <c r="H144" t="s">
        <v>5636</v>
      </c>
      <c r="I144">
        <v>64092209000</v>
      </c>
      <c r="J144">
        <v>27.32</v>
      </c>
      <c r="K144">
        <v>3.6</v>
      </c>
      <c r="L144" t="s">
        <v>172</v>
      </c>
      <c r="M144" t="s">
        <v>5637</v>
      </c>
      <c r="N144" t="s">
        <v>5638</v>
      </c>
      <c r="O144" t="s">
        <v>640</v>
      </c>
      <c r="P144">
        <v>27.29</v>
      </c>
      <c r="Q144" t="s">
        <v>5639</v>
      </c>
      <c r="R144">
        <v>645402000</v>
      </c>
      <c r="S144" s="5">
        <v>0.43359999999999999</v>
      </c>
      <c r="T144" t="s">
        <v>174</v>
      </c>
      <c r="U144">
        <v>1102049830</v>
      </c>
      <c r="V144">
        <v>1162775930</v>
      </c>
      <c r="W144">
        <v>1.93</v>
      </c>
      <c r="X144">
        <v>0.17</v>
      </c>
      <c r="Y144">
        <v>11.39</v>
      </c>
      <c r="Z144" t="s">
        <v>5640</v>
      </c>
      <c r="AA144" t="s">
        <v>5641</v>
      </c>
      <c r="AB144" t="s">
        <v>5642</v>
      </c>
      <c r="AC144" t="s">
        <v>127</v>
      </c>
      <c r="AD144" t="s">
        <v>19</v>
      </c>
      <c r="AE144">
        <v>40439841</v>
      </c>
      <c r="AF144" t="s">
        <v>5643</v>
      </c>
      <c r="AG144" t="s">
        <v>5644</v>
      </c>
      <c r="AH144" t="s">
        <v>5645</v>
      </c>
      <c r="AI144" t="s">
        <v>5646</v>
      </c>
      <c r="AJ144" t="s">
        <v>5647</v>
      </c>
      <c r="AK144" t="s">
        <v>515</v>
      </c>
      <c r="AL144" t="s">
        <v>5648</v>
      </c>
      <c r="AM144" t="s">
        <v>19</v>
      </c>
      <c r="AN144" t="s">
        <v>5649</v>
      </c>
      <c r="AO144" t="s">
        <v>83</v>
      </c>
      <c r="AP144" t="s">
        <v>5650</v>
      </c>
      <c r="AQ144" t="s">
        <v>5651</v>
      </c>
      <c r="AR144" t="s">
        <v>19</v>
      </c>
      <c r="AS144" t="s">
        <v>5652</v>
      </c>
      <c r="AT144" t="s">
        <v>2603</v>
      </c>
      <c r="AU144" t="s">
        <v>887</v>
      </c>
      <c r="AV144" t="s">
        <v>5653</v>
      </c>
      <c r="AW144" t="s">
        <v>5654</v>
      </c>
      <c r="AX144" t="s">
        <v>2316</v>
      </c>
      <c r="AY144" t="s">
        <v>1733</v>
      </c>
      <c r="AZ144" t="s">
        <v>1172</v>
      </c>
      <c r="BA144" t="s">
        <v>1175</v>
      </c>
      <c r="BB144" t="s">
        <v>1176</v>
      </c>
      <c r="BC144" t="s">
        <v>2317</v>
      </c>
      <c r="BD144" t="s">
        <v>1584</v>
      </c>
      <c r="BE144" t="s">
        <v>85</v>
      </c>
      <c r="BF144" t="s">
        <v>131</v>
      </c>
      <c r="BG144" t="s">
        <v>1177</v>
      </c>
      <c r="BH144" t="s">
        <v>5655</v>
      </c>
      <c r="BI144" t="s">
        <v>2157</v>
      </c>
      <c r="BJ144" t="s">
        <v>2316</v>
      </c>
      <c r="BK144" t="s">
        <v>3706</v>
      </c>
      <c r="BL144" t="s">
        <v>340</v>
      </c>
      <c r="BM144" t="s">
        <v>2317</v>
      </c>
      <c r="BN144">
        <v>8.58</v>
      </c>
      <c r="BO144">
        <v>11.64</v>
      </c>
      <c r="BP144">
        <v>9.9700000000000006</v>
      </c>
      <c r="BQ144">
        <v>12.46</v>
      </c>
      <c r="BR144">
        <v>15.02</v>
      </c>
      <c r="BS144">
        <v>10.35</v>
      </c>
      <c r="BT144" t="s">
        <v>5656</v>
      </c>
      <c r="BU144" t="s">
        <v>2920</v>
      </c>
      <c r="BV144">
        <v>23.03</v>
      </c>
      <c r="BW144">
        <v>21.61</v>
      </c>
      <c r="BX144">
        <v>19.88</v>
      </c>
      <c r="BY144">
        <v>10.91</v>
      </c>
      <c r="BZ144">
        <v>10.62</v>
      </c>
      <c r="CA144">
        <v>8.8800000000000008</v>
      </c>
      <c r="CB144">
        <v>2.82</v>
      </c>
      <c r="CC144">
        <v>-5.47</v>
      </c>
      <c r="CD144" t="s">
        <v>5657</v>
      </c>
      <c r="CE144" t="s">
        <v>767</v>
      </c>
      <c r="CF144" s="14">
        <v>7.3157894736842106</v>
      </c>
      <c r="CG144" s="15">
        <v>1.5509960474308302</v>
      </c>
      <c r="CH144" s="14">
        <v>-0.81616955995559692</v>
      </c>
      <c r="CI144" s="14">
        <v>0.39518448710441589</v>
      </c>
      <c r="CJ144" s="14">
        <v>0.76055902242660522</v>
      </c>
      <c r="CK144" s="14">
        <v>0.21496547758579254</v>
      </c>
      <c r="CL144" s="14">
        <v>-0.10444517433643341</v>
      </c>
      <c r="CM144" s="15">
        <v>-0.4699999988079071</v>
      </c>
      <c r="CN144" s="15">
        <v>0.67158311605453491</v>
      </c>
      <c r="CO144" s="15">
        <v>0.61942672729492188</v>
      </c>
      <c r="CP144" s="15">
        <v>0.37719297409057617</v>
      </c>
      <c r="CQ144" s="15">
        <v>-0.39442232251167297</v>
      </c>
      <c r="CR144">
        <v>70.495555270394135</v>
      </c>
      <c r="CS144">
        <v>7.8311992241586417</v>
      </c>
      <c r="CT144">
        <v>1.0087082728592163</v>
      </c>
      <c r="CU144" s="14">
        <v>9.0018850564956662E-2</v>
      </c>
      <c r="CV144" s="15">
        <v>0.16075609922409057</v>
      </c>
      <c r="CW144">
        <v>0.06</v>
      </c>
      <c r="CX144">
        <v>68.089711818558897</v>
      </c>
      <c r="CY144">
        <v>926516022.98021317</v>
      </c>
      <c r="CZ144">
        <v>9.0018850564956662E-2</v>
      </c>
      <c r="DA144">
        <v>22.250727451559325</v>
      </c>
      <c r="DB144">
        <v>2835242539.2536521</v>
      </c>
      <c r="DC144">
        <v>8.551790803670882E-2</v>
      </c>
      <c r="DD144">
        <v>10.953284151366889</v>
      </c>
      <c r="DE144">
        <v>5759570200.8814688</v>
      </c>
      <c r="DF144">
        <v>7.9216588497161858E-2</v>
      </c>
      <c r="DG144">
        <v>6.5774781323718061</v>
      </c>
      <c r="DH144">
        <v>9591245722.2037811</v>
      </c>
      <c r="DI144">
        <v>7.2015080451965335E-2</v>
      </c>
      <c r="DJ144">
        <v>3.3976385051592968</v>
      </c>
      <c r="DK144">
        <v>18567663659.392815</v>
      </c>
      <c r="DL144">
        <v>6.3013195395469665E-2</v>
      </c>
      <c r="DM144">
        <v>901000000</v>
      </c>
      <c r="DN144">
        <v>9.0018850564956662E-2</v>
      </c>
      <c r="DO144">
        <v>63086209000</v>
      </c>
      <c r="DP144">
        <v>4457848000</v>
      </c>
      <c r="DQ144">
        <v>3767</v>
      </c>
      <c r="DR144">
        <v>7.2257706231192538</v>
      </c>
      <c r="DS144">
        <v>1.3902399482067396</v>
      </c>
      <c r="DT144" s="16">
        <v>-0.24000000000000007</v>
      </c>
      <c r="DU144">
        <v>0.6366666666666666</v>
      </c>
      <c r="DV144">
        <v>0.3966666666666665</v>
      </c>
      <c r="DW144">
        <v>6.340168878166466</v>
      </c>
      <c r="DX144">
        <v>0.4383646464646449</v>
      </c>
      <c r="DY144">
        <v>6.0708791680374308</v>
      </c>
      <c r="DZ144">
        <v>1703</v>
      </c>
      <c r="EA144">
        <v>6.0472574022511791</v>
      </c>
      <c r="EB144">
        <v>6</v>
      </c>
      <c r="EC144">
        <v>5.3221173919553014E-2</v>
      </c>
      <c r="ED144">
        <v>0.25542324392628252</v>
      </c>
      <c r="EE144" s="17">
        <v>2.0906099999999999</v>
      </c>
      <c r="EF144">
        <v>2.10791</v>
      </c>
      <c r="EG144">
        <v>23.208364646464645</v>
      </c>
      <c r="EH144" t="s">
        <v>1836</v>
      </c>
      <c r="EI144">
        <v>0</v>
      </c>
      <c r="EJ144">
        <v>0</v>
      </c>
      <c r="EK144" s="19">
        <v>45470</v>
      </c>
      <c r="EL144" s="20">
        <v>0.31</v>
      </c>
      <c r="EM144" s="20">
        <v>-1.08</v>
      </c>
      <c r="EN144" s="20">
        <v>-1.79</v>
      </c>
      <c r="EO144" s="20">
        <v>0.63</v>
      </c>
      <c r="EP144" s="20">
        <v>-1.73</v>
      </c>
    </row>
    <row r="145" spans="1:146" ht="84" x14ac:dyDescent="0.25">
      <c r="A145" s="7"/>
      <c r="B145" s="7"/>
      <c r="C145" s="7" t="str">
        <f>""&amp;CHAR(10)&amp;Basic_Fundamental_Information_Constructure(F145)&amp;CHAR(10)&amp;Basic_Fundamental_Information_Concatenate("")</f>
        <v xml:space="preserve">
市值336.53036亿, 利润238.12亿; PE29.49; 平均PE7.14; 平均PEG0, PB3.59; ROIC10.77%; ROE11.7567%; 股利率1.0187%; 毛利21.94%; 净利11.3867%; 上一年度营收增9098.3%, 利润增2430.5%; 当季营收增-98.63%, 利润增-95.65%; 过往5年营收增1830.17%, 利润增497.52%
Income profile:
</v>
      </c>
      <c r="D145" t="s">
        <v>1178</v>
      </c>
      <c r="E145" t="s">
        <v>1179</v>
      </c>
      <c r="F145">
        <v>117.8</v>
      </c>
      <c r="G145">
        <v>1.36</v>
      </c>
      <c r="H145" t="s">
        <v>5658</v>
      </c>
      <c r="I145">
        <v>33653036000</v>
      </c>
      <c r="J145">
        <v>29.49</v>
      </c>
      <c r="K145">
        <v>3.59</v>
      </c>
      <c r="L145" t="s">
        <v>172</v>
      </c>
      <c r="M145" t="s">
        <v>2209</v>
      </c>
      <c r="N145" t="s">
        <v>5659</v>
      </c>
      <c r="O145" t="s">
        <v>5660</v>
      </c>
      <c r="P145">
        <v>25.47</v>
      </c>
      <c r="Q145" t="s">
        <v>5661</v>
      </c>
      <c r="R145">
        <v>242777830</v>
      </c>
      <c r="S145" s="5">
        <v>0.1923</v>
      </c>
      <c r="T145" t="s">
        <v>5662</v>
      </c>
      <c r="U145">
        <v>285679420</v>
      </c>
      <c r="V145">
        <v>285679420</v>
      </c>
      <c r="W145">
        <v>1.59</v>
      </c>
      <c r="X145">
        <v>0.16</v>
      </c>
      <c r="Y145">
        <v>10.06</v>
      </c>
      <c r="Z145" t="s">
        <v>5663</v>
      </c>
      <c r="AA145" t="s">
        <v>1049</v>
      </c>
      <c r="AB145" t="s">
        <v>5664</v>
      </c>
      <c r="AC145" t="s">
        <v>5665</v>
      </c>
      <c r="AD145" t="s">
        <v>19</v>
      </c>
      <c r="AE145">
        <v>7183159</v>
      </c>
      <c r="AF145" t="s">
        <v>21</v>
      </c>
      <c r="AG145" t="s">
        <v>5666</v>
      </c>
      <c r="AH145" t="s">
        <v>5667</v>
      </c>
      <c r="AI145" t="s">
        <v>2794</v>
      </c>
      <c r="AJ145" t="s">
        <v>5668</v>
      </c>
      <c r="AK145" t="s">
        <v>5669</v>
      </c>
      <c r="AL145" t="s">
        <v>5670</v>
      </c>
      <c r="AM145" t="s">
        <v>19</v>
      </c>
      <c r="AN145" t="s">
        <v>2822</v>
      </c>
      <c r="AO145" t="s">
        <v>19</v>
      </c>
      <c r="AP145" t="s">
        <v>2602</v>
      </c>
      <c r="AQ145" t="s">
        <v>5671</v>
      </c>
      <c r="AR145" t="s">
        <v>19</v>
      </c>
      <c r="AS145" t="s">
        <v>5672</v>
      </c>
      <c r="AT145" t="s">
        <v>19</v>
      </c>
      <c r="AU145" t="s">
        <v>128</v>
      </c>
      <c r="AV145" t="s">
        <v>5673</v>
      </c>
      <c r="AW145" t="s">
        <v>5674</v>
      </c>
      <c r="AX145" t="s">
        <v>2319</v>
      </c>
      <c r="AY145" t="s">
        <v>1734</v>
      </c>
      <c r="AZ145" t="s">
        <v>1180</v>
      </c>
      <c r="BA145" t="s">
        <v>1182</v>
      </c>
      <c r="BB145" t="s">
        <v>1183</v>
      </c>
      <c r="BC145" t="s">
        <v>2320</v>
      </c>
      <c r="BD145" t="s">
        <v>97</v>
      </c>
      <c r="BE145" t="s">
        <v>763</v>
      </c>
      <c r="BF145" t="s">
        <v>1184</v>
      </c>
      <c r="BG145" t="s">
        <v>806</v>
      </c>
      <c r="BH145" t="s">
        <v>5675</v>
      </c>
      <c r="BI145" t="s">
        <v>5676</v>
      </c>
      <c r="BJ145" t="s">
        <v>2319</v>
      </c>
      <c r="BK145" t="s">
        <v>658</v>
      </c>
      <c r="BL145" t="s">
        <v>5363</v>
      </c>
      <c r="BM145" t="s">
        <v>2320</v>
      </c>
      <c r="BN145">
        <v>8.81</v>
      </c>
      <c r="BO145">
        <v>11.08</v>
      </c>
      <c r="BP145">
        <v>12.42</v>
      </c>
      <c r="BQ145">
        <v>9.0399999999999991</v>
      </c>
      <c r="BR145">
        <v>11.59</v>
      </c>
      <c r="BS145">
        <v>14.64</v>
      </c>
      <c r="BT145" t="s">
        <v>5677</v>
      </c>
      <c r="BU145" t="s">
        <v>3084</v>
      </c>
      <c r="BV145">
        <v>21.18</v>
      </c>
      <c r="BW145">
        <v>22.56</v>
      </c>
      <c r="BX145">
        <v>22.08</v>
      </c>
      <c r="BY145">
        <v>10.75</v>
      </c>
      <c r="BZ145">
        <v>11.41</v>
      </c>
      <c r="CA145">
        <v>12</v>
      </c>
      <c r="CB145">
        <v>5.14</v>
      </c>
      <c r="CC145">
        <v>-4.8899999999999997</v>
      </c>
      <c r="CD145" t="s">
        <v>5678</v>
      </c>
      <c r="CE145" t="s">
        <v>5679</v>
      </c>
      <c r="CF145" s="14">
        <v>-0.98634131977280837</v>
      </c>
      <c r="CG145" s="15">
        <v>-0.95650701719813691</v>
      </c>
      <c r="CH145" s="14">
        <v>90.9830322265625</v>
      </c>
      <c r="CI145" s="14">
        <v>4.2862534523010254E-2</v>
      </c>
      <c r="CJ145" s="14">
        <v>8.0021902918815613E-2</v>
      </c>
      <c r="CK145" s="14">
        <v>0.20206820964813232</v>
      </c>
      <c r="CL145" s="14">
        <v>0.20063075423240662</v>
      </c>
      <c r="CM145" s="15">
        <v>24.304994583129883</v>
      </c>
      <c r="CN145" s="15">
        <v>-9.4736842438578606E-3</v>
      </c>
      <c r="CO145" s="15">
        <v>-0.18103447556495667</v>
      </c>
      <c r="CP145" s="15">
        <v>0.46835443377494812</v>
      </c>
      <c r="CQ145" s="15">
        <v>0.29296234250068665</v>
      </c>
      <c r="CR145">
        <v>7.1440070761392578</v>
      </c>
      <c r="CS145">
        <v>3.9034614539411238E-3</v>
      </c>
      <c r="CT145">
        <v>1.0186757215619695</v>
      </c>
      <c r="CU145" s="14">
        <v>18.301723125576974</v>
      </c>
      <c r="CV145" s="15">
        <v>4.9751606399193404</v>
      </c>
      <c r="CW145">
        <v>0.06</v>
      </c>
      <c r="CX145">
        <v>6.8983522246651677E-2</v>
      </c>
      <c r="CY145">
        <v>433596821760.60272</v>
      </c>
      <c r="CZ145">
        <v>18.301723125576974</v>
      </c>
      <c r="DA145">
        <v>2.2685140317700993E-4</v>
      </c>
      <c r="DB145">
        <v>131852990905507.92</v>
      </c>
      <c r="DC145">
        <v>17.386636969298124</v>
      </c>
      <c r="DD145">
        <v>6.6722325774204374E-8</v>
      </c>
      <c r="DE145">
        <v>4.4829126762190822E+17</v>
      </c>
      <c r="DF145">
        <v>16.105516350507738</v>
      </c>
      <c r="DG145">
        <v>2.3925858902634921E-12</v>
      </c>
      <c r="DH145">
        <v>1.2501551614812014E+22</v>
      </c>
      <c r="DI145">
        <v>14.641378500461579</v>
      </c>
      <c r="DJ145">
        <v>5.8323068923735879E-23</v>
      </c>
      <c r="DK145">
        <v>5.128508590505092E+32</v>
      </c>
      <c r="DL145">
        <v>12.811206187903881</v>
      </c>
      <c r="DM145">
        <v>23812000000</v>
      </c>
      <c r="DN145">
        <v>18.301723125576974</v>
      </c>
      <c r="DO145">
        <v>29911036000</v>
      </c>
      <c r="DP145">
        <v>5263465100</v>
      </c>
      <c r="DQ145">
        <v>3783</v>
      </c>
      <c r="DR145">
        <v>-19.288064445349782</v>
      </c>
      <c r="DS145">
        <v>-5.9316676571174778</v>
      </c>
      <c r="DT145" s="16">
        <v>7.6666666666666591E-2</v>
      </c>
      <c r="DU145">
        <v>-5.6666666666666719E-2</v>
      </c>
      <c r="DV145">
        <v>1.9999999999999872E-2</v>
      </c>
      <c r="DW145">
        <v>4.9513618677042803</v>
      </c>
      <c r="DX145">
        <v>0.43197487978323762</v>
      </c>
      <c r="DY145">
        <v>4.1350694867976712</v>
      </c>
      <c r="DZ145">
        <v>4427</v>
      </c>
      <c r="EA145">
        <v>4.0180533188811758</v>
      </c>
      <c r="EB145">
        <v>4</v>
      </c>
      <c r="EC145">
        <v>2.002909415035917E-2</v>
      </c>
      <c r="ED145">
        <v>0.14107491537192285</v>
      </c>
      <c r="EE145" s="17">
        <v>-5.0481100000000003</v>
      </c>
      <c r="EF145">
        <v>-5.0679100000000004</v>
      </c>
      <c r="EG145">
        <v>29.141974879783238</v>
      </c>
      <c r="EH145" t="s">
        <v>2872</v>
      </c>
      <c r="EI145">
        <v>0</v>
      </c>
      <c r="EJ145">
        <v>0</v>
      </c>
      <c r="EK145" s="19">
        <v>45470</v>
      </c>
      <c r="EL145" s="20">
        <v>-0.2</v>
      </c>
      <c r="EM145" s="20">
        <v>-4.01</v>
      </c>
      <c r="EN145" s="20">
        <v>2.5099999999999998</v>
      </c>
      <c r="EO145" s="20">
        <v>2.65</v>
      </c>
      <c r="EP145" s="20">
        <v>-1.98</v>
      </c>
    </row>
    <row r="146" spans="1:146" ht="84" x14ac:dyDescent="0.25">
      <c r="A146" s="7"/>
      <c r="B146" s="7"/>
      <c r="C146" s="7" t="str">
        <f>""&amp;CHAR(10)&amp;Basic_Fundamental_Information_Constructure(F146)&amp;CHAR(10)&amp;Basic_Fundamental_Information_Concatenate("")</f>
        <v xml:space="preserve">
市值256.39295亿, 利润2.19亿; PE15.85; 平均PE24.15; 平均PEG2.84, PB1.21; ROIC3.1933%; ROE3.7367%; 股利率1.6437%; 毛利17.2933%; 净利4.2867%; 上一年度营收增-54.37%, 利润增-25%; 当季营收增186.81%, 利润增619.12%; 过往5年营收增-8.5%, 利润增-15.62%
Income profile:
</v>
      </c>
      <c r="D146" t="s">
        <v>1185</v>
      </c>
      <c r="E146" t="s">
        <v>1186</v>
      </c>
      <c r="F146">
        <v>17.399999999999999</v>
      </c>
      <c r="G146">
        <v>-0.11</v>
      </c>
      <c r="H146" t="s">
        <v>5680</v>
      </c>
      <c r="I146">
        <v>25639295000</v>
      </c>
      <c r="J146">
        <v>15.85</v>
      </c>
      <c r="K146">
        <v>1.21</v>
      </c>
      <c r="L146" t="s">
        <v>172</v>
      </c>
      <c r="M146" t="s">
        <v>5681</v>
      </c>
      <c r="N146" t="s">
        <v>5682</v>
      </c>
      <c r="O146" t="s">
        <v>5683</v>
      </c>
      <c r="P146">
        <v>15.04</v>
      </c>
      <c r="Q146" t="s">
        <v>5684</v>
      </c>
      <c r="R146">
        <v>441062930</v>
      </c>
      <c r="S146" s="5">
        <v>1.0629999999999999</v>
      </c>
      <c r="T146" t="s">
        <v>69</v>
      </c>
      <c r="U146">
        <v>1473522700</v>
      </c>
      <c r="V146">
        <v>1473522700</v>
      </c>
      <c r="W146">
        <v>2.08</v>
      </c>
      <c r="X146">
        <v>0.12</v>
      </c>
      <c r="Y146">
        <v>8.74</v>
      </c>
      <c r="Z146" t="s">
        <v>5685</v>
      </c>
      <c r="AA146" t="s">
        <v>5686</v>
      </c>
      <c r="AB146" t="s">
        <v>128</v>
      </c>
      <c r="AC146" t="s">
        <v>720</v>
      </c>
      <c r="AD146" t="s">
        <v>19</v>
      </c>
      <c r="AE146">
        <v>104681638</v>
      </c>
      <c r="AF146" t="s">
        <v>5687</v>
      </c>
      <c r="AG146" t="s">
        <v>5688</v>
      </c>
      <c r="AH146" t="s">
        <v>5689</v>
      </c>
      <c r="AI146" t="s">
        <v>5690</v>
      </c>
      <c r="AJ146" t="s">
        <v>5691</v>
      </c>
      <c r="AK146" t="s">
        <v>827</v>
      </c>
      <c r="AL146" t="s">
        <v>5692</v>
      </c>
      <c r="AM146" t="s">
        <v>19</v>
      </c>
      <c r="AN146" t="s">
        <v>5693</v>
      </c>
      <c r="AO146" t="s">
        <v>5694</v>
      </c>
      <c r="AP146" t="s">
        <v>2782</v>
      </c>
      <c r="AQ146" t="s">
        <v>5695</v>
      </c>
      <c r="AR146" t="s">
        <v>5696</v>
      </c>
      <c r="AS146" t="s">
        <v>5697</v>
      </c>
      <c r="AT146" t="s">
        <v>2952</v>
      </c>
      <c r="AU146" t="s">
        <v>2000</v>
      </c>
      <c r="AV146" t="s">
        <v>5698</v>
      </c>
      <c r="AW146" t="s">
        <v>257</v>
      </c>
      <c r="AX146" t="s">
        <v>2321</v>
      </c>
      <c r="AY146" t="s">
        <v>1735</v>
      </c>
      <c r="AZ146" t="s">
        <v>1187</v>
      </c>
      <c r="BA146" t="s">
        <v>1190</v>
      </c>
      <c r="BB146" t="s">
        <v>1191</v>
      </c>
      <c r="BC146" t="s">
        <v>480</v>
      </c>
      <c r="BD146" t="s">
        <v>876</v>
      </c>
      <c r="BE146" t="s">
        <v>1188</v>
      </c>
      <c r="BF146" t="s">
        <v>1192</v>
      </c>
      <c r="BG146" t="s">
        <v>1193</v>
      </c>
      <c r="BH146" t="s">
        <v>5699</v>
      </c>
      <c r="BI146" t="s">
        <v>5700</v>
      </c>
      <c r="BJ146" t="s">
        <v>2321</v>
      </c>
      <c r="BK146" t="s">
        <v>2014</v>
      </c>
      <c r="BL146" t="s">
        <v>5701</v>
      </c>
      <c r="BM146" t="s">
        <v>480</v>
      </c>
      <c r="BN146">
        <v>3.41</v>
      </c>
      <c r="BO146">
        <v>1.93</v>
      </c>
      <c r="BP146">
        <v>4.24</v>
      </c>
      <c r="BQ146">
        <v>4.84</v>
      </c>
      <c r="BR146">
        <v>1.58</v>
      </c>
      <c r="BS146">
        <v>4.79</v>
      </c>
      <c r="BT146" t="s">
        <v>5702</v>
      </c>
      <c r="BU146" t="s">
        <v>3032</v>
      </c>
      <c r="BV146">
        <v>21.01</v>
      </c>
      <c r="BW146">
        <v>13.61</v>
      </c>
      <c r="BX146">
        <v>17.260000000000002</v>
      </c>
      <c r="BY146">
        <v>6.9</v>
      </c>
      <c r="BZ146">
        <v>1.72</v>
      </c>
      <c r="CA146">
        <v>4.24</v>
      </c>
      <c r="CB146">
        <v>-5.28</v>
      </c>
      <c r="CC146">
        <v>-17.23</v>
      </c>
      <c r="CD146" t="s">
        <v>5703</v>
      </c>
      <c r="CE146" t="s">
        <v>819</v>
      </c>
      <c r="CF146" s="14">
        <v>1.8681068789084707</v>
      </c>
      <c r="CG146" s="15">
        <v>6.1912356073526009</v>
      </c>
      <c r="CH146" s="14">
        <v>-0.54369044303894043</v>
      </c>
      <c r="CI146" s="14">
        <v>-8.4665440022945404E-2</v>
      </c>
      <c r="CJ146" s="14">
        <v>1.0662010870873928E-2</v>
      </c>
      <c r="CK146" s="14">
        <v>7.1020700037479401E-2</v>
      </c>
      <c r="CL146" s="14">
        <v>0.12168348580598831</v>
      </c>
      <c r="CM146" s="15">
        <v>-0.25</v>
      </c>
      <c r="CN146" s="15">
        <v>-0.62991130352020264</v>
      </c>
      <c r="CO146" s="15">
        <v>-0.64459460973739624</v>
      </c>
      <c r="CP146" s="15">
        <v>0.33093523979187012</v>
      </c>
      <c r="CQ146" s="15">
        <v>0.4123624861240387</v>
      </c>
      <c r="CR146">
        <v>24.153834196891193</v>
      </c>
      <c r="CS146">
        <v>2.8416965132112511</v>
      </c>
      <c r="CT146">
        <v>1.6436781609195403</v>
      </c>
      <c r="CU146" s="14">
        <v>-8.4997937269508841E-2</v>
      </c>
      <c r="CV146" s="15">
        <v>-0.15624163746833802</v>
      </c>
      <c r="CW146">
        <v>0.06</v>
      </c>
      <c r="CX146">
        <v>122.27988584474886</v>
      </c>
      <c r="CY146" t="s">
        <v>5704</v>
      </c>
      <c r="CZ146">
        <v>-8.4997937269508841E-2</v>
      </c>
      <c r="DA146">
        <v>40.759961948249618</v>
      </c>
      <c r="DB146" t="s">
        <v>5705</v>
      </c>
      <c r="DC146">
        <v>-8.0748040406033395E-2</v>
      </c>
      <c r="DD146">
        <v>20.379980974124809</v>
      </c>
      <c r="DE146" t="s">
        <v>5706</v>
      </c>
      <c r="DF146">
        <v>-7.479818479716778E-2</v>
      </c>
      <c r="DG146">
        <v>12.227988584474886</v>
      </c>
      <c r="DH146" t="s">
        <v>5707</v>
      </c>
      <c r="DI146">
        <v>-6.7998349815607081E-2</v>
      </c>
      <c r="DJ146">
        <v>6.1139942922374431</v>
      </c>
      <c r="DK146" t="s">
        <v>5708</v>
      </c>
      <c r="DL146">
        <v>-5.9498556088656188E-2</v>
      </c>
      <c r="DM146">
        <v>219000000</v>
      </c>
      <c r="DN146">
        <v>-8.4997937269508841E-2</v>
      </c>
      <c r="DO146">
        <v>26779295000</v>
      </c>
      <c r="DP146">
        <v>-3521243000</v>
      </c>
      <c r="DQ146">
        <v>3829</v>
      </c>
      <c r="DR146">
        <v>1.9531048161779796</v>
      </c>
      <c r="DS146">
        <v>6.3474772448209391</v>
      </c>
      <c r="DT146" s="16">
        <v>-0.60666666666666669</v>
      </c>
      <c r="DU146">
        <v>8.3333333333333218E-2</v>
      </c>
      <c r="DV146">
        <v>-0.52333333333333343</v>
      </c>
      <c r="DW146">
        <v>-8.3064422518862457</v>
      </c>
      <c r="DX146">
        <v>0.39081487179487295</v>
      </c>
      <c r="DY146">
        <v>-8.0492804714496184</v>
      </c>
      <c r="DZ146">
        <v>601</v>
      </c>
      <c r="EA146">
        <v>-8.0434844707957591</v>
      </c>
      <c r="EB146">
        <v>8</v>
      </c>
      <c r="EC146">
        <v>4.2563171914487642E-2</v>
      </c>
      <c r="ED146">
        <v>0.26467186423392053</v>
      </c>
      <c r="EE146" s="17">
        <v>-2.1049099999999998</v>
      </c>
      <c r="EF146">
        <v>-2.1342099999999999</v>
      </c>
      <c r="EG146">
        <v>23.160814871794873</v>
      </c>
      <c r="EH146" t="s">
        <v>2497</v>
      </c>
      <c r="EI146">
        <v>0</v>
      </c>
      <c r="EJ146">
        <v>1</v>
      </c>
      <c r="EK146" s="19">
        <v>45470</v>
      </c>
      <c r="EL146" s="20">
        <v>1.94</v>
      </c>
      <c r="EM146" s="20">
        <v>-2.58</v>
      </c>
      <c r="EN146" s="20">
        <v>-0.35</v>
      </c>
      <c r="EO146" s="20">
        <v>0.57999999999999996</v>
      </c>
      <c r="EP146" s="20">
        <v>-2.93</v>
      </c>
    </row>
    <row r="147" spans="1:146" ht="84" x14ac:dyDescent="0.25">
      <c r="A147" s="7"/>
      <c r="B147" s="7"/>
      <c r="C147" s="7" t="str">
        <f>""&amp;CHAR(10)&amp;Basic_Fundamental_Information_Constructure(F147)&amp;CHAR(10)&amp;Basic_Fundamental_Information_Concatenate("")</f>
        <v xml:space="preserve">
市值23.01001亿, 利润-1.83亿; PE25; 平均PE32.79; 平均PEG2.19, PB1.58; ROIC7.54%; ROE9.21%; 股利率3.0939%; 毛利24.46%; 净利10.97%; 上一年度营收增-87.08%, 利润增-223.65%; 当季营收增996.95%, 利润增156.34%; 过往5年营收增-14.96%, 利润增-33.85%
Income profile:
</v>
      </c>
      <c r="D147" t="s">
        <v>1195</v>
      </c>
      <c r="E147" t="s">
        <v>1196</v>
      </c>
      <c r="F147">
        <v>9.0500000000000007</v>
      </c>
      <c r="G147">
        <v>-1.52</v>
      </c>
      <c r="H147" t="s">
        <v>5709</v>
      </c>
      <c r="I147">
        <v>2301001000</v>
      </c>
      <c r="J147">
        <v>25</v>
      </c>
      <c r="K147">
        <v>1.58</v>
      </c>
      <c r="L147" t="s">
        <v>172</v>
      </c>
      <c r="M147" t="s">
        <v>150</v>
      </c>
      <c r="N147" t="s">
        <v>5710</v>
      </c>
      <c r="O147" t="s">
        <v>333</v>
      </c>
      <c r="P147">
        <v>-28.7</v>
      </c>
      <c r="Q147" t="s">
        <v>86</v>
      </c>
      <c r="R147">
        <v>13795541</v>
      </c>
      <c r="S147" s="5">
        <v>-0.49380000000000002</v>
      </c>
      <c r="T147" t="s">
        <v>2578</v>
      </c>
      <c r="U147">
        <v>254254250</v>
      </c>
      <c r="V147">
        <v>254254250</v>
      </c>
      <c r="W147">
        <v>1.27</v>
      </c>
      <c r="X147">
        <v>0.08</v>
      </c>
      <c r="Y147">
        <v>7.36</v>
      </c>
      <c r="Z147" t="s">
        <v>86</v>
      </c>
      <c r="AA147" t="s">
        <v>441</v>
      </c>
      <c r="AB147" t="s">
        <v>5711</v>
      </c>
      <c r="AC147" t="s">
        <v>5712</v>
      </c>
      <c r="AD147" t="s">
        <v>19</v>
      </c>
      <c r="AE147">
        <v>-2341144</v>
      </c>
      <c r="AF147" t="s">
        <v>5713</v>
      </c>
      <c r="AG147" t="s">
        <v>5714</v>
      </c>
      <c r="AH147" t="s">
        <v>5715</v>
      </c>
      <c r="AI147" t="s">
        <v>1779</v>
      </c>
      <c r="AJ147" t="s">
        <v>5716</v>
      </c>
      <c r="AK147" t="s">
        <v>19</v>
      </c>
      <c r="AL147" t="s">
        <v>5717</v>
      </c>
      <c r="AM147" t="s">
        <v>19</v>
      </c>
      <c r="AN147" t="s">
        <v>5718</v>
      </c>
      <c r="AO147" t="s">
        <v>19</v>
      </c>
      <c r="AP147" t="s">
        <v>329</v>
      </c>
      <c r="AQ147" t="s">
        <v>361</v>
      </c>
      <c r="AR147" t="s">
        <v>5719</v>
      </c>
      <c r="AS147" t="s">
        <v>1873</v>
      </c>
      <c r="AT147" t="s">
        <v>19</v>
      </c>
      <c r="AU147" t="s">
        <v>5720</v>
      </c>
      <c r="AV147" t="s">
        <v>5721</v>
      </c>
      <c r="AW147" t="s">
        <v>19</v>
      </c>
      <c r="AX147" t="s">
        <v>2322</v>
      </c>
      <c r="AY147" t="s">
        <v>1625</v>
      </c>
      <c r="AZ147" t="s">
        <v>1586</v>
      </c>
      <c r="BA147" t="s">
        <v>1197</v>
      </c>
      <c r="BB147" t="s">
        <v>1198</v>
      </c>
      <c r="BC147" t="s">
        <v>28</v>
      </c>
      <c r="BD147" t="s">
        <v>501</v>
      </c>
      <c r="BE147" t="s">
        <v>462</v>
      </c>
      <c r="BF147" t="s">
        <v>1201</v>
      </c>
      <c r="BG147" t="s">
        <v>65</v>
      </c>
      <c r="BH147" t="s">
        <v>2629</v>
      </c>
      <c r="BI147" t="s">
        <v>5722</v>
      </c>
      <c r="BJ147" t="s">
        <v>2322</v>
      </c>
      <c r="BK147" t="s">
        <v>414</v>
      </c>
      <c r="BL147" t="s">
        <v>5723</v>
      </c>
      <c r="BM147" t="s">
        <v>28</v>
      </c>
      <c r="BN147">
        <v>5.49</v>
      </c>
      <c r="BO147">
        <v>8.7200000000000006</v>
      </c>
      <c r="BP147">
        <v>8.41</v>
      </c>
      <c r="BQ147">
        <v>6.95</v>
      </c>
      <c r="BR147">
        <v>10.48</v>
      </c>
      <c r="BS147">
        <v>10.199999999999999</v>
      </c>
      <c r="BT147" t="s">
        <v>2311</v>
      </c>
      <c r="BU147" t="s">
        <v>3125</v>
      </c>
      <c r="BV147">
        <v>25.85</v>
      </c>
      <c r="BW147">
        <v>23.79</v>
      </c>
      <c r="BX147">
        <v>23.74</v>
      </c>
      <c r="BY147">
        <v>8.73</v>
      </c>
      <c r="BZ147">
        <v>12.47</v>
      </c>
      <c r="CA147">
        <v>11.71</v>
      </c>
      <c r="CB147">
        <v>-6.99</v>
      </c>
      <c r="CC147">
        <v>-18.54</v>
      </c>
      <c r="CD147" t="s">
        <v>5724</v>
      </c>
      <c r="CE147" t="s">
        <v>115</v>
      </c>
      <c r="CF147" s="14">
        <v>9.9695112114857238</v>
      </c>
      <c r="CG147" s="15">
        <v>1.5634466717311573</v>
      </c>
      <c r="CH147" s="14">
        <v>-0.87083673477172852</v>
      </c>
      <c r="CI147" s="14">
        <v>9.0164458379149437E-3</v>
      </c>
      <c r="CJ147" s="14">
        <v>8.8314063847064972E-2</v>
      </c>
      <c r="CK147" s="14">
        <v>8.2046270370483398E-2</v>
      </c>
      <c r="CL147" s="14">
        <v>-5.6466303765773773E-2</v>
      </c>
      <c r="CM147" s="15">
        <v>-2.2364864349365234</v>
      </c>
      <c r="CN147" s="15">
        <v>8.0291971564292908E-2</v>
      </c>
      <c r="CO147" s="15">
        <v>5.3846154361963272E-2</v>
      </c>
      <c r="CP147" s="15">
        <v>0.78000026941299438</v>
      </c>
      <c r="CQ147" s="15">
        <v>-0.37039917707443237</v>
      </c>
      <c r="CR147">
        <v>32.790738603584465</v>
      </c>
      <c r="CS147">
        <v>2.1921104007054937</v>
      </c>
      <c r="CT147">
        <v>3.0939226519337013</v>
      </c>
      <c r="CU147" s="14">
        <v>-0.14958525169640779</v>
      </c>
      <c r="CV147" s="15">
        <v>-0.33854944333434106</v>
      </c>
      <c r="CW147">
        <v>0.06</v>
      </c>
      <c r="CX147" t="e">
        <v>#VALUE!</v>
      </c>
      <c r="CY147" t="s">
        <v>1835</v>
      </c>
      <c r="CZ147">
        <v>-0.14958525169640779</v>
      </c>
      <c r="DA147" t="e">
        <v>#VALUE!</v>
      </c>
      <c r="DB147" t="s">
        <v>1835</v>
      </c>
      <c r="DC147">
        <v>-0.14210598911158739</v>
      </c>
      <c r="DD147" t="e">
        <v>#VALUE!</v>
      </c>
      <c r="DE147" t="s">
        <v>1835</v>
      </c>
      <c r="DF147">
        <v>-0.13163502149283887</v>
      </c>
      <c r="DG147" t="e">
        <v>#VALUE!</v>
      </c>
      <c r="DH147" t="s">
        <v>1835</v>
      </c>
      <c r="DI147">
        <v>-0.11966820135712625</v>
      </c>
      <c r="DJ147" t="e">
        <v>#VALUE!</v>
      </c>
      <c r="DK147" t="s">
        <v>1835</v>
      </c>
      <c r="DL147">
        <v>-0.10470967618748545</v>
      </c>
      <c r="DM147">
        <v>-183000000</v>
      </c>
      <c r="DN147">
        <v>-0.14958525169640779</v>
      </c>
      <c r="DO147">
        <v>1112001000</v>
      </c>
      <c r="DP147">
        <v>840180460</v>
      </c>
      <c r="DQ147">
        <v>3850</v>
      </c>
      <c r="DR147">
        <v>10.119096463182132</v>
      </c>
      <c r="DS147">
        <v>1.9019961150654983</v>
      </c>
      <c r="DT147" s="16">
        <v>-0.77333333333333332</v>
      </c>
      <c r="DU147">
        <v>-0.83666666666666678</v>
      </c>
      <c r="DV147">
        <v>-1.61</v>
      </c>
      <c r="DW147">
        <v>-9.3770226537216832</v>
      </c>
      <c r="DX147">
        <v>0.33879407407407458</v>
      </c>
      <c r="DY147">
        <v>-9.0711796428143359</v>
      </c>
      <c r="DZ147">
        <v>1188</v>
      </c>
      <c r="EA147">
        <v>-9.0546314205710026</v>
      </c>
      <c r="EB147">
        <v>9</v>
      </c>
      <c r="EC147">
        <v>0.10024296545682126</v>
      </c>
      <c r="ED147">
        <v>0.53096457581338363</v>
      </c>
      <c r="EE147" s="17">
        <v>-1.0137</v>
      </c>
      <c r="EF147">
        <v>-1.02641</v>
      </c>
      <c r="EG147">
        <v>15.188794074074075</v>
      </c>
      <c r="EH147" t="s">
        <v>1838</v>
      </c>
      <c r="EI147">
        <v>0</v>
      </c>
      <c r="EJ147">
        <v>1</v>
      </c>
      <c r="EK147" s="19">
        <v>45470</v>
      </c>
      <c r="EL147" s="20">
        <v>5.83</v>
      </c>
      <c r="EM147" s="20">
        <v>-3.24</v>
      </c>
      <c r="EN147" s="20">
        <v>-6.93</v>
      </c>
      <c r="EO147" s="20">
        <v>2.0699999999999998</v>
      </c>
      <c r="EP147" s="20">
        <v>-4.01</v>
      </c>
    </row>
    <row r="148" spans="1:146" ht="84" x14ac:dyDescent="0.25">
      <c r="A148" s="7"/>
      <c r="B148" s="7"/>
      <c r="C148" s="7" t="str">
        <f>""&amp;CHAR(10)&amp;Basic_Fundamental_Information_Constructure(F148)&amp;CHAR(10)&amp;Basic_Fundamental_Information_Concatenate("")</f>
        <v xml:space="preserve">
市值59.365673亿, 利润1.84亿; PE96.53; 平均PE142.9; 平均PEG6.91, PB3.4; ROIC2.9267%; ROE3.0267%; 股利率.3505%; 毛利17.9%; 净利2.78%; 上一年度营收增67.06%, 利润增300.48%; 当季营收增-31.08%, 利润增-71.49%; 过往5年营收增20.67%, 利润增36.21%
Income profile:
</v>
      </c>
      <c r="D148" t="s">
        <v>1202</v>
      </c>
      <c r="E148" t="s">
        <v>1203</v>
      </c>
      <c r="F148">
        <v>16.55</v>
      </c>
      <c r="G148">
        <v>-3.44</v>
      </c>
      <c r="H148" t="s">
        <v>5725</v>
      </c>
      <c r="I148">
        <v>5936567300</v>
      </c>
      <c r="J148">
        <v>96.53</v>
      </c>
      <c r="K148">
        <v>3.4</v>
      </c>
      <c r="L148" t="s">
        <v>172</v>
      </c>
      <c r="M148" t="s">
        <v>2568</v>
      </c>
      <c r="N148" t="s">
        <v>3155</v>
      </c>
      <c r="O148" t="s">
        <v>2546</v>
      </c>
      <c r="P148">
        <v>25.97</v>
      </c>
      <c r="Q148" t="s">
        <v>5726</v>
      </c>
      <c r="R148">
        <v>16435332</v>
      </c>
      <c r="S148" s="5">
        <v>1.831</v>
      </c>
      <c r="T148" t="s">
        <v>606</v>
      </c>
      <c r="U148">
        <v>338408970</v>
      </c>
      <c r="V148">
        <v>358704980</v>
      </c>
      <c r="W148">
        <v>1.92</v>
      </c>
      <c r="X148">
        <v>0.15</v>
      </c>
      <c r="Y148">
        <v>3.41</v>
      </c>
      <c r="Z148" t="s">
        <v>159</v>
      </c>
      <c r="AA148" t="s">
        <v>1117</v>
      </c>
      <c r="AB148" t="s">
        <v>5727</v>
      </c>
      <c r="AC148" t="s">
        <v>5728</v>
      </c>
      <c r="AD148" t="s">
        <v>19</v>
      </c>
      <c r="AE148">
        <v>6643142</v>
      </c>
      <c r="AF148" t="s">
        <v>5729</v>
      </c>
      <c r="AG148">
        <v>1054.3699999999999</v>
      </c>
      <c r="AH148" t="s">
        <v>5730</v>
      </c>
      <c r="AI148" t="s">
        <v>52</v>
      </c>
      <c r="AJ148" t="s">
        <v>5731</v>
      </c>
      <c r="AK148" t="s">
        <v>5732</v>
      </c>
      <c r="AL148" t="s">
        <v>5733</v>
      </c>
      <c r="AM148" t="s">
        <v>19</v>
      </c>
      <c r="AN148" t="s">
        <v>474</v>
      </c>
      <c r="AO148" t="s">
        <v>429</v>
      </c>
      <c r="AP148" t="s">
        <v>144</v>
      </c>
      <c r="AQ148" t="s">
        <v>910</v>
      </c>
      <c r="AR148" t="s">
        <v>19</v>
      </c>
      <c r="AS148" t="s">
        <v>451</v>
      </c>
      <c r="AT148" t="s">
        <v>5734</v>
      </c>
      <c r="AU148" t="s">
        <v>5735</v>
      </c>
      <c r="AV148" t="s">
        <v>5736</v>
      </c>
      <c r="AW148" t="s">
        <v>5737</v>
      </c>
      <c r="AX148" t="s">
        <v>2040</v>
      </c>
      <c r="AY148" t="s">
        <v>1737</v>
      </c>
      <c r="AZ148" t="s">
        <v>516</v>
      </c>
      <c r="BA148" t="s">
        <v>1206</v>
      </c>
      <c r="BB148" t="s">
        <v>1064</v>
      </c>
      <c r="BC148" t="s">
        <v>2323</v>
      </c>
      <c r="BD148" t="s">
        <v>1738</v>
      </c>
      <c r="BE148" t="s">
        <v>1204</v>
      </c>
      <c r="BF148" t="s">
        <v>119</v>
      </c>
      <c r="BG148" t="s">
        <v>1207</v>
      </c>
      <c r="BH148" t="s">
        <v>5738</v>
      </c>
      <c r="BI148" t="s">
        <v>1853</v>
      </c>
      <c r="BJ148" t="s">
        <v>2040</v>
      </c>
      <c r="BK148" t="s">
        <v>5739</v>
      </c>
      <c r="BL148" t="s">
        <v>5740</v>
      </c>
      <c r="BM148" t="s">
        <v>2323</v>
      </c>
      <c r="BN148">
        <v>1.89</v>
      </c>
      <c r="BO148">
        <v>3.07</v>
      </c>
      <c r="BP148">
        <v>3.82</v>
      </c>
      <c r="BQ148">
        <v>1.82</v>
      </c>
      <c r="BR148">
        <v>2.96</v>
      </c>
      <c r="BS148">
        <v>4.3</v>
      </c>
      <c r="BT148" t="s">
        <v>5741</v>
      </c>
      <c r="BU148" t="s">
        <v>2920</v>
      </c>
      <c r="BV148">
        <v>17.420000000000002</v>
      </c>
      <c r="BW148">
        <v>17.149999999999999</v>
      </c>
      <c r="BX148">
        <v>19.13</v>
      </c>
      <c r="BY148">
        <v>2.62</v>
      </c>
      <c r="BZ148">
        <v>2.38</v>
      </c>
      <c r="CA148">
        <v>3.34</v>
      </c>
      <c r="CB148">
        <v>-7.7</v>
      </c>
      <c r="CC148">
        <v>-11.69</v>
      </c>
      <c r="CD148" t="s">
        <v>5742</v>
      </c>
      <c r="CE148" t="s">
        <v>1847</v>
      </c>
      <c r="CF148" s="14">
        <v>-0.31082981715893099</v>
      </c>
      <c r="CG148" s="15">
        <v>-0.714867334015718</v>
      </c>
      <c r="CH148" s="14">
        <v>0.6705743670463562</v>
      </c>
      <c r="CI148" s="14">
        <v>-1.8411967903375626E-2</v>
      </c>
      <c r="CJ148" s="14">
        <v>0.18231292068958282</v>
      </c>
      <c r="CK148" s="14">
        <v>0.12816572189331055</v>
      </c>
      <c r="CL148" s="14">
        <v>7.066567987203598E-2</v>
      </c>
      <c r="CM148" s="15">
        <v>3.0047972202301025</v>
      </c>
      <c r="CN148" s="15">
        <v>-0.29416960477828979</v>
      </c>
      <c r="CO148" s="15">
        <v>1.1469011306762695</v>
      </c>
      <c r="CP148" s="15">
        <v>1.2229388952255249</v>
      </c>
      <c r="CQ148" s="15">
        <v>-3.2700567245483398</v>
      </c>
      <c r="CR148">
        <v>142.89578542647203</v>
      </c>
      <c r="CS148">
        <v>6.9144902689444123</v>
      </c>
      <c r="CT148">
        <v>0.35045317220543803</v>
      </c>
      <c r="CU148" s="14">
        <v>0.206661344319582</v>
      </c>
      <c r="CV148" s="15">
        <v>0.36208218336105347</v>
      </c>
      <c r="CW148">
        <v>0.06</v>
      </c>
      <c r="CX148">
        <v>27.960554528447464</v>
      </c>
      <c r="CY148">
        <v>209458195.61773875</v>
      </c>
      <c r="CZ148">
        <v>0.206661344319582</v>
      </c>
      <c r="DA148">
        <v>8.2889314181454559</v>
      </c>
      <c r="DB148">
        <v>706552751.44143164</v>
      </c>
      <c r="DC148">
        <v>0.1963282771036029</v>
      </c>
      <c r="DD148">
        <v>3.5627706304941626</v>
      </c>
      <c r="DE148">
        <v>1643823840.3204989</v>
      </c>
      <c r="DF148">
        <v>0.18186198300123216</v>
      </c>
      <c r="DG148">
        <v>1.8221425668787441</v>
      </c>
      <c r="DH148">
        <v>3214110359.1208348</v>
      </c>
      <c r="DI148">
        <v>0.16532907545566561</v>
      </c>
      <c r="DJ148">
        <v>0.64501655995868978</v>
      </c>
      <c r="DK148">
        <v>9079716186.4729252</v>
      </c>
      <c r="DL148">
        <v>0.14466294102370739</v>
      </c>
      <c r="DM148">
        <v>184000000</v>
      </c>
      <c r="DN148">
        <v>0.206661344319582</v>
      </c>
      <c r="DO148">
        <v>5856567300</v>
      </c>
      <c r="DP148">
        <v>17226400</v>
      </c>
      <c r="DQ148">
        <v>3853</v>
      </c>
      <c r="DR148">
        <v>-0.51749116147851293</v>
      </c>
      <c r="DS148">
        <v>-1.0769495173767716</v>
      </c>
      <c r="DT148" s="16">
        <v>2.6666666666666616E-2</v>
      </c>
      <c r="DU148">
        <v>-0.40666666666666673</v>
      </c>
      <c r="DV148">
        <v>-0.38000000000000012</v>
      </c>
      <c r="DW148">
        <v>-9.658682634730539</v>
      </c>
      <c r="DX148">
        <v>0.37481948529411779</v>
      </c>
      <c r="DY148">
        <v>-9.0953900801338499</v>
      </c>
      <c r="DZ148">
        <v>207</v>
      </c>
      <c r="EA148">
        <v>-9.0915259418583698</v>
      </c>
      <c r="EB148">
        <v>9</v>
      </c>
      <c r="EC148">
        <v>0.21962839768770426</v>
      </c>
      <c r="ED148">
        <v>1.5165666225208247</v>
      </c>
      <c r="EE148" s="17">
        <v>-4.0605099999999998</v>
      </c>
      <c r="EF148">
        <v>-4.0542100000000003</v>
      </c>
      <c r="EG148">
        <v>23.144819485294118</v>
      </c>
      <c r="EH148" t="s">
        <v>2873</v>
      </c>
      <c r="EI148">
        <v>0</v>
      </c>
      <c r="EJ148">
        <v>1</v>
      </c>
      <c r="EK148" s="19">
        <v>45470</v>
      </c>
      <c r="EL148" s="20">
        <v>-0.06</v>
      </c>
      <c r="EM148" s="20">
        <v>-2.25</v>
      </c>
      <c r="EN148" s="20">
        <v>2.1800000000000002</v>
      </c>
      <c r="EO148" s="20">
        <v>-2.08</v>
      </c>
      <c r="EP148" s="20">
        <v>0.63</v>
      </c>
    </row>
    <row r="149" spans="1:146" ht="84" x14ac:dyDescent="0.25">
      <c r="A149" s="7"/>
      <c r="B149" s="7"/>
      <c r="C149" s="7" t="str">
        <f>""&amp;CHAR(10)&amp;Basic_Fundamental_Information_Constructure(F149)&amp;CHAR(10)&amp;Basic_Fundamental_Information_Concatenate("")</f>
        <v xml:space="preserve">
市值66.689164亿, 利润6396.78万; PE14.24; 平均PE17.5; 平均PEG1.06, PB1.61; ROIC12.37%; ROE12.93%; 股利率3.0746%; 毛利15.55%; 净利6.3133%; 上一年度营收增-91.46%, 利润增-87.23%; 当季营收增1061.88%, 利润增1299.25%; 过往5年营收增-16.47%, 利润增-8.29%
Income profile:
</v>
      </c>
      <c r="D149" t="s">
        <v>1209</v>
      </c>
      <c r="E149" t="s">
        <v>1210</v>
      </c>
      <c r="F149">
        <v>13.01</v>
      </c>
      <c r="G149">
        <v>0.85</v>
      </c>
      <c r="H149" t="s">
        <v>5743</v>
      </c>
      <c r="I149">
        <v>6668916400</v>
      </c>
      <c r="J149">
        <v>14.24</v>
      </c>
      <c r="K149">
        <v>1.61</v>
      </c>
      <c r="L149" t="s">
        <v>172</v>
      </c>
      <c r="M149" t="s">
        <v>5744</v>
      </c>
      <c r="N149" t="s">
        <v>5745</v>
      </c>
      <c r="O149" t="s">
        <v>2009</v>
      </c>
      <c r="P149">
        <v>-3.05</v>
      </c>
      <c r="Q149" t="s">
        <v>1249</v>
      </c>
      <c r="R149">
        <v>127958758</v>
      </c>
      <c r="S149" s="5">
        <v>1.6400000000000001E-2</v>
      </c>
      <c r="T149" t="s">
        <v>5746</v>
      </c>
      <c r="U149">
        <v>512599260</v>
      </c>
      <c r="V149">
        <v>512599260</v>
      </c>
      <c r="W149">
        <v>1.54</v>
      </c>
      <c r="X149">
        <v>0.28000000000000003</v>
      </c>
      <c r="Y149">
        <v>7.33</v>
      </c>
      <c r="Z149" t="s">
        <v>2040</v>
      </c>
      <c r="AA149" t="s">
        <v>5747</v>
      </c>
      <c r="AB149" t="s">
        <v>5748</v>
      </c>
      <c r="AC149" t="s">
        <v>5749</v>
      </c>
      <c r="AD149" t="s">
        <v>19</v>
      </c>
      <c r="AE149">
        <v>-11856546</v>
      </c>
      <c r="AF149" t="s">
        <v>5750</v>
      </c>
      <c r="AG149" t="s">
        <v>5751</v>
      </c>
      <c r="AH149" t="s">
        <v>5752</v>
      </c>
      <c r="AI149" t="s">
        <v>5753</v>
      </c>
      <c r="AJ149" t="s">
        <v>5754</v>
      </c>
      <c r="AK149" t="s">
        <v>402</v>
      </c>
      <c r="AL149" t="s">
        <v>5755</v>
      </c>
      <c r="AM149" t="s">
        <v>19</v>
      </c>
      <c r="AN149" t="s">
        <v>262</v>
      </c>
      <c r="AO149" t="s">
        <v>5756</v>
      </c>
      <c r="AP149" t="s">
        <v>5757</v>
      </c>
      <c r="AQ149" t="s">
        <v>2595</v>
      </c>
      <c r="AR149" t="s">
        <v>19</v>
      </c>
      <c r="AS149" t="s">
        <v>3078</v>
      </c>
      <c r="AT149" t="s">
        <v>19</v>
      </c>
      <c r="AU149" t="s">
        <v>411</v>
      </c>
      <c r="AV149" t="s">
        <v>5758</v>
      </c>
      <c r="AW149" t="s">
        <v>5759</v>
      </c>
      <c r="AX149" t="s">
        <v>2326</v>
      </c>
      <c r="AY149" t="s">
        <v>1739</v>
      </c>
      <c r="AZ149" t="s">
        <v>1211</v>
      </c>
      <c r="BA149" t="s">
        <v>1213</v>
      </c>
      <c r="BB149" t="s">
        <v>1214</v>
      </c>
      <c r="BC149" t="s">
        <v>1845</v>
      </c>
      <c r="BD149" t="s">
        <v>679</v>
      </c>
      <c r="BE149" t="s">
        <v>581</v>
      </c>
      <c r="BF149" t="s">
        <v>187</v>
      </c>
      <c r="BG149" t="s">
        <v>700</v>
      </c>
      <c r="BH149" t="s">
        <v>5760</v>
      </c>
      <c r="BI149" t="s">
        <v>125</v>
      </c>
      <c r="BJ149" t="s">
        <v>2326</v>
      </c>
      <c r="BK149" t="s">
        <v>428</v>
      </c>
      <c r="BL149" t="s">
        <v>5761</v>
      </c>
      <c r="BM149" t="s">
        <v>1845</v>
      </c>
      <c r="BN149">
        <v>10.26</v>
      </c>
      <c r="BO149">
        <v>13.48</v>
      </c>
      <c r="BP149">
        <v>13.37</v>
      </c>
      <c r="BQ149">
        <v>10.67</v>
      </c>
      <c r="BR149">
        <v>13.73</v>
      </c>
      <c r="BS149">
        <v>14.39</v>
      </c>
      <c r="BT149" t="s">
        <v>2032</v>
      </c>
      <c r="BU149" t="s">
        <v>2920</v>
      </c>
      <c r="BV149">
        <v>15.61</v>
      </c>
      <c r="BW149">
        <v>15.61</v>
      </c>
      <c r="BX149">
        <v>15.43</v>
      </c>
      <c r="BY149">
        <v>5.88</v>
      </c>
      <c r="BZ149">
        <v>6.4</v>
      </c>
      <c r="CA149">
        <v>6.66</v>
      </c>
      <c r="CB149">
        <v>-3.41</v>
      </c>
      <c r="CC149">
        <v>-11.26</v>
      </c>
      <c r="CD149" t="s">
        <v>5762</v>
      </c>
      <c r="CE149" t="s">
        <v>5763</v>
      </c>
      <c r="CF149" s="14">
        <v>10.61875</v>
      </c>
      <c r="CG149" s="15">
        <v>12.992515746653837</v>
      </c>
      <c r="CH149" s="14">
        <v>-0.9146038293838501</v>
      </c>
      <c r="CI149" s="14">
        <v>4.7908633947372437E-2</v>
      </c>
      <c r="CJ149" s="14">
        <v>-9.0529389679431915E-2</v>
      </c>
      <c r="CK149" s="14">
        <v>-3.0531851574778557E-2</v>
      </c>
      <c r="CL149" s="14">
        <v>0.16422472894191742</v>
      </c>
      <c r="CM149" s="15">
        <v>-0.87231975793838501</v>
      </c>
      <c r="CN149" s="15">
        <v>6.0240961611270905E-3</v>
      </c>
      <c r="CO149" s="15">
        <v>-1.5810277312994003E-2</v>
      </c>
      <c r="CP149" s="15">
        <v>0.3177083432674408</v>
      </c>
      <c r="CQ149" s="15">
        <v>0.1497005969285965</v>
      </c>
      <c r="CR149">
        <v>17.496310354697606</v>
      </c>
      <c r="CS149">
        <v>1.0622730242242893</v>
      </c>
      <c r="CT149">
        <v>3.0745580322828592</v>
      </c>
      <c r="CU149" s="14">
        <v>-0.16470634154975414</v>
      </c>
      <c r="CV149" s="15">
        <v>-8.2939399778842932E-2</v>
      </c>
      <c r="CW149">
        <v>0.06</v>
      </c>
      <c r="CX149">
        <v>72.472656555329394</v>
      </c>
      <c r="CY149" t="s">
        <v>5764</v>
      </c>
      <c r="CZ149">
        <v>-0.16470634154975414</v>
      </c>
      <c r="DA149">
        <v>24.1575521851098</v>
      </c>
      <c r="DB149" t="s">
        <v>5765</v>
      </c>
      <c r="DC149">
        <v>-0.15647102447226643</v>
      </c>
      <c r="DD149">
        <v>12.0787760925549</v>
      </c>
      <c r="DE149" t="s">
        <v>5766</v>
      </c>
      <c r="DF149">
        <v>-0.14494158056378365</v>
      </c>
      <c r="DG149">
        <v>7.2472656555329404</v>
      </c>
      <c r="DH149" t="s">
        <v>5767</v>
      </c>
      <c r="DI149">
        <v>-0.13176507323980333</v>
      </c>
      <c r="DJ149">
        <v>3.6236328277664702</v>
      </c>
      <c r="DK149" t="s">
        <v>5768</v>
      </c>
      <c r="DL149">
        <v>-0.11529443908482789</v>
      </c>
      <c r="DM149">
        <v>63967800</v>
      </c>
      <c r="DN149">
        <v>-0.16470634154975414</v>
      </c>
      <c r="DO149">
        <v>4635916400</v>
      </c>
      <c r="DP149">
        <v>2871970100</v>
      </c>
      <c r="DQ149">
        <v>3857</v>
      </c>
      <c r="DR149">
        <v>10.783456341549755</v>
      </c>
      <c r="DS149">
        <v>13.075455146432679</v>
      </c>
      <c r="DT149" s="16">
        <v>-0.67333333333333334</v>
      </c>
      <c r="DU149">
        <v>-0.21666666666666667</v>
      </c>
      <c r="DV149">
        <v>-0.89</v>
      </c>
      <c r="DW149">
        <v>-8.302841918294849</v>
      </c>
      <c r="DX149">
        <v>0.27533571870793205</v>
      </c>
      <c r="DY149">
        <v>-8.0379569094843735</v>
      </c>
      <c r="DZ149">
        <v>2525</v>
      </c>
      <c r="EA149">
        <v>-8.0192012937411157</v>
      </c>
      <c r="EB149">
        <v>8</v>
      </c>
      <c r="EC149">
        <v>2.2195506095736464E-2</v>
      </c>
      <c r="ED149">
        <v>0.17708843356504264</v>
      </c>
      <c r="EE149" s="17">
        <v>-4.02081</v>
      </c>
      <c r="EF149">
        <v>-4.0408099999999996</v>
      </c>
      <c r="EG149">
        <v>15.125335718707932</v>
      </c>
      <c r="EH149" t="s">
        <v>2873</v>
      </c>
      <c r="EI149">
        <v>0</v>
      </c>
      <c r="EJ149">
        <v>0</v>
      </c>
      <c r="EK149" s="19">
        <v>45470</v>
      </c>
      <c r="EL149" s="20">
        <v>0</v>
      </c>
      <c r="EM149" s="20">
        <v>-4.57</v>
      </c>
      <c r="EN149" s="20">
        <v>0.46</v>
      </c>
      <c r="EO149" s="20">
        <v>2.27</v>
      </c>
      <c r="EP149" s="20">
        <v>-2</v>
      </c>
    </row>
    <row r="150" spans="1:146" ht="84" x14ac:dyDescent="0.25">
      <c r="A150" s="7"/>
      <c r="B150" s="7"/>
      <c r="C150" s="7" t="str">
        <f>""&amp;CHAR(10)&amp;Basic_Fundamental_Information_Constructure(F150)&amp;CHAR(10)&amp;Basic_Fundamental_Information_Concatenate("")</f>
        <v xml:space="preserve">
市值10.6233084亿, 利润4.05亿; PE; 平均PE12.26; 平均PEG.02, PB1.36; ROIC-.59%; ROE.5667%; 股利率0%; 毛利31.1433%; 净利-8.2567%; 上一年度营收增2640.99%, 利润增9092.22%; 当季营收增-95.18%, 利润增-93.98%; 过往5年营收增511.8%, 利润增1780.89%
Income profile:
</v>
      </c>
      <c r="D150" t="s">
        <v>1215</v>
      </c>
      <c r="E150" t="s">
        <v>5769</v>
      </c>
      <c r="F150">
        <v>1.89</v>
      </c>
      <c r="G150">
        <v>4.42</v>
      </c>
      <c r="H150" t="s">
        <v>5770</v>
      </c>
      <c r="I150">
        <v>1062330840</v>
      </c>
      <c r="K150">
        <v>1.36</v>
      </c>
      <c r="L150" t="s">
        <v>172</v>
      </c>
      <c r="M150" t="s">
        <v>5771</v>
      </c>
      <c r="N150" t="s">
        <v>1668</v>
      </c>
      <c r="O150" t="s">
        <v>5772</v>
      </c>
      <c r="P150">
        <v>52.41</v>
      </c>
      <c r="Q150" t="s">
        <v>5753</v>
      </c>
      <c r="R150">
        <v>4382815</v>
      </c>
      <c r="S150" s="5">
        <v>8.7609999999999992</v>
      </c>
      <c r="T150" t="s">
        <v>820</v>
      </c>
      <c r="U150">
        <v>562079810</v>
      </c>
      <c r="V150">
        <v>562079810</v>
      </c>
      <c r="W150">
        <v>1.02</v>
      </c>
      <c r="X150">
        <v>0.03</v>
      </c>
      <c r="Y150">
        <v>21.34</v>
      </c>
      <c r="Z150" t="s">
        <v>5773</v>
      </c>
      <c r="AA150" t="s">
        <v>5774</v>
      </c>
      <c r="AB150" t="s">
        <v>5775</v>
      </c>
      <c r="AC150" t="s">
        <v>5776</v>
      </c>
      <c r="AD150" t="s">
        <v>19</v>
      </c>
      <c r="AE150">
        <v>-3181460</v>
      </c>
      <c r="AF150" t="s">
        <v>5777</v>
      </c>
      <c r="AG150">
        <v>0.01</v>
      </c>
      <c r="AH150" t="s">
        <v>5778</v>
      </c>
      <c r="AI150" t="s">
        <v>486</v>
      </c>
      <c r="AJ150" t="s">
        <v>19</v>
      </c>
      <c r="AK150" t="s">
        <v>5779</v>
      </c>
      <c r="AL150" t="s">
        <v>5780</v>
      </c>
      <c r="AM150" t="s">
        <v>19</v>
      </c>
      <c r="AN150">
        <v>0</v>
      </c>
      <c r="AO150" t="s">
        <v>19</v>
      </c>
      <c r="AP150" t="s">
        <v>19</v>
      </c>
      <c r="AQ150" t="s">
        <v>5781</v>
      </c>
      <c r="AR150" t="s">
        <v>19</v>
      </c>
      <c r="AS150" t="s">
        <v>5782</v>
      </c>
      <c r="AT150" t="s">
        <v>19</v>
      </c>
      <c r="AU150" t="s">
        <v>5783</v>
      </c>
      <c r="AV150" t="s">
        <v>5784</v>
      </c>
      <c r="AW150" t="s">
        <v>19</v>
      </c>
      <c r="AX150" t="s">
        <v>2327</v>
      </c>
      <c r="AY150" t="s">
        <v>1740</v>
      </c>
      <c r="AZ150" t="s">
        <v>1216</v>
      </c>
      <c r="BA150" t="s">
        <v>347</v>
      </c>
      <c r="BB150" t="s">
        <v>53</v>
      </c>
      <c r="BC150" t="s">
        <v>2328</v>
      </c>
      <c r="BD150" t="s">
        <v>1741</v>
      </c>
      <c r="BE150" t="s">
        <v>1217</v>
      </c>
      <c r="BF150" t="s">
        <v>1218</v>
      </c>
      <c r="BG150" t="s">
        <v>1219</v>
      </c>
      <c r="BH150" t="s">
        <v>5785</v>
      </c>
      <c r="BI150" t="s">
        <v>900</v>
      </c>
      <c r="BJ150" t="s">
        <v>2327</v>
      </c>
      <c r="BK150" t="s">
        <v>5786</v>
      </c>
      <c r="BL150" t="s">
        <v>5787</v>
      </c>
      <c r="BM150" t="s">
        <v>2328</v>
      </c>
      <c r="BN150" t="s">
        <v>19</v>
      </c>
      <c r="BO150" t="s">
        <v>19</v>
      </c>
      <c r="BP150">
        <v>-0.59</v>
      </c>
      <c r="BQ150">
        <v>0.24</v>
      </c>
      <c r="BR150">
        <v>0.57999999999999996</v>
      </c>
      <c r="BS150">
        <v>0.88</v>
      </c>
      <c r="BT150" t="s">
        <v>1983</v>
      </c>
      <c r="BU150" t="s">
        <v>3146</v>
      </c>
      <c r="BV150">
        <v>23.98</v>
      </c>
      <c r="BW150">
        <v>37.229999999999997</v>
      </c>
      <c r="BX150">
        <v>32.22</v>
      </c>
      <c r="BY150">
        <v>-35.29</v>
      </c>
      <c r="BZ150">
        <v>1.1000000000000001</v>
      </c>
      <c r="CA150">
        <v>9.42</v>
      </c>
      <c r="CB150">
        <v>14.55</v>
      </c>
      <c r="CC150">
        <v>-13.7</v>
      </c>
      <c r="CD150" t="s">
        <v>5788</v>
      </c>
      <c r="CE150" t="s">
        <v>397</v>
      </c>
      <c r="CF150" s="14">
        <v>-0.95179882629107981</v>
      </c>
      <c r="CG150" s="15">
        <v>-0.93983261421372066</v>
      </c>
      <c r="CH150" s="14">
        <v>26.409854888916016</v>
      </c>
      <c r="CI150" s="14">
        <v>4.4699192047119141E-2</v>
      </c>
      <c r="CJ150" s="14">
        <v>-0.16022142767906189</v>
      </c>
      <c r="CK150" s="14">
        <v>-0.38737392425537109</v>
      </c>
      <c r="CL150" s="14">
        <v>-0.31683167815208435</v>
      </c>
      <c r="CM150" s="15">
        <v>90.922195434570313</v>
      </c>
      <c r="CN150" s="15">
        <v>-0.34152829647064209</v>
      </c>
      <c r="CO150" s="15">
        <v>-0.57368767261505127</v>
      </c>
      <c r="CP150" s="15">
        <v>-0.31314602494239807</v>
      </c>
      <c r="CQ150" s="15">
        <v>-0.64934062957763672</v>
      </c>
      <c r="CR150">
        <v>12.262165167943385</v>
      </c>
      <c r="CS150">
        <v>2.3958781336967477E-2</v>
      </c>
      <c r="CT150">
        <v>0</v>
      </c>
      <c r="CU150" s="14">
        <v>5.1180254101753233</v>
      </c>
      <c r="CV150" s="15">
        <v>17.808898562192915</v>
      </c>
      <c r="CW150">
        <v>0.06</v>
      </c>
      <c r="CX150">
        <v>0.12878315719933722</v>
      </c>
      <c r="CY150">
        <v>2337547444.4537787</v>
      </c>
      <c r="CZ150">
        <v>5.1180254101753233</v>
      </c>
      <c r="DA150">
        <v>3.621351575604748E-3</v>
      </c>
      <c r="DB150">
        <v>83128283381.247879</v>
      </c>
      <c r="DC150">
        <v>4.8621241396665571</v>
      </c>
      <c r="DD150">
        <v>3.0627354126501855E-5</v>
      </c>
      <c r="DE150">
        <v>9829015551151.1465</v>
      </c>
      <c r="DF150">
        <v>4.5038623609542849</v>
      </c>
      <c r="DG150">
        <v>8.9528605444492242E-8</v>
      </c>
      <c r="DH150">
        <v>3362464304066959.5</v>
      </c>
      <c r="DI150">
        <v>4.0944203281402585</v>
      </c>
      <c r="DJ150">
        <v>1.0984010576580841E-13</v>
      </c>
      <c r="DK150">
        <v>2.7406814469192569E+21</v>
      </c>
      <c r="DL150">
        <v>3.582617787122726</v>
      </c>
      <c r="DM150">
        <v>405000000</v>
      </c>
      <c r="DN150">
        <v>5.1180254101753233</v>
      </c>
      <c r="DO150">
        <v>301036740</v>
      </c>
      <c r="DP150">
        <v>662916660</v>
      </c>
      <c r="DQ150">
        <v>3866</v>
      </c>
      <c r="DR150">
        <v>-6.0698242364664035</v>
      </c>
      <c r="DS150">
        <v>-18.748731176406636</v>
      </c>
      <c r="DT150" s="16">
        <v>-0.49</v>
      </c>
      <c r="DU150">
        <v>-0.7400000000000001</v>
      </c>
      <c r="DV150">
        <v>-1.23</v>
      </c>
      <c r="DW150">
        <v>5.9415807560137459</v>
      </c>
      <c r="DX150">
        <v>0.34171691394658676</v>
      </c>
      <c r="DY150">
        <v>5.1240221114136251</v>
      </c>
      <c r="DZ150">
        <v>1683</v>
      </c>
      <c r="EA150">
        <v>5.0831749072044019</v>
      </c>
      <c r="EB150">
        <v>5</v>
      </c>
      <c r="EC150">
        <v>7.8972059145835535E-2</v>
      </c>
      <c r="ED150">
        <v>0.59955898433711752</v>
      </c>
      <c r="EE150" s="17">
        <v>-2.0329000000000002</v>
      </c>
      <c r="EF150">
        <v>-2.0219</v>
      </c>
      <c r="EG150">
        <v>21.131716913946587</v>
      </c>
      <c r="EH150" t="s">
        <v>2280</v>
      </c>
      <c r="EI150">
        <v>1</v>
      </c>
      <c r="EJ150">
        <v>0</v>
      </c>
      <c r="EK150" s="19">
        <v>45470</v>
      </c>
      <c r="EL150" s="20">
        <v>0.28000000000000003</v>
      </c>
      <c r="EM150" s="20">
        <v>-4.8499999999999996</v>
      </c>
      <c r="EN150" s="20">
        <v>1.89</v>
      </c>
      <c r="EO150" s="20">
        <v>3.71</v>
      </c>
      <c r="EP150" s="20">
        <v>-1.1000000000000001</v>
      </c>
    </row>
    <row r="151" spans="1:146" ht="84" x14ac:dyDescent="0.25">
      <c r="A151" s="7"/>
      <c r="B151" s="7"/>
      <c r="C151" s="7" t="str">
        <f>""&amp;CHAR(10)&amp;Basic_Fundamental_Information_Constructure(F151)&amp;CHAR(10)&amp;Basic_Fundamental_Information_Concatenate("")</f>
        <v xml:space="preserve">
市值47.42786亿, 利润9512.05万; PE8.49; 平均PE14.27; 平均PEG4.89, PB.923; ROIC8.4733%; ROE10.69%; 股利率3.4551%; 毛利22.0533%; 净利13.6033%; 上一年度营收增-89.63%, 利润增-81.42%; 当季营收增1337.87%, 利润增630.61%; 过往5年营收增2.92%, 利润增-5.79%
Income profile:
</v>
      </c>
      <c r="D151" t="s">
        <v>1220</v>
      </c>
      <c r="E151" t="s">
        <v>1958</v>
      </c>
      <c r="F151">
        <v>12.48</v>
      </c>
      <c r="G151">
        <v>0.73</v>
      </c>
      <c r="H151" t="s">
        <v>5789</v>
      </c>
      <c r="I151">
        <v>4742786000</v>
      </c>
      <c r="J151">
        <v>8.49</v>
      </c>
      <c r="K151">
        <v>0.92300000000000004</v>
      </c>
      <c r="L151" t="s">
        <v>172</v>
      </c>
      <c r="M151" t="s">
        <v>5790</v>
      </c>
      <c r="N151" t="s">
        <v>1587</v>
      </c>
      <c r="O151" t="s">
        <v>4252</v>
      </c>
      <c r="P151">
        <v>25.34</v>
      </c>
      <c r="Q151" t="s">
        <v>622</v>
      </c>
      <c r="R151">
        <v>104394221</v>
      </c>
      <c r="S151" s="5">
        <v>0.13439999999999999</v>
      </c>
      <c r="T151" t="s">
        <v>5791</v>
      </c>
      <c r="U151">
        <v>380030930</v>
      </c>
      <c r="V151">
        <v>380030930</v>
      </c>
      <c r="W151">
        <v>1.97</v>
      </c>
      <c r="X151">
        <v>0.1</v>
      </c>
      <c r="Y151">
        <v>9.69</v>
      </c>
      <c r="Z151" t="s">
        <v>698</v>
      </c>
      <c r="AA151" t="s">
        <v>4956</v>
      </c>
      <c r="AB151" t="s">
        <v>5792</v>
      </c>
      <c r="AC151" t="s">
        <v>5793</v>
      </c>
      <c r="AD151" t="s">
        <v>19</v>
      </c>
      <c r="AE151">
        <v>13477150</v>
      </c>
      <c r="AF151" t="s">
        <v>5794</v>
      </c>
      <c r="AG151" t="s">
        <v>5795</v>
      </c>
      <c r="AH151" t="s">
        <v>5796</v>
      </c>
      <c r="AI151" t="s">
        <v>1638</v>
      </c>
      <c r="AJ151" t="s">
        <v>5797</v>
      </c>
      <c r="AK151" t="s">
        <v>1053</v>
      </c>
      <c r="AL151" t="s">
        <v>5798</v>
      </c>
      <c r="AM151" t="s">
        <v>19</v>
      </c>
      <c r="AN151" t="s">
        <v>60</v>
      </c>
      <c r="AO151" t="s">
        <v>4502</v>
      </c>
      <c r="AP151" t="s">
        <v>5799</v>
      </c>
      <c r="AQ151" t="s">
        <v>2692</v>
      </c>
      <c r="AR151" t="s">
        <v>5800</v>
      </c>
      <c r="AS151" t="s">
        <v>5801</v>
      </c>
      <c r="AT151" t="s">
        <v>607</v>
      </c>
      <c r="AU151" t="s">
        <v>5802</v>
      </c>
      <c r="AV151" t="s">
        <v>2765</v>
      </c>
      <c r="AW151" t="s">
        <v>5803</v>
      </c>
      <c r="AX151" t="s">
        <v>2329</v>
      </c>
      <c r="AY151" t="s">
        <v>2330</v>
      </c>
      <c r="AZ151" t="s">
        <v>1221</v>
      </c>
      <c r="BA151" t="s">
        <v>1223</v>
      </c>
      <c r="BB151" t="s">
        <v>1224</v>
      </c>
      <c r="BC151" t="s">
        <v>749</v>
      </c>
      <c r="BD151" t="s">
        <v>312</v>
      </c>
      <c r="BE151" t="s">
        <v>24</v>
      </c>
      <c r="BF151" t="s">
        <v>346</v>
      </c>
      <c r="BG151" t="s">
        <v>803</v>
      </c>
      <c r="BH151" t="s">
        <v>2633</v>
      </c>
      <c r="BI151" t="s">
        <v>5804</v>
      </c>
      <c r="BJ151" t="s">
        <v>2329</v>
      </c>
      <c r="BK151" t="s">
        <v>1846</v>
      </c>
      <c r="BL151" t="s">
        <v>5805</v>
      </c>
      <c r="BM151" t="s">
        <v>749</v>
      </c>
      <c r="BN151">
        <v>6.84</v>
      </c>
      <c r="BO151">
        <v>9.81</v>
      </c>
      <c r="BP151">
        <v>8.77</v>
      </c>
      <c r="BQ151">
        <v>8.2200000000000006</v>
      </c>
      <c r="BR151">
        <v>13.01</v>
      </c>
      <c r="BS151">
        <v>10.84</v>
      </c>
      <c r="BT151" t="s">
        <v>5806</v>
      </c>
      <c r="BU151" t="s">
        <v>3084</v>
      </c>
      <c r="BV151">
        <v>20.45</v>
      </c>
      <c r="BW151">
        <v>21.66</v>
      </c>
      <c r="BX151">
        <v>24.05</v>
      </c>
      <c r="BY151">
        <v>11.65</v>
      </c>
      <c r="BZ151">
        <v>13.73</v>
      </c>
      <c r="CA151">
        <v>15.43</v>
      </c>
      <c r="CB151">
        <v>-1.58</v>
      </c>
      <c r="CC151">
        <v>-10.72</v>
      </c>
      <c r="CD151" t="s">
        <v>5807</v>
      </c>
      <c r="CE151" t="s">
        <v>23</v>
      </c>
      <c r="CF151" s="14">
        <v>13.378682076341434</v>
      </c>
      <c r="CG151" s="15">
        <v>6.306068501683149</v>
      </c>
      <c r="CH151" s="14">
        <v>-0.89634478092193604</v>
      </c>
      <c r="CI151" s="14">
        <v>0.39763620495796204</v>
      </c>
      <c r="CJ151" s="14">
        <v>0.18259702622890472</v>
      </c>
      <c r="CK151" s="14">
        <v>0.21600870788097382</v>
      </c>
      <c r="CL151" s="14">
        <v>0.24590164422988892</v>
      </c>
      <c r="CM151" s="15">
        <v>-0.81421774625778198</v>
      </c>
      <c r="CN151" s="15">
        <v>0.21904762089252472</v>
      </c>
      <c r="CO151" s="15">
        <v>0.16022099554538727</v>
      </c>
      <c r="CP151" s="15">
        <v>0.36603772640228271</v>
      </c>
      <c r="CQ151" s="15">
        <v>-0.22058823704719543</v>
      </c>
      <c r="CR151">
        <v>14.27030914129813</v>
      </c>
      <c r="CS151">
        <v>4.8938362005596927</v>
      </c>
      <c r="CT151">
        <v>3.4551282051282053</v>
      </c>
      <c r="CU151" s="14">
        <v>2.915976047515869E-2</v>
      </c>
      <c r="CV151" s="15">
        <v>-5.7899928092956542E-2</v>
      </c>
      <c r="CW151">
        <v>0.06</v>
      </c>
      <c r="CX151">
        <v>50.835224331025344</v>
      </c>
      <c r="CY151">
        <v>92353010.373846546</v>
      </c>
      <c r="CZ151">
        <v>2.915976047515869E-2</v>
      </c>
      <c r="DA151">
        <v>17.496828553211326</v>
      </c>
      <c r="DB151">
        <v>268322112.5315496</v>
      </c>
      <c r="DC151">
        <v>2.7701772451400753E-2</v>
      </c>
      <c r="DD151">
        <v>9.2164032813467411</v>
      </c>
      <c r="DE151">
        <v>509394593.17083806</v>
      </c>
      <c r="DF151">
        <v>2.5660589218139646E-2</v>
      </c>
      <c r="DG151">
        <v>5.9596965035665299</v>
      </c>
      <c r="DH151">
        <v>787755886.09091842</v>
      </c>
      <c r="DI151">
        <v>2.3327808380126953E-2</v>
      </c>
      <c r="DJ151">
        <v>3.5931104903394657</v>
      </c>
      <c r="DK151">
        <v>1306607746.3029675</v>
      </c>
      <c r="DL151">
        <v>2.0411832332611082E-2</v>
      </c>
      <c r="DM151">
        <v>95120500</v>
      </c>
      <c r="DN151">
        <v>2.915976047515869E-2</v>
      </c>
      <c r="DO151">
        <v>4694786000</v>
      </c>
      <c r="DP151">
        <v>-517877600</v>
      </c>
      <c r="DQ151">
        <v>3876</v>
      </c>
      <c r="DR151">
        <v>13.349522315866276</v>
      </c>
      <c r="DS151">
        <v>6.3639684297761052</v>
      </c>
      <c r="DT151" s="16">
        <v>-0.27333333333333343</v>
      </c>
      <c r="DU151">
        <v>-3.3333333333333326E-2</v>
      </c>
      <c r="DV151">
        <v>-0.30666666666666675</v>
      </c>
      <c r="DW151">
        <v>-2.1072000000000002</v>
      </c>
      <c r="DX151">
        <v>0.31102211538461455</v>
      </c>
      <c r="DY151">
        <v>-2.0183335707692307</v>
      </c>
      <c r="DZ151">
        <v>1358</v>
      </c>
      <c r="EA151">
        <v>-2.0134613615511063</v>
      </c>
      <c r="EB151">
        <v>2</v>
      </c>
      <c r="EC151">
        <v>4.6802243175312071E-2</v>
      </c>
      <c r="ED151">
        <v>0.27366193588506071</v>
      </c>
      <c r="EE151" s="17">
        <v>9.8099999999999958E-3</v>
      </c>
      <c r="EF151">
        <v>2.7310000000000001E-2</v>
      </c>
      <c r="EG151">
        <v>14.171022115384615</v>
      </c>
      <c r="EH151">
        <v>-1</v>
      </c>
      <c r="EI151">
        <v>0</v>
      </c>
      <c r="EJ151">
        <v>1</v>
      </c>
      <c r="EK151" s="19">
        <v>45470</v>
      </c>
      <c r="EL151" s="20">
        <v>3.52</v>
      </c>
      <c r="EM151" s="20">
        <v>-4.62</v>
      </c>
      <c r="EN151" s="20">
        <v>-0.76</v>
      </c>
      <c r="EO151" s="20">
        <v>2.4</v>
      </c>
      <c r="EP151" s="20">
        <v>-1.75</v>
      </c>
    </row>
    <row r="152" spans="1:146" ht="84" x14ac:dyDescent="0.25">
      <c r="A152" s="7"/>
      <c r="B152" s="7"/>
      <c r="C152" s="7" t="str">
        <f>""&amp;CHAR(10)&amp;Basic_Fundamental_Information_Constructure(F152)&amp;CHAR(10)&amp;Basic_Fundamental_Information_Concatenate("")</f>
        <v xml:space="preserve">
市值23.155818亿, 利润1859.46万; PE24.2; 平均PE29.46; 平均PEG3.54, PB2.48; ROIC7.4633%; ROE8.2133%; 股利率4.1186%; 毛利34.6133%; 净利12.7933%; 上一年度营收增23.52%, 利润增-76.18%; 当季营收增-11.33%, 利润增50.84%; 过往5年营收增8.32%, 利润增-23.16%
Income profile:
</v>
      </c>
      <c r="D152" t="s">
        <v>1226</v>
      </c>
      <c r="E152" t="s">
        <v>1227</v>
      </c>
      <c r="F152">
        <v>12.14</v>
      </c>
      <c r="G152">
        <v>-0.41</v>
      </c>
      <c r="H152" t="s">
        <v>5808</v>
      </c>
      <c r="I152">
        <v>2315581800</v>
      </c>
      <c r="J152">
        <v>24.2</v>
      </c>
      <c r="K152">
        <v>2.48</v>
      </c>
      <c r="L152" t="s">
        <v>172</v>
      </c>
      <c r="M152" t="s">
        <v>295</v>
      </c>
      <c r="N152" t="s">
        <v>1116</v>
      </c>
      <c r="O152" t="s">
        <v>441</v>
      </c>
      <c r="P152">
        <v>6.45</v>
      </c>
      <c r="Q152" t="s">
        <v>2571</v>
      </c>
      <c r="R152">
        <v>12030458</v>
      </c>
      <c r="S152" s="5">
        <v>0.47339999999999999</v>
      </c>
      <c r="T152" t="s">
        <v>5809</v>
      </c>
      <c r="U152">
        <v>190137820</v>
      </c>
      <c r="V152">
        <v>190739850</v>
      </c>
      <c r="W152">
        <v>1.3</v>
      </c>
      <c r="X152">
        <v>0.11</v>
      </c>
      <c r="Y152">
        <v>8.61</v>
      </c>
      <c r="Z152" t="s">
        <v>391</v>
      </c>
      <c r="AA152" t="s">
        <v>5810</v>
      </c>
      <c r="AB152" t="s">
        <v>5811</v>
      </c>
      <c r="AC152" t="s">
        <v>5812</v>
      </c>
      <c r="AD152" t="s">
        <v>19</v>
      </c>
      <c r="AE152">
        <v>325107</v>
      </c>
      <c r="AF152" t="s">
        <v>5813</v>
      </c>
      <c r="AG152">
        <v>5094.57</v>
      </c>
      <c r="AH152" t="s">
        <v>5814</v>
      </c>
      <c r="AI152" t="s">
        <v>257</v>
      </c>
      <c r="AJ152" t="s">
        <v>5815</v>
      </c>
      <c r="AK152" t="s">
        <v>5816</v>
      </c>
      <c r="AL152" t="s">
        <v>5817</v>
      </c>
      <c r="AM152" t="s">
        <v>19</v>
      </c>
      <c r="AN152" t="s">
        <v>5818</v>
      </c>
      <c r="AO152" t="s">
        <v>5819</v>
      </c>
      <c r="AP152" t="s">
        <v>19</v>
      </c>
      <c r="AQ152" t="s">
        <v>5820</v>
      </c>
      <c r="AR152" t="s">
        <v>19</v>
      </c>
      <c r="AS152" t="s">
        <v>475</v>
      </c>
      <c r="AT152" t="s">
        <v>19</v>
      </c>
      <c r="AU152" t="s">
        <v>5821</v>
      </c>
      <c r="AV152" t="s">
        <v>5822</v>
      </c>
      <c r="AW152" t="s">
        <v>5823</v>
      </c>
      <c r="AX152" t="s">
        <v>802</v>
      </c>
      <c r="AY152" t="s">
        <v>277</v>
      </c>
      <c r="AZ152" t="s">
        <v>374</v>
      </c>
      <c r="BA152" t="s">
        <v>374</v>
      </c>
      <c r="BB152" t="s">
        <v>975</v>
      </c>
      <c r="BC152" t="s">
        <v>2331</v>
      </c>
      <c r="BD152" t="s">
        <v>1742</v>
      </c>
      <c r="BE152" t="s">
        <v>1229</v>
      </c>
      <c r="BF152" t="s">
        <v>1231</v>
      </c>
      <c r="BG152" t="s">
        <v>620</v>
      </c>
      <c r="BH152" t="s">
        <v>1311</v>
      </c>
      <c r="BI152" t="s">
        <v>446</v>
      </c>
      <c r="BJ152" t="s">
        <v>802</v>
      </c>
      <c r="BK152" t="s">
        <v>5824</v>
      </c>
      <c r="BL152" t="s">
        <v>5825</v>
      </c>
      <c r="BM152" t="s">
        <v>2331</v>
      </c>
      <c r="BN152">
        <v>5.09</v>
      </c>
      <c r="BO152">
        <v>7.85</v>
      </c>
      <c r="BP152">
        <v>9.4499999999999993</v>
      </c>
      <c r="BQ152">
        <v>6.24</v>
      </c>
      <c r="BR152">
        <v>8.8800000000000008</v>
      </c>
      <c r="BS152">
        <v>9.52</v>
      </c>
      <c r="BT152" t="s">
        <v>4522</v>
      </c>
      <c r="BU152" t="s">
        <v>2920</v>
      </c>
      <c r="BV152">
        <v>34.99</v>
      </c>
      <c r="BW152">
        <v>32.700000000000003</v>
      </c>
      <c r="BX152">
        <v>36.15</v>
      </c>
      <c r="BY152">
        <v>11.76</v>
      </c>
      <c r="BZ152">
        <v>11.04</v>
      </c>
      <c r="CA152">
        <v>15.58</v>
      </c>
      <c r="CB152">
        <v>-6.54</v>
      </c>
      <c r="CC152">
        <v>-4.25</v>
      </c>
      <c r="CD152" t="s">
        <v>5826</v>
      </c>
      <c r="CE152" t="s">
        <v>683</v>
      </c>
      <c r="CF152" s="14">
        <v>-0.11333333333333333</v>
      </c>
      <c r="CG152" s="15">
        <v>0.50844572059081672</v>
      </c>
      <c r="CH152" s="14">
        <v>0.23520249128341675</v>
      </c>
      <c r="CI152" s="14">
        <v>0.17153283953666687</v>
      </c>
      <c r="CJ152" s="14">
        <v>0.10931174457073212</v>
      </c>
      <c r="CK152" s="14">
        <v>0</v>
      </c>
      <c r="CL152" s="14">
        <v>-0.10018214583396912</v>
      </c>
      <c r="CM152" s="15">
        <v>-0.76175004243850708</v>
      </c>
      <c r="CN152" s="15">
        <v>-7.3275528848171234E-2</v>
      </c>
      <c r="CO152" s="15">
        <v>1.8124120309948921E-2</v>
      </c>
      <c r="CP152" s="15">
        <v>2.0798807963728905E-2</v>
      </c>
      <c r="CQ152" s="15">
        <v>-0.3619440495967865</v>
      </c>
      <c r="CR152">
        <v>29.459672335539604</v>
      </c>
      <c r="CS152">
        <v>3.5419760409867185</v>
      </c>
      <c r="CT152">
        <v>4.1186161449752881</v>
      </c>
      <c r="CU152" s="14">
        <v>8.3172985911369318E-2</v>
      </c>
      <c r="CV152" s="15">
        <v>-0.23160933852195739</v>
      </c>
      <c r="CW152">
        <v>0.06</v>
      </c>
      <c r="CX152">
        <v>85.130945415964916</v>
      </c>
      <c r="CY152">
        <v>19001102.267761834</v>
      </c>
      <c r="CZ152">
        <v>8.3172985911369318E-2</v>
      </c>
      <c r="DA152">
        <v>27.981416685011709</v>
      </c>
      <c r="DB152">
        <v>57809145.913132422</v>
      </c>
      <c r="DC152">
        <v>7.9014336615800845E-2</v>
      </c>
      <c r="DD152">
        <v>13.881311066775762</v>
      </c>
      <c r="DE152">
        <v>116529468.44996528</v>
      </c>
      <c r="DF152">
        <v>7.3192227602005E-2</v>
      </c>
      <c r="DG152">
        <v>8.4085909022063472</v>
      </c>
      <c r="DH152">
        <v>192372517.44231719</v>
      </c>
      <c r="DI152">
        <v>6.6538388729095455E-2</v>
      </c>
      <c r="DJ152">
        <v>4.4267836676806427</v>
      </c>
      <c r="DK152">
        <v>365407917.22210169</v>
      </c>
      <c r="DL152">
        <v>5.8221090137958516E-2</v>
      </c>
      <c r="DM152">
        <v>18594600</v>
      </c>
      <c r="DN152">
        <v>8.3172985911369318E-2</v>
      </c>
      <c r="DO152">
        <v>1617581800</v>
      </c>
      <c r="DP152">
        <v>501707880</v>
      </c>
      <c r="DQ152">
        <v>3878</v>
      </c>
      <c r="DR152">
        <v>-0.19650631924470263</v>
      </c>
      <c r="DS152">
        <v>0.74005505911277414</v>
      </c>
      <c r="DT152" s="16">
        <v>-0.12333333333333336</v>
      </c>
      <c r="DU152">
        <v>-0.65333333333333332</v>
      </c>
      <c r="DV152">
        <v>-0.77666666666666673</v>
      </c>
      <c r="DW152">
        <v>-5.6498470948012232</v>
      </c>
      <c r="DX152">
        <v>0.41441149425287371</v>
      </c>
      <c r="DY152">
        <v>-5.1848239832683047</v>
      </c>
      <c r="DZ152">
        <v>822</v>
      </c>
      <c r="EA152">
        <v>-5.1550930020067494</v>
      </c>
      <c r="EB152">
        <v>5</v>
      </c>
      <c r="EC152">
        <v>0.25945076500794145</v>
      </c>
      <c r="ED152">
        <v>0.91223726976822095</v>
      </c>
      <c r="EE152" s="17">
        <v>1.1392</v>
      </c>
      <c r="EF152">
        <v>1.1133</v>
      </c>
      <c r="EG152">
        <v>13.284411494252874</v>
      </c>
      <c r="EH152" t="s">
        <v>1832</v>
      </c>
      <c r="EI152">
        <v>0</v>
      </c>
      <c r="EJ152">
        <v>1</v>
      </c>
      <c r="EK152" s="19">
        <v>45470</v>
      </c>
      <c r="EL152" s="20">
        <v>0.09</v>
      </c>
      <c r="EM152" s="20">
        <v>-3.17</v>
      </c>
      <c r="EN152" s="20">
        <v>1.06</v>
      </c>
      <c r="EO152" s="20">
        <v>2.85</v>
      </c>
      <c r="EP152" s="20">
        <v>-2.59</v>
      </c>
    </row>
    <row r="153" spans="1:146" ht="84" x14ac:dyDescent="0.25">
      <c r="A153" s="7"/>
      <c r="B153" s="7"/>
      <c r="C153" s="7" t="str">
        <f>""&amp;CHAR(10)&amp;Basic_Fundamental_Information_Constructure(F153)&amp;CHAR(10)&amp;Basic_Fundamental_Information_Concatenate("")</f>
        <v xml:space="preserve">
市值24.886874亿, 利润1.10亿; PE13.45; 平均PE18.95; 平均PEG1.71, PB1.95; ROIC13.9267%; ROE14.0167%; 股利率2.1716%; 毛利56.2033%; 净利32.7067%; 上一年度营收增-4.93%, 利润增-29.49%; 当季营收增18.33%, 利润增97.85%; 过往5年营收增11.1%, 利润增3.3%
Income profile:
</v>
      </c>
      <c r="D153" t="s">
        <v>1232</v>
      </c>
      <c r="E153" t="s">
        <v>1233</v>
      </c>
      <c r="F153">
        <v>18.420000000000002</v>
      </c>
      <c r="G153">
        <v>-0.86</v>
      </c>
      <c r="H153" t="s">
        <v>5827</v>
      </c>
      <c r="I153">
        <v>2488687400</v>
      </c>
      <c r="J153">
        <v>13.45</v>
      </c>
      <c r="K153">
        <v>1.95</v>
      </c>
      <c r="L153" t="s">
        <v>172</v>
      </c>
      <c r="M153" t="s">
        <v>278</v>
      </c>
      <c r="N153" t="s">
        <v>49</v>
      </c>
      <c r="O153" t="s">
        <v>457</v>
      </c>
      <c r="P153">
        <v>7.6</v>
      </c>
      <c r="Q153" t="s">
        <v>1845</v>
      </c>
      <c r="R153">
        <v>48561478</v>
      </c>
      <c r="S153" s="5">
        <v>1.2200000000000001E-2</v>
      </c>
      <c r="T153" t="s">
        <v>279</v>
      </c>
      <c r="U153">
        <v>134491200</v>
      </c>
      <c r="V153">
        <v>135107900</v>
      </c>
      <c r="W153">
        <v>1.1499999999999999</v>
      </c>
      <c r="X153">
        <v>0.09</v>
      </c>
      <c r="Y153">
        <v>34.86</v>
      </c>
      <c r="Z153" t="s">
        <v>5828</v>
      </c>
      <c r="AA153" t="s">
        <v>5829</v>
      </c>
      <c r="AB153" t="s">
        <v>5830</v>
      </c>
      <c r="AC153" t="s">
        <v>5831</v>
      </c>
      <c r="AD153" t="s">
        <v>19</v>
      </c>
      <c r="AE153">
        <v>-2781375</v>
      </c>
      <c r="AF153" t="s">
        <v>5832</v>
      </c>
      <c r="AG153" t="s">
        <v>5833</v>
      </c>
      <c r="AH153" t="s">
        <v>5834</v>
      </c>
      <c r="AI153" t="s">
        <v>628</v>
      </c>
      <c r="AJ153" t="s">
        <v>5835</v>
      </c>
      <c r="AK153" t="s">
        <v>5836</v>
      </c>
      <c r="AL153" t="s">
        <v>5837</v>
      </c>
      <c r="AM153" t="s">
        <v>19</v>
      </c>
      <c r="AN153" t="s">
        <v>5838</v>
      </c>
      <c r="AO153" t="s">
        <v>2638</v>
      </c>
      <c r="AP153" t="s">
        <v>5839</v>
      </c>
      <c r="AQ153" t="s">
        <v>5840</v>
      </c>
      <c r="AR153" t="s">
        <v>19</v>
      </c>
      <c r="AS153" t="s">
        <v>333</v>
      </c>
      <c r="AT153" t="s">
        <v>19</v>
      </c>
      <c r="AU153" t="s">
        <v>5841</v>
      </c>
      <c r="AV153" t="s">
        <v>5842</v>
      </c>
      <c r="AW153" t="s">
        <v>5843</v>
      </c>
      <c r="AX153" t="s">
        <v>2019</v>
      </c>
      <c r="AY153" t="s">
        <v>64</v>
      </c>
      <c r="AZ153" t="s">
        <v>134</v>
      </c>
      <c r="BA153" t="s">
        <v>282</v>
      </c>
      <c r="BB153" t="s">
        <v>587</v>
      </c>
      <c r="BC153" t="s">
        <v>127</v>
      </c>
      <c r="BD153" t="s">
        <v>650</v>
      </c>
      <c r="BE153" t="s">
        <v>28</v>
      </c>
      <c r="BF153" t="s">
        <v>462</v>
      </c>
      <c r="BG153" t="s">
        <v>25</v>
      </c>
      <c r="BH153" t="s">
        <v>1108</v>
      </c>
      <c r="BI153" t="s">
        <v>391</v>
      </c>
      <c r="BJ153" t="s">
        <v>2019</v>
      </c>
      <c r="BK153" t="s">
        <v>606</v>
      </c>
      <c r="BL153" t="s">
        <v>5844</v>
      </c>
      <c r="BM153" t="s">
        <v>127</v>
      </c>
      <c r="BN153">
        <v>11.02</v>
      </c>
      <c r="BO153">
        <v>15.37</v>
      </c>
      <c r="BP153">
        <v>15.39</v>
      </c>
      <c r="BQ153">
        <v>11.68</v>
      </c>
      <c r="BR153">
        <v>15.19</v>
      </c>
      <c r="BS153">
        <v>15.18</v>
      </c>
      <c r="BT153" t="s">
        <v>2032</v>
      </c>
      <c r="BU153" t="s">
        <v>2920</v>
      </c>
      <c r="BV153">
        <v>53.34</v>
      </c>
      <c r="BW153">
        <v>54.74</v>
      </c>
      <c r="BX153">
        <v>60.53</v>
      </c>
      <c r="BY153">
        <v>31.9</v>
      </c>
      <c r="BZ153">
        <v>31.54</v>
      </c>
      <c r="CA153">
        <v>34.68</v>
      </c>
      <c r="CB153">
        <v>-7.58</v>
      </c>
      <c r="CC153">
        <v>-10.63</v>
      </c>
      <c r="CD153" t="s">
        <v>5845</v>
      </c>
      <c r="CE153" t="s">
        <v>5846</v>
      </c>
      <c r="CF153" s="14">
        <v>0.18333333333333332</v>
      </c>
      <c r="CG153" s="15">
        <v>0.97845916292864943</v>
      </c>
      <c r="CH153" s="14">
        <v>-4.9335863441228867E-2</v>
      </c>
      <c r="CI153" s="14">
        <v>0.21990740299224854</v>
      </c>
      <c r="CJ153" s="14">
        <v>0.14893616735935211</v>
      </c>
      <c r="CK153" s="14">
        <v>0.1190476194024086</v>
      </c>
      <c r="CL153" s="14">
        <v>0.11627907305955887</v>
      </c>
      <c r="CM153" s="15">
        <v>-0.29487180709838867</v>
      </c>
      <c r="CN153" s="15">
        <v>0.10638298094272614</v>
      </c>
      <c r="CO153" s="15">
        <v>-4.7297298908233643E-2</v>
      </c>
      <c r="CP153" s="15">
        <v>0.13846154510974884</v>
      </c>
      <c r="CQ153" s="15">
        <v>0.26213592290878296</v>
      </c>
      <c r="CR153">
        <v>18.949396446700508</v>
      </c>
      <c r="CS153">
        <v>1.7076623644944473</v>
      </c>
      <c r="CT153">
        <v>2.1715526601520083</v>
      </c>
      <c r="CU153" s="14">
        <v>0.11096687987446785</v>
      </c>
      <c r="CV153" s="15">
        <v>3.2962268590927123E-2</v>
      </c>
      <c r="CW153">
        <v>0.06</v>
      </c>
      <c r="CX153">
        <v>12.010575248290591</v>
      </c>
      <c r="CY153">
        <v>115289015.83602968</v>
      </c>
      <c r="CZ153">
        <v>0.11096687987446785</v>
      </c>
      <c r="DA153">
        <v>3.8560376297013343</v>
      </c>
      <c r="DB153">
        <v>359095925.13682228</v>
      </c>
      <c r="DC153">
        <v>0.10541853588074446</v>
      </c>
      <c r="DD153">
        <v>1.8534560038788428</v>
      </c>
      <c r="DE153">
        <v>747084040.35605836</v>
      </c>
      <c r="DF153">
        <v>9.7650854289531713E-2</v>
      </c>
      <c r="DG153">
        <v>1.0831797622462593</v>
      </c>
      <c r="DH153">
        <v>1278354201.4563539</v>
      </c>
      <c r="DI153">
        <v>8.877350389957428E-2</v>
      </c>
      <c r="DJ153">
        <v>0.52666912101262486</v>
      </c>
      <c r="DK153">
        <v>2629141038.9461727</v>
      </c>
      <c r="DL153">
        <v>7.7676815912127495E-2</v>
      </c>
      <c r="DM153">
        <v>110000000.00000001</v>
      </c>
      <c r="DN153">
        <v>0.11096687987446785</v>
      </c>
      <c r="DO153">
        <v>1384687400</v>
      </c>
      <c r="DP153">
        <v>695053080</v>
      </c>
      <c r="DQ153">
        <v>3881</v>
      </c>
      <c r="DR153">
        <v>7.2366453458865471E-2</v>
      </c>
      <c r="DS153">
        <v>0.94549689433772233</v>
      </c>
      <c r="DT153" s="16">
        <v>-0.28999999999999998</v>
      </c>
      <c r="DU153">
        <v>0.15333333333333335</v>
      </c>
      <c r="DV153">
        <v>-0.13666666666666663</v>
      </c>
      <c r="DW153">
        <v>-9.7130761994355588</v>
      </c>
      <c r="DX153">
        <v>0.32581568886363926</v>
      </c>
      <c r="DY153">
        <v>-9.089716173244252</v>
      </c>
      <c r="DZ153">
        <v>1252</v>
      </c>
      <c r="EA153">
        <v>-9.0677348329503573</v>
      </c>
      <c r="EB153">
        <v>9</v>
      </c>
      <c r="EC153">
        <v>2.4259869334065588E-2</v>
      </c>
      <c r="ED153">
        <v>0.19282070108409649</v>
      </c>
      <c r="EE153" s="17">
        <v>-2.0308099999999998</v>
      </c>
      <c r="EF153">
        <v>-2.0499100000000001</v>
      </c>
      <c r="EG153">
        <v>20.125815688863639</v>
      </c>
      <c r="EH153" t="s">
        <v>2497</v>
      </c>
      <c r="EI153">
        <v>0</v>
      </c>
      <c r="EJ153">
        <v>1</v>
      </c>
      <c r="EK153" s="19">
        <v>45470</v>
      </c>
      <c r="EL153" s="20">
        <v>-2.78</v>
      </c>
      <c r="EM153" s="20">
        <v>-4.67</v>
      </c>
      <c r="EN153" s="20">
        <v>-2.15</v>
      </c>
      <c r="EO153" s="20">
        <v>6.36</v>
      </c>
      <c r="EP153" s="20">
        <v>-1.91</v>
      </c>
    </row>
    <row r="154" spans="1:146" ht="84" x14ac:dyDescent="0.25">
      <c r="A154" s="7"/>
      <c r="B154" s="7"/>
      <c r="C154" s="7" t="str">
        <f>""&amp;CHAR(10)&amp;Basic_Fundamental_Information_Constructure(F154)&amp;CHAR(10)&amp;Basic_Fundamental_Information_Concatenate("")</f>
        <v xml:space="preserve">
市值20.519136亿, 利润2.99亿; PE36.15; 平均PE17.98; 平均PEG.13, PB1.56; ROIC4.55%; ROE5.8067%; 股利率2.5054%; 毛利31.9867%; 净利9.2867%; 上一年度营收增653.86%, 利润增1331.03%; 当季营收增-70.02%, 利润增-56.97%; 过往5年营收增134.08%, 利润增259.78%
Income profile:
</v>
      </c>
      <c r="D154" t="s">
        <v>1743</v>
      </c>
      <c r="E154" t="s">
        <v>1744</v>
      </c>
      <c r="F154">
        <v>13.97</v>
      </c>
      <c r="G154">
        <v>7.0000000000000007E-2</v>
      </c>
      <c r="H154" t="s">
        <v>5847</v>
      </c>
      <c r="I154">
        <v>2051913600</v>
      </c>
      <c r="J154">
        <v>36.15</v>
      </c>
      <c r="K154">
        <v>1.56</v>
      </c>
      <c r="L154" t="s">
        <v>172</v>
      </c>
      <c r="M154" t="s">
        <v>1117</v>
      </c>
      <c r="N154" t="s">
        <v>2100</v>
      </c>
      <c r="O154" t="s">
        <v>564</v>
      </c>
      <c r="P154">
        <v>21.62</v>
      </c>
      <c r="Q154" t="s">
        <v>5848</v>
      </c>
      <c r="R154">
        <v>17514131</v>
      </c>
      <c r="S154" s="5">
        <v>1.6479999999999999</v>
      </c>
      <c r="T154" t="s">
        <v>655</v>
      </c>
      <c r="U154">
        <v>37720000</v>
      </c>
      <c r="V154">
        <v>146880000</v>
      </c>
      <c r="W154">
        <v>1.26</v>
      </c>
      <c r="X154">
        <v>0.09</v>
      </c>
      <c r="Y154">
        <v>10.88</v>
      </c>
      <c r="Z154" t="s">
        <v>501</v>
      </c>
      <c r="AA154" t="s">
        <v>5849</v>
      </c>
      <c r="AB154" t="s">
        <v>5850</v>
      </c>
      <c r="AC154" t="s">
        <v>5851</v>
      </c>
      <c r="AD154" t="s">
        <v>19</v>
      </c>
      <c r="AE154">
        <v>786536</v>
      </c>
      <c r="AF154" t="s">
        <v>5852</v>
      </c>
      <c r="AG154" t="s">
        <v>5853</v>
      </c>
      <c r="AH154" t="s">
        <v>5854</v>
      </c>
      <c r="AI154" t="s">
        <v>26</v>
      </c>
      <c r="AJ154" t="s">
        <v>5855</v>
      </c>
      <c r="AK154" t="s">
        <v>5856</v>
      </c>
      <c r="AL154" t="s">
        <v>5857</v>
      </c>
      <c r="AM154" t="s">
        <v>19</v>
      </c>
      <c r="AN154" t="s">
        <v>5858</v>
      </c>
      <c r="AO154" t="s">
        <v>5859</v>
      </c>
      <c r="AP154" t="s">
        <v>5860</v>
      </c>
      <c r="AQ154" t="s">
        <v>216</v>
      </c>
      <c r="AR154" t="s">
        <v>19</v>
      </c>
      <c r="AS154" t="s">
        <v>767</v>
      </c>
      <c r="AT154" t="s">
        <v>19</v>
      </c>
      <c r="AU154" t="s">
        <v>5861</v>
      </c>
      <c r="AV154" t="s">
        <v>5862</v>
      </c>
      <c r="AW154" t="s">
        <v>5863</v>
      </c>
      <c r="AX154" t="s">
        <v>1872</v>
      </c>
      <c r="AY154" t="s">
        <v>935</v>
      </c>
      <c r="AZ154" t="s">
        <v>107</v>
      </c>
      <c r="BA154" t="s">
        <v>644</v>
      </c>
      <c r="BB154" t="s">
        <v>165</v>
      </c>
      <c r="BC154" t="s">
        <v>5864</v>
      </c>
      <c r="BD154" t="s">
        <v>1745</v>
      </c>
      <c r="BE154" t="s">
        <v>391</v>
      </c>
      <c r="BF154" t="s">
        <v>1746</v>
      </c>
      <c r="BG154" t="s">
        <v>1747</v>
      </c>
      <c r="BH154" t="s">
        <v>2984</v>
      </c>
      <c r="BI154" t="s">
        <v>2019</v>
      </c>
      <c r="BJ154" t="s">
        <v>1872</v>
      </c>
      <c r="BK154" t="s">
        <v>5865</v>
      </c>
      <c r="BL154" t="s">
        <v>5866</v>
      </c>
      <c r="BM154" t="s">
        <v>5864</v>
      </c>
      <c r="BN154">
        <v>2.2000000000000002</v>
      </c>
      <c r="BO154">
        <v>1.8</v>
      </c>
      <c r="BP154">
        <v>9.65</v>
      </c>
      <c r="BQ154">
        <v>2.27</v>
      </c>
      <c r="BR154">
        <v>1.62</v>
      </c>
      <c r="BS154">
        <v>13.53</v>
      </c>
      <c r="BT154" t="s">
        <v>1998</v>
      </c>
      <c r="BU154" t="s">
        <v>3084</v>
      </c>
      <c r="BV154">
        <v>31.01</v>
      </c>
      <c r="BW154">
        <v>27.05</v>
      </c>
      <c r="BX154">
        <v>37.9</v>
      </c>
      <c r="BY154">
        <v>7.32</v>
      </c>
      <c r="BZ154">
        <v>3.94</v>
      </c>
      <c r="CA154">
        <v>16.600000000000001</v>
      </c>
      <c r="CB154">
        <v>-3.79</v>
      </c>
      <c r="CC154">
        <v>-7.42</v>
      </c>
      <c r="CD154" t="s">
        <v>5867</v>
      </c>
      <c r="CE154" t="s">
        <v>5868</v>
      </c>
      <c r="CF154" s="14">
        <v>-0.70018975332068312</v>
      </c>
      <c r="CG154" s="15">
        <v>-0.56965199422078938</v>
      </c>
      <c r="CH154" s="14">
        <v>6.538609504699707</v>
      </c>
      <c r="CI154" s="14">
        <v>-0.13087248802185059</v>
      </c>
      <c r="CJ154" s="14">
        <v>7.9710148274898529E-2</v>
      </c>
      <c r="CK154" s="14">
        <v>0.21854305267333984</v>
      </c>
      <c r="CL154" s="14">
        <v>-2.2026430815458298E-3</v>
      </c>
      <c r="CM154" s="15">
        <v>13.310258865356445</v>
      </c>
      <c r="CN154" s="15">
        <v>-0.78912168741226196</v>
      </c>
      <c r="CO154" s="15">
        <v>-0.17432253062725067</v>
      </c>
      <c r="CP154" s="15">
        <v>0.79698288440704346</v>
      </c>
      <c r="CQ154" s="15">
        <v>-0.15483605861663818</v>
      </c>
      <c r="CR154">
        <v>17.979091854071154</v>
      </c>
      <c r="CS154">
        <v>0.13409652121392465</v>
      </c>
      <c r="CT154">
        <v>2.5053686471009304</v>
      </c>
      <c r="CU154" s="14">
        <v>1.3407575149089097</v>
      </c>
      <c r="CV154" s="15">
        <v>2.5977922946214678</v>
      </c>
      <c r="CW154">
        <v>0.06</v>
      </c>
      <c r="CX154">
        <v>1.7158330975379139</v>
      </c>
      <c r="CY154">
        <v>660270280.14883399</v>
      </c>
      <c r="CZ154">
        <v>1.3407575149089097</v>
      </c>
      <c r="DA154">
        <v>0.2280395444706029</v>
      </c>
      <c r="DB154">
        <v>4968057635.0477953</v>
      </c>
      <c r="DC154">
        <v>1.2737196391634642</v>
      </c>
      <c r="DD154">
        <v>2.6079402555994776E-2</v>
      </c>
      <c r="DE154">
        <v>43440933800.823647</v>
      </c>
      <c r="DF154">
        <v>1.1798666131198405</v>
      </c>
      <c r="DG154">
        <v>2.2691985816155015E-3</v>
      </c>
      <c r="DH154">
        <v>499257142666.39874</v>
      </c>
      <c r="DI154">
        <v>1.0726060119271279</v>
      </c>
      <c r="DJ154">
        <v>9.805682636057556E-6</v>
      </c>
      <c r="DK154">
        <v>115536433520093.61</v>
      </c>
      <c r="DL154">
        <v>0.93853026043623677</v>
      </c>
      <c r="DM154">
        <v>299000000</v>
      </c>
      <c r="DN154">
        <v>1.3407575149089097</v>
      </c>
      <c r="DO154">
        <v>1132913600</v>
      </c>
      <c r="DP154">
        <v>390871450</v>
      </c>
      <c r="DQ154">
        <v>3886</v>
      </c>
      <c r="DR154">
        <v>-2.0409472682295928</v>
      </c>
      <c r="DS154">
        <v>-3.1674442888422574</v>
      </c>
      <c r="DT154" s="16">
        <v>-2.3333333333333355E-2</v>
      </c>
      <c r="DU154">
        <v>-0.22000000000000006</v>
      </c>
      <c r="DV154">
        <v>-0.2433333333333334</v>
      </c>
      <c r="DW154">
        <v>-8.5107816711590303</v>
      </c>
      <c r="DX154">
        <v>0.29055422091703054</v>
      </c>
      <c r="DY154">
        <v>-8.0666847031368647</v>
      </c>
      <c r="DZ154">
        <v>1580</v>
      </c>
      <c r="EA154">
        <v>-8.0460659495250741</v>
      </c>
      <c r="EB154">
        <v>8</v>
      </c>
      <c r="EC154">
        <v>4.1254084967320269E-2</v>
      </c>
      <c r="ED154">
        <v>0.31599196623093684</v>
      </c>
      <c r="EE154" s="17">
        <v>-4.0639000000000003</v>
      </c>
      <c r="EF154">
        <v>-4.0468999999999999</v>
      </c>
      <c r="EG154">
        <v>16.130554220917031</v>
      </c>
      <c r="EH154" t="s">
        <v>2844</v>
      </c>
      <c r="EI154">
        <v>0</v>
      </c>
      <c r="EJ154">
        <v>0</v>
      </c>
      <c r="EK154" s="19">
        <v>45470</v>
      </c>
      <c r="EL154" s="20">
        <v>-0.51</v>
      </c>
      <c r="EM154" s="20">
        <v>-4.6900000000000004</v>
      </c>
      <c r="EN154" s="20">
        <v>2.36</v>
      </c>
      <c r="EO154" s="20">
        <v>4.5999999999999996</v>
      </c>
      <c r="EP154" s="20">
        <v>-1.7</v>
      </c>
    </row>
    <row r="155" spans="1:146" ht="84" x14ac:dyDescent="0.25">
      <c r="A155" s="7"/>
      <c r="B155" s="7"/>
      <c r="C155" s="7" t="str">
        <f>""&amp;CHAR(10)&amp;Basic_Fundamental_Information_Constructure(F155)&amp;CHAR(10)&amp;Basic_Fundamental_Information_Concatenate("")</f>
        <v xml:space="preserve">
市值34.07118亿, 利润-9788.67万; PE152.8; 平均PE-25.86; 平均PEG-1.02, PB3.82; ROIC2.12%; ROE-7.8033%; 股利率0%; 毛利16.9533%; 净利-5.51%; 上一年度营收增74.18%, 利润增64.14%; 当季营收增-33.03%, 利润增-77.44%; 过往5年营收增25.44%, 利润增-500.49%
Income profile:
</v>
      </c>
      <c r="D155" t="s">
        <v>1234</v>
      </c>
      <c r="E155" t="s">
        <v>1235</v>
      </c>
      <c r="F155">
        <v>8.58</v>
      </c>
      <c r="G155">
        <v>1.54</v>
      </c>
      <c r="H155" t="s">
        <v>5869</v>
      </c>
      <c r="I155">
        <v>3407118000</v>
      </c>
      <c r="J155">
        <v>152.80000000000001</v>
      </c>
      <c r="K155">
        <v>3.82</v>
      </c>
      <c r="L155" t="s">
        <v>172</v>
      </c>
      <c r="M155" t="s">
        <v>1310</v>
      </c>
      <c r="N155" t="s">
        <v>180</v>
      </c>
      <c r="O155" t="s">
        <v>423</v>
      </c>
      <c r="P155">
        <v>31.89</v>
      </c>
      <c r="Q155" t="s">
        <v>5870</v>
      </c>
      <c r="R155">
        <v>10020130</v>
      </c>
      <c r="S155" s="5">
        <v>4.2779999999999996</v>
      </c>
      <c r="T155" t="s">
        <v>5871</v>
      </c>
      <c r="U155">
        <v>370225430</v>
      </c>
      <c r="V155">
        <v>397100000</v>
      </c>
      <c r="W155">
        <v>2.97</v>
      </c>
      <c r="X155">
        <v>0.14000000000000001</v>
      </c>
      <c r="Y155">
        <v>2.73</v>
      </c>
      <c r="Z155" t="s">
        <v>467</v>
      </c>
      <c r="AA155" t="s">
        <v>797</v>
      </c>
      <c r="AB155" t="s">
        <v>5872</v>
      </c>
      <c r="AC155" t="s">
        <v>5873</v>
      </c>
      <c r="AD155" t="s">
        <v>19</v>
      </c>
      <c r="AE155">
        <v>4751579</v>
      </c>
      <c r="AF155" t="s">
        <v>5874</v>
      </c>
      <c r="AG155">
        <v>2588.85</v>
      </c>
      <c r="AH155" t="s">
        <v>5875</v>
      </c>
      <c r="AI155" t="s">
        <v>224</v>
      </c>
      <c r="AJ155" t="s">
        <v>5876</v>
      </c>
      <c r="AK155" t="s">
        <v>5877</v>
      </c>
      <c r="AL155" t="s">
        <v>5878</v>
      </c>
      <c r="AM155" t="s">
        <v>19</v>
      </c>
      <c r="AN155" t="s">
        <v>508</v>
      </c>
      <c r="AO155" t="s">
        <v>347</v>
      </c>
      <c r="AP155" t="s">
        <v>35</v>
      </c>
      <c r="AQ155" t="s">
        <v>2362</v>
      </c>
      <c r="AR155" t="s">
        <v>19</v>
      </c>
      <c r="AS155" t="s">
        <v>5879</v>
      </c>
      <c r="AT155" t="s">
        <v>19</v>
      </c>
      <c r="AU155" t="s">
        <v>5880</v>
      </c>
      <c r="AV155" t="s">
        <v>5881</v>
      </c>
      <c r="AW155" t="s">
        <v>5882</v>
      </c>
      <c r="AX155" t="s">
        <v>2332</v>
      </c>
      <c r="AY155" t="s">
        <v>1748</v>
      </c>
      <c r="AZ155" t="s">
        <v>1237</v>
      </c>
      <c r="BA155" t="s">
        <v>426</v>
      </c>
      <c r="BB155" t="s">
        <v>385</v>
      </c>
      <c r="BC155" t="s">
        <v>2333</v>
      </c>
      <c r="BD155" t="s">
        <v>1749</v>
      </c>
      <c r="BE155" t="s">
        <v>1238</v>
      </c>
      <c r="BF155" t="s">
        <v>1239</v>
      </c>
      <c r="BG155" t="s">
        <v>1240</v>
      </c>
      <c r="BH155" t="s">
        <v>2071</v>
      </c>
      <c r="BI155" t="s">
        <v>277</v>
      </c>
      <c r="BJ155" t="s">
        <v>2332</v>
      </c>
      <c r="BK155" t="s">
        <v>5883</v>
      </c>
      <c r="BL155" t="s">
        <v>5884</v>
      </c>
      <c r="BM155" t="s">
        <v>2333</v>
      </c>
      <c r="BN155">
        <v>0.68</v>
      </c>
      <c r="BO155" t="s">
        <v>19</v>
      </c>
      <c r="BP155">
        <v>3.56</v>
      </c>
      <c r="BQ155">
        <v>1.88</v>
      </c>
      <c r="BR155">
        <v>-28.04</v>
      </c>
      <c r="BS155">
        <v>2.75</v>
      </c>
      <c r="BT155" t="s">
        <v>1983</v>
      </c>
      <c r="BU155" t="s">
        <v>3084</v>
      </c>
      <c r="BV155">
        <v>20.73</v>
      </c>
      <c r="BW155">
        <v>14.15</v>
      </c>
      <c r="BX155">
        <v>15.98</v>
      </c>
      <c r="BY155">
        <v>0.99</v>
      </c>
      <c r="BZ155">
        <v>-19.18</v>
      </c>
      <c r="CA155">
        <v>1.66</v>
      </c>
      <c r="CB155">
        <v>-4.03</v>
      </c>
      <c r="CC155">
        <v>-12.36</v>
      </c>
      <c r="CD155" t="s">
        <v>5885</v>
      </c>
      <c r="CE155" t="s">
        <v>224</v>
      </c>
      <c r="CF155" s="14">
        <v>-0.33029197080291972</v>
      </c>
      <c r="CG155" s="15">
        <v>-0.774444842124693</v>
      </c>
      <c r="CH155" s="14">
        <v>0.74175435304641724</v>
      </c>
      <c r="CI155" s="14">
        <v>-0.16373243927955627</v>
      </c>
      <c r="CJ155" s="14">
        <v>0.19327731430530548</v>
      </c>
      <c r="CK155" s="14">
        <v>-1.9230769947171211E-2</v>
      </c>
      <c r="CL155" s="14">
        <v>0.51983296871185303</v>
      </c>
      <c r="CM155" s="15">
        <v>0.64144062995910645</v>
      </c>
      <c r="CN155" s="15">
        <v>-10.679547309875488</v>
      </c>
      <c r="CO155" s="15">
        <v>-0.44178858399391174</v>
      </c>
      <c r="CP155" s="15">
        <v>1.0944398641586304</v>
      </c>
      <c r="CQ155" s="15">
        <v>-15.639084815979004</v>
      </c>
      <c r="CR155">
        <v>-25.856827802678332</v>
      </c>
      <c r="CS155">
        <v>-1.0164635111300604</v>
      </c>
      <c r="CT155">
        <v>0</v>
      </c>
      <c r="CU155" s="14">
        <v>0.25438028536736967</v>
      </c>
      <c r="CV155" s="15">
        <v>-5.0049080431461332</v>
      </c>
      <c r="CW155">
        <v>0.06</v>
      </c>
      <c r="CX155" t="e">
        <v>#VALUE!</v>
      </c>
      <c r="CY155" t="s">
        <v>1835</v>
      </c>
      <c r="CZ155">
        <v>0.25438028536736967</v>
      </c>
      <c r="DA155" t="e">
        <v>#VALUE!</v>
      </c>
      <c r="DB155" t="s">
        <v>1835</v>
      </c>
      <c r="DC155">
        <v>0.24166127109900118</v>
      </c>
      <c r="DD155" t="e">
        <v>#VALUE!</v>
      </c>
      <c r="DE155" t="s">
        <v>1835</v>
      </c>
      <c r="DF155">
        <v>0.22385465112328531</v>
      </c>
      <c r="DG155" t="e">
        <v>#VALUE!</v>
      </c>
      <c r="DH155" t="s">
        <v>1835</v>
      </c>
      <c r="DI155">
        <v>0.20350422829389575</v>
      </c>
      <c r="DJ155" t="e">
        <v>#VALUE!</v>
      </c>
      <c r="DK155" t="s">
        <v>1835</v>
      </c>
      <c r="DL155">
        <v>0.17806619975715876</v>
      </c>
      <c r="DM155">
        <v>-97886700</v>
      </c>
      <c r="DN155">
        <v>0.25438028536736967</v>
      </c>
      <c r="DO155">
        <v>4240118000</v>
      </c>
      <c r="DP155">
        <v>-98035830</v>
      </c>
      <c r="DQ155">
        <v>3917</v>
      </c>
      <c r="DR155">
        <v>-0.58467225617028939</v>
      </c>
      <c r="DS155">
        <v>4.2304632010214398</v>
      </c>
      <c r="DT155" s="16">
        <v>-2.3333333333333355E-2</v>
      </c>
      <c r="DU155">
        <v>-1.7566666666666668</v>
      </c>
      <c r="DV155">
        <v>-1.7800000000000002</v>
      </c>
      <c r="DW155">
        <v>-8.3260517799352751</v>
      </c>
      <c r="DX155">
        <v>0.2863674242424229</v>
      </c>
      <c r="DY155">
        <v>-8.0379418058007257</v>
      </c>
      <c r="DZ155">
        <v>3895</v>
      </c>
      <c r="EA155">
        <v>-8.0090213882676871</v>
      </c>
      <c r="EB155">
        <v>8</v>
      </c>
      <c r="EC155">
        <v>3.8681692268949887E-2</v>
      </c>
      <c r="ED155">
        <v>0.33240997229916897</v>
      </c>
      <c r="EE155" s="17">
        <v>1.0659099999999999</v>
      </c>
      <c r="EF155">
        <v>1.10711</v>
      </c>
      <c r="EG155">
        <v>17.116367424242423</v>
      </c>
      <c r="EH155" t="s">
        <v>1840</v>
      </c>
      <c r="EI155">
        <v>0</v>
      </c>
      <c r="EJ155">
        <v>0</v>
      </c>
      <c r="EK155" s="19">
        <v>45470</v>
      </c>
      <c r="EL155" s="20">
        <v>0.87</v>
      </c>
      <c r="EM155" s="20">
        <v>-6.33</v>
      </c>
      <c r="EN155" s="20">
        <v>-1.44</v>
      </c>
      <c r="EO155" s="20">
        <v>3.06</v>
      </c>
      <c r="EP155" s="20">
        <v>-4.12</v>
      </c>
    </row>
    <row r="156" spans="1:146" ht="84" x14ac:dyDescent="0.25">
      <c r="A156" s="7"/>
      <c r="B156" s="7"/>
      <c r="C156" s="7" t="str">
        <f>""&amp;CHAR(10)&amp;Basic_Fundamental_Information_Constructure(F156)&amp;CHAR(10)&amp;Basic_Fundamental_Information_Concatenate("")</f>
        <v xml:space="preserve">
市值17.897501亿, 利润5377.96万; PE21.66; 平均PE22.73; 平均PEG16.34, PB1.54; ROIC4.6967%; ROE6.1433%; 股利率0%; 毛利22.2867%; 净利3.7867%; 上一年度营收增-59.06%, 利润增-23.82%; 当季营收增176.97%, 利润增-.98%; 过往5年营收增-1.39%, 利润增-6.55%
Income profile:
</v>
      </c>
      <c r="D156" t="s">
        <v>1241</v>
      </c>
      <c r="E156" t="s">
        <v>1242</v>
      </c>
      <c r="F156">
        <v>8</v>
      </c>
      <c r="G156">
        <v>0.76</v>
      </c>
      <c r="H156" t="s">
        <v>5886</v>
      </c>
      <c r="I156">
        <v>1789750100</v>
      </c>
      <c r="J156">
        <v>21.66</v>
      </c>
      <c r="K156">
        <v>1.54</v>
      </c>
      <c r="L156" t="s">
        <v>172</v>
      </c>
      <c r="M156" t="s">
        <v>5887</v>
      </c>
      <c r="N156" t="s">
        <v>5888</v>
      </c>
      <c r="O156" t="s">
        <v>168</v>
      </c>
      <c r="P156">
        <v>41.98</v>
      </c>
      <c r="Q156" t="s">
        <v>5194</v>
      </c>
      <c r="R156">
        <v>15482233</v>
      </c>
      <c r="S156" s="5">
        <v>2.871</v>
      </c>
      <c r="T156" t="s">
        <v>5889</v>
      </c>
      <c r="U156">
        <v>223718760</v>
      </c>
      <c r="V156">
        <v>223718760</v>
      </c>
      <c r="W156">
        <v>2.13</v>
      </c>
      <c r="X156">
        <v>0.15</v>
      </c>
      <c r="Y156">
        <v>4.83</v>
      </c>
      <c r="Z156" t="s">
        <v>124</v>
      </c>
      <c r="AA156" t="s">
        <v>2886</v>
      </c>
      <c r="AB156" t="s">
        <v>5890</v>
      </c>
      <c r="AC156" t="s">
        <v>5891</v>
      </c>
      <c r="AD156" t="s">
        <v>19</v>
      </c>
      <c r="AE156">
        <v>2592135</v>
      </c>
      <c r="AF156" t="s">
        <v>5892</v>
      </c>
      <c r="AG156">
        <v>0.76</v>
      </c>
      <c r="AH156" t="s">
        <v>5893</v>
      </c>
      <c r="AI156" t="s">
        <v>190</v>
      </c>
      <c r="AJ156" t="s">
        <v>5894</v>
      </c>
      <c r="AK156" t="s">
        <v>19</v>
      </c>
      <c r="AL156" t="s">
        <v>5895</v>
      </c>
      <c r="AM156" t="s">
        <v>19</v>
      </c>
      <c r="AN156" t="s">
        <v>683</v>
      </c>
      <c r="AO156" t="s">
        <v>1473</v>
      </c>
      <c r="AP156" t="s">
        <v>201</v>
      </c>
      <c r="AQ156" t="s">
        <v>523</v>
      </c>
      <c r="AR156" t="s">
        <v>1751</v>
      </c>
      <c r="AS156" t="s">
        <v>728</v>
      </c>
      <c r="AT156" t="s">
        <v>871</v>
      </c>
      <c r="AU156" t="s">
        <v>5896</v>
      </c>
      <c r="AV156" t="s">
        <v>2611</v>
      </c>
      <c r="AW156" t="s">
        <v>5897</v>
      </c>
      <c r="AX156" t="s">
        <v>2317</v>
      </c>
      <c r="AY156" t="s">
        <v>1736</v>
      </c>
      <c r="AZ156" t="s">
        <v>240</v>
      </c>
      <c r="BA156" t="s">
        <v>1093</v>
      </c>
      <c r="BB156" t="s">
        <v>525</v>
      </c>
      <c r="BC156" t="s">
        <v>5898</v>
      </c>
      <c r="BD156" t="s">
        <v>1750</v>
      </c>
      <c r="BE156" t="s">
        <v>279</v>
      </c>
      <c r="BF156" t="s">
        <v>1244</v>
      </c>
      <c r="BG156" t="s">
        <v>367</v>
      </c>
      <c r="BH156" t="s">
        <v>5899</v>
      </c>
      <c r="BI156" t="s">
        <v>720</v>
      </c>
      <c r="BJ156" t="s">
        <v>2317</v>
      </c>
      <c r="BK156" t="s">
        <v>5900</v>
      </c>
      <c r="BL156" t="s">
        <v>5901</v>
      </c>
      <c r="BM156" t="s">
        <v>5898</v>
      </c>
      <c r="BN156">
        <v>3.99</v>
      </c>
      <c r="BO156">
        <v>4.4000000000000004</v>
      </c>
      <c r="BP156">
        <v>5.7</v>
      </c>
      <c r="BQ156">
        <v>5.81</v>
      </c>
      <c r="BR156">
        <v>6.56</v>
      </c>
      <c r="BS156">
        <v>6.06</v>
      </c>
      <c r="BT156" t="s">
        <v>1983</v>
      </c>
      <c r="BU156" t="s">
        <v>2920</v>
      </c>
      <c r="BV156">
        <v>24.55</v>
      </c>
      <c r="BW156">
        <v>21.25</v>
      </c>
      <c r="BX156">
        <v>21.06</v>
      </c>
      <c r="BY156">
        <v>3.49</v>
      </c>
      <c r="BZ156">
        <v>3.42</v>
      </c>
      <c r="CA156">
        <v>4.45</v>
      </c>
      <c r="CB156">
        <v>-4.3099999999999996</v>
      </c>
      <c r="CC156">
        <v>-14.07</v>
      </c>
      <c r="CD156" t="s">
        <v>5902</v>
      </c>
      <c r="CE156" t="s">
        <v>92</v>
      </c>
      <c r="CF156" s="14">
        <v>1.7697368421052631</v>
      </c>
      <c r="CG156" s="15">
        <v>-9.7771680385798625E-3</v>
      </c>
      <c r="CH156" s="14">
        <v>-0.59058821201324463</v>
      </c>
      <c r="CI156" s="14">
        <v>5.5245146155357361E-2</v>
      </c>
      <c r="CJ156" s="14">
        <v>0.41564154624938965</v>
      </c>
      <c r="CK156" s="14">
        <v>2.6149744167923927E-2</v>
      </c>
      <c r="CL156" s="14">
        <v>2.4007266387343407E-2</v>
      </c>
      <c r="CM156" s="15">
        <v>-0.2382180392742157</v>
      </c>
      <c r="CN156" s="15">
        <v>0.12678268551826477</v>
      </c>
      <c r="CO156" s="15">
        <v>-0.43042090535163879</v>
      </c>
      <c r="CP156" s="15">
        <v>0.47680741548538208</v>
      </c>
      <c r="CQ156" s="15">
        <v>-0.26252475380897522</v>
      </c>
      <c r="CR156">
        <v>22.726244689591066</v>
      </c>
      <c r="CS156">
        <v>16.339352307596346</v>
      </c>
      <c r="CT156">
        <v>0</v>
      </c>
      <c r="CU156" s="14">
        <v>-1.3908901810646057E-2</v>
      </c>
      <c r="CV156" s="15">
        <v>-6.5514719486236578E-2</v>
      </c>
      <c r="CW156">
        <v>0.06</v>
      </c>
      <c r="CX156">
        <v>35.510678770388772</v>
      </c>
      <c r="CY156" t="s">
        <v>5903</v>
      </c>
      <c r="CZ156">
        <v>-1.3908901810646057E-2</v>
      </c>
      <c r="DA156">
        <v>11.836892923462925</v>
      </c>
      <c r="DB156" t="s">
        <v>5904</v>
      </c>
      <c r="DC156">
        <v>-1.3213456720113754E-2</v>
      </c>
      <c r="DD156">
        <v>5.9184464617314623</v>
      </c>
      <c r="DE156" t="s">
        <v>5905</v>
      </c>
      <c r="DF156">
        <v>-1.223983359336853E-2</v>
      </c>
      <c r="DG156">
        <v>3.5510678770388773</v>
      </c>
      <c r="DH156" t="s">
        <v>5906</v>
      </c>
      <c r="DI156">
        <v>-1.1127121448516845E-2</v>
      </c>
      <c r="DJ156">
        <v>1.7755339385194386</v>
      </c>
      <c r="DK156" t="s">
        <v>5907</v>
      </c>
      <c r="DL156">
        <v>-9.7362312674522389E-3</v>
      </c>
      <c r="DM156">
        <v>53779600</v>
      </c>
      <c r="DN156">
        <v>-1.3908901810646057E-2</v>
      </c>
      <c r="DO156">
        <v>1909750100</v>
      </c>
      <c r="DP156">
        <v>185224349.99999988</v>
      </c>
      <c r="DQ156">
        <v>3921</v>
      </c>
      <c r="DR156">
        <v>1.783645743915909</v>
      </c>
      <c r="DS156">
        <v>5.5737551447656714E-2</v>
      </c>
      <c r="DT156" s="16">
        <v>-0.47333333333333333</v>
      </c>
      <c r="DU156">
        <v>-0.28333333333333338</v>
      </c>
      <c r="DV156">
        <v>-0.75666666666666671</v>
      </c>
      <c r="DW156">
        <v>-8.30632551528074</v>
      </c>
      <c r="DX156">
        <v>0.46601355932203264</v>
      </c>
      <c r="DY156">
        <v>-8.0386011684916827</v>
      </c>
      <c r="DZ156">
        <v>578</v>
      </c>
      <c r="EA156">
        <v>-8.034234930646635</v>
      </c>
      <c r="EB156">
        <v>8</v>
      </c>
      <c r="EC156">
        <v>6.6465592782652655E-2</v>
      </c>
      <c r="ED156">
        <v>0.52744794401685402</v>
      </c>
      <c r="EE156" s="17">
        <v>1.5199999999999998E-2</v>
      </c>
      <c r="EF156">
        <v>1.2409999999999999E-2</v>
      </c>
      <c r="EG156">
        <v>34.126013559322033</v>
      </c>
      <c r="EH156">
        <v>-1</v>
      </c>
      <c r="EI156">
        <v>0</v>
      </c>
      <c r="EJ156">
        <v>1</v>
      </c>
      <c r="EK156" s="19">
        <v>45470</v>
      </c>
      <c r="EL156" s="20">
        <v>0.66</v>
      </c>
      <c r="EM156" s="20">
        <v>-3.95</v>
      </c>
      <c r="EN156" s="20">
        <v>0.69</v>
      </c>
      <c r="EO156" s="20">
        <v>3.68</v>
      </c>
      <c r="EP156" s="20">
        <v>-2.76</v>
      </c>
    </row>
    <row r="157" spans="1:146" ht="84" x14ac:dyDescent="0.25">
      <c r="C157" s="7" t="str">
        <f>""&amp;CHAR(10)&amp;Basic_Fundamental_Information_Constructure(F157)&amp;CHAR(10)&amp;Basic_Fundamental_Information_Concatenate("")</f>
        <v xml:space="preserve">
市值50.735184亿, 利润2.73亿; PE30.13; 平均PE35.55; 平均PEG.37, PB2.48; ROIC11.64%; ROE15.8%; 股利率1.9947%; 毛利19.81%; 净利7.7067%; 上一年度营收增459.11%, 利润增111.63%; 当季营收增-78.47%, 利润增-42.88%; 过往5年营收增96.9%, 利润增25.64%
Income profile:
</v>
      </c>
      <c r="D157" t="s">
        <v>2773</v>
      </c>
      <c r="E157" t="s">
        <v>2846</v>
      </c>
      <c r="F157">
        <v>15.04</v>
      </c>
      <c r="G157">
        <v>0</v>
      </c>
      <c r="H157" t="s">
        <v>5908</v>
      </c>
      <c r="I157">
        <v>5073518400</v>
      </c>
      <c r="J157">
        <v>30.13</v>
      </c>
      <c r="K157">
        <v>2.48</v>
      </c>
      <c r="L157" t="s">
        <v>172</v>
      </c>
      <c r="M157" t="s">
        <v>1644</v>
      </c>
      <c r="N157" t="s">
        <v>2630</v>
      </c>
      <c r="O157" t="s">
        <v>1072</v>
      </c>
      <c r="P157">
        <v>20.43</v>
      </c>
      <c r="Q157" t="s">
        <v>5909</v>
      </c>
      <c r="R157">
        <v>46285190</v>
      </c>
      <c r="S157">
        <v>0.17449999999999999</v>
      </c>
      <c r="T157" t="s">
        <v>59</v>
      </c>
      <c r="U157">
        <v>84335000</v>
      </c>
      <c r="V157">
        <v>337335000</v>
      </c>
      <c r="W157">
        <v>1.35</v>
      </c>
      <c r="X157">
        <v>0.17</v>
      </c>
      <c r="Y157">
        <v>9.5500000000000007</v>
      </c>
      <c r="Z157" t="s">
        <v>168</v>
      </c>
      <c r="AA157" t="s">
        <v>691</v>
      </c>
      <c r="AB157" t="s">
        <v>5910</v>
      </c>
      <c r="AC157" t="s">
        <v>5911</v>
      </c>
      <c r="AD157" t="s">
        <v>19</v>
      </c>
      <c r="AE157">
        <v>-4333217</v>
      </c>
      <c r="AF157" t="s">
        <v>5912</v>
      </c>
      <c r="AG157" t="s">
        <v>5913</v>
      </c>
      <c r="AH157" t="s">
        <v>5914</v>
      </c>
      <c r="AI157" t="s">
        <v>1589</v>
      </c>
      <c r="AJ157" t="s">
        <v>5915</v>
      </c>
      <c r="AK157" t="s">
        <v>5916</v>
      </c>
      <c r="AL157" t="s">
        <v>5917</v>
      </c>
      <c r="AM157" t="s">
        <v>19</v>
      </c>
      <c r="AN157" t="s">
        <v>946</v>
      </c>
      <c r="AO157" t="s">
        <v>5918</v>
      </c>
      <c r="AP157" t="s">
        <v>19</v>
      </c>
      <c r="AQ157" t="s">
        <v>4132</v>
      </c>
      <c r="AR157" t="s">
        <v>19</v>
      </c>
      <c r="AS157" t="s">
        <v>107</v>
      </c>
      <c r="AT157" t="s">
        <v>441</v>
      </c>
      <c r="AU157" t="s">
        <v>5919</v>
      </c>
      <c r="AV157" t="s">
        <v>5920</v>
      </c>
      <c r="AW157" t="s">
        <v>5921</v>
      </c>
      <c r="AX157" t="s">
        <v>1661</v>
      </c>
      <c r="AY157" t="s">
        <v>2014</v>
      </c>
      <c r="AZ157" t="s">
        <v>2774</v>
      </c>
      <c r="BA157" t="s">
        <v>2279</v>
      </c>
      <c r="BB157" t="s">
        <v>2308</v>
      </c>
      <c r="BC157" t="s">
        <v>27</v>
      </c>
      <c r="BD157" t="s">
        <v>2775</v>
      </c>
      <c r="BE157" t="s">
        <v>620</v>
      </c>
      <c r="BF157" t="s">
        <v>229</v>
      </c>
      <c r="BG157" t="s">
        <v>323</v>
      </c>
      <c r="BH157" t="s">
        <v>2804</v>
      </c>
      <c r="BI157" t="s">
        <v>5922</v>
      </c>
      <c r="BJ157" t="s">
        <v>1661</v>
      </c>
      <c r="BK157" t="s">
        <v>209</v>
      </c>
      <c r="BL157" t="s">
        <v>5923</v>
      </c>
      <c r="BM157" t="s">
        <v>27</v>
      </c>
      <c r="BN157">
        <v>10.8</v>
      </c>
      <c r="BO157">
        <v>13.25</v>
      </c>
      <c r="BP157">
        <v>10.87</v>
      </c>
      <c r="BQ157">
        <v>14.67</v>
      </c>
      <c r="BR157">
        <v>16.93</v>
      </c>
      <c r="BS157" t="s">
        <v>19</v>
      </c>
      <c r="BT157" t="s">
        <v>1979</v>
      </c>
      <c r="BU157" t="s">
        <v>3084</v>
      </c>
      <c r="BV157">
        <v>20.77</v>
      </c>
      <c r="BW157">
        <v>19.510000000000002</v>
      </c>
      <c r="BX157">
        <v>19.149999999999999</v>
      </c>
      <c r="BY157">
        <v>8.43</v>
      </c>
      <c r="BZ157">
        <v>7.85</v>
      </c>
      <c r="CA157">
        <v>6.84</v>
      </c>
      <c r="CB157">
        <v>-5.35</v>
      </c>
      <c r="CC157" s="14">
        <v>-17</v>
      </c>
      <c r="CD157" s="15" t="s">
        <v>5924</v>
      </c>
      <c r="CE157" s="14" t="s">
        <v>5925</v>
      </c>
      <c r="CF157" s="14">
        <v>-0.7846648301193756</v>
      </c>
      <c r="CG157" s="14">
        <v>-0.4288303441195126</v>
      </c>
      <c r="CH157" s="14">
        <v>4.5910758972167969</v>
      </c>
      <c r="CI157" s="14">
        <v>0.17613223195075989</v>
      </c>
      <c r="CJ157" s="15">
        <v>0.17087547481060028</v>
      </c>
      <c r="CK157" s="15">
        <v>-0.11144348978996277</v>
      </c>
      <c r="CL157" s="15">
        <v>1.8278751522302628E-2</v>
      </c>
      <c r="CM157" s="15">
        <v>1.116279125213623</v>
      </c>
      <c r="CN157" s="15">
        <v>0.35376083850860596</v>
      </c>
      <c r="CO157">
        <v>-0.24968428909778595</v>
      </c>
      <c r="CP157">
        <v>0.14414414763450623</v>
      </c>
      <c r="CQ157">
        <v>-8.2644626498222351E-2</v>
      </c>
      <c r="CR157" s="14">
        <v>35.549996899415284</v>
      </c>
      <c r="CS157" s="15">
        <v>0.3668791767703003</v>
      </c>
      <c r="CT157">
        <v>1.9946808510638299</v>
      </c>
      <c r="CU157">
        <v>0.96898377314209938</v>
      </c>
      <c r="CV157">
        <v>0.25637103915214537</v>
      </c>
      <c r="CW157">
        <v>0.06</v>
      </c>
      <c r="CX157">
        <v>7.5970643108844014</v>
      </c>
      <c r="CY157">
        <v>507106198.1771633</v>
      </c>
      <c r="CZ157">
        <v>0.96898377314209938</v>
      </c>
      <c r="DA157">
        <v>1.2779834154062801</v>
      </c>
      <c r="DB157">
        <v>3014529260.3623161</v>
      </c>
      <c r="DC157">
        <v>0.92053458448499437</v>
      </c>
      <c r="DD157">
        <v>0.21947778127819006</v>
      </c>
      <c r="DE157">
        <v>17553113474.921173</v>
      </c>
      <c r="DF157">
        <v>0.85270572036504744</v>
      </c>
      <c r="DG157">
        <v>3.295224453894232E-2</v>
      </c>
      <c r="DH157">
        <v>116912169532.09877</v>
      </c>
      <c r="DI157">
        <v>0.77518701851367955</v>
      </c>
      <c r="DJ157">
        <v>5.3056085803494823E-4</v>
      </c>
      <c r="DK157">
        <v>7261218655044.9092</v>
      </c>
      <c r="DL157">
        <v>0.67828864119946952</v>
      </c>
      <c r="DM157">
        <v>273000000</v>
      </c>
      <c r="DN157">
        <v>0.96898377314209938</v>
      </c>
      <c r="DO157">
        <v>3852518400</v>
      </c>
      <c r="DP157">
        <v>1489739500</v>
      </c>
      <c r="DQ157" s="16">
        <v>3935</v>
      </c>
      <c r="DR157">
        <v>-1.7536486032614751</v>
      </c>
      <c r="DS157">
        <v>-0.68520138327165792</v>
      </c>
      <c r="DT157">
        <v>0.14333333333333331</v>
      </c>
      <c r="DU157">
        <v>0.13</v>
      </c>
      <c r="DV157">
        <v>0.27333333333333332</v>
      </c>
      <c r="DW157">
        <v>-8.3147058823529409</v>
      </c>
      <c r="DX157">
        <v>0.32596655543991432</v>
      </c>
      <c r="DY157">
        <v>-8.0427894748002089</v>
      </c>
      <c r="DZ157">
        <v>4888</v>
      </c>
      <c r="EA157">
        <v>-8.001858955656683</v>
      </c>
      <c r="EB157" s="17">
        <v>8</v>
      </c>
      <c r="EC157" s="17">
        <v>2.7301050884135949E-2</v>
      </c>
      <c r="ED157">
        <v>0.20079238738939037</v>
      </c>
      <c r="EE157">
        <v>-1.1045099999999999</v>
      </c>
      <c r="EF157">
        <v>-1.1268100000000001</v>
      </c>
      <c r="EG157">
        <v>19.135966555439914</v>
      </c>
      <c r="EH157" s="19" t="s">
        <v>1838</v>
      </c>
      <c r="EI157">
        <v>0</v>
      </c>
      <c r="EJ157">
        <v>0</v>
      </c>
      <c r="EK157">
        <v>45470</v>
      </c>
      <c r="EL157">
        <v>-0.67</v>
      </c>
      <c r="EM157">
        <v>-3.36</v>
      </c>
      <c r="EN157" s="20">
        <v>-0.69</v>
      </c>
      <c r="EO157" s="20">
        <v>4.43</v>
      </c>
      <c r="EP157" s="20">
        <v>-2.23</v>
      </c>
    </row>
    <row r="158" spans="1:146" ht="132" x14ac:dyDescent="0.25">
      <c r="A158" s="7" t="s">
        <v>2085</v>
      </c>
      <c r="B158" s="7"/>
      <c r="C158" s="7" t="str">
        <f>"公司主营业务是小型电机、通用汽油机及其配套终端产品的研发、制造和销售，主要产品为小型发电机与终端类产品。公司小型发电机与发电机组两大主要产品规模效应优势明显，产销规模在行业内处于领先地位。"&amp;CHAR(10)&amp;Basic_Fundamental_Information_Constructure(F158)&amp;CHAR(10)&amp;Basic_Fundamental_Information_Concatenate("通用机械设备 10.04亿 71.90% 68.98% 19.96%
通用机械设备配件 6.36亿 45.55% 29.16% 13.32%")</f>
        <v>公司主营业务是小型电机、通用汽油机及其配套终端产品的研发、制造和销售，主要产品为小型发电机与终端类产品。公司小型发电机与发电机组两大主要产品规模效应优势明显，产销规模在行业内处于领先地位。
市值26.83831亿, 利润5201.57万; PE14.97; 平均PE19.93; 平均PEG496.99, PB1.47; ROIC10.59%; ROE12.6867%; 股利率2.7237%; 毛利24.0667%; 净利8.1367%; 上一年度营收增-85.54%, 利润增-74.5%; 当季营收增530.53%, 利润增304.18%; 过往5年营收增.04%, 利润增-2.03%
Income profile:
通用机械设备 10.04亿 71.90% 68.98% 19.96%
通用机械设备配件 6.36亿 45.55% 29.16% 13.32%</v>
      </c>
      <c r="D158" t="s">
        <v>1246</v>
      </c>
      <c r="E158" t="s">
        <v>1247</v>
      </c>
      <c r="F158">
        <v>12.85</v>
      </c>
      <c r="G158">
        <v>2.15</v>
      </c>
      <c r="H158" t="s">
        <v>5926</v>
      </c>
      <c r="I158">
        <v>2683831000</v>
      </c>
      <c r="J158">
        <v>14.97</v>
      </c>
      <c r="K158">
        <v>1.47</v>
      </c>
      <c r="L158" t="s">
        <v>172</v>
      </c>
      <c r="M158" t="s">
        <v>2058</v>
      </c>
      <c r="N158" t="s">
        <v>1223</v>
      </c>
      <c r="O158" t="s">
        <v>2019</v>
      </c>
      <c r="P158">
        <v>-28.04</v>
      </c>
      <c r="Q158" t="s">
        <v>405</v>
      </c>
      <c r="R158">
        <v>18083361</v>
      </c>
      <c r="S158" s="5">
        <v>-0.72150000000000003</v>
      </c>
      <c r="T158" t="s">
        <v>5927</v>
      </c>
      <c r="U158">
        <v>207929150</v>
      </c>
      <c r="V158">
        <v>208858440</v>
      </c>
      <c r="W158">
        <v>1.79</v>
      </c>
      <c r="X158">
        <v>0.16</v>
      </c>
      <c r="Y158">
        <v>3.43</v>
      </c>
      <c r="Z158" t="s">
        <v>1304</v>
      </c>
      <c r="AA158" t="s">
        <v>626</v>
      </c>
      <c r="AB158" t="s">
        <v>5928</v>
      </c>
      <c r="AC158" t="s">
        <v>5929</v>
      </c>
      <c r="AD158" t="s">
        <v>19</v>
      </c>
      <c r="AE158">
        <v>-4312322</v>
      </c>
      <c r="AF158" t="s">
        <v>5930</v>
      </c>
      <c r="AG158" t="s">
        <v>5931</v>
      </c>
      <c r="AH158" t="s">
        <v>5932</v>
      </c>
      <c r="AI158" t="s">
        <v>796</v>
      </c>
      <c r="AJ158" t="s">
        <v>5933</v>
      </c>
      <c r="AK158" t="s">
        <v>19</v>
      </c>
      <c r="AL158" t="s">
        <v>5934</v>
      </c>
      <c r="AM158" t="s">
        <v>19</v>
      </c>
      <c r="AN158" t="s">
        <v>74</v>
      </c>
      <c r="AO158" t="s">
        <v>632</v>
      </c>
      <c r="AP158" t="s">
        <v>99</v>
      </c>
      <c r="AQ158" t="s">
        <v>187</v>
      </c>
      <c r="AR158" t="s">
        <v>19</v>
      </c>
      <c r="AS158" t="s">
        <v>3178</v>
      </c>
      <c r="AT158" t="s">
        <v>2812</v>
      </c>
      <c r="AU158" t="s">
        <v>5935</v>
      </c>
      <c r="AV158" t="s">
        <v>5936</v>
      </c>
      <c r="AW158" t="s">
        <v>5937</v>
      </c>
      <c r="AX158" t="s">
        <v>5938</v>
      </c>
      <c r="AY158" t="s">
        <v>1752</v>
      </c>
      <c r="AZ158" t="s">
        <v>1248</v>
      </c>
      <c r="BA158" t="s">
        <v>1250</v>
      </c>
      <c r="BB158" t="s">
        <v>63</v>
      </c>
      <c r="BC158" t="s">
        <v>415</v>
      </c>
      <c r="BD158" t="s">
        <v>208</v>
      </c>
      <c r="BE158" t="s">
        <v>32</v>
      </c>
      <c r="BF158" t="s">
        <v>229</v>
      </c>
      <c r="BG158" t="s">
        <v>190</v>
      </c>
      <c r="BH158" t="s">
        <v>2740</v>
      </c>
      <c r="BI158" t="s">
        <v>5939</v>
      </c>
      <c r="BJ158" t="s">
        <v>5938</v>
      </c>
      <c r="BK158" t="s">
        <v>337</v>
      </c>
      <c r="BL158" t="s">
        <v>5940</v>
      </c>
      <c r="BM158" t="s">
        <v>415</v>
      </c>
      <c r="BN158">
        <v>8.9</v>
      </c>
      <c r="BO158">
        <v>10.92</v>
      </c>
      <c r="BP158">
        <v>11.95</v>
      </c>
      <c r="BQ158">
        <v>10.62</v>
      </c>
      <c r="BR158">
        <v>13.56</v>
      </c>
      <c r="BS158">
        <v>13.88</v>
      </c>
      <c r="BT158" t="s">
        <v>1998</v>
      </c>
      <c r="BU158" t="s">
        <v>3125</v>
      </c>
      <c r="BV158">
        <v>27</v>
      </c>
      <c r="BW158">
        <v>23.5</v>
      </c>
      <c r="BX158">
        <v>21.7</v>
      </c>
      <c r="BY158">
        <v>8.5</v>
      </c>
      <c r="BZ158">
        <v>7.89</v>
      </c>
      <c r="CA158">
        <v>8.02</v>
      </c>
      <c r="CB158">
        <v>-1.98</v>
      </c>
      <c r="CC158">
        <v>-11.5</v>
      </c>
      <c r="CD158" t="s">
        <v>5941</v>
      </c>
      <c r="CE158" t="s">
        <v>5942</v>
      </c>
      <c r="CF158" s="14">
        <v>5.3052909407206927</v>
      </c>
      <c r="CG158" s="15">
        <v>3.0417873985829553</v>
      </c>
      <c r="CH158" s="14">
        <v>-0.85541278123855591</v>
      </c>
      <c r="CI158" s="14">
        <v>0.11771935969591141</v>
      </c>
      <c r="CJ158" s="14">
        <v>0.56081956624984741</v>
      </c>
      <c r="CK158" s="14">
        <v>0.2289535254240036</v>
      </c>
      <c r="CL158" s="14">
        <v>-5.0074689090251923E-2</v>
      </c>
      <c r="CM158" s="15">
        <v>-0.74502110481262207</v>
      </c>
      <c r="CN158" s="15">
        <v>4.0816325694322586E-2</v>
      </c>
      <c r="CO158" s="15">
        <v>0.84905660152435303</v>
      </c>
      <c r="CP158" s="15">
        <v>-4.5045044273138046E-2</v>
      </c>
      <c r="CQ158" s="15">
        <v>-0.20143884420394897</v>
      </c>
      <c r="CR158">
        <v>19.929050883540999</v>
      </c>
      <c r="CS158">
        <v>496.98851202235295</v>
      </c>
      <c r="CT158">
        <v>2.7237354085603114</v>
      </c>
      <c r="CU158" s="14">
        <v>4.0099620819091799E-4</v>
      </c>
      <c r="CV158" s="15">
        <v>-2.0326413214206696E-2</v>
      </c>
      <c r="CW158">
        <v>0.06</v>
      </c>
      <c r="CX158">
        <v>48.213043899879679</v>
      </c>
      <c r="CY158">
        <v>49091092.545723021</v>
      </c>
      <c r="CZ158">
        <v>4.0099620819091799E-4</v>
      </c>
      <c r="DA158">
        <v>17.010123995645149</v>
      </c>
      <c r="DB158">
        <v>139142489.53187788</v>
      </c>
      <c r="DC158">
        <v>3.8094639778137209E-4</v>
      </c>
      <c r="DD158">
        <v>9.2425874287089549</v>
      </c>
      <c r="DE158">
        <v>256078832.71390483</v>
      </c>
      <c r="DF158">
        <v>3.5287666320800784E-4</v>
      </c>
      <c r="DG158">
        <v>6.1723438776775472</v>
      </c>
      <c r="DH158">
        <v>383457410.49193805</v>
      </c>
      <c r="DI158">
        <v>3.2079696655273442E-4</v>
      </c>
      <c r="DJ158">
        <v>3.9575186345970521</v>
      </c>
      <c r="DK158">
        <v>598059344.38537061</v>
      </c>
      <c r="DL158">
        <v>2.8069734573364256E-4</v>
      </c>
      <c r="DM158">
        <v>52015700</v>
      </c>
      <c r="DN158">
        <v>4.0099620819091799E-4</v>
      </c>
      <c r="DO158">
        <v>2366831000</v>
      </c>
      <c r="DP158">
        <v>1139195200</v>
      </c>
      <c r="DQ158">
        <v>3937</v>
      </c>
      <c r="DR158">
        <v>5.3048899445125022</v>
      </c>
      <c r="DS158">
        <v>3.062113811797162</v>
      </c>
      <c r="DT158" s="16">
        <v>-0.52333333333333332</v>
      </c>
      <c r="DU158">
        <v>-0.16666666666666666</v>
      </c>
      <c r="DV158">
        <v>-0.69</v>
      </c>
      <c r="DW158">
        <v>-2.1150000000000002</v>
      </c>
      <c r="DX158">
        <v>0.36202274124501654</v>
      </c>
      <c r="DY158">
        <v>-2.0151826152431767</v>
      </c>
      <c r="DZ158">
        <v>2742</v>
      </c>
      <c r="EA158">
        <v>-2.0070357011537854</v>
      </c>
      <c r="EB158">
        <v>2</v>
      </c>
      <c r="EC158">
        <v>2.2414703470925092E-2</v>
      </c>
      <c r="ED158">
        <v>0.16977910971660998</v>
      </c>
      <c r="EE158" s="17">
        <v>1.0100100000000001</v>
      </c>
      <c r="EF158">
        <v>1.03531</v>
      </c>
      <c r="EG158">
        <v>23.132022741245017</v>
      </c>
      <c r="EH158" t="s">
        <v>1840</v>
      </c>
      <c r="EI158">
        <v>0</v>
      </c>
      <c r="EJ158">
        <v>0</v>
      </c>
      <c r="EK158" s="19">
        <v>45470</v>
      </c>
      <c r="EL158" s="20">
        <v>-0.88</v>
      </c>
      <c r="EM158" s="20">
        <v>-5.43</v>
      </c>
      <c r="EN158" s="20">
        <v>-3.81</v>
      </c>
      <c r="EO158" s="20">
        <v>6.8</v>
      </c>
      <c r="EP158" s="20">
        <v>-2.5299999999999998</v>
      </c>
    </row>
    <row r="159" spans="1:146" ht="84" x14ac:dyDescent="0.25">
      <c r="C159" s="7" t="str">
        <f>""&amp;CHAR(10)&amp;Basic_Fundamental_Information_Constructure(F159)&amp;CHAR(10)&amp;Basic_Fundamental_Information_Concatenate("")</f>
        <v xml:space="preserve">
市值65.037096亿, 利润1.16亿; PE34.66; 平均PE80.38; 平均PEG1.79, PB3.83; ROIC18.8433%; ROE21.69%; 股利率.783%; 毛利35.6233%; 净利20.6233%; 上一年度营收增89.06%, 利润增-13.43%; 当季营收增-26.62%, 利润增9.6%; 过往5年营收增44.98%, 利润增77.05%
Income profile:
</v>
      </c>
      <c r="D159" t="s">
        <v>2498</v>
      </c>
      <c r="E159" t="s">
        <v>2499</v>
      </c>
      <c r="F159">
        <v>17.88</v>
      </c>
      <c r="G159">
        <v>0.73</v>
      </c>
      <c r="H159" t="s">
        <v>5943</v>
      </c>
      <c r="I159">
        <v>6503709600</v>
      </c>
      <c r="J159">
        <v>34.659999999999997</v>
      </c>
      <c r="K159">
        <v>3.83</v>
      </c>
      <c r="L159" t="s">
        <v>172</v>
      </c>
      <c r="M159" t="s">
        <v>71</v>
      </c>
      <c r="N159" t="s">
        <v>2226</v>
      </c>
      <c r="O159" t="s">
        <v>535</v>
      </c>
      <c r="P159" s="5">
        <v>40.380000000000003</v>
      </c>
      <c r="Q159" t="s">
        <v>2618</v>
      </c>
      <c r="R159">
        <v>46833583</v>
      </c>
      <c r="S159">
        <v>0.51090000000000002</v>
      </c>
      <c r="T159" t="s">
        <v>65</v>
      </c>
      <c r="U159">
        <v>90742150</v>
      </c>
      <c r="V159">
        <v>363742150</v>
      </c>
      <c r="W159">
        <v>1.1599999999999999</v>
      </c>
      <c r="X159">
        <v>0.11</v>
      </c>
      <c r="Y159">
        <v>21.74</v>
      </c>
      <c r="Z159" t="s">
        <v>845</v>
      </c>
      <c r="AA159" t="s">
        <v>264</v>
      </c>
      <c r="AB159" t="s">
        <v>5944</v>
      </c>
      <c r="AC159" t="s">
        <v>5945</v>
      </c>
      <c r="AD159" t="s">
        <v>19</v>
      </c>
      <c r="AE159">
        <v>-6549730</v>
      </c>
      <c r="AF159" t="s">
        <v>21</v>
      </c>
      <c r="AG159" t="s">
        <v>5946</v>
      </c>
      <c r="AH159" t="s">
        <v>5947</v>
      </c>
      <c r="AI159" t="s">
        <v>3458</v>
      </c>
      <c r="AJ159" t="s">
        <v>5948</v>
      </c>
      <c r="AK159" t="s">
        <v>5949</v>
      </c>
      <c r="AL159" t="s">
        <v>5950</v>
      </c>
      <c r="AM159" t="s">
        <v>19</v>
      </c>
      <c r="AN159" t="s">
        <v>5951</v>
      </c>
      <c r="AO159" t="s">
        <v>5952</v>
      </c>
      <c r="AP159" t="s">
        <v>5953</v>
      </c>
      <c r="AQ159" t="s">
        <v>127</v>
      </c>
      <c r="AR159" t="s">
        <v>19</v>
      </c>
      <c r="AS159" t="s">
        <v>50</v>
      </c>
      <c r="AT159" t="s">
        <v>19</v>
      </c>
      <c r="AU159" t="s">
        <v>5954</v>
      </c>
      <c r="AV159" t="s">
        <v>5955</v>
      </c>
      <c r="AW159" t="s">
        <v>5956</v>
      </c>
      <c r="AX159" t="s">
        <v>840</v>
      </c>
      <c r="AY159" t="s">
        <v>978</v>
      </c>
      <c r="AZ159" t="s">
        <v>1344</v>
      </c>
      <c r="BA159" t="s">
        <v>379</v>
      </c>
      <c r="BB159" t="s">
        <v>19</v>
      </c>
      <c r="BC159" t="s">
        <v>287</v>
      </c>
      <c r="BD159" t="s">
        <v>23</v>
      </c>
      <c r="BE159" t="s">
        <v>2778</v>
      </c>
      <c r="BF159" t="s">
        <v>2779</v>
      </c>
      <c r="BG159" t="s">
        <v>19</v>
      </c>
      <c r="BH159" t="s">
        <v>2642</v>
      </c>
      <c r="BI159" t="s">
        <v>71</v>
      </c>
      <c r="BJ159" t="s">
        <v>840</v>
      </c>
      <c r="BK159" t="s">
        <v>121</v>
      </c>
      <c r="BL159" t="s">
        <v>5957</v>
      </c>
      <c r="BM159" t="s">
        <v>287</v>
      </c>
      <c r="BN159">
        <v>9.85</v>
      </c>
      <c r="BO159">
        <v>21.86</v>
      </c>
      <c r="BP159">
        <v>24.82</v>
      </c>
      <c r="BQ159">
        <v>14.59</v>
      </c>
      <c r="BR159">
        <v>28.79</v>
      </c>
      <c r="BS159" t="s">
        <v>19</v>
      </c>
      <c r="BT159" t="s">
        <v>5958</v>
      </c>
      <c r="BU159" t="s">
        <v>3125</v>
      </c>
      <c r="BV159">
        <v>37.07</v>
      </c>
      <c r="BW159">
        <v>35.56</v>
      </c>
      <c r="BX159">
        <v>34.24</v>
      </c>
      <c r="BY159">
        <v>21.47</v>
      </c>
      <c r="BZ159">
        <v>20.04</v>
      </c>
      <c r="CA159">
        <v>20.36</v>
      </c>
      <c r="CB159">
        <v>0.9</v>
      </c>
      <c r="CC159" s="14">
        <v>-6.69</v>
      </c>
      <c r="CD159" s="15" t="s">
        <v>5959</v>
      </c>
      <c r="CE159" s="14" t="s">
        <v>5960</v>
      </c>
      <c r="CF159" s="14">
        <v>-0.26621160409556316</v>
      </c>
      <c r="CG159" s="14">
        <v>9.6012089611966986E-2</v>
      </c>
      <c r="CH159" s="14">
        <v>0.89055460691452026</v>
      </c>
      <c r="CI159" s="14">
        <v>0.27777779102325439</v>
      </c>
      <c r="CJ159" s="15">
        <v>0.43013697862625122</v>
      </c>
      <c r="CK159" s="15">
        <v>0.20065788924694061</v>
      </c>
      <c r="CL159" s="15" t="s">
        <v>19</v>
      </c>
      <c r="CM159" s="15">
        <v>-0.13432836532592773</v>
      </c>
      <c r="CN159" s="15">
        <v>0.28846153616905212</v>
      </c>
      <c r="CO159">
        <v>2.5645856857299805</v>
      </c>
      <c r="CP159">
        <v>0.36344262957572937</v>
      </c>
      <c r="CQ159" t="s">
        <v>19</v>
      </c>
      <c r="CR159" s="14">
        <v>80.377136874138913</v>
      </c>
      <c r="CS159" s="15">
        <v>1.7870250404527881</v>
      </c>
      <c r="CT159">
        <v>0.78299776286353462</v>
      </c>
      <c r="CU159">
        <v>0.44978181645274162</v>
      </c>
      <c r="CV159">
        <v>0.77054037153720856</v>
      </c>
      <c r="CW159">
        <v>0.06</v>
      </c>
      <c r="CX159">
        <v>32.137012729028065</v>
      </c>
      <c r="CY159">
        <v>158655368.59294149</v>
      </c>
      <c r="CZ159">
        <v>0.44978181645274162</v>
      </c>
      <c r="DA159">
        <v>7.8477738827415502</v>
      </c>
      <c r="DB159">
        <v>649701389.99708426</v>
      </c>
      <c r="DC159">
        <v>0.42729272563010451</v>
      </c>
      <c r="DD159">
        <v>2.5097912594033609</v>
      </c>
      <c r="DE159">
        <v>2031527355.4710238</v>
      </c>
      <c r="DF159">
        <v>0.39580799847841264</v>
      </c>
      <c r="DG159">
        <v>0.87532296840702373</v>
      </c>
      <c r="DH159">
        <v>5824946658.5790634</v>
      </c>
      <c r="DI159">
        <v>0.35982545316219333</v>
      </c>
      <c r="DJ159">
        <v>0.11611744358052091</v>
      </c>
      <c r="DK159">
        <v>43909936722.507431</v>
      </c>
      <c r="DL159">
        <v>0.3148472715169191</v>
      </c>
      <c r="DM159">
        <v>115999999.99999999</v>
      </c>
      <c r="DN159">
        <v>0.44978181645274162</v>
      </c>
      <c r="DO159">
        <v>5098709600</v>
      </c>
      <c r="DP159">
        <v>1220262000</v>
      </c>
      <c r="DQ159" s="16">
        <v>3946</v>
      </c>
      <c r="DR159">
        <v>-0.71599342054830473</v>
      </c>
      <c r="DS159">
        <v>-0.67452828192524161</v>
      </c>
      <c r="DT159">
        <v>0.35200000000000004</v>
      </c>
      <c r="DU159">
        <v>0.81799999999999995</v>
      </c>
      <c r="DV159">
        <v>1.17</v>
      </c>
      <c r="DW159">
        <v>-2.0669</v>
      </c>
      <c r="DX159">
        <v>0.38512599170211925</v>
      </c>
      <c r="DY159">
        <v>-2.0110469288448716</v>
      </c>
      <c r="DZ159">
        <v>3756</v>
      </c>
      <c r="EA159">
        <v>-2.0029271118700502</v>
      </c>
      <c r="EB159" s="17">
        <v>2</v>
      </c>
      <c r="EC159" s="17">
        <v>1.9815410449407638E-2</v>
      </c>
      <c r="ED159">
        <v>0.12000176498654336</v>
      </c>
      <c r="EE159">
        <v>-5.0561100000000003</v>
      </c>
      <c r="EF159">
        <v>-5.0798100000000002</v>
      </c>
      <c r="EG159">
        <v>22.165125991702119</v>
      </c>
      <c r="EH159" s="19" t="s">
        <v>2872</v>
      </c>
      <c r="EI159">
        <v>0</v>
      </c>
      <c r="EJ159">
        <v>0</v>
      </c>
      <c r="EK159">
        <v>45470</v>
      </c>
      <c r="EL159">
        <v>0</v>
      </c>
      <c r="EM159">
        <v>-5.81</v>
      </c>
      <c r="EN159" s="20">
        <v>-1.85</v>
      </c>
      <c r="EO159" s="20">
        <v>5.81</v>
      </c>
      <c r="EP159" s="20">
        <v>-2.37</v>
      </c>
    </row>
    <row r="160" spans="1:146" ht="84" x14ac:dyDescent="0.25">
      <c r="A160" s="7"/>
      <c r="B160" s="7"/>
      <c r="C160" s="7" t="str">
        <f>""&amp;CHAR(10)&amp;Basic_Fundamental_Information_Constructure(F160)&amp;CHAR(10)&amp;Basic_Fundamental_Information_Concatenate("")</f>
        <v xml:space="preserve">
市值23.020293亿, 利润4718.69万; PE20.73; 平均PE40.38; 平均PEG2.31, PB1.82; ROIC5.005%; ROE4.52%; 股利率0%; 毛利24.57%; 净利4.5733%; 上一年度营收增20.77%, 利润增665.86%; 当季营收增28.09%, 利润增311.19%; 过往5年营收增17.5%, 利润增110.83%
Income profile:
</v>
      </c>
      <c r="D160" t="s">
        <v>1252</v>
      </c>
      <c r="E160" t="s">
        <v>1253</v>
      </c>
      <c r="F160">
        <v>6.8</v>
      </c>
      <c r="G160">
        <v>0.44</v>
      </c>
      <c r="H160" t="s">
        <v>5961</v>
      </c>
      <c r="I160">
        <v>2302029300</v>
      </c>
      <c r="J160">
        <v>20.73</v>
      </c>
      <c r="K160">
        <v>1.82</v>
      </c>
      <c r="L160" t="s">
        <v>172</v>
      </c>
      <c r="M160" t="s">
        <v>5287</v>
      </c>
      <c r="N160" t="s">
        <v>2325</v>
      </c>
      <c r="O160" t="s">
        <v>214</v>
      </c>
      <c r="P160">
        <v>16.73</v>
      </c>
      <c r="Q160" t="s">
        <v>2162</v>
      </c>
      <c r="R160">
        <v>37920911</v>
      </c>
      <c r="S160" s="5">
        <v>-0.11260000000000001</v>
      </c>
      <c r="T160" t="s">
        <v>5962</v>
      </c>
      <c r="U160">
        <v>338533720</v>
      </c>
      <c r="V160">
        <v>338533720</v>
      </c>
      <c r="W160">
        <v>1.65</v>
      </c>
      <c r="X160">
        <v>0.16</v>
      </c>
      <c r="Y160">
        <v>10.36</v>
      </c>
      <c r="Z160" t="s">
        <v>199</v>
      </c>
      <c r="AA160" t="s">
        <v>517</v>
      </c>
      <c r="AB160" t="s">
        <v>5963</v>
      </c>
      <c r="AC160" t="s">
        <v>5964</v>
      </c>
      <c r="AD160" t="s">
        <v>19</v>
      </c>
      <c r="AE160">
        <v>4278101</v>
      </c>
      <c r="AF160" t="s">
        <v>5965</v>
      </c>
      <c r="AG160">
        <v>3.36</v>
      </c>
      <c r="AH160" t="s">
        <v>5966</v>
      </c>
      <c r="AI160" t="s">
        <v>157</v>
      </c>
      <c r="AJ160" t="s">
        <v>5967</v>
      </c>
      <c r="AK160" t="s">
        <v>5968</v>
      </c>
      <c r="AL160" t="s">
        <v>5969</v>
      </c>
      <c r="AM160" t="s">
        <v>19</v>
      </c>
      <c r="AN160" t="s">
        <v>5970</v>
      </c>
      <c r="AO160" t="s">
        <v>153</v>
      </c>
      <c r="AP160" t="s">
        <v>5971</v>
      </c>
      <c r="AQ160" t="s">
        <v>345</v>
      </c>
      <c r="AR160" t="s">
        <v>5972</v>
      </c>
      <c r="AS160" t="s">
        <v>2728</v>
      </c>
      <c r="AT160" t="s">
        <v>53</v>
      </c>
      <c r="AU160" t="s">
        <v>5973</v>
      </c>
      <c r="AV160" t="s">
        <v>5974</v>
      </c>
      <c r="AW160" t="s">
        <v>5975</v>
      </c>
      <c r="AX160" t="s">
        <v>2337</v>
      </c>
      <c r="AY160" t="s">
        <v>360</v>
      </c>
      <c r="AZ160" t="s">
        <v>1254</v>
      </c>
      <c r="BA160" t="s">
        <v>33</v>
      </c>
      <c r="BB160" t="s">
        <v>164</v>
      </c>
      <c r="BC160" t="s">
        <v>5976</v>
      </c>
      <c r="BD160" t="s">
        <v>1753</v>
      </c>
      <c r="BE160" t="s">
        <v>1255</v>
      </c>
      <c r="BF160" t="s">
        <v>1258</v>
      </c>
      <c r="BG160" t="s">
        <v>1259</v>
      </c>
      <c r="BH160" t="s">
        <v>2618</v>
      </c>
      <c r="BI160" t="s">
        <v>861</v>
      </c>
      <c r="BJ160" t="s">
        <v>2337</v>
      </c>
      <c r="BK160" t="s">
        <v>65</v>
      </c>
      <c r="BL160" t="s">
        <v>5977</v>
      </c>
      <c r="BM160" t="s">
        <v>5976</v>
      </c>
      <c r="BN160">
        <v>4.68</v>
      </c>
      <c r="BO160" t="s">
        <v>19</v>
      </c>
      <c r="BP160">
        <v>5.33</v>
      </c>
      <c r="BQ160">
        <v>8.3000000000000007</v>
      </c>
      <c r="BR160">
        <v>-0.75</v>
      </c>
      <c r="BS160">
        <v>6.01</v>
      </c>
      <c r="BT160" t="s">
        <v>1983</v>
      </c>
      <c r="BU160" t="s">
        <v>2920</v>
      </c>
      <c r="BV160">
        <v>25.91</v>
      </c>
      <c r="BW160">
        <v>21.41</v>
      </c>
      <c r="BX160">
        <v>26.39</v>
      </c>
      <c r="BY160">
        <v>7.28</v>
      </c>
      <c r="BZ160">
        <v>-0.94</v>
      </c>
      <c r="CA160">
        <v>7.38</v>
      </c>
      <c r="CB160">
        <v>-4.49</v>
      </c>
      <c r="CC160">
        <v>-15.95</v>
      </c>
      <c r="CD160" t="s">
        <v>5978</v>
      </c>
      <c r="CE160" t="s">
        <v>161</v>
      </c>
      <c r="CF160" s="14">
        <v>0.2808988764044944</v>
      </c>
      <c r="CG160" s="15">
        <v>3.1118713336152588</v>
      </c>
      <c r="CH160" s="14">
        <v>0.20773473381996155</v>
      </c>
      <c r="CI160" s="14">
        <v>-1.737242192029953E-2</v>
      </c>
      <c r="CJ160" s="14">
        <v>0.44357365369796753</v>
      </c>
      <c r="CK160" s="14">
        <v>1.1093501932919025E-2</v>
      </c>
      <c r="CL160" s="14">
        <v>0.23001949489116669</v>
      </c>
      <c r="CM160" s="15">
        <v>6.6585803031921387</v>
      </c>
      <c r="CN160" s="15">
        <v>-1.1223123073577881</v>
      </c>
      <c r="CO160" s="15">
        <v>0.15695585310459137</v>
      </c>
      <c r="CP160" s="15">
        <v>-0.39673352241516113</v>
      </c>
      <c r="CQ160" s="15">
        <v>0.24501757323741913</v>
      </c>
      <c r="CR160">
        <v>40.375133770890699</v>
      </c>
      <c r="CS160">
        <v>2.3070214070737092</v>
      </c>
      <c r="CT160">
        <v>0</v>
      </c>
      <c r="CU160" s="14">
        <v>0.17500979248434306</v>
      </c>
      <c r="CV160" s="15">
        <v>1.10830157995224</v>
      </c>
      <c r="CW160">
        <v>0.06</v>
      </c>
      <c r="CX160">
        <v>35.063010522529318</v>
      </c>
      <c r="CY160">
        <v>52306669.412244752</v>
      </c>
      <c r="CZ160">
        <v>0.17500979248434306</v>
      </c>
      <c r="DA160">
        <v>10.670011039560642</v>
      </c>
      <c r="DB160">
        <v>171886354.49392372</v>
      </c>
      <c r="DC160">
        <v>0.16625930286012591</v>
      </c>
      <c r="DD160">
        <v>4.761124832784084</v>
      </c>
      <c r="DE160">
        <v>385209244.54054803</v>
      </c>
      <c r="DF160">
        <v>0.1540086173862219</v>
      </c>
      <c r="DG160">
        <v>2.5487675993794832</v>
      </c>
      <c r="DH160">
        <v>719574942.98283935</v>
      </c>
      <c r="DI160">
        <v>0.14000783398747446</v>
      </c>
      <c r="DJ160">
        <v>1.008868295764604</v>
      </c>
      <c r="DK160">
        <v>1817907558.1020422</v>
      </c>
      <c r="DL160">
        <v>0.12250685473904013</v>
      </c>
      <c r="DM160">
        <v>47186899.999999993</v>
      </c>
      <c r="DN160">
        <v>0.17500979248434306</v>
      </c>
      <c r="DO160">
        <v>1834029300</v>
      </c>
      <c r="DP160">
        <v>397155740</v>
      </c>
      <c r="DQ160">
        <v>3947</v>
      </c>
      <c r="DR160">
        <v>0.10588908392015134</v>
      </c>
      <c r="DS160">
        <v>2.0035697536630188</v>
      </c>
      <c r="DT160" s="16">
        <v>-4.0000000000000036E-2</v>
      </c>
      <c r="DU160">
        <v>0.3</v>
      </c>
      <c r="DV160">
        <v>0.25999999999999995</v>
      </c>
      <c r="DW160">
        <v>-8.2815047021943577</v>
      </c>
      <c r="DX160">
        <v>0.34589047619047619</v>
      </c>
      <c r="DY160">
        <v>-8.0269936199432745</v>
      </c>
      <c r="DZ160">
        <v>60</v>
      </c>
      <c r="EA160">
        <v>-8.0266766694155649</v>
      </c>
      <c r="EB160">
        <v>8</v>
      </c>
      <c r="EC160">
        <v>5.3534696632288208E-2</v>
      </c>
      <c r="ED160">
        <v>0.5582900279475852</v>
      </c>
      <c r="EE160" s="17">
        <v>9.0018999999999991</v>
      </c>
      <c r="EF160">
        <v>9.0053000000000001</v>
      </c>
      <c r="EG160">
        <v>25.095890476190476</v>
      </c>
      <c r="EH160" t="s">
        <v>5979</v>
      </c>
      <c r="EI160">
        <v>0</v>
      </c>
      <c r="EJ160">
        <v>1</v>
      </c>
      <c r="EK160" s="19">
        <v>45470</v>
      </c>
      <c r="EL160" s="20">
        <v>0.22</v>
      </c>
      <c r="EM160" s="20">
        <v>-3.15</v>
      </c>
      <c r="EN160" s="20">
        <v>-0.4</v>
      </c>
      <c r="EO160" s="20">
        <v>2.12</v>
      </c>
      <c r="EP160" s="20">
        <v>0.34</v>
      </c>
    </row>
    <row r="161" spans="1:146" ht="84" x14ac:dyDescent="0.25">
      <c r="A161" s="7"/>
      <c r="B161" s="7"/>
      <c r="C161" s="7" t="str">
        <f>""&amp;CHAR(10)&amp;Basic_Fundamental_Information_Constructure(F161)&amp;CHAR(10)&amp;Basic_Fundamental_Information_Concatenate("")</f>
        <v xml:space="preserve">
市值33.079873亿, 利润3527.15万; PE15.45; 平均PE30.78; 平均PEG3.86, PB1.54; ROIC5.8633%; ROE6.5167%; 股利率2.3739%; 毛利23.26%; 净利5.9733%; 上一年度营收增-79.18%, 利润增-71.32%; 当季营收增803.46%, 利润增1137.67%; 过往5年营收增7.97%, 利润增-9.22%
Income profile:
</v>
      </c>
      <c r="D161" t="s">
        <v>1260</v>
      </c>
      <c r="E161" t="s">
        <v>1261</v>
      </c>
      <c r="F161">
        <v>6.74</v>
      </c>
      <c r="G161">
        <v>1.66</v>
      </c>
      <c r="H161" t="s">
        <v>5980</v>
      </c>
      <c r="I161">
        <v>3307987300</v>
      </c>
      <c r="J161">
        <v>15.45</v>
      </c>
      <c r="K161">
        <v>1.54</v>
      </c>
      <c r="L161" t="s">
        <v>172</v>
      </c>
      <c r="M161" t="s">
        <v>5981</v>
      </c>
      <c r="N161" t="s">
        <v>5982</v>
      </c>
      <c r="O161" t="s">
        <v>1953</v>
      </c>
      <c r="P161">
        <v>26.72</v>
      </c>
      <c r="Q161" t="s">
        <v>2514</v>
      </c>
      <c r="R161">
        <v>56681449</v>
      </c>
      <c r="S161" s="5">
        <v>0.53200000000000003</v>
      </c>
      <c r="T161" t="s">
        <v>5983</v>
      </c>
      <c r="U161">
        <v>490799310</v>
      </c>
      <c r="V161">
        <v>490799310</v>
      </c>
      <c r="W161">
        <v>1.91</v>
      </c>
      <c r="X161">
        <v>0.19</v>
      </c>
      <c r="Y161">
        <v>7.68</v>
      </c>
      <c r="Z161" t="s">
        <v>2772</v>
      </c>
      <c r="AA161" t="s">
        <v>2241</v>
      </c>
      <c r="AB161" t="s">
        <v>5984</v>
      </c>
      <c r="AC161" t="s">
        <v>5985</v>
      </c>
      <c r="AD161" t="s">
        <v>19</v>
      </c>
      <c r="AE161">
        <v>8985016</v>
      </c>
      <c r="AF161" t="s">
        <v>5986</v>
      </c>
      <c r="AG161" t="s">
        <v>5987</v>
      </c>
      <c r="AH161" t="s">
        <v>5988</v>
      </c>
      <c r="AI161" t="s">
        <v>79</v>
      </c>
      <c r="AJ161" t="s">
        <v>5989</v>
      </c>
      <c r="AK161" t="s">
        <v>65</v>
      </c>
      <c r="AL161" t="s">
        <v>5990</v>
      </c>
      <c r="AM161" t="s">
        <v>19</v>
      </c>
      <c r="AN161" t="s">
        <v>65</v>
      </c>
      <c r="AO161" t="s">
        <v>3090</v>
      </c>
      <c r="AP161" t="s">
        <v>523</v>
      </c>
      <c r="AQ161" t="s">
        <v>536</v>
      </c>
      <c r="AR161" t="s">
        <v>19</v>
      </c>
      <c r="AS161" t="s">
        <v>2580</v>
      </c>
      <c r="AT161" t="s">
        <v>2715</v>
      </c>
      <c r="AU161" t="s">
        <v>5991</v>
      </c>
      <c r="AV161" t="s">
        <v>5992</v>
      </c>
      <c r="AW161" t="s">
        <v>5993</v>
      </c>
      <c r="AX161" t="s">
        <v>2338</v>
      </c>
      <c r="AY161" t="s">
        <v>2023</v>
      </c>
      <c r="AZ161" t="s">
        <v>1263</v>
      </c>
      <c r="BA161" t="s">
        <v>1264</v>
      </c>
      <c r="BB161" t="s">
        <v>104</v>
      </c>
      <c r="BC161" t="s">
        <v>155</v>
      </c>
      <c r="BD161" t="s">
        <v>2339</v>
      </c>
      <c r="BE161" t="s">
        <v>127</v>
      </c>
      <c r="BF161" t="s">
        <v>175</v>
      </c>
      <c r="BG161" t="s">
        <v>506</v>
      </c>
      <c r="BH161" t="s">
        <v>2616</v>
      </c>
      <c r="BI161" t="s">
        <v>5994</v>
      </c>
      <c r="BJ161" t="s">
        <v>2338</v>
      </c>
      <c r="BK161" t="s">
        <v>445</v>
      </c>
      <c r="BL161" t="s">
        <v>5995</v>
      </c>
      <c r="BM161" t="s">
        <v>155</v>
      </c>
      <c r="BN161">
        <v>5.95</v>
      </c>
      <c r="BO161">
        <v>6.15</v>
      </c>
      <c r="BP161">
        <v>5.49</v>
      </c>
      <c r="BQ161">
        <v>7.02</v>
      </c>
      <c r="BR161">
        <v>6.48</v>
      </c>
      <c r="BS161">
        <v>6.05</v>
      </c>
      <c r="BT161" t="s">
        <v>4368</v>
      </c>
      <c r="BU161" t="s">
        <v>2920</v>
      </c>
      <c r="BV161">
        <v>22.98</v>
      </c>
      <c r="BW161">
        <v>22.62</v>
      </c>
      <c r="BX161">
        <v>24.18</v>
      </c>
      <c r="BY161">
        <v>7.08</v>
      </c>
      <c r="BZ161">
        <v>5.72</v>
      </c>
      <c r="CA161">
        <v>5.12</v>
      </c>
      <c r="CB161">
        <v>-2.0299999999999998</v>
      </c>
      <c r="CC161">
        <v>-13.03</v>
      </c>
      <c r="CD161" t="s">
        <v>5996</v>
      </c>
      <c r="CE161" t="s">
        <v>1067</v>
      </c>
      <c r="CF161" s="14">
        <v>8.0345746221115419</v>
      </c>
      <c r="CG161" s="15">
        <v>11.376672926174203</v>
      </c>
      <c r="CH161" s="14">
        <v>-0.79176032543182373</v>
      </c>
      <c r="CI161" s="14">
        <v>0.14494001865386963</v>
      </c>
      <c r="CJ161" s="14">
        <v>0.31602707505226135</v>
      </c>
      <c r="CK161" s="14">
        <v>0.71373307704925537</v>
      </c>
      <c r="CL161" s="14">
        <v>1.5717092901468277E-2</v>
      </c>
      <c r="CM161" s="15">
        <v>-0.71323978900909424</v>
      </c>
      <c r="CN161" s="15">
        <v>0.34431225061416626</v>
      </c>
      <c r="CO161" s="15">
        <v>-0.41348332166671753</v>
      </c>
      <c r="CP161" s="15">
        <v>0.27868852019309998</v>
      </c>
      <c r="CQ161" s="15">
        <v>4.2735043913125992E-2</v>
      </c>
      <c r="CR161">
        <v>30.783042461312835</v>
      </c>
      <c r="CS161">
        <v>3.8608436866006151</v>
      </c>
      <c r="CT161">
        <v>2.3738872403560833</v>
      </c>
      <c r="CU161" s="14">
        <v>7.9731387645006174E-2</v>
      </c>
      <c r="CV161" s="15">
        <v>-9.2197459191083908E-2</v>
      </c>
      <c r="CW161">
        <v>0.06</v>
      </c>
      <c r="CX161">
        <v>86.617177029828184</v>
      </c>
      <c r="CY161">
        <v>35928061.923887581</v>
      </c>
      <c r="CZ161">
        <v>7.9731387645006174E-2</v>
      </c>
      <c r="DA161">
        <v>28.553172295604448</v>
      </c>
      <c r="DB161">
        <v>108989196.28902557</v>
      </c>
      <c r="DC161">
        <v>7.5744818262755864E-2</v>
      </c>
      <c r="DD161">
        <v>14.22000829816834</v>
      </c>
      <c r="DE161">
        <v>218845673.9790265</v>
      </c>
      <c r="DF161">
        <v>7.0163621127605436E-2</v>
      </c>
      <c r="DG161">
        <v>8.6512108037593816</v>
      </c>
      <c r="DH161">
        <v>359716965.70469493</v>
      </c>
      <c r="DI161">
        <v>6.3785110116004948E-2</v>
      </c>
      <c r="DJ161">
        <v>4.5975156578127709</v>
      </c>
      <c r="DK161">
        <v>676884546.26829946</v>
      </c>
      <c r="DL161">
        <v>5.5811971351504321E-2</v>
      </c>
      <c r="DM161">
        <v>35271500</v>
      </c>
      <c r="DN161">
        <v>7.9731387645006174E-2</v>
      </c>
      <c r="DO161">
        <v>3111987300</v>
      </c>
      <c r="DP161">
        <v>771294900</v>
      </c>
      <c r="DQ161">
        <v>3968</v>
      </c>
      <c r="DR161">
        <v>7.9548432344665354</v>
      </c>
      <c r="DS161">
        <v>11.468870385365287</v>
      </c>
      <c r="DT161" s="16">
        <v>-0.40666666666666668</v>
      </c>
      <c r="DU161">
        <v>-0.20000000000000004</v>
      </c>
      <c r="DV161">
        <v>-0.60666666666666669</v>
      </c>
      <c r="DW161">
        <v>-2.1303000000000001</v>
      </c>
      <c r="DX161">
        <v>0.35681067961164886</v>
      </c>
      <c r="DY161">
        <v>-2.0204324315533979</v>
      </c>
      <c r="DZ161">
        <v>1979</v>
      </c>
      <c r="EA161">
        <v>-2.0125193626602131</v>
      </c>
      <c r="EB161">
        <v>2</v>
      </c>
      <c r="EC161">
        <v>6.5817125945022217E-2</v>
      </c>
      <c r="ED161">
        <v>0.41972349146130628</v>
      </c>
      <c r="EE161" s="17">
        <v>1.0016099999999999</v>
      </c>
      <c r="EF161">
        <v>1.0100100000000001</v>
      </c>
      <c r="EG161">
        <v>20.156810679611649</v>
      </c>
      <c r="EH161" t="s">
        <v>1840</v>
      </c>
      <c r="EI161">
        <v>0</v>
      </c>
      <c r="EJ161">
        <v>0</v>
      </c>
      <c r="EK161" s="19">
        <v>45470</v>
      </c>
      <c r="EL161" s="20">
        <v>-1.1200000000000001</v>
      </c>
      <c r="EM161" s="20">
        <v>-2.68</v>
      </c>
      <c r="EN161" s="20">
        <v>0.33</v>
      </c>
      <c r="EO161" s="20">
        <v>-0.37</v>
      </c>
      <c r="EP161" s="20">
        <v>-0.84</v>
      </c>
    </row>
    <row r="162" spans="1:146" ht="84" x14ac:dyDescent="0.25">
      <c r="A162" s="7"/>
      <c r="B162" s="7"/>
      <c r="C162" s="7" t="str">
        <f>""&amp;CHAR(10)&amp;Basic_Fundamental_Information_Constructure(F162)&amp;CHAR(10)&amp;Basic_Fundamental_Information_Concatenate("")</f>
        <v xml:space="preserve">
市值19.851846亿, 利润1.85亿; PE14.17; 平均PE32.54; 平均PEG5.52, PB1.37; ROIC9.895%; ROE1.4633%; 股利率1.9628%; 毛利15.03%; 净利1.0067%; 上一年度营收增-24.62%, 利润增847.41%; 当季营收增85.63%, 利润增-43.63%; 过往5年营收增5.89%, 利润增113.77%
Income profile:
</v>
      </c>
      <c r="D162" t="s">
        <v>1265</v>
      </c>
      <c r="E162" t="s">
        <v>1266</v>
      </c>
      <c r="F162">
        <v>14.52</v>
      </c>
      <c r="G162">
        <v>0.69</v>
      </c>
      <c r="H162" t="s">
        <v>5997</v>
      </c>
      <c r="I162">
        <v>1985184600</v>
      </c>
      <c r="J162">
        <v>14.17</v>
      </c>
      <c r="K162">
        <v>1.37</v>
      </c>
      <c r="L162" t="s">
        <v>172</v>
      </c>
      <c r="M162" t="s">
        <v>5998</v>
      </c>
      <c r="N162" t="s">
        <v>2534</v>
      </c>
      <c r="O162" t="s">
        <v>1001</v>
      </c>
      <c r="P162">
        <v>5.73</v>
      </c>
      <c r="Q162" t="s">
        <v>2764</v>
      </c>
      <c r="R162">
        <v>43267322</v>
      </c>
      <c r="S162" s="5">
        <v>0.6381</v>
      </c>
      <c r="T162" t="s">
        <v>2079</v>
      </c>
      <c r="U162">
        <v>133400000</v>
      </c>
      <c r="V162">
        <v>136720700</v>
      </c>
      <c r="W162">
        <v>2.38</v>
      </c>
      <c r="X162">
        <v>0.18</v>
      </c>
      <c r="Y162">
        <v>6.94</v>
      </c>
      <c r="Z162" t="s">
        <v>378</v>
      </c>
      <c r="AA162" t="s">
        <v>184</v>
      </c>
      <c r="AB162" t="s">
        <v>5999</v>
      </c>
      <c r="AC162" t="s">
        <v>6000</v>
      </c>
      <c r="AD162" t="s">
        <v>19</v>
      </c>
      <c r="AE162">
        <v>10159040</v>
      </c>
      <c r="AF162" t="s">
        <v>6001</v>
      </c>
      <c r="AG162" t="s">
        <v>6002</v>
      </c>
      <c r="AH162" t="s">
        <v>6003</v>
      </c>
      <c r="AI162" t="s">
        <v>346</v>
      </c>
      <c r="AJ162" t="s">
        <v>6004</v>
      </c>
      <c r="AK162" t="s">
        <v>6005</v>
      </c>
      <c r="AL162" t="s">
        <v>6006</v>
      </c>
      <c r="AM162" t="s">
        <v>19</v>
      </c>
      <c r="AN162" t="s">
        <v>6007</v>
      </c>
      <c r="AO162" t="s">
        <v>2529</v>
      </c>
      <c r="AP162" t="s">
        <v>6008</v>
      </c>
      <c r="AQ162" t="s">
        <v>603</v>
      </c>
      <c r="AR162" t="s">
        <v>19</v>
      </c>
      <c r="AS162" t="s">
        <v>6009</v>
      </c>
      <c r="AT162" t="s">
        <v>6010</v>
      </c>
      <c r="AU162" t="s">
        <v>99</v>
      </c>
      <c r="AV162" t="s">
        <v>6011</v>
      </c>
      <c r="AW162" t="s">
        <v>2608</v>
      </c>
      <c r="AX162" t="s">
        <v>1960</v>
      </c>
      <c r="AY162" t="s">
        <v>1754</v>
      </c>
      <c r="AZ162" t="s">
        <v>1267</v>
      </c>
      <c r="BA162" t="s">
        <v>1269</v>
      </c>
      <c r="BB162" t="s">
        <v>1270</v>
      </c>
      <c r="BC162" t="s">
        <v>2340</v>
      </c>
      <c r="BD162" t="s">
        <v>1755</v>
      </c>
      <c r="BE162" t="s">
        <v>1268</v>
      </c>
      <c r="BF162" t="s">
        <v>1272</v>
      </c>
      <c r="BG162" t="s">
        <v>414</v>
      </c>
      <c r="BH162" t="s">
        <v>5261</v>
      </c>
      <c r="BI162" t="s">
        <v>700</v>
      </c>
      <c r="BJ162" t="s">
        <v>1960</v>
      </c>
      <c r="BK162" t="s">
        <v>155</v>
      </c>
      <c r="BL162" t="s">
        <v>6012</v>
      </c>
      <c r="BM162" t="s">
        <v>2340</v>
      </c>
      <c r="BN162">
        <v>4.9000000000000004</v>
      </c>
      <c r="BO162">
        <v>14.89</v>
      </c>
      <c r="BP162" t="s">
        <v>19</v>
      </c>
      <c r="BQ162">
        <v>6.5</v>
      </c>
      <c r="BR162">
        <v>1.56</v>
      </c>
      <c r="BS162">
        <v>-3.67</v>
      </c>
      <c r="BT162" t="s">
        <v>6013</v>
      </c>
      <c r="BU162" t="s">
        <v>2920</v>
      </c>
      <c r="BV162">
        <v>17.61</v>
      </c>
      <c r="BW162">
        <v>13.46</v>
      </c>
      <c r="BX162">
        <v>14.02</v>
      </c>
      <c r="BY162">
        <v>4.6900000000000004</v>
      </c>
      <c r="BZ162">
        <v>0.79</v>
      </c>
      <c r="CA162">
        <v>-2.46</v>
      </c>
      <c r="CB162">
        <v>-3.01</v>
      </c>
      <c r="CC162">
        <v>-9.98</v>
      </c>
      <c r="CD162" t="s">
        <v>6014</v>
      </c>
      <c r="CE162" t="s">
        <v>6015</v>
      </c>
      <c r="CF162" s="14">
        <v>0.85628742514970058</v>
      </c>
      <c r="CG162" s="15">
        <v>-0.43629238003046061</v>
      </c>
      <c r="CH162" s="14">
        <v>-0.24624232947826385</v>
      </c>
      <c r="CI162" s="14">
        <v>0.19240917265415192</v>
      </c>
      <c r="CJ162" s="14">
        <v>0.16954372823238373</v>
      </c>
      <c r="CK162" s="14">
        <v>-6.1618234030902386E-4</v>
      </c>
      <c r="CL162" s="14">
        <v>0.179505854845047</v>
      </c>
      <c r="CM162" s="15">
        <v>8.4740610122680664</v>
      </c>
      <c r="CN162" s="15">
        <v>1.4176335334777832</v>
      </c>
      <c r="CO162" s="15">
        <v>-3.2411432266235352</v>
      </c>
      <c r="CP162" s="15">
        <v>-0.74689698219299316</v>
      </c>
      <c r="CQ162" s="15">
        <v>-0.21497432887554169</v>
      </c>
      <c r="CR162">
        <v>32.538577849435519</v>
      </c>
      <c r="CS162">
        <v>5.5224967598878818</v>
      </c>
      <c r="CT162">
        <v>1.9628099173553719</v>
      </c>
      <c r="CU162" s="14">
        <v>5.8920048782601951E-2</v>
      </c>
      <c r="CV162" s="15">
        <v>1.1377360016107558</v>
      </c>
      <c r="CW162">
        <v>0.06</v>
      </c>
      <c r="CX162">
        <v>14.734929025189802</v>
      </c>
      <c r="CY162">
        <v>184811517.94790694</v>
      </c>
      <c r="CZ162">
        <v>5.8920048782601951E-2</v>
      </c>
      <c r="DA162">
        <v>4.9440999861001558</v>
      </c>
      <c r="DB162">
        <v>550794807.47880542</v>
      </c>
      <c r="DC162">
        <v>5.5974046343471848E-2</v>
      </c>
      <c r="DD162">
        <v>2.5202816377991732</v>
      </c>
      <c r="DE162">
        <v>1080508050.8295934</v>
      </c>
      <c r="DF162">
        <v>5.1849642928689717E-2</v>
      </c>
      <c r="DG162">
        <v>1.573270783175039</v>
      </c>
      <c r="DH162">
        <v>1730906484.1999445</v>
      </c>
      <c r="DI162">
        <v>4.7136039026081565E-2</v>
      </c>
      <c r="DJ162">
        <v>0.88305278087795125</v>
      </c>
      <c r="DK162">
        <v>3083829935.1625934</v>
      </c>
      <c r="DL162">
        <v>4.1244034147821365E-2</v>
      </c>
      <c r="DM162">
        <v>185000000</v>
      </c>
      <c r="DN162">
        <v>5.8920048782601951E-2</v>
      </c>
      <c r="DO162">
        <v>2723184600</v>
      </c>
      <c r="DP162">
        <v>81308200</v>
      </c>
      <c r="DQ162">
        <v>3971</v>
      </c>
      <c r="DR162">
        <v>0.79736737636709865</v>
      </c>
      <c r="DS162">
        <v>-1.5740283816412164</v>
      </c>
      <c r="DT162" s="16">
        <v>-0.22333333333333338</v>
      </c>
      <c r="DU162">
        <v>-0.6366666666666666</v>
      </c>
      <c r="DV162">
        <v>-0.86</v>
      </c>
      <c r="DW162">
        <v>-8.3016032064128265</v>
      </c>
      <c r="DX162">
        <v>0.34088240762446742</v>
      </c>
      <c r="DY162">
        <v>-8.0364585217384423</v>
      </c>
      <c r="DZ162">
        <v>1300</v>
      </c>
      <c r="EA162">
        <v>-8.0271833596523408</v>
      </c>
      <c r="EB162">
        <v>8</v>
      </c>
      <c r="EC162">
        <v>5.4688134276667688E-2</v>
      </c>
      <c r="ED162">
        <v>0.45240771880190783</v>
      </c>
      <c r="EE162" s="17">
        <v>3.27E-2</v>
      </c>
      <c r="EF162">
        <v>3.78E-2</v>
      </c>
      <c r="EG162">
        <v>22.120882407624467</v>
      </c>
      <c r="EH162" t="s">
        <v>1831</v>
      </c>
      <c r="EI162">
        <v>0</v>
      </c>
      <c r="EJ162">
        <v>1</v>
      </c>
      <c r="EK162" s="19">
        <v>45470</v>
      </c>
      <c r="EL162" s="20">
        <v>3.23</v>
      </c>
      <c r="EM162" s="20">
        <v>-2.21</v>
      </c>
      <c r="EN162" s="20">
        <v>-2.0699999999999998</v>
      </c>
      <c r="EO162" s="20">
        <v>1.32</v>
      </c>
      <c r="EP162" s="20">
        <v>0.51</v>
      </c>
    </row>
    <row r="163" spans="1:146" ht="84" x14ac:dyDescent="0.25">
      <c r="A163" s="7"/>
      <c r="B163" s="7"/>
      <c r="C163" s="7" t="str">
        <f>""&amp;CHAR(10)&amp;Basic_Fundamental_Information_Constructure(F163)&amp;CHAR(10)&amp;Basic_Fundamental_Information_Concatenate("")</f>
        <v xml:space="preserve">
市值30.307186亿, 利润2.50亿; PE28.97; 平均PE18.75; 平均PEG1.81, PB1.31; ROIC4.3367%; ROE4.56%; 股利率0%; 毛利23.38%; 净利8.3067%; 上一年度营收增62.11%, 利润增281.15%; 当季营收增-.31%, 利润增11.06%; 过往5年营收增10.37%, 利润增57.21%
Income profile:
</v>
      </c>
      <c r="D163" t="s">
        <v>1273</v>
      </c>
      <c r="E163" t="s">
        <v>1274</v>
      </c>
      <c r="F163">
        <v>4.6900000000000004</v>
      </c>
      <c r="G163">
        <v>-0.42</v>
      </c>
      <c r="H163" t="s">
        <v>6016</v>
      </c>
      <c r="I163">
        <v>3030718600</v>
      </c>
      <c r="J163">
        <v>28.97</v>
      </c>
      <c r="K163">
        <v>1.31</v>
      </c>
      <c r="L163" t="s">
        <v>172</v>
      </c>
      <c r="M163" t="s">
        <v>319</v>
      </c>
      <c r="N163" t="s">
        <v>6017</v>
      </c>
      <c r="O163" t="s">
        <v>1936</v>
      </c>
      <c r="P163">
        <v>1.7</v>
      </c>
      <c r="Q163" t="s">
        <v>4561</v>
      </c>
      <c r="R163">
        <v>31595670</v>
      </c>
      <c r="S163" s="5">
        <v>3.61E-2</v>
      </c>
      <c r="T163" t="s">
        <v>230</v>
      </c>
      <c r="U163">
        <v>646208650</v>
      </c>
      <c r="V163">
        <v>646208650</v>
      </c>
      <c r="W163">
        <v>1.57</v>
      </c>
      <c r="X163">
        <v>0.09</v>
      </c>
      <c r="Y163">
        <v>9.86</v>
      </c>
      <c r="Z163" t="s">
        <v>71</v>
      </c>
      <c r="AA163" t="s">
        <v>295</v>
      </c>
      <c r="AB163" t="s">
        <v>6018</v>
      </c>
      <c r="AC163" t="s">
        <v>6019</v>
      </c>
      <c r="AD163" t="s">
        <v>19</v>
      </c>
      <c r="AE163">
        <v>5601112</v>
      </c>
      <c r="AF163" t="s">
        <v>6020</v>
      </c>
      <c r="AG163">
        <v>5016.8500000000004</v>
      </c>
      <c r="AH163" t="s">
        <v>6021</v>
      </c>
      <c r="AI163" t="s">
        <v>424</v>
      </c>
      <c r="AJ163" t="s">
        <v>6022</v>
      </c>
      <c r="AK163" t="s">
        <v>6023</v>
      </c>
      <c r="AL163" t="s">
        <v>6024</v>
      </c>
      <c r="AM163" t="s">
        <v>19</v>
      </c>
      <c r="AN163" t="s">
        <v>405</v>
      </c>
      <c r="AO163" t="s">
        <v>1108</v>
      </c>
      <c r="AP163" t="s">
        <v>610</v>
      </c>
      <c r="AQ163" t="s">
        <v>87</v>
      </c>
      <c r="AR163" t="s">
        <v>19</v>
      </c>
      <c r="AS163" t="s">
        <v>267</v>
      </c>
      <c r="AT163" t="s">
        <v>6025</v>
      </c>
      <c r="AU163" t="s">
        <v>6026</v>
      </c>
      <c r="AV163" t="s">
        <v>6027</v>
      </c>
      <c r="AW163" t="s">
        <v>6028</v>
      </c>
      <c r="AX163" t="s">
        <v>2278</v>
      </c>
      <c r="AY163" t="s">
        <v>712</v>
      </c>
      <c r="AZ163" t="s">
        <v>1275</v>
      </c>
      <c r="BA163" t="s">
        <v>235</v>
      </c>
      <c r="BB163" t="s">
        <v>1277</v>
      </c>
      <c r="BC163" t="s">
        <v>2341</v>
      </c>
      <c r="BD163" t="s">
        <v>34</v>
      </c>
      <c r="BE163" t="s">
        <v>68</v>
      </c>
      <c r="BF163" t="s">
        <v>441</v>
      </c>
      <c r="BG163" t="s">
        <v>74</v>
      </c>
      <c r="BH163" t="s">
        <v>1914</v>
      </c>
      <c r="BI163" t="s">
        <v>402</v>
      </c>
      <c r="BJ163" t="s">
        <v>2278</v>
      </c>
      <c r="BK163" t="s">
        <v>23</v>
      </c>
      <c r="BL163" t="s">
        <v>6029</v>
      </c>
      <c r="BM163" t="s">
        <v>2341</v>
      </c>
      <c r="BN163">
        <v>2.73</v>
      </c>
      <c r="BO163">
        <v>2.4300000000000002</v>
      </c>
      <c r="BP163">
        <v>7.85</v>
      </c>
      <c r="BQ163">
        <v>2.69</v>
      </c>
      <c r="BR163">
        <v>2.46</v>
      </c>
      <c r="BS163">
        <v>8.5299999999999994</v>
      </c>
      <c r="BT163" t="s">
        <v>1983</v>
      </c>
      <c r="BU163" t="s">
        <v>2920</v>
      </c>
      <c r="BV163">
        <v>23.79</v>
      </c>
      <c r="BW163">
        <v>20.63</v>
      </c>
      <c r="BX163">
        <v>25.72</v>
      </c>
      <c r="BY163">
        <v>7.66</v>
      </c>
      <c r="BZ163">
        <v>5.78</v>
      </c>
      <c r="CA163">
        <v>11.48</v>
      </c>
      <c r="CB163">
        <v>-4.29</v>
      </c>
      <c r="CC163">
        <v>-11.34</v>
      </c>
      <c r="CD163" t="s">
        <v>6030</v>
      </c>
      <c r="CE163" t="s">
        <v>2097</v>
      </c>
      <c r="CF163" s="14">
        <v>-3.105590062111801E-3</v>
      </c>
      <c r="CG163" s="15">
        <v>0.11057617276747113</v>
      </c>
      <c r="CH163" s="14">
        <v>0.62114530801773071</v>
      </c>
      <c r="CI163" s="14">
        <v>-0.37465560436248779</v>
      </c>
      <c r="CJ163" s="14">
        <v>2.5423692539334297E-2</v>
      </c>
      <c r="CK163" s="14">
        <v>0.16831678152084351</v>
      </c>
      <c r="CL163" s="14">
        <v>7.8291907906532288E-2</v>
      </c>
      <c r="CM163" s="15">
        <v>2.8115448951721191</v>
      </c>
      <c r="CN163" s="15">
        <v>-0.68466246128082275</v>
      </c>
      <c r="CO163" s="15">
        <v>3.4825868904590607E-2</v>
      </c>
      <c r="CP163" s="15">
        <v>0.51127821207046509</v>
      </c>
      <c r="CQ163" s="15">
        <v>0.1875</v>
      </c>
      <c r="CR163">
        <v>18.75463634017753</v>
      </c>
      <c r="CS163">
        <v>1.808470348729877</v>
      </c>
      <c r="CT163">
        <v>0</v>
      </c>
      <c r="CU163" s="14">
        <v>0.1037044171243906</v>
      </c>
      <c r="CV163" s="15">
        <v>0.57209730297327044</v>
      </c>
      <c r="CW163">
        <v>0.06</v>
      </c>
      <c r="CX163">
        <v>7.0559533360301003</v>
      </c>
      <c r="CY163">
        <v>260307645.54820529</v>
      </c>
      <c r="CZ163">
        <v>0.1037044171243906</v>
      </c>
      <c r="DA163">
        <v>2.2792573743640907</v>
      </c>
      <c r="DB163">
        <v>805840806.15838373</v>
      </c>
      <c r="DC163">
        <v>9.8519196268171072E-2</v>
      </c>
      <c r="DD163">
        <v>1.1046847668958555</v>
      </c>
      <c r="DE163">
        <v>1662663100.8601182</v>
      </c>
      <c r="DF163">
        <v>9.1259887069463724E-2</v>
      </c>
      <c r="DG163">
        <v>0.65175775338071562</v>
      </c>
      <c r="DH163">
        <v>2818100115.376925</v>
      </c>
      <c r="DI163">
        <v>8.2963533699512482E-2</v>
      </c>
      <c r="DJ163">
        <v>0.32375026941744522</v>
      </c>
      <c r="DK163">
        <v>5673257363.7853127</v>
      </c>
      <c r="DL163">
        <v>7.2593091987073421E-2</v>
      </c>
      <c r="DM163">
        <v>250000000</v>
      </c>
      <c r="DN163">
        <v>0.1037044171243906</v>
      </c>
      <c r="DO163">
        <v>1836718600</v>
      </c>
      <c r="DP163">
        <v>147280870</v>
      </c>
      <c r="DQ163">
        <v>3975</v>
      </c>
      <c r="DR163">
        <v>-0.10681000718650241</v>
      </c>
      <c r="DS163">
        <v>-0.46152113020579932</v>
      </c>
      <c r="DT163" s="16">
        <v>-0.14000000000000004</v>
      </c>
      <c r="DU163">
        <v>0.21666666666666665</v>
      </c>
      <c r="DV163">
        <v>7.6666666666666605E-2</v>
      </c>
      <c r="DW163">
        <v>-8.3783068783068781</v>
      </c>
      <c r="DX163">
        <v>0.33780774526678203</v>
      </c>
      <c r="DY163">
        <v>-8.0218690676538351</v>
      </c>
      <c r="DZ163">
        <v>1684</v>
      </c>
      <c r="EA163">
        <v>-8.014662118548344</v>
      </c>
      <c r="EB163">
        <v>8</v>
      </c>
      <c r="EC163">
        <v>5.1974389386462094E-2</v>
      </c>
      <c r="ED163">
        <v>0.899090409885414</v>
      </c>
      <c r="EE163" s="17">
        <v>3.0598100000000001</v>
      </c>
      <c r="EF163">
        <v>3.07301</v>
      </c>
      <c r="EG163">
        <v>28.057807745266782</v>
      </c>
      <c r="EH163" t="s">
        <v>2487</v>
      </c>
      <c r="EI163">
        <v>0</v>
      </c>
      <c r="EJ163">
        <v>0</v>
      </c>
      <c r="EK163" s="19">
        <v>45470</v>
      </c>
      <c r="EL163" s="20">
        <v>-1.03</v>
      </c>
      <c r="EM163" s="20">
        <v>-3.3</v>
      </c>
      <c r="EN163" s="20">
        <v>0.68</v>
      </c>
      <c r="EO163" s="20">
        <v>2.61</v>
      </c>
      <c r="EP163" s="20">
        <v>-1.32</v>
      </c>
    </row>
    <row r="164" spans="1:146" ht="84" x14ac:dyDescent="0.25">
      <c r="A164" s="7"/>
      <c r="B164" s="7"/>
      <c r="C164" s="7" t="str">
        <f>""&amp;CHAR(10)&amp;Basic_Fundamental_Information_Constructure(F164)&amp;CHAR(10)&amp;Basic_Fundamental_Information_Concatenate("")</f>
        <v xml:space="preserve">
市值48.1571亿, 利润8.06亿; PE99.58; 平均PE32.76; 平均PEG.26, PB3.75; ROIC6.1133%; ROE7.9033%; 股利率.3436%; 毛利14.4033%; 净利5.5267%; 上一年度营收增613.84%, 利润增804.17%; 当季营收增-82.93%, 利润增-99.44%; 过往5年营收增125.7%, 利润增70.34%
Income profile:
</v>
      </c>
      <c r="D164" t="s">
        <v>1278</v>
      </c>
      <c r="E164" t="s">
        <v>1279</v>
      </c>
      <c r="F164">
        <v>20.37</v>
      </c>
      <c r="G164">
        <v>0.2</v>
      </c>
      <c r="H164" t="s">
        <v>6031</v>
      </c>
      <c r="I164">
        <v>4815710000</v>
      </c>
      <c r="J164">
        <v>99.58</v>
      </c>
      <c r="K164">
        <v>3.75</v>
      </c>
      <c r="L164" t="s">
        <v>172</v>
      </c>
      <c r="M164" t="s">
        <v>2492</v>
      </c>
      <c r="N164" t="s">
        <v>2803</v>
      </c>
      <c r="O164" t="s">
        <v>145</v>
      </c>
      <c r="P164">
        <v>15.2</v>
      </c>
      <c r="Q164" t="s">
        <v>6032</v>
      </c>
      <c r="R164">
        <v>848720</v>
      </c>
      <c r="S164" s="5">
        <v>-0.85460000000000003</v>
      </c>
      <c r="T164" t="s">
        <v>1157</v>
      </c>
      <c r="U164">
        <v>236411880</v>
      </c>
      <c r="V164">
        <v>236411880</v>
      </c>
      <c r="W164">
        <v>1.77</v>
      </c>
      <c r="X164">
        <v>0.17</v>
      </c>
      <c r="Y164">
        <v>0.23</v>
      </c>
      <c r="Z164" t="s">
        <v>1577</v>
      </c>
      <c r="AA164" t="s">
        <v>1257</v>
      </c>
      <c r="AB164" t="s">
        <v>6033</v>
      </c>
      <c r="AC164" t="s">
        <v>6034</v>
      </c>
      <c r="AD164" t="s">
        <v>19</v>
      </c>
      <c r="AE164">
        <v>354848</v>
      </c>
      <c r="AF164" t="s">
        <v>6035</v>
      </c>
      <c r="AG164">
        <v>200</v>
      </c>
      <c r="AH164" t="s">
        <v>6036</v>
      </c>
      <c r="AI164" t="s">
        <v>599</v>
      </c>
      <c r="AJ164" t="s">
        <v>6037</v>
      </c>
      <c r="AK164" t="s">
        <v>6038</v>
      </c>
      <c r="AL164" t="s">
        <v>6039</v>
      </c>
      <c r="AM164" t="s">
        <v>19</v>
      </c>
      <c r="AN164" t="s">
        <v>292</v>
      </c>
      <c r="AO164" t="s">
        <v>100</v>
      </c>
      <c r="AP164" t="s">
        <v>250</v>
      </c>
      <c r="AQ164" t="s">
        <v>1344</v>
      </c>
      <c r="AR164" t="s">
        <v>19</v>
      </c>
      <c r="AS164" t="s">
        <v>800</v>
      </c>
      <c r="AT164" t="s">
        <v>6040</v>
      </c>
      <c r="AU164" t="s">
        <v>6041</v>
      </c>
      <c r="AV164" t="s">
        <v>6042</v>
      </c>
      <c r="AW164" t="s">
        <v>441</v>
      </c>
      <c r="AX164" t="s">
        <v>1897</v>
      </c>
      <c r="AY164" t="s">
        <v>244</v>
      </c>
      <c r="AZ164" t="s">
        <v>1280</v>
      </c>
      <c r="BA164" t="s">
        <v>1282</v>
      </c>
      <c r="BB164" t="s">
        <v>1283</v>
      </c>
      <c r="BC164" t="s">
        <v>6043</v>
      </c>
      <c r="BD164" t="s">
        <v>25</v>
      </c>
      <c r="BE164" t="s">
        <v>1281</v>
      </c>
      <c r="BF164" t="s">
        <v>1285</v>
      </c>
      <c r="BG164" t="s">
        <v>1286</v>
      </c>
      <c r="BH164" t="s">
        <v>2560</v>
      </c>
      <c r="BI164" t="s">
        <v>2528</v>
      </c>
      <c r="BJ164" t="s">
        <v>1897</v>
      </c>
      <c r="BK164" t="s">
        <v>6044</v>
      </c>
      <c r="BL164" t="s">
        <v>720</v>
      </c>
      <c r="BM164" t="s">
        <v>6043</v>
      </c>
      <c r="BN164">
        <v>2.27</v>
      </c>
      <c r="BO164">
        <v>6.7</v>
      </c>
      <c r="BP164">
        <v>9.3699999999999992</v>
      </c>
      <c r="BQ164">
        <v>2.77</v>
      </c>
      <c r="BR164">
        <v>7.26</v>
      </c>
      <c r="BS164">
        <v>13.68</v>
      </c>
      <c r="BT164" t="s">
        <v>2062</v>
      </c>
      <c r="BU164" t="s">
        <v>2920</v>
      </c>
      <c r="BV164">
        <v>13.79</v>
      </c>
      <c r="BW164">
        <v>15.16</v>
      </c>
      <c r="BX164">
        <v>14.26</v>
      </c>
      <c r="BY164">
        <v>3.68</v>
      </c>
      <c r="BZ164">
        <v>6.02</v>
      </c>
      <c r="CA164">
        <v>6.88</v>
      </c>
      <c r="CB164">
        <v>-4.95</v>
      </c>
      <c r="CC164">
        <v>-18.420000000000002</v>
      </c>
      <c r="CD164" t="s">
        <v>6045</v>
      </c>
      <c r="CE164" t="s">
        <v>115</v>
      </c>
      <c r="CF164" s="14">
        <v>-0.82926829268292679</v>
      </c>
      <c r="CG164" s="15">
        <v>-0.99441631578947365</v>
      </c>
      <c r="CH164" s="14">
        <v>6.138420581817627</v>
      </c>
      <c r="CI164" s="14">
        <v>-1.134850736707449E-2</v>
      </c>
      <c r="CJ164" s="14">
        <v>0.22585923969745636</v>
      </c>
      <c r="CK164" s="14">
        <v>8.1905326806008816E-4</v>
      </c>
      <c r="CL164" s="14">
        <v>-6.8649977445602417E-2</v>
      </c>
      <c r="CM164" s="15">
        <v>8.0417327880859375</v>
      </c>
      <c r="CN164" s="15">
        <v>-0.13454174995422363</v>
      </c>
      <c r="CO164" s="15">
        <v>0.85238140821456909</v>
      </c>
      <c r="CP164" s="15">
        <v>1.2647813558578491</v>
      </c>
      <c r="CQ164" s="15">
        <v>-6.5075321197509766</v>
      </c>
      <c r="CR164">
        <v>32.764542040439025</v>
      </c>
      <c r="CS164">
        <v>0.26065249564448872</v>
      </c>
      <c r="CT164">
        <v>0.34364261168384874</v>
      </c>
      <c r="CU164" s="14">
        <v>1.2570200779940932</v>
      </c>
      <c r="CV164" s="15">
        <v>0.70336433649063113</v>
      </c>
      <c r="CW164">
        <v>0.06</v>
      </c>
      <c r="CX164">
        <v>2.5607408107127809</v>
      </c>
      <c r="CY164">
        <v>1716186964.9653199</v>
      </c>
      <c r="CZ164">
        <v>1.2570200779940932</v>
      </c>
      <c r="DA164">
        <v>0.35814841918177603</v>
      </c>
      <c r="DB164">
        <v>12270639111.126417</v>
      </c>
      <c r="DC164">
        <v>1.1941690740943884</v>
      </c>
      <c r="DD164">
        <v>4.4738996724025967E-2</v>
      </c>
      <c r="DE164">
        <v>98229963159.632721</v>
      </c>
      <c r="DF164">
        <v>1.1061776686348019</v>
      </c>
      <c r="DG164">
        <v>4.3790715026331799E-3</v>
      </c>
      <c r="DH164">
        <v>1003571190230.0332</v>
      </c>
      <c r="DI164">
        <v>1.0056160623952746</v>
      </c>
      <c r="DJ164">
        <v>2.5095017876078652E-5</v>
      </c>
      <c r="DK164">
        <v>175122808108822.81</v>
      </c>
      <c r="DL164">
        <v>0.87991405459586514</v>
      </c>
      <c r="DM164">
        <v>806000000</v>
      </c>
      <c r="DN164">
        <v>1.2570200779940932</v>
      </c>
      <c r="DO164">
        <v>4394710000</v>
      </c>
      <c r="DP164">
        <v>136768670</v>
      </c>
      <c r="DQ164">
        <v>3985</v>
      </c>
      <c r="DR164">
        <v>-2.0862883706770199</v>
      </c>
      <c r="DS164">
        <v>-1.6977806522801049</v>
      </c>
      <c r="DT164" s="16">
        <v>-6.6666666666666714E-3</v>
      </c>
      <c r="DU164">
        <v>-0.25666666666666677</v>
      </c>
      <c r="DV164">
        <v>-0.26333333333333342</v>
      </c>
      <c r="DW164">
        <v>-8.2687296416938114</v>
      </c>
      <c r="DX164">
        <v>0.34260666666666761</v>
      </c>
      <c r="DY164">
        <v>-8.0356353420195443</v>
      </c>
      <c r="DZ164">
        <v>3718</v>
      </c>
      <c r="EA164">
        <v>-8.0097073182174565</v>
      </c>
      <c r="EB164">
        <v>8</v>
      </c>
      <c r="EC164">
        <v>7.5723351973682546E-2</v>
      </c>
      <c r="ED164">
        <v>0.57103729304974016</v>
      </c>
      <c r="EE164" s="17">
        <v>-1.0196099999999999</v>
      </c>
      <c r="EF164">
        <v>-1.0336099999999999</v>
      </c>
      <c r="EG164">
        <v>21.132606666666668</v>
      </c>
      <c r="EH164" t="s">
        <v>1838</v>
      </c>
      <c r="EI164">
        <v>0</v>
      </c>
      <c r="EJ164">
        <v>0</v>
      </c>
      <c r="EK164" s="19">
        <v>45470</v>
      </c>
      <c r="EL164" s="20">
        <v>-0.56000000000000005</v>
      </c>
      <c r="EM164" s="20">
        <v>-4.47</v>
      </c>
      <c r="EN164" s="20">
        <v>0.28999999999999998</v>
      </c>
      <c r="EO164" s="20">
        <v>3.79</v>
      </c>
      <c r="EP164" s="20">
        <v>-1.4</v>
      </c>
    </row>
    <row r="165" spans="1:146" ht="84" x14ac:dyDescent="0.25">
      <c r="A165" s="7"/>
      <c r="B165" s="7"/>
      <c r="C165" s="7" t="str">
        <f>""&amp;CHAR(10)&amp;Basic_Fundamental_Information_Constructure(F165)&amp;CHAR(10)&amp;Basic_Fundamental_Information_Concatenate("")</f>
        <v xml:space="preserve">
市值206.08017亿, 利润2.92亿; PE24.01; 平均PE69.86; 平均PEG9, PB4.21; ROIC8.5933%; ROE10.9533%; 股利率.7094%; 毛利20.3667%; 净利6.8767%; 上一年度营收增-47.53%, 利润增-38%; 当季营收增429.91%, 利润增523.35%; 过往5年营收增7.76%, 利润增8.76%
Income profile:
</v>
      </c>
      <c r="D165" t="s">
        <v>1287</v>
      </c>
      <c r="E165" t="s">
        <v>1288</v>
      </c>
      <c r="F165">
        <v>42.29</v>
      </c>
      <c r="G165">
        <v>-0.26</v>
      </c>
      <c r="H165" t="s">
        <v>6046</v>
      </c>
      <c r="I165">
        <v>20608017000</v>
      </c>
      <c r="J165">
        <v>24.01</v>
      </c>
      <c r="K165">
        <v>4.21</v>
      </c>
      <c r="L165" t="s">
        <v>172</v>
      </c>
      <c r="M165" t="s">
        <v>6047</v>
      </c>
      <c r="N165" t="s">
        <v>6048</v>
      </c>
      <c r="O165" t="s">
        <v>6049</v>
      </c>
      <c r="P165">
        <v>40.24</v>
      </c>
      <c r="Q165" t="s">
        <v>6050</v>
      </c>
      <c r="R165">
        <v>204175900</v>
      </c>
      <c r="S165" s="5">
        <v>0.34739999999999999</v>
      </c>
      <c r="T165" t="s">
        <v>480</v>
      </c>
      <c r="U165">
        <v>487302370</v>
      </c>
      <c r="V165">
        <v>487302370</v>
      </c>
      <c r="W165">
        <v>2.71</v>
      </c>
      <c r="X165">
        <v>0.22</v>
      </c>
      <c r="Y165">
        <v>6.66</v>
      </c>
      <c r="Z165" t="s">
        <v>6051</v>
      </c>
      <c r="AA165" t="s">
        <v>6052</v>
      </c>
      <c r="AB165" t="s">
        <v>6053</v>
      </c>
      <c r="AC165" t="s">
        <v>508</v>
      </c>
      <c r="AD165" t="s">
        <v>19</v>
      </c>
      <c r="AE165">
        <v>17951764</v>
      </c>
      <c r="AF165" t="s">
        <v>6054</v>
      </c>
      <c r="AG165" t="s">
        <v>6055</v>
      </c>
      <c r="AH165" t="s">
        <v>6056</v>
      </c>
      <c r="AI165" t="s">
        <v>2816</v>
      </c>
      <c r="AJ165" t="s">
        <v>6057</v>
      </c>
      <c r="AK165" t="s">
        <v>620</v>
      </c>
      <c r="AL165" t="s">
        <v>6058</v>
      </c>
      <c r="AM165" t="s">
        <v>19</v>
      </c>
      <c r="AN165" t="s">
        <v>2054</v>
      </c>
      <c r="AO165" t="s">
        <v>166</v>
      </c>
      <c r="AP165" t="s">
        <v>2517</v>
      </c>
      <c r="AQ165" t="s">
        <v>6059</v>
      </c>
      <c r="AR165" t="s">
        <v>19</v>
      </c>
      <c r="AS165" t="s">
        <v>6060</v>
      </c>
      <c r="AT165" t="s">
        <v>6061</v>
      </c>
      <c r="AU165" t="s">
        <v>216</v>
      </c>
      <c r="AV165" t="s">
        <v>6062</v>
      </c>
      <c r="AW165" t="s">
        <v>415</v>
      </c>
      <c r="AX165" t="s">
        <v>2342</v>
      </c>
      <c r="AY165" t="s">
        <v>1174</v>
      </c>
      <c r="AZ165" t="s">
        <v>1289</v>
      </c>
      <c r="BA165" t="s">
        <v>1290</v>
      </c>
      <c r="BB165" t="s">
        <v>443</v>
      </c>
      <c r="BC165" t="s">
        <v>1245</v>
      </c>
      <c r="BD165" t="s">
        <v>251</v>
      </c>
      <c r="BE165" t="s">
        <v>328</v>
      </c>
      <c r="BF165" t="s">
        <v>1022</v>
      </c>
      <c r="BG165" t="s">
        <v>77</v>
      </c>
      <c r="BH165" t="s">
        <v>6032</v>
      </c>
      <c r="BI165" t="s">
        <v>6063</v>
      </c>
      <c r="BJ165" t="s">
        <v>2342</v>
      </c>
      <c r="BK165" t="s">
        <v>1157</v>
      </c>
      <c r="BL165" t="s">
        <v>6064</v>
      </c>
      <c r="BM165" t="s">
        <v>1245</v>
      </c>
      <c r="BN165">
        <v>8.81</v>
      </c>
      <c r="BO165">
        <v>10.14</v>
      </c>
      <c r="BP165">
        <v>6.83</v>
      </c>
      <c r="BQ165">
        <v>12.66</v>
      </c>
      <c r="BR165">
        <v>12.21</v>
      </c>
      <c r="BS165">
        <v>7.99</v>
      </c>
      <c r="BT165" t="s">
        <v>1979</v>
      </c>
      <c r="BU165" t="s">
        <v>3146</v>
      </c>
      <c r="BV165">
        <v>20.05</v>
      </c>
      <c r="BW165">
        <v>19.73</v>
      </c>
      <c r="BX165">
        <v>21.32</v>
      </c>
      <c r="BY165">
        <v>7.62</v>
      </c>
      <c r="BZ165">
        <v>6.81</v>
      </c>
      <c r="CA165">
        <v>6.2</v>
      </c>
      <c r="CB165">
        <v>7.77</v>
      </c>
      <c r="CC165">
        <v>-1.65</v>
      </c>
      <c r="CD165" t="s">
        <v>6065</v>
      </c>
      <c r="CE165" t="s">
        <v>242</v>
      </c>
      <c r="CF165" s="14">
        <v>4.2991304347826089</v>
      </c>
      <c r="CG165" s="15">
        <v>5.2335030804833522</v>
      </c>
      <c r="CH165" s="14">
        <v>-0.47531306743621826</v>
      </c>
      <c r="CI165" s="14">
        <v>0.50596129894256592</v>
      </c>
      <c r="CJ165" s="14">
        <v>0.25353264808654785</v>
      </c>
      <c r="CK165" s="14">
        <v>0.21212121844291687</v>
      </c>
      <c r="CL165" s="14">
        <v>-0.10837002843618393</v>
      </c>
      <c r="CM165" s="15">
        <v>-0.38004246354103088</v>
      </c>
      <c r="CN165" s="15">
        <v>0.65845072269439697</v>
      </c>
      <c r="CO165" s="15">
        <v>0.10077519714832306</v>
      </c>
      <c r="CP165" s="15">
        <v>0.4098360538482666</v>
      </c>
      <c r="CQ165" s="15">
        <v>-0.35106381773948669</v>
      </c>
      <c r="CR165">
        <v>69.857684745762711</v>
      </c>
      <c r="CS165">
        <v>9.0038553422330452</v>
      </c>
      <c r="CT165">
        <v>0.70938756207141174</v>
      </c>
      <c r="CU165" s="14">
        <v>7.7586413919925684E-2</v>
      </c>
      <c r="CV165" s="15">
        <v>8.7591138482093808E-2</v>
      </c>
      <c r="CW165">
        <v>0.06</v>
      </c>
      <c r="CX165">
        <v>80.567476311151523</v>
      </c>
      <c r="CY165">
        <v>296844559.30624366</v>
      </c>
      <c r="CZ165">
        <v>7.7586413919925684E-2</v>
      </c>
      <c r="DA165">
        <v>26.607307945642447</v>
      </c>
      <c r="DB165">
        <v>898851437.68995214</v>
      </c>
      <c r="DC165">
        <v>7.370709322392939E-2</v>
      </c>
      <c r="DD165">
        <v>13.282956754332496</v>
      </c>
      <c r="DE165">
        <v>1800504017.4657893</v>
      </c>
      <c r="DF165">
        <v>6.8276044249534609E-2</v>
      </c>
      <c r="DG165">
        <v>8.102912019205597</v>
      </c>
      <c r="DH165">
        <v>2951533589.8148761</v>
      </c>
      <c r="DI165">
        <v>6.206913113594055E-2</v>
      </c>
      <c r="DJ165">
        <v>4.3312070083955163</v>
      </c>
      <c r="DK165">
        <v>5521790335.4981003</v>
      </c>
      <c r="DL165">
        <v>5.4310489743947976E-2</v>
      </c>
      <c r="DM165">
        <v>292000000</v>
      </c>
      <c r="DN165">
        <v>7.7586413919925684E-2</v>
      </c>
      <c r="DO165">
        <v>23916017000</v>
      </c>
      <c r="DP165">
        <v>2194421000.000001</v>
      </c>
      <c r="DQ165">
        <v>3986</v>
      </c>
      <c r="DR165">
        <v>4.2215440208626829</v>
      </c>
      <c r="DS165">
        <v>5.1459119420012582</v>
      </c>
      <c r="DT165" s="16">
        <v>-0.20666666666666669</v>
      </c>
      <c r="DU165">
        <v>0.15</v>
      </c>
      <c r="DV165">
        <v>-5.6666666666666698E-2</v>
      </c>
      <c r="DW165">
        <v>5.2123552123552122</v>
      </c>
      <c r="DX165">
        <v>0.38869722222222364</v>
      </c>
      <c r="DY165">
        <v>5.0443179429429428</v>
      </c>
      <c r="DZ165">
        <v>3588</v>
      </c>
      <c r="EA165">
        <v>5.0131999822229272</v>
      </c>
      <c r="EB165">
        <v>5</v>
      </c>
      <c r="EC165">
        <v>4.6253212353553709E-2</v>
      </c>
      <c r="ED165">
        <v>0.22162830851817938</v>
      </c>
      <c r="EE165" s="17">
        <v>4.0206099999999996</v>
      </c>
      <c r="EF165">
        <v>4.0550100000000002</v>
      </c>
      <c r="EG165">
        <v>18.208697222222224</v>
      </c>
      <c r="EH165" t="s">
        <v>2200</v>
      </c>
      <c r="EI165">
        <v>1</v>
      </c>
      <c r="EJ165">
        <v>0</v>
      </c>
      <c r="EK165" s="19">
        <v>45470</v>
      </c>
      <c r="EL165" s="20">
        <v>-0.79</v>
      </c>
      <c r="EM165" s="20">
        <v>-5.0199999999999996</v>
      </c>
      <c r="EN165" s="20">
        <v>10.02</v>
      </c>
      <c r="EO165" s="20">
        <v>-2.2000000000000002</v>
      </c>
      <c r="EP165" s="20">
        <v>-3.44</v>
      </c>
    </row>
    <row r="166" spans="1:146" ht="84" x14ac:dyDescent="0.25">
      <c r="C166" s="7" t="str">
        <f>""&amp;CHAR(10)&amp;Basic_Fundamental_Information_Constructure(F166)&amp;CHAR(10)&amp;Basic_Fundamental_Information_Concatenate("")</f>
        <v xml:space="preserve">
市值26.508亿, 利润2.35亿; PE17.68; 平均PE16.9; 平均PEG.56, PB1.25; ROIC9.8767%; ROE9.815%; 股利率1.8108%; 毛利23.6%; 净利9.8367%; 上一年度营收增98.98%, 利润增72.79%; 当季营收增-28.15%, 利润增-32.27%; 过往5年营收增30.39%, 利润增23.71%
Income profile:
</v>
      </c>
      <c r="D166" t="s">
        <v>2076</v>
      </c>
      <c r="E166" t="s">
        <v>2077</v>
      </c>
      <c r="F166">
        <v>22.09</v>
      </c>
      <c r="G166">
        <v>0.78</v>
      </c>
      <c r="H166" t="s">
        <v>6066</v>
      </c>
      <c r="I166">
        <v>2650800000</v>
      </c>
      <c r="J166">
        <v>17.68</v>
      </c>
      <c r="K166">
        <v>1.25</v>
      </c>
      <c r="L166" t="s">
        <v>172</v>
      </c>
      <c r="M166" t="s">
        <v>6067</v>
      </c>
      <c r="N166" t="s">
        <v>4269</v>
      </c>
      <c r="O166" t="s">
        <v>1638</v>
      </c>
      <c r="P166">
        <v>21.39</v>
      </c>
      <c r="Q166" t="s">
        <v>6068</v>
      </c>
      <c r="R166">
        <v>54409909</v>
      </c>
      <c r="S166">
        <v>-3.2699999999999999E-3</v>
      </c>
      <c r="T166" t="s">
        <v>50</v>
      </c>
      <c r="U166">
        <v>40519480</v>
      </c>
      <c r="V166">
        <v>120000000</v>
      </c>
      <c r="W166">
        <v>1.75</v>
      </c>
      <c r="X166">
        <v>0.11</v>
      </c>
      <c r="Y166">
        <v>13.29</v>
      </c>
      <c r="Z166" t="s">
        <v>214</v>
      </c>
      <c r="AA166" t="s">
        <v>2486</v>
      </c>
      <c r="AB166" t="s">
        <v>6069</v>
      </c>
      <c r="AC166" t="s">
        <v>6070</v>
      </c>
      <c r="AD166" t="s">
        <v>19</v>
      </c>
      <c r="AE166">
        <v>4642463</v>
      </c>
      <c r="AF166" t="s">
        <v>6071</v>
      </c>
      <c r="AG166" t="s">
        <v>6072</v>
      </c>
      <c r="AH166" t="s">
        <v>6073</v>
      </c>
      <c r="AI166" t="s">
        <v>91</v>
      </c>
      <c r="AJ166" t="s">
        <v>6074</v>
      </c>
      <c r="AK166" t="s">
        <v>52</v>
      </c>
      <c r="AL166" t="s">
        <v>6075</v>
      </c>
      <c r="AM166" t="s">
        <v>19</v>
      </c>
      <c r="AN166" t="s">
        <v>501</v>
      </c>
      <c r="AO166" t="s">
        <v>223</v>
      </c>
      <c r="AP166" t="s">
        <v>1638</v>
      </c>
      <c r="AQ166" t="s">
        <v>62</v>
      </c>
      <c r="AR166" t="s">
        <v>6076</v>
      </c>
      <c r="AS166" t="s">
        <v>6077</v>
      </c>
      <c r="AT166" t="s">
        <v>6078</v>
      </c>
      <c r="AU166" t="s">
        <v>6079</v>
      </c>
      <c r="AV166" t="s">
        <v>2749</v>
      </c>
      <c r="AW166" t="s">
        <v>545</v>
      </c>
      <c r="AX166" t="s">
        <v>2343</v>
      </c>
      <c r="AY166" t="s">
        <v>2078</v>
      </c>
      <c r="AZ166" t="s">
        <v>2100</v>
      </c>
      <c r="BA166" t="s">
        <v>2149</v>
      </c>
      <c r="BB166" t="s">
        <v>1953</v>
      </c>
      <c r="BC166" t="s">
        <v>264</v>
      </c>
      <c r="BD166" t="s">
        <v>52</v>
      </c>
      <c r="BE166" t="s">
        <v>31</v>
      </c>
      <c r="BF166" t="s">
        <v>414</v>
      </c>
      <c r="BG166" t="s">
        <v>229</v>
      </c>
      <c r="BH166" t="s">
        <v>1986</v>
      </c>
      <c r="BI166" t="s">
        <v>4744</v>
      </c>
      <c r="BJ166" t="s">
        <v>2343</v>
      </c>
      <c r="BK166" t="s">
        <v>446</v>
      </c>
      <c r="BL166" t="s">
        <v>6080</v>
      </c>
      <c r="BM166" t="s">
        <v>264</v>
      </c>
      <c r="BN166">
        <v>6.74</v>
      </c>
      <c r="BO166">
        <v>9.6999999999999993</v>
      </c>
      <c r="BP166">
        <v>13.19</v>
      </c>
      <c r="BQ166">
        <v>7.16</v>
      </c>
      <c r="BR166">
        <v>12.47</v>
      </c>
      <c r="BS166" t="s">
        <v>19</v>
      </c>
      <c r="BT166" t="s">
        <v>2032</v>
      </c>
      <c r="BU166" t="s">
        <v>3125</v>
      </c>
      <c r="BV166">
        <v>23.64</v>
      </c>
      <c r="BW166">
        <v>23.81</v>
      </c>
      <c r="BX166">
        <v>23.35</v>
      </c>
      <c r="BY166">
        <v>8.7100000000000009</v>
      </c>
      <c r="BZ166">
        <v>9.9499999999999993</v>
      </c>
      <c r="CA166">
        <v>10.85</v>
      </c>
      <c r="CB166">
        <v>-3.79</v>
      </c>
      <c r="CC166" s="14">
        <v>-18.79</v>
      </c>
      <c r="CD166" s="15" t="s">
        <v>6081</v>
      </c>
      <c r="CE166" s="14" t="s">
        <v>6082</v>
      </c>
      <c r="CF166" s="14">
        <v>-0.28146853146853135</v>
      </c>
      <c r="CG166" s="14">
        <v>-0.322746001319409</v>
      </c>
      <c r="CH166" s="14">
        <v>0.98975121974945068</v>
      </c>
      <c r="CI166" s="14">
        <v>-8.5676036775112152E-2</v>
      </c>
      <c r="CJ166" s="15">
        <v>0.13612161576747894</v>
      </c>
      <c r="CK166" s="15">
        <v>0.30585905909538269</v>
      </c>
      <c r="CL166" s="15">
        <v>0.17365966737270355</v>
      </c>
      <c r="CM166" s="15">
        <v>0.72794115543365479</v>
      </c>
      <c r="CN166" s="15">
        <v>-0.16049382090568542</v>
      </c>
      <c r="CO166">
        <v>-0.15625</v>
      </c>
      <c r="CP166">
        <v>0.82857143878936768</v>
      </c>
      <c r="CQ166">
        <v>-5.4054055362939835E-2</v>
      </c>
      <c r="CR166" s="14">
        <v>16.902019128586609</v>
      </c>
      <c r="CS166" s="15">
        <v>0.55609154635214031</v>
      </c>
      <c r="CT166">
        <v>1.8107741059302853</v>
      </c>
      <c r="CU166">
        <v>0.30394310504198074</v>
      </c>
      <c r="CV166">
        <v>0.23714294359087945</v>
      </c>
      <c r="CW166">
        <v>0.06</v>
      </c>
      <c r="CX166">
        <v>6.8762561601351218</v>
      </c>
      <c r="CY166">
        <v>289081726.11779761</v>
      </c>
      <c r="CZ166">
        <v>0.30394310504198074</v>
      </c>
      <c r="DA166">
        <v>1.8834358576276931</v>
      </c>
      <c r="DB166">
        <v>1055411572.3928927</v>
      </c>
      <c r="DC166">
        <v>0.28874594978988172</v>
      </c>
      <c r="DD166">
        <v>0.72011328376392036</v>
      </c>
      <c r="DE166">
        <v>2760399016.1243491</v>
      </c>
      <c r="DF166">
        <v>0.26746993243694306</v>
      </c>
      <c r="DG166">
        <v>0.3177064308198434</v>
      </c>
      <c r="DH166">
        <v>6256719433.9455767</v>
      </c>
      <c r="DI166">
        <v>0.24315448403358461</v>
      </c>
      <c r="DJ166">
        <v>7.7375829522440709E-2</v>
      </c>
      <c r="DK166">
        <v>25690193077.975258</v>
      </c>
      <c r="DL166">
        <v>0.2127601735293865</v>
      </c>
      <c r="DM166">
        <v>235000000</v>
      </c>
      <c r="DN166">
        <v>0.30394310504198074</v>
      </c>
      <c r="DO166">
        <v>1987800000</v>
      </c>
      <c r="DP166">
        <v>1064057200</v>
      </c>
      <c r="DQ166" s="16">
        <v>3996</v>
      </c>
      <c r="DR166">
        <v>-0.58541163651051209</v>
      </c>
      <c r="DS166">
        <v>-0.5598889449102884</v>
      </c>
      <c r="DT166">
        <v>0.10999999999999995</v>
      </c>
      <c r="DU166">
        <v>6.3333333333333283E-2</v>
      </c>
      <c r="DV166">
        <v>0.17333333333333323</v>
      </c>
      <c r="DW166">
        <v>-8.2017030335284726</v>
      </c>
      <c r="DX166">
        <v>0.23870491064171859</v>
      </c>
      <c r="DY166">
        <v>-8.0158750192300214</v>
      </c>
      <c r="DZ166">
        <v>2996</v>
      </c>
      <c r="EA166">
        <v>-8.0065674737088575</v>
      </c>
      <c r="EB166" s="17">
        <v>8</v>
      </c>
      <c r="EC166" s="17">
        <v>4.2769166666666664E-2</v>
      </c>
      <c r="ED166">
        <v>0.54341166666666663</v>
      </c>
      <c r="EE166">
        <v>-3.0152000000000001</v>
      </c>
      <c r="EF166">
        <v>-3.0036</v>
      </c>
      <c r="EG166">
        <v>16.078704910641719</v>
      </c>
      <c r="EH166" s="19" t="s">
        <v>2802</v>
      </c>
      <c r="EI166" s="20">
        <v>0</v>
      </c>
      <c r="EJ166" s="20">
        <v>0</v>
      </c>
      <c r="EK166" s="20">
        <v>45470</v>
      </c>
      <c r="EL166" s="20">
        <v>-0.27</v>
      </c>
      <c r="EM166" s="20">
        <v>-4.72</v>
      </c>
      <c r="EN166" s="20">
        <v>-1.52</v>
      </c>
      <c r="EO166" s="20">
        <v>8.2200000000000006</v>
      </c>
      <c r="EP166" s="20">
        <v>-1.1599999999999999</v>
      </c>
    </row>
    <row r="167" spans="1:146" ht="180" x14ac:dyDescent="0.25">
      <c r="A167" s="7" t="s">
        <v>1878</v>
      </c>
      <c r="B167" s="7"/>
      <c r="C167" s="7" t="str">
        <f>"公司致力于汽车智能化和轻量化产品的研发、制造和销售，主要产品有汽车轮胎压力监测系统（TPMS）、车用传感器（压力、光雨量、速度、位置、加速度和电流类）、ADAS（高级辅助驾驶系统）、主动空气悬架、汽车金属管件（轻量化底盘与车身结构件、排气系统管件和 EGR 管件）、气门嘴以及平衡块等。"&amp;CHAR(10)&amp;Basic_Fundamental_Information_Constructure(F167)&amp;CHAR(10)&amp;Basic_Fundamental_Information_Concatenate("TPMS及配件和工具 13.32亿 34.17% 31.73% 25.46%
汽车金属管件 11.65亿 29.88% 21.33% 19.57%
气门嘴及配件 6.88亿 17.64% 27.08% 42.06%
其他 6.01亿 15.42% 13.92% 24.75%
其他业务 1.13亿 2.89% 5.93% 56.30%")</f>
        <v>公司致力于汽车智能化和轻量化产品的研发、制造和销售，主要产品有汽车轮胎压力监测系统（TPMS）、车用传感器（压力、光雨量、速度、位置、加速度和电流类）、ADAS（高级辅助驾驶系统）、主动空气悬架、汽车金属管件（轻量化底盘与车身结构件、排气系统管件和 EGR 管件）、气门嘴以及平衡块等。
市值66.586124亿, 利润22.88亿; PE18.84; 平均PE12.18; 平均PEG.49, PB2.18; ROIC7.61%; ROE12.1767%; 股利率2.0382%; 毛利27.6033%; 净利6.2367%; 上一年度营收增40.64%, 利润增969.16%; 当季营收增-22.6%, 利润增-90.28%; 过往5年营收增24.92%, 利润增202.56%
Income profile:
TPMS及配件和工具 13.32亿 34.17% 31.73% 25.46%
汽车金属管件 11.65亿 29.88% 21.33% 19.57%
气门嘴及配件 6.88亿 17.64% 27.08% 42.06%
其他 6.01亿 15.42% 13.92% 24.75%
其他业务 1.13亿 2.89% 5.93% 56.30%</v>
      </c>
      <c r="D167" t="s">
        <v>1291</v>
      </c>
      <c r="E167" t="s">
        <v>1292</v>
      </c>
      <c r="F167">
        <v>31.4</v>
      </c>
      <c r="G167">
        <v>-2.58</v>
      </c>
      <c r="H167" t="s">
        <v>6083</v>
      </c>
      <c r="I167">
        <v>6658612400</v>
      </c>
      <c r="J167">
        <v>18.84</v>
      </c>
      <c r="K167">
        <v>2.1800000000000002</v>
      </c>
      <c r="L167" t="s">
        <v>172</v>
      </c>
      <c r="M167" t="s">
        <v>6084</v>
      </c>
      <c r="N167" t="s">
        <v>6085</v>
      </c>
      <c r="O167" t="s">
        <v>6086</v>
      </c>
      <c r="P167">
        <v>24.94</v>
      </c>
      <c r="Q167" t="s">
        <v>6087</v>
      </c>
      <c r="R167">
        <v>68007726</v>
      </c>
      <c r="S167" s="5">
        <v>-0.27160000000000001</v>
      </c>
      <c r="T167" t="s">
        <v>6088</v>
      </c>
      <c r="U167">
        <v>210338220</v>
      </c>
      <c r="V167">
        <v>212057720</v>
      </c>
      <c r="W167">
        <v>2.57</v>
      </c>
      <c r="X167">
        <v>0.17</v>
      </c>
      <c r="Y167">
        <v>4.5999999999999996</v>
      </c>
      <c r="Z167" t="s">
        <v>1169</v>
      </c>
      <c r="AA167" t="s">
        <v>2513</v>
      </c>
      <c r="AB167" t="s">
        <v>6089</v>
      </c>
      <c r="AC167" t="s">
        <v>67</v>
      </c>
      <c r="AD167" t="s">
        <v>19</v>
      </c>
      <c r="AE167">
        <v>27095760</v>
      </c>
      <c r="AF167" t="s">
        <v>6090</v>
      </c>
      <c r="AG167">
        <v>6855.69</v>
      </c>
      <c r="AH167" t="s">
        <v>6091</v>
      </c>
      <c r="AI167" t="s">
        <v>4517</v>
      </c>
      <c r="AJ167" t="s">
        <v>6092</v>
      </c>
      <c r="AK167" t="s">
        <v>115</v>
      </c>
      <c r="AL167" t="s">
        <v>6093</v>
      </c>
      <c r="AM167" t="s">
        <v>19</v>
      </c>
      <c r="AN167" t="s">
        <v>2097</v>
      </c>
      <c r="AO167" t="s">
        <v>1562</v>
      </c>
      <c r="AP167" t="s">
        <v>116</v>
      </c>
      <c r="AQ167" t="s">
        <v>1264</v>
      </c>
      <c r="AR167" t="s">
        <v>6094</v>
      </c>
      <c r="AS167" t="s">
        <v>6095</v>
      </c>
      <c r="AT167" t="s">
        <v>6096</v>
      </c>
      <c r="AU167" t="s">
        <v>6097</v>
      </c>
      <c r="AV167" t="s">
        <v>6098</v>
      </c>
      <c r="AW167" t="s">
        <v>339</v>
      </c>
      <c r="AX167" t="s">
        <v>2344</v>
      </c>
      <c r="AY167" t="s">
        <v>1756</v>
      </c>
      <c r="AZ167" t="s">
        <v>1293</v>
      </c>
      <c r="BA167" t="s">
        <v>1294</v>
      </c>
      <c r="BB167" t="s">
        <v>1295</v>
      </c>
      <c r="BC167" t="s">
        <v>278</v>
      </c>
      <c r="BD167" t="s">
        <v>195</v>
      </c>
      <c r="BE167" t="s">
        <v>1022</v>
      </c>
      <c r="BF167" t="s">
        <v>121</v>
      </c>
      <c r="BG167" t="s">
        <v>73</v>
      </c>
      <c r="BH167" t="s">
        <v>3066</v>
      </c>
      <c r="BI167" t="s">
        <v>1394</v>
      </c>
      <c r="BJ167" t="s">
        <v>2344</v>
      </c>
      <c r="BK167" t="s">
        <v>760</v>
      </c>
      <c r="BL167" t="s">
        <v>1474</v>
      </c>
      <c r="BM167" t="s">
        <v>278</v>
      </c>
      <c r="BN167">
        <v>7.26</v>
      </c>
      <c r="BO167">
        <v>6.21</v>
      </c>
      <c r="BP167">
        <v>9.36</v>
      </c>
      <c r="BQ167">
        <v>12.95</v>
      </c>
      <c r="BR167">
        <v>9.11</v>
      </c>
      <c r="BS167">
        <v>14.47</v>
      </c>
      <c r="BT167" t="s">
        <v>6099</v>
      </c>
      <c r="BU167" t="s">
        <v>3125</v>
      </c>
      <c r="BV167">
        <v>27.4</v>
      </c>
      <c r="BW167">
        <v>28</v>
      </c>
      <c r="BX167">
        <v>27.41</v>
      </c>
      <c r="BY167">
        <v>6.47</v>
      </c>
      <c r="BZ167">
        <v>4.76</v>
      </c>
      <c r="CA167">
        <v>7.48</v>
      </c>
      <c r="CB167">
        <v>-0.32</v>
      </c>
      <c r="CC167">
        <v>-21.87</v>
      </c>
      <c r="CD167" t="s">
        <v>6100</v>
      </c>
      <c r="CE167" t="s">
        <v>6101</v>
      </c>
      <c r="CF167" s="14">
        <v>-0.22599164926931106</v>
      </c>
      <c r="CG167" s="15">
        <v>-0.9028461057142857</v>
      </c>
      <c r="CH167" s="14">
        <v>0.40644624829292297</v>
      </c>
      <c r="CI167" s="14">
        <v>0.22575680911540985</v>
      </c>
      <c r="CJ167" s="14">
        <v>0.17021909356117249</v>
      </c>
      <c r="CK167" s="14">
        <v>3.0111798550933599E-3</v>
      </c>
      <c r="CL167" s="14">
        <v>0.44078093767166138</v>
      </c>
      <c r="CM167" s="15">
        <v>9.6915884017944336</v>
      </c>
      <c r="CN167" s="15">
        <v>-0.20149253308773041</v>
      </c>
      <c r="CO167" s="15">
        <v>0.46448087692260742</v>
      </c>
      <c r="CP167" s="15">
        <v>6.3953489065170288E-2</v>
      </c>
      <c r="CQ167" s="15">
        <v>0.10967741906642914</v>
      </c>
      <c r="CR167">
        <v>12.180388536585367</v>
      </c>
      <c r="CS167">
        <v>0.48869559771943505</v>
      </c>
      <c r="CT167">
        <v>2.0382165605095541</v>
      </c>
      <c r="CU167" s="14">
        <v>0.249242853699252</v>
      </c>
      <c r="CV167" s="15">
        <v>2.025641530752182</v>
      </c>
      <c r="CW167">
        <v>0.06</v>
      </c>
      <c r="CX167">
        <v>3.1654660284631277</v>
      </c>
      <c r="CY167">
        <v>2696478914.3998942</v>
      </c>
      <c r="CZ167">
        <v>0.249242853699252</v>
      </c>
      <c r="DA167">
        <v>0.90624674188654375</v>
      </c>
      <c r="DB167">
        <v>9418640647.7239552</v>
      </c>
      <c r="DC167">
        <v>0.23678071101428938</v>
      </c>
      <c r="DD167">
        <v>0.37018879190196674</v>
      </c>
      <c r="DE167">
        <v>23057457672.193375</v>
      </c>
      <c r="DF167">
        <v>0.21933371125534176</v>
      </c>
      <c r="DG167">
        <v>0.17769208885765375</v>
      </c>
      <c r="DH167">
        <v>48035973097.472786</v>
      </c>
      <c r="DI167">
        <v>0.19939428295940162</v>
      </c>
      <c r="DJ167">
        <v>5.3665502518288812E-2</v>
      </c>
      <c r="DK167">
        <v>159052128452.37265</v>
      </c>
      <c r="DL167">
        <v>0.1744699975894764</v>
      </c>
      <c r="DM167">
        <v>2288000000</v>
      </c>
      <c r="DN167">
        <v>0.249242853699252</v>
      </c>
      <c r="DO167">
        <v>8535612400</v>
      </c>
      <c r="DP167">
        <v>1876087100</v>
      </c>
      <c r="DQ167">
        <v>4002</v>
      </c>
      <c r="DR167">
        <v>-0.47523450296856307</v>
      </c>
      <c r="DS167">
        <v>-2.9284876364664676</v>
      </c>
      <c r="DT167" s="16">
        <v>0.10999999999999995</v>
      </c>
      <c r="DU167">
        <v>-0.1566666666666667</v>
      </c>
      <c r="DV167">
        <v>-4.6666666666666759E-2</v>
      </c>
      <c r="DW167">
        <v>-3.0663869047619046</v>
      </c>
      <c r="DX167">
        <v>0.50162605431091323</v>
      </c>
      <c r="DY167">
        <v>-3.0160408058555337</v>
      </c>
      <c r="DZ167">
        <v>4462</v>
      </c>
      <c r="EA167">
        <v>-3.0020341374157309</v>
      </c>
      <c r="EB167">
        <v>3</v>
      </c>
      <c r="EC167">
        <v>9.6136089740095285E-2</v>
      </c>
      <c r="ED167">
        <v>0.39787139086471363</v>
      </c>
      <c r="EE167" s="17">
        <v>4.0501100000000001</v>
      </c>
      <c r="EF167">
        <v>4.0706100000000003</v>
      </c>
      <c r="EG167">
        <v>26.241626054310913</v>
      </c>
      <c r="EH167" t="s">
        <v>2200</v>
      </c>
      <c r="EI167">
        <v>0</v>
      </c>
      <c r="EJ167">
        <v>0</v>
      </c>
      <c r="EK167" s="19">
        <v>45470</v>
      </c>
      <c r="EL167" s="20">
        <v>0</v>
      </c>
      <c r="EM167" s="20">
        <v>-5.83</v>
      </c>
      <c r="EN167" s="20">
        <v>1.29</v>
      </c>
      <c r="EO167" s="20">
        <v>4.12</v>
      </c>
      <c r="EP167" s="20">
        <v>-2.0499999999999998</v>
      </c>
    </row>
    <row r="168" spans="1:146" ht="84" x14ac:dyDescent="0.25">
      <c r="A168" s="7"/>
      <c r="B168" s="7"/>
      <c r="C168" s="7" t="str">
        <f>""&amp;CHAR(10)&amp;Basic_Fundamental_Information_Constructure(F168)&amp;CHAR(10)&amp;Basic_Fundamental_Information_Concatenate("")</f>
        <v xml:space="preserve">
市值36.177645亿, 利润1.04亿; PE67.1; 平均PE48.64; 平均PEG.66, PB3.08; ROIC6.1933%; ROE8.1067%; 股利率.4508%; 毛利18.73%; 净利6.7033%; 上一年度营收增325.97%, 利润增59.69%; 当季营收增-73.58%, 利润增-41.27%; 过往5年营收增74.07%, 利润增18.44%
Income profile:
</v>
      </c>
      <c r="D168" t="s">
        <v>1961</v>
      </c>
      <c r="E168" t="s">
        <v>1962</v>
      </c>
      <c r="F168">
        <v>13.31</v>
      </c>
      <c r="G168">
        <v>0.99</v>
      </c>
      <c r="H168" t="s">
        <v>6102</v>
      </c>
      <c r="I168">
        <v>3617764500</v>
      </c>
      <c r="J168">
        <v>67.099999999999994</v>
      </c>
      <c r="K168">
        <v>3.08</v>
      </c>
      <c r="L168" t="s">
        <v>172</v>
      </c>
      <c r="M168" t="s">
        <v>1463</v>
      </c>
      <c r="N168" t="s">
        <v>2609</v>
      </c>
      <c r="O168" t="s">
        <v>752</v>
      </c>
      <c r="P168">
        <v>28.5</v>
      </c>
      <c r="Q168" t="s">
        <v>738</v>
      </c>
      <c r="R168">
        <v>19492962</v>
      </c>
      <c r="S168" s="5">
        <v>0.13919999999999999</v>
      </c>
      <c r="T168" t="s">
        <v>23</v>
      </c>
      <c r="U168">
        <v>67952000</v>
      </c>
      <c r="V168">
        <v>271808000</v>
      </c>
      <c r="W168">
        <v>1.49</v>
      </c>
      <c r="X168">
        <v>0.16</v>
      </c>
      <c r="Y168">
        <v>6.87</v>
      </c>
      <c r="Z168" t="s">
        <v>48</v>
      </c>
      <c r="AA168" t="s">
        <v>162</v>
      </c>
      <c r="AB168" t="s">
        <v>6103</v>
      </c>
      <c r="AC168" t="s">
        <v>6104</v>
      </c>
      <c r="AD168" t="s">
        <v>19</v>
      </c>
      <c r="AE168">
        <v>2813387</v>
      </c>
      <c r="AF168" t="s">
        <v>21</v>
      </c>
      <c r="AG168">
        <v>140.94</v>
      </c>
      <c r="AH168" t="s">
        <v>6105</v>
      </c>
      <c r="AI168" t="s">
        <v>6106</v>
      </c>
      <c r="AJ168" t="s">
        <v>6107</v>
      </c>
      <c r="AK168" t="s">
        <v>19</v>
      </c>
      <c r="AL168" t="s">
        <v>6108</v>
      </c>
      <c r="AM168" t="s">
        <v>19</v>
      </c>
      <c r="AN168" t="s">
        <v>1920</v>
      </c>
      <c r="AO168" t="s">
        <v>51</v>
      </c>
      <c r="AP168" t="s">
        <v>2715</v>
      </c>
      <c r="AQ168" t="s">
        <v>437</v>
      </c>
      <c r="AR168" t="s">
        <v>19</v>
      </c>
      <c r="AS168" t="s">
        <v>887</v>
      </c>
      <c r="AT168" t="s">
        <v>103</v>
      </c>
      <c r="AU168" t="s">
        <v>6109</v>
      </c>
      <c r="AV168" t="s">
        <v>6110</v>
      </c>
      <c r="AW168" t="s">
        <v>6111</v>
      </c>
      <c r="AX168" t="s">
        <v>2006</v>
      </c>
      <c r="AY168" t="s">
        <v>1948</v>
      </c>
      <c r="AZ168" t="s">
        <v>1955</v>
      </c>
      <c r="BA168" t="s">
        <v>1717</v>
      </c>
      <c r="BB168" t="s">
        <v>1964</v>
      </c>
      <c r="BC168" t="s">
        <v>2346</v>
      </c>
      <c r="BD168" t="s">
        <v>1963</v>
      </c>
      <c r="BE168" t="s">
        <v>1965</v>
      </c>
      <c r="BF168" t="s">
        <v>1966</v>
      </c>
      <c r="BG168" t="s">
        <v>1967</v>
      </c>
      <c r="BH168" t="s">
        <v>1889</v>
      </c>
      <c r="BI168" t="s">
        <v>6112</v>
      </c>
      <c r="BJ168" t="s">
        <v>2006</v>
      </c>
      <c r="BK168" t="s">
        <v>6113</v>
      </c>
      <c r="BL168" t="s">
        <v>6114</v>
      </c>
      <c r="BM168" t="s">
        <v>2346</v>
      </c>
      <c r="BN168">
        <v>2.95</v>
      </c>
      <c r="BO168">
        <v>5.88</v>
      </c>
      <c r="BP168">
        <v>9.75</v>
      </c>
      <c r="BQ168">
        <v>3.42</v>
      </c>
      <c r="BR168">
        <v>7.6</v>
      </c>
      <c r="BS168">
        <v>13.3</v>
      </c>
      <c r="BT168" t="s">
        <v>2011</v>
      </c>
      <c r="BU168" t="s">
        <v>3125</v>
      </c>
      <c r="BV168">
        <v>17.23</v>
      </c>
      <c r="BW168">
        <v>19.13</v>
      </c>
      <c r="BX168">
        <v>19.829999999999998</v>
      </c>
      <c r="BY168">
        <v>5.0599999999999996</v>
      </c>
      <c r="BZ168">
        <v>6.24</v>
      </c>
      <c r="CA168">
        <v>8.81</v>
      </c>
      <c r="CB168">
        <v>-2.92</v>
      </c>
      <c r="CC168">
        <v>-11.44</v>
      </c>
      <c r="CD168" t="s">
        <v>6115</v>
      </c>
      <c r="CE168" t="s">
        <v>6116</v>
      </c>
      <c r="CF168" s="14">
        <v>-0.73583093179634962</v>
      </c>
      <c r="CG168" s="15">
        <v>-0.41267861016704027</v>
      </c>
      <c r="CH168" s="14">
        <v>3.2597134113311768</v>
      </c>
      <c r="CI168" s="14">
        <v>6.7685589194297791E-2</v>
      </c>
      <c r="CJ168" s="14">
        <v>0.30298718810081482</v>
      </c>
      <c r="CK168" s="14">
        <v>-1.4025245793163776E-2</v>
      </c>
      <c r="CL168" s="14">
        <v>8.6890242993831635E-2</v>
      </c>
      <c r="CM168" s="15">
        <v>0.59689468145370483</v>
      </c>
      <c r="CN168" s="15">
        <v>-0.20871394872665405</v>
      </c>
      <c r="CO168" s="15">
        <v>-7.7137062326073647E-3</v>
      </c>
      <c r="CP168" s="15">
        <v>0.37996482849121094</v>
      </c>
      <c r="CQ168" s="15">
        <v>0.1614593118429184</v>
      </c>
      <c r="CR168">
        <v>48.644195684843616</v>
      </c>
      <c r="CS168">
        <v>0.65677688663159217</v>
      </c>
      <c r="CT168">
        <v>0.45078888054094662</v>
      </c>
      <c r="CU168" s="14">
        <v>0.74065023716539147</v>
      </c>
      <c r="CV168" s="15">
        <v>0.18437823336571454</v>
      </c>
      <c r="CW168">
        <v>0.06</v>
      </c>
      <c r="CX168">
        <v>17.576711708418376</v>
      </c>
      <c r="CY168">
        <v>170780777.98603839</v>
      </c>
      <c r="CZ168">
        <v>0.74065023716539147</v>
      </c>
      <c r="DA168">
        <v>3.4601104642041256</v>
      </c>
      <c r="DB168">
        <v>867534297.25846875</v>
      </c>
      <c r="DC168">
        <v>0.70361772530712186</v>
      </c>
      <c r="DD168">
        <v>0.77647333690880116</v>
      </c>
      <c r="DE168">
        <v>3865895140.6499681</v>
      </c>
      <c r="DF168">
        <v>0.65177220870554453</v>
      </c>
      <c r="DG168">
        <v>0.16760253341582393</v>
      </c>
      <c r="DH168">
        <v>17910018654.387436</v>
      </c>
      <c r="DI168">
        <v>0.59252018973231324</v>
      </c>
      <c r="DJ168">
        <v>6.5863397074183471E-3</v>
      </c>
      <c r="DK168">
        <v>455756100253.83948</v>
      </c>
      <c r="DL168">
        <v>0.51845516601577402</v>
      </c>
      <c r="DM168">
        <v>104000000</v>
      </c>
      <c r="DN168">
        <v>0.74065023716539147</v>
      </c>
      <c r="DO168">
        <v>3001764500</v>
      </c>
      <c r="DP168">
        <v>228895400</v>
      </c>
      <c r="DQ168">
        <v>4011</v>
      </c>
      <c r="DR168">
        <v>-1.4764811689617412</v>
      </c>
      <c r="DS168">
        <v>-0.59705684353275479</v>
      </c>
      <c r="DT168" s="16">
        <v>-6.6666666666666714E-3</v>
      </c>
      <c r="DU168">
        <v>1.3333333333333308E-2</v>
      </c>
      <c r="DV168">
        <v>6.6666666666666367E-3</v>
      </c>
      <c r="DW168">
        <v>-8.255244755244755</v>
      </c>
      <c r="DX168">
        <v>0.34536244614939005</v>
      </c>
      <c r="DY168">
        <v>-8.0345505544367324</v>
      </c>
      <c r="DZ168">
        <v>288</v>
      </c>
      <c r="EA168">
        <v>-8.0326032824841338</v>
      </c>
      <c r="EB168">
        <v>8</v>
      </c>
      <c r="EC168">
        <v>3.1974776312691314E-2</v>
      </c>
      <c r="ED168">
        <v>0.23621600541558746</v>
      </c>
      <c r="EE168" s="17">
        <v>4.9000000000000002E-2</v>
      </c>
      <c r="EF168">
        <v>1.95E-2</v>
      </c>
      <c r="EG168">
        <v>21.13536244614939</v>
      </c>
      <c r="EH168" t="s">
        <v>1831</v>
      </c>
      <c r="EI168">
        <v>0</v>
      </c>
      <c r="EJ168">
        <v>1</v>
      </c>
      <c r="EK168" s="19">
        <v>45470</v>
      </c>
      <c r="EL168" s="20">
        <v>-1.01</v>
      </c>
      <c r="EM168" s="20">
        <v>-2.34</v>
      </c>
      <c r="EN168" s="20">
        <v>3</v>
      </c>
      <c r="EO168" s="20">
        <v>1.02</v>
      </c>
      <c r="EP168" s="20">
        <v>-2.95</v>
      </c>
    </row>
    <row r="169" spans="1:146" ht="84" x14ac:dyDescent="0.25">
      <c r="A169" s="7"/>
      <c r="B169" s="7"/>
      <c r="C169" s="7" t="str">
        <f>""&amp;CHAR(10)&amp;Basic_Fundamental_Information_Constructure(F169)&amp;CHAR(10)&amp;Basic_Fundamental_Information_Concatenate("")</f>
        <v xml:space="preserve">
市值41.880384亿, 利润6136.43万; PE24.26; 平均PE38.32; 平均PEG13.11, PB3.72; ROIC11.63%; ROE12.25%; 股利率2.0685%; 毛利31.0467%; 净利15.2233%; 上一年度营收增-19.12%, 利润增-51.3%; 当季营收增39.9%, 利润增381.23%; 过往5年营收增2.92%, 利润增-8.03%
Income profile:
</v>
      </c>
      <c r="D169" t="s">
        <v>1296</v>
      </c>
      <c r="E169" t="s">
        <v>1297</v>
      </c>
      <c r="F169">
        <v>15.47</v>
      </c>
      <c r="G169">
        <v>3.83</v>
      </c>
      <c r="H169" t="s">
        <v>6117</v>
      </c>
      <c r="I169">
        <v>4188038400</v>
      </c>
      <c r="J169">
        <v>24.26</v>
      </c>
      <c r="K169">
        <v>3.72</v>
      </c>
      <c r="L169" t="s">
        <v>172</v>
      </c>
      <c r="M169" t="s">
        <v>2082</v>
      </c>
      <c r="N169" t="s">
        <v>6118</v>
      </c>
      <c r="O169" t="s">
        <v>1568</v>
      </c>
      <c r="P169">
        <v>20.440000000000001</v>
      </c>
      <c r="Q169" t="s">
        <v>707</v>
      </c>
      <c r="R169">
        <v>91500000</v>
      </c>
      <c r="S169" s="5">
        <v>0.71030000000000004</v>
      </c>
      <c r="T169" t="s">
        <v>6119</v>
      </c>
      <c r="U169">
        <v>270720000</v>
      </c>
      <c r="V169">
        <v>270720000</v>
      </c>
      <c r="W169">
        <v>1.3</v>
      </c>
      <c r="X169">
        <v>0.19</v>
      </c>
      <c r="Y169">
        <v>19.27</v>
      </c>
      <c r="Z169" t="s">
        <v>535</v>
      </c>
      <c r="AA169" t="s">
        <v>146</v>
      </c>
      <c r="AB169" t="s">
        <v>6120</v>
      </c>
      <c r="AC169" t="s">
        <v>6121</v>
      </c>
      <c r="AD169" t="s">
        <v>19</v>
      </c>
      <c r="AE169">
        <v>567713</v>
      </c>
      <c r="AF169" t="s">
        <v>6122</v>
      </c>
      <c r="AG169" t="s">
        <v>6123</v>
      </c>
      <c r="AH169" t="s">
        <v>6124</v>
      </c>
      <c r="AI169" t="s">
        <v>74</v>
      </c>
      <c r="AJ169" t="s">
        <v>6125</v>
      </c>
      <c r="AK169" t="s">
        <v>19</v>
      </c>
      <c r="AL169" t="s">
        <v>6126</v>
      </c>
      <c r="AM169" t="s">
        <v>19</v>
      </c>
      <c r="AN169" t="s">
        <v>6127</v>
      </c>
      <c r="AO169" t="s">
        <v>19</v>
      </c>
      <c r="AP169" t="s">
        <v>506</v>
      </c>
      <c r="AQ169" t="s">
        <v>446</v>
      </c>
      <c r="AR169" t="s">
        <v>6128</v>
      </c>
      <c r="AS169" t="s">
        <v>419</v>
      </c>
      <c r="AT169" t="s">
        <v>19</v>
      </c>
      <c r="AU169" t="s">
        <v>6129</v>
      </c>
      <c r="AV169" t="s">
        <v>6130</v>
      </c>
      <c r="AW169" t="s">
        <v>6131</v>
      </c>
      <c r="AX169" t="s">
        <v>2215</v>
      </c>
      <c r="AY169" t="s">
        <v>563</v>
      </c>
      <c r="AZ169" t="s">
        <v>217</v>
      </c>
      <c r="BA169" t="s">
        <v>802</v>
      </c>
      <c r="BB169" t="s">
        <v>955</v>
      </c>
      <c r="BC169" t="s">
        <v>177</v>
      </c>
      <c r="BD169" t="s">
        <v>457</v>
      </c>
      <c r="BE169" t="s">
        <v>216</v>
      </c>
      <c r="BF169" t="s">
        <v>1299</v>
      </c>
      <c r="BG169" t="s">
        <v>175</v>
      </c>
      <c r="BH169" t="s">
        <v>4517</v>
      </c>
      <c r="BI169" t="s">
        <v>348</v>
      </c>
      <c r="BJ169" t="s">
        <v>2215</v>
      </c>
      <c r="BK169" t="s">
        <v>329</v>
      </c>
      <c r="BL169" t="s">
        <v>6132</v>
      </c>
      <c r="BM169" t="s">
        <v>177</v>
      </c>
      <c r="BN169">
        <v>9.7200000000000006</v>
      </c>
      <c r="BO169">
        <v>11.84</v>
      </c>
      <c r="BP169">
        <v>13.33</v>
      </c>
      <c r="BQ169">
        <v>9.82</v>
      </c>
      <c r="BR169">
        <v>12.63</v>
      </c>
      <c r="BS169">
        <v>14.3</v>
      </c>
      <c r="BT169" t="s">
        <v>2347</v>
      </c>
      <c r="BU169" t="s">
        <v>3125</v>
      </c>
      <c r="BV169">
        <v>29.35</v>
      </c>
      <c r="BW169">
        <v>28.81</v>
      </c>
      <c r="BX169">
        <v>34.979999999999997</v>
      </c>
      <c r="BY169">
        <v>14.17</v>
      </c>
      <c r="BZ169">
        <v>13.48</v>
      </c>
      <c r="CA169">
        <v>18.02</v>
      </c>
      <c r="CB169">
        <v>12.84</v>
      </c>
      <c r="CC169">
        <v>3.27</v>
      </c>
      <c r="CD169" t="s">
        <v>6133</v>
      </c>
      <c r="CE169" t="s">
        <v>6134</v>
      </c>
      <c r="CF169" s="14">
        <v>0.39896373056994816</v>
      </c>
      <c r="CG169" s="15">
        <v>3.8123195380173245</v>
      </c>
      <c r="CH169" s="14">
        <v>-0.19123931229114532</v>
      </c>
      <c r="CI169" s="14">
        <v>0.18932655453681946</v>
      </c>
      <c r="CJ169" s="14">
        <v>0.27346277236938477</v>
      </c>
      <c r="CK169" s="14">
        <v>-3.7383176386356354E-2</v>
      </c>
      <c r="CL169" s="14">
        <v>-8.8068179786205292E-2</v>
      </c>
      <c r="CM169" s="15">
        <v>-0.51298177242279053</v>
      </c>
      <c r="CN169" s="15">
        <v>-0.11267605423927307</v>
      </c>
      <c r="CO169" s="15">
        <v>0.32710281014442444</v>
      </c>
      <c r="CP169" s="15">
        <v>9.8693482577800751E-2</v>
      </c>
      <c r="CQ169" s="15">
        <v>-0.20173442363739014</v>
      </c>
      <c r="CR169">
        <v>38.319675084829996</v>
      </c>
      <c r="CS169">
        <v>13.114314495882992</v>
      </c>
      <c r="CT169">
        <v>2.0685197155785393</v>
      </c>
      <c r="CU169" s="14">
        <v>2.9219731688499451E-2</v>
      </c>
      <c r="CV169" s="15">
        <v>-8.0319191515445712E-2</v>
      </c>
      <c r="CW169">
        <v>0.06</v>
      </c>
      <c r="CX169">
        <v>57.383357548870592</v>
      </c>
      <c r="CY169">
        <v>59582404.133257151</v>
      </c>
      <c r="CZ169">
        <v>2.9219731688499451E-2</v>
      </c>
      <c r="DA169">
        <v>19.749595247107177</v>
      </c>
      <c r="DB169">
        <v>173119416.23212779</v>
      </c>
      <c r="DC169">
        <v>2.7758745104074476E-2</v>
      </c>
      <c r="DD169">
        <v>10.402360984466299</v>
      </c>
      <c r="DE169">
        <v>328679076.32753783</v>
      </c>
      <c r="DF169">
        <v>2.5713363885879515E-2</v>
      </c>
      <c r="DG169">
        <v>6.7261194530485602</v>
      </c>
      <c r="DH169">
        <v>508322580.92745411</v>
      </c>
      <c r="DI169">
        <v>2.3375785350799563E-2</v>
      </c>
      <c r="DJ169">
        <v>4.054636026184709</v>
      </c>
      <c r="DK169">
        <v>843241755.34374976</v>
      </c>
      <c r="DL169">
        <v>2.0453812181949613E-2</v>
      </c>
      <c r="DM169">
        <v>61364300</v>
      </c>
      <c r="DN169">
        <v>2.9219731688499451E-2</v>
      </c>
      <c r="DO169">
        <v>3419038400</v>
      </c>
      <c r="DP169">
        <v>622982800</v>
      </c>
      <c r="DQ169">
        <v>4037</v>
      </c>
      <c r="DR169">
        <v>0.36974399888144871</v>
      </c>
      <c r="DS169">
        <v>3.89263872953277</v>
      </c>
      <c r="DT169" s="16">
        <v>-0.32333333333333331</v>
      </c>
      <c r="DU169">
        <v>0.46666666666666662</v>
      </c>
      <c r="DV169">
        <v>0.14333333333333331</v>
      </c>
      <c r="DW169">
        <v>5.2546728971962615</v>
      </c>
      <c r="DX169">
        <v>0.71944437521235072</v>
      </c>
      <c r="DY169">
        <v>5.1246482170517433</v>
      </c>
      <c r="DZ169">
        <v>510</v>
      </c>
      <c r="EA169">
        <v>5.1122077883440351</v>
      </c>
      <c r="EB169">
        <v>5</v>
      </c>
      <c r="EC169">
        <v>0.14763187056737589</v>
      </c>
      <c r="ED169">
        <v>0.30163157505910165</v>
      </c>
      <c r="EE169" s="17">
        <v>-3.0007999999999999</v>
      </c>
      <c r="EF169">
        <v>-3.01891</v>
      </c>
      <c r="EG169">
        <v>23.489444375212351</v>
      </c>
      <c r="EH169" t="s">
        <v>2845</v>
      </c>
      <c r="EI169">
        <v>1</v>
      </c>
      <c r="EJ169">
        <v>1</v>
      </c>
      <c r="EK169" s="19">
        <v>45470</v>
      </c>
      <c r="EL169" s="20">
        <v>0.7</v>
      </c>
      <c r="EM169" s="20">
        <v>-3.78</v>
      </c>
      <c r="EN169" s="20">
        <v>1.65</v>
      </c>
      <c r="EO169" s="20">
        <v>3.25</v>
      </c>
      <c r="EP169" s="20">
        <v>-1.97</v>
      </c>
    </row>
    <row r="170" spans="1:146" ht="84" x14ac:dyDescent="0.25">
      <c r="A170" s="7"/>
      <c r="B170" s="7"/>
      <c r="C170" s="7" t="str">
        <f>""&amp;CHAR(10)&amp;Basic_Fundamental_Information_Constructure(F170)&amp;CHAR(10)&amp;Basic_Fundamental_Information_Concatenate("")</f>
        <v xml:space="preserve">
市值31.52355亿, 利润2.72亿; PE27.25; 平均PE26.34; 平均PEG1.99, PB2.17; ROIC8.13%; ROE8.2367%; 股利率1.0726%; 毛利21.6967%; 净利8.84%; 上一年度营收增33.65%, 利润增121.14%; 当季营收增-23.68%, 利润增-67.7%; 过往5年营收增13.26%, 利润增38.34%
Income profile:
</v>
      </c>
      <c r="D170" t="s">
        <v>1757</v>
      </c>
      <c r="E170" t="s">
        <v>1758</v>
      </c>
      <c r="F170">
        <v>15.85</v>
      </c>
      <c r="G170">
        <v>0.32</v>
      </c>
      <c r="H170" t="s">
        <v>6135</v>
      </c>
      <c r="I170">
        <v>3152355000</v>
      </c>
      <c r="J170">
        <v>27.25</v>
      </c>
      <c r="K170">
        <v>2.17</v>
      </c>
      <c r="L170" t="s">
        <v>172</v>
      </c>
      <c r="M170" t="s">
        <v>160</v>
      </c>
      <c r="N170" t="s">
        <v>1458</v>
      </c>
      <c r="O170" t="s">
        <v>6136</v>
      </c>
      <c r="P170">
        <v>11.54</v>
      </c>
      <c r="Q170" t="s">
        <v>2573</v>
      </c>
      <c r="R170">
        <v>32940986</v>
      </c>
      <c r="S170" s="5">
        <v>0.1457</v>
      </c>
      <c r="T170" t="s">
        <v>856</v>
      </c>
      <c r="U170">
        <v>198886750</v>
      </c>
      <c r="V170">
        <v>198886750</v>
      </c>
      <c r="W170">
        <v>1.37</v>
      </c>
      <c r="X170">
        <v>0.16</v>
      </c>
      <c r="Y170">
        <v>9.93</v>
      </c>
      <c r="Z170" t="s">
        <v>871</v>
      </c>
      <c r="AA170" t="s">
        <v>328</v>
      </c>
      <c r="AB170" t="s">
        <v>6137</v>
      </c>
      <c r="AC170" t="s">
        <v>6138</v>
      </c>
      <c r="AD170" t="s">
        <v>19</v>
      </c>
      <c r="AE170">
        <v>-1257276</v>
      </c>
      <c r="AF170" t="s">
        <v>6139</v>
      </c>
      <c r="AG170" t="s">
        <v>6140</v>
      </c>
      <c r="AH170" t="s">
        <v>6141</v>
      </c>
      <c r="AI170" t="s">
        <v>603</v>
      </c>
      <c r="AJ170" t="s">
        <v>6142</v>
      </c>
      <c r="AK170" t="s">
        <v>6143</v>
      </c>
      <c r="AL170" t="s">
        <v>6144</v>
      </c>
      <c r="AM170" t="s">
        <v>19</v>
      </c>
      <c r="AN170" t="s">
        <v>6145</v>
      </c>
      <c r="AO170" t="s">
        <v>19</v>
      </c>
      <c r="AP170" t="s">
        <v>437</v>
      </c>
      <c r="AQ170" t="s">
        <v>345</v>
      </c>
      <c r="AR170" t="s">
        <v>19</v>
      </c>
      <c r="AS170" t="s">
        <v>735</v>
      </c>
      <c r="AT170" t="s">
        <v>19</v>
      </c>
      <c r="AU170" t="s">
        <v>6146</v>
      </c>
      <c r="AV170" t="s">
        <v>6147</v>
      </c>
      <c r="AW170" t="s">
        <v>6148</v>
      </c>
      <c r="AX170" t="s">
        <v>2026</v>
      </c>
      <c r="AY170" t="s">
        <v>353</v>
      </c>
      <c r="AZ170" t="s">
        <v>1760</v>
      </c>
      <c r="BA170" t="s">
        <v>1761</v>
      </c>
      <c r="BB170" t="s">
        <v>1762</v>
      </c>
      <c r="BC170" t="s">
        <v>155</v>
      </c>
      <c r="BD170" t="s">
        <v>1759</v>
      </c>
      <c r="BE170" t="s">
        <v>1763</v>
      </c>
      <c r="BF170" t="s">
        <v>1764</v>
      </c>
      <c r="BG170" t="s">
        <v>1765</v>
      </c>
      <c r="BH170" t="s">
        <v>49</v>
      </c>
      <c r="BI170" t="s">
        <v>1256</v>
      </c>
      <c r="BJ170" t="s">
        <v>2026</v>
      </c>
      <c r="BK170" t="s">
        <v>229</v>
      </c>
      <c r="BL170" t="s">
        <v>250</v>
      </c>
      <c r="BM170" t="s">
        <v>155</v>
      </c>
      <c r="BN170">
        <v>6.12</v>
      </c>
      <c r="BO170">
        <v>9.51</v>
      </c>
      <c r="BP170">
        <v>8.76</v>
      </c>
      <c r="BQ170">
        <v>6.3</v>
      </c>
      <c r="BR170">
        <v>9.64</v>
      </c>
      <c r="BS170">
        <v>8.77</v>
      </c>
      <c r="BT170" t="s">
        <v>2018</v>
      </c>
      <c r="BU170" t="s">
        <v>3084</v>
      </c>
      <c r="BV170">
        <v>22.29</v>
      </c>
      <c r="BW170">
        <v>21.76</v>
      </c>
      <c r="BX170">
        <v>21.04</v>
      </c>
      <c r="BY170">
        <v>8.4600000000000009</v>
      </c>
      <c r="BZ170">
        <v>9.7899999999999991</v>
      </c>
      <c r="CA170">
        <v>8.27</v>
      </c>
      <c r="CB170">
        <v>-6.32</v>
      </c>
      <c r="CC170">
        <v>-13.48</v>
      </c>
      <c r="CD170" t="s">
        <v>6149</v>
      </c>
      <c r="CE170" t="s">
        <v>632</v>
      </c>
      <c r="CF170" s="14">
        <v>-0.2367816091954022</v>
      </c>
      <c r="CG170" s="15">
        <v>-0.67704915686274514</v>
      </c>
      <c r="CH170" s="14">
        <v>0.33652311563491821</v>
      </c>
      <c r="CI170" s="14">
        <v>5.8227904140949249E-2</v>
      </c>
      <c r="CJ170" s="14">
        <v>0.21788276731967926</v>
      </c>
      <c r="CK170" s="14">
        <v>5.8759521692991257E-2</v>
      </c>
      <c r="CL170" s="14">
        <v>-8.6299888789653778E-3</v>
      </c>
      <c r="CM170" s="15">
        <v>1.2113821506500244</v>
      </c>
      <c r="CN170" s="15">
        <v>0.25563892722129822</v>
      </c>
      <c r="CO170" s="15">
        <v>5.592656135559082E-2</v>
      </c>
      <c r="CP170" s="15">
        <v>0.42479237914085388</v>
      </c>
      <c r="CQ170" s="15">
        <v>-3.0706912279129028E-2</v>
      </c>
      <c r="CR170">
        <v>26.342329830331714</v>
      </c>
      <c r="CS170">
        <v>1.987310480151939</v>
      </c>
      <c r="CT170">
        <v>1.0725552050473186</v>
      </c>
      <c r="CU170" s="14">
        <v>0.13255266398191451</v>
      </c>
      <c r="CV170" s="15">
        <v>0.38340662121772767</v>
      </c>
      <c r="CW170">
        <v>0.06</v>
      </c>
      <c r="CX170">
        <v>7.9429376722846028</v>
      </c>
      <c r="CY170">
        <v>290617287.36139697</v>
      </c>
      <c r="CZ170">
        <v>0.13255266398191451</v>
      </c>
      <c r="DA170">
        <v>2.504253995206851</v>
      </c>
      <c r="DB170">
        <v>921773511.95932913</v>
      </c>
      <c r="DC170">
        <v>0.12592503078281878</v>
      </c>
      <c r="DD170">
        <v>1.1741755998564039</v>
      </c>
      <c r="DE170">
        <v>1965936781.7576015</v>
      </c>
      <c r="DF170">
        <v>0.11664634430408477</v>
      </c>
      <c r="DG170">
        <v>0.66671149193746604</v>
      </c>
      <c r="DH170">
        <v>3462299702.2173891</v>
      </c>
      <c r="DI170">
        <v>0.10604213118553162</v>
      </c>
      <c r="DJ170">
        <v>0.30346849135039994</v>
      </c>
      <c r="DK170">
        <v>7606572233.3415413</v>
      </c>
      <c r="DL170">
        <v>9.2786864787340148E-2</v>
      </c>
      <c r="DM170">
        <v>272000000</v>
      </c>
      <c r="DN170">
        <v>0.13255266398191451</v>
      </c>
      <c r="DO170">
        <v>2308355000</v>
      </c>
      <c r="DP170">
        <v>811483750</v>
      </c>
      <c r="DQ170">
        <v>4044</v>
      </c>
      <c r="DR170">
        <v>-0.36933427317731671</v>
      </c>
      <c r="DS170">
        <v>-1.0604557780804729</v>
      </c>
      <c r="DT170" s="16">
        <v>-0.14000000000000001</v>
      </c>
      <c r="DU170">
        <v>0.16</v>
      </c>
      <c r="DV170">
        <v>1.999999999999999E-2</v>
      </c>
      <c r="DW170">
        <v>-9.4688427299703264</v>
      </c>
      <c r="DX170">
        <v>0.35332000000000036</v>
      </c>
      <c r="DY170">
        <v>-9.0812598219584562</v>
      </c>
      <c r="DZ170">
        <v>4491</v>
      </c>
      <c r="EA170">
        <v>-9.0098434109182559</v>
      </c>
      <c r="EB170">
        <v>9</v>
      </c>
      <c r="EC170">
        <v>0.10893133906607655</v>
      </c>
      <c r="ED170">
        <v>0.62849837910268025</v>
      </c>
      <c r="EE170" s="17">
        <v>0.12231</v>
      </c>
      <c r="EF170">
        <v>0.12301000000000001</v>
      </c>
      <c r="EG170">
        <v>18.17332</v>
      </c>
      <c r="EH170">
        <v>-1</v>
      </c>
      <c r="EI170">
        <v>0</v>
      </c>
      <c r="EJ170">
        <v>0</v>
      </c>
      <c r="EK170" s="19">
        <v>45470</v>
      </c>
      <c r="EL170" s="20">
        <v>1.77</v>
      </c>
      <c r="EM170" s="20">
        <v>-7.63</v>
      </c>
      <c r="EN170" s="20">
        <v>-0.28999999999999998</v>
      </c>
      <c r="EO170" s="20">
        <v>1.05</v>
      </c>
      <c r="EP170" s="20">
        <v>-7.0000000000000007E-2</v>
      </c>
    </row>
    <row r="171" spans="1:146" ht="84" x14ac:dyDescent="0.25">
      <c r="A171" s="7"/>
      <c r="B171" s="7"/>
      <c r="C171" s="7" t="str">
        <f>""&amp;CHAR(10)&amp;Basic_Fundamental_Information_Constructure(F171)&amp;CHAR(10)&amp;Basic_Fundamental_Information_Concatenate("")</f>
        <v xml:space="preserve">
市值17.122729亿, 利润56.27亿; PE159.9; 平均PE1.81; 平均PEG0, PB1.98; ROIC1.99%; ROE-.03%; 股利率.2003%; 毛利18.5767%; 净利.6733%; 上一年度营收增3354.15%, 利润增32611.16%; 当季营收增-97.19%, 利润增-99.67%; 过往5年营收增686.66%, 利润增6460.2%
Income profile:
</v>
      </c>
      <c r="D171" t="s">
        <v>1300</v>
      </c>
      <c r="E171" t="s">
        <v>1301</v>
      </c>
      <c r="F171">
        <v>14.98</v>
      </c>
      <c r="G171">
        <v>0.13</v>
      </c>
      <c r="H171" t="s">
        <v>6150</v>
      </c>
      <c r="I171">
        <v>1712272900</v>
      </c>
      <c r="J171">
        <v>159.9</v>
      </c>
      <c r="K171">
        <v>1.98</v>
      </c>
      <c r="L171" t="s">
        <v>172</v>
      </c>
      <c r="M171" t="s">
        <v>943</v>
      </c>
      <c r="N171" t="s">
        <v>2173</v>
      </c>
      <c r="O171" t="s">
        <v>208</v>
      </c>
      <c r="P171">
        <v>20.81</v>
      </c>
      <c r="Q171" t="s">
        <v>6151</v>
      </c>
      <c r="R171">
        <v>5700942</v>
      </c>
      <c r="S171" s="5">
        <v>0.94059999999999999</v>
      </c>
      <c r="T171" t="s">
        <v>6152</v>
      </c>
      <c r="U171">
        <v>114303931</v>
      </c>
      <c r="V171">
        <v>114303931</v>
      </c>
      <c r="W171">
        <v>1.94</v>
      </c>
      <c r="X171">
        <v>0.12</v>
      </c>
      <c r="Y171">
        <v>3.59</v>
      </c>
      <c r="Z171" t="s">
        <v>26</v>
      </c>
      <c r="AA171" t="s">
        <v>127</v>
      </c>
      <c r="AB171" t="s">
        <v>6153</v>
      </c>
      <c r="AC171" t="s">
        <v>6154</v>
      </c>
      <c r="AD171" t="s">
        <v>19</v>
      </c>
      <c r="AE171">
        <v>1893853</v>
      </c>
      <c r="AF171" t="s">
        <v>6155</v>
      </c>
      <c r="AG171" t="s">
        <v>2799</v>
      </c>
      <c r="AH171" t="s">
        <v>6156</v>
      </c>
      <c r="AI171" t="s">
        <v>2671</v>
      </c>
      <c r="AJ171" t="s">
        <v>6157</v>
      </c>
      <c r="AK171" t="s">
        <v>19</v>
      </c>
      <c r="AL171" t="s">
        <v>6158</v>
      </c>
      <c r="AM171" t="s">
        <v>19</v>
      </c>
      <c r="AN171" t="s">
        <v>6159</v>
      </c>
      <c r="AO171" t="s">
        <v>271</v>
      </c>
      <c r="AP171" t="s">
        <v>6160</v>
      </c>
      <c r="AQ171" t="s">
        <v>714</v>
      </c>
      <c r="AR171" t="s">
        <v>19</v>
      </c>
      <c r="AS171" t="s">
        <v>1157</v>
      </c>
      <c r="AT171" t="s">
        <v>19</v>
      </c>
      <c r="AU171" t="s">
        <v>6161</v>
      </c>
      <c r="AV171" t="s">
        <v>6162</v>
      </c>
      <c r="AW171" t="s">
        <v>6163</v>
      </c>
      <c r="AX171" t="s">
        <v>1853</v>
      </c>
      <c r="AY171" t="s">
        <v>783</v>
      </c>
      <c r="AZ171" t="s">
        <v>374</v>
      </c>
      <c r="BA171" t="s">
        <v>1304</v>
      </c>
      <c r="BB171" t="s">
        <v>236</v>
      </c>
      <c r="BC171" t="s">
        <v>2348</v>
      </c>
      <c r="BD171" t="s">
        <v>1766</v>
      </c>
      <c r="BE171" t="s">
        <v>1302</v>
      </c>
      <c r="BF171" t="s">
        <v>1305</v>
      </c>
      <c r="BG171" t="s">
        <v>1306</v>
      </c>
      <c r="BH171" t="s">
        <v>1512</v>
      </c>
      <c r="BI171" t="s">
        <v>6164</v>
      </c>
      <c r="BJ171" t="s">
        <v>1853</v>
      </c>
      <c r="BK171" t="s">
        <v>6165</v>
      </c>
      <c r="BL171" t="s">
        <v>6166</v>
      </c>
      <c r="BM171" t="s">
        <v>2348</v>
      </c>
      <c r="BN171">
        <v>1.37</v>
      </c>
      <c r="BO171" t="s">
        <v>19</v>
      </c>
      <c r="BP171">
        <v>2.61</v>
      </c>
      <c r="BQ171">
        <v>1.32</v>
      </c>
      <c r="BR171">
        <v>-3.7</v>
      </c>
      <c r="BS171">
        <v>2.29</v>
      </c>
      <c r="BT171" t="s">
        <v>1991</v>
      </c>
      <c r="BU171" t="s">
        <v>2920</v>
      </c>
      <c r="BV171">
        <v>18.68</v>
      </c>
      <c r="BW171">
        <v>14.76</v>
      </c>
      <c r="BX171">
        <v>22.29</v>
      </c>
      <c r="BY171">
        <v>1.52</v>
      </c>
      <c r="BZ171">
        <v>-1.93</v>
      </c>
      <c r="CA171">
        <v>2.4300000000000002</v>
      </c>
      <c r="CB171">
        <v>-5.96</v>
      </c>
      <c r="CC171">
        <v>-13.36</v>
      </c>
      <c r="CD171" t="s">
        <v>6167</v>
      </c>
      <c r="CE171" t="s">
        <v>593</v>
      </c>
      <c r="CF171" s="14">
        <v>-0.97192379315284338</v>
      </c>
      <c r="CG171" s="15">
        <v>-0.99667777272727276</v>
      </c>
      <c r="CH171" s="14">
        <v>33.541488647460938</v>
      </c>
      <c r="CI171" s="14">
        <v>0.22164948284626007</v>
      </c>
      <c r="CJ171" s="14">
        <v>0.1781376451253891</v>
      </c>
      <c r="CK171" s="14">
        <v>-1.0020039975643158E-2</v>
      </c>
      <c r="CL171" s="14">
        <v>0.40168538689613342</v>
      </c>
      <c r="CM171" s="15">
        <v>326.11163330078125</v>
      </c>
      <c r="CN171" s="15">
        <v>-2.5989561080932617</v>
      </c>
      <c r="CO171" s="15">
        <v>-0.26648867130279541</v>
      </c>
      <c r="CP171" s="15">
        <v>-0.44933933019638062</v>
      </c>
      <c r="CQ171" s="15">
        <v>0.21329517662525177</v>
      </c>
      <c r="CR171">
        <v>1.8074151427432474</v>
      </c>
      <c r="CS171">
        <v>2.6321880439868542E-3</v>
      </c>
      <c r="CT171">
        <v>0.20026702269692923</v>
      </c>
      <c r="CU171" s="14">
        <v>6.8665882244706156</v>
      </c>
      <c r="CV171" s="15">
        <v>64.602028873562816</v>
      </c>
      <c r="CW171">
        <v>0.06</v>
      </c>
      <c r="CX171">
        <v>3.9206999388772971E-2</v>
      </c>
      <c r="CY171">
        <v>41759709376.505806</v>
      </c>
      <c r="CZ171">
        <v>6.8665882244706156</v>
      </c>
      <c r="DA171">
        <v>7.0114159865523797E-4</v>
      </c>
      <c r="DB171">
        <v>2335152989268.1094</v>
      </c>
      <c r="DC171">
        <v>6.5232588132470841</v>
      </c>
      <c r="DD171">
        <v>2.8737173989062074E-6</v>
      </c>
      <c r="DE171">
        <v>569740399881762.12</v>
      </c>
      <c r="DF171">
        <v>6.0425976375341417</v>
      </c>
      <c r="DG171">
        <v>3.2723944202849579E-9</v>
      </c>
      <c r="DH171">
        <v>5.0032871644409766E+17</v>
      </c>
      <c r="DI171">
        <v>5.4932705795764925</v>
      </c>
      <c r="DJ171">
        <v>4.0175991435383152E-16</v>
      </c>
      <c r="DK171">
        <v>4.0752520137139599E+24</v>
      </c>
      <c r="DL171">
        <v>4.8066117571294305</v>
      </c>
      <c r="DM171">
        <v>5627000000</v>
      </c>
      <c r="DN171">
        <v>6.8665882244706156</v>
      </c>
      <c r="DO171">
        <v>1637272900</v>
      </c>
      <c r="DP171">
        <v>80548660</v>
      </c>
      <c r="DQ171">
        <v>4061</v>
      </c>
      <c r="DR171">
        <v>-7.8385120176234588</v>
      </c>
      <c r="DS171">
        <v>-65.598706646290083</v>
      </c>
      <c r="DT171" s="16">
        <v>0.24333333333333326</v>
      </c>
      <c r="DU171">
        <v>-1.0066666666666666</v>
      </c>
      <c r="DV171">
        <v>-0.76333333333333331</v>
      </c>
      <c r="DW171">
        <v>-8.4461077844311383</v>
      </c>
      <c r="DX171">
        <v>0.33752824427480888</v>
      </c>
      <c r="DY171">
        <v>-8.0435081089728939</v>
      </c>
      <c r="DZ171">
        <v>1699</v>
      </c>
      <c r="EA171">
        <v>-8.029042301312435</v>
      </c>
      <c r="EB171">
        <v>8</v>
      </c>
      <c r="EC171">
        <v>0.11177393365412777</v>
      </c>
      <c r="ED171">
        <v>1.1460673211667585</v>
      </c>
      <c r="EE171" s="17">
        <v>5.0386100000000003</v>
      </c>
      <c r="EF171">
        <v>5.0733100000000002</v>
      </c>
      <c r="EG171">
        <v>24.097528244274809</v>
      </c>
      <c r="EH171" t="s">
        <v>2827</v>
      </c>
      <c r="EI171">
        <v>0</v>
      </c>
      <c r="EJ171">
        <v>0</v>
      </c>
      <c r="EK171" s="19">
        <v>45470</v>
      </c>
      <c r="EL171" s="20">
        <v>-0.36</v>
      </c>
      <c r="EM171" s="20">
        <v>-5.18</v>
      </c>
      <c r="EN171" s="20">
        <v>1.78</v>
      </c>
      <c r="EO171" s="20">
        <v>2.62</v>
      </c>
      <c r="EP171" s="20">
        <v>-3.47</v>
      </c>
    </row>
    <row r="172" spans="1:146" ht="168" x14ac:dyDescent="0.25">
      <c r="A172" s="7" t="s">
        <v>1553</v>
      </c>
      <c r="B172" s="7" t="s">
        <v>2083</v>
      </c>
      <c r="C172" s="7" t="str">
        <f>"公司主要从事压铸成型的精密铝合金汽车零部件和工业零部件的研发、生产、销售，产品主要应用于汽车行业及其他机械制造行业。公司主要致力于新能源汽车和汽车轻量化领域，主导产品是新能源汽车变速系统、传动系统、电池系统、悬挂系统等核心系统的精密机械加工零部件；"&amp;CHAR(10)&amp;Basic_Fundamental_Information_Constructure(F172)&amp;CHAR(10)&amp;Basic_Fundamental_Information_Concatenate("汽车类 14.27亿 87.69% 毛利32.75%
工业类 1.23亿 7.56% 毛利25.41%
模具类 4930.00万 3.03% 毛利43.76%
其他类 1828.80万 1.12% 毛利30.82%
其他业务 957.36万 0.59% 毛利94.29%")</f>
        <v>公司主要从事压铸成型的精密铝合金汽车零部件和工业零部件的研发、生产、销售，产品主要应用于汽车行业及其他机械制造行业。公司主要致力于新能源汽车和汽车轻量化领域，主导产品是新能源汽车变速系统、传动系统、电池系统、悬挂系统等核心系统的精密机械加工零部件；
市值96.681067亿, 利润2.42亿; PE14.25; 平均PE26.49; 平均PEG1.04, PB1.51; ROIC9.0233%; ROE12.6833%; 股利率2.2201%; 毛利23.99%; 净利14.6933%; 上一年度营收增-53.86%, 利润增-65.48%; 当季营收增171.19%, 利润增447.54%; 过往5年营收增25.53%, 利润增11.91%
Income profile:
汽车类 14.27亿 87.69% 毛利32.75%
工业类 1.23亿 7.56% 毛利25.41%
模具类 4930.00万 3.03% 毛利43.76%
其他类 1828.80万 1.12% 毛利30.82%
其他业务 957.36万 0.59% 毛利94.29%</v>
      </c>
      <c r="D172" t="s">
        <v>1307</v>
      </c>
      <c r="E172" t="s">
        <v>2056</v>
      </c>
      <c r="F172">
        <v>10.36</v>
      </c>
      <c r="G172">
        <v>-4.25</v>
      </c>
      <c r="H172" t="s">
        <v>6168</v>
      </c>
      <c r="I172">
        <v>9668106700</v>
      </c>
      <c r="J172">
        <v>14.25</v>
      </c>
      <c r="K172">
        <v>1.51</v>
      </c>
      <c r="L172" t="s">
        <v>172</v>
      </c>
      <c r="M172" t="s">
        <v>6169</v>
      </c>
      <c r="N172" t="s">
        <v>6170</v>
      </c>
      <c r="O172" t="s">
        <v>2591</v>
      </c>
      <c r="P172">
        <v>-2.91</v>
      </c>
      <c r="Q172" t="s">
        <v>6171</v>
      </c>
      <c r="R172">
        <v>157182520</v>
      </c>
      <c r="S172" s="5">
        <v>-0.18490000000000001</v>
      </c>
      <c r="T172" t="s">
        <v>295</v>
      </c>
      <c r="U172">
        <v>933214930</v>
      </c>
      <c r="V172">
        <v>933214930</v>
      </c>
      <c r="W172">
        <v>1.67</v>
      </c>
      <c r="X172">
        <v>0.11</v>
      </c>
      <c r="Y172">
        <v>13.77</v>
      </c>
      <c r="Z172" t="s">
        <v>2006</v>
      </c>
      <c r="AA172" t="s">
        <v>1901</v>
      </c>
      <c r="AB172" t="s">
        <v>6172</v>
      </c>
      <c r="AC172" t="s">
        <v>6173</v>
      </c>
      <c r="AD172" t="s">
        <v>19</v>
      </c>
      <c r="AE172">
        <v>-5986515</v>
      </c>
      <c r="AF172" t="s">
        <v>21</v>
      </c>
      <c r="AG172">
        <v>654.34</v>
      </c>
      <c r="AH172" t="s">
        <v>6174</v>
      </c>
      <c r="AI172" t="s">
        <v>6175</v>
      </c>
      <c r="AJ172" t="s">
        <v>6176</v>
      </c>
      <c r="AK172" t="s">
        <v>19</v>
      </c>
      <c r="AL172" t="s">
        <v>6177</v>
      </c>
      <c r="AM172" t="s">
        <v>19</v>
      </c>
      <c r="AN172" t="s">
        <v>2261</v>
      </c>
      <c r="AO172" t="s">
        <v>3569</v>
      </c>
      <c r="AP172" t="s">
        <v>1683</v>
      </c>
      <c r="AQ172" t="s">
        <v>6178</v>
      </c>
      <c r="AR172" t="s">
        <v>19</v>
      </c>
      <c r="AS172" t="s">
        <v>6179</v>
      </c>
      <c r="AT172" t="s">
        <v>1422</v>
      </c>
      <c r="AU172" t="s">
        <v>75</v>
      </c>
      <c r="AV172" t="s">
        <v>6180</v>
      </c>
      <c r="AW172" t="s">
        <v>878</v>
      </c>
      <c r="AX172" t="s">
        <v>2318</v>
      </c>
      <c r="AY172" t="s">
        <v>1603</v>
      </c>
      <c r="AZ172" t="s">
        <v>1308</v>
      </c>
      <c r="BA172" t="s">
        <v>272</v>
      </c>
      <c r="BB172" t="s">
        <v>425</v>
      </c>
      <c r="BC172" t="s">
        <v>1887</v>
      </c>
      <c r="BD172" t="s">
        <v>330</v>
      </c>
      <c r="BE172" t="s">
        <v>393</v>
      </c>
      <c r="BF172" t="s">
        <v>406</v>
      </c>
      <c r="BG172" t="s">
        <v>135</v>
      </c>
      <c r="BH172" t="s">
        <v>6181</v>
      </c>
      <c r="BI172" t="s">
        <v>312</v>
      </c>
      <c r="BJ172" t="s">
        <v>2318</v>
      </c>
      <c r="BK172" t="s">
        <v>321</v>
      </c>
      <c r="BL172" t="s">
        <v>6182</v>
      </c>
      <c r="BM172" t="s">
        <v>1887</v>
      </c>
      <c r="BN172">
        <v>7.1</v>
      </c>
      <c r="BO172">
        <v>11.17</v>
      </c>
      <c r="BP172">
        <v>8.8000000000000007</v>
      </c>
      <c r="BQ172">
        <v>9.65</v>
      </c>
      <c r="BR172">
        <v>16.309999999999999</v>
      </c>
      <c r="BS172">
        <v>12.09</v>
      </c>
      <c r="BT172" t="s">
        <v>2046</v>
      </c>
      <c r="BU172" t="s">
        <v>2920</v>
      </c>
      <c r="BV172">
        <v>24</v>
      </c>
      <c r="BW172">
        <v>23.91</v>
      </c>
      <c r="BX172">
        <v>24.06</v>
      </c>
      <c r="BY172">
        <v>14.72</v>
      </c>
      <c r="BZ172">
        <v>15.72</v>
      </c>
      <c r="CA172">
        <v>13.64</v>
      </c>
      <c r="CB172">
        <v>-1.89</v>
      </c>
      <c r="CC172">
        <v>-18.55</v>
      </c>
      <c r="CD172" t="s">
        <v>6183</v>
      </c>
      <c r="CE172" t="s">
        <v>610</v>
      </c>
      <c r="CF172" s="14">
        <v>1.7119047619047618</v>
      </c>
      <c r="CG172" s="15">
        <v>4.4754455390360475</v>
      </c>
      <c r="CH172" s="14">
        <v>-0.53861695528030396</v>
      </c>
      <c r="CI172" s="14">
        <v>0.47337082028388977</v>
      </c>
      <c r="CJ172" s="14">
        <v>0.85687965154647827</v>
      </c>
      <c r="CK172" s="14">
        <v>0.48404750227928162</v>
      </c>
      <c r="CL172" s="14">
        <v>9.1235036961734295E-4</v>
      </c>
      <c r="CM172" s="15">
        <v>-0.65477889776229858</v>
      </c>
      <c r="CN172" s="15">
        <v>0.69733655452728271</v>
      </c>
      <c r="CO172" s="15">
        <v>0.24024024605751038</v>
      </c>
      <c r="CP172" s="15">
        <v>0.6086956262588501</v>
      </c>
      <c r="CQ172" s="15">
        <v>-0.29591837525367737</v>
      </c>
      <c r="CR172">
        <v>26.487963561643834</v>
      </c>
      <c r="CS172">
        <v>1.0374471699733372</v>
      </c>
      <c r="CT172">
        <v>2.2200772200772199</v>
      </c>
      <c r="CU172" s="14">
        <v>0.25531867383979262</v>
      </c>
      <c r="CV172" s="15">
        <v>0.11911503076553345</v>
      </c>
      <c r="CW172">
        <v>0.06</v>
      </c>
      <c r="CX172">
        <v>24.631238891648938</v>
      </c>
      <c r="CY172">
        <v>286591621.76342434</v>
      </c>
      <c r="CZ172">
        <v>0.25531867383979262</v>
      </c>
      <c r="DA172">
        <v>7.016939044659642</v>
      </c>
      <c r="DB172">
        <v>1006009408.8137263</v>
      </c>
      <c r="DC172">
        <v>0.24255274014780298</v>
      </c>
      <c r="DD172">
        <v>2.8454418690859455</v>
      </c>
      <c r="DE172">
        <v>2480847272.5073204</v>
      </c>
      <c r="DF172">
        <v>0.22468043297901752</v>
      </c>
      <c r="DG172">
        <v>1.3532879689404511</v>
      </c>
      <c r="DH172">
        <v>5216263546.2775049</v>
      </c>
      <c r="DI172">
        <v>0.20425493907183412</v>
      </c>
      <c r="DJ172">
        <v>0.39928201429727533</v>
      </c>
      <c r="DK172">
        <v>17679500822.05386</v>
      </c>
      <c r="DL172">
        <v>0.17872307168785481</v>
      </c>
      <c r="DM172">
        <v>242000000</v>
      </c>
      <c r="DN172">
        <v>0.25531867383979262</v>
      </c>
      <c r="DO172">
        <v>7059106700</v>
      </c>
      <c r="DP172">
        <v>2200802100</v>
      </c>
      <c r="DQ172">
        <v>4073</v>
      </c>
      <c r="DR172">
        <v>1.4565860880649693</v>
      </c>
      <c r="DS172">
        <v>4.3563305082705144</v>
      </c>
      <c r="DT172" s="16">
        <v>-7.3333333333333403E-2</v>
      </c>
      <c r="DU172">
        <v>0.23333333333333339</v>
      </c>
      <c r="DV172">
        <v>0.15999999999999998</v>
      </c>
      <c r="DW172">
        <v>-3.0288392857142856</v>
      </c>
      <c r="DX172">
        <v>0.54173969999999927</v>
      </c>
      <c r="DY172">
        <v>-3.0081251717053572</v>
      </c>
      <c r="DZ172">
        <v>805</v>
      </c>
      <c r="EA172">
        <v>-3.0068451789024584</v>
      </c>
      <c r="EB172">
        <v>3</v>
      </c>
      <c r="EC172">
        <v>9.6608720136957094E-2</v>
      </c>
      <c r="ED172">
        <v>0.34290064347770349</v>
      </c>
      <c r="EE172" s="17">
        <v>3.0547</v>
      </c>
      <c r="EF172">
        <v>3.0072999999999999</v>
      </c>
      <c r="EG172">
        <v>26.281739699999999</v>
      </c>
      <c r="EH172" t="s">
        <v>2080</v>
      </c>
      <c r="EI172">
        <v>0</v>
      </c>
      <c r="EJ172">
        <v>1</v>
      </c>
      <c r="EK172" s="19">
        <v>45470</v>
      </c>
      <c r="EL172" s="20">
        <v>-0.88</v>
      </c>
      <c r="EM172" s="20">
        <v>-3.74</v>
      </c>
      <c r="EN172" s="20">
        <v>-0.37</v>
      </c>
      <c r="EO172" s="20">
        <v>3.9</v>
      </c>
      <c r="EP172" s="20">
        <v>-4.74</v>
      </c>
    </row>
    <row r="173" spans="1:146" ht="84" x14ac:dyDescent="0.25">
      <c r="A173" s="7"/>
      <c r="B173" s="7"/>
      <c r="C173" s="7" t="str">
        <f>""&amp;CHAR(10)&amp;Basic_Fundamental_Information_Constructure(F173)&amp;CHAR(10)&amp;Basic_Fundamental_Information_Concatenate("")</f>
        <v xml:space="preserve">
市值56.936034亿, 利润2.28亿; PE21.31; 平均PE25.96; 平均PEG11.78, PB1.7; ROIC5.19%; ROE6.1567%; 股利率1.1455%; 毛利33.0767%; 净利12.5267%; 上一年度营收增-48.32%, 利润增15.15%; 当季营收增73.06%, 利润增-8.28%; 过往5年营收增2.2%, 利润增-2.82%
Income profile:
</v>
      </c>
      <c r="D173" t="s">
        <v>1314</v>
      </c>
      <c r="E173" t="s">
        <v>1968</v>
      </c>
      <c r="F173">
        <v>17.46</v>
      </c>
      <c r="G173">
        <v>0.52</v>
      </c>
      <c r="H173" t="s">
        <v>6184</v>
      </c>
      <c r="I173">
        <v>5693603400</v>
      </c>
      <c r="J173">
        <v>21.31</v>
      </c>
      <c r="K173">
        <v>1.7</v>
      </c>
      <c r="L173" t="s">
        <v>172</v>
      </c>
      <c r="M173" t="s">
        <v>6185</v>
      </c>
      <c r="N173" t="s">
        <v>2566</v>
      </c>
      <c r="O173" t="s">
        <v>1072</v>
      </c>
      <c r="P173">
        <v>11.81</v>
      </c>
      <c r="Q173" t="s">
        <v>2491</v>
      </c>
      <c r="R173">
        <v>53900316</v>
      </c>
      <c r="S173" s="5">
        <v>0.87760000000000005</v>
      </c>
      <c r="T173" t="s">
        <v>1212</v>
      </c>
      <c r="U173">
        <v>326094120</v>
      </c>
      <c r="V173">
        <v>326094120</v>
      </c>
      <c r="W173">
        <v>1.3</v>
      </c>
      <c r="X173">
        <v>0.09</v>
      </c>
      <c r="Y173">
        <v>10.98</v>
      </c>
      <c r="Z173" t="s">
        <v>1932</v>
      </c>
      <c r="AA173" t="s">
        <v>116</v>
      </c>
      <c r="AB173" t="s">
        <v>6186</v>
      </c>
      <c r="AC173" t="s">
        <v>6187</v>
      </c>
      <c r="AD173" t="s">
        <v>19</v>
      </c>
      <c r="AE173">
        <v>2245743</v>
      </c>
      <c r="AF173" t="s">
        <v>6188</v>
      </c>
      <c r="AG173">
        <v>3000</v>
      </c>
      <c r="AH173" t="s">
        <v>6189</v>
      </c>
      <c r="AI173" t="s">
        <v>154</v>
      </c>
      <c r="AJ173" t="s">
        <v>6190</v>
      </c>
      <c r="AK173" t="s">
        <v>6191</v>
      </c>
      <c r="AL173" t="s">
        <v>6192</v>
      </c>
      <c r="AM173" t="s">
        <v>19</v>
      </c>
      <c r="AN173" t="s">
        <v>67</v>
      </c>
      <c r="AO173" t="s">
        <v>19</v>
      </c>
      <c r="AP173" t="s">
        <v>19</v>
      </c>
      <c r="AQ173" t="s">
        <v>125</v>
      </c>
      <c r="AR173" t="s">
        <v>19</v>
      </c>
      <c r="AS173" t="s">
        <v>295</v>
      </c>
      <c r="AT173" t="s">
        <v>19</v>
      </c>
      <c r="AU173" t="s">
        <v>501</v>
      </c>
      <c r="AV173" t="s">
        <v>6193</v>
      </c>
      <c r="AW173" t="s">
        <v>6194</v>
      </c>
      <c r="AX173" t="s">
        <v>2349</v>
      </c>
      <c r="AY173" t="s">
        <v>1657</v>
      </c>
      <c r="AZ173" t="s">
        <v>97</v>
      </c>
      <c r="BA173" t="s">
        <v>1316</v>
      </c>
      <c r="BB173" t="s">
        <v>1317</v>
      </c>
      <c r="BC173" t="s">
        <v>101</v>
      </c>
      <c r="BD173" t="s">
        <v>102</v>
      </c>
      <c r="BE173" t="s">
        <v>68</v>
      </c>
      <c r="BF173" t="s">
        <v>129</v>
      </c>
      <c r="BG173" t="s">
        <v>141</v>
      </c>
      <c r="BH173" t="s">
        <v>6171</v>
      </c>
      <c r="BI173" t="s">
        <v>505</v>
      </c>
      <c r="BJ173" t="s">
        <v>2349</v>
      </c>
      <c r="BK173" t="s">
        <v>295</v>
      </c>
      <c r="BL173" t="s">
        <v>6195</v>
      </c>
      <c r="BM173" t="s">
        <v>101</v>
      </c>
      <c r="BN173">
        <v>3.21</v>
      </c>
      <c r="BO173">
        <v>6.11</v>
      </c>
      <c r="BP173">
        <v>6.25</v>
      </c>
      <c r="BQ173">
        <v>4.4800000000000004</v>
      </c>
      <c r="BR173">
        <v>7.1</v>
      </c>
      <c r="BS173">
        <v>6.89</v>
      </c>
      <c r="BT173" t="s">
        <v>1989</v>
      </c>
      <c r="BU173" t="s">
        <v>3084</v>
      </c>
      <c r="BV173">
        <v>30.63</v>
      </c>
      <c r="BW173">
        <v>32.18</v>
      </c>
      <c r="BX173">
        <v>36.42</v>
      </c>
      <c r="BY173">
        <v>11.11</v>
      </c>
      <c r="BZ173">
        <v>11.94</v>
      </c>
      <c r="CA173">
        <v>14.53</v>
      </c>
      <c r="CB173">
        <v>-3.38</v>
      </c>
      <c r="CC173">
        <v>-9.67</v>
      </c>
      <c r="CD173" t="s">
        <v>6196</v>
      </c>
      <c r="CE173" t="s">
        <v>946</v>
      </c>
      <c r="CF173" s="14">
        <v>0.73062730627306294</v>
      </c>
      <c r="CG173" s="15">
        <v>-8.2775752749104051E-2</v>
      </c>
      <c r="CH173" s="14">
        <v>-0.48320096731185913</v>
      </c>
      <c r="CI173" s="14">
        <v>0.35737970471382141</v>
      </c>
      <c r="CJ173" s="14">
        <v>0.26947367191314697</v>
      </c>
      <c r="CK173" s="14">
        <v>-3.651115670800209E-2</v>
      </c>
      <c r="CL173" s="14">
        <v>3.0518819112330675E-3</v>
      </c>
      <c r="CM173" s="15">
        <v>0.15151515603065491</v>
      </c>
      <c r="CN173" s="15">
        <v>0.125</v>
      </c>
      <c r="CO173" s="15">
        <v>-0.12437810748815536</v>
      </c>
      <c r="CP173" s="15">
        <v>-0.15189872682094574</v>
      </c>
      <c r="CQ173" s="15">
        <v>-0.14130434393882751</v>
      </c>
      <c r="CR173">
        <v>25.95867811550152</v>
      </c>
      <c r="CS173">
        <v>11.778718442382194</v>
      </c>
      <c r="CT173">
        <v>1.1454753722794959</v>
      </c>
      <c r="CU173" s="14">
        <v>2.2038626903668045E-2</v>
      </c>
      <c r="CV173" s="15">
        <v>-2.8213204443454744E-2</v>
      </c>
      <c r="CW173">
        <v>0.06</v>
      </c>
      <c r="CX173">
        <v>14.672856718503263</v>
      </c>
      <c r="CY173">
        <v>219834723.52267572</v>
      </c>
      <c r="CZ173">
        <v>2.2038626903668045E-2</v>
      </c>
      <c r="DA173">
        <v>5.0811836503361896</v>
      </c>
      <c r="DB173">
        <v>634813386.40192282</v>
      </c>
      <c r="DC173">
        <v>2.0936695558484642E-2</v>
      </c>
      <c r="DD173">
        <v>2.6973188999438933</v>
      </c>
      <c r="DE173">
        <v>1195855410.3732767</v>
      </c>
      <c r="DF173">
        <v>1.939399167522788E-2</v>
      </c>
      <c r="DG173">
        <v>1.758470345574042</v>
      </c>
      <c r="DH173">
        <v>1834323455.1089466</v>
      </c>
      <c r="DI173">
        <v>1.7630901522934436E-2</v>
      </c>
      <c r="DJ173">
        <v>1.0772148450131525</v>
      </c>
      <c r="DK173">
        <v>2994391893.9964256</v>
      </c>
      <c r="DL173">
        <v>1.542703883256763E-2</v>
      </c>
      <c r="DM173">
        <v>227999999.99999997</v>
      </c>
      <c r="DN173">
        <v>2.2038626903668045E-2</v>
      </c>
      <c r="DO173">
        <v>3225603400</v>
      </c>
      <c r="DP173">
        <v>2482955500</v>
      </c>
      <c r="DQ173">
        <v>4074</v>
      </c>
      <c r="DR173">
        <v>0.70858867936939485</v>
      </c>
      <c r="DS173">
        <v>-5.4562548305649307E-2</v>
      </c>
      <c r="DT173" s="16">
        <v>-0.32333333333333331</v>
      </c>
      <c r="DU173">
        <v>5.000000000000001E-2</v>
      </c>
      <c r="DV173">
        <v>-0.27333333333333332</v>
      </c>
      <c r="DW173">
        <v>-8.3495346432264732</v>
      </c>
      <c r="DX173">
        <v>0.28464787234042604</v>
      </c>
      <c r="DY173">
        <v>-8.0295873638583899</v>
      </c>
      <c r="DZ173">
        <v>1562</v>
      </c>
      <c r="EA173">
        <v>-8.020543242068408</v>
      </c>
      <c r="EB173">
        <v>8</v>
      </c>
      <c r="EC173">
        <v>4.8801247934185388E-2</v>
      </c>
      <c r="ED173">
        <v>0.57652066832729154</v>
      </c>
      <c r="EE173" s="17">
        <v>-4.0315099999999999</v>
      </c>
      <c r="EF173">
        <v>-4.0660100000000003</v>
      </c>
      <c r="EG173">
        <v>20.084647872340426</v>
      </c>
      <c r="EH173" t="s">
        <v>2873</v>
      </c>
      <c r="EI173">
        <v>0</v>
      </c>
      <c r="EJ173">
        <v>0</v>
      </c>
      <c r="EK173" s="19">
        <v>45470</v>
      </c>
      <c r="EL173" s="20">
        <v>-0.47</v>
      </c>
      <c r="EM173" s="20">
        <v>-5.0199999999999996</v>
      </c>
      <c r="EN173" s="20">
        <v>-1.87</v>
      </c>
      <c r="EO173" s="20">
        <v>5.55</v>
      </c>
      <c r="EP173" s="20">
        <v>-3.45</v>
      </c>
    </row>
    <row r="174" spans="1:146" ht="84" x14ac:dyDescent="0.25">
      <c r="A174" s="7"/>
      <c r="B174" s="7"/>
      <c r="C174" s="7" t="str">
        <f>""&amp;CHAR(10)&amp;Basic_Fundamental_Information_Constructure(F174)&amp;CHAR(10)&amp;Basic_Fundamental_Information_Concatenate("")</f>
        <v xml:space="preserve">
市值33.515737亿, 利润4154.03万; PE14.84; 平均PE26.47; 平均PEG5.52, PB1.89; ROIC9.0467%; ROE11.5167%; 股利率2.4829%; 毛利25.4833%; 净利11.2233%; 上一年度营收增-42.73%, 利润增-75.56%; 当季营收增132.5%, 利润增710.02%; 过往5年营收增4.79%, 利润增.61%
Income profile:
</v>
      </c>
      <c r="D174" t="s">
        <v>1319</v>
      </c>
      <c r="E174" t="s">
        <v>1320</v>
      </c>
      <c r="F174">
        <v>16.11</v>
      </c>
      <c r="G174">
        <v>0.62</v>
      </c>
      <c r="H174" t="s">
        <v>6197</v>
      </c>
      <c r="I174">
        <v>3351573700</v>
      </c>
      <c r="J174">
        <v>14.84</v>
      </c>
      <c r="K174">
        <v>1.89</v>
      </c>
      <c r="L174" t="s">
        <v>172</v>
      </c>
      <c r="M174" t="s">
        <v>2242</v>
      </c>
      <c r="N174" t="s">
        <v>3614</v>
      </c>
      <c r="O174" t="s">
        <v>962</v>
      </c>
      <c r="P174">
        <v>14.59</v>
      </c>
      <c r="Q174" t="s">
        <v>1414</v>
      </c>
      <c r="R174">
        <v>45200783</v>
      </c>
      <c r="S174" s="5">
        <v>0.2576</v>
      </c>
      <c r="T174" t="s">
        <v>6198</v>
      </c>
      <c r="U174">
        <v>207510010</v>
      </c>
      <c r="V174">
        <v>208043060</v>
      </c>
      <c r="W174">
        <v>1.68</v>
      </c>
      <c r="X174">
        <v>0.15</v>
      </c>
      <c r="Y174">
        <v>9.68</v>
      </c>
      <c r="Z174" t="s">
        <v>312</v>
      </c>
      <c r="AA174" t="s">
        <v>444</v>
      </c>
      <c r="AB174" t="s">
        <v>6199</v>
      </c>
      <c r="AC174" t="s">
        <v>6200</v>
      </c>
      <c r="AD174" t="s">
        <v>19</v>
      </c>
      <c r="AE174">
        <v>5873927</v>
      </c>
      <c r="AF174" t="s">
        <v>6201</v>
      </c>
      <c r="AG174" t="s">
        <v>3398</v>
      </c>
      <c r="AH174" t="s">
        <v>6202</v>
      </c>
      <c r="AI174" t="s">
        <v>387</v>
      </c>
      <c r="AJ174" t="s">
        <v>6203</v>
      </c>
      <c r="AK174" t="s">
        <v>74</v>
      </c>
      <c r="AL174" t="s">
        <v>6204</v>
      </c>
      <c r="AM174" t="s">
        <v>19</v>
      </c>
      <c r="AN174" t="s">
        <v>129</v>
      </c>
      <c r="AO174" t="s">
        <v>1189</v>
      </c>
      <c r="AP174" t="s">
        <v>6205</v>
      </c>
      <c r="AQ174" t="s">
        <v>2202</v>
      </c>
      <c r="AR174" t="s">
        <v>6206</v>
      </c>
      <c r="AS174" t="s">
        <v>1228</v>
      </c>
      <c r="AT174" t="s">
        <v>545</v>
      </c>
      <c r="AU174" t="s">
        <v>6207</v>
      </c>
      <c r="AV174" t="s">
        <v>6208</v>
      </c>
      <c r="AW174" t="s">
        <v>6209</v>
      </c>
      <c r="AX174" t="s">
        <v>2350</v>
      </c>
      <c r="AY174" t="s">
        <v>1267</v>
      </c>
      <c r="AZ174" t="s">
        <v>243</v>
      </c>
      <c r="BA174" t="s">
        <v>1163</v>
      </c>
      <c r="BB174" t="s">
        <v>430</v>
      </c>
      <c r="BC174" t="s">
        <v>333</v>
      </c>
      <c r="BD174" t="s">
        <v>26</v>
      </c>
      <c r="BE174" t="s">
        <v>508</v>
      </c>
      <c r="BF174" t="s">
        <v>1321</v>
      </c>
      <c r="BG174" t="s">
        <v>1322</v>
      </c>
      <c r="BH174" t="s">
        <v>2785</v>
      </c>
      <c r="BI174" t="s">
        <v>245</v>
      </c>
      <c r="BJ174" t="s">
        <v>2350</v>
      </c>
      <c r="BK174" t="s">
        <v>977</v>
      </c>
      <c r="BL174" t="s">
        <v>6210</v>
      </c>
      <c r="BM174" t="s">
        <v>333</v>
      </c>
      <c r="BN174">
        <v>7.24</v>
      </c>
      <c r="BO174">
        <v>9.2899999999999991</v>
      </c>
      <c r="BP174">
        <v>10.61</v>
      </c>
      <c r="BQ174">
        <v>9.31</v>
      </c>
      <c r="BR174">
        <v>11.33</v>
      </c>
      <c r="BS174">
        <v>13.91</v>
      </c>
      <c r="BT174" t="s">
        <v>2032</v>
      </c>
      <c r="BU174" t="s">
        <v>2920</v>
      </c>
      <c r="BV174">
        <v>26.29</v>
      </c>
      <c r="BW174">
        <v>25.06</v>
      </c>
      <c r="BX174">
        <v>25.1</v>
      </c>
      <c r="BY174">
        <v>11.29</v>
      </c>
      <c r="BZ174">
        <v>10.73</v>
      </c>
      <c r="CA174">
        <v>11.65</v>
      </c>
      <c r="CB174">
        <v>0.75</v>
      </c>
      <c r="CC174">
        <v>-6.06</v>
      </c>
      <c r="CD174" t="s">
        <v>6211</v>
      </c>
      <c r="CE174" t="s">
        <v>340</v>
      </c>
      <c r="CF174" s="14">
        <v>1.3250000000000004</v>
      </c>
      <c r="CG174" s="15">
        <v>7.1002084154689795</v>
      </c>
      <c r="CH174" s="14">
        <v>-0.42733991146087646</v>
      </c>
      <c r="CI174" s="14">
        <v>1.2330455938354135E-3</v>
      </c>
      <c r="CJ174" s="14">
        <v>0.15117108821868896</v>
      </c>
      <c r="CK174" s="14">
        <v>0.40618756413459778</v>
      </c>
      <c r="CL174" s="14">
        <v>0.10840708017349243</v>
      </c>
      <c r="CM174" s="15">
        <v>-0.7556452751159668</v>
      </c>
      <c r="CN174" s="15">
        <v>-0.10994764417409897</v>
      </c>
      <c r="CO174" s="15">
        <v>0.14371258020401001</v>
      </c>
      <c r="CP174" s="15">
        <v>0.79337531328201294</v>
      </c>
      <c r="CQ174" s="15">
        <v>-4.1049771010875702E-2</v>
      </c>
      <c r="CR174">
        <v>26.467889453023457</v>
      </c>
      <c r="CS174">
        <v>5.5219925350398</v>
      </c>
      <c r="CT174">
        <v>2.4829298572315333</v>
      </c>
      <c r="CU174" s="14">
        <v>4.7931773331947626E-2</v>
      </c>
      <c r="CV174" s="15">
        <v>6.089040637016296E-3</v>
      </c>
      <c r="CW174">
        <v>0.06</v>
      </c>
      <c r="CX174">
        <v>68.608592999013737</v>
      </c>
      <c r="CY174">
        <v>41067358.720510468</v>
      </c>
      <c r="CZ174">
        <v>4.7931773331947626E-2</v>
      </c>
      <c r="DA174">
        <v>23.23761209354004</v>
      </c>
      <c r="DB174">
        <v>121250569.4930364</v>
      </c>
      <c r="DC174">
        <v>4.553518466535024E-2</v>
      </c>
      <c r="DD174">
        <v>11.990668136765743</v>
      </c>
      <c r="DE174">
        <v>234980542.19020253</v>
      </c>
      <c r="DF174">
        <v>4.2179960532113911E-2</v>
      </c>
      <c r="DG174">
        <v>7.5848115789802444</v>
      </c>
      <c r="DH174">
        <v>371475767.15133303</v>
      </c>
      <c r="DI174">
        <v>3.8345418665558101E-2</v>
      </c>
      <c r="DJ174">
        <v>4.3751898472246022</v>
      </c>
      <c r="DK174">
        <v>643988900.6844641</v>
      </c>
      <c r="DL174">
        <v>3.3552241332363335E-2</v>
      </c>
      <c r="DM174">
        <v>41540300</v>
      </c>
      <c r="DN174">
        <v>4.7931773331947626E-2</v>
      </c>
      <c r="DO174">
        <v>2817573700</v>
      </c>
      <c r="DP174">
        <v>697194200</v>
      </c>
      <c r="DQ174">
        <v>4085</v>
      </c>
      <c r="DR174">
        <v>1.2770682266680529</v>
      </c>
      <c r="DS174">
        <v>7.0941193748319629</v>
      </c>
      <c r="DT174" s="16">
        <v>-0.35666666666666669</v>
      </c>
      <c r="DU174">
        <v>-0.10000000000000002</v>
      </c>
      <c r="DV174">
        <v>-0.45666666666666672</v>
      </c>
      <c r="DW174">
        <v>-2.0606</v>
      </c>
      <c r="DX174">
        <v>0.26094308300395219</v>
      </c>
      <c r="DY174">
        <v>-2.0085411508300397</v>
      </c>
      <c r="DZ174">
        <v>582</v>
      </c>
      <c r="EA174">
        <v>-2.0075683622227829</v>
      </c>
      <c r="EB174">
        <v>2</v>
      </c>
      <c r="EC174">
        <v>0.17140009380750312</v>
      </c>
      <c r="ED174">
        <v>1.2160943989191466</v>
      </c>
      <c r="EE174" s="17">
        <v>2.0590000000000002</v>
      </c>
      <c r="EF174">
        <v>2.0291999999999999</v>
      </c>
      <c r="EG174">
        <v>12.140943083003952</v>
      </c>
      <c r="EH174" t="s">
        <v>1841</v>
      </c>
      <c r="EI174">
        <v>0</v>
      </c>
      <c r="EJ174">
        <v>1</v>
      </c>
      <c r="EK174" s="19">
        <v>45470</v>
      </c>
      <c r="EL174" s="20">
        <v>-0.54</v>
      </c>
      <c r="EM174" s="20">
        <v>-4.32</v>
      </c>
      <c r="EN174" s="20">
        <v>0.88</v>
      </c>
      <c r="EO174" s="20">
        <v>2.36</v>
      </c>
      <c r="EP174" s="20">
        <v>-2.98</v>
      </c>
    </row>
    <row r="175" spans="1:146" ht="84" x14ac:dyDescent="0.25">
      <c r="A175" s="7"/>
      <c r="B175" s="7"/>
      <c r="C175" s="7" t="str">
        <f>""&amp;CHAR(10)&amp;Basic_Fundamental_Information_Constructure(F175)&amp;CHAR(10)&amp;Basic_Fundamental_Information_Concatenate("")</f>
        <v xml:space="preserve">
市值17.297042亿, 利润2395.19万; PE; 平均PE102.15; 平均PEG10.41, PB4.31; ROIC7.21%; ROE-6.5633%; 股利率0%; 毛利13.7%; 净利-2.9667%; 上一年度营收增-35.24%, 利润增162.31%; 当季营收增39.02%, 利润增-221.03%; 过往5年营收增9.81%, 利润增86.43%
Income profile:
</v>
      </c>
      <c r="D175" t="s">
        <v>1323</v>
      </c>
      <c r="E175" t="s">
        <v>1324</v>
      </c>
      <c r="F175">
        <v>4.04</v>
      </c>
      <c r="G175">
        <v>1.25</v>
      </c>
      <c r="H175" t="s">
        <v>6212</v>
      </c>
      <c r="I175">
        <v>1729704200</v>
      </c>
      <c r="K175">
        <v>4.3099999999999996</v>
      </c>
      <c r="L175" t="s">
        <v>172</v>
      </c>
      <c r="M175" t="s">
        <v>2210</v>
      </c>
      <c r="N175" t="s">
        <v>1312</v>
      </c>
      <c r="O175" t="s">
        <v>214</v>
      </c>
      <c r="P175">
        <v>-35.69</v>
      </c>
      <c r="Q175" t="s">
        <v>1852</v>
      </c>
      <c r="R175">
        <v>-12139094</v>
      </c>
      <c r="S175" s="5">
        <v>0.58069999999999999</v>
      </c>
      <c r="T175" t="s">
        <v>6213</v>
      </c>
      <c r="U175">
        <v>428144600</v>
      </c>
      <c r="V175">
        <v>428144600</v>
      </c>
      <c r="W175">
        <v>2.67</v>
      </c>
      <c r="X175">
        <v>0.22</v>
      </c>
      <c r="Y175">
        <v>-4.0599999999999996</v>
      </c>
      <c r="Z175" t="s">
        <v>30</v>
      </c>
      <c r="AA175" t="s">
        <v>100</v>
      </c>
      <c r="AB175" t="s">
        <v>6214</v>
      </c>
      <c r="AC175" t="s">
        <v>6215</v>
      </c>
      <c r="AD175" t="s">
        <v>19</v>
      </c>
      <c r="AE175">
        <v>8701303</v>
      </c>
      <c r="AF175" t="s">
        <v>6216</v>
      </c>
      <c r="AG175">
        <v>1522.57</v>
      </c>
      <c r="AH175" t="s">
        <v>6217</v>
      </c>
      <c r="AI175" t="s">
        <v>6218</v>
      </c>
      <c r="AJ175" t="s">
        <v>6219</v>
      </c>
      <c r="AK175" t="s">
        <v>6220</v>
      </c>
      <c r="AL175" t="s">
        <v>6221</v>
      </c>
      <c r="AM175" t="s">
        <v>19</v>
      </c>
      <c r="AN175" t="s">
        <v>6222</v>
      </c>
      <c r="AO175" t="s">
        <v>900</v>
      </c>
      <c r="AP175" t="s">
        <v>19</v>
      </c>
      <c r="AQ175" t="s">
        <v>329</v>
      </c>
      <c r="AR175" t="s">
        <v>19</v>
      </c>
      <c r="AS175" t="s">
        <v>866</v>
      </c>
      <c r="AT175" t="s">
        <v>73</v>
      </c>
      <c r="AU175" t="s">
        <v>6223</v>
      </c>
      <c r="AV175" t="s">
        <v>6224</v>
      </c>
      <c r="AW175" t="s">
        <v>6225</v>
      </c>
      <c r="AX175" t="s">
        <v>2351</v>
      </c>
      <c r="AY175" t="s">
        <v>1725</v>
      </c>
      <c r="AZ175" t="s">
        <v>90</v>
      </c>
      <c r="BA175" t="s">
        <v>169</v>
      </c>
      <c r="BB175" t="s">
        <v>439</v>
      </c>
      <c r="BC175" t="s">
        <v>2352</v>
      </c>
      <c r="BD175" t="s">
        <v>1767</v>
      </c>
      <c r="BE175" t="s">
        <v>1325</v>
      </c>
      <c r="BF175" t="s">
        <v>1326</v>
      </c>
      <c r="BG175" t="s">
        <v>1327</v>
      </c>
      <c r="BH175" t="s">
        <v>3141</v>
      </c>
      <c r="BI175" t="s">
        <v>2612</v>
      </c>
      <c r="BJ175" t="s">
        <v>2351</v>
      </c>
      <c r="BK175" t="s">
        <v>6226</v>
      </c>
      <c r="BL175" t="s">
        <v>6227</v>
      </c>
      <c r="BM175" t="s">
        <v>2352</v>
      </c>
      <c r="BN175" t="s">
        <v>19</v>
      </c>
      <c r="BO175" t="s">
        <v>19</v>
      </c>
      <c r="BP175">
        <v>7.21</v>
      </c>
      <c r="BQ175">
        <v>-18.48</v>
      </c>
      <c r="BR175">
        <v>-6.72</v>
      </c>
      <c r="BS175">
        <v>5.51</v>
      </c>
      <c r="BT175" t="s">
        <v>1983</v>
      </c>
      <c r="BU175" t="s">
        <v>3032</v>
      </c>
      <c r="BV175">
        <v>4.55</v>
      </c>
      <c r="BW175">
        <v>13.56</v>
      </c>
      <c r="BX175">
        <v>22.99</v>
      </c>
      <c r="BY175">
        <v>-11.56</v>
      </c>
      <c r="BZ175">
        <v>-2.0299999999999998</v>
      </c>
      <c r="CA175">
        <v>4.6900000000000004</v>
      </c>
      <c r="CB175">
        <v>-1.46</v>
      </c>
      <c r="CC175">
        <v>-12.17</v>
      </c>
      <c r="CD175" t="s">
        <v>6228</v>
      </c>
      <c r="CE175" t="s">
        <v>125</v>
      </c>
      <c r="CF175" s="14">
        <v>0.3902439024390244</v>
      </c>
      <c r="CG175" s="15">
        <v>-2.2102785643070786</v>
      </c>
      <c r="CH175" s="14">
        <v>-0.35241499543190002</v>
      </c>
      <c r="CI175" s="14">
        <v>0.28604289889335632</v>
      </c>
      <c r="CJ175" s="14">
        <v>0.33606556057929993</v>
      </c>
      <c r="CK175" s="14">
        <v>0.19461444020271301</v>
      </c>
      <c r="CL175" s="14">
        <v>2.6381909847259521E-2</v>
      </c>
      <c r="CM175" s="15">
        <v>1.6231129169464111</v>
      </c>
      <c r="CN175" s="15">
        <v>-2.1530876159667969</v>
      </c>
      <c r="CO175" s="15">
        <v>-0.44590586423873901</v>
      </c>
      <c r="CP175" s="15">
        <v>5.6248264312744141</v>
      </c>
      <c r="CQ175" s="15">
        <v>-0.32769215106964111</v>
      </c>
      <c r="CR175">
        <v>102.14738313295702</v>
      </c>
      <c r="CS175">
        <v>10.408549372707165</v>
      </c>
      <c r="CT175">
        <v>0</v>
      </c>
      <c r="CU175" s="14">
        <v>9.8137962818145755E-2</v>
      </c>
      <c r="CV175" s="15">
        <v>0.86425074338912966</v>
      </c>
      <c r="CW175">
        <v>0.06</v>
      </c>
      <c r="CX175">
        <v>87.963778065172548</v>
      </c>
      <c r="CY175">
        <v>24813670.444928251</v>
      </c>
      <c r="CZ175">
        <v>9.8137962818145755E-2</v>
      </c>
      <c r="DA175">
        <v>28.548515516260494</v>
      </c>
      <c r="DB175">
        <v>76455961.388142526</v>
      </c>
      <c r="DC175">
        <v>9.3231064677238462E-2</v>
      </c>
      <c r="DD175">
        <v>13.924574227799356</v>
      </c>
      <c r="DE175">
        <v>156751952.64803118</v>
      </c>
      <c r="DF175">
        <v>8.6361407279968258E-2</v>
      </c>
      <c r="DG175">
        <v>8.2749735488280312</v>
      </c>
      <c r="DH175">
        <v>263771743.45277905</v>
      </c>
      <c r="DI175">
        <v>7.8510370254516612E-2</v>
      </c>
      <c r="DJ175">
        <v>4.1771800516736626</v>
      </c>
      <c r="DK175">
        <v>522530552.42985284</v>
      </c>
      <c r="DL175">
        <v>6.8696573972702027E-2</v>
      </c>
      <c r="DM175">
        <v>23951900</v>
      </c>
      <c r="DN175">
        <v>9.8137962818145755E-2</v>
      </c>
      <c r="DO175">
        <v>2182704200</v>
      </c>
      <c r="DP175">
        <v>-91231450</v>
      </c>
      <c r="DQ175">
        <v>4100</v>
      </c>
      <c r="DR175">
        <v>0.29210593962087866</v>
      </c>
      <c r="DS175">
        <v>-3.0745293076962081</v>
      </c>
      <c r="DT175" s="16">
        <v>-0.20666666666666669</v>
      </c>
      <c r="DU175">
        <v>-1.1166666666666667</v>
      </c>
      <c r="DV175">
        <v>-1.3233333333333335</v>
      </c>
      <c r="DW175">
        <v>-2.1217000000000001</v>
      </c>
      <c r="DX175">
        <v>0.30969624999999895</v>
      </c>
      <c r="DY175">
        <v>-2.0133500336250001</v>
      </c>
      <c r="DZ175">
        <v>4331</v>
      </c>
      <c r="EA175">
        <v>-2.0020351616817758</v>
      </c>
      <c r="EB175">
        <v>2</v>
      </c>
      <c r="EC175">
        <v>4.0994094051402259E-2</v>
      </c>
      <c r="ED175">
        <v>0.37370551911667227</v>
      </c>
      <c r="EE175" s="17">
        <v>5.7709999999999997E-2</v>
      </c>
      <c r="EF175">
        <v>7.4209999999999998E-2</v>
      </c>
      <c r="EG175">
        <v>20.109696249999999</v>
      </c>
      <c r="EH175">
        <v>-1</v>
      </c>
      <c r="EI175">
        <v>0</v>
      </c>
      <c r="EJ175">
        <v>0</v>
      </c>
      <c r="EK175" s="19">
        <v>45470</v>
      </c>
      <c r="EL175" s="20">
        <v>0</v>
      </c>
      <c r="EM175" s="20">
        <v>-3.95</v>
      </c>
      <c r="EN175" s="20">
        <v>2.83</v>
      </c>
      <c r="EO175" s="20">
        <v>5.75</v>
      </c>
      <c r="EP175" s="20">
        <v>-1.65</v>
      </c>
    </row>
    <row r="176" spans="1:146" ht="84" x14ac:dyDescent="0.25">
      <c r="A176" s="7"/>
      <c r="B176" s="7"/>
      <c r="C176" s="7" t="str">
        <f>""&amp;CHAR(10)&amp;Basic_Fundamental_Information_Constructure(F176)&amp;CHAR(10)&amp;Basic_Fundamental_Information_Concatenate("")</f>
        <v xml:space="preserve">
市值74.441076亿, 利润1.48亿; PE67.7; 平均PE58.54; 平均PEG3.82, PB2.31; ROIC3.95%; ROE4.5267%; 股利率0%; 毛利17.3133%; 净利2.63%; 上一年度营收增-72.72%, 利润增-37.82%; 当季营收增324.07%, 利润增74.54%; 过往5年营收增15.33%, 利润增19.57%
Income profile:
</v>
      </c>
      <c r="D176" t="s">
        <v>1328</v>
      </c>
      <c r="E176" t="s">
        <v>1329</v>
      </c>
      <c r="F176">
        <v>28.19</v>
      </c>
      <c r="G176">
        <v>2.4</v>
      </c>
      <c r="H176" t="s">
        <v>6229</v>
      </c>
      <c r="I176">
        <v>7444107600</v>
      </c>
      <c r="J176">
        <v>67.7</v>
      </c>
      <c r="K176">
        <v>2.31</v>
      </c>
      <c r="L176" t="s">
        <v>172</v>
      </c>
      <c r="M176" t="s">
        <v>6230</v>
      </c>
      <c r="N176" t="s">
        <v>2206</v>
      </c>
      <c r="O176" t="s">
        <v>6231</v>
      </c>
      <c r="P176">
        <v>16.329999999999998</v>
      </c>
      <c r="Q176" t="s">
        <v>2071</v>
      </c>
      <c r="R176">
        <v>62062508</v>
      </c>
      <c r="S176" s="5">
        <v>23.44</v>
      </c>
      <c r="T176" t="s">
        <v>28</v>
      </c>
      <c r="U176">
        <v>264069090</v>
      </c>
      <c r="V176">
        <v>264069090</v>
      </c>
      <c r="W176">
        <v>2.4500000000000002</v>
      </c>
      <c r="X176">
        <v>0.19</v>
      </c>
      <c r="Y176">
        <v>4.1900000000000004</v>
      </c>
      <c r="Z176" t="s">
        <v>2130</v>
      </c>
      <c r="AA176" t="s">
        <v>2885</v>
      </c>
      <c r="AB176" t="s">
        <v>6232</v>
      </c>
      <c r="AC176" t="s">
        <v>6233</v>
      </c>
      <c r="AD176" t="s">
        <v>19</v>
      </c>
      <c r="AE176">
        <v>20798283</v>
      </c>
      <c r="AF176" t="s">
        <v>21</v>
      </c>
      <c r="AG176" t="s">
        <v>6234</v>
      </c>
      <c r="AH176" t="s">
        <v>6235</v>
      </c>
      <c r="AI176" t="s">
        <v>644</v>
      </c>
      <c r="AJ176" t="s">
        <v>6236</v>
      </c>
      <c r="AK176" t="s">
        <v>6237</v>
      </c>
      <c r="AL176" t="s">
        <v>6238</v>
      </c>
      <c r="AM176" t="s">
        <v>19</v>
      </c>
      <c r="AN176" t="s">
        <v>2693</v>
      </c>
      <c r="AO176" t="s">
        <v>489</v>
      </c>
      <c r="AP176" t="s">
        <v>19</v>
      </c>
      <c r="AQ176" t="s">
        <v>2776</v>
      </c>
      <c r="AR176" t="s">
        <v>19</v>
      </c>
      <c r="AS176" t="s">
        <v>6239</v>
      </c>
      <c r="AT176" t="s">
        <v>2754</v>
      </c>
      <c r="AU176" t="s">
        <v>6240</v>
      </c>
      <c r="AV176" t="s">
        <v>1285</v>
      </c>
      <c r="AW176" t="s">
        <v>347</v>
      </c>
      <c r="AX176" t="s">
        <v>2353</v>
      </c>
      <c r="AY176" t="s">
        <v>1768</v>
      </c>
      <c r="AZ176" t="s">
        <v>1330</v>
      </c>
      <c r="BA176" t="s">
        <v>1333</v>
      </c>
      <c r="BB176" t="s">
        <v>1334</v>
      </c>
      <c r="BC176" t="s">
        <v>322</v>
      </c>
      <c r="BD176" t="s">
        <v>1769</v>
      </c>
      <c r="BE176" t="s">
        <v>1331</v>
      </c>
      <c r="BF176" t="s">
        <v>1335</v>
      </c>
      <c r="BG176" t="s">
        <v>632</v>
      </c>
      <c r="BH176" t="s">
        <v>6241</v>
      </c>
      <c r="BI176" t="s">
        <v>411</v>
      </c>
      <c r="BJ176" t="s">
        <v>2353</v>
      </c>
      <c r="BK176" t="s">
        <v>6242</v>
      </c>
      <c r="BL176" t="s">
        <v>6243</v>
      </c>
      <c r="BM176" t="s">
        <v>322</v>
      </c>
      <c r="BN176">
        <v>2.0099999999999998</v>
      </c>
      <c r="BO176">
        <v>6.26</v>
      </c>
      <c r="BP176">
        <v>3.58</v>
      </c>
      <c r="BQ176">
        <v>1.59</v>
      </c>
      <c r="BR176">
        <v>8.2899999999999991</v>
      </c>
      <c r="BS176">
        <v>3.7</v>
      </c>
      <c r="BT176" t="s">
        <v>1983</v>
      </c>
      <c r="BU176" t="s">
        <v>3125</v>
      </c>
      <c r="BV176">
        <v>14.97</v>
      </c>
      <c r="BW176">
        <v>18.47</v>
      </c>
      <c r="BX176">
        <v>18.5</v>
      </c>
      <c r="BY176">
        <v>0.99</v>
      </c>
      <c r="BZ176">
        <v>4.54</v>
      </c>
      <c r="CA176">
        <v>2.36</v>
      </c>
      <c r="CB176">
        <v>1.81</v>
      </c>
      <c r="CC176">
        <v>-7.88</v>
      </c>
      <c r="CD176" t="s">
        <v>6244</v>
      </c>
      <c r="CE176" t="s">
        <v>6245</v>
      </c>
      <c r="CF176" s="14">
        <v>3.2406876790830945</v>
      </c>
      <c r="CG176" s="15">
        <v>0.74535859117063097</v>
      </c>
      <c r="CH176" s="14">
        <v>-0.72715103626251221</v>
      </c>
      <c r="CI176" s="14">
        <v>0.27188718318939209</v>
      </c>
      <c r="CJ176" s="14">
        <v>0.57971566915512085</v>
      </c>
      <c r="CK176" s="14">
        <v>0.69245779514312744</v>
      </c>
      <c r="CL176" s="14">
        <v>-5.0617285072803497E-2</v>
      </c>
      <c r="CM176" s="15">
        <v>-0.37815126776695251</v>
      </c>
      <c r="CN176" s="15">
        <v>1.4493610858917236</v>
      </c>
      <c r="CO176" s="15">
        <v>0.15945865213871002</v>
      </c>
      <c r="CP176" s="15">
        <v>0.17977608740329742</v>
      </c>
      <c r="CQ176" s="15">
        <v>-0.43172404170036316</v>
      </c>
      <c r="CR176">
        <v>58.537623286795998</v>
      </c>
      <c r="CS176">
        <v>3.8195360496902464</v>
      </c>
      <c r="CT176">
        <v>0</v>
      </c>
      <c r="CU176" s="14">
        <v>0.15325846523046494</v>
      </c>
      <c r="CV176" s="15">
        <v>0.19574410319328309</v>
      </c>
      <c r="CW176">
        <v>0.06</v>
      </c>
      <c r="CX176">
        <v>54.01225904769322</v>
      </c>
      <c r="CY176">
        <v>161020993.2585932</v>
      </c>
      <c r="CZ176">
        <v>0.15325846523046494</v>
      </c>
      <c r="DA176">
        <v>16.736645627521987</v>
      </c>
      <c r="DB176">
        <v>519644604.63322163</v>
      </c>
      <c r="DC176">
        <v>0.14559554196894167</v>
      </c>
      <c r="DD176">
        <v>7.6608814179101286</v>
      </c>
      <c r="DE176">
        <v>1135262005.1874595</v>
      </c>
      <c r="DF176">
        <v>0.13486744940280915</v>
      </c>
      <c r="DG176">
        <v>4.2282461819591886</v>
      </c>
      <c r="DH176">
        <v>2056906628.8307111</v>
      </c>
      <c r="DI176">
        <v>0.12260677218437195</v>
      </c>
      <c r="DJ176">
        <v>1.8006305931444608</v>
      </c>
      <c r="DK176">
        <v>4830034340.8095417</v>
      </c>
      <c r="DL176">
        <v>0.10728092566132545</v>
      </c>
      <c r="DM176">
        <v>148000000</v>
      </c>
      <c r="DN176">
        <v>0.15325846523046494</v>
      </c>
      <c r="DO176">
        <v>8697107600</v>
      </c>
      <c r="DP176">
        <v>-775407200</v>
      </c>
      <c r="DQ176">
        <v>4108</v>
      </c>
      <c r="DR176">
        <v>3.0874292138526296</v>
      </c>
      <c r="DS176">
        <v>0.54961448797734791</v>
      </c>
      <c r="DT176" s="16">
        <v>-0.25666666666666665</v>
      </c>
      <c r="DU176">
        <v>0.5033333333333333</v>
      </c>
      <c r="DV176">
        <v>0.24666666666666665</v>
      </c>
      <c r="DW176">
        <v>-2.0788000000000002</v>
      </c>
      <c r="DX176">
        <v>0.50441671791347642</v>
      </c>
      <c r="DY176">
        <v>-2.0224120373715819</v>
      </c>
      <c r="DZ176">
        <v>1276</v>
      </c>
      <c r="EA176">
        <v>-2.0168156069046272</v>
      </c>
      <c r="EB176">
        <v>2</v>
      </c>
      <c r="EC176">
        <v>0.10516906768603626</v>
      </c>
      <c r="ED176">
        <v>0.36977103227038044</v>
      </c>
      <c r="EE176" s="17">
        <v>7.6209999999999986E-2</v>
      </c>
      <c r="EF176">
        <v>0.10401000000000001</v>
      </c>
      <c r="EG176">
        <v>22.284416717913476</v>
      </c>
      <c r="EH176">
        <v>-1</v>
      </c>
      <c r="EI176">
        <v>0</v>
      </c>
      <c r="EJ176">
        <v>1</v>
      </c>
      <c r="EK176" s="19">
        <v>45470</v>
      </c>
      <c r="EL176" s="20">
        <v>0.59</v>
      </c>
      <c r="EM176" s="20">
        <v>-3.71</v>
      </c>
      <c r="EN176" s="20">
        <v>0.57999999999999996</v>
      </c>
      <c r="EO176" s="20">
        <v>1.72</v>
      </c>
      <c r="EP176" s="20">
        <v>-2.78</v>
      </c>
    </row>
    <row r="177" spans="1:146" ht="84" x14ac:dyDescent="0.25">
      <c r="A177" s="7"/>
      <c r="B177" s="7"/>
      <c r="C177" s="7" t="str">
        <f>""&amp;CHAR(10)&amp;Basic_Fundamental_Information_Constructure(F177)&amp;CHAR(10)&amp;Basic_Fundamental_Information_Concatenate("")</f>
        <v xml:space="preserve">
市值129.692416亿, 利润-3.15亿; PE35.56; 平均PE87.04; 平均PEG7.46, PB3.69; ROIC8.6667%; ROE9.6233%; 股利率1.1848%; 毛利15.7233%; 净利6.5867%; 上一年度营收增-83.94%, 利润增-221.15%; 当季营收增763.75%, 利润增2518.65%; 过往5年营收增-11.67%, 利润增-33.93%
Income profile:
</v>
      </c>
      <c r="D177" t="s">
        <v>1336</v>
      </c>
      <c r="E177" t="s">
        <v>1337</v>
      </c>
      <c r="F177">
        <v>29.54</v>
      </c>
      <c r="G177">
        <v>2.5299999999999998</v>
      </c>
      <c r="H177" t="s">
        <v>6246</v>
      </c>
      <c r="I177">
        <v>12969241600</v>
      </c>
      <c r="J177">
        <v>35.56</v>
      </c>
      <c r="K177">
        <v>3.69</v>
      </c>
      <c r="L177" t="s">
        <v>172</v>
      </c>
      <c r="M177" t="s">
        <v>2745</v>
      </c>
      <c r="N177" t="s">
        <v>6247</v>
      </c>
      <c r="O177" t="s">
        <v>2770</v>
      </c>
      <c r="P177">
        <v>29.07</v>
      </c>
      <c r="Q177" t="s">
        <v>718</v>
      </c>
      <c r="R177">
        <v>160127890</v>
      </c>
      <c r="S177" s="5">
        <v>0.33429999999999999</v>
      </c>
      <c r="T177" t="s">
        <v>6248</v>
      </c>
      <c r="U177">
        <v>439040000</v>
      </c>
      <c r="V177">
        <v>439040000</v>
      </c>
      <c r="W177">
        <v>1.72</v>
      </c>
      <c r="X177">
        <v>0.2</v>
      </c>
      <c r="Y177">
        <v>12.1</v>
      </c>
      <c r="Z177" t="s">
        <v>2322</v>
      </c>
      <c r="AA177" t="s">
        <v>2364</v>
      </c>
      <c r="AB177" t="s">
        <v>6249</v>
      </c>
      <c r="AC177" t="s">
        <v>6250</v>
      </c>
      <c r="AD177" t="s">
        <v>19</v>
      </c>
      <c r="AE177">
        <v>689271</v>
      </c>
      <c r="AF177" t="s">
        <v>6251</v>
      </c>
      <c r="AG177" t="s">
        <v>6252</v>
      </c>
      <c r="AH177" t="s">
        <v>6253</v>
      </c>
      <c r="AI177" t="s">
        <v>1589</v>
      </c>
      <c r="AJ177" t="s">
        <v>6254</v>
      </c>
      <c r="AK177" t="s">
        <v>6255</v>
      </c>
      <c r="AL177" t="s">
        <v>6256</v>
      </c>
      <c r="AM177" t="s">
        <v>19</v>
      </c>
      <c r="AN177" t="s">
        <v>1303</v>
      </c>
      <c r="AO177" t="s">
        <v>55</v>
      </c>
      <c r="AP177" t="s">
        <v>2910</v>
      </c>
      <c r="AQ177" t="s">
        <v>2332</v>
      </c>
      <c r="AR177" t="s">
        <v>6257</v>
      </c>
      <c r="AS177" t="s">
        <v>6258</v>
      </c>
      <c r="AT177" t="s">
        <v>1212</v>
      </c>
      <c r="AU177" t="s">
        <v>52</v>
      </c>
      <c r="AV177" t="s">
        <v>6259</v>
      </c>
      <c r="AW177" t="s">
        <v>6260</v>
      </c>
      <c r="AX177" t="s">
        <v>2093</v>
      </c>
      <c r="AY177" t="s">
        <v>1770</v>
      </c>
      <c r="AZ177" t="s">
        <v>1338</v>
      </c>
      <c r="BA177" t="s">
        <v>1339</v>
      </c>
      <c r="BB177" t="s">
        <v>1340</v>
      </c>
      <c r="BC177" t="s">
        <v>153</v>
      </c>
      <c r="BD177" t="s">
        <v>109</v>
      </c>
      <c r="BE177" t="s">
        <v>827</v>
      </c>
      <c r="BF177" t="s">
        <v>127</v>
      </c>
      <c r="BG177" t="s">
        <v>1067</v>
      </c>
      <c r="BH177" t="s">
        <v>6261</v>
      </c>
      <c r="BI177" t="s">
        <v>125</v>
      </c>
      <c r="BJ177" t="s">
        <v>2093</v>
      </c>
      <c r="BK177" t="s">
        <v>116</v>
      </c>
      <c r="BL177" t="s">
        <v>6262</v>
      </c>
      <c r="BM177" t="s">
        <v>153</v>
      </c>
      <c r="BN177">
        <v>7.64</v>
      </c>
      <c r="BO177">
        <v>7.13</v>
      </c>
      <c r="BP177">
        <v>11.23</v>
      </c>
      <c r="BQ177">
        <v>8.07</v>
      </c>
      <c r="BR177">
        <v>8.44</v>
      </c>
      <c r="BS177">
        <v>12.36</v>
      </c>
      <c r="BT177" t="s">
        <v>1998</v>
      </c>
      <c r="BU177" t="s">
        <v>3125</v>
      </c>
      <c r="BV177">
        <v>15.17</v>
      </c>
      <c r="BW177">
        <v>14.76</v>
      </c>
      <c r="BX177">
        <v>17.239999999999998</v>
      </c>
      <c r="BY177">
        <v>6.95</v>
      </c>
      <c r="BZ177">
        <v>5.0599999999999996</v>
      </c>
      <c r="CA177">
        <v>7.75</v>
      </c>
      <c r="CB177">
        <v>2.39</v>
      </c>
      <c r="CC177">
        <v>-1.37</v>
      </c>
      <c r="CD177" t="s">
        <v>6263</v>
      </c>
      <c r="CE177" t="s">
        <v>6264</v>
      </c>
      <c r="CF177" s="14">
        <v>7.6375000000000002</v>
      </c>
      <c r="CG177" s="15">
        <v>25.186510000163533</v>
      </c>
      <c r="CH177" s="14">
        <v>-0.83943438529968262</v>
      </c>
      <c r="CI177" s="14">
        <v>9.4551533460617065E-2</v>
      </c>
      <c r="CJ177" s="14">
        <v>0.14102564752101898</v>
      </c>
      <c r="CK177" s="14">
        <v>-1.0531294159591198E-2</v>
      </c>
      <c r="CL177" s="14">
        <v>3.1095722690224648E-2</v>
      </c>
      <c r="CM177" s="15">
        <v>-2.211538553237915</v>
      </c>
      <c r="CN177" s="15">
        <v>-0.27374300360679626</v>
      </c>
      <c r="CO177" s="15">
        <v>0.56331878900527954</v>
      </c>
      <c r="CP177" s="15">
        <v>0.46794870495796204</v>
      </c>
      <c r="CQ177" s="15">
        <v>-0.24271844327449799</v>
      </c>
      <c r="CR177">
        <v>87.041889932885908</v>
      </c>
      <c r="CS177">
        <v>7.4612521829525615</v>
      </c>
      <c r="CT177">
        <v>1.1848341232227488</v>
      </c>
      <c r="CU177" s="14">
        <v>-0.11665855515748262</v>
      </c>
      <c r="CV177" s="15">
        <v>-0.33934650123119353</v>
      </c>
      <c r="CW177">
        <v>0.06</v>
      </c>
      <c r="CX177" t="e">
        <v>#VALUE!</v>
      </c>
      <c r="CY177" t="s">
        <v>1835</v>
      </c>
      <c r="CZ177">
        <v>-0.11665855515748262</v>
      </c>
      <c r="DA177" t="e">
        <v>#VALUE!</v>
      </c>
      <c r="DB177" t="s">
        <v>1835</v>
      </c>
      <c r="DC177">
        <v>-0.11082562739960848</v>
      </c>
      <c r="DD177" t="e">
        <v>#VALUE!</v>
      </c>
      <c r="DE177" t="s">
        <v>1835</v>
      </c>
      <c r="DF177">
        <v>-0.1026595285385847</v>
      </c>
      <c r="DG177" t="e">
        <v>#VALUE!</v>
      </c>
      <c r="DH177" t="s">
        <v>1835</v>
      </c>
      <c r="DI177">
        <v>-9.3326844125986103E-2</v>
      </c>
      <c r="DJ177" t="e">
        <v>#VALUE!</v>
      </c>
      <c r="DK177" t="s">
        <v>1835</v>
      </c>
      <c r="DL177">
        <v>-8.1660988610237836E-2</v>
      </c>
      <c r="DM177">
        <v>-315000000</v>
      </c>
      <c r="DN177">
        <v>-0.11665855515748262</v>
      </c>
      <c r="DO177">
        <v>12061241600</v>
      </c>
      <c r="DP177">
        <v>1251071000</v>
      </c>
      <c r="DQ177">
        <v>4115</v>
      </c>
      <c r="DR177">
        <v>7.754158555157483</v>
      </c>
      <c r="DS177">
        <v>25.525856501394728</v>
      </c>
      <c r="DT177" s="16">
        <v>-0.77333333333333332</v>
      </c>
      <c r="DU177">
        <v>-0.97000000000000008</v>
      </c>
      <c r="DV177">
        <v>-1.7433333333333334</v>
      </c>
      <c r="DW177">
        <v>-1.37E-2</v>
      </c>
      <c r="DX177">
        <v>0.42573230842903897</v>
      </c>
      <c r="DY177">
        <v>-2.2705326254778436E-3</v>
      </c>
      <c r="DZ177">
        <v>4226</v>
      </c>
      <c r="EA177">
        <v>-3.9278881427053108E-4</v>
      </c>
      <c r="EB177">
        <v>0</v>
      </c>
      <c r="EC177">
        <v>2.7432124635568517E-2</v>
      </c>
      <c r="ED177">
        <v>0.16552068148688046</v>
      </c>
      <c r="EE177" s="17">
        <v>1.0298</v>
      </c>
      <c r="EF177">
        <v>1.0012000000000001</v>
      </c>
      <c r="EG177">
        <v>26.165732308429039</v>
      </c>
      <c r="EH177" t="s">
        <v>1832</v>
      </c>
      <c r="EI177">
        <v>0</v>
      </c>
      <c r="EJ177">
        <v>0</v>
      </c>
      <c r="EK177" s="19">
        <v>45470</v>
      </c>
      <c r="EL177" s="20">
        <v>9.9700000000000006</v>
      </c>
      <c r="EM177" s="20">
        <v>-2.94</v>
      </c>
      <c r="EN177" s="20">
        <v>-2.02</v>
      </c>
      <c r="EO177" s="20">
        <v>-0.77</v>
      </c>
      <c r="EP177" s="20">
        <v>-2.86</v>
      </c>
    </row>
    <row r="178" spans="1:146" ht="84" x14ac:dyDescent="0.25">
      <c r="A178" s="7"/>
      <c r="B178" s="7"/>
      <c r="C178" s="7" t="str">
        <f>""&amp;CHAR(10)&amp;Basic_Fundamental_Information_Constructure(F178)&amp;CHAR(10)&amp;Basic_Fundamental_Information_Concatenate("")</f>
        <v xml:space="preserve">
市值25.602812亿, 利润12.48亿; PE97.72; 平均PE10.29; 平均PEG.05, PB1.6; ROIC-.03%; ROE-2.2833%; 股利率.6868%; 毛利25.0267%; 净利-7.1167%; 上一年度营收增1055.35%, 利润增1288.57%; 当季营收增-95.74%, 利润增-99.05%; 过往5年营收增198.41%, 利润增13.87%
Income profile:
</v>
      </c>
      <c r="D178" t="s">
        <v>1342</v>
      </c>
      <c r="E178" t="s">
        <v>1343</v>
      </c>
      <c r="F178">
        <v>7.28</v>
      </c>
      <c r="G178">
        <v>0.97</v>
      </c>
      <c r="H178" t="s">
        <v>6265</v>
      </c>
      <c r="I178">
        <v>2560281200</v>
      </c>
      <c r="J178">
        <v>97.72</v>
      </c>
      <c r="K178">
        <v>1.6</v>
      </c>
      <c r="L178" t="s">
        <v>172</v>
      </c>
      <c r="M178" t="s">
        <v>545</v>
      </c>
      <c r="N178" t="s">
        <v>6266</v>
      </c>
      <c r="O178" t="s">
        <v>155</v>
      </c>
      <c r="P178">
        <v>9.6999999999999993</v>
      </c>
      <c r="Q178" t="s">
        <v>6267</v>
      </c>
      <c r="R178">
        <v>11769428</v>
      </c>
      <c r="S178" s="5">
        <v>0.34639999999999999</v>
      </c>
      <c r="T178" t="s">
        <v>2797</v>
      </c>
      <c r="U178">
        <v>349755270</v>
      </c>
      <c r="V178">
        <v>351686980</v>
      </c>
      <c r="W178">
        <v>1.1299999999999999</v>
      </c>
      <c r="X178">
        <v>7.0000000000000007E-2</v>
      </c>
      <c r="Y178">
        <v>9.2100000000000009</v>
      </c>
      <c r="Z178" t="s">
        <v>391</v>
      </c>
      <c r="AA178" t="s">
        <v>6268</v>
      </c>
      <c r="AB178" t="s">
        <v>6269</v>
      </c>
      <c r="AC178" t="s">
        <v>6270</v>
      </c>
      <c r="AD178" t="s">
        <v>19</v>
      </c>
      <c r="AE178">
        <v>-2879941</v>
      </c>
      <c r="AF178" t="s">
        <v>6271</v>
      </c>
      <c r="AG178" t="s">
        <v>6272</v>
      </c>
      <c r="AH178" t="s">
        <v>6273</v>
      </c>
      <c r="AI178" t="s">
        <v>145</v>
      </c>
      <c r="AJ178" t="s">
        <v>6274</v>
      </c>
      <c r="AK178" t="s">
        <v>6275</v>
      </c>
      <c r="AL178" t="s">
        <v>6276</v>
      </c>
      <c r="AM178" t="s">
        <v>19</v>
      </c>
      <c r="AN178">
        <v>0</v>
      </c>
      <c r="AO178" t="s">
        <v>6277</v>
      </c>
      <c r="AP178" t="s">
        <v>6278</v>
      </c>
      <c r="AQ178" t="s">
        <v>620</v>
      </c>
      <c r="AR178" t="s">
        <v>19</v>
      </c>
      <c r="AS178" t="s">
        <v>87</v>
      </c>
      <c r="AT178" t="s">
        <v>19</v>
      </c>
      <c r="AU178" t="s">
        <v>6279</v>
      </c>
      <c r="AV178" t="s">
        <v>6280</v>
      </c>
      <c r="AW178" t="s">
        <v>6281</v>
      </c>
      <c r="AX178" t="s">
        <v>855</v>
      </c>
      <c r="AY178" t="s">
        <v>150</v>
      </c>
      <c r="AZ178" t="s">
        <v>802</v>
      </c>
      <c r="BA178" t="s">
        <v>1345</v>
      </c>
      <c r="BB178" t="s">
        <v>1346</v>
      </c>
      <c r="BC178" t="s">
        <v>1898</v>
      </c>
      <c r="BD178" t="s">
        <v>1771</v>
      </c>
      <c r="BE178" t="s">
        <v>1772</v>
      </c>
      <c r="BF178" t="s">
        <v>456</v>
      </c>
      <c r="BG178" t="s">
        <v>526</v>
      </c>
      <c r="BH178" t="s">
        <v>2574</v>
      </c>
      <c r="BI178" t="s">
        <v>2617</v>
      </c>
      <c r="BJ178" t="s">
        <v>855</v>
      </c>
      <c r="BK178" t="s">
        <v>6282</v>
      </c>
      <c r="BL178" t="s">
        <v>4169</v>
      </c>
      <c r="BM178" t="s">
        <v>1898</v>
      </c>
      <c r="BN178">
        <v>-0.03</v>
      </c>
      <c r="BO178" t="s">
        <v>19</v>
      </c>
      <c r="BP178" t="s">
        <v>19</v>
      </c>
      <c r="BQ178">
        <v>0.17</v>
      </c>
      <c r="BR178">
        <v>-6.46</v>
      </c>
      <c r="BS178">
        <v>-0.56000000000000005</v>
      </c>
      <c r="BT178" t="s">
        <v>2002</v>
      </c>
      <c r="BU178" t="s">
        <v>3146</v>
      </c>
      <c r="BV178">
        <v>28.61</v>
      </c>
      <c r="BW178">
        <v>21.61</v>
      </c>
      <c r="BX178">
        <v>24.86</v>
      </c>
      <c r="BY178">
        <v>3.94</v>
      </c>
      <c r="BZ178">
        <v>-21.93</v>
      </c>
      <c r="CA178">
        <v>-3.36</v>
      </c>
      <c r="CB178">
        <v>-13.74</v>
      </c>
      <c r="CC178">
        <v>0.69</v>
      </c>
      <c r="CD178" t="s">
        <v>6283</v>
      </c>
      <c r="CE178" t="s">
        <v>5412</v>
      </c>
      <c r="CF178" s="14">
        <v>-0.95739521995150678</v>
      </c>
      <c r="CG178" s="15">
        <v>-0.99054664417670679</v>
      </c>
      <c r="CH178" s="14">
        <v>10.553459167480469</v>
      </c>
      <c r="CI178" s="14">
        <v>-0.11666666716337204</v>
      </c>
      <c r="CJ178" s="14">
        <v>-0.15887850522994995</v>
      </c>
      <c r="CK178" s="14">
        <v>-0.18112245202064514</v>
      </c>
      <c r="CL178" s="14">
        <v>-0.17647059261798859</v>
      </c>
      <c r="CM178" s="15">
        <v>12.885713577270508</v>
      </c>
      <c r="CN178" s="15">
        <v>-10.125121116638184</v>
      </c>
      <c r="CO178" s="15">
        <v>-1.2146930694580078</v>
      </c>
      <c r="CP178" s="15">
        <v>-0.69471597671508789</v>
      </c>
      <c r="CQ178" s="15">
        <v>-0.15789473056793213</v>
      </c>
      <c r="CR178">
        <v>10.292430507594256</v>
      </c>
      <c r="CS178">
        <v>5.187549152393562E-2</v>
      </c>
      <c r="CT178">
        <v>0.68681318681318682</v>
      </c>
      <c r="CU178" s="14">
        <v>1.9840641900897027</v>
      </c>
      <c r="CV178" s="15">
        <v>0.13865773677825927</v>
      </c>
      <c r="CW178">
        <v>0.06</v>
      </c>
      <c r="CX178">
        <v>0.33936090937408608</v>
      </c>
      <c r="CY178">
        <v>3513313310.5961781</v>
      </c>
      <c r="CZ178">
        <v>1.9840641900897027</v>
      </c>
      <c r="DA178">
        <v>3.1543414447378779E-2</v>
      </c>
      <c r="DB178">
        <v>37798102104.29129</v>
      </c>
      <c r="DC178">
        <v>1.8848609805852174</v>
      </c>
      <c r="DD178">
        <v>1.9472084194415221E-3</v>
      </c>
      <c r="DE178">
        <v>612302816738.00366</v>
      </c>
      <c r="DF178">
        <v>1.7459764872789383</v>
      </c>
      <c r="DG178">
        <v>7.5156458557521026E-5</v>
      </c>
      <c r="DH178">
        <v>15863988576410.729</v>
      </c>
      <c r="DI178">
        <v>1.5872513520717622</v>
      </c>
      <c r="DJ178">
        <v>4.6538096168404087E-8</v>
      </c>
      <c r="DK178">
        <v>2.5619466591103708E+16</v>
      </c>
      <c r="DL178">
        <v>1.3888449330627919</v>
      </c>
      <c r="DM178">
        <v>1248000000</v>
      </c>
      <c r="DN178">
        <v>1.9840641900897027</v>
      </c>
      <c r="DO178">
        <v>1192281200</v>
      </c>
      <c r="DP178">
        <v>778615890</v>
      </c>
      <c r="DQ178">
        <v>4137</v>
      </c>
      <c r="DR178">
        <v>-2.9414594100412095</v>
      </c>
      <c r="DS178">
        <v>-1.1292043809549661</v>
      </c>
      <c r="DT178" s="16">
        <v>-0.49</v>
      </c>
      <c r="DU178">
        <v>-1.8733333333333333</v>
      </c>
      <c r="DV178">
        <v>-2.3633333333333333</v>
      </c>
      <c r="DW178">
        <v>-5.0502183406113534</v>
      </c>
      <c r="DX178">
        <v>0.30224494859038098</v>
      </c>
      <c r="DY178">
        <v>-5.0076454886846697</v>
      </c>
      <c r="DZ178">
        <v>625</v>
      </c>
      <c r="EA178">
        <v>-5.0067103750979927</v>
      </c>
      <c r="EB178">
        <v>5</v>
      </c>
      <c r="EC178">
        <v>0.26103809700319303</v>
      </c>
      <c r="ED178">
        <v>1.7145929030412215</v>
      </c>
      <c r="EE178" s="17">
        <v>-2.0684100000000001</v>
      </c>
      <c r="EF178">
        <v>-2.0744099999999999</v>
      </c>
      <c r="EG178">
        <v>15.152244948590381</v>
      </c>
      <c r="EH178" t="s">
        <v>2497</v>
      </c>
      <c r="EI178">
        <v>0</v>
      </c>
      <c r="EJ178">
        <v>1</v>
      </c>
      <c r="EK178" s="19">
        <v>45470</v>
      </c>
      <c r="EL178" s="20">
        <v>0.66</v>
      </c>
      <c r="EM178" s="20">
        <v>-0.86</v>
      </c>
      <c r="EN178" s="20">
        <v>-0.15</v>
      </c>
      <c r="EO178" s="20">
        <v>1.47</v>
      </c>
      <c r="EP178" s="20">
        <v>-0.6</v>
      </c>
    </row>
    <row r="179" spans="1:146" ht="84" x14ac:dyDescent="0.25">
      <c r="A179" s="7"/>
      <c r="B179" s="7"/>
      <c r="C179" s="7" t="str">
        <f>""&amp;CHAR(10)&amp;Basic_Fundamental_Information_Constructure(F179)&amp;CHAR(10)&amp;Basic_Fundamental_Information_Concatenate("")</f>
        <v xml:space="preserve">
市值25.212388亿, 利润4.94亿; PE23.98; 平均PE13.87; 平均PEG.87, PB1.11; ROIC5.965%; ROE3.7433%; 股利率3.4992%; 毛利19.9467%; 净利5.08%; 上一年度营收增44.83%, 利润增155.96%; 当季营收增-38.52%, 利润增-89.42%; 过往5年营收增15.93%, 利润增123.09%
Income profile:
</v>
      </c>
      <c r="D179" t="s">
        <v>1347</v>
      </c>
      <c r="E179" t="s">
        <v>1348</v>
      </c>
      <c r="F179">
        <v>12.86</v>
      </c>
      <c r="G179">
        <v>-3.31</v>
      </c>
      <c r="H179" t="s">
        <v>6284</v>
      </c>
      <c r="I179">
        <v>2521238800</v>
      </c>
      <c r="J179">
        <v>23.98</v>
      </c>
      <c r="K179">
        <v>1.1100000000000001</v>
      </c>
      <c r="L179" t="s">
        <v>172</v>
      </c>
      <c r="M179" t="s">
        <v>681</v>
      </c>
      <c r="N179" t="s">
        <v>6285</v>
      </c>
      <c r="O179" t="s">
        <v>1407</v>
      </c>
      <c r="P179">
        <v>-18.37</v>
      </c>
      <c r="Q179" t="s">
        <v>2674</v>
      </c>
      <c r="R179">
        <v>17344990</v>
      </c>
      <c r="S179" s="5">
        <v>-0.6179</v>
      </c>
      <c r="T179" t="s">
        <v>374</v>
      </c>
      <c r="U179">
        <v>196052780</v>
      </c>
      <c r="V179">
        <v>196052780</v>
      </c>
      <c r="W179">
        <v>1.17</v>
      </c>
      <c r="X179">
        <v>0.14000000000000001</v>
      </c>
      <c r="Y179">
        <v>4.62</v>
      </c>
      <c r="Z179" t="s">
        <v>112</v>
      </c>
      <c r="AA179" t="s">
        <v>655</v>
      </c>
      <c r="AB179" t="s">
        <v>6286</v>
      </c>
      <c r="AC179" t="s">
        <v>6287</v>
      </c>
      <c r="AD179" t="s">
        <v>19</v>
      </c>
      <c r="AE179">
        <v>5440398</v>
      </c>
      <c r="AF179" t="s">
        <v>6288</v>
      </c>
      <c r="AG179" t="s">
        <v>6289</v>
      </c>
      <c r="AH179" t="s">
        <v>6290</v>
      </c>
      <c r="AI179" t="s">
        <v>1946</v>
      </c>
      <c r="AJ179" t="s">
        <v>6291</v>
      </c>
      <c r="AK179" t="s">
        <v>6292</v>
      </c>
      <c r="AL179" t="s">
        <v>6293</v>
      </c>
      <c r="AM179" t="s">
        <v>19</v>
      </c>
      <c r="AN179" t="s">
        <v>6294</v>
      </c>
      <c r="AO179" t="s">
        <v>2387</v>
      </c>
      <c r="AP179" t="s">
        <v>19</v>
      </c>
      <c r="AQ179" t="s">
        <v>852</v>
      </c>
      <c r="AR179" t="s">
        <v>19</v>
      </c>
      <c r="AS179" t="s">
        <v>352</v>
      </c>
      <c r="AT179" t="s">
        <v>2538</v>
      </c>
      <c r="AU179" t="s">
        <v>6295</v>
      </c>
      <c r="AV179" t="s">
        <v>6296</v>
      </c>
      <c r="AW179" t="s">
        <v>6297</v>
      </c>
      <c r="AX179" t="s">
        <v>2355</v>
      </c>
      <c r="AY179" t="s">
        <v>1037</v>
      </c>
      <c r="AZ179" t="s">
        <v>1349</v>
      </c>
      <c r="BA179" t="s">
        <v>1267</v>
      </c>
      <c r="BB179" t="s">
        <v>768</v>
      </c>
      <c r="BC179" t="s">
        <v>348</v>
      </c>
      <c r="BD179" t="s">
        <v>1773</v>
      </c>
      <c r="BE179" t="s">
        <v>144</v>
      </c>
      <c r="BF179" t="s">
        <v>54</v>
      </c>
      <c r="BG179" t="s">
        <v>1350</v>
      </c>
      <c r="BH179" t="s">
        <v>2680</v>
      </c>
      <c r="BI179" t="s">
        <v>160</v>
      </c>
      <c r="BJ179" t="s">
        <v>2355</v>
      </c>
      <c r="BK179" t="s">
        <v>441</v>
      </c>
      <c r="BL179" t="s">
        <v>207</v>
      </c>
      <c r="BM179" t="s">
        <v>348</v>
      </c>
      <c r="BN179">
        <v>3.78</v>
      </c>
      <c r="BO179">
        <v>8.15</v>
      </c>
      <c r="BP179" t="s">
        <v>19</v>
      </c>
      <c r="BQ179">
        <v>4.51</v>
      </c>
      <c r="BR179">
        <v>9.15</v>
      </c>
      <c r="BS179">
        <v>-2.4300000000000002</v>
      </c>
      <c r="BT179" t="s">
        <v>6298</v>
      </c>
      <c r="BU179" t="s">
        <v>2920</v>
      </c>
      <c r="BV179">
        <v>24.81</v>
      </c>
      <c r="BW179">
        <v>20.63</v>
      </c>
      <c r="BX179">
        <v>14.4</v>
      </c>
      <c r="BY179">
        <v>8.31</v>
      </c>
      <c r="BZ179">
        <v>10.57</v>
      </c>
      <c r="CA179">
        <v>-3.64</v>
      </c>
      <c r="CB179">
        <v>-12.87</v>
      </c>
      <c r="CC179">
        <v>9.5399999999999991</v>
      </c>
      <c r="CD179" t="s">
        <v>65</v>
      </c>
      <c r="CE179" t="s">
        <v>195</v>
      </c>
      <c r="CF179" s="14">
        <v>-0.38524590163934425</v>
      </c>
      <c r="CG179" s="15">
        <v>-0.8942378658536585</v>
      </c>
      <c r="CH179" s="14">
        <v>0.44833242893218994</v>
      </c>
      <c r="CI179" s="14">
        <v>0.31299355626106262</v>
      </c>
      <c r="CJ179" s="14">
        <v>8.2361981272697449E-2</v>
      </c>
      <c r="CK179" s="14">
        <v>-0.20653510093688965</v>
      </c>
      <c r="CL179" s="14">
        <v>0.15939952433109283</v>
      </c>
      <c r="CM179" s="15">
        <v>1.5595854520797729</v>
      </c>
      <c r="CN179" s="15">
        <v>4.805415153503418</v>
      </c>
      <c r="CO179" s="15">
        <v>-1.3111485242843628</v>
      </c>
      <c r="CP179" s="15">
        <v>-0.19704432785511017</v>
      </c>
      <c r="CQ179" s="15">
        <v>1.2977341413497925</v>
      </c>
      <c r="CR179">
        <v>13.870352998498941</v>
      </c>
      <c r="CS179">
        <v>0.87064913589262427</v>
      </c>
      <c r="CT179">
        <v>3.4992223950233283</v>
      </c>
      <c r="CU179" s="14">
        <v>0.15931047797203063</v>
      </c>
      <c r="CV179" s="15">
        <v>1.2309083789587021</v>
      </c>
      <c r="CW179">
        <v>0.06</v>
      </c>
      <c r="CX179">
        <v>1.1516917173380845</v>
      </c>
      <c r="CY179">
        <v>540282430.30017281</v>
      </c>
      <c r="CZ179">
        <v>0.15931047797203063</v>
      </c>
      <c r="DA179">
        <v>0.3550758030529283</v>
      </c>
      <c r="DB179">
        <v>1752411160.2368124</v>
      </c>
      <c r="DC179">
        <v>0.1513449540734291</v>
      </c>
      <c r="DD179">
        <v>0.16138449601309243</v>
      </c>
      <c r="DE179">
        <v>3855629353.3272266</v>
      </c>
      <c r="DF179">
        <v>0.14019322061538694</v>
      </c>
      <c r="DG179">
        <v>8.8325305843378263E-2</v>
      </c>
      <c r="DH179">
        <v>7044853047.0234327</v>
      </c>
      <c r="DI179">
        <v>0.12744838237762451</v>
      </c>
      <c r="DJ179">
        <v>3.6868103520816119E-2</v>
      </c>
      <c r="DK179">
        <v>16877429012.552202</v>
      </c>
      <c r="DL179">
        <v>0.11151733458042143</v>
      </c>
      <c r="DM179">
        <v>494000000.00000006</v>
      </c>
      <c r="DN179">
        <v>0.15931047797203063</v>
      </c>
      <c r="DO179">
        <v>622238800</v>
      </c>
      <c r="DP179">
        <v>1390515200</v>
      </c>
      <c r="DQ179">
        <v>4195</v>
      </c>
      <c r="DR179">
        <v>-0.54455637961137482</v>
      </c>
      <c r="DS179">
        <v>-2.1251462448123606</v>
      </c>
      <c r="DT179" s="16">
        <v>-0.14000000000000001</v>
      </c>
      <c r="DU179">
        <v>-0.32333333333333336</v>
      </c>
      <c r="DV179">
        <v>-0.46333333333333337</v>
      </c>
      <c r="DW179">
        <v>-5.7412587412587408</v>
      </c>
      <c r="DX179">
        <v>0.55283582089552297</v>
      </c>
      <c r="DY179">
        <v>-5.3208433357687088</v>
      </c>
      <c r="DZ179">
        <v>3333</v>
      </c>
      <c r="EA179">
        <v>-5.1115731130452042</v>
      </c>
      <c r="EB179">
        <v>5</v>
      </c>
      <c r="EC179">
        <v>0.59167740442140115</v>
      </c>
      <c r="ED179">
        <v>1.3669788309046167</v>
      </c>
      <c r="EE179" s="17">
        <v>-2.0179</v>
      </c>
      <c r="EF179">
        <v>-2.0122</v>
      </c>
      <c r="EG179">
        <v>12.432835820895523</v>
      </c>
      <c r="EH179" t="s">
        <v>2280</v>
      </c>
      <c r="EI179">
        <v>0</v>
      </c>
      <c r="EJ179">
        <v>0</v>
      </c>
      <c r="EK179" s="19">
        <v>45470</v>
      </c>
      <c r="EL179" s="20">
        <v>0.25</v>
      </c>
      <c r="EM179" s="20">
        <v>-3.03</v>
      </c>
      <c r="EN179" s="20">
        <v>0</v>
      </c>
      <c r="EO179" s="20">
        <v>3.97</v>
      </c>
      <c r="EP179" s="20">
        <v>-0.56999999999999995</v>
      </c>
    </row>
    <row r="180" spans="1:146" ht="84" x14ac:dyDescent="0.25">
      <c r="A180" s="7"/>
      <c r="B180" s="7"/>
      <c r="C180" s="7" t="str">
        <f>""&amp;CHAR(10)&amp;Basic_Fundamental_Information_Constructure(F180)&amp;CHAR(10)&amp;Basic_Fundamental_Information_Concatenate("")</f>
        <v xml:space="preserve">
市值240.2528亿, 利润4804.06万; PE25.86; 平均PE61.29; 平均PEG4, PB4.06; ROIC12.82%; ROE15.88%; 股利率.8584%; 毛利23.0667%; 净利13.3133%; 上一年度营收增-14.46%, 利润增-93.13%; 当季营收增94.36%, 利润增2319.11%; 过往5年营收增15.33%, 利润增7.83%
Income profile:
</v>
      </c>
      <c r="D180" t="s">
        <v>1351</v>
      </c>
      <c r="E180" t="s">
        <v>1352</v>
      </c>
      <c r="F180">
        <v>39.61</v>
      </c>
      <c r="G180">
        <v>-0.48</v>
      </c>
      <c r="H180" t="s">
        <v>6299</v>
      </c>
      <c r="I180">
        <v>24025280000</v>
      </c>
      <c r="J180">
        <v>25.86</v>
      </c>
      <c r="K180">
        <v>4.0599999999999996</v>
      </c>
      <c r="L180" t="s">
        <v>172</v>
      </c>
      <c r="M180" t="s">
        <v>6300</v>
      </c>
      <c r="N180" t="s">
        <v>2219</v>
      </c>
      <c r="O180" t="s">
        <v>6301</v>
      </c>
      <c r="P180">
        <v>24.04</v>
      </c>
      <c r="Q180" t="s">
        <v>6302</v>
      </c>
      <c r="R180">
        <v>209917930</v>
      </c>
      <c r="S180" s="5">
        <v>0.2185</v>
      </c>
      <c r="T180" t="s">
        <v>6303</v>
      </c>
      <c r="U180">
        <v>605217920</v>
      </c>
      <c r="V180">
        <v>606545820</v>
      </c>
      <c r="W180">
        <v>1.74</v>
      </c>
      <c r="X180">
        <v>0.17</v>
      </c>
      <c r="Y180">
        <v>11.31</v>
      </c>
      <c r="Z180" t="s">
        <v>6304</v>
      </c>
      <c r="AA180" t="s">
        <v>6305</v>
      </c>
      <c r="AB180" t="s">
        <v>6306</v>
      </c>
      <c r="AC180" t="s">
        <v>6307</v>
      </c>
      <c r="AD180" t="s">
        <v>19</v>
      </c>
      <c r="AE180">
        <v>-12346512</v>
      </c>
      <c r="AF180" t="s">
        <v>6308</v>
      </c>
      <c r="AG180" t="s">
        <v>6309</v>
      </c>
      <c r="AH180" t="s">
        <v>6310</v>
      </c>
      <c r="AI180" t="s">
        <v>6311</v>
      </c>
      <c r="AJ180" t="s">
        <v>6312</v>
      </c>
      <c r="AK180" t="s">
        <v>592</v>
      </c>
      <c r="AL180" t="s">
        <v>6313</v>
      </c>
      <c r="AM180" t="s">
        <v>19</v>
      </c>
      <c r="AN180" t="s">
        <v>2769</v>
      </c>
      <c r="AO180" t="s">
        <v>700</v>
      </c>
      <c r="AP180" t="s">
        <v>2680</v>
      </c>
      <c r="AQ180" t="s">
        <v>6314</v>
      </c>
      <c r="AR180" t="s">
        <v>19</v>
      </c>
      <c r="AS180" t="s">
        <v>6315</v>
      </c>
      <c r="AT180" t="s">
        <v>2801</v>
      </c>
      <c r="AU180" t="s">
        <v>6316</v>
      </c>
      <c r="AV180" t="s">
        <v>2808</v>
      </c>
      <c r="AW180" t="s">
        <v>6317</v>
      </c>
      <c r="AX180" t="s">
        <v>2356</v>
      </c>
      <c r="AY180" t="s">
        <v>1774</v>
      </c>
      <c r="AZ180" t="s">
        <v>1353</v>
      </c>
      <c r="BA180" t="s">
        <v>1354</v>
      </c>
      <c r="BB180" t="s">
        <v>108</v>
      </c>
      <c r="BC180" t="s">
        <v>1444</v>
      </c>
      <c r="BD180" t="s">
        <v>1313</v>
      </c>
      <c r="BE180" t="s">
        <v>568</v>
      </c>
      <c r="BF180" t="s">
        <v>136</v>
      </c>
      <c r="BG180" t="s">
        <v>129</v>
      </c>
      <c r="BH180" t="s">
        <v>6318</v>
      </c>
      <c r="BI180" t="s">
        <v>6319</v>
      </c>
      <c r="BJ180" t="s">
        <v>2356</v>
      </c>
      <c r="BK180" t="s">
        <v>180</v>
      </c>
      <c r="BL180" t="s">
        <v>6320</v>
      </c>
      <c r="BM180" t="s">
        <v>1444</v>
      </c>
      <c r="BN180">
        <v>10.44</v>
      </c>
      <c r="BO180">
        <v>14.03</v>
      </c>
      <c r="BP180">
        <v>13.99</v>
      </c>
      <c r="BQ180">
        <v>13.32</v>
      </c>
      <c r="BR180">
        <v>18.11</v>
      </c>
      <c r="BS180">
        <v>16.21</v>
      </c>
      <c r="BT180" t="s">
        <v>6321</v>
      </c>
      <c r="BU180" t="s">
        <v>2920</v>
      </c>
      <c r="BV180">
        <v>22.57</v>
      </c>
      <c r="BW180">
        <v>22.44</v>
      </c>
      <c r="BX180">
        <v>24.19</v>
      </c>
      <c r="BY180">
        <v>12.19</v>
      </c>
      <c r="BZ180">
        <v>12.65</v>
      </c>
      <c r="CA180">
        <v>15.1</v>
      </c>
      <c r="CB180">
        <v>1.83</v>
      </c>
      <c r="CC180">
        <v>7.14</v>
      </c>
      <c r="CD180" t="s">
        <v>6322</v>
      </c>
      <c r="CE180" t="s">
        <v>190</v>
      </c>
      <c r="CF180" s="14">
        <v>0.94357366771159901</v>
      </c>
      <c r="CG180" s="15">
        <v>23.191060789397866</v>
      </c>
      <c r="CH180" s="14">
        <v>-0.1446109414100647</v>
      </c>
      <c r="CI180" s="14">
        <v>0.58619695901870728</v>
      </c>
      <c r="CJ180" s="14">
        <v>0.14792904257774353</v>
      </c>
      <c r="CK180" s="14">
        <v>-3.6427009850740433E-2</v>
      </c>
      <c r="CL180" s="14">
        <v>0.21329750120639801</v>
      </c>
      <c r="CM180" s="15">
        <v>-0.93127244710922241</v>
      </c>
      <c r="CN180" s="15">
        <v>0.38415840268135071</v>
      </c>
      <c r="CO180" s="15">
        <v>9.5444686710834503E-2</v>
      </c>
      <c r="CP180" s="15">
        <v>0.14676617085933685</v>
      </c>
      <c r="CQ180" s="15">
        <v>0.69620251655578613</v>
      </c>
      <c r="CR180">
        <v>61.287921645570229</v>
      </c>
      <c r="CS180">
        <v>3.9985045074409906</v>
      </c>
      <c r="CT180">
        <v>0.85836909871244638</v>
      </c>
      <c r="CU180" s="14">
        <v>0.15327711030840874</v>
      </c>
      <c r="CV180" s="15">
        <v>7.825986593961716E-2</v>
      </c>
      <c r="CW180">
        <v>0.06</v>
      </c>
      <c r="CX180">
        <v>429.06294577938667</v>
      </c>
      <c r="CY180">
        <v>52268041.835360512</v>
      </c>
      <c r="CZ180">
        <v>0.15327711030840874</v>
      </c>
      <c r="DA180">
        <v>132.95060966723369</v>
      </c>
      <c r="DB180">
        <v>168681287.40538648</v>
      </c>
      <c r="DC180">
        <v>0.14561325479298828</v>
      </c>
      <c r="DD180">
        <v>60.854291013611082</v>
      </c>
      <c r="DE180">
        <v>368524217.8728857</v>
      </c>
      <c r="DF180">
        <v>0.13488385707139969</v>
      </c>
      <c r="DG180">
        <v>33.586248769919216</v>
      </c>
      <c r="DH180">
        <v>667722083.33327186</v>
      </c>
      <c r="DI180">
        <v>0.12262168824672699</v>
      </c>
      <c r="DJ180">
        <v>14.302080851959735</v>
      </c>
      <c r="DK180">
        <v>1568043156.2465298</v>
      </c>
      <c r="DL180">
        <v>0.10729397721588611</v>
      </c>
      <c r="DM180">
        <v>48040600.000000007</v>
      </c>
      <c r="DN180">
        <v>0.15327711030840874</v>
      </c>
      <c r="DO180">
        <v>22426280000</v>
      </c>
      <c r="DP180">
        <v>3624034000</v>
      </c>
      <c r="DQ180">
        <v>4201</v>
      </c>
      <c r="DR180">
        <v>0.79029655740319027</v>
      </c>
      <c r="DS180">
        <v>23.112800923458249</v>
      </c>
      <c r="DT180" s="16">
        <v>-0.19000000000000003</v>
      </c>
      <c r="DU180">
        <v>1.666666666666668E-2</v>
      </c>
      <c r="DV180">
        <v>-0.17333333333333334</v>
      </c>
      <c r="DW180">
        <v>2.0714000000000001</v>
      </c>
      <c r="DX180">
        <v>0.36131366906474693</v>
      </c>
      <c r="DY180">
        <v>2.0100897959712229</v>
      </c>
      <c r="DZ180">
        <v>4251</v>
      </c>
      <c r="EA180">
        <v>2.0016961124734403</v>
      </c>
      <c r="EB180">
        <v>2</v>
      </c>
      <c r="EC180">
        <v>3.2384362981843648E-2</v>
      </c>
      <c r="ED180">
        <v>0.22916652858971148</v>
      </c>
      <c r="EE180" s="17">
        <v>4.1105999999999998</v>
      </c>
      <c r="EF180">
        <v>4.0975999999999999</v>
      </c>
      <c r="EG180">
        <v>22.141313669064747</v>
      </c>
      <c r="EH180" t="s">
        <v>2248</v>
      </c>
      <c r="EI180">
        <v>1</v>
      </c>
      <c r="EJ180">
        <v>0</v>
      </c>
      <c r="EK180" s="19">
        <v>45470</v>
      </c>
      <c r="EL180" s="20">
        <v>0.08</v>
      </c>
      <c r="EM180" s="20">
        <v>-4.84</v>
      </c>
      <c r="EN180" s="20">
        <v>0.76</v>
      </c>
      <c r="EO180" s="20">
        <v>10.02</v>
      </c>
      <c r="EP180" s="20">
        <v>-1.3</v>
      </c>
    </row>
    <row r="181" spans="1:146" ht="84" x14ac:dyDescent="0.25">
      <c r="A181" s="7"/>
      <c r="B181" s="7"/>
      <c r="C181" s="7" t="str">
        <f>""&amp;CHAR(10)&amp;Basic_Fundamental_Information_Constructure(F181)&amp;CHAR(10)&amp;Basic_Fundamental_Information_Concatenate("")</f>
        <v xml:space="preserve">
市值31.370595亿, 利润5628.68万; PE40.71; 平均PE62.55; 平均PEG1.88, PB1.62; ROIC4.0033%; ROE4.2167%; 股利率.6939%; 毛利26.1467%; 净利6.97%; 上一年度营收增80.13%, 利润增-17.65%; 当季营收增123.65%, 利润增215.68%; 过往5年营收增33.29%, 利润增7.15%
Income profile:
</v>
      </c>
      <c r="D181" t="s">
        <v>1355</v>
      </c>
      <c r="E181" t="s">
        <v>1356</v>
      </c>
      <c r="F181">
        <v>7.35</v>
      </c>
      <c r="G181">
        <v>-0.27</v>
      </c>
      <c r="H181" t="s">
        <v>6323</v>
      </c>
      <c r="I181">
        <v>3137059500</v>
      </c>
      <c r="J181">
        <v>40.71</v>
      </c>
      <c r="K181">
        <v>1.62</v>
      </c>
      <c r="L181" t="s">
        <v>172</v>
      </c>
      <c r="M181" t="s">
        <v>6324</v>
      </c>
      <c r="N181" t="s">
        <v>2755</v>
      </c>
      <c r="O181" t="s">
        <v>120</v>
      </c>
      <c r="P181">
        <v>42.04</v>
      </c>
      <c r="Q181" t="s">
        <v>2351</v>
      </c>
      <c r="R181">
        <v>25192458</v>
      </c>
      <c r="S181" s="5">
        <v>0.252</v>
      </c>
      <c r="T181" t="s">
        <v>6325</v>
      </c>
      <c r="U181">
        <v>426810820</v>
      </c>
      <c r="V181">
        <v>426810820</v>
      </c>
      <c r="W181">
        <v>1.72</v>
      </c>
      <c r="X181">
        <v>0.1</v>
      </c>
      <c r="Y181">
        <v>7.6</v>
      </c>
      <c r="Z181" t="s">
        <v>2886</v>
      </c>
      <c r="AA181" t="s">
        <v>475</v>
      </c>
      <c r="AB181" t="s">
        <v>6326</v>
      </c>
      <c r="AC181" t="s">
        <v>6327</v>
      </c>
      <c r="AD181" t="s">
        <v>19</v>
      </c>
      <c r="AE181">
        <v>6788128</v>
      </c>
      <c r="AF181" t="s">
        <v>21</v>
      </c>
      <c r="AG181" t="s">
        <v>6328</v>
      </c>
      <c r="AH181" t="s">
        <v>6329</v>
      </c>
      <c r="AI181" t="s">
        <v>405</v>
      </c>
      <c r="AJ181" t="s">
        <v>6330</v>
      </c>
      <c r="AK181" t="s">
        <v>6331</v>
      </c>
      <c r="AL181" t="s">
        <v>6332</v>
      </c>
      <c r="AM181" t="s">
        <v>19</v>
      </c>
      <c r="AN181" t="s">
        <v>1189</v>
      </c>
      <c r="AO181" t="s">
        <v>2866</v>
      </c>
      <c r="AP181" t="s">
        <v>6333</v>
      </c>
      <c r="AQ181" t="s">
        <v>592</v>
      </c>
      <c r="AR181" t="s">
        <v>6334</v>
      </c>
      <c r="AS181" t="s">
        <v>2750</v>
      </c>
      <c r="AT181" t="s">
        <v>195</v>
      </c>
      <c r="AU181" t="s">
        <v>6335</v>
      </c>
      <c r="AV181" t="s">
        <v>6336</v>
      </c>
      <c r="AW181" t="s">
        <v>6337</v>
      </c>
      <c r="AX181" t="s">
        <v>851</v>
      </c>
      <c r="AY181" t="s">
        <v>1566</v>
      </c>
      <c r="AZ181" t="s">
        <v>147</v>
      </c>
      <c r="BA181" t="s">
        <v>962</v>
      </c>
      <c r="BB181" t="s">
        <v>91</v>
      </c>
      <c r="BC181" t="s">
        <v>2357</v>
      </c>
      <c r="BD181" t="s">
        <v>1776</v>
      </c>
      <c r="BE181" t="s">
        <v>1357</v>
      </c>
      <c r="BF181" t="s">
        <v>1358</v>
      </c>
      <c r="BG181" t="s">
        <v>1359</v>
      </c>
      <c r="BH181" t="s">
        <v>1945</v>
      </c>
      <c r="BI181" t="s">
        <v>28</v>
      </c>
      <c r="BJ181" t="s">
        <v>851</v>
      </c>
      <c r="BK181" t="s">
        <v>6338</v>
      </c>
      <c r="BL181" t="s">
        <v>6339</v>
      </c>
      <c r="BM181" t="s">
        <v>2357</v>
      </c>
      <c r="BN181">
        <v>3.02</v>
      </c>
      <c r="BO181">
        <v>4.4400000000000004</v>
      </c>
      <c r="BP181">
        <v>4.55</v>
      </c>
      <c r="BQ181">
        <v>3.48</v>
      </c>
      <c r="BR181">
        <v>4.8</v>
      </c>
      <c r="BS181">
        <v>4.37</v>
      </c>
      <c r="BT181" t="s">
        <v>6340</v>
      </c>
      <c r="BU181" t="s">
        <v>3146</v>
      </c>
      <c r="BV181">
        <v>26.42</v>
      </c>
      <c r="BW181">
        <v>25.74</v>
      </c>
      <c r="BX181">
        <v>26.28</v>
      </c>
      <c r="BY181">
        <v>6.61</v>
      </c>
      <c r="BZ181">
        <v>7.34</v>
      </c>
      <c r="CA181">
        <v>6.96</v>
      </c>
      <c r="CB181">
        <v>-7.08</v>
      </c>
      <c r="CC181">
        <v>-11.23</v>
      </c>
      <c r="CD181" t="s">
        <v>6341</v>
      </c>
      <c r="CE181" t="s">
        <v>778</v>
      </c>
      <c r="CF181" s="14">
        <v>1.2364864864864864</v>
      </c>
      <c r="CG181" s="15">
        <v>2.1567953604128971</v>
      </c>
      <c r="CH181" s="14">
        <v>0.80128884315490723</v>
      </c>
      <c r="CI181" s="14">
        <v>0.3571428656578064</v>
      </c>
      <c r="CJ181" s="14">
        <v>0.29678639769554138</v>
      </c>
      <c r="CK181" s="14">
        <v>0.13763441145420074</v>
      </c>
      <c r="CL181" s="14">
        <v>7.1428574621677399E-2</v>
      </c>
      <c r="CM181" s="15">
        <v>-0.17650237679481506</v>
      </c>
      <c r="CN181" s="15">
        <v>0.43218520283699036</v>
      </c>
      <c r="CO181" s="15">
        <v>0.11290694773197174</v>
      </c>
      <c r="CP181" s="15">
        <v>1.364109106361866E-2</v>
      </c>
      <c r="CQ181" s="15">
        <v>-2.4490350857377052E-2</v>
      </c>
      <c r="CR181">
        <v>62.549413498214477</v>
      </c>
      <c r="CS181">
        <v>1.8791721475695509</v>
      </c>
      <c r="CT181">
        <v>0.69387755102040816</v>
      </c>
      <c r="CU181" s="14">
        <v>0.33285621851682662</v>
      </c>
      <c r="CV181" s="15">
        <v>7.1548102796077734E-2</v>
      </c>
      <c r="CW181">
        <v>0.06</v>
      </c>
      <c r="CX181">
        <v>37.471343719741739</v>
      </c>
      <c r="CY181">
        <v>70775671.13246502</v>
      </c>
      <c r="CZ181">
        <v>0.33285621851682662</v>
      </c>
      <c r="DA181">
        <v>10.028963473681584</v>
      </c>
      <c r="DB181">
        <v>264440039.78672802</v>
      </c>
      <c r="DC181">
        <v>0.31621340759098526</v>
      </c>
      <c r="DD181">
        <v>3.7017951790540602</v>
      </c>
      <c r="DE181">
        <v>716425240.11220288</v>
      </c>
      <c r="DF181">
        <v>0.29291347229480741</v>
      </c>
      <c r="DG181">
        <v>1.5603676785552199</v>
      </c>
      <c r="DH181">
        <v>1699637551.1030853</v>
      </c>
      <c r="DI181">
        <v>0.26628497481346131</v>
      </c>
      <c r="DJ181">
        <v>0.33788348715656052</v>
      </c>
      <c r="DK181">
        <v>7849035542.7495365</v>
      </c>
      <c r="DL181">
        <v>0.23299935296177862</v>
      </c>
      <c r="DM181">
        <v>56286800</v>
      </c>
      <c r="DN181">
        <v>0.33285621851682662</v>
      </c>
      <c r="DO181">
        <v>2652059500</v>
      </c>
      <c r="DP181">
        <v>746239400</v>
      </c>
      <c r="DQ181">
        <v>4225</v>
      </c>
      <c r="DR181">
        <v>0.90363026796965973</v>
      </c>
      <c r="DS181">
        <v>2.0852472576168193</v>
      </c>
      <c r="DT181" s="16">
        <v>0.17666666666666667</v>
      </c>
      <c r="DU181">
        <v>-1.6666666666666663E-2</v>
      </c>
      <c r="DV181">
        <v>0.16</v>
      </c>
      <c r="DW181">
        <v>-9.6304541406945674</v>
      </c>
      <c r="DX181">
        <v>0.36762611464968176</v>
      </c>
      <c r="DY181">
        <v>-9.061548788220815</v>
      </c>
      <c r="DZ181">
        <v>3877</v>
      </c>
      <c r="EA181">
        <v>-9.0148512046724587</v>
      </c>
      <c r="EB181">
        <v>9</v>
      </c>
      <c r="EC181">
        <v>7.1822452860965433E-2</v>
      </c>
      <c r="ED181">
        <v>0.73568894059433643</v>
      </c>
      <c r="EE181" s="17">
        <v>-1.0684100000000001</v>
      </c>
      <c r="EF181">
        <v>-1.08731</v>
      </c>
      <c r="EG181">
        <v>27.097626114649682</v>
      </c>
      <c r="EH181" t="s">
        <v>1838</v>
      </c>
      <c r="EI181">
        <v>0</v>
      </c>
      <c r="EJ181">
        <v>0</v>
      </c>
      <c r="EK181" s="19">
        <v>45470</v>
      </c>
      <c r="EL181" s="20">
        <v>-1</v>
      </c>
      <c r="EM181" s="20">
        <v>-4.9000000000000004</v>
      </c>
      <c r="EN181" s="20">
        <v>-0.92</v>
      </c>
      <c r="EO181" s="20">
        <v>6</v>
      </c>
      <c r="EP181" s="20">
        <v>-1.89</v>
      </c>
    </row>
    <row r="182" spans="1:146" ht="84" x14ac:dyDescent="0.25">
      <c r="A182" s="7"/>
      <c r="B182" s="7"/>
      <c r="C182" s="7" t="str">
        <f>""&amp;CHAR(10)&amp;Basic_Fundamental_Information_Constructure(F182)&amp;CHAR(10)&amp;Basic_Fundamental_Information_Concatenate("")</f>
        <v xml:space="preserve">
市值15.0732亿, 利润1130.61万; PE66.81; 平均PE71.22; 平均PEG1.85, PB2.76; ROIC3.0533%; ROE3.28%; 股利率.4923%; 毛利35.8267%; 净利10.55%; 上一年度营收增189.2%, 利润增-26.03%; 当季营收增-49.47%, 利润增262.48%; 过往5年营收增38.44%, 利润增-16.06%
Income profile:
</v>
      </c>
      <c r="D182" t="s">
        <v>1360</v>
      </c>
      <c r="E182" t="s">
        <v>1361</v>
      </c>
      <c r="F182">
        <v>14.22</v>
      </c>
      <c r="G182">
        <v>-0.84</v>
      </c>
      <c r="H182" t="s">
        <v>6342</v>
      </c>
      <c r="I182">
        <v>1507320000</v>
      </c>
      <c r="J182">
        <v>66.81</v>
      </c>
      <c r="K182">
        <v>2.76</v>
      </c>
      <c r="L182" t="s">
        <v>172</v>
      </c>
      <c r="M182" t="s">
        <v>6343</v>
      </c>
      <c r="N182" t="s">
        <v>633</v>
      </c>
      <c r="O182" t="s">
        <v>6344</v>
      </c>
      <c r="P182">
        <v>21.04</v>
      </c>
      <c r="Q182" t="s">
        <v>680</v>
      </c>
      <c r="R182">
        <v>5125092</v>
      </c>
      <c r="S182" s="5">
        <v>0.96970000000000001</v>
      </c>
      <c r="T182" t="s">
        <v>6345</v>
      </c>
      <c r="U182">
        <v>106000000</v>
      </c>
      <c r="V182">
        <v>106000000</v>
      </c>
      <c r="W182">
        <v>1.06</v>
      </c>
      <c r="X182">
        <v>0.08</v>
      </c>
      <c r="Y182">
        <v>10.79</v>
      </c>
      <c r="Z182" t="s">
        <v>6346</v>
      </c>
      <c r="AA182" t="s">
        <v>6347</v>
      </c>
      <c r="AB182" t="s">
        <v>5394</v>
      </c>
      <c r="AC182" t="s">
        <v>6348</v>
      </c>
      <c r="AD182" t="s">
        <v>19</v>
      </c>
      <c r="AE182">
        <v>-206437</v>
      </c>
      <c r="AF182" t="s">
        <v>6349</v>
      </c>
      <c r="AG182">
        <v>5443.33</v>
      </c>
      <c r="AH182" t="s">
        <v>6350</v>
      </c>
      <c r="AI182" t="s">
        <v>6351</v>
      </c>
      <c r="AJ182" t="s">
        <v>6352</v>
      </c>
      <c r="AK182" t="s">
        <v>6353</v>
      </c>
      <c r="AL182" t="s">
        <v>6354</v>
      </c>
      <c r="AM182" t="s">
        <v>19</v>
      </c>
      <c r="AN182">
        <v>0</v>
      </c>
      <c r="AO182" t="s">
        <v>19</v>
      </c>
      <c r="AP182" t="s">
        <v>19</v>
      </c>
      <c r="AQ182" t="s">
        <v>6355</v>
      </c>
      <c r="AR182" t="s">
        <v>19</v>
      </c>
      <c r="AS182" t="s">
        <v>6356</v>
      </c>
      <c r="AT182" t="s">
        <v>19</v>
      </c>
      <c r="AU182" t="s">
        <v>6357</v>
      </c>
      <c r="AV182" t="s">
        <v>6358</v>
      </c>
      <c r="AW182" t="s">
        <v>19</v>
      </c>
      <c r="AX182" t="s">
        <v>102</v>
      </c>
      <c r="AY182" t="s">
        <v>348</v>
      </c>
      <c r="AZ182" t="s">
        <v>241</v>
      </c>
      <c r="BA182" t="s">
        <v>125</v>
      </c>
      <c r="BB182" t="s">
        <v>683</v>
      </c>
      <c r="BC182" t="s">
        <v>2358</v>
      </c>
      <c r="BD182" t="s">
        <v>1777</v>
      </c>
      <c r="BE182" t="s">
        <v>1362</v>
      </c>
      <c r="BF182" t="s">
        <v>1363</v>
      </c>
      <c r="BG182" t="s">
        <v>1364</v>
      </c>
      <c r="BH182" t="s">
        <v>149</v>
      </c>
      <c r="BI182" t="s">
        <v>6359</v>
      </c>
      <c r="BJ182" t="s">
        <v>102</v>
      </c>
      <c r="BK182" t="s">
        <v>6360</v>
      </c>
      <c r="BL182" t="s">
        <v>6361</v>
      </c>
      <c r="BM182" t="s">
        <v>2358</v>
      </c>
      <c r="BN182">
        <v>1.98</v>
      </c>
      <c r="BO182">
        <v>2.54</v>
      </c>
      <c r="BP182">
        <v>4.6399999999999997</v>
      </c>
      <c r="BQ182">
        <v>2.15</v>
      </c>
      <c r="BR182">
        <v>2.9</v>
      </c>
      <c r="BS182">
        <v>4.79</v>
      </c>
      <c r="BT182" t="s">
        <v>2062</v>
      </c>
      <c r="BU182" t="s">
        <v>3125</v>
      </c>
      <c r="BV182">
        <v>33.090000000000003</v>
      </c>
      <c r="BW182">
        <v>34.19</v>
      </c>
      <c r="BX182">
        <v>40.200000000000003</v>
      </c>
      <c r="BY182">
        <v>10.17</v>
      </c>
      <c r="BZ182">
        <v>8.68</v>
      </c>
      <c r="CA182">
        <v>12.8</v>
      </c>
      <c r="CB182">
        <v>-4.05</v>
      </c>
      <c r="CC182">
        <v>-13.4</v>
      </c>
      <c r="CD182" t="s">
        <v>6362</v>
      </c>
      <c r="CE182" t="s">
        <v>6363</v>
      </c>
      <c r="CF182" s="14">
        <v>-0.49473844356660224</v>
      </c>
      <c r="CG182" s="15">
        <v>2.6247953587166726</v>
      </c>
      <c r="CH182" s="14">
        <v>1.8920454978942871</v>
      </c>
      <c r="CI182" s="14">
        <v>-8.8082902133464813E-2</v>
      </c>
      <c r="CJ182" s="14">
        <v>0.14201183617115021</v>
      </c>
      <c r="CK182" s="14">
        <v>5.6249998509883881E-2</v>
      </c>
      <c r="CL182" s="14">
        <v>-8.0459773540496826E-2</v>
      </c>
      <c r="CM182" s="15">
        <v>-0.26031404733657837</v>
      </c>
      <c r="CN182" s="15">
        <v>-0.38210967183113098</v>
      </c>
      <c r="CO182" s="15">
        <v>9.7849339246749878E-2</v>
      </c>
      <c r="CP182" s="15">
        <v>-1.7052369192242622E-2</v>
      </c>
      <c r="CQ182" s="15">
        <v>-0.2411472350358963</v>
      </c>
      <c r="CR182">
        <v>71.216062025612501</v>
      </c>
      <c r="CS182">
        <v>1.8528819793272919</v>
      </c>
      <c r="CT182">
        <v>0.49226441631504919</v>
      </c>
      <c r="CU182" s="14">
        <v>0.38435293138027193</v>
      </c>
      <c r="CV182" s="15">
        <v>-0.16055479682981968</v>
      </c>
      <c r="CW182">
        <v>0.06</v>
      </c>
      <c r="CX182">
        <v>67.904020615644868</v>
      </c>
      <c r="CY182">
        <v>14765691.205168383</v>
      </c>
      <c r="CZ182">
        <v>0.38435293138027193</v>
      </c>
      <c r="DA182">
        <v>17.448551441739983</v>
      </c>
      <c r="DB182">
        <v>57463211.393095158</v>
      </c>
      <c r="DC182">
        <v>0.36513528481125834</v>
      </c>
      <c r="DD182">
        <v>6.0471300832432897</v>
      </c>
      <c r="DE182">
        <v>165805892.41471112</v>
      </c>
      <c r="DF182">
        <v>0.33823057961463932</v>
      </c>
      <c r="DG182">
        <v>2.3468042091642314</v>
      </c>
      <c r="DH182">
        <v>427240498.41255152</v>
      </c>
      <c r="DI182">
        <v>0.30748234510421757</v>
      </c>
      <c r="DJ182">
        <v>0.41039107433049932</v>
      </c>
      <c r="DK182">
        <v>2443156936.6748419</v>
      </c>
      <c r="DL182">
        <v>0.26904705196619033</v>
      </c>
      <c r="DM182">
        <v>11306099.999999998</v>
      </c>
      <c r="DN182">
        <v>0.38435293138027193</v>
      </c>
      <c r="DO182">
        <v>1002649800</v>
      </c>
      <c r="DP182">
        <v>418542380</v>
      </c>
      <c r="DQ182">
        <v>4232</v>
      </c>
      <c r="DR182">
        <v>-0.87909137494687417</v>
      </c>
      <c r="DS182">
        <v>2.7853501555464923</v>
      </c>
      <c r="DT182" s="16">
        <v>-0.14000000000000004</v>
      </c>
      <c r="DU182">
        <v>-0.6366666666666666</v>
      </c>
      <c r="DV182">
        <v>-0.77666666666666662</v>
      </c>
      <c r="DW182">
        <v>-8.3022388059701484</v>
      </c>
      <c r="DX182">
        <v>0.3913723866989709</v>
      </c>
      <c r="DY182">
        <v>-8.0336610571739424</v>
      </c>
      <c r="DZ182">
        <v>3639</v>
      </c>
      <c r="EA182">
        <v>-8.0096899051081945</v>
      </c>
      <c r="EB182">
        <v>8</v>
      </c>
      <c r="EC182">
        <v>2.9445283018867924E-2</v>
      </c>
      <c r="ED182">
        <v>0.26438584905660373</v>
      </c>
      <c r="EE182" s="17">
        <v>-3.0102099999999998</v>
      </c>
      <c r="EF182">
        <v>-3.0355099999999999</v>
      </c>
      <c r="EG182">
        <v>28.111372386698971</v>
      </c>
      <c r="EH182" t="s">
        <v>2845</v>
      </c>
      <c r="EI182">
        <v>0</v>
      </c>
      <c r="EJ182">
        <v>0</v>
      </c>
      <c r="EK182" s="19">
        <v>45470</v>
      </c>
      <c r="EL182" s="20">
        <v>-0.64</v>
      </c>
      <c r="EM182" s="20">
        <v>-5.0199999999999996</v>
      </c>
      <c r="EN182" s="20">
        <v>1.73</v>
      </c>
      <c r="EO182" s="20">
        <v>4.7300000000000004</v>
      </c>
      <c r="EP182" s="20">
        <v>-2.5299999999999998</v>
      </c>
    </row>
    <row r="183" spans="1:146" ht="84" x14ac:dyDescent="0.25">
      <c r="A183" s="7"/>
      <c r="B183" s="7"/>
      <c r="C183" s="7" t="str">
        <f>""&amp;CHAR(10)&amp;Basic_Fundamental_Information_Constructure(F183)&amp;CHAR(10)&amp;Basic_Fundamental_Information_Concatenate("")</f>
        <v xml:space="preserve">
市值26.763459亿, 利润355.90万; PE131.5; 平均PE56.23; 平均PEG6.32, PB3.48; ROIC3.0933%; ROE2.9033%; 股利率.2441%; 毛利19.1%; 净利4.9267%; 上一年度营收增32.93%, 利润增-67.87%; 当季营收增-15.15%, 利润增34.11%; 过往5年营收增8.9%, 利润增-43.18%
Income profile:
</v>
      </c>
      <c r="D183" t="s">
        <v>1365</v>
      </c>
      <c r="E183" t="s">
        <v>1366</v>
      </c>
      <c r="F183">
        <v>10.24</v>
      </c>
      <c r="G183">
        <v>2.5</v>
      </c>
      <c r="H183" t="s">
        <v>6364</v>
      </c>
      <c r="I183">
        <v>2676345900</v>
      </c>
      <c r="J183">
        <v>131.5</v>
      </c>
      <c r="K183">
        <v>3.48</v>
      </c>
      <c r="L183" t="s">
        <v>172</v>
      </c>
      <c r="M183" t="s">
        <v>123</v>
      </c>
      <c r="N183" t="s">
        <v>263</v>
      </c>
      <c r="O183" t="s">
        <v>386</v>
      </c>
      <c r="P183">
        <v>13.28</v>
      </c>
      <c r="Q183" t="s">
        <v>6365</v>
      </c>
      <c r="R183">
        <v>7123487</v>
      </c>
      <c r="S183" s="5">
        <v>5.7799999999999997E-2</v>
      </c>
      <c r="T183" t="s">
        <v>6366</v>
      </c>
      <c r="U183">
        <v>261361900</v>
      </c>
      <c r="V183">
        <v>261361900</v>
      </c>
      <c r="W183">
        <v>1.49</v>
      </c>
      <c r="X183">
        <v>0.14000000000000001</v>
      </c>
      <c r="Y183">
        <v>5.0999999999999996</v>
      </c>
      <c r="Z183" t="s">
        <v>86</v>
      </c>
      <c r="AA183" t="s">
        <v>347</v>
      </c>
      <c r="AB183" t="s">
        <v>6367</v>
      </c>
      <c r="AC183" t="s">
        <v>6368</v>
      </c>
      <c r="AD183" t="s">
        <v>19</v>
      </c>
      <c r="AE183">
        <v>-476016</v>
      </c>
      <c r="AF183" t="s">
        <v>6369</v>
      </c>
      <c r="AG183" t="s">
        <v>19</v>
      </c>
      <c r="AH183" t="s">
        <v>6370</v>
      </c>
      <c r="AI183" t="s">
        <v>367</v>
      </c>
      <c r="AJ183" t="s">
        <v>6371</v>
      </c>
      <c r="AK183" t="s">
        <v>6372</v>
      </c>
      <c r="AL183" t="s">
        <v>6373</v>
      </c>
      <c r="AM183" t="s">
        <v>19</v>
      </c>
      <c r="AN183" t="s">
        <v>6374</v>
      </c>
      <c r="AO183" t="s">
        <v>6375</v>
      </c>
      <c r="AP183" t="s">
        <v>6376</v>
      </c>
      <c r="AQ183" t="s">
        <v>86</v>
      </c>
      <c r="AR183" t="s">
        <v>19</v>
      </c>
      <c r="AS183" t="s">
        <v>610</v>
      </c>
      <c r="AT183" t="s">
        <v>672</v>
      </c>
      <c r="AU183" t="s">
        <v>6377</v>
      </c>
      <c r="AV183" t="s">
        <v>6378</v>
      </c>
      <c r="AW183" t="s">
        <v>6379</v>
      </c>
      <c r="AX183" t="s">
        <v>2166</v>
      </c>
      <c r="AY183" t="s">
        <v>1635</v>
      </c>
      <c r="AZ183" t="s">
        <v>719</v>
      </c>
      <c r="BA183" t="s">
        <v>79</v>
      </c>
      <c r="BB183" t="s">
        <v>878</v>
      </c>
      <c r="BC183" t="s">
        <v>2359</v>
      </c>
      <c r="BD183" t="s">
        <v>1778</v>
      </c>
      <c r="BE183" t="s">
        <v>1367</v>
      </c>
      <c r="BF183" t="s">
        <v>1368</v>
      </c>
      <c r="BG183" t="s">
        <v>229</v>
      </c>
      <c r="BH183" t="s">
        <v>721</v>
      </c>
      <c r="BI183" t="s">
        <v>101</v>
      </c>
      <c r="BJ183" t="s">
        <v>2166</v>
      </c>
      <c r="BK183" t="s">
        <v>6380</v>
      </c>
      <c r="BL183" t="s">
        <v>6381</v>
      </c>
      <c r="BM183" t="s">
        <v>2359</v>
      </c>
      <c r="BN183">
        <v>2.2799999999999998</v>
      </c>
      <c r="BO183">
        <v>1.93</v>
      </c>
      <c r="BP183">
        <v>5.07</v>
      </c>
      <c r="BQ183">
        <v>1.9</v>
      </c>
      <c r="BR183">
        <v>1.49</v>
      </c>
      <c r="BS183">
        <v>5.32</v>
      </c>
      <c r="BT183" t="s">
        <v>1988</v>
      </c>
      <c r="BU183" t="s">
        <v>2920</v>
      </c>
      <c r="BV183">
        <v>18.5</v>
      </c>
      <c r="BW183">
        <v>19.14</v>
      </c>
      <c r="BX183">
        <v>19.66</v>
      </c>
      <c r="BY183">
        <v>4.33</v>
      </c>
      <c r="BZ183">
        <v>3.91</v>
      </c>
      <c r="CA183">
        <v>6.54</v>
      </c>
      <c r="CB183">
        <v>-3.21</v>
      </c>
      <c r="CC183">
        <v>-7.12</v>
      </c>
      <c r="CD183" t="s">
        <v>6382</v>
      </c>
      <c r="CE183" t="s">
        <v>6383</v>
      </c>
      <c r="CF183" s="14">
        <v>-0.15151515151515152</v>
      </c>
      <c r="CG183" s="15">
        <v>0.34106837606837631</v>
      </c>
      <c r="CH183" s="14">
        <v>0.32926830649375916</v>
      </c>
      <c r="CI183" s="14">
        <v>-0.17032040655612946</v>
      </c>
      <c r="CJ183" s="14">
        <v>-1.1666666716337204E-2</v>
      </c>
      <c r="CK183" s="14">
        <v>0.26050421595573425</v>
      </c>
      <c r="CL183" s="14">
        <v>3.7037037312984467E-2</v>
      </c>
      <c r="CM183" s="15">
        <v>-0.67867749929428101</v>
      </c>
      <c r="CN183" s="15">
        <v>-0.7154502272605896</v>
      </c>
      <c r="CO183" s="15">
        <v>-0.38691034913063049</v>
      </c>
      <c r="CP183" s="15">
        <v>0.10391107201576233</v>
      </c>
      <c r="CQ183" s="15">
        <v>-0.48185944557189941</v>
      </c>
      <c r="CR183">
        <v>56.232921142610607</v>
      </c>
      <c r="CS183">
        <v>6.3208271670718874</v>
      </c>
      <c r="CT183">
        <v>0.244140625</v>
      </c>
      <c r="CU183" s="14">
        <v>8.8964497298002237E-2</v>
      </c>
      <c r="CV183" s="15">
        <v>-0.43179728984832766</v>
      </c>
      <c r="CW183">
        <v>0.06</v>
      </c>
      <c r="CX183">
        <v>608.91517358538442</v>
      </c>
      <c r="CY183">
        <v>3656249.6659279144</v>
      </c>
      <c r="CZ183">
        <v>8.8964497298002237E-2</v>
      </c>
      <c r="DA183">
        <v>199.16237686309714</v>
      </c>
      <c r="DB183">
        <v>11178546.546119878</v>
      </c>
      <c r="DC183">
        <v>8.4516272433102127E-2</v>
      </c>
      <c r="DD183">
        <v>98.158031746564546</v>
      </c>
      <c r="DE183">
        <v>22681240.24479454</v>
      </c>
      <c r="DF183">
        <v>7.8288757622241967E-2</v>
      </c>
      <c r="DG183">
        <v>59.023539535760378</v>
      </c>
      <c r="DH183">
        <v>37719627.076094478</v>
      </c>
      <c r="DI183">
        <v>7.1171597838401796E-2</v>
      </c>
      <c r="DJ183">
        <v>30.579073834059695</v>
      </c>
      <c r="DK183">
        <v>72806191.321603835</v>
      </c>
      <c r="DL183">
        <v>6.2275148108601561E-2</v>
      </c>
      <c r="DM183">
        <v>3559000</v>
      </c>
      <c r="DN183">
        <v>8.8964497298002237E-2</v>
      </c>
      <c r="DO183">
        <v>2226345900</v>
      </c>
      <c r="DP183">
        <v>416143890</v>
      </c>
      <c r="DQ183">
        <v>4266</v>
      </c>
      <c r="DR183">
        <v>-0.24047964881315376</v>
      </c>
      <c r="DS183">
        <v>0.77286566591670391</v>
      </c>
      <c r="DT183" s="16">
        <v>-0.3066666666666667</v>
      </c>
      <c r="DU183">
        <v>-0.42666666666666669</v>
      </c>
      <c r="DV183">
        <v>-0.73333333333333339</v>
      </c>
      <c r="DW183">
        <v>-8.4508426966292127</v>
      </c>
      <c r="DX183">
        <v>0.30590916437692062</v>
      </c>
      <c r="DY183">
        <v>-8.0657820811306049</v>
      </c>
      <c r="DZ183">
        <v>2560</v>
      </c>
      <c r="EA183">
        <v>-8.0328266745367998</v>
      </c>
      <c r="EB183">
        <v>8</v>
      </c>
      <c r="EC183">
        <v>5.1809770284039096E-2</v>
      </c>
      <c r="ED183">
        <v>0.35508235898193269</v>
      </c>
      <c r="EE183" s="17">
        <v>2.0100099999999999</v>
      </c>
      <c r="EF183">
        <v>2.0018099999999999</v>
      </c>
      <c r="EG183">
        <v>16.145909164376921</v>
      </c>
      <c r="EH183" t="s">
        <v>1836</v>
      </c>
      <c r="EI183">
        <v>0</v>
      </c>
      <c r="EJ183">
        <v>0</v>
      </c>
      <c r="EK183" s="19">
        <v>45470</v>
      </c>
      <c r="EL183" s="20">
        <v>5.03</v>
      </c>
      <c r="EM183" s="20">
        <v>-0.3</v>
      </c>
      <c r="EN183" s="20">
        <v>-3.3</v>
      </c>
      <c r="EO183" s="20">
        <v>0.83</v>
      </c>
      <c r="EP183" s="20">
        <v>0.82</v>
      </c>
    </row>
    <row r="184" spans="1:146" ht="84" x14ac:dyDescent="0.25">
      <c r="A184" s="7"/>
      <c r="B184" s="7"/>
      <c r="C184" s="7" t="str">
        <f>""&amp;CHAR(10)&amp;Basic_Fundamental_Information_Constructure(F184)&amp;CHAR(10)&amp;Basic_Fundamental_Information_Concatenate("")</f>
        <v xml:space="preserve">
市值168.74633亿, 利润6.64亿; PE24.27; 平均PE31.38; 平均PEG1.75, PB3.63; ROIC10.8433%; ROE12.33%; 股利率.3804%; 毛利25.0467%; 净利10.7067%; 上一年度营收增66.21%, 利润增16.49%; 当季营收增-13.5%, 利润增59.94%; 过往5年营收增17.95%, 利润增6.85%
Income profile:
</v>
      </c>
      <c r="D184" t="s">
        <v>1369</v>
      </c>
      <c r="E184" t="s">
        <v>1370</v>
      </c>
      <c r="F184">
        <v>10.210000000000001</v>
      </c>
      <c r="G184">
        <v>-0.78</v>
      </c>
      <c r="H184" t="s">
        <v>6384</v>
      </c>
      <c r="I184">
        <v>16874633000</v>
      </c>
      <c r="J184">
        <v>24.27</v>
      </c>
      <c r="K184">
        <v>3.63</v>
      </c>
      <c r="L184" t="s">
        <v>172</v>
      </c>
      <c r="M184" t="s">
        <v>2762</v>
      </c>
      <c r="N184" t="s">
        <v>6385</v>
      </c>
      <c r="O184" t="s">
        <v>2819</v>
      </c>
      <c r="P184">
        <v>15.83</v>
      </c>
      <c r="Q184" t="s">
        <v>6386</v>
      </c>
      <c r="R184">
        <v>195127620</v>
      </c>
      <c r="S184" s="5">
        <v>0.26850000000000002</v>
      </c>
      <c r="T184" t="s">
        <v>986</v>
      </c>
      <c r="U184">
        <v>1652755400</v>
      </c>
      <c r="V184">
        <v>1652755400</v>
      </c>
      <c r="W184">
        <v>1.45</v>
      </c>
      <c r="X184">
        <v>0.23</v>
      </c>
      <c r="Y184">
        <v>12.28</v>
      </c>
      <c r="Z184" t="s">
        <v>154</v>
      </c>
      <c r="AA184" t="s">
        <v>6387</v>
      </c>
      <c r="AB184" t="s">
        <v>6388</v>
      </c>
      <c r="AC184" t="s">
        <v>216</v>
      </c>
      <c r="AD184" t="s">
        <v>19</v>
      </c>
      <c r="AE184">
        <v>17490118</v>
      </c>
      <c r="AF184" t="s">
        <v>6389</v>
      </c>
      <c r="AG184" t="s">
        <v>6390</v>
      </c>
      <c r="AH184" t="s">
        <v>6391</v>
      </c>
      <c r="AI184" t="s">
        <v>425</v>
      </c>
      <c r="AJ184" t="s">
        <v>6392</v>
      </c>
      <c r="AK184" t="s">
        <v>19</v>
      </c>
      <c r="AL184" t="s">
        <v>6393</v>
      </c>
      <c r="AM184" t="s">
        <v>19</v>
      </c>
      <c r="AN184" t="s">
        <v>546</v>
      </c>
      <c r="AO184" t="s">
        <v>1568</v>
      </c>
      <c r="AP184" t="s">
        <v>19</v>
      </c>
      <c r="AQ184" t="s">
        <v>958</v>
      </c>
      <c r="AR184" t="s">
        <v>19</v>
      </c>
      <c r="AS184" t="s">
        <v>2210</v>
      </c>
      <c r="AT184" t="s">
        <v>19</v>
      </c>
      <c r="AU184" t="s">
        <v>564</v>
      </c>
      <c r="AV184" t="s">
        <v>6394</v>
      </c>
      <c r="AW184" t="s">
        <v>2675</v>
      </c>
      <c r="AX184" t="s">
        <v>2298</v>
      </c>
      <c r="AY184" t="s">
        <v>1781</v>
      </c>
      <c r="AZ184" t="s">
        <v>1371</v>
      </c>
      <c r="BA184" t="s">
        <v>1373</v>
      </c>
      <c r="BB184" t="s">
        <v>1374</v>
      </c>
      <c r="BC184" t="s">
        <v>1463</v>
      </c>
      <c r="BD184" t="s">
        <v>690</v>
      </c>
      <c r="BE184" t="s">
        <v>553</v>
      </c>
      <c r="BF184" t="s">
        <v>502</v>
      </c>
      <c r="BG184" t="s">
        <v>972</v>
      </c>
      <c r="BH184" t="s">
        <v>6395</v>
      </c>
      <c r="BI184" t="s">
        <v>2783</v>
      </c>
      <c r="BJ184" t="s">
        <v>2298</v>
      </c>
      <c r="BK184" t="s">
        <v>6365</v>
      </c>
      <c r="BL184" t="s">
        <v>175</v>
      </c>
      <c r="BM184" t="s">
        <v>1463</v>
      </c>
      <c r="BN184">
        <v>9.51</v>
      </c>
      <c r="BO184">
        <v>13.08</v>
      </c>
      <c r="BP184">
        <v>9.94</v>
      </c>
      <c r="BQ184">
        <v>12.44</v>
      </c>
      <c r="BR184">
        <v>13.92</v>
      </c>
      <c r="BS184">
        <v>10.63</v>
      </c>
      <c r="BT184" t="s">
        <v>6396</v>
      </c>
      <c r="BU184" t="s">
        <v>3084</v>
      </c>
      <c r="BV184">
        <v>27.26</v>
      </c>
      <c r="BW184">
        <v>23.05</v>
      </c>
      <c r="BX184">
        <v>24.83</v>
      </c>
      <c r="BY184">
        <v>11.16</v>
      </c>
      <c r="BZ184">
        <v>11.07</v>
      </c>
      <c r="CA184">
        <v>9.89</v>
      </c>
      <c r="CB184">
        <v>2.72</v>
      </c>
      <c r="CC184">
        <v>2.4900000000000002</v>
      </c>
      <c r="CD184" t="s">
        <v>6397</v>
      </c>
      <c r="CE184" t="s">
        <v>577</v>
      </c>
      <c r="CF184" s="14">
        <v>-0.13500272182906914</v>
      </c>
      <c r="CG184" s="15">
        <v>0.59940672131147543</v>
      </c>
      <c r="CH184" s="14">
        <v>0.66206765174865723</v>
      </c>
      <c r="CI184" s="14">
        <v>0.22261819243431091</v>
      </c>
      <c r="CJ184" s="14">
        <v>6.5569572150707245E-2</v>
      </c>
      <c r="CK184" s="14">
        <v>-0.18015769124031067</v>
      </c>
      <c r="CL184" s="14">
        <v>0.12754504382610321</v>
      </c>
      <c r="CM184" s="15">
        <v>0.16491228342056274</v>
      </c>
      <c r="CN184" s="15">
        <v>0.37019231915473938</v>
      </c>
      <c r="CO184" s="15">
        <v>5.8524172753095627E-2</v>
      </c>
      <c r="CP184" s="15">
        <v>-0.37119999527931213</v>
      </c>
      <c r="CQ184" s="15">
        <v>0.12007168680429459</v>
      </c>
      <c r="CR184">
        <v>31.384934283942965</v>
      </c>
      <c r="CS184">
        <v>1.7481862145295499</v>
      </c>
      <c r="CT184">
        <v>0.38036191436151495</v>
      </c>
      <c r="CU184" s="14">
        <v>0.1795285537838936</v>
      </c>
      <c r="CV184" s="15">
        <v>6.8500093370676043E-2</v>
      </c>
      <c r="CW184">
        <v>0.06</v>
      </c>
      <c r="CX184">
        <v>19.743045932171011</v>
      </c>
      <c r="CY184">
        <v>738874490.29481626</v>
      </c>
      <c r="CZ184">
        <v>0.1795285537838936</v>
      </c>
      <c r="DA184">
        <v>5.9855230379946676</v>
      </c>
      <c r="DB184">
        <v>2437152594.2513623</v>
      </c>
      <c r="DC184">
        <v>0.17055212609469891</v>
      </c>
      <c r="DD184">
        <v>2.6566646422982472</v>
      </c>
      <c r="DE184">
        <v>5490957634.524929</v>
      </c>
      <c r="DF184">
        <v>0.15798512732982636</v>
      </c>
      <c r="DG184">
        <v>1.4130713840790889</v>
      </c>
      <c r="DH184">
        <v>10323351788.421425</v>
      </c>
      <c r="DI184">
        <v>0.14362284302711489</v>
      </c>
      <c r="DJ184">
        <v>0.55068390977709869</v>
      </c>
      <c r="DK184">
        <v>26490029472.451199</v>
      </c>
      <c r="DL184">
        <v>0.1256699876487255</v>
      </c>
      <c r="DM184">
        <v>664000000</v>
      </c>
      <c r="DN184">
        <v>0.1795285537838936</v>
      </c>
      <c r="DO184">
        <v>14587633000</v>
      </c>
      <c r="DP184">
        <v>3396070300</v>
      </c>
      <c r="DQ184">
        <v>4286</v>
      </c>
      <c r="DR184">
        <v>-0.31453127561296274</v>
      </c>
      <c r="DS184">
        <v>0.53090662794079935</v>
      </c>
      <c r="DT184" s="16">
        <v>-7.333333333333332E-2</v>
      </c>
      <c r="DU184">
        <v>0.42</v>
      </c>
      <c r="DV184">
        <v>0.34666666666666668</v>
      </c>
      <c r="DW184">
        <v>4.9154411764705879</v>
      </c>
      <c r="DX184">
        <v>0.42763701298701418</v>
      </c>
      <c r="DY184">
        <v>4.1900794714476701</v>
      </c>
      <c r="DZ184">
        <v>902</v>
      </c>
      <c r="EA184">
        <v>4.1565272829455573</v>
      </c>
      <c r="EB184">
        <v>4</v>
      </c>
      <c r="EC184">
        <v>1.9347145984215209E-2</v>
      </c>
      <c r="ED184">
        <v>9.3177732167748481E-2</v>
      </c>
      <c r="EE184" s="17">
        <v>8.1500000000000003E-2</v>
      </c>
      <c r="EF184">
        <v>5.4000000000000006E-2</v>
      </c>
      <c r="EG184">
        <v>22.207637012987014</v>
      </c>
      <c r="EH184" t="s">
        <v>1831</v>
      </c>
      <c r="EI184">
        <v>0</v>
      </c>
      <c r="EJ184">
        <v>1</v>
      </c>
      <c r="EK184" s="19">
        <v>45470</v>
      </c>
      <c r="EL184" s="20">
        <v>0.38</v>
      </c>
      <c r="EM184" s="20">
        <v>-3.6</v>
      </c>
      <c r="EN184" s="20">
        <v>1.56</v>
      </c>
      <c r="EO184" s="20">
        <v>1.76</v>
      </c>
      <c r="EP184" s="20">
        <v>-2.75</v>
      </c>
    </row>
    <row r="185" spans="1:146" ht="84" x14ac:dyDescent="0.25">
      <c r="A185" s="7"/>
      <c r="B185" s="7"/>
      <c r="C185" s="7" t="str">
        <f>""&amp;CHAR(10)&amp;Basic_Fundamental_Information_Constructure(F185)&amp;CHAR(10)&amp;Basic_Fundamental_Information_Concatenate("")</f>
        <v xml:space="preserve">
市值32.558741亿, 利润2.42亿; PE13.09; 平均PE21.58; 平均PEG1.24, PB1.25; ROIC5.5533%; ROE6.2967%; 股利率6.7385%; 毛利24.1367%; 净利12.1867%; 上一年度营收增1.11%, 利润增33.7%; 当季营收增49.1%, 利润增50.67%; 过往5年营收增17.38%, 利润增100.39%
Income profile:
</v>
      </c>
      <c r="D185" t="s">
        <v>1376</v>
      </c>
      <c r="E185" t="s">
        <v>1377</v>
      </c>
      <c r="F185">
        <v>7.42</v>
      </c>
      <c r="G185">
        <v>0.95</v>
      </c>
      <c r="H185" t="s">
        <v>6398</v>
      </c>
      <c r="I185">
        <v>3255874100</v>
      </c>
      <c r="J185">
        <v>13.09</v>
      </c>
      <c r="K185">
        <v>1.25</v>
      </c>
      <c r="L185" t="s">
        <v>172</v>
      </c>
      <c r="M185" t="s">
        <v>1312</v>
      </c>
      <c r="N185" t="s">
        <v>2931</v>
      </c>
      <c r="O185" t="s">
        <v>690</v>
      </c>
      <c r="P185">
        <v>25.98</v>
      </c>
      <c r="Q185" t="s">
        <v>2627</v>
      </c>
      <c r="R185">
        <v>48753926</v>
      </c>
      <c r="S185" s="5">
        <v>-0.19700000000000001</v>
      </c>
      <c r="T185" t="s">
        <v>295</v>
      </c>
      <c r="U185">
        <v>438797050</v>
      </c>
      <c r="V185">
        <v>438797050</v>
      </c>
      <c r="W185">
        <v>1.18</v>
      </c>
      <c r="X185">
        <v>0.13</v>
      </c>
      <c r="Y185">
        <v>11.71</v>
      </c>
      <c r="Z185" t="s">
        <v>829</v>
      </c>
      <c r="AA185" t="s">
        <v>379</v>
      </c>
      <c r="AB185" t="s">
        <v>6399</v>
      </c>
      <c r="AC185" t="s">
        <v>6400</v>
      </c>
      <c r="AD185" t="s">
        <v>19</v>
      </c>
      <c r="AE185">
        <v>-4988597</v>
      </c>
      <c r="AF185" t="s">
        <v>6401</v>
      </c>
      <c r="AG185" t="s">
        <v>19</v>
      </c>
      <c r="AH185" t="s">
        <v>6402</v>
      </c>
      <c r="AI185" t="s">
        <v>2824</v>
      </c>
      <c r="AJ185" t="s">
        <v>6403</v>
      </c>
      <c r="AK185" t="s">
        <v>6404</v>
      </c>
      <c r="AL185" t="s">
        <v>6405</v>
      </c>
      <c r="AM185" t="s">
        <v>19</v>
      </c>
      <c r="AN185" t="s">
        <v>229</v>
      </c>
      <c r="AO185" t="s">
        <v>19</v>
      </c>
      <c r="AP185" t="s">
        <v>208</v>
      </c>
      <c r="AQ185" t="s">
        <v>53</v>
      </c>
      <c r="AR185" t="s">
        <v>19</v>
      </c>
      <c r="AS185" t="s">
        <v>2769</v>
      </c>
      <c r="AT185" t="s">
        <v>19</v>
      </c>
      <c r="AU185" t="s">
        <v>6406</v>
      </c>
      <c r="AV185" t="s">
        <v>6407</v>
      </c>
      <c r="AW185" t="s">
        <v>6408</v>
      </c>
      <c r="AX185" t="s">
        <v>2290</v>
      </c>
      <c r="AY185" t="s">
        <v>1782</v>
      </c>
      <c r="AZ185" t="s">
        <v>1228</v>
      </c>
      <c r="BA185" t="s">
        <v>935</v>
      </c>
      <c r="BB185" t="s">
        <v>1149</v>
      </c>
      <c r="BC185" t="s">
        <v>37</v>
      </c>
      <c r="BD185" t="s">
        <v>25</v>
      </c>
      <c r="BE185" t="s">
        <v>116</v>
      </c>
      <c r="BF185" t="s">
        <v>92</v>
      </c>
      <c r="BG185" t="s">
        <v>1381</v>
      </c>
      <c r="BH185" t="s">
        <v>6409</v>
      </c>
      <c r="BI185" t="s">
        <v>60</v>
      </c>
      <c r="BJ185" t="s">
        <v>2290</v>
      </c>
      <c r="BK185" t="s">
        <v>2198</v>
      </c>
      <c r="BL185" t="s">
        <v>6410</v>
      </c>
      <c r="BM185" t="s">
        <v>37</v>
      </c>
      <c r="BN185">
        <v>7.37</v>
      </c>
      <c r="BO185">
        <v>6.14</v>
      </c>
      <c r="BP185">
        <v>3.15</v>
      </c>
      <c r="BQ185">
        <v>8.1</v>
      </c>
      <c r="BR185">
        <v>6.91</v>
      </c>
      <c r="BS185">
        <v>3.88</v>
      </c>
      <c r="BT185" t="s">
        <v>2053</v>
      </c>
      <c r="BU185" t="s">
        <v>2920</v>
      </c>
      <c r="BV185">
        <v>27.85</v>
      </c>
      <c r="BW185">
        <v>20.170000000000002</v>
      </c>
      <c r="BX185">
        <v>24.39</v>
      </c>
      <c r="BY185">
        <v>14.99</v>
      </c>
      <c r="BZ185">
        <v>14.35</v>
      </c>
      <c r="CA185">
        <v>7.22</v>
      </c>
      <c r="CB185">
        <v>-2.37</v>
      </c>
      <c r="CC185">
        <v>-11.98</v>
      </c>
      <c r="CD185" t="s">
        <v>6411</v>
      </c>
      <c r="CE185" t="s">
        <v>250</v>
      </c>
      <c r="CF185" s="14">
        <v>0.49103942652329752</v>
      </c>
      <c r="CG185" s="15">
        <v>0.50670859357374864</v>
      </c>
      <c r="CH185" s="14">
        <v>1.1084617115557194E-2</v>
      </c>
      <c r="CI185" s="14">
        <v>-0.10993657261133194</v>
      </c>
      <c r="CJ185" s="14">
        <v>0.55251646041870117</v>
      </c>
      <c r="CK185" s="14">
        <v>0.53355705738067627</v>
      </c>
      <c r="CL185" s="14">
        <v>-0.11834319680929184</v>
      </c>
      <c r="CM185" s="15">
        <v>0.33701658248901367</v>
      </c>
      <c r="CN185" s="15">
        <v>0.75728154182434082</v>
      </c>
      <c r="CO185" s="15">
        <v>-0.68307691812515259</v>
      </c>
      <c r="CP185" s="15">
        <v>1.7542372941970825</v>
      </c>
      <c r="CQ185" s="15">
        <v>2.8538854122161865</v>
      </c>
      <c r="CR185">
        <v>21.577563105711945</v>
      </c>
      <c r="CS185">
        <v>1.2416906648053276</v>
      </c>
      <c r="CT185">
        <v>6.7385444743935308</v>
      </c>
      <c r="CU185" s="14">
        <v>0.17377567309886216</v>
      </c>
      <c r="CV185" s="15">
        <v>1.0038687825202941</v>
      </c>
      <c r="CW185">
        <v>0.06</v>
      </c>
      <c r="CX185">
        <v>4.5260684429011793</v>
      </c>
      <c r="CY185">
        <v>267975200.83955157</v>
      </c>
      <c r="CZ185">
        <v>0.17377567309886216</v>
      </c>
      <c r="DA185">
        <v>1.3787376810341019</v>
      </c>
      <c r="DB185">
        <v>879698957.0128392</v>
      </c>
      <c r="DC185">
        <v>0.16508688944391905</v>
      </c>
      <c r="DD185">
        <v>0.61610764596218748</v>
      </c>
      <c r="DE185">
        <v>1968607447.0084374</v>
      </c>
      <c r="DF185">
        <v>0.1529225923269987</v>
      </c>
      <c r="DG185">
        <v>0.33039837680014744</v>
      </c>
      <c r="DH185">
        <v>3670944487.5198274</v>
      </c>
      <c r="DI185">
        <v>0.13902053847908974</v>
      </c>
      <c r="DJ185">
        <v>0.13133492629249219</v>
      </c>
      <c r="DK185">
        <v>9234969967.5381355</v>
      </c>
      <c r="DL185">
        <v>0.1216429711692035</v>
      </c>
      <c r="DM185">
        <v>242000000</v>
      </c>
      <c r="DN185">
        <v>0.17377567309886216</v>
      </c>
      <c r="DO185">
        <v>1212874100</v>
      </c>
      <c r="DP185">
        <v>1415656300</v>
      </c>
      <c r="DQ185">
        <v>4293</v>
      </c>
      <c r="DR185">
        <v>0.31726375342443536</v>
      </c>
      <c r="DS185">
        <v>-0.49716018894654546</v>
      </c>
      <c r="DT185" s="16">
        <v>-0.19000000000000003</v>
      </c>
      <c r="DU185">
        <v>1.1966666666666665</v>
      </c>
      <c r="DV185">
        <v>1.0066666666666666</v>
      </c>
      <c r="DW185">
        <v>-2.1198000000000001</v>
      </c>
      <c r="DX185">
        <v>0.30307156862745022</v>
      </c>
      <c r="DY185">
        <v>-2.0159419739215685</v>
      </c>
      <c r="DZ185">
        <v>1612</v>
      </c>
      <c r="EA185">
        <v>-2.0109129207001266</v>
      </c>
      <c r="EB185">
        <v>2</v>
      </c>
      <c r="EC185">
        <v>3.0932979152890842E-2</v>
      </c>
      <c r="ED185">
        <v>0.23245370496451606</v>
      </c>
      <c r="EE185" s="17">
        <v>-1.0257099999999999</v>
      </c>
      <c r="EF185">
        <v>-1.03731</v>
      </c>
      <c r="EG185">
        <v>17.13307156862745</v>
      </c>
      <c r="EH185" t="s">
        <v>1838</v>
      </c>
      <c r="EI185">
        <v>0</v>
      </c>
      <c r="EJ185">
        <v>0</v>
      </c>
      <c r="EK185" s="19">
        <v>45470</v>
      </c>
      <c r="EL185" s="20">
        <v>0.33</v>
      </c>
      <c r="EM185" s="20">
        <v>-3.78</v>
      </c>
      <c r="EN185" s="20">
        <v>1.03</v>
      </c>
      <c r="EO185" s="20">
        <v>2.0299999999999998</v>
      </c>
      <c r="EP185" s="20">
        <v>-1.1599999999999999</v>
      </c>
    </row>
    <row r="186" spans="1:146" ht="84" x14ac:dyDescent="0.25">
      <c r="A186" s="7"/>
      <c r="B186" s="7"/>
      <c r="C186" s="7" t="str">
        <f>""&amp;CHAR(10)&amp;Basic_Fundamental_Information_Constructure(F186)&amp;CHAR(10)&amp;Basic_Fundamental_Information_Concatenate("")</f>
        <v xml:space="preserve">
市值37.282685亿, 利润1.32亿; PE46.76; 平均PE52.76; 平均PEG1.1, PB2.54; ROIC3.36%; ROE3.9133%; 股利率1.6556%; 毛利16.75%; 净利5.5033%; 上一年度营收增226.2%, 利润增212.47%; 当季营收增-70.05%, 利润增-71.73%; 过往5年营收增47.96%, 利润增40.28%
Income profile:
</v>
      </c>
      <c r="D186" t="s">
        <v>1383</v>
      </c>
      <c r="E186" t="s">
        <v>1384</v>
      </c>
      <c r="F186">
        <v>12.08</v>
      </c>
      <c r="G186">
        <v>-0.17</v>
      </c>
      <c r="H186" t="s">
        <v>6412</v>
      </c>
      <c r="I186">
        <v>3728268500</v>
      </c>
      <c r="J186">
        <v>46.76</v>
      </c>
      <c r="K186">
        <v>2.54</v>
      </c>
      <c r="L186" t="s">
        <v>172</v>
      </c>
      <c r="M186" t="s">
        <v>1701</v>
      </c>
      <c r="N186" t="s">
        <v>516</v>
      </c>
      <c r="O186" t="s">
        <v>257</v>
      </c>
      <c r="P186">
        <v>6.23</v>
      </c>
      <c r="Q186" t="s">
        <v>6413</v>
      </c>
      <c r="R186">
        <v>14991449</v>
      </c>
      <c r="S186" s="5">
        <v>0.86660000000000004</v>
      </c>
      <c r="T186" t="s">
        <v>224</v>
      </c>
      <c r="U186">
        <v>308631500</v>
      </c>
      <c r="V186">
        <v>308631500</v>
      </c>
      <c r="W186">
        <v>1.27</v>
      </c>
      <c r="X186">
        <v>0.13</v>
      </c>
      <c r="Y186">
        <v>6.34</v>
      </c>
      <c r="Z186" t="s">
        <v>424</v>
      </c>
      <c r="AA186" t="s">
        <v>87</v>
      </c>
      <c r="AB186" t="s">
        <v>6414</v>
      </c>
      <c r="AC186" t="s">
        <v>6415</v>
      </c>
      <c r="AD186" t="s">
        <v>19</v>
      </c>
      <c r="AE186">
        <v>-1585636</v>
      </c>
      <c r="AF186" t="s">
        <v>6416</v>
      </c>
      <c r="AG186" t="s">
        <v>19</v>
      </c>
      <c r="AH186" t="s">
        <v>6417</v>
      </c>
      <c r="AI186" t="s">
        <v>884</v>
      </c>
      <c r="AJ186" t="s">
        <v>6418</v>
      </c>
      <c r="AK186" t="s">
        <v>19</v>
      </c>
      <c r="AL186" t="s">
        <v>6419</v>
      </c>
      <c r="AM186" t="s">
        <v>19</v>
      </c>
      <c r="AN186" t="s">
        <v>6420</v>
      </c>
      <c r="AO186" t="s">
        <v>19</v>
      </c>
      <c r="AP186" t="s">
        <v>593</v>
      </c>
      <c r="AQ186" t="s">
        <v>526</v>
      </c>
      <c r="AR186" t="s">
        <v>19</v>
      </c>
      <c r="AS186" t="s">
        <v>120</v>
      </c>
      <c r="AT186" t="s">
        <v>19</v>
      </c>
      <c r="AU186" t="s">
        <v>6421</v>
      </c>
      <c r="AV186" t="s">
        <v>6422</v>
      </c>
      <c r="AW186" t="s">
        <v>19</v>
      </c>
      <c r="AX186" t="s">
        <v>2050</v>
      </c>
      <c r="AY186" t="s">
        <v>908</v>
      </c>
      <c r="AZ186" t="s">
        <v>1236</v>
      </c>
      <c r="BA186" t="s">
        <v>883</v>
      </c>
      <c r="BB186" t="s">
        <v>1386</v>
      </c>
      <c r="BC186" t="s">
        <v>2361</v>
      </c>
      <c r="BD186" t="s">
        <v>1783</v>
      </c>
      <c r="BE186" t="s">
        <v>1385</v>
      </c>
      <c r="BF186" t="s">
        <v>1388</v>
      </c>
      <c r="BG186" t="s">
        <v>1389</v>
      </c>
      <c r="BH186" t="s">
        <v>6423</v>
      </c>
      <c r="BI186" t="s">
        <v>2526</v>
      </c>
      <c r="BJ186" t="s">
        <v>2050</v>
      </c>
      <c r="BK186" t="s">
        <v>6424</v>
      </c>
      <c r="BL186" t="s">
        <v>6425</v>
      </c>
      <c r="BM186" t="s">
        <v>2361</v>
      </c>
      <c r="BN186">
        <v>4.29</v>
      </c>
      <c r="BO186">
        <v>2.1800000000000002</v>
      </c>
      <c r="BP186">
        <v>3.61</v>
      </c>
      <c r="BQ186">
        <v>4.5199999999999996</v>
      </c>
      <c r="BR186">
        <v>2.9</v>
      </c>
      <c r="BS186">
        <v>4.32</v>
      </c>
      <c r="BT186" t="s">
        <v>1989</v>
      </c>
      <c r="BU186" t="s">
        <v>2920</v>
      </c>
      <c r="BV186">
        <v>19.36</v>
      </c>
      <c r="BW186">
        <v>15.18</v>
      </c>
      <c r="BX186">
        <v>15.71</v>
      </c>
      <c r="BY186">
        <v>6.59</v>
      </c>
      <c r="BZ186">
        <v>4.24</v>
      </c>
      <c r="CA186">
        <v>5.68</v>
      </c>
      <c r="CB186">
        <v>-0.08</v>
      </c>
      <c r="CC186">
        <v>-3.82</v>
      </c>
      <c r="CD186" t="s">
        <v>6426</v>
      </c>
      <c r="CE186" t="s">
        <v>856</v>
      </c>
      <c r="CF186" s="14">
        <v>-0.70050761421319796</v>
      </c>
      <c r="CG186" s="15">
        <v>-0.71731901397429154</v>
      </c>
      <c r="CH186" s="14">
        <v>2.2620482444763184</v>
      </c>
      <c r="CI186" s="14">
        <v>-0.11071428656578064</v>
      </c>
      <c r="CJ186" s="14">
        <v>6.4638786017894745E-2</v>
      </c>
      <c r="CK186" s="14">
        <v>0.11205074191093445</v>
      </c>
      <c r="CL186" s="14">
        <v>7.0135749876499176E-2</v>
      </c>
      <c r="CM186" s="15">
        <v>2.1246671676635742</v>
      </c>
      <c r="CN186" s="15">
        <v>-0.3363584578037262</v>
      </c>
      <c r="CO186" s="15">
        <v>0.15220429003238678</v>
      </c>
      <c r="CP186" s="15">
        <v>-0.26167190074920654</v>
      </c>
      <c r="CQ186" s="15">
        <v>0.33505499362945557</v>
      </c>
      <c r="CR186">
        <v>52.755828948336593</v>
      </c>
      <c r="CS186">
        <v>1.0999233946320632</v>
      </c>
      <c r="CT186">
        <v>1.6556291390728477</v>
      </c>
      <c r="CU186" s="14">
        <v>0.4796318471431732</v>
      </c>
      <c r="CV186" s="15">
        <v>0.40277921855449678</v>
      </c>
      <c r="CW186">
        <v>0.06</v>
      </c>
      <c r="CX186">
        <v>14.589852687679617</v>
      </c>
      <c r="CY186">
        <v>184256041.34235743</v>
      </c>
      <c r="CZ186">
        <v>0.4796318471431732</v>
      </c>
      <c r="DA186">
        <v>3.4820204481394774</v>
      </c>
      <c r="DB186">
        <v>772042709.12205672</v>
      </c>
      <c r="DC186">
        <v>0.45565025478601451</v>
      </c>
      <c r="DD186">
        <v>1.0734665892491333</v>
      </c>
      <c r="DE186">
        <v>2504287070.4344749</v>
      </c>
      <c r="DF186">
        <v>0.42207602548599243</v>
      </c>
      <c r="DG186">
        <v>0.35641699778459091</v>
      </c>
      <c r="DH186">
        <v>7542481185.5486174</v>
      </c>
      <c r="DI186">
        <v>0.38370547771453856</v>
      </c>
      <c r="DJ186">
        <v>4.1650919530580865E-2</v>
      </c>
      <c r="DK186">
        <v>64542836756.010254</v>
      </c>
      <c r="DL186">
        <v>0.33574229300022124</v>
      </c>
      <c r="DM186">
        <v>132000000</v>
      </c>
      <c r="DN186">
        <v>0.4796318471431732</v>
      </c>
      <c r="DO186">
        <v>2688268500</v>
      </c>
      <c r="DP186">
        <v>663607750</v>
      </c>
      <c r="DQ186">
        <v>4296</v>
      </c>
      <c r="DR186">
        <v>-1.1801394613563712</v>
      </c>
      <c r="DS186">
        <v>-1.1200982325287883</v>
      </c>
      <c r="DT186" s="16">
        <v>-0.14000000000000004</v>
      </c>
      <c r="DU186">
        <v>-0.17333333333333334</v>
      </c>
      <c r="DV186">
        <v>-0.31333333333333335</v>
      </c>
      <c r="DW186">
        <v>-1.0382</v>
      </c>
      <c r="DX186">
        <v>0.41886397058823349</v>
      </c>
      <c r="DY186">
        <v>-1.0037766036764706</v>
      </c>
      <c r="DZ186">
        <v>1254</v>
      </c>
      <c r="EA186">
        <v>-1.0028498206998964</v>
      </c>
      <c r="EB186">
        <v>1</v>
      </c>
      <c r="EC186">
        <v>8.7129797185316465E-2</v>
      </c>
      <c r="ED186">
        <v>0.88130991165840167</v>
      </c>
      <c r="EE186" s="17">
        <v>-1.0571999999999999</v>
      </c>
      <c r="EF186">
        <v>-1.0150999999999999</v>
      </c>
      <c r="EG186">
        <v>32.098863970588233</v>
      </c>
      <c r="EH186" t="s">
        <v>1844</v>
      </c>
      <c r="EI186">
        <v>0</v>
      </c>
      <c r="EJ186">
        <v>1</v>
      </c>
      <c r="EK186" s="19">
        <v>45470</v>
      </c>
      <c r="EL186" s="20">
        <v>-0.17</v>
      </c>
      <c r="EM186" s="20">
        <v>-5.6</v>
      </c>
      <c r="EN186" s="20">
        <v>1.89</v>
      </c>
      <c r="EO186" s="20">
        <v>4.8499999999999996</v>
      </c>
      <c r="EP186" s="20">
        <v>-4.21</v>
      </c>
    </row>
    <row r="187" spans="1:146" ht="84" x14ac:dyDescent="0.25">
      <c r="A187" s="7"/>
      <c r="B187" s="7"/>
      <c r="C187" s="7" t="str">
        <f>""&amp;CHAR(10)&amp;Basic_Fundamental_Information_Constructure(F187)&amp;CHAR(10)&amp;Basic_Fundamental_Information_Concatenate("")</f>
        <v xml:space="preserve">
市值25.913393亿, 利润-454.06万; PE23.42; 平均PE47.22; 平均PEG14.24, PB1.07; ROIC4.4333%; ROE4.8433%; 股利率0%; 毛利14.3567%; 净利3.02%; 上一年度营收增-42.65%, 利润增-104.71%; 当季营收增113.58%, 利润增2913.8%; 过往5年营收增3.32%, 利润增14.92%
Income profile:
</v>
      </c>
      <c r="D187" t="s">
        <v>1390</v>
      </c>
      <c r="E187" t="s">
        <v>1391</v>
      </c>
      <c r="F187">
        <v>10.89</v>
      </c>
      <c r="G187">
        <v>0.46</v>
      </c>
      <c r="H187" t="s">
        <v>6427</v>
      </c>
      <c r="I187">
        <v>2591339300</v>
      </c>
      <c r="J187">
        <v>23.42</v>
      </c>
      <c r="K187">
        <v>1.07</v>
      </c>
      <c r="L187" t="s">
        <v>172</v>
      </c>
      <c r="M187" t="s">
        <v>6428</v>
      </c>
      <c r="N187" t="s">
        <v>6429</v>
      </c>
      <c r="O187" t="s">
        <v>1311</v>
      </c>
      <c r="P187">
        <v>-6.12</v>
      </c>
      <c r="Q187" t="s">
        <v>2786</v>
      </c>
      <c r="R187">
        <v>32051736</v>
      </c>
      <c r="S187" s="5">
        <v>-0.39560000000000001</v>
      </c>
      <c r="T187" t="s">
        <v>6430</v>
      </c>
      <c r="U187">
        <v>204000000</v>
      </c>
      <c r="V187">
        <v>237955860</v>
      </c>
      <c r="W187">
        <v>2.57</v>
      </c>
      <c r="X187">
        <v>0.15</v>
      </c>
      <c r="Y187">
        <v>4.33</v>
      </c>
      <c r="Z187" t="s">
        <v>321</v>
      </c>
      <c r="AA187" t="s">
        <v>2245</v>
      </c>
      <c r="AB187" t="s">
        <v>6431</v>
      </c>
      <c r="AC187" t="s">
        <v>6432</v>
      </c>
      <c r="AD187" t="s">
        <v>19</v>
      </c>
      <c r="AE187">
        <v>17862847</v>
      </c>
      <c r="AF187" t="s">
        <v>6433</v>
      </c>
      <c r="AG187" t="s">
        <v>2763</v>
      </c>
      <c r="AH187" t="s">
        <v>6434</v>
      </c>
      <c r="AI187" t="s">
        <v>978</v>
      </c>
      <c r="AJ187" t="s">
        <v>6435</v>
      </c>
      <c r="AK187" t="s">
        <v>6436</v>
      </c>
      <c r="AL187" t="s">
        <v>6437</v>
      </c>
      <c r="AM187" t="s">
        <v>19</v>
      </c>
      <c r="AN187" t="s">
        <v>2619</v>
      </c>
      <c r="AO187" t="s">
        <v>2756</v>
      </c>
      <c r="AP187" t="s">
        <v>2000</v>
      </c>
      <c r="AQ187" t="s">
        <v>1839</v>
      </c>
      <c r="AR187" t="s">
        <v>19</v>
      </c>
      <c r="AS187" t="s">
        <v>2800</v>
      </c>
      <c r="AT187" t="s">
        <v>633</v>
      </c>
      <c r="AU187" t="s">
        <v>6438</v>
      </c>
      <c r="AV187" t="s">
        <v>2103</v>
      </c>
      <c r="AW187" t="s">
        <v>856</v>
      </c>
      <c r="AX187" t="s">
        <v>2194</v>
      </c>
      <c r="AY187" t="s">
        <v>1775</v>
      </c>
      <c r="AZ187" t="s">
        <v>338</v>
      </c>
      <c r="BA187" t="s">
        <v>294</v>
      </c>
      <c r="BB187" t="s">
        <v>774</v>
      </c>
      <c r="BC187" t="s">
        <v>6439</v>
      </c>
      <c r="BD187" t="s">
        <v>1784</v>
      </c>
      <c r="BE187" t="s">
        <v>1392</v>
      </c>
      <c r="BF187" t="s">
        <v>1395</v>
      </c>
      <c r="BG187" t="s">
        <v>1396</v>
      </c>
      <c r="BH187" t="s">
        <v>6413</v>
      </c>
      <c r="BI187" t="s">
        <v>937</v>
      </c>
      <c r="BJ187" t="s">
        <v>2194</v>
      </c>
      <c r="BK187" t="s">
        <v>224</v>
      </c>
      <c r="BL187" t="s">
        <v>6440</v>
      </c>
      <c r="BM187" t="s">
        <v>6439</v>
      </c>
      <c r="BN187">
        <v>4.71</v>
      </c>
      <c r="BO187">
        <v>4.93</v>
      </c>
      <c r="BP187">
        <v>3.66</v>
      </c>
      <c r="BQ187">
        <v>5.97</v>
      </c>
      <c r="BR187">
        <v>5.23</v>
      </c>
      <c r="BS187">
        <v>3.33</v>
      </c>
      <c r="BT187" t="s">
        <v>1983</v>
      </c>
      <c r="BU187" t="s">
        <v>3125</v>
      </c>
      <c r="BV187">
        <v>15.09</v>
      </c>
      <c r="BW187">
        <v>14.99</v>
      </c>
      <c r="BX187">
        <v>12.99</v>
      </c>
      <c r="BY187">
        <v>4.05</v>
      </c>
      <c r="BZ187">
        <v>3.04</v>
      </c>
      <c r="CA187">
        <v>1.97</v>
      </c>
      <c r="CB187">
        <v>-3.97</v>
      </c>
      <c r="CC187">
        <v>-15.78</v>
      </c>
      <c r="CD187" t="s">
        <v>6441</v>
      </c>
      <c r="CE187" t="s">
        <v>6442</v>
      </c>
      <c r="CF187" s="14">
        <v>1.1358381502890174</v>
      </c>
      <c r="CG187" s="15">
        <v>29.13797461212976</v>
      </c>
      <c r="CH187" s="14">
        <v>-0.42649385333061218</v>
      </c>
      <c r="CI187" s="14">
        <v>5.1179837435483932E-2</v>
      </c>
      <c r="CJ187" s="14">
        <v>0.30996954441070557</v>
      </c>
      <c r="CK187" s="14">
        <v>0.25245362520217896</v>
      </c>
      <c r="CL187" s="14">
        <v>-2.1344717592000961E-2</v>
      </c>
      <c r="CM187" s="15">
        <v>-1.0470767021179199</v>
      </c>
      <c r="CN187" s="15">
        <v>0.62350451946258545</v>
      </c>
      <c r="CO187" s="15">
        <v>-0.20966033637523651</v>
      </c>
      <c r="CP187" s="15">
        <v>2.065915584564209</v>
      </c>
      <c r="CQ187" s="15">
        <v>-0.68675243854522705</v>
      </c>
      <c r="CR187">
        <v>47.218855306794296</v>
      </c>
      <c r="CS187">
        <v>14.242758100106663</v>
      </c>
      <c r="CT187">
        <v>0</v>
      </c>
      <c r="CU187" s="14">
        <v>3.3152887225151063E-2</v>
      </c>
      <c r="CV187" s="15">
        <v>0.1491861253976822</v>
      </c>
      <c r="CW187">
        <v>0.06</v>
      </c>
      <c r="CX187" t="e">
        <v>#VALUE!</v>
      </c>
      <c r="CY187" t="s">
        <v>1835</v>
      </c>
      <c r="CZ187">
        <v>3.3152887225151063E-2</v>
      </c>
      <c r="DA187" t="e">
        <v>#VALUE!</v>
      </c>
      <c r="DB187" t="s">
        <v>1835</v>
      </c>
      <c r="DC187">
        <v>3.1495242863893512E-2</v>
      </c>
      <c r="DD187" t="e">
        <v>#VALUE!</v>
      </c>
      <c r="DE187" t="s">
        <v>1835</v>
      </c>
      <c r="DF187">
        <v>2.9174540758132937E-2</v>
      </c>
      <c r="DG187" t="e">
        <v>#VALUE!</v>
      </c>
      <c r="DH187" t="s">
        <v>1835</v>
      </c>
      <c r="DI187">
        <v>2.6522309780120851E-2</v>
      </c>
      <c r="DJ187" t="e">
        <v>#VALUE!</v>
      </c>
      <c r="DK187" t="s">
        <v>1835</v>
      </c>
      <c r="DL187">
        <v>2.3207021057605744E-2</v>
      </c>
      <c r="DM187">
        <v>-4540600</v>
      </c>
      <c r="DN187">
        <v>3.3152887225151063E-2</v>
      </c>
      <c r="DO187">
        <v>3468339300</v>
      </c>
      <c r="DP187">
        <v>-301378700</v>
      </c>
      <c r="DQ187">
        <v>4297</v>
      </c>
      <c r="DR187">
        <v>1.1026852630638664</v>
      </c>
      <c r="DS187">
        <v>28.988788486732076</v>
      </c>
      <c r="DT187" s="16">
        <v>-0.35666666666666669</v>
      </c>
      <c r="DU187">
        <v>-0.39166666666666677</v>
      </c>
      <c r="DV187">
        <v>-0.74833333333333352</v>
      </c>
      <c r="DW187">
        <v>-8.251584283903675</v>
      </c>
      <c r="DX187">
        <v>0.47675986379242746</v>
      </c>
      <c r="DY187">
        <v>-8.0344066323989818</v>
      </c>
      <c r="DZ187">
        <v>4769</v>
      </c>
      <c r="EA187">
        <v>-8.0022960198919861</v>
      </c>
      <c r="EB187">
        <v>8</v>
      </c>
      <c r="EC187">
        <v>3.2675808025908672E-2</v>
      </c>
      <c r="ED187">
        <v>0.23892834578648323</v>
      </c>
      <c r="EE187" s="17">
        <v>2.0682100000000001</v>
      </c>
      <c r="EF187">
        <v>2.0969099999999998</v>
      </c>
      <c r="EG187">
        <v>34.136759863792427</v>
      </c>
      <c r="EH187" t="s">
        <v>1836</v>
      </c>
      <c r="EI187">
        <v>0</v>
      </c>
      <c r="EJ187">
        <v>0</v>
      </c>
      <c r="EK187" s="19">
        <v>45470</v>
      </c>
      <c r="EL187" s="20">
        <v>-1.92</v>
      </c>
      <c r="EM187" s="20">
        <v>-5.77</v>
      </c>
      <c r="EN187" s="20">
        <v>-3.16</v>
      </c>
      <c r="EO187" s="20">
        <v>5</v>
      </c>
      <c r="EP187" s="20">
        <v>-2.87</v>
      </c>
    </row>
    <row r="188" spans="1:146" ht="84" x14ac:dyDescent="0.25">
      <c r="A188" s="7"/>
      <c r="B188" s="7"/>
      <c r="C188" s="7" t="str">
        <f>""&amp;CHAR(10)&amp;Basic_Fundamental_Information_Constructure(F188)&amp;CHAR(10)&amp;Basic_Fundamental_Information_Concatenate("")</f>
        <v xml:space="preserve">
市值244.76346亿, 利润8798.32万; PE35.15; 平均PE61.19; 平均PEG6.48, PB5.01; ROIC10.2567%; ROE10.43%; 股利率.9901%; 毛利32.3333%; 净利14.7067%; 上一年度营收增21.34%, 利润增-80.45%; 当季营收增22.9%, 利润增425.3%; 过往5年营收增9.44%, 利润增-16.49%
Income profile:
</v>
      </c>
      <c r="D188" t="s">
        <v>1398</v>
      </c>
      <c r="E188" t="s">
        <v>1399</v>
      </c>
      <c r="F188">
        <v>60.6</v>
      </c>
      <c r="G188">
        <v>0.53</v>
      </c>
      <c r="H188" t="s">
        <v>6443</v>
      </c>
      <c r="I188">
        <v>24476346000</v>
      </c>
      <c r="J188">
        <v>35.15</v>
      </c>
      <c r="K188">
        <v>5.01</v>
      </c>
      <c r="L188" t="s">
        <v>172</v>
      </c>
      <c r="M188" t="s">
        <v>1181</v>
      </c>
      <c r="N188" t="s">
        <v>6444</v>
      </c>
      <c r="O188" t="s">
        <v>1489</v>
      </c>
      <c r="P188">
        <v>55.22</v>
      </c>
      <c r="Q188" t="s">
        <v>6445</v>
      </c>
      <c r="R188">
        <v>219057160</v>
      </c>
      <c r="S188" s="5">
        <v>0.66239999999999999</v>
      </c>
      <c r="T188" t="s">
        <v>6446</v>
      </c>
      <c r="U188">
        <v>402388100</v>
      </c>
      <c r="V188">
        <v>403900100</v>
      </c>
      <c r="W188">
        <v>1.34</v>
      </c>
      <c r="X188">
        <v>0.22</v>
      </c>
      <c r="Y188">
        <v>16.29</v>
      </c>
      <c r="Z188" t="s">
        <v>1380</v>
      </c>
      <c r="AA188" t="s">
        <v>1875</v>
      </c>
      <c r="AB188" t="s">
        <v>6447</v>
      </c>
      <c r="AC188" t="s">
        <v>6448</v>
      </c>
      <c r="AD188" t="s">
        <v>19</v>
      </c>
      <c r="AE188">
        <v>12344467</v>
      </c>
      <c r="AF188" t="s">
        <v>6449</v>
      </c>
      <c r="AG188" t="s">
        <v>6450</v>
      </c>
      <c r="AH188" t="s">
        <v>6451</v>
      </c>
      <c r="AI188" t="s">
        <v>97</v>
      </c>
      <c r="AJ188" t="s">
        <v>6452</v>
      </c>
      <c r="AK188" t="s">
        <v>2612</v>
      </c>
      <c r="AL188" t="s">
        <v>6453</v>
      </c>
      <c r="AM188" t="s">
        <v>19</v>
      </c>
      <c r="AN188" t="s">
        <v>6454</v>
      </c>
      <c r="AO188" t="s">
        <v>2336</v>
      </c>
      <c r="AP188" t="s">
        <v>19</v>
      </c>
      <c r="AQ188" t="s">
        <v>318</v>
      </c>
      <c r="AR188" t="s">
        <v>19</v>
      </c>
      <c r="AS188" t="s">
        <v>3603</v>
      </c>
      <c r="AT188" t="s">
        <v>19</v>
      </c>
      <c r="AU188" t="s">
        <v>577</v>
      </c>
      <c r="AV188" t="s">
        <v>6455</v>
      </c>
      <c r="AW188" t="s">
        <v>6456</v>
      </c>
      <c r="AX188" t="s">
        <v>540</v>
      </c>
      <c r="AY188" t="s">
        <v>1785</v>
      </c>
      <c r="AZ188" t="s">
        <v>1400</v>
      </c>
      <c r="BA188" t="s">
        <v>1142</v>
      </c>
      <c r="BB188" t="s">
        <v>1403</v>
      </c>
      <c r="BC188" t="s">
        <v>1230</v>
      </c>
      <c r="BD188" t="s">
        <v>609</v>
      </c>
      <c r="BE188" t="s">
        <v>1401</v>
      </c>
      <c r="BF188" t="s">
        <v>176</v>
      </c>
      <c r="BG188" t="s">
        <v>1137</v>
      </c>
      <c r="BH188" t="s">
        <v>6457</v>
      </c>
      <c r="BI188" t="s">
        <v>2794</v>
      </c>
      <c r="BJ188" t="s">
        <v>540</v>
      </c>
      <c r="BK188" t="s">
        <v>1309</v>
      </c>
      <c r="BL188" t="s">
        <v>6458</v>
      </c>
      <c r="BM188" t="s">
        <v>1230</v>
      </c>
      <c r="BN188">
        <v>9.68</v>
      </c>
      <c r="BO188">
        <v>11.01</v>
      </c>
      <c r="BP188">
        <v>10.08</v>
      </c>
      <c r="BQ188">
        <v>10.46</v>
      </c>
      <c r="BR188">
        <v>10.93</v>
      </c>
      <c r="BS188">
        <v>9.9</v>
      </c>
      <c r="BT188" t="s">
        <v>4028</v>
      </c>
      <c r="BU188" t="s">
        <v>3146</v>
      </c>
      <c r="BV188">
        <v>29.55</v>
      </c>
      <c r="BW188">
        <v>32.89</v>
      </c>
      <c r="BX188">
        <v>34.56</v>
      </c>
      <c r="BY188">
        <v>14.06</v>
      </c>
      <c r="BZ188">
        <v>14.82</v>
      </c>
      <c r="CA188">
        <v>15.24</v>
      </c>
      <c r="CB188">
        <v>-5.53</v>
      </c>
      <c r="CC188">
        <v>-13.13</v>
      </c>
      <c r="CD188" t="s">
        <v>6459</v>
      </c>
      <c r="CE188" t="s">
        <v>6460</v>
      </c>
      <c r="CF188" s="14">
        <v>0.22896790980052037</v>
      </c>
      <c r="CG188" s="15">
        <v>4.2529929450809805</v>
      </c>
      <c r="CH188" s="14">
        <v>0.21335694193840027</v>
      </c>
      <c r="CI188" s="14">
        <v>0.20555751025676727</v>
      </c>
      <c r="CJ188" s="14">
        <v>-3.6719221621751785E-2</v>
      </c>
      <c r="CK188" s="14">
        <v>-2.7378508821129799E-3</v>
      </c>
      <c r="CL188" s="14">
        <v>9.2336371541023254E-2</v>
      </c>
      <c r="CM188" s="15">
        <v>-0.80448180437088013</v>
      </c>
      <c r="CN188" s="15">
        <v>0.15681234002113342</v>
      </c>
      <c r="CO188" s="15">
        <v>-0.24466019868850708</v>
      </c>
      <c r="CP188" s="15">
        <v>8.4210529923439026E-2</v>
      </c>
      <c r="CQ188" s="15">
        <v>-1.6563147306442261E-2</v>
      </c>
      <c r="CR188">
        <v>61.191293339053374</v>
      </c>
      <c r="CS188">
        <v>6.4849622509011215</v>
      </c>
      <c r="CT188">
        <v>0.99009900990099009</v>
      </c>
      <c r="CU188" s="14">
        <v>9.4358750246465201E-2</v>
      </c>
      <c r="CV188" s="15">
        <v>-0.16493645608425139</v>
      </c>
      <c r="CW188">
        <v>0.06</v>
      </c>
      <c r="CX188">
        <v>231.13697925029626</v>
      </c>
      <c r="CY188">
        <v>90835079.994985655</v>
      </c>
      <c r="CZ188">
        <v>9.4358750246465201E-2</v>
      </c>
      <c r="DA188">
        <v>75.255272484728408</v>
      </c>
      <c r="DB188">
        <v>278988372.59888464</v>
      </c>
      <c r="DC188">
        <v>8.9640812734141942E-2</v>
      </c>
      <c r="DD188">
        <v>36.863805060918558</v>
      </c>
      <c r="DE188">
        <v>569538222.2563448</v>
      </c>
      <c r="DF188">
        <v>8.3035700216889372E-2</v>
      </c>
      <c r="DG188">
        <v>22.014067863702262</v>
      </c>
      <c r="DH188">
        <v>953724051.81951976</v>
      </c>
      <c r="DI188">
        <v>7.5487000197172166E-2</v>
      </c>
      <c r="DJ188">
        <v>11.233151001994091</v>
      </c>
      <c r="DK188">
        <v>1869052236.2134132</v>
      </c>
      <c r="DL188">
        <v>6.6051125172525635E-2</v>
      </c>
      <c r="DM188">
        <v>87983200</v>
      </c>
      <c r="DN188">
        <v>9.4358750246465201E-2</v>
      </c>
      <c r="DO188">
        <v>20995346000</v>
      </c>
      <c r="DP188">
        <v>3708225300</v>
      </c>
      <c r="DQ188">
        <v>4303</v>
      </c>
      <c r="DR188">
        <v>0.13460915955405517</v>
      </c>
      <c r="DS188">
        <v>4.4179294011652317</v>
      </c>
      <c r="DT188" s="16">
        <v>-0.12333333333333336</v>
      </c>
      <c r="DU188">
        <v>-0.53666666666666663</v>
      </c>
      <c r="DV188">
        <v>-0.66</v>
      </c>
      <c r="DW188">
        <v>-8.4211728865194218</v>
      </c>
      <c r="DX188">
        <v>0.41362290240815525</v>
      </c>
      <c r="DY188">
        <v>-8.0731252589731231</v>
      </c>
      <c r="DZ188">
        <v>3363</v>
      </c>
      <c r="EA188">
        <v>-8.0249999662281883</v>
      </c>
      <c r="EB188">
        <v>8</v>
      </c>
      <c r="EC188">
        <v>1.2329286375517114E-2</v>
      </c>
      <c r="ED188">
        <v>7.1011866548188529E-2</v>
      </c>
      <c r="EE188" s="17">
        <v>4.0141099999999996</v>
      </c>
      <c r="EF188">
        <v>4.0234100000000002</v>
      </c>
      <c r="EG188">
        <v>24.173622902408155</v>
      </c>
      <c r="EH188" t="s">
        <v>2200</v>
      </c>
      <c r="EI188">
        <v>0</v>
      </c>
      <c r="EJ188">
        <v>0</v>
      </c>
      <c r="EK188" s="19">
        <v>45470</v>
      </c>
      <c r="EL188" s="20">
        <v>5.9</v>
      </c>
      <c r="EM188" s="20">
        <v>-3.68</v>
      </c>
      <c r="EN188" s="20">
        <v>-1.49</v>
      </c>
      <c r="EO188" s="20">
        <v>2.1800000000000002</v>
      </c>
      <c r="EP188" s="20">
        <v>-0.93</v>
      </c>
    </row>
    <row r="189" spans="1:146" ht="84" x14ac:dyDescent="0.25">
      <c r="A189" s="7"/>
      <c r="B189" s="7"/>
      <c r="C189" s="7" t="str">
        <f>""&amp;CHAR(10)&amp;Basic_Fundamental_Information_Constructure(F189)&amp;CHAR(10)&amp;Basic_Fundamental_Information_Concatenate("")</f>
        <v xml:space="preserve">
市值25.764015亿, 利润-5579.26万; PE14.75; 平均PE19.92; 平均PEG1.15, PB1.25; ROIC5.3233%; ROE6.3833%; 股利率5.1948%; 毛利24.4533%; 净利13.12%; 上一年度营收增-70.3%, 利润增-148.52%; 当季营收增559.38%, 利润增3791.28%; 过往5年营收增-17.37%, 利润增-40.97%
Income profile:
</v>
      </c>
      <c r="D189" t="s">
        <v>1405</v>
      </c>
      <c r="E189" t="s">
        <v>1406</v>
      </c>
      <c r="F189">
        <v>11.55</v>
      </c>
      <c r="G189">
        <v>-0.17</v>
      </c>
      <c r="H189" t="s">
        <v>6461</v>
      </c>
      <c r="I189">
        <v>2576401500</v>
      </c>
      <c r="J189">
        <v>14.75</v>
      </c>
      <c r="K189">
        <v>1.25</v>
      </c>
      <c r="L189" t="s">
        <v>172</v>
      </c>
      <c r="M189" t="s">
        <v>581</v>
      </c>
      <c r="N189" t="s">
        <v>6462</v>
      </c>
      <c r="O189" t="s">
        <v>411</v>
      </c>
      <c r="P189">
        <v>40.56</v>
      </c>
      <c r="Q189" t="s">
        <v>1189</v>
      </c>
      <c r="R189">
        <v>40688994</v>
      </c>
      <c r="S189" s="5">
        <v>0.41689999999999999</v>
      </c>
      <c r="T189" t="s">
        <v>6463</v>
      </c>
      <c r="U189">
        <v>223065070</v>
      </c>
      <c r="V189">
        <v>223065070</v>
      </c>
      <c r="W189">
        <v>1.2</v>
      </c>
      <c r="X189">
        <v>0.14000000000000001</v>
      </c>
      <c r="Y189">
        <v>11.64</v>
      </c>
      <c r="Z189" t="s">
        <v>1189</v>
      </c>
      <c r="AA189" t="s">
        <v>59</v>
      </c>
      <c r="AB189" t="s">
        <v>6464</v>
      </c>
      <c r="AC189" t="s">
        <v>6465</v>
      </c>
      <c r="AD189" t="s">
        <v>19</v>
      </c>
      <c r="AE189">
        <v>-4092023</v>
      </c>
      <c r="AF189" t="s">
        <v>6466</v>
      </c>
      <c r="AG189" t="s">
        <v>6467</v>
      </c>
      <c r="AH189" t="s">
        <v>6468</v>
      </c>
      <c r="AI189" t="s">
        <v>4563</v>
      </c>
      <c r="AJ189" t="s">
        <v>6469</v>
      </c>
      <c r="AK189" t="s">
        <v>67</v>
      </c>
      <c r="AL189" t="s">
        <v>6470</v>
      </c>
      <c r="AM189" t="s">
        <v>19</v>
      </c>
      <c r="AN189" t="s">
        <v>345</v>
      </c>
      <c r="AO189" t="s">
        <v>19</v>
      </c>
      <c r="AP189" t="s">
        <v>6471</v>
      </c>
      <c r="AQ189" t="s">
        <v>415</v>
      </c>
      <c r="AR189" t="s">
        <v>19</v>
      </c>
      <c r="AS189" t="s">
        <v>592</v>
      </c>
      <c r="AT189" t="s">
        <v>19</v>
      </c>
      <c r="AU189" t="s">
        <v>6193</v>
      </c>
      <c r="AV189" t="s">
        <v>406</v>
      </c>
      <c r="AW189" t="s">
        <v>19</v>
      </c>
      <c r="AX189" t="s">
        <v>1397</v>
      </c>
      <c r="AY189" t="s">
        <v>781</v>
      </c>
      <c r="AZ189" t="s">
        <v>180</v>
      </c>
      <c r="BA189" t="s">
        <v>1043</v>
      </c>
      <c r="BB189" t="s">
        <v>1408</v>
      </c>
      <c r="BC189" t="s">
        <v>103</v>
      </c>
      <c r="BD189" t="s">
        <v>128</v>
      </c>
      <c r="BE189" t="s">
        <v>146</v>
      </c>
      <c r="BF189" t="s">
        <v>628</v>
      </c>
      <c r="BG189" t="s">
        <v>535</v>
      </c>
      <c r="BH189" t="s">
        <v>2290</v>
      </c>
      <c r="BI189" t="s">
        <v>6472</v>
      </c>
      <c r="BJ189" t="s">
        <v>1397</v>
      </c>
      <c r="BK189" t="s">
        <v>144</v>
      </c>
      <c r="BL189" t="s">
        <v>6473</v>
      </c>
      <c r="BM189" t="s">
        <v>103</v>
      </c>
      <c r="BN189">
        <v>4.99</v>
      </c>
      <c r="BO189">
        <v>4.8499999999999996</v>
      </c>
      <c r="BP189">
        <v>6.13</v>
      </c>
      <c r="BQ189">
        <v>5.61</v>
      </c>
      <c r="BR189">
        <v>5.91</v>
      </c>
      <c r="BS189">
        <v>7.63</v>
      </c>
      <c r="BT189" t="s">
        <v>4028</v>
      </c>
      <c r="BU189" t="s">
        <v>2920</v>
      </c>
      <c r="BV189">
        <v>24.15</v>
      </c>
      <c r="BW189">
        <v>23.19</v>
      </c>
      <c r="BX189">
        <v>26.02</v>
      </c>
      <c r="BY189">
        <v>12.86</v>
      </c>
      <c r="BZ189">
        <v>11.06</v>
      </c>
      <c r="CA189">
        <v>15.44</v>
      </c>
      <c r="CB189">
        <v>-5.94</v>
      </c>
      <c r="CC189">
        <v>-8.48</v>
      </c>
      <c r="CD189" t="s">
        <v>6474</v>
      </c>
      <c r="CE189" t="s">
        <v>6475</v>
      </c>
      <c r="CF189" s="14">
        <v>5.5938259872317833</v>
      </c>
      <c r="CG189" s="15">
        <v>37.912813208745348</v>
      </c>
      <c r="CH189" s="14">
        <v>-0.70298939943313599</v>
      </c>
      <c r="CI189" s="14">
        <v>0.10084925591945648</v>
      </c>
      <c r="CJ189" s="14">
        <v>5.7239055633544922E-2</v>
      </c>
      <c r="CK189" s="14">
        <v>-5.6144066154956818E-2</v>
      </c>
      <c r="CL189" s="14">
        <v>-0.26764929294586182</v>
      </c>
      <c r="CM189" s="15">
        <v>-1.4851530790328979</v>
      </c>
      <c r="CN189" s="15">
        <v>-0.20689655840396881</v>
      </c>
      <c r="CO189" s="15">
        <v>-0.18994413316249847</v>
      </c>
      <c r="CP189" s="15">
        <v>5.6179775856435299E-3</v>
      </c>
      <c r="CQ189" s="15">
        <v>-0.17209301888942719</v>
      </c>
      <c r="CR189">
        <v>19.915307429431877</v>
      </c>
      <c r="CS189">
        <v>1.1462780439454412</v>
      </c>
      <c r="CT189">
        <v>5.1948051948051948</v>
      </c>
      <c r="CU189" s="14">
        <v>-0.17373888939619064</v>
      </c>
      <c r="CV189" s="15">
        <v>-0.40969376238062977</v>
      </c>
      <c r="CW189">
        <v>0.06</v>
      </c>
      <c r="CX189" t="e">
        <v>#VALUE!</v>
      </c>
      <c r="CY189" t="s">
        <v>1835</v>
      </c>
      <c r="CZ189">
        <v>-0.17373888939619064</v>
      </c>
      <c r="DA189" t="e">
        <v>#VALUE!</v>
      </c>
      <c r="DB189" t="s">
        <v>1835</v>
      </c>
      <c r="DC189">
        <v>-0.16505194492638112</v>
      </c>
      <c r="DD189" t="e">
        <v>#VALUE!</v>
      </c>
      <c r="DE189" t="s">
        <v>1835</v>
      </c>
      <c r="DF189">
        <v>-0.15289022266864777</v>
      </c>
      <c r="DG189" t="e">
        <v>#VALUE!</v>
      </c>
      <c r="DH189" t="s">
        <v>1835</v>
      </c>
      <c r="DI189">
        <v>-0.13899111151695251</v>
      </c>
      <c r="DJ189" t="e">
        <v>#VALUE!</v>
      </c>
      <c r="DK189" t="s">
        <v>1835</v>
      </c>
      <c r="DL189">
        <v>-0.12161722257733344</v>
      </c>
      <c r="DM189">
        <v>-55792600</v>
      </c>
      <c r="DN189">
        <v>-0.17373888939619064</v>
      </c>
      <c r="DO189">
        <v>1026401500.0000002</v>
      </c>
      <c r="DP189">
        <v>1356413400</v>
      </c>
      <c r="DQ189">
        <v>4305</v>
      </c>
      <c r="DR189">
        <v>5.7675648766279739</v>
      </c>
      <c r="DS189">
        <v>38.322506971125975</v>
      </c>
      <c r="DT189" s="16">
        <v>-0.87333333333333341</v>
      </c>
      <c r="DU189">
        <v>-1.3533333333333333</v>
      </c>
      <c r="DV189">
        <v>-2.2266666666666666</v>
      </c>
      <c r="DW189">
        <v>-8.7004716981132084</v>
      </c>
      <c r="DX189">
        <v>0.34107055419541665</v>
      </c>
      <c r="DY189">
        <v>-8.0707970627265055</v>
      </c>
      <c r="DZ189">
        <v>4630</v>
      </c>
      <c r="EA189">
        <v>-8.006650213328518</v>
      </c>
      <c r="EB189">
        <v>8</v>
      </c>
      <c r="EC189">
        <v>4.0715473740465059E-2</v>
      </c>
      <c r="ED189">
        <v>0.40284209446149505</v>
      </c>
      <c r="EE189" s="17">
        <v>7.1309999999999998E-2</v>
      </c>
      <c r="EF189">
        <v>8.8209999999999997E-2</v>
      </c>
      <c r="EG189">
        <v>24.101070554195417</v>
      </c>
      <c r="EH189">
        <v>-1</v>
      </c>
      <c r="EI189">
        <v>0</v>
      </c>
      <c r="EJ189">
        <v>0</v>
      </c>
      <c r="EK189" s="19">
        <v>45470</v>
      </c>
      <c r="EL189" s="20">
        <v>-0.92</v>
      </c>
      <c r="EM189" s="20">
        <v>-4.6399999999999997</v>
      </c>
      <c r="EN189" s="20">
        <v>1.95</v>
      </c>
      <c r="EO189" s="20">
        <v>3.66</v>
      </c>
      <c r="EP189" s="20">
        <v>-1.69</v>
      </c>
    </row>
    <row r="190" spans="1:146" ht="84" x14ac:dyDescent="0.25">
      <c r="A190" s="7"/>
      <c r="B190" s="7"/>
      <c r="C190" s="7" t="str">
        <f>""&amp;CHAR(10)&amp;Basic_Fundamental_Information_Constructure(F190)&amp;CHAR(10)&amp;Basic_Fundamental_Information_Concatenate("")</f>
        <v xml:space="preserve">
市值47.581073亿, 利润-3915.94万; PE21.78; 平均PE34.32; 平均PEG5.28, PB2.13; ROIC6.9867%; ROE9.6533%; 股利率2.445%; 毛利33.6233%; 净利13.16%; 上一年度营收增-18.75%, 利润增-118.56%; 当季营收增37.88%, 利润增668.25%; 过往5年营收增6.49%, 利润增-15.84%
Income profile:
</v>
      </c>
      <c r="D190" t="s">
        <v>1410</v>
      </c>
      <c r="E190" t="s">
        <v>1411</v>
      </c>
      <c r="F190">
        <v>8.18</v>
      </c>
      <c r="G190">
        <v>0.37</v>
      </c>
      <c r="H190" t="s">
        <v>6476</v>
      </c>
      <c r="I190">
        <v>4758107300</v>
      </c>
      <c r="J190">
        <v>21.78</v>
      </c>
      <c r="K190">
        <v>2.13</v>
      </c>
      <c r="L190" t="s">
        <v>172</v>
      </c>
      <c r="M190" t="s">
        <v>6477</v>
      </c>
      <c r="N190" t="s">
        <v>2746</v>
      </c>
      <c r="O190" t="s">
        <v>1846</v>
      </c>
      <c r="P190">
        <v>44.21</v>
      </c>
      <c r="Q190" t="s">
        <v>2603</v>
      </c>
      <c r="R190">
        <v>79785993</v>
      </c>
      <c r="S190" s="5">
        <v>0.84189999999999998</v>
      </c>
      <c r="T190" t="s">
        <v>6478</v>
      </c>
      <c r="U190">
        <v>581675710</v>
      </c>
      <c r="V190">
        <v>581675710</v>
      </c>
      <c r="W190">
        <v>2.29</v>
      </c>
      <c r="X190">
        <v>0.1</v>
      </c>
      <c r="Y190">
        <v>14.58</v>
      </c>
      <c r="Z190" t="s">
        <v>1916</v>
      </c>
      <c r="AA190" t="s">
        <v>105</v>
      </c>
      <c r="AB190" t="s">
        <v>6479</v>
      </c>
      <c r="AC190" t="s">
        <v>6480</v>
      </c>
      <c r="AD190" t="s">
        <v>19</v>
      </c>
      <c r="AE190">
        <v>22795366</v>
      </c>
      <c r="AF190" t="s">
        <v>6481</v>
      </c>
      <c r="AG190" t="s">
        <v>6482</v>
      </c>
      <c r="AH190" t="s">
        <v>6483</v>
      </c>
      <c r="AI190" t="s">
        <v>68</v>
      </c>
      <c r="AJ190" t="s">
        <v>6484</v>
      </c>
      <c r="AK190" t="s">
        <v>6485</v>
      </c>
      <c r="AL190" t="s">
        <v>6486</v>
      </c>
      <c r="AM190" t="s">
        <v>19</v>
      </c>
      <c r="AN190" t="s">
        <v>2637</v>
      </c>
      <c r="AO190" t="s">
        <v>1568</v>
      </c>
      <c r="AP190" t="s">
        <v>34</v>
      </c>
      <c r="AQ190" t="s">
        <v>681</v>
      </c>
      <c r="AR190" t="s">
        <v>19</v>
      </c>
      <c r="AS190" t="s">
        <v>6487</v>
      </c>
      <c r="AT190" t="s">
        <v>6488</v>
      </c>
      <c r="AU190" t="s">
        <v>224</v>
      </c>
      <c r="AV190" t="s">
        <v>2017</v>
      </c>
      <c r="AW190" t="s">
        <v>2299</v>
      </c>
      <c r="AX190" t="s">
        <v>290</v>
      </c>
      <c r="AY190" t="s">
        <v>466</v>
      </c>
      <c r="AZ190" t="s">
        <v>1412</v>
      </c>
      <c r="BA190" t="s">
        <v>1413</v>
      </c>
      <c r="BB190" t="s">
        <v>1414</v>
      </c>
      <c r="BC190" t="s">
        <v>714</v>
      </c>
      <c r="BD190" t="s">
        <v>245</v>
      </c>
      <c r="BE190" t="s">
        <v>292</v>
      </c>
      <c r="BF190" t="s">
        <v>175</v>
      </c>
      <c r="BG190" t="s">
        <v>209</v>
      </c>
      <c r="BH190" t="s">
        <v>2732</v>
      </c>
      <c r="BI190" t="s">
        <v>1117</v>
      </c>
      <c r="BJ190" t="s">
        <v>290</v>
      </c>
      <c r="BK190" t="s">
        <v>56</v>
      </c>
      <c r="BL190" t="s">
        <v>6489</v>
      </c>
      <c r="BM190" t="s">
        <v>714</v>
      </c>
      <c r="BN190">
        <v>4.9400000000000004</v>
      </c>
      <c r="BO190">
        <v>7.27</v>
      </c>
      <c r="BP190">
        <v>8.75</v>
      </c>
      <c r="BQ190">
        <v>6.85</v>
      </c>
      <c r="BR190">
        <v>10.99</v>
      </c>
      <c r="BS190">
        <v>11.12</v>
      </c>
      <c r="BT190" t="s">
        <v>6490</v>
      </c>
      <c r="BU190" t="s">
        <v>2920</v>
      </c>
      <c r="BV190">
        <v>31.06</v>
      </c>
      <c r="BW190">
        <v>34.549999999999997</v>
      </c>
      <c r="BX190">
        <v>35.26</v>
      </c>
      <c r="BY190">
        <v>9.3000000000000007</v>
      </c>
      <c r="BZ190">
        <v>14.86</v>
      </c>
      <c r="CA190">
        <v>15.32</v>
      </c>
      <c r="CB190">
        <v>1.24</v>
      </c>
      <c r="CC190">
        <v>-2.0499999999999998</v>
      </c>
      <c r="CD190" t="s">
        <v>6491</v>
      </c>
      <c r="CE190" t="s">
        <v>937</v>
      </c>
      <c r="CF190" s="14">
        <v>0.37878787878787878</v>
      </c>
      <c r="CG190" s="15">
        <v>6.6825151655208277</v>
      </c>
      <c r="CH190" s="14">
        <v>-0.1875</v>
      </c>
      <c r="CI190" s="14">
        <v>1.9390581175684929E-2</v>
      </c>
      <c r="CJ190" s="14">
        <v>0.23313400149345398</v>
      </c>
      <c r="CK190" s="14">
        <v>0.26185351610183716</v>
      </c>
      <c r="CL190" s="14">
        <v>-2.1505376789718866E-3</v>
      </c>
      <c r="CM190" s="15">
        <v>-1.1855895519256592</v>
      </c>
      <c r="CN190" s="15">
        <v>5.4999999701976776E-2</v>
      </c>
      <c r="CO190" s="15">
        <v>0.12994350492954254</v>
      </c>
      <c r="CP190" s="15">
        <v>0.45081967115402222</v>
      </c>
      <c r="CQ190" s="15">
        <v>-0.24223601818084717</v>
      </c>
      <c r="CR190">
        <v>34.319849019151022</v>
      </c>
      <c r="CS190">
        <v>5.2844065504848343</v>
      </c>
      <c r="CT190">
        <v>2.4449877750611249</v>
      </c>
      <c r="CU190" s="14">
        <v>6.4945512218400836E-2</v>
      </c>
      <c r="CV190" s="15">
        <v>-0.15841247886419296</v>
      </c>
      <c r="CW190">
        <v>0.06</v>
      </c>
      <c r="CX190" t="e">
        <v>#VALUE!</v>
      </c>
      <c r="CY190" t="s">
        <v>1835</v>
      </c>
      <c r="CZ190">
        <v>6.4945512218400836E-2</v>
      </c>
      <c r="DA190" t="e">
        <v>#VALUE!</v>
      </c>
      <c r="DB190" t="s">
        <v>1835</v>
      </c>
      <c r="DC190">
        <v>6.1698236607480791E-2</v>
      </c>
      <c r="DD190" t="e">
        <v>#VALUE!</v>
      </c>
      <c r="DE190" t="s">
        <v>1835</v>
      </c>
      <c r="DF190">
        <v>5.7152050752192735E-2</v>
      </c>
      <c r="DG190" t="e">
        <v>#VALUE!</v>
      </c>
      <c r="DH190" t="s">
        <v>1835</v>
      </c>
      <c r="DI190">
        <v>5.1956409774720672E-2</v>
      </c>
      <c r="DJ190" t="e">
        <v>#VALUE!</v>
      </c>
      <c r="DK190" t="s">
        <v>1835</v>
      </c>
      <c r="DL190">
        <v>4.5461858552880582E-2</v>
      </c>
      <c r="DM190">
        <v>-39159400</v>
      </c>
      <c r="DN190">
        <v>6.4945512218400836E-2</v>
      </c>
      <c r="DO190">
        <v>5491107300</v>
      </c>
      <c r="DP190">
        <v>513495100</v>
      </c>
      <c r="DQ190">
        <v>4316</v>
      </c>
      <c r="DR190">
        <v>0.31384236656947795</v>
      </c>
      <c r="DS190">
        <v>6.8409276443850207</v>
      </c>
      <c r="DT190" s="16">
        <v>-0.35666666666666669</v>
      </c>
      <c r="DU190">
        <v>-0.95333333333333348</v>
      </c>
      <c r="DV190">
        <v>-1.31</v>
      </c>
      <c r="DW190">
        <v>-2.0499999999999997E-2</v>
      </c>
      <c r="DX190">
        <v>0.30952254335260065</v>
      </c>
      <c r="DY190">
        <v>-3.6802121387283231E-3</v>
      </c>
      <c r="DZ190">
        <v>4451</v>
      </c>
      <c r="EA190">
        <v>-4.7461052826261549E-4</v>
      </c>
      <c r="EB190">
        <v>0</v>
      </c>
      <c r="EC190">
        <v>0.10678596154548037</v>
      </c>
      <c r="ED190">
        <v>0.59483315884034427</v>
      </c>
      <c r="EE190" s="17">
        <v>-1.0967100000000001</v>
      </c>
      <c r="EF190">
        <v>-1.1189100000000001</v>
      </c>
      <c r="EG190">
        <v>13.179522543352601</v>
      </c>
      <c r="EH190" t="s">
        <v>1838</v>
      </c>
      <c r="EI190">
        <v>0</v>
      </c>
      <c r="EJ190">
        <v>0</v>
      </c>
      <c r="EK190" s="19">
        <v>45470</v>
      </c>
      <c r="EL190" s="20">
        <v>-1.04</v>
      </c>
      <c r="EM190" s="20">
        <v>-4.68</v>
      </c>
      <c r="EN190" s="20">
        <v>1.6</v>
      </c>
      <c r="EO190" s="20">
        <v>3.63</v>
      </c>
      <c r="EP190" s="20">
        <v>-2.2200000000000002</v>
      </c>
    </row>
    <row r="191" spans="1:146" ht="84" x14ac:dyDescent="0.25">
      <c r="A191" s="7"/>
      <c r="B191" s="7"/>
      <c r="C191" s="7" t="str">
        <f>""&amp;CHAR(10)&amp;Basic_Fundamental_Information_Constructure(F191)&amp;CHAR(10)&amp;Basic_Fundamental_Information_Concatenate("")</f>
        <v xml:space="preserve">
市值21.566272亿, 利润2562.00万; PE55.91; 平均PE31.76; 平均PEG3.24, PB.952; ROIC4.9367%; ROE5.2%; 股利率1.8904%; 毛利25.7867%; 净利8.1067%; 上一年度营收增36.06%, 利润增-56.53%; 当季营收增-14.45%, 利润增79.99%; 过往5年营收增9.81%, 利润增-20.01%
Income profile:
</v>
      </c>
      <c r="D191" t="s">
        <v>1415</v>
      </c>
      <c r="E191" t="s">
        <v>1416</v>
      </c>
      <c r="F191">
        <v>10.58</v>
      </c>
      <c r="G191">
        <v>1.83</v>
      </c>
      <c r="H191" t="s">
        <v>6492</v>
      </c>
      <c r="I191">
        <v>2156627200</v>
      </c>
      <c r="J191">
        <v>55.91</v>
      </c>
      <c r="K191">
        <v>0.95199999999999996</v>
      </c>
      <c r="L191" t="s">
        <v>172</v>
      </c>
      <c r="M191" t="s">
        <v>2124</v>
      </c>
      <c r="N191" t="s">
        <v>2887</v>
      </c>
      <c r="O191" t="s">
        <v>28</v>
      </c>
      <c r="P191">
        <v>17.350000000000001</v>
      </c>
      <c r="Q191" t="s">
        <v>2581</v>
      </c>
      <c r="R191">
        <v>8134786</v>
      </c>
      <c r="S191" s="5">
        <v>-0.38529999999999998</v>
      </c>
      <c r="T191" t="s">
        <v>6493</v>
      </c>
      <c r="U191">
        <v>156800000</v>
      </c>
      <c r="V191">
        <v>203840000</v>
      </c>
      <c r="W191">
        <v>1.22</v>
      </c>
      <c r="X191">
        <v>0.08</v>
      </c>
      <c r="Y191">
        <v>5.49</v>
      </c>
      <c r="Z191" t="s">
        <v>115</v>
      </c>
      <c r="AA191" t="s">
        <v>229</v>
      </c>
      <c r="AB191" t="s">
        <v>6494</v>
      </c>
      <c r="AC191" t="s">
        <v>6495</v>
      </c>
      <c r="AD191" t="s">
        <v>19</v>
      </c>
      <c r="AE191">
        <v>-868583</v>
      </c>
      <c r="AF191" t="s">
        <v>6496</v>
      </c>
      <c r="AG191" t="s">
        <v>6497</v>
      </c>
      <c r="AH191" t="s">
        <v>6498</v>
      </c>
      <c r="AI191" t="s">
        <v>721</v>
      </c>
      <c r="AJ191" t="s">
        <v>6499</v>
      </c>
      <c r="AK191" t="s">
        <v>6500</v>
      </c>
      <c r="AL191" t="s">
        <v>6501</v>
      </c>
      <c r="AM191" t="s">
        <v>19</v>
      </c>
      <c r="AN191" t="s">
        <v>6502</v>
      </c>
      <c r="AO191" t="s">
        <v>6503</v>
      </c>
      <c r="AP191" t="s">
        <v>6504</v>
      </c>
      <c r="AQ191" t="s">
        <v>620</v>
      </c>
      <c r="AR191" t="s">
        <v>19</v>
      </c>
      <c r="AS191" t="s">
        <v>158</v>
      </c>
      <c r="AT191" t="s">
        <v>19</v>
      </c>
      <c r="AU191" t="s">
        <v>6505</v>
      </c>
      <c r="AV191" t="s">
        <v>6506</v>
      </c>
      <c r="AW191" t="s">
        <v>916</v>
      </c>
      <c r="AX191" t="s">
        <v>2336</v>
      </c>
      <c r="AY191" t="s">
        <v>955</v>
      </c>
      <c r="AZ191" t="s">
        <v>936</v>
      </c>
      <c r="BA191" t="s">
        <v>806</v>
      </c>
      <c r="BB191" t="s">
        <v>160</v>
      </c>
      <c r="BC191" t="s">
        <v>6507</v>
      </c>
      <c r="BD191" t="s">
        <v>1786</v>
      </c>
      <c r="BE191" t="s">
        <v>1787</v>
      </c>
      <c r="BF191" t="s">
        <v>1418</v>
      </c>
      <c r="BG191" t="s">
        <v>1419</v>
      </c>
      <c r="BH191" t="s">
        <v>2518</v>
      </c>
      <c r="BI191" t="s">
        <v>848</v>
      </c>
      <c r="BJ191" t="s">
        <v>2336</v>
      </c>
      <c r="BK191" t="s">
        <v>6508</v>
      </c>
      <c r="BL191" t="s">
        <v>6509</v>
      </c>
      <c r="BM191" t="s">
        <v>6507</v>
      </c>
      <c r="BN191">
        <v>3.29</v>
      </c>
      <c r="BO191">
        <v>5.49</v>
      </c>
      <c r="BP191">
        <v>6.03</v>
      </c>
      <c r="BQ191">
        <v>3.86</v>
      </c>
      <c r="BR191">
        <v>5.6</v>
      </c>
      <c r="BS191">
        <v>6.14</v>
      </c>
      <c r="BT191" t="s">
        <v>1989</v>
      </c>
      <c r="BU191" t="s">
        <v>3125</v>
      </c>
      <c r="BV191">
        <v>26.09</v>
      </c>
      <c r="BW191">
        <v>26.06</v>
      </c>
      <c r="BX191">
        <v>25.21</v>
      </c>
      <c r="BY191">
        <v>6.5</v>
      </c>
      <c r="BZ191">
        <v>8.6</v>
      </c>
      <c r="CA191">
        <v>9.2200000000000006</v>
      </c>
      <c r="CB191">
        <v>-2.2200000000000002</v>
      </c>
      <c r="CC191">
        <v>-16.43</v>
      </c>
      <c r="CD191" t="s">
        <v>6510</v>
      </c>
      <c r="CE191" t="s">
        <v>6511</v>
      </c>
      <c r="CF191" s="14">
        <v>-0.14450867052023122</v>
      </c>
      <c r="CG191" s="15">
        <v>0.79989069829188419</v>
      </c>
      <c r="CH191" s="14">
        <v>0.36058393120765686</v>
      </c>
      <c r="CI191" s="14">
        <v>-2.6988636702299118E-2</v>
      </c>
      <c r="CJ191" s="14">
        <v>-1.8131101503968239E-2</v>
      </c>
      <c r="CK191" s="14">
        <v>0.17348608374595642</v>
      </c>
      <c r="CL191" s="14">
        <v>1.6393442638218403E-3</v>
      </c>
      <c r="CM191" s="15">
        <v>-0.56527417898178101</v>
      </c>
      <c r="CN191" s="15">
        <v>-9.1955848038196564E-2</v>
      </c>
      <c r="CO191" s="15">
        <v>-0.22983592748641968</v>
      </c>
      <c r="CP191" s="15">
        <v>0.11025898903608322</v>
      </c>
      <c r="CQ191" s="15">
        <v>-0.22357727587223053</v>
      </c>
      <c r="CR191">
        <v>31.763015096790603</v>
      </c>
      <c r="CS191">
        <v>3.2372286057869486</v>
      </c>
      <c r="CT191">
        <v>1.890359168241966</v>
      </c>
      <c r="CU191" s="14">
        <v>9.8117924202233558E-2</v>
      </c>
      <c r="CV191" s="15">
        <v>-0.20007684826850891</v>
      </c>
      <c r="CW191">
        <v>0.06</v>
      </c>
      <c r="CX191">
        <v>29.788560076737291</v>
      </c>
      <c r="CY191">
        <v>26541303.035906814</v>
      </c>
      <c r="CZ191">
        <v>9.8117924202233558E-2</v>
      </c>
      <c r="DA191">
        <v>9.6679973497998759</v>
      </c>
      <c r="DB191">
        <v>81777763.418229088</v>
      </c>
      <c r="DC191">
        <v>9.3212027992121874E-2</v>
      </c>
      <c r="DD191">
        <v>4.7156852962201237</v>
      </c>
      <c r="DE191">
        <v>167659025.21818629</v>
      </c>
      <c r="DF191">
        <v>8.6343773297965526E-2</v>
      </c>
      <c r="DG191">
        <v>2.8024685752820275</v>
      </c>
      <c r="DH191">
        <v>282118132.19723076</v>
      </c>
      <c r="DI191">
        <v>7.8494339361786847E-2</v>
      </c>
      <c r="DJ191">
        <v>1.4147584838358092</v>
      </c>
      <c r="DK191">
        <v>558842522.61657178</v>
      </c>
      <c r="DL191">
        <v>6.8682546941563491E-2</v>
      </c>
      <c r="DM191">
        <v>25620000</v>
      </c>
      <c r="DN191">
        <v>9.8117924202233558E-2</v>
      </c>
      <c r="DO191">
        <v>790627200</v>
      </c>
      <c r="DP191">
        <v>1228582800</v>
      </c>
      <c r="DQ191">
        <v>4378</v>
      </c>
      <c r="DR191">
        <v>-0.24262659472246478</v>
      </c>
      <c r="DS191">
        <v>0.99996754656039311</v>
      </c>
      <c r="DT191" s="16">
        <v>-0.1566666666666667</v>
      </c>
      <c r="DU191">
        <v>-0.62</v>
      </c>
      <c r="DV191">
        <v>-0.77666666666666673</v>
      </c>
      <c r="DW191">
        <v>-3.004863095238095</v>
      </c>
      <c r="DX191">
        <v>0.46225263850014814</v>
      </c>
      <c r="DY191">
        <v>-3.0006431571765155</v>
      </c>
      <c r="DZ191">
        <v>3951</v>
      </c>
      <c r="EA191">
        <v>-3.0001458745924818</v>
      </c>
      <c r="EB191">
        <v>3</v>
      </c>
      <c r="EC191">
        <v>2.8813284929356357E-2</v>
      </c>
      <c r="ED191">
        <v>0.21786548273155415</v>
      </c>
      <c r="EE191" s="17">
        <v>5.0274000000000001</v>
      </c>
      <c r="EF191">
        <v>5.0080999999999998</v>
      </c>
      <c r="EG191">
        <v>33.132252638500148</v>
      </c>
      <c r="EH191" t="s">
        <v>2856</v>
      </c>
      <c r="EI191">
        <v>0</v>
      </c>
      <c r="EJ191">
        <v>0</v>
      </c>
      <c r="EK191" s="19">
        <v>45470</v>
      </c>
      <c r="EL191" s="20">
        <v>-0.91</v>
      </c>
      <c r="EM191" s="20">
        <v>-4.59</v>
      </c>
      <c r="EN191">
        <v>-2.21</v>
      </c>
      <c r="EO191">
        <v>7.18</v>
      </c>
      <c r="EP191">
        <v>-1.93</v>
      </c>
    </row>
    <row r="192" spans="1:146" ht="84" x14ac:dyDescent="0.25">
      <c r="A192" s="7"/>
      <c r="B192" s="7"/>
      <c r="C192" s="7" t="str">
        <f>""&amp;CHAR(10)&amp;Basic_Fundamental_Information_Constructure(F192)&amp;CHAR(10)&amp;Basic_Fundamental_Information_Concatenate("")</f>
        <v xml:space="preserve">
市值31.5264亿, 利润9829.05万; PE1099; 平均PE235.92; 平均PEG4.38, PB3.11; ROIC1.68%; ROE-1.38%; 股利率.0812%; 毛利12.8567%; 净利.9%; 上一年度营收增326.36%, 利润增924.06%; 当季营收增-63.82%, 利润增-171.84%; 过往5年营收增53.82%, 利润增152.9%
Income profile:
</v>
      </c>
      <c r="D192" t="s">
        <v>1420</v>
      </c>
      <c r="E192" t="s">
        <v>1421</v>
      </c>
      <c r="F192">
        <v>24.63</v>
      </c>
      <c r="G192">
        <v>3.1</v>
      </c>
      <c r="H192" t="s">
        <v>6512</v>
      </c>
      <c r="I192">
        <v>3152640000</v>
      </c>
      <c r="J192">
        <v>1099</v>
      </c>
      <c r="K192">
        <v>3.11</v>
      </c>
      <c r="L192" t="s">
        <v>172</v>
      </c>
      <c r="M192" t="s">
        <v>6513</v>
      </c>
      <c r="N192" t="s">
        <v>6514</v>
      </c>
      <c r="O192" t="s">
        <v>56</v>
      </c>
      <c r="P192">
        <v>126.13</v>
      </c>
      <c r="Q192" t="s">
        <v>6515</v>
      </c>
      <c r="R192">
        <v>-16402355</v>
      </c>
      <c r="S192" s="5">
        <v>-0.2492</v>
      </c>
      <c r="T192" t="s">
        <v>6516</v>
      </c>
      <c r="U192">
        <v>128000000</v>
      </c>
      <c r="V192">
        <v>128000000</v>
      </c>
      <c r="W192">
        <v>1.81</v>
      </c>
      <c r="X192">
        <v>0.11</v>
      </c>
      <c r="Y192">
        <v>-9.0399999999999991</v>
      </c>
      <c r="Z192" t="s">
        <v>208</v>
      </c>
      <c r="AA192" t="s">
        <v>848</v>
      </c>
      <c r="AB192" t="s">
        <v>6517</v>
      </c>
      <c r="AC192" t="s">
        <v>6518</v>
      </c>
      <c r="AD192" t="s">
        <v>19</v>
      </c>
      <c r="AE192">
        <v>-162388</v>
      </c>
      <c r="AF192" t="s">
        <v>6519</v>
      </c>
      <c r="AG192">
        <v>100.89</v>
      </c>
      <c r="AH192" t="s">
        <v>6520</v>
      </c>
      <c r="AI192" t="s">
        <v>747</v>
      </c>
      <c r="AJ192" t="s">
        <v>6521</v>
      </c>
      <c r="AK192" t="s">
        <v>6522</v>
      </c>
      <c r="AL192" t="s">
        <v>6523</v>
      </c>
      <c r="AM192" t="s">
        <v>19</v>
      </c>
      <c r="AN192" t="s">
        <v>6524</v>
      </c>
      <c r="AO192" t="s">
        <v>6525</v>
      </c>
      <c r="AP192" t="s">
        <v>131</v>
      </c>
      <c r="AQ192" t="s">
        <v>535</v>
      </c>
      <c r="AR192" t="s">
        <v>19</v>
      </c>
      <c r="AS192" t="s">
        <v>853</v>
      </c>
      <c r="AT192" t="s">
        <v>19</v>
      </c>
      <c r="AU192" t="s">
        <v>6526</v>
      </c>
      <c r="AV192" t="s">
        <v>946</v>
      </c>
      <c r="AW192" t="s">
        <v>6527</v>
      </c>
      <c r="AX192" t="s">
        <v>70</v>
      </c>
      <c r="AY192" t="s">
        <v>1401</v>
      </c>
      <c r="AZ192" t="s">
        <v>133</v>
      </c>
      <c r="BA192" t="s">
        <v>1045</v>
      </c>
      <c r="BB192" t="s">
        <v>83</v>
      </c>
      <c r="BC192" t="s">
        <v>2366</v>
      </c>
      <c r="BD192" t="s">
        <v>1788</v>
      </c>
      <c r="BE192" t="s">
        <v>1423</v>
      </c>
      <c r="BF192" t="s">
        <v>1425</v>
      </c>
      <c r="BG192" t="s">
        <v>1426</v>
      </c>
      <c r="BH192" t="s">
        <v>159</v>
      </c>
      <c r="BI192" t="s">
        <v>184</v>
      </c>
      <c r="BJ192" t="s">
        <v>70</v>
      </c>
      <c r="BK192" t="s">
        <v>6528</v>
      </c>
      <c r="BL192" t="s">
        <v>6529</v>
      </c>
      <c r="BM192" t="s">
        <v>2366</v>
      </c>
      <c r="BN192" t="s">
        <v>19</v>
      </c>
      <c r="BO192" t="s">
        <v>19</v>
      </c>
      <c r="BP192">
        <v>1.68</v>
      </c>
      <c r="BQ192">
        <v>-4.83</v>
      </c>
      <c r="BR192">
        <v>-1.1399999999999999</v>
      </c>
      <c r="BS192">
        <v>1.83</v>
      </c>
      <c r="BT192" t="s">
        <v>6530</v>
      </c>
      <c r="BU192" t="s">
        <v>3125</v>
      </c>
      <c r="BV192">
        <v>12.99</v>
      </c>
      <c r="BW192">
        <v>11.78</v>
      </c>
      <c r="BX192">
        <v>13.8</v>
      </c>
      <c r="BY192">
        <v>1.29</v>
      </c>
      <c r="BZ192">
        <v>-2.31</v>
      </c>
      <c r="CA192">
        <v>3.72</v>
      </c>
      <c r="CB192">
        <v>0.12</v>
      </c>
      <c r="CC192">
        <v>-6.53</v>
      </c>
      <c r="CD192" t="s">
        <v>6531</v>
      </c>
      <c r="CE192" t="s">
        <v>6532</v>
      </c>
      <c r="CF192" s="14">
        <v>-0.63817097415506963</v>
      </c>
      <c r="CG192" s="15">
        <v>-1.7184341697801644</v>
      </c>
      <c r="CH192" s="14">
        <v>3.2635657787322998</v>
      </c>
      <c r="CI192" s="14">
        <v>1.9417476141825318E-3</v>
      </c>
      <c r="CJ192" s="14">
        <v>9.5744684338569641E-2</v>
      </c>
      <c r="CK192" s="14">
        <v>-0.3880208432674408</v>
      </c>
      <c r="CL192" s="14">
        <v>-0.28224298357963562</v>
      </c>
      <c r="CM192" s="15">
        <v>9.2405929565429687</v>
      </c>
      <c r="CN192" s="15">
        <v>-1.6230106353759766</v>
      </c>
      <c r="CO192" s="15">
        <v>1.5275393724441528</v>
      </c>
      <c r="CP192" s="15">
        <v>1.0849745273590088</v>
      </c>
      <c r="CQ192" s="15">
        <v>-2.5850589275360107</v>
      </c>
      <c r="CR192">
        <v>235.91600939880567</v>
      </c>
      <c r="CS192">
        <v>4.3834453321261559</v>
      </c>
      <c r="CT192">
        <v>8.1201786439301676E-2</v>
      </c>
      <c r="CU192" s="14">
        <v>0.53819767676759511</v>
      </c>
      <c r="CV192" s="15">
        <v>1.5290074586868285</v>
      </c>
      <c r="CW192">
        <v>0.06</v>
      </c>
      <c r="CX192">
        <v>18.716940972951303</v>
      </c>
      <c r="CY192">
        <v>142632281.83804274</v>
      </c>
      <c r="CZ192">
        <v>0.53819767676759511</v>
      </c>
      <c r="DA192">
        <v>4.2727979322764229</v>
      </c>
      <c r="DB192">
        <v>624799029.18734407</v>
      </c>
      <c r="DC192">
        <v>0.51128779292921533</v>
      </c>
      <c r="DD192">
        <v>1.2258674821366695</v>
      </c>
      <c r="DE192">
        <v>2177755784.2931404</v>
      </c>
      <c r="DF192">
        <v>0.47361395555548369</v>
      </c>
      <c r="DG192">
        <v>0.36942059968769231</v>
      </c>
      <c r="DH192">
        <v>7226559651.1318264</v>
      </c>
      <c r="DI192">
        <v>0.43055814141407611</v>
      </c>
      <c r="DJ192">
        <v>3.3667668671837625E-2</v>
      </c>
      <c r="DK192">
        <v>79293877637.363831</v>
      </c>
      <c r="DL192">
        <v>0.37673837373731656</v>
      </c>
      <c r="DM192">
        <v>98290500</v>
      </c>
      <c r="DN192">
        <v>0.53819767676759511</v>
      </c>
      <c r="DO192">
        <v>2669640000</v>
      </c>
      <c r="DP192">
        <v>760765300</v>
      </c>
      <c r="DQ192">
        <v>4382</v>
      </c>
      <c r="DR192">
        <v>-1.1763686509226647</v>
      </c>
      <c r="DS192">
        <v>-3.2474416284669929</v>
      </c>
      <c r="DT192" s="16">
        <v>-0.35666666666666669</v>
      </c>
      <c r="DU192">
        <v>-1.4316666666666666</v>
      </c>
      <c r="DV192">
        <v>-1.7883333333333333</v>
      </c>
      <c r="DW192">
        <v>-2.0653000000000001</v>
      </c>
      <c r="DX192">
        <v>1.3858919714191693</v>
      </c>
      <c r="DY192">
        <v>-2.016056745733672</v>
      </c>
      <c r="DZ192">
        <v>1890</v>
      </c>
      <c r="EA192">
        <v>-2.0101179493664234</v>
      </c>
      <c r="EB192">
        <v>2</v>
      </c>
      <c r="EC192">
        <v>3.0945312499999999E-2</v>
      </c>
      <c r="ED192">
        <v>0.12584921874999999</v>
      </c>
      <c r="EE192" s="17">
        <v>-3.0112999999999999</v>
      </c>
      <c r="EF192">
        <v>-3.0195099999999999</v>
      </c>
      <c r="EG192">
        <v>114.24589197141917</v>
      </c>
      <c r="EH192" t="s">
        <v>2845</v>
      </c>
      <c r="EI192">
        <v>0</v>
      </c>
      <c r="EJ192">
        <v>0</v>
      </c>
      <c r="EK192" s="19">
        <v>45470</v>
      </c>
      <c r="EL192" s="20">
        <v>0.24</v>
      </c>
      <c r="EM192" s="20">
        <v>-5.36</v>
      </c>
      <c r="EN192">
        <v>3.02</v>
      </c>
      <c r="EO192">
        <v>3.05</v>
      </c>
      <c r="EP192">
        <v>-3.08</v>
      </c>
    </row>
    <row r="193" spans="1:146" ht="84" x14ac:dyDescent="0.25">
      <c r="A193" s="7"/>
      <c r="B193" s="7"/>
      <c r="C193" s="7" t="str">
        <f>""&amp;CHAR(10)&amp;Basic_Fundamental_Information_Constructure(F193)&amp;CHAR(10)&amp;Basic_Fundamental_Information_Concatenate("")</f>
        <v xml:space="preserve">
市值18.878733亿, 利润6.55亿; PE18.46; 平均PE8.73; 平均PEG.17, PB1.09; ROIC6.3867%; ROE7.7533%; 股利率4.7323%; 毛利19.64%; 净利5.85%; 上一年度营收增210.26%, 利润增682.36%; 当季营收增-55.96%, 利润增16.43%; 过往5年营收增52.51%, 利润增138.73%
Income profile:
</v>
      </c>
      <c r="D193" t="s">
        <v>1427</v>
      </c>
      <c r="E193" t="s">
        <v>1428</v>
      </c>
      <c r="F193">
        <v>8.0299999999999994</v>
      </c>
      <c r="G193">
        <v>0.25</v>
      </c>
      <c r="H193" t="s">
        <v>6533</v>
      </c>
      <c r="I193">
        <v>1887873300</v>
      </c>
      <c r="J193">
        <v>18.46</v>
      </c>
      <c r="K193">
        <v>1.0900000000000001</v>
      </c>
      <c r="L193" t="s">
        <v>172</v>
      </c>
      <c r="M193" t="s">
        <v>1586</v>
      </c>
      <c r="N193" t="s">
        <v>6534</v>
      </c>
      <c r="O193" t="s">
        <v>2807</v>
      </c>
      <c r="P193">
        <v>11.89</v>
      </c>
      <c r="Q193" t="s">
        <v>6535</v>
      </c>
      <c r="R193">
        <v>26817918</v>
      </c>
      <c r="S193" s="5">
        <v>0.17460000000000001</v>
      </c>
      <c r="T193" t="s">
        <v>334</v>
      </c>
      <c r="U193">
        <v>208262080</v>
      </c>
      <c r="V193">
        <v>235102530</v>
      </c>
      <c r="W193">
        <v>1.66</v>
      </c>
      <c r="X193">
        <v>0.2</v>
      </c>
      <c r="Y193">
        <v>4.54</v>
      </c>
      <c r="Z193" t="s">
        <v>2019</v>
      </c>
      <c r="AA193" t="s">
        <v>735</v>
      </c>
      <c r="AB193" t="s">
        <v>6536</v>
      </c>
      <c r="AC193" t="s">
        <v>6537</v>
      </c>
      <c r="AD193" t="s">
        <v>19</v>
      </c>
      <c r="AE193">
        <v>3037435</v>
      </c>
      <c r="AF193" t="s">
        <v>6538</v>
      </c>
      <c r="AG193" t="s">
        <v>6539</v>
      </c>
      <c r="AH193" t="s">
        <v>6540</v>
      </c>
      <c r="AI193" t="s">
        <v>2708</v>
      </c>
      <c r="AJ193" t="s">
        <v>6541</v>
      </c>
      <c r="AK193" t="s">
        <v>6542</v>
      </c>
      <c r="AL193" t="s">
        <v>6543</v>
      </c>
      <c r="AM193" t="s">
        <v>19</v>
      </c>
      <c r="AN193" t="s">
        <v>242</v>
      </c>
      <c r="AO193" t="s">
        <v>6544</v>
      </c>
      <c r="AP193" t="s">
        <v>432</v>
      </c>
      <c r="AQ193" t="s">
        <v>626</v>
      </c>
      <c r="AR193" t="s">
        <v>19</v>
      </c>
      <c r="AS193" t="s">
        <v>430</v>
      </c>
      <c r="AT193" t="s">
        <v>250</v>
      </c>
      <c r="AU193" t="s">
        <v>6545</v>
      </c>
      <c r="AV193" t="s">
        <v>6546</v>
      </c>
      <c r="AW193" t="s">
        <v>6547</v>
      </c>
      <c r="AX193" t="s">
        <v>2367</v>
      </c>
      <c r="AY193" t="s">
        <v>1600</v>
      </c>
      <c r="AZ193" t="s">
        <v>653</v>
      </c>
      <c r="BA193" t="s">
        <v>674</v>
      </c>
      <c r="BB193" t="s">
        <v>1429</v>
      </c>
      <c r="BC193" t="s">
        <v>2368</v>
      </c>
      <c r="BD193" t="s">
        <v>292</v>
      </c>
      <c r="BE193" t="s">
        <v>209</v>
      </c>
      <c r="BF193" t="s">
        <v>323</v>
      </c>
      <c r="BG193" t="s">
        <v>465</v>
      </c>
      <c r="BH193" t="s">
        <v>6515</v>
      </c>
      <c r="BI193" t="s">
        <v>2816</v>
      </c>
      <c r="BJ193" t="s">
        <v>2367</v>
      </c>
      <c r="BK193" t="s">
        <v>6516</v>
      </c>
      <c r="BL193" t="s">
        <v>6548</v>
      </c>
      <c r="BM193" t="s">
        <v>2368</v>
      </c>
      <c r="BN193">
        <v>4.0199999999999996</v>
      </c>
      <c r="BO193">
        <v>4.72</v>
      </c>
      <c r="BP193">
        <v>10.42</v>
      </c>
      <c r="BQ193">
        <v>4.92</v>
      </c>
      <c r="BR193">
        <v>5.39</v>
      </c>
      <c r="BS193">
        <v>12.95</v>
      </c>
      <c r="BT193" t="s">
        <v>2047</v>
      </c>
      <c r="BU193" t="s">
        <v>2920</v>
      </c>
      <c r="BV193">
        <v>17.440000000000001</v>
      </c>
      <c r="BW193">
        <v>17.010000000000002</v>
      </c>
      <c r="BX193">
        <v>24.47</v>
      </c>
      <c r="BY193">
        <v>4.3899999999999997</v>
      </c>
      <c r="BZ193">
        <v>3.91</v>
      </c>
      <c r="CA193">
        <v>9.25</v>
      </c>
      <c r="CB193">
        <v>-3.25</v>
      </c>
      <c r="CC193">
        <v>-14.94</v>
      </c>
      <c r="CD193" t="s">
        <v>6549</v>
      </c>
      <c r="CE193" t="s">
        <v>6550</v>
      </c>
      <c r="CF193" s="14">
        <v>-0.55956112852664575</v>
      </c>
      <c r="CG193" s="15">
        <v>0.16432082524714434</v>
      </c>
      <c r="CH193" s="14">
        <v>2.1025762557983398</v>
      </c>
      <c r="CI193" s="14">
        <v>0.11548691987991333</v>
      </c>
      <c r="CJ193" s="14">
        <v>0.24602125585079193</v>
      </c>
      <c r="CK193" s="14">
        <v>3.2169792801141739E-2</v>
      </c>
      <c r="CL193" s="14">
        <v>0.1290571391582489</v>
      </c>
      <c r="CM193" s="15">
        <v>6.8236236572265625</v>
      </c>
      <c r="CN193" s="15">
        <v>-0.52700114250183105</v>
      </c>
      <c r="CO193" s="15">
        <v>9.9378883838653564E-2</v>
      </c>
      <c r="CP193" s="15">
        <v>0.3305785059928894</v>
      </c>
      <c r="CQ193" s="15">
        <v>0.20999999344348907</v>
      </c>
      <c r="CR193">
        <v>8.7285645725952765</v>
      </c>
      <c r="CS193">
        <v>0.16623865446948394</v>
      </c>
      <c r="CT193">
        <v>4.7322540473225407</v>
      </c>
      <c r="CU193" s="14">
        <v>0.52506227269768713</v>
      </c>
      <c r="CV193" s="15">
        <v>1.3873159795999528</v>
      </c>
      <c r="CW193">
        <v>0.06</v>
      </c>
      <c r="CX193">
        <v>1.3687497120182683</v>
      </c>
      <c r="CY193">
        <v>942373385.4877218</v>
      </c>
      <c r="CZ193">
        <v>0.52506227269768713</v>
      </c>
      <c r="DA193">
        <v>0.31557554640717522</v>
      </c>
      <c r="DB193">
        <v>4087367714.9107265</v>
      </c>
      <c r="DC193">
        <v>0.49880915906280276</v>
      </c>
      <c r="DD193">
        <v>9.2009114247362495E-2</v>
      </c>
      <c r="DE193">
        <v>14018973126.208254</v>
      </c>
      <c r="DF193">
        <v>0.46205479997396465</v>
      </c>
      <c r="DG193">
        <v>2.8337499879580307E-2</v>
      </c>
      <c r="DH193">
        <v>45518246333.702446</v>
      </c>
      <c r="DI193">
        <v>0.42004981815814973</v>
      </c>
      <c r="DJ193">
        <v>2.7304509605605106E-3</v>
      </c>
      <c r="DK193">
        <v>472403027423.43073</v>
      </c>
      <c r="DL193">
        <v>0.36754359088838096</v>
      </c>
      <c r="DM193">
        <v>655000000</v>
      </c>
      <c r="DN193">
        <v>0.52506227269768713</v>
      </c>
      <c r="DO193">
        <v>1289873299.9999998</v>
      </c>
      <c r="DP193">
        <v>802031800.00000012</v>
      </c>
      <c r="DQ193">
        <v>4383</v>
      </c>
      <c r="DR193">
        <v>-1.084623401224333</v>
      </c>
      <c r="DS193">
        <v>-1.2229951543528084</v>
      </c>
      <c r="DT193" s="16">
        <v>-6.6666666666666714E-3</v>
      </c>
      <c r="DU193">
        <v>0.58666666666666656</v>
      </c>
      <c r="DV193">
        <v>0.57999999999999985</v>
      </c>
      <c r="DW193">
        <v>-8.2175368139223561</v>
      </c>
      <c r="DX193">
        <v>0.43251441092828186</v>
      </c>
      <c r="DY193">
        <v>-8.0310021308913591</v>
      </c>
      <c r="DZ193">
        <v>1923</v>
      </c>
      <c r="EA193">
        <v>-8.0193353798729472</v>
      </c>
      <c r="EB193">
        <v>8</v>
      </c>
      <c r="EC193">
        <v>3.5575542296375967E-2</v>
      </c>
      <c r="ED193">
        <v>0.24962768371739771</v>
      </c>
      <c r="EE193" s="17">
        <v>4.0260999999999996</v>
      </c>
      <c r="EF193">
        <v>4.0157999999999996</v>
      </c>
      <c r="EG193">
        <v>29.142514410928282</v>
      </c>
      <c r="EH193" t="s">
        <v>2248</v>
      </c>
      <c r="EI193">
        <v>0</v>
      </c>
      <c r="EJ193">
        <v>0</v>
      </c>
      <c r="EK193" s="19">
        <v>45470</v>
      </c>
      <c r="EL193" s="20">
        <v>-0.27</v>
      </c>
      <c r="EM193" s="20">
        <v>-2.5499999999999998</v>
      </c>
      <c r="EN193">
        <v>-2.73</v>
      </c>
      <c r="EO193">
        <v>5.44</v>
      </c>
      <c r="EP193">
        <v>-1.03</v>
      </c>
    </row>
    <row r="194" spans="1:146" ht="84" x14ac:dyDescent="0.25">
      <c r="A194" s="7"/>
      <c r="B194" s="7"/>
      <c r="C194" s="7" t="str">
        <f>""&amp;CHAR(10)&amp;Basic_Fundamental_Information_Constructure(F194)&amp;CHAR(10)&amp;Basic_Fundamental_Information_Concatenate("")</f>
        <v xml:space="preserve">
市值23.225035亿, 利润2.19亿; PE32.72; 平均PE19.18; 平均PEG.23, PB2.22; ROIC7.32%; ROE7.4867%; 股利率3%; 毛利39.53%; 净利20.0267%; 上一年度营收增405.84%, 利润增416.17%; 当季营收增-74.94%, 利润增-71.19%; 过往5年营收增82.48%, 利润增78.49%
Income profile:
</v>
      </c>
      <c r="D194" t="s">
        <v>1432</v>
      </c>
      <c r="E194" t="s">
        <v>1433</v>
      </c>
      <c r="F194">
        <v>11</v>
      </c>
      <c r="G194">
        <v>0.73</v>
      </c>
      <c r="H194" t="s">
        <v>6551</v>
      </c>
      <c r="I194">
        <v>2322503500</v>
      </c>
      <c r="J194">
        <v>32.72</v>
      </c>
      <c r="K194">
        <v>2.2200000000000002</v>
      </c>
      <c r="L194" t="s">
        <v>172</v>
      </c>
      <c r="M194" t="s">
        <v>6552</v>
      </c>
      <c r="N194" t="s">
        <v>2513</v>
      </c>
      <c r="O194" t="s">
        <v>367</v>
      </c>
      <c r="P194">
        <v>2.0699999999999998</v>
      </c>
      <c r="Q194" t="s">
        <v>290</v>
      </c>
      <c r="R194">
        <v>18913769</v>
      </c>
      <c r="S194" s="5">
        <v>2.0799999999999999E-2</v>
      </c>
      <c r="T194" t="s">
        <v>69</v>
      </c>
      <c r="U194">
        <v>210173240</v>
      </c>
      <c r="V194">
        <v>211136680</v>
      </c>
      <c r="W194">
        <v>1.08</v>
      </c>
      <c r="X194">
        <v>0.09</v>
      </c>
      <c r="Y194">
        <v>18.739999999999998</v>
      </c>
      <c r="Z194" t="s">
        <v>6553</v>
      </c>
      <c r="AA194" t="s">
        <v>6554</v>
      </c>
      <c r="AB194" t="s">
        <v>6555</v>
      </c>
      <c r="AC194" t="s">
        <v>6556</v>
      </c>
      <c r="AD194" t="s">
        <v>19</v>
      </c>
      <c r="AE194">
        <v>-163362</v>
      </c>
      <c r="AF194" t="s">
        <v>6557</v>
      </c>
      <c r="AG194" t="s">
        <v>6558</v>
      </c>
      <c r="AH194" t="s">
        <v>6559</v>
      </c>
      <c r="AI194" t="s">
        <v>6560</v>
      </c>
      <c r="AJ194" t="s">
        <v>6561</v>
      </c>
      <c r="AK194" t="s">
        <v>4254</v>
      </c>
      <c r="AL194" t="s">
        <v>6562</v>
      </c>
      <c r="AM194" t="s">
        <v>19</v>
      </c>
      <c r="AN194" t="s">
        <v>6563</v>
      </c>
      <c r="AO194" t="s">
        <v>19</v>
      </c>
      <c r="AP194" t="s">
        <v>19</v>
      </c>
      <c r="AQ194" t="s">
        <v>6564</v>
      </c>
      <c r="AR194" t="s">
        <v>19</v>
      </c>
      <c r="AS194" t="s">
        <v>6565</v>
      </c>
      <c r="AT194" t="s">
        <v>19</v>
      </c>
      <c r="AU194" t="s">
        <v>6566</v>
      </c>
      <c r="AV194" t="s">
        <v>6567</v>
      </c>
      <c r="AW194" t="s">
        <v>19</v>
      </c>
      <c r="AX194" t="s">
        <v>398</v>
      </c>
      <c r="AY194" t="s">
        <v>582</v>
      </c>
      <c r="AZ194" t="s">
        <v>929</v>
      </c>
      <c r="BA194" t="s">
        <v>1344</v>
      </c>
      <c r="BB194" t="s">
        <v>684</v>
      </c>
      <c r="BC194" t="s">
        <v>2369</v>
      </c>
      <c r="BD194" t="s">
        <v>126</v>
      </c>
      <c r="BE194" t="s">
        <v>1303</v>
      </c>
      <c r="BF194" t="s">
        <v>1434</v>
      </c>
      <c r="BG194" t="s">
        <v>1435</v>
      </c>
      <c r="BH194" t="s">
        <v>187</v>
      </c>
      <c r="BI194" t="s">
        <v>913</v>
      </c>
      <c r="BJ194" t="s">
        <v>398</v>
      </c>
      <c r="BK194" t="s">
        <v>6568</v>
      </c>
      <c r="BL194" t="s">
        <v>6569</v>
      </c>
      <c r="BM194" t="s">
        <v>2369</v>
      </c>
      <c r="BN194">
        <v>5.18</v>
      </c>
      <c r="BO194">
        <v>3.98</v>
      </c>
      <c r="BP194">
        <v>12.8</v>
      </c>
      <c r="BQ194">
        <v>5.3</v>
      </c>
      <c r="BR194">
        <v>4.1900000000000004</v>
      </c>
      <c r="BS194">
        <v>12.97</v>
      </c>
      <c r="BT194" t="s">
        <v>6570</v>
      </c>
      <c r="BU194" t="s">
        <v>2920</v>
      </c>
      <c r="BV194">
        <v>37.96</v>
      </c>
      <c r="BW194">
        <v>34.54</v>
      </c>
      <c r="BX194">
        <v>46.09</v>
      </c>
      <c r="BY194">
        <v>18.38</v>
      </c>
      <c r="BZ194">
        <v>14.58</v>
      </c>
      <c r="CA194">
        <v>27.12</v>
      </c>
      <c r="CB194">
        <v>-2.31</v>
      </c>
      <c r="CC194">
        <v>-18.82</v>
      </c>
      <c r="CD194" t="s">
        <v>6571</v>
      </c>
      <c r="CE194" t="s">
        <v>6572</v>
      </c>
      <c r="CF194" s="14">
        <v>-0.74937965260545902</v>
      </c>
      <c r="CG194" s="15">
        <v>-0.71186087679822552</v>
      </c>
      <c r="CH194" s="14">
        <v>4.0584192276000977</v>
      </c>
      <c r="CI194" s="14">
        <v>-0.38477802276611328</v>
      </c>
      <c r="CJ194" s="14">
        <v>-3.0737705528736115E-2</v>
      </c>
      <c r="CK194" s="14">
        <v>0.33698630332946777</v>
      </c>
      <c r="CL194" s="14">
        <v>0.14420062303543091</v>
      </c>
      <c r="CM194" s="15">
        <v>4.1616735458374023</v>
      </c>
      <c r="CN194" s="15">
        <v>-0.66853052377700806</v>
      </c>
      <c r="CO194" s="15">
        <v>-0.12328767031431198</v>
      </c>
      <c r="CP194" s="15">
        <v>0.46170142292976379</v>
      </c>
      <c r="CQ194" s="15">
        <v>9.2985793948173523E-2</v>
      </c>
      <c r="CR194">
        <v>19.175815473201581</v>
      </c>
      <c r="CS194">
        <v>0.23248539064326643</v>
      </c>
      <c r="CT194">
        <v>3</v>
      </c>
      <c r="CU194" s="14">
        <v>0.82481808513402943</v>
      </c>
      <c r="CV194" s="15">
        <v>0.78490851372480397</v>
      </c>
      <c r="CW194">
        <v>0.06</v>
      </c>
      <c r="CX194">
        <v>3.6143299895612233</v>
      </c>
      <c r="CY194">
        <v>377014302.49467206</v>
      </c>
      <c r="CZ194">
        <v>0.82481808513402943</v>
      </c>
      <c r="DA194">
        <v>0.67065952883552304</v>
      </c>
      <c r="DB194">
        <v>2031812031.9053669</v>
      </c>
      <c r="DC194">
        <v>0.78357718087732797</v>
      </c>
      <c r="DD194">
        <v>0.13617772092333763</v>
      </c>
      <c r="DE194">
        <v>10006439311.516436</v>
      </c>
      <c r="DF194">
        <v>0.72583991491794586</v>
      </c>
      <c r="DG194">
        <v>2.5656840691933903E-2</v>
      </c>
      <c r="DH194">
        <v>53110751879.454765</v>
      </c>
      <c r="DI194">
        <v>0.65985446810722359</v>
      </c>
      <c r="DJ194">
        <v>7.2010365566971865E-4</v>
      </c>
      <c r="DK194">
        <v>1892302711243.2717</v>
      </c>
      <c r="DL194">
        <v>0.57737265959382056</v>
      </c>
      <c r="DM194">
        <v>219000000</v>
      </c>
      <c r="DN194">
        <v>0.82481808513402943</v>
      </c>
      <c r="DO194">
        <v>1362654100</v>
      </c>
      <c r="DP194">
        <v>840747530</v>
      </c>
      <c r="DQ194">
        <v>4394</v>
      </c>
      <c r="DR194">
        <v>-1.5741977377394885</v>
      </c>
      <c r="DS194">
        <v>-1.4967693905230295</v>
      </c>
      <c r="DT194" s="16">
        <v>-0.17333333333333337</v>
      </c>
      <c r="DU194">
        <v>-0.32333333333333336</v>
      </c>
      <c r="DV194">
        <v>-0.4966666666666667</v>
      </c>
      <c r="DW194">
        <v>-3.0318928571428572</v>
      </c>
      <c r="DX194">
        <v>0.34423406862744965</v>
      </c>
      <c r="DY194">
        <v>-3.0042811079744398</v>
      </c>
      <c r="DZ194">
        <v>2354</v>
      </c>
      <c r="EA194">
        <v>-3.0023089498194828</v>
      </c>
      <c r="EB194">
        <v>3</v>
      </c>
      <c r="EC194">
        <v>3.1127230000964304E-2</v>
      </c>
      <c r="ED194">
        <v>0.23188770421131941</v>
      </c>
      <c r="EE194" s="17">
        <v>3.0441099999999999</v>
      </c>
      <c r="EF194">
        <v>3.0724100000000001</v>
      </c>
      <c r="EG194">
        <v>21.13423406862745</v>
      </c>
      <c r="EH194" t="s">
        <v>2487</v>
      </c>
      <c r="EI194">
        <v>0</v>
      </c>
      <c r="EJ194">
        <v>0</v>
      </c>
      <c r="EK194" s="19">
        <v>45470</v>
      </c>
      <c r="EL194" s="20">
        <v>-0.08</v>
      </c>
      <c r="EM194" s="20">
        <v>-4.95</v>
      </c>
      <c r="EN194">
        <v>1.74</v>
      </c>
      <c r="EO194">
        <v>6.09</v>
      </c>
      <c r="EP194">
        <v>-2.83</v>
      </c>
    </row>
    <row r="195" spans="1:146" ht="84" x14ac:dyDescent="0.25">
      <c r="A195" s="7"/>
      <c r="B195" s="7"/>
      <c r="C195" s="7" t="str">
        <f>""&amp;CHAR(10)&amp;Basic_Fundamental_Information_Constructure(F195)&amp;CHAR(10)&amp;Basic_Fundamental_Information_Concatenate("")</f>
        <v xml:space="preserve">
市值40.872894亿, 利润-8338.90万; PE20.45; 平均PE23.77; 平均PEG1.69, PB1.63; ROIC6.1033%; ROE8.2233%; 股利率0%; 毛利25.1467%; 净利13.27%; 上一年度营收增-88.53%, 利润增-183.39%; 当季营收增1254.64%, 利润增4339.21%; 过往5年营收增-14.04%, 利润增-39.86%
Income profile:
</v>
      </c>
      <c r="D195" t="s">
        <v>1436</v>
      </c>
      <c r="E195" t="s">
        <v>1437</v>
      </c>
      <c r="F195">
        <v>12.61</v>
      </c>
      <c r="G195">
        <v>-1.02</v>
      </c>
      <c r="H195" t="s">
        <v>6573</v>
      </c>
      <c r="I195">
        <v>4087289400</v>
      </c>
      <c r="J195">
        <v>20.45</v>
      </c>
      <c r="K195">
        <v>1.63</v>
      </c>
      <c r="L195" t="s">
        <v>172</v>
      </c>
      <c r="M195" t="s">
        <v>6574</v>
      </c>
      <c r="N195" t="s">
        <v>6575</v>
      </c>
      <c r="O195" t="s">
        <v>690</v>
      </c>
      <c r="P195">
        <v>3.09</v>
      </c>
      <c r="Q195" t="s">
        <v>126</v>
      </c>
      <c r="R195">
        <v>46851469</v>
      </c>
      <c r="S195" s="5">
        <v>-0.28620000000000001</v>
      </c>
      <c r="T195" t="s">
        <v>6576</v>
      </c>
      <c r="U195">
        <v>324130800</v>
      </c>
      <c r="V195">
        <v>324130800</v>
      </c>
      <c r="W195">
        <v>1.87</v>
      </c>
      <c r="X195">
        <v>0.09</v>
      </c>
      <c r="Y195">
        <v>11.18</v>
      </c>
      <c r="Z195" t="s">
        <v>1577</v>
      </c>
      <c r="AA195" t="s">
        <v>700</v>
      </c>
      <c r="AB195" t="s">
        <v>6577</v>
      </c>
      <c r="AC195" t="s">
        <v>6578</v>
      </c>
      <c r="AD195" t="s">
        <v>19</v>
      </c>
      <c r="AE195">
        <v>4839407</v>
      </c>
      <c r="AF195" t="s">
        <v>6579</v>
      </c>
      <c r="AG195" t="s">
        <v>6580</v>
      </c>
      <c r="AH195" t="s">
        <v>6581</v>
      </c>
      <c r="AI195" t="s">
        <v>2708</v>
      </c>
      <c r="AJ195" t="s">
        <v>6582</v>
      </c>
      <c r="AK195" t="s">
        <v>19</v>
      </c>
      <c r="AL195" t="s">
        <v>6583</v>
      </c>
      <c r="AM195" t="s">
        <v>19</v>
      </c>
      <c r="AN195" t="s">
        <v>314</v>
      </c>
      <c r="AO195" t="s">
        <v>465</v>
      </c>
      <c r="AP195" t="s">
        <v>288</v>
      </c>
      <c r="AQ195" t="s">
        <v>2016</v>
      </c>
      <c r="AR195" t="s">
        <v>19</v>
      </c>
      <c r="AS195" t="s">
        <v>1582</v>
      </c>
      <c r="AT195" t="s">
        <v>2815</v>
      </c>
      <c r="AU195" t="s">
        <v>6584</v>
      </c>
      <c r="AV195" t="s">
        <v>6585</v>
      </c>
      <c r="AW195" t="s">
        <v>207</v>
      </c>
      <c r="AX195" t="s">
        <v>2370</v>
      </c>
      <c r="AY195" t="s">
        <v>1790</v>
      </c>
      <c r="AZ195" t="s">
        <v>1438</v>
      </c>
      <c r="BA195" t="s">
        <v>1440</v>
      </c>
      <c r="BB195" t="s">
        <v>57</v>
      </c>
      <c r="BC195" t="s">
        <v>465</v>
      </c>
      <c r="BD195" t="s">
        <v>1404</v>
      </c>
      <c r="BE195" t="s">
        <v>693</v>
      </c>
      <c r="BF195" t="s">
        <v>283</v>
      </c>
      <c r="BG195" t="s">
        <v>56</v>
      </c>
      <c r="BH195" t="s">
        <v>290</v>
      </c>
      <c r="BI195" t="s">
        <v>6586</v>
      </c>
      <c r="BJ195" t="s">
        <v>2370</v>
      </c>
      <c r="BK195" t="s">
        <v>69</v>
      </c>
      <c r="BL195" t="s">
        <v>6587</v>
      </c>
      <c r="BM195" t="s">
        <v>465</v>
      </c>
      <c r="BN195">
        <v>6.39</v>
      </c>
      <c r="BO195">
        <v>3</v>
      </c>
      <c r="BP195">
        <v>8.92</v>
      </c>
      <c r="BQ195">
        <v>8.48</v>
      </c>
      <c r="BR195">
        <v>4.47</v>
      </c>
      <c r="BS195">
        <v>11.72</v>
      </c>
      <c r="BT195" t="s">
        <v>1983</v>
      </c>
      <c r="BU195" t="s">
        <v>2920</v>
      </c>
      <c r="BV195">
        <v>25.84</v>
      </c>
      <c r="BW195">
        <v>20.71</v>
      </c>
      <c r="BX195">
        <v>28.89</v>
      </c>
      <c r="BY195">
        <v>14.84</v>
      </c>
      <c r="BZ195">
        <v>9.02</v>
      </c>
      <c r="CA195">
        <v>15.95</v>
      </c>
      <c r="CB195">
        <v>-6.45</v>
      </c>
      <c r="CC195">
        <v>-22.97</v>
      </c>
      <c r="CD195" t="s">
        <v>6588</v>
      </c>
      <c r="CE195" t="s">
        <v>445</v>
      </c>
      <c r="CF195" s="14">
        <v>12.546429083141209</v>
      </c>
      <c r="CG195" s="15">
        <v>43.392144210725789</v>
      </c>
      <c r="CH195" s="14">
        <v>-0.88530462980270386</v>
      </c>
      <c r="CI195" s="14">
        <v>-0.29456382989883423</v>
      </c>
      <c r="CJ195" s="14">
        <v>-5.7210966944694519E-2</v>
      </c>
      <c r="CK195" s="14">
        <v>0.4528137743473053</v>
      </c>
      <c r="CL195" s="14">
        <v>8.2474283874034882E-2</v>
      </c>
      <c r="CM195" s="15">
        <v>-1.8338899612426758</v>
      </c>
      <c r="CN195" s="15">
        <v>-0.59839355945587158</v>
      </c>
      <c r="CO195" s="15">
        <v>-0.20952381193637848</v>
      </c>
      <c r="CP195" s="15">
        <v>0.17100371420383453</v>
      </c>
      <c r="CQ195" s="15">
        <v>0.47802197933197021</v>
      </c>
      <c r="CR195">
        <v>23.772271137085589</v>
      </c>
      <c r="CS195">
        <v>1.6936850613053498</v>
      </c>
      <c r="CT195">
        <v>0</v>
      </c>
      <c r="CU195" s="14">
        <v>-0.1403582736849785</v>
      </c>
      <c r="CV195" s="15">
        <v>-0.3985563278198242</v>
      </c>
      <c r="CW195">
        <v>0.06</v>
      </c>
      <c r="CX195" t="e">
        <v>#VALUE!</v>
      </c>
      <c r="CY195" t="s">
        <v>1835</v>
      </c>
      <c r="CZ195">
        <v>-0.1403582736849785</v>
      </c>
      <c r="DA195" t="e">
        <v>#VALUE!</v>
      </c>
      <c r="DB195" t="s">
        <v>1835</v>
      </c>
      <c r="DC195">
        <v>-0.13334036000072957</v>
      </c>
      <c r="DD195" t="e">
        <v>#VALUE!</v>
      </c>
      <c r="DE195" t="s">
        <v>1835</v>
      </c>
      <c r="DF195">
        <v>-0.12351528084278107</v>
      </c>
      <c r="DG195" t="e">
        <v>#VALUE!</v>
      </c>
      <c r="DH195" t="s">
        <v>1835</v>
      </c>
      <c r="DI195">
        <v>-0.11228661894798281</v>
      </c>
      <c r="DJ195" t="e">
        <v>#VALUE!</v>
      </c>
      <c r="DK195" t="s">
        <v>1835</v>
      </c>
      <c r="DL195">
        <v>-9.8250791579484936E-2</v>
      </c>
      <c r="DM195">
        <v>-83389000</v>
      </c>
      <c r="DN195">
        <v>-0.1403582736849785</v>
      </c>
      <c r="DO195">
        <v>3349289400</v>
      </c>
      <c r="DP195">
        <v>869284100</v>
      </c>
      <c r="DQ195">
        <v>4395</v>
      </c>
      <c r="DR195">
        <v>12.686787356826187</v>
      </c>
      <c r="DS195">
        <v>43.790700538545615</v>
      </c>
      <c r="DT195" s="16">
        <v>-0.80666666666666664</v>
      </c>
      <c r="DU195">
        <v>-1.0366666666666668</v>
      </c>
      <c r="DV195">
        <v>-1.8433333333333335</v>
      </c>
      <c r="DW195">
        <v>-9.2808010448410965</v>
      </c>
      <c r="DX195">
        <v>0.28425412371133946</v>
      </c>
      <c r="DY195">
        <v>-9.0236586459703148</v>
      </c>
      <c r="DZ195">
        <v>3999</v>
      </c>
      <c r="EA195">
        <v>-9.0051437878029397</v>
      </c>
      <c r="EB195">
        <v>9</v>
      </c>
      <c r="EC195">
        <v>5.0428098779875287E-2</v>
      </c>
      <c r="ED195">
        <v>0.59852380582160036</v>
      </c>
      <c r="EE195" s="17">
        <v>5.5500000000000001E-2</v>
      </c>
      <c r="EF195">
        <v>4.07E-2</v>
      </c>
      <c r="EG195">
        <v>20.084254123711339</v>
      </c>
      <c r="EH195" t="s">
        <v>1831</v>
      </c>
      <c r="EI195">
        <v>0</v>
      </c>
      <c r="EJ195">
        <v>0</v>
      </c>
      <c r="EK195" s="19">
        <v>45470</v>
      </c>
      <c r="EL195" s="20">
        <v>1.67</v>
      </c>
      <c r="EM195" s="20">
        <v>-4.5999999999999996</v>
      </c>
      <c r="EN195">
        <v>-1.84</v>
      </c>
      <c r="EO195">
        <v>2.92</v>
      </c>
      <c r="EP195">
        <v>-1.48</v>
      </c>
    </row>
    <row r="196" spans="1:146" ht="84" x14ac:dyDescent="0.25">
      <c r="A196" s="7"/>
      <c r="B196" s="7"/>
      <c r="C196" s="7" t="str">
        <f>""&amp;CHAR(10)&amp;Basic_Fundamental_Information_Constructure(F196)&amp;CHAR(10)&amp;Basic_Fundamental_Information_Concatenate("")</f>
        <v xml:space="preserve">
市值20.099998亿, 利润2.59亿; PE; 平均PE22.95; 平均PEG1.71, PB1; ROIC6.03%; ROE-5.4267%; 股利率0%; 毛利10.0067%; 净利-9.2467%; 上一年度营收增27.56%, 利润增268.18%; 当季营收增5.66%, 利润增-279.5%; 过往5年营收增13.4%, 利润增15.48%
Income profile:
</v>
      </c>
      <c r="D196" t="s">
        <v>1441</v>
      </c>
      <c r="E196" t="s">
        <v>1442</v>
      </c>
      <c r="F196">
        <v>7.69</v>
      </c>
      <c r="G196">
        <v>-0.13</v>
      </c>
      <c r="H196" t="s">
        <v>6589</v>
      </c>
      <c r="I196">
        <v>2009999800</v>
      </c>
      <c r="K196">
        <v>1</v>
      </c>
      <c r="L196" t="s">
        <v>172</v>
      </c>
      <c r="M196" t="s">
        <v>6590</v>
      </c>
      <c r="N196" t="s">
        <v>6591</v>
      </c>
      <c r="O196" t="s">
        <v>1839</v>
      </c>
      <c r="P196">
        <v>12.83</v>
      </c>
      <c r="Q196" t="s">
        <v>3502</v>
      </c>
      <c r="R196">
        <v>-141209640</v>
      </c>
      <c r="S196" s="5">
        <v>-0.42049999999999998</v>
      </c>
      <c r="T196" t="s">
        <v>496</v>
      </c>
      <c r="U196">
        <v>261378390</v>
      </c>
      <c r="V196">
        <v>261378390</v>
      </c>
      <c r="W196">
        <v>3.17</v>
      </c>
      <c r="X196">
        <v>7.0000000000000007E-2</v>
      </c>
      <c r="Y196">
        <v>-28.04</v>
      </c>
      <c r="Z196" t="s">
        <v>3251</v>
      </c>
      <c r="AA196" t="s">
        <v>2222</v>
      </c>
      <c r="AB196" t="s">
        <v>6592</v>
      </c>
      <c r="AC196" t="s">
        <v>6593</v>
      </c>
      <c r="AD196" t="s">
        <v>19</v>
      </c>
      <c r="AE196">
        <v>51256349</v>
      </c>
      <c r="AF196" t="s">
        <v>21</v>
      </c>
      <c r="AG196" t="s">
        <v>6594</v>
      </c>
      <c r="AH196" t="s">
        <v>6595</v>
      </c>
      <c r="AI196" t="s">
        <v>2157</v>
      </c>
      <c r="AJ196" t="s">
        <v>6596</v>
      </c>
      <c r="AK196" t="s">
        <v>19</v>
      </c>
      <c r="AL196" t="s">
        <v>6597</v>
      </c>
      <c r="AM196" t="s">
        <v>19</v>
      </c>
      <c r="AN196" t="s">
        <v>3192</v>
      </c>
      <c r="AO196" t="s">
        <v>5332</v>
      </c>
      <c r="AP196" t="s">
        <v>6598</v>
      </c>
      <c r="AQ196" t="s">
        <v>428</v>
      </c>
      <c r="AR196" t="s">
        <v>6599</v>
      </c>
      <c r="AS196" t="s">
        <v>6600</v>
      </c>
      <c r="AT196" t="s">
        <v>6601</v>
      </c>
      <c r="AU196" t="s">
        <v>2639</v>
      </c>
      <c r="AV196" t="s">
        <v>2103</v>
      </c>
      <c r="AW196" t="s">
        <v>58</v>
      </c>
      <c r="AX196" t="s">
        <v>2371</v>
      </c>
      <c r="AY196" t="s">
        <v>1791</v>
      </c>
      <c r="AZ196" t="s">
        <v>492</v>
      </c>
      <c r="BA196" t="s">
        <v>1393</v>
      </c>
      <c r="BB196" t="s">
        <v>499</v>
      </c>
      <c r="BC196" t="s">
        <v>1985</v>
      </c>
      <c r="BD196" t="s">
        <v>175</v>
      </c>
      <c r="BE196" t="s">
        <v>323</v>
      </c>
      <c r="BF196" t="s">
        <v>1445</v>
      </c>
      <c r="BG196" t="s">
        <v>1446</v>
      </c>
      <c r="BH196" t="s">
        <v>6602</v>
      </c>
      <c r="BI196" t="s">
        <v>855</v>
      </c>
      <c r="BJ196" t="s">
        <v>2371</v>
      </c>
      <c r="BK196" t="s">
        <v>6603</v>
      </c>
      <c r="BL196" t="s">
        <v>6604</v>
      </c>
      <c r="BM196" t="s">
        <v>1985</v>
      </c>
      <c r="BN196" t="s">
        <v>19</v>
      </c>
      <c r="BO196" t="s">
        <v>19</v>
      </c>
      <c r="BP196">
        <v>6.03</v>
      </c>
      <c r="BQ196">
        <v>-15.29</v>
      </c>
      <c r="BR196">
        <v>-8.34</v>
      </c>
      <c r="BS196">
        <v>7.35</v>
      </c>
      <c r="BT196" t="s">
        <v>1983</v>
      </c>
      <c r="BU196" t="s">
        <v>2920</v>
      </c>
      <c r="BV196">
        <v>-7.0000000000000007E-2</v>
      </c>
      <c r="BW196">
        <v>9.2899999999999991</v>
      </c>
      <c r="BX196">
        <v>20.8</v>
      </c>
      <c r="BY196">
        <v>-26.44</v>
      </c>
      <c r="BZ196">
        <v>-8.85</v>
      </c>
      <c r="CA196">
        <v>7.55</v>
      </c>
      <c r="CB196">
        <v>-3.87</v>
      </c>
      <c r="CC196">
        <v>-16.05</v>
      </c>
      <c r="CD196" t="s">
        <v>6605</v>
      </c>
      <c r="CE196" t="s">
        <v>6606</v>
      </c>
      <c r="CF196" s="14">
        <v>5.6603773584905794E-2</v>
      </c>
      <c r="CG196" s="15">
        <v>-2.7949663021896587</v>
      </c>
      <c r="CH196" s="14">
        <v>0.27564465999603271</v>
      </c>
      <c r="CI196" s="14">
        <v>8.0495357513427734E-2</v>
      </c>
      <c r="CJ196" s="14">
        <v>0.1652236133813858</v>
      </c>
      <c r="CK196" s="14">
        <v>0.10791361331939697</v>
      </c>
      <c r="CL196" s="14">
        <v>4.0765445679426193E-2</v>
      </c>
      <c r="CM196" s="15">
        <v>2.6818182468414307</v>
      </c>
      <c r="CN196" s="15">
        <v>-2.2622950077056885</v>
      </c>
      <c r="CO196" s="15">
        <v>8.2644624635577202E-3</v>
      </c>
      <c r="CP196" s="15">
        <v>0.40876555442810059</v>
      </c>
      <c r="CQ196" s="15">
        <v>-6.2678538262844086E-2</v>
      </c>
      <c r="CR196">
        <v>22.948473441135352</v>
      </c>
      <c r="CS196">
        <v>1.7124635331007114</v>
      </c>
      <c r="CT196">
        <v>0</v>
      </c>
      <c r="CU196" s="14">
        <v>0.13400853797793388</v>
      </c>
      <c r="CV196" s="15">
        <v>0.15477494355291127</v>
      </c>
      <c r="CW196">
        <v>0.06</v>
      </c>
      <c r="CX196">
        <v>15.623464414299489</v>
      </c>
      <c r="CY196">
        <v>277083218.24177814</v>
      </c>
      <c r="CZ196">
        <v>0.13400853797793388</v>
      </c>
      <c r="DA196">
        <v>4.9197667819108251</v>
      </c>
      <c r="DB196">
        <v>879919718.12912381</v>
      </c>
      <c r="DC196">
        <v>0.1273081110790372</v>
      </c>
      <c r="DD196">
        <v>2.3028616639739137</v>
      </c>
      <c r="DE196">
        <v>1879834932.2163355</v>
      </c>
      <c r="DF196">
        <v>0.11792751342058182</v>
      </c>
      <c r="DG196">
        <v>1.3050172630966663</v>
      </c>
      <c r="DH196">
        <v>3317197344.7521658</v>
      </c>
      <c r="DI196">
        <v>0.10720683038234712</v>
      </c>
      <c r="DJ196">
        <v>0.59129385904362863</v>
      </c>
      <c r="DK196">
        <v>7321232469.7601585</v>
      </c>
      <c r="DL196">
        <v>9.380597658455371E-2</v>
      </c>
      <c r="DM196">
        <v>259000000</v>
      </c>
      <c r="DN196">
        <v>0.13400853797793388</v>
      </c>
      <c r="DO196">
        <v>4328999800</v>
      </c>
      <c r="DP196">
        <v>47956000</v>
      </c>
      <c r="DQ196">
        <v>4412</v>
      </c>
      <c r="DR196">
        <v>-7.7404764393028097E-2</v>
      </c>
      <c r="DS196">
        <v>-2.9497412457425698</v>
      </c>
      <c r="DT196" s="16">
        <v>-0.14000000000000001</v>
      </c>
      <c r="DU196">
        <v>-1.1983333333333335</v>
      </c>
      <c r="DV196">
        <v>-1.3383333333333334</v>
      </c>
      <c r="DW196">
        <v>-8.2411214953271035</v>
      </c>
      <c r="DX196">
        <v>0.37828932736186971</v>
      </c>
      <c r="DY196">
        <v>-8.0309333144480028</v>
      </c>
      <c r="DZ196">
        <v>1366</v>
      </c>
      <c r="EA196">
        <v>-8.0226642523078908</v>
      </c>
      <c r="EB196">
        <v>8</v>
      </c>
      <c r="EC196">
        <v>4.5725279737165725E-2</v>
      </c>
      <c r="ED196">
        <v>0.3564231151626574</v>
      </c>
      <c r="EE196" s="17">
        <v>-1.03911</v>
      </c>
      <c r="EF196">
        <v>-1.0604100000000001</v>
      </c>
      <c r="EG196">
        <v>25.12828932736187</v>
      </c>
      <c r="EH196" t="s">
        <v>1838</v>
      </c>
      <c r="EI196">
        <v>0</v>
      </c>
      <c r="EJ196">
        <v>1</v>
      </c>
      <c r="EK196" s="19">
        <v>45470</v>
      </c>
      <c r="EL196" s="20">
        <v>0</v>
      </c>
      <c r="EM196" s="20">
        <v>-2.5</v>
      </c>
      <c r="EN196">
        <v>2.09</v>
      </c>
      <c r="EO196">
        <v>2.61</v>
      </c>
      <c r="EP196">
        <v>-2.13</v>
      </c>
    </row>
    <row r="197" spans="1:146" ht="84" x14ac:dyDescent="0.25">
      <c r="A197" s="7"/>
      <c r="B197" s="7"/>
      <c r="C197" s="7" t="str">
        <f>""&amp;CHAR(10)&amp;Basic_Fundamental_Information_Constructure(F197)&amp;CHAR(10)&amp;Basic_Fundamental_Information_Concatenate("")</f>
        <v xml:space="preserve">
市值128.253523亿, 利润1.87亿; PE78.72; 平均PE-85.6; 平均PEG-7.46, PB2.43; ROIC3.3%; ROE-9.7133%; 股利率0%; 毛利13.9933%; 净利-2.1433%; 上一年度营收增-90.93%, 利润增113.2%; 当季营收增1109.84%, 利润增-70.1%; 过往5年营收增11.48%, 利润增-213.71%
Income profile:
</v>
      </c>
      <c r="D197" t="s">
        <v>1447</v>
      </c>
      <c r="E197" t="s">
        <v>1448</v>
      </c>
      <c r="F197">
        <v>10.130000000000001</v>
      </c>
      <c r="G197">
        <v>-0.98</v>
      </c>
      <c r="H197" t="s">
        <v>6607</v>
      </c>
      <c r="I197">
        <v>12825352300</v>
      </c>
      <c r="J197">
        <v>78.72</v>
      </c>
      <c r="K197">
        <v>2.4300000000000002</v>
      </c>
      <c r="L197" t="s">
        <v>172</v>
      </c>
      <c r="M197" t="s">
        <v>6608</v>
      </c>
      <c r="N197" t="s">
        <v>6609</v>
      </c>
      <c r="O197" t="s">
        <v>6610</v>
      </c>
      <c r="P197">
        <v>3.45</v>
      </c>
      <c r="Q197" t="s">
        <v>6611</v>
      </c>
      <c r="R197">
        <v>19073408</v>
      </c>
      <c r="S197" s="5">
        <v>-0.68230000000000002</v>
      </c>
      <c r="T197" t="s">
        <v>344</v>
      </c>
      <c r="U197">
        <v>1166076240</v>
      </c>
      <c r="V197">
        <v>1266076240</v>
      </c>
      <c r="W197">
        <v>4.07</v>
      </c>
      <c r="X197">
        <v>0.28999999999999998</v>
      </c>
      <c r="Y197">
        <v>0.25</v>
      </c>
      <c r="Z197" t="s">
        <v>6612</v>
      </c>
      <c r="AA197" t="s">
        <v>6613</v>
      </c>
      <c r="AB197" t="s">
        <v>6614</v>
      </c>
      <c r="AC197" t="s">
        <v>1137</v>
      </c>
      <c r="AD197" t="s">
        <v>19</v>
      </c>
      <c r="AE197">
        <v>95540888</v>
      </c>
      <c r="AF197" t="s">
        <v>6615</v>
      </c>
      <c r="AG197" t="s">
        <v>6616</v>
      </c>
      <c r="AH197" t="s">
        <v>6617</v>
      </c>
      <c r="AI197" t="s">
        <v>1491</v>
      </c>
      <c r="AJ197" t="s">
        <v>6618</v>
      </c>
      <c r="AK197" t="s">
        <v>32</v>
      </c>
      <c r="AL197" t="s">
        <v>6619</v>
      </c>
      <c r="AM197" t="s">
        <v>19</v>
      </c>
      <c r="AN197" t="s">
        <v>6620</v>
      </c>
      <c r="AO197" t="s">
        <v>2738</v>
      </c>
      <c r="AP197" t="s">
        <v>126</v>
      </c>
      <c r="AQ197" t="s">
        <v>2760</v>
      </c>
      <c r="AR197" t="s">
        <v>19</v>
      </c>
      <c r="AS197" t="s">
        <v>6621</v>
      </c>
      <c r="AT197" t="s">
        <v>1600</v>
      </c>
      <c r="AU197" t="s">
        <v>68</v>
      </c>
      <c r="AV197" t="s">
        <v>2017</v>
      </c>
      <c r="AW197" t="s">
        <v>86</v>
      </c>
      <c r="AX197" t="s">
        <v>2373</v>
      </c>
      <c r="AY197" t="s">
        <v>1792</v>
      </c>
      <c r="AZ197" t="s">
        <v>1449</v>
      </c>
      <c r="BA197" t="s">
        <v>1451</v>
      </c>
      <c r="BB197" t="s">
        <v>1452</v>
      </c>
      <c r="BC197" t="s">
        <v>2374</v>
      </c>
      <c r="BD197" t="s">
        <v>177</v>
      </c>
      <c r="BE197" t="s">
        <v>1450</v>
      </c>
      <c r="BF197" t="s">
        <v>871</v>
      </c>
      <c r="BG197" t="s">
        <v>845</v>
      </c>
      <c r="BH197" t="s">
        <v>6622</v>
      </c>
      <c r="BI197" t="s">
        <v>884</v>
      </c>
      <c r="BJ197" t="s">
        <v>2373</v>
      </c>
      <c r="BK197" t="s">
        <v>415</v>
      </c>
      <c r="BL197" t="s">
        <v>6623</v>
      </c>
      <c r="BM197" t="s">
        <v>2374</v>
      </c>
      <c r="BN197">
        <v>4.0199999999999996</v>
      </c>
      <c r="BO197" t="s">
        <v>19</v>
      </c>
      <c r="BP197">
        <v>2.58</v>
      </c>
      <c r="BQ197">
        <v>4.2300000000000004</v>
      </c>
      <c r="BR197">
        <v>-36.24</v>
      </c>
      <c r="BS197">
        <v>2.87</v>
      </c>
      <c r="BT197" t="s">
        <v>1983</v>
      </c>
      <c r="BU197" t="s">
        <v>3084</v>
      </c>
      <c r="BV197">
        <v>14.75</v>
      </c>
      <c r="BW197">
        <v>13.09</v>
      </c>
      <c r="BX197">
        <v>14.14</v>
      </c>
      <c r="BY197">
        <v>0.96</v>
      </c>
      <c r="BZ197">
        <v>-8.14</v>
      </c>
      <c r="CA197">
        <v>0.75</v>
      </c>
      <c r="CB197">
        <v>-0.98</v>
      </c>
      <c r="CC197">
        <v>-14.3</v>
      </c>
      <c r="CD197" t="s">
        <v>6624</v>
      </c>
      <c r="CE197" t="s">
        <v>292</v>
      </c>
      <c r="CF197" s="14">
        <v>11.098398169336384</v>
      </c>
      <c r="CG197" s="15">
        <v>-0.70098189594085292</v>
      </c>
      <c r="CH197" s="14">
        <v>-0.90933376550674438</v>
      </c>
      <c r="CI197" s="14">
        <v>6.7431055009365082E-2</v>
      </c>
      <c r="CJ197" s="14">
        <v>6.9853164255619049E-2</v>
      </c>
      <c r="CK197" s="14">
        <v>-0.12599301338195801</v>
      </c>
      <c r="CL197" s="14">
        <v>1.4719858169555664</v>
      </c>
      <c r="CM197" s="15">
        <v>1.1319689750671387</v>
      </c>
      <c r="CN197" s="15">
        <v>-12.246030807495117</v>
      </c>
      <c r="CO197" s="15">
        <v>1.4883720874786377</v>
      </c>
      <c r="CP197" s="15">
        <v>-1.8657717704772949</v>
      </c>
      <c r="CQ197" s="15">
        <v>0.80606061220169067</v>
      </c>
      <c r="CR197">
        <v>-85.597456952169068</v>
      </c>
      <c r="CS197">
        <v>-7.4569616298042414</v>
      </c>
      <c r="CT197">
        <v>0</v>
      </c>
      <c r="CU197" s="14">
        <v>0.11478865146636963</v>
      </c>
      <c r="CV197" s="15">
        <v>-2.1370801806449888</v>
      </c>
      <c r="CW197">
        <v>0.06</v>
      </c>
      <c r="CX197">
        <v>111.06344167701339</v>
      </c>
      <c r="CY197">
        <v>196665545.11718032</v>
      </c>
      <c r="CZ197">
        <v>0.11478865146636963</v>
      </c>
      <c r="DA197">
        <v>35.542705167570354</v>
      </c>
      <c r="DB197">
        <v>614538263.11254609</v>
      </c>
      <c r="DC197">
        <v>0.10904921889305114</v>
      </c>
      <c r="DD197">
        <v>17.009430197775981</v>
      </c>
      <c r="DE197">
        <v>1284131922.4706266</v>
      </c>
      <c r="DF197">
        <v>0.10101401329040527</v>
      </c>
      <c r="DG197">
        <v>9.8905018134288003</v>
      </c>
      <c r="DH197">
        <v>2208416995.6213555</v>
      </c>
      <c r="DI197">
        <v>9.1830921173095714E-2</v>
      </c>
      <c r="DJ197">
        <v>4.7543968686735782</v>
      </c>
      <c r="DK197">
        <v>4594137364.4926205</v>
      </c>
      <c r="DL197">
        <v>8.0352056026458729E-2</v>
      </c>
      <c r="DM197">
        <v>187000000</v>
      </c>
      <c r="DN197">
        <v>0.11478865146636963</v>
      </c>
      <c r="DO197">
        <v>21842352300</v>
      </c>
      <c r="DP197">
        <v>-1429432800</v>
      </c>
      <c r="DQ197">
        <v>4424</v>
      </c>
      <c r="DR197">
        <v>10.983609517870015</v>
      </c>
      <c r="DS197">
        <v>1.4360982847041359</v>
      </c>
      <c r="DT197" s="16">
        <v>-0.57333333333333336</v>
      </c>
      <c r="DU197">
        <v>-1.0066666666666666</v>
      </c>
      <c r="DV197">
        <v>-1.58</v>
      </c>
      <c r="DW197">
        <v>-2.1429999999999998</v>
      </c>
      <c r="DX197">
        <v>0.50472655367231878</v>
      </c>
      <c r="DY197">
        <v>-2.0221258971751412</v>
      </c>
      <c r="DZ197">
        <v>2050</v>
      </c>
      <c r="EA197">
        <v>-2.0132495587780688</v>
      </c>
      <c r="EB197">
        <v>2</v>
      </c>
      <c r="EC197">
        <v>2.1631082816939998E-2</v>
      </c>
      <c r="ED197">
        <v>0.13980200749995908</v>
      </c>
      <c r="EE197" s="17">
        <v>4.0890000000000004</v>
      </c>
      <c r="EF197">
        <v>4.07</v>
      </c>
      <c r="EG197">
        <v>35.154726553672319</v>
      </c>
      <c r="EH197" t="s">
        <v>2248</v>
      </c>
      <c r="EI197">
        <v>0</v>
      </c>
      <c r="EJ197">
        <v>0</v>
      </c>
      <c r="EK197" s="19">
        <v>45470</v>
      </c>
      <c r="EL197" s="20">
        <v>1.1599999999999999</v>
      </c>
      <c r="EM197" s="20">
        <v>-2.4900000000000002</v>
      </c>
      <c r="EN197">
        <v>-0.78</v>
      </c>
      <c r="EO197">
        <v>3.85</v>
      </c>
      <c r="EP197">
        <v>-1.9</v>
      </c>
    </row>
    <row r="198" spans="1:146" ht="84" x14ac:dyDescent="0.25">
      <c r="A198" s="7"/>
      <c r="B198" s="7"/>
      <c r="C198" s="7" t="str">
        <f>""&amp;CHAR(10)&amp;Basic_Fundamental_Information_Constructure(F198)&amp;CHAR(10)&amp;Basic_Fundamental_Information_Concatenate("")</f>
        <v xml:space="preserve">
市值60.4708亿, 利润1.05亿; PE24.91; 平均PE39.14; 平均PEG2.72, PB3.32; ROIC12.29%; ROE12.2367%; 股利率1.3263%; 毛利31.3167%; 净利13.42%; 上一年度营收增50.72%, 利润增-44.74%; 当季营收增-35.19%, 利润增-37.68%; 过往5年营收增14.41%, 利润增2.81%
Income profile:
</v>
      </c>
      <c r="D198" t="s">
        <v>1453</v>
      </c>
      <c r="E198" t="s">
        <v>1454</v>
      </c>
      <c r="F198">
        <v>15.08</v>
      </c>
      <c r="G198">
        <v>0.67</v>
      </c>
      <c r="H198" t="s">
        <v>6625</v>
      </c>
      <c r="I198">
        <v>6047080000</v>
      </c>
      <c r="J198">
        <v>24.91</v>
      </c>
      <c r="K198">
        <v>3.32</v>
      </c>
      <c r="L198" t="s">
        <v>172</v>
      </c>
      <c r="M198" t="s">
        <v>6513</v>
      </c>
      <c r="N198" t="s">
        <v>6626</v>
      </c>
      <c r="O198" t="s">
        <v>608</v>
      </c>
      <c r="P198">
        <v>31.74</v>
      </c>
      <c r="Q198" t="s">
        <v>6627</v>
      </c>
      <c r="R198">
        <v>55152872</v>
      </c>
      <c r="S198" s="5">
        <v>0.4607</v>
      </c>
      <c r="T198" t="s">
        <v>414</v>
      </c>
      <c r="U198">
        <v>401000000</v>
      </c>
      <c r="V198">
        <v>401000000</v>
      </c>
      <c r="W198">
        <v>1.25</v>
      </c>
      <c r="X198">
        <v>0.18</v>
      </c>
      <c r="Y198">
        <v>13.55</v>
      </c>
      <c r="Z198" t="s">
        <v>700</v>
      </c>
      <c r="AA198" t="s">
        <v>283</v>
      </c>
      <c r="AB198" t="s">
        <v>6628</v>
      </c>
      <c r="AC198" t="s">
        <v>6629</v>
      </c>
      <c r="AD198" t="s">
        <v>19</v>
      </c>
      <c r="AE198">
        <v>1854599</v>
      </c>
      <c r="AF198" t="s">
        <v>6630</v>
      </c>
      <c r="AG198" t="s">
        <v>6631</v>
      </c>
      <c r="AH198" t="s">
        <v>6632</v>
      </c>
      <c r="AI198" t="s">
        <v>80</v>
      </c>
      <c r="AJ198" t="s">
        <v>6633</v>
      </c>
      <c r="AK198" t="s">
        <v>6634</v>
      </c>
      <c r="AL198" t="s">
        <v>6635</v>
      </c>
      <c r="AM198" t="s">
        <v>19</v>
      </c>
      <c r="AN198" t="s">
        <v>158</v>
      </c>
      <c r="AO198" t="s">
        <v>6636</v>
      </c>
      <c r="AP198" t="s">
        <v>6637</v>
      </c>
      <c r="AQ198" t="s">
        <v>446</v>
      </c>
      <c r="AR198" t="s">
        <v>19</v>
      </c>
      <c r="AS198" t="s">
        <v>622</v>
      </c>
      <c r="AT198" t="s">
        <v>6638</v>
      </c>
      <c r="AU198" t="s">
        <v>6639</v>
      </c>
      <c r="AV198" t="s">
        <v>4412</v>
      </c>
      <c r="AW198" t="s">
        <v>6640</v>
      </c>
      <c r="AX198" t="s">
        <v>674</v>
      </c>
      <c r="AY198" t="s">
        <v>1793</v>
      </c>
      <c r="AZ198" t="s">
        <v>499</v>
      </c>
      <c r="BA198" t="s">
        <v>1455</v>
      </c>
      <c r="BB198" t="s">
        <v>1456</v>
      </c>
      <c r="BC198" t="s">
        <v>87</v>
      </c>
      <c r="BD198" t="s">
        <v>558</v>
      </c>
      <c r="BE198" t="s">
        <v>87</v>
      </c>
      <c r="BF198" t="s">
        <v>224</v>
      </c>
      <c r="BG198" t="s">
        <v>103</v>
      </c>
      <c r="BH198" t="s">
        <v>6641</v>
      </c>
      <c r="BI198" t="s">
        <v>85</v>
      </c>
      <c r="BJ198" t="s">
        <v>674</v>
      </c>
      <c r="BK198" t="s">
        <v>599</v>
      </c>
      <c r="BL198" t="s">
        <v>6642</v>
      </c>
      <c r="BM198" t="s">
        <v>87</v>
      </c>
      <c r="BN198">
        <v>9.39</v>
      </c>
      <c r="BO198">
        <v>12.43</v>
      </c>
      <c r="BP198">
        <v>15.05</v>
      </c>
      <c r="BQ198">
        <v>9.69</v>
      </c>
      <c r="BR198">
        <v>12.53</v>
      </c>
      <c r="BS198">
        <v>14.49</v>
      </c>
      <c r="BT198" t="s">
        <v>6643</v>
      </c>
      <c r="BU198" t="s">
        <v>3146</v>
      </c>
      <c r="BV198">
        <v>32.68</v>
      </c>
      <c r="BW198">
        <v>30.34</v>
      </c>
      <c r="BX198">
        <v>30.93</v>
      </c>
      <c r="BY198">
        <v>13.52</v>
      </c>
      <c r="BZ198">
        <v>13.03</v>
      </c>
      <c r="CA198">
        <v>13.71</v>
      </c>
      <c r="CB198">
        <v>-5.51</v>
      </c>
      <c r="CC198">
        <v>-8.33</v>
      </c>
      <c r="CD198" t="s">
        <v>6644</v>
      </c>
      <c r="CE198" t="s">
        <v>6645</v>
      </c>
      <c r="CF198" s="14">
        <v>-0.35191082802547768</v>
      </c>
      <c r="CG198" s="15">
        <v>-0.37676708687968108</v>
      </c>
      <c r="CH198" s="14">
        <v>0.50718683004379272</v>
      </c>
      <c r="CI198" s="14">
        <v>2.7426116168498993E-2</v>
      </c>
      <c r="CJ198" s="14">
        <v>0.18302828073501587</v>
      </c>
      <c r="CK198" s="14">
        <v>2.1240497007966042E-2</v>
      </c>
      <c r="CL198" s="14">
        <v>-1.8348729237914085E-2</v>
      </c>
      <c r="CM198" s="15">
        <v>-0.44736841320991516</v>
      </c>
      <c r="CN198" s="15">
        <v>-2.5641025975346565E-2</v>
      </c>
      <c r="CO198" s="15">
        <v>2.6315789669752121E-2</v>
      </c>
      <c r="CP198" s="15">
        <v>0.43939393758773804</v>
      </c>
      <c r="CQ198" s="15">
        <v>0.14782609045505524</v>
      </c>
      <c r="CR198">
        <v>39.139676375404534</v>
      </c>
      <c r="CS198">
        <v>2.7160224904591419</v>
      </c>
      <c r="CT198">
        <v>1.3262599469496021</v>
      </c>
      <c r="CU198" s="14">
        <v>0.14410659894347191</v>
      </c>
      <c r="CV198" s="15">
        <v>2.8105275705456734E-2</v>
      </c>
      <c r="CW198">
        <v>0.06</v>
      </c>
      <c r="CX198">
        <v>41.98380685903529</v>
      </c>
      <c r="CY198">
        <v>113331314.04628731</v>
      </c>
      <c r="CZ198">
        <v>0.14410659894347191</v>
      </c>
      <c r="DA198">
        <v>13.109242487455909</v>
      </c>
      <c r="DB198">
        <v>362956136.06605834</v>
      </c>
      <c r="DC198">
        <v>0.13690126899629831</v>
      </c>
      <c r="DD198">
        <v>6.0647865757889834</v>
      </c>
      <c r="DE198">
        <v>784542034.66855049</v>
      </c>
      <c r="DF198">
        <v>0.12681380707025527</v>
      </c>
      <c r="DG198">
        <v>3.3898559928159662</v>
      </c>
      <c r="DH198">
        <v>1403623047.7293653</v>
      </c>
      <c r="DI198">
        <v>0.11528527915477754</v>
      </c>
      <c r="DJ198">
        <v>1.4872685108439605</v>
      </c>
      <c r="DK198">
        <v>3199207113.7847161</v>
      </c>
      <c r="DL198">
        <v>0.10087461926043033</v>
      </c>
      <c r="DM198">
        <v>105000000</v>
      </c>
      <c r="DN198">
        <v>0.14410659894347191</v>
      </c>
      <c r="DO198">
        <v>4758080000</v>
      </c>
      <c r="DP198">
        <v>855785490</v>
      </c>
      <c r="DQ198">
        <v>4429</v>
      </c>
      <c r="DR198">
        <v>-0.49601742696894957</v>
      </c>
      <c r="DS198">
        <v>-0.40487236258513781</v>
      </c>
      <c r="DT198" s="16">
        <v>-0.14000000000000001</v>
      </c>
      <c r="DU198">
        <v>-0.27</v>
      </c>
      <c r="DV198">
        <v>-0.41000000000000003</v>
      </c>
      <c r="DW198">
        <v>-8.6614645858343344</v>
      </c>
      <c r="DX198">
        <v>0.34909221408592644</v>
      </c>
      <c r="DY198">
        <v>-8.1779949699415919</v>
      </c>
      <c r="DZ198">
        <v>3783</v>
      </c>
      <c r="EA198">
        <v>-8.0462229599045969</v>
      </c>
      <c r="EB198">
        <v>8</v>
      </c>
      <c r="EC198">
        <v>4.8991022443890274E-2</v>
      </c>
      <c r="ED198">
        <v>0.18206034912718205</v>
      </c>
      <c r="EE198" s="17">
        <v>1.1173999999999999</v>
      </c>
      <c r="EF198">
        <v>1.0965</v>
      </c>
      <c r="EG198">
        <v>8.2690922140859264</v>
      </c>
      <c r="EH198" t="s">
        <v>1832</v>
      </c>
      <c r="EI198">
        <v>0</v>
      </c>
      <c r="EJ198">
        <v>0</v>
      </c>
      <c r="EK198" s="19">
        <v>45470</v>
      </c>
      <c r="EL198" s="20">
        <v>1.07</v>
      </c>
      <c r="EM198" s="20">
        <v>4.22</v>
      </c>
      <c r="EN198">
        <v>-2.83</v>
      </c>
      <c r="EO198">
        <v>-0.21</v>
      </c>
      <c r="EP198">
        <v>-2.09</v>
      </c>
    </row>
    <row r="199" spans="1:146" ht="84" x14ac:dyDescent="0.25">
      <c r="A199" s="7"/>
      <c r="B199" s="7"/>
      <c r="C199" s="7" t="str">
        <f>""&amp;CHAR(10)&amp;Basic_Fundamental_Information_Constructure(F199)&amp;CHAR(10)&amp;Basic_Fundamental_Information_Concatenate("")</f>
        <v xml:space="preserve">
市值41.065068亿, 利润1.84亿; PE26.72; 平均PE23.11; 平均PEG.72, PB1.49; ROIC4.6533%; ROE4.7767%; 股利率2.2962%; 毛利16.5133%; 净利6.9667%; 上一年度营收增138.09%, 利润增67.27%; 当季营收增-37.59%, 利润增53.66%; 过往5年营收增31.9%, 利润增2.31%
Income profile:
</v>
      </c>
      <c r="D199" t="s">
        <v>1457</v>
      </c>
      <c r="E199" t="s">
        <v>1978</v>
      </c>
      <c r="F199">
        <v>8.7100000000000009</v>
      </c>
      <c r="G199">
        <v>0.57999999999999996</v>
      </c>
      <c r="H199" t="s">
        <v>6646</v>
      </c>
      <c r="I199">
        <v>4106506800</v>
      </c>
      <c r="J199">
        <v>26.72</v>
      </c>
      <c r="K199">
        <v>1.49</v>
      </c>
      <c r="L199" t="s">
        <v>172</v>
      </c>
      <c r="M199" t="s">
        <v>2610</v>
      </c>
      <c r="N199" t="s">
        <v>6647</v>
      </c>
      <c r="O199" t="s">
        <v>2822</v>
      </c>
      <c r="P199">
        <v>52.99</v>
      </c>
      <c r="Q199" t="s">
        <v>6648</v>
      </c>
      <c r="R199">
        <v>44899864</v>
      </c>
      <c r="S199" s="5">
        <v>109.7</v>
      </c>
      <c r="T199" t="s">
        <v>606</v>
      </c>
      <c r="U199">
        <v>469375550</v>
      </c>
      <c r="V199">
        <v>471470350</v>
      </c>
      <c r="W199">
        <v>1.23</v>
      </c>
      <c r="X199">
        <v>0.17</v>
      </c>
      <c r="Y199">
        <v>7.67</v>
      </c>
      <c r="Z199" t="s">
        <v>713</v>
      </c>
      <c r="AA199" t="s">
        <v>1313</v>
      </c>
      <c r="AB199" t="s">
        <v>6649</v>
      </c>
      <c r="AC199" t="s">
        <v>6650</v>
      </c>
      <c r="AD199" t="s">
        <v>19</v>
      </c>
      <c r="AE199">
        <v>418263</v>
      </c>
      <c r="AF199" t="s">
        <v>6651</v>
      </c>
      <c r="AG199" t="s">
        <v>6652</v>
      </c>
      <c r="AH199" t="s">
        <v>6653</v>
      </c>
      <c r="AI199" t="s">
        <v>148</v>
      </c>
      <c r="AJ199" t="s">
        <v>6654</v>
      </c>
      <c r="AK199" t="s">
        <v>6655</v>
      </c>
      <c r="AL199" t="s">
        <v>6656</v>
      </c>
      <c r="AM199" t="s">
        <v>19</v>
      </c>
      <c r="AN199" t="s">
        <v>474</v>
      </c>
      <c r="AO199" t="s">
        <v>391</v>
      </c>
      <c r="AP199" t="s">
        <v>19</v>
      </c>
      <c r="AQ199" t="s">
        <v>574</v>
      </c>
      <c r="AR199" t="s">
        <v>19</v>
      </c>
      <c r="AS199" t="s">
        <v>6063</v>
      </c>
      <c r="AT199" t="s">
        <v>19</v>
      </c>
      <c r="AU199" t="s">
        <v>94</v>
      </c>
      <c r="AV199" t="s">
        <v>6657</v>
      </c>
      <c r="AW199" t="s">
        <v>6658</v>
      </c>
      <c r="AX199" t="s">
        <v>2377</v>
      </c>
      <c r="AY199" t="s">
        <v>106</v>
      </c>
      <c r="AZ199" t="s">
        <v>1458</v>
      </c>
      <c r="BA199" t="s">
        <v>1459</v>
      </c>
      <c r="BB199" t="s">
        <v>1460</v>
      </c>
      <c r="BC199" t="s">
        <v>279</v>
      </c>
      <c r="BD199" t="s">
        <v>127</v>
      </c>
      <c r="BE199" t="s">
        <v>68</v>
      </c>
      <c r="BF199" t="s">
        <v>1067</v>
      </c>
      <c r="BG199" t="s">
        <v>88</v>
      </c>
      <c r="BH199" t="s">
        <v>6659</v>
      </c>
      <c r="BI199" t="s">
        <v>152</v>
      </c>
      <c r="BJ199" t="s">
        <v>2377</v>
      </c>
      <c r="BK199" t="s">
        <v>262</v>
      </c>
      <c r="BL199" t="s">
        <v>6660</v>
      </c>
      <c r="BM199" t="s">
        <v>279</v>
      </c>
      <c r="BN199">
        <v>2.09</v>
      </c>
      <c r="BO199">
        <v>4.34</v>
      </c>
      <c r="BP199">
        <v>7.53</v>
      </c>
      <c r="BQ199">
        <v>2.16</v>
      </c>
      <c r="BR199">
        <v>4.3</v>
      </c>
      <c r="BS199">
        <v>7.87</v>
      </c>
      <c r="BT199" t="s">
        <v>1989</v>
      </c>
      <c r="BU199" t="s">
        <v>3125</v>
      </c>
      <c r="BV199">
        <v>12.8</v>
      </c>
      <c r="BW199">
        <v>15</v>
      </c>
      <c r="BX199">
        <v>21.74</v>
      </c>
      <c r="BY199">
        <v>4.51</v>
      </c>
      <c r="BZ199">
        <v>5.97</v>
      </c>
      <c r="CA199">
        <v>10.42</v>
      </c>
      <c r="CB199">
        <v>-3.86</v>
      </c>
      <c r="CC199">
        <v>-10.48</v>
      </c>
      <c r="CD199" t="s">
        <v>6661</v>
      </c>
      <c r="CE199" t="s">
        <v>6662</v>
      </c>
      <c r="CF199" s="14">
        <v>-0.37593184238551652</v>
      </c>
      <c r="CG199" s="15">
        <v>0.53664039425725973</v>
      </c>
      <c r="CH199" s="14">
        <v>1.3809263706207275</v>
      </c>
      <c r="CI199" s="14">
        <v>0.22660432755947113</v>
      </c>
      <c r="CJ199" s="14">
        <v>2.888583205640316E-2</v>
      </c>
      <c r="CK199" s="14">
        <v>1.6072630882263184E-2</v>
      </c>
      <c r="CL199" s="14">
        <v>-5.7312209159135818E-2</v>
      </c>
      <c r="CM199" s="15">
        <v>0.67272728681564331</v>
      </c>
      <c r="CN199" s="15">
        <v>-0.29487180709838867</v>
      </c>
      <c r="CO199" s="15">
        <v>-0.22388060390949249</v>
      </c>
      <c r="CP199" s="15">
        <v>-2.4271843954920769E-2</v>
      </c>
      <c r="CQ199" s="15">
        <v>-1.4354066923260689E-2</v>
      </c>
      <c r="CR199">
        <v>23.113546716697936</v>
      </c>
      <c r="CS199">
        <v>0.72448221773459542</v>
      </c>
      <c r="CT199">
        <v>2.2962112514351318</v>
      </c>
      <c r="CU199" s="14">
        <v>0.31903539039194584</v>
      </c>
      <c r="CV199" s="15">
        <v>2.3069792985916139E-2</v>
      </c>
      <c r="CW199">
        <v>0.06</v>
      </c>
      <c r="CX199">
        <v>9.8683659675377431</v>
      </c>
      <c r="CY199">
        <v>228964633.80388492</v>
      </c>
      <c r="CZ199">
        <v>0.31903539039194584</v>
      </c>
      <c r="DA199">
        <v>2.6704997477247563</v>
      </c>
      <c r="DB199">
        <v>846098862.92821455</v>
      </c>
      <c r="DC199">
        <v>0.30308362087234852</v>
      </c>
      <c r="DD199">
        <v>1.0024604400384065</v>
      </c>
      <c r="DE199">
        <v>2253961063.9532399</v>
      </c>
      <c r="DF199">
        <v>0.28075114354491232</v>
      </c>
      <c r="DG199">
        <v>0.43190278964004686</v>
      </c>
      <c r="DH199">
        <v>5231517031.6058874</v>
      </c>
      <c r="DI199">
        <v>0.25522831231355669</v>
      </c>
      <c r="DJ199">
        <v>9.8955629799287709E-2</v>
      </c>
      <c r="DK199">
        <v>22833534631.460293</v>
      </c>
      <c r="DL199">
        <v>0.22332477327436207</v>
      </c>
      <c r="DM199">
        <v>184000000</v>
      </c>
      <c r="DN199">
        <v>0.31903539039194584</v>
      </c>
      <c r="DO199">
        <v>2259506800</v>
      </c>
      <c r="DP199">
        <v>777900400</v>
      </c>
      <c r="DQ199">
        <v>4436</v>
      </c>
      <c r="DR199">
        <v>-0.69496723277746231</v>
      </c>
      <c r="DS199">
        <v>0.51357060127134357</v>
      </c>
      <c r="DT199" s="16">
        <v>4.33333333333333E-2</v>
      </c>
      <c r="DU199">
        <v>4.9999999999999968E-2</v>
      </c>
      <c r="DV199">
        <v>9.3333333333333268E-2</v>
      </c>
      <c r="DW199">
        <v>-8.3683206106870234</v>
      </c>
      <c r="DX199">
        <v>0.34469515183398186</v>
      </c>
      <c r="DY199">
        <v>-8.060660618900684</v>
      </c>
      <c r="DZ199">
        <v>1595</v>
      </c>
      <c r="EA199">
        <v>-8.0417264335491012</v>
      </c>
      <c r="EB199">
        <v>8</v>
      </c>
      <c r="EC199">
        <v>2.7017605667037176E-2</v>
      </c>
      <c r="ED199">
        <v>0.16404615900024255</v>
      </c>
      <c r="EE199" s="17">
        <v>3.0474999999999999</v>
      </c>
      <c r="EF199">
        <v>3.024</v>
      </c>
      <c r="EG199">
        <v>18.164695151833982</v>
      </c>
      <c r="EH199" t="s">
        <v>2080</v>
      </c>
      <c r="EI199">
        <v>0</v>
      </c>
      <c r="EJ199">
        <v>0</v>
      </c>
      <c r="EK199" s="19">
        <v>45470</v>
      </c>
      <c r="EL199" s="20">
        <v>-0.4</v>
      </c>
      <c r="EM199" s="20">
        <v>-4.79</v>
      </c>
      <c r="EN199">
        <v>3.18</v>
      </c>
      <c r="EO199">
        <v>0.51</v>
      </c>
      <c r="EP199">
        <v>-2.35</v>
      </c>
    </row>
    <row r="200" spans="1:146" ht="84" x14ac:dyDescent="0.25">
      <c r="A200" s="7"/>
      <c r="B200" s="7"/>
      <c r="C200" s="7" t="str">
        <f>""&amp;CHAR(10)&amp;Basic_Fundamental_Information_Constructure(F200)&amp;CHAR(10)&amp;Basic_Fundamental_Information_Concatenate("")</f>
        <v xml:space="preserve">
市值21.260239亿, 利润-4.32亿; PE28.8; 平均PE37.52; 平均PEG5.09, PB1.24; ROIC4.7233%; ROE5.6633%; 股利率0%; 毛利32.92%; 净利12.5367%; 上一年度营收增-80.96%, 利润增-527.72%; 当季营收增152.1%, 利润增164.9%; 过往5年营收增-7.37%, 利润增-100.56%
Income profile:
</v>
      </c>
      <c r="D200" t="s">
        <v>1461</v>
      </c>
      <c r="E200" t="s">
        <v>1462</v>
      </c>
      <c r="F200">
        <v>13.08</v>
      </c>
      <c r="G200">
        <v>0.46</v>
      </c>
      <c r="H200" t="s">
        <v>6663</v>
      </c>
      <c r="I200">
        <v>2126023900</v>
      </c>
      <c r="J200">
        <v>28.8</v>
      </c>
      <c r="K200">
        <v>1.24</v>
      </c>
      <c r="L200" t="s">
        <v>172</v>
      </c>
      <c r="M200" t="s">
        <v>2175</v>
      </c>
      <c r="N200" t="s">
        <v>6664</v>
      </c>
      <c r="O200" t="s">
        <v>162</v>
      </c>
      <c r="P200">
        <v>50.26</v>
      </c>
      <c r="Q200" t="s">
        <v>144</v>
      </c>
      <c r="R200">
        <v>13058132</v>
      </c>
      <c r="S200" s="5">
        <v>3.294</v>
      </c>
      <c r="T200" t="s">
        <v>6665</v>
      </c>
      <c r="U200">
        <v>162140060</v>
      </c>
      <c r="V200">
        <v>162540060</v>
      </c>
      <c r="W200">
        <v>1.9</v>
      </c>
      <c r="X200">
        <v>0.06</v>
      </c>
      <c r="Y200">
        <v>5.83</v>
      </c>
      <c r="Z200" t="s">
        <v>607</v>
      </c>
      <c r="AA200" t="s">
        <v>144</v>
      </c>
      <c r="AB200" t="s">
        <v>6666</v>
      </c>
      <c r="AC200" t="s">
        <v>6667</v>
      </c>
      <c r="AD200" t="s">
        <v>19</v>
      </c>
      <c r="AE200">
        <v>8535081</v>
      </c>
      <c r="AF200" t="s">
        <v>6668</v>
      </c>
      <c r="AG200" t="s">
        <v>6669</v>
      </c>
      <c r="AH200" t="s">
        <v>6670</v>
      </c>
      <c r="AI200" t="s">
        <v>150</v>
      </c>
      <c r="AJ200" t="s">
        <v>6671</v>
      </c>
      <c r="AK200" t="s">
        <v>19</v>
      </c>
      <c r="AL200" t="s">
        <v>6672</v>
      </c>
      <c r="AM200" t="s">
        <v>19</v>
      </c>
      <c r="AN200" t="s">
        <v>2703</v>
      </c>
      <c r="AO200" t="s">
        <v>846</v>
      </c>
      <c r="AP200" t="s">
        <v>201</v>
      </c>
      <c r="AQ200" t="s">
        <v>100</v>
      </c>
      <c r="AR200" t="s">
        <v>19</v>
      </c>
      <c r="AS200" t="s">
        <v>955</v>
      </c>
      <c r="AT200" t="s">
        <v>564</v>
      </c>
      <c r="AU200" t="s">
        <v>6673</v>
      </c>
      <c r="AV200" t="s">
        <v>2020</v>
      </c>
      <c r="AW200" t="s">
        <v>6674</v>
      </c>
      <c r="AX200" t="s">
        <v>984</v>
      </c>
      <c r="AY200" t="s">
        <v>1794</v>
      </c>
      <c r="AZ200" t="s">
        <v>943</v>
      </c>
      <c r="BA200" t="s">
        <v>143</v>
      </c>
      <c r="BB200" t="s">
        <v>1463</v>
      </c>
      <c r="BC200" t="s">
        <v>367</v>
      </c>
      <c r="BD200" t="s">
        <v>144</v>
      </c>
      <c r="BE200" t="s">
        <v>607</v>
      </c>
      <c r="BF200" t="s">
        <v>146</v>
      </c>
      <c r="BG200" t="s">
        <v>242</v>
      </c>
      <c r="BH200" t="s">
        <v>2610</v>
      </c>
      <c r="BI200" t="s">
        <v>6675</v>
      </c>
      <c r="BJ200" t="s">
        <v>984</v>
      </c>
      <c r="BK200" t="s">
        <v>6676</v>
      </c>
      <c r="BL200" t="s">
        <v>6677</v>
      </c>
      <c r="BM200" t="s">
        <v>367</v>
      </c>
      <c r="BN200">
        <v>2.4300000000000002</v>
      </c>
      <c r="BO200">
        <v>4.24</v>
      </c>
      <c r="BP200">
        <v>7.5</v>
      </c>
      <c r="BQ200">
        <v>2.08</v>
      </c>
      <c r="BR200">
        <v>5.4</v>
      </c>
      <c r="BS200">
        <v>9.51</v>
      </c>
      <c r="BT200" t="s">
        <v>1983</v>
      </c>
      <c r="BU200" t="s">
        <v>3084</v>
      </c>
      <c r="BV200">
        <v>26.06</v>
      </c>
      <c r="BW200">
        <v>32.49</v>
      </c>
      <c r="BX200">
        <v>40.21</v>
      </c>
      <c r="BY200">
        <v>6.08</v>
      </c>
      <c r="BZ200">
        <v>11.66</v>
      </c>
      <c r="CA200">
        <v>19.87</v>
      </c>
      <c r="CB200">
        <v>-0.76</v>
      </c>
      <c r="CC200">
        <v>-15.45</v>
      </c>
      <c r="CD200" t="s">
        <v>6678</v>
      </c>
      <c r="CE200" t="s">
        <v>6679</v>
      </c>
      <c r="CF200" s="14">
        <v>1.5209838139333878</v>
      </c>
      <c r="CG200" s="15">
        <v>1.6489512421789194</v>
      </c>
      <c r="CH200" s="14">
        <v>-0.80957943201065063</v>
      </c>
      <c r="CI200" s="14">
        <v>4.2630936950445175E-2</v>
      </c>
      <c r="CJ200" s="14">
        <v>1.608910970389843E-2</v>
      </c>
      <c r="CK200" s="14">
        <v>0.22796352207660675</v>
      </c>
      <c r="CL200" s="14">
        <v>0.15438596904277802</v>
      </c>
      <c r="CM200" s="15">
        <v>-5.2772278785705566</v>
      </c>
      <c r="CN200" s="15">
        <v>-0.38036808371543884</v>
      </c>
      <c r="CO200" s="15">
        <v>-0.26244345307350159</v>
      </c>
      <c r="CP200" s="15">
        <v>0.23463687300682068</v>
      </c>
      <c r="CQ200" s="15">
        <v>0.65740740299224854</v>
      </c>
      <c r="CR200">
        <v>37.518068823529411</v>
      </c>
      <c r="CS200">
        <v>5.0905103784551722</v>
      </c>
      <c r="CT200">
        <v>0</v>
      </c>
      <c r="CU200" s="14">
        <v>-7.3701978847384456E-2</v>
      </c>
      <c r="CV200" s="15">
        <v>-1.0055990278720857</v>
      </c>
      <c r="CW200">
        <v>0.06</v>
      </c>
      <c r="CX200" t="e">
        <v>#VALUE!</v>
      </c>
      <c r="CY200" t="s">
        <v>1835</v>
      </c>
      <c r="CZ200">
        <v>-7.3701978847384456E-2</v>
      </c>
      <c r="DA200" t="e">
        <v>#VALUE!</v>
      </c>
      <c r="DB200" t="s">
        <v>1835</v>
      </c>
      <c r="DC200">
        <v>-7.0016879905015234E-2</v>
      </c>
      <c r="DD200" t="e">
        <v>#VALUE!</v>
      </c>
      <c r="DE200" t="s">
        <v>1835</v>
      </c>
      <c r="DF200">
        <v>-6.4857741385698317E-2</v>
      </c>
      <c r="DG200" t="e">
        <v>#VALUE!</v>
      </c>
      <c r="DH200" t="s">
        <v>1835</v>
      </c>
      <c r="DI200">
        <v>-5.8961583077907567E-2</v>
      </c>
      <c r="DJ200" t="e">
        <v>#VALUE!</v>
      </c>
      <c r="DK200" t="s">
        <v>1835</v>
      </c>
      <c r="DL200">
        <v>-5.1591385193169116E-2</v>
      </c>
      <c r="DM200">
        <v>-432000000</v>
      </c>
      <c r="DN200">
        <v>-7.3701978847384456E-2</v>
      </c>
      <c r="DO200">
        <v>1826023900</v>
      </c>
      <c r="DP200">
        <v>1333180200</v>
      </c>
      <c r="DQ200">
        <v>4446</v>
      </c>
      <c r="DR200">
        <v>1.5946857927807723</v>
      </c>
      <c r="DS200">
        <v>2.6545502700510051</v>
      </c>
      <c r="DT200" s="16">
        <v>-0.55666666666666675</v>
      </c>
      <c r="DU200">
        <v>-1.1566666666666667</v>
      </c>
      <c r="DV200">
        <v>-1.7133333333333334</v>
      </c>
      <c r="DW200">
        <v>-2.1545000000000001</v>
      </c>
      <c r="DX200">
        <v>0.34063063486626288</v>
      </c>
      <c r="DY200">
        <v>-2.0186374330868375</v>
      </c>
      <c r="DZ200">
        <v>4292</v>
      </c>
      <c r="EA200">
        <v>-2.002983448192766</v>
      </c>
      <c r="EB200">
        <v>2</v>
      </c>
      <c r="EC200">
        <v>3.3149366377740963E-2</v>
      </c>
      <c r="ED200">
        <v>0.27480056301197381</v>
      </c>
      <c r="EE200" s="17">
        <v>1.0069999999999999</v>
      </c>
      <c r="EF200">
        <v>1.0152099999999999</v>
      </c>
      <c r="EG200">
        <v>22.120630634866263</v>
      </c>
      <c r="EH200" t="s">
        <v>1840</v>
      </c>
      <c r="EI200">
        <v>0</v>
      </c>
      <c r="EJ200">
        <v>0</v>
      </c>
      <c r="EK200" s="19">
        <v>45470</v>
      </c>
      <c r="EL200" s="20">
        <v>4.1500000000000004</v>
      </c>
      <c r="EM200" s="20">
        <v>-1.99</v>
      </c>
      <c r="EN200">
        <v>-4.07</v>
      </c>
      <c r="EO200">
        <v>2.77</v>
      </c>
      <c r="EP200">
        <v>-2.2200000000000002</v>
      </c>
    </row>
    <row r="201" spans="1:146" ht="84" x14ac:dyDescent="0.25">
      <c r="A201" s="7"/>
      <c r="B201" s="7"/>
      <c r="C201" s="7" t="str">
        <f>""&amp;CHAR(10)&amp;Basic_Fundamental_Information_Constructure(F201)&amp;CHAR(10)&amp;Basic_Fundamental_Information_Concatenate("")</f>
        <v xml:space="preserve">
市值34.831402亿, 利润1.35亿; PE10.8; 平均PE26.24; 平均PEG9.49, PB1.67; ROIC10.2367%; ROE11.7967%; 股利率3.0769%; 毛利23.3667%; 净利7.2433%; 上一年度营收增-72.83%, 利润增-43.28%; 当季营收增272.77%, 利润增85.84%; 过往5年营收增-2.76%, 利润增17.91%
Income profile:
</v>
      </c>
      <c r="D201" t="s">
        <v>1464</v>
      </c>
      <c r="E201" t="s">
        <v>1465</v>
      </c>
      <c r="F201">
        <v>19.5</v>
      </c>
      <c r="G201">
        <v>0.41</v>
      </c>
      <c r="H201" t="s">
        <v>6680</v>
      </c>
      <c r="I201">
        <v>3483140200</v>
      </c>
      <c r="J201">
        <v>10.8</v>
      </c>
      <c r="K201">
        <v>1.67</v>
      </c>
      <c r="L201" t="s">
        <v>172</v>
      </c>
      <c r="M201" t="s">
        <v>2826</v>
      </c>
      <c r="N201" t="s">
        <v>6681</v>
      </c>
      <c r="O201" t="s">
        <v>1177</v>
      </c>
      <c r="P201">
        <v>19.899999999999999</v>
      </c>
      <c r="Q201" t="s">
        <v>2261</v>
      </c>
      <c r="R201">
        <v>66215038</v>
      </c>
      <c r="S201" s="5">
        <v>1.363</v>
      </c>
      <c r="T201" t="s">
        <v>115</v>
      </c>
      <c r="U201">
        <v>173355380</v>
      </c>
      <c r="V201">
        <v>178622580</v>
      </c>
      <c r="W201">
        <v>2.16</v>
      </c>
      <c r="X201">
        <v>0.17</v>
      </c>
      <c r="Y201">
        <v>8.75</v>
      </c>
      <c r="Z201" t="s">
        <v>96</v>
      </c>
      <c r="AA201" t="s">
        <v>1918</v>
      </c>
      <c r="AB201" t="s">
        <v>6682</v>
      </c>
      <c r="AC201" t="s">
        <v>6683</v>
      </c>
      <c r="AD201" t="s">
        <v>19</v>
      </c>
      <c r="AE201">
        <v>5717916</v>
      </c>
      <c r="AF201" t="s">
        <v>6684</v>
      </c>
      <c r="AG201" t="s">
        <v>4634</v>
      </c>
      <c r="AH201" t="s">
        <v>6685</v>
      </c>
      <c r="AI201" t="s">
        <v>243</v>
      </c>
      <c r="AJ201" t="s">
        <v>6686</v>
      </c>
      <c r="AK201" t="s">
        <v>19</v>
      </c>
      <c r="AL201" t="s">
        <v>6687</v>
      </c>
      <c r="AM201" t="s">
        <v>19</v>
      </c>
      <c r="AN201" t="s">
        <v>852</v>
      </c>
      <c r="AO201" t="s">
        <v>428</v>
      </c>
      <c r="AP201" t="s">
        <v>2818</v>
      </c>
      <c r="AQ201" t="s">
        <v>680</v>
      </c>
      <c r="AR201" t="s">
        <v>19</v>
      </c>
      <c r="AS201" t="s">
        <v>6688</v>
      </c>
      <c r="AT201" t="s">
        <v>367</v>
      </c>
      <c r="AU201" t="s">
        <v>1985</v>
      </c>
      <c r="AV201" t="s">
        <v>414</v>
      </c>
      <c r="AW201" t="s">
        <v>517</v>
      </c>
      <c r="AX201" t="s">
        <v>2379</v>
      </c>
      <c r="AY201" t="s">
        <v>1795</v>
      </c>
      <c r="AZ201" t="s">
        <v>756</v>
      </c>
      <c r="BA201" t="s">
        <v>1467</v>
      </c>
      <c r="BB201" t="s">
        <v>1468</v>
      </c>
      <c r="BC201" t="s">
        <v>322</v>
      </c>
      <c r="BD201" t="s">
        <v>506</v>
      </c>
      <c r="BE201" t="s">
        <v>1466</v>
      </c>
      <c r="BF201" t="s">
        <v>186</v>
      </c>
      <c r="BG201" t="s">
        <v>1469</v>
      </c>
      <c r="BH201" t="s">
        <v>6689</v>
      </c>
      <c r="BI201" t="s">
        <v>53</v>
      </c>
      <c r="BJ201" t="s">
        <v>2379</v>
      </c>
      <c r="BK201" t="s">
        <v>251</v>
      </c>
      <c r="BL201" t="s">
        <v>6690</v>
      </c>
      <c r="BM201" t="s">
        <v>322</v>
      </c>
      <c r="BN201">
        <v>8.6</v>
      </c>
      <c r="BO201">
        <v>14.18</v>
      </c>
      <c r="BP201">
        <v>7.93</v>
      </c>
      <c r="BQ201">
        <v>12.19</v>
      </c>
      <c r="BR201">
        <v>14.98</v>
      </c>
      <c r="BS201">
        <v>8.2200000000000006</v>
      </c>
      <c r="BT201" t="s">
        <v>4028</v>
      </c>
      <c r="BU201" t="s">
        <v>2920</v>
      </c>
      <c r="BV201">
        <v>26.97</v>
      </c>
      <c r="BW201">
        <v>22.97</v>
      </c>
      <c r="BX201">
        <v>20.16</v>
      </c>
      <c r="BY201">
        <v>8.93</v>
      </c>
      <c r="BZ201">
        <v>8.09</v>
      </c>
      <c r="CA201">
        <v>4.71</v>
      </c>
      <c r="CB201">
        <v>-6.43</v>
      </c>
      <c r="CC201">
        <v>-9.3000000000000007</v>
      </c>
      <c r="CD201" t="s">
        <v>6691</v>
      </c>
      <c r="CE201" t="s">
        <v>6692</v>
      </c>
      <c r="CF201" s="14">
        <v>2.7277227722772279</v>
      </c>
      <c r="CG201" s="15">
        <v>0.85844863202092669</v>
      </c>
      <c r="CH201" s="14">
        <v>-0.72832369804382324</v>
      </c>
      <c r="CI201" s="14">
        <v>0.18254919350147247</v>
      </c>
      <c r="CJ201" s="14">
        <v>0.35089632868766785</v>
      </c>
      <c r="CK201" s="14">
        <v>-5.3470440208911896E-2</v>
      </c>
      <c r="CL201" s="14">
        <v>0.11015977710485458</v>
      </c>
      <c r="CM201" s="15">
        <v>-0.43277311325073242</v>
      </c>
      <c r="CN201" s="15">
        <v>1.0341880321502686</v>
      </c>
      <c r="CO201" s="15">
        <v>0.26837924122810364</v>
      </c>
      <c r="CP201" s="15">
        <v>-0.22484281659126282</v>
      </c>
      <c r="CQ201" s="15">
        <v>0.25039276480674744</v>
      </c>
      <c r="CR201">
        <v>26.241184168330584</v>
      </c>
      <c r="CS201">
        <v>9.4946829158053614</v>
      </c>
      <c r="CT201">
        <v>3.0769230769230771</v>
      </c>
      <c r="CU201" s="14">
        <v>-2.7637767791748046E-2</v>
      </c>
      <c r="CV201" s="15">
        <v>0.17906882166862487</v>
      </c>
      <c r="CW201">
        <v>0.06</v>
      </c>
      <c r="CX201">
        <v>28.030668148148148</v>
      </c>
      <c r="CY201" t="s">
        <v>6693</v>
      </c>
      <c r="CZ201">
        <v>-2.7637767791748046E-2</v>
      </c>
      <c r="DA201">
        <v>9.3435560493827161</v>
      </c>
      <c r="DB201" t="s">
        <v>6694</v>
      </c>
      <c r="DC201">
        <v>-2.6255879402160641E-2</v>
      </c>
      <c r="DD201">
        <v>4.6717780246913581</v>
      </c>
      <c r="DE201" t="s">
        <v>6695</v>
      </c>
      <c r="DF201">
        <v>-2.4321235656738282E-2</v>
      </c>
      <c r="DG201">
        <v>2.803066814814815</v>
      </c>
      <c r="DH201" t="s">
        <v>6696</v>
      </c>
      <c r="DI201">
        <v>-2.2110214233398439E-2</v>
      </c>
      <c r="DJ201">
        <v>1.4015334074074075</v>
      </c>
      <c r="DK201" t="s">
        <v>6697</v>
      </c>
      <c r="DL201">
        <v>-1.9346437454223632E-2</v>
      </c>
      <c r="DM201">
        <v>135000000</v>
      </c>
      <c r="DN201">
        <v>-2.7637767791748046E-2</v>
      </c>
      <c r="DO201">
        <v>3784140200</v>
      </c>
      <c r="DP201">
        <v>1736822400</v>
      </c>
      <c r="DQ201">
        <v>4452</v>
      </c>
      <c r="DR201">
        <v>2.7553605400689758</v>
      </c>
      <c r="DS201">
        <v>0.67937981035230188</v>
      </c>
      <c r="DT201" s="16">
        <v>-0.49</v>
      </c>
      <c r="DU201">
        <v>0.47</v>
      </c>
      <c r="DV201">
        <v>-2.0000000000000018E-2</v>
      </c>
      <c r="DW201">
        <v>-9.6913978494623656</v>
      </c>
      <c r="DX201">
        <v>0.37782851570344378</v>
      </c>
      <c r="DY201">
        <v>-9.081466382362704</v>
      </c>
      <c r="DZ201">
        <v>2232</v>
      </c>
      <c r="EA201">
        <v>-9.0458826317886221</v>
      </c>
      <c r="EB201">
        <v>9</v>
      </c>
      <c r="EC201">
        <v>5.4082188265335771E-2</v>
      </c>
      <c r="ED201">
        <v>0.45899068303682544</v>
      </c>
      <c r="EE201" s="17">
        <v>-1.01041</v>
      </c>
      <c r="EF201">
        <v>-1.0402100000000001</v>
      </c>
      <c r="EG201">
        <v>26.117828515703444</v>
      </c>
      <c r="EH201" t="s">
        <v>1838</v>
      </c>
      <c r="EI201">
        <v>0</v>
      </c>
      <c r="EJ201">
        <v>0</v>
      </c>
      <c r="EK201" s="19">
        <v>45470</v>
      </c>
      <c r="EL201" s="20">
        <v>-0.53</v>
      </c>
      <c r="EM201" s="20">
        <v>-3.49</v>
      </c>
      <c r="EN201">
        <v>-1.3</v>
      </c>
      <c r="EO201">
        <v>3.8</v>
      </c>
      <c r="EP201">
        <v>-2.98</v>
      </c>
    </row>
    <row r="202" spans="1:146" ht="84" x14ac:dyDescent="0.25">
      <c r="A202" s="7"/>
      <c r="B202" s="7"/>
      <c r="C202" s="7" t="str">
        <f>""&amp;CHAR(10)&amp;Basic_Fundamental_Information_Constructure(F202)&amp;CHAR(10)&amp;Basic_Fundamental_Information_Concatenate("")</f>
        <v xml:space="preserve">
市值31.010112亿, 利润1.46亿; PE27.67; 平均PE36.32; 平均PEG1.58, PB2.64; ROIC4.9667%; ROE5.6067%; 股利率1.4318%; 毛利16.1633%; 净利6.13%; 上一年度营收增80.04%, 利润增219.16%; 当季营收增30.21%, 利润增70.93%; 过往5年营收增23.01%, 利润增34.52%
Income profile:
</v>
      </c>
      <c r="D202" t="s">
        <v>1470</v>
      </c>
      <c r="E202" t="s">
        <v>1471</v>
      </c>
      <c r="F202">
        <v>26.19</v>
      </c>
      <c r="G202">
        <v>-1.58</v>
      </c>
      <c r="H202" t="s">
        <v>6698</v>
      </c>
      <c r="I202">
        <v>3101011200</v>
      </c>
      <c r="J202">
        <v>27.67</v>
      </c>
      <c r="K202">
        <v>2.64</v>
      </c>
      <c r="L202" t="s">
        <v>172</v>
      </c>
      <c r="M202" t="s">
        <v>2170</v>
      </c>
      <c r="N202" t="s">
        <v>1508</v>
      </c>
      <c r="O202" t="s">
        <v>1312</v>
      </c>
      <c r="P202">
        <v>103.44</v>
      </c>
      <c r="Q202" t="s">
        <v>6699</v>
      </c>
      <c r="R202">
        <v>61002200</v>
      </c>
      <c r="S202" s="5">
        <v>1.871</v>
      </c>
      <c r="T202" t="s">
        <v>1303</v>
      </c>
      <c r="U202">
        <v>118404400</v>
      </c>
      <c r="V202">
        <v>118404400</v>
      </c>
      <c r="W202">
        <v>2.02</v>
      </c>
      <c r="X202">
        <v>0.23</v>
      </c>
      <c r="Y202">
        <v>5.69</v>
      </c>
      <c r="Z202" t="s">
        <v>1417</v>
      </c>
      <c r="AA202" t="s">
        <v>888</v>
      </c>
      <c r="AB202" t="s">
        <v>6700</v>
      </c>
      <c r="AC202" t="s">
        <v>6701</v>
      </c>
      <c r="AD202" t="s">
        <v>19</v>
      </c>
      <c r="AE202">
        <v>5515954</v>
      </c>
      <c r="AF202" t="s">
        <v>6702</v>
      </c>
      <c r="AG202" t="s">
        <v>19</v>
      </c>
      <c r="AH202" t="s">
        <v>6703</v>
      </c>
      <c r="AI202" t="s">
        <v>3173</v>
      </c>
      <c r="AJ202" t="s">
        <v>6704</v>
      </c>
      <c r="AK202" t="s">
        <v>6705</v>
      </c>
      <c r="AL202" t="s">
        <v>6706</v>
      </c>
      <c r="AM202" t="s">
        <v>19</v>
      </c>
      <c r="AN202" t="s">
        <v>6707</v>
      </c>
      <c r="AO202" t="s">
        <v>6708</v>
      </c>
      <c r="AP202" t="s">
        <v>19</v>
      </c>
      <c r="AQ202" t="s">
        <v>372</v>
      </c>
      <c r="AR202" t="s">
        <v>6709</v>
      </c>
      <c r="AS202" t="s">
        <v>2393</v>
      </c>
      <c r="AT202" t="s">
        <v>19</v>
      </c>
      <c r="AU202" t="s">
        <v>6710</v>
      </c>
      <c r="AV202" t="s">
        <v>6711</v>
      </c>
      <c r="AW202" t="s">
        <v>6712</v>
      </c>
      <c r="AX202" t="s">
        <v>2315</v>
      </c>
      <c r="AY202" t="s">
        <v>307</v>
      </c>
      <c r="AZ202" t="s">
        <v>270</v>
      </c>
      <c r="BA202" t="s">
        <v>649</v>
      </c>
      <c r="BB202" t="s">
        <v>206</v>
      </c>
      <c r="BC202" t="s">
        <v>2380</v>
      </c>
      <c r="BD202" t="s">
        <v>1796</v>
      </c>
      <c r="BE202" t="s">
        <v>1472</v>
      </c>
      <c r="BF202" t="s">
        <v>1475</v>
      </c>
      <c r="BG202" t="s">
        <v>1476</v>
      </c>
      <c r="BH202" t="s">
        <v>2057</v>
      </c>
      <c r="BI202" t="s">
        <v>884</v>
      </c>
      <c r="BJ202" t="s">
        <v>2315</v>
      </c>
      <c r="BK202" t="s">
        <v>6713</v>
      </c>
      <c r="BL202" t="s">
        <v>6714</v>
      </c>
      <c r="BM202" t="s">
        <v>2380</v>
      </c>
      <c r="BN202">
        <v>4.62</v>
      </c>
      <c r="BO202">
        <v>3.77</v>
      </c>
      <c r="BP202">
        <v>6.51</v>
      </c>
      <c r="BQ202">
        <v>5.51</v>
      </c>
      <c r="BR202">
        <v>4.3499999999999996</v>
      </c>
      <c r="BS202">
        <v>6.96</v>
      </c>
      <c r="BT202" t="s">
        <v>6715</v>
      </c>
      <c r="BU202" t="s">
        <v>3084</v>
      </c>
      <c r="BV202">
        <v>16.12</v>
      </c>
      <c r="BW202">
        <v>13.15</v>
      </c>
      <c r="BX202">
        <v>19.22</v>
      </c>
      <c r="BY202">
        <v>5.78</v>
      </c>
      <c r="BZ202">
        <v>4.08</v>
      </c>
      <c r="CA202">
        <v>8.5299999999999994</v>
      </c>
      <c r="CB202">
        <v>-6.1</v>
      </c>
      <c r="CC202">
        <v>-7.98</v>
      </c>
      <c r="CD202" t="s">
        <v>6716</v>
      </c>
      <c r="CE202" t="s">
        <v>6717</v>
      </c>
      <c r="CF202" s="14">
        <v>0.30205949656750575</v>
      </c>
      <c r="CG202" s="15">
        <v>0.70931965926922214</v>
      </c>
      <c r="CH202" s="14">
        <v>0.80035650730133057</v>
      </c>
      <c r="CI202" s="14">
        <v>0.3567110002040863</v>
      </c>
      <c r="CJ202" s="14">
        <v>4.4191919267177582E-2</v>
      </c>
      <c r="CK202" s="14">
        <v>-2.7027027681469917E-2</v>
      </c>
      <c r="CL202" s="14">
        <v>-2.3980814963579178E-2</v>
      </c>
      <c r="CM202" s="15">
        <v>2.1916475296020508</v>
      </c>
      <c r="CN202" s="15">
        <v>-0.35096931457519531</v>
      </c>
      <c r="CO202" s="15">
        <v>-0.13238221406936646</v>
      </c>
      <c r="CP202" s="15">
        <v>-8.0885499715805054E-2</v>
      </c>
      <c r="CQ202" s="15">
        <v>9.8402984440326691E-2</v>
      </c>
      <c r="CR202">
        <v>36.317914704154312</v>
      </c>
      <c r="CS202">
        <v>1.5786944006558834</v>
      </c>
      <c r="CT202">
        <v>1.43184421534937</v>
      </c>
      <c r="CU202" s="14">
        <v>0.23005031682550908</v>
      </c>
      <c r="CV202" s="15">
        <v>0.34516269713640213</v>
      </c>
      <c r="CW202">
        <v>0.06</v>
      </c>
      <c r="CX202">
        <v>18.374300532769972</v>
      </c>
      <c r="CY202">
        <v>169422024.77030596</v>
      </c>
      <c r="CZ202">
        <v>0.23005031682550908</v>
      </c>
      <c r="DA202">
        <v>5.3434893559627765</v>
      </c>
      <c r="DB202">
        <v>582580219.14579177</v>
      </c>
      <c r="DC202">
        <v>0.21854780098423363</v>
      </c>
      <c r="DD202">
        <v>2.2335706187385944</v>
      </c>
      <c r="DE202">
        <v>1393737531.2351074</v>
      </c>
      <c r="DF202">
        <v>0.202444278806448</v>
      </c>
      <c r="DG202">
        <v>1.1035125893573077</v>
      </c>
      <c r="DH202">
        <v>2821001980.4241982</v>
      </c>
      <c r="DI202">
        <v>0.18404025346040728</v>
      </c>
      <c r="DJ202">
        <v>0.35839468895654064</v>
      </c>
      <c r="DK202">
        <v>8685985858.3939209</v>
      </c>
      <c r="DL202">
        <v>0.16103522177785634</v>
      </c>
      <c r="DM202">
        <v>146000000</v>
      </c>
      <c r="DN202">
        <v>0.23005031682550908</v>
      </c>
      <c r="DO202">
        <v>3113011200</v>
      </c>
      <c r="DP202">
        <v>503881200</v>
      </c>
      <c r="DQ202">
        <v>4465</v>
      </c>
      <c r="DR202">
        <v>7.2009179741996665E-2</v>
      </c>
      <c r="DS202">
        <v>0.36415696213282001</v>
      </c>
      <c r="DT202" s="16">
        <v>4.33333333333333E-2</v>
      </c>
      <c r="DU202">
        <v>0.59</v>
      </c>
      <c r="DV202">
        <v>0.6333333333333333</v>
      </c>
      <c r="DW202">
        <v>-9.7644110275689222</v>
      </c>
      <c r="DX202">
        <v>0.47378410601315479</v>
      </c>
      <c r="DY202">
        <v>-9.2704364720150689</v>
      </c>
      <c r="DZ202">
        <v>1190</v>
      </c>
      <c r="EA202">
        <v>-9.2074581155184099</v>
      </c>
      <c r="EB202">
        <v>9</v>
      </c>
      <c r="EC202">
        <v>0.10475624216667623</v>
      </c>
      <c r="ED202">
        <v>0.29610217187874777</v>
      </c>
      <c r="EE202" s="17">
        <v>-1.0521100000000001</v>
      </c>
      <c r="EF202">
        <v>-1.07561</v>
      </c>
      <c r="EG202">
        <v>12.353784106013155</v>
      </c>
      <c r="EH202" t="s">
        <v>1838</v>
      </c>
      <c r="EI202">
        <v>0</v>
      </c>
      <c r="EJ202">
        <v>1</v>
      </c>
      <c r="EK202" s="19">
        <v>45470</v>
      </c>
      <c r="EL202" s="20">
        <v>-2.25</v>
      </c>
      <c r="EM202" s="20">
        <v>-5.97</v>
      </c>
      <c r="EN202">
        <v>2.84</v>
      </c>
      <c r="EO202">
        <v>1.3</v>
      </c>
      <c r="EP202">
        <v>-2.35</v>
      </c>
    </row>
    <row r="203" spans="1:146" ht="84" x14ac:dyDescent="0.25">
      <c r="A203" s="7"/>
      <c r="B203" s="7"/>
      <c r="C203" s="7" t="str">
        <f>""&amp;CHAR(10)&amp;Basic_Fundamental_Information_Constructure(F203)&amp;CHAR(10)&amp;Basic_Fundamental_Information_Concatenate("")</f>
        <v xml:space="preserve">
市值32.582576亿, 利润2952.76万; PE21.34; 平均PE29.33; 平均PEG1.04, PB1.2; ROIC5.8533%; ROE6.4767%; 股利率.8567%; 毛利23.6833%; 净利8.64%; 上一年度营收增78.77%, 利润增-77.96%; 当季营收增-16.94%, 利润增274.52%; 过往5年营收增28.32%, 利润增-9.83%
Income profile:
</v>
      </c>
      <c r="D203" t="s">
        <v>1477</v>
      </c>
      <c r="E203" t="s">
        <v>1478</v>
      </c>
      <c r="F203">
        <v>17.510000000000002</v>
      </c>
      <c r="G203">
        <v>-1.24</v>
      </c>
      <c r="H203" t="s">
        <v>6718</v>
      </c>
      <c r="I203">
        <v>3258257600</v>
      </c>
      <c r="J203">
        <v>21.34</v>
      </c>
      <c r="K203">
        <v>1.2</v>
      </c>
      <c r="L203" t="s">
        <v>172</v>
      </c>
      <c r="M203" t="s">
        <v>4508</v>
      </c>
      <c r="N203" t="s">
        <v>6719</v>
      </c>
      <c r="O203" t="s">
        <v>742</v>
      </c>
      <c r="P203">
        <v>16.78</v>
      </c>
      <c r="Q203" t="s">
        <v>6720</v>
      </c>
      <c r="R203">
        <v>42391821</v>
      </c>
      <c r="S203" s="5">
        <v>0.18779999999999999</v>
      </c>
      <c r="T203" t="s">
        <v>6721</v>
      </c>
      <c r="U203">
        <v>64045716</v>
      </c>
      <c r="V203">
        <v>186079820</v>
      </c>
      <c r="W203">
        <v>1.58</v>
      </c>
      <c r="X203">
        <v>0.12</v>
      </c>
      <c r="Y203">
        <v>7.99</v>
      </c>
      <c r="Z203" t="s">
        <v>1884</v>
      </c>
      <c r="AA203" t="s">
        <v>136</v>
      </c>
      <c r="AB203" t="s">
        <v>6722</v>
      </c>
      <c r="AC203" t="s">
        <v>6723</v>
      </c>
      <c r="AD203" t="s">
        <v>19</v>
      </c>
      <c r="AE203">
        <v>1394358</v>
      </c>
      <c r="AF203" t="s">
        <v>6724</v>
      </c>
      <c r="AG203" t="s">
        <v>6725</v>
      </c>
      <c r="AH203" t="s">
        <v>6726</v>
      </c>
      <c r="AI203" t="s">
        <v>166</v>
      </c>
      <c r="AJ203" t="s">
        <v>6727</v>
      </c>
      <c r="AK203" t="s">
        <v>6728</v>
      </c>
      <c r="AL203" t="s">
        <v>6729</v>
      </c>
      <c r="AM203" t="s">
        <v>19</v>
      </c>
      <c r="AN203" t="s">
        <v>749</v>
      </c>
      <c r="AO203" t="s">
        <v>1949</v>
      </c>
      <c r="AP203" t="s">
        <v>6730</v>
      </c>
      <c r="AQ203" t="s">
        <v>1956</v>
      </c>
      <c r="AR203" t="s">
        <v>19</v>
      </c>
      <c r="AS203" t="s">
        <v>6731</v>
      </c>
      <c r="AT203" t="s">
        <v>19</v>
      </c>
      <c r="AU203" t="s">
        <v>6732</v>
      </c>
      <c r="AV203" t="s">
        <v>2650</v>
      </c>
      <c r="AW203" t="s">
        <v>6733</v>
      </c>
      <c r="AX203" t="s">
        <v>1992</v>
      </c>
      <c r="AY203" t="s">
        <v>1582</v>
      </c>
      <c r="AZ203" t="s">
        <v>1479</v>
      </c>
      <c r="BA203" t="s">
        <v>1479</v>
      </c>
      <c r="BB203" t="s">
        <v>670</v>
      </c>
      <c r="BC203" t="s">
        <v>287</v>
      </c>
      <c r="BD203" t="s">
        <v>367</v>
      </c>
      <c r="BE203" t="s">
        <v>126</v>
      </c>
      <c r="BF203" t="s">
        <v>564</v>
      </c>
      <c r="BG203" t="s">
        <v>65</v>
      </c>
      <c r="BH203" t="s">
        <v>6699</v>
      </c>
      <c r="BI203" t="s">
        <v>2245</v>
      </c>
      <c r="BJ203" t="s">
        <v>1992</v>
      </c>
      <c r="BK203" t="s">
        <v>1303</v>
      </c>
      <c r="BL203" t="s">
        <v>6734</v>
      </c>
      <c r="BM203" t="s">
        <v>287</v>
      </c>
      <c r="BN203">
        <v>4.09</v>
      </c>
      <c r="BO203">
        <v>6.66</v>
      </c>
      <c r="BP203">
        <v>6.81</v>
      </c>
      <c r="BQ203">
        <v>5.0199999999999996</v>
      </c>
      <c r="BR203">
        <v>7.71</v>
      </c>
      <c r="BS203">
        <v>6.7</v>
      </c>
      <c r="BT203" t="s">
        <v>2045</v>
      </c>
      <c r="BU203" t="s">
        <v>2920</v>
      </c>
      <c r="BV203">
        <v>22.15</v>
      </c>
      <c r="BW203">
        <v>23.76</v>
      </c>
      <c r="BX203">
        <v>25.14</v>
      </c>
      <c r="BY203">
        <v>7.93</v>
      </c>
      <c r="BZ203">
        <v>9.34</v>
      </c>
      <c r="CA203">
        <v>8.65</v>
      </c>
      <c r="CB203">
        <v>-3.69</v>
      </c>
      <c r="CC203">
        <v>-14.63</v>
      </c>
      <c r="CD203" t="s">
        <v>6735</v>
      </c>
      <c r="CE203" t="s">
        <v>6736</v>
      </c>
      <c r="CF203" s="14">
        <v>-0.16938110749185678</v>
      </c>
      <c r="CG203" s="15">
        <v>2.7452160327373476</v>
      </c>
      <c r="CH203" s="14">
        <v>0.78770226240158081</v>
      </c>
      <c r="CI203" s="14">
        <v>0.32846075296401978</v>
      </c>
      <c r="CJ203" s="14">
        <v>0.17356212437152863</v>
      </c>
      <c r="CK203" s="14">
        <v>0</v>
      </c>
      <c r="CL203" s="14">
        <v>0.12613636255264282</v>
      </c>
      <c r="CM203" s="15">
        <v>-0.77964478731155396</v>
      </c>
      <c r="CN203" s="15">
        <v>0.32673266530036926</v>
      </c>
      <c r="CO203" s="15">
        <v>-0.2109375</v>
      </c>
      <c r="CP203" s="15">
        <v>-0.18987341225147247</v>
      </c>
      <c r="CQ203" s="15">
        <v>0.36206895112991333</v>
      </c>
      <c r="CR203">
        <v>29.330436729101692</v>
      </c>
      <c r="CS203">
        <v>1.0357805718167938</v>
      </c>
      <c r="CT203">
        <v>0.85665334094802958</v>
      </c>
      <c r="CU203" s="14">
        <v>0.28317230045795438</v>
      </c>
      <c r="CV203" s="15">
        <v>-9.8330816626548773E-2</v>
      </c>
      <c r="CW203">
        <v>0.06</v>
      </c>
      <c r="CX203">
        <v>58.226217320476017</v>
      </c>
      <c r="CY203">
        <v>35744338.131134242</v>
      </c>
      <c r="CZ203">
        <v>0.28317230045795438</v>
      </c>
      <c r="DA203">
        <v>16.217327107163079</v>
      </c>
      <c r="DB203">
        <v>128335427.05571519</v>
      </c>
      <c r="DC203">
        <v>0.26901368543505666</v>
      </c>
      <c r="DD203">
        <v>6.3587730397272821</v>
      </c>
      <c r="DE203">
        <v>327304904.10603833</v>
      </c>
      <c r="DF203">
        <v>0.24919162440299986</v>
      </c>
      <c r="DG203">
        <v>2.8976623568786763</v>
      </c>
      <c r="DH203">
        <v>718254007.42752624</v>
      </c>
      <c r="DI203">
        <v>0.22653784036636351</v>
      </c>
      <c r="DJ203">
        <v>0.76674737331406506</v>
      </c>
      <c r="DK203">
        <v>2714398082.649189</v>
      </c>
      <c r="DL203">
        <v>0.19822061032056806</v>
      </c>
      <c r="DM203">
        <v>29527600.000000004</v>
      </c>
      <c r="DN203">
        <v>0.28317230045795438</v>
      </c>
      <c r="DO203">
        <v>2081257600</v>
      </c>
      <c r="DP203">
        <v>392649900</v>
      </c>
      <c r="DQ203">
        <v>4466</v>
      </c>
      <c r="DR203">
        <v>-0.45255340794981114</v>
      </c>
      <c r="DS203">
        <v>2.8435468493638965</v>
      </c>
      <c r="DT203" s="16">
        <v>0.17666666666666667</v>
      </c>
      <c r="DU203">
        <v>-0.33333333333333331</v>
      </c>
      <c r="DV203">
        <v>-0.15666666666666665</v>
      </c>
      <c r="DW203">
        <v>-8.2522214627477783</v>
      </c>
      <c r="DX203">
        <v>0.38703060064833084</v>
      </c>
      <c r="DY203">
        <v>-8.0295176292817736</v>
      </c>
      <c r="DZ203">
        <v>3628</v>
      </c>
      <c r="EA203">
        <v>-8.0085606901361235</v>
      </c>
      <c r="EB203">
        <v>8</v>
      </c>
      <c r="EC203">
        <v>2.9994654981931948E-2</v>
      </c>
      <c r="ED203">
        <v>0.25629753941077543</v>
      </c>
      <c r="EE203" s="17">
        <v>-6.0759999999999996</v>
      </c>
      <c r="EF203">
        <v>-6.0534999999999997</v>
      </c>
      <c r="EG203">
        <v>27.117030600648331</v>
      </c>
      <c r="EH203" t="s">
        <v>4369</v>
      </c>
      <c r="EI203">
        <v>0</v>
      </c>
      <c r="EJ203">
        <v>0</v>
      </c>
      <c r="EK203" s="19">
        <v>45470</v>
      </c>
      <c r="EL203" s="20">
        <v>-0.7</v>
      </c>
      <c r="EM203" s="20">
        <v>-4.96</v>
      </c>
      <c r="EN203">
        <v>1.86</v>
      </c>
      <c r="EO203">
        <v>5.48</v>
      </c>
      <c r="EP203">
        <v>-2.25</v>
      </c>
    </row>
    <row r="204" spans="1:146" ht="84" x14ac:dyDescent="0.25">
      <c r="A204" s="7"/>
      <c r="B204" s="7"/>
      <c r="C204" s="7" t="str">
        <f>""&amp;CHAR(10)&amp;Basic_Fundamental_Information_Constructure(F204)&amp;CHAR(10)&amp;Basic_Fundamental_Information_Concatenate("")</f>
        <v xml:space="preserve">
市值19.743058亿, 利润9113.80万; PE17.07; 平均PE19.58; 平均PEG1.96, PB1.4; ROIC8.6133%; ROE8.23%; 股利率1.9877%; 毛利22.7733%; 净利10.71%; 上一年度营收增-48.71%, 利润增-21.43%; 当季营收增121.85%, 利润增46.13%; 过往5年营收增-9.99%, 利润增.56%
Income profile:
</v>
      </c>
      <c r="D204" t="s">
        <v>1972</v>
      </c>
      <c r="E204" t="s">
        <v>1973</v>
      </c>
      <c r="F204">
        <v>14.59</v>
      </c>
      <c r="G204">
        <v>1.32</v>
      </c>
      <c r="H204" t="s">
        <v>6737</v>
      </c>
      <c r="I204">
        <v>1974305800</v>
      </c>
      <c r="J204">
        <v>17.07</v>
      </c>
      <c r="K204">
        <v>1.4</v>
      </c>
      <c r="L204" t="s">
        <v>172</v>
      </c>
      <c r="M204" t="s">
        <v>2871</v>
      </c>
      <c r="N204" t="s">
        <v>2784</v>
      </c>
      <c r="O204" t="s">
        <v>78</v>
      </c>
      <c r="P204">
        <v>-0.79</v>
      </c>
      <c r="Q204" t="s">
        <v>2324</v>
      </c>
      <c r="R204">
        <v>24283377</v>
      </c>
      <c r="S204" s="5">
        <v>-0.17349999999999999</v>
      </c>
      <c r="T204" t="s">
        <v>6738</v>
      </c>
      <c r="U204">
        <v>134047111</v>
      </c>
      <c r="V204">
        <v>135319110</v>
      </c>
      <c r="W204">
        <v>1.37</v>
      </c>
      <c r="X204">
        <v>0.13</v>
      </c>
      <c r="Y204">
        <v>10.34</v>
      </c>
      <c r="Z204" t="s">
        <v>166</v>
      </c>
      <c r="AA204" t="s">
        <v>415</v>
      </c>
      <c r="AB204" t="s">
        <v>6739</v>
      </c>
      <c r="AC204" t="s">
        <v>6740</v>
      </c>
      <c r="AD204" t="s">
        <v>19</v>
      </c>
      <c r="AE204">
        <v>200399</v>
      </c>
      <c r="AF204" t="s">
        <v>6741</v>
      </c>
      <c r="AG204" t="s">
        <v>6742</v>
      </c>
      <c r="AH204" t="s">
        <v>6743</v>
      </c>
      <c r="AI204" t="s">
        <v>761</v>
      </c>
      <c r="AJ204" t="s">
        <v>6744</v>
      </c>
      <c r="AK204" t="s">
        <v>6745</v>
      </c>
      <c r="AL204" t="s">
        <v>6746</v>
      </c>
      <c r="AM204" t="s">
        <v>19</v>
      </c>
      <c r="AN204" t="s">
        <v>6747</v>
      </c>
      <c r="AO204" t="s">
        <v>19</v>
      </c>
      <c r="AP204" t="s">
        <v>6748</v>
      </c>
      <c r="AQ204" t="s">
        <v>58</v>
      </c>
      <c r="AR204" t="s">
        <v>6749</v>
      </c>
      <c r="AS204" t="s">
        <v>1789</v>
      </c>
      <c r="AT204" t="s">
        <v>19</v>
      </c>
      <c r="AU204" t="s">
        <v>6750</v>
      </c>
      <c r="AV204" t="s">
        <v>6751</v>
      </c>
      <c r="AW204" t="s">
        <v>6752</v>
      </c>
      <c r="AX204" t="s">
        <v>2382</v>
      </c>
      <c r="AY204" t="s">
        <v>83</v>
      </c>
      <c r="AZ204" t="s">
        <v>1974</v>
      </c>
      <c r="BA204" t="s">
        <v>29</v>
      </c>
      <c r="BB204" t="s">
        <v>1915</v>
      </c>
      <c r="BC204" t="s">
        <v>65</v>
      </c>
      <c r="BD204" t="s">
        <v>25</v>
      </c>
      <c r="BE204" t="s">
        <v>216</v>
      </c>
      <c r="BF204" t="s">
        <v>1975</v>
      </c>
      <c r="BG204" t="s">
        <v>1976</v>
      </c>
      <c r="BH204" t="s">
        <v>2816</v>
      </c>
      <c r="BI204" t="s">
        <v>186</v>
      </c>
      <c r="BJ204" t="s">
        <v>2382</v>
      </c>
      <c r="BK204" t="s">
        <v>323</v>
      </c>
      <c r="BL204" t="s">
        <v>6753</v>
      </c>
      <c r="BM204" t="s">
        <v>65</v>
      </c>
      <c r="BN204">
        <v>7.25</v>
      </c>
      <c r="BO204">
        <v>10.08</v>
      </c>
      <c r="BP204">
        <v>8.51</v>
      </c>
      <c r="BQ204">
        <v>6.84</v>
      </c>
      <c r="BR204">
        <v>9.2200000000000006</v>
      </c>
      <c r="BS204">
        <v>8.6300000000000008</v>
      </c>
      <c r="BT204" t="s">
        <v>2061</v>
      </c>
      <c r="BU204" t="s">
        <v>3084</v>
      </c>
      <c r="BV204">
        <v>23.16</v>
      </c>
      <c r="BW204">
        <v>22.64</v>
      </c>
      <c r="BX204">
        <v>22.52</v>
      </c>
      <c r="BY204">
        <v>10.7</v>
      </c>
      <c r="BZ204">
        <v>11.01</v>
      </c>
      <c r="CA204">
        <v>10.42</v>
      </c>
      <c r="CB204">
        <v>-0.41</v>
      </c>
      <c r="CC204">
        <v>-5.32</v>
      </c>
      <c r="CD204" t="s">
        <v>6754</v>
      </c>
      <c r="CE204" t="s">
        <v>6755</v>
      </c>
      <c r="CF204" s="14">
        <v>1.2184873949579831</v>
      </c>
      <c r="CG204" s="15">
        <v>0.46134867094739757</v>
      </c>
      <c r="CH204" s="14">
        <v>-0.48711755871772766</v>
      </c>
      <c r="CI204" s="14">
        <v>0.16074766218662262</v>
      </c>
      <c r="CJ204" s="14">
        <v>-8.5470087826251984E-2</v>
      </c>
      <c r="CK204" s="14">
        <v>-4.3336108326911926E-2</v>
      </c>
      <c r="CL204" s="14">
        <v>-4.4531200081110001E-2</v>
      </c>
      <c r="CM204" s="15">
        <v>-0.21432758867740631</v>
      </c>
      <c r="CN204" s="15">
        <v>0.12621359527111053</v>
      </c>
      <c r="CO204" s="15">
        <v>-3.7383176386356354E-2</v>
      </c>
      <c r="CP204" s="15">
        <v>0.12077561765909195</v>
      </c>
      <c r="CQ204" s="15">
        <v>3.2697726041078568E-2</v>
      </c>
      <c r="CR204">
        <v>19.578131817568799</v>
      </c>
      <c r="CS204">
        <v>1.9589599852769273</v>
      </c>
      <c r="CT204">
        <v>1.9876627827278959</v>
      </c>
      <c r="CU204" s="14">
        <v>-9.994145855307579E-2</v>
      </c>
      <c r="CV204" s="15">
        <v>5.595234781503677E-3</v>
      </c>
      <c r="CW204">
        <v>0.06</v>
      </c>
      <c r="CX204">
        <v>12.292411507823301</v>
      </c>
      <c r="CY204" t="s">
        <v>6756</v>
      </c>
      <c r="CZ204">
        <v>-9.994145855307579E-2</v>
      </c>
      <c r="DA204">
        <v>4.0974705026077674</v>
      </c>
      <c r="DB204" t="s">
        <v>6757</v>
      </c>
      <c r="DC204">
        <v>-9.4944385625421998E-2</v>
      </c>
      <c r="DD204">
        <v>2.0487352513038837</v>
      </c>
      <c r="DE204" t="s">
        <v>6758</v>
      </c>
      <c r="DF204">
        <v>-8.79484835267067E-2</v>
      </c>
      <c r="DG204">
        <v>1.22924115078233</v>
      </c>
      <c r="DH204" t="s">
        <v>6759</v>
      </c>
      <c r="DI204">
        <v>-7.9953166842460635E-2</v>
      </c>
      <c r="DJ204">
        <v>0.61462057539116499</v>
      </c>
      <c r="DK204" t="s">
        <v>6760</v>
      </c>
      <c r="DL204">
        <v>-6.9959020987153051E-2</v>
      </c>
      <c r="DM204">
        <v>91138000</v>
      </c>
      <c r="DN204">
        <v>-9.994145855307579E-2</v>
      </c>
      <c r="DO204">
        <v>1120305800</v>
      </c>
      <c r="DP204">
        <v>929554100</v>
      </c>
      <c r="DQ204">
        <v>4469</v>
      </c>
      <c r="DR204">
        <v>1.3184288535110589</v>
      </c>
      <c r="DS204">
        <v>0.45575343616589387</v>
      </c>
      <c r="DT204" s="16">
        <v>-0.45666666666666672</v>
      </c>
      <c r="DU204">
        <v>-0.16666666666666666</v>
      </c>
      <c r="DV204">
        <v>-0.62333333333333341</v>
      </c>
      <c r="DW204">
        <v>-1.0531999999999999</v>
      </c>
      <c r="DX204">
        <v>0.32398726640907755</v>
      </c>
      <c r="DY204">
        <v>-1.0065961225729629</v>
      </c>
      <c r="DZ204">
        <v>1805</v>
      </c>
      <c r="EA204">
        <v>-1.0042661810378948</v>
      </c>
      <c r="EB204">
        <v>1</v>
      </c>
      <c r="EC204">
        <v>1.8852473977991727E-2</v>
      </c>
      <c r="ED204">
        <v>0.15205169469411969</v>
      </c>
      <c r="EE204" s="17">
        <v>-4.0339</v>
      </c>
      <c r="EF204">
        <v>-4.0083000000000002</v>
      </c>
      <c r="EG204">
        <v>20.123987266409078</v>
      </c>
      <c r="EH204" t="s">
        <v>2844</v>
      </c>
      <c r="EI204">
        <v>0</v>
      </c>
      <c r="EJ204">
        <v>0</v>
      </c>
      <c r="EK204" s="19">
        <v>45470</v>
      </c>
      <c r="EL204" s="20">
        <v>-0.11</v>
      </c>
      <c r="EM204" s="20">
        <v>-3.44</v>
      </c>
      <c r="EN204">
        <v>1.67</v>
      </c>
      <c r="EO204">
        <v>2.63</v>
      </c>
      <c r="EP204">
        <v>-2.56</v>
      </c>
    </row>
    <row r="205" spans="1:146" ht="84" x14ac:dyDescent="0.25">
      <c r="A205" s="7"/>
      <c r="B205" s="7"/>
      <c r="C205" s="7" t="str">
        <f>""&amp;CHAR(10)&amp;Basic_Fundamental_Information_Constructure(F205)&amp;CHAR(10)&amp;Basic_Fundamental_Information_Concatenate("")</f>
        <v xml:space="preserve">
市值40.082145亿, 利润3060.82万; PE62.46; 平均PE44.33; 平均PEG2.33, PB2.66; ROIC3.6533%; ROE3.83%; 股利率.4246%; 毛利20.4%; 净利4.4633%; 上一年度营收增-75.65%, 利润增-32.06%; 当季营收增257.08%, 利润增246.21%; 过往5年营收增-19.04%, 利润增-23.66%
Income profile:
</v>
      </c>
      <c r="D205" t="s">
        <v>1480</v>
      </c>
      <c r="E205" t="s">
        <v>1481</v>
      </c>
      <c r="F205">
        <v>9.42</v>
      </c>
      <c r="G205">
        <v>2.39</v>
      </c>
      <c r="H205" t="s">
        <v>6761</v>
      </c>
      <c r="I205">
        <v>4008214500</v>
      </c>
      <c r="J205">
        <v>62.46</v>
      </c>
      <c r="K205">
        <v>2.66</v>
      </c>
      <c r="L205" t="s">
        <v>172</v>
      </c>
      <c r="M205" t="s">
        <v>2560</v>
      </c>
      <c r="N205" t="s">
        <v>2645</v>
      </c>
      <c r="O205" t="s">
        <v>509</v>
      </c>
      <c r="P205">
        <v>0.84</v>
      </c>
      <c r="Q205" t="s">
        <v>123</v>
      </c>
      <c r="R205">
        <v>30500000</v>
      </c>
      <c r="S205" s="5">
        <v>4.4470000000000001</v>
      </c>
      <c r="T205" t="s">
        <v>6762</v>
      </c>
      <c r="U205">
        <v>422682480</v>
      </c>
      <c r="V205">
        <v>425500480</v>
      </c>
      <c r="W205">
        <v>1.92</v>
      </c>
      <c r="X205">
        <v>0.1</v>
      </c>
      <c r="Y205">
        <v>3.83</v>
      </c>
      <c r="Z205" t="s">
        <v>148</v>
      </c>
      <c r="AA205" t="s">
        <v>138</v>
      </c>
      <c r="AB205" t="s">
        <v>6763</v>
      </c>
      <c r="AC205" t="s">
        <v>6764</v>
      </c>
      <c r="AD205" t="s">
        <v>19</v>
      </c>
      <c r="AE205">
        <v>252450</v>
      </c>
      <c r="AF205" t="s">
        <v>6765</v>
      </c>
      <c r="AG205">
        <v>8597.7199999999993</v>
      </c>
      <c r="AH205" t="s">
        <v>6766</v>
      </c>
      <c r="AI205" t="s">
        <v>1199</v>
      </c>
      <c r="AJ205" t="s">
        <v>6767</v>
      </c>
      <c r="AK205" t="s">
        <v>526</v>
      </c>
      <c r="AL205" t="s">
        <v>6768</v>
      </c>
      <c r="AM205" t="s">
        <v>19</v>
      </c>
      <c r="AN205" t="s">
        <v>6769</v>
      </c>
      <c r="AO205" t="s">
        <v>26</v>
      </c>
      <c r="AP205" t="s">
        <v>289</v>
      </c>
      <c r="AQ205" t="s">
        <v>654</v>
      </c>
      <c r="AR205" t="s">
        <v>6770</v>
      </c>
      <c r="AS205" t="s">
        <v>4646</v>
      </c>
      <c r="AT205" t="s">
        <v>19</v>
      </c>
      <c r="AU205" t="s">
        <v>6771</v>
      </c>
      <c r="AV205" t="s">
        <v>6772</v>
      </c>
      <c r="AW205" t="s">
        <v>6773</v>
      </c>
      <c r="AX205" t="s">
        <v>2383</v>
      </c>
      <c r="AY205" t="s">
        <v>1169</v>
      </c>
      <c r="AZ205" t="s">
        <v>1262</v>
      </c>
      <c r="BA205" t="s">
        <v>300</v>
      </c>
      <c r="BB205" t="s">
        <v>1482</v>
      </c>
      <c r="BC205" t="s">
        <v>2384</v>
      </c>
      <c r="BD205" t="s">
        <v>1797</v>
      </c>
      <c r="BE205" t="s">
        <v>92</v>
      </c>
      <c r="BF205" t="s">
        <v>99</v>
      </c>
      <c r="BG205" t="s">
        <v>190</v>
      </c>
      <c r="BH205" t="s">
        <v>2517</v>
      </c>
      <c r="BI205" t="s">
        <v>6774</v>
      </c>
      <c r="BJ205" t="s">
        <v>2383</v>
      </c>
      <c r="BK205" t="s">
        <v>6775</v>
      </c>
      <c r="BL205" t="s">
        <v>6776</v>
      </c>
      <c r="BM205" t="s">
        <v>2384</v>
      </c>
      <c r="BN205">
        <v>1.3</v>
      </c>
      <c r="BO205">
        <v>2.78</v>
      </c>
      <c r="BP205">
        <v>6.88</v>
      </c>
      <c r="BQ205">
        <v>1.5</v>
      </c>
      <c r="BR205">
        <v>3.08</v>
      </c>
      <c r="BS205">
        <v>6.91</v>
      </c>
      <c r="BT205" t="s">
        <v>2010</v>
      </c>
      <c r="BU205" t="s">
        <v>3084</v>
      </c>
      <c r="BV205">
        <v>19.41</v>
      </c>
      <c r="BW205">
        <v>19.52</v>
      </c>
      <c r="BX205">
        <v>22.27</v>
      </c>
      <c r="BY205">
        <v>3.34</v>
      </c>
      <c r="BZ205">
        <v>3.15</v>
      </c>
      <c r="CA205">
        <v>6.9</v>
      </c>
      <c r="CB205">
        <v>9.7899999999999991</v>
      </c>
      <c r="CC205">
        <v>-13.58</v>
      </c>
      <c r="CD205" t="s">
        <v>6777</v>
      </c>
      <c r="CE205" t="s">
        <v>501</v>
      </c>
      <c r="CF205" s="14">
        <v>2.5707611791605616</v>
      </c>
      <c r="CG205" s="15">
        <v>2.4620536221026583</v>
      </c>
      <c r="CH205" s="14">
        <v>-0.75647306442260742</v>
      </c>
      <c r="CI205" s="14">
        <v>3.6258064210414886E-2</v>
      </c>
      <c r="CJ205" s="14">
        <v>-7.2005338966846466E-2</v>
      </c>
      <c r="CK205" s="14">
        <v>-6.5408803522586823E-2</v>
      </c>
      <c r="CL205" s="14">
        <v>-9.4533026218414307E-2</v>
      </c>
      <c r="CM205" s="15">
        <v>-0.32056969404220581</v>
      </c>
      <c r="CN205" s="15">
        <v>-0.52990663051605225</v>
      </c>
      <c r="CO205" s="15">
        <v>-0.18786779046058655</v>
      </c>
      <c r="CP205" s="15">
        <v>3.5087719559669495E-2</v>
      </c>
      <c r="CQ205" s="15">
        <v>-0.17985612154006958</v>
      </c>
      <c r="CR205">
        <v>44.331332803430705</v>
      </c>
      <c r="CS205">
        <v>2.3279297503340275</v>
      </c>
      <c r="CT205">
        <v>0.42462845010615713</v>
      </c>
      <c r="CU205" s="14">
        <v>-0.19043243378400804</v>
      </c>
      <c r="CV205" s="15">
        <v>-0.23662250339984894</v>
      </c>
      <c r="CW205">
        <v>0.06</v>
      </c>
      <c r="CX205">
        <v>127.48918590443084</v>
      </c>
      <c r="CY205" t="s">
        <v>6778</v>
      </c>
      <c r="CZ205">
        <v>-0.19043243378400804</v>
      </c>
      <c r="DA205">
        <v>42.496395301476944</v>
      </c>
      <c r="DB205" t="s">
        <v>6779</v>
      </c>
      <c r="DC205">
        <v>-0.18091081209480764</v>
      </c>
      <c r="DD205">
        <v>21.248197650738472</v>
      </c>
      <c r="DE205" t="s">
        <v>6780</v>
      </c>
      <c r="DF205">
        <v>-0.16758054172992706</v>
      </c>
      <c r="DG205">
        <v>12.748918590443084</v>
      </c>
      <c r="DH205" t="s">
        <v>6781</v>
      </c>
      <c r="DI205">
        <v>-0.15234594702720644</v>
      </c>
      <c r="DJ205">
        <v>6.3744592952215422</v>
      </c>
      <c r="DK205" t="s">
        <v>6782</v>
      </c>
      <c r="DL205">
        <v>-0.13330270364880561</v>
      </c>
      <c r="DM205">
        <v>30608200</v>
      </c>
      <c r="DN205">
        <v>-0.19043243378400804</v>
      </c>
      <c r="DO205">
        <v>3902214500</v>
      </c>
      <c r="DP205">
        <v>1094605300</v>
      </c>
      <c r="DQ205">
        <v>4491</v>
      </c>
      <c r="DR205">
        <v>2.7611936129445698</v>
      </c>
      <c r="DS205">
        <v>2.6986761255025074</v>
      </c>
      <c r="DT205" s="16">
        <v>-0.77333333333333332</v>
      </c>
      <c r="DU205">
        <v>-0.10999999999999995</v>
      </c>
      <c r="DV205">
        <v>-0.8833333333333333</v>
      </c>
      <c r="DW205">
        <v>7.4189131364997856</v>
      </c>
      <c r="DX205">
        <v>1.5953087591240944</v>
      </c>
      <c r="DY205">
        <v>7.1446543753455209</v>
      </c>
      <c r="DZ205">
        <v>3122</v>
      </c>
      <c r="EA205">
        <v>7.0562764967097644</v>
      </c>
      <c r="EB205">
        <v>7</v>
      </c>
      <c r="EC205">
        <v>0.11118036811615346</v>
      </c>
      <c r="ED205">
        <v>0.32197378484743427</v>
      </c>
      <c r="EE205" s="17">
        <v>-4.0010000000000003</v>
      </c>
      <c r="EF205">
        <v>-4.0381099999999996</v>
      </c>
      <c r="EG205">
        <v>125.34530875912409</v>
      </c>
      <c r="EH205" t="s">
        <v>2873</v>
      </c>
      <c r="EI205">
        <v>1</v>
      </c>
      <c r="EJ205">
        <v>0</v>
      </c>
      <c r="EK205" s="19">
        <v>45470</v>
      </c>
      <c r="EL205" s="20">
        <v>-1.1200000000000001</v>
      </c>
      <c r="EM205" s="20">
        <v>-4.45</v>
      </c>
      <c r="EN205">
        <v>1.61</v>
      </c>
      <c r="EO205">
        <v>4.42</v>
      </c>
      <c r="EP205">
        <v>-3.91</v>
      </c>
    </row>
    <row r="206" spans="1:146" ht="84" x14ac:dyDescent="0.25">
      <c r="A206" s="7"/>
      <c r="B206" s="7"/>
      <c r="C206" s="7" t="str">
        <f>""&amp;CHAR(10)&amp;Basic_Fundamental_Information_Constructure(F206)&amp;CHAR(10)&amp;Basic_Fundamental_Information_Concatenate("")</f>
        <v xml:space="preserve">
市值15.378976亿, 利润3732.16万; PE48.78; 平均PE26.74; 平均PEG1.36, PB1.8; ROIC3.2467%; ROE3.3767%; 股利率1.918%; 毛利35.8567%; 净利9.8133%; 上一年度营收增122.8%, 利润增46%; 当季营收增-37.82%, 利润增23.29%; 过往5年营收增19.61%, 利润增-13.89%
Income profile:
</v>
      </c>
      <c r="D206" t="s">
        <v>1483</v>
      </c>
      <c r="E206" t="s">
        <v>1484</v>
      </c>
      <c r="F206">
        <v>11.47</v>
      </c>
      <c r="G206">
        <v>0.79</v>
      </c>
      <c r="H206" t="s">
        <v>6783</v>
      </c>
      <c r="I206">
        <v>1537897600</v>
      </c>
      <c r="J206">
        <v>48.78</v>
      </c>
      <c r="K206">
        <v>1.8</v>
      </c>
      <c r="L206" t="s">
        <v>172</v>
      </c>
      <c r="M206" t="s">
        <v>6784</v>
      </c>
      <c r="N206" t="s">
        <v>3148</v>
      </c>
      <c r="O206" t="s">
        <v>6785</v>
      </c>
      <c r="P206">
        <v>6.58</v>
      </c>
      <c r="Q206" t="s">
        <v>2624</v>
      </c>
      <c r="R206">
        <v>9729243</v>
      </c>
      <c r="S206" s="5">
        <v>0.10440000000000001</v>
      </c>
      <c r="T206" t="s">
        <v>6786</v>
      </c>
      <c r="U206">
        <v>134080000</v>
      </c>
      <c r="V206">
        <v>134080000</v>
      </c>
      <c r="W206">
        <v>1.05</v>
      </c>
      <c r="X206">
        <v>0.1</v>
      </c>
      <c r="Y206">
        <v>10.87</v>
      </c>
      <c r="Z206" t="s">
        <v>6787</v>
      </c>
      <c r="AA206" t="s">
        <v>6788</v>
      </c>
      <c r="AB206" t="s">
        <v>6789</v>
      </c>
      <c r="AC206" t="s">
        <v>6790</v>
      </c>
      <c r="AD206" t="s">
        <v>19</v>
      </c>
      <c r="AE206">
        <v>-115269</v>
      </c>
      <c r="AF206" t="s">
        <v>6791</v>
      </c>
      <c r="AG206" t="s">
        <v>2723</v>
      </c>
      <c r="AH206" t="s">
        <v>6792</v>
      </c>
      <c r="AI206" t="s">
        <v>6793</v>
      </c>
      <c r="AJ206" t="s">
        <v>6794</v>
      </c>
      <c r="AK206" t="s">
        <v>19</v>
      </c>
      <c r="AL206" t="s">
        <v>6795</v>
      </c>
      <c r="AM206" t="s">
        <v>19</v>
      </c>
      <c r="AN206" t="s">
        <v>6796</v>
      </c>
      <c r="AO206" t="s">
        <v>19</v>
      </c>
      <c r="AP206" t="s">
        <v>6797</v>
      </c>
      <c r="AQ206" t="s">
        <v>6798</v>
      </c>
      <c r="AR206" t="s">
        <v>19</v>
      </c>
      <c r="AS206" t="s">
        <v>6799</v>
      </c>
      <c r="AT206" t="s">
        <v>19</v>
      </c>
      <c r="AU206" t="s">
        <v>6800</v>
      </c>
      <c r="AV206" t="s">
        <v>6801</v>
      </c>
      <c r="AW206" t="s">
        <v>19</v>
      </c>
      <c r="AX206" t="s">
        <v>352</v>
      </c>
      <c r="AY206" t="s">
        <v>654</v>
      </c>
      <c r="AZ206" t="s">
        <v>379</v>
      </c>
      <c r="BA206" t="s">
        <v>1010</v>
      </c>
      <c r="BB206" t="s">
        <v>884</v>
      </c>
      <c r="BC206" t="s">
        <v>2385</v>
      </c>
      <c r="BD206" t="s">
        <v>1798</v>
      </c>
      <c r="BE206" t="s">
        <v>1485</v>
      </c>
      <c r="BF206" t="s">
        <v>1486</v>
      </c>
      <c r="BG206" t="s">
        <v>250</v>
      </c>
      <c r="BH206" t="s">
        <v>123</v>
      </c>
      <c r="BI206" t="s">
        <v>456</v>
      </c>
      <c r="BJ206" t="s">
        <v>352</v>
      </c>
      <c r="BK206" t="s">
        <v>6762</v>
      </c>
      <c r="BL206" t="s">
        <v>6802</v>
      </c>
      <c r="BM206" t="s">
        <v>2385</v>
      </c>
      <c r="BN206">
        <v>2.66</v>
      </c>
      <c r="BO206">
        <v>2.89</v>
      </c>
      <c r="BP206">
        <v>4.1900000000000004</v>
      </c>
      <c r="BQ206">
        <v>2.74</v>
      </c>
      <c r="BR206">
        <v>2.99</v>
      </c>
      <c r="BS206">
        <v>4.4000000000000004</v>
      </c>
      <c r="BT206" t="s">
        <v>2386</v>
      </c>
      <c r="BU206" t="s">
        <v>2920</v>
      </c>
      <c r="BV206">
        <v>36.340000000000003</v>
      </c>
      <c r="BW206">
        <v>33.4</v>
      </c>
      <c r="BX206">
        <v>37.83</v>
      </c>
      <c r="BY206">
        <v>8.7899999999999991</v>
      </c>
      <c r="BZ206">
        <v>7.76</v>
      </c>
      <c r="CA206">
        <v>12.89</v>
      </c>
      <c r="CB206">
        <v>-4.58</v>
      </c>
      <c r="CC206">
        <v>-16.03</v>
      </c>
      <c r="CD206" t="s">
        <v>6803</v>
      </c>
      <c r="CE206" t="s">
        <v>6804</v>
      </c>
      <c r="CF206" s="14">
        <v>-0.3781701388888889</v>
      </c>
      <c r="CG206" s="15">
        <v>0.23287625926629918</v>
      </c>
      <c r="CH206" s="14">
        <v>1.2279635667800903</v>
      </c>
      <c r="CI206" s="14">
        <v>7.5163401663303375E-2</v>
      </c>
      <c r="CJ206" s="14">
        <v>6.5789474174380302E-3</v>
      </c>
      <c r="CK206" s="14">
        <v>-0.11884058266878128</v>
      </c>
      <c r="CL206" s="14">
        <v>-0.21052631735801697</v>
      </c>
      <c r="CM206" s="15">
        <v>0.45997372269630432</v>
      </c>
      <c r="CN206" s="15">
        <v>-0.35262387990951538</v>
      </c>
      <c r="CO206" s="15">
        <v>-0.36983296275138855</v>
      </c>
      <c r="CP206" s="15">
        <v>-0.19721582531929016</v>
      </c>
      <c r="CQ206" s="15">
        <v>-0.23474901914596558</v>
      </c>
      <c r="CR206">
        <v>26.739100801646874</v>
      </c>
      <c r="CS206">
        <v>1.3637680623625037</v>
      </c>
      <c r="CT206">
        <v>1.918047079337402</v>
      </c>
      <c r="CU206" s="14">
        <v>0.19606780316680669</v>
      </c>
      <c r="CV206" s="15">
        <v>-0.13888959288597108</v>
      </c>
      <c r="CW206">
        <v>0.06</v>
      </c>
      <c r="CX206">
        <v>17.704150414381125</v>
      </c>
      <c r="CY206">
        <v>42112418.983651213</v>
      </c>
      <c r="CZ206">
        <v>0.19606780316680669</v>
      </c>
      <c r="DA206">
        <v>5.2944510246823953</v>
      </c>
      <c r="DB206">
        <v>140820001.26627392</v>
      </c>
      <c r="DC206">
        <v>0.18626441300846636</v>
      </c>
      <c r="DD206">
        <v>2.3044625147748423</v>
      </c>
      <c r="DE206">
        <v>323530799.57685733</v>
      </c>
      <c r="DF206">
        <v>0.17253966678678989</v>
      </c>
      <c r="DG206">
        <v>1.1969227186397868</v>
      </c>
      <c r="DH206">
        <v>622901201.8815037</v>
      </c>
      <c r="DI206">
        <v>0.15685424253344538</v>
      </c>
      <c r="DJ206">
        <v>0.4401259552952223</v>
      </c>
      <c r="DK206">
        <v>1693980077.8163593</v>
      </c>
      <c r="DL206">
        <v>0.13724746221676468</v>
      </c>
      <c r="DM206">
        <v>37321600</v>
      </c>
      <c r="DN206">
        <v>0.19606780316680669</v>
      </c>
      <c r="DO206">
        <v>745564600.00000012</v>
      </c>
      <c r="DP206">
        <v>257822120</v>
      </c>
      <c r="DQ206">
        <v>4492</v>
      </c>
      <c r="DR206">
        <v>-0.57423794205569556</v>
      </c>
      <c r="DS206">
        <v>0.37176585215227026</v>
      </c>
      <c r="DT206" s="16">
        <v>-0.20666666666666669</v>
      </c>
      <c r="DU206">
        <v>-0.33333333333333326</v>
      </c>
      <c r="DV206">
        <v>-0.53999999999999992</v>
      </c>
      <c r="DW206">
        <v>-8.2857142857142865</v>
      </c>
      <c r="DX206">
        <v>0.29547656492675844</v>
      </c>
      <c r="DY206">
        <v>-8.0387075899790741</v>
      </c>
      <c r="DZ206">
        <v>3622</v>
      </c>
      <c r="EA206">
        <v>-8.0112714078060403</v>
      </c>
      <c r="EB206">
        <v>8</v>
      </c>
      <c r="EC206">
        <v>4.1311157517899759E-2</v>
      </c>
      <c r="ED206">
        <v>0.30493213007159903</v>
      </c>
      <c r="EE206" s="17">
        <v>1.0588</v>
      </c>
      <c r="EF206">
        <v>1.0601</v>
      </c>
      <c r="EG206">
        <v>16.135476564926758</v>
      </c>
      <c r="EH206" t="s">
        <v>1832</v>
      </c>
      <c r="EI206">
        <v>0</v>
      </c>
      <c r="EJ206">
        <v>0</v>
      </c>
      <c r="EK206" s="19">
        <v>45470</v>
      </c>
      <c r="EL206" s="20">
        <v>-9.99</v>
      </c>
      <c r="EM206" s="20">
        <v>-6.39</v>
      </c>
      <c r="EN206">
        <v>-3.76</v>
      </c>
      <c r="EO206">
        <v>6.03</v>
      </c>
      <c r="EP206">
        <v>0.13</v>
      </c>
    </row>
    <row r="207" spans="1:146" ht="84" x14ac:dyDescent="0.25">
      <c r="A207" s="7"/>
      <c r="B207" s="7"/>
      <c r="C207" s="7" t="str">
        <f>""&amp;CHAR(10)&amp;Basic_Fundamental_Information_Constructure(F207)&amp;CHAR(10)&amp;Basic_Fundamental_Information_Concatenate("")</f>
        <v xml:space="preserve">
市值43.734189亿, 利润5409.69万; PE13.81; 平均PE42.93; 平均PEG1.57, PB1.94; ROIC5.57%; ROE6.4133%; 股利率2.1764%; 毛利18.7567%; 净利7.45%; 上一年度营收增112.81%, 利润增-66.61%; 当季营收增-25.19%, 利润增410.57%; 过往5年营收增27.28%, 利润增2.2%
Income profile:
</v>
      </c>
      <c r="D207" t="s">
        <v>1487</v>
      </c>
      <c r="E207" t="s">
        <v>1488</v>
      </c>
      <c r="F207">
        <v>17.46</v>
      </c>
      <c r="G207">
        <v>2.65</v>
      </c>
      <c r="H207" t="s">
        <v>6805</v>
      </c>
      <c r="I207">
        <v>4373418900</v>
      </c>
      <c r="J207">
        <v>13.81</v>
      </c>
      <c r="K207">
        <v>1.94</v>
      </c>
      <c r="L207" t="s">
        <v>172</v>
      </c>
      <c r="M207" t="s">
        <v>2506</v>
      </c>
      <c r="N207" t="s">
        <v>6806</v>
      </c>
      <c r="O207" t="s">
        <v>2546</v>
      </c>
      <c r="P207">
        <v>15.95</v>
      </c>
      <c r="Q207" t="s">
        <v>6807</v>
      </c>
      <c r="R207">
        <v>77368318</v>
      </c>
      <c r="S207" s="5">
        <v>1.0349999999999999</v>
      </c>
      <c r="T207" t="s">
        <v>6808</v>
      </c>
      <c r="U207">
        <v>213532180</v>
      </c>
      <c r="V207">
        <v>250482180</v>
      </c>
      <c r="W207">
        <v>1.88</v>
      </c>
      <c r="X207">
        <v>0.11</v>
      </c>
      <c r="Y207">
        <v>15.78</v>
      </c>
      <c r="Z207" t="s">
        <v>603</v>
      </c>
      <c r="AA207" t="s">
        <v>1344</v>
      </c>
      <c r="AB207" t="s">
        <v>6809</v>
      </c>
      <c r="AC207" t="s">
        <v>6810</v>
      </c>
      <c r="AD207" t="s">
        <v>19</v>
      </c>
      <c r="AE207">
        <v>5702894</v>
      </c>
      <c r="AF207" t="s">
        <v>6811</v>
      </c>
      <c r="AG207" t="s">
        <v>6812</v>
      </c>
      <c r="AH207" t="s">
        <v>6813</v>
      </c>
      <c r="AI207" t="s">
        <v>87</v>
      </c>
      <c r="AJ207" t="s">
        <v>6814</v>
      </c>
      <c r="AK207" t="s">
        <v>6815</v>
      </c>
      <c r="AL207" t="s">
        <v>6816</v>
      </c>
      <c r="AM207" t="s">
        <v>19</v>
      </c>
      <c r="AN207" t="s">
        <v>930</v>
      </c>
      <c r="AO207" t="s">
        <v>2372</v>
      </c>
      <c r="AP207" t="s">
        <v>2638</v>
      </c>
      <c r="AQ207" t="s">
        <v>1153</v>
      </c>
      <c r="AR207" t="s">
        <v>19</v>
      </c>
      <c r="AS207" t="s">
        <v>6817</v>
      </c>
      <c r="AT207" t="s">
        <v>19</v>
      </c>
      <c r="AU207" t="s">
        <v>6818</v>
      </c>
      <c r="AV207" t="s">
        <v>6819</v>
      </c>
      <c r="AW207" t="s">
        <v>6820</v>
      </c>
      <c r="AX207" t="s">
        <v>5738</v>
      </c>
      <c r="AY207" t="s">
        <v>1790</v>
      </c>
      <c r="AZ207" t="s">
        <v>1489</v>
      </c>
      <c r="BA207" t="s">
        <v>1490</v>
      </c>
      <c r="BB207" t="s">
        <v>1491</v>
      </c>
      <c r="BC207" t="s">
        <v>52</v>
      </c>
      <c r="BD207" t="s">
        <v>1799</v>
      </c>
      <c r="BE207" t="s">
        <v>414</v>
      </c>
      <c r="BF207" t="s">
        <v>32</v>
      </c>
      <c r="BG207" t="s">
        <v>1492</v>
      </c>
      <c r="BH207" t="s">
        <v>585</v>
      </c>
      <c r="BI207" t="s">
        <v>334</v>
      </c>
      <c r="BJ207" t="s">
        <v>5738</v>
      </c>
      <c r="BK207" t="s">
        <v>151</v>
      </c>
      <c r="BL207" t="s">
        <v>6821</v>
      </c>
      <c r="BM207" t="s">
        <v>52</v>
      </c>
      <c r="BN207">
        <v>7.01</v>
      </c>
      <c r="BO207">
        <v>4.12</v>
      </c>
      <c r="BP207">
        <v>5.58</v>
      </c>
      <c r="BQ207">
        <v>8.4700000000000006</v>
      </c>
      <c r="BR207">
        <v>4.55</v>
      </c>
      <c r="BS207">
        <v>6.22</v>
      </c>
      <c r="BT207" t="s">
        <v>2047</v>
      </c>
      <c r="BU207" t="s">
        <v>3125</v>
      </c>
      <c r="BV207">
        <v>25.07</v>
      </c>
      <c r="BW207">
        <v>15.4</v>
      </c>
      <c r="BX207">
        <v>15.8</v>
      </c>
      <c r="BY207">
        <v>11.97</v>
      </c>
      <c r="BZ207">
        <v>4.63</v>
      </c>
      <c r="CA207">
        <v>5.75</v>
      </c>
      <c r="CB207">
        <v>-1.36</v>
      </c>
      <c r="CC207">
        <v>-7.81</v>
      </c>
      <c r="CD207" t="s">
        <v>6822</v>
      </c>
      <c r="CE207" t="s">
        <v>6823</v>
      </c>
      <c r="CF207" s="14">
        <v>-0.25190839694656481</v>
      </c>
      <c r="CG207" s="15">
        <v>4.1057145265659374</v>
      </c>
      <c r="CH207" s="14">
        <v>1.12812340259552</v>
      </c>
      <c r="CI207" s="14">
        <v>0.18900121748447418</v>
      </c>
      <c r="CJ207" s="14">
        <v>0.11644323915243149</v>
      </c>
      <c r="CK207" s="14">
        <v>-9.6876993775367737E-2</v>
      </c>
      <c r="CL207" s="14">
        <v>2.7504825964570045E-2</v>
      </c>
      <c r="CM207" s="15">
        <v>-0.66606855392456055</v>
      </c>
      <c r="CN207" s="15">
        <v>0.78029614686965942</v>
      </c>
      <c r="CO207" s="15">
        <v>-0.13337051868438721</v>
      </c>
      <c r="CP207" s="15">
        <v>-9.4339624047279358E-3</v>
      </c>
      <c r="CQ207" s="15">
        <v>0.13848242163658142</v>
      </c>
      <c r="CR207">
        <v>42.932819305778111</v>
      </c>
      <c r="CS207">
        <v>1.5735579424473123</v>
      </c>
      <c r="CT207">
        <v>2.1764032073310422</v>
      </c>
      <c r="CU207" s="14">
        <v>0.2728391382843256</v>
      </c>
      <c r="CV207" s="15">
        <v>2.1981106698513032E-2</v>
      </c>
      <c r="CW207">
        <v>0.06</v>
      </c>
      <c r="CX207">
        <v>69.388561952640018</v>
      </c>
      <c r="CY207">
        <v>64959105.264012568</v>
      </c>
      <c r="CZ207">
        <v>0.2728391382843256</v>
      </c>
      <c r="DA207">
        <v>19.488397815143873</v>
      </c>
      <c r="DB207">
        <v>231287299.3847352</v>
      </c>
      <c r="DC207">
        <v>0.25919718137010933</v>
      </c>
      <c r="DD207">
        <v>7.7374742055494856</v>
      </c>
      <c r="DE207">
        <v>582543964.63993132</v>
      </c>
      <c r="DF207">
        <v>0.24009844169020653</v>
      </c>
      <c r="DG207">
        <v>3.582612615436219</v>
      </c>
      <c r="DH207">
        <v>1258137394.084729</v>
      </c>
      <c r="DI207">
        <v>0.2182713106274605</v>
      </c>
      <c r="DJ207">
        <v>0.98740079482504817</v>
      </c>
      <c r="DK207">
        <v>4564933432.9315014</v>
      </c>
      <c r="DL207">
        <v>0.1909873967990279</v>
      </c>
      <c r="DM207">
        <v>54096899.999999993</v>
      </c>
      <c r="DN207">
        <v>0.2728391382843256</v>
      </c>
      <c r="DO207">
        <v>4507418900</v>
      </c>
      <c r="DP207">
        <v>-23033400</v>
      </c>
      <c r="DQ207">
        <v>4509</v>
      </c>
      <c r="DR207">
        <v>-0.52474753523089035</v>
      </c>
      <c r="DS207">
        <v>4.083733419867424</v>
      </c>
      <c r="DT207" s="16">
        <v>4.33333333333333E-2</v>
      </c>
      <c r="DU207">
        <v>-3.3333333333333326E-2</v>
      </c>
      <c r="DV207">
        <v>9.9999999999999742E-3</v>
      </c>
      <c r="DW207">
        <v>-2.0781000000000001</v>
      </c>
      <c r="DX207">
        <v>0.52306280029319907</v>
      </c>
      <c r="DY207">
        <v>-2.0119542047028989</v>
      </c>
      <c r="DZ207">
        <v>974</v>
      </c>
      <c r="EA207">
        <v>-2.0096756537477867</v>
      </c>
      <c r="EB207">
        <v>2</v>
      </c>
      <c r="EC207">
        <v>2.8094613357325458E-2</v>
      </c>
      <c r="ED207">
        <v>0.18354958424587331</v>
      </c>
      <c r="EE207" s="17">
        <v>4.0230100000000002</v>
      </c>
      <c r="EF207">
        <v>4.0476099999999997</v>
      </c>
      <c r="EG207">
        <v>37.153062800293199</v>
      </c>
      <c r="EH207" t="s">
        <v>2200</v>
      </c>
      <c r="EI207">
        <v>0</v>
      </c>
      <c r="EJ207">
        <v>1</v>
      </c>
      <c r="EK207" s="19">
        <v>45470</v>
      </c>
      <c r="EL207" s="20">
        <v>0.35</v>
      </c>
      <c r="EM207" s="20">
        <v>-3.56</v>
      </c>
      <c r="EN207">
        <v>-0.93</v>
      </c>
      <c r="EO207">
        <v>3.04</v>
      </c>
      <c r="EP207">
        <v>-2.46</v>
      </c>
    </row>
    <row r="208" spans="1:146" ht="84" x14ac:dyDescent="0.25">
      <c r="A208" s="7"/>
      <c r="B208" s="7"/>
      <c r="C208" s="7" t="str">
        <f>""&amp;CHAR(10)&amp;Basic_Fundamental_Information_Constructure(F208)&amp;CHAR(10)&amp;Basic_Fundamental_Information_Concatenate("")</f>
        <v xml:space="preserve">
市值117.842187亿, 利润1.90亿; PE65.54; 平均PE139.71; 平均PEG33.2, PB7.17; ROIC4.5%; ROE.7733%; 股利率.1853%; 毛利11.2267%; 净利.8533%; 上一年度营收增-74.65%, 利润增364.19%; 当季营收增776%, 利润增151.58%; 过往5年营收增4.21%, 利润增842.32%
Income profile:
</v>
      </c>
      <c r="D208" t="s">
        <v>1493</v>
      </c>
      <c r="E208" t="s">
        <v>1494</v>
      </c>
      <c r="F208">
        <v>26.98</v>
      </c>
      <c r="G208">
        <v>0.52</v>
      </c>
      <c r="H208" t="s">
        <v>6824</v>
      </c>
      <c r="I208">
        <v>11784218700</v>
      </c>
      <c r="J208">
        <v>65.540000000000006</v>
      </c>
      <c r="K208">
        <v>7.17</v>
      </c>
      <c r="L208" t="s">
        <v>172</v>
      </c>
      <c r="M208" t="s">
        <v>6825</v>
      </c>
      <c r="N208" t="s">
        <v>6826</v>
      </c>
      <c r="O208" t="s">
        <v>6827</v>
      </c>
      <c r="P208">
        <v>134.12</v>
      </c>
      <c r="Q208" t="s">
        <v>2678</v>
      </c>
      <c r="R208">
        <v>100791490</v>
      </c>
      <c r="S208" s="5">
        <v>5.0460000000000003</v>
      </c>
      <c r="T208" t="s">
        <v>87</v>
      </c>
      <c r="U208">
        <v>436776080</v>
      </c>
      <c r="V208">
        <v>436776080</v>
      </c>
      <c r="W208">
        <v>3.63</v>
      </c>
      <c r="X208">
        <v>0.27</v>
      </c>
      <c r="Y208">
        <v>6.58</v>
      </c>
      <c r="Z208" t="s">
        <v>3850</v>
      </c>
      <c r="AA208" t="s">
        <v>2576</v>
      </c>
      <c r="AB208" t="s">
        <v>6828</v>
      </c>
      <c r="AC208" t="s">
        <v>6829</v>
      </c>
      <c r="AD208" t="s">
        <v>19</v>
      </c>
      <c r="AE208">
        <v>13027913</v>
      </c>
      <c r="AF208" t="s">
        <v>6830</v>
      </c>
      <c r="AG208" t="s">
        <v>6831</v>
      </c>
      <c r="AH208" t="s">
        <v>6832</v>
      </c>
      <c r="AI208" t="s">
        <v>1884</v>
      </c>
      <c r="AJ208" t="s">
        <v>6833</v>
      </c>
      <c r="AK208" t="s">
        <v>86</v>
      </c>
      <c r="AL208" t="s">
        <v>6834</v>
      </c>
      <c r="AM208" t="s">
        <v>19</v>
      </c>
      <c r="AN208" t="s">
        <v>2104</v>
      </c>
      <c r="AO208" t="s">
        <v>2780</v>
      </c>
      <c r="AP208" t="s">
        <v>1566</v>
      </c>
      <c r="AQ208" t="s">
        <v>2730</v>
      </c>
      <c r="AR208" t="s">
        <v>4992</v>
      </c>
      <c r="AS208" t="s">
        <v>6835</v>
      </c>
      <c r="AT208" t="s">
        <v>629</v>
      </c>
      <c r="AU208" t="s">
        <v>6836</v>
      </c>
      <c r="AV208" t="s">
        <v>4210</v>
      </c>
      <c r="AW208" t="s">
        <v>514</v>
      </c>
      <c r="AX208" t="s">
        <v>2388</v>
      </c>
      <c r="AY208" t="s">
        <v>1800</v>
      </c>
      <c r="AZ208" t="s">
        <v>460</v>
      </c>
      <c r="BA208" t="s">
        <v>1497</v>
      </c>
      <c r="BB208" t="s">
        <v>784</v>
      </c>
      <c r="BC208" t="s">
        <v>6837</v>
      </c>
      <c r="BD208" t="s">
        <v>1801</v>
      </c>
      <c r="BE208" t="s">
        <v>1495</v>
      </c>
      <c r="BF208" t="s">
        <v>367</v>
      </c>
      <c r="BG208" t="s">
        <v>367</v>
      </c>
      <c r="BH208" t="s">
        <v>6807</v>
      </c>
      <c r="BI208" t="s">
        <v>94</v>
      </c>
      <c r="BJ208" t="s">
        <v>2388</v>
      </c>
      <c r="BK208" t="s">
        <v>6808</v>
      </c>
      <c r="BL208" t="s">
        <v>6838</v>
      </c>
      <c r="BM208" t="s">
        <v>6837</v>
      </c>
      <c r="BN208" t="s">
        <v>19</v>
      </c>
      <c r="BO208">
        <v>4.5</v>
      </c>
      <c r="BP208" t="s">
        <v>19</v>
      </c>
      <c r="BQ208">
        <v>-1.54</v>
      </c>
      <c r="BR208">
        <v>4</v>
      </c>
      <c r="BS208">
        <v>-0.14000000000000001</v>
      </c>
      <c r="BT208" t="s">
        <v>2002</v>
      </c>
      <c r="BU208" t="s">
        <v>3146</v>
      </c>
      <c r="BV208">
        <v>12.89</v>
      </c>
      <c r="BW208">
        <v>11.26</v>
      </c>
      <c r="BX208">
        <v>9.5299999999999994</v>
      </c>
      <c r="BY208">
        <v>1.35</v>
      </c>
      <c r="BZ208">
        <v>1.25</v>
      </c>
      <c r="CA208">
        <v>-0.04</v>
      </c>
      <c r="CB208">
        <v>-3.12</v>
      </c>
      <c r="CC208">
        <v>-2.81</v>
      </c>
      <c r="CD208" t="s">
        <v>6839</v>
      </c>
      <c r="CE208" t="s">
        <v>6840</v>
      </c>
      <c r="CF208" s="14">
        <v>7.76</v>
      </c>
      <c r="CG208" s="15">
        <v>1.515805987025532</v>
      </c>
      <c r="CH208" s="14">
        <v>-0.74649173021316528</v>
      </c>
      <c r="CI208" s="14">
        <v>0.33905234932899475</v>
      </c>
      <c r="CJ208" s="14">
        <v>0.59895485639572144</v>
      </c>
      <c r="CK208" s="14">
        <v>-6.1887215822935104E-2</v>
      </c>
      <c r="CL208" s="14">
        <v>8.0794699490070343E-2</v>
      </c>
      <c r="CM208" s="15">
        <v>3.6419470310211182</v>
      </c>
      <c r="CN208" s="15">
        <v>39.753170013427734</v>
      </c>
      <c r="CO208" s="15">
        <v>-1.0142290592193604</v>
      </c>
      <c r="CP208" s="15">
        <v>-0.26506733894348145</v>
      </c>
      <c r="CQ208" s="15">
        <v>0</v>
      </c>
      <c r="CR208">
        <v>139.70535292117356</v>
      </c>
      <c r="CS208">
        <v>33.196318849061313</v>
      </c>
      <c r="CT208">
        <v>0.18532246108228317</v>
      </c>
      <c r="CU208" s="14">
        <v>4.2084591835737227E-2</v>
      </c>
      <c r="CV208" s="15">
        <v>8.4231641292572021</v>
      </c>
      <c r="CW208">
        <v>0.06</v>
      </c>
      <c r="CX208">
        <v>76.001466270963675</v>
      </c>
      <c r="CY208">
        <v>186788747.59319818</v>
      </c>
      <c r="CZ208">
        <v>4.2084591835737227E-2</v>
      </c>
      <c r="DA208">
        <v>25.870608903434448</v>
      </c>
      <c r="DB208">
        <v>548739256.69818246</v>
      </c>
      <c r="DC208">
        <v>3.9980362243950365E-2</v>
      </c>
      <c r="DD208">
        <v>13.435641584828716</v>
      </c>
      <c r="DE208">
        <v>1056608916.6914153</v>
      </c>
      <c r="DF208">
        <v>3.7034440815448759E-2</v>
      </c>
      <c r="DG208">
        <v>8.5580172530098135</v>
      </c>
      <c r="DH208">
        <v>1658820995.6000333</v>
      </c>
      <c r="DI208">
        <v>3.366767346858978E-2</v>
      </c>
      <c r="DJ208">
        <v>5.0066946646643684</v>
      </c>
      <c r="DK208">
        <v>2835447266.2757568</v>
      </c>
      <c r="DL208">
        <v>2.9459214285016057E-2</v>
      </c>
      <c r="DM208">
        <v>190000000</v>
      </c>
      <c r="DN208">
        <v>4.2084591835737227E-2</v>
      </c>
      <c r="DO208">
        <v>14196218700</v>
      </c>
      <c r="DP208">
        <v>245310899.99999952</v>
      </c>
      <c r="DQ208">
        <v>4510</v>
      </c>
      <c r="DR208">
        <v>7.7179154081642629</v>
      </c>
      <c r="DS208">
        <v>-6.9073581422316703</v>
      </c>
      <c r="DT208" s="16">
        <v>-0.49</v>
      </c>
      <c r="DU208">
        <v>0.28999999999999981</v>
      </c>
      <c r="DV208">
        <v>-0.20000000000000018</v>
      </c>
      <c r="DW208">
        <v>-4.9006410256410255</v>
      </c>
      <c r="DX208">
        <v>0.32963501206958795</v>
      </c>
      <c r="DY208">
        <v>-4.1347674307421611</v>
      </c>
      <c r="DZ208">
        <v>2435</v>
      </c>
      <c r="EA208">
        <v>-4.0705485082652215</v>
      </c>
      <c r="EB208">
        <v>4</v>
      </c>
      <c r="EC208">
        <v>3.0712075624654171E-2</v>
      </c>
      <c r="ED208">
        <v>0.20524658767943518</v>
      </c>
      <c r="EE208" s="17">
        <v>0.10681</v>
      </c>
      <c r="EF208">
        <v>0.11821</v>
      </c>
      <c r="EG208">
        <v>18.149635012069588</v>
      </c>
      <c r="EH208">
        <v>-1</v>
      </c>
      <c r="EI208">
        <v>0</v>
      </c>
      <c r="EJ208">
        <v>0</v>
      </c>
      <c r="EK208" s="19">
        <v>45470</v>
      </c>
      <c r="EL208" s="20">
        <v>0.35</v>
      </c>
      <c r="EM208" s="20">
        <v>-3.85</v>
      </c>
      <c r="EN208">
        <v>2.5499999999999998</v>
      </c>
      <c r="EO208">
        <v>1.6</v>
      </c>
      <c r="EP208">
        <v>-1.1399999999999999</v>
      </c>
    </row>
    <row r="209" spans="1:146" ht="84" x14ac:dyDescent="0.25">
      <c r="A209" s="7"/>
      <c r="B209" s="7"/>
      <c r="C209" s="7" t="str">
        <f>""&amp;CHAR(10)&amp;Basic_Fundamental_Information_Constructure(F209)&amp;CHAR(10)&amp;Basic_Fundamental_Information_Concatenate("")</f>
        <v xml:space="preserve">
市值6.8318688亿, 利润-8453.60万; PE; 平均PE26.99; 平均PEG.24, PB.761; ROIC3.585%; ROE2.52%; 股利率0%; 毛利37.6967%; 净利2.1%; 上一年度营收增556.37%, 利润增-978.64%; 当季营收增-60.63%, 利润增79.52%; 过往5年营收增111.85%, 利润增-208.58%
Income profile:
</v>
      </c>
      <c r="D209" t="s">
        <v>1498</v>
      </c>
      <c r="E209" t="s">
        <v>1499</v>
      </c>
      <c r="F209">
        <v>8.84</v>
      </c>
      <c r="G209">
        <v>0.8</v>
      </c>
      <c r="H209" t="s">
        <v>2584</v>
      </c>
      <c r="I209">
        <v>683186880</v>
      </c>
      <c r="K209">
        <v>0.76100000000000001</v>
      </c>
      <c r="L209" t="s">
        <v>172</v>
      </c>
      <c r="M209" t="s">
        <v>1918</v>
      </c>
      <c r="N209" t="s">
        <v>2131</v>
      </c>
      <c r="O209" t="s">
        <v>6841</v>
      </c>
      <c r="P209">
        <v>-26.97</v>
      </c>
      <c r="Q209" t="s">
        <v>1225</v>
      </c>
      <c r="R209">
        <v>-8777723</v>
      </c>
      <c r="S209" s="5">
        <v>-1.9710000000000001</v>
      </c>
      <c r="T209" t="s">
        <v>6842</v>
      </c>
      <c r="U209">
        <v>77283584</v>
      </c>
      <c r="V209">
        <v>77283584</v>
      </c>
      <c r="W209">
        <v>1.61</v>
      </c>
      <c r="X209">
        <v>0.05</v>
      </c>
      <c r="Y209">
        <v>-13.29</v>
      </c>
      <c r="Z209" t="s">
        <v>6843</v>
      </c>
      <c r="AA209" t="s">
        <v>6844</v>
      </c>
      <c r="AB209" t="s">
        <v>6845</v>
      </c>
      <c r="AC209" t="s">
        <v>6846</v>
      </c>
      <c r="AD209" t="s">
        <v>19</v>
      </c>
      <c r="AE209">
        <v>3074220</v>
      </c>
      <c r="AF209" t="s">
        <v>6847</v>
      </c>
      <c r="AG209" t="s">
        <v>6848</v>
      </c>
      <c r="AH209" t="s">
        <v>6849</v>
      </c>
      <c r="AI209" t="s">
        <v>6850</v>
      </c>
      <c r="AJ209" t="s">
        <v>6851</v>
      </c>
      <c r="AK209" t="s">
        <v>6852</v>
      </c>
      <c r="AL209" t="s">
        <v>6853</v>
      </c>
      <c r="AM209" t="s">
        <v>19</v>
      </c>
      <c r="AN209" t="s">
        <v>6854</v>
      </c>
      <c r="AO209" t="s">
        <v>345</v>
      </c>
      <c r="AP209" t="s">
        <v>6855</v>
      </c>
      <c r="AQ209" t="s">
        <v>6856</v>
      </c>
      <c r="AR209" t="s">
        <v>19</v>
      </c>
      <c r="AS209" t="s">
        <v>2519</v>
      </c>
      <c r="AT209" t="s">
        <v>391</v>
      </c>
      <c r="AU209" t="s">
        <v>6857</v>
      </c>
      <c r="AV209" t="s">
        <v>6858</v>
      </c>
      <c r="AW209" t="s">
        <v>6859</v>
      </c>
      <c r="AX209" t="s">
        <v>415</v>
      </c>
      <c r="AY209" t="s">
        <v>1117</v>
      </c>
      <c r="AZ209" t="s">
        <v>778</v>
      </c>
      <c r="BA209" t="s">
        <v>195</v>
      </c>
      <c r="BB209" t="s">
        <v>157</v>
      </c>
      <c r="BC209" t="s">
        <v>2390</v>
      </c>
      <c r="BD209" t="s">
        <v>1802</v>
      </c>
      <c r="BE209" t="s">
        <v>1500</v>
      </c>
      <c r="BF209" t="s">
        <v>1501</v>
      </c>
      <c r="BG209" t="s">
        <v>1502</v>
      </c>
      <c r="BH209" t="s">
        <v>6136</v>
      </c>
      <c r="BI209" t="s">
        <v>56</v>
      </c>
      <c r="BJ209" t="s">
        <v>415</v>
      </c>
      <c r="BK209" t="s">
        <v>6860</v>
      </c>
      <c r="BL209" t="s">
        <v>6861</v>
      </c>
      <c r="BM209" t="s">
        <v>2390</v>
      </c>
      <c r="BN209">
        <v>1.05</v>
      </c>
      <c r="BO209" t="s">
        <v>19</v>
      </c>
      <c r="BP209">
        <v>6.12</v>
      </c>
      <c r="BQ209">
        <v>1.17</v>
      </c>
      <c r="BR209">
        <v>-0.84</v>
      </c>
      <c r="BS209">
        <v>7.23</v>
      </c>
      <c r="BT209" t="s">
        <v>1983</v>
      </c>
      <c r="BU209" t="s">
        <v>3125</v>
      </c>
      <c r="BV209">
        <v>28.84</v>
      </c>
      <c r="BW209">
        <v>41.7</v>
      </c>
      <c r="BX209">
        <v>42.55</v>
      </c>
      <c r="BY209">
        <v>-3.12</v>
      </c>
      <c r="BZ209">
        <v>-6.18</v>
      </c>
      <c r="CA209">
        <v>15.6</v>
      </c>
      <c r="CB209">
        <v>-3.91</v>
      </c>
      <c r="CC209">
        <v>-20.36</v>
      </c>
      <c r="CD209" t="s">
        <v>6862</v>
      </c>
      <c r="CE209" t="s">
        <v>6863</v>
      </c>
      <c r="CF209" s="14">
        <v>-0.60626373626373631</v>
      </c>
      <c r="CG209" s="15">
        <v>0.79515280011015144</v>
      </c>
      <c r="CH209" s="14">
        <v>5.5637259483337402</v>
      </c>
      <c r="CI209" s="14">
        <v>-0.4848484992980957</v>
      </c>
      <c r="CJ209" s="14">
        <v>0.26114648580551147</v>
      </c>
      <c r="CK209" s="14">
        <v>0.17164179682731628</v>
      </c>
      <c r="CL209" s="14">
        <v>8.0645158886909485E-2</v>
      </c>
      <c r="CM209" s="15">
        <v>-9.7863683700561523</v>
      </c>
      <c r="CN209" s="15">
        <v>-1.1190629005432129</v>
      </c>
      <c r="CO209" s="15">
        <v>-0.17740263044834137</v>
      </c>
      <c r="CP209" s="15">
        <v>0.55010277032852173</v>
      </c>
      <c r="CQ209" s="15">
        <v>0.10396395623683929</v>
      </c>
      <c r="CR209">
        <v>26.993351495192506</v>
      </c>
      <c r="CS209">
        <v>0.24134344480723022</v>
      </c>
      <c r="CT209">
        <v>0</v>
      </c>
      <c r="CU209" s="14">
        <v>1.1184621781110764</v>
      </c>
      <c r="CV209" s="15">
        <v>-2.085753434896469</v>
      </c>
      <c r="CW209">
        <v>0.06</v>
      </c>
      <c r="CX209" t="e">
        <v>#VALUE!</v>
      </c>
      <c r="CY209" t="s">
        <v>1834</v>
      </c>
      <c r="CZ209">
        <v>1.1184621781110764</v>
      </c>
      <c r="DA209" t="e">
        <v>#VALUE!</v>
      </c>
      <c r="DB209" t="s">
        <v>1835</v>
      </c>
      <c r="DC209">
        <v>1.0625390692055225</v>
      </c>
      <c r="DD209" t="e">
        <v>#VALUE!</v>
      </c>
      <c r="DE209" t="s">
        <v>1835</v>
      </c>
      <c r="DF209">
        <v>0.98424671673774722</v>
      </c>
      <c r="DG209" t="e">
        <v>#VALUE!</v>
      </c>
      <c r="DH209" t="s">
        <v>1835</v>
      </c>
      <c r="DI209">
        <v>0.89476974248886121</v>
      </c>
      <c r="DJ209" t="e">
        <v>#VALUE!</v>
      </c>
      <c r="DK209" t="s">
        <v>1835</v>
      </c>
      <c r="DL209">
        <v>0.78292352467775339</v>
      </c>
      <c r="DM209">
        <v>-84536000</v>
      </c>
      <c r="DN209">
        <v>1.1184621781110764</v>
      </c>
      <c r="DO209">
        <v>330186880</v>
      </c>
      <c r="DP209">
        <v>296177880</v>
      </c>
      <c r="DQ209">
        <v>4559</v>
      </c>
      <c r="DR209">
        <v>-1.7247259143748126</v>
      </c>
      <c r="DS209">
        <v>2.8809062350066204</v>
      </c>
      <c r="DT209" s="16">
        <v>-4.0000000000000036E-2</v>
      </c>
      <c r="DU209">
        <v>-2.3816666666666668</v>
      </c>
      <c r="DV209">
        <v>-2.4216666666666669</v>
      </c>
      <c r="DW209">
        <v>-8.1920432220039299</v>
      </c>
      <c r="DX209">
        <v>0.38990397932146892</v>
      </c>
      <c r="DY209">
        <v>-8.0249471787400264</v>
      </c>
      <c r="DZ209">
        <v>3172</v>
      </c>
      <c r="EA209">
        <v>-8.0094613762031646</v>
      </c>
      <c r="EB209">
        <v>8</v>
      </c>
      <c r="EC209">
        <v>5.4494108347770208E-2</v>
      </c>
      <c r="ED209">
        <v>0.41949529669845542</v>
      </c>
      <c r="EE209" s="17">
        <v>-2.0695100000000002</v>
      </c>
      <c r="EF209">
        <v>-2.0853100000000002</v>
      </c>
      <c r="EG209">
        <v>26.129903979321469</v>
      </c>
      <c r="EH209" t="s">
        <v>2497</v>
      </c>
      <c r="EI209">
        <v>0</v>
      </c>
      <c r="EJ209">
        <v>0</v>
      </c>
      <c r="EK209" s="19">
        <v>45470</v>
      </c>
      <c r="EL209" s="20">
        <v>-2.1800000000000002</v>
      </c>
      <c r="EM209" s="20">
        <v>-6.2</v>
      </c>
      <c r="EN209">
        <v>-0.82</v>
      </c>
      <c r="EO209">
        <v>4.2699999999999996</v>
      </c>
      <c r="EP209">
        <v>-1.58</v>
      </c>
    </row>
    <row r="210" spans="1:146" ht="84" x14ac:dyDescent="0.25">
      <c r="C210" s="7" t="str">
        <f>""&amp;CHAR(10)&amp;Basic_Fundamental_Information_Constructure(F210)&amp;CHAR(10)&amp;Basic_Fundamental_Information_Concatenate("")</f>
        <v xml:space="preserve">
市值115.093094亿, 利润2937.33万; PE49.61; 平均PE41.44; 平均PEG3.35, PB3.74; ROIC7.4233%; ROE9.3767%; 股利率1.5705%; 毛利56.5167%; 净利9.1233%; 上一年度营收增-46.34%, 利润增-71.2%; 当季营收增290.5%, 利润增2700.97%; 过往5年营收增12.37%, 利润增-23.37%
Income profile:
</v>
      </c>
      <c r="D210" t="s">
        <v>2895</v>
      </c>
      <c r="E210" t="s">
        <v>2896</v>
      </c>
      <c r="F210">
        <v>25.47</v>
      </c>
      <c r="G210">
        <v>4.8099999999999996</v>
      </c>
      <c r="H210" t="s">
        <v>6864</v>
      </c>
      <c r="I210">
        <v>11509309400</v>
      </c>
      <c r="J210">
        <v>49.61</v>
      </c>
      <c r="K210">
        <v>3.74</v>
      </c>
      <c r="L210" t="s">
        <v>172</v>
      </c>
      <c r="M210" t="s">
        <v>652</v>
      </c>
      <c r="N210" t="s">
        <v>6865</v>
      </c>
      <c r="O210" t="s">
        <v>925</v>
      </c>
      <c r="P210" s="5">
        <v>22.22</v>
      </c>
      <c r="Q210" t="s">
        <v>2527</v>
      </c>
      <c r="R210">
        <v>390000000</v>
      </c>
      <c r="S210">
        <v>0.73340000000000005</v>
      </c>
      <c r="T210" t="s">
        <v>6866</v>
      </c>
      <c r="U210">
        <v>451877090</v>
      </c>
      <c r="V210">
        <v>451877090</v>
      </c>
      <c r="W210">
        <v>1.88</v>
      </c>
      <c r="X210">
        <v>0.15</v>
      </c>
      <c r="Y210">
        <v>13.34</v>
      </c>
      <c r="Z210" t="s">
        <v>537</v>
      </c>
      <c r="AA210" t="s">
        <v>691</v>
      </c>
      <c r="AB210" t="s">
        <v>155</v>
      </c>
      <c r="AC210" t="s">
        <v>6867</v>
      </c>
      <c r="AD210" t="s">
        <v>19</v>
      </c>
      <c r="AE210">
        <v>7978124</v>
      </c>
      <c r="AF210" t="s">
        <v>6868</v>
      </c>
      <c r="AG210" t="s">
        <v>6869</v>
      </c>
      <c r="AH210" t="s">
        <v>6870</v>
      </c>
      <c r="AI210" t="s">
        <v>1986</v>
      </c>
      <c r="AJ210" t="s">
        <v>6871</v>
      </c>
      <c r="AK210" t="s">
        <v>6872</v>
      </c>
      <c r="AL210" t="s">
        <v>6873</v>
      </c>
      <c r="AM210" t="s">
        <v>19</v>
      </c>
      <c r="AN210" t="s">
        <v>6874</v>
      </c>
      <c r="AO210" t="s">
        <v>245</v>
      </c>
      <c r="AP210" t="s">
        <v>6875</v>
      </c>
      <c r="AQ210" t="s">
        <v>2525</v>
      </c>
      <c r="AR210" t="s">
        <v>6876</v>
      </c>
      <c r="AS210" t="s">
        <v>6877</v>
      </c>
      <c r="AT210" t="s">
        <v>19</v>
      </c>
      <c r="AU210" t="s">
        <v>1067</v>
      </c>
      <c r="AV210" t="s">
        <v>6878</v>
      </c>
      <c r="AW210" t="s">
        <v>6879</v>
      </c>
      <c r="AX210" t="s">
        <v>2897</v>
      </c>
      <c r="AY210" t="s">
        <v>2835</v>
      </c>
      <c r="AZ210" t="s">
        <v>2734</v>
      </c>
      <c r="BA210" t="s">
        <v>2603</v>
      </c>
      <c r="BB210" t="s">
        <v>301</v>
      </c>
      <c r="BC210" t="s">
        <v>250</v>
      </c>
      <c r="BD210" t="s">
        <v>910</v>
      </c>
      <c r="BE210" t="s">
        <v>813</v>
      </c>
      <c r="BF210" t="s">
        <v>555</v>
      </c>
      <c r="BG210" t="s">
        <v>282</v>
      </c>
      <c r="BH210" t="s">
        <v>6880</v>
      </c>
      <c r="BI210" t="s">
        <v>607</v>
      </c>
      <c r="BJ210" t="s">
        <v>2897</v>
      </c>
      <c r="BK210" t="s">
        <v>146</v>
      </c>
      <c r="BL210" t="s">
        <v>6881</v>
      </c>
      <c r="BM210" t="s">
        <v>250</v>
      </c>
      <c r="BN210">
        <v>5.29</v>
      </c>
      <c r="BO210">
        <v>2.41</v>
      </c>
      <c r="BP210">
        <v>14.57</v>
      </c>
      <c r="BQ210">
        <v>8.0500000000000007</v>
      </c>
      <c r="BR210">
        <v>3.48</v>
      </c>
      <c r="BS210">
        <v>16.600000000000001</v>
      </c>
      <c r="BT210" t="s">
        <v>2032</v>
      </c>
      <c r="BU210" t="s">
        <v>3146</v>
      </c>
      <c r="BV210">
        <v>54.89</v>
      </c>
      <c r="BW210">
        <v>57.01</v>
      </c>
      <c r="BX210">
        <v>57.65</v>
      </c>
      <c r="BY210">
        <v>4.3</v>
      </c>
      <c r="BZ210">
        <v>3.6</v>
      </c>
      <c r="CA210">
        <v>19.47</v>
      </c>
      <c r="CB210">
        <v>5.51</v>
      </c>
      <c r="CC210" s="14">
        <v>-2.38</v>
      </c>
      <c r="CD210" s="15" t="s">
        <v>6882</v>
      </c>
      <c r="CE210" s="14" t="s">
        <v>628</v>
      </c>
      <c r="CF210" s="14">
        <v>2.9049773755656112</v>
      </c>
      <c r="CG210" s="14">
        <v>27.009710291842289</v>
      </c>
      <c r="CH210" s="14">
        <v>-0.46337154507637024</v>
      </c>
      <c r="CI210" s="14">
        <v>5.3237546235322952E-3</v>
      </c>
      <c r="CJ210" s="15">
        <v>0.42839044332504272</v>
      </c>
      <c r="CK210" s="15">
        <v>0.31939798593521118</v>
      </c>
      <c r="CL210" s="15">
        <v>0.32888889312744141</v>
      </c>
      <c r="CM210" s="15">
        <v>-0.71202653646469116</v>
      </c>
      <c r="CN210" s="15">
        <v>-0.76765376329421997</v>
      </c>
      <c r="CO210">
        <v>1.3856813311576843E-2</v>
      </c>
      <c r="CP210">
        <v>0.32415902614593506</v>
      </c>
      <c r="CQ210">
        <v>-2.678571455180645E-2</v>
      </c>
      <c r="CR210" s="14">
        <v>41.440808251068354</v>
      </c>
      <c r="CS210" s="15">
        <v>3.3494042970641864</v>
      </c>
      <c r="CT210">
        <v>1.5704750687082842</v>
      </c>
      <c r="CU210">
        <v>0.12372590638697148</v>
      </c>
      <c r="CV210">
        <v>-0.23369003497064114</v>
      </c>
      <c r="CW210">
        <v>0.06</v>
      </c>
      <c r="CX210">
        <v>345.49101804024542</v>
      </c>
      <c r="CY210">
        <v>31139186.949128706</v>
      </c>
      <c r="CZ210">
        <v>0.12372590638697148</v>
      </c>
      <c r="DA210">
        <v>109.73659996175027</v>
      </c>
      <c r="DB210">
        <v>98037568.174610019</v>
      </c>
      <c r="DC210">
        <v>0.1175396110676229</v>
      </c>
      <c r="DD210">
        <v>51.979245989352236</v>
      </c>
      <c r="DE210">
        <v>206973171.60398597</v>
      </c>
      <c r="DF210">
        <v>0.1088787976205349</v>
      </c>
      <c r="DG210">
        <v>29.86717847778257</v>
      </c>
      <c r="DH210">
        <v>360205079.56594664</v>
      </c>
      <c r="DI210">
        <v>9.8980725109577186E-2</v>
      </c>
      <c r="DJ210">
        <v>13.972628170923784</v>
      </c>
      <c r="DK210">
        <v>769956036.07254136</v>
      </c>
      <c r="DL210">
        <v>8.6608134470880033E-2</v>
      </c>
      <c r="DM210">
        <v>29373300</v>
      </c>
      <c r="DN210">
        <v>0.12372590638697148</v>
      </c>
      <c r="DO210">
        <v>10758309400</v>
      </c>
      <c r="DP210">
        <v>2745326000</v>
      </c>
      <c r="DQ210" s="16">
        <v>4722</v>
      </c>
      <c r="DR210">
        <v>2.7812514691786396</v>
      </c>
      <c r="DS210">
        <v>27.243400326812932</v>
      </c>
      <c r="DT210">
        <v>-0.25666666666666677</v>
      </c>
      <c r="DU210">
        <v>8.3333333333333301E-2</v>
      </c>
      <c r="DV210">
        <v>-0.17333333333333345</v>
      </c>
      <c r="DW210">
        <v>4.4319419237749544</v>
      </c>
      <c r="DX210">
        <v>0.49762415730337084</v>
      </c>
      <c r="DY210">
        <v>4.0983204164032712</v>
      </c>
      <c r="DZ210">
        <v>270</v>
      </c>
      <c r="EA210">
        <v>4.0931254041862681</v>
      </c>
      <c r="EB210" s="17">
        <v>4</v>
      </c>
      <c r="EC210" s="17">
        <v>8.9663983628822608E-2</v>
      </c>
      <c r="ED210">
        <v>0.39391242428333778</v>
      </c>
      <c r="EE210">
        <v>-1.0264</v>
      </c>
      <c r="EF210">
        <v>-1.0018</v>
      </c>
      <c r="EG210">
        <v>27.227624157303371</v>
      </c>
      <c r="EH210" s="19" t="s">
        <v>1844</v>
      </c>
      <c r="EI210">
        <v>0</v>
      </c>
      <c r="EJ210">
        <v>1</v>
      </c>
      <c r="EK210">
        <v>45470</v>
      </c>
      <c r="EL210">
        <v>0.39</v>
      </c>
      <c r="EM210">
        <v>-4.46</v>
      </c>
      <c r="EN210">
        <v>-1.77</v>
      </c>
      <c r="EO210">
        <v>3.36</v>
      </c>
      <c r="EP210">
        <v>-2.46</v>
      </c>
    </row>
    <row r="211" spans="1:146" ht="84" x14ac:dyDescent="0.25">
      <c r="A211" s="7"/>
      <c r="B211" s="7"/>
      <c r="C211" s="7" t="str">
        <f>""&amp;CHAR(10)&amp;Basic_Fundamental_Information_Constructure(F211)&amp;CHAR(10)&amp;Basic_Fundamental_Information_Concatenate("")</f>
        <v xml:space="preserve">
市值23.313756亿, 利润3.35亿; PE; 平均PE-11.99; 平均PEG-2.71, PB2.6; ROIC0%; ROE-35.2567%; 股利率0%; 毛利-1.2633%; 净利-52.9967%; 上一年度营收增-10.19%, 利润增186.34%; 当季营收增47.06%, 利润增-235.67%; 过往5年营收增4.42%, 利润增-17.71%
Income profile:
</v>
      </c>
      <c r="D211" t="s">
        <v>1503</v>
      </c>
      <c r="E211" t="s">
        <v>1803</v>
      </c>
      <c r="F211">
        <v>3.95</v>
      </c>
      <c r="G211">
        <v>1.8</v>
      </c>
      <c r="H211" t="s">
        <v>6883</v>
      </c>
      <c r="I211">
        <v>2331375600</v>
      </c>
      <c r="K211">
        <v>2.6</v>
      </c>
      <c r="L211" t="s">
        <v>172</v>
      </c>
      <c r="M211" t="s">
        <v>2595</v>
      </c>
      <c r="N211" t="s">
        <v>383</v>
      </c>
      <c r="O211" t="s">
        <v>752</v>
      </c>
      <c r="P211">
        <v>54.42</v>
      </c>
      <c r="Q211" t="s">
        <v>1271</v>
      </c>
      <c r="R211">
        <v>-119946573</v>
      </c>
      <c r="S211" s="5">
        <v>1.41E-2</v>
      </c>
      <c r="T211" t="s">
        <v>380</v>
      </c>
      <c r="U211">
        <v>459660050</v>
      </c>
      <c r="V211">
        <v>590221670</v>
      </c>
      <c r="W211">
        <v>2.9</v>
      </c>
      <c r="X211">
        <v>0.11</v>
      </c>
      <c r="Y211">
        <v>-43.65</v>
      </c>
      <c r="Z211" t="s">
        <v>1577</v>
      </c>
      <c r="AA211" t="s">
        <v>505</v>
      </c>
      <c r="AB211" t="s">
        <v>6884</v>
      </c>
      <c r="AC211" t="s">
        <v>6885</v>
      </c>
      <c r="AD211" t="s">
        <v>19</v>
      </c>
      <c r="AE211">
        <v>5445611</v>
      </c>
      <c r="AF211" t="s">
        <v>21</v>
      </c>
      <c r="AG211">
        <v>791.97</v>
      </c>
      <c r="AH211" t="s">
        <v>6886</v>
      </c>
      <c r="AI211" t="s">
        <v>846</v>
      </c>
      <c r="AJ211" t="s">
        <v>6887</v>
      </c>
      <c r="AK211" t="s">
        <v>6888</v>
      </c>
      <c r="AL211" t="s">
        <v>6889</v>
      </c>
      <c r="AM211" t="s">
        <v>19</v>
      </c>
      <c r="AN211" t="s">
        <v>386</v>
      </c>
      <c r="AO211" t="s">
        <v>827</v>
      </c>
      <c r="AP211" t="s">
        <v>19</v>
      </c>
      <c r="AQ211" t="s">
        <v>334</v>
      </c>
      <c r="AR211" t="s">
        <v>19</v>
      </c>
      <c r="AS211" t="s">
        <v>2648</v>
      </c>
      <c r="AT211" t="s">
        <v>6890</v>
      </c>
      <c r="AU211" t="s">
        <v>6891</v>
      </c>
      <c r="AV211" t="s">
        <v>6892</v>
      </c>
      <c r="AW211" t="s">
        <v>6893</v>
      </c>
      <c r="AX211" t="s">
        <v>2391</v>
      </c>
      <c r="AY211" t="s">
        <v>866</v>
      </c>
      <c r="AZ211" t="s">
        <v>893</v>
      </c>
      <c r="BA211" t="s">
        <v>1184</v>
      </c>
      <c r="BB211" t="s">
        <v>366</v>
      </c>
      <c r="BC211" t="s">
        <v>2376</v>
      </c>
      <c r="BD211" t="s">
        <v>1708</v>
      </c>
      <c r="BE211" t="s">
        <v>1372</v>
      </c>
      <c r="BF211" t="s">
        <v>1129</v>
      </c>
      <c r="BG211" t="s">
        <v>1504</v>
      </c>
      <c r="BH211" t="s">
        <v>1443</v>
      </c>
      <c r="BI211" t="s">
        <v>344</v>
      </c>
      <c r="BJ211" t="s">
        <v>2391</v>
      </c>
      <c r="BK211" t="s">
        <v>6894</v>
      </c>
      <c r="BL211" t="s">
        <v>6895</v>
      </c>
      <c r="BM211" t="s">
        <v>2376</v>
      </c>
      <c r="BN211" t="s">
        <v>19</v>
      </c>
      <c r="BO211" t="s">
        <v>19</v>
      </c>
      <c r="BP211" t="s">
        <v>19</v>
      </c>
      <c r="BQ211">
        <v>-23.44</v>
      </c>
      <c r="BR211">
        <v>-21.83</v>
      </c>
      <c r="BS211">
        <v>-60.5</v>
      </c>
      <c r="BT211" t="s">
        <v>1983</v>
      </c>
      <c r="BU211" t="s">
        <v>2920</v>
      </c>
      <c r="BV211">
        <v>-4.6100000000000003</v>
      </c>
      <c r="BW211">
        <v>4.59</v>
      </c>
      <c r="BX211">
        <v>-3.77</v>
      </c>
      <c r="BY211">
        <v>-66.599999999999994</v>
      </c>
      <c r="BZ211">
        <v>-38.049999999999997</v>
      </c>
      <c r="CA211">
        <v>-54.34</v>
      </c>
      <c r="CB211">
        <v>-2.95</v>
      </c>
      <c r="CC211">
        <v>-20.36</v>
      </c>
      <c r="CD211" t="s">
        <v>6896</v>
      </c>
      <c r="CE211" t="s">
        <v>224</v>
      </c>
      <c r="CF211" s="14">
        <v>0.47058823529411764</v>
      </c>
      <c r="CG211" s="15">
        <v>-2.3567082117407532</v>
      </c>
      <c r="CH211" s="14">
        <v>-0.10186091810464859</v>
      </c>
      <c r="CI211" s="14">
        <v>0.38722825050354004</v>
      </c>
      <c r="CJ211" s="14">
        <v>0.27335640788078308</v>
      </c>
      <c r="CK211" s="14">
        <v>-0.26835441589355469</v>
      </c>
      <c r="CL211" s="14">
        <v>-6.9493524730205536E-2</v>
      </c>
      <c r="CM211" s="15">
        <v>1.8634020090103149</v>
      </c>
      <c r="CN211" s="15">
        <v>2.9999999329447746E-2</v>
      </c>
      <c r="CO211" s="15">
        <v>-5.5408969521522522E-2</v>
      </c>
      <c r="CP211" s="15">
        <v>-0.48046875</v>
      </c>
      <c r="CQ211" s="15">
        <v>-2.2432610988616943</v>
      </c>
      <c r="CR211">
        <v>-11.987196178974816</v>
      </c>
      <c r="CS211">
        <v>-2.7135603351858291</v>
      </c>
      <c r="CT211">
        <v>0</v>
      </c>
      <c r="CU211" s="14">
        <v>4.4175159931182859E-2</v>
      </c>
      <c r="CV211" s="15">
        <v>-0.17714736200869083</v>
      </c>
      <c r="CW211">
        <v>0.06</v>
      </c>
      <c r="CX211">
        <v>9.019354071990854</v>
      </c>
      <c r="CY211">
        <v>329998753.37447757</v>
      </c>
      <c r="CZ211">
        <v>4.4175159931182859E-2</v>
      </c>
      <c r="DA211">
        <v>3.0646674113428003</v>
      </c>
      <c r="DB211">
        <v>971190410.08625638</v>
      </c>
      <c r="DC211">
        <v>4.1966401934623712E-2</v>
      </c>
      <c r="DD211">
        <v>1.587944376386609</v>
      </c>
      <c r="DE211">
        <v>1874357593.54039</v>
      </c>
      <c r="DF211">
        <v>3.8874140739440913E-2</v>
      </c>
      <c r="DG211">
        <v>1.0089654088921378</v>
      </c>
      <c r="DH211">
        <v>2949928286.7071862</v>
      </c>
      <c r="DI211">
        <v>3.5340127944946287E-2</v>
      </c>
      <c r="DJ211">
        <v>0.58732603826987029</v>
      </c>
      <c r="DK211">
        <v>5067671797.3678293</v>
      </c>
      <c r="DL211">
        <v>3.0922611951827998E-2</v>
      </c>
      <c r="DM211">
        <v>335000000</v>
      </c>
      <c r="DN211">
        <v>4.4175159931182859E-2</v>
      </c>
      <c r="DO211">
        <v>2976375600</v>
      </c>
      <c r="DP211">
        <v>93571000</v>
      </c>
      <c r="DQ211">
        <v>4782</v>
      </c>
      <c r="DR211">
        <v>0.42641307536293477</v>
      </c>
      <c r="DS211">
        <v>-2.1795608497320624</v>
      </c>
      <c r="DT211" s="16">
        <v>-0.27333333333333337</v>
      </c>
      <c r="DU211">
        <v>-2.5816666666666666</v>
      </c>
      <c r="DV211">
        <v>-2.855</v>
      </c>
      <c r="DW211">
        <v>-8.1448919449901762</v>
      </c>
      <c r="DX211">
        <v>0.35870909090909064</v>
      </c>
      <c r="DY211">
        <v>-8.0186489105197349</v>
      </c>
      <c r="DZ211">
        <v>175</v>
      </c>
      <c r="EA211">
        <v>-8.0180102492005663</v>
      </c>
      <c r="EB211">
        <v>8</v>
      </c>
      <c r="EC211">
        <v>2.8785117293304394E-2</v>
      </c>
      <c r="ED211">
        <v>0.22364478755922329</v>
      </c>
      <c r="EE211" s="17">
        <v>-3.0017</v>
      </c>
      <c r="EF211">
        <v>-3.0276100000000001</v>
      </c>
      <c r="EG211">
        <v>23.128709090909091</v>
      </c>
      <c r="EH211" t="s">
        <v>2845</v>
      </c>
      <c r="EI211">
        <v>0</v>
      </c>
      <c r="EJ211">
        <v>1</v>
      </c>
      <c r="EK211" s="19">
        <v>45470</v>
      </c>
      <c r="EL211" s="20">
        <v>0.05</v>
      </c>
      <c r="EM211" s="20">
        <v>-4.5</v>
      </c>
      <c r="EN211">
        <v>1.27</v>
      </c>
      <c r="EO211">
        <v>1.62</v>
      </c>
      <c r="EP211">
        <v>-2.93</v>
      </c>
    </row>
    <row r="212" spans="1:146" ht="84" x14ac:dyDescent="0.25">
      <c r="A212" s="7"/>
      <c r="B212" s="7"/>
      <c r="C212" s="7" t="str">
        <f>""&amp;CHAR(10)&amp;Basic_Fundamental_Information_Constructure(F212)&amp;CHAR(10)&amp;Basic_Fundamental_Information_Concatenate("")</f>
        <v xml:space="preserve">
市值40.480274亿, 利润3163.86万; PE21.59; 平均PE54.66; 平均PEG6.68, PB3.05; ROIC5.8933%; ROE7.9867%; 股利率1.2253%; 毛利24.1667%; 净利5.4633%; 上一年度营收增-84%, 利润增-63.7%; 当季营收增1000.09%, 利润增1306.98%; 过往5年营收增-8.18%, 利润增-14.54%
Income profile:
</v>
      </c>
      <c r="D212" t="s">
        <v>1505</v>
      </c>
      <c r="E212" t="s">
        <v>1506</v>
      </c>
      <c r="F212">
        <v>25.3</v>
      </c>
      <c r="G212">
        <v>-0.2</v>
      </c>
      <c r="H212" t="s">
        <v>6897</v>
      </c>
      <c r="I212">
        <v>4048027400</v>
      </c>
      <c r="J212">
        <v>21.59</v>
      </c>
      <c r="K212">
        <v>3.05</v>
      </c>
      <c r="L212" t="s">
        <v>172</v>
      </c>
      <c r="M212" t="s">
        <v>6898</v>
      </c>
      <c r="N212" t="s">
        <v>4053</v>
      </c>
      <c r="O212" t="s">
        <v>2551</v>
      </c>
      <c r="P212">
        <v>31.98</v>
      </c>
      <c r="Q212" t="s">
        <v>313</v>
      </c>
      <c r="R212">
        <v>58475461</v>
      </c>
      <c r="S212" s="5">
        <v>0.95379999999999998</v>
      </c>
      <c r="T212" t="s">
        <v>6899</v>
      </c>
      <c r="U212">
        <v>160001080</v>
      </c>
      <c r="V212">
        <v>160001080</v>
      </c>
      <c r="W212">
        <v>2.12</v>
      </c>
      <c r="X212">
        <v>0.21</v>
      </c>
      <c r="Y212">
        <v>9.75</v>
      </c>
      <c r="Z212" t="s">
        <v>1918</v>
      </c>
      <c r="AA212" t="s">
        <v>1230</v>
      </c>
      <c r="AB212" t="s">
        <v>6900</v>
      </c>
      <c r="AC212" t="s">
        <v>6901</v>
      </c>
      <c r="AD212" t="s">
        <v>19</v>
      </c>
      <c r="AE212">
        <v>8925159</v>
      </c>
      <c r="AF212" t="s">
        <v>6902</v>
      </c>
      <c r="AG212" t="s">
        <v>6903</v>
      </c>
      <c r="AH212" t="s">
        <v>6904</v>
      </c>
      <c r="AI212" t="s">
        <v>164</v>
      </c>
      <c r="AJ212" t="s">
        <v>6905</v>
      </c>
      <c r="AK212" t="s">
        <v>6906</v>
      </c>
      <c r="AL212" t="s">
        <v>6907</v>
      </c>
      <c r="AM212" t="s">
        <v>19</v>
      </c>
      <c r="AN212" t="s">
        <v>813</v>
      </c>
      <c r="AO212" t="s">
        <v>109</v>
      </c>
      <c r="AP212" t="s">
        <v>19</v>
      </c>
      <c r="AQ212" t="s">
        <v>379</v>
      </c>
      <c r="AR212" t="s">
        <v>19</v>
      </c>
      <c r="AS212" t="s">
        <v>728</v>
      </c>
      <c r="AT212" t="s">
        <v>367</v>
      </c>
      <c r="AU212" t="s">
        <v>6908</v>
      </c>
      <c r="AV212" t="s">
        <v>6909</v>
      </c>
      <c r="AW212" t="s">
        <v>6910</v>
      </c>
      <c r="AX212" t="s">
        <v>427</v>
      </c>
      <c r="AY212" t="s">
        <v>1804</v>
      </c>
      <c r="AZ212" t="s">
        <v>809</v>
      </c>
      <c r="BA212" t="s">
        <v>762</v>
      </c>
      <c r="BB212" t="s">
        <v>1508</v>
      </c>
      <c r="BC212" t="s">
        <v>2392</v>
      </c>
      <c r="BD212" t="s">
        <v>1805</v>
      </c>
      <c r="BE212" t="s">
        <v>1507</v>
      </c>
      <c r="BF212" t="s">
        <v>1509</v>
      </c>
      <c r="BG212" t="s">
        <v>229</v>
      </c>
      <c r="BH212" t="s">
        <v>2759</v>
      </c>
      <c r="BI212" t="s">
        <v>6911</v>
      </c>
      <c r="BJ212" t="s">
        <v>427</v>
      </c>
      <c r="BK212" t="s">
        <v>86</v>
      </c>
      <c r="BL212" t="s">
        <v>6912</v>
      </c>
      <c r="BM212" t="s">
        <v>2392</v>
      </c>
      <c r="BN212">
        <v>5.39</v>
      </c>
      <c r="BO212">
        <v>6.37</v>
      </c>
      <c r="BP212">
        <v>5.92</v>
      </c>
      <c r="BQ212">
        <v>9.2200000000000006</v>
      </c>
      <c r="BR212">
        <v>8.11</v>
      </c>
      <c r="BS212">
        <v>6.63</v>
      </c>
      <c r="BT212" t="s">
        <v>2345</v>
      </c>
      <c r="BU212" t="s">
        <v>3146</v>
      </c>
      <c r="BV212">
        <v>25.48</v>
      </c>
      <c r="BW212">
        <v>20.29</v>
      </c>
      <c r="BX212">
        <v>26.73</v>
      </c>
      <c r="BY212">
        <v>6.83</v>
      </c>
      <c r="BZ212">
        <v>4.91</v>
      </c>
      <c r="CA212">
        <v>4.6500000000000004</v>
      </c>
      <c r="CB212">
        <v>-2.2000000000000002</v>
      </c>
      <c r="CC212">
        <v>-11.94</v>
      </c>
      <c r="CD212" t="s">
        <v>6913</v>
      </c>
      <c r="CE212" t="s">
        <v>6914</v>
      </c>
      <c r="CF212" s="14">
        <v>10.00087749474331</v>
      </c>
      <c r="CG212" s="15">
        <v>13.069791631577681</v>
      </c>
      <c r="CH212" s="14">
        <v>-0.84002268314361572</v>
      </c>
      <c r="CI212" s="14">
        <v>0.35867899656295776</v>
      </c>
      <c r="CJ212" s="14">
        <v>0.19669117033481598</v>
      </c>
      <c r="CK212" s="14">
        <v>-8.9539796113967896E-2</v>
      </c>
      <c r="CL212" s="14">
        <v>-3.473338857293129E-2</v>
      </c>
      <c r="CM212" s="15">
        <v>-0.63703089952468872</v>
      </c>
      <c r="CN212" s="15">
        <v>0.43682903051376343</v>
      </c>
      <c r="CO212" s="15">
        <v>-0.19674809277057648</v>
      </c>
      <c r="CP212" s="15">
        <v>-3.6407895386219025E-2</v>
      </c>
      <c r="CQ212" s="15">
        <v>-0.29388648271560669</v>
      </c>
      <c r="CR212">
        <v>54.65704533952151</v>
      </c>
      <c r="CS212">
        <v>6.6830044204669994</v>
      </c>
      <c r="CT212">
        <v>1.2252964426877471</v>
      </c>
      <c r="CU212" s="14">
        <v>-8.1785140186548227E-2</v>
      </c>
      <c r="CV212" s="15">
        <v>-0.14544886797666551</v>
      </c>
      <c r="CW212">
        <v>0.06</v>
      </c>
      <c r="CX212">
        <v>134.58330646741638</v>
      </c>
      <c r="CY212" t="s">
        <v>6915</v>
      </c>
      <c r="CZ212">
        <v>-8.1785140186548227E-2</v>
      </c>
      <c r="DA212">
        <v>44.861102155805462</v>
      </c>
      <c r="DB212" t="s">
        <v>6916</v>
      </c>
      <c r="DC212">
        <v>-7.7695883177220815E-2</v>
      </c>
      <c r="DD212">
        <v>22.430551077902731</v>
      </c>
      <c r="DE212" t="s">
        <v>6917</v>
      </c>
      <c r="DF212">
        <v>-7.1970923364162442E-2</v>
      </c>
      <c r="DG212">
        <v>13.458330646741638</v>
      </c>
      <c r="DH212" t="s">
        <v>6918</v>
      </c>
      <c r="DI212">
        <v>-6.542811214923859E-2</v>
      </c>
      <c r="DJ212">
        <v>6.7291653233708191</v>
      </c>
      <c r="DK212" t="s">
        <v>6919</v>
      </c>
      <c r="DL212">
        <v>-5.7249598130583758E-2</v>
      </c>
      <c r="DM212">
        <v>31638600</v>
      </c>
      <c r="DN212">
        <v>-8.1785140186548227E-2</v>
      </c>
      <c r="DO212">
        <v>4258027400</v>
      </c>
      <c r="DP212">
        <v>783926899.99999988</v>
      </c>
      <c r="DQ212">
        <v>4956</v>
      </c>
      <c r="DR212">
        <v>10.082662634929859</v>
      </c>
      <c r="DS212">
        <v>13.215240499554346</v>
      </c>
      <c r="DT212" s="16">
        <v>-0.49</v>
      </c>
      <c r="DU212">
        <v>-0.41666666666666669</v>
      </c>
      <c r="DV212">
        <v>-0.90666666666666673</v>
      </c>
      <c r="DW212">
        <v>-2.1194000000000002</v>
      </c>
      <c r="DX212">
        <v>0.36334741717057595</v>
      </c>
      <c r="DY212">
        <v>-2.0159216816101666</v>
      </c>
      <c r="DZ212">
        <v>99</v>
      </c>
      <c r="EA212">
        <v>-2.0156132185026507</v>
      </c>
      <c r="EB212">
        <v>2</v>
      </c>
      <c r="EC212">
        <v>3.0376669957477787E-2</v>
      </c>
      <c r="ED212">
        <v>0.22780096234350419</v>
      </c>
      <c r="EE212" s="17">
        <v>9.0545100000000005</v>
      </c>
      <c r="EF212">
        <v>9.0717099999999995</v>
      </c>
      <c r="EG212">
        <v>23.133347417170576</v>
      </c>
      <c r="EH212" t="s">
        <v>2891</v>
      </c>
      <c r="EI212">
        <v>0</v>
      </c>
      <c r="EJ212">
        <v>1</v>
      </c>
      <c r="EK212" s="19">
        <v>45470</v>
      </c>
      <c r="EL212" s="20">
        <v>-3.35</v>
      </c>
      <c r="EM212" s="20">
        <v>-6.09</v>
      </c>
      <c r="EN212">
        <v>-7.44</v>
      </c>
      <c r="EO212">
        <v>3.87</v>
      </c>
      <c r="EP212">
        <v>-1.72</v>
      </c>
    </row>
    <row r="213" spans="1:146" ht="84" x14ac:dyDescent="0.25">
      <c r="C213" s="7" t="str">
        <f>""&amp;CHAR(10)&amp;Basic_Fundamental_Information_Constructure(F213)&amp;CHAR(10)&amp;Basic_Fundamental_Information_Concatenate("")</f>
        <v xml:space="preserve">
市值105.954913亿, 利润5423.18万; PE20.05; 平均PE119.4; 平均PEG3.01, PB3.03; ROIC15.1467%; ROE26.005%; 股利率2.3838%; 毛利20.4967%; 净利6.9867%; 上一年度营收增-94.1%, 利润增-81.62%; 当季营收增2759.31%, 利润增516.88%; 过往5年营收增39.7%, 利润增267.82%
Income profile:
</v>
      </c>
      <c r="D213" t="s">
        <v>2501</v>
      </c>
      <c r="E213" t="s">
        <v>2502</v>
      </c>
      <c r="F213">
        <v>25.17</v>
      </c>
      <c r="G213">
        <v>0.56000000000000005</v>
      </c>
      <c r="H213" t="s">
        <v>6920</v>
      </c>
      <c r="I213">
        <v>10595491300</v>
      </c>
      <c r="J213">
        <v>20.05</v>
      </c>
      <c r="K213">
        <v>3.03</v>
      </c>
      <c r="L213" t="s">
        <v>172</v>
      </c>
      <c r="M213" t="s">
        <v>6921</v>
      </c>
      <c r="N213" t="s">
        <v>6922</v>
      </c>
      <c r="O213" t="s">
        <v>1969</v>
      </c>
      <c r="P213" s="5">
        <v>30.99</v>
      </c>
      <c r="Q213" t="s">
        <v>337</v>
      </c>
      <c r="R213">
        <v>114203273</v>
      </c>
      <c r="S213">
        <v>0.2954</v>
      </c>
      <c r="T213" t="s">
        <v>6923</v>
      </c>
      <c r="U213">
        <v>33680000</v>
      </c>
      <c r="V213">
        <v>420957140</v>
      </c>
      <c r="W213">
        <v>2.06</v>
      </c>
      <c r="X213">
        <v>0.19</v>
      </c>
      <c r="Y213">
        <v>8.4499999999999993</v>
      </c>
      <c r="Z213" t="s">
        <v>6924</v>
      </c>
      <c r="AA213" t="s">
        <v>6925</v>
      </c>
      <c r="AB213" t="s">
        <v>6926</v>
      </c>
      <c r="AC213" t="s">
        <v>6927</v>
      </c>
      <c r="AD213" t="s">
        <v>19</v>
      </c>
      <c r="AE213">
        <v>5420864</v>
      </c>
      <c r="AF213" t="s">
        <v>6928</v>
      </c>
      <c r="AG213" t="s">
        <v>6929</v>
      </c>
      <c r="AH213" t="s">
        <v>6930</v>
      </c>
      <c r="AI213" t="s">
        <v>83</v>
      </c>
      <c r="AJ213" t="s">
        <v>6931</v>
      </c>
      <c r="AK213" t="s">
        <v>120</v>
      </c>
      <c r="AL213" t="s">
        <v>6932</v>
      </c>
      <c r="AM213" t="s">
        <v>19</v>
      </c>
      <c r="AN213" t="s">
        <v>103</v>
      </c>
      <c r="AO213" t="s">
        <v>741</v>
      </c>
      <c r="AP213" t="s">
        <v>301</v>
      </c>
      <c r="AQ213" t="s">
        <v>2736</v>
      </c>
      <c r="AR213" t="s">
        <v>19</v>
      </c>
      <c r="AS213" t="s">
        <v>6933</v>
      </c>
      <c r="AT213" t="s">
        <v>559</v>
      </c>
      <c r="AU213" t="s">
        <v>2063</v>
      </c>
      <c r="AV213" t="s">
        <v>6934</v>
      </c>
      <c r="AW213" t="s">
        <v>6935</v>
      </c>
      <c r="AX213" t="s">
        <v>2503</v>
      </c>
      <c r="AY213" t="s">
        <v>2593</v>
      </c>
      <c r="AZ213" t="s">
        <v>2241</v>
      </c>
      <c r="BA213" t="s">
        <v>2059</v>
      </c>
      <c r="BB213" t="s">
        <v>726</v>
      </c>
      <c r="BC213" t="s">
        <v>289</v>
      </c>
      <c r="BD213" t="s">
        <v>2831</v>
      </c>
      <c r="BE213" t="s">
        <v>2832</v>
      </c>
      <c r="BF213" t="s">
        <v>2833</v>
      </c>
      <c r="BG213" t="s">
        <v>2834</v>
      </c>
      <c r="BH213" t="s">
        <v>6936</v>
      </c>
      <c r="BI213" t="s">
        <v>6937</v>
      </c>
      <c r="BJ213" t="s">
        <v>2503</v>
      </c>
      <c r="BK213" t="s">
        <v>2000</v>
      </c>
      <c r="BL213" t="s">
        <v>6938</v>
      </c>
      <c r="BM213" t="s">
        <v>289</v>
      </c>
      <c r="BN213">
        <v>11.7</v>
      </c>
      <c r="BO213">
        <v>24.17</v>
      </c>
      <c r="BP213">
        <v>9.57</v>
      </c>
      <c r="BQ213">
        <v>18.54</v>
      </c>
      <c r="BR213">
        <v>33.47</v>
      </c>
      <c r="BS213" t="s">
        <v>19</v>
      </c>
      <c r="BT213" t="s">
        <v>4028</v>
      </c>
      <c r="BU213" t="s">
        <v>3146</v>
      </c>
      <c r="BV213">
        <v>19.84</v>
      </c>
      <c r="BW213">
        <v>19.760000000000002</v>
      </c>
      <c r="BX213">
        <v>21.89</v>
      </c>
      <c r="BY213">
        <v>9.08</v>
      </c>
      <c r="BZ213">
        <v>7.67</v>
      </c>
      <c r="CA213">
        <v>4.21</v>
      </c>
      <c r="CB213">
        <v>-5.27</v>
      </c>
      <c r="CC213" s="14">
        <v>-13.27</v>
      </c>
      <c r="CD213" s="15" t="s">
        <v>6939</v>
      </c>
      <c r="CE213" s="14" t="s">
        <v>6940</v>
      </c>
      <c r="CF213" s="14">
        <v>27.593062365087597</v>
      </c>
      <c r="CG213" s="14">
        <v>5.1687817275334762</v>
      </c>
      <c r="CH213" s="14">
        <v>-0.94103837013244629</v>
      </c>
      <c r="CI213" s="14">
        <v>1.2613568305969238</v>
      </c>
      <c r="CJ213" s="15">
        <v>1.5799087285995483</v>
      </c>
      <c r="CK213" s="15">
        <v>-9.8765432834625244E-2</v>
      </c>
      <c r="CL213" s="15">
        <v>0.18344156444072723</v>
      </c>
      <c r="CM213" s="15">
        <v>-0.81616336107254028</v>
      </c>
      <c r="CN213" s="15">
        <v>2.9310741424560547</v>
      </c>
      <c r="CO213">
        <v>12.616472244262695</v>
      </c>
      <c r="CP213">
        <v>-0.83856111764907837</v>
      </c>
      <c r="CQ213">
        <v>-0.50179940462112427</v>
      </c>
      <c r="CR213" s="14">
        <v>119.39776845269206</v>
      </c>
      <c r="CS213" s="15">
        <v>3.0076469521039924</v>
      </c>
      <c r="CT213">
        <v>2.3837902264600714</v>
      </c>
      <c r="CU213">
        <v>0.39698066413402555</v>
      </c>
      <c r="CV213">
        <v>2.6782045006752013</v>
      </c>
      <c r="CW213">
        <v>0.06</v>
      </c>
      <c r="CX213">
        <v>152.77906843080308</v>
      </c>
      <c r="CY213">
        <v>71472430.170927972</v>
      </c>
      <c r="CZ213">
        <v>0.39698066413402555</v>
      </c>
      <c r="DA213">
        <v>38.871111063175817</v>
      </c>
      <c r="DB213">
        <v>280915337.92931581</v>
      </c>
      <c r="DC213">
        <v>0.37713163092732427</v>
      </c>
      <c r="DD213">
        <v>13.264436682892201</v>
      </c>
      <c r="DE213">
        <v>823215607.34527135</v>
      </c>
      <c r="DF213">
        <v>0.34934298443794248</v>
      </c>
      <c r="DG213">
        <v>5.0433639684900298</v>
      </c>
      <c r="DH213">
        <v>2165120615.5698628</v>
      </c>
      <c r="DI213">
        <v>0.31758453130722047</v>
      </c>
      <c r="DJ213">
        <v>0.83639616531705019</v>
      </c>
      <c r="DK213">
        <v>13055405742.876381</v>
      </c>
      <c r="DL213">
        <v>0.27788646489381785</v>
      </c>
      <c r="DM213">
        <v>54231800</v>
      </c>
      <c r="DN213">
        <v>0.39698066413402555</v>
      </c>
      <c r="DO213">
        <v>10919491300</v>
      </c>
      <c r="DP213">
        <v>2449194100</v>
      </c>
      <c r="DQ213" s="16">
        <v>5016</v>
      </c>
      <c r="DR213">
        <v>27.19608170095357</v>
      </c>
      <c r="DS213">
        <v>2.4905772268582749</v>
      </c>
      <c r="DT213">
        <v>-0.10666666666666669</v>
      </c>
      <c r="DU213">
        <v>0.61333333333333329</v>
      </c>
      <c r="DV213">
        <v>0.5066666666666666</v>
      </c>
      <c r="DW213">
        <v>-8.3971363978899767</v>
      </c>
      <c r="DX213">
        <v>0.32289651699905786</v>
      </c>
      <c r="DY213">
        <v>-8.0448353160953303</v>
      </c>
      <c r="DZ213">
        <v>2904</v>
      </c>
      <c r="EA213">
        <v>-8.0193555200208024</v>
      </c>
      <c r="EB213" s="17">
        <v>8</v>
      </c>
      <c r="EC213" s="17">
        <v>6.1253266781506541E-3</v>
      </c>
      <c r="ED213">
        <v>5.4256117380501019E-2</v>
      </c>
      <c r="EE213">
        <v>-3.01261</v>
      </c>
      <c r="EF213">
        <v>-3.0275099999999999</v>
      </c>
      <c r="EG213">
        <v>21.112896516999058</v>
      </c>
      <c r="EH213" s="19" t="s">
        <v>2845</v>
      </c>
      <c r="EI213">
        <v>0</v>
      </c>
      <c r="EJ213">
        <v>0</v>
      </c>
      <c r="EK213">
        <v>45470</v>
      </c>
      <c r="EL213">
        <v>-0.8</v>
      </c>
      <c r="EM213">
        <v>-4.25</v>
      </c>
      <c r="EN213">
        <v>0.42</v>
      </c>
      <c r="EO213">
        <v>6.18</v>
      </c>
      <c r="EP213">
        <v>-1.49</v>
      </c>
    </row>
    <row r="214" spans="1:146" ht="144" x14ac:dyDescent="0.25">
      <c r="A214" s="7"/>
      <c r="B214" s="7"/>
      <c r="C214" s="7" t="str">
        <f>"公司为汽车动力电子控制系统提供商，主营业务包括汽车发动机管理系统、纯电动汽车动力电子控制系统、混合动力汽车动力电子控制系统以及智能网联产品的研发、生产、销售和技术服务。公司提供发动机管理系统、纯电动汽车动力电子控制系统以及混合动力汽车动力电子控制系统三大系列产品以及相关的设计开发及标定服务。"&amp;CHAR(10)&amp;Basic_Fundamental_Information_Constructure(F214)&amp;CHAR(10)&amp;Basic_Fundamental_Information_Concatenate("产品销售收入 8.01亿 95.91% 90.12% 29.13%
技术开发收入 3412.12万 4.09% 9.88% 74.93%")</f>
        <v>公司为汽车动力电子控制系统提供商，主营业务包括汽车发动机管理系统、纯电动汽车动力电子控制系统、混合动力汽车动力电子控制系统以及智能网联产品的研发、生产、销售和技术服务。公司提供发动机管理系统、纯电动汽车动力电子控制系统以及混合动力汽车动力电子控制系统三大系列产品以及相关的设计开发及标定服务。
市值19.755969亿, 利润6657.04万; PE55.02; 平均PE22.29; 平均PEG.75, PB1.23; ROIC7.09%; ROE6.49%; 股利率.7474%; 毛利31.0333%; 净利10.2533%; 上一年度营收增-4.07%, 利润增-.68%; 当季营收增58.02%, 利润增-98.86%; 过往5年营收增29.64%, 利润增59.72%
Income profile:
产品销售收入 8.01亿 95.91% 90.12% 29.13%
技术开发收入 3412.12万 4.09% 9.88% 74.93%</v>
      </c>
      <c r="D214" t="s">
        <v>1510</v>
      </c>
      <c r="E214" t="s">
        <v>1511</v>
      </c>
      <c r="F214">
        <v>38.130000000000003</v>
      </c>
      <c r="G214">
        <v>0</v>
      </c>
      <c r="H214" t="s">
        <v>6941</v>
      </c>
      <c r="I214">
        <v>1975596900</v>
      </c>
      <c r="J214">
        <v>55.02</v>
      </c>
      <c r="K214">
        <v>1.23</v>
      </c>
      <c r="L214" t="s">
        <v>172</v>
      </c>
      <c r="M214" t="s">
        <v>2000</v>
      </c>
      <c r="N214" t="s">
        <v>4508</v>
      </c>
      <c r="O214" t="s">
        <v>475</v>
      </c>
      <c r="P214">
        <v>10.39</v>
      </c>
      <c r="Q214" t="s">
        <v>2893</v>
      </c>
      <c r="R214">
        <v>378174</v>
      </c>
      <c r="S214" s="5">
        <v>-0.97219999999999995</v>
      </c>
      <c r="T214" t="s">
        <v>6942</v>
      </c>
      <c r="U214">
        <v>51812140</v>
      </c>
      <c r="V214">
        <v>51812140</v>
      </c>
      <c r="W214">
        <v>1.27</v>
      </c>
      <c r="X214">
        <v>0.12</v>
      </c>
      <c r="Y214">
        <v>0.15</v>
      </c>
      <c r="Z214" t="s">
        <v>61</v>
      </c>
      <c r="AA214" t="s">
        <v>245</v>
      </c>
      <c r="AB214" t="s">
        <v>6943</v>
      </c>
      <c r="AC214" t="s">
        <v>6944</v>
      </c>
      <c r="AD214" t="s">
        <v>19</v>
      </c>
      <c r="AE214">
        <v>-844770</v>
      </c>
      <c r="AF214" t="s">
        <v>6945</v>
      </c>
      <c r="AG214" t="s">
        <v>6946</v>
      </c>
      <c r="AH214" t="s">
        <v>6947</v>
      </c>
      <c r="AI214" t="s">
        <v>322</v>
      </c>
      <c r="AJ214" t="s">
        <v>6948</v>
      </c>
      <c r="AK214" t="s">
        <v>720</v>
      </c>
      <c r="AL214" t="s">
        <v>6949</v>
      </c>
      <c r="AM214" t="s">
        <v>19</v>
      </c>
      <c r="AN214" t="s">
        <v>6950</v>
      </c>
      <c r="AO214" t="s">
        <v>19</v>
      </c>
      <c r="AP214" t="s">
        <v>6951</v>
      </c>
      <c r="AQ214" t="s">
        <v>524</v>
      </c>
      <c r="AR214" t="s">
        <v>19</v>
      </c>
      <c r="AS214" t="s">
        <v>819</v>
      </c>
      <c r="AT214" t="s">
        <v>19</v>
      </c>
      <c r="AU214" t="s">
        <v>6952</v>
      </c>
      <c r="AV214" t="s">
        <v>6953</v>
      </c>
      <c r="AW214" t="s">
        <v>6954</v>
      </c>
      <c r="AX214" t="s">
        <v>2060</v>
      </c>
      <c r="AY214" t="s">
        <v>985</v>
      </c>
      <c r="AZ214" t="s">
        <v>1512</v>
      </c>
      <c r="BA214" t="s">
        <v>110</v>
      </c>
      <c r="BB214" t="s">
        <v>1404</v>
      </c>
      <c r="BC214" t="s">
        <v>2394</v>
      </c>
      <c r="BD214" t="s">
        <v>347</v>
      </c>
      <c r="BE214" t="s">
        <v>201</v>
      </c>
      <c r="BF214" t="s">
        <v>1513</v>
      </c>
      <c r="BG214" t="s">
        <v>1514</v>
      </c>
      <c r="BH214" t="s">
        <v>701</v>
      </c>
      <c r="BI214" t="s">
        <v>52</v>
      </c>
      <c r="BJ214" t="s">
        <v>2060</v>
      </c>
      <c r="BK214" t="s">
        <v>6955</v>
      </c>
      <c r="BL214" t="s">
        <v>6956</v>
      </c>
      <c r="BM214" t="s">
        <v>2394</v>
      </c>
      <c r="BN214">
        <v>2.5499999999999998</v>
      </c>
      <c r="BO214">
        <v>4.3899999999999997</v>
      </c>
      <c r="BP214">
        <v>14.33</v>
      </c>
      <c r="BQ214">
        <v>2.7</v>
      </c>
      <c r="BR214">
        <v>4.59</v>
      </c>
      <c r="BS214">
        <v>12.18</v>
      </c>
      <c r="BT214" t="s">
        <v>6957</v>
      </c>
      <c r="BU214" t="s">
        <v>3146</v>
      </c>
      <c r="BV214">
        <v>26.27</v>
      </c>
      <c r="BW214">
        <v>35.83</v>
      </c>
      <c r="BX214">
        <v>31</v>
      </c>
      <c r="BY214">
        <v>4.87</v>
      </c>
      <c r="BZ214">
        <v>9.41</v>
      </c>
      <c r="CA214">
        <v>16.48</v>
      </c>
      <c r="CB214">
        <v>-6.54</v>
      </c>
      <c r="CC214">
        <v>-20.27</v>
      </c>
      <c r="CD214" t="s">
        <v>6958</v>
      </c>
      <c r="CE214" t="s">
        <v>6959</v>
      </c>
      <c r="CF214" s="14">
        <v>0.58024691358024694</v>
      </c>
      <c r="CG214" s="15">
        <v>-0.98861528642862084</v>
      </c>
      <c r="CH214" s="14">
        <v>-4.0730338543653488E-2</v>
      </c>
      <c r="CI214" s="14">
        <v>-0.14730538427829742</v>
      </c>
      <c r="CJ214" s="14">
        <v>9.5800526440143585E-2</v>
      </c>
      <c r="CK214" s="14">
        <v>0.42164179682731628</v>
      </c>
      <c r="CL214" s="14">
        <v>1.1526104211807251</v>
      </c>
      <c r="CM214" s="15">
        <v>-6.8388511426746845E-3</v>
      </c>
      <c r="CN214" s="15">
        <v>-0.51428407430648804</v>
      </c>
      <c r="CO214" s="15">
        <v>-0.12101911008358002</v>
      </c>
      <c r="CP214" s="15">
        <v>0.93438601493835449</v>
      </c>
      <c r="CQ214" s="15">
        <v>2.6936798095703125</v>
      </c>
      <c r="CR214">
        <v>22.292259701396542</v>
      </c>
      <c r="CS214">
        <v>0.75209189152682587</v>
      </c>
      <c r="CT214">
        <v>0.74744295830055074</v>
      </c>
      <c r="CU214" s="14">
        <v>0.29640340432524681</v>
      </c>
      <c r="CV214" s="15">
        <v>0.59718475779518487</v>
      </c>
      <c r="CW214">
        <v>0.06</v>
      </c>
      <c r="CX214">
        <v>10.70533378599476</v>
      </c>
      <c r="CY214">
        <v>81417069.044616416</v>
      </c>
      <c r="CZ214">
        <v>0.29640340432524681</v>
      </c>
      <c r="DA214">
        <v>2.9500570895887916</v>
      </c>
      <c r="DB214">
        <v>295450858.58711028</v>
      </c>
      <c r="DC214">
        <v>0.28158323410898445</v>
      </c>
      <c r="DD214">
        <v>1.1383022150832816</v>
      </c>
      <c r="DE214">
        <v>765699028.29911613</v>
      </c>
      <c r="DF214">
        <v>0.26083499580621722</v>
      </c>
      <c r="DG214">
        <v>0.50816107002720601</v>
      </c>
      <c r="DH214">
        <v>1715198096.448704</v>
      </c>
      <c r="DI214">
        <v>0.23712272346019747</v>
      </c>
      <c r="DJ214">
        <v>0.12756331194611051</v>
      </c>
      <c r="DK214">
        <v>6832661262.1049614</v>
      </c>
      <c r="DL214">
        <v>0.20748238302767275</v>
      </c>
      <c r="DM214">
        <v>66570400</v>
      </c>
      <c r="DN214">
        <v>0.29640340432524681</v>
      </c>
      <c r="DO214">
        <v>871596900.00000024</v>
      </c>
      <c r="DP214">
        <v>1191995200</v>
      </c>
      <c r="DQ214">
        <v>5052</v>
      </c>
      <c r="DR214">
        <v>0.28384350925500013</v>
      </c>
      <c r="DS214">
        <v>-1.5858000442238058</v>
      </c>
      <c r="DT214" s="16">
        <v>-0.12333333333333336</v>
      </c>
      <c r="DU214">
        <v>0.15166666666666662</v>
      </c>
      <c r="DV214">
        <v>2.8333333333333252E-2</v>
      </c>
      <c r="DW214">
        <v>-9.3226443019240257</v>
      </c>
      <c r="DX214">
        <v>0.35641350251746856</v>
      </c>
      <c r="DY214">
        <v>-9.0182014951388378</v>
      </c>
      <c r="DZ214">
        <v>2355</v>
      </c>
      <c r="EA214">
        <v>-9.0098131348546957</v>
      </c>
      <c r="EB214">
        <v>9</v>
      </c>
      <c r="EC214">
        <v>2.2533329061490224E-2</v>
      </c>
      <c r="ED214">
        <v>0.39943148459029099</v>
      </c>
      <c r="EE214" s="17">
        <v>1.09531</v>
      </c>
      <c r="EF214">
        <v>1.1426099999999999</v>
      </c>
      <c r="EG214">
        <v>30.056413502517469</v>
      </c>
      <c r="EH214" t="s">
        <v>1840</v>
      </c>
      <c r="EI214">
        <v>0</v>
      </c>
      <c r="EJ214">
        <v>0</v>
      </c>
      <c r="EK214" s="19">
        <v>45470</v>
      </c>
      <c r="EL214" s="20">
        <v>-1.1599999999999999</v>
      </c>
      <c r="EM214" s="20">
        <v>-7.02</v>
      </c>
      <c r="EN214">
        <v>-4.42</v>
      </c>
      <c r="EO214">
        <v>4.33</v>
      </c>
      <c r="EP214">
        <v>-4.7300000000000004</v>
      </c>
    </row>
    <row r="215" spans="1:146" ht="84" x14ac:dyDescent="0.25">
      <c r="A215" s="7"/>
      <c r="B215" s="7"/>
      <c r="C215" s="7" t="str">
        <f>""&amp;CHAR(10)&amp;Basic_Fundamental_Information_Constructure(F215)&amp;CHAR(10)&amp;Basic_Fundamental_Information_Concatenate("")</f>
        <v xml:space="preserve">
市值18.84206亿, 利润4.66亿; PE37.21; 平均PE17.82; 平均PEG.17, PB.994; ROIC11.125%; ROE-.4967%; 股利率0%; 毛利10.8767%; 净利-5.2567%; 上一年度营收增291.5%, 利润增633.96%; 当季营收增5.93%, 利润增-88.58%; 过往5年营收增105.95%, 利润增-.38%
Income profile:
</v>
      </c>
      <c r="D215" t="s">
        <v>1515</v>
      </c>
      <c r="E215" t="s">
        <v>1516</v>
      </c>
      <c r="F215">
        <v>15.67</v>
      </c>
      <c r="G215">
        <v>0.64</v>
      </c>
      <c r="H215" t="s">
        <v>6960</v>
      </c>
      <c r="I215">
        <v>1884206000</v>
      </c>
      <c r="J215">
        <v>37.21</v>
      </c>
      <c r="K215">
        <v>0.99399999999999999</v>
      </c>
      <c r="L215" t="s">
        <v>172</v>
      </c>
      <c r="M215" t="s">
        <v>2577</v>
      </c>
      <c r="N215" t="s">
        <v>6961</v>
      </c>
      <c r="O215" t="s">
        <v>1407</v>
      </c>
      <c r="P215">
        <v>41.24</v>
      </c>
      <c r="Q215" t="s">
        <v>6962</v>
      </c>
      <c r="R215">
        <v>14506177</v>
      </c>
      <c r="S215" s="5">
        <v>1.345</v>
      </c>
      <c r="T215" t="s">
        <v>428</v>
      </c>
      <c r="U215">
        <v>71146929</v>
      </c>
      <c r="V215">
        <v>120242886</v>
      </c>
      <c r="W215">
        <v>1.37</v>
      </c>
      <c r="X215">
        <v>0.14000000000000001</v>
      </c>
      <c r="Y215">
        <v>4</v>
      </c>
      <c r="Z215" t="s">
        <v>681</v>
      </c>
      <c r="AA215" t="s">
        <v>120</v>
      </c>
      <c r="AB215" t="s">
        <v>6963</v>
      </c>
      <c r="AC215" t="s">
        <v>6964</v>
      </c>
      <c r="AD215" t="s">
        <v>19</v>
      </c>
      <c r="AE215">
        <v>3049936</v>
      </c>
      <c r="AF215" t="s">
        <v>6965</v>
      </c>
      <c r="AG215" t="s">
        <v>6966</v>
      </c>
      <c r="AH215" t="s">
        <v>6967</v>
      </c>
      <c r="AI215" t="s">
        <v>23</v>
      </c>
      <c r="AJ215" t="s">
        <v>6968</v>
      </c>
      <c r="AK215" t="s">
        <v>242</v>
      </c>
      <c r="AL215" t="s">
        <v>6969</v>
      </c>
      <c r="AM215" t="s">
        <v>19</v>
      </c>
      <c r="AN215" t="s">
        <v>6970</v>
      </c>
      <c r="AO215" t="s">
        <v>558</v>
      </c>
      <c r="AP215" t="s">
        <v>6971</v>
      </c>
      <c r="AQ215" t="s">
        <v>424</v>
      </c>
      <c r="AR215" t="s">
        <v>19</v>
      </c>
      <c r="AS215" t="s">
        <v>522</v>
      </c>
      <c r="AT215" t="s">
        <v>19</v>
      </c>
      <c r="AU215" t="s">
        <v>6972</v>
      </c>
      <c r="AV215" t="s">
        <v>6973</v>
      </c>
      <c r="AW215" t="s">
        <v>6974</v>
      </c>
      <c r="AX215" t="s">
        <v>130</v>
      </c>
      <c r="AY215" t="s">
        <v>117</v>
      </c>
      <c r="AZ215" t="s">
        <v>1517</v>
      </c>
      <c r="BA215" t="s">
        <v>142</v>
      </c>
      <c r="BB215" t="s">
        <v>397</v>
      </c>
      <c r="BC215" t="s">
        <v>2395</v>
      </c>
      <c r="BD215" t="s">
        <v>1806</v>
      </c>
      <c r="BE215" t="s">
        <v>930</v>
      </c>
      <c r="BF215" t="s">
        <v>1518</v>
      </c>
      <c r="BG215" t="s">
        <v>1519</v>
      </c>
      <c r="BH215" t="s">
        <v>2787</v>
      </c>
      <c r="BI215" t="s">
        <v>444</v>
      </c>
      <c r="BJ215" t="s">
        <v>130</v>
      </c>
      <c r="BK215" t="s">
        <v>6975</v>
      </c>
      <c r="BL215" t="s">
        <v>620</v>
      </c>
      <c r="BM215" t="s">
        <v>2395</v>
      </c>
      <c r="BN215">
        <v>1.57</v>
      </c>
      <c r="BO215" t="s">
        <v>19</v>
      </c>
      <c r="BP215">
        <v>20.68</v>
      </c>
      <c r="BQ215">
        <v>1.75</v>
      </c>
      <c r="BR215">
        <v>-4.54</v>
      </c>
      <c r="BS215">
        <v>1.3</v>
      </c>
      <c r="BT215" t="s">
        <v>1983</v>
      </c>
      <c r="BU215" t="s">
        <v>3125</v>
      </c>
      <c r="BV215">
        <v>11.91</v>
      </c>
      <c r="BW215">
        <v>5.58</v>
      </c>
      <c r="BX215">
        <v>15.14</v>
      </c>
      <c r="BY215">
        <v>2.86</v>
      </c>
      <c r="BZ215">
        <v>-19.72</v>
      </c>
      <c r="CA215">
        <v>1.0900000000000001</v>
      </c>
      <c r="CB215">
        <v>-3.27</v>
      </c>
      <c r="CC215">
        <v>-16.91</v>
      </c>
      <c r="CD215" t="s">
        <v>6976</v>
      </c>
      <c r="CE215" t="s">
        <v>6977</v>
      </c>
      <c r="CF215" s="14">
        <v>5.9322033898305086E-2</v>
      </c>
      <c r="CG215" s="15">
        <v>-0.88577813385826776</v>
      </c>
      <c r="CH215" s="14">
        <v>2.9149889945983887</v>
      </c>
      <c r="CI215" s="14">
        <v>-0.53534305095672607</v>
      </c>
      <c r="CJ215" s="14">
        <v>-0.62669771909713745</v>
      </c>
      <c r="CK215" s="14">
        <v>1.5744255781173706</v>
      </c>
      <c r="CL215" s="14">
        <v>1.9703264236450195</v>
      </c>
      <c r="CM215" s="15">
        <v>6.3395848274230957</v>
      </c>
      <c r="CN215" s="15">
        <v>-9.3841896057128906</v>
      </c>
      <c r="CO215" s="15">
        <v>-0.9522513747215271</v>
      </c>
      <c r="CP215" s="15">
        <v>1.518667459487915</v>
      </c>
      <c r="CQ215" s="15">
        <v>2.4593515396118164</v>
      </c>
      <c r="CR215">
        <v>17.820907168489576</v>
      </c>
      <c r="CS215">
        <v>0.16819474873262813</v>
      </c>
      <c r="CT215">
        <v>0</v>
      </c>
      <c r="CU215" s="14">
        <v>1.059540045261383</v>
      </c>
      <c r="CV215" s="15">
        <v>-3.7674307823181152E-3</v>
      </c>
      <c r="CW215">
        <v>0.06</v>
      </c>
      <c r="CX215">
        <v>0.80979616945166588</v>
      </c>
      <c r="CY215">
        <v>905420434.99226844</v>
      </c>
      <c r="CZ215">
        <v>1.059540045261383</v>
      </c>
      <c r="DA215">
        <v>0.12833979281431537</v>
      </c>
      <c r="DB215">
        <v>5713005950.2341366</v>
      </c>
      <c r="DC215">
        <v>1.0065630429983139</v>
      </c>
      <c r="DD215">
        <v>1.9893565167521846E-2</v>
      </c>
      <c r="DE215">
        <v>36856440453.269241</v>
      </c>
      <c r="DF215">
        <v>0.93239523983001704</v>
      </c>
      <c r="DG215">
        <v>2.6009538299946412E-3</v>
      </c>
      <c r="DH215">
        <v>281898890916.30304</v>
      </c>
      <c r="DI215">
        <v>0.84763203620910643</v>
      </c>
      <c r="DJ215">
        <v>2.9938666787559558E-5</v>
      </c>
      <c r="DK215">
        <v>24490268895496.367</v>
      </c>
      <c r="DL215">
        <v>0.74167803168296809</v>
      </c>
      <c r="DM215">
        <v>466000000</v>
      </c>
      <c r="DN215">
        <v>1.059540045261383</v>
      </c>
      <c r="DO215">
        <v>733206000</v>
      </c>
      <c r="DP215">
        <v>1195826600</v>
      </c>
      <c r="DQ215">
        <v>5092</v>
      </c>
      <c r="DR215">
        <v>-1.0002180113630779</v>
      </c>
      <c r="DS215">
        <v>-0.88201070307594964</v>
      </c>
      <c r="DT215" s="16">
        <v>0.15833333333333321</v>
      </c>
      <c r="DU215">
        <v>-0.46500000000000014</v>
      </c>
      <c r="DV215">
        <v>-0.30666666666666692</v>
      </c>
      <c r="DW215">
        <v>-8.19337670017741</v>
      </c>
      <c r="DX215">
        <v>0.30245889377162005</v>
      </c>
      <c r="DY215">
        <v>-8.025614463786706</v>
      </c>
      <c r="DZ215">
        <v>3104</v>
      </c>
      <c r="EA215">
        <v>-8.0100553061362287</v>
      </c>
      <c r="EB215">
        <v>8</v>
      </c>
      <c r="EC215">
        <v>4.1236535190946763E-2</v>
      </c>
      <c r="ED215">
        <v>0.31131571476087161</v>
      </c>
      <c r="EE215" s="17">
        <v>1.02121</v>
      </c>
      <c r="EF215">
        <v>1.04531</v>
      </c>
      <c r="EG215">
        <v>17.13245889377162</v>
      </c>
      <c r="EH215" t="s">
        <v>1840</v>
      </c>
      <c r="EI215">
        <v>0</v>
      </c>
      <c r="EJ215">
        <v>0</v>
      </c>
      <c r="EK215" s="19">
        <v>45470</v>
      </c>
      <c r="EL215" s="20">
        <v>0.44</v>
      </c>
      <c r="EM215" s="20">
        <v>-4</v>
      </c>
      <c r="EN215">
        <v>-0.08</v>
      </c>
      <c r="EO215">
        <v>2.73</v>
      </c>
      <c r="EP215">
        <v>-2.41</v>
      </c>
    </row>
  </sheetData>
  <autoFilter ref="BU1:BU215"/>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汽车零部件&quot;,&quot;&quot;'" altText="更新基本面按钮_x000a_">
                <anchor moveWithCells="1" sizeWithCells="1">
                  <from>
                    <xdr:col>147</xdr:col>
                    <xdr:colOff>196850</xdr:colOff>
                    <xdr:row>0</xdr:row>
                    <xdr:rowOff>95250</xdr:rowOff>
                  </from>
                  <to>
                    <xdr:col>147</xdr:col>
                    <xdr:colOff>1352550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
  <sheetViews>
    <sheetView workbookViewId="0">
      <selection activeCell="C19" sqref="C19"/>
    </sheetView>
  </sheetViews>
  <sheetFormatPr defaultRowHeight="14" x14ac:dyDescent="0.25"/>
  <cols>
    <col min="2" max="2" width="30.81640625" customWidth="1"/>
    <col min="3" max="3" width="35.1796875" customWidth="1"/>
  </cols>
  <sheetData>
    <row r="1" spans="1:5" x14ac:dyDescent="0.25">
      <c r="A1" s="8" t="s">
        <v>1520</v>
      </c>
      <c r="B1" s="8" t="s">
        <v>1521</v>
      </c>
      <c r="C1" s="8" t="s">
        <v>1522</v>
      </c>
      <c r="D1" s="8" t="s">
        <v>1523</v>
      </c>
      <c r="E1" s="8" t="s">
        <v>1524</v>
      </c>
    </row>
    <row r="2" spans="1:5" x14ac:dyDescent="0.25">
      <c r="A2" s="8">
        <v>1</v>
      </c>
      <c r="B2" s="8" t="s">
        <v>1525</v>
      </c>
      <c r="C2" s="9" t="s">
        <v>1526</v>
      </c>
      <c r="D2" s="8"/>
      <c r="E2" s="8"/>
    </row>
    <row r="3" spans="1:5" x14ac:dyDescent="0.25">
      <c r="A3" s="8">
        <v>2</v>
      </c>
      <c r="B3" s="8" t="s">
        <v>1527</v>
      </c>
      <c r="C3" s="9" t="s">
        <v>1528</v>
      </c>
      <c r="D3" s="8"/>
      <c r="E3" s="8"/>
    </row>
    <row r="4" spans="1:5" x14ac:dyDescent="0.25">
      <c r="A4" s="8">
        <v>3</v>
      </c>
      <c r="B4" s="8" t="s">
        <v>1529</v>
      </c>
      <c r="C4" s="9" t="s">
        <v>1530</v>
      </c>
      <c r="D4" s="8"/>
      <c r="E4" s="8"/>
    </row>
    <row r="5" spans="1:5" ht="42" x14ac:dyDescent="0.25">
      <c r="A5" s="8">
        <v>4</v>
      </c>
      <c r="B5" s="8" t="s">
        <v>1531</v>
      </c>
      <c r="C5" s="9" t="s">
        <v>1532</v>
      </c>
      <c r="D5" s="8"/>
      <c r="E5" s="8"/>
    </row>
    <row r="6" spans="1:5" ht="28" x14ac:dyDescent="0.25">
      <c r="A6" s="8">
        <v>5</v>
      </c>
      <c r="B6" s="8" t="s">
        <v>1533</v>
      </c>
      <c r="C6" s="9" t="s">
        <v>1534</v>
      </c>
      <c r="D6" s="8"/>
      <c r="E6" s="8"/>
    </row>
    <row r="7" spans="1:5" x14ac:dyDescent="0.25">
      <c r="A7" s="8">
        <v>6</v>
      </c>
      <c r="B7" s="10" t="s">
        <v>1535</v>
      </c>
      <c r="C7" s="11" t="s">
        <v>1536</v>
      </c>
      <c r="D7" s="8"/>
      <c r="E7" s="8"/>
    </row>
    <row r="8" spans="1:5" x14ac:dyDescent="0.25">
      <c r="A8" s="8">
        <v>7</v>
      </c>
      <c r="B8" s="10" t="s">
        <v>1537</v>
      </c>
      <c r="C8" s="11" t="s">
        <v>1538</v>
      </c>
      <c r="D8" s="8"/>
      <c r="E8" s="8"/>
    </row>
    <row r="9" spans="1:5" x14ac:dyDescent="0.25">
      <c r="A9" s="8">
        <v>8</v>
      </c>
      <c r="B9" s="10" t="s">
        <v>1539</v>
      </c>
      <c r="C9" s="11" t="s">
        <v>1540</v>
      </c>
      <c r="D9" s="8"/>
      <c r="E9" s="8"/>
    </row>
    <row r="10" spans="1:5" x14ac:dyDescent="0.25">
      <c r="A10" s="8">
        <v>9</v>
      </c>
      <c r="B10" s="10" t="s">
        <v>1541</v>
      </c>
      <c r="C10" s="11" t="s">
        <v>1542</v>
      </c>
      <c r="D10" s="8"/>
      <c r="E10" s="8"/>
    </row>
    <row r="11" spans="1:5" ht="28" x14ac:dyDescent="0.25">
      <c r="A11" s="8">
        <v>10</v>
      </c>
      <c r="B11" s="10" t="s">
        <v>1543</v>
      </c>
      <c r="C11" s="11" t="s">
        <v>1544</v>
      </c>
      <c r="D11" s="8"/>
      <c r="E11" s="8"/>
    </row>
    <row r="12" spans="1:5" ht="28" x14ac:dyDescent="0.25">
      <c r="A12" s="8">
        <v>11</v>
      </c>
      <c r="B12" s="10" t="s">
        <v>1545</v>
      </c>
      <c r="C12" s="9" t="s">
        <v>1546</v>
      </c>
      <c r="D12" s="8"/>
      <c r="E12" s="8"/>
    </row>
    <row r="13" spans="1:5" x14ac:dyDescent="0.25">
      <c r="A13" s="10">
        <v>12</v>
      </c>
      <c r="B13" s="10" t="s">
        <v>1547</v>
      </c>
      <c r="C13" s="11" t="s">
        <v>1548</v>
      </c>
      <c r="D13" s="8"/>
      <c r="E13" s="8"/>
    </row>
    <row r="14" spans="1:5" ht="28" x14ac:dyDescent="0.25">
      <c r="A14" s="12">
        <v>13</v>
      </c>
      <c r="B14" s="12" t="s">
        <v>1549</v>
      </c>
      <c r="C14" s="13" t="s">
        <v>1550</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5"/>
  <sheetViews>
    <sheetView workbookViewId="0">
      <selection activeCell="A6" sqref="A6"/>
    </sheetView>
  </sheetViews>
  <sheetFormatPr defaultRowHeight="14" x14ac:dyDescent="0.25"/>
  <sheetData>
    <row r="1" spans="1:30" x14ac:dyDescent="0.25">
      <c r="A1">
        <f>A6</f>
        <v>16</v>
      </c>
      <c r="B1">
        <f>A1+A1*$A$2</f>
        <v>16.48</v>
      </c>
      <c r="C1">
        <f t="shared" ref="C1:AD1" si="0">B1+B1*$A$2</f>
        <v>16.974399999999999</v>
      </c>
      <c r="D1">
        <f t="shared" si="0"/>
        <v>17.483632</v>
      </c>
      <c r="E1">
        <f t="shared" si="0"/>
        <v>18.008140959999999</v>
      </c>
      <c r="F1">
        <f t="shared" si="0"/>
        <v>18.548385188799998</v>
      </c>
      <c r="G1">
        <f t="shared" si="0"/>
        <v>19.104836744463999</v>
      </c>
      <c r="H1">
        <f t="shared" si="0"/>
        <v>19.67798184679792</v>
      </c>
      <c r="I1">
        <f t="shared" si="0"/>
        <v>20.268321302201858</v>
      </c>
      <c r="J1">
        <f t="shared" si="0"/>
        <v>20.876370941267915</v>
      </c>
      <c r="K1">
        <f t="shared" si="0"/>
        <v>21.502662069505952</v>
      </c>
      <c r="L1">
        <f t="shared" si="0"/>
        <v>22.147741931591131</v>
      </c>
      <c r="M1">
        <f t="shared" si="0"/>
        <v>22.812174189538865</v>
      </c>
      <c r="N1">
        <f t="shared" si="0"/>
        <v>23.49653941522503</v>
      </c>
      <c r="O1">
        <f t="shared" si="0"/>
        <v>24.20143559768178</v>
      </c>
      <c r="P1">
        <f t="shared" si="0"/>
        <v>24.927478665612234</v>
      </c>
      <c r="Q1">
        <f t="shared" si="0"/>
        <v>25.6753030255806</v>
      </c>
      <c r="R1">
        <f t="shared" si="0"/>
        <v>26.445562116348018</v>
      </c>
      <c r="S1">
        <f t="shared" si="0"/>
        <v>27.238928979838459</v>
      </c>
      <c r="T1">
        <f t="shared" si="0"/>
        <v>28.056096849233612</v>
      </c>
      <c r="U1">
        <f t="shared" si="0"/>
        <v>28.897779754710619</v>
      </c>
      <c r="V1">
        <f t="shared" si="0"/>
        <v>29.764713147351937</v>
      </c>
      <c r="W1">
        <f t="shared" si="0"/>
        <v>30.657654541772494</v>
      </c>
      <c r="X1">
        <f t="shared" si="0"/>
        <v>31.577384178025667</v>
      </c>
      <c r="Y1">
        <f t="shared" si="0"/>
        <v>32.524705703366436</v>
      </c>
      <c r="Z1">
        <f t="shared" si="0"/>
        <v>33.500446874467428</v>
      </c>
      <c r="AA1">
        <f t="shared" si="0"/>
        <v>34.505460280701449</v>
      </c>
      <c r="AB1">
        <f t="shared" si="0"/>
        <v>35.540624089122495</v>
      </c>
      <c r="AC1">
        <f t="shared" si="0"/>
        <v>36.60684281179617</v>
      </c>
      <c r="AD1">
        <f t="shared" si="0"/>
        <v>37.705048096150058</v>
      </c>
    </row>
    <row r="2" spans="1:30" x14ac:dyDescent="0.25">
      <c r="A2">
        <v>0.03</v>
      </c>
      <c r="B2" t="s">
        <v>2847</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0.3</v>
      </c>
      <c r="B4" t="s">
        <v>0</v>
      </c>
    </row>
    <row r="5" spans="1:30" x14ac:dyDescent="0.25">
      <c r="A5" s="1">
        <v>1</v>
      </c>
      <c r="B5" s="1">
        <f>A5*$A$4+A5</f>
        <v>1.3</v>
      </c>
      <c r="C5" s="1">
        <f t="shared" ref="C5:AD5" si="1">B5*$A$4+B5</f>
        <v>1.69</v>
      </c>
      <c r="D5" s="1">
        <f t="shared" si="1"/>
        <v>2.1970000000000001</v>
      </c>
      <c r="E5" s="1">
        <f t="shared" si="1"/>
        <v>2.8561000000000001</v>
      </c>
      <c r="F5" s="1">
        <f t="shared" si="1"/>
        <v>3.7129300000000001</v>
      </c>
      <c r="G5" s="1">
        <f t="shared" si="1"/>
        <v>4.8268089999999999</v>
      </c>
      <c r="H5" s="1">
        <f t="shared" si="1"/>
        <v>6.2748517000000001</v>
      </c>
      <c r="I5" s="1">
        <f t="shared" si="1"/>
        <v>8.1573072100000008</v>
      </c>
      <c r="J5" s="1">
        <f t="shared" si="1"/>
        <v>10.604499373000001</v>
      </c>
      <c r="K5" s="1">
        <f t="shared" si="1"/>
        <v>13.785849184900002</v>
      </c>
      <c r="L5" s="1">
        <f t="shared" si="1"/>
        <v>17.921603940370002</v>
      </c>
      <c r="M5" s="1">
        <f t="shared" si="1"/>
        <v>23.298085122481002</v>
      </c>
      <c r="N5" s="1">
        <f t="shared" si="1"/>
        <v>30.287510659225301</v>
      </c>
      <c r="O5" s="1">
        <f t="shared" si="1"/>
        <v>39.373763856992895</v>
      </c>
      <c r="P5">
        <f t="shared" si="1"/>
        <v>51.185893014090766</v>
      </c>
      <c r="Q5">
        <f t="shared" si="1"/>
        <v>66.541660918318001</v>
      </c>
      <c r="R5">
        <f t="shared" si="1"/>
        <v>86.504159193813393</v>
      </c>
      <c r="S5" s="1">
        <f t="shared" si="1"/>
        <v>112.45540695195741</v>
      </c>
      <c r="T5">
        <f t="shared" si="1"/>
        <v>146.19202903754464</v>
      </c>
      <c r="U5">
        <f t="shared" si="1"/>
        <v>190.04963774880804</v>
      </c>
      <c r="V5">
        <f t="shared" si="1"/>
        <v>247.06452907345044</v>
      </c>
      <c r="W5">
        <f t="shared" si="1"/>
        <v>321.18388779548559</v>
      </c>
      <c r="X5">
        <f t="shared" si="1"/>
        <v>417.53905413413128</v>
      </c>
      <c r="Y5">
        <f t="shared" si="1"/>
        <v>542.8007703743707</v>
      </c>
      <c r="Z5">
        <f t="shared" si="1"/>
        <v>705.64100148668194</v>
      </c>
      <c r="AA5">
        <f t="shared" si="1"/>
        <v>917.33330193268648</v>
      </c>
      <c r="AB5">
        <f t="shared" si="1"/>
        <v>1192.5332925124924</v>
      </c>
      <c r="AC5">
        <f t="shared" si="1"/>
        <v>1550.2932802662401</v>
      </c>
      <c r="AD5">
        <f t="shared" si="1"/>
        <v>2015.3812643461122</v>
      </c>
    </row>
    <row r="6" spans="1:30" x14ac:dyDescent="0.25">
      <c r="A6">
        <v>16</v>
      </c>
      <c r="B6" t="s">
        <v>1</v>
      </c>
    </row>
    <row r="7" spans="1:30" x14ac:dyDescent="0.25">
      <c r="A7" s="18">
        <f>SUM($A$5:A5)</f>
        <v>1</v>
      </c>
      <c r="B7" s="18">
        <f>SUM($A$5:B5)</f>
        <v>2.2999999999999998</v>
      </c>
      <c r="C7" s="18">
        <f>SUM($A$5:C5)</f>
        <v>3.9899999999999998</v>
      </c>
      <c r="D7" s="18">
        <f>SUM($A$5:D5)</f>
        <v>6.1869999999999994</v>
      </c>
      <c r="E7" s="18">
        <f>SUM($A$5:E5)</f>
        <v>9.043099999999999</v>
      </c>
      <c r="F7" s="18">
        <f>SUM($A$5:F5)</f>
        <v>12.756029999999999</v>
      </c>
      <c r="G7" s="18">
        <f>SUM($A$5:G5)</f>
        <v>17.582839</v>
      </c>
      <c r="H7" s="18">
        <f>SUM($A$5:H5)</f>
        <v>23.857690699999999</v>
      </c>
      <c r="I7" s="18">
        <f>SUM($A$5:I5)</f>
        <v>32.014997909999998</v>
      </c>
      <c r="J7" s="18">
        <f>SUM($A$5:J5)</f>
        <v>42.619497283000001</v>
      </c>
      <c r="K7" s="18">
        <f>SUM($A$5:K5)</f>
        <v>56.405346467900003</v>
      </c>
      <c r="L7" s="18">
        <f>SUM($A$5:L5)</f>
        <v>74.326950408270008</v>
      </c>
      <c r="M7" s="18">
        <f>SUM($A$5:M5)</f>
        <v>97.625035530751006</v>
      </c>
      <c r="N7" s="18">
        <f>SUM($A$5:N5)</f>
        <v>127.91254618997631</v>
      </c>
      <c r="O7" s="18">
        <f>SUM($A$5:O5)</f>
        <v>167.28631004696922</v>
      </c>
      <c r="P7" s="18">
        <f>SUM($A$5:P5)</f>
        <v>218.47220306105999</v>
      </c>
      <c r="Q7" s="18">
        <f>SUM($A$5:Q5)</f>
        <v>285.01386397937802</v>
      </c>
      <c r="R7" s="18">
        <f>SUM($A$5:R5)</f>
        <v>371.51802317319141</v>
      </c>
      <c r="S7" s="18">
        <f>SUM($A$5:S5)</f>
        <v>483.97343012514881</v>
      </c>
      <c r="T7" s="18">
        <f>SUM($A$5:T5)</f>
        <v>630.16545916269342</v>
      </c>
      <c r="U7" s="18">
        <f>SUM($A$5:U5)</f>
        <v>820.2150969115014</v>
      </c>
      <c r="V7" s="18">
        <f>SUM($A$5:V5)</f>
        <v>1067.279625984952</v>
      </c>
      <c r="W7" s="18">
        <f>SUM($A$5:W5)</f>
        <v>1388.4635137804376</v>
      </c>
      <c r="X7" s="18">
        <f>SUM($A$5:X5)</f>
        <v>1806.0025679145688</v>
      </c>
      <c r="Y7" s="18">
        <f>SUM($A$5:Y5)</f>
        <v>2348.8033382889394</v>
      </c>
      <c r="Z7" s="18">
        <f>SUM($A$5:Z5)</f>
        <v>3054.4443397756213</v>
      </c>
      <c r="AA7" s="18">
        <f>SUM($A$5:AA5)</f>
        <v>3971.7776417083078</v>
      </c>
      <c r="AB7" s="18">
        <f>SUM($A$5:AB5)</f>
        <v>5164.3109342207999</v>
      </c>
      <c r="AC7" s="18">
        <f>SUM($A$5:AC5)</f>
        <v>6714.6042144870398</v>
      </c>
      <c r="AD7" s="18">
        <f>SUM($A$5:AD5)</f>
        <v>8729.9854788331522</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f>IF(A7&gt;A1,(A7-A1)/$A$6,0)</f>
        <v>0</v>
      </c>
      <c r="B9">
        <f t="shared" ref="B9:AD9" si="2">IF(B7&gt;B1,(B7-B1)/$A$6,0)</f>
        <v>0</v>
      </c>
      <c r="C9">
        <f t="shared" si="2"/>
        <v>0</v>
      </c>
      <c r="D9">
        <f t="shared" si="2"/>
        <v>0</v>
      </c>
      <c r="E9">
        <f t="shared" si="2"/>
        <v>0</v>
      </c>
      <c r="F9">
        <f t="shared" si="2"/>
        <v>0</v>
      </c>
      <c r="G9">
        <f t="shared" si="2"/>
        <v>0</v>
      </c>
      <c r="H9">
        <f t="shared" si="2"/>
        <v>0.26123180332512996</v>
      </c>
      <c r="I9">
        <f t="shared" si="2"/>
        <v>0.73416728798738373</v>
      </c>
      <c r="J9">
        <f t="shared" si="2"/>
        <v>1.3589453963582554</v>
      </c>
      <c r="K9">
        <f t="shared" si="2"/>
        <v>2.1814177748996282</v>
      </c>
      <c r="L9">
        <f t="shared" si="2"/>
        <v>3.26120052979243</v>
      </c>
      <c r="M9">
        <f t="shared" si="2"/>
        <v>4.6758038338257588</v>
      </c>
      <c r="N9">
        <f t="shared" si="2"/>
        <v>6.5260004234219551</v>
      </c>
      <c r="O9">
        <f t="shared" si="2"/>
        <v>8.942804653080465</v>
      </c>
      <c r="P9">
        <f t="shared" si="2"/>
        <v>12.096545274715485</v>
      </c>
      <c r="Q9">
        <f t="shared" si="2"/>
        <v>16.208660059612338</v>
      </c>
      <c r="R9">
        <f t="shared" si="2"/>
        <v>21.567028816052712</v>
      </c>
      <c r="S9">
        <f t="shared" si="2"/>
        <v>28.545906321581896</v>
      </c>
      <c r="T9">
        <f t="shared" si="2"/>
        <v>37.631835144591236</v>
      </c>
      <c r="U9">
        <f t="shared" si="2"/>
        <v>49.457332322299422</v>
      </c>
      <c r="V9">
        <f t="shared" si="2"/>
        <v>64.844682052349995</v>
      </c>
      <c r="W9">
        <f t="shared" si="2"/>
        <v>84.862866202416569</v>
      </c>
      <c r="X9">
        <f t="shared" si="2"/>
        <v>110.90157398353395</v>
      </c>
      <c r="Y9">
        <f t="shared" si="2"/>
        <v>144.7674145365983</v>
      </c>
      <c r="Z9">
        <f t="shared" si="2"/>
        <v>188.80899330632212</v>
      </c>
      <c r="AA9">
        <f t="shared" si="2"/>
        <v>246.07951133922541</v>
      </c>
      <c r="AB9">
        <f t="shared" si="2"/>
        <v>320.54814438322984</v>
      </c>
      <c r="AC9">
        <f t="shared" si="2"/>
        <v>417.37483572970274</v>
      </c>
      <c r="AD9">
        <f t="shared" si="2"/>
        <v>543.26752692106265</v>
      </c>
    </row>
    <row r="10" spans="1:30" x14ac:dyDescent="0.25">
      <c r="A10">
        <f>A6/(A4*100)</f>
        <v>0.53333333333333333</v>
      </c>
      <c r="B10" t="s">
        <v>2848</v>
      </c>
    </row>
    <row r="12" spans="1:30" x14ac:dyDescent="0.25">
      <c r="A12" t="s">
        <v>2849</v>
      </c>
      <c r="B12">
        <f>B13/B14</f>
        <v>1</v>
      </c>
      <c r="C12">
        <f t="shared" ref="C12:T12" si="3">C13/C14</f>
        <v>0.88461538461538447</v>
      </c>
      <c r="D12">
        <f t="shared" si="3"/>
        <v>0.78254437869822469</v>
      </c>
      <c r="E12">
        <f t="shared" si="3"/>
        <v>0.69225079654073696</v>
      </c>
      <c r="F12">
        <f t="shared" si="3"/>
        <v>0.61237570463219038</v>
      </c>
      <c r="G12">
        <f t="shared" si="3"/>
        <v>0.54171696948232217</v>
      </c>
      <c r="H12">
        <f t="shared" si="3"/>
        <v>0.47921116531128499</v>
      </c>
      <c r="I12">
        <f t="shared" si="3"/>
        <v>0.42391756931382896</v>
      </c>
      <c r="J12">
        <f t="shared" si="3"/>
        <v>0.37500400362377173</v>
      </c>
      <c r="K12">
        <f t="shared" si="3"/>
        <v>0.33173431089795186</v>
      </c>
      <c r="L12">
        <f t="shared" si="3"/>
        <v>0.29345727502511126</v>
      </c>
      <c r="M12">
        <f t="shared" si="3"/>
        <v>0.25959682021452146</v>
      </c>
      <c r="N12">
        <f t="shared" si="3"/>
        <v>0.22964334095899974</v>
      </c>
      <c r="O12">
        <f t="shared" si="3"/>
        <v>0.20314603238680742</v>
      </c>
      <c r="P12">
        <f t="shared" si="3"/>
        <v>0.179706105572945</v>
      </c>
      <c r="Q12">
        <f t="shared" si="3"/>
        <v>0.15897078569914364</v>
      </c>
      <c r="R12">
        <f t="shared" si="3"/>
        <v>0.14062800273385781</v>
      </c>
      <c r="S12">
        <f t="shared" si="3"/>
        <v>0.12440169472610496</v>
      </c>
      <c r="T12">
        <f t="shared" si="3"/>
        <v>0.11004765302693899</v>
      </c>
    </row>
    <row r="13" spans="1:30" x14ac:dyDescent="0.25">
      <c r="A13" t="s">
        <v>2850</v>
      </c>
      <c r="B13">
        <v>1</v>
      </c>
      <c r="C13">
        <f>B13*(1+$D$15)</f>
        <v>1.1499999999999999</v>
      </c>
      <c r="D13">
        <f t="shared" ref="D13:T13" si="4">C13*(1+$D$15)</f>
        <v>1.3224999999999998</v>
      </c>
      <c r="E13">
        <f t="shared" si="4"/>
        <v>1.5208749999999995</v>
      </c>
      <c r="F13">
        <f t="shared" si="4"/>
        <v>1.7490062499999994</v>
      </c>
      <c r="G13">
        <f t="shared" si="4"/>
        <v>2.0113571874999994</v>
      </c>
      <c r="H13">
        <f t="shared" si="4"/>
        <v>2.3130607656249991</v>
      </c>
      <c r="I13">
        <f t="shared" si="4"/>
        <v>2.6600198804687487</v>
      </c>
      <c r="J13">
        <f t="shared" si="4"/>
        <v>3.0590228625390607</v>
      </c>
      <c r="K13">
        <f t="shared" si="4"/>
        <v>3.5178762919199196</v>
      </c>
      <c r="L13">
        <f t="shared" si="4"/>
        <v>4.0455577357079076</v>
      </c>
      <c r="M13">
        <f t="shared" si="4"/>
        <v>4.6523913960640932</v>
      </c>
      <c r="N13">
        <f t="shared" si="4"/>
        <v>5.3502501054737071</v>
      </c>
      <c r="O13">
        <f t="shared" si="4"/>
        <v>6.1527876212947623</v>
      </c>
      <c r="P13">
        <f t="shared" si="4"/>
        <v>7.0757057644889763</v>
      </c>
      <c r="Q13">
        <f t="shared" si="4"/>
        <v>8.1370616291623215</v>
      </c>
      <c r="R13">
        <f t="shared" si="4"/>
        <v>9.3576208735366695</v>
      </c>
      <c r="S13">
        <f t="shared" si="4"/>
        <v>10.761264004567169</v>
      </c>
      <c r="T13">
        <f t="shared" si="4"/>
        <v>12.375453605252243</v>
      </c>
    </row>
    <row r="14" spans="1:30" x14ac:dyDescent="0.25">
      <c r="A14" t="s">
        <v>2851</v>
      </c>
      <c r="B14">
        <v>1</v>
      </c>
      <c r="C14">
        <f>B14*(1+$B$15)</f>
        <v>1.3</v>
      </c>
      <c r="D14">
        <f>C14*(1+$B$15)</f>
        <v>1.6900000000000002</v>
      </c>
      <c r="E14">
        <f t="shared" ref="E14:T14" si="5">D14*(1+$B$15)</f>
        <v>2.1970000000000005</v>
      </c>
      <c r="F14">
        <f t="shared" si="5"/>
        <v>2.856100000000001</v>
      </c>
      <c r="G14">
        <f t="shared" si="5"/>
        <v>3.7129300000000014</v>
      </c>
      <c r="H14">
        <f t="shared" si="5"/>
        <v>4.8268090000000017</v>
      </c>
      <c r="I14">
        <f t="shared" si="5"/>
        <v>6.2748517000000028</v>
      </c>
      <c r="J14">
        <f t="shared" si="5"/>
        <v>8.1573072100000044</v>
      </c>
      <c r="K14">
        <f t="shared" si="5"/>
        <v>10.604499373000007</v>
      </c>
      <c r="L14">
        <f t="shared" si="5"/>
        <v>13.785849184900009</v>
      </c>
      <c r="M14">
        <f t="shared" si="5"/>
        <v>17.921603940370012</v>
      </c>
      <c r="N14">
        <f t="shared" si="5"/>
        <v>23.298085122481016</v>
      </c>
      <c r="O14">
        <f t="shared" si="5"/>
        <v>30.287510659225322</v>
      </c>
      <c r="P14">
        <f t="shared" si="5"/>
        <v>39.373763856992923</v>
      </c>
      <c r="Q14">
        <f t="shared" si="5"/>
        <v>51.185893014090802</v>
      </c>
      <c r="R14">
        <f t="shared" si="5"/>
        <v>66.541660918318044</v>
      </c>
      <c r="S14">
        <f t="shared" si="5"/>
        <v>86.504159193813464</v>
      </c>
      <c r="T14">
        <f t="shared" si="5"/>
        <v>112.45540695195751</v>
      </c>
    </row>
    <row r="15" spans="1:30" x14ac:dyDescent="0.25">
      <c r="A15" t="s">
        <v>2852</v>
      </c>
      <c r="B15">
        <v>0.3</v>
      </c>
      <c r="C15" t="s">
        <v>2853</v>
      </c>
      <c r="D15">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汽车零部件</vt:lpstr>
      <vt:lpstr>潍柴子公司总结</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2024-07-10T22:47:30Z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