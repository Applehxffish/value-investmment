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001Xiaofeng\value-investment-backup\估值分析\SW1L商贸零售\"/>
    </mc:Choice>
  </mc:AlternateContent>
  <bookViews>
    <workbookView xWindow="0" yWindow="0" windowWidth="3800" windowHeight="2950"/>
  </bookViews>
  <sheets>
    <sheet name="贸易" sheetId="15" r:id="rId1"/>
    <sheet name="估值-增速与年化收益" sheetId="14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14" l="1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P5" i="14" s="1"/>
  <c r="Q5" i="14" s="1"/>
  <c r="R5" i="14" s="1"/>
  <c r="S5" i="14" s="1"/>
  <c r="T5" i="14" s="1"/>
  <c r="U5" i="14" s="1"/>
  <c r="V5" i="14" s="1"/>
  <c r="W5" i="14" s="1"/>
  <c r="X5" i="14" s="1"/>
  <c r="Y5" i="14" s="1"/>
  <c r="Z5" i="14" s="1"/>
  <c r="AA5" i="14" s="1"/>
  <c r="AB5" i="14" s="1"/>
  <c r="AC5" i="14" s="1"/>
  <c r="AD5" i="14" s="1"/>
  <c r="B1" i="14"/>
  <c r="C1" i="14" s="1"/>
  <c r="D1" i="14" s="1"/>
  <c r="E1" i="14" s="1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C4" i="15"/>
  <c r="C8" i="15"/>
  <c r="C16" i="15"/>
  <c r="C12" i="15"/>
  <c r="C15" i="15"/>
  <c r="C6" i="15"/>
  <c r="C13" i="15"/>
  <c r="C11" i="15"/>
  <c r="C9" i="15"/>
  <c r="C5" i="15"/>
  <c r="C10" i="15"/>
  <c r="C14" i="15"/>
  <c r="C17" i="15"/>
  <c r="C3" i="15"/>
  <c r="C2" i="15"/>
</calcChain>
</file>

<file path=xl/sharedStrings.xml><?xml version="1.0" encoding="utf-8"?>
<sst xmlns="http://schemas.openxmlformats.org/spreadsheetml/2006/main" count="1058" uniqueCount="809">
  <si>
    <t>&lt;-增速</t>
    <phoneticPr fontId="1" type="noConversion"/>
  </si>
  <si>
    <t>&lt;-估值</t>
    <phoneticPr fontId="1" type="noConversion"/>
  </si>
  <si>
    <t>&lt;-折合年化收益</t>
    <phoneticPr fontId="1" type="noConversion"/>
  </si>
  <si>
    <t>现价</t>
  </si>
  <si>
    <t>市净率</t>
  </si>
  <si>
    <t>--</t>
  </si>
  <si>
    <t>东方创业</t>
  </si>
  <si>
    <t>江苏舜天</t>
  </si>
  <si>
    <t>江苏国泰</t>
  </si>
  <si>
    <t>汇鸿集团</t>
  </si>
  <si>
    <t>ST沪科</t>
  </si>
  <si>
    <t>五矿发展</t>
  </si>
  <si>
    <t>预期多</t>
    <phoneticPr fontId="1" type="noConversion"/>
  </si>
  <si>
    <t>预期空</t>
    <phoneticPr fontId="1" type="noConversion"/>
  </si>
  <si>
    <t>已知和基本信息</t>
    <phoneticPr fontId="1" type="noConversion"/>
  </si>
  <si>
    <t>代码</t>
  </si>
  <si>
    <t>总市值</t>
  </si>
  <si>
    <t>TTM市盈率</t>
  </si>
  <si>
    <t>所属行业</t>
  </si>
  <si>
    <t>负债合计</t>
  </si>
  <si>
    <t>所有者权益合计</t>
  </si>
  <si>
    <t>主营业务收入</t>
  </si>
  <si>
    <t>净利润增长率</t>
  </si>
  <si>
    <t>总股本</t>
  </si>
  <si>
    <t>财务费用</t>
  </si>
  <si>
    <t>投资收益</t>
  </si>
  <si>
    <t>应收账款</t>
  </si>
  <si>
    <t>贸易</t>
  </si>
  <si>
    <t>1.73亿</t>
  </si>
  <si>
    <t>1.69亿</t>
  </si>
  <si>
    <t>SZ002091</t>
  </si>
  <si>
    <t>9.45亿</t>
  </si>
  <si>
    <t>SZ002505</t>
  </si>
  <si>
    <t>134.88亿</t>
  </si>
  <si>
    <t>6201.07万</t>
  </si>
  <si>
    <t>SH600058</t>
  </si>
  <si>
    <t>SH600128</t>
  </si>
  <si>
    <t>42.97亿</t>
  </si>
  <si>
    <t>0亿</t>
  </si>
  <si>
    <t>SH600278</t>
  </si>
  <si>
    <t>SH600287</t>
  </si>
  <si>
    <t>SH600608</t>
  </si>
  <si>
    <t>11.90亿</t>
  </si>
  <si>
    <t>SH600710</t>
  </si>
  <si>
    <t>SH600725</t>
  </si>
  <si>
    <t>13.38亿</t>
  </si>
  <si>
    <t>1259.86万</t>
  </si>
  <si>
    <t>SH600981</t>
  </si>
  <si>
    <t>3.37亿</t>
  </si>
  <si>
    <t>流动资产</t>
  </si>
  <si>
    <t>营业收入[20191231]</t>
  </si>
  <si>
    <t>营业收入[20181231]</t>
  </si>
  <si>
    <t>营业收入[20171231]</t>
  </si>
  <si>
    <t>净利润[20191231]</t>
  </si>
  <si>
    <t>净利润[20181231]</t>
  </si>
  <si>
    <t>净利润[20171231]</t>
  </si>
  <si>
    <t>-1.13亿</t>
  </si>
  <si>
    <t>9.78亿</t>
  </si>
  <si>
    <t>392.90亿</t>
  </si>
  <si>
    <t>368.00亿</t>
  </si>
  <si>
    <t>10.16亿</t>
  </si>
  <si>
    <t>鹏都农牧</t>
  </si>
  <si>
    <t>134.46亿</t>
  </si>
  <si>
    <t>1847.31万</t>
  </si>
  <si>
    <t>133.95亿</t>
  </si>
  <si>
    <t>-6.85亿</t>
  </si>
  <si>
    <t>622.48亿</t>
  </si>
  <si>
    <t>565.30亿</t>
  </si>
  <si>
    <t>44.22亿</t>
  </si>
  <si>
    <t>45.07亿</t>
  </si>
  <si>
    <t>388.82亿</t>
  </si>
  <si>
    <t>167.44亿</t>
  </si>
  <si>
    <t>158.34亿</t>
  </si>
  <si>
    <t>1.83亿</t>
  </si>
  <si>
    <t>1.54亿</t>
  </si>
  <si>
    <t>1.15亿</t>
  </si>
  <si>
    <t>8.91亿</t>
  </si>
  <si>
    <t>10.04亿</t>
  </si>
  <si>
    <t>985.90亿</t>
  </si>
  <si>
    <t>5.46亿</t>
  </si>
  <si>
    <t>856.72亿</t>
  </si>
  <si>
    <t>819.59亿</t>
  </si>
  <si>
    <t>4.52亿</t>
  </si>
  <si>
    <t>4.55亿</t>
  </si>
  <si>
    <t>13.75亿</t>
  </si>
  <si>
    <t>1603.44万</t>
  </si>
  <si>
    <t>10.07亿</t>
  </si>
  <si>
    <t>1300.77万</t>
  </si>
  <si>
    <t>12.02亿</t>
  </si>
  <si>
    <t>2.38亿</t>
  </si>
  <si>
    <t>云维股份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</si>
  <si>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</si>
  <si>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</si>
  <si>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</si>
  <si>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</si>
  <si>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</si>
  <si>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</si>
  <si>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</si>
  <si>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</si>
  <si>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</si>
  <si>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</si>
  <si>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20增速</t>
  </si>
  <si>
    <t>当期自由现金流估计值</t>
  </si>
  <si>
    <t>自由现金流估计增速</t>
  </si>
  <si>
    <t>销售毛利率%[20201231]</t>
  </si>
  <si>
    <t>销售净利率%[20201231]</t>
  </si>
  <si>
    <t>SZ000151</t>
  </si>
  <si>
    <t>中成股份</t>
  </si>
  <si>
    <t>11.84亿</t>
  </si>
  <si>
    <t>12.71亿</t>
  </si>
  <si>
    <t>875.12万</t>
  </si>
  <si>
    <t>8342.11万</t>
  </si>
  <si>
    <t>流通股本</t>
  </si>
  <si>
    <t>净利润[20201231]</t>
  </si>
  <si>
    <t>投入资本回报率roic%[20201231]</t>
  </si>
  <si>
    <t>净资产收益率%[20201231]</t>
  </si>
  <si>
    <t>21.60亿</t>
  </si>
  <si>
    <t>797.26万</t>
  </si>
  <si>
    <t>17.80亿</t>
  </si>
  <si>
    <t>-2.76亿</t>
  </si>
  <si>
    <t>SZ000626</t>
  </si>
  <si>
    <t>远大控股</t>
  </si>
  <si>
    <t>815.62亿</t>
  </si>
  <si>
    <t>2.22亿</t>
  </si>
  <si>
    <t>590.41亿</t>
  </si>
  <si>
    <t>677.54亿</t>
  </si>
  <si>
    <t>660.27亿</t>
  </si>
  <si>
    <t>4766.95万</t>
  </si>
  <si>
    <t>12.36亿</t>
  </si>
  <si>
    <t>143.04亿</t>
  </si>
  <si>
    <t>435.49亿</t>
  </si>
  <si>
    <t>3.81亿</t>
  </si>
  <si>
    <t>7.67亿</t>
  </si>
  <si>
    <t>419.64亿</t>
  </si>
  <si>
    <t>2.78亿</t>
  </si>
  <si>
    <t>3.22亿</t>
  </si>
  <si>
    <t>1686.82亿</t>
  </si>
  <si>
    <t>16.97亿</t>
  </si>
  <si>
    <t>1604.78万</t>
  </si>
  <si>
    <t>452.78亿</t>
  </si>
  <si>
    <t>2.49亿</t>
  </si>
  <si>
    <t>368.08亿</t>
  </si>
  <si>
    <t xml:space="preserve">    名称</t>
  </si>
  <si>
    <t>净利润?</t>
  </si>
  <si>
    <t>投入资本回报率roic%[20211231]</t>
  </si>
  <si>
    <t>净资产收益率%[20211231]</t>
  </si>
  <si>
    <t>单季营收增速</t>
  </si>
  <si>
    <t>单季利润增速</t>
  </si>
  <si>
    <t>亏损</t>
  </si>
  <si>
    <t>扭亏</t>
  </si>
  <si>
    <t/>
  </si>
  <si>
    <t>345.31亿</t>
  </si>
  <si>
    <t>380.37亿</t>
  </si>
  <si>
    <t>1.问：6、公司的可转债募集资金为什么要用于纺织品相关项目？答：公司供应链服务业务的主要产品为纺织品服装，为坚持进出口主营业务不动摇，公司不断提升货源基地层级，加快实施海外布局战略，紧抓“一带一路”等发展机遇，在缅甸、越南、柬埔寨等多个关键节点建设货源基地，推动公司向“全球供应链整合”转变，不断增强公司的核心竞争力。</t>
    <phoneticPr fontId="1" type="noConversion"/>
  </si>
  <si>
    <r>
      <t>1.从贸易切换到锂电池电解液赛道；</t>
    </r>
    <r>
      <rPr>
        <sz val="9"/>
        <color rgb="FFFF0000"/>
        <rFont val="宋体"/>
        <family val="3"/>
        <charset val="134"/>
        <scheme val="minor"/>
      </rPr>
      <t>双轨主营</t>
    </r>
    <r>
      <rPr>
        <sz val="9"/>
        <color theme="1"/>
        <rFont val="宋体"/>
        <family val="2"/>
        <charset val="134"/>
        <scheme val="minor"/>
      </rPr>
      <t>；</t>
    </r>
    <phoneticPr fontId="1" type="noConversion"/>
  </si>
  <si>
    <t>细分行业</t>
  </si>
  <si>
    <t>折现率</t>
    <phoneticPr fontId="1" type="noConversion"/>
  </si>
  <si>
    <t>6增速</t>
    <phoneticPr fontId="1" type="noConversion"/>
  </si>
  <si>
    <t>承担负债现期溢价</t>
    <phoneticPr fontId="1" type="noConversion"/>
  </si>
  <si>
    <t>营收成长策略</t>
    <phoneticPr fontId="1" type="noConversion"/>
  </si>
  <si>
    <t>量价齐升策略</t>
    <phoneticPr fontId="1" type="noConversion"/>
  </si>
  <si>
    <t>N-2</t>
    <phoneticPr fontId="1" type="noConversion"/>
  </si>
  <si>
    <t>N-1</t>
    <phoneticPr fontId="1" type="noConversion"/>
  </si>
  <si>
    <t>N</t>
    <phoneticPr fontId="1" type="noConversion"/>
  </si>
  <si>
    <t>17.40万</t>
  </si>
  <si>
    <t>涨幅</t>
  </si>
  <si>
    <t>1增速</t>
    <phoneticPr fontId="1" type="noConversion"/>
  </si>
  <si>
    <t>3年自由现金流折现</t>
    <phoneticPr fontId="1" type="noConversion"/>
  </si>
  <si>
    <t>10年自由现金流折现</t>
    <phoneticPr fontId="1" type="noConversion"/>
  </si>
  <si>
    <t>策略1利润单季最佳增速</t>
    <phoneticPr fontId="1" type="noConversion"/>
  </si>
  <si>
    <t>营收和利润加权</t>
    <phoneticPr fontId="1" type="noConversion"/>
  </si>
  <si>
    <t>5日成交换手率</t>
    <phoneticPr fontId="1" type="noConversion"/>
  </si>
  <si>
    <t>N日期</t>
    <phoneticPr fontId="1" type="noConversion"/>
  </si>
  <si>
    <t>N-4</t>
    <phoneticPr fontId="1" type="noConversion"/>
  </si>
  <si>
    <t>不分配不转增</t>
  </si>
  <si>
    <t>17.24亿</t>
  </si>
  <si>
    <t>2.35亿</t>
  </si>
  <si>
    <t>1.03亿</t>
  </si>
  <si>
    <t>成交量[20230509]</t>
  </si>
  <si>
    <t>当季营业收入(同比增长率) %</t>
  </si>
  <si>
    <t>LYear营业总收入[20221231]</t>
  </si>
  <si>
    <t>LYear净利润[20221231]</t>
  </si>
  <si>
    <t>权益乘数[20220930]</t>
  </si>
  <si>
    <t>总资产周转率[20220930]</t>
  </si>
  <si>
    <t>净利润／营业总收入%[20220930]</t>
  </si>
  <si>
    <t>营业总成本[20220930]</t>
  </si>
  <si>
    <t>营业成本[20220930]</t>
  </si>
  <si>
    <t>销售费用[20230331]</t>
  </si>
  <si>
    <t>管理费用[20220930]</t>
  </si>
  <si>
    <t>研发费用总额</t>
  </si>
  <si>
    <t>其他收入[20230331]</t>
  </si>
  <si>
    <t>扣除非经常性损益后的净利润[20230331]</t>
  </si>
  <si>
    <t>货币资金[20230331]</t>
  </si>
  <si>
    <t>应收票据[20230331]</t>
  </si>
  <si>
    <t>固定资产[20230331]</t>
  </si>
  <si>
    <t>在建工程[20230331]</t>
  </si>
  <si>
    <t>短期借款[20230331]</t>
  </si>
  <si>
    <t>应付票据[20230331]</t>
  </si>
  <si>
    <t>应付账款[20230331]</t>
  </si>
  <si>
    <t>预收款项[20230331]</t>
  </si>
  <si>
    <t>流动负债[20230331]</t>
  </si>
  <si>
    <t>长期借款[20230331]</t>
  </si>
  <si>
    <t>经营活动产生的现金流量净额[20230331]</t>
  </si>
  <si>
    <t>投资活动产生的现金流量净额[20230331]</t>
  </si>
  <si>
    <t>筹资活动产生的现金流量净额[20230331]</t>
  </si>
  <si>
    <t>营业收入[20211231]</t>
  </si>
  <si>
    <t>营业收入[20201231]</t>
  </si>
  <si>
    <t>净利润[20211231]</t>
  </si>
  <si>
    <t>CYLQ营业收入[20221231]</t>
  </si>
  <si>
    <t>LYCQ营业收入[20220331]</t>
  </si>
  <si>
    <t>LYLQ营业收入[20211231]</t>
  </si>
  <si>
    <t>CYLQ净利润[20221231]</t>
  </si>
  <si>
    <t>LYCQ净利润[20220331]</t>
  </si>
  <si>
    <t>LYLQ净利润[20211231]</t>
  </si>
  <si>
    <t>投入资本回报率roic%[20221231]</t>
  </si>
  <si>
    <t>净资产收益率%[20221231]</t>
  </si>
  <si>
    <t>分红明细[20221231]</t>
  </si>
  <si>
    <t>销售毛利率%[20230331]</t>
  </si>
  <si>
    <t>销售毛利率%[20211231]</t>
  </si>
  <si>
    <t>销售净利率%[20230331]</t>
  </si>
  <si>
    <t>销售净利率%[20211231]</t>
  </si>
  <si>
    <t>区间涨跌幅:前复权%[20230428-20230509]</t>
  </si>
  <si>
    <t>指数@区间涨跌幅:不复权%[20230323-20230509]</t>
  </si>
  <si>
    <t>区间成交量[20230428-20230509]</t>
  </si>
  <si>
    <t>区间成交量[20230323-20230509]</t>
  </si>
  <si>
    <t>6年PE</t>
    <phoneticPr fontId="1" type="noConversion"/>
  </si>
  <si>
    <t>5年营收增速PEG</t>
    <phoneticPr fontId="1" type="noConversion"/>
  </si>
  <si>
    <t>股利率</t>
    <phoneticPr fontId="1" type="noConversion"/>
  </si>
  <si>
    <t>过往营收增速均值</t>
    <phoneticPr fontId="1" type="noConversion"/>
  </si>
  <si>
    <t>过往利润增速均值</t>
    <phoneticPr fontId="1" type="noConversion"/>
  </si>
  <si>
    <t>1年自由现金流折现</t>
    <phoneticPr fontId="1" type="noConversion"/>
  </si>
  <si>
    <t>3增速</t>
    <phoneticPr fontId="1" type="noConversion"/>
  </si>
  <si>
    <t>6年自由现金流折现</t>
    <phoneticPr fontId="1" type="noConversion"/>
  </si>
  <si>
    <t>10增速</t>
    <phoneticPr fontId="1" type="noConversion"/>
  </si>
  <si>
    <t>20年自由现金流折现</t>
    <phoneticPr fontId="1" type="noConversion"/>
  </si>
  <si>
    <t>清算价格</t>
    <phoneticPr fontId="1" type="noConversion"/>
  </si>
  <si>
    <t>原始顺序</t>
    <phoneticPr fontId="1" type="noConversion"/>
  </si>
  <si>
    <t>策略1营收单季最佳增速</t>
    <phoneticPr fontId="1" type="noConversion"/>
  </si>
  <si>
    <t>利润成长策略</t>
    <phoneticPr fontId="1" type="noConversion"/>
  </si>
  <si>
    <t>价格变动策略</t>
    <phoneticPr fontId="1" type="noConversion"/>
  </si>
  <si>
    <t>成交量综合策略</t>
    <phoneticPr fontId="1" type="noConversion"/>
  </si>
  <si>
    <t>基本面排序</t>
    <phoneticPr fontId="1" type="noConversion"/>
  </si>
  <si>
    <t>综合策略</t>
    <phoneticPr fontId="1" type="noConversion"/>
  </si>
  <si>
    <t>机会区域号</t>
    <phoneticPr fontId="1" type="noConversion"/>
  </si>
  <si>
    <t>30日成交换手率</t>
    <phoneticPr fontId="1" type="noConversion"/>
  </si>
  <si>
    <t>昨日价格累计指数</t>
    <phoneticPr fontId="1" type="noConversion"/>
  </si>
  <si>
    <t>今日价格累积指数</t>
    <phoneticPr fontId="1" type="noConversion"/>
  </si>
  <si>
    <t>成交量异动策略</t>
    <phoneticPr fontId="1" type="noConversion"/>
  </si>
  <si>
    <t>价格箱体形态过滤</t>
    <phoneticPr fontId="1" type="noConversion"/>
  </si>
  <si>
    <t>价格右侧初期策略</t>
    <phoneticPr fontId="1" type="noConversion"/>
  </si>
  <si>
    <t>N-3</t>
    <phoneticPr fontId="1" type="noConversion"/>
  </si>
  <si>
    <t>42.22亿</t>
  </si>
  <si>
    <t>820.08亿</t>
  </si>
  <si>
    <t>4.73亿</t>
  </si>
  <si>
    <t>-1-0</t>
  </si>
  <si>
    <t>3.57亿</t>
  </si>
  <si>
    <t>1.27亿</t>
  </si>
  <si>
    <t>393.40亿</t>
  </si>
  <si>
    <t>301.01亿</t>
  </si>
  <si>
    <t>194.20亿</t>
  </si>
  <si>
    <t>1698.12万</t>
  </si>
  <si>
    <t>1.16亿</t>
  </si>
  <si>
    <t>673.18亿</t>
  </si>
  <si>
    <t>61.64亿</t>
  </si>
  <si>
    <t>3852.14万</t>
  </si>
  <si>
    <t>10派1.0元(含税)</t>
  </si>
  <si>
    <t>8.22亿</t>
  </si>
  <si>
    <t>116.63亿</t>
  </si>
  <si>
    <t>76.06亿</t>
  </si>
  <si>
    <t>9772530200亿</t>
  </si>
  <si>
    <t>414.77亿</t>
  </si>
  <si>
    <t>3.70亿</t>
  </si>
  <si>
    <t>96.65亿</t>
  </si>
  <si>
    <t>93.27亿</t>
  </si>
  <si>
    <t>1.99亿</t>
  </si>
  <si>
    <t>1.19亿</t>
  </si>
  <si>
    <t>902.46万</t>
  </si>
  <si>
    <t>3023052亿</t>
  </si>
  <si>
    <t>1132.06万</t>
  </si>
  <si>
    <t>5113.79万</t>
  </si>
  <si>
    <t>49.62亿</t>
  </si>
  <si>
    <t>2296795100亿</t>
  </si>
  <si>
    <t>5866.96万</t>
  </si>
  <si>
    <t>15319941000亿</t>
  </si>
  <si>
    <t>289.45万</t>
  </si>
  <si>
    <t>6.72亿</t>
  </si>
  <si>
    <t>4.15亿</t>
  </si>
  <si>
    <t>37.32亿</t>
  </si>
  <si>
    <t>53.11万</t>
  </si>
  <si>
    <t>111.78亿</t>
  </si>
  <si>
    <t>74.55万</t>
  </si>
  <si>
    <t>-1.08亿</t>
  </si>
  <si>
    <t>-2331.72万</t>
  </si>
  <si>
    <t>5542.01万</t>
  </si>
  <si>
    <t>104.70亿</t>
  </si>
  <si>
    <t>8860.28万</t>
  </si>
  <si>
    <t>10派1.26元(含税)</t>
  </si>
  <si>
    <t>40.96亿</t>
  </si>
  <si>
    <t>6001.68万</t>
  </si>
  <si>
    <t>3.67亿</t>
  </si>
  <si>
    <t>145.98万</t>
  </si>
  <si>
    <t>217.27万</t>
  </si>
  <si>
    <t>432.71万</t>
  </si>
  <si>
    <t>-264.50万</t>
  </si>
  <si>
    <t>11.59亿</t>
  </si>
  <si>
    <t>2197.64万</t>
  </si>
  <si>
    <t>477.59亿</t>
  </si>
  <si>
    <t>-5.00亿</t>
  </si>
  <si>
    <t>1.42亿</t>
  </si>
  <si>
    <t>5.12亿</t>
  </si>
  <si>
    <t>1.62亿</t>
  </si>
  <si>
    <t>SH601061</t>
  </si>
  <si>
    <t>中信金属</t>
  </si>
  <si>
    <t>262.06亿</t>
  </si>
  <si>
    <t>175.25亿</t>
  </si>
  <si>
    <t>27733429000亿</t>
  </si>
  <si>
    <t>1191.75亿</t>
  </si>
  <si>
    <t>22.15亿</t>
  </si>
  <si>
    <t>271.34亿</t>
  </si>
  <si>
    <t>268.00亿</t>
  </si>
  <si>
    <t>7192.44万</t>
  </si>
  <si>
    <t>7196.12万</t>
  </si>
  <si>
    <t>2137.43万</t>
  </si>
  <si>
    <t>-46558211亿</t>
  </si>
  <si>
    <t>7356.75万</t>
  </si>
  <si>
    <t>5.42亿</t>
  </si>
  <si>
    <t>38.64亿</t>
  </si>
  <si>
    <t>2115953400亿</t>
  </si>
  <si>
    <t>26132463000亿</t>
  </si>
  <si>
    <t>693.00万</t>
  </si>
  <si>
    <t>105.28亿</t>
  </si>
  <si>
    <t>7.49亿</t>
  </si>
  <si>
    <t>32.82亿</t>
  </si>
  <si>
    <t>209.69亿</t>
  </si>
  <si>
    <t>43.48亿</t>
  </si>
  <si>
    <t>-24.90亿</t>
  </si>
  <si>
    <t>3160.44万</t>
  </si>
  <si>
    <t>34.52亿</t>
  </si>
  <si>
    <t>1128.16亿</t>
  </si>
  <si>
    <t>769.42亿</t>
  </si>
  <si>
    <t>633.03亿</t>
  </si>
  <si>
    <t>447.38亿</t>
  </si>
  <si>
    <t>18.23亿</t>
  </si>
  <si>
    <t>11.38亿</t>
  </si>
  <si>
    <t>7.12亿</t>
  </si>
  <si>
    <t>13.04亿</t>
  </si>
  <si>
    <t>256.13亿</t>
  </si>
  <si>
    <t>5.19亿</t>
  </si>
  <si>
    <t>2.13亿</t>
  </si>
  <si>
    <t>10派3元(含税)</t>
  </si>
  <si>
    <t>1-1</t>
  </si>
  <si>
    <t>3-1</t>
  </si>
  <si>
    <t>SZ002072</t>
  </si>
  <si>
    <t>凯瑞德</t>
  </si>
  <si>
    <t>3.59亿</t>
  </si>
  <si>
    <t>2651.37万</t>
  </si>
  <si>
    <t>1532.67万</t>
  </si>
  <si>
    <t>2503.56万</t>
  </si>
  <si>
    <t>854.72万</t>
  </si>
  <si>
    <t>-2.02亿</t>
  </si>
  <si>
    <t>854.12万</t>
  </si>
  <si>
    <t>-2.50亿</t>
  </si>
  <si>
    <t>1052.36万</t>
  </si>
  <si>
    <t>4641.14万</t>
  </si>
  <si>
    <t>5.06亿</t>
  </si>
  <si>
    <t>1021.42万</t>
  </si>
  <si>
    <t>9786.55万</t>
  </si>
  <si>
    <t>8.90亿</t>
  </si>
  <si>
    <r>
      <t>1.公司坚持“质量是生命，品牌筑未来”的品牌理念，持续加大对品牌建设的探索和实践。经过多年积累，孵化出包括 EtonKidd（伊顿纪德/品牌校服）、Firman（弗曼/汽柴油发电机）、Yardforce（佳孚/园林工具）、Berkshire（伯克希尔/家纺）、PhonoSolar（辉伦/光伏组件）
等自有品牌矩阵，在各自细分赛道上的品牌力、影响力持续提升。2.参考克拉克森数据，</t>
    </r>
    <r>
      <rPr>
        <sz val="9"/>
        <color rgb="FFFF0000"/>
        <rFont val="宋体"/>
        <family val="3"/>
        <charset val="134"/>
        <scheme val="minor"/>
      </rPr>
      <t>苏美达船厂全球船厂排名第 20</t>
    </r>
    <r>
      <rPr>
        <sz val="9"/>
        <color theme="1"/>
        <rFont val="宋体"/>
        <family val="2"/>
        <charset val="134"/>
        <scheme val="minor"/>
      </rPr>
      <t>，公司主力船型为超灵便型散货船，按照当前订单，公司在超灵便型散货船领域手持订单排名全球第一。</t>
    </r>
    <phoneticPr fontId="1" type="noConversion"/>
  </si>
  <si>
    <r>
      <t>1.打造数字化驱动的国际化产业链和供应链，成为国内国际相互促进的双循环标杆企业。（竞争对手也多，关键看市场是否足够大）2.考虑到</t>
    </r>
    <r>
      <rPr>
        <sz val="9"/>
        <color rgb="FFFF0000"/>
        <rFont val="宋体"/>
        <family val="3"/>
        <charset val="134"/>
        <scheme val="minor"/>
      </rPr>
      <t>造船与海洋运输业务</t>
    </r>
    <r>
      <rPr>
        <sz val="9"/>
        <color theme="1"/>
        <rFont val="宋体"/>
        <family val="2"/>
        <charset val="134"/>
        <scheme val="minor"/>
      </rPr>
      <t>已签满 2024 年闭口合同，同时 2024 年新大洋造
船厂开始贡献利润，给予 2024 年 2.38 亿元 19 倍 PE 估值，对应 46 亿，分部估值法下苏美达合理估值为 146 亿元.(民用船只面临日韩的船厂的直接竞争）</t>
    </r>
    <phoneticPr fontId="1" type="noConversion"/>
  </si>
  <si>
    <t>403.07万</t>
  </si>
  <si>
    <t>24.51亿</t>
  </si>
  <si>
    <t>7.83亿</t>
  </si>
  <si>
    <t>30.67亿</t>
  </si>
  <si>
    <t>-2.63亿</t>
  </si>
  <si>
    <t>5.23亿</t>
  </si>
  <si>
    <t>4.44亿</t>
  </si>
  <si>
    <t>1546.21万</t>
  </si>
  <si>
    <t>4442.79万</t>
  </si>
  <si>
    <t>-37870557亿</t>
  </si>
  <si>
    <t>12.68亿</t>
  </si>
  <si>
    <t>372060040亿</t>
  </si>
  <si>
    <t>2630120300亿</t>
  </si>
  <si>
    <t>9.15亿</t>
  </si>
  <si>
    <t>9.67亿</t>
  </si>
  <si>
    <t>24.21亿</t>
  </si>
  <si>
    <t>1006.65万</t>
  </si>
  <si>
    <t>-1.17亿</t>
  </si>
  <si>
    <t>-5.82万</t>
  </si>
  <si>
    <t>3360.61万</t>
  </si>
  <si>
    <t>-3.32亿</t>
  </si>
  <si>
    <t>11.81亿</t>
  </si>
  <si>
    <t>-3357.95万</t>
  </si>
  <si>
    <t>3013.61万</t>
  </si>
  <si>
    <t>3.42亿</t>
  </si>
  <si>
    <t>229.00万</t>
  </si>
  <si>
    <t>42.50亿</t>
  </si>
  <si>
    <t>28.85亿</t>
  </si>
  <si>
    <t>207.22亿</t>
  </si>
  <si>
    <t>862.95亿</t>
  </si>
  <si>
    <t>-3.77亿</t>
  </si>
  <si>
    <t>207.01亿</t>
  </si>
  <si>
    <t>205.23亿</t>
  </si>
  <si>
    <t>8629.91万</t>
  </si>
  <si>
    <t>4665.45万</t>
  </si>
  <si>
    <t>-11224676亿</t>
  </si>
  <si>
    <t>81.85万</t>
  </si>
  <si>
    <t>-25416109亿</t>
  </si>
  <si>
    <t>25.56亿</t>
  </si>
  <si>
    <t>1175018970亿</t>
  </si>
  <si>
    <t>2573.50万</t>
  </si>
  <si>
    <t>7490924700亿</t>
  </si>
  <si>
    <t>1392.86万</t>
  </si>
  <si>
    <t>16.14亿</t>
  </si>
  <si>
    <t>15.02亿</t>
  </si>
  <si>
    <t>11.40亿</t>
  </si>
  <si>
    <t>57.00亿</t>
  </si>
  <si>
    <t>6.42亿</t>
  </si>
  <si>
    <t>-6.70亿</t>
  </si>
  <si>
    <t>-2.65亿</t>
  </si>
  <si>
    <t>8.72亿</t>
  </si>
  <si>
    <t>175.18亿</t>
  </si>
  <si>
    <t>1565.50万</t>
  </si>
  <si>
    <t>1520.42万</t>
  </si>
  <si>
    <t>1.12亿</t>
  </si>
  <si>
    <t>-7-1</t>
  </si>
  <si>
    <t>SZ000701</t>
  </si>
  <si>
    <t>厦门信达</t>
  </si>
  <si>
    <t>1159.79万</t>
  </si>
  <si>
    <t>124.28亿</t>
  </si>
  <si>
    <t>41.10亿</t>
  </si>
  <si>
    <t>128.81亿</t>
  </si>
  <si>
    <t>715.40亿</t>
  </si>
  <si>
    <t>-5.97亿</t>
  </si>
  <si>
    <t>128.63亿</t>
  </si>
  <si>
    <t>125.56亿</t>
  </si>
  <si>
    <t>1.09亿</t>
  </si>
  <si>
    <t>46822217亿</t>
  </si>
  <si>
    <t>2477.28万</t>
  </si>
  <si>
    <t>-29606441亿</t>
  </si>
  <si>
    <t>51.46亿</t>
  </si>
  <si>
    <t>3057027700亿</t>
  </si>
  <si>
    <t>17431552000亿</t>
  </si>
  <si>
    <t>1354.38万</t>
  </si>
  <si>
    <t>79.96亿</t>
  </si>
  <si>
    <t>26.93亿</t>
  </si>
  <si>
    <t>23.39亿</t>
  </si>
  <si>
    <t>175.50万</t>
  </si>
  <si>
    <t>156.17亿</t>
  </si>
  <si>
    <t>27.71亿</t>
  </si>
  <si>
    <t>-18.48亿</t>
  </si>
  <si>
    <t>-15.40亿</t>
  </si>
  <si>
    <t>64.45亿</t>
  </si>
  <si>
    <t>940.00亿</t>
  </si>
  <si>
    <t>1085.49亿</t>
  </si>
  <si>
    <t>762.76亿</t>
  </si>
  <si>
    <t>837.98亿</t>
  </si>
  <si>
    <t>649.31亿</t>
  </si>
  <si>
    <t>5084.13万</t>
  </si>
  <si>
    <t>4569.37万</t>
  </si>
  <si>
    <t>1107.26万</t>
  </si>
  <si>
    <t>-24.93亿</t>
  </si>
  <si>
    <t>2252.47万</t>
  </si>
  <si>
    <t>210.15亿</t>
  </si>
  <si>
    <t>717.58万</t>
  </si>
  <si>
    <t>6436.97万</t>
  </si>
  <si>
    <t>5.79亿</t>
  </si>
  <si>
    <t>2-1</t>
  </si>
  <si>
    <t>470.25万</t>
  </si>
  <si>
    <t>6391.34万</t>
  </si>
  <si>
    <t>5459.63万</t>
  </si>
  <si>
    <t>3.36亿</t>
  </si>
  <si>
    <t>188.03万</t>
  </si>
  <si>
    <t>1.41亿</t>
  </si>
  <si>
    <t>1.36亿</t>
  </si>
  <si>
    <t>185.31万</t>
  </si>
  <si>
    <t>342.43万</t>
  </si>
  <si>
    <t>1336413亿</t>
  </si>
  <si>
    <t>322.47万</t>
  </si>
  <si>
    <t>23202789亿</t>
  </si>
  <si>
    <t>107000682亿</t>
  </si>
  <si>
    <t>315.19万</t>
  </si>
  <si>
    <t>5476.07万</t>
  </si>
  <si>
    <t>125.43万</t>
  </si>
  <si>
    <t>-1051.20万</t>
  </si>
  <si>
    <t>7156.29万</t>
  </si>
  <si>
    <t>-80.15万</t>
  </si>
  <si>
    <t>3155.95万</t>
  </si>
  <si>
    <t>2.65亿</t>
  </si>
  <si>
    <t>-2-0</t>
  </si>
  <si>
    <t>618.74万</t>
  </si>
  <si>
    <t>219.02亿</t>
  </si>
  <si>
    <t>215.28亿</t>
  </si>
  <si>
    <t>80.80亿</t>
  </si>
  <si>
    <t>371.17亿</t>
  </si>
  <si>
    <t>16.04亿</t>
  </si>
  <si>
    <t>75.73亿</t>
  </si>
  <si>
    <t>68.36亿</t>
  </si>
  <si>
    <t>4.81亿</t>
  </si>
  <si>
    <t>2.81亿</t>
  </si>
  <si>
    <t>21378355亿</t>
  </si>
  <si>
    <t>172.31万</t>
  </si>
  <si>
    <t>218968380亿</t>
  </si>
  <si>
    <t>213.71亿</t>
  </si>
  <si>
    <t>5636290500亿</t>
  </si>
  <si>
    <t>2.86亿</t>
  </si>
  <si>
    <t>33361656000亿</t>
  </si>
  <si>
    <t>17.18亿</t>
  </si>
  <si>
    <t>15.78亿</t>
  </si>
  <si>
    <t>26.13亿</t>
  </si>
  <si>
    <t>58.91亿</t>
  </si>
  <si>
    <t>128.75万</t>
  </si>
  <si>
    <t>144.97亿</t>
  </si>
  <si>
    <t>15.29亿</t>
  </si>
  <si>
    <t>-17.91亿</t>
  </si>
  <si>
    <t>-4.31亿</t>
  </si>
  <si>
    <t>4.80亿</t>
  </si>
  <si>
    <t>427.71亿</t>
  </si>
  <si>
    <t>81.26亿</t>
  </si>
  <si>
    <t>3.13亿</t>
  </si>
  <si>
    <t>2879.49万</t>
  </si>
  <si>
    <t>2.89亿</t>
  </si>
  <si>
    <t>SZ002183</t>
  </si>
  <si>
    <t>怡 亚 通</t>
  </si>
  <si>
    <t>1633.15万</t>
  </si>
  <si>
    <t>436.43亿</t>
  </si>
  <si>
    <t>105.94亿</t>
  </si>
  <si>
    <t>203.05亿</t>
  </si>
  <si>
    <t>944.22亿</t>
  </si>
  <si>
    <t>202.93亿</t>
  </si>
  <si>
    <t>194.69亿</t>
  </si>
  <si>
    <t>2.02亿</t>
  </si>
  <si>
    <t>3.31亿</t>
  </si>
  <si>
    <t>22125220亿</t>
  </si>
  <si>
    <t>162.73万</t>
  </si>
  <si>
    <t>9092440亿</t>
  </si>
  <si>
    <t>102.55亿</t>
  </si>
  <si>
    <t>15922042000亿</t>
  </si>
  <si>
    <t>7.66亿</t>
  </si>
  <si>
    <t>39994736000亿</t>
  </si>
  <si>
    <t>24.43亿</t>
  </si>
  <si>
    <t>200.95亿</t>
  </si>
  <si>
    <t>94.78亿</t>
  </si>
  <si>
    <t>53.11亿</t>
  </si>
  <si>
    <t>278.60万</t>
  </si>
  <si>
    <t>376.25亿</t>
  </si>
  <si>
    <t>6.68亿</t>
  </si>
  <si>
    <t>6444.68万</t>
  </si>
  <si>
    <t>3206.39万</t>
  </si>
  <si>
    <t>-3.64亿</t>
  </si>
  <si>
    <t>853.98亿</t>
  </si>
  <si>
    <t>702.08亿</t>
  </si>
  <si>
    <t>681.20亿</t>
  </si>
  <si>
    <t>718.34亿</t>
  </si>
  <si>
    <t>696.92亿</t>
  </si>
  <si>
    <t>2.56亿</t>
  </si>
  <si>
    <t>1.23亿</t>
  </si>
  <si>
    <t>9014.17万</t>
  </si>
  <si>
    <t>2.00亿</t>
  </si>
  <si>
    <t>198.01亿</t>
  </si>
  <si>
    <t>3007.92万</t>
  </si>
  <si>
    <t>10派0.12元(含税)</t>
  </si>
  <si>
    <t>9092.16万</t>
  </si>
  <si>
    <t>6.21亿</t>
  </si>
  <si>
    <t>102.00亿</t>
  </si>
  <si>
    <t>49.93亿</t>
  </si>
  <si>
    <t>35.60亿</t>
  </si>
  <si>
    <t>174.49亿</t>
  </si>
  <si>
    <t>-9.35亿</t>
  </si>
  <si>
    <t>37.41亿</t>
  </si>
  <si>
    <t>32.58亿</t>
  </si>
  <si>
    <t>2.05亿</t>
  </si>
  <si>
    <t>-8408225亿</t>
  </si>
  <si>
    <t>316.81万</t>
  </si>
  <si>
    <t>-93222110亿</t>
  </si>
  <si>
    <t>16.20亿</t>
  </si>
  <si>
    <t>4541845200亿</t>
  </si>
  <si>
    <t>10239222200亿</t>
  </si>
  <si>
    <t>12.79亿</t>
  </si>
  <si>
    <t>44.18亿</t>
  </si>
  <si>
    <t>23.88万</t>
  </si>
  <si>
    <t>79.28亿</t>
  </si>
  <si>
    <t>10.27亿</t>
  </si>
  <si>
    <t>-5.31亿</t>
  </si>
  <si>
    <t>2583.84万</t>
  </si>
  <si>
    <t>2.10亿</t>
  </si>
  <si>
    <t>49.61亿</t>
  </si>
  <si>
    <t>-3950.08万</t>
  </si>
  <si>
    <t>9190.91万</t>
  </si>
  <si>
    <t>59.52亿</t>
  </si>
  <si>
    <t>-6-1</t>
  </si>
  <si>
    <t>339.06万</t>
  </si>
  <si>
    <t>150.79亿</t>
  </si>
  <si>
    <t>75.06亿</t>
  </si>
  <si>
    <t>144.76亿</t>
  </si>
  <si>
    <t>17.84亿</t>
  </si>
  <si>
    <t>3.97亿</t>
  </si>
  <si>
    <t>-53051805亿</t>
  </si>
  <si>
    <t>670.83万</t>
  </si>
  <si>
    <t>-193378310亿</t>
  </si>
  <si>
    <t>27.15亿</t>
  </si>
  <si>
    <t>9813915800亿</t>
  </si>
  <si>
    <t>27930423000亿</t>
  </si>
  <si>
    <t>1347.32万</t>
  </si>
  <si>
    <t>63.44亿</t>
  </si>
  <si>
    <t>24.13亿</t>
  </si>
  <si>
    <t>-58.65亿</t>
  </si>
  <si>
    <t>1132.60万</t>
  </si>
  <si>
    <t>64.96亿</t>
  </si>
  <si>
    <t>814.77亿</t>
  </si>
  <si>
    <t>3.66亿</t>
  </si>
  <si>
    <t>789.96亿</t>
  </si>
  <si>
    <t>5886.26万</t>
  </si>
  <si>
    <t>1654.36万</t>
  </si>
  <si>
    <t>开始亏损</t>
  </si>
  <si>
    <t>01191000000</t>
  </si>
  <si>
    <t>02382000000</t>
  </si>
  <si>
    <t>03970000000</t>
  </si>
  <si>
    <t>07940000000</t>
  </si>
  <si>
    <t>苏豪弘业</t>
  </si>
  <si>
    <t>189.25万</t>
  </si>
  <si>
    <t>32.18亿</t>
  </si>
  <si>
    <t>27.20亿</t>
  </si>
  <si>
    <t>16.73亿</t>
  </si>
  <si>
    <t>156.23亿</t>
  </si>
  <si>
    <t>14925687亿</t>
  </si>
  <si>
    <t>21.83万</t>
  </si>
  <si>
    <t>1823492亿</t>
  </si>
  <si>
    <t>10.82亿</t>
  </si>
  <si>
    <t>1028153730亿</t>
  </si>
  <si>
    <t>3442336900亿</t>
  </si>
  <si>
    <t>860.06万</t>
  </si>
  <si>
    <t>8.20亿</t>
  </si>
  <si>
    <t>4.84亿</t>
  </si>
  <si>
    <t>559.60万</t>
  </si>
  <si>
    <t>-9745.91万</t>
  </si>
  <si>
    <t>6253.22万</t>
  </si>
  <si>
    <t>-2330.37万</t>
  </si>
  <si>
    <t>67.20亿</t>
  </si>
  <si>
    <t>44.27亿</t>
  </si>
  <si>
    <t>3263.56万</t>
  </si>
  <si>
    <t>1381.65万</t>
  </si>
  <si>
    <t>9529.43万</t>
  </si>
  <si>
    <t>658.11万</t>
  </si>
  <si>
    <t>14.71亿</t>
  </si>
  <si>
    <t>19.62亿</t>
  </si>
  <si>
    <t>7.98亿</t>
  </si>
  <si>
    <t>23.32亿</t>
  </si>
  <si>
    <t>4990.77万</t>
  </si>
  <si>
    <t>7.57亿</t>
  </si>
  <si>
    <t>6.74亿</t>
  </si>
  <si>
    <t>5281.54万</t>
  </si>
  <si>
    <t>2675.29万</t>
  </si>
  <si>
    <t>162256亿</t>
  </si>
  <si>
    <t>167.20万</t>
  </si>
  <si>
    <t>17192195亿</t>
  </si>
  <si>
    <t>8.16亿</t>
  </si>
  <si>
    <t>510619930亿</t>
  </si>
  <si>
    <t>1.95亿</t>
  </si>
  <si>
    <t>2284526300亿</t>
  </si>
  <si>
    <t>32.42万</t>
  </si>
  <si>
    <t>8.08亿</t>
  </si>
  <si>
    <t>1.70亿</t>
  </si>
  <si>
    <t>14.01亿</t>
  </si>
  <si>
    <t>-3314.73万</t>
  </si>
  <si>
    <t>-279.18万</t>
  </si>
  <si>
    <t>1.04亿</t>
  </si>
  <si>
    <t>37.85亿</t>
  </si>
  <si>
    <t>28.84亿</t>
  </si>
  <si>
    <t>38.57亿</t>
  </si>
  <si>
    <t>49.38亿</t>
  </si>
  <si>
    <t>-6.91亿</t>
  </si>
  <si>
    <t>9896.59万</t>
  </si>
  <si>
    <t>2.36亿</t>
  </si>
  <si>
    <t>5103.07万</t>
  </si>
  <si>
    <t>34.04亿</t>
  </si>
  <si>
    <t>4.98亿</t>
  </si>
  <si>
    <t>7095.11万</t>
  </si>
  <si>
    <t>1611.31万</t>
  </si>
  <si>
    <t>3413.42万</t>
  </si>
  <si>
    <t>049907700</t>
  </si>
  <si>
    <t>0149723100</t>
  </si>
  <si>
    <t>0299446200</t>
  </si>
  <si>
    <t>0499077000</t>
  </si>
  <si>
    <t>0998154000</t>
  </si>
  <si>
    <t>217.82万</t>
  </si>
  <si>
    <t>4782.26万</t>
  </si>
  <si>
    <t>8022.21万</t>
  </si>
  <si>
    <t>51.40亿</t>
  </si>
  <si>
    <t>1.22亿</t>
  </si>
  <si>
    <t>8000.36万</t>
  </si>
  <si>
    <t>7783.72万</t>
  </si>
  <si>
    <t>37.44万</t>
  </si>
  <si>
    <t>116.39万</t>
  </si>
  <si>
    <t>608745亿</t>
  </si>
  <si>
    <t>1902.57万</t>
  </si>
  <si>
    <t>639.88万</t>
  </si>
  <si>
    <t>133399070亿</t>
  </si>
  <si>
    <t>1000.37万</t>
  </si>
  <si>
    <t>366.70万</t>
  </si>
  <si>
    <t>8380.91万</t>
  </si>
  <si>
    <t>101.77万</t>
  </si>
  <si>
    <t>-905.87万</t>
  </si>
  <si>
    <t>403.44万</t>
  </si>
  <si>
    <t>1.71亿</t>
  </si>
  <si>
    <t>14.83亿</t>
  </si>
  <si>
    <t>-2201.50万</t>
  </si>
  <si>
    <t>5725.65万</t>
  </si>
  <si>
    <t>1490.74万</t>
  </si>
  <si>
    <t>1.28亿</t>
  </si>
  <si>
    <t>XD苏美达</t>
  </si>
  <si>
    <t>706.00万</t>
  </si>
  <si>
    <t>391.34亿</t>
  </si>
  <si>
    <t>137.20亿</t>
  </si>
  <si>
    <t>237.45亿</t>
  </si>
  <si>
    <t>244.56亿</t>
  </si>
  <si>
    <t>230.37亿</t>
  </si>
  <si>
    <t>222.96亿</t>
  </si>
  <si>
    <t>7142562亿</t>
  </si>
  <si>
    <t>3800.80万</t>
  </si>
  <si>
    <t>231235190亿</t>
  </si>
  <si>
    <t>96.98亿</t>
  </si>
  <si>
    <t>8984966000亿</t>
  </si>
  <si>
    <t>1.47亿</t>
  </si>
  <si>
    <t>46559648000亿</t>
  </si>
  <si>
    <t>938.42万</t>
  </si>
  <si>
    <t>38.66亿</t>
  </si>
  <si>
    <t>43.43亿</t>
  </si>
  <si>
    <t>79.36亿</t>
  </si>
  <si>
    <t>24.12万</t>
  </si>
  <si>
    <t>396.79亿</t>
  </si>
  <si>
    <t>5.95亿</t>
  </si>
  <si>
    <t>-23.15亿</t>
  </si>
  <si>
    <t>-1.83亿</t>
  </si>
  <si>
    <t>4.63亿</t>
  </si>
  <si>
    <t>1411.48亿</t>
  </si>
  <si>
    <t>9.13亿</t>
  </si>
  <si>
    <t>1229.81亿</t>
  </si>
  <si>
    <t>61.88亿</t>
  </si>
  <si>
    <t>10.30亿</t>
  </si>
  <si>
    <t>4416.26万</t>
  </si>
  <si>
    <t>10派3.3元(含税)</t>
  </si>
  <si>
    <t>3633.40万</t>
  </si>
  <si>
    <t>2.52亿</t>
  </si>
  <si>
    <t>0265000000</t>
  </si>
  <si>
    <t>0795000000</t>
  </si>
  <si>
    <t>01590000000</t>
  </si>
  <si>
    <t>02650000000</t>
  </si>
  <si>
    <t>05300000000</t>
  </si>
  <si>
    <t>4-1</t>
  </si>
  <si>
    <t>982.84万</t>
  </si>
  <si>
    <t>1.31亿</t>
  </si>
  <si>
    <t>3.60亿</t>
  </si>
  <si>
    <t>2.23亿</t>
  </si>
  <si>
    <t>188.44亿</t>
  </si>
  <si>
    <t>-9098.19万</t>
  </si>
  <si>
    <t>2.17亿</t>
  </si>
  <si>
    <t>218.40万</t>
  </si>
  <si>
    <t>416.60万</t>
  </si>
  <si>
    <t>31391亿</t>
  </si>
  <si>
    <t>1528.39万</t>
  </si>
  <si>
    <t>354917850亿</t>
  </si>
  <si>
    <t>445.65万</t>
  </si>
  <si>
    <t>467322540亿</t>
  </si>
  <si>
    <t>3223.80万</t>
  </si>
  <si>
    <t>6230.18万</t>
  </si>
  <si>
    <t>-6575.30万</t>
  </si>
  <si>
    <t>-800.00万</t>
  </si>
  <si>
    <t>8.98亿</t>
  </si>
  <si>
    <t>57.88亿</t>
  </si>
  <si>
    <t>514.83万</t>
  </si>
  <si>
    <t>6196.34万</t>
  </si>
  <si>
    <t>4.78亿</t>
  </si>
  <si>
    <t>995.46万</t>
  </si>
  <si>
    <t>178.38亿</t>
  </si>
  <si>
    <t>54.97亿</t>
  </si>
  <si>
    <t>98.43亿</t>
  </si>
  <si>
    <t>53.86亿</t>
  </si>
  <si>
    <t>4.07亿</t>
  </si>
  <si>
    <t>98.56亿</t>
  </si>
  <si>
    <t>94.35亿</t>
  </si>
  <si>
    <t>1.61亿</t>
  </si>
  <si>
    <t>1.53亿</t>
  </si>
  <si>
    <t>-15883439亿</t>
  </si>
  <si>
    <t>176.51万</t>
  </si>
  <si>
    <t>-72987235亿</t>
  </si>
  <si>
    <t>36.80亿</t>
  </si>
  <si>
    <t>2621134000亿</t>
  </si>
  <si>
    <t>552.89万</t>
  </si>
  <si>
    <t>21291202000亿</t>
  </si>
  <si>
    <t>2280.81万</t>
  </si>
  <si>
    <t>74.64亿</t>
  </si>
  <si>
    <t>4.49亿</t>
  </si>
  <si>
    <t>26.79亿</t>
  </si>
  <si>
    <t>157.78亿</t>
  </si>
  <si>
    <t>45.18亿</t>
  </si>
  <si>
    <t>-2.32亿</t>
  </si>
  <si>
    <t>7329.06万</t>
  </si>
  <si>
    <t>4.76亿</t>
  </si>
  <si>
    <t>480.05亿</t>
  </si>
  <si>
    <t>17.21亿</t>
  </si>
  <si>
    <t>-8745.49万</t>
  </si>
  <si>
    <t>786.52万</t>
  </si>
  <si>
    <t>5495.48万</t>
  </si>
  <si>
    <t>4.02亿</t>
  </si>
  <si>
    <t>01221000000</t>
  </si>
  <si>
    <t>02442000000</t>
  </si>
  <si>
    <t>04070000000</t>
  </si>
  <si>
    <t>08140000000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</si>
</sst>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Calibri"/>
      <family val="2"/>
    </font>
    <font>
      <sz val="9"/>
      <color theme="1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9"/>
      <color rgb="FFFF0000"/>
      <name val="宋体"/>
      <family val="3"/>
      <charset val="134"/>
      <scheme val="minor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Fill="0" applyProtection="0"/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0" fillId="0" borderId="1" xfId="0" applyNumberFormat="1" applyFill="1" applyBorder="1" applyAlignment="1">
      <alignment vertical="center" wrapText="1"/>
    </xf>
    <xf numFmtId="0" fontId="0" fillId="3" borderId="1" xfId="0" applyNumberFormat="1" applyFill="1" applyBorder="1" applyAlignment="1">
      <alignment vertical="center" wrapText="1"/>
    </xf>
    <xf numFmtId="10" fontId="0" fillId="0" borderId="0" xfId="0" applyNumberFormat="1">
      <alignment vertical="center"/>
    </xf>
    <xf numFmtId="0" fontId="3" fillId="0" borderId="0" xfId="0" applyFont="1" applyAlignment="1">
      <alignment vertical="center" wrapText="1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5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 applyFill="1">
      <alignment vertical="center"/>
    </xf>
    <xf numFmtId="14" fontId="0" fillId="0" borderId="0" xfId="0" applyNumberFormat="1">
      <alignment vertical="center"/>
    </xf>
    <xf numFmtId="0" fontId="0" fillId="0" borderId="0" xfId="0" applyNumberFormat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147</xdr:col>
          <xdr:colOff>584200</xdr:colOff>
          <xdr:row>0</xdr:row>
          <xdr:rowOff>139700</xdr:rowOff>
        </xdr:from>
        <xdr:to>
          <xdr:col>147</xdr:col>
          <xdr:colOff>1816100</xdr:colOff>
          <xdr:row>0</xdr:row>
          <xdr:rowOff>450850</xdr:rowOff>
        </xdr:to>
        <xdr:sp macro="" textlink="">
          <xdr:nvSpPr>
            <xdr:cNvPr id="2049" name="Button 1" descr="更新基本面按钮&#10;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更新基本面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P17"/>
  <sheetViews>
    <sheetView tabSelected="1" zoomScale="85" zoomScaleNormal="85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C3" sqref="C3:C4"/>
    </sheetView>
  </sheetViews>
  <sheetFormatPr defaultRowHeight="14" x14ac:dyDescent="0.25"/>
  <cols>
    <col min="1" max="1" width="30" customWidth="1"/>
    <col min="2" max="2" width="32.90625" customWidth="1"/>
    <col min="3" max="3" width="42.90625" customWidth="1"/>
    <col min="148" max="148" width="32.90625" customWidth="1"/>
  </cols>
  <sheetData>
    <row r="1" spans="1:146" ht="47.5" customHeight="1" x14ac:dyDescent="0.25">
      <c r="A1" s="3" t="s">
        <v>12</v>
      </c>
      <c r="B1" s="4" t="s">
        <v>13</v>
      </c>
      <c r="C1" s="3" t="s">
        <v>14</v>
      </c>
      <c r="D1" t="s">
        <v>15</v>
      </c>
      <c r="E1" t="s">
        <v>142</v>
      </c>
      <c r="F1" t="s">
        <v>3</v>
      </c>
      <c r="G1" t="s">
        <v>165</v>
      </c>
      <c r="H1" t="s">
        <v>178</v>
      </c>
      <c r="I1" t="s">
        <v>16</v>
      </c>
      <c r="J1" t="s">
        <v>17</v>
      </c>
      <c r="K1" t="s">
        <v>4</v>
      </c>
      <c r="L1" t="s">
        <v>18</v>
      </c>
      <c r="M1" t="s">
        <v>19</v>
      </c>
      <c r="N1" t="s">
        <v>20</v>
      </c>
      <c r="O1" t="s">
        <v>21</v>
      </c>
      <c r="P1" t="s">
        <v>179</v>
      </c>
      <c r="Q1" t="s">
        <v>180</v>
      </c>
      <c r="R1" t="s">
        <v>143</v>
      </c>
      <c r="S1" t="s">
        <v>22</v>
      </c>
      <c r="T1" t="s">
        <v>181</v>
      </c>
      <c r="U1" t="s">
        <v>112</v>
      </c>
      <c r="V1" t="s">
        <v>23</v>
      </c>
      <c r="W1" t="s">
        <v>182</v>
      </c>
      <c r="X1" t="s">
        <v>183</v>
      </c>
      <c r="Y1" t="s">
        <v>184</v>
      </c>
      <c r="Z1" t="s">
        <v>185</v>
      </c>
      <c r="AA1" t="s">
        <v>186</v>
      </c>
      <c r="AB1" t="s">
        <v>187</v>
      </c>
      <c r="AC1" t="s">
        <v>188</v>
      </c>
      <c r="AD1" t="s">
        <v>189</v>
      </c>
      <c r="AE1" t="s">
        <v>24</v>
      </c>
      <c r="AF1" t="s">
        <v>25</v>
      </c>
      <c r="AG1" t="s">
        <v>190</v>
      </c>
      <c r="AH1" t="s">
        <v>191</v>
      </c>
      <c r="AI1" t="s">
        <v>192</v>
      </c>
      <c r="AJ1" t="s">
        <v>26</v>
      </c>
      <c r="AK1" t="s">
        <v>193</v>
      </c>
      <c r="AL1" t="s">
        <v>49</v>
      </c>
      <c r="AM1" t="s">
        <v>194</v>
      </c>
      <c r="AN1" t="s">
        <v>195</v>
      </c>
      <c r="AO1" t="s">
        <v>196</v>
      </c>
      <c r="AP1" t="s">
        <v>197</v>
      </c>
      <c r="AQ1" t="s">
        <v>198</v>
      </c>
      <c r="AR1" t="s">
        <v>199</v>
      </c>
      <c r="AS1" t="s">
        <v>200</v>
      </c>
      <c r="AT1" t="s">
        <v>201</v>
      </c>
      <c r="AU1" t="s">
        <v>202</v>
      </c>
      <c r="AV1" t="s">
        <v>203</v>
      </c>
      <c r="AW1" t="s">
        <v>204</v>
      </c>
      <c r="AX1" t="s">
        <v>205</v>
      </c>
      <c r="AY1" t="s">
        <v>206</v>
      </c>
      <c r="AZ1" t="s">
        <v>50</v>
      </c>
      <c r="BA1" t="s">
        <v>51</v>
      </c>
      <c r="BB1" t="s">
        <v>52</v>
      </c>
      <c r="BC1" t="s">
        <v>207</v>
      </c>
      <c r="BD1" t="s">
        <v>113</v>
      </c>
      <c r="BE1" t="s">
        <v>53</v>
      </c>
      <c r="BF1" t="s">
        <v>54</v>
      </c>
      <c r="BG1" t="s">
        <v>55</v>
      </c>
      <c r="BH1" t="s">
        <v>208</v>
      </c>
      <c r="BI1" t="s">
        <v>209</v>
      </c>
      <c r="BJ1" t="s">
        <v>210</v>
      </c>
      <c r="BK1" t="s">
        <v>211</v>
      </c>
      <c r="BL1" t="s">
        <v>212</v>
      </c>
      <c r="BM1" t="s">
        <v>213</v>
      </c>
      <c r="BN1" t="s">
        <v>214</v>
      </c>
      <c r="BO1" t="s">
        <v>144</v>
      </c>
      <c r="BP1" t="s">
        <v>114</v>
      </c>
      <c r="BQ1" t="s">
        <v>215</v>
      </c>
      <c r="BR1" t="s">
        <v>145</v>
      </c>
      <c r="BS1" t="s">
        <v>115</v>
      </c>
      <c r="BT1" t="s">
        <v>216</v>
      </c>
      <c r="BU1" t="s">
        <v>155</v>
      </c>
      <c r="BV1" t="s">
        <v>217</v>
      </c>
      <c r="BW1" t="s">
        <v>218</v>
      </c>
      <c r="BX1" t="s">
        <v>104</v>
      </c>
      <c r="BY1" t="s">
        <v>219</v>
      </c>
      <c r="BZ1" t="s">
        <v>220</v>
      </c>
      <c r="CA1" t="s">
        <v>105</v>
      </c>
      <c r="CB1" t="s">
        <v>221</v>
      </c>
      <c r="CC1" t="s">
        <v>222</v>
      </c>
      <c r="CD1" t="s">
        <v>223</v>
      </c>
      <c r="CE1" t="s">
        <v>224</v>
      </c>
      <c r="CF1" s="1" t="s">
        <v>146</v>
      </c>
      <c r="CG1" s="1" t="s">
        <v>147</v>
      </c>
      <c r="CH1" s="1" t="s">
        <v>91</v>
      </c>
      <c r="CI1" s="1" t="s">
        <v>92</v>
      </c>
      <c r="CJ1" s="1" t="s">
        <v>93</v>
      </c>
      <c r="CK1" s="1" t="s">
        <v>94</v>
      </c>
      <c r="CL1" s="1" t="s">
        <v>95</v>
      </c>
      <c r="CM1" s="1" t="s">
        <v>96</v>
      </c>
      <c r="CN1" s="1" t="s">
        <v>97</v>
      </c>
      <c r="CO1" s="1" t="s">
        <v>98</v>
      </c>
      <c r="CP1" s="1" t="s">
        <v>99</v>
      </c>
      <c r="CQ1" s="1" t="s">
        <v>100</v>
      </c>
      <c r="CR1" s="1" t="s">
        <v>225</v>
      </c>
      <c r="CS1" s="1" t="s">
        <v>226</v>
      </c>
      <c r="CT1" s="1" t="s">
        <v>227</v>
      </c>
      <c r="CU1" s="1" t="s">
        <v>228</v>
      </c>
      <c r="CV1" s="1" t="s">
        <v>229</v>
      </c>
      <c r="CW1" s="1" t="s">
        <v>156</v>
      </c>
      <c r="CX1">
        <v>1</v>
      </c>
      <c r="CY1" t="s">
        <v>230</v>
      </c>
      <c r="CZ1" t="s">
        <v>166</v>
      </c>
      <c r="DA1">
        <v>3</v>
      </c>
      <c r="DB1" t="s">
        <v>167</v>
      </c>
      <c r="DC1" t="s">
        <v>231</v>
      </c>
      <c r="DD1">
        <v>6</v>
      </c>
      <c r="DE1" t="s">
        <v>232</v>
      </c>
      <c r="DF1" t="s">
        <v>157</v>
      </c>
      <c r="DG1">
        <v>10</v>
      </c>
      <c r="DH1" t="s">
        <v>168</v>
      </c>
      <c r="DI1" t="s">
        <v>233</v>
      </c>
      <c r="DJ1">
        <v>20</v>
      </c>
      <c r="DK1" t="s">
        <v>234</v>
      </c>
      <c r="DL1" t="s">
        <v>101</v>
      </c>
      <c r="DM1" t="s">
        <v>102</v>
      </c>
      <c r="DN1" s="2" t="s">
        <v>103</v>
      </c>
      <c r="DO1" t="s">
        <v>158</v>
      </c>
      <c r="DP1" t="s">
        <v>235</v>
      </c>
      <c r="DQ1" s="11" t="s">
        <v>236</v>
      </c>
      <c r="DR1" s="1" t="s">
        <v>237</v>
      </c>
      <c r="DS1" s="1" t="s">
        <v>169</v>
      </c>
      <c r="DT1" t="s">
        <v>159</v>
      </c>
      <c r="DU1" t="s">
        <v>238</v>
      </c>
      <c r="DV1" t="s">
        <v>170</v>
      </c>
      <c r="DW1" t="s">
        <v>239</v>
      </c>
      <c r="DX1" t="s">
        <v>240</v>
      </c>
      <c r="DY1" t="s">
        <v>160</v>
      </c>
      <c r="DZ1" t="s">
        <v>241</v>
      </c>
      <c r="EA1" t="s">
        <v>242</v>
      </c>
      <c r="EB1" t="s">
        <v>243</v>
      </c>
      <c r="EC1" t="s">
        <v>171</v>
      </c>
      <c r="ED1" t="s">
        <v>244</v>
      </c>
      <c r="EE1" t="s">
        <v>245</v>
      </c>
      <c r="EF1" t="s">
        <v>246</v>
      </c>
      <c r="EG1" t="s">
        <v>247</v>
      </c>
      <c r="EH1" t="s">
        <v>248</v>
      </c>
      <c r="EI1" t="s">
        <v>249</v>
      </c>
      <c r="EK1" s="12" t="s">
        <v>172</v>
      </c>
      <c r="EL1" t="s">
        <v>173</v>
      </c>
      <c r="EM1" t="s">
        <v>250</v>
      </c>
      <c r="EN1" t="s">
        <v>161</v>
      </c>
      <c r="EO1" t="s">
        <v>162</v>
      </c>
      <c r="EP1" t="s">
        <v>163</v>
      </c>
    </row>
    <row r="2" spans="1:146" ht="96" x14ac:dyDescent="0.25">
      <c r="A2" s="6"/>
      <c r="B2" s="6"/>
      <c r="C2" s="6" t="str">
        <f>""&amp;CHAR(10)&amp;Basic_Fundamental_Information_Constructure(F2)&amp;CHAR(10)&amp;Basic_Fundamental_Information_Concatenate("")</f>
        <v xml:space="preserve">
市值34.108181亿, 利润-2.63亿; PE; 平均PE-26.55; 平均PEG-1, PB5.5; ROIC3.17%; ROE-20.5833%; 股利率0%; 毛利5.4467%; 净利-8.1%; 上一年度营收增-27.36%, 利润增20.78%; 当季营收增-59.95%, 利润增-12.55%; 过往5年营收增26.59%, 利润增-1496.79%
Income profile:
</v>
      </c>
      <c r="D2" t="s">
        <v>106</v>
      </c>
      <c r="E2" t="s">
        <v>107</v>
      </c>
      <c r="F2">
        <v>10.11</v>
      </c>
      <c r="G2">
        <v>-0.39</v>
      </c>
      <c r="H2" t="s">
        <v>370</v>
      </c>
      <c r="I2">
        <v>3410818100</v>
      </c>
      <c r="K2">
        <v>5.5</v>
      </c>
      <c r="L2" t="s">
        <v>27</v>
      </c>
      <c r="M2" t="s">
        <v>371</v>
      </c>
      <c r="N2" t="s">
        <v>372</v>
      </c>
      <c r="O2" t="s">
        <v>253</v>
      </c>
      <c r="P2">
        <v>-59.95</v>
      </c>
      <c r="Q2" t="s">
        <v>373</v>
      </c>
      <c r="R2">
        <v>-37794919</v>
      </c>
      <c r="S2" s="5">
        <v>-0.1255</v>
      </c>
      <c r="T2" t="s">
        <v>374</v>
      </c>
      <c r="U2">
        <v>307934700</v>
      </c>
      <c r="V2">
        <v>337370730</v>
      </c>
      <c r="W2">
        <v>4.2300000000000004</v>
      </c>
      <c r="X2">
        <v>0.14000000000000001</v>
      </c>
      <c r="Y2">
        <v>-10.67</v>
      </c>
      <c r="Z2" t="s">
        <v>375</v>
      </c>
      <c r="AA2" t="s">
        <v>376</v>
      </c>
      <c r="AB2" t="s">
        <v>377</v>
      </c>
      <c r="AC2" t="s">
        <v>378</v>
      </c>
      <c r="AD2" t="s">
        <v>5</v>
      </c>
      <c r="AE2">
        <v>6306272</v>
      </c>
      <c r="AF2" t="s">
        <v>38</v>
      </c>
      <c r="AG2">
        <v>9986.4500000000007</v>
      </c>
      <c r="AH2" t="s">
        <v>379</v>
      </c>
      <c r="AI2" t="s">
        <v>380</v>
      </c>
      <c r="AJ2" t="s">
        <v>381</v>
      </c>
      <c r="AK2" t="s">
        <v>5</v>
      </c>
      <c r="AL2" t="s">
        <v>382</v>
      </c>
      <c r="AM2" t="s">
        <v>5</v>
      </c>
      <c r="AN2">
        <v>0</v>
      </c>
      <c r="AO2" t="s">
        <v>383</v>
      </c>
      <c r="AP2" t="s">
        <v>5</v>
      </c>
      <c r="AQ2" t="s">
        <v>384</v>
      </c>
      <c r="AR2" t="s">
        <v>5</v>
      </c>
      <c r="AS2" t="s">
        <v>385</v>
      </c>
      <c r="AT2" t="s">
        <v>386</v>
      </c>
      <c r="AU2" t="s">
        <v>387</v>
      </c>
      <c r="AV2" t="s">
        <v>388</v>
      </c>
      <c r="AW2" t="s">
        <v>389</v>
      </c>
      <c r="AX2" t="s">
        <v>251</v>
      </c>
      <c r="AY2" t="s">
        <v>116</v>
      </c>
      <c r="AZ2" t="s">
        <v>118</v>
      </c>
      <c r="BA2" t="s">
        <v>108</v>
      </c>
      <c r="BB2" t="s">
        <v>109</v>
      </c>
      <c r="BC2" t="s">
        <v>390</v>
      </c>
      <c r="BD2" t="s">
        <v>117</v>
      </c>
      <c r="BE2" t="s">
        <v>119</v>
      </c>
      <c r="BF2" t="s">
        <v>110</v>
      </c>
      <c r="BG2" t="s">
        <v>111</v>
      </c>
      <c r="BH2" t="s">
        <v>373</v>
      </c>
      <c r="BI2" t="s">
        <v>391</v>
      </c>
      <c r="BJ2" t="s">
        <v>251</v>
      </c>
      <c r="BK2" t="s">
        <v>374</v>
      </c>
      <c r="BL2" t="s">
        <v>392</v>
      </c>
      <c r="BM2" t="s">
        <v>390</v>
      </c>
      <c r="BN2" t="s">
        <v>5</v>
      </c>
      <c r="BO2" t="s">
        <v>5</v>
      </c>
      <c r="BP2">
        <v>3.17</v>
      </c>
      <c r="BQ2">
        <v>-1.73</v>
      </c>
      <c r="BR2">
        <v>-60.71</v>
      </c>
      <c r="BS2">
        <v>0.69</v>
      </c>
      <c r="BT2" t="s">
        <v>174</v>
      </c>
      <c r="BU2" t="s">
        <v>27</v>
      </c>
      <c r="BV2">
        <v>-6.09</v>
      </c>
      <c r="BW2">
        <v>6.16</v>
      </c>
      <c r="BX2">
        <v>16.27</v>
      </c>
      <c r="BY2">
        <v>-16.190000000000001</v>
      </c>
      <c r="BZ2">
        <v>-11.11</v>
      </c>
      <c r="CA2">
        <v>3</v>
      </c>
      <c r="CB2">
        <v>-2.2200000000000002</v>
      </c>
      <c r="CC2">
        <v>-5.16</v>
      </c>
      <c r="CD2" t="s">
        <v>393</v>
      </c>
      <c r="CE2" t="s">
        <v>394</v>
      </c>
      <c r="CF2" s="7">
        <v>-0.59949195596951732</v>
      </c>
      <c r="CG2" s="8">
        <v>-0.12553549040337111</v>
      </c>
      <c r="CH2" s="7">
        <v>-0.27356705069541931</v>
      </c>
      <c r="CI2" s="7">
        <v>0.95462965965270996</v>
      </c>
      <c r="CJ2" s="7">
        <v>0.21348313987255096</v>
      </c>
      <c r="CK2" s="7">
        <v>0.50337839126586914</v>
      </c>
      <c r="CL2" s="7">
        <v>-6.8450085818767548E-2</v>
      </c>
      <c r="CM2" s="8">
        <v>0.20783132314682007</v>
      </c>
      <c r="CN2" s="8">
        <v>-42.642627716064453</v>
      </c>
      <c r="CO2" s="8">
        <v>1.0288863182067871</v>
      </c>
      <c r="CP2" s="8">
        <v>-32.538532257080078</v>
      </c>
      <c r="CQ2" s="8">
        <v>-0.8950960636138916</v>
      </c>
      <c r="CR2">
        <v>-26.548320949034391</v>
      </c>
      <c r="CS2">
        <v>-0.99845201429948705</v>
      </c>
      <c r="CT2">
        <v>0</v>
      </c>
      <c r="CU2" s="7">
        <v>0.26589481085538863</v>
      </c>
      <c r="CV2" s="8">
        <v>-14.967907679080962</v>
      </c>
      <c r="CW2">
        <v>0.06</v>
      </c>
      <c r="CX2" t="e">
        <v>#VALUE!</v>
      </c>
      <c r="CY2" t="s">
        <v>148</v>
      </c>
      <c r="CZ2">
        <v>0.26589481085538863</v>
      </c>
      <c r="DA2" t="e">
        <v>#VALUE!</v>
      </c>
      <c r="DB2" t="s">
        <v>149</v>
      </c>
      <c r="DC2">
        <v>0.25260007031261916</v>
      </c>
      <c r="DD2" t="e">
        <v>#VALUE!</v>
      </c>
      <c r="DE2" t="s">
        <v>149</v>
      </c>
      <c r="DF2">
        <v>0.23398743355274199</v>
      </c>
      <c r="DG2" t="e">
        <v>#VALUE!</v>
      </c>
      <c r="DH2" t="s">
        <v>149</v>
      </c>
      <c r="DI2">
        <v>0.21271584868431093</v>
      </c>
      <c r="DJ2" t="e">
        <v>#VALUE!</v>
      </c>
      <c r="DK2" t="s">
        <v>149</v>
      </c>
      <c r="DL2">
        <v>0.18612636759877202</v>
      </c>
      <c r="DM2">
        <v>-263000000</v>
      </c>
      <c r="DN2">
        <v>0.26589481085538863</v>
      </c>
      <c r="DO2">
        <v>5078818100</v>
      </c>
      <c r="DP2">
        <v>209120300</v>
      </c>
      <c r="DQ2">
        <v>57</v>
      </c>
      <c r="DR2">
        <v>-0.86538676682490601</v>
      </c>
      <c r="DS2">
        <v>14.842372188677592</v>
      </c>
      <c r="DT2" s="9">
        <v>-5.6666666666666719E-2</v>
      </c>
      <c r="DU2">
        <v>-2.4483333333333337</v>
      </c>
      <c r="DV2">
        <v>-2.5050000000000003</v>
      </c>
      <c r="DW2">
        <v>-1.0516000000000001</v>
      </c>
      <c r="DX2">
        <v>0.23811725146198767</v>
      </c>
      <c r="DY2">
        <v>-1.0045468501754387</v>
      </c>
      <c r="DZ2">
        <v>4685</v>
      </c>
      <c r="EA2">
        <v>-1.0003781626858241</v>
      </c>
      <c r="EB2">
        <v>1</v>
      </c>
      <c r="EC2">
        <v>8.9326362129874159E-2</v>
      </c>
      <c r="ED2">
        <v>1.0137216112375842</v>
      </c>
      <c r="EE2" s="10">
        <v>7.2509999999999991E-2</v>
      </c>
      <c r="EF2">
        <v>6.2809999999999991E-2</v>
      </c>
      <c r="EG2">
        <v>15.088117251461988</v>
      </c>
      <c r="EH2">
        <v>-1</v>
      </c>
      <c r="EI2">
        <v>0</v>
      </c>
      <c r="EJ2">
        <v>0</v>
      </c>
      <c r="EK2" s="12">
        <v>45470</v>
      </c>
      <c r="EL2" s="13">
        <v>0.97</v>
      </c>
      <c r="EM2" s="13">
        <v>-3.25</v>
      </c>
      <c r="EN2" s="13">
        <v>0.89</v>
      </c>
      <c r="EO2" s="13">
        <v>0.78</v>
      </c>
      <c r="EP2" s="13">
        <v>0.97</v>
      </c>
    </row>
    <row r="3" spans="1:146" ht="96" x14ac:dyDescent="0.25">
      <c r="A3" s="6"/>
      <c r="B3" s="6"/>
      <c r="C3" s="6" t="str">
        <f>""&amp;CHAR(10)&amp;Basic_Fundamental_Information_Constructure(F3)&amp;CHAR(10)&amp;Basic_Fundamental_Information_Concatenate("")</f>
        <v xml:space="preserve">
市值21.833546亿, 利润-3.77亿; PE; 平均PE205.75; 平均PEG30.55, PB.828; ROIC3.8633%; ROE3.6167%; 股利率0%; 毛利.7967%; 净利.0533%; 上一年度营收增5.23%, 利润增-427.83%; 当季营收增18.29%, 利润增-131.11%; 过往5年营收增6.73%, 利润增-18.38%
Income profile:
</v>
      </c>
      <c r="D3" t="s">
        <v>120</v>
      </c>
      <c r="E3" t="s">
        <v>121</v>
      </c>
      <c r="F3">
        <v>4.29</v>
      </c>
      <c r="G3">
        <v>1.42</v>
      </c>
      <c r="H3" t="s">
        <v>395</v>
      </c>
      <c r="I3">
        <v>2183354600</v>
      </c>
      <c r="K3">
        <v>0.82799999999999996</v>
      </c>
      <c r="L3" t="s">
        <v>27</v>
      </c>
      <c r="M3" t="s">
        <v>396</v>
      </c>
      <c r="N3" t="s">
        <v>397</v>
      </c>
      <c r="O3" t="s">
        <v>398</v>
      </c>
      <c r="P3">
        <v>18.29</v>
      </c>
      <c r="Q3" t="s">
        <v>399</v>
      </c>
      <c r="R3">
        <v>-4870861</v>
      </c>
      <c r="S3" s="5">
        <v>-1.3109999999999999</v>
      </c>
      <c r="T3" t="s">
        <v>400</v>
      </c>
      <c r="U3">
        <v>501949540</v>
      </c>
      <c r="V3">
        <v>508940460</v>
      </c>
      <c r="W3">
        <v>3.25</v>
      </c>
      <c r="X3">
        <v>2.5099999999999998</v>
      </c>
      <c r="Y3">
        <v>0.03</v>
      </c>
      <c r="Z3" t="s">
        <v>401</v>
      </c>
      <c r="AA3" t="s">
        <v>402</v>
      </c>
      <c r="AB3" t="s">
        <v>403</v>
      </c>
      <c r="AC3" t="s">
        <v>404</v>
      </c>
      <c r="AD3" t="s">
        <v>5</v>
      </c>
      <c r="AE3">
        <v>24254405</v>
      </c>
      <c r="AF3" t="s">
        <v>405</v>
      </c>
      <c r="AG3" t="s">
        <v>406</v>
      </c>
      <c r="AH3" t="s">
        <v>407</v>
      </c>
      <c r="AI3" t="s">
        <v>408</v>
      </c>
      <c r="AJ3" t="s">
        <v>409</v>
      </c>
      <c r="AK3" t="s">
        <v>410</v>
      </c>
      <c r="AL3" t="s">
        <v>411</v>
      </c>
      <c r="AM3" t="s">
        <v>5</v>
      </c>
      <c r="AN3" t="s">
        <v>412</v>
      </c>
      <c r="AO3" t="s">
        <v>413</v>
      </c>
      <c r="AP3" t="s">
        <v>414</v>
      </c>
      <c r="AQ3" t="s">
        <v>415</v>
      </c>
      <c r="AR3" t="s">
        <v>5</v>
      </c>
      <c r="AS3" t="s">
        <v>416</v>
      </c>
      <c r="AT3" t="s">
        <v>417</v>
      </c>
      <c r="AU3" t="s">
        <v>418</v>
      </c>
      <c r="AV3" t="s">
        <v>419</v>
      </c>
      <c r="AW3" t="s">
        <v>420</v>
      </c>
      <c r="AX3" t="s">
        <v>252</v>
      </c>
      <c r="AY3" t="s">
        <v>122</v>
      </c>
      <c r="AZ3" t="s">
        <v>124</v>
      </c>
      <c r="BA3" t="s">
        <v>125</v>
      </c>
      <c r="BB3" t="s">
        <v>126</v>
      </c>
      <c r="BC3" t="s">
        <v>75</v>
      </c>
      <c r="BD3" t="s">
        <v>123</v>
      </c>
      <c r="BE3" t="s">
        <v>56</v>
      </c>
      <c r="BF3" t="s">
        <v>29</v>
      </c>
      <c r="BG3" t="s">
        <v>127</v>
      </c>
      <c r="BH3" t="s">
        <v>399</v>
      </c>
      <c r="BI3" t="s">
        <v>421</v>
      </c>
      <c r="BJ3" t="s">
        <v>252</v>
      </c>
      <c r="BK3" t="s">
        <v>400</v>
      </c>
      <c r="BL3" t="s">
        <v>422</v>
      </c>
      <c r="BM3" t="s">
        <v>75</v>
      </c>
      <c r="BN3">
        <v>-1.43</v>
      </c>
      <c r="BO3">
        <v>4.7</v>
      </c>
      <c r="BP3">
        <v>8.32</v>
      </c>
      <c r="BQ3">
        <v>-1.0900000000000001</v>
      </c>
      <c r="BR3">
        <v>3.89</v>
      </c>
      <c r="BS3">
        <v>8.0500000000000007</v>
      </c>
      <c r="BT3" t="s">
        <v>174</v>
      </c>
      <c r="BU3" t="s">
        <v>27</v>
      </c>
      <c r="BV3">
        <v>0.55000000000000004</v>
      </c>
      <c r="BW3">
        <v>0.63</v>
      </c>
      <c r="BX3">
        <v>1.21</v>
      </c>
      <c r="BY3">
        <v>-0.4</v>
      </c>
      <c r="BZ3">
        <v>0.21</v>
      </c>
      <c r="CA3">
        <v>0.35</v>
      </c>
      <c r="CB3">
        <v>3.37</v>
      </c>
      <c r="CC3">
        <v>-20.99</v>
      </c>
      <c r="CD3" t="s">
        <v>423</v>
      </c>
      <c r="CE3" t="s">
        <v>424</v>
      </c>
      <c r="CF3" s="7">
        <v>0.18289759104920653</v>
      </c>
      <c r="CG3" s="8">
        <v>-1.3111377195784095</v>
      </c>
      <c r="CH3" s="7">
        <v>5.2275445312261581E-2</v>
      </c>
      <c r="CI3" s="7">
        <v>5.4681967012584209E-3</v>
      </c>
      <c r="CJ3" s="7">
        <v>0.38144677877426147</v>
      </c>
      <c r="CK3" s="7">
        <v>-0.12859755754470825</v>
      </c>
      <c r="CL3" s="7">
        <v>2.6155974715948105E-2</v>
      </c>
      <c r="CM3" s="8">
        <v>-4.2782607078552246</v>
      </c>
      <c r="CN3" s="8">
        <v>-0.48198199272155762</v>
      </c>
      <c r="CO3" s="8">
        <v>2.9646017551422119</v>
      </c>
      <c r="CP3" s="8">
        <v>-1.668639063835144</v>
      </c>
      <c r="CQ3" s="8">
        <v>2.5452437400817871</v>
      </c>
      <c r="CR3">
        <v>205.75200998908426</v>
      </c>
      <c r="CS3">
        <v>30.549772827148114</v>
      </c>
      <c r="CT3">
        <v>0</v>
      </c>
      <c r="CU3" s="7">
        <v>6.7349767591804263E-2</v>
      </c>
      <c r="CV3" s="8">
        <v>-0.18380725383758545</v>
      </c>
      <c r="CW3">
        <v>0.06</v>
      </c>
      <c r="CX3" t="e">
        <v>#VALUE!</v>
      </c>
      <c r="CY3" t="s">
        <v>148</v>
      </c>
      <c r="CZ3">
        <v>6.7349767591804263E-2</v>
      </c>
      <c r="DA3" t="e">
        <v>#VALUE!</v>
      </c>
      <c r="DB3" t="s">
        <v>149</v>
      </c>
      <c r="DC3">
        <v>6.3982279212214041E-2</v>
      </c>
      <c r="DD3" t="e">
        <v>#VALUE!</v>
      </c>
      <c r="DE3" t="s">
        <v>149</v>
      </c>
      <c r="DF3">
        <v>5.9267795480787755E-2</v>
      </c>
      <c r="DG3" t="e">
        <v>#VALUE!</v>
      </c>
      <c r="DH3" t="s">
        <v>149</v>
      </c>
      <c r="DI3">
        <v>5.3879814073443416E-2</v>
      </c>
      <c r="DJ3" t="e">
        <v>#VALUE!</v>
      </c>
      <c r="DK3" t="s">
        <v>149</v>
      </c>
      <c r="DL3">
        <v>4.7144837314262979E-2</v>
      </c>
      <c r="DM3">
        <v>-377000000</v>
      </c>
      <c r="DN3">
        <v>6.7349767591804263E-2</v>
      </c>
      <c r="DO3">
        <v>3548354600</v>
      </c>
      <c r="DP3">
        <v>1790924700</v>
      </c>
      <c r="DQ3">
        <v>183</v>
      </c>
      <c r="DR3">
        <v>0.11554782345740226</v>
      </c>
      <c r="DS3">
        <v>-1.1273304657408241</v>
      </c>
      <c r="DT3" s="9">
        <v>-0.3066666666666667</v>
      </c>
      <c r="DU3">
        <v>-1.8023333333333336</v>
      </c>
      <c r="DV3">
        <v>-2.1090000000000004</v>
      </c>
      <c r="DW3">
        <v>6.138341543513957</v>
      </c>
      <c r="DX3">
        <v>0.30575178571428741</v>
      </c>
      <c r="DY3">
        <v>6.0187801115704902</v>
      </c>
      <c r="DZ3">
        <v>4471</v>
      </c>
      <c r="EA3">
        <v>6.0023484327384624</v>
      </c>
      <c r="EB3">
        <v>6</v>
      </c>
      <c r="EC3">
        <v>2.9874221436432858E-2</v>
      </c>
      <c r="ED3">
        <v>0.22006503471938549</v>
      </c>
      <c r="EE3" s="10">
        <v>-7.0244</v>
      </c>
      <c r="EF3">
        <v>-7.0122099999999996</v>
      </c>
      <c r="EG3">
        <v>17.135751785714287</v>
      </c>
      <c r="EH3" t="s">
        <v>425</v>
      </c>
      <c r="EI3">
        <v>0</v>
      </c>
      <c r="EJ3">
        <v>0</v>
      </c>
      <c r="EK3" s="12">
        <v>45470</v>
      </c>
      <c r="EL3" s="13">
        <v>0.93</v>
      </c>
      <c r="EM3" s="13">
        <v>-5.31</v>
      </c>
      <c r="EN3" s="13">
        <v>2.2000000000000002</v>
      </c>
      <c r="EO3" s="13">
        <v>4.3</v>
      </c>
      <c r="EP3" s="13">
        <v>-3.66</v>
      </c>
    </row>
    <row r="4" spans="1:146" ht="96" x14ac:dyDescent="0.25">
      <c r="C4" s="6" t="str">
        <f>""&amp;CHAR(10)&amp;Basic_Fundamental_Information_Constructure(F4)&amp;CHAR(10)&amp;Basic_Fundamental_Information_Concatenate("")</f>
        <v xml:space="preserve">
市值25.975332亿, 利润-5.97亿; PE; 平均PE-5.27; 平均PEG-1.05, PB6.05; ROIC4.32%; ROE-20.73%; 股利率0%; 毛利1.4767%; 净利-.1667%; 上一年度营收增-23.89%, 利润增-1274.24%; 当季营收增-38.71%, 利润增13.31%; 过往5年营收增5.02%, 利润增-2403.54%
Income profile:
</v>
      </c>
      <c r="D4" t="s">
        <v>426</v>
      </c>
      <c r="E4" t="s">
        <v>427</v>
      </c>
      <c r="F4">
        <v>3.78</v>
      </c>
      <c r="G4">
        <v>1.61</v>
      </c>
      <c r="H4" t="s">
        <v>428</v>
      </c>
      <c r="I4">
        <v>2597533200</v>
      </c>
      <c r="K4">
        <v>6.05</v>
      </c>
      <c r="L4" t="s">
        <v>27</v>
      </c>
      <c r="M4" t="s">
        <v>429</v>
      </c>
      <c r="N4" t="s">
        <v>430</v>
      </c>
      <c r="O4" t="s">
        <v>431</v>
      </c>
      <c r="P4" s="5">
        <v>-38.700000000000003</v>
      </c>
      <c r="Q4" t="s">
        <v>432</v>
      </c>
      <c r="R4">
        <v>8130640</v>
      </c>
      <c r="S4">
        <v>0.1331</v>
      </c>
      <c r="T4" t="s">
        <v>433</v>
      </c>
      <c r="U4">
        <v>640314900</v>
      </c>
      <c r="V4">
        <v>687178110</v>
      </c>
      <c r="W4">
        <v>5.62</v>
      </c>
      <c r="X4">
        <v>0.66</v>
      </c>
      <c r="Y4">
        <v>0.17</v>
      </c>
      <c r="Z4" t="s">
        <v>434</v>
      </c>
      <c r="AA4" t="s">
        <v>435</v>
      </c>
      <c r="AB4" t="s">
        <v>436</v>
      </c>
      <c r="AC4" t="s">
        <v>177</v>
      </c>
      <c r="AD4" t="s">
        <v>5</v>
      </c>
      <c r="AE4">
        <v>76499828</v>
      </c>
      <c r="AF4" t="s">
        <v>437</v>
      </c>
      <c r="AG4" t="s">
        <v>438</v>
      </c>
      <c r="AH4" t="s">
        <v>439</v>
      </c>
      <c r="AI4" t="s">
        <v>440</v>
      </c>
      <c r="AJ4" t="s">
        <v>441</v>
      </c>
      <c r="AK4" t="s">
        <v>5</v>
      </c>
      <c r="AL4" t="s">
        <v>442</v>
      </c>
      <c r="AM4" t="s">
        <v>5</v>
      </c>
      <c r="AN4" t="s">
        <v>443</v>
      </c>
      <c r="AO4" t="s">
        <v>444</v>
      </c>
      <c r="AP4" t="s">
        <v>445</v>
      </c>
      <c r="AQ4" t="s">
        <v>446</v>
      </c>
      <c r="AR4" t="s">
        <v>447</v>
      </c>
      <c r="AS4" t="s">
        <v>448</v>
      </c>
      <c r="AT4" t="s">
        <v>449</v>
      </c>
      <c r="AU4" t="s">
        <v>450</v>
      </c>
      <c r="AV4" t="s">
        <v>451</v>
      </c>
      <c r="AW4" t="s">
        <v>452</v>
      </c>
      <c r="AX4" t="s">
        <v>453</v>
      </c>
      <c r="AY4" t="s">
        <v>454</v>
      </c>
      <c r="AZ4" t="s">
        <v>455</v>
      </c>
      <c r="BA4" t="s">
        <v>456</v>
      </c>
      <c r="BB4" t="s">
        <v>457</v>
      </c>
      <c r="BC4" t="s">
        <v>458</v>
      </c>
      <c r="BD4" t="s">
        <v>459</v>
      </c>
      <c r="BE4" t="s">
        <v>460</v>
      </c>
      <c r="BF4" t="s">
        <v>461</v>
      </c>
      <c r="BG4" t="s">
        <v>462</v>
      </c>
      <c r="BH4" t="s">
        <v>432</v>
      </c>
      <c r="BI4" t="s">
        <v>463</v>
      </c>
      <c r="BJ4" t="s">
        <v>453</v>
      </c>
      <c r="BK4" t="s">
        <v>433</v>
      </c>
      <c r="BL4" t="s">
        <v>464</v>
      </c>
      <c r="BM4" t="s">
        <v>458</v>
      </c>
      <c r="BN4" t="s">
        <v>5</v>
      </c>
      <c r="BO4">
        <v>4.45</v>
      </c>
      <c r="BP4">
        <v>4.1900000000000004</v>
      </c>
      <c r="BQ4">
        <v>-28.61</v>
      </c>
      <c r="BR4">
        <v>-14.3</v>
      </c>
      <c r="BS4">
        <v>-19.28</v>
      </c>
      <c r="BT4" t="s">
        <v>174</v>
      </c>
      <c r="BU4" t="s">
        <v>27</v>
      </c>
      <c r="BV4">
        <v>0.98</v>
      </c>
      <c r="BW4">
        <v>1.57</v>
      </c>
      <c r="BX4">
        <v>1.88</v>
      </c>
      <c r="BY4">
        <v>-0.89</v>
      </c>
      <c r="BZ4">
        <v>0.23</v>
      </c>
      <c r="CA4">
        <v>0.16</v>
      </c>
      <c r="CB4">
        <v>1.07</v>
      </c>
      <c r="CC4" s="7">
        <v>-19.059999999999999</v>
      </c>
      <c r="CD4" s="8" t="s">
        <v>465</v>
      </c>
      <c r="CE4" s="7" t="s">
        <v>466</v>
      </c>
      <c r="CF4" s="7">
        <v>-0.38705686414465856</v>
      </c>
      <c r="CG4" s="7">
        <v>0.13306390925053652</v>
      </c>
      <c r="CH4" s="7">
        <v>-0.2389361560344696</v>
      </c>
      <c r="CI4" s="7">
        <v>-0.13403163850307465</v>
      </c>
      <c r="CJ4" s="8">
        <v>0.42310816049575806</v>
      </c>
      <c r="CK4" s="8">
        <v>-8.9763492345809937E-2</v>
      </c>
      <c r="CL4" s="8">
        <v>0.29056999087333679</v>
      </c>
      <c r="CM4" s="8">
        <v>-12.74242115020752</v>
      </c>
      <c r="CN4" s="8">
        <v>0.11265447735786438</v>
      </c>
      <c r="CO4">
        <v>3.1267361640930176</v>
      </c>
      <c r="CP4">
        <v>1.004441499710083</v>
      </c>
      <c r="CQ4">
        <v>-111.67849731445312</v>
      </c>
      <c r="CR4" s="7">
        <v>-5.2655053467423567</v>
      </c>
      <c r="CS4" s="8">
        <v>-1.0491275429029228</v>
      </c>
      <c r="CT4">
        <v>0</v>
      </c>
      <c r="CU4">
        <v>5.018937289714813E-2</v>
      </c>
      <c r="CV4">
        <v>-24.035417264699937</v>
      </c>
      <c r="CW4">
        <v>0.06</v>
      </c>
      <c r="CX4" t="e">
        <v>#VALUE!</v>
      </c>
      <c r="CY4" t="s">
        <v>149</v>
      </c>
      <c r="CZ4">
        <v>5.018937289714813E-2</v>
      </c>
      <c r="DA4" t="e">
        <v>#VALUE!</v>
      </c>
      <c r="DB4" t="s">
        <v>149</v>
      </c>
      <c r="DC4">
        <v>4.7679904252290718E-2</v>
      </c>
      <c r="DD4" t="e">
        <v>#VALUE!</v>
      </c>
      <c r="DE4" t="s">
        <v>149</v>
      </c>
      <c r="DF4">
        <v>4.4166648149490353E-2</v>
      </c>
      <c r="DG4" t="e">
        <v>#VALUE!</v>
      </c>
      <c r="DH4" t="s">
        <v>149</v>
      </c>
      <c r="DI4">
        <v>4.0151498317718505E-2</v>
      </c>
      <c r="DJ4" t="e">
        <v>#VALUE!</v>
      </c>
      <c r="DK4" t="s">
        <v>149</v>
      </c>
      <c r="DL4">
        <v>3.5132561028003689E-2</v>
      </c>
      <c r="DM4">
        <v>-597000000</v>
      </c>
      <c r="DN4">
        <v>5.018937289714813E-2</v>
      </c>
      <c r="DO4">
        <v>10915533200</v>
      </c>
      <c r="DP4">
        <v>1814552000.0000019</v>
      </c>
      <c r="DQ4" s="9">
        <v>228</v>
      </c>
      <c r="DR4">
        <v>-0.43724623704180671</v>
      </c>
      <c r="DS4">
        <v>24.168481173950475</v>
      </c>
      <c r="DT4">
        <v>-0.37333333333333335</v>
      </c>
      <c r="DU4">
        <v>-1.2483333333333333</v>
      </c>
      <c r="DV4">
        <v>-1.6216666666666666</v>
      </c>
      <c r="DW4">
        <v>-3.0346071428571428</v>
      </c>
      <c r="DX4">
        <v>0.32117392055267668</v>
      </c>
      <c r="DY4">
        <v>-3.0038474117505554</v>
      </c>
      <c r="DZ4">
        <v>4107</v>
      </c>
      <c r="EA4">
        <v>-3.0007551769052458</v>
      </c>
      <c r="EB4" s="10">
        <v>3</v>
      </c>
      <c r="EC4" s="10">
        <v>9.3672512356367116E-2</v>
      </c>
      <c r="ED4">
        <v>0.84257631547663825</v>
      </c>
      <c r="EE4">
        <v>2.0729099999999998</v>
      </c>
      <c r="EF4">
        <v>2.0836100000000002</v>
      </c>
      <c r="EG4">
        <v>21.111173920552677</v>
      </c>
      <c r="EH4" s="12" t="s">
        <v>467</v>
      </c>
      <c r="EI4">
        <v>0</v>
      </c>
      <c r="EJ4">
        <v>0</v>
      </c>
      <c r="EK4">
        <v>45470</v>
      </c>
      <c r="EL4">
        <v>-1.05</v>
      </c>
      <c r="EM4">
        <v>-5.05</v>
      </c>
      <c r="EN4" s="13">
        <v>1.68</v>
      </c>
      <c r="EO4" s="13">
        <v>3.31</v>
      </c>
      <c r="EP4" s="13">
        <v>-1.07</v>
      </c>
    </row>
    <row r="5" spans="1:146" ht="96" x14ac:dyDescent="0.25">
      <c r="C5" s="6" t="str">
        <f>""&amp;CHAR(10)&amp;Basic_Fundamental_Information_Constructure(F5)&amp;CHAR(10)&amp;Basic_Fundamental_Information_Concatenate("")</f>
        <v xml:space="preserve">
市值10.736256亿, 利润188.03万; PE264.3; 平均PE-14.52; 平均PEG-.12, PB19.66; ROIC23.67%; ROE-9.31%; 股利率0%; 毛利11.0267%; 净利1.4967%; 上一年度营收增-6.41%, 利润增117.89%; 当季营收增98.43%, 利润增272.28%; 过往5年营收增117.9%, 利润增-472.49%
Income profile:
</v>
      </c>
      <c r="D5" t="s">
        <v>352</v>
      </c>
      <c r="E5" t="s">
        <v>353</v>
      </c>
      <c r="F5">
        <v>2.92</v>
      </c>
      <c r="G5">
        <v>2.46</v>
      </c>
      <c r="H5" t="s">
        <v>468</v>
      </c>
      <c r="I5">
        <v>1073625600</v>
      </c>
      <c r="J5">
        <v>264.3</v>
      </c>
      <c r="K5">
        <v>19.66</v>
      </c>
      <c r="L5" t="s">
        <v>27</v>
      </c>
      <c r="M5" t="s">
        <v>469</v>
      </c>
      <c r="N5" t="s">
        <v>470</v>
      </c>
      <c r="O5" t="s">
        <v>308</v>
      </c>
      <c r="P5" s="5">
        <v>98.19</v>
      </c>
      <c r="Q5" t="s">
        <v>471</v>
      </c>
      <c r="R5">
        <v>1380802</v>
      </c>
      <c r="S5">
        <v>2.7229999999999999</v>
      </c>
      <c r="T5" t="s">
        <v>472</v>
      </c>
      <c r="U5">
        <v>257207800</v>
      </c>
      <c r="V5">
        <v>367680000</v>
      </c>
      <c r="W5">
        <v>2.0099999999999998</v>
      </c>
      <c r="X5">
        <v>1.25</v>
      </c>
      <c r="Y5">
        <v>0.97</v>
      </c>
      <c r="Z5" t="s">
        <v>473</v>
      </c>
      <c r="AA5" t="s">
        <v>474</v>
      </c>
      <c r="AB5" t="s">
        <v>475</v>
      </c>
      <c r="AC5" t="s">
        <v>476</v>
      </c>
      <c r="AD5" t="s">
        <v>5</v>
      </c>
      <c r="AE5">
        <v>10533</v>
      </c>
      <c r="AF5" t="s">
        <v>38</v>
      </c>
      <c r="AG5">
        <v>0</v>
      </c>
      <c r="AH5" t="s">
        <v>477</v>
      </c>
      <c r="AI5" t="s">
        <v>478</v>
      </c>
      <c r="AJ5" t="s">
        <v>479</v>
      </c>
      <c r="AK5" t="s">
        <v>5</v>
      </c>
      <c r="AL5" t="s">
        <v>480</v>
      </c>
      <c r="AM5" t="s">
        <v>5</v>
      </c>
      <c r="AN5">
        <v>0</v>
      </c>
      <c r="AO5" t="s">
        <v>5</v>
      </c>
      <c r="AP5" t="s">
        <v>5</v>
      </c>
      <c r="AQ5" t="s">
        <v>481</v>
      </c>
      <c r="AR5" t="s">
        <v>5</v>
      </c>
      <c r="AS5" t="s">
        <v>482</v>
      </c>
      <c r="AT5" t="s">
        <v>5</v>
      </c>
      <c r="AU5" t="s">
        <v>483</v>
      </c>
      <c r="AV5">
        <v>0</v>
      </c>
      <c r="AW5">
        <v>0</v>
      </c>
      <c r="AX5" t="s">
        <v>354</v>
      </c>
      <c r="AY5" t="s">
        <v>256</v>
      </c>
      <c r="AZ5" t="s">
        <v>355</v>
      </c>
      <c r="BA5" t="s">
        <v>356</v>
      </c>
      <c r="BB5" t="s">
        <v>357</v>
      </c>
      <c r="BC5" t="s">
        <v>484</v>
      </c>
      <c r="BD5" t="s">
        <v>358</v>
      </c>
      <c r="BE5" t="s">
        <v>359</v>
      </c>
      <c r="BF5" t="s">
        <v>360</v>
      </c>
      <c r="BG5" t="s">
        <v>361</v>
      </c>
      <c r="BH5" t="s">
        <v>471</v>
      </c>
      <c r="BI5" t="s">
        <v>485</v>
      </c>
      <c r="BJ5" t="s">
        <v>354</v>
      </c>
      <c r="BK5" t="s">
        <v>472</v>
      </c>
      <c r="BL5" t="s">
        <v>486</v>
      </c>
      <c r="BM5" t="s">
        <v>484</v>
      </c>
      <c r="BN5" t="s">
        <v>5</v>
      </c>
      <c r="BO5" t="s">
        <v>5</v>
      </c>
      <c r="BP5">
        <v>23.67</v>
      </c>
      <c r="BQ5">
        <v>-0.85</v>
      </c>
      <c r="BR5">
        <v>-17.77</v>
      </c>
      <c r="BS5" t="s">
        <v>5</v>
      </c>
      <c r="BT5" t="s">
        <v>174</v>
      </c>
      <c r="BU5" t="s">
        <v>27</v>
      </c>
      <c r="BV5">
        <v>5.36</v>
      </c>
      <c r="BW5">
        <v>3.11</v>
      </c>
      <c r="BX5">
        <v>24.61</v>
      </c>
      <c r="BY5">
        <v>0.56000000000000005</v>
      </c>
      <c r="BZ5">
        <v>-2.89</v>
      </c>
      <c r="CA5">
        <v>6.82</v>
      </c>
      <c r="CB5">
        <v>3.55</v>
      </c>
      <c r="CC5" s="7">
        <v>-20</v>
      </c>
      <c r="CD5" s="8" t="s">
        <v>487</v>
      </c>
      <c r="CE5" s="7" t="s">
        <v>488</v>
      </c>
      <c r="CF5" s="7">
        <v>0.98426838487540336</v>
      </c>
      <c r="CG5" s="7">
        <v>2.7227723019338739</v>
      </c>
      <c r="CH5" s="7">
        <v>-6.4066849648952484E-2</v>
      </c>
      <c r="CI5" s="7">
        <v>1.82677161693573</v>
      </c>
      <c r="CJ5" s="8">
        <v>3.7899765968322754</v>
      </c>
      <c r="CK5" s="8">
        <v>0.72990274429321289</v>
      </c>
      <c r="CL5" s="8">
        <v>-0.38780376315116882</v>
      </c>
      <c r="CM5" s="8">
        <v>1.178871750831604</v>
      </c>
      <c r="CN5" s="8">
        <v>-2.2298765182495117</v>
      </c>
      <c r="CO5">
        <v>1.0423128604888916</v>
      </c>
      <c r="CP5">
        <v>-24.65007209777832</v>
      </c>
      <c r="CQ5">
        <v>1.0341647863388062</v>
      </c>
      <c r="CR5" s="7">
        <v>-14.523392868294934</v>
      </c>
      <c r="CS5" s="8">
        <v>-0.12318858394758092</v>
      </c>
      <c r="CT5">
        <v>0</v>
      </c>
      <c r="CU5">
        <v>1.1789560690522194</v>
      </c>
      <c r="CV5">
        <v>-4.7249198436737059</v>
      </c>
      <c r="CW5">
        <v>0.06</v>
      </c>
      <c r="CX5">
        <v>280.17909168329533</v>
      </c>
      <c r="CY5">
        <v>3865180.279848008</v>
      </c>
      <c r="CZ5">
        <v>1.1789560690522194</v>
      </c>
      <c r="DA5">
        <v>41.138285153113358</v>
      </c>
      <c r="DB5">
        <v>26324449.256194692</v>
      </c>
      <c r="DC5">
        <v>1.1200082655996084</v>
      </c>
      <c r="DD5">
        <v>5.5893861412222732</v>
      </c>
      <c r="DE5">
        <v>193749845.26711994</v>
      </c>
      <c r="DF5">
        <v>1.0374813407659531</v>
      </c>
      <c r="DG5">
        <v>0.61219129384562354</v>
      </c>
      <c r="DH5">
        <v>1768961288.5495982</v>
      </c>
      <c r="DI5">
        <v>0.94316485524177551</v>
      </c>
      <c r="DJ5">
        <v>4.5967669916590808E-3</v>
      </c>
      <c r="DK5">
        <v>235587903838.72397</v>
      </c>
      <c r="DL5">
        <v>0.82526924833655357</v>
      </c>
      <c r="DM5">
        <v>1880300</v>
      </c>
      <c r="DN5">
        <v>1.1789560690522194</v>
      </c>
      <c r="DO5">
        <v>1082942700</v>
      </c>
      <c r="DP5">
        <v>52239982</v>
      </c>
      <c r="DQ5" s="9">
        <v>588</v>
      </c>
      <c r="DR5">
        <v>-0.19468768417681603</v>
      </c>
      <c r="DS5">
        <v>7.4476921456075793</v>
      </c>
      <c r="DT5">
        <v>0.4433333333333333</v>
      </c>
      <c r="DU5">
        <v>3.333333333333325E-2</v>
      </c>
      <c r="DV5">
        <v>0.47666666666666657</v>
      </c>
      <c r="DW5">
        <v>6.150743099787686</v>
      </c>
      <c r="DX5">
        <v>0.28909245283018781</v>
      </c>
      <c r="DY5">
        <v>6.0179523655009417</v>
      </c>
      <c r="DZ5">
        <v>748</v>
      </c>
      <c r="EA5">
        <v>6.0153245045626438</v>
      </c>
      <c r="EB5" s="10">
        <v>6</v>
      </c>
      <c r="EC5" s="10">
        <v>8.5834149260226283E-2</v>
      </c>
      <c r="ED5">
        <v>0.72073542210617925</v>
      </c>
      <c r="EE5">
        <v>-2.0967000000000002</v>
      </c>
      <c r="EF5">
        <v>-2.0608</v>
      </c>
      <c r="EG5">
        <v>17.119092452830188</v>
      </c>
      <c r="EH5" s="12" t="s">
        <v>489</v>
      </c>
      <c r="EI5">
        <v>0</v>
      </c>
      <c r="EJ5">
        <v>1</v>
      </c>
      <c r="EK5">
        <v>45470</v>
      </c>
      <c r="EL5">
        <v>0</v>
      </c>
      <c r="EM5">
        <v>-5.18</v>
      </c>
      <c r="EN5" s="13">
        <v>-0.68</v>
      </c>
      <c r="EO5" s="13">
        <v>5.15</v>
      </c>
      <c r="EP5" s="13">
        <v>-3.59</v>
      </c>
    </row>
    <row r="6" spans="1:146" ht="216" x14ac:dyDescent="0.25">
      <c r="A6" s="6" t="s">
        <v>154</v>
      </c>
      <c r="B6" s="6" t="s">
        <v>153</v>
      </c>
      <c r="C6" s="6" t="str">
        <f>"公司的主要业务有供应链服务和化工新能源业务。供应链服务主要涉及消费品进出口贸易以及电商平台，化工新能源业务主要包括锂离子电池电解液、硅烷偶联剂、锂离子电池电解质及添加剂、超级电容器电解质及电解液、锂离子电容器电解液、铝电解电容器电解质及电解液、抗静电剂、离子液体、特种氟化学品。"&amp;CHAR(10)&amp;Basic_Fundamental_Information_Constructure(F6)&amp;CHAR(10)&amp;Basic_Fundamental_Information_Concatenate("纺织服装、玩具等出口贸易 299.87亿 76.23% 75.12% 12.09%
化工产品 52.03亿 13.23% 23.12% 21.45%
纺织服装、玩具等进口及国内贸易 40.91亿 10.40% 0.94% 1.10%
其他 5799.41万 0.15% 0.82% 68.09%")</f>
        <v>公司的主要业务有供应链服务和化工新能源业务。供应链服务主要涉及消费品进出口贸易以及电商平台，化工新能源业务主要包括锂离子电池电解液、硅烷偶联剂、锂离子电池电解质及添加剂、超级电容器电解质及电解液、锂离子电容器电解液、铝电解电容器电解质及电解液、抗静电剂、离子液体、特种氟化学品。
市值110.189346亿, 利润16.04亿; PE7.33; 平均PE8.81; 平均PEG4.6, PB.733; ROIC9.6233%; ROE11.61%; 股利率4.4313%; 毛利14.5167%; 净利5.9567%; 上一年度营收增-13.22%, 利润增-6.96%; 当季营收增-.57%, 利润增-31.94%; 过往5年营收增1.91%, 利润增11.08%
Income profile:
纺织服装、玩具等出口贸易 299.87亿 76.23% 75.12% 12.09%
化工产品 52.03亿 13.23% 23.12% 21.45%
纺织服装、玩具等进口及国内贸易 40.91亿 10.40% 0.94% 1.10%
其他 5799.41万 0.15% 0.82% 68.09%</v>
      </c>
      <c r="D6" t="s">
        <v>30</v>
      </c>
      <c r="E6" t="s">
        <v>8</v>
      </c>
      <c r="F6">
        <v>6.77</v>
      </c>
      <c r="G6">
        <v>0.74</v>
      </c>
      <c r="H6" t="s">
        <v>490</v>
      </c>
      <c r="I6">
        <v>11018934600</v>
      </c>
      <c r="J6">
        <v>7.33</v>
      </c>
      <c r="K6">
        <v>0.73299999999999998</v>
      </c>
      <c r="L6" t="s">
        <v>27</v>
      </c>
      <c r="M6" t="s">
        <v>491</v>
      </c>
      <c r="N6" t="s">
        <v>492</v>
      </c>
      <c r="O6" t="s">
        <v>493</v>
      </c>
      <c r="P6">
        <v>-0.56999999999999995</v>
      </c>
      <c r="Q6" t="s">
        <v>494</v>
      </c>
      <c r="R6">
        <v>213021090</v>
      </c>
      <c r="S6" s="5">
        <v>-0.31929999999999997</v>
      </c>
      <c r="T6" t="s">
        <v>495</v>
      </c>
      <c r="U6">
        <v>1597231500</v>
      </c>
      <c r="V6">
        <v>1627612200</v>
      </c>
      <c r="W6">
        <v>1.94</v>
      </c>
      <c r="X6">
        <v>0.19</v>
      </c>
      <c r="Y6">
        <v>4.54</v>
      </c>
      <c r="Z6" t="s">
        <v>496</v>
      </c>
      <c r="AA6" t="s">
        <v>497</v>
      </c>
      <c r="AB6" t="s">
        <v>498</v>
      </c>
      <c r="AC6" t="s">
        <v>499</v>
      </c>
      <c r="AD6" t="s">
        <v>5</v>
      </c>
      <c r="AE6">
        <v>-60349870</v>
      </c>
      <c r="AF6" t="s">
        <v>500</v>
      </c>
      <c r="AG6" t="s">
        <v>501</v>
      </c>
      <c r="AH6" t="s">
        <v>502</v>
      </c>
      <c r="AI6" t="s">
        <v>503</v>
      </c>
      <c r="AJ6" t="s">
        <v>504</v>
      </c>
      <c r="AK6" t="s">
        <v>505</v>
      </c>
      <c r="AL6" t="s">
        <v>506</v>
      </c>
      <c r="AM6" t="s">
        <v>5</v>
      </c>
      <c r="AN6" t="s">
        <v>507</v>
      </c>
      <c r="AO6" t="s">
        <v>508</v>
      </c>
      <c r="AP6" t="s">
        <v>509</v>
      </c>
      <c r="AQ6" t="s">
        <v>510</v>
      </c>
      <c r="AR6" t="s">
        <v>511</v>
      </c>
      <c r="AS6" t="s">
        <v>512</v>
      </c>
      <c r="AT6" t="s">
        <v>513</v>
      </c>
      <c r="AU6" t="s">
        <v>514</v>
      </c>
      <c r="AV6" t="s">
        <v>515</v>
      </c>
      <c r="AW6" t="s">
        <v>516</v>
      </c>
      <c r="AX6" t="s">
        <v>517</v>
      </c>
      <c r="AY6" t="s">
        <v>257</v>
      </c>
      <c r="AZ6" t="s">
        <v>258</v>
      </c>
      <c r="BA6" t="s">
        <v>58</v>
      </c>
      <c r="BB6" t="s">
        <v>59</v>
      </c>
      <c r="BC6" t="s">
        <v>175</v>
      </c>
      <c r="BD6" t="s">
        <v>128</v>
      </c>
      <c r="BE6" t="s">
        <v>57</v>
      </c>
      <c r="BF6" t="s">
        <v>31</v>
      </c>
      <c r="BG6" t="s">
        <v>60</v>
      </c>
      <c r="BH6" t="s">
        <v>494</v>
      </c>
      <c r="BI6" t="s">
        <v>518</v>
      </c>
      <c r="BJ6" t="s">
        <v>517</v>
      </c>
      <c r="BK6" t="s">
        <v>495</v>
      </c>
      <c r="BL6" t="s">
        <v>519</v>
      </c>
      <c r="BM6" t="s">
        <v>175</v>
      </c>
      <c r="BN6">
        <v>6.69</v>
      </c>
      <c r="BO6">
        <v>11.6</v>
      </c>
      <c r="BP6">
        <v>10.58</v>
      </c>
      <c r="BQ6">
        <v>8.2799999999999994</v>
      </c>
      <c r="BR6">
        <v>13.97</v>
      </c>
      <c r="BS6">
        <v>12.58</v>
      </c>
      <c r="BT6" t="s">
        <v>349</v>
      </c>
      <c r="BU6" t="s">
        <v>27</v>
      </c>
      <c r="BV6">
        <v>16.829999999999998</v>
      </c>
      <c r="BW6">
        <v>14.45</v>
      </c>
      <c r="BX6">
        <v>12.27</v>
      </c>
      <c r="BY6">
        <v>7.11</v>
      </c>
      <c r="BZ6">
        <v>6.18</v>
      </c>
      <c r="CA6">
        <v>4.58</v>
      </c>
      <c r="CB6">
        <v>-0.59</v>
      </c>
      <c r="CC6">
        <v>-3.29</v>
      </c>
      <c r="CD6" t="s">
        <v>520</v>
      </c>
      <c r="CE6" t="s">
        <v>521</v>
      </c>
      <c r="CF6" s="7">
        <v>-5.6608417425548794E-3</v>
      </c>
      <c r="CG6" s="8">
        <v>-0.31942143769968051</v>
      </c>
      <c r="CH6" s="7">
        <v>-0.13219235837459564</v>
      </c>
      <c r="CI6" s="7">
        <v>8.7214089930057526E-2</v>
      </c>
      <c r="CJ6" s="7">
        <v>0.30693328380584717</v>
      </c>
      <c r="CK6" s="7">
        <v>-0.23387628793716431</v>
      </c>
      <c r="CL6" s="7">
        <v>6.7663028836250305E-2</v>
      </c>
      <c r="CM6" s="8">
        <v>-6.9605566561222076E-2</v>
      </c>
      <c r="CN6" s="8">
        <v>0.39482200145721436</v>
      </c>
      <c r="CO6" s="8">
        <v>0.26380369067192078</v>
      </c>
      <c r="CP6" s="8">
        <v>3.4920636564493179E-2</v>
      </c>
      <c r="CQ6" s="8">
        <v>-6.988188624382019E-2</v>
      </c>
      <c r="CR6">
        <v>8.8116230307876844</v>
      </c>
      <c r="CS6">
        <v>4.6017659247978182</v>
      </c>
      <c r="CT6">
        <v>4.431314623338257</v>
      </c>
      <c r="CU6" s="7">
        <v>1.9148351252079011E-2</v>
      </c>
      <c r="CV6" s="8">
        <v>0.1108117751777172</v>
      </c>
      <c r="CW6">
        <v>0.06</v>
      </c>
      <c r="CX6">
        <v>7.3875375175245344</v>
      </c>
      <c r="CY6">
        <v>1542182976.8003156</v>
      </c>
      <c r="CZ6">
        <v>1.9148351252079011E-2</v>
      </c>
      <c r="DA6">
        <v>2.5646545071370923</v>
      </c>
      <c r="DB6">
        <v>4442288256.8763075</v>
      </c>
      <c r="DC6">
        <v>1.819093368947506E-2</v>
      </c>
      <c r="DD6">
        <v>1.365706206473678</v>
      </c>
      <c r="DE6">
        <v>8342156274.8968744</v>
      </c>
      <c r="DF6">
        <v>1.685054910182953E-2</v>
      </c>
      <c r="DG6">
        <v>0.89327040564137317</v>
      </c>
      <c r="DH6">
        <v>12754183423.125732</v>
      </c>
      <c r="DI6">
        <v>1.531868100166321E-2</v>
      </c>
      <c r="DJ6">
        <v>0.55068390085849994</v>
      </c>
      <c r="DK6">
        <v>20688701053.796471</v>
      </c>
      <c r="DL6">
        <v>1.3403845876455307E-2</v>
      </c>
      <c r="DM6">
        <v>1604000000</v>
      </c>
      <c r="DN6">
        <v>1.9148351252079011E-2</v>
      </c>
      <c r="DO6">
        <v>11392934600</v>
      </c>
      <c r="DP6">
        <v>18864656000</v>
      </c>
      <c r="DQ6">
        <v>605</v>
      </c>
      <c r="DR6">
        <v>-2.480919299463389E-2</v>
      </c>
      <c r="DS6">
        <v>-0.43023321287739769</v>
      </c>
      <c r="DT6" s="9">
        <v>-0.42333333333333334</v>
      </c>
      <c r="DU6">
        <v>6.3333333333333353E-2</v>
      </c>
      <c r="DV6">
        <v>-0.36</v>
      </c>
      <c r="DW6">
        <v>-1.0328999999999999</v>
      </c>
      <c r="DX6">
        <v>0.36963633217993008</v>
      </c>
      <c r="DY6">
        <v>-1.0032780353287196</v>
      </c>
      <c r="DZ6">
        <v>2593</v>
      </c>
      <c r="EA6">
        <v>-1.0016146408850073</v>
      </c>
      <c r="EB6">
        <v>1</v>
      </c>
      <c r="EC6">
        <v>1.7691499240421026E-2</v>
      </c>
      <c r="ED6">
        <v>0.17756072361708766</v>
      </c>
      <c r="EE6" s="10">
        <v>2.0121099999999998</v>
      </c>
      <c r="EF6">
        <v>2.04101</v>
      </c>
      <c r="EG6">
        <v>27.09963633217993</v>
      </c>
      <c r="EH6" t="s">
        <v>467</v>
      </c>
      <c r="EI6">
        <v>0</v>
      </c>
      <c r="EJ6">
        <v>0</v>
      </c>
      <c r="EK6" s="12">
        <v>45470</v>
      </c>
      <c r="EL6" s="13">
        <v>0.28999999999999998</v>
      </c>
      <c r="EM6" s="13">
        <v>-2.04</v>
      </c>
      <c r="EN6" s="13">
        <v>1.64</v>
      </c>
      <c r="EO6" s="13">
        <v>1.32</v>
      </c>
      <c r="EP6" s="13">
        <v>-2.89</v>
      </c>
    </row>
    <row r="7" spans="1:146" x14ac:dyDescent="0.25">
      <c r="D7" t="s">
        <v>522</v>
      </c>
      <c r="E7" t="s">
        <v>523</v>
      </c>
      <c r="F7">
        <v>2.86</v>
      </c>
      <c r="G7">
        <v>0.7</v>
      </c>
      <c r="H7" t="s">
        <v>524</v>
      </c>
      <c r="I7">
        <v>7427446000</v>
      </c>
      <c r="J7">
        <v>56.46</v>
      </c>
      <c r="K7">
        <v>0.81899999999999995</v>
      </c>
      <c r="L7" t="s">
        <v>27</v>
      </c>
      <c r="M7" t="s">
        <v>525</v>
      </c>
      <c r="N7" t="s">
        <v>526</v>
      </c>
      <c r="O7" t="s">
        <v>527</v>
      </c>
      <c r="P7" s="5">
        <v>2.5499999999999998</v>
      </c>
      <c r="Q7" t="s">
        <v>528</v>
      </c>
      <c r="R7">
        <v>20636547</v>
      </c>
      <c r="S7">
        <v>-0.31390000000000001</v>
      </c>
      <c r="T7" t="s">
        <v>473</v>
      </c>
      <c r="U7">
        <v>2596994100</v>
      </c>
      <c r="V7">
        <v>2597009100</v>
      </c>
      <c r="W7">
        <v>4.8499999999999996</v>
      </c>
      <c r="X7">
        <v>0.38</v>
      </c>
      <c r="Y7">
        <v>0.02</v>
      </c>
      <c r="Z7" t="s">
        <v>529</v>
      </c>
      <c r="AA7" t="s">
        <v>530</v>
      </c>
      <c r="AB7" t="s">
        <v>531</v>
      </c>
      <c r="AC7" t="s">
        <v>532</v>
      </c>
      <c r="AD7" t="s">
        <v>5</v>
      </c>
      <c r="AE7">
        <v>267618290</v>
      </c>
      <c r="AF7" t="s">
        <v>533</v>
      </c>
      <c r="AG7" t="s">
        <v>534</v>
      </c>
      <c r="AH7" t="s">
        <v>535</v>
      </c>
      <c r="AI7" t="s">
        <v>536</v>
      </c>
      <c r="AJ7" t="s">
        <v>537</v>
      </c>
      <c r="AK7" t="s">
        <v>538</v>
      </c>
      <c r="AL7" t="s">
        <v>539</v>
      </c>
      <c r="AM7" t="s">
        <v>5</v>
      </c>
      <c r="AN7" t="s">
        <v>540</v>
      </c>
      <c r="AO7" t="s">
        <v>541</v>
      </c>
      <c r="AP7" t="s">
        <v>542</v>
      </c>
      <c r="AQ7" t="s">
        <v>543</v>
      </c>
      <c r="AR7" t="s">
        <v>544</v>
      </c>
      <c r="AS7" t="s">
        <v>545</v>
      </c>
      <c r="AT7" t="s">
        <v>546</v>
      </c>
      <c r="AU7" t="s">
        <v>547</v>
      </c>
      <c r="AV7" t="s">
        <v>548</v>
      </c>
      <c r="AW7" t="s">
        <v>549</v>
      </c>
      <c r="AX7" t="s">
        <v>550</v>
      </c>
      <c r="AY7" t="s">
        <v>551</v>
      </c>
      <c r="AZ7" t="s">
        <v>552</v>
      </c>
      <c r="BA7" t="s">
        <v>553</v>
      </c>
      <c r="BB7" t="s">
        <v>554</v>
      </c>
      <c r="BC7" t="s">
        <v>555</v>
      </c>
      <c r="BD7" t="s">
        <v>364</v>
      </c>
      <c r="BE7" t="s">
        <v>556</v>
      </c>
      <c r="BF7" t="s">
        <v>557</v>
      </c>
      <c r="BG7" t="s">
        <v>558</v>
      </c>
      <c r="BH7" t="s">
        <v>528</v>
      </c>
      <c r="BI7" t="s">
        <v>559</v>
      </c>
      <c r="BJ7" t="s">
        <v>550</v>
      </c>
      <c r="BK7" t="s">
        <v>473</v>
      </c>
      <c r="BL7" t="s">
        <v>560</v>
      </c>
      <c r="BM7" t="s">
        <v>555</v>
      </c>
      <c r="BN7">
        <v>2.36</v>
      </c>
      <c r="BO7">
        <v>3.33</v>
      </c>
      <c r="BP7">
        <v>4.78</v>
      </c>
      <c r="BQ7">
        <v>1.3</v>
      </c>
      <c r="BR7">
        <v>2.93</v>
      </c>
      <c r="BS7">
        <v>7.12</v>
      </c>
      <c r="BT7" t="s">
        <v>561</v>
      </c>
      <c r="BU7" t="s">
        <v>27</v>
      </c>
      <c r="BV7">
        <v>4.1100000000000003</v>
      </c>
      <c r="BW7">
        <v>4.67</v>
      </c>
      <c r="BX7">
        <v>6.35</v>
      </c>
      <c r="BY7">
        <v>0.14000000000000001</v>
      </c>
      <c r="BZ7">
        <v>0.28000000000000003</v>
      </c>
      <c r="CA7">
        <v>0.64</v>
      </c>
      <c r="CB7">
        <v>0.7</v>
      </c>
      <c r="CC7" s="7">
        <v>-15.58</v>
      </c>
      <c r="CD7" s="8" t="s">
        <v>562</v>
      </c>
      <c r="CE7" s="7" t="s">
        <v>563</v>
      </c>
      <c r="CF7" s="7">
        <v>2.5453259936366851E-2</v>
      </c>
      <c r="CG7" s="7">
        <v>-0.31392633447698076</v>
      </c>
      <c r="CH7" s="7">
        <v>0.10566987097263336</v>
      </c>
      <c r="CI7" s="7">
        <v>0.21635723114013672</v>
      </c>
      <c r="CJ7" s="8">
        <v>3.0651753768324852E-2</v>
      </c>
      <c r="CK7" s="8">
        <v>-5.1702577620744705E-2</v>
      </c>
      <c r="CL7" s="8">
        <v>3.0735282227396965E-2</v>
      </c>
      <c r="CM7" s="8">
        <v>-0.44921875</v>
      </c>
      <c r="CN7" s="8">
        <v>-0.49407115578651428</v>
      </c>
      <c r="CO7">
        <v>3.1138210296630859</v>
      </c>
      <c r="CP7">
        <v>0.36451837420463562</v>
      </c>
      <c r="CQ7">
        <v>-0.54929149150848389</v>
      </c>
      <c r="CR7" s="7">
        <v>33.860089684872079</v>
      </c>
      <c r="CS7" s="8">
        <v>5.1038452858086032</v>
      </c>
      <c r="CT7">
        <v>0.41958041958041958</v>
      </c>
      <c r="CU7">
        <v>6.6342312097549441E-2</v>
      </c>
      <c r="CV7">
        <v>0.39715160131454469</v>
      </c>
      <c r="CW7">
        <v>0.06</v>
      </c>
      <c r="CX7">
        <v>285.35959703569637</v>
      </c>
      <c r="CY7">
        <v>141843647.17524007</v>
      </c>
      <c r="CZ7">
        <v>6.6342312097549441E-2</v>
      </c>
      <c r="DA7">
        <v>95.14488442496382</v>
      </c>
      <c r="DB7">
        <v>425419046.37996399</v>
      </c>
      <c r="DC7">
        <v>6.3025196492671964E-2</v>
      </c>
      <c r="DD7">
        <v>48.100944022763969</v>
      </c>
      <c r="DE7">
        <v>841489638.55770385</v>
      </c>
      <c r="DF7">
        <v>5.8381234645843508E-2</v>
      </c>
      <c r="DG7">
        <v>29.755344129015199</v>
      </c>
      <c r="DH7">
        <v>1360308448.2740154</v>
      </c>
      <c r="DI7">
        <v>5.3073849678039554E-2</v>
      </c>
      <c r="DJ7">
        <v>16.385880035104918</v>
      </c>
      <c r="DK7">
        <v>2470202754.6450806</v>
      </c>
      <c r="DL7">
        <v>4.6439618468284607E-2</v>
      </c>
      <c r="DM7">
        <v>141000000</v>
      </c>
      <c r="DN7">
        <v>6.6342312097549441E-2</v>
      </c>
      <c r="DO7">
        <v>40476446000</v>
      </c>
      <c r="DP7">
        <v>2369736000</v>
      </c>
      <c r="DQ7" s="9">
        <v>693</v>
      </c>
      <c r="DR7">
        <v>-4.088905216118259E-2</v>
      </c>
      <c r="DS7">
        <v>-0.71107793579152545</v>
      </c>
      <c r="DT7">
        <v>-0.28999999999999998</v>
      </c>
      <c r="DU7">
        <v>-0.15166666666666673</v>
      </c>
      <c r="DV7">
        <v>-0.44166666666666671</v>
      </c>
      <c r="DW7">
        <v>-2.1558000000000002</v>
      </c>
      <c r="DX7">
        <v>0.35641159420289892</v>
      </c>
      <c r="DY7">
        <v>-2.0228109263768115</v>
      </c>
      <c r="DZ7">
        <v>2775</v>
      </c>
      <c r="EA7">
        <v>-2.0104233880802065</v>
      </c>
      <c r="EB7" s="10">
        <v>2</v>
      </c>
      <c r="EC7" s="10">
        <v>3.5010119910631042E-2</v>
      </c>
      <c r="ED7">
        <v>0.23912122602881908</v>
      </c>
      <c r="EE7">
        <v>-1.0309999999999999</v>
      </c>
      <c r="EF7">
        <v>-1.0068999999999999</v>
      </c>
      <c r="EG7">
        <v>21.146411594202899</v>
      </c>
      <c r="EH7" s="12" t="s">
        <v>254</v>
      </c>
      <c r="EI7">
        <v>0</v>
      </c>
      <c r="EJ7">
        <v>0</v>
      </c>
      <c r="EK7">
        <v>45470</v>
      </c>
      <c r="EL7">
        <v>0.7</v>
      </c>
      <c r="EM7">
        <v>-3.82</v>
      </c>
      <c r="EN7" s="13">
        <v>0</v>
      </c>
      <c r="EO7" s="13">
        <v>4.6900000000000004</v>
      </c>
      <c r="EP7" s="13">
        <v>-2.41</v>
      </c>
    </row>
    <row r="8" spans="1:146" ht="96" x14ac:dyDescent="0.25">
      <c r="A8" s="6"/>
      <c r="B8" s="6"/>
      <c r="C8" s="6" t="str">
        <f>""&amp;CHAR(10)&amp;Basic_Fundamental_Information_Constructure(F8)&amp;CHAR(10)&amp;Basic_Fundamental_Information_Concatenate("")</f>
        <v xml:space="preserve">
市值22.94734亿, 利润-9.35亿; PE; 平均PE-9.79; 平均PEG-1.51, PB.538; ROIC3.31%; ROE-1.5067%; 股利率0%; 毛利9.0433%; 净利-1.37%; 上一年度营收增-10.15%, 利润增-5606.09%; 当季营收增-28.24%, 利润增-194.66%; 过往5年营收增6.48%, 利润增-1024.93%
Income profile:
</v>
      </c>
      <c r="D8" t="s">
        <v>32</v>
      </c>
      <c r="E8" t="s">
        <v>61</v>
      </c>
      <c r="F8" t="s">
        <v>5</v>
      </c>
      <c r="G8" t="s">
        <v>5</v>
      </c>
      <c r="H8" t="s">
        <v>5</v>
      </c>
      <c r="I8">
        <v>2294734000</v>
      </c>
      <c r="K8">
        <v>0.53800000000000003</v>
      </c>
      <c r="L8" t="s">
        <v>27</v>
      </c>
      <c r="M8" t="s">
        <v>564</v>
      </c>
      <c r="N8" t="s">
        <v>565</v>
      </c>
      <c r="O8" t="s">
        <v>566</v>
      </c>
      <c r="P8">
        <v>-28.23</v>
      </c>
      <c r="Q8" t="s">
        <v>567</v>
      </c>
      <c r="R8">
        <v>-116393535</v>
      </c>
      <c r="S8" s="5">
        <v>-1.9470000000000001</v>
      </c>
      <c r="T8" t="s">
        <v>568</v>
      </c>
      <c r="U8">
        <v>6374261100</v>
      </c>
      <c r="V8">
        <v>6374261100</v>
      </c>
      <c r="W8">
        <v>3.4</v>
      </c>
      <c r="X8">
        <v>0.22</v>
      </c>
      <c r="Y8">
        <v>-4.72</v>
      </c>
      <c r="Z8" t="s">
        <v>569</v>
      </c>
      <c r="AA8" t="s">
        <v>570</v>
      </c>
      <c r="AB8" t="s">
        <v>571</v>
      </c>
      <c r="AC8" t="s">
        <v>424</v>
      </c>
      <c r="AD8" t="s">
        <v>5</v>
      </c>
      <c r="AE8">
        <v>152942070</v>
      </c>
      <c r="AF8" t="s">
        <v>572</v>
      </c>
      <c r="AG8" t="s">
        <v>573</v>
      </c>
      <c r="AH8" t="s">
        <v>574</v>
      </c>
      <c r="AI8" t="s">
        <v>575</v>
      </c>
      <c r="AJ8" t="s">
        <v>576</v>
      </c>
      <c r="AK8" t="s">
        <v>5</v>
      </c>
      <c r="AL8" t="s">
        <v>577</v>
      </c>
      <c r="AM8" t="s">
        <v>5</v>
      </c>
      <c r="AN8" t="s">
        <v>558</v>
      </c>
      <c r="AO8" t="s">
        <v>578</v>
      </c>
      <c r="AP8" t="s">
        <v>5</v>
      </c>
      <c r="AQ8" t="s">
        <v>579</v>
      </c>
      <c r="AR8" t="s">
        <v>580</v>
      </c>
      <c r="AS8" t="s">
        <v>581</v>
      </c>
      <c r="AT8" t="s">
        <v>582</v>
      </c>
      <c r="AU8" t="s">
        <v>583</v>
      </c>
      <c r="AV8" t="s">
        <v>584</v>
      </c>
      <c r="AW8" t="s">
        <v>585</v>
      </c>
      <c r="AX8" t="s">
        <v>259</v>
      </c>
      <c r="AY8" t="s">
        <v>129</v>
      </c>
      <c r="AZ8" t="s">
        <v>62</v>
      </c>
      <c r="BA8" t="s">
        <v>33</v>
      </c>
      <c r="BB8" t="s">
        <v>64</v>
      </c>
      <c r="BC8" t="s">
        <v>260</v>
      </c>
      <c r="BD8" t="s">
        <v>261</v>
      </c>
      <c r="BE8" t="s">
        <v>63</v>
      </c>
      <c r="BF8" t="s">
        <v>34</v>
      </c>
      <c r="BG8" t="s">
        <v>65</v>
      </c>
      <c r="BH8" t="s">
        <v>567</v>
      </c>
      <c r="BI8" t="s">
        <v>586</v>
      </c>
      <c r="BJ8" t="s">
        <v>259</v>
      </c>
      <c r="BK8" t="s">
        <v>568</v>
      </c>
      <c r="BL8" t="s">
        <v>587</v>
      </c>
      <c r="BM8" t="s">
        <v>260</v>
      </c>
      <c r="BN8" t="s">
        <v>5</v>
      </c>
      <c r="BO8">
        <v>3.85</v>
      </c>
      <c r="BP8">
        <v>2.77</v>
      </c>
      <c r="BQ8">
        <v>-6.91</v>
      </c>
      <c r="BR8">
        <v>0.33</v>
      </c>
      <c r="BS8">
        <v>2.06</v>
      </c>
      <c r="BT8" t="s">
        <v>174</v>
      </c>
      <c r="BU8" t="s">
        <v>27</v>
      </c>
      <c r="BV8">
        <v>8.3800000000000008</v>
      </c>
      <c r="BW8">
        <v>8.7799999999999994</v>
      </c>
      <c r="BX8">
        <v>9.9700000000000006</v>
      </c>
      <c r="BY8">
        <v>-5.73</v>
      </c>
      <c r="BZ8">
        <v>0.63</v>
      </c>
      <c r="CA8">
        <v>0.99</v>
      </c>
      <c r="CB8">
        <v>-18.18</v>
      </c>
      <c r="CC8">
        <v>-63.27</v>
      </c>
      <c r="CD8" t="s">
        <v>588</v>
      </c>
      <c r="CE8" t="s">
        <v>589</v>
      </c>
      <c r="CF8" s="7">
        <v>-0.2824027413827857</v>
      </c>
      <c r="CG8" s="8">
        <v>-1.9466120939322749</v>
      </c>
      <c r="CH8" s="7">
        <v>-0.10149326920509338</v>
      </c>
      <c r="CI8" s="7">
        <v>0.35766220092773438</v>
      </c>
      <c r="CJ8" s="7">
        <v>6.3810832798480988E-2</v>
      </c>
      <c r="CK8" s="7">
        <v>-3.1139075290411711E-3</v>
      </c>
      <c r="CL8" s="7">
        <v>6.9428649730980396E-3</v>
      </c>
      <c r="CM8" s="8">
        <v>-56.060890197753906</v>
      </c>
      <c r="CN8" s="8">
        <v>-0.8536103367805481</v>
      </c>
      <c r="CO8" s="8">
        <v>5.2794008255004883</v>
      </c>
      <c r="CP8" s="8">
        <v>-0.70209819078445435</v>
      </c>
      <c r="CQ8" s="8">
        <v>1.0905265808105469</v>
      </c>
      <c r="CR8">
        <v>-9.7888811867461527</v>
      </c>
      <c r="CS8">
        <v>-1.5115221614998393</v>
      </c>
      <c r="CT8">
        <v>0</v>
      </c>
      <c r="CU8" s="7">
        <v>6.4761744393035767E-2</v>
      </c>
      <c r="CV8" s="8">
        <v>-10.249334263801575</v>
      </c>
      <c r="CW8">
        <v>0.06</v>
      </c>
      <c r="CX8" t="e">
        <v>#VALUE!</v>
      </c>
      <c r="CY8" t="s">
        <v>148</v>
      </c>
      <c r="CZ8">
        <v>6.4761744393035767E-2</v>
      </c>
      <c r="DA8" t="e">
        <v>#VALUE!</v>
      </c>
      <c r="DB8" t="s">
        <v>149</v>
      </c>
      <c r="DC8">
        <v>6.1523657173383976E-2</v>
      </c>
      <c r="DD8" t="e">
        <v>#VALUE!</v>
      </c>
      <c r="DE8" t="s">
        <v>149</v>
      </c>
      <c r="DF8">
        <v>5.6990335065871478E-2</v>
      </c>
      <c r="DG8" t="e">
        <v>#VALUE!</v>
      </c>
      <c r="DH8" t="s">
        <v>149</v>
      </c>
      <c r="DI8">
        <v>5.1809395514428619E-2</v>
      </c>
      <c r="DJ8" t="e">
        <v>#VALUE!</v>
      </c>
      <c r="DK8" t="s">
        <v>149</v>
      </c>
      <c r="DL8">
        <v>4.5333221075125031E-2</v>
      </c>
      <c r="DM8">
        <v>-935000000</v>
      </c>
      <c r="DN8">
        <v>6.4761744393035767E-2</v>
      </c>
      <c r="DO8">
        <v>7501734000</v>
      </c>
      <c r="DP8">
        <v>2311222200</v>
      </c>
      <c r="DQ8">
        <v>1000</v>
      </c>
      <c r="DR8">
        <v>-0.34716448577582149</v>
      </c>
      <c r="DS8">
        <v>8.3027221698693001</v>
      </c>
      <c r="DT8" s="9">
        <v>-0.28999999999999998</v>
      </c>
      <c r="DU8">
        <v>-1.6866666666666668</v>
      </c>
      <c r="DV8">
        <v>-1.9766666666666668</v>
      </c>
      <c r="DW8">
        <v>-9.2873399715504981</v>
      </c>
      <c r="DX8">
        <v>1.5441717741935484E-2</v>
      </c>
      <c r="DY8">
        <v>-9.0044370227366581</v>
      </c>
      <c r="DZ8">
        <v>4370</v>
      </c>
      <c r="EA8">
        <v>-9.0006425434100059</v>
      </c>
      <c r="EB8">
        <v>9</v>
      </c>
      <c r="EC8">
        <v>1.4418784947481991E-2</v>
      </c>
      <c r="ED8">
        <v>0.93375528655391915</v>
      </c>
      <c r="EE8" s="10">
        <v>-5.0877100000000004</v>
      </c>
      <c r="EF8">
        <v>-6.0303100000000001</v>
      </c>
      <c r="EG8">
        <v>1.5441717741935484E-2</v>
      </c>
      <c r="EH8" t="s">
        <v>590</v>
      </c>
      <c r="EI8">
        <v>0</v>
      </c>
      <c r="EJ8">
        <v>0</v>
      </c>
      <c r="EK8" s="12">
        <v>45470</v>
      </c>
      <c r="EL8" s="13">
        <v>1.37</v>
      </c>
      <c r="EM8" s="13">
        <v>-9.4600000000000009</v>
      </c>
      <c r="EN8" s="13">
        <v>-10.45</v>
      </c>
      <c r="EO8" s="13">
        <v>-10</v>
      </c>
      <c r="EP8" s="13">
        <v>-9.26</v>
      </c>
    </row>
    <row r="9" spans="1:146" ht="96" x14ac:dyDescent="0.25">
      <c r="A9" s="6"/>
      <c r="B9" s="6"/>
      <c r="C9" s="6" t="str">
        <f>""&amp;CHAR(10)&amp;Basic_Fundamental_Information_Constructure(F9)&amp;CHAR(10)&amp;Basic_Fundamental_Information_Concatenate("")</f>
        <v xml:space="preserve">
市值71.282062亿, 利润3.97亿; PE125.5; 平均PE18.68; 平均PEG.7, PB1.48; ROIC4.91%; ROE4.6133%; 股利率0%; 毛利3.2667%; 净利.4133%; 上一年度营收增-97.81%, 利润增8.47%; 当季营收增2727.34%, 利润增-282.89%; 过往5年营收增-26.52%, 利润增8.47%
Income profile:
</v>
      </c>
      <c r="D9" t="s">
        <v>35</v>
      </c>
      <c r="E9" t="s">
        <v>11</v>
      </c>
      <c r="F9">
        <v>6.65</v>
      </c>
      <c r="G9">
        <v>1.22</v>
      </c>
      <c r="H9" t="s">
        <v>591</v>
      </c>
      <c r="I9">
        <v>7128206200</v>
      </c>
      <c r="J9">
        <v>125.5</v>
      </c>
      <c r="K9">
        <v>1.48</v>
      </c>
      <c r="L9" t="s">
        <v>27</v>
      </c>
      <c r="M9" t="s">
        <v>592</v>
      </c>
      <c r="N9" t="s">
        <v>593</v>
      </c>
      <c r="O9" t="s">
        <v>594</v>
      </c>
      <c r="P9">
        <v>-19.63</v>
      </c>
      <c r="Q9" t="s">
        <v>595</v>
      </c>
      <c r="R9">
        <v>-107651645</v>
      </c>
      <c r="S9" s="5">
        <v>-4.0970000000000004</v>
      </c>
      <c r="T9" t="s">
        <v>596</v>
      </c>
      <c r="U9">
        <v>1071910710</v>
      </c>
      <c r="V9">
        <v>1071910710</v>
      </c>
      <c r="W9">
        <v>4.12</v>
      </c>
      <c r="X9" t="s">
        <v>5</v>
      </c>
      <c r="Y9">
        <v>-0.74</v>
      </c>
      <c r="Z9" t="s">
        <v>5</v>
      </c>
      <c r="AA9" t="s">
        <v>5</v>
      </c>
      <c r="AB9" t="s">
        <v>5</v>
      </c>
      <c r="AC9" t="s">
        <v>5</v>
      </c>
      <c r="AD9" t="s">
        <v>5</v>
      </c>
      <c r="AE9">
        <v>82161700</v>
      </c>
      <c r="AF9" t="s">
        <v>597</v>
      </c>
      <c r="AG9" t="s">
        <v>598</v>
      </c>
      <c r="AH9" t="s">
        <v>599</v>
      </c>
      <c r="AI9" t="s">
        <v>600</v>
      </c>
      <c r="AJ9" t="s">
        <v>601</v>
      </c>
      <c r="AK9" t="s">
        <v>5</v>
      </c>
      <c r="AL9" t="s">
        <v>602</v>
      </c>
      <c r="AM9" t="s">
        <v>5</v>
      </c>
      <c r="AN9" t="s">
        <v>603</v>
      </c>
      <c r="AO9" t="s">
        <v>5</v>
      </c>
      <c r="AP9" t="s">
        <v>604</v>
      </c>
      <c r="AQ9" t="s">
        <v>605</v>
      </c>
      <c r="AR9" t="s">
        <v>5</v>
      </c>
      <c r="AS9" t="s">
        <v>5</v>
      </c>
      <c r="AT9" t="s">
        <v>5</v>
      </c>
      <c r="AU9" t="s">
        <v>606</v>
      </c>
      <c r="AV9" t="s">
        <v>607</v>
      </c>
      <c r="AW9" t="s">
        <v>608</v>
      </c>
      <c r="AX9" t="s">
        <v>609</v>
      </c>
      <c r="AY9" t="s">
        <v>5</v>
      </c>
      <c r="AZ9" t="s">
        <v>262</v>
      </c>
      <c r="BA9" t="s">
        <v>66</v>
      </c>
      <c r="BB9" t="s">
        <v>67</v>
      </c>
      <c r="BC9" t="s">
        <v>610</v>
      </c>
      <c r="BD9" t="s">
        <v>5</v>
      </c>
      <c r="BE9" t="s">
        <v>5</v>
      </c>
      <c r="BF9" t="s">
        <v>5</v>
      </c>
      <c r="BG9" t="s">
        <v>5</v>
      </c>
      <c r="BH9" t="s">
        <v>611</v>
      </c>
      <c r="BI9" t="s">
        <v>309</v>
      </c>
      <c r="BJ9" t="s">
        <v>609</v>
      </c>
      <c r="BK9" t="s">
        <v>274</v>
      </c>
      <c r="BL9" t="s">
        <v>612</v>
      </c>
      <c r="BM9" t="s">
        <v>610</v>
      </c>
      <c r="BN9">
        <v>3.4</v>
      </c>
      <c r="BO9">
        <v>5.0999999999999996</v>
      </c>
      <c r="BP9">
        <v>6.23</v>
      </c>
      <c r="BQ9">
        <v>2.59</v>
      </c>
      <c r="BR9">
        <v>3.91</v>
      </c>
      <c r="BS9">
        <v>7.34</v>
      </c>
      <c r="BT9" t="s">
        <v>174</v>
      </c>
      <c r="BU9" t="s">
        <v>27</v>
      </c>
      <c r="BV9">
        <v>3.05</v>
      </c>
      <c r="BW9">
        <v>3.65</v>
      </c>
      <c r="BX9">
        <v>3.1</v>
      </c>
      <c r="BY9">
        <v>0.23</v>
      </c>
      <c r="BZ9">
        <v>0.45</v>
      </c>
      <c r="CA9">
        <v>0.56000000000000005</v>
      </c>
      <c r="CB9">
        <v>0.76</v>
      </c>
      <c r="CC9">
        <v>-13.3</v>
      </c>
      <c r="CD9" t="s">
        <v>613</v>
      </c>
      <c r="CE9" t="s">
        <v>424</v>
      </c>
      <c r="CF9" s="7">
        <v>27.2734375</v>
      </c>
      <c r="CG9" s="8">
        <v>-2.8288632340399507</v>
      </c>
      <c r="CH9" s="7">
        <v>-0.97810429334640503</v>
      </c>
      <c r="CI9" s="7" t="s">
        <v>5</v>
      </c>
      <c r="CJ9" s="7" t="s">
        <v>5</v>
      </c>
      <c r="CK9" s="7">
        <v>8.1448398530483246E-2</v>
      </c>
      <c r="CL9" s="7">
        <v>0.10114981979131699</v>
      </c>
      <c r="CM9" s="8">
        <v>8.4699451923370361E-2</v>
      </c>
      <c r="CN9" s="8" t="s">
        <v>5</v>
      </c>
      <c r="CO9" s="8" t="s">
        <v>5</v>
      </c>
      <c r="CP9" s="8" t="s">
        <v>5</v>
      </c>
      <c r="CQ9" s="8" t="s">
        <v>5</v>
      </c>
      <c r="CR9">
        <v>18.684682044560944</v>
      </c>
      <c r="CS9">
        <v>0.70463379091038481</v>
      </c>
      <c r="CT9">
        <v>0</v>
      </c>
      <c r="CU9" s="7">
        <v>-0.26516869167486828</v>
      </c>
      <c r="CV9" s="8">
        <v>8.4699451923370361E-2</v>
      </c>
      <c r="CW9">
        <v>0.06</v>
      </c>
      <c r="CX9" t="e">
        <v>#VALUE!</v>
      </c>
      <c r="CY9" t="s">
        <v>614</v>
      </c>
      <c r="CZ9">
        <v>-0.26516869167486828</v>
      </c>
      <c r="DA9">
        <v>12.343582031905962</v>
      </c>
      <c r="DB9" t="s">
        <v>615</v>
      </c>
      <c r="DC9">
        <v>-0.25191025709112486</v>
      </c>
      <c r="DD9">
        <v>6.171791015952981</v>
      </c>
      <c r="DE9" t="s">
        <v>616</v>
      </c>
      <c r="DF9">
        <v>-0.2333484486738841</v>
      </c>
      <c r="DG9">
        <v>3.7030746095717886</v>
      </c>
      <c r="DH9" t="s">
        <v>617</v>
      </c>
      <c r="DI9">
        <v>-0.21213495333989463</v>
      </c>
      <c r="DJ9">
        <v>1.8515373047858943</v>
      </c>
      <c r="DK9" t="s">
        <v>618</v>
      </c>
      <c r="DL9">
        <v>-0.1856180841724078</v>
      </c>
      <c r="DM9">
        <v>397000000</v>
      </c>
      <c r="DN9">
        <v>-0.26516869167486828</v>
      </c>
      <c r="DO9">
        <v>14701206200</v>
      </c>
      <c r="DP9">
        <v>27930423000</v>
      </c>
      <c r="DQ9">
        <v>2887</v>
      </c>
      <c r="DR9">
        <v>27.538606191674869</v>
      </c>
      <c r="DS9">
        <v>-2.913562685963321</v>
      </c>
      <c r="DT9" s="9">
        <v>-1.1599999999999999</v>
      </c>
      <c r="DU9">
        <v>-2.6949999999999998</v>
      </c>
      <c r="DV9">
        <v>-3.8549999999999995</v>
      </c>
      <c r="DW9">
        <v>-2.133</v>
      </c>
      <c r="DX9">
        <v>0.39771071428571503</v>
      </c>
      <c r="DY9">
        <v>-2.0196455250000001</v>
      </c>
      <c r="DZ9">
        <v>1259</v>
      </c>
      <c r="EA9">
        <v>-2.014805267470646</v>
      </c>
      <c r="EB9">
        <v>2</v>
      </c>
      <c r="EC9">
        <v>1.5433748208374556E-2</v>
      </c>
      <c r="ED9">
        <v>0.10448631490956931</v>
      </c>
      <c r="EE9" s="10">
        <v>1.1169100000000001</v>
      </c>
      <c r="EF9">
        <v>1.1372100000000001</v>
      </c>
      <c r="EG9">
        <v>25.147710714285715</v>
      </c>
      <c r="EH9" t="s">
        <v>350</v>
      </c>
      <c r="EI9">
        <v>0</v>
      </c>
      <c r="EJ9">
        <v>1</v>
      </c>
      <c r="EK9" s="12">
        <v>45470</v>
      </c>
      <c r="EL9" s="13">
        <v>-0.43</v>
      </c>
      <c r="EM9" s="13">
        <v>-4.16</v>
      </c>
      <c r="EN9" s="13">
        <v>0.6</v>
      </c>
      <c r="EO9" s="13">
        <v>2.38</v>
      </c>
      <c r="EP9" s="13">
        <v>-2.0299999999999998</v>
      </c>
    </row>
    <row r="10" spans="1:146" ht="108" x14ac:dyDescent="0.25">
      <c r="A10" s="6"/>
      <c r="B10" s="6"/>
      <c r="C10" s="6" t="str">
        <f>""&amp;CHAR(10)&amp;Basic_Fundamental_Information_Constructure(F10)&amp;CHAR(10)&amp;Basic_Fundamental_Information_Concatenate("")</f>
        <v xml:space="preserve">
市值15.694413亿, 利润8.22亿; PE52.29; 平均PE3.65; 平均PEG.07, PB.742; ROIC1.5733%; ROE1.4933%; 股利率1.5723%; 毛利5.4767%; 净利.8167%; 上一年度营收增153.46%, 利润增2033.88%; 当季营收增-62.21%, 利润增-98.71%; 过往5年营收增50.57%, 利润增2033.88%
Income profile:
</v>
      </c>
      <c r="D10" t="s">
        <v>36</v>
      </c>
      <c r="E10" t="s">
        <v>619</v>
      </c>
      <c r="F10">
        <v>6.36</v>
      </c>
      <c r="G10">
        <v>1.27</v>
      </c>
      <c r="H10" t="s">
        <v>620</v>
      </c>
      <c r="I10">
        <v>1569441300</v>
      </c>
      <c r="J10">
        <v>52.29</v>
      </c>
      <c r="K10">
        <v>0.74199999999999999</v>
      </c>
      <c r="L10" t="s">
        <v>27</v>
      </c>
      <c r="M10" t="s">
        <v>621</v>
      </c>
      <c r="N10" t="s">
        <v>622</v>
      </c>
      <c r="O10" t="s">
        <v>623</v>
      </c>
      <c r="P10">
        <v>49.08</v>
      </c>
      <c r="Q10" t="s">
        <v>624</v>
      </c>
      <c r="R10">
        <v>3037349</v>
      </c>
      <c r="S10" s="5">
        <v>-0.46339999999999998</v>
      </c>
      <c r="T10" t="s">
        <v>266</v>
      </c>
      <c r="U10">
        <v>246767500</v>
      </c>
      <c r="V10">
        <v>246767500</v>
      </c>
      <c r="W10">
        <v>2.21</v>
      </c>
      <c r="X10" t="s">
        <v>5</v>
      </c>
      <c r="Y10">
        <v>0.68</v>
      </c>
      <c r="Z10" t="s">
        <v>5</v>
      </c>
      <c r="AA10" t="s">
        <v>5</v>
      </c>
      <c r="AB10" t="s">
        <v>5</v>
      </c>
      <c r="AC10" t="s">
        <v>5</v>
      </c>
      <c r="AD10" t="s">
        <v>5</v>
      </c>
      <c r="AE10">
        <v>699391</v>
      </c>
      <c r="AF10" t="s">
        <v>625</v>
      </c>
      <c r="AG10" t="s">
        <v>626</v>
      </c>
      <c r="AH10" t="s">
        <v>627</v>
      </c>
      <c r="AI10" t="s">
        <v>628</v>
      </c>
      <c r="AJ10" t="s">
        <v>629</v>
      </c>
      <c r="AK10" t="s">
        <v>5</v>
      </c>
      <c r="AL10" t="s">
        <v>630</v>
      </c>
      <c r="AM10" t="s">
        <v>5</v>
      </c>
      <c r="AN10" t="s">
        <v>631</v>
      </c>
      <c r="AO10" t="s">
        <v>5</v>
      </c>
      <c r="AP10" t="s">
        <v>632</v>
      </c>
      <c r="AQ10" t="s">
        <v>633</v>
      </c>
      <c r="AR10" t="s">
        <v>634</v>
      </c>
      <c r="AS10" t="s">
        <v>5</v>
      </c>
      <c r="AT10" t="s">
        <v>5</v>
      </c>
      <c r="AU10" t="s">
        <v>635</v>
      </c>
      <c r="AV10" t="s">
        <v>636</v>
      </c>
      <c r="AW10" t="s">
        <v>637</v>
      </c>
      <c r="AX10" t="s">
        <v>263</v>
      </c>
      <c r="AY10" t="s">
        <v>5</v>
      </c>
      <c r="AZ10" t="s">
        <v>68</v>
      </c>
      <c r="BA10" t="s">
        <v>37</v>
      </c>
      <c r="BB10" t="s">
        <v>69</v>
      </c>
      <c r="BC10" t="s">
        <v>264</v>
      </c>
      <c r="BD10" t="s">
        <v>5</v>
      </c>
      <c r="BE10" t="s">
        <v>5</v>
      </c>
      <c r="BF10" t="s">
        <v>5</v>
      </c>
      <c r="BG10" t="s">
        <v>5</v>
      </c>
      <c r="BH10" t="s">
        <v>638</v>
      </c>
      <c r="BI10" t="s">
        <v>639</v>
      </c>
      <c r="BJ10" t="s">
        <v>263</v>
      </c>
      <c r="BK10" t="s">
        <v>640</v>
      </c>
      <c r="BL10" t="s">
        <v>176</v>
      </c>
      <c r="BM10" t="s">
        <v>264</v>
      </c>
      <c r="BN10">
        <v>1.28</v>
      </c>
      <c r="BO10">
        <v>1.66</v>
      </c>
      <c r="BP10">
        <v>1.78</v>
      </c>
      <c r="BQ10">
        <v>1.01</v>
      </c>
      <c r="BR10">
        <v>1.82</v>
      </c>
      <c r="BS10">
        <v>1.65</v>
      </c>
      <c r="BT10" t="s">
        <v>265</v>
      </c>
      <c r="BU10" t="s">
        <v>27</v>
      </c>
      <c r="BV10">
        <v>5.3</v>
      </c>
      <c r="BW10">
        <v>5.21</v>
      </c>
      <c r="BX10">
        <v>5.92</v>
      </c>
      <c r="BY10">
        <v>0.96</v>
      </c>
      <c r="BZ10">
        <v>0.64</v>
      </c>
      <c r="CA10">
        <v>0.85</v>
      </c>
      <c r="CB10">
        <v>-0.16</v>
      </c>
      <c r="CC10">
        <v>-11.42</v>
      </c>
      <c r="CD10" t="s">
        <v>641</v>
      </c>
      <c r="CE10" t="s">
        <v>642</v>
      </c>
      <c r="CF10" s="7">
        <v>-0.62209170996159924</v>
      </c>
      <c r="CG10" s="8">
        <v>-0.98707511063829789</v>
      </c>
      <c r="CH10" s="7">
        <v>1.5345555543899536</v>
      </c>
      <c r="CI10" s="7" t="s">
        <v>5</v>
      </c>
      <c r="CJ10" s="7" t="s">
        <v>5</v>
      </c>
      <c r="CK10" s="7">
        <v>2.9090108349919319E-2</v>
      </c>
      <c r="CL10" s="7">
        <v>-4.6594161540269852E-2</v>
      </c>
      <c r="CM10" s="8">
        <v>20.338788986206055</v>
      </c>
      <c r="CN10" s="8" t="s">
        <v>5</v>
      </c>
      <c r="CO10" s="8" t="s">
        <v>5</v>
      </c>
      <c r="CP10" s="8" t="s">
        <v>5</v>
      </c>
      <c r="CQ10" s="8" t="s">
        <v>5</v>
      </c>
      <c r="CR10">
        <v>3.6476519933147502</v>
      </c>
      <c r="CS10">
        <v>7.2133055280530337E-2</v>
      </c>
      <c r="CT10">
        <v>1.5723270440251571</v>
      </c>
      <c r="CU10" s="7">
        <v>0.50568383373320103</v>
      </c>
      <c r="CV10" s="8">
        <v>20.338788986206055</v>
      </c>
      <c r="CW10">
        <v>0.06</v>
      </c>
      <c r="CX10">
        <v>1.7706529523779515</v>
      </c>
      <c r="CY10">
        <v>1167615199.3666899</v>
      </c>
      <c r="CZ10">
        <v>0.50568383373320103</v>
      </c>
      <c r="DA10">
        <v>0.41427447379999938</v>
      </c>
      <c r="DB10">
        <v>4990510955.2999039</v>
      </c>
      <c r="DC10">
        <v>0.48039964204654095</v>
      </c>
      <c r="DD10">
        <v>0.1236932178453161</v>
      </c>
      <c r="DE10">
        <v>16714265632.45713</v>
      </c>
      <c r="DF10">
        <v>0.44500177368521693</v>
      </c>
      <c r="DG10">
        <v>3.9338010758328143E-2</v>
      </c>
      <c r="DH10">
        <v>52555817138.321053</v>
      </c>
      <c r="DI10">
        <v>0.40454706698656084</v>
      </c>
      <c r="DJ10">
        <v>4.1153494974025149E-3</v>
      </c>
      <c r="DK10">
        <v>502373200940.74805</v>
      </c>
      <c r="DL10">
        <v>0.3539786836132407</v>
      </c>
      <c r="DM10">
        <v>822000000.00000012</v>
      </c>
      <c r="DN10">
        <v>0.50568383373320103</v>
      </c>
      <c r="DO10">
        <v>2067441300</v>
      </c>
      <c r="DP10">
        <v>3442336900</v>
      </c>
      <c r="DQ10">
        <v>2943</v>
      </c>
      <c r="DR10">
        <v>-1.1277755436948003</v>
      </c>
      <c r="DS10">
        <v>-21.325864096844352</v>
      </c>
      <c r="DT10" s="9">
        <v>-0.16000000000000003</v>
      </c>
      <c r="DU10">
        <v>-0.42000000000000015</v>
      </c>
      <c r="DV10">
        <v>-0.58000000000000018</v>
      </c>
      <c r="DW10">
        <v>-2.1141999999999999</v>
      </c>
      <c r="DX10">
        <v>0.29498767943150173</v>
      </c>
      <c r="DY10">
        <v>-2.0165575929910773</v>
      </c>
      <c r="DZ10">
        <v>3883</v>
      </c>
      <c r="EA10">
        <v>-2.0039757664579358</v>
      </c>
      <c r="EB10">
        <v>2</v>
      </c>
      <c r="EC10">
        <v>5.5989950054200814E-2</v>
      </c>
      <c r="ED10">
        <v>0.38617038305287366</v>
      </c>
      <c r="EE10" s="10">
        <v>4.6010000000000002E-2</v>
      </c>
      <c r="EF10">
        <v>5.101E-2</v>
      </c>
      <c r="EG10">
        <v>15.144987679431502</v>
      </c>
      <c r="EH10">
        <v>-1</v>
      </c>
      <c r="EI10">
        <v>0</v>
      </c>
      <c r="EJ10">
        <v>0</v>
      </c>
      <c r="EK10" s="12">
        <v>45470</v>
      </c>
      <c r="EL10" s="13">
        <v>-2.2200000000000002</v>
      </c>
      <c r="EM10" s="13">
        <v>-4.05</v>
      </c>
      <c r="EN10" s="13">
        <v>-0.34</v>
      </c>
      <c r="EO10" s="13">
        <v>1.53</v>
      </c>
      <c r="EP10" s="13">
        <v>-0.5</v>
      </c>
    </row>
    <row r="11" spans="1:146" ht="96" x14ac:dyDescent="0.25">
      <c r="A11" s="6"/>
      <c r="B11" s="6"/>
      <c r="C11" s="6" t="str">
        <f>""&amp;CHAR(10)&amp;Basic_Fundamental_Information_Constructure(F11)&amp;CHAR(10)&amp;Basic_Fundamental_Information_Concatenate("")</f>
        <v xml:space="preserve">
市值68.419526亿, 利润3.70亿; PE18.76; 平均PE26.67; 平均PEG.92, PB.953; ROIC5.07%; ROE5.07%; 股利率1.6279%; 毛利4%; 净利1.0733%; 上一年度营收增-4.76%, 利润增-2.89%; 当季营收增-6.66%, 利润增-6.05%; 过往5年营收增28.98%, 利润增18.78%
Income profile:
</v>
      </c>
      <c r="D11" t="s">
        <v>39</v>
      </c>
      <c r="E11" t="s">
        <v>6</v>
      </c>
      <c r="F11">
        <v>7.74</v>
      </c>
      <c r="G11">
        <v>0.52</v>
      </c>
      <c r="H11" t="s">
        <v>362</v>
      </c>
      <c r="I11">
        <v>6841952600</v>
      </c>
      <c r="J11">
        <v>18.760000000000002</v>
      </c>
      <c r="K11">
        <v>0.95299999999999996</v>
      </c>
      <c r="L11" t="s">
        <v>27</v>
      </c>
      <c r="M11" t="s">
        <v>267</v>
      </c>
      <c r="N11" t="s">
        <v>268</v>
      </c>
      <c r="O11" t="s">
        <v>269</v>
      </c>
      <c r="P11">
        <v>-6.66</v>
      </c>
      <c r="Q11" t="s">
        <v>270</v>
      </c>
      <c r="R11">
        <v>83241228</v>
      </c>
      <c r="S11" s="5">
        <v>-6.0499999999999998E-2</v>
      </c>
      <c r="T11" t="s">
        <v>271</v>
      </c>
      <c r="U11">
        <v>678914260</v>
      </c>
      <c r="V11">
        <v>883973200</v>
      </c>
      <c r="W11">
        <v>2.5299999999999998</v>
      </c>
      <c r="X11">
        <v>0.51</v>
      </c>
      <c r="Y11">
        <v>1.31</v>
      </c>
      <c r="Z11" t="s">
        <v>272</v>
      </c>
      <c r="AA11" t="s">
        <v>273</v>
      </c>
      <c r="AB11" t="s">
        <v>274</v>
      </c>
      <c r="AC11" t="s">
        <v>275</v>
      </c>
      <c r="AD11" t="s">
        <v>276</v>
      </c>
      <c r="AE11">
        <v>7760683</v>
      </c>
      <c r="AF11" t="s">
        <v>277</v>
      </c>
      <c r="AG11" t="s">
        <v>278</v>
      </c>
      <c r="AH11" t="s">
        <v>279</v>
      </c>
      <c r="AI11" t="s">
        <v>280</v>
      </c>
      <c r="AJ11" t="s">
        <v>281</v>
      </c>
      <c r="AK11" t="s">
        <v>282</v>
      </c>
      <c r="AL11" t="s">
        <v>283</v>
      </c>
      <c r="AM11" t="s">
        <v>5</v>
      </c>
      <c r="AN11" t="s">
        <v>284</v>
      </c>
      <c r="AO11" t="s">
        <v>285</v>
      </c>
      <c r="AP11" t="s">
        <v>286</v>
      </c>
      <c r="AQ11" t="s">
        <v>287</v>
      </c>
      <c r="AR11" t="s">
        <v>288</v>
      </c>
      <c r="AS11" t="s">
        <v>289</v>
      </c>
      <c r="AT11" t="s">
        <v>290</v>
      </c>
      <c r="AU11" t="s">
        <v>291</v>
      </c>
      <c r="AV11" t="s">
        <v>292</v>
      </c>
      <c r="AW11" t="s">
        <v>293</v>
      </c>
      <c r="AX11" t="s">
        <v>130</v>
      </c>
      <c r="AY11" t="s">
        <v>133</v>
      </c>
      <c r="AZ11" t="s">
        <v>70</v>
      </c>
      <c r="BA11" t="s">
        <v>71</v>
      </c>
      <c r="BB11" t="s">
        <v>72</v>
      </c>
      <c r="BC11" t="s">
        <v>131</v>
      </c>
      <c r="BD11" t="s">
        <v>134</v>
      </c>
      <c r="BE11" t="s">
        <v>73</v>
      </c>
      <c r="BF11" t="s">
        <v>74</v>
      </c>
      <c r="BG11" t="s">
        <v>28</v>
      </c>
      <c r="BH11" t="s">
        <v>270</v>
      </c>
      <c r="BI11" t="s">
        <v>294</v>
      </c>
      <c r="BJ11" t="s">
        <v>130</v>
      </c>
      <c r="BK11" t="s">
        <v>271</v>
      </c>
      <c r="BL11" t="s">
        <v>295</v>
      </c>
      <c r="BM11" t="s">
        <v>131</v>
      </c>
      <c r="BN11">
        <v>5.61</v>
      </c>
      <c r="BO11">
        <v>5.27</v>
      </c>
      <c r="BP11">
        <v>4.33</v>
      </c>
      <c r="BQ11">
        <v>5.3</v>
      </c>
      <c r="BR11">
        <v>5.34</v>
      </c>
      <c r="BS11">
        <v>4.57</v>
      </c>
      <c r="BT11" t="s">
        <v>296</v>
      </c>
      <c r="BU11" t="s">
        <v>27</v>
      </c>
      <c r="BV11">
        <v>4.5599999999999996</v>
      </c>
      <c r="BW11">
        <v>3.89</v>
      </c>
      <c r="BX11">
        <v>3.55</v>
      </c>
      <c r="BY11">
        <v>1.31</v>
      </c>
      <c r="BZ11">
        <v>1.06</v>
      </c>
      <c r="CA11">
        <v>0.85</v>
      </c>
      <c r="CB11">
        <v>4.88</v>
      </c>
      <c r="CC11">
        <v>7.95</v>
      </c>
      <c r="CD11" t="s">
        <v>363</v>
      </c>
      <c r="CE11" t="s">
        <v>364</v>
      </c>
      <c r="CF11" s="7">
        <v>-6.6616026743075457E-2</v>
      </c>
      <c r="CG11" s="8">
        <v>-6.0512444301985942E-2</v>
      </c>
      <c r="CH11" s="7">
        <v>-4.7578554600477219E-2</v>
      </c>
      <c r="CI11" s="7">
        <v>3.7770479917526245E-2</v>
      </c>
      <c r="CJ11" s="7">
        <v>7.9265423119068146E-2</v>
      </c>
      <c r="CK11" s="7">
        <v>1.3221453428268433</v>
      </c>
      <c r="CL11" s="7">
        <v>5.7471204549074173E-2</v>
      </c>
      <c r="CM11" s="8">
        <v>-2.8871390968561172E-2</v>
      </c>
      <c r="CN11" s="8">
        <v>0.37050360441207886</v>
      </c>
      <c r="CO11" s="8">
        <v>0.51912569999694824</v>
      </c>
      <c r="CP11" s="8">
        <v>0.18831168115139008</v>
      </c>
      <c r="CQ11" s="8">
        <v>-0.10982658714056015</v>
      </c>
      <c r="CR11">
        <v>26.674279142300193</v>
      </c>
      <c r="CS11">
        <v>0.92039057564253512</v>
      </c>
      <c r="CT11">
        <v>1.6279069767441861</v>
      </c>
      <c r="CU11" s="7">
        <v>0.28981477916240694</v>
      </c>
      <c r="CV11" s="8">
        <v>0.18784860149025917</v>
      </c>
      <c r="CW11">
        <v>0.06</v>
      </c>
      <c r="CX11">
        <v>24.208147458074681</v>
      </c>
      <c r="CY11">
        <v>450218366.31140608</v>
      </c>
      <c r="CZ11">
        <v>0.28981477916240694</v>
      </c>
      <c r="DA11">
        <v>6.7064943293936023</v>
      </c>
      <c r="DB11">
        <v>1625134096.1001718</v>
      </c>
      <c r="DC11">
        <v>0.27532404020428658</v>
      </c>
      <c r="DD11">
        <v>2.6085192510559461</v>
      </c>
      <c r="DE11">
        <v>4178214362.6457925</v>
      </c>
      <c r="DF11">
        <v>0.25503700566291809</v>
      </c>
      <c r="DG11">
        <v>1.1765041395734051</v>
      </c>
      <c r="DH11">
        <v>9263845517.7488022</v>
      </c>
      <c r="DI11">
        <v>0.23185182332992557</v>
      </c>
      <c r="DJ11">
        <v>0.3032091605173412</v>
      </c>
      <c r="DK11">
        <v>35945327579.826416</v>
      </c>
      <c r="DL11">
        <v>0.20287034541368484</v>
      </c>
      <c r="DM11">
        <v>370000000</v>
      </c>
      <c r="DN11">
        <v>0.28981477916240694</v>
      </c>
      <c r="DO11">
        <v>10898952600</v>
      </c>
      <c r="DP11">
        <v>4141941000</v>
      </c>
      <c r="DQ11">
        <v>3026</v>
      </c>
      <c r="DR11">
        <v>-0.35643080590548237</v>
      </c>
      <c r="DS11">
        <v>-0.24836104579224511</v>
      </c>
      <c r="DT11" s="9">
        <v>0.23333333333333331</v>
      </c>
      <c r="DU11">
        <v>0.39999999999999997</v>
      </c>
      <c r="DV11">
        <v>0.6333333333333333</v>
      </c>
      <c r="DW11">
        <v>8.6138364779874212</v>
      </c>
      <c r="DX11">
        <v>0.38172213438735353</v>
      </c>
      <c r="DY11">
        <v>8.0563023919258203</v>
      </c>
      <c r="DZ11">
        <v>1530</v>
      </c>
      <c r="EA11">
        <v>8.039210594376911</v>
      </c>
      <c r="EB11">
        <v>8</v>
      </c>
      <c r="EC11">
        <v>5.2503175435635381E-2</v>
      </c>
      <c r="ED11">
        <v>0.5724155438196542</v>
      </c>
      <c r="EE11" s="10">
        <v>2.9600000000000001E-2</v>
      </c>
      <c r="EF11">
        <v>3.4799999999999998E-2</v>
      </c>
      <c r="EG11">
        <v>29.091722134387354</v>
      </c>
      <c r="EH11" t="s">
        <v>150</v>
      </c>
      <c r="EI11">
        <v>0</v>
      </c>
      <c r="EJ11">
        <v>0</v>
      </c>
      <c r="EK11" s="12">
        <v>45126</v>
      </c>
      <c r="EL11" s="13">
        <v>1.63</v>
      </c>
      <c r="EM11" s="13">
        <v>6.7000000000000002E-3</v>
      </c>
      <c r="EN11" s="13">
        <v>-5.0000000000000001E-3</v>
      </c>
      <c r="EO11" s="13">
        <v>0</v>
      </c>
      <c r="EP11" s="13">
        <v>1</v>
      </c>
    </row>
    <row r="12" spans="1:146" ht="108" x14ac:dyDescent="0.25">
      <c r="A12" s="6"/>
      <c r="B12" s="6"/>
      <c r="C12" s="6" t="str">
        <f>""&amp;CHAR(10)&amp;Basic_Fundamental_Information_Constructure(F12)&amp;CHAR(10)&amp;Basic_Fundamental_Information_Concatenate("")</f>
        <v xml:space="preserve">
市值15.798527亿, 利润4990.77万; PE23.39; 平均PE-48.59; 平均PEG-4.79, PB.888; ROIC4.125%; ROE-7.06%; 股利率0%; 毛利12.4167%; 净利-3.7733%; 上一年度营收增-43.07%, 利润增-16.84%; 当季营收增60.24%, 利润增-28.67%; 过往5年营收增-10.15%, 利润增-80.4%
Income profile:
</v>
      </c>
      <c r="D12" t="s">
        <v>40</v>
      </c>
      <c r="E12" t="s">
        <v>7</v>
      </c>
      <c r="F12">
        <v>3.6</v>
      </c>
      <c r="G12">
        <v>1.69</v>
      </c>
      <c r="H12" t="s">
        <v>643</v>
      </c>
      <c r="I12">
        <v>1579852700</v>
      </c>
      <c r="J12">
        <v>23.39</v>
      </c>
      <c r="K12">
        <v>0.88800000000000001</v>
      </c>
      <c r="L12" t="s">
        <v>27</v>
      </c>
      <c r="M12" t="s">
        <v>644</v>
      </c>
      <c r="N12" t="s">
        <v>645</v>
      </c>
      <c r="O12" t="s">
        <v>646</v>
      </c>
      <c r="P12">
        <v>-19.309999999999999</v>
      </c>
      <c r="Q12" t="s">
        <v>647</v>
      </c>
      <c r="R12">
        <v>11494141</v>
      </c>
      <c r="S12" s="5">
        <v>-0.22789999999999999</v>
      </c>
      <c r="T12" t="s">
        <v>648</v>
      </c>
      <c r="U12">
        <v>436796070</v>
      </c>
      <c r="V12">
        <v>438847970</v>
      </c>
      <c r="W12">
        <v>1.78</v>
      </c>
      <c r="X12">
        <v>0.23</v>
      </c>
      <c r="Y12">
        <v>2.61</v>
      </c>
      <c r="Z12" t="s">
        <v>649</v>
      </c>
      <c r="AA12" t="s">
        <v>650</v>
      </c>
      <c r="AB12" t="s">
        <v>651</v>
      </c>
      <c r="AC12" t="s">
        <v>652</v>
      </c>
      <c r="AD12" t="s">
        <v>5</v>
      </c>
      <c r="AE12">
        <v>938914</v>
      </c>
      <c r="AF12" t="s">
        <v>653</v>
      </c>
      <c r="AG12" t="s">
        <v>654</v>
      </c>
      <c r="AH12" t="s">
        <v>655</v>
      </c>
      <c r="AI12" t="s">
        <v>656</v>
      </c>
      <c r="AJ12" t="s">
        <v>657</v>
      </c>
      <c r="AK12" t="s">
        <v>658</v>
      </c>
      <c r="AL12" t="s">
        <v>659</v>
      </c>
      <c r="AM12" t="s">
        <v>5</v>
      </c>
      <c r="AN12" t="s">
        <v>660</v>
      </c>
      <c r="AO12" t="s">
        <v>661</v>
      </c>
      <c r="AP12" t="s">
        <v>662</v>
      </c>
      <c r="AQ12" t="s">
        <v>348</v>
      </c>
      <c r="AR12" t="s">
        <v>5</v>
      </c>
      <c r="AS12" t="s">
        <v>663</v>
      </c>
      <c r="AT12" t="s">
        <v>5</v>
      </c>
      <c r="AU12" t="s">
        <v>664</v>
      </c>
      <c r="AV12" t="s">
        <v>665</v>
      </c>
      <c r="AW12" t="s">
        <v>666</v>
      </c>
      <c r="AX12" t="s">
        <v>297</v>
      </c>
      <c r="AY12" t="s">
        <v>667</v>
      </c>
      <c r="AZ12" t="s">
        <v>668</v>
      </c>
      <c r="BA12" t="s">
        <v>669</v>
      </c>
      <c r="BB12" t="s">
        <v>670</v>
      </c>
      <c r="BC12" t="s">
        <v>298</v>
      </c>
      <c r="BD12" t="s">
        <v>671</v>
      </c>
      <c r="BE12" t="s">
        <v>672</v>
      </c>
      <c r="BF12" t="s">
        <v>673</v>
      </c>
      <c r="BG12" t="s">
        <v>674</v>
      </c>
      <c r="BH12" t="s">
        <v>675</v>
      </c>
      <c r="BI12" t="s">
        <v>676</v>
      </c>
      <c r="BJ12" t="s">
        <v>297</v>
      </c>
      <c r="BK12" t="s">
        <v>677</v>
      </c>
      <c r="BL12" t="s">
        <v>678</v>
      </c>
      <c r="BM12" t="s">
        <v>298</v>
      </c>
      <c r="BN12">
        <v>3.66</v>
      </c>
      <c r="BO12">
        <v>4.59</v>
      </c>
      <c r="BP12" t="s">
        <v>5</v>
      </c>
      <c r="BQ12">
        <v>3.1</v>
      </c>
      <c r="BR12">
        <v>3.44</v>
      </c>
      <c r="BS12">
        <v>-27.72</v>
      </c>
      <c r="BT12" t="s">
        <v>174</v>
      </c>
      <c r="BU12" t="s">
        <v>27</v>
      </c>
      <c r="BV12">
        <v>15.57</v>
      </c>
      <c r="BW12">
        <v>11.87</v>
      </c>
      <c r="BX12">
        <v>9.81</v>
      </c>
      <c r="BY12">
        <v>3.61</v>
      </c>
      <c r="BZ12">
        <v>2.58</v>
      </c>
      <c r="CA12">
        <v>-17.510000000000002</v>
      </c>
      <c r="CB12">
        <v>1.41</v>
      </c>
      <c r="CC12">
        <v>-15.29</v>
      </c>
      <c r="CD12" t="s">
        <v>679</v>
      </c>
      <c r="CE12" t="s">
        <v>140</v>
      </c>
      <c r="CF12" s="7">
        <v>0.6024096385542167</v>
      </c>
      <c r="CG12" s="8">
        <v>-0.28665861938422776</v>
      </c>
      <c r="CH12" s="7">
        <v>-0.4306640625</v>
      </c>
      <c r="CI12" s="7">
        <v>8.2166463136672974E-2</v>
      </c>
      <c r="CJ12" s="7">
        <v>0.31241330504417419</v>
      </c>
      <c r="CK12" s="7">
        <v>-0.25226858258247375</v>
      </c>
      <c r="CL12" s="7">
        <v>-0.21891453862190247</v>
      </c>
      <c r="CM12" s="8">
        <v>-0.16843783855438232</v>
      </c>
      <c r="CN12" s="8">
        <v>1.0868550539016724</v>
      </c>
      <c r="CO12" s="8">
        <v>-7.9822025299072266</v>
      </c>
      <c r="CP12" s="8">
        <v>-0.58065295219421387</v>
      </c>
      <c r="CQ12" s="8">
        <v>3.6246669292449951</v>
      </c>
      <c r="CR12">
        <v>-48.591191564028705</v>
      </c>
      <c r="CS12">
        <v>-4.7895045174427189</v>
      </c>
      <c r="CT12">
        <v>0</v>
      </c>
      <c r="CU12" s="7">
        <v>-0.10145348310470581</v>
      </c>
      <c r="CV12" s="8">
        <v>-0.80395426750183108</v>
      </c>
      <c r="CW12">
        <v>0.06</v>
      </c>
      <c r="CX12">
        <v>21.817328788944391</v>
      </c>
      <c r="CY12" t="s">
        <v>680</v>
      </c>
      <c r="CZ12">
        <v>-0.10145348310470581</v>
      </c>
      <c r="DA12">
        <v>7.2724429296481308</v>
      </c>
      <c r="DB12" t="s">
        <v>681</v>
      </c>
      <c r="DC12">
        <v>-9.6380808949470514E-2</v>
      </c>
      <c r="DD12">
        <v>3.6362214648240654</v>
      </c>
      <c r="DE12" t="s">
        <v>682</v>
      </c>
      <c r="DF12">
        <v>-8.9279065132141108E-2</v>
      </c>
      <c r="DG12">
        <v>2.1817328788944392</v>
      </c>
      <c r="DH12" t="s">
        <v>683</v>
      </c>
      <c r="DI12">
        <v>-8.1162786483764654E-2</v>
      </c>
      <c r="DJ12">
        <v>1.0908664394472196</v>
      </c>
      <c r="DK12" t="s">
        <v>684</v>
      </c>
      <c r="DL12">
        <v>-7.1017438173294062E-2</v>
      </c>
      <c r="DM12">
        <v>49907700.000000007</v>
      </c>
      <c r="DN12">
        <v>-0.10145348310470581</v>
      </c>
      <c r="DO12">
        <v>1088852700</v>
      </c>
      <c r="DP12">
        <v>883526300</v>
      </c>
      <c r="DQ12">
        <v>3069</v>
      </c>
      <c r="DR12">
        <v>0.70386312165892251</v>
      </c>
      <c r="DS12">
        <v>0.51729564811760331</v>
      </c>
      <c r="DT12" s="9">
        <v>-0.69</v>
      </c>
      <c r="DU12">
        <v>-0.67333333333333345</v>
      </c>
      <c r="DV12">
        <v>-1.3633333333333333</v>
      </c>
      <c r="DW12">
        <v>-2.1528999999999998</v>
      </c>
      <c r="DX12">
        <v>0.36708514056224884</v>
      </c>
      <c r="DY12">
        <v>-2.020960317991968</v>
      </c>
      <c r="DZ12">
        <v>994</v>
      </c>
      <c r="EA12">
        <v>-2.0168831054510648</v>
      </c>
      <c r="EB12">
        <v>2</v>
      </c>
      <c r="EC12">
        <v>7.778137836663572E-2</v>
      </c>
      <c r="ED12">
        <v>0.56739467200907878</v>
      </c>
      <c r="EE12" s="10">
        <v>1.04691</v>
      </c>
      <c r="EF12">
        <v>1.0641099999999999</v>
      </c>
      <c r="EG12">
        <v>23.137085140562249</v>
      </c>
      <c r="EH12" t="s">
        <v>350</v>
      </c>
      <c r="EI12">
        <v>0</v>
      </c>
      <c r="EJ12">
        <v>1</v>
      </c>
      <c r="EK12" s="12">
        <v>45470</v>
      </c>
      <c r="EL12" s="13">
        <v>1.25</v>
      </c>
      <c r="EM12" s="13">
        <v>-0.37</v>
      </c>
      <c r="EN12" s="13">
        <v>-0.99</v>
      </c>
      <c r="EO12" s="13">
        <v>1.75</v>
      </c>
      <c r="EP12" s="13">
        <v>-1.72</v>
      </c>
    </row>
    <row r="13" spans="1:146" ht="108" x14ac:dyDescent="0.25">
      <c r="A13" s="6"/>
      <c r="B13" s="6"/>
      <c r="C13" s="6" t="str">
        <f>""&amp;CHAR(10)&amp;Basic_Fundamental_Information_Constructure(F13)&amp;CHAR(10)&amp;Basic_Fundamental_Information_Concatenate("")</f>
        <v xml:space="preserve">
市值6.7087734亿, 利润1.22亿; PE; 平均PE30.65; 平均PEG.12, PB15.21; ROIC6.6533%; ROE3.1033%; 股利率0%; 毛利5.16%; 净利-3.86%; 上一年度营收增1300.54%, 利润增2923.99%; 当季营收增-94.59%, 利润增-98.96%; 过往5年营收增248.81%, 利润增656.27%
Income profile:
</v>
      </c>
      <c r="D13" t="s">
        <v>41</v>
      </c>
      <c r="E13" t="s">
        <v>10</v>
      </c>
      <c r="F13">
        <v>2.04</v>
      </c>
      <c r="G13">
        <v>1.49</v>
      </c>
      <c r="H13" t="s">
        <v>685</v>
      </c>
      <c r="I13">
        <v>670877340</v>
      </c>
      <c r="K13">
        <v>15.21</v>
      </c>
      <c r="L13" t="s">
        <v>27</v>
      </c>
      <c r="M13" t="s">
        <v>436</v>
      </c>
      <c r="N13" t="s">
        <v>686</v>
      </c>
      <c r="O13" t="s">
        <v>687</v>
      </c>
      <c r="P13">
        <v>45.83</v>
      </c>
      <c r="Q13" t="s">
        <v>688</v>
      </c>
      <c r="R13">
        <v>593577</v>
      </c>
      <c r="S13" s="5">
        <v>2.399</v>
      </c>
      <c r="T13" t="s">
        <v>689</v>
      </c>
      <c r="U13">
        <v>318371440</v>
      </c>
      <c r="V13">
        <v>328861440</v>
      </c>
      <c r="W13">
        <v>2.81</v>
      </c>
      <c r="X13">
        <v>0.55000000000000004</v>
      </c>
      <c r="Y13">
        <v>0.24</v>
      </c>
      <c r="Z13" t="s">
        <v>690</v>
      </c>
      <c r="AA13" t="s">
        <v>691</v>
      </c>
      <c r="AB13" t="s">
        <v>692</v>
      </c>
      <c r="AC13" t="s">
        <v>693</v>
      </c>
      <c r="AD13" t="s">
        <v>5</v>
      </c>
      <c r="AE13">
        <v>554817</v>
      </c>
      <c r="AF13" t="s">
        <v>38</v>
      </c>
      <c r="AG13" t="s">
        <v>5</v>
      </c>
      <c r="AH13" t="s">
        <v>694</v>
      </c>
      <c r="AI13" t="s">
        <v>695</v>
      </c>
      <c r="AJ13" t="s">
        <v>5</v>
      </c>
      <c r="AK13" t="s">
        <v>696</v>
      </c>
      <c r="AL13" t="s">
        <v>697</v>
      </c>
      <c r="AM13" t="s">
        <v>5</v>
      </c>
      <c r="AN13">
        <v>0</v>
      </c>
      <c r="AO13" t="s">
        <v>698</v>
      </c>
      <c r="AP13" t="s">
        <v>5</v>
      </c>
      <c r="AQ13" t="s">
        <v>699</v>
      </c>
      <c r="AR13" t="s">
        <v>164</v>
      </c>
      <c r="AS13" t="s">
        <v>700</v>
      </c>
      <c r="AT13" t="s">
        <v>5</v>
      </c>
      <c r="AU13" t="s">
        <v>701</v>
      </c>
      <c r="AV13">
        <v>-4999</v>
      </c>
      <c r="AW13" t="s">
        <v>702</v>
      </c>
      <c r="AX13" t="s">
        <v>299</v>
      </c>
      <c r="AY13" t="s">
        <v>135</v>
      </c>
      <c r="AZ13" t="s">
        <v>76</v>
      </c>
      <c r="BA13" t="s">
        <v>42</v>
      </c>
      <c r="BB13" t="s">
        <v>77</v>
      </c>
      <c r="BC13" t="s">
        <v>703</v>
      </c>
      <c r="BD13" t="s">
        <v>300</v>
      </c>
      <c r="BE13" t="s">
        <v>301</v>
      </c>
      <c r="BF13" t="s">
        <v>302</v>
      </c>
      <c r="BG13" t="s">
        <v>303</v>
      </c>
      <c r="BH13" t="s">
        <v>704</v>
      </c>
      <c r="BI13" t="s">
        <v>705</v>
      </c>
      <c r="BJ13" t="s">
        <v>299</v>
      </c>
      <c r="BK13" t="s">
        <v>706</v>
      </c>
      <c r="BL13" t="s">
        <v>707</v>
      </c>
      <c r="BM13" t="s">
        <v>703</v>
      </c>
      <c r="BN13">
        <v>3.31</v>
      </c>
      <c r="BO13">
        <v>8.86</v>
      </c>
      <c r="BP13">
        <v>7.79</v>
      </c>
      <c r="BQ13">
        <v>0.51</v>
      </c>
      <c r="BR13">
        <v>6.33</v>
      </c>
      <c r="BS13">
        <v>2.4700000000000002</v>
      </c>
      <c r="BT13" t="s">
        <v>174</v>
      </c>
      <c r="BU13" t="s">
        <v>27</v>
      </c>
      <c r="BV13">
        <v>5.39</v>
      </c>
      <c r="BW13">
        <v>4.71</v>
      </c>
      <c r="BX13">
        <v>5.38</v>
      </c>
      <c r="BY13">
        <v>-13.56</v>
      </c>
      <c r="BZ13">
        <v>1.1299999999999999</v>
      </c>
      <c r="CA13">
        <v>0.85</v>
      </c>
      <c r="CB13">
        <v>0</v>
      </c>
      <c r="CC13">
        <v>-32</v>
      </c>
      <c r="CD13" t="s">
        <v>708</v>
      </c>
      <c r="CE13" t="s">
        <v>709</v>
      </c>
      <c r="CF13" s="7">
        <v>-0.94590552933243421</v>
      </c>
      <c r="CG13" s="8">
        <v>-0.98963301983180951</v>
      </c>
      <c r="CH13" s="7">
        <v>13.005448341369629</v>
      </c>
      <c r="CI13" s="7">
        <v>0.13975155353546143</v>
      </c>
      <c r="CJ13" s="7">
        <v>-0.63860827684402466</v>
      </c>
      <c r="CK13" s="7">
        <v>-0.25126051902770996</v>
      </c>
      <c r="CL13" s="7">
        <v>0.18525896966457367</v>
      </c>
      <c r="CM13" s="8">
        <v>29.239936828613281</v>
      </c>
      <c r="CN13" s="8">
        <v>1.7636662721633911</v>
      </c>
      <c r="CO13" s="8">
        <v>-0.32811710238456726</v>
      </c>
      <c r="CP13" s="8">
        <v>-0.49788540601730347</v>
      </c>
      <c r="CQ13" s="8">
        <v>2.6359546184539795</v>
      </c>
      <c r="CR13">
        <v>30.645562889706049</v>
      </c>
      <c r="CS13">
        <v>0.1231676420510555</v>
      </c>
      <c r="CT13">
        <v>0</v>
      </c>
      <c r="CU13" s="7">
        <v>2.488118013739586</v>
      </c>
      <c r="CV13" s="8">
        <v>6.5627110421657564</v>
      </c>
      <c r="CW13">
        <v>0.06</v>
      </c>
      <c r="CX13">
        <v>1.8234691557975833</v>
      </c>
      <c r="CY13">
        <v>401462639.31719762</v>
      </c>
      <c r="CZ13">
        <v>2.488118013739586</v>
      </c>
      <c r="DA13">
        <v>0.13275847763200027</v>
      </c>
      <c r="DB13">
        <v>5514184502.9981318</v>
      </c>
      <c r="DC13">
        <v>2.3637121130526064</v>
      </c>
      <c r="DD13">
        <v>5.4049412990918883E-3</v>
      </c>
      <c r="DE13">
        <v>135441755884.19365</v>
      </c>
      <c r="DF13">
        <v>2.1895438520908357</v>
      </c>
      <c r="DG13">
        <v>1.2126949748132899E-4</v>
      </c>
      <c r="DH13">
        <v>6036594157675.2168</v>
      </c>
      <c r="DI13">
        <v>1.9904944109916689</v>
      </c>
      <c r="DJ13">
        <v>2.0496718801521944E-8</v>
      </c>
      <c r="DK13">
        <v>3.571570391772378E+16</v>
      </c>
      <c r="DL13">
        <v>1.74168260961771</v>
      </c>
      <c r="DM13">
        <v>122000000</v>
      </c>
      <c r="DN13">
        <v>2.488118013739586</v>
      </c>
      <c r="DO13">
        <v>732054740</v>
      </c>
      <c r="DP13">
        <v>49589970</v>
      </c>
      <c r="DQ13">
        <v>3314</v>
      </c>
      <c r="DR13">
        <v>-3.4340235430720201</v>
      </c>
      <c r="DS13">
        <v>-7.5523440619975659</v>
      </c>
      <c r="DT13" s="9">
        <v>-0.42333333333333339</v>
      </c>
      <c r="DU13">
        <v>0.41499999999999998</v>
      </c>
      <c r="DV13">
        <v>-8.3333333333334147E-3</v>
      </c>
      <c r="DW13">
        <v>-3.1809523809523808</v>
      </c>
      <c r="DX13">
        <v>0.28646406250000045</v>
      </c>
      <c r="DY13">
        <v>-3.0210744494047619</v>
      </c>
      <c r="DZ13">
        <v>4414</v>
      </c>
      <c r="EA13">
        <v>-3.0028704142437799</v>
      </c>
      <c r="EB13">
        <v>3</v>
      </c>
      <c r="EC13">
        <v>4.5330337299502185E-2</v>
      </c>
      <c r="ED13">
        <v>0.38922167341966268</v>
      </c>
      <c r="EE13" s="10">
        <v>1.0215099999999999</v>
      </c>
      <c r="EF13">
        <v>1.04291</v>
      </c>
      <c r="EG13">
        <v>17.1164640625</v>
      </c>
      <c r="EH13" t="s">
        <v>350</v>
      </c>
      <c r="EI13">
        <v>0</v>
      </c>
      <c r="EJ13">
        <v>0</v>
      </c>
      <c r="EK13" s="12">
        <v>45470</v>
      </c>
      <c r="EL13" s="13">
        <v>-1.37</v>
      </c>
      <c r="EM13" s="13">
        <v>-6.25</v>
      </c>
      <c r="EN13" s="13">
        <v>2.96</v>
      </c>
      <c r="EO13" s="13">
        <v>0.72</v>
      </c>
      <c r="EP13" s="13">
        <v>-2.14</v>
      </c>
    </row>
    <row r="14" spans="1:146" ht="192" x14ac:dyDescent="0.25">
      <c r="A14" s="6" t="s">
        <v>368</v>
      </c>
      <c r="B14" s="6" t="s">
        <v>369</v>
      </c>
      <c r="C14" s="6" t="str">
        <f>"公司主营业务包括供应链、产业链两大类。供应链业务即供应链集成服务，指大宗商品运营与机电设备进口；产业链业务涵盖大消费、大环保等领域，主要产品或服务包括：纺织服装、家用动力产品（含园林机械、清洗机械及汽油发电机组等）、环保工程（含污水处理、垃圾处理、土壤修复、餐厨垃圾处理等）、清洁能源（含光伏产品、工程、运维）、船舶制造与航运等。"&amp;CHAR(10)&amp;Basic_Fundamental_Information_Constructure(F14)&amp;CHAR(10)&amp;Basic_Fundamental_Information_Concatenate("供应链运营 1106.57亿 78.40% 28.76% 1.78%
产业链 303.25亿 21.49% 70.62% 15.98%
其他业务 1.62亿 0.12% 0.61% 25.93%")</f>
        <v>公司主营业务包括供应链、产业链两大类。供应链业务即供应链集成服务，指大宗商品运营与机电设备进口；产业链业务涵盖大消费、大环保等领域，主要产品或服务包括：纺织服装、家用动力产品（含园林机械、清洗机械及汽油发电机组等）、环保工程（含污水处理、垃圾处理、土壤修复、餐厨垃圾处理等）、清洁能源（含光伏产品、工程、运维）、船舶制造与航运等。
市值97.091483亿, 利润2.65亿; PE9.31; 平均PE17.14; 平均PEG10.34, PB1.37; ROIC14.9767%; ROE14.4333%; 股利率4.4415%; 毛利4.8333%; 净利1.9933%; 上一年度营收增-82.67%, 利润增-70.97%; 当季营收增283.73%, 利润增502.03%; 过往5年营收增-1.66%, 利润增1.73%
Income profile:
供应链运营 1106.57亿 78.40% 28.76% 1.78%
产业链 303.25亿 21.49% 70.62% 15.98%
其他业务 1.62亿 0.12% 0.61% 25.93%</v>
      </c>
      <c r="D14" t="s">
        <v>43</v>
      </c>
      <c r="E14" t="s">
        <v>710</v>
      </c>
      <c r="F14">
        <v>7.43</v>
      </c>
      <c r="G14">
        <v>1.36</v>
      </c>
      <c r="H14" t="s">
        <v>711</v>
      </c>
      <c r="I14">
        <v>9709148300</v>
      </c>
      <c r="J14">
        <v>9.31</v>
      </c>
      <c r="K14">
        <v>1.37</v>
      </c>
      <c r="L14" t="s">
        <v>27</v>
      </c>
      <c r="M14" t="s">
        <v>712</v>
      </c>
      <c r="N14" t="s">
        <v>713</v>
      </c>
      <c r="O14" t="s">
        <v>714</v>
      </c>
      <c r="P14">
        <v>-23.41</v>
      </c>
      <c r="Q14" t="s">
        <v>715</v>
      </c>
      <c r="R14">
        <v>265869990</v>
      </c>
      <c r="S14" s="5">
        <v>5.0900000000000001E-2</v>
      </c>
      <c r="T14" t="s">
        <v>488</v>
      </c>
      <c r="U14">
        <v>1306749430</v>
      </c>
      <c r="V14">
        <v>1306749430</v>
      </c>
      <c r="W14">
        <v>4.0999999999999996</v>
      </c>
      <c r="X14">
        <v>0.44</v>
      </c>
      <c r="Y14">
        <v>2.83</v>
      </c>
      <c r="Z14" t="s">
        <v>716</v>
      </c>
      <c r="AA14" t="s">
        <v>717</v>
      </c>
      <c r="AB14" t="s">
        <v>255</v>
      </c>
      <c r="AC14" t="s">
        <v>585</v>
      </c>
      <c r="AD14" t="s">
        <v>5</v>
      </c>
      <c r="AE14">
        <v>5048731</v>
      </c>
      <c r="AF14" t="s">
        <v>718</v>
      </c>
      <c r="AG14" t="s">
        <v>719</v>
      </c>
      <c r="AH14" t="s">
        <v>720</v>
      </c>
      <c r="AI14" t="s">
        <v>721</v>
      </c>
      <c r="AJ14" t="s">
        <v>722</v>
      </c>
      <c r="AK14" t="s">
        <v>723</v>
      </c>
      <c r="AL14" t="s">
        <v>724</v>
      </c>
      <c r="AM14" t="s">
        <v>5</v>
      </c>
      <c r="AN14" t="s">
        <v>725</v>
      </c>
      <c r="AO14" t="s">
        <v>726</v>
      </c>
      <c r="AP14" t="s">
        <v>727</v>
      </c>
      <c r="AQ14" t="s">
        <v>728</v>
      </c>
      <c r="AR14" t="s">
        <v>729</v>
      </c>
      <c r="AS14" t="s">
        <v>730</v>
      </c>
      <c r="AT14" t="s">
        <v>731</v>
      </c>
      <c r="AU14" t="s">
        <v>732</v>
      </c>
      <c r="AV14" t="s">
        <v>733</v>
      </c>
      <c r="AW14" t="s">
        <v>734</v>
      </c>
      <c r="AX14" t="s">
        <v>735</v>
      </c>
      <c r="AY14" t="s">
        <v>136</v>
      </c>
      <c r="AZ14" t="s">
        <v>78</v>
      </c>
      <c r="BA14" t="s">
        <v>80</v>
      </c>
      <c r="BB14" t="s">
        <v>81</v>
      </c>
      <c r="BC14" t="s">
        <v>736</v>
      </c>
      <c r="BD14" t="s">
        <v>132</v>
      </c>
      <c r="BE14" t="s">
        <v>79</v>
      </c>
      <c r="BF14" t="s">
        <v>82</v>
      </c>
      <c r="BG14" t="s">
        <v>83</v>
      </c>
      <c r="BH14" t="s">
        <v>737</v>
      </c>
      <c r="BI14" t="s">
        <v>738</v>
      </c>
      <c r="BJ14" t="s">
        <v>735</v>
      </c>
      <c r="BK14" t="s">
        <v>739</v>
      </c>
      <c r="BL14" t="s">
        <v>740</v>
      </c>
      <c r="BM14" t="s">
        <v>736</v>
      </c>
      <c r="BN14">
        <v>13.48</v>
      </c>
      <c r="BO14">
        <v>16.809999999999999</v>
      </c>
      <c r="BP14">
        <v>14.64</v>
      </c>
      <c r="BQ14">
        <v>13.7</v>
      </c>
      <c r="BR14">
        <v>15.37</v>
      </c>
      <c r="BS14">
        <v>14.23</v>
      </c>
      <c r="BT14" t="s">
        <v>741</v>
      </c>
      <c r="BU14" t="s">
        <v>27</v>
      </c>
      <c r="BV14">
        <v>5.69</v>
      </c>
      <c r="BW14">
        <v>4.8600000000000003</v>
      </c>
      <c r="BX14">
        <v>3.95</v>
      </c>
      <c r="BY14">
        <v>2.52</v>
      </c>
      <c r="BZ14">
        <v>2.04</v>
      </c>
      <c r="CA14">
        <v>1.42</v>
      </c>
      <c r="CB14">
        <v>-4.99</v>
      </c>
      <c r="CC14">
        <v>-5.47</v>
      </c>
      <c r="CD14" t="s">
        <v>742</v>
      </c>
      <c r="CE14" t="s">
        <v>743</v>
      </c>
      <c r="CF14" s="7">
        <v>2.8372656755009698</v>
      </c>
      <c r="CG14" s="8">
        <v>5.02025220435391</v>
      </c>
      <c r="CH14" s="7">
        <v>-0.82673501968383789</v>
      </c>
      <c r="CI14" s="7">
        <v>-0.16323022544384003</v>
      </c>
      <c r="CJ14" s="7">
        <v>0.71094429492950439</v>
      </c>
      <c r="CK14" s="7">
        <v>0.15078435838222504</v>
      </c>
      <c r="CL14" s="7">
        <v>4.5303132385015488E-2</v>
      </c>
      <c r="CM14" s="8">
        <v>-0.70974808931350708</v>
      </c>
      <c r="CN14" s="8">
        <v>0.19035202264785767</v>
      </c>
      <c r="CO14" s="8">
        <v>0.4047619104385376</v>
      </c>
      <c r="CP14" s="8">
        <v>0.20796459913253784</v>
      </c>
      <c r="CQ14" s="8">
        <v>-6.5934066660702229E-3</v>
      </c>
      <c r="CR14">
        <v>17.143875750441435</v>
      </c>
      <c r="CS14">
        <v>10.335922236982563</v>
      </c>
      <c r="CT14">
        <v>4.4414535666218038</v>
      </c>
      <c r="CU14" s="7">
        <v>-1.65866918861866E-2</v>
      </c>
      <c r="CV14" s="8">
        <v>1.734740724787116E-2</v>
      </c>
      <c r="CW14">
        <v>0.06</v>
      </c>
      <c r="CX14">
        <v>132.54018226415096</v>
      </c>
      <c r="CY14" t="s">
        <v>744</v>
      </c>
      <c r="CZ14">
        <v>-1.65866918861866E-2</v>
      </c>
      <c r="DA14">
        <v>44.180060754716983</v>
      </c>
      <c r="DB14" t="s">
        <v>745</v>
      </c>
      <c r="DC14">
        <v>-1.5757357291877268E-2</v>
      </c>
      <c r="DD14">
        <v>22.090030377358492</v>
      </c>
      <c r="DE14" t="s">
        <v>746</v>
      </c>
      <c r="DF14">
        <v>-1.4596288859844209E-2</v>
      </c>
      <c r="DG14">
        <v>13.254018226415095</v>
      </c>
      <c r="DH14" t="s">
        <v>747</v>
      </c>
      <c r="DI14">
        <v>-1.3269353508949281E-2</v>
      </c>
      <c r="DJ14">
        <v>6.6270091132075475</v>
      </c>
      <c r="DK14" t="s">
        <v>748</v>
      </c>
      <c r="DL14">
        <v>-1.1610684320330619E-2</v>
      </c>
      <c r="DM14">
        <v>265000000</v>
      </c>
      <c r="DN14">
        <v>-1.65866918861866E-2</v>
      </c>
      <c r="DO14">
        <v>35123148300</v>
      </c>
      <c r="DP14">
        <v>6880648000</v>
      </c>
      <c r="DQ14">
        <v>3395</v>
      </c>
      <c r="DR14">
        <v>2.8538523673871565</v>
      </c>
      <c r="DS14">
        <v>5.002904797106039</v>
      </c>
      <c r="DT14" s="9">
        <v>-0.54</v>
      </c>
      <c r="DU14">
        <v>6.6666666666666652E-2</v>
      </c>
      <c r="DV14">
        <v>-0.47333333333333338</v>
      </c>
      <c r="DW14">
        <v>-8.9122486288848268</v>
      </c>
      <c r="DX14">
        <v>0.38418253968253935</v>
      </c>
      <c r="DY14">
        <v>-8.1315303241345287</v>
      </c>
      <c r="DZ14">
        <v>4174</v>
      </c>
      <c r="EA14">
        <v>-8.0240924429334477</v>
      </c>
      <c r="EB14">
        <v>8</v>
      </c>
      <c r="EC14">
        <v>2.7804871512360253E-2</v>
      </c>
      <c r="ED14">
        <v>0.19284492819713722</v>
      </c>
      <c r="EE14" s="10">
        <v>4.07911</v>
      </c>
      <c r="EF14">
        <v>4.0903099999999997</v>
      </c>
      <c r="EG14">
        <v>24.144182539682539</v>
      </c>
      <c r="EH14" t="s">
        <v>749</v>
      </c>
      <c r="EI14">
        <v>0</v>
      </c>
      <c r="EJ14">
        <v>0</v>
      </c>
      <c r="EK14" s="12">
        <v>45470</v>
      </c>
      <c r="EL14" s="13">
        <v>0</v>
      </c>
      <c r="EM14" s="13">
        <v>-4.42</v>
      </c>
      <c r="EN14" s="13">
        <v>2.31</v>
      </c>
      <c r="EO14" s="13">
        <v>0.56000000000000005</v>
      </c>
      <c r="EP14" s="13">
        <v>-1.1200000000000001</v>
      </c>
    </row>
    <row r="15" spans="1:146" ht="96" x14ac:dyDescent="0.25">
      <c r="A15" s="6"/>
      <c r="B15" s="6"/>
      <c r="C15" s="6" t="str">
        <f>""&amp;CHAR(10)&amp;Basic_Fundamental_Information_Constructure(F15)&amp;CHAR(10)&amp;Basic_Fundamental_Information_Concatenate("")</f>
        <v xml:space="preserve">
市值38.083323亿, 利润-9098.19万; PE1010; 平均PE-2019.09; 平均PEG-6.5, PB10.57; ROIC3.23%; ROE3.79%; 股利率0%; 毛利3.52%; 净利1.14%; 上一年度营收增1525.88%, 利润增-514%; 当季营收增-96.15%, 利润增-99.98%; 过往5年营收增310.65%, 利润增-90.57%
Income profile:
</v>
      </c>
      <c r="D15" t="s">
        <v>44</v>
      </c>
      <c r="E15" t="s">
        <v>90</v>
      </c>
      <c r="F15">
        <v>3.09</v>
      </c>
      <c r="G15">
        <v>1.98</v>
      </c>
      <c r="H15" t="s">
        <v>750</v>
      </c>
      <c r="I15">
        <v>3808332300</v>
      </c>
      <c r="J15">
        <v>1010</v>
      </c>
      <c r="K15">
        <v>10.57</v>
      </c>
      <c r="L15" t="s">
        <v>27</v>
      </c>
      <c r="M15" t="s">
        <v>751</v>
      </c>
      <c r="N15" t="s">
        <v>752</v>
      </c>
      <c r="O15" t="s">
        <v>753</v>
      </c>
      <c r="P15">
        <v>20.99</v>
      </c>
      <c r="Q15" t="s">
        <v>754</v>
      </c>
      <c r="R15">
        <v>40103</v>
      </c>
      <c r="S15" s="5">
        <v>-0.97170000000000001</v>
      </c>
      <c r="T15" t="s">
        <v>755</v>
      </c>
      <c r="U15">
        <v>1232470000</v>
      </c>
      <c r="V15">
        <v>1232470000</v>
      </c>
      <c r="W15">
        <v>1.34</v>
      </c>
      <c r="X15">
        <v>0.46</v>
      </c>
      <c r="Y15">
        <v>0.02</v>
      </c>
      <c r="Z15" t="s">
        <v>753</v>
      </c>
      <c r="AA15" t="s">
        <v>756</v>
      </c>
      <c r="AB15" t="s">
        <v>757</v>
      </c>
      <c r="AC15" t="s">
        <v>758</v>
      </c>
      <c r="AD15" t="s">
        <v>5</v>
      </c>
      <c r="AE15">
        <v>34336</v>
      </c>
      <c r="AF15" t="s">
        <v>38</v>
      </c>
      <c r="AG15" t="s">
        <v>5</v>
      </c>
      <c r="AH15" t="s">
        <v>759</v>
      </c>
      <c r="AI15" t="s">
        <v>760</v>
      </c>
      <c r="AJ15" t="s">
        <v>761</v>
      </c>
      <c r="AK15" t="s">
        <v>762</v>
      </c>
      <c r="AL15" t="s">
        <v>763</v>
      </c>
      <c r="AM15" t="s">
        <v>5</v>
      </c>
      <c r="AN15">
        <v>0</v>
      </c>
      <c r="AO15" t="s">
        <v>5</v>
      </c>
      <c r="AP15" t="s">
        <v>764</v>
      </c>
      <c r="AQ15" t="s">
        <v>765</v>
      </c>
      <c r="AR15" t="s">
        <v>5</v>
      </c>
      <c r="AS15" t="s">
        <v>436</v>
      </c>
      <c r="AT15" t="s">
        <v>5</v>
      </c>
      <c r="AU15" t="s">
        <v>766</v>
      </c>
      <c r="AV15" t="s">
        <v>767</v>
      </c>
      <c r="AW15" t="s">
        <v>5</v>
      </c>
      <c r="AX15" t="s">
        <v>304</v>
      </c>
      <c r="AY15" t="s">
        <v>137</v>
      </c>
      <c r="AZ15" t="s">
        <v>84</v>
      </c>
      <c r="BA15" t="s">
        <v>45</v>
      </c>
      <c r="BB15" t="s">
        <v>86</v>
      </c>
      <c r="BC15" t="s">
        <v>305</v>
      </c>
      <c r="BD15" t="s">
        <v>138</v>
      </c>
      <c r="BE15" t="s">
        <v>85</v>
      </c>
      <c r="BF15" t="s">
        <v>46</v>
      </c>
      <c r="BG15" t="s">
        <v>87</v>
      </c>
      <c r="BH15" t="s">
        <v>768</v>
      </c>
      <c r="BI15" t="s">
        <v>769</v>
      </c>
      <c r="BJ15" t="s">
        <v>304</v>
      </c>
      <c r="BK15" t="s">
        <v>770</v>
      </c>
      <c r="BL15" t="s">
        <v>310</v>
      </c>
      <c r="BM15" t="s">
        <v>305</v>
      </c>
      <c r="BN15">
        <v>0.02</v>
      </c>
      <c r="BO15">
        <v>6.44</v>
      </c>
      <c r="BP15" t="s">
        <v>5</v>
      </c>
      <c r="BQ15">
        <v>0.04</v>
      </c>
      <c r="BR15">
        <v>6.39</v>
      </c>
      <c r="BS15">
        <v>4.9400000000000004</v>
      </c>
      <c r="BT15" t="s">
        <v>174</v>
      </c>
      <c r="BU15" t="s">
        <v>27</v>
      </c>
      <c r="BV15">
        <v>3.38</v>
      </c>
      <c r="BW15">
        <v>4.66</v>
      </c>
      <c r="BX15">
        <v>2.52</v>
      </c>
      <c r="BY15">
        <v>0.56999999999999995</v>
      </c>
      <c r="BZ15">
        <v>1.9</v>
      </c>
      <c r="CA15">
        <v>0.95</v>
      </c>
      <c r="CB15">
        <v>-4.04</v>
      </c>
      <c r="CC15">
        <v>6.19</v>
      </c>
      <c r="CD15" t="s">
        <v>771</v>
      </c>
      <c r="CE15" t="s">
        <v>772</v>
      </c>
      <c r="CF15" s="7">
        <v>-0.96147201105736002</v>
      </c>
      <c r="CG15" s="8">
        <v>-0.99975245061728391</v>
      </c>
      <c r="CH15" s="7">
        <v>15.258843421936035</v>
      </c>
      <c r="CI15" s="7">
        <v>-0.31702998280525208</v>
      </c>
      <c r="CJ15" s="7">
        <v>0.2341817170381546</v>
      </c>
      <c r="CK15" s="7">
        <v>2.765326201915741E-2</v>
      </c>
      <c r="CL15" s="7">
        <v>0.32869911193847656</v>
      </c>
      <c r="CM15" s="8">
        <v>-5.1399822235107422</v>
      </c>
      <c r="CN15" s="8">
        <v>0.36943382024765015</v>
      </c>
      <c r="CO15" s="8">
        <v>8.3570322021842003E-4</v>
      </c>
      <c r="CP15" s="8">
        <v>0.2727128267288208</v>
      </c>
      <c r="CQ15" s="8">
        <v>-3.1450603157281876E-2</v>
      </c>
      <c r="CR15">
        <v>-2019.0857824511795</v>
      </c>
      <c r="CS15">
        <v>-6.4996156522217801</v>
      </c>
      <c r="CT15">
        <v>0</v>
      </c>
      <c r="CU15" s="7">
        <v>3.1064695060253142</v>
      </c>
      <c r="CV15" s="8">
        <v>-0.90569009529426692</v>
      </c>
      <c r="CW15">
        <v>0.06</v>
      </c>
      <c r="CX15" t="e">
        <v>#VALUE!</v>
      </c>
      <c r="CY15" t="s">
        <v>149</v>
      </c>
      <c r="CZ15">
        <v>3.1064695060253142</v>
      </c>
      <c r="DA15" t="e">
        <v>#VALUE!</v>
      </c>
      <c r="DB15" t="s">
        <v>149</v>
      </c>
      <c r="DC15">
        <v>2.9511460307240482</v>
      </c>
      <c r="DD15" t="e">
        <v>#VALUE!</v>
      </c>
      <c r="DE15" t="s">
        <v>149</v>
      </c>
      <c r="DF15">
        <v>2.7336931653022765</v>
      </c>
      <c r="DG15" t="e">
        <v>#VALUE!</v>
      </c>
      <c r="DH15" t="s">
        <v>149</v>
      </c>
      <c r="DI15">
        <v>2.4851756048202516</v>
      </c>
      <c r="DJ15" t="e">
        <v>#VALUE!</v>
      </c>
      <c r="DK15" t="s">
        <v>149</v>
      </c>
      <c r="DL15">
        <v>2.17452865421772</v>
      </c>
      <c r="DM15">
        <v>-90981900</v>
      </c>
      <c r="DN15">
        <v>3.1064695060253142</v>
      </c>
      <c r="DO15">
        <v>3579332300</v>
      </c>
      <c r="DP15">
        <v>358322540</v>
      </c>
      <c r="DQ15">
        <v>3409</v>
      </c>
      <c r="DR15">
        <v>-4.0679415170826747</v>
      </c>
      <c r="DS15">
        <v>-9.4062355323016988E-2</v>
      </c>
      <c r="DT15" s="9">
        <v>-5.6666666666666719E-2</v>
      </c>
      <c r="DU15">
        <v>-0.92333333333333334</v>
      </c>
      <c r="DV15">
        <v>-0.98000000000000009</v>
      </c>
      <c r="DW15">
        <v>-6.394916911045943</v>
      </c>
      <c r="DX15">
        <v>0.30963054393305384</v>
      </c>
      <c r="DY15">
        <v>-6.0511932939872475</v>
      </c>
      <c r="DZ15">
        <v>3284</v>
      </c>
      <c r="EA15">
        <v>-6.0182933375383003</v>
      </c>
      <c r="EB15">
        <v>6</v>
      </c>
      <c r="EC15">
        <v>5.0275787645946757E-2</v>
      </c>
      <c r="ED15">
        <v>0.38783905490600179</v>
      </c>
      <c r="EE15" s="10">
        <v>1.02261</v>
      </c>
      <c r="EF15">
        <v>1.0414099999999999</v>
      </c>
      <c r="EG15">
        <v>18.129630543933054</v>
      </c>
      <c r="EH15" t="s">
        <v>350</v>
      </c>
      <c r="EI15">
        <v>0</v>
      </c>
      <c r="EJ15">
        <v>0</v>
      </c>
      <c r="EK15" s="12">
        <v>45470</v>
      </c>
      <c r="EL15" s="13">
        <v>-1.03</v>
      </c>
      <c r="EM15" s="13">
        <v>-6.49</v>
      </c>
      <c r="EN15">
        <v>0.56000000000000005</v>
      </c>
      <c r="EO15">
        <v>3.04</v>
      </c>
      <c r="EP15">
        <v>-1.88</v>
      </c>
    </row>
    <row r="16" spans="1:146" ht="96" x14ac:dyDescent="0.25">
      <c r="A16" s="6"/>
      <c r="B16" s="6"/>
      <c r="C16" s="6" t="str">
        <f>""&amp;CHAR(10)&amp;Basic_Fundamental_Information_Constructure(F16)&amp;CHAR(10)&amp;Basic_Fundamental_Information_Concatenate("")</f>
        <v xml:space="preserve">
市值38.345608亿, 利润4.07亿; PE; 平均PE11.9; 平均PEG.95, PB.821; ROIC2.275%; ROE-1.3467%; 股利率0%; 毛利3.8067%; 净利-.3267%; 上一年度营收增-88.72%, 利润增181.4%; 当季营收增471.93%, 利润增-1896.69%; 过往5年营收增-12.57%, 利润增-43.22%
Income profile:
</v>
      </c>
      <c r="D16" t="s">
        <v>47</v>
      </c>
      <c r="E16" t="s">
        <v>9</v>
      </c>
      <c r="F16">
        <v>1.71</v>
      </c>
      <c r="G16">
        <v>0.59</v>
      </c>
      <c r="H16" t="s">
        <v>773</v>
      </c>
      <c r="I16">
        <v>3834560800</v>
      </c>
      <c r="K16">
        <v>0.82099999999999995</v>
      </c>
      <c r="L16" t="s">
        <v>27</v>
      </c>
      <c r="M16" t="s">
        <v>774</v>
      </c>
      <c r="N16" t="s">
        <v>775</v>
      </c>
      <c r="O16" t="s">
        <v>776</v>
      </c>
      <c r="P16">
        <v>-10.53</v>
      </c>
      <c r="Q16" t="s">
        <v>777</v>
      </c>
      <c r="R16">
        <v>-141313130</v>
      </c>
      <c r="S16" s="5">
        <v>-2.423</v>
      </c>
      <c r="T16" t="s">
        <v>778</v>
      </c>
      <c r="U16">
        <v>2242433200</v>
      </c>
      <c r="V16">
        <v>2242433200</v>
      </c>
      <c r="W16">
        <v>4.8</v>
      </c>
      <c r="X16">
        <v>0.39</v>
      </c>
      <c r="Y16">
        <v>-1.43</v>
      </c>
      <c r="Z16" t="s">
        <v>779</v>
      </c>
      <c r="AA16" t="s">
        <v>780</v>
      </c>
      <c r="AB16" t="s">
        <v>781</v>
      </c>
      <c r="AC16" t="s">
        <v>782</v>
      </c>
      <c r="AD16" t="s">
        <v>5</v>
      </c>
      <c r="AE16">
        <v>76010511</v>
      </c>
      <c r="AF16" t="s">
        <v>783</v>
      </c>
      <c r="AG16" t="s">
        <v>784</v>
      </c>
      <c r="AH16" t="s">
        <v>785</v>
      </c>
      <c r="AI16" t="s">
        <v>786</v>
      </c>
      <c r="AJ16" t="s">
        <v>787</v>
      </c>
      <c r="AK16" t="s">
        <v>788</v>
      </c>
      <c r="AL16" t="s">
        <v>789</v>
      </c>
      <c r="AM16" t="s">
        <v>5</v>
      </c>
      <c r="AN16" t="s">
        <v>790</v>
      </c>
      <c r="AO16" t="s">
        <v>791</v>
      </c>
      <c r="AP16" t="s">
        <v>792</v>
      </c>
      <c r="AQ16" t="s">
        <v>793</v>
      </c>
      <c r="AR16" t="s">
        <v>585</v>
      </c>
      <c r="AS16" t="s">
        <v>794</v>
      </c>
      <c r="AT16" t="s">
        <v>795</v>
      </c>
      <c r="AU16" t="s">
        <v>796</v>
      </c>
      <c r="AV16" t="s">
        <v>797</v>
      </c>
      <c r="AW16" t="s">
        <v>798</v>
      </c>
      <c r="AX16" t="s">
        <v>306</v>
      </c>
      <c r="AY16" t="s">
        <v>139</v>
      </c>
      <c r="AZ16" t="s">
        <v>141</v>
      </c>
      <c r="BA16" t="s">
        <v>151</v>
      </c>
      <c r="BB16" t="s">
        <v>152</v>
      </c>
      <c r="BC16" t="s">
        <v>307</v>
      </c>
      <c r="BD16" t="s">
        <v>140</v>
      </c>
      <c r="BE16" t="s">
        <v>89</v>
      </c>
      <c r="BF16" t="s">
        <v>48</v>
      </c>
      <c r="BG16" t="s">
        <v>88</v>
      </c>
      <c r="BH16" t="s">
        <v>799</v>
      </c>
      <c r="BI16" t="s">
        <v>800</v>
      </c>
      <c r="BJ16" t="s">
        <v>306</v>
      </c>
      <c r="BK16" t="s">
        <v>801</v>
      </c>
      <c r="BL16" t="s">
        <v>802</v>
      </c>
      <c r="BM16" t="s">
        <v>307</v>
      </c>
      <c r="BN16">
        <v>1.2</v>
      </c>
      <c r="BO16" t="s">
        <v>5</v>
      </c>
      <c r="BP16">
        <v>3.35</v>
      </c>
      <c r="BQ16">
        <v>0.9</v>
      </c>
      <c r="BR16">
        <v>-9.4700000000000006</v>
      </c>
      <c r="BS16">
        <v>4.53</v>
      </c>
      <c r="BT16" t="s">
        <v>174</v>
      </c>
      <c r="BU16" t="s">
        <v>27</v>
      </c>
      <c r="BV16">
        <v>4.0199999999999996</v>
      </c>
      <c r="BW16">
        <v>3.73</v>
      </c>
      <c r="BX16">
        <v>3.67</v>
      </c>
      <c r="BY16">
        <v>-0.01</v>
      </c>
      <c r="BZ16">
        <v>-1.75</v>
      </c>
      <c r="CA16">
        <v>0.78</v>
      </c>
      <c r="CB16">
        <v>1.18</v>
      </c>
      <c r="CC16">
        <v>-20.83</v>
      </c>
      <c r="CD16" t="s">
        <v>803</v>
      </c>
      <c r="CE16" t="s">
        <v>804</v>
      </c>
      <c r="CF16" s="7">
        <v>4.7193492155723415</v>
      </c>
      <c r="CG16" s="8">
        <v>-18.966883232467069</v>
      </c>
      <c r="CH16" s="7">
        <v>-0.8872254490852356</v>
      </c>
      <c r="CI16" s="7">
        <v>5.4794833064079285E-2</v>
      </c>
      <c r="CJ16" s="7">
        <v>0.23011301457881927</v>
      </c>
      <c r="CK16" s="7">
        <v>6.5940722823143005E-2</v>
      </c>
      <c r="CL16" s="7">
        <v>-9.217340499162674E-2</v>
      </c>
      <c r="CM16" s="8">
        <v>1.8140000104904175</v>
      </c>
      <c r="CN16" s="8">
        <v>-3.0080320835113525</v>
      </c>
      <c r="CO16" s="8">
        <v>4.6218488365411758E-2</v>
      </c>
      <c r="CP16" s="8">
        <v>-0.29376855492591858</v>
      </c>
      <c r="CQ16" s="8">
        <v>-0.71963393688201904</v>
      </c>
      <c r="CR16">
        <v>11.9024132436627</v>
      </c>
      <c r="CS16">
        <v>0.94681472222772178</v>
      </c>
      <c r="CT16">
        <v>0</v>
      </c>
      <c r="CU16" s="7">
        <v>-0.12571005672216415</v>
      </c>
      <c r="CV16" s="8">
        <v>-0.43224321529269216</v>
      </c>
      <c r="CW16">
        <v>0.06</v>
      </c>
      <c r="CX16" t="e">
        <v>#VALUE!</v>
      </c>
      <c r="CY16" t="s">
        <v>614</v>
      </c>
      <c r="CZ16">
        <v>-0.12571005672216415</v>
      </c>
      <c r="DA16">
        <v>13.247797542997542</v>
      </c>
      <c r="DB16" t="s">
        <v>805</v>
      </c>
      <c r="DC16">
        <v>-0.11942455388605594</v>
      </c>
      <c r="DD16">
        <v>6.6238987714987712</v>
      </c>
      <c r="DE16" t="s">
        <v>806</v>
      </c>
      <c r="DF16">
        <v>-0.11062484991550445</v>
      </c>
      <c r="DG16">
        <v>3.9743392628992629</v>
      </c>
      <c r="DH16" t="s">
        <v>807</v>
      </c>
      <c r="DI16">
        <v>-0.10056804537773133</v>
      </c>
      <c r="DJ16">
        <v>1.9871696314496314</v>
      </c>
      <c r="DK16" t="s">
        <v>808</v>
      </c>
      <c r="DL16">
        <v>-8.7997039705514896E-2</v>
      </c>
      <c r="DM16">
        <v>407000000</v>
      </c>
      <c r="DN16">
        <v>-0.12571005672216415</v>
      </c>
      <c r="DO16">
        <v>16175560800</v>
      </c>
      <c r="DP16">
        <v>5513202000</v>
      </c>
      <c r="DQ16">
        <v>3602</v>
      </c>
      <c r="DR16">
        <v>4.8450592722945061</v>
      </c>
      <c r="DS16">
        <v>-18.534640017174375</v>
      </c>
      <c r="DT16" s="9">
        <v>-0.64</v>
      </c>
      <c r="DU16">
        <v>-1.6316666666666668</v>
      </c>
      <c r="DV16">
        <v>-2.2716666666666669</v>
      </c>
      <c r="DW16">
        <v>-3.0546250000000001</v>
      </c>
      <c r="DX16">
        <v>0.35670348258706608</v>
      </c>
      <c r="DY16">
        <v>-3.0074674277363185</v>
      </c>
      <c r="DZ16">
        <v>1564</v>
      </c>
      <c r="EA16">
        <v>-3.0051818979947136</v>
      </c>
      <c r="EB16">
        <v>3</v>
      </c>
      <c r="EC16">
        <v>2.4506772375649803E-2</v>
      </c>
      <c r="ED16">
        <v>0.1792695541610782</v>
      </c>
      <c r="EE16" s="10">
        <v>6.361E-2</v>
      </c>
      <c r="EF16">
        <v>8.0409999999999995E-2</v>
      </c>
      <c r="EG16">
        <v>22.136703482587066</v>
      </c>
      <c r="EH16">
        <v>-1</v>
      </c>
      <c r="EI16">
        <v>0</v>
      </c>
      <c r="EJ16">
        <v>0</v>
      </c>
      <c r="EK16" s="12">
        <v>45470</v>
      </c>
      <c r="EL16" s="13">
        <v>0.31</v>
      </c>
      <c r="EM16" s="13">
        <v>-3.67</v>
      </c>
      <c r="EN16">
        <v>1.67</v>
      </c>
      <c r="EO16">
        <v>2.0299999999999998</v>
      </c>
      <c r="EP16">
        <v>-1.68</v>
      </c>
    </row>
    <row r="17" spans="3:143" ht="96" x14ac:dyDescent="0.25">
      <c r="C17" s="6" t="str">
        <f>""&amp;CHAR(10)&amp;Basic_Fundamental_Information_Constructure(F17)&amp;CHAR(10)&amp;Basic_Fundamental_Information_Concatenate("")</f>
        <v xml:space="preserve">
市值435.61亿, 利润22.15亿; PE19.46; 平均PE30.28; 平均PEG1.05, PB2.23; ROIC8.2633%; ROE17.81%; 股利率0%; 毛利2.2033%; 净利1.6867%; 上一年度营收增5.64%, 利润增21.5%; 当季营收增8.28%, 利润增4.59%; 过往5年营收增28.83%, 利润增24.03%
Income profile:
</v>
      </c>
      <c r="D17" s="5" t="s">
        <v>311</v>
      </c>
      <c r="E17" t="s">
        <v>312</v>
      </c>
      <c r="F17">
        <v>8.89</v>
      </c>
      <c r="G17">
        <v>0</v>
      </c>
      <c r="H17" t="s">
        <v>365</v>
      </c>
      <c r="I17">
        <v>43561000000</v>
      </c>
      <c r="J17">
        <v>19.46</v>
      </c>
      <c r="K17">
        <v>2.23</v>
      </c>
      <c r="L17" t="s">
        <v>27</v>
      </c>
      <c r="M17" t="s">
        <v>313</v>
      </c>
      <c r="N17" t="s">
        <v>314</v>
      </c>
      <c r="O17" t="s">
        <v>315</v>
      </c>
      <c r="P17" s="5">
        <v>8.2799999999999994</v>
      </c>
      <c r="Q17" t="s">
        <v>316</v>
      </c>
      <c r="R17">
        <v>542817630</v>
      </c>
      <c r="S17">
        <v>4.5699999999999998E-2</v>
      </c>
      <c r="T17" t="s">
        <v>317</v>
      </c>
      <c r="U17">
        <v>486115610</v>
      </c>
      <c r="V17">
        <v>4900000000</v>
      </c>
      <c r="W17">
        <v>2.5</v>
      </c>
      <c r="X17">
        <v>0.67</v>
      </c>
      <c r="Y17">
        <v>1.96</v>
      </c>
      <c r="Z17" t="s">
        <v>318</v>
      </c>
      <c r="AA17" t="s">
        <v>319</v>
      </c>
      <c r="AB17" t="s">
        <v>320</v>
      </c>
      <c r="AC17" t="s">
        <v>321</v>
      </c>
      <c r="AD17" t="s">
        <v>322</v>
      </c>
      <c r="AE17">
        <v>177835320</v>
      </c>
      <c r="AF17" t="s">
        <v>323</v>
      </c>
      <c r="AG17" t="s">
        <v>324</v>
      </c>
      <c r="AH17" t="s">
        <v>325</v>
      </c>
      <c r="AI17" t="s">
        <v>326</v>
      </c>
      <c r="AJ17" t="s">
        <v>327</v>
      </c>
      <c r="AK17" t="s">
        <v>5</v>
      </c>
      <c r="AL17" t="s">
        <v>328</v>
      </c>
      <c r="AM17" t="s">
        <v>5</v>
      </c>
      <c r="AN17" t="s">
        <v>329</v>
      </c>
      <c r="AO17" t="s">
        <v>330</v>
      </c>
      <c r="AP17" t="s">
        <v>331</v>
      </c>
      <c r="AQ17" t="s">
        <v>332</v>
      </c>
      <c r="AR17" t="s">
        <v>5</v>
      </c>
      <c r="AS17" t="s">
        <v>333</v>
      </c>
      <c r="AT17" t="s">
        <v>334</v>
      </c>
      <c r="AU17" t="s">
        <v>335</v>
      </c>
      <c r="AV17" t="s">
        <v>336</v>
      </c>
      <c r="AW17" t="s">
        <v>337</v>
      </c>
      <c r="AX17" t="s">
        <v>338</v>
      </c>
      <c r="AY17" t="s">
        <v>339</v>
      </c>
      <c r="AZ17" t="s">
        <v>340</v>
      </c>
      <c r="BA17" t="s">
        <v>341</v>
      </c>
      <c r="BB17" t="s">
        <v>5</v>
      </c>
      <c r="BC17" t="s">
        <v>342</v>
      </c>
      <c r="BD17" t="s">
        <v>343</v>
      </c>
      <c r="BE17" t="s">
        <v>344</v>
      </c>
      <c r="BF17" t="s">
        <v>345</v>
      </c>
      <c r="BG17" t="s">
        <v>5</v>
      </c>
      <c r="BH17" t="s">
        <v>316</v>
      </c>
      <c r="BI17" t="s">
        <v>346</v>
      </c>
      <c r="BJ17" t="s">
        <v>338</v>
      </c>
      <c r="BK17" t="s">
        <v>317</v>
      </c>
      <c r="BL17" t="s">
        <v>347</v>
      </c>
      <c r="BM17" t="s">
        <v>342</v>
      </c>
      <c r="BN17">
        <v>9.76</v>
      </c>
      <c r="BO17">
        <v>8.6300000000000008</v>
      </c>
      <c r="BP17">
        <v>6.4</v>
      </c>
      <c r="BQ17">
        <v>17.809999999999999</v>
      </c>
      <c r="BR17" t="s">
        <v>5</v>
      </c>
      <c r="BS17" t="s">
        <v>5</v>
      </c>
      <c r="BT17" t="s">
        <v>5</v>
      </c>
      <c r="BU17" t="s">
        <v>27</v>
      </c>
      <c r="BV17">
        <v>3.36</v>
      </c>
      <c r="BW17">
        <v>0.93</v>
      </c>
      <c r="BX17">
        <v>2.3199999999999998</v>
      </c>
      <c r="BY17">
        <v>1.96</v>
      </c>
      <c r="BZ17">
        <v>1.62</v>
      </c>
      <c r="CA17">
        <v>1.48</v>
      </c>
      <c r="CB17">
        <v>1.37</v>
      </c>
      <c r="CC17" s="7">
        <v>-7.2</v>
      </c>
      <c r="CD17" s="8" t="s">
        <v>366</v>
      </c>
      <c r="CE17" s="7" t="s">
        <v>367</v>
      </c>
      <c r="CF17" s="7">
        <v>8.2787217428649515E-2</v>
      </c>
      <c r="CG17" s="7">
        <v>4.5891387283236877E-2</v>
      </c>
      <c r="CH17" s="7">
        <v>5.636611208319664E-2</v>
      </c>
      <c r="CI17" s="7">
        <v>0.46624726057052612</v>
      </c>
      <c r="CJ17" s="8">
        <v>0.21545583009719849</v>
      </c>
      <c r="CK17" s="8">
        <v>0.41497164964675903</v>
      </c>
      <c r="CL17" s="8" t="s">
        <v>5</v>
      </c>
      <c r="CM17" s="8">
        <v>0.21503016352653503</v>
      </c>
      <c r="CN17" s="8">
        <v>0.60193330049514771</v>
      </c>
      <c r="CO17">
        <v>0.59831458330154419</v>
      </c>
      <c r="CP17">
        <v>-0.453987717628479</v>
      </c>
      <c r="CQ17" t="s">
        <v>5</v>
      </c>
      <c r="CR17" s="7">
        <v>30.284343715239153</v>
      </c>
      <c r="CS17" s="8">
        <v>1.0505904852291972</v>
      </c>
      <c r="CT17">
        <v>0</v>
      </c>
      <c r="CU17">
        <v>0.28826021309942007</v>
      </c>
      <c r="CV17">
        <v>0.24032258242368698</v>
      </c>
      <c r="CW17">
        <v>0.06</v>
      </c>
      <c r="CX17">
        <v>19.406549993575645</v>
      </c>
      <c r="CY17">
        <v>2691977709.4483161</v>
      </c>
      <c r="CZ17">
        <v>0.28826021309942007</v>
      </c>
      <c r="DA17">
        <v>5.3830262905747883</v>
      </c>
      <c r="DB17">
        <v>9704949814.4698277</v>
      </c>
      <c r="DC17">
        <v>0.27384720244444904</v>
      </c>
      <c r="DD17">
        <v>2.097700325621882</v>
      </c>
      <c r="DE17">
        <v>24904415259.845276</v>
      </c>
      <c r="DF17">
        <v>0.25366898752748968</v>
      </c>
      <c r="DG17">
        <v>0.94840038280483685</v>
      </c>
      <c r="DH17">
        <v>55084330360.029419</v>
      </c>
      <c r="DI17">
        <v>0.23060817047953608</v>
      </c>
      <c r="DJ17">
        <v>0.24593894393007218</v>
      </c>
      <c r="DK17">
        <v>212418574973.0387</v>
      </c>
      <c r="DL17">
        <v>0.20178214916959403</v>
      </c>
      <c r="DM17">
        <v>2215000000</v>
      </c>
      <c r="DN17">
        <v>0.28826021309942007</v>
      </c>
      <c r="DO17">
        <v>52242000000</v>
      </c>
      <c r="DP17">
        <v>5163463000</v>
      </c>
      <c r="DQ17" s="9">
        <v>3612</v>
      </c>
      <c r="DR17">
        <v>-0.20547299567077054</v>
      </c>
      <c r="DS17">
        <v>-0.1944311951404501</v>
      </c>
      <c r="DT17">
        <v>0.48</v>
      </c>
      <c r="DU17">
        <v>0.58000000000000007</v>
      </c>
      <c r="DV17">
        <v>1.06</v>
      </c>
      <c r="DW17">
        <v>-2.0720000000000001</v>
      </c>
      <c r="DX17">
        <v>0.21996124044943832</v>
      </c>
      <c r="DY17">
        <v>-2.0079172093123594</v>
      </c>
      <c r="DZ17">
        <v>810</v>
      </c>
      <c r="EA17">
        <v>-2.006644800672873</v>
      </c>
      <c r="EB17" s="10">
        <v>2</v>
      </c>
      <c r="EC17" s="10">
        <v>1.9972551020408163E-2</v>
      </c>
      <c r="ED17">
        <v>0.1816326530612245</v>
      </c>
      <c r="EE17">
        <v>3.1024099999999999</v>
      </c>
      <c r="EF17">
        <v>3.1024099999999999</v>
      </c>
      <c r="EG17">
        <v>11.109961240449438</v>
      </c>
      <c r="EH17" s="12" t="s">
        <v>351</v>
      </c>
      <c r="EI17" s="13">
        <v>0</v>
      </c>
      <c r="EJ17" s="13">
        <v>1</v>
      </c>
      <c r="EK17" s="13">
        <v>45126</v>
      </c>
      <c r="EL17" s="13">
        <v>3.76</v>
      </c>
      <c r="EM17" s="13">
        <v>-1.54E-2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'Basic_Fundamental_Tabel_Update_Buttom &quot;贸易&quot;,&quot;&quot;'" altText="更新基本面按钮_x000a_">
                <anchor moveWithCells="1" sizeWithCells="1">
                  <from>
                    <xdr:col>147</xdr:col>
                    <xdr:colOff>584200</xdr:colOff>
                    <xdr:row>0</xdr:row>
                    <xdr:rowOff>139700</xdr:rowOff>
                  </from>
                  <to>
                    <xdr:col>147</xdr:col>
                    <xdr:colOff>1816100</xdr:colOff>
                    <xdr:row>0</xdr:row>
                    <xdr:rowOff>450850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D6"/>
  <sheetViews>
    <sheetView workbookViewId="0">
      <selection activeCell="A3" sqref="A3"/>
    </sheetView>
  </sheetViews>
  <sheetFormatPr defaultRowHeight="14" x14ac:dyDescent="0.25"/>
  <sheetData>
    <row r="1" spans="1:30" x14ac:dyDescent="0.25">
      <c r="A1">
        <v>1</v>
      </c>
      <c r="B1">
        <f>A1+A1*$A$2</f>
        <v>1.1499999999999999</v>
      </c>
      <c r="C1">
        <f t="shared" ref="C1:AD1" si="0">B1+B1*$A$2</f>
        <v>1.3224999999999998</v>
      </c>
      <c r="D1">
        <f t="shared" si="0"/>
        <v>1.5208749999999998</v>
      </c>
      <c r="E1">
        <f t="shared" si="0"/>
        <v>1.7490062499999997</v>
      </c>
      <c r="F1">
        <f t="shared" si="0"/>
        <v>2.0113571874999998</v>
      </c>
      <c r="G1">
        <f t="shared" si="0"/>
        <v>2.313060765625</v>
      </c>
      <c r="H1">
        <f t="shared" si="0"/>
        <v>2.66001988046875</v>
      </c>
      <c r="I1">
        <f t="shared" si="0"/>
        <v>3.0590228625390625</v>
      </c>
      <c r="J1">
        <f t="shared" si="0"/>
        <v>3.5178762919199218</v>
      </c>
      <c r="K1">
        <f t="shared" si="0"/>
        <v>4.0455577357079102</v>
      </c>
      <c r="L1">
        <f t="shared" si="0"/>
        <v>4.6523913960640968</v>
      </c>
      <c r="M1">
        <f t="shared" si="0"/>
        <v>5.3502501054737115</v>
      </c>
      <c r="N1">
        <f t="shared" si="0"/>
        <v>6.1527876212947685</v>
      </c>
      <c r="O1">
        <f t="shared" si="0"/>
        <v>7.0757057644889834</v>
      </c>
      <c r="P1">
        <f t="shared" si="0"/>
        <v>8.1370616291623303</v>
      </c>
      <c r="Q1">
        <f t="shared" si="0"/>
        <v>9.3576208735366802</v>
      </c>
      <c r="R1">
        <f t="shared" si="0"/>
        <v>10.761264004567183</v>
      </c>
      <c r="S1">
        <f t="shared" si="0"/>
        <v>12.375453605252261</v>
      </c>
      <c r="T1">
        <f t="shared" si="0"/>
        <v>14.2317716460401</v>
      </c>
      <c r="U1">
        <f t="shared" si="0"/>
        <v>16.366537392946114</v>
      </c>
      <c r="V1">
        <f t="shared" si="0"/>
        <v>18.82151800188803</v>
      </c>
      <c r="W1">
        <f t="shared" si="0"/>
        <v>21.644745702171235</v>
      </c>
      <c r="X1">
        <f t="shared" si="0"/>
        <v>24.891457557496921</v>
      </c>
      <c r="Y1">
        <f t="shared" si="0"/>
        <v>28.625176191121458</v>
      </c>
      <c r="Z1">
        <f t="shared" si="0"/>
        <v>32.918952619789678</v>
      </c>
      <c r="AA1">
        <f t="shared" si="0"/>
        <v>37.856795512758133</v>
      </c>
      <c r="AB1">
        <f t="shared" si="0"/>
        <v>43.535314839671855</v>
      </c>
      <c r="AC1">
        <f t="shared" si="0"/>
        <v>50.065612065622631</v>
      </c>
      <c r="AD1">
        <f t="shared" si="0"/>
        <v>57.575453875466025</v>
      </c>
    </row>
    <row r="2" spans="1:30" x14ac:dyDescent="0.25">
      <c r="A2">
        <v>0.15</v>
      </c>
      <c r="B2" t="s">
        <v>2</v>
      </c>
    </row>
    <row r="3" spans="1:30" s="2" customFormat="1" x14ac:dyDescent="0.25">
      <c r="A3" s="2">
        <v>1</v>
      </c>
      <c r="B3" s="2">
        <v>2</v>
      </c>
      <c r="C3" s="2">
        <v>3</v>
      </c>
      <c r="D3" s="2">
        <v>4</v>
      </c>
      <c r="E3" s="2">
        <v>5</v>
      </c>
      <c r="F3" s="2">
        <v>6</v>
      </c>
      <c r="G3" s="2">
        <v>7</v>
      </c>
      <c r="H3" s="2">
        <v>8</v>
      </c>
      <c r="I3" s="2">
        <v>9</v>
      </c>
      <c r="J3" s="2">
        <v>10</v>
      </c>
      <c r="K3" s="2">
        <v>11</v>
      </c>
      <c r="L3" s="2">
        <v>12</v>
      </c>
      <c r="M3" s="2">
        <v>13</v>
      </c>
      <c r="N3" s="2">
        <v>14</v>
      </c>
      <c r="O3" s="2">
        <v>15</v>
      </c>
      <c r="P3" s="2">
        <v>16</v>
      </c>
      <c r="Q3" s="2">
        <v>17</v>
      </c>
      <c r="R3" s="2">
        <v>18</v>
      </c>
      <c r="S3" s="2">
        <v>19</v>
      </c>
      <c r="T3" s="2">
        <v>20</v>
      </c>
      <c r="U3" s="2">
        <v>21</v>
      </c>
      <c r="V3" s="2">
        <v>22</v>
      </c>
      <c r="W3" s="2">
        <v>23</v>
      </c>
      <c r="X3" s="2">
        <v>24</v>
      </c>
      <c r="Y3" s="2">
        <v>25</v>
      </c>
      <c r="Z3" s="2">
        <v>26</v>
      </c>
      <c r="AA3" s="2">
        <v>27</v>
      </c>
      <c r="AB3" s="2">
        <v>28</v>
      </c>
      <c r="AC3" s="2">
        <v>29</v>
      </c>
      <c r="AD3" s="2">
        <v>30</v>
      </c>
    </row>
    <row r="4" spans="1:30" x14ac:dyDescent="0.25">
      <c r="A4">
        <v>0.5</v>
      </c>
      <c r="B4" t="s">
        <v>0</v>
      </c>
    </row>
    <row r="5" spans="1:30" x14ac:dyDescent="0.25">
      <c r="A5" s="1">
        <v>1</v>
      </c>
      <c r="B5" s="1">
        <f>A5*$A$4+A5</f>
        <v>1.5</v>
      </c>
      <c r="C5" s="1">
        <f t="shared" ref="C5:AD5" si="1">B5*$A$4+B5</f>
        <v>2.25</v>
      </c>
      <c r="D5" s="1">
        <f t="shared" si="1"/>
        <v>3.375</v>
      </c>
      <c r="E5" s="1">
        <f t="shared" si="1"/>
        <v>5.0625</v>
      </c>
      <c r="F5" s="1">
        <f t="shared" si="1"/>
        <v>7.59375</v>
      </c>
      <c r="G5" s="1">
        <f t="shared" si="1"/>
        <v>11.390625</v>
      </c>
      <c r="H5" s="1">
        <f t="shared" si="1"/>
        <v>17.0859375</v>
      </c>
      <c r="I5" s="1">
        <f t="shared" si="1"/>
        <v>25.62890625</v>
      </c>
      <c r="J5" s="1">
        <f t="shared" si="1"/>
        <v>38.443359375</v>
      </c>
      <c r="K5" s="1">
        <f t="shared" si="1"/>
        <v>57.6650390625</v>
      </c>
      <c r="L5" s="1">
        <f t="shared" si="1"/>
        <v>86.49755859375</v>
      </c>
      <c r="M5" s="1">
        <f t="shared" si="1"/>
        <v>129.746337890625</v>
      </c>
      <c r="N5" s="1">
        <f t="shared" si="1"/>
        <v>194.6195068359375</v>
      </c>
      <c r="O5" s="1">
        <f t="shared" si="1"/>
        <v>291.92926025390625</v>
      </c>
      <c r="P5">
        <f t="shared" si="1"/>
        <v>437.89389038085937</v>
      </c>
      <c r="Q5">
        <f t="shared" si="1"/>
        <v>656.84083557128906</v>
      </c>
      <c r="R5">
        <f t="shared" si="1"/>
        <v>985.26125335693359</v>
      </c>
      <c r="S5" s="1">
        <f t="shared" si="1"/>
        <v>1477.8918800354004</v>
      </c>
      <c r="T5">
        <f t="shared" si="1"/>
        <v>2216.8378200531006</v>
      </c>
      <c r="U5">
        <f t="shared" si="1"/>
        <v>3325.2567300796509</v>
      </c>
      <c r="V5">
        <f t="shared" si="1"/>
        <v>4987.8850951194763</v>
      </c>
      <c r="W5">
        <f t="shared" si="1"/>
        <v>7481.8276426792145</v>
      </c>
      <c r="X5">
        <f t="shared" si="1"/>
        <v>11222.741464018822</v>
      </c>
      <c r="Y5">
        <f t="shared" si="1"/>
        <v>16834.112196028233</v>
      </c>
      <c r="Z5">
        <f t="shared" si="1"/>
        <v>25251.168294042349</v>
      </c>
      <c r="AA5">
        <f t="shared" si="1"/>
        <v>37876.752441063523</v>
      </c>
      <c r="AB5">
        <f t="shared" si="1"/>
        <v>56815.128661595285</v>
      </c>
      <c r="AC5">
        <f t="shared" si="1"/>
        <v>85222.692992392927</v>
      </c>
      <c r="AD5">
        <f t="shared" si="1"/>
        <v>127834.03948858939</v>
      </c>
    </row>
    <row r="6" spans="1:30" x14ac:dyDescent="0.25">
      <c r="A6">
        <v>15</v>
      </c>
      <c r="B6" t="s">
        <v>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贸易</vt:lpstr>
      <vt:lpstr>估值-增速与年化收益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</cp:lastModifiedBy>
  <dcterms:created xsi:type="dcterms:W3CDTF">2018-08-09T11:49:58Z</dcterms:created>
  <dcterms:modified xsi:type="dcterms:W3CDTF">2024-07-10T15:43:41Z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2019-01-09 01:33:49Z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