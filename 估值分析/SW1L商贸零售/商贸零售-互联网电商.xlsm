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001Xiaofeng\value-investment-backup\估值分析\SW1L商贸零售\"/>
    </mc:Choice>
  </mc:AlternateContent>
  <bookViews>
    <workbookView xWindow="0" yWindow="0" windowWidth="3800" windowHeight="2950"/>
  </bookViews>
  <sheets>
    <sheet name="互联网电商" sheetId="18" r:id="rId1"/>
    <sheet name="估值-增速与年化收益" sheetId="14" r:id="rId2"/>
  </sheets>
  <functionGroups builtInGroupCount="18"/>
  <definedNames>
    <definedName name="_xlnm._FilterDatabase" localSheetId="0" hidden="1">互联网电商!$BU$1:$BU$216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3" i="18" l="1"/>
  <c r="C3" i="18"/>
  <c r="B5" i="14" l="1"/>
  <c r="C5" i="14" s="1"/>
  <c r="D5" i="14" s="1"/>
  <c r="E5" i="14" s="1"/>
  <c r="F5" i="14" s="1"/>
  <c r="G5" i="14" s="1"/>
  <c r="H5" i="14" s="1"/>
  <c r="I5" i="14" s="1"/>
  <c r="J5" i="14" s="1"/>
  <c r="K5" i="14" s="1"/>
  <c r="L5" i="14" s="1"/>
  <c r="M5" i="14" s="1"/>
  <c r="N5" i="14" s="1"/>
  <c r="O5" i="14" s="1"/>
  <c r="P5" i="14" s="1"/>
  <c r="Q5" i="14" s="1"/>
  <c r="R5" i="14" s="1"/>
  <c r="S5" i="14" s="1"/>
  <c r="T5" i="14" s="1"/>
  <c r="U5" i="14" s="1"/>
  <c r="V5" i="14" s="1"/>
  <c r="W5" i="14" s="1"/>
  <c r="X5" i="14" s="1"/>
  <c r="Y5" i="14" s="1"/>
  <c r="Z5" i="14" s="1"/>
  <c r="AA5" i="14" s="1"/>
  <c r="AB5" i="14" s="1"/>
  <c r="AC5" i="14" s="1"/>
  <c r="AD5" i="14" s="1"/>
  <c r="B1" i="14"/>
  <c r="C1" i="14" s="1"/>
  <c r="D1" i="14" s="1"/>
  <c r="E1" i="14" s="1"/>
  <c r="F1" i="14" s="1"/>
  <c r="G1" i="14" s="1"/>
  <c r="H1" i="14" s="1"/>
  <c r="I1" i="14" s="1"/>
  <c r="J1" i="14" s="1"/>
  <c r="K1" i="14" s="1"/>
  <c r="L1" i="14" s="1"/>
  <c r="M1" i="14" s="1"/>
  <c r="N1" i="14" s="1"/>
  <c r="O1" i="14" s="1"/>
  <c r="P1" i="14" s="1"/>
  <c r="Q1" i="14" s="1"/>
  <c r="R1" i="14" s="1"/>
  <c r="S1" i="14" s="1"/>
  <c r="T1" i="14" s="1"/>
  <c r="U1" i="14" s="1"/>
  <c r="V1" i="14" s="1"/>
  <c r="W1" i="14" s="1"/>
  <c r="X1" i="14" s="1"/>
  <c r="Y1" i="14" s="1"/>
  <c r="Z1" i="14" s="1"/>
  <c r="AA1" i="14" s="1"/>
  <c r="AB1" i="14" s="1"/>
  <c r="AC1" i="14" s="1"/>
  <c r="AD1" i="14" s="1"/>
  <c r="C22" i="18"/>
  <c r="C21" i="18"/>
  <c r="C20" i="18"/>
  <c r="C19" i="18"/>
  <c r="C18" i="18"/>
  <c r="C17" i="18"/>
  <c r="C16" i="18"/>
  <c r="C15" i="18"/>
  <c r="C14" i="18"/>
  <c r="C12" i="18"/>
  <c r="C11" i="18"/>
  <c r="C10" i="18"/>
  <c r="C9" i="18"/>
  <c r="C8" i="18"/>
  <c r="C7" i="18"/>
  <c r="C6" i="18"/>
  <c r="C5" i="18"/>
  <c r="C4" i="18"/>
  <c r="C2" i="18"/>
</calcChain>
</file>

<file path=xl/sharedStrings.xml><?xml version="1.0" encoding="utf-8"?>
<sst xmlns="http://schemas.openxmlformats.org/spreadsheetml/2006/main" count="1322" uniqueCount="982">
  <si>
    <t>&lt;-增速</t>
    <phoneticPr fontId="1" type="noConversion"/>
  </si>
  <si>
    <t>&lt;-估值</t>
    <phoneticPr fontId="1" type="noConversion"/>
  </si>
  <si>
    <t>&lt;-折合年化收益</t>
    <phoneticPr fontId="1" type="noConversion"/>
  </si>
  <si>
    <t>现价</t>
  </si>
  <si>
    <t>市净率</t>
  </si>
  <si>
    <t>--</t>
  </si>
  <si>
    <t>总市值</t>
  </si>
  <si>
    <t>TTM市盈率</t>
  </si>
  <si>
    <t>所属行业</t>
  </si>
  <si>
    <t>预期多</t>
    <phoneticPr fontId="1" type="noConversion"/>
  </si>
  <si>
    <t>预期空</t>
    <phoneticPr fontId="1" type="noConversion"/>
  </si>
  <si>
    <t>已知和基本信息</t>
    <phoneticPr fontId="1" type="noConversion"/>
  </si>
  <si>
    <t>负债合计</t>
  </si>
  <si>
    <t>所有者权益合计</t>
  </si>
  <si>
    <t>主营业务收入</t>
  </si>
  <si>
    <t>净利润增长率</t>
  </si>
  <si>
    <t>总股本</t>
  </si>
  <si>
    <t>财务费用</t>
  </si>
  <si>
    <t>投资收益</t>
  </si>
  <si>
    <t>应收账款</t>
  </si>
  <si>
    <t>1.08亿</t>
  </si>
  <si>
    <t>0亿</t>
  </si>
  <si>
    <t>1.59亿</t>
  </si>
  <si>
    <t>1.51亿</t>
  </si>
  <si>
    <t>3.04亿</t>
  </si>
  <si>
    <t>1.73亿</t>
  </si>
  <si>
    <t>1.49亿</t>
  </si>
  <si>
    <t>2.07亿</t>
  </si>
  <si>
    <t>10.13亿</t>
  </si>
  <si>
    <t>3.39亿</t>
  </si>
  <si>
    <t>2.52亿</t>
  </si>
  <si>
    <t>3.06亿</t>
  </si>
  <si>
    <t>2.13亿</t>
  </si>
  <si>
    <t>2.19亿</t>
  </si>
  <si>
    <t>1.24亿</t>
  </si>
  <si>
    <t>2.61亿</t>
  </si>
  <si>
    <t>1.38亿</t>
  </si>
  <si>
    <t>3.10亿</t>
  </si>
  <si>
    <t>7.11亿</t>
  </si>
  <si>
    <t>3.26亿</t>
  </si>
  <si>
    <t>2.12亿</t>
  </si>
  <si>
    <t>流动资产</t>
  </si>
  <si>
    <t>营业收入[20191231]</t>
  </si>
  <si>
    <t>营业收入[20181231]</t>
  </si>
  <si>
    <t>营业收入[20171231]</t>
  </si>
  <si>
    <t>营业收入[20161231]</t>
  </si>
  <si>
    <t>净利润[20191231]</t>
  </si>
  <si>
    <t>净利润[20181231]</t>
  </si>
  <si>
    <t>净利润[20171231]</t>
  </si>
  <si>
    <t>净利润[20161231]</t>
  </si>
  <si>
    <t>投入资本回报率roic%[20191231]</t>
  </si>
  <si>
    <t>净资产收益率%[20191231]</t>
  </si>
  <si>
    <t>销售毛利率%[20191231]</t>
  </si>
  <si>
    <t>销售净利率%[20191231]</t>
  </si>
  <si>
    <t>N-1年营收增速</t>
  </si>
  <si>
    <t>N-2年营收增速</t>
  </si>
  <si>
    <t>N-3年营收增速</t>
  </si>
  <si>
    <t>N-4年营收增速</t>
  </si>
  <si>
    <t>N-5年营收增速</t>
  </si>
  <si>
    <t>N-1年利润增速</t>
  </si>
  <si>
    <t>N-2年利润增速</t>
  </si>
  <si>
    <t>N-3年利润增速</t>
  </si>
  <si>
    <t>N-4年利润增速</t>
  </si>
  <si>
    <t>N-5年利润增速</t>
  </si>
  <si>
    <t>20增速</t>
  </si>
  <si>
    <t>当期自由现金流估计值</t>
  </si>
  <si>
    <t>自由现金流估计增速</t>
  </si>
  <si>
    <t>销售毛利率%[20201231]</t>
  </si>
  <si>
    <t>销售净利率%[20201231]</t>
  </si>
  <si>
    <t>6.49亿</t>
  </si>
  <si>
    <t>8.87亿</t>
  </si>
  <si>
    <t>7.48亿</t>
  </si>
  <si>
    <t>8.86亿</t>
  </si>
  <si>
    <t>38.74亿</t>
  </si>
  <si>
    <t>8.75亿</t>
  </si>
  <si>
    <t>-1.97亿</t>
  </si>
  <si>
    <t>11.88亿</t>
  </si>
  <si>
    <t>34.91亿</t>
  </si>
  <si>
    <t>8.96亿</t>
  </si>
  <si>
    <t>71.98亿</t>
  </si>
  <si>
    <t>SZ002024</t>
  </si>
  <si>
    <t>互联网电商</t>
  </si>
  <si>
    <t>2522.96亿</t>
  </si>
  <si>
    <t>-42.75亿</t>
  </si>
  <si>
    <t>2.27亿</t>
  </si>
  <si>
    <t>2692.29亿</t>
  </si>
  <si>
    <t>2449.57亿</t>
  </si>
  <si>
    <t>98.43亿</t>
  </si>
  <si>
    <t>133.28亿</t>
  </si>
  <si>
    <t>SZ002127</t>
  </si>
  <si>
    <t>南极电商</t>
  </si>
  <si>
    <t>41.72亿</t>
  </si>
  <si>
    <t>39.07亿</t>
  </si>
  <si>
    <t>33.53亿</t>
  </si>
  <si>
    <t>12.06亿</t>
  </si>
  <si>
    <t>SZ002280</t>
  </si>
  <si>
    <t>161.56亿</t>
  </si>
  <si>
    <t>9544.72万</t>
  </si>
  <si>
    <t>124.68亿</t>
  </si>
  <si>
    <t>139.89亿</t>
  </si>
  <si>
    <t>-32.35亿</t>
  </si>
  <si>
    <t>-6.69亿</t>
  </si>
  <si>
    <t>SZ002315</t>
  </si>
  <si>
    <t>焦点科技</t>
  </si>
  <si>
    <t>9.78亿</t>
  </si>
  <si>
    <t>5630.56万</t>
  </si>
  <si>
    <t>SZ002640</t>
  </si>
  <si>
    <t>178.74亿</t>
  </si>
  <si>
    <t>215.34亿</t>
  </si>
  <si>
    <t>-27.08亿</t>
  </si>
  <si>
    <t>6.23亿</t>
  </si>
  <si>
    <t>1.63亿</t>
  </si>
  <si>
    <t>SZ002803</t>
  </si>
  <si>
    <t>吉宏股份</t>
  </si>
  <si>
    <t>44.10亿</t>
  </si>
  <si>
    <t>5.59亿</t>
  </si>
  <si>
    <t>30.09亿</t>
  </si>
  <si>
    <t>22.69亿</t>
  </si>
  <si>
    <t>SZ003010</t>
  </si>
  <si>
    <t>若羽臣</t>
  </si>
  <si>
    <t>11.36亿</t>
  </si>
  <si>
    <t>8851.04万</t>
  </si>
  <si>
    <t>9.59亿</t>
  </si>
  <si>
    <t>9.31亿</t>
  </si>
  <si>
    <t>8632.36万</t>
  </si>
  <si>
    <t>7730.04万</t>
  </si>
  <si>
    <t>SZ300209</t>
  </si>
  <si>
    <t>50.27亿</t>
  </si>
  <si>
    <t>-8.71亿</t>
  </si>
  <si>
    <t>38.67亿</t>
  </si>
  <si>
    <t>4952.91万</t>
  </si>
  <si>
    <t>2414.07万</t>
  </si>
  <si>
    <t>SZ300464</t>
  </si>
  <si>
    <t>星徽股份</t>
  </si>
  <si>
    <t>55.23亿</t>
  </si>
  <si>
    <t>204.40万</t>
  </si>
  <si>
    <t>SZ300792</t>
  </si>
  <si>
    <t>壹网壹创</t>
  </si>
  <si>
    <t>12.99亿</t>
  </si>
  <si>
    <t>14.51亿</t>
  </si>
  <si>
    <t>SZ301001</t>
  </si>
  <si>
    <t>凯淳股份</t>
  </si>
  <si>
    <t>8461.05万</t>
  </si>
  <si>
    <t>7.70亿</t>
  </si>
  <si>
    <t>6656.34万</t>
  </si>
  <si>
    <t>6991.99万</t>
  </si>
  <si>
    <t>SH600539</t>
  </si>
  <si>
    <t>狮头股份</t>
  </si>
  <si>
    <t>1114.68万</t>
  </si>
  <si>
    <t>5517.56万</t>
  </si>
  <si>
    <t>9305.98万</t>
  </si>
  <si>
    <t>-1982.07万</t>
  </si>
  <si>
    <t>1004.84万</t>
  </si>
  <si>
    <t>SH601113</t>
  </si>
  <si>
    <t>97.63亿</t>
  </si>
  <si>
    <t>85.65亿</t>
  </si>
  <si>
    <t>66.03亿</t>
  </si>
  <si>
    <t>SH603613</t>
  </si>
  <si>
    <t>国联股份</t>
  </si>
  <si>
    <t>36.74亿</t>
  </si>
  <si>
    <t>9386.14万</t>
  </si>
  <si>
    <t>SH605136</t>
  </si>
  <si>
    <t>丽人丽妆</t>
  </si>
  <si>
    <t>46.00亿</t>
  </si>
  <si>
    <t>36.15亿</t>
  </si>
  <si>
    <t>2.86亿</t>
  </si>
  <si>
    <t>1.大老板回购，不过也就5000万。但每天成交额居然在2~3亿好多天</t>
    <phoneticPr fontId="1" type="noConversion"/>
  </si>
  <si>
    <t>1. 关注GMV的货币转化率，以及GMV总增速，特别在拼多多和抖音其他新渠道的突破</t>
    <phoneticPr fontId="1" type="noConversion"/>
  </si>
  <si>
    <t>代码</t>
  </si>
  <si>
    <t>流通股本</t>
  </si>
  <si>
    <t>净利润[20201231]</t>
  </si>
  <si>
    <t>投入资本回报率roic%[20201231]</t>
  </si>
  <si>
    <t>净资产收益率%[20201231]</t>
  </si>
  <si>
    <t>1389.04亿</t>
  </si>
  <si>
    <t>-432.65亿</t>
  </si>
  <si>
    <t>38.88亿</t>
  </si>
  <si>
    <t>4.77亿</t>
  </si>
  <si>
    <t>165.49亿</t>
  </si>
  <si>
    <t>-3.96亿</t>
  </si>
  <si>
    <t>2.45亿</t>
  </si>
  <si>
    <t>88.18亿</t>
  </si>
  <si>
    <t>6.73亿</t>
  </si>
  <si>
    <t>164.24亿</t>
  </si>
  <si>
    <t>-20.60亿</t>
  </si>
  <si>
    <t>51.78亿</t>
  </si>
  <si>
    <t>12.88亿</t>
  </si>
  <si>
    <t>2919.51万</t>
  </si>
  <si>
    <t>17.64亿</t>
  </si>
  <si>
    <t>-26.76亿</t>
  </si>
  <si>
    <t>36.60亿</t>
  </si>
  <si>
    <t>-15.24亿</t>
  </si>
  <si>
    <t>11.35亿</t>
  </si>
  <si>
    <t>3.27亿</t>
  </si>
  <si>
    <t>8.31亿</t>
  </si>
  <si>
    <t>4840.21万</t>
  </si>
  <si>
    <t>2.16亿</t>
  </si>
  <si>
    <t>SZ301110</t>
  </si>
  <si>
    <t>青木股份</t>
  </si>
  <si>
    <t>8.80亿</t>
  </si>
  <si>
    <t>1.48亿</t>
  </si>
  <si>
    <t>3.61亿</t>
  </si>
  <si>
    <t>4378.47万</t>
  </si>
  <si>
    <t>4315.46万</t>
  </si>
  <si>
    <t>4.66亿</t>
  </si>
  <si>
    <t>1445.29万</t>
  </si>
  <si>
    <t>86.54亿</t>
  </si>
  <si>
    <t>-6.07亿</t>
  </si>
  <si>
    <t>5.78亿</t>
  </si>
  <si>
    <t>41.55亿</t>
  </si>
  <si>
    <t>4.11亿</t>
  </si>
  <si>
    <t xml:space="preserve">    名称</t>
  </si>
  <si>
    <t>净利润?</t>
  </si>
  <si>
    <t>扣非净利润</t>
  </si>
  <si>
    <t>营业总收入[20201231]</t>
  </si>
  <si>
    <t>投入资本回报率roic%[20211231]</t>
  </si>
  <si>
    <t>净资产收益率%[20211231]</t>
  </si>
  <si>
    <t>单季营收增速</t>
  </si>
  <si>
    <t>单季利润增速</t>
  </si>
  <si>
    <t>亏损</t>
  </si>
  <si>
    <t>扭亏</t>
  </si>
  <si>
    <t/>
  </si>
  <si>
    <t>3.45亿</t>
  </si>
  <si>
    <t>2.04亿</t>
  </si>
  <si>
    <r>
      <t>1.公司内部的目标基本上就是两年之内到500亿的GMV；2.早期侧重在化妆品，接下来公司可能会重点拓展食品、潮玩两个类目，新签泡泡玛特、屈臣氏、菲洛嘉和星巴克等新类目的品牌客户；3.要做的是不断结合AI、数据图谱、RPA方式把这块能力继续拔高，变成行业绝对领先的能力以及竞争优势；4.保持之前业绩预估、向全年</t>
    </r>
    <r>
      <rPr>
        <b/>
        <sz val="9"/>
        <color rgb="FFFF0000"/>
        <rFont val="宋体"/>
        <family val="3"/>
        <charset val="134"/>
        <scheme val="minor"/>
      </rPr>
      <t>30%+</t>
    </r>
    <r>
      <rPr>
        <sz val="9"/>
        <color theme="1"/>
        <rFont val="宋体"/>
        <family val="3"/>
        <charset val="134"/>
        <scheme val="minor"/>
      </rPr>
      <t>增长目标努力，但不会停止能力建设、组织建设的投入步伐，网创是全域的品牌加速服务，通过创造产生价值</t>
    </r>
    <phoneticPr fontId="1" type="noConversion"/>
  </si>
  <si>
    <t>LY营业总收入[20211231]</t>
  </si>
  <si>
    <t>权益乘数[20220630]</t>
  </si>
  <si>
    <t>总资产周转率[20220630]</t>
  </si>
  <si>
    <t>净利润／营业总收入%[20220630]</t>
  </si>
  <si>
    <t>营业总成本[20220630]</t>
  </si>
  <si>
    <t>营业成本[20220630]</t>
  </si>
  <si>
    <t>管理费用[20220630]</t>
  </si>
  <si>
    <t>研发费用总额[20220630]</t>
  </si>
  <si>
    <t>细分行业</t>
  </si>
  <si>
    <t>ST易购</t>
  </si>
  <si>
    <t>1.03亿</t>
  </si>
  <si>
    <t>SZ300518</t>
  </si>
  <si>
    <t>4.80亿</t>
  </si>
  <si>
    <t>2.09亿</t>
  </si>
  <si>
    <t>-2.26亿</t>
  </si>
  <si>
    <t>1015.94万</t>
  </si>
  <si>
    <t>SZ300592</t>
  </si>
  <si>
    <t>华凯易佰</t>
  </si>
  <si>
    <t>20.75亿</t>
  </si>
  <si>
    <t>-8740.38万</t>
  </si>
  <si>
    <t>1.35亿</t>
  </si>
  <si>
    <t>4.12亿</t>
  </si>
  <si>
    <t>4.48亿</t>
  </si>
  <si>
    <t>-6248.34万</t>
  </si>
  <si>
    <t>798.09万</t>
  </si>
  <si>
    <t>1569.18万</t>
  </si>
  <si>
    <t>SH600365</t>
  </si>
  <si>
    <t>ST通葡</t>
  </si>
  <si>
    <t>6.78亿</t>
  </si>
  <si>
    <t>376.45万</t>
  </si>
  <si>
    <t>6.08亿</t>
  </si>
  <si>
    <t>9.76亿</t>
  </si>
  <si>
    <t>10.27亿</t>
  </si>
  <si>
    <t>-6792.19万</t>
  </si>
  <si>
    <t>-3131.47万</t>
  </si>
  <si>
    <t>419.78万</t>
  </si>
  <si>
    <t>华鼎股份</t>
  </si>
  <si>
    <t>-13.41亿</t>
  </si>
  <si>
    <t>3.36亿</t>
  </si>
  <si>
    <t>过往利润增速均值</t>
    <phoneticPr fontId="1" type="noConversion"/>
  </si>
  <si>
    <t>原始顺序</t>
    <phoneticPr fontId="1" type="noConversion"/>
  </si>
  <si>
    <t>策略1营收单季最佳增速</t>
    <phoneticPr fontId="1" type="noConversion"/>
  </si>
  <si>
    <t>策略1利润单季最佳增速</t>
    <phoneticPr fontId="1" type="noConversion"/>
  </si>
  <si>
    <t>利润成长策略</t>
    <phoneticPr fontId="1" type="noConversion"/>
  </si>
  <si>
    <t>机会区域号</t>
    <phoneticPr fontId="1" type="noConversion"/>
  </si>
  <si>
    <t>昨日价格累计指数</t>
    <phoneticPr fontId="1" type="noConversion"/>
  </si>
  <si>
    <t>价格箱体形态过滤</t>
    <phoneticPr fontId="1" type="noConversion"/>
  </si>
  <si>
    <t>N日期</t>
    <phoneticPr fontId="1" type="noConversion"/>
  </si>
  <si>
    <t>2.36亿</t>
  </si>
  <si>
    <t>跨境通</t>
  </si>
  <si>
    <t>5.15亿</t>
  </si>
  <si>
    <t>3.00亿</t>
  </si>
  <si>
    <t>1. 公司加强社交的货币转化率，尽量从传统的搜索切换到社交模式；如果gmv，营收，利润能再20%的增速，那么值得期待；2.定位好货低价，多样性；3.2020GMV400亿，预计2021年500亿；转化到营收大概13%；利润大概3.6%；3.资产结构清晰干净，53.01亿净资产，5.81亿负债；</t>
    <phoneticPr fontId="1" type="noConversion"/>
  </si>
  <si>
    <t>涨幅</t>
  </si>
  <si>
    <t>成交量[20221212]</t>
  </si>
  <si>
    <t>营业收入(同比增长率) %[20220930]</t>
  </si>
  <si>
    <t>LY净利润[20211231]</t>
  </si>
  <si>
    <t>销售费用[20220930]</t>
  </si>
  <si>
    <t>其他收入[20220930]</t>
  </si>
  <si>
    <t>货币资金[20220930]</t>
  </si>
  <si>
    <t>应收票据[20220930]</t>
  </si>
  <si>
    <t>固定资产[20220930]</t>
  </si>
  <si>
    <t>在建工程[20220930]</t>
  </si>
  <si>
    <t>短期借款[20220930]</t>
  </si>
  <si>
    <t>应付票据[20220930]</t>
  </si>
  <si>
    <t>应付账款[20220930]</t>
  </si>
  <si>
    <t>预收款项[20220930]</t>
  </si>
  <si>
    <t>流动负债[20220930]</t>
  </si>
  <si>
    <t>长期借款[20220930]</t>
  </si>
  <si>
    <t>经营活动产生的现金流量净额[20220930]</t>
  </si>
  <si>
    <t>投资活动产生的现金流量净额[20220930]</t>
  </si>
  <si>
    <t>筹资活动产生的现金流量净额[20220930]</t>
  </si>
  <si>
    <t>CYLQ营业收入[20220630]</t>
  </si>
  <si>
    <t>LYCQ营业收入[20210930]</t>
  </si>
  <si>
    <t>LYLQ营业收入[20210630]</t>
  </si>
  <si>
    <t>CYLQ净利润[20220630]</t>
  </si>
  <si>
    <t>LYCQ净利润[20210930]</t>
  </si>
  <si>
    <t>LYLQ净利润[20210630]</t>
  </si>
  <si>
    <t>分红明细[20211231]</t>
  </si>
  <si>
    <t>销售毛利率%[20220630]</t>
  </si>
  <si>
    <t>销售净利率%[20220630]</t>
  </si>
  <si>
    <t>区间涨跌幅:前复权%[20221206-20221212]</t>
  </si>
  <si>
    <t>指数@区间涨跌幅:不复权%[20221101-20221212]</t>
  </si>
  <si>
    <t>指数@区间成交量[20221206-20221212]</t>
  </si>
  <si>
    <t>指数@区间成交量[20221101-20221212]</t>
  </si>
  <si>
    <t>量价齐升策略</t>
    <phoneticPr fontId="1" type="noConversion"/>
  </si>
  <si>
    <t>N-1</t>
    <phoneticPr fontId="1" type="noConversion"/>
  </si>
  <si>
    <t>市销率</t>
    <phoneticPr fontId="1" type="noConversion"/>
  </si>
  <si>
    <t>扣非对比净利润</t>
    <phoneticPr fontId="1" type="noConversion"/>
  </si>
  <si>
    <t>股利率</t>
    <phoneticPr fontId="1" type="noConversion"/>
  </si>
  <si>
    <t>过往营收增速均值</t>
    <phoneticPr fontId="1" type="noConversion"/>
  </si>
  <si>
    <t>折现率</t>
    <phoneticPr fontId="1" type="noConversion"/>
  </si>
  <si>
    <t>1年自由现金流折现</t>
    <phoneticPr fontId="1" type="noConversion"/>
  </si>
  <si>
    <t>1增速</t>
    <phoneticPr fontId="1" type="noConversion"/>
  </si>
  <si>
    <t>3年自由现金流折现</t>
    <phoneticPr fontId="1" type="noConversion"/>
  </si>
  <si>
    <t>3增速</t>
    <phoneticPr fontId="1" type="noConversion"/>
  </si>
  <si>
    <t>6年自由现金流折现</t>
    <phoneticPr fontId="1" type="noConversion"/>
  </si>
  <si>
    <t>6增速</t>
    <phoneticPr fontId="1" type="noConversion"/>
  </si>
  <si>
    <t>10年自由现金流折现</t>
    <phoneticPr fontId="1" type="noConversion"/>
  </si>
  <si>
    <t>10增速</t>
    <phoneticPr fontId="1" type="noConversion"/>
  </si>
  <si>
    <t>20年自由现金流折现</t>
    <phoneticPr fontId="1" type="noConversion"/>
  </si>
  <si>
    <t>承担负债现期溢价</t>
    <phoneticPr fontId="1" type="noConversion"/>
  </si>
  <si>
    <t>清算价格</t>
    <phoneticPr fontId="1" type="noConversion"/>
  </si>
  <si>
    <t>营收成长策略</t>
    <phoneticPr fontId="1" type="noConversion"/>
  </si>
  <si>
    <t>营收和利润加权</t>
    <phoneticPr fontId="1" type="noConversion"/>
  </si>
  <si>
    <t>价格变动策略</t>
    <phoneticPr fontId="1" type="noConversion"/>
  </si>
  <si>
    <t>成交量综合策略</t>
    <phoneticPr fontId="1" type="noConversion"/>
  </si>
  <si>
    <t>基本面排序</t>
    <phoneticPr fontId="1" type="noConversion"/>
  </si>
  <si>
    <t>综合策略</t>
    <phoneticPr fontId="1" type="noConversion"/>
  </si>
  <si>
    <t>5日成交换手率</t>
    <phoneticPr fontId="1" type="noConversion"/>
  </si>
  <si>
    <t>30日成交换手率</t>
    <phoneticPr fontId="1" type="noConversion"/>
  </si>
  <si>
    <t>今日价格累积指数</t>
    <phoneticPr fontId="1" type="noConversion"/>
  </si>
  <si>
    <t>成交量异动策略</t>
    <phoneticPr fontId="1" type="noConversion"/>
  </si>
  <si>
    <t>价格右侧初期策略</t>
    <phoneticPr fontId="1" type="noConversion"/>
  </si>
  <si>
    <t>N-4</t>
    <phoneticPr fontId="1" type="noConversion"/>
  </si>
  <si>
    <t>N-3</t>
    <phoneticPr fontId="1" type="noConversion"/>
  </si>
  <si>
    <t>N-2</t>
    <phoneticPr fontId="1" type="noConversion"/>
  </si>
  <si>
    <t>N</t>
    <phoneticPr fontId="1" type="noConversion"/>
  </si>
  <si>
    <t>不分配不转增</t>
  </si>
  <si>
    <t>10派2.5元(含税)</t>
  </si>
  <si>
    <t>10派1.25元(含税)</t>
  </si>
  <si>
    <r>
      <t>1.媒体质疑其财务造假，和之前南极人很类似；但关键还是互联网平台的整体复苏更加关键；2.公司跟上海钢联之间存在毛利的差别，更多的还是因为</t>
    </r>
    <r>
      <rPr>
        <sz val="9"/>
        <color rgb="FFFF0000"/>
        <rFont val="宋体"/>
        <family val="3"/>
        <charset val="134"/>
        <scheme val="minor"/>
      </rPr>
      <t>经营模式以及所处行业不同所带来的差别</t>
    </r>
    <r>
      <rPr>
        <sz val="9"/>
        <color theme="1"/>
        <rFont val="宋体"/>
        <family val="2"/>
        <charset val="134"/>
        <scheme val="minor"/>
      </rPr>
      <t>。钢材行业的中间环节毛利空间本身相对较低，此外上海钢联是寄售模式，与我们的集合采购、订单反推模式存在差异。3.问：多多平台同类的竞争对手潜在竞争对手有哪些答：目前6个多多平台中，其中5个平台在覆盖行业、业务模式方面暂不存在直接竞争对手，5个平台在细分领域达到市占率第一水平。仅有聚玻网与玻多多同处一个细分领域，前者主要从事玻璃原片和玻璃成品的网上交易，以及玻璃产业的数字化改革，与玻多多在品类覆盖方面存在差异，我们主要向玻璃原片的上游原材料（纯碱、石英砂等）进行延伸，相应的商业模式也有区别，因此现阶段二者也并不构成直接竞争关系。</t>
    </r>
    <phoneticPr fontId="1" type="noConversion"/>
  </si>
  <si>
    <t>33.10亿</t>
  </si>
  <si>
    <t>-2.98亿</t>
  </si>
  <si>
    <t>2.80亿</t>
  </si>
  <si>
    <t>125.69亿</t>
  </si>
  <si>
    <t>1.57亿</t>
  </si>
  <si>
    <t>2.79亿</t>
  </si>
  <si>
    <t>14.54亿</t>
  </si>
  <si>
    <t>11.30亿</t>
  </si>
  <si>
    <t>14.63亿</t>
  </si>
  <si>
    <t>72.54亿</t>
  </si>
  <si>
    <t>53.76亿</t>
  </si>
  <si>
    <t>1.84亿</t>
  </si>
  <si>
    <t>12.17亿</t>
  </si>
  <si>
    <t>7.74亿</t>
  </si>
  <si>
    <t>-3.67亿</t>
  </si>
  <si>
    <t>23.51亿</t>
  </si>
  <si>
    <t>-2.60亿</t>
  </si>
  <si>
    <t>1.17亿</t>
  </si>
  <si>
    <t>5769.83万</t>
  </si>
  <si>
    <t>44.17亿</t>
  </si>
  <si>
    <t>15.39亿</t>
  </si>
  <si>
    <t>1.80亿</t>
  </si>
  <si>
    <t>2.66亿</t>
  </si>
  <si>
    <t>7.64亿</t>
  </si>
  <si>
    <t>-592.43万</t>
  </si>
  <si>
    <t>8.47亿</t>
  </si>
  <si>
    <t>8.21亿</t>
  </si>
  <si>
    <t>-1-0</t>
  </si>
  <si>
    <t>5.89亿</t>
  </si>
  <si>
    <t>1751.91万</t>
  </si>
  <si>
    <t>402.69亿</t>
  </si>
  <si>
    <t>11.26亿</t>
  </si>
  <si>
    <t>1.60亿</t>
  </si>
  <si>
    <t>32.42亿</t>
  </si>
  <si>
    <t>-1.39亿</t>
  </si>
  <si>
    <t>713.74亿</t>
  </si>
  <si>
    <t>-162.20亿</t>
  </si>
  <si>
    <t>13.12亿</t>
  </si>
  <si>
    <t>2.49亿</t>
  </si>
  <si>
    <t>1.75亿</t>
  </si>
  <si>
    <t>-2.55亿</t>
  </si>
  <si>
    <t>1.56亿</t>
  </si>
  <si>
    <t>1.31亿</t>
  </si>
  <si>
    <t>2.82亿</t>
  </si>
  <si>
    <t>5.99亿</t>
  </si>
  <si>
    <t>3.22亿</t>
  </si>
  <si>
    <t>新迅达</t>
  </si>
  <si>
    <t>10.91亿</t>
  </si>
  <si>
    <t>1.04亿</t>
  </si>
  <si>
    <t>-2-1</t>
  </si>
  <si>
    <t>1.42亿</t>
  </si>
  <si>
    <t>1.29亿</t>
  </si>
  <si>
    <t>1.18亿</t>
  </si>
  <si>
    <t>SZ301381</t>
  </si>
  <si>
    <t>赛维时代</t>
  </si>
  <si>
    <t>49.09亿</t>
  </si>
  <si>
    <t>1.85亿</t>
  </si>
  <si>
    <t>55.65亿</t>
  </si>
  <si>
    <t>52.53亿</t>
  </si>
  <si>
    <t>28.79亿</t>
  </si>
  <si>
    <t>22.45亿</t>
  </si>
  <si>
    <t>3.48亿</t>
  </si>
  <si>
    <t>4.51亿</t>
  </si>
  <si>
    <t>5410.80万</t>
  </si>
  <si>
    <t>-663.30万</t>
  </si>
  <si>
    <t>1.21亿</t>
  </si>
  <si>
    <t>1.62亿</t>
  </si>
  <si>
    <t>SZ301558</t>
  </si>
  <si>
    <t>三态股份</t>
  </si>
  <si>
    <t>15.88亿</t>
  </si>
  <si>
    <t>1.41亿</t>
  </si>
  <si>
    <t>22.66亿</t>
  </si>
  <si>
    <t>19.94亿</t>
  </si>
  <si>
    <t>15.67亿</t>
  </si>
  <si>
    <t>12.15亿</t>
  </si>
  <si>
    <t>2.14亿</t>
  </si>
  <si>
    <t>1.53亿</t>
  </si>
  <si>
    <t>1930.00万</t>
  </si>
  <si>
    <t>3.44亿</t>
  </si>
  <si>
    <t>1.19亿</t>
  </si>
  <si>
    <t>3.72亿</t>
  </si>
  <si>
    <t>4.64亿</t>
  </si>
  <si>
    <t>274.91亿</t>
  </si>
  <si>
    <t>148.18亿</t>
  </si>
  <si>
    <t>6.43亿</t>
  </si>
  <si>
    <t>6.83亿</t>
  </si>
  <si>
    <t>1.12亿</t>
  </si>
  <si>
    <t>-5-0</t>
  </si>
  <si>
    <t>7.81亿</t>
  </si>
  <si>
    <r>
      <t>1.问：上市以来，公司收入利润高增长，各多多平台渗透率提升，目前来看平台渗透率目标如何？未来3-5年对高增长是否有信心？答：目前根据2021年年底数据来看，平均渗透率在1.02%，涂多多达到2.09%左右；</t>
    </r>
    <r>
      <rPr>
        <b/>
        <sz val="9"/>
        <color rgb="FFFF0000"/>
        <rFont val="宋体"/>
        <family val="3"/>
        <charset val="134"/>
        <scheme val="minor"/>
      </rPr>
      <t>中期公司目标渗透率在10%，长期是30%不变</t>
    </r>
    <r>
      <rPr>
        <sz val="9"/>
        <color theme="1"/>
        <rFont val="宋体"/>
        <family val="2"/>
        <charset val="134"/>
        <scheme val="minor"/>
      </rPr>
      <t>。公司是以5年为一期制定发展目标，上市后制定的第一个五年计划到2024年，从目前来看的中短期内保持相对的高增速信心很足。2.云工厂模式主要为“深度供应链+数字工厂”，既深度交易合作和数字工厂合作。公司在今年的“双十”电商节发布了53家云工厂，明年预计累计拓展100家，完成第一阶段目标。3.2023年年报</t>
    </r>
    <r>
      <rPr>
        <sz val="9"/>
        <color rgb="FFFF0000"/>
        <rFont val="宋体"/>
        <family val="3"/>
        <charset val="134"/>
        <scheme val="minor"/>
      </rPr>
      <t>营收506.85亿增25.87%，净利润14.28亿元增长26.89%；2024年一季报营收162.58亿曾23.57%，净利润3.13亿元增长22.21%</t>
    </r>
    <r>
      <rPr>
        <sz val="9"/>
        <color theme="1"/>
        <rFont val="宋体"/>
        <family val="2"/>
        <charset val="134"/>
        <scheme val="minor"/>
      </rPr>
      <t>；</t>
    </r>
    <phoneticPr fontId="1" type="noConversion"/>
  </si>
  <si>
    <t>1209.21万</t>
  </si>
  <si>
    <t>1116.12亿</t>
  </si>
  <si>
    <t>101.46亿</t>
  </si>
  <si>
    <t>125.80亿</t>
  </si>
  <si>
    <t>626.27亿</t>
  </si>
  <si>
    <t>-40.90亿</t>
  </si>
  <si>
    <t>129.02亿</t>
  </si>
  <si>
    <t>97.98亿</t>
  </si>
  <si>
    <t>16.54亿</t>
  </si>
  <si>
    <t>5.09亿</t>
  </si>
  <si>
    <t>239811000亿</t>
  </si>
  <si>
    <t>5690.50万</t>
  </si>
  <si>
    <t>-328677000亿</t>
  </si>
  <si>
    <t>138.11亿</t>
  </si>
  <si>
    <t>2473201000亿</t>
  </si>
  <si>
    <t>122.70万</t>
  </si>
  <si>
    <t>52664064000亿</t>
  </si>
  <si>
    <t>36.31亿</t>
  </si>
  <si>
    <t>280.47亿</t>
  </si>
  <si>
    <t>59.24亿</t>
  </si>
  <si>
    <t>164.91亿</t>
  </si>
  <si>
    <t>956.77亿</t>
  </si>
  <si>
    <t>17.35亿</t>
  </si>
  <si>
    <t>14.07亿</t>
  </si>
  <si>
    <t>-1.82亿</t>
  </si>
  <si>
    <t>-13.99亿</t>
  </si>
  <si>
    <t>158.59亿</t>
  </si>
  <si>
    <t>-1.01亿</t>
  </si>
  <si>
    <t>1-1</t>
  </si>
  <si>
    <t>1752.27万</t>
  </si>
  <si>
    <t>8.22亿</t>
  </si>
  <si>
    <t>46.43亿</t>
  </si>
  <si>
    <t>7.15亿</t>
  </si>
  <si>
    <t>26.92亿</t>
  </si>
  <si>
    <t>6.63亿</t>
  </si>
  <si>
    <t>3563.28万</t>
  </si>
  <si>
    <t>2495.68万</t>
  </si>
  <si>
    <t>3284387亿</t>
  </si>
  <si>
    <t>836.12万</t>
  </si>
  <si>
    <t>37643459亿</t>
  </si>
  <si>
    <t>21.76亿</t>
  </si>
  <si>
    <t>735026360亿</t>
  </si>
  <si>
    <t>3939084500亿</t>
  </si>
  <si>
    <t>3844.80万</t>
  </si>
  <si>
    <t>7.62亿</t>
  </si>
  <si>
    <t>-4.22亿</t>
  </si>
  <si>
    <t>2.85亿</t>
  </si>
  <si>
    <t>-385.88万</t>
  </si>
  <si>
    <t>6.11亿</t>
  </si>
  <si>
    <t>3565.14万</t>
  </si>
  <si>
    <t>10派0.8元(含税)</t>
  </si>
  <si>
    <t>8542.99万</t>
  </si>
  <si>
    <t>7.47亿</t>
  </si>
  <si>
    <t>0112000000</t>
  </si>
  <si>
    <t>0336000000</t>
  </si>
  <si>
    <t>0672000000</t>
  </si>
  <si>
    <t>01120000000</t>
  </si>
  <si>
    <t>02240000000</t>
  </si>
  <si>
    <t>ST联络</t>
  </si>
  <si>
    <t>85.52亿</t>
  </si>
  <si>
    <t>5.90亿</t>
  </si>
  <si>
    <t>27.55亿</t>
  </si>
  <si>
    <t>115.46亿</t>
  </si>
  <si>
    <t>-6.29亿</t>
  </si>
  <si>
    <t>29.58亿</t>
  </si>
  <si>
    <t>24.77亿</t>
  </si>
  <si>
    <t>1.52亿</t>
  </si>
  <si>
    <t>-2491229亿</t>
  </si>
  <si>
    <t>77.04万</t>
  </si>
  <si>
    <t>-121738717亿</t>
  </si>
  <si>
    <t>8.41亿</t>
  </si>
  <si>
    <t>783751220亿</t>
  </si>
  <si>
    <t>126.10万</t>
  </si>
  <si>
    <t>3810904600亿</t>
  </si>
  <si>
    <t>64.49万</t>
  </si>
  <si>
    <t>10.47亿</t>
  </si>
  <si>
    <t>17.75亿</t>
  </si>
  <si>
    <t>861.38万</t>
  </si>
  <si>
    <t>63.87亿</t>
  </si>
  <si>
    <t>1630.46万</t>
  </si>
  <si>
    <t>-2.44亿</t>
  </si>
  <si>
    <t>-1774.01万</t>
  </si>
  <si>
    <t>-213.50万</t>
  </si>
  <si>
    <t>-9.54亿</t>
  </si>
  <si>
    <t>29.21亿</t>
  </si>
  <si>
    <t>-1.13亿</t>
  </si>
  <si>
    <t>4.07亿</t>
  </si>
  <si>
    <t>-7-1</t>
  </si>
  <si>
    <t>267.31万</t>
  </si>
  <si>
    <t>14.17亿</t>
  </si>
  <si>
    <t>22.37亿</t>
  </si>
  <si>
    <t>3.82亿</t>
  </si>
  <si>
    <t>15.19亿</t>
  </si>
  <si>
    <t>3.79亿</t>
  </si>
  <si>
    <t>3.02亿</t>
  </si>
  <si>
    <t>8017.26万</t>
  </si>
  <si>
    <t>1.40亿</t>
  </si>
  <si>
    <t>4296.39万</t>
  </si>
  <si>
    <t>-2667406亿</t>
  </si>
  <si>
    <t>1.04万</t>
  </si>
  <si>
    <t>72973925亿</t>
  </si>
  <si>
    <t>14.91亿</t>
  </si>
  <si>
    <t>25734136亿</t>
  </si>
  <si>
    <t>290.88万</t>
  </si>
  <si>
    <t>1775471600亿</t>
  </si>
  <si>
    <t>6244.99万</t>
  </si>
  <si>
    <t>5.66万</t>
  </si>
  <si>
    <t>14.19亿</t>
  </si>
  <si>
    <t>-4911.09万</t>
  </si>
  <si>
    <t>205.75万</t>
  </si>
  <si>
    <t>4858.44万</t>
  </si>
  <si>
    <t>10派10元(含税)</t>
  </si>
  <si>
    <t>1995.98万</t>
  </si>
  <si>
    <t>1.39亿</t>
  </si>
  <si>
    <t>3-1</t>
  </si>
  <si>
    <t>4506.45万</t>
  </si>
  <si>
    <t>24.01亿</t>
  </si>
  <si>
    <t>13.22亿</t>
  </si>
  <si>
    <t>12.76亿</t>
  </si>
  <si>
    <t>66.16亿</t>
  </si>
  <si>
    <t>-968.82万</t>
  </si>
  <si>
    <t>12.63亿</t>
  </si>
  <si>
    <t>11.16亿</t>
  </si>
  <si>
    <t>7007.49万</t>
  </si>
  <si>
    <t>3899.66万</t>
  </si>
  <si>
    <t>148976亿</t>
  </si>
  <si>
    <t>3.67万</t>
  </si>
  <si>
    <t>-19896560亿</t>
  </si>
  <si>
    <t>2.76亿</t>
  </si>
  <si>
    <t>606526390亿</t>
  </si>
  <si>
    <t>2046163300亿</t>
  </si>
  <si>
    <t>27.55万</t>
  </si>
  <si>
    <t>20.21亿</t>
  </si>
  <si>
    <t>-1.41亿</t>
  </si>
  <si>
    <t>-106.01万</t>
  </si>
  <si>
    <t>1794.92万</t>
  </si>
  <si>
    <t>15.87亿</t>
  </si>
  <si>
    <t>122.92万</t>
  </si>
  <si>
    <t>3.12亿</t>
  </si>
  <si>
    <t>24.42亿</t>
  </si>
  <si>
    <t>501.18万</t>
  </si>
  <si>
    <t>12.74亿</t>
  </si>
  <si>
    <t>22.76亿</t>
  </si>
  <si>
    <t>13.24亿</t>
  </si>
  <si>
    <t>66.95亿</t>
  </si>
  <si>
    <t>12.84亿</t>
  </si>
  <si>
    <t>7.86亿</t>
  </si>
  <si>
    <t>4.01亿</t>
  </si>
  <si>
    <t>5762.16万</t>
  </si>
  <si>
    <t>1920019亿</t>
  </si>
  <si>
    <t>15.78万</t>
  </si>
  <si>
    <t>38250950亿</t>
  </si>
  <si>
    <t>8.02亿</t>
  </si>
  <si>
    <t>475385540亿</t>
  </si>
  <si>
    <t>100.00万</t>
  </si>
  <si>
    <t>1929721200亿</t>
  </si>
  <si>
    <t>1369.88万</t>
  </si>
  <si>
    <t>5492.07万</t>
  </si>
  <si>
    <t>2.15亿</t>
  </si>
  <si>
    <t>2.73亿</t>
  </si>
  <si>
    <t>8.04亿</t>
  </si>
  <si>
    <t>-1.58亿</t>
  </si>
  <si>
    <t>-3287.82万</t>
  </si>
  <si>
    <t>-1.27亿</t>
  </si>
  <si>
    <t>13.76亿</t>
  </si>
  <si>
    <t>7043.08万</t>
  </si>
  <si>
    <t>10派3.60元(含税)</t>
  </si>
  <si>
    <t>2246.37万</t>
  </si>
  <si>
    <t>1.70亿</t>
  </si>
  <si>
    <t>-1-1</t>
  </si>
  <si>
    <t>164.50万</t>
  </si>
  <si>
    <t>10.50亿</t>
  </si>
  <si>
    <t>13.66亿</t>
  </si>
  <si>
    <t>5429.05万</t>
  </si>
  <si>
    <t>6016.05万</t>
  </si>
  <si>
    <t>1642.30万</t>
  </si>
  <si>
    <t>14.00万</t>
  </si>
  <si>
    <t>12138626亿</t>
  </si>
  <si>
    <t>4.02亿</t>
  </si>
  <si>
    <t>134013608亿</t>
  </si>
  <si>
    <t>991218940亿</t>
  </si>
  <si>
    <t>2797.95万</t>
  </si>
  <si>
    <t>2.48亿</t>
  </si>
  <si>
    <t>-1009.57万</t>
  </si>
  <si>
    <t>-5182.40万</t>
  </si>
  <si>
    <t>3373.60万</t>
  </si>
  <si>
    <t>2.83亿</t>
  </si>
  <si>
    <t>687.84万</t>
  </si>
  <si>
    <t>10转4股派3元(含税)</t>
  </si>
  <si>
    <t>991.87万</t>
  </si>
  <si>
    <t>8036.52万</t>
  </si>
  <si>
    <t>3-0</t>
  </si>
  <si>
    <t>*ST有树</t>
  </si>
  <si>
    <t>369.09万</t>
  </si>
  <si>
    <t>7.61亿</t>
  </si>
  <si>
    <t>-4.13亿</t>
  </si>
  <si>
    <t>-4.85亿</t>
  </si>
  <si>
    <t>1.34亿</t>
  </si>
  <si>
    <t>7336.79万</t>
  </si>
  <si>
    <t>3755.70万</t>
  </si>
  <si>
    <t>1440.96万</t>
  </si>
  <si>
    <t>2.30万</t>
  </si>
  <si>
    <t>-18258742亿</t>
  </si>
  <si>
    <t>5010.32万</t>
  </si>
  <si>
    <t>54889222亿</t>
  </si>
  <si>
    <t>236462590亿</t>
  </si>
  <si>
    <t>3355.16万</t>
  </si>
  <si>
    <t>1.81亿</t>
  </si>
  <si>
    <t>7.66亿</t>
  </si>
  <si>
    <t>-3721.45万</t>
  </si>
  <si>
    <t>4661.60万</t>
  </si>
  <si>
    <t>-390.93万</t>
  </si>
  <si>
    <t>-2112.18万</t>
  </si>
  <si>
    <t>2659.11万</t>
  </si>
  <si>
    <t>2.03亿</t>
  </si>
  <si>
    <t>427.84万</t>
  </si>
  <si>
    <t>14.01亿</t>
  </si>
  <si>
    <t>5.88亿</t>
  </si>
  <si>
    <t>3.66亿</t>
  </si>
  <si>
    <t>16.26亿</t>
  </si>
  <si>
    <t>-7609.25万</t>
  </si>
  <si>
    <t>3.59亿</t>
  </si>
  <si>
    <t>2.72亿</t>
  </si>
  <si>
    <t>4366.89万</t>
  </si>
  <si>
    <t>2672.97万</t>
  </si>
  <si>
    <t>-1369621亿</t>
  </si>
  <si>
    <t>881.87万</t>
  </si>
  <si>
    <t>1111761亿</t>
  </si>
  <si>
    <t>2.25亿</t>
  </si>
  <si>
    <t>307141160亿</t>
  </si>
  <si>
    <t>1549.97万</t>
  </si>
  <si>
    <t>1003614290亿</t>
  </si>
  <si>
    <t>1136.26万</t>
  </si>
  <si>
    <t>3.50亿</t>
  </si>
  <si>
    <t>3.90亿</t>
  </si>
  <si>
    <t>11.97亿</t>
  </si>
  <si>
    <t>9043.00万</t>
  </si>
  <si>
    <t>947.91万</t>
  </si>
  <si>
    <t>730.73万</t>
  </si>
  <si>
    <t>-2994.14万</t>
  </si>
  <si>
    <t>4.67亿</t>
  </si>
  <si>
    <t>485.91万</t>
  </si>
  <si>
    <t>2321.32万</t>
  </si>
  <si>
    <t>4.58亿</t>
  </si>
  <si>
    <t>-4-1</t>
  </si>
  <si>
    <t>406.20万</t>
  </si>
  <si>
    <t>4338.55万</t>
  </si>
  <si>
    <t>2.50亿</t>
  </si>
  <si>
    <t>6204.94万</t>
  </si>
  <si>
    <t>3757.09万</t>
  </si>
  <si>
    <t>1142.65万</t>
  </si>
  <si>
    <t>1274.70万</t>
  </si>
  <si>
    <t>-2554663亿</t>
  </si>
  <si>
    <t>-34744641亿</t>
  </si>
  <si>
    <t>17195586亿</t>
  </si>
  <si>
    <t>573808550亿</t>
  </si>
  <si>
    <t>4346.78万</t>
  </si>
  <si>
    <t>7769.42万</t>
  </si>
  <si>
    <t>2439.41万</t>
  </si>
  <si>
    <t>2887.22万</t>
  </si>
  <si>
    <t>-5173.44万</t>
  </si>
  <si>
    <t>-3109.82万</t>
  </si>
  <si>
    <t>-453.69万</t>
  </si>
  <si>
    <t>3028.82万</t>
  </si>
  <si>
    <t>1877.03万</t>
  </si>
  <si>
    <t>726.55万</t>
  </si>
  <si>
    <t>11.22亿</t>
  </si>
  <si>
    <t>22.30亿</t>
  </si>
  <si>
    <t>16.97亿</t>
  </si>
  <si>
    <t>65.18亿</t>
  </si>
  <si>
    <t>3.32亿</t>
  </si>
  <si>
    <t>16.02亿</t>
  </si>
  <si>
    <t>10.78亿</t>
  </si>
  <si>
    <t>4.05亿</t>
  </si>
  <si>
    <t>1287595亿</t>
  </si>
  <si>
    <t>1.27万</t>
  </si>
  <si>
    <t>77031096亿</t>
  </si>
  <si>
    <t>388366980亿</t>
  </si>
  <si>
    <t>2219343400亿</t>
  </si>
  <si>
    <t>179.79万</t>
  </si>
  <si>
    <t>1066.89万</t>
  </si>
  <si>
    <t>3.77亿</t>
  </si>
  <si>
    <t>1353.41万</t>
  </si>
  <si>
    <t>-9238.73万</t>
  </si>
  <si>
    <t>2.17亿</t>
  </si>
  <si>
    <t>13.79亿</t>
  </si>
  <si>
    <t>7610.85万</t>
  </si>
  <si>
    <t>10转4股派4元(含税)</t>
  </si>
  <si>
    <t>3117.20万</t>
  </si>
  <si>
    <t>1.91亿</t>
  </si>
  <si>
    <t>192.22万</t>
  </si>
  <si>
    <t>2.54亿</t>
  </si>
  <si>
    <t>28.39亿</t>
  </si>
  <si>
    <t>2.53亿</t>
  </si>
  <si>
    <t>4091.33万</t>
  </si>
  <si>
    <t>2029.38万</t>
  </si>
  <si>
    <t>4133165亿</t>
  </si>
  <si>
    <t>5.10万</t>
  </si>
  <si>
    <t>30099777亿</t>
  </si>
  <si>
    <t>10.14亿</t>
  </si>
  <si>
    <t>227659890亿</t>
  </si>
  <si>
    <t>1895226200亿</t>
  </si>
  <si>
    <t>7988.27万</t>
  </si>
  <si>
    <t>20.86万</t>
  </si>
  <si>
    <t>1746.89万</t>
  </si>
  <si>
    <t>6454.80万</t>
  </si>
  <si>
    <t>-1250.35万</t>
  </si>
  <si>
    <t>4261.33万</t>
  </si>
  <si>
    <t>10派1.35元(含税)</t>
  </si>
  <si>
    <t>1126.55万</t>
  </si>
  <si>
    <t>157.94万</t>
  </si>
  <si>
    <t>8.19亿</t>
  </si>
  <si>
    <t>7.63亿</t>
  </si>
  <si>
    <t>2422.99万</t>
  </si>
  <si>
    <t>7394.47万</t>
  </si>
  <si>
    <t>2007.12万</t>
  </si>
  <si>
    <t>883.32万</t>
  </si>
  <si>
    <t>524789亿</t>
  </si>
  <si>
    <t>48.95万</t>
  </si>
  <si>
    <t>1083399亿</t>
  </si>
  <si>
    <t>3.96亿</t>
  </si>
  <si>
    <t>116204792亿</t>
  </si>
  <si>
    <t>694275930亿</t>
  </si>
  <si>
    <t>6.65万</t>
  </si>
  <si>
    <t>2073.16万</t>
  </si>
  <si>
    <t>7454.97万</t>
  </si>
  <si>
    <t>3334.00万</t>
  </si>
  <si>
    <t>2687.31万</t>
  </si>
  <si>
    <t>-5176.04万</t>
  </si>
  <si>
    <t>-308.82万</t>
  </si>
  <si>
    <t>6.38亿</t>
  </si>
  <si>
    <t>1.67亿</t>
  </si>
  <si>
    <t>703.05万</t>
  </si>
  <si>
    <t>437.28万</t>
  </si>
  <si>
    <t>797.81万</t>
  </si>
  <si>
    <t>9866.50万</t>
  </si>
  <si>
    <t>158.78万</t>
  </si>
  <si>
    <t>14.31亿</t>
  </si>
  <si>
    <t>2.26亿</t>
  </si>
  <si>
    <t>2.92亿</t>
  </si>
  <si>
    <t>3350.17万</t>
  </si>
  <si>
    <t>1.16亿</t>
  </si>
  <si>
    <t>5329.15万</t>
  </si>
  <si>
    <t>3476.22万</t>
  </si>
  <si>
    <t>6097533亿</t>
  </si>
  <si>
    <t>20065273亿</t>
  </si>
  <si>
    <t>4.99亿</t>
  </si>
  <si>
    <t>181486890亿</t>
  </si>
  <si>
    <t>1319292590亿</t>
  </si>
  <si>
    <t>4080.29万</t>
  </si>
  <si>
    <t>500.00万</t>
  </si>
  <si>
    <t>4114.29万</t>
  </si>
  <si>
    <t>3153.96万</t>
  </si>
  <si>
    <t>-1874.07万</t>
  </si>
  <si>
    <t>-1668.06万</t>
  </si>
  <si>
    <t>6588.34万</t>
  </si>
  <si>
    <t>9.67亿</t>
  </si>
  <si>
    <t>7930.41万</t>
  </si>
  <si>
    <t>5208.30万</t>
  </si>
  <si>
    <t>1481.67万</t>
  </si>
  <si>
    <t>10转4股派6元(含税)</t>
  </si>
  <si>
    <t>739.69万</t>
  </si>
  <si>
    <t>3528.21万</t>
  </si>
  <si>
    <t>102.70万</t>
  </si>
  <si>
    <t>12.09亿</t>
  </si>
  <si>
    <t>25.00亿</t>
  </si>
  <si>
    <t>17.99亿</t>
  </si>
  <si>
    <t>11.79亿</t>
  </si>
  <si>
    <t>16.94亿</t>
  </si>
  <si>
    <t>9.50亿</t>
  </si>
  <si>
    <t>3730.41万</t>
  </si>
  <si>
    <t>6025674亿</t>
  </si>
  <si>
    <t>18.15万</t>
  </si>
  <si>
    <t>70292089亿</t>
  </si>
  <si>
    <t>4.40亿</t>
  </si>
  <si>
    <t>229149520亿</t>
  </si>
  <si>
    <t>2668647400亿</t>
  </si>
  <si>
    <t>9.04亿</t>
  </si>
  <si>
    <t>9858.80万</t>
  </si>
  <si>
    <t>-4.98亿</t>
  </si>
  <si>
    <t>1.20亿</t>
  </si>
  <si>
    <t>65.64亿</t>
  </si>
  <si>
    <t>2.11亿</t>
  </si>
  <si>
    <t>2939.34万</t>
  </si>
  <si>
    <t>826.59万</t>
  </si>
  <si>
    <t>1.01亿</t>
  </si>
  <si>
    <t>294.40万</t>
  </si>
  <si>
    <t>14.40亿</t>
  </si>
  <si>
    <t>3.89亿</t>
  </si>
  <si>
    <t>46.63亿</t>
  </si>
  <si>
    <t>5.96亿</t>
  </si>
  <si>
    <t>3.62亿</t>
  </si>
  <si>
    <t>7776.27万</t>
  </si>
  <si>
    <t>534.33万</t>
  </si>
  <si>
    <t>3176158亿</t>
  </si>
  <si>
    <t>15.19万</t>
  </si>
  <si>
    <t>24789319亿</t>
  </si>
  <si>
    <t>2.78亿</t>
  </si>
  <si>
    <t>41547520亿</t>
  </si>
  <si>
    <t>1504561200亿</t>
  </si>
  <si>
    <t>20.29万</t>
  </si>
  <si>
    <t>3741.17万</t>
  </si>
  <si>
    <t>757.84万</t>
  </si>
  <si>
    <t>-2.65亿</t>
  </si>
  <si>
    <t>-326.52万</t>
  </si>
  <si>
    <t>17.01亿</t>
  </si>
  <si>
    <t>2.23亿</t>
  </si>
  <si>
    <t>10派1.4元(含税)</t>
  </si>
  <si>
    <t>2042.66万</t>
  </si>
  <si>
    <t>2.20亿</t>
  </si>
  <si>
    <t>22-1</t>
  </si>
  <si>
    <t>456.80万</t>
  </si>
  <si>
    <t>5.87亿</t>
  </si>
  <si>
    <t>3.14亿</t>
  </si>
  <si>
    <t>53.69亿</t>
  </si>
  <si>
    <t>-2.27亿</t>
  </si>
  <si>
    <t>2.01亿</t>
  </si>
  <si>
    <t>1302.73万</t>
  </si>
  <si>
    <t>1409.90万</t>
  </si>
  <si>
    <t>1.92万</t>
  </si>
  <si>
    <t>3571043亿</t>
  </si>
  <si>
    <t>1684.56万</t>
  </si>
  <si>
    <t>483456470亿</t>
  </si>
  <si>
    <t>101.48万</t>
  </si>
  <si>
    <t>4785.37万</t>
  </si>
  <si>
    <t>3.46亿</t>
  </si>
  <si>
    <t>9157.84万</t>
  </si>
  <si>
    <t>-5174.34万</t>
  </si>
  <si>
    <t>8.59亿</t>
  </si>
  <si>
    <t>14.30亿</t>
  </si>
  <si>
    <t>-7283.78万</t>
  </si>
  <si>
    <t>1892.56万</t>
  </si>
  <si>
    <t>1561.18万</t>
  </si>
  <si>
    <t>8359.15万</t>
  </si>
  <si>
    <t>1313.58万</t>
  </si>
  <si>
    <t>1.28亿</t>
  </si>
  <si>
    <t>4.15亿</t>
  </si>
  <si>
    <t>9.72亿</t>
  </si>
  <si>
    <t>1470.75万</t>
  </si>
  <si>
    <t>1.11亿</t>
  </si>
  <si>
    <t>8352.49万</t>
  </si>
  <si>
    <t>1603.43万</t>
  </si>
  <si>
    <t>1022.54万</t>
  </si>
  <si>
    <t>350670亿</t>
  </si>
  <si>
    <t>4.01万</t>
  </si>
  <si>
    <t>-3947761亿</t>
  </si>
  <si>
    <t>32692651亿</t>
  </si>
  <si>
    <t>467587180亿</t>
  </si>
  <si>
    <t>4006.05万</t>
  </si>
  <si>
    <t>2674.40万</t>
  </si>
  <si>
    <t>2659.33万</t>
  </si>
  <si>
    <t>3346.81万</t>
  </si>
  <si>
    <t>-1421.69万</t>
  </si>
  <si>
    <t>2.38亿</t>
  </si>
  <si>
    <t>-7759.22万</t>
  </si>
  <si>
    <t>291.68万</t>
  </si>
  <si>
    <t>5270.48万</t>
  </si>
  <si>
    <t>836.37万</t>
  </si>
  <si>
    <t>30.12亿</t>
  </si>
  <si>
    <t>33.95亿</t>
  </si>
  <si>
    <t>20.85亿</t>
  </si>
  <si>
    <t>38.96亿</t>
  </si>
  <si>
    <t>19.99亿</t>
  </si>
  <si>
    <t>16.76亿</t>
  </si>
  <si>
    <t>5372.21万</t>
  </si>
  <si>
    <t>918.1亿</t>
  </si>
  <si>
    <t>100.07万</t>
  </si>
  <si>
    <t>72178715亿</t>
  </si>
  <si>
    <t>11.29亿</t>
  </si>
  <si>
    <t>670677410亿</t>
  </si>
  <si>
    <t>236.43万</t>
  </si>
  <si>
    <t>3253488500亿</t>
  </si>
  <si>
    <t>6011.46万</t>
  </si>
  <si>
    <t>5.24亿</t>
  </si>
  <si>
    <t>4.14亿</t>
  </si>
  <si>
    <t>78.38万</t>
  </si>
  <si>
    <t>20.34亿</t>
  </si>
  <si>
    <t>-7824.72万</t>
  </si>
  <si>
    <t>-9011.59万</t>
  </si>
  <si>
    <t>72.73亿</t>
  </si>
  <si>
    <t>4.34亿</t>
  </si>
  <si>
    <t>87.18亿</t>
  </si>
  <si>
    <t>5304.30万</t>
  </si>
  <si>
    <t>4715.55万</t>
  </si>
  <si>
    <t>4.59亿</t>
  </si>
  <si>
    <t>0138000000</t>
  </si>
  <si>
    <t>0414000000</t>
  </si>
  <si>
    <t>0828000000</t>
  </si>
  <si>
    <t>01380000000</t>
  </si>
  <si>
    <t>02760000000</t>
  </si>
  <si>
    <t>927.21万</t>
  </si>
  <si>
    <t>80.39亿</t>
  </si>
  <si>
    <t>76.51亿</t>
  </si>
  <si>
    <t>162.58亿</t>
  </si>
  <si>
    <t>6.57亿</t>
  </si>
  <si>
    <t>469.45万</t>
  </si>
  <si>
    <t>158.13亿</t>
  </si>
  <si>
    <t>156.28亿</t>
  </si>
  <si>
    <t>7205.52万</t>
  </si>
  <si>
    <t>2851.03万</t>
  </si>
  <si>
    <t>-5613788亿</t>
  </si>
  <si>
    <t>25.44万</t>
  </si>
  <si>
    <t>235991940亿</t>
  </si>
  <si>
    <t>58.74亿</t>
  </si>
  <si>
    <t>1084970560亿</t>
  </si>
  <si>
    <t>1083.94万</t>
  </si>
  <si>
    <t>14277226000亿</t>
  </si>
  <si>
    <t>20.58亿</t>
  </si>
  <si>
    <t>27.92亿</t>
  </si>
  <si>
    <t>668.90万</t>
  </si>
  <si>
    <t>69.67亿</t>
  </si>
  <si>
    <t>-1.11亿</t>
  </si>
  <si>
    <t>-14.43亿</t>
  </si>
  <si>
    <t>-1.32亿</t>
  </si>
  <si>
    <t>506.85亿</t>
  </si>
  <si>
    <t>14.28亿</t>
  </si>
  <si>
    <t>201.99万</t>
  </si>
  <si>
    <t>10派2.13元(含税)</t>
  </si>
  <si>
    <t>5137.00万</t>
  </si>
  <si>
    <t>4.65亿</t>
  </si>
  <si>
    <t>473.01万</t>
  </si>
  <si>
    <t>5.18亿</t>
  </si>
  <si>
    <t>25.21亿</t>
  </si>
  <si>
    <t>4.72亿</t>
  </si>
  <si>
    <t>46.51亿</t>
  </si>
  <si>
    <t>4.81亿</t>
  </si>
  <si>
    <t>1.30亿</t>
  </si>
  <si>
    <t>2326.99万</t>
  </si>
  <si>
    <t>286942亿</t>
  </si>
  <si>
    <t>5.30万</t>
  </si>
  <si>
    <t>-10235582亿</t>
  </si>
  <si>
    <t>11.51亿</t>
  </si>
  <si>
    <t>61642773亿</t>
  </si>
  <si>
    <t>2355951600亿</t>
  </si>
  <si>
    <t>208.72万</t>
  </si>
  <si>
    <t>2.33亿</t>
  </si>
  <si>
    <t>172.02万</t>
  </si>
  <si>
    <t>-36.16万</t>
  </si>
  <si>
    <t>-367.42万</t>
  </si>
  <si>
    <t>27.62亿</t>
  </si>
  <si>
    <t>13.09亿</t>
  </si>
  <si>
    <t>2952.76万</t>
  </si>
  <si>
    <t>5646.80万</t>
  </si>
  <si>
    <t>10派0.5元(含税)</t>
  </si>
  <si>
    <t>2317.58万</t>
  </si>
  <si>
    <t>-5-1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</si>
</sst>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indexed="8"/>
      <name val="Calibri"/>
      <family val="2"/>
    </font>
    <font>
      <sz val="9"/>
      <color theme="1"/>
      <name val="宋体"/>
      <family val="2"/>
      <charset val="134"/>
      <scheme val="minor"/>
    </font>
    <font>
      <sz val="9"/>
      <color theme="1"/>
      <name val="宋体"/>
      <family val="3"/>
      <charset val="134"/>
      <scheme val="minor"/>
    </font>
    <font>
      <b/>
      <sz val="9"/>
      <color rgb="FFFF0000"/>
      <name val="宋体"/>
      <family val="3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9"/>
      <color rgb="FFFF0000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Fill="0" applyProtection="0"/>
  </cellStyleXfs>
  <cellXfs count="17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0" fillId="0" borderId="1" xfId="0" applyNumberFormat="1" applyFill="1" applyBorder="1" applyAlignment="1">
      <alignment vertical="center" wrapText="1"/>
    </xf>
    <xf numFmtId="0" fontId="0" fillId="3" borderId="1" xfId="0" applyNumberFormat="1" applyFill="1" applyBorder="1" applyAlignment="1">
      <alignment vertical="center" wrapText="1"/>
    </xf>
    <xf numFmtId="10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3" fillId="0" borderId="0" xfId="0" applyFont="1" applyAlignment="1">
      <alignment vertical="center" wrapText="1"/>
    </xf>
    <xf numFmtId="0" fontId="3" fillId="0" borderId="0" xfId="0" applyFont="1">
      <alignment vertical="center"/>
    </xf>
    <xf numFmtId="0" fontId="4" fillId="0" borderId="0" xfId="0" applyFont="1" applyAlignment="1">
      <alignment vertical="center" wrapText="1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7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 applyFill="1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2">
    <cellStyle name="常规" xfId="0" builtinId="0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147</xdr:col>
          <xdr:colOff>342900</xdr:colOff>
          <xdr:row>0</xdr:row>
          <xdr:rowOff>76200</xdr:rowOff>
        </xdr:from>
        <xdr:to>
          <xdr:col>147</xdr:col>
          <xdr:colOff>1638300</xdr:colOff>
          <xdr:row>0</xdr:row>
          <xdr:rowOff>387350</xdr:rowOff>
        </xdr:to>
        <xdr:sp macro="" textlink="">
          <xdr:nvSpPr>
            <xdr:cNvPr id="2049" name="Button 1" descr="更新基本面按钮&#10;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更新基本面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P216"/>
  <sheetViews>
    <sheetView tabSelected="1" zoomScale="85" zoomScaleNormal="85" workbookViewId="0">
      <pane xSplit="5" ySplit="1" topLeftCell="G19" activePane="bottomRight" state="frozen"/>
      <selection pane="topRight" activeCell="F1" sqref="F1"/>
      <selection pane="bottomLeft" activeCell="A2" sqref="A2"/>
      <selection pane="bottomRight" activeCell="D22" sqref="D22:EP22"/>
    </sheetView>
  </sheetViews>
  <sheetFormatPr defaultRowHeight="14" x14ac:dyDescent="0.25"/>
  <cols>
    <col min="1" max="1" width="36.26953125" customWidth="1"/>
    <col min="2" max="2" width="40.453125" customWidth="1"/>
    <col min="3" max="3" width="39.1796875" customWidth="1"/>
    <col min="9" max="9" width="13.1796875" customWidth="1"/>
    <col min="16" max="16" width="12.453125" customWidth="1"/>
    <col min="148" max="148" width="29.08984375" customWidth="1"/>
  </cols>
  <sheetData>
    <row r="1" spans="1:146" ht="41.5" customHeight="1" x14ac:dyDescent="0.25">
      <c r="A1" s="3" t="s">
        <v>9</v>
      </c>
      <c r="B1" s="4" t="s">
        <v>10</v>
      </c>
      <c r="C1" s="3" t="s">
        <v>11</v>
      </c>
      <c r="D1" t="s">
        <v>168</v>
      </c>
      <c r="E1" t="s">
        <v>210</v>
      </c>
      <c r="F1" t="s">
        <v>3</v>
      </c>
      <c r="G1" t="s">
        <v>277</v>
      </c>
      <c r="H1" t="s">
        <v>278</v>
      </c>
      <c r="I1" t="s">
        <v>6</v>
      </c>
      <c r="J1" t="s">
        <v>7</v>
      </c>
      <c r="K1" t="s">
        <v>4</v>
      </c>
      <c r="L1" t="s">
        <v>8</v>
      </c>
      <c r="M1" t="s">
        <v>12</v>
      </c>
      <c r="N1" t="s">
        <v>13</v>
      </c>
      <c r="O1" t="s">
        <v>14</v>
      </c>
      <c r="P1" t="s">
        <v>279</v>
      </c>
      <c r="Q1" t="s">
        <v>224</v>
      </c>
      <c r="R1" t="s">
        <v>211</v>
      </c>
      <c r="S1" t="s">
        <v>15</v>
      </c>
      <c r="T1" t="s">
        <v>280</v>
      </c>
      <c r="U1" t="s">
        <v>169</v>
      </c>
      <c r="V1" t="s">
        <v>16</v>
      </c>
      <c r="W1" t="s">
        <v>225</v>
      </c>
      <c r="X1" t="s">
        <v>226</v>
      </c>
      <c r="Y1" t="s">
        <v>227</v>
      </c>
      <c r="Z1" t="s">
        <v>228</v>
      </c>
      <c r="AA1" t="s">
        <v>229</v>
      </c>
      <c r="AB1" t="s">
        <v>281</v>
      </c>
      <c r="AC1" t="s">
        <v>230</v>
      </c>
      <c r="AD1" t="s">
        <v>231</v>
      </c>
      <c r="AE1" t="s">
        <v>17</v>
      </c>
      <c r="AF1" t="s">
        <v>18</v>
      </c>
      <c r="AG1" t="s">
        <v>282</v>
      </c>
      <c r="AH1" t="s">
        <v>212</v>
      </c>
      <c r="AI1" t="s">
        <v>283</v>
      </c>
      <c r="AJ1" t="s">
        <v>19</v>
      </c>
      <c r="AK1" t="s">
        <v>284</v>
      </c>
      <c r="AL1" t="s">
        <v>41</v>
      </c>
      <c r="AM1" t="s">
        <v>285</v>
      </c>
      <c r="AN1" t="s">
        <v>286</v>
      </c>
      <c r="AO1" t="s">
        <v>287</v>
      </c>
      <c r="AP1" t="s">
        <v>288</v>
      </c>
      <c r="AQ1" t="s">
        <v>289</v>
      </c>
      <c r="AR1" t="s">
        <v>290</v>
      </c>
      <c r="AS1" t="s">
        <v>291</v>
      </c>
      <c r="AT1" t="s">
        <v>292</v>
      </c>
      <c r="AU1" t="s">
        <v>293</v>
      </c>
      <c r="AV1" t="s">
        <v>294</v>
      </c>
      <c r="AW1" t="s">
        <v>295</v>
      </c>
      <c r="AX1" t="s">
        <v>213</v>
      </c>
      <c r="AY1" t="s">
        <v>42</v>
      </c>
      <c r="AZ1" t="s">
        <v>43</v>
      </c>
      <c r="BA1" t="s">
        <v>44</v>
      </c>
      <c r="BB1" t="s">
        <v>45</v>
      </c>
      <c r="BC1" t="s">
        <v>170</v>
      </c>
      <c r="BD1" t="s">
        <v>46</v>
      </c>
      <c r="BE1" t="s">
        <v>47</v>
      </c>
      <c r="BF1" t="s">
        <v>48</v>
      </c>
      <c r="BG1" t="s">
        <v>49</v>
      </c>
      <c r="BH1" t="s">
        <v>296</v>
      </c>
      <c r="BI1" t="s">
        <v>297</v>
      </c>
      <c r="BJ1" t="s">
        <v>298</v>
      </c>
      <c r="BK1" t="s">
        <v>299</v>
      </c>
      <c r="BL1" t="s">
        <v>300</v>
      </c>
      <c r="BM1" t="s">
        <v>301</v>
      </c>
      <c r="BN1" t="s">
        <v>214</v>
      </c>
      <c r="BO1" t="s">
        <v>171</v>
      </c>
      <c r="BP1" t="s">
        <v>50</v>
      </c>
      <c r="BQ1" t="s">
        <v>215</v>
      </c>
      <c r="BR1" t="s">
        <v>172</v>
      </c>
      <c r="BS1" t="s">
        <v>51</v>
      </c>
      <c r="BT1" t="s">
        <v>302</v>
      </c>
      <c r="BU1" t="s">
        <v>232</v>
      </c>
      <c r="BV1" t="s">
        <v>303</v>
      </c>
      <c r="BW1" t="s">
        <v>67</v>
      </c>
      <c r="BX1" t="s">
        <v>52</v>
      </c>
      <c r="BY1" t="s">
        <v>304</v>
      </c>
      <c r="BZ1" t="s">
        <v>68</v>
      </c>
      <c r="CA1" t="s">
        <v>53</v>
      </c>
      <c r="CB1" t="s">
        <v>305</v>
      </c>
      <c r="CC1" t="s">
        <v>306</v>
      </c>
      <c r="CD1" t="s">
        <v>307</v>
      </c>
      <c r="CE1" t="s">
        <v>308</v>
      </c>
      <c r="CF1" s="1" t="s">
        <v>216</v>
      </c>
      <c r="CG1" s="1" t="s">
        <v>217</v>
      </c>
      <c r="CH1" s="1" t="s">
        <v>54</v>
      </c>
      <c r="CI1" s="1" t="s">
        <v>55</v>
      </c>
      <c r="CJ1" s="1" t="s">
        <v>56</v>
      </c>
      <c r="CK1" s="1" t="s">
        <v>57</v>
      </c>
      <c r="CL1" s="1" t="s">
        <v>58</v>
      </c>
      <c r="CM1" s="1" t="s">
        <v>59</v>
      </c>
      <c r="CN1" s="1" t="s">
        <v>60</v>
      </c>
      <c r="CO1" s="1" t="s">
        <v>61</v>
      </c>
      <c r="CP1" s="1" t="s">
        <v>62</v>
      </c>
      <c r="CQ1" s="1" t="s">
        <v>63</v>
      </c>
      <c r="CR1" s="1" t="s">
        <v>311</v>
      </c>
      <c r="CS1" s="1" t="s">
        <v>312</v>
      </c>
      <c r="CT1" s="1" t="s">
        <v>313</v>
      </c>
      <c r="CU1" s="1" t="s">
        <v>314</v>
      </c>
      <c r="CV1" s="1" t="s">
        <v>263</v>
      </c>
      <c r="CW1" s="1" t="s">
        <v>315</v>
      </c>
      <c r="CX1">
        <v>1</v>
      </c>
      <c r="CY1" t="s">
        <v>316</v>
      </c>
      <c r="CZ1" t="s">
        <v>317</v>
      </c>
      <c r="DA1">
        <v>3</v>
      </c>
      <c r="DB1" t="s">
        <v>318</v>
      </c>
      <c r="DC1" t="s">
        <v>319</v>
      </c>
      <c r="DD1">
        <v>6</v>
      </c>
      <c r="DE1" t="s">
        <v>320</v>
      </c>
      <c r="DF1" t="s">
        <v>321</v>
      </c>
      <c r="DG1">
        <v>10</v>
      </c>
      <c r="DH1" t="s">
        <v>322</v>
      </c>
      <c r="DI1" t="s">
        <v>323</v>
      </c>
      <c r="DJ1">
        <v>20</v>
      </c>
      <c r="DK1" t="s">
        <v>324</v>
      </c>
      <c r="DL1" t="s">
        <v>64</v>
      </c>
      <c r="DM1" t="s">
        <v>65</v>
      </c>
      <c r="DN1" s="2" t="s">
        <v>66</v>
      </c>
      <c r="DO1" t="s">
        <v>325</v>
      </c>
      <c r="DP1" t="s">
        <v>326</v>
      </c>
      <c r="DQ1" s="14" t="s">
        <v>264</v>
      </c>
      <c r="DR1" s="1" t="s">
        <v>265</v>
      </c>
      <c r="DS1" s="1" t="s">
        <v>266</v>
      </c>
      <c r="DT1" t="s">
        <v>327</v>
      </c>
      <c r="DU1" t="s">
        <v>267</v>
      </c>
      <c r="DV1" t="s">
        <v>328</v>
      </c>
      <c r="DW1" t="s">
        <v>329</v>
      </c>
      <c r="DX1" t="s">
        <v>330</v>
      </c>
      <c r="DY1" t="s">
        <v>309</v>
      </c>
      <c r="DZ1" t="s">
        <v>331</v>
      </c>
      <c r="EA1" t="s">
        <v>332</v>
      </c>
      <c r="EB1" t="s">
        <v>268</v>
      </c>
      <c r="EC1" t="s">
        <v>333</v>
      </c>
      <c r="ED1" t="s">
        <v>334</v>
      </c>
      <c r="EE1" t="s">
        <v>269</v>
      </c>
      <c r="EF1" t="s">
        <v>335</v>
      </c>
      <c r="EG1" t="s">
        <v>336</v>
      </c>
      <c r="EH1" t="s">
        <v>270</v>
      </c>
      <c r="EI1" t="s">
        <v>337</v>
      </c>
      <c r="EK1" s="15" t="s">
        <v>271</v>
      </c>
      <c r="EL1" t="s">
        <v>338</v>
      </c>
      <c r="EM1" t="s">
        <v>339</v>
      </c>
      <c r="EN1" t="s">
        <v>340</v>
      </c>
      <c r="EO1" t="s">
        <v>310</v>
      </c>
      <c r="EP1" t="s">
        <v>341</v>
      </c>
    </row>
    <row r="2" spans="1:146" ht="108" x14ac:dyDescent="0.25">
      <c r="A2" s="7"/>
      <c r="B2" s="7"/>
      <c r="C2" s="7" t="str">
        <f>""&amp;CHAR(10)&amp;Basic_Fundamental_Information_Constructure(F2)&amp;CHAR(10)&amp;Basic_Fundamental_Information_Concatenate("")</f>
        <v xml:space="preserve">
市值118.589026亿, 利润-40.90亿; PE; 平均PE-1.59; 平均PEG-.08, PB1.05; ROIC0%; ROE-54.94%; 股利率0%; 毛利11.0333%; 净利-20.7267%; 上一年度营收增-12.26%, 利润增74.78%; 当季营收增-20.68%, 利润增4.09%; 过往5年营收增-20.44%, 利润增-188.87%
Income profile:
</v>
      </c>
      <c r="D2" t="s">
        <v>80</v>
      </c>
      <c r="E2" t="s">
        <v>233</v>
      </c>
      <c r="F2">
        <v>1.28</v>
      </c>
      <c r="G2">
        <v>0</v>
      </c>
      <c r="H2" t="s">
        <v>436</v>
      </c>
      <c r="I2">
        <v>11858902600</v>
      </c>
      <c r="K2">
        <v>1.05</v>
      </c>
      <c r="L2" t="s">
        <v>81</v>
      </c>
      <c r="M2" t="s">
        <v>437</v>
      </c>
      <c r="N2" t="s">
        <v>438</v>
      </c>
      <c r="O2" t="s">
        <v>439</v>
      </c>
      <c r="P2">
        <v>-20.68</v>
      </c>
      <c r="Q2" t="s">
        <v>440</v>
      </c>
      <c r="R2">
        <v>-96871000</v>
      </c>
      <c r="S2" s="5">
        <v>3.7499999999999999E-2</v>
      </c>
      <c r="T2" t="s">
        <v>441</v>
      </c>
      <c r="U2">
        <v>9199712900</v>
      </c>
      <c r="V2">
        <v>9264767600</v>
      </c>
      <c r="W2">
        <v>12.05</v>
      </c>
      <c r="X2">
        <v>0.1</v>
      </c>
      <c r="Y2">
        <v>-0.54</v>
      </c>
      <c r="Z2" t="s">
        <v>442</v>
      </c>
      <c r="AA2" t="s">
        <v>443</v>
      </c>
      <c r="AB2" t="s">
        <v>444</v>
      </c>
      <c r="AC2" t="s">
        <v>445</v>
      </c>
      <c r="AD2" t="s">
        <v>5</v>
      </c>
      <c r="AE2">
        <v>739925000</v>
      </c>
      <c r="AF2" t="s">
        <v>446</v>
      </c>
      <c r="AG2" t="s">
        <v>447</v>
      </c>
      <c r="AH2" t="s">
        <v>448</v>
      </c>
      <c r="AI2" t="s">
        <v>449</v>
      </c>
      <c r="AJ2" t="s">
        <v>450</v>
      </c>
      <c r="AK2" t="s">
        <v>451</v>
      </c>
      <c r="AL2" t="s">
        <v>452</v>
      </c>
      <c r="AM2" t="s">
        <v>5</v>
      </c>
      <c r="AN2" t="s">
        <v>453</v>
      </c>
      <c r="AO2" t="s">
        <v>454</v>
      </c>
      <c r="AP2" t="s">
        <v>455</v>
      </c>
      <c r="AQ2" t="s">
        <v>456</v>
      </c>
      <c r="AR2" t="s">
        <v>165</v>
      </c>
      <c r="AS2" t="s">
        <v>457</v>
      </c>
      <c r="AT2" t="s">
        <v>458</v>
      </c>
      <c r="AU2" t="s">
        <v>459</v>
      </c>
      <c r="AV2" t="s">
        <v>460</v>
      </c>
      <c r="AW2" t="s">
        <v>461</v>
      </c>
      <c r="AX2" t="s">
        <v>381</v>
      </c>
      <c r="AY2" t="s">
        <v>173</v>
      </c>
      <c r="AZ2" t="s">
        <v>82</v>
      </c>
      <c r="BA2" t="s">
        <v>85</v>
      </c>
      <c r="BB2" t="s">
        <v>86</v>
      </c>
      <c r="BC2" t="s">
        <v>382</v>
      </c>
      <c r="BD2" t="s">
        <v>174</v>
      </c>
      <c r="BE2" t="s">
        <v>83</v>
      </c>
      <c r="BF2" t="s">
        <v>87</v>
      </c>
      <c r="BG2" t="s">
        <v>88</v>
      </c>
      <c r="BH2" t="s">
        <v>440</v>
      </c>
      <c r="BI2" t="s">
        <v>462</v>
      </c>
      <c r="BJ2" t="s">
        <v>381</v>
      </c>
      <c r="BK2" t="s">
        <v>441</v>
      </c>
      <c r="BL2" t="s">
        <v>463</v>
      </c>
      <c r="BM2" t="s">
        <v>382</v>
      </c>
      <c r="BN2" t="s">
        <v>5</v>
      </c>
      <c r="BO2" t="s">
        <v>5</v>
      </c>
      <c r="BP2" t="s">
        <v>5</v>
      </c>
      <c r="BQ2">
        <v>-17.809999999999999</v>
      </c>
      <c r="BR2">
        <v>-67.59</v>
      </c>
      <c r="BS2">
        <v>-79.42</v>
      </c>
      <c r="BT2" t="s">
        <v>342</v>
      </c>
      <c r="BU2" t="s">
        <v>81</v>
      </c>
      <c r="BV2">
        <v>18.93</v>
      </c>
      <c r="BW2">
        <v>7.57</v>
      </c>
      <c r="BX2">
        <v>6.6</v>
      </c>
      <c r="BY2">
        <v>-6.83</v>
      </c>
      <c r="BZ2">
        <v>-23.54</v>
      </c>
      <c r="CA2">
        <v>-31.81</v>
      </c>
      <c r="CB2">
        <v>-0.78</v>
      </c>
      <c r="CC2">
        <v>-9.86</v>
      </c>
      <c r="CD2" t="s">
        <v>398</v>
      </c>
      <c r="CE2" t="s">
        <v>430</v>
      </c>
      <c r="CF2" s="10">
        <v>-0.20675956869916137</v>
      </c>
      <c r="CG2" s="11">
        <v>4.0881188118811883E-2</v>
      </c>
      <c r="CH2" s="10">
        <v>-0.1225515753030777</v>
      </c>
      <c r="CI2" s="10">
        <v>-0.48616310954093933</v>
      </c>
      <c r="CJ2" s="10">
        <v>-0.4494403600692749</v>
      </c>
      <c r="CK2" s="10">
        <v>-6.2894396483898163E-2</v>
      </c>
      <c r="CL2" s="10">
        <v>9.9086754024028778E-2</v>
      </c>
      <c r="CM2" s="11">
        <v>0.74784219264984131</v>
      </c>
      <c r="CN2" s="11">
        <v>0.62510108947753906</v>
      </c>
      <c r="CO2" s="11">
        <v>-9.1204681396484375</v>
      </c>
      <c r="CP2" s="11">
        <v>-1.4343187808990479</v>
      </c>
      <c r="CQ2" s="11">
        <v>-0.26147955656051636</v>
      </c>
      <c r="CR2">
        <v>-1.5925471832404485</v>
      </c>
      <c r="CS2">
        <v>-7.791611195384783E-2</v>
      </c>
      <c r="CT2">
        <v>0</v>
      </c>
      <c r="CU2" s="10">
        <v>-0.20439253747463226</v>
      </c>
      <c r="CV2" s="11">
        <v>-1.8886646389961244</v>
      </c>
      <c r="CW2">
        <v>0.06</v>
      </c>
      <c r="CX2" t="e">
        <v>#VALUE!</v>
      </c>
      <c r="CY2" t="s">
        <v>218</v>
      </c>
      <c r="CZ2">
        <v>-0.20439253747463226</v>
      </c>
      <c r="DA2" t="e">
        <v>#VALUE!</v>
      </c>
      <c r="DB2" t="s">
        <v>219</v>
      </c>
      <c r="DC2">
        <v>-0.19417291060090064</v>
      </c>
      <c r="DD2" t="e">
        <v>#VALUE!</v>
      </c>
      <c r="DE2" t="s">
        <v>219</v>
      </c>
      <c r="DF2">
        <v>-0.1798654329776764</v>
      </c>
      <c r="DG2" t="e">
        <v>#VALUE!</v>
      </c>
      <c r="DH2" t="s">
        <v>219</v>
      </c>
      <c r="DI2">
        <v>-0.16351402997970582</v>
      </c>
      <c r="DJ2" t="e">
        <v>#VALUE!</v>
      </c>
      <c r="DK2" t="s">
        <v>219</v>
      </c>
      <c r="DL2">
        <v>-0.14307477623224257</v>
      </c>
      <c r="DM2">
        <v>-4090000000</v>
      </c>
      <c r="DN2">
        <v>-0.20439253747463226</v>
      </c>
      <c r="DO2">
        <v>113324902599.99998</v>
      </c>
      <c r="DP2">
        <v>-43012936000</v>
      </c>
      <c r="DQ2">
        <v>542</v>
      </c>
      <c r="DR2">
        <v>-2.3670312245291092E-3</v>
      </c>
      <c r="DS2">
        <v>1.9295458271149362</v>
      </c>
      <c r="DT2" s="12">
        <v>-0.72333333333333327</v>
      </c>
      <c r="DU2">
        <v>-1.6516666666666664</v>
      </c>
      <c r="DV2">
        <v>-2.3749999999999996</v>
      </c>
      <c r="DW2">
        <v>-2.0985999999999998</v>
      </c>
      <c r="DX2">
        <v>0.29351477449455621</v>
      </c>
      <c r="DY2">
        <v>-2.0180945567651634</v>
      </c>
      <c r="DZ2">
        <v>4617</v>
      </c>
      <c r="EA2">
        <v>-2.0017457175117856</v>
      </c>
      <c r="EB2">
        <v>2</v>
      </c>
      <c r="EC2">
        <v>1.27364230917136E-2</v>
      </c>
      <c r="ED2">
        <v>6.9402712270947839E-2</v>
      </c>
      <c r="EE2" s="13">
        <v>1.05901</v>
      </c>
      <c r="EF2">
        <v>1.0082100000000001</v>
      </c>
      <c r="EG2">
        <v>11.183514774494556</v>
      </c>
      <c r="EH2" t="s">
        <v>464</v>
      </c>
      <c r="EI2">
        <v>0</v>
      </c>
      <c r="EJ2">
        <v>0</v>
      </c>
      <c r="EK2" s="15">
        <v>45470</v>
      </c>
      <c r="EL2" s="16">
        <v>0</v>
      </c>
      <c r="EM2" s="16">
        <v>-4.84</v>
      </c>
      <c r="EN2" s="16">
        <v>-5.08</v>
      </c>
      <c r="EO2" s="16">
        <v>5.36</v>
      </c>
      <c r="EP2" s="16">
        <v>5.08</v>
      </c>
    </row>
    <row r="3" spans="1:146" ht="240" x14ac:dyDescent="0.25">
      <c r="A3" s="7" t="s">
        <v>276</v>
      </c>
      <c r="B3" s="7" t="s">
        <v>167</v>
      </c>
      <c r="C3" s="7" t="str">
        <f>"公司的主营业务为品牌授权服务、电商生态综合服务平台服务、柔性供应链园区服务、专业增值服务及货品销售业务。主要产品有品牌综合服务业务、经销商品牌授权业务、移动互联网媒体投放平台业务、移动互联网流量整合业务、自媒体流量变现业务、保理业务、货品销售。"&amp;CHAR(10)&amp;Basic_Fundamental_Information_Constructure(F3)&amp;CHAR(10)&amp;Basic_Fundamental_Information_Concatenate("移动互联网媒体投放平台业务 11.41亿 86.96% 31.18% 5.41%
品牌综合服务业务 7287.50万 5.55% 35.74% 97.06%
货品销售 3333.04万 2.54% 6.82% 40.51%
经销商品牌授权业务 2709.95万 2.06% 13.25% 96.78%
保理业务 2602.06万 1.98% 13.01% 98.98%")</f>
        <v>公司的主营业务为品牌授权服务、电商生态综合服务平台服务、柔性供应链园区服务、专业增值服务及货品销售业务。主要产品有品牌综合服务业务、经销商品牌授权业务、移动互联网媒体投放平台业务、移动互联网流量整合业务、自媒体流量变现业务、保理业务、货品销售。
市值65.054066亿, 利润1.12亿; PE52.6; 平均PE10.93; 平均PEG3.21, PB1.4; ROIC4.695%; ROE1.6433%; 股利率3.0189%; 毛利18.4767%; 净利2.4633%; 上一年度营收增-18.67%, 利润增137.58%; 当季营收增17.02%, 利润增33.92%; 过往5年营收增-3.41%, 利润增-10.02%
Income profile:
移动互联网媒体投放平台业务 11.41亿 86.96% 31.18% 5.41%
品牌综合服务业务 7287.50万 5.55% 35.74% 97.06%
货品销售 3333.04万 2.54% 6.82% 40.51%
经销商品牌授权业务 2709.95万 2.06% 13.25% 96.78%
保理业务 2602.06万 1.98% 13.01% 98.98%</v>
      </c>
      <c r="D3" t="s">
        <v>89</v>
      </c>
      <c r="E3" t="s">
        <v>90</v>
      </c>
      <c r="F3">
        <v>2.65</v>
      </c>
      <c r="G3">
        <v>1.92</v>
      </c>
      <c r="H3" t="s">
        <v>465</v>
      </c>
      <c r="I3">
        <v>6505406600</v>
      </c>
      <c r="J3">
        <v>52.6</v>
      </c>
      <c r="K3">
        <v>1.4</v>
      </c>
      <c r="L3" t="s">
        <v>81</v>
      </c>
      <c r="M3" t="s">
        <v>466</v>
      </c>
      <c r="N3" t="s">
        <v>467</v>
      </c>
      <c r="O3" t="s">
        <v>468</v>
      </c>
      <c r="P3">
        <v>16.989999999999998</v>
      </c>
      <c r="Q3" t="s">
        <v>469</v>
      </c>
      <c r="R3">
        <v>47742806</v>
      </c>
      <c r="S3" s="5">
        <v>0.3392</v>
      </c>
      <c r="T3" t="s">
        <v>432</v>
      </c>
      <c r="U3">
        <v>1994704200</v>
      </c>
      <c r="V3">
        <v>2454870400</v>
      </c>
      <c r="W3">
        <v>1.17</v>
      </c>
      <c r="X3">
        <v>0.13</v>
      </c>
      <c r="Y3">
        <v>6.59</v>
      </c>
      <c r="Z3" t="s">
        <v>470</v>
      </c>
      <c r="AA3" t="s">
        <v>254</v>
      </c>
      <c r="AB3" t="s">
        <v>471</v>
      </c>
      <c r="AC3" t="s">
        <v>472</v>
      </c>
      <c r="AD3" t="s">
        <v>5</v>
      </c>
      <c r="AE3">
        <v>-11110835</v>
      </c>
      <c r="AF3" t="s">
        <v>473</v>
      </c>
      <c r="AG3" t="s">
        <v>474</v>
      </c>
      <c r="AH3" t="s">
        <v>475</v>
      </c>
      <c r="AI3" t="s">
        <v>476</v>
      </c>
      <c r="AJ3" t="s">
        <v>477</v>
      </c>
      <c r="AK3" t="s">
        <v>5</v>
      </c>
      <c r="AL3" t="s">
        <v>478</v>
      </c>
      <c r="AM3" t="s">
        <v>5</v>
      </c>
      <c r="AN3">
        <v>0</v>
      </c>
      <c r="AO3" t="s">
        <v>5</v>
      </c>
      <c r="AP3" t="s">
        <v>5</v>
      </c>
      <c r="AQ3" t="s">
        <v>479</v>
      </c>
      <c r="AR3" t="s">
        <v>5</v>
      </c>
      <c r="AS3" t="s">
        <v>480</v>
      </c>
      <c r="AT3" t="s">
        <v>5</v>
      </c>
      <c r="AU3" t="s">
        <v>481</v>
      </c>
      <c r="AV3" t="s">
        <v>482</v>
      </c>
      <c r="AW3" t="s">
        <v>483</v>
      </c>
      <c r="AX3" t="s">
        <v>346</v>
      </c>
      <c r="AY3" t="s">
        <v>175</v>
      </c>
      <c r="AZ3" t="s">
        <v>91</v>
      </c>
      <c r="BA3" t="s">
        <v>92</v>
      </c>
      <c r="BB3" t="s">
        <v>93</v>
      </c>
      <c r="BC3" t="s">
        <v>347</v>
      </c>
      <c r="BD3" t="s">
        <v>176</v>
      </c>
      <c r="BE3" t="s">
        <v>76</v>
      </c>
      <c r="BF3" t="s">
        <v>94</v>
      </c>
      <c r="BG3" t="s">
        <v>72</v>
      </c>
      <c r="BH3" t="s">
        <v>469</v>
      </c>
      <c r="BI3" t="s">
        <v>484</v>
      </c>
      <c r="BJ3" t="s">
        <v>346</v>
      </c>
      <c r="BK3" t="s">
        <v>432</v>
      </c>
      <c r="BL3" t="s">
        <v>485</v>
      </c>
      <c r="BM3" t="s">
        <v>347</v>
      </c>
      <c r="BN3">
        <v>1.44</v>
      </c>
      <c r="BO3" t="s">
        <v>5</v>
      </c>
      <c r="BP3">
        <v>7.95</v>
      </c>
      <c r="BQ3">
        <v>1.88</v>
      </c>
      <c r="BR3">
        <v>-6.48</v>
      </c>
      <c r="BS3">
        <v>9.5299999999999994</v>
      </c>
      <c r="BT3" t="s">
        <v>486</v>
      </c>
      <c r="BU3" t="s">
        <v>81</v>
      </c>
      <c r="BV3">
        <v>15.73</v>
      </c>
      <c r="BW3">
        <v>17.38</v>
      </c>
      <c r="BX3">
        <v>22.32</v>
      </c>
      <c r="BY3">
        <v>4.0199999999999996</v>
      </c>
      <c r="BZ3">
        <v>-8.91</v>
      </c>
      <c r="CA3">
        <v>12.28</v>
      </c>
      <c r="CB3">
        <v>1.92</v>
      </c>
      <c r="CC3">
        <v>-8.6199999999999992</v>
      </c>
      <c r="CD3" t="s">
        <v>487</v>
      </c>
      <c r="CE3" t="s">
        <v>488</v>
      </c>
      <c r="CF3" s="10">
        <v>0.1702127659574468</v>
      </c>
      <c r="CG3" s="11">
        <v>0.33915655486180069</v>
      </c>
      <c r="CH3" s="10">
        <v>-0.18670697510242462</v>
      </c>
      <c r="CI3" s="10">
        <v>-0.14866252243518829</v>
      </c>
      <c r="CJ3" s="10">
        <v>-6.8072870373725891E-2</v>
      </c>
      <c r="CK3" s="10">
        <v>6.7826956510543823E-2</v>
      </c>
      <c r="CL3" s="10">
        <v>0.16522520780563354</v>
      </c>
      <c r="CM3" s="11">
        <v>1.3758388757705688</v>
      </c>
      <c r="CN3" s="11">
        <v>-1.6247379779815674</v>
      </c>
      <c r="CO3" s="11">
        <v>-0.59848487377166748</v>
      </c>
      <c r="CP3" s="11">
        <v>-1.4925372786819935E-2</v>
      </c>
      <c r="CQ3" s="11">
        <v>0.36117380857467651</v>
      </c>
      <c r="CR3">
        <v>10.930394735368244</v>
      </c>
      <c r="CS3">
        <v>3.2074598494342763</v>
      </c>
      <c r="CT3">
        <v>3.0188679245283021</v>
      </c>
      <c r="CU3" s="10">
        <v>-3.4078040719032289E-2</v>
      </c>
      <c r="CV3" s="11">
        <v>-0.10022710803896188</v>
      </c>
      <c r="CW3">
        <v>0.06</v>
      </c>
      <c r="CX3">
        <v>23.967916071428572</v>
      </c>
      <c r="CY3" t="s">
        <v>489</v>
      </c>
      <c r="CZ3">
        <v>-3.4078040719032289E-2</v>
      </c>
      <c r="DA3">
        <v>7.9893053571428574</v>
      </c>
      <c r="DB3" t="s">
        <v>490</v>
      </c>
      <c r="DC3">
        <v>-3.2374138683080672E-2</v>
      </c>
      <c r="DD3">
        <v>3.9946526785714287</v>
      </c>
      <c r="DE3" t="s">
        <v>491</v>
      </c>
      <c r="DF3">
        <v>-2.9988675832748415E-2</v>
      </c>
      <c r="DG3">
        <v>2.3967916071428572</v>
      </c>
      <c r="DH3" t="s">
        <v>492</v>
      </c>
      <c r="DI3">
        <v>-2.7262432575225832E-2</v>
      </c>
      <c r="DJ3">
        <v>1.1983958035714286</v>
      </c>
      <c r="DK3" t="s">
        <v>493</v>
      </c>
      <c r="DL3">
        <v>-2.3854628503322602E-2</v>
      </c>
      <c r="DM3">
        <v>112000000.00000001</v>
      </c>
      <c r="DN3">
        <v>-3.4078040719032289E-2</v>
      </c>
      <c r="DO3">
        <v>2684406600</v>
      </c>
      <c r="DP3">
        <v>3177084500</v>
      </c>
      <c r="DQ3">
        <v>639</v>
      </c>
      <c r="DR3">
        <v>0.20429080667647909</v>
      </c>
      <c r="DS3">
        <v>0.43938366290076258</v>
      </c>
      <c r="DT3" s="12">
        <v>-0.50666666666666671</v>
      </c>
      <c r="DU3">
        <v>2.3333333333333355E-2</v>
      </c>
      <c r="DV3">
        <v>-0.48333333333333334</v>
      </c>
      <c r="DW3">
        <v>-2.0861999999999998</v>
      </c>
      <c r="DX3">
        <v>0.36436399464524882</v>
      </c>
      <c r="DY3">
        <v>-2.0098581763384202</v>
      </c>
      <c r="DZ3">
        <v>2856</v>
      </c>
      <c r="EA3">
        <v>-2.0043484010698238</v>
      </c>
      <c r="EB3">
        <v>2</v>
      </c>
      <c r="EC3">
        <v>3.4800167047515013E-2</v>
      </c>
      <c r="ED3">
        <v>0.30429304944163243</v>
      </c>
      <c r="EE3" s="13">
        <v>-2.03681</v>
      </c>
      <c r="EF3">
        <v>-2.0443099999999998</v>
      </c>
      <c r="EG3">
        <v>25.114363994645249</v>
      </c>
      <c r="EH3" t="s">
        <v>395</v>
      </c>
      <c r="EI3">
        <v>0</v>
      </c>
      <c r="EJ3">
        <v>0</v>
      </c>
      <c r="EK3" s="15">
        <v>45470</v>
      </c>
      <c r="EL3" s="16">
        <v>-0.39</v>
      </c>
      <c r="EM3" s="16">
        <v>-2.71</v>
      </c>
      <c r="EN3" s="16">
        <v>0.4</v>
      </c>
      <c r="EO3" s="16">
        <v>5.56</v>
      </c>
      <c r="EP3" s="16">
        <v>-0.75</v>
      </c>
    </row>
    <row r="4" spans="1:146" ht="108" x14ac:dyDescent="0.25">
      <c r="A4" s="7"/>
      <c r="B4" s="7"/>
      <c r="C4" s="7" t="str">
        <f>""&amp;CHAR(10)&amp;Basic_Fundamental_Information_Constructure(F4)&amp;CHAR(10)&amp;Basic_Fundamental_Information_Concatenate("")</f>
        <v xml:space="preserve">
市值8.0554538亿, 利润-6.29亿; PE; 平均PE-.84; 平均PEG-.38, PB5.1; ROIC0%; ROE-77.6333%; 股利率0%; 毛利13.1433%; 净利-5.9933%; 上一年度营收增-8.14%, 利润增34.07%; 当季营收增-5.68%, 利润增-21.95%; 过往5年营收增-2.21%, 利润增-180.47%
Income profile:
</v>
      </c>
      <c r="D4" t="s">
        <v>95</v>
      </c>
      <c r="E4" t="s">
        <v>494</v>
      </c>
      <c r="F4" t="s">
        <v>5</v>
      </c>
      <c r="G4" t="s">
        <v>5</v>
      </c>
      <c r="H4" t="s">
        <v>5</v>
      </c>
      <c r="I4">
        <v>805545380</v>
      </c>
      <c r="K4">
        <v>5.0999999999999996</v>
      </c>
      <c r="L4" t="s">
        <v>81</v>
      </c>
      <c r="M4" t="s">
        <v>495</v>
      </c>
      <c r="N4" t="s">
        <v>496</v>
      </c>
      <c r="O4" t="s">
        <v>497</v>
      </c>
      <c r="P4">
        <v>-5.68</v>
      </c>
      <c r="Q4" t="s">
        <v>498</v>
      </c>
      <c r="R4">
        <v>-137799120</v>
      </c>
      <c r="S4" s="5">
        <v>-0.22120000000000001</v>
      </c>
      <c r="T4" t="s">
        <v>499</v>
      </c>
      <c r="U4">
        <v>2004498500</v>
      </c>
      <c r="V4">
        <v>2177149700</v>
      </c>
      <c r="W4">
        <v>18.82</v>
      </c>
      <c r="X4">
        <v>0.27</v>
      </c>
      <c r="Y4">
        <v>-6.8</v>
      </c>
      <c r="Z4" t="s">
        <v>500</v>
      </c>
      <c r="AA4" t="s">
        <v>501</v>
      </c>
      <c r="AB4" t="s">
        <v>384</v>
      </c>
      <c r="AC4" t="s">
        <v>502</v>
      </c>
      <c r="AD4" t="s">
        <v>5</v>
      </c>
      <c r="AE4">
        <v>55940855</v>
      </c>
      <c r="AF4" t="s">
        <v>503</v>
      </c>
      <c r="AG4" t="s">
        <v>504</v>
      </c>
      <c r="AH4" t="s">
        <v>505</v>
      </c>
      <c r="AI4" t="s">
        <v>506</v>
      </c>
      <c r="AJ4" t="s">
        <v>507</v>
      </c>
      <c r="AK4" t="s">
        <v>508</v>
      </c>
      <c r="AL4" t="s">
        <v>509</v>
      </c>
      <c r="AM4" t="s">
        <v>5</v>
      </c>
      <c r="AN4" t="s">
        <v>510</v>
      </c>
      <c r="AO4" t="s">
        <v>511</v>
      </c>
      <c r="AP4" t="s">
        <v>5</v>
      </c>
      <c r="AQ4" t="s">
        <v>512</v>
      </c>
      <c r="AR4" t="s">
        <v>513</v>
      </c>
      <c r="AS4" t="s">
        <v>514</v>
      </c>
      <c r="AT4" t="s">
        <v>515</v>
      </c>
      <c r="AU4" t="s">
        <v>516</v>
      </c>
      <c r="AV4" t="s">
        <v>517</v>
      </c>
      <c r="AW4" t="s">
        <v>518</v>
      </c>
      <c r="AX4" t="s">
        <v>349</v>
      </c>
      <c r="AY4" t="s">
        <v>177</v>
      </c>
      <c r="AZ4" t="s">
        <v>96</v>
      </c>
      <c r="BA4" t="s">
        <v>98</v>
      </c>
      <c r="BB4" t="s">
        <v>99</v>
      </c>
      <c r="BC4" t="s">
        <v>519</v>
      </c>
      <c r="BD4" t="s">
        <v>178</v>
      </c>
      <c r="BE4" t="s">
        <v>97</v>
      </c>
      <c r="BF4" t="s">
        <v>100</v>
      </c>
      <c r="BG4" t="s">
        <v>101</v>
      </c>
      <c r="BH4" t="s">
        <v>498</v>
      </c>
      <c r="BI4" t="s">
        <v>520</v>
      </c>
      <c r="BJ4" t="s">
        <v>349</v>
      </c>
      <c r="BK4" t="s">
        <v>499</v>
      </c>
      <c r="BL4" t="s">
        <v>521</v>
      </c>
      <c r="BM4" t="s">
        <v>519</v>
      </c>
      <c r="BN4" t="s">
        <v>5</v>
      </c>
      <c r="BO4" t="s">
        <v>5</v>
      </c>
      <c r="BP4" t="s">
        <v>5</v>
      </c>
      <c r="BQ4">
        <v>-128.15</v>
      </c>
      <c r="BR4">
        <v>-81.599999999999994</v>
      </c>
      <c r="BS4">
        <v>-23.15</v>
      </c>
      <c r="BT4" t="s">
        <v>342</v>
      </c>
      <c r="BU4" t="s">
        <v>81</v>
      </c>
      <c r="BV4">
        <v>11.27</v>
      </c>
      <c r="BW4">
        <v>13.32</v>
      </c>
      <c r="BX4">
        <v>14.84</v>
      </c>
      <c r="BY4">
        <v>-6.77</v>
      </c>
      <c r="BZ4">
        <v>-9.34</v>
      </c>
      <c r="CA4">
        <v>-1.87</v>
      </c>
      <c r="CB4">
        <v>0</v>
      </c>
      <c r="CC4">
        <v>-65.09</v>
      </c>
      <c r="CD4" t="s">
        <v>5</v>
      </c>
      <c r="CE4" t="s">
        <v>522</v>
      </c>
      <c r="CF4" s="10">
        <v>-5.6829852790140363E-2</v>
      </c>
      <c r="CG4" s="11">
        <v>-0.21946123893805325</v>
      </c>
      <c r="CH4" s="10">
        <v>-8.1390686333179474E-2</v>
      </c>
      <c r="CI4" s="10">
        <v>-0.24049793183803558</v>
      </c>
      <c r="CJ4" s="10">
        <v>2.4325324222445488E-2</v>
      </c>
      <c r="CK4" s="10">
        <v>0.29579728841781616</v>
      </c>
      <c r="CL4" s="10">
        <v>-0.1087283194065094</v>
      </c>
      <c r="CM4" s="11">
        <v>0.34067085385322571</v>
      </c>
      <c r="CN4" s="11">
        <v>-1.4090908765792847</v>
      </c>
      <c r="CO4" s="11">
        <v>-5.148890495300293</v>
      </c>
      <c r="CP4" s="11">
        <v>1.0295045375823975</v>
      </c>
      <c r="CQ4" s="11">
        <v>-3.8355755805969238</v>
      </c>
      <c r="CR4">
        <v>-0.83511502132645765</v>
      </c>
      <c r="CS4">
        <v>-0.3778995083227637</v>
      </c>
      <c r="CT4">
        <v>0</v>
      </c>
      <c r="CU4" s="10">
        <v>-2.2098864987492563E-2</v>
      </c>
      <c r="CV4" s="11">
        <v>-1.8046763122081757</v>
      </c>
      <c r="CW4">
        <v>0.06</v>
      </c>
      <c r="CX4" t="e">
        <v>#VALUE!</v>
      </c>
      <c r="CY4" t="s">
        <v>218</v>
      </c>
      <c r="CZ4">
        <v>-2.2098864987492563E-2</v>
      </c>
      <c r="DA4" t="e">
        <v>#VALUE!</v>
      </c>
      <c r="DB4" t="s">
        <v>219</v>
      </c>
      <c r="DC4">
        <v>-2.0993921738117934E-2</v>
      </c>
      <c r="DD4" t="e">
        <v>#VALUE!</v>
      </c>
      <c r="DE4" t="s">
        <v>219</v>
      </c>
      <c r="DF4">
        <v>-1.9447001188993455E-2</v>
      </c>
      <c r="DG4" t="e">
        <v>#VALUE!</v>
      </c>
      <c r="DH4" t="s">
        <v>219</v>
      </c>
      <c r="DI4">
        <v>-1.7679091989994049E-2</v>
      </c>
      <c r="DJ4" t="e">
        <v>#VALUE!</v>
      </c>
      <c r="DK4" t="s">
        <v>219</v>
      </c>
      <c r="DL4">
        <v>-1.5469205491244793E-2</v>
      </c>
      <c r="DM4">
        <v>-629000000</v>
      </c>
      <c r="DN4">
        <v>-2.2098864987492563E-2</v>
      </c>
      <c r="DO4">
        <v>8767545380</v>
      </c>
      <c r="DP4">
        <v>-2576095400</v>
      </c>
      <c r="DQ4">
        <v>787</v>
      </c>
      <c r="DR4">
        <v>-3.47309878026478E-2</v>
      </c>
      <c r="DS4">
        <v>1.5852150732701225</v>
      </c>
      <c r="DT4" s="12">
        <v>-0.47333333333333338</v>
      </c>
      <c r="DU4">
        <v>-2.9316666666666666</v>
      </c>
      <c r="DV4">
        <v>-3.4050000000000002</v>
      </c>
      <c r="DW4">
        <v>-3.5551845238095239</v>
      </c>
      <c r="DX4" t="e">
        <v>#VALUE!</v>
      </c>
      <c r="DY4">
        <v>-3</v>
      </c>
      <c r="DZ4">
        <v>5010</v>
      </c>
      <c r="EA4">
        <v>-3</v>
      </c>
      <c r="EB4">
        <v>3</v>
      </c>
      <c r="EC4">
        <v>0</v>
      </c>
      <c r="ED4">
        <v>0.18694166965183884</v>
      </c>
      <c r="EE4" s="13">
        <v>-7.1300100000000004</v>
      </c>
      <c r="EF4">
        <v>-7.1300100000000004</v>
      </c>
      <c r="EG4" t="e">
        <v>#VALUE!</v>
      </c>
      <c r="EH4" t="s">
        <v>523</v>
      </c>
      <c r="EI4">
        <v>0</v>
      </c>
      <c r="EJ4">
        <v>0</v>
      </c>
      <c r="EK4" s="15">
        <v>45470</v>
      </c>
      <c r="EL4" s="16">
        <v>-4.4400000000000004</v>
      </c>
      <c r="EM4" s="16">
        <v>-4.6500000000000004</v>
      </c>
      <c r="EN4" s="16">
        <v>-4.88</v>
      </c>
      <c r="EO4" s="16">
        <v>-5.13</v>
      </c>
      <c r="EP4" s="16">
        <v>0</v>
      </c>
    </row>
    <row r="5" spans="1:146" ht="156" x14ac:dyDescent="0.25">
      <c r="A5" s="7"/>
      <c r="B5" s="7"/>
      <c r="C5" s="7" t="str">
        <f>"主营业务是外贸B2B电子商务平台、跨境交易B2B电子商务平台、互联网保险代理电子商务平台、内贸B2B电子商务平台、以及与各平台业务相关联的综合服务。"&amp;CHAR(10)&amp;Basic_Fundamental_Information_Constructure(F5)&amp;CHAR(10)&amp;Basic_Fundamental_Information_Concatenate("B2B 11.19亿 76.94% 83.26% 81.48%
保险 1.57亿 10.76% 13.52% 94.57%
商品贸易 1.23亿 8.44% 2.43% 21.64%")</f>
        <v>主营业务是外贸B2B电子商务平台、跨境交易B2B电子商务平台、互联网保险代理电子商务平台、内贸B2B电子商务平台、以及与各平台业务相关联的综合服务。
市值81.80118亿, 利润3.79亿; PE20.1; 平均PE37.63; 平均PEG3.11, PB3.68; ROIC11.4433%; ROE13.0433%; 股利率3.8715%; 毛利78.3233%; 净利20.9133%; 上一年度营收增3.83%, 利润增26.33%; 当季营收增11.05%, 利润增57.92%; 过往5年营收增12.09%, 利润增54.63%
Income profile:
B2B 11.19亿 76.94% 83.26% 81.48%
保险 1.57亿 10.76% 13.52% 94.57%
商品贸易 1.23亿 8.44% 2.43% 21.64%</v>
      </c>
      <c r="D5" t="s">
        <v>102</v>
      </c>
      <c r="E5" t="s">
        <v>103</v>
      </c>
      <c r="F5">
        <v>25.83</v>
      </c>
      <c r="G5">
        <v>0.82</v>
      </c>
      <c r="H5" t="s">
        <v>524</v>
      </c>
      <c r="I5">
        <v>8180118000</v>
      </c>
      <c r="J5">
        <v>20.100000000000001</v>
      </c>
      <c r="K5">
        <v>3.68</v>
      </c>
      <c r="L5" t="s">
        <v>81</v>
      </c>
      <c r="M5" t="s">
        <v>525</v>
      </c>
      <c r="N5" t="s">
        <v>526</v>
      </c>
      <c r="O5" t="s">
        <v>527</v>
      </c>
      <c r="P5">
        <v>11.05</v>
      </c>
      <c r="Q5" t="s">
        <v>528</v>
      </c>
      <c r="R5">
        <v>76726554</v>
      </c>
      <c r="S5" s="5">
        <v>0.57920000000000005</v>
      </c>
      <c r="T5" t="s">
        <v>529</v>
      </c>
      <c r="U5">
        <v>201868050</v>
      </c>
      <c r="V5">
        <v>316690590</v>
      </c>
      <c r="W5">
        <v>1.71</v>
      </c>
      <c r="X5">
        <v>0.1</v>
      </c>
      <c r="Y5">
        <v>17.48</v>
      </c>
      <c r="Z5" t="s">
        <v>530</v>
      </c>
      <c r="AA5" t="s">
        <v>531</v>
      </c>
      <c r="AB5" t="s">
        <v>532</v>
      </c>
      <c r="AC5" t="s">
        <v>533</v>
      </c>
      <c r="AD5" t="s">
        <v>5</v>
      </c>
      <c r="AE5">
        <v>-11226833</v>
      </c>
      <c r="AF5" t="s">
        <v>534</v>
      </c>
      <c r="AG5" t="s">
        <v>535</v>
      </c>
      <c r="AH5" t="s">
        <v>536</v>
      </c>
      <c r="AI5" t="s">
        <v>537</v>
      </c>
      <c r="AJ5" t="s">
        <v>538</v>
      </c>
      <c r="AK5" t="s">
        <v>539</v>
      </c>
      <c r="AL5" t="s">
        <v>540</v>
      </c>
      <c r="AM5" t="s">
        <v>5</v>
      </c>
      <c r="AN5">
        <v>0</v>
      </c>
      <c r="AO5" t="s">
        <v>5</v>
      </c>
      <c r="AP5" t="s">
        <v>5</v>
      </c>
      <c r="AQ5" t="s">
        <v>541</v>
      </c>
      <c r="AR5" t="s">
        <v>542</v>
      </c>
      <c r="AS5" t="s">
        <v>543</v>
      </c>
      <c r="AT5" t="s">
        <v>5</v>
      </c>
      <c r="AU5" t="s">
        <v>544</v>
      </c>
      <c r="AV5" t="s">
        <v>350</v>
      </c>
      <c r="AW5" t="s">
        <v>545</v>
      </c>
      <c r="AX5" t="s">
        <v>354</v>
      </c>
      <c r="AY5" t="s">
        <v>352</v>
      </c>
      <c r="AZ5" t="s">
        <v>353</v>
      </c>
      <c r="BA5" t="s">
        <v>104</v>
      </c>
      <c r="BB5" t="s">
        <v>74</v>
      </c>
      <c r="BC5" t="s">
        <v>275</v>
      </c>
      <c r="BD5" t="s">
        <v>179</v>
      </c>
      <c r="BE5" t="s">
        <v>25</v>
      </c>
      <c r="BF5" t="s">
        <v>23</v>
      </c>
      <c r="BG5" t="s">
        <v>105</v>
      </c>
      <c r="BH5" t="s">
        <v>528</v>
      </c>
      <c r="BI5" t="s">
        <v>424</v>
      </c>
      <c r="BJ5" t="s">
        <v>354</v>
      </c>
      <c r="BK5" t="s">
        <v>529</v>
      </c>
      <c r="BL5" t="s">
        <v>546</v>
      </c>
      <c r="BM5" t="s">
        <v>275</v>
      </c>
      <c r="BN5">
        <v>11.39</v>
      </c>
      <c r="BO5">
        <v>12.28</v>
      </c>
      <c r="BP5">
        <v>10.66</v>
      </c>
      <c r="BQ5">
        <v>13.15</v>
      </c>
      <c r="BR5">
        <v>14.34</v>
      </c>
      <c r="BS5">
        <v>11.64</v>
      </c>
      <c r="BT5" t="s">
        <v>547</v>
      </c>
      <c r="BU5" t="s">
        <v>81</v>
      </c>
      <c r="BV5">
        <v>79.45</v>
      </c>
      <c r="BW5">
        <v>80.23</v>
      </c>
      <c r="BX5">
        <v>75.290000000000006</v>
      </c>
      <c r="BY5">
        <v>25.17</v>
      </c>
      <c r="BZ5">
        <v>20.52</v>
      </c>
      <c r="CA5">
        <v>17.05</v>
      </c>
      <c r="CB5">
        <v>-4.1900000000000004</v>
      </c>
      <c r="CC5">
        <v>-17.239999999999998</v>
      </c>
      <c r="CD5" t="s">
        <v>548</v>
      </c>
      <c r="CE5" t="s">
        <v>549</v>
      </c>
      <c r="CF5" s="10">
        <v>0.11046511627906977</v>
      </c>
      <c r="CG5" s="11">
        <v>0.57924259638896458</v>
      </c>
      <c r="CH5" s="10">
        <v>3.8277510553598404E-2</v>
      </c>
      <c r="CI5" s="10">
        <v>6.1898650601506233E-3</v>
      </c>
      <c r="CJ5" s="10">
        <v>0.28672567009925842</v>
      </c>
      <c r="CK5" s="10">
        <v>0.15541921555995941</v>
      </c>
      <c r="CL5" s="10">
        <v>0.1177142858505249</v>
      </c>
      <c r="CM5" s="11">
        <v>0.26333332061767578</v>
      </c>
      <c r="CN5" s="11">
        <v>0.22448979318141937</v>
      </c>
      <c r="CO5" s="11">
        <v>0.41618496179580688</v>
      </c>
      <c r="CP5" s="11">
        <v>0.14569535851478577</v>
      </c>
      <c r="CQ5" s="11">
        <v>1.6817936897277832</v>
      </c>
      <c r="CR5">
        <v>37.629761000796137</v>
      </c>
      <c r="CS5">
        <v>3.1133632288626436</v>
      </c>
      <c r="CT5">
        <v>3.8714672861014328</v>
      </c>
      <c r="CU5" s="10">
        <v>0.12086530942469835</v>
      </c>
      <c r="CV5" s="11">
        <v>0.54629942476749416</v>
      </c>
      <c r="CW5">
        <v>0.06</v>
      </c>
      <c r="CX5">
        <v>18.36529904460301</v>
      </c>
      <c r="CY5">
        <v>400762219.12449116</v>
      </c>
      <c r="CZ5">
        <v>0.12086530942469835</v>
      </c>
      <c r="DA5">
        <v>5.8473208132244894</v>
      </c>
      <c r="DB5">
        <v>1258716296.7617784</v>
      </c>
      <c r="DC5">
        <v>0.11482204395346343</v>
      </c>
      <c r="DD5">
        <v>2.7788508521405766</v>
      </c>
      <c r="DE5">
        <v>2648619300.4314814</v>
      </c>
      <c r="DF5">
        <v>0.10636147229373455</v>
      </c>
      <c r="DG5">
        <v>1.6028358155141618</v>
      </c>
      <c r="DH5">
        <v>4591935074.5472345</v>
      </c>
      <c r="DI5">
        <v>9.6692247539758691E-2</v>
      </c>
      <c r="DJ5">
        <v>0.75644422168041192</v>
      </c>
      <c r="DK5">
        <v>9729888588.0174732</v>
      </c>
      <c r="DL5">
        <v>8.4605716597288841E-2</v>
      </c>
      <c r="DM5">
        <v>379000000</v>
      </c>
      <c r="DN5">
        <v>0.12086530942469835</v>
      </c>
      <c r="DO5">
        <v>7360118000</v>
      </c>
      <c r="DP5">
        <v>356471600</v>
      </c>
      <c r="DQ5">
        <v>822</v>
      </c>
      <c r="DR5">
        <v>-1.0400193145628581E-2</v>
      </c>
      <c r="DS5">
        <v>3.2943171621470424E-2</v>
      </c>
      <c r="DT5" s="12">
        <v>-0.19000000000000003</v>
      </c>
      <c r="DU5">
        <v>0.87</v>
      </c>
      <c r="DV5">
        <v>0.67999999999999994</v>
      </c>
      <c r="DW5">
        <v>-8.2430394431554532</v>
      </c>
      <c r="DX5">
        <v>0.29359568345323661</v>
      </c>
      <c r="DY5">
        <v>-8.0348994149460022</v>
      </c>
      <c r="DZ5">
        <v>478</v>
      </c>
      <c r="EA5">
        <v>-8.0316348512778628</v>
      </c>
      <c r="EB5">
        <v>8</v>
      </c>
      <c r="EC5">
        <v>6.3026185905934243E-2</v>
      </c>
      <c r="ED5">
        <v>0.43891420960755417</v>
      </c>
      <c r="EE5" s="13">
        <v>3.0388099999999998</v>
      </c>
      <c r="EF5">
        <v>3.05681</v>
      </c>
      <c r="EG5">
        <v>15.143595683453237</v>
      </c>
      <c r="EH5" t="s">
        <v>550</v>
      </c>
      <c r="EI5">
        <v>0</v>
      </c>
      <c r="EJ5">
        <v>1</v>
      </c>
      <c r="EK5" s="15">
        <v>45470</v>
      </c>
      <c r="EL5" s="16">
        <v>0.91</v>
      </c>
      <c r="EM5" s="16">
        <v>-3.68</v>
      </c>
      <c r="EN5" s="16">
        <v>-2.44</v>
      </c>
      <c r="EO5" s="16">
        <v>6.92</v>
      </c>
      <c r="EP5" s="16">
        <v>-1.8</v>
      </c>
    </row>
    <row r="6" spans="1:146" ht="168" x14ac:dyDescent="0.25">
      <c r="A6" s="7"/>
      <c r="B6" s="7"/>
      <c r="C6" s="7" t="str">
        <f>"公司主营业务为跨境出口电商业务、跨境进口电商业务。公司主要产品为服饰家居、电子产品、母婴用品。公司是跨境电商行业发展的引领者,整体销售规模位居行业前列。"&amp;CHAR(10)&amp;Basic_Fundamental_Information_Constructure(F6)&amp;CHAR(10)&amp;Basic_Fundamental_Information_Concatenate("母婴用品等 61.27亿 69.48% 35.72% 8.64%
电子产品类 18.24亿 20.69% 47.90% 38.92%
服饰家居类 8.67亿 9.83% 16.37% 28.00%")</f>
        <v>公司主营业务为跨境出口电商业务、跨境进口电商业务。公司主要产品为服饰家居、电子产品、母婴用品。公司是跨境电商行业发展的引领者,整体销售规模位居行业前列。
市值21.968383亿, 利润-968.82万; PE; 平均PE-3.81; 平均PEG-.19, PB1.65; ROIC14.0633%; ROE16.3367%; 股利率0%; 毛利13.3567%; 净利2.56%; 上一年度营收增-8.8%, 利润增-153.98%; 当季营收增-19.6%, 利润增-1516.23%; 过往5年营收增-19.59%, 利润增-125.88%
Income profile:
母婴用品等 61.27亿 69.48% 35.72% 8.64%
电子产品类 18.24亿 20.69% 47.90% 38.92%
服饰家居类 8.67亿 9.83% 16.37% 28.00%</v>
      </c>
      <c r="D6" t="s">
        <v>106</v>
      </c>
      <c r="E6" t="s">
        <v>273</v>
      </c>
      <c r="F6">
        <v>1.41</v>
      </c>
      <c r="G6">
        <v>2.17</v>
      </c>
      <c r="H6" t="s">
        <v>551</v>
      </c>
      <c r="I6">
        <v>2196838300</v>
      </c>
      <c r="K6">
        <v>1.65</v>
      </c>
      <c r="L6" t="s">
        <v>81</v>
      </c>
      <c r="M6" t="s">
        <v>552</v>
      </c>
      <c r="N6" t="s">
        <v>553</v>
      </c>
      <c r="O6" t="s">
        <v>554</v>
      </c>
      <c r="P6">
        <v>-19.55</v>
      </c>
      <c r="Q6" t="s">
        <v>555</v>
      </c>
      <c r="R6">
        <v>-17408334</v>
      </c>
      <c r="S6" s="5">
        <v>-15.16</v>
      </c>
      <c r="T6" t="s">
        <v>556</v>
      </c>
      <c r="U6">
        <v>1423244600</v>
      </c>
      <c r="V6">
        <v>1558041300</v>
      </c>
      <c r="W6">
        <v>2.89</v>
      </c>
      <c r="X6">
        <v>0.34</v>
      </c>
      <c r="Y6">
        <v>-1.44</v>
      </c>
      <c r="Z6" t="s">
        <v>557</v>
      </c>
      <c r="AA6" t="s">
        <v>558</v>
      </c>
      <c r="AB6" t="s">
        <v>559</v>
      </c>
      <c r="AC6" t="s">
        <v>560</v>
      </c>
      <c r="AD6" t="s">
        <v>5</v>
      </c>
      <c r="AE6">
        <v>36654597</v>
      </c>
      <c r="AF6" t="s">
        <v>561</v>
      </c>
      <c r="AG6" t="s">
        <v>562</v>
      </c>
      <c r="AH6" t="s">
        <v>563</v>
      </c>
      <c r="AI6" t="s">
        <v>564</v>
      </c>
      <c r="AJ6" t="s">
        <v>565</v>
      </c>
      <c r="AK6" t="s">
        <v>5</v>
      </c>
      <c r="AL6" t="s">
        <v>566</v>
      </c>
      <c r="AM6" t="s">
        <v>5</v>
      </c>
      <c r="AN6">
        <v>0</v>
      </c>
      <c r="AO6" t="s">
        <v>5</v>
      </c>
      <c r="AP6" t="s">
        <v>5</v>
      </c>
      <c r="AQ6" t="s">
        <v>385</v>
      </c>
      <c r="AR6" t="s">
        <v>567</v>
      </c>
      <c r="AS6" t="s">
        <v>568</v>
      </c>
      <c r="AT6" t="s">
        <v>5</v>
      </c>
      <c r="AU6" t="s">
        <v>569</v>
      </c>
      <c r="AV6" t="s">
        <v>570</v>
      </c>
      <c r="AW6" t="s">
        <v>425</v>
      </c>
      <c r="AX6" t="s">
        <v>355</v>
      </c>
      <c r="AY6" t="s">
        <v>180</v>
      </c>
      <c r="AZ6" t="s">
        <v>182</v>
      </c>
      <c r="BA6" t="s">
        <v>107</v>
      </c>
      <c r="BB6" t="s">
        <v>108</v>
      </c>
      <c r="BC6" t="s">
        <v>571</v>
      </c>
      <c r="BD6" t="s">
        <v>181</v>
      </c>
      <c r="BE6" t="s">
        <v>183</v>
      </c>
      <c r="BF6" t="s">
        <v>109</v>
      </c>
      <c r="BG6" t="s">
        <v>110</v>
      </c>
      <c r="BH6" t="s">
        <v>555</v>
      </c>
      <c r="BI6" t="s">
        <v>572</v>
      </c>
      <c r="BJ6" t="s">
        <v>355</v>
      </c>
      <c r="BK6" t="s">
        <v>556</v>
      </c>
      <c r="BL6" t="s">
        <v>573</v>
      </c>
      <c r="BM6" t="s">
        <v>571</v>
      </c>
      <c r="BN6">
        <v>-6.87</v>
      </c>
      <c r="BO6">
        <v>2.46</v>
      </c>
      <c r="BP6">
        <v>46.6</v>
      </c>
      <c r="BQ6">
        <v>-1.05</v>
      </c>
      <c r="BR6">
        <v>1.23</v>
      </c>
      <c r="BS6">
        <v>48.83</v>
      </c>
      <c r="BT6" t="s">
        <v>342</v>
      </c>
      <c r="BU6" t="s">
        <v>81</v>
      </c>
      <c r="BV6">
        <v>11.81</v>
      </c>
      <c r="BW6">
        <v>11.45</v>
      </c>
      <c r="BX6">
        <v>16.809999999999999</v>
      </c>
      <c r="BY6">
        <v>-0.19</v>
      </c>
      <c r="BZ6">
        <v>0.19</v>
      </c>
      <c r="CA6">
        <v>7.68</v>
      </c>
      <c r="CB6">
        <v>7.63</v>
      </c>
      <c r="CC6">
        <v>-37.61</v>
      </c>
      <c r="CD6" t="s">
        <v>574</v>
      </c>
      <c r="CE6" t="s">
        <v>575</v>
      </c>
      <c r="CF6" s="10">
        <v>-0.19596723377441713</v>
      </c>
      <c r="CG6" s="11">
        <v>-15.162328343638139</v>
      </c>
      <c r="CH6" s="10">
        <v>-8.7951488792896271E-2</v>
      </c>
      <c r="CI6" s="10">
        <v>-0.17736445367336273</v>
      </c>
      <c r="CJ6" s="10">
        <v>-0.46310275793075562</v>
      </c>
      <c r="CK6" s="10">
        <v>-8.1123441457748413E-2</v>
      </c>
      <c r="CL6" s="10">
        <v>-0.16996374726295471</v>
      </c>
      <c r="CM6" s="11">
        <v>-1.5397566556930542</v>
      </c>
      <c r="CN6" s="11">
        <v>-0.97332960367202759</v>
      </c>
      <c r="CO6" s="11">
        <v>1.3266990184783936</v>
      </c>
      <c r="CP6" s="11">
        <v>0.2392909824848175</v>
      </c>
      <c r="CQ6" s="11">
        <v>-5.3467097282409668</v>
      </c>
      <c r="CR6">
        <v>-3.8054338967225876</v>
      </c>
      <c r="CS6">
        <v>-0.19425273186209746</v>
      </c>
      <c r="CT6">
        <v>0</v>
      </c>
      <c r="CU6" s="10">
        <v>-0.19590117782354355</v>
      </c>
      <c r="CV6" s="11">
        <v>-1.2587611973285675</v>
      </c>
      <c r="CW6">
        <v>0.06</v>
      </c>
      <c r="CX6" t="e">
        <v>#VALUE!</v>
      </c>
      <c r="CY6" t="s">
        <v>218</v>
      </c>
      <c r="CZ6">
        <v>-0.19590117782354355</v>
      </c>
      <c r="DA6" t="e">
        <v>#VALUE!</v>
      </c>
      <c r="DB6" t="s">
        <v>219</v>
      </c>
      <c r="DC6">
        <v>-0.18610611893236637</v>
      </c>
      <c r="DD6" t="e">
        <v>#VALUE!</v>
      </c>
      <c r="DE6" t="s">
        <v>219</v>
      </c>
      <c r="DF6">
        <v>-0.17239303648471832</v>
      </c>
      <c r="DG6" t="e">
        <v>#VALUE!</v>
      </c>
      <c r="DH6" t="s">
        <v>219</v>
      </c>
      <c r="DI6">
        <v>-0.15672094225883484</v>
      </c>
      <c r="DJ6" t="e">
        <v>#VALUE!</v>
      </c>
      <c r="DK6" t="s">
        <v>219</v>
      </c>
      <c r="DL6">
        <v>-0.13713082447648048</v>
      </c>
      <c r="DM6">
        <v>-9688200</v>
      </c>
      <c r="DN6">
        <v>-0.19590117782354355</v>
      </c>
      <c r="DO6">
        <v>3275838300</v>
      </c>
      <c r="DP6">
        <v>25163300</v>
      </c>
      <c r="DQ6">
        <v>1130</v>
      </c>
      <c r="DR6">
        <v>-6.6055950873583624E-5</v>
      </c>
      <c r="DS6">
        <v>-13.903567146309571</v>
      </c>
      <c r="DT6" s="12">
        <v>-0.82333333333333325</v>
      </c>
      <c r="DU6">
        <v>-2.5983333333333332</v>
      </c>
      <c r="DV6">
        <v>-3.4216666666666664</v>
      </c>
      <c r="DW6">
        <v>7.1686560565870909</v>
      </c>
      <c r="DX6">
        <v>0.287764134461021</v>
      </c>
      <c r="DY6">
        <v>7.0215481950914587</v>
      </c>
      <c r="DZ6">
        <v>5014</v>
      </c>
      <c r="EA6">
        <v>7.0004048193207007</v>
      </c>
      <c r="EB6">
        <v>7</v>
      </c>
      <c r="EC6">
        <v>0.20025143107567175</v>
      </c>
      <c r="ED6">
        <v>1.5673525470730461</v>
      </c>
      <c r="EE6" s="13">
        <v>-5.0515999999999996</v>
      </c>
      <c r="EF6">
        <v>-5.0298999999999996</v>
      </c>
      <c r="EG6">
        <v>16.127764134461021</v>
      </c>
      <c r="EH6" t="s">
        <v>433</v>
      </c>
      <c r="EI6">
        <v>1</v>
      </c>
      <c r="EJ6">
        <v>0</v>
      </c>
      <c r="EK6" s="15">
        <v>45470</v>
      </c>
      <c r="EL6" s="16">
        <v>-9.68</v>
      </c>
      <c r="EM6" s="16">
        <v>-8.57</v>
      </c>
      <c r="EN6" s="16">
        <v>0</v>
      </c>
      <c r="EO6" s="16">
        <v>7.81</v>
      </c>
      <c r="EP6" s="16">
        <v>-2.17</v>
      </c>
    </row>
    <row r="7" spans="1:146" ht="108" x14ac:dyDescent="0.25">
      <c r="A7" s="7"/>
      <c r="B7" s="7"/>
      <c r="C7" s="7" t="str">
        <f>""&amp;CHAR(10)&amp;Basic_Fundamental_Information_Constructure(F7)&amp;CHAR(10)&amp;Basic_Fundamental_Information_Concatenate("")</f>
        <v xml:space="preserve">
市值42.620528亿, 利润3.45亿; PE13.42; 平均PE13.79; 平均PEG.55, PB1.88; ROIC10.14%; ROE12.1667%; 股利率3.252%; 毛利41.9133%; 净利4.06%; 上一年度营收增24.53%, 利润增87.5%; 当季营收增-3.78%, 利润增-39.22%; 过往5年营收增24.99%, 利润增26.74%
Income profile:
</v>
      </c>
      <c r="D7" t="s">
        <v>112</v>
      </c>
      <c r="E7" t="s">
        <v>113</v>
      </c>
      <c r="F7">
        <v>11.07</v>
      </c>
      <c r="G7">
        <v>2.5</v>
      </c>
      <c r="H7" t="s">
        <v>576</v>
      </c>
      <c r="I7">
        <v>4262052800</v>
      </c>
      <c r="J7">
        <v>13.42</v>
      </c>
      <c r="K7">
        <v>1.88</v>
      </c>
      <c r="L7" t="s">
        <v>81</v>
      </c>
      <c r="M7" t="s">
        <v>577</v>
      </c>
      <c r="N7" t="s">
        <v>578</v>
      </c>
      <c r="O7" t="s">
        <v>579</v>
      </c>
      <c r="P7">
        <v>-3.75</v>
      </c>
      <c r="Q7" t="s">
        <v>580</v>
      </c>
      <c r="R7">
        <v>42805334</v>
      </c>
      <c r="S7" s="5">
        <v>-0.39219999999999999</v>
      </c>
      <c r="T7" t="s">
        <v>221</v>
      </c>
      <c r="U7">
        <v>286776690</v>
      </c>
      <c r="V7">
        <v>385009290</v>
      </c>
      <c r="W7">
        <v>1.46</v>
      </c>
      <c r="X7">
        <v>0.38</v>
      </c>
      <c r="Y7">
        <v>2.99</v>
      </c>
      <c r="Z7" t="s">
        <v>581</v>
      </c>
      <c r="AA7" t="s">
        <v>582</v>
      </c>
      <c r="AB7" t="s">
        <v>583</v>
      </c>
      <c r="AC7" t="s">
        <v>584</v>
      </c>
      <c r="AD7" t="s">
        <v>5</v>
      </c>
      <c r="AE7">
        <v>6222710</v>
      </c>
      <c r="AF7" t="s">
        <v>585</v>
      </c>
      <c r="AG7" t="s">
        <v>586</v>
      </c>
      <c r="AH7" t="s">
        <v>587</v>
      </c>
      <c r="AI7" t="s">
        <v>588</v>
      </c>
      <c r="AJ7" t="s">
        <v>589</v>
      </c>
      <c r="AK7" t="s">
        <v>590</v>
      </c>
      <c r="AL7" t="s">
        <v>591</v>
      </c>
      <c r="AM7" t="s">
        <v>5</v>
      </c>
      <c r="AN7" t="s">
        <v>592</v>
      </c>
      <c r="AO7" t="s">
        <v>593</v>
      </c>
      <c r="AP7" t="s">
        <v>594</v>
      </c>
      <c r="AQ7" t="s">
        <v>595</v>
      </c>
      <c r="AR7" t="s">
        <v>5</v>
      </c>
      <c r="AS7" t="s">
        <v>596</v>
      </c>
      <c r="AT7" t="s">
        <v>549</v>
      </c>
      <c r="AU7" t="s">
        <v>597</v>
      </c>
      <c r="AV7" t="s">
        <v>598</v>
      </c>
      <c r="AW7" t="s">
        <v>599</v>
      </c>
      <c r="AX7" t="s">
        <v>356</v>
      </c>
      <c r="AY7" t="s">
        <v>184</v>
      </c>
      <c r="AZ7" t="s">
        <v>114</v>
      </c>
      <c r="BA7" t="s">
        <v>116</v>
      </c>
      <c r="BB7" t="s">
        <v>117</v>
      </c>
      <c r="BC7" t="s">
        <v>357</v>
      </c>
      <c r="BD7" t="s">
        <v>84</v>
      </c>
      <c r="BE7" t="s">
        <v>115</v>
      </c>
      <c r="BF7" t="s">
        <v>39</v>
      </c>
      <c r="BG7" t="s">
        <v>32</v>
      </c>
      <c r="BH7" t="s">
        <v>580</v>
      </c>
      <c r="BI7" t="s">
        <v>600</v>
      </c>
      <c r="BJ7" t="s">
        <v>356</v>
      </c>
      <c r="BK7" t="s">
        <v>221</v>
      </c>
      <c r="BL7" t="s">
        <v>601</v>
      </c>
      <c r="BM7" t="s">
        <v>357</v>
      </c>
      <c r="BN7">
        <v>12.35</v>
      </c>
      <c r="BO7">
        <v>7.93</v>
      </c>
      <c r="BP7">
        <v>10.14</v>
      </c>
      <c r="BQ7">
        <v>14.61</v>
      </c>
      <c r="BR7">
        <v>9.39</v>
      </c>
      <c r="BS7">
        <v>12.5</v>
      </c>
      <c r="BT7" t="s">
        <v>602</v>
      </c>
      <c r="BU7" t="s">
        <v>81</v>
      </c>
      <c r="BV7">
        <v>46.66</v>
      </c>
      <c r="BW7">
        <v>40.69</v>
      </c>
      <c r="BX7">
        <v>38.39</v>
      </c>
      <c r="BY7">
        <v>4.96</v>
      </c>
      <c r="BZ7">
        <v>3.19</v>
      </c>
      <c r="CA7">
        <v>4.03</v>
      </c>
      <c r="CB7">
        <v>-0.54</v>
      </c>
      <c r="CC7">
        <v>-19.43</v>
      </c>
      <c r="CD7" t="s">
        <v>603</v>
      </c>
      <c r="CE7" t="s">
        <v>604</v>
      </c>
      <c r="CF7" s="10">
        <v>-3.7790697674418602E-2</v>
      </c>
      <c r="CG7" s="11">
        <v>-0.39223558443181106</v>
      </c>
      <c r="CH7" s="10">
        <v>0.24534972012042999</v>
      </c>
      <c r="CI7" s="10">
        <v>3.8238726556301117E-2</v>
      </c>
      <c r="CJ7" s="10">
        <v>0.17414966225624084</v>
      </c>
      <c r="CK7" s="10">
        <v>0.46560317277908325</v>
      </c>
      <c r="CL7" s="10">
        <v>0.32613486051559448</v>
      </c>
      <c r="CM7" s="11">
        <v>0.875</v>
      </c>
      <c r="CN7" s="11">
        <v>-0.18942731618881226</v>
      </c>
      <c r="CO7" s="11">
        <v>-0.59391772747039795</v>
      </c>
      <c r="CP7" s="11">
        <v>0.71472394466400146</v>
      </c>
      <c r="CQ7" s="11">
        <v>0.53051644563674927</v>
      </c>
      <c r="CR7">
        <v>13.793051132686085</v>
      </c>
      <c r="CS7">
        <v>0.55195336135409956</v>
      </c>
      <c r="CT7">
        <v>3.2520325203252032</v>
      </c>
      <c r="CU7" s="10">
        <v>0.24989522844552994</v>
      </c>
      <c r="CV7" s="11">
        <v>0.26737906932830813</v>
      </c>
      <c r="CW7">
        <v>0.06</v>
      </c>
      <c r="CX7">
        <v>8.0137869816513483</v>
      </c>
      <c r="CY7">
        <v>406805522.46576214</v>
      </c>
      <c r="CZ7">
        <v>0.24989522844552994</v>
      </c>
      <c r="DA7">
        <v>2.2930623661551954</v>
      </c>
      <c r="DB7">
        <v>1421702631.4317691</v>
      </c>
      <c r="DC7">
        <v>0.23740046702325343</v>
      </c>
      <c r="DD7">
        <v>0.93594861190333367</v>
      </c>
      <c r="DE7">
        <v>3483153624.610219</v>
      </c>
      <c r="DF7">
        <v>0.21990780103206636</v>
      </c>
      <c r="DG7">
        <v>0.44881534937198242</v>
      </c>
      <c r="DH7">
        <v>7263683839.1595144</v>
      </c>
      <c r="DI7">
        <v>0.19991618275642398</v>
      </c>
      <c r="DJ7">
        <v>0.13521023715987621</v>
      </c>
      <c r="DK7">
        <v>24110990916.650982</v>
      </c>
      <c r="DL7">
        <v>0.17492665991187095</v>
      </c>
      <c r="DM7">
        <v>345000000</v>
      </c>
      <c r="DN7">
        <v>0.24989522844552994</v>
      </c>
      <c r="DO7">
        <v>3260052800</v>
      </c>
      <c r="DP7">
        <v>1125721200</v>
      </c>
      <c r="DQ7">
        <v>1276</v>
      </c>
      <c r="DR7">
        <v>-0.28768592611994853</v>
      </c>
      <c r="DS7">
        <v>-0.65961465376011919</v>
      </c>
      <c r="DT7" s="12">
        <v>7.6666666666666591E-2</v>
      </c>
      <c r="DU7">
        <v>0.1633333333333333</v>
      </c>
      <c r="DV7">
        <v>0.23999999999999988</v>
      </c>
      <c r="DW7">
        <v>-3.0387916666666666</v>
      </c>
      <c r="DX7">
        <v>0.41213941176470459</v>
      </c>
      <c r="DY7">
        <v>-3.0051259080147057</v>
      </c>
      <c r="DZ7">
        <v>1183</v>
      </c>
      <c r="EA7">
        <v>-3.0039392252003423</v>
      </c>
      <c r="EB7">
        <v>3</v>
      </c>
      <c r="EC7">
        <v>5.8345864849131304E-2</v>
      </c>
      <c r="ED7">
        <v>0.44154778706768349</v>
      </c>
      <c r="EE7" s="13">
        <v>-1.03701</v>
      </c>
      <c r="EF7">
        <v>-1.0485100000000001</v>
      </c>
      <c r="EG7">
        <v>28.132139411764705</v>
      </c>
      <c r="EH7" t="s">
        <v>605</v>
      </c>
      <c r="EI7">
        <v>0</v>
      </c>
      <c r="EJ7">
        <v>1</v>
      </c>
      <c r="EK7" s="15">
        <v>45470</v>
      </c>
      <c r="EL7" s="16">
        <v>-0.77</v>
      </c>
      <c r="EM7" s="16">
        <v>-5.18</v>
      </c>
      <c r="EN7" s="16">
        <v>0.09</v>
      </c>
      <c r="EO7" s="16">
        <v>2.82</v>
      </c>
      <c r="EP7" s="16">
        <v>-1.1499999999999999</v>
      </c>
    </row>
    <row r="8" spans="1:146" ht="108" x14ac:dyDescent="0.25">
      <c r="A8" s="7"/>
      <c r="B8" s="7"/>
      <c r="C8" s="7" t="str">
        <f>""&amp;CHAR(10)&amp;Basic_Fundamental_Information_Constructure(F8)&amp;CHAR(10)&amp;Basic_Fundamental_Information_Concatenate("")</f>
        <v xml:space="preserve">
市值17.96012亿, 利润5429.05万; PE29.82; 平均PE29.18; 平均PEG3.51, PB1.71; ROIC2.6%; ROE3.0067%; 股利率2.809%; 毛利35.1533%; 净利2.9933%; 上一年度营收增12.24%, 利润增60.93%; 当季营收增31.45%, 利润增86.4%; 过往5年营收增8.32%, 利润增4.73%
Income profile:
</v>
      </c>
      <c r="D8" t="s">
        <v>118</v>
      </c>
      <c r="E8" t="s">
        <v>119</v>
      </c>
      <c r="F8">
        <v>10.68</v>
      </c>
      <c r="G8">
        <v>1.81</v>
      </c>
      <c r="H8" t="s">
        <v>606</v>
      </c>
      <c r="I8">
        <v>1796012000</v>
      </c>
      <c r="J8">
        <v>29.82</v>
      </c>
      <c r="K8">
        <v>1.71</v>
      </c>
      <c r="L8" t="s">
        <v>81</v>
      </c>
      <c r="M8" t="s">
        <v>384</v>
      </c>
      <c r="N8" t="s">
        <v>607</v>
      </c>
      <c r="O8" t="s">
        <v>426</v>
      </c>
      <c r="P8">
        <v>31.68</v>
      </c>
      <c r="Q8" t="s">
        <v>608</v>
      </c>
      <c r="R8">
        <v>12821238</v>
      </c>
      <c r="S8" s="5">
        <v>0.86399999999999999</v>
      </c>
      <c r="T8" t="s">
        <v>609</v>
      </c>
      <c r="U8">
        <v>125208263</v>
      </c>
      <c r="V8">
        <v>168165910</v>
      </c>
      <c r="W8">
        <v>1.24</v>
      </c>
      <c r="X8">
        <v>0.28000000000000003</v>
      </c>
      <c r="Y8">
        <v>3.44</v>
      </c>
      <c r="Z8" t="s">
        <v>200</v>
      </c>
      <c r="AA8" t="s">
        <v>348</v>
      </c>
      <c r="AB8" t="s">
        <v>610</v>
      </c>
      <c r="AC8" t="s">
        <v>611</v>
      </c>
      <c r="AD8" t="s">
        <v>5</v>
      </c>
      <c r="AE8">
        <v>-2132676</v>
      </c>
      <c r="AF8" t="s">
        <v>21</v>
      </c>
      <c r="AG8" t="s">
        <v>612</v>
      </c>
      <c r="AH8" t="s">
        <v>613</v>
      </c>
      <c r="AI8" t="s">
        <v>614</v>
      </c>
      <c r="AJ8" t="s">
        <v>615</v>
      </c>
      <c r="AK8" t="s">
        <v>5</v>
      </c>
      <c r="AL8" t="s">
        <v>616</v>
      </c>
      <c r="AM8" t="s">
        <v>5</v>
      </c>
      <c r="AN8">
        <v>0</v>
      </c>
      <c r="AO8" t="s">
        <v>367</v>
      </c>
      <c r="AP8" t="s">
        <v>5</v>
      </c>
      <c r="AQ8" t="s">
        <v>617</v>
      </c>
      <c r="AR8" t="s">
        <v>5</v>
      </c>
      <c r="AS8" t="s">
        <v>618</v>
      </c>
      <c r="AT8" t="s">
        <v>5</v>
      </c>
      <c r="AU8" t="s">
        <v>411</v>
      </c>
      <c r="AV8" t="s">
        <v>619</v>
      </c>
      <c r="AW8" t="s">
        <v>620</v>
      </c>
      <c r="AX8" t="s">
        <v>358</v>
      </c>
      <c r="AY8" t="s">
        <v>185</v>
      </c>
      <c r="AZ8" t="s">
        <v>120</v>
      </c>
      <c r="BA8" t="s">
        <v>122</v>
      </c>
      <c r="BB8" t="s">
        <v>123</v>
      </c>
      <c r="BC8" t="s">
        <v>621</v>
      </c>
      <c r="BD8" t="s">
        <v>186</v>
      </c>
      <c r="BE8" t="s">
        <v>121</v>
      </c>
      <c r="BF8" t="s">
        <v>124</v>
      </c>
      <c r="BG8" t="s">
        <v>125</v>
      </c>
      <c r="BH8" t="s">
        <v>608</v>
      </c>
      <c r="BI8" t="s">
        <v>622</v>
      </c>
      <c r="BJ8" t="s">
        <v>358</v>
      </c>
      <c r="BK8" t="s">
        <v>609</v>
      </c>
      <c r="BL8" t="s">
        <v>623</v>
      </c>
      <c r="BM8" t="s">
        <v>621</v>
      </c>
      <c r="BN8">
        <v>1.89</v>
      </c>
      <c r="BO8">
        <v>3.08</v>
      </c>
      <c r="BP8">
        <v>2.83</v>
      </c>
      <c r="BQ8">
        <v>3.11</v>
      </c>
      <c r="BR8">
        <v>3.15</v>
      </c>
      <c r="BS8">
        <v>2.76</v>
      </c>
      <c r="BT8" t="s">
        <v>624</v>
      </c>
      <c r="BU8" t="s">
        <v>81</v>
      </c>
      <c r="BV8">
        <v>40.24</v>
      </c>
      <c r="BW8">
        <v>33.619999999999997</v>
      </c>
      <c r="BX8">
        <v>31.6</v>
      </c>
      <c r="BY8">
        <v>3.97</v>
      </c>
      <c r="BZ8">
        <v>2.78</v>
      </c>
      <c r="CA8">
        <v>2.23</v>
      </c>
      <c r="CB8">
        <v>0.95</v>
      </c>
      <c r="CC8">
        <v>-8.2100000000000009</v>
      </c>
      <c r="CD8" t="s">
        <v>625</v>
      </c>
      <c r="CE8" t="s">
        <v>626</v>
      </c>
      <c r="CF8" s="10">
        <v>0.31448763250883394</v>
      </c>
      <c r="CG8" s="11">
        <v>0.86398551988834615</v>
      </c>
      <c r="CH8" s="10">
        <v>0.12243226915597916</v>
      </c>
      <c r="CI8" s="10">
        <v>-5.5124271661043167E-2</v>
      </c>
      <c r="CJ8" s="10">
        <v>0.13380281627178192</v>
      </c>
      <c r="CK8" s="10">
        <v>0.18456725776195526</v>
      </c>
      <c r="CL8" s="10">
        <v>3.0075188726186752E-2</v>
      </c>
      <c r="CM8" s="11">
        <v>0.60927498340606689</v>
      </c>
      <c r="CN8" s="11">
        <v>0.15553636848926544</v>
      </c>
      <c r="CO8" s="11">
        <v>-0.67015063762664795</v>
      </c>
      <c r="CP8" s="11">
        <v>2.5332584977149963E-2</v>
      </c>
      <c r="CQ8" s="11">
        <v>0.1167290210723877</v>
      </c>
      <c r="CR8">
        <v>29.175299710848069</v>
      </c>
      <c r="CS8">
        <v>3.5087277118360283</v>
      </c>
      <c r="CT8">
        <v>2.808988764044944</v>
      </c>
      <c r="CU8" s="10">
        <v>8.3150652050971982E-2</v>
      </c>
      <c r="CV8" s="11">
        <v>4.7344464063644412E-2</v>
      </c>
      <c r="CW8">
        <v>0.06</v>
      </c>
      <c r="CX8">
        <v>17.935829912450544</v>
      </c>
      <c r="CY8">
        <v>55476217.429408766</v>
      </c>
      <c r="CZ8">
        <v>8.3150652050971982E-2</v>
      </c>
      <c r="DA8">
        <v>5.8953819200312347</v>
      </c>
      <c r="DB8">
        <v>168778208.68893397</v>
      </c>
      <c r="DC8">
        <v>7.8993119448423382E-2</v>
      </c>
      <c r="DD8">
        <v>2.9247158311219033</v>
      </c>
      <c r="DE8">
        <v>340208094.54787934</v>
      </c>
      <c r="DF8">
        <v>7.317257380485534E-2</v>
      </c>
      <c r="DG8">
        <v>1.7716938318198043</v>
      </c>
      <c r="DH8">
        <v>561616224.05038702</v>
      </c>
      <c r="DI8">
        <v>6.6520521640777583E-2</v>
      </c>
      <c r="DJ8">
        <v>0.93278246635613971</v>
      </c>
      <c r="DK8">
        <v>1066713875.8374783</v>
      </c>
      <c r="DL8">
        <v>5.8205456435680383E-2</v>
      </c>
      <c r="DM8">
        <v>54290500</v>
      </c>
      <c r="DN8">
        <v>8.3150652050971982E-2</v>
      </c>
      <c r="DO8">
        <v>995012000</v>
      </c>
      <c r="DP8">
        <v>743218940</v>
      </c>
      <c r="DQ8">
        <v>1467</v>
      </c>
      <c r="DR8">
        <v>0.23133698045786194</v>
      </c>
      <c r="DS8">
        <v>0.8166410558247017</v>
      </c>
      <c r="DT8" s="12">
        <v>-0.32333333333333336</v>
      </c>
      <c r="DU8">
        <v>0.21666666666666665</v>
      </c>
      <c r="DV8">
        <v>-0.10666666666666672</v>
      </c>
      <c r="DW8">
        <v>-2.0821000000000001</v>
      </c>
      <c r="DX8">
        <v>0.31342033616540604</v>
      </c>
      <c r="DY8">
        <v>-2.0101328095991797</v>
      </c>
      <c r="DZ8">
        <v>1958</v>
      </c>
      <c r="EA8">
        <v>-2.0062502183672435</v>
      </c>
      <c r="EB8">
        <v>2</v>
      </c>
      <c r="EC8">
        <v>5.8981633078904042E-2</v>
      </c>
      <c r="ED8">
        <v>0.47789233858396152</v>
      </c>
      <c r="EE8" s="13">
        <v>3.0949</v>
      </c>
      <c r="EF8">
        <v>3.0846</v>
      </c>
      <c r="EG8">
        <v>19.123420336165406</v>
      </c>
      <c r="EH8" t="s">
        <v>627</v>
      </c>
      <c r="EI8">
        <v>0</v>
      </c>
      <c r="EJ8">
        <v>0</v>
      </c>
      <c r="EK8" s="15">
        <v>45470</v>
      </c>
      <c r="EL8" s="16">
        <v>0.56000000000000005</v>
      </c>
      <c r="EM8" s="16">
        <v>-5.71</v>
      </c>
      <c r="EN8" s="16">
        <v>1.79</v>
      </c>
      <c r="EO8" s="16">
        <v>4.2</v>
      </c>
      <c r="EP8" s="16">
        <v>-1.03</v>
      </c>
    </row>
    <row r="9" spans="1:146" ht="96" x14ac:dyDescent="0.25">
      <c r="A9" s="7"/>
      <c r="B9" s="7"/>
      <c r="C9" s="7" t="str">
        <f>""&amp;CHAR(10)&amp;Basic_Fundamental_Information_Constructure(F9)&amp;CHAR(10)&amp;Basic_Fundamental_Information_Concatenate("")</f>
        <v xml:space="preserve">
市值9.4552042亿, 利润-4.85亿; PE; 平均PE-1.31; 平均PEG-.03, PB; ROIC0%; ROE-149.335%; 股利率0%; 毛利13.8033%; 净利-101.91%; 上一年度营收增-40.05%, 利润增-32.15%; 当季营收增-2.48%, 利润增85.89%; 过往5年营收增40.1%, 利润增-381.3%
Income profile:
</v>
      </c>
      <c r="D9" t="s">
        <v>126</v>
      </c>
      <c r="E9" t="s">
        <v>628</v>
      </c>
      <c r="F9">
        <v>2.2400000000000002</v>
      </c>
      <c r="G9">
        <v>0.45</v>
      </c>
      <c r="H9" t="s">
        <v>629</v>
      </c>
      <c r="I9">
        <v>945520420</v>
      </c>
      <c r="L9" t="s">
        <v>81</v>
      </c>
      <c r="M9" t="s">
        <v>630</v>
      </c>
      <c r="N9" t="s">
        <v>631</v>
      </c>
      <c r="O9" t="s">
        <v>398</v>
      </c>
      <c r="P9">
        <v>-2.61</v>
      </c>
      <c r="Q9" t="s">
        <v>427</v>
      </c>
      <c r="R9">
        <v>-2980446</v>
      </c>
      <c r="S9" s="5">
        <v>0.8589</v>
      </c>
      <c r="T9" t="s">
        <v>632</v>
      </c>
      <c r="U9">
        <v>394874090</v>
      </c>
      <c r="V9">
        <v>422107330</v>
      </c>
      <c r="W9" t="s">
        <v>5</v>
      </c>
      <c r="X9">
        <v>0.33</v>
      </c>
      <c r="Y9">
        <v>-0.44</v>
      </c>
      <c r="Z9" t="s">
        <v>633</v>
      </c>
      <c r="AA9" t="s">
        <v>634</v>
      </c>
      <c r="AB9" t="s">
        <v>635</v>
      </c>
      <c r="AC9" t="s">
        <v>636</v>
      </c>
      <c r="AD9" t="s">
        <v>5</v>
      </c>
      <c r="AE9">
        <v>4576780</v>
      </c>
      <c r="AF9" t="s">
        <v>21</v>
      </c>
      <c r="AG9" t="s">
        <v>637</v>
      </c>
      <c r="AH9" t="s">
        <v>638</v>
      </c>
      <c r="AI9" t="s">
        <v>639</v>
      </c>
      <c r="AJ9" t="s">
        <v>640</v>
      </c>
      <c r="AK9" t="s">
        <v>5</v>
      </c>
      <c r="AL9" t="s">
        <v>641</v>
      </c>
      <c r="AM9" t="s">
        <v>5</v>
      </c>
      <c r="AN9">
        <v>0</v>
      </c>
      <c r="AO9" t="s">
        <v>642</v>
      </c>
      <c r="AP9" t="s">
        <v>5</v>
      </c>
      <c r="AQ9" t="s">
        <v>643</v>
      </c>
      <c r="AR9" t="s">
        <v>5</v>
      </c>
      <c r="AS9" t="s">
        <v>644</v>
      </c>
      <c r="AT9" t="s">
        <v>5</v>
      </c>
      <c r="AU9" t="s">
        <v>645</v>
      </c>
      <c r="AV9" t="s">
        <v>646</v>
      </c>
      <c r="AW9" t="s">
        <v>647</v>
      </c>
      <c r="AX9" t="s">
        <v>359</v>
      </c>
      <c r="AY9" t="s">
        <v>187</v>
      </c>
      <c r="AZ9" t="s">
        <v>127</v>
      </c>
      <c r="BA9" t="s">
        <v>129</v>
      </c>
      <c r="BB9" t="s">
        <v>78</v>
      </c>
      <c r="BC9" t="s">
        <v>360</v>
      </c>
      <c r="BD9" t="s">
        <v>188</v>
      </c>
      <c r="BE9" t="s">
        <v>128</v>
      </c>
      <c r="BF9" t="s">
        <v>130</v>
      </c>
      <c r="BG9" t="s">
        <v>131</v>
      </c>
      <c r="BH9" t="s">
        <v>427</v>
      </c>
      <c r="BI9" t="s">
        <v>411</v>
      </c>
      <c r="BJ9" t="s">
        <v>359</v>
      </c>
      <c r="BK9" t="s">
        <v>632</v>
      </c>
      <c r="BL9" t="s">
        <v>648</v>
      </c>
      <c r="BM9" t="s">
        <v>360</v>
      </c>
      <c r="BN9" t="s">
        <v>5</v>
      </c>
      <c r="BO9" t="s">
        <v>5</v>
      </c>
      <c r="BP9" t="s">
        <v>5</v>
      </c>
      <c r="BQ9" t="s">
        <v>5</v>
      </c>
      <c r="BR9">
        <v>-147.72</v>
      </c>
      <c r="BS9">
        <v>-150.94999999999999</v>
      </c>
      <c r="BT9" t="s">
        <v>342</v>
      </c>
      <c r="BU9" t="s">
        <v>81</v>
      </c>
      <c r="BV9">
        <v>3.61</v>
      </c>
      <c r="BW9">
        <v>30.56</v>
      </c>
      <c r="BX9">
        <v>7.24</v>
      </c>
      <c r="BY9">
        <v>-105.64</v>
      </c>
      <c r="BZ9">
        <v>-46.69</v>
      </c>
      <c r="CA9">
        <v>-153.4</v>
      </c>
      <c r="CB9">
        <v>0.9</v>
      </c>
      <c r="CC9">
        <v>-13.85</v>
      </c>
      <c r="CD9" t="s">
        <v>649</v>
      </c>
      <c r="CE9" t="s">
        <v>650</v>
      </c>
      <c r="CF9" s="10">
        <v>-2.4793388429752067E-2</v>
      </c>
      <c r="CG9" s="11">
        <v>0.8588924239411414</v>
      </c>
      <c r="CH9" s="10">
        <v>-0.4005168080329895</v>
      </c>
      <c r="CI9" s="10">
        <v>-0.56122446060180664</v>
      </c>
      <c r="CJ9" s="10">
        <v>-0.64909487962722778</v>
      </c>
      <c r="CK9" s="10">
        <v>0.29997405409812927</v>
      </c>
      <c r="CL9" s="10">
        <v>3.3158483505249023</v>
      </c>
      <c r="CM9" s="11">
        <v>-0.32152587175369263</v>
      </c>
      <c r="CN9" s="11">
        <v>0.86285495758056641</v>
      </c>
      <c r="CO9" s="11">
        <v>-2.0723304748535156</v>
      </c>
      <c r="CP9" s="11">
        <v>-18.585620880126953</v>
      </c>
      <c r="CQ9" s="11">
        <v>1.0516844987869263</v>
      </c>
      <c r="CR9">
        <v>-1.3116044920686056</v>
      </c>
      <c r="CS9">
        <v>-3.2708565654936954E-2</v>
      </c>
      <c r="CT9">
        <v>0</v>
      </c>
      <c r="CU9" s="10">
        <v>0.40099725127220154</v>
      </c>
      <c r="CV9" s="11">
        <v>-3.8129875540733336</v>
      </c>
      <c r="CW9">
        <v>0.06</v>
      </c>
      <c r="CX9" t="e">
        <v>#VALUE!</v>
      </c>
      <c r="CY9" t="s">
        <v>218</v>
      </c>
      <c r="CZ9">
        <v>0.40099725127220154</v>
      </c>
      <c r="DA9" t="e">
        <v>#VALUE!</v>
      </c>
      <c r="DB9" t="s">
        <v>219</v>
      </c>
      <c r="DC9">
        <v>0.38094738870859146</v>
      </c>
      <c r="DD9" t="e">
        <v>#VALUE!</v>
      </c>
      <c r="DE9" t="s">
        <v>219</v>
      </c>
      <c r="DF9">
        <v>0.35287758111953738</v>
      </c>
      <c r="DG9" t="e">
        <v>#VALUE!</v>
      </c>
      <c r="DH9" t="s">
        <v>219</v>
      </c>
      <c r="DI9">
        <v>0.32079780101776123</v>
      </c>
      <c r="DJ9" t="e">
        <v>#VALUE!</v>
      </c>
      <c r="DK9" t="s">
        <v>219</v>
      </c>
      <c r="DL9">
        <v>0.28069807589054108</v>
      </c>
      <c r="DM9">
        <v>-484999999.99999994</v>
      </c>
      <c r="DN9">
        <v>0.40099725127220154</v>
      </c>
      <c r="DO9">
        <v>2119520420</v>
      </c>
      <c r="DP9">
        <v>-529537410</v>
      </c>
      <c r="DQ9">
        <v>1695</v>
      </c>
      <c r="DR9">
        <v>-0.42579063970195363</v>
      </c>
      <c r="DS9">
        <v>4.6718799780144753</v>
      </c>
      <c r="DT9" s="12">
        <v>-0.45333333333333342</v>
      </c>
      <c r="DU9">
        <v>-1.8516666666666666</v>
      </c>
      <c r="DV9">
        <v>-2.3050000000000002</v>
      </c>
      <c r="DW9">
        <v>-2.1385000000000001</v>
      </c>
      <c r="DX9">
        <v>0.29099064039408862</v>
      </c>
      <c r="DY9">
        <v>-2.0181422036945813</v>
      </c>
      <c r="DZ9">
        <v>4581</v>
      </c>
      <c r="EA9">
        <v>-2.0018781263707308</v>
      </c>
      <c r="EB9">
        <v>2</v>
      </c>
      <c r="EC9">
        <v>6.2996063110299455E-2</v>
      </c>
      <c r="ED9">
        <v>0.48092033843619814</v>
      </c>
      <c r="EE9" s="13">
        <v>-1.0538000000000001</v>
      </c>
      <c r="EF9">
        <v>-1.0864</v>
      </c>
      <c r="EG9">
        <v>16.130990640394089</v>
      </c>
      <c r="EH9" t="s">
        <v>373</v>
      </c>
      <c r="EI9">
        <v>0</v>
      </c>
      <c r="EJ9">
        <v>0</v>
      </c>
      <c r="EK9" s="15">
        <v>45470</v>
      </c>
      <c r="EL9" s="16">
        <v>20</v>
      </c>
      <c r="EM9" s="16">
        <v>-7.69</v>
      </c>
      <c r="EN9" s="16">
        <v>-5.56</v>
      </c>
      <c r="EO9" s="16">
        <v>5.39</v>
      </c>
      <c r="EP9" s="16">
        <v>3.26</v>
      </c>
    </row>
    <row r="10" spans="1:146" ht="108" x14ac:dyDescent="0.25">
      <c r="A10" s="7"/>
      <c r="B10" s="7"/>
      <c r="C10" s="7" t="str">
        <f>""&amp;CHAR(10)&amp;Basic_Fundamental_Information_Constructure(F10)&amp;CHAR(10)&amp;Basic_Fundamental_Information_Concatenate("")</f>
        <v xml:space="preserve">
市值16.659582亿, 利润-7609.25万; PE; 平均PE-6.68; 平均PEG-.1, PB2.92; ROIC0%; ROE-78.66%; 股利率0%; 毛利24.0967%; 净利-19.0833%; 上一年度营收增-30.84%, 利润增70.73%; 当季营收增-21.63%, 利润增-4.32%; 过往5年营收增69.77%, 利润增1313.34%
Income profile:
</v>
      </c>
      <c r="D10" t="s">
        <v>132</v>
      </c>
      <c r="E10" t="s">
        <v>133</v>
      </c>
      <c r="F10">
        <v>3.54</v>
      </c>
      <c r="G10">
        <v>2.91</v>
      </c>
      <c r="H10" t="s">
        <v>651</v>
      </c>
      <c r="I10">
        <v>1665958200</v>
      </c>
      <c r="K10">
        <v>2.92</v>
      </c>
      <c r="L10" t="s">
        <v>81</v>
      </c>
      <c r="M10" t="s">
        <v>652</v>
      </c>
      <c r="N10" t="s">
        <v>653</v>
      </c>
      <c r="O10" t="s">
        <v>654</v>
      </c>
      <c r="P10">
        <v>-21.49</v>
      </c>
      <c r="Q10" t="s">
        <v>655</v>
      </c>
      <c r="R10">
        <v>4649027</v>
      </c>
      <c r="S10" s="5">
        <v>-4.3200000000000002E-2</v>
      </c>
      <c r="T10" t="s">
        <v>656</v>
      </c>
      <c r="U10">
        <v>322465430</v>
      </c>
      <c r="V10">
        <v>470609660</v>
      </c>
      <c r="W10">
        <v>3.42</v>
      </c>
      <c r="X10">
        <v>0.18</v>
      </c>
      <c r="Y10">
        <v>1.38</v>
      </c>
      <c r="Z10" t="s">
        <v>657</v>
      </c>
      <c r="AA10" t="s">
        <v>658</v>
      </c>
      <c r="AB10" t="s">
        <v>659</v>
      </c>
      <c r="AC10" t="s">
        <v>660</v>
      </c>
      <c r="AD10" t="s">
        <v>5</v>
      </c>
      <c r="AE10">
        <v>9352740</v>
      </c>
      <c r="AF10" t="s">
        <v>661</v>
      </c>
      <c r="AG10" t="s">
        <v>662</v>
      </c>
      <c r="AH10" t="s">
        <v>663</v>
      </c>
      <c r="AI10" t="s">
        <v>664</v>
      </c>
      <c r="AJ10" t="s">
        <v>665</v>
      </c>
      <c r="AK10" t="s">
        <v>666</v>
      </c>
      <c r="AL10" t="s">
        <v>667</v>
      </c>
      <c r="AM10" t="s">
        <v>5</v>
      </c>
      <c r="AN10" t="s">
        <v>668</v>
      </c>
      <c r="AO10" t="s">
        <v>669</v>
      </c>
      <c r="AP10" t="s">
        <v>397</v>
      </c>
      <c r="AQ10" t="s">
        <v>670</v>
      </c>
      <c r="AR10" t="s">
        <v>5</v>
      </c>
      <c r="AS10" t="s">
        <v>671</v>
      </c>
      <c r="AT10" t="s">
        <v>672</v>
      </c>
      <c r="AU10" t="s">
        <v>673</v>
      </c>
      <c r="AV10" t="s">
        <v>674</v>
      </c>
      <c r="AW10" t="s">
        <v>675</v>
      </c>
      <c r="AX10" t="s">
        <v>361</v>
      </c>
      <c r="AY10" t="s">
        <v>189</v>
      </c>
      <c r="AZ10" t="s">
        <v>134</v>
      </c>
      <c r="BA10" t="s">
        <v>77</v>
      </c>
      <c r="BB10" t="s">
        <v>38</v>
      </c>
      <c r="BC10" t="s">
        <v>362</v>
      </c>
      <c r="BD10" t="s">
        <v>190</v>
      </c>
      <c r="BE10" t="s">
        <v>40</v>
      </c>
      <c r="BF10" t="s">
        <v>26</v>
      </c>
      <c r="BG10" t="s">
        <v>135</v>
      </c>
      <c r="BH10" t="s">
        <v>655</v>
      </c>
      <c r="BI10" t="s">
        <v>676</v>
      </c>
      <c r="BJ10" t="s">
        <v>361</v>
      </c>
      <c r="BK10" t="s">
        <v>656</v>
      </c>
      <c r="BL10" t="s">
        <v>677</v>
      </c>
      <c r="BM10" t="s">
        <v>362</v>
      </c>
      <c r="BN10" t="s">
        <v>5</v>
      </c>
      <c r="BO10" t="s">
        <v>5</v>
      </c>
      <c r="BP10" t="s">
        <v>5</v>
      </c>
      <c r="BQ10">
        <v>-27.21</v>
      </c>
      <c r="BR10">
        <v>-83.85</v>
      </c>
      <c r="BS10">
        <v>-124.92</v>
      </c>
      <c r="BT10" t="s">
        <v>342</v>
      </c>
      <c r="BU10" t="s">
        <v>81</v>
      </c>
      <c r="BV10">
        <v>26.27</v>
      </c>
      <c r="BW10">
        <v>23.49</v>
      </c>
      <c r="BX10">
        <v>22.53</v>
      </c>
      <c r="BY10">
        <v>-4.5599999999999996</v>
      </c>
      <c r="BZ10">
        <v>-11.06</v>
      </c>
      <c r="CA10">
        <v>-41.63</v>
      </c>
      <c r="CB10">
        <v>0.56999999999999995</v>
      </c>
      <c r="CC10">
        <v>-9.69</v>
      </c>
      <c r="CD10" t="s">
        <v>678</v>
      </c>
      <c r="CE10" t="s">
        <v>679</v>
      </c>
      <c r="CF10" s="10">
        <v>-0.21627408993576017</v>
      </c>
      <c r="CG10" s="11">
        <v>-4.3232903212529067E-2</v>
      </c>
      <c r="CH10" s="10">
        <v>-0.30837944149971008</v>
      </c>
      <c r="CI10" s="10">
        <v>-0.35765025019645691</v>
      </c>
      <c r="CJ10" s="10">
        <v>-0.33731666207313538</v>
      </c>
      <c r="CK10" s="10">
        <v>0.58206808567047119</v>
      </c>
      <c r="CL10" s="10">
        <v>3.9099860191345215</v>
      </c>
      <c r="CM10" s="11">
        <v>0.70733654499053955</v>
      </c>
      <c r="CN10" s="11">
        <v>0.82939630746841431</v>
      </c>
      <c r="CO10" s="11">
        <v>-8.1886796951293945</v>
      </c>
      <c r="CP10" s="11">
        <v>0.42281877994537354</v>
      </c>
      <c r="CQ10" s="11">
        <v>71.896278381347656</v>
      </c>
      <c r="CR10">
        <v>-6.6769708529817171</v>
      </c>
      <c r="CS10">
        <v>-9.569404102420917E-2</v>
      </c>
      <c r="CT10">
        <v>0</v>
      </c>
      <c r="CU10" s="10">
        <v>0.69774155020713802</v>
      </c>
      <c r="CV10" s="11">
        <v>13.133430063724518</v>
      </c>
      <c r="CW10">
        <v>0.06</v>
      </c>
      <c r="CX10" t="e">
        <v>#VALUE!</v>
      </c>
      <c r="CY10" t="s">
        <v>219</v>
      </c>
      <c r="CZ10">
        <v>0.69774155020713802</v>
      </c>
      <c r="DA10" t="e">
        <v>#VALUE!</v>
      </c>
      <c r="DB10" t="s">
        <v>219</v>
      </c>
      <c r="DC10">
        <v>0.66285447269678111</v>
      </c>
      <c r="DD10" t="e">
        <v>#VALUE!</v>
      </c>
      <c r="DE10" t="s">
        <v>219</v>
      </c>
      <c r="DF10">
        <v>0.61401256418228145</v>
      </c>
      <c r="DG10" t="e">
        <v>#VALUE!</v>
      </c>
      <c r="DH10" t="s">
        <v>219</v>
      </c>
      <c r="DI10">
        <v>0.55819324016571048</v>
      </c>
      <c r="DJ10" t="e">
        <v>#VALUE!</v>
      </c>
      <c r="DK10" t="s">
        <v>219</v>
      </c>
      <c r="DL10">
        <v>0.4884190851449966</v>
      </c>
      <c r="DM10">
        <v>-76092500</v>
      </c>
      <c r="DN10">
        <v>0.69774155020713802</v>
      </c>
      <c r="DO10">
        <v>2478958200</v>
      </c>
      <c r="DP10">
        <v>-193385710</v>
      </c>
      <c r="DQ10">
        <v>1935</v>
      </c>
      <c r="DR10">
        <v>-0.91401564014289816</v>
      </c>
      <c r="DS10">
        <v>-13.176662966937046</v>
      </c>
      <c r="DT10" s="12">
        <v>-0.30666666666666681</v>
      </c>
      <c r="DU10">
        <v>-0.34333333333333343</v>
      </c>
      <c r="DV10">
        <v>-0.65000000000000024</v>
      </c>
      <c r="DW10">
        <v>-2.0969000000000002</v>
      </c>
      <c r="DX10">
        <v>0.27068384279476132</v>
      </c>
      <c r="DY10">
        <v>-2.0049112643668123</v>
      </c>
      <c r="DZ10">
        <v>3119</v>
      </c>
      <c r="EA10">
        <v>-2.0019135669969321</v>
      </c>
      <c r="EB10">
        <v>2</v>
      </c>
      <c r="EC10">
        <v>4.9325804319443847E-2</v>
      </c>
      <c r="ED10">
        <v>0.97320569237784027</v>
      </c>
      <c r="EE10" s="13">
        <v>-4.0403099999999998</v>
      </c>
      <c r="EF10">
        <v>-4.0488099999999996</v>
      </c>
      <c r="EG10">
        <v>22.050683842794761</v>
      </c>
      <c r="EH10" t="s">
        <v>680</v>
      </c>
      <c r="EI10">
        <v>0</v>
      </c>
      <c r="EJ10">
        <v>0</v>
      </c>
      <c r="EK10" s="15">
        <v>45470</v>
      </c>
      <c r="EL10" s="16">
        <v>-1.1499999999999999</v>
      </c>
      <c r="EM10" s="16">
        <v>-2.61</v>
      </c>
      <c r="EN10" s="16">
        <v>0.89</v>
      </c>
      <c r="EO10" s="16">
        <v>4.42</v>
      </c>
      <c r="EP10" s="16">
        <v>-0.85</v>
      </c>
    </row>
    <row r="11" spans="1:146" ht="108" x14ac:dyDescent="0.25">
      <c r="C11" s="7" t="str">
        <f>""&amp;CHAR(10)&amp;Basic_Fundamental_Information_Constructure(F11)&amp;CHAR(10)&amp;Basic_Fundamental_Information_Concatenate("")</f>
        <v xml:space="preserve">
市值15.294868亿, 利润-2.55亿; PE; 平均PE-163.46; 平均PEG-21.44, PB1.45; ROIC11.0133%; ROE8.11%; 股利率0%; 毛利73.2933%; 净利-2.1367%; 上一年度营收增-51.46%, 利润增-541.95%; 当季营收增-63.23%, 利润增-306.22%; 过往5年营收增7.63%, 利润增-546.44%
Income profile:
</v>
      </c>
      <c r="D11" t="s">
        <v>235</v>
      </c>
      <c r="E11" t="s">
        <v>392</v>
      </c>
      <c r="F11">
        <v>7.67</v>
      </c>
      <c r="G11">
        <v>3.65</v>
      </c>
      <c r="H11" t="s">
        <v>681</v>
      </c>
      <c r="I11">
        <v>1529486800</v>
      </c>
      <c r="K11">
        <v>1.45</v>
      </c>
      <c r="L11" t="s">
        <v>81</v>
      </c>
      <c r="M11" t="s">
        <v>30</v>
      </c>
      <c r="N11" t="s">
        <v>383</v>
      </c>
      <c r="O11" t="s">
        <v>682</v>
      </c>
      <c r="P11">
        <v>-63.33</v>
      </c>
      <c r="Q11" t="s">
        <v>683</v>
      </c>
      <c r="R11">
        <v>-62460265</v>
      </c>
      <c r="S11" s="5">
        <v>-3.0619999999999998</v>
      </c>
      <c r="T11" t="s">
        <v>386</v>
      </c>
      <c r="U11">
        <v>199387780</v>
      </c>
      <c r="V11">
        <v>199411580</v>
      </c>
      <c r="W11">
        <v>1.19</v>
      </c>
      <c r="X11">
        <v>0.03</v>
      </c>
      <c r="Y11">
        <v>-154.61000000000001</v>
      </c>
      <c r="Z11" t="s">
        <v>684</v>
      </c>
      <c r="AA11" t="s">
        <v>685</v>
      </c>
      <c r="AB11" t="s">
        <v>686</v>
      </c>
      <c r="AC11" t="s">
        <v>687</v>
      </c>
      <c r="AD11" t="s">
        <v>5</v>
      </c>
      <c r="AE11">
        <v>-4607</v>
      </c>
      <c r="AF11" t="s">
        <v>688</v>
      </c>
      <c r="AG11">
        <v>1011.89</v>
      </c>
      <c r="AH11" t="s">
        <v>689</v>
      </c>
      <c r="AI11" t="s">
        <v>348</v>
      </c>
      <c r="AJ11" t="s">
        <v>690</v>
      </c>
      <c r="AK11" t="s">
        <v>5</v>
      </c>
      <c r="AL11" t="s">
        <v>691</v>
      </c>
      <c r="AM11" t="s">
        <v>5</v>
      </c>
      <c r="AN11" t="s">
        <v>692</v>
      </c>
      <c r="AO11" t="s">
        <v>693</v>
      </c>
      <c r="AP11" t="s">
        <v>694</v>
      </c>
      <c r="AQ11" t="s">
        <v>695</v>
      </c>
      <c r="AR11" t="s">
        <v>5</v>
      </c>
      <c r="AS11" t="s">
        <v>25</v>
      </c>
      <c r="AT11" t="s">
        <v>5</v>
      </c>
      <c r="AU11" t="s">
        <v>696</v>
      </c>
      <c r="AV11" t="s">
        <v>697</v>
      </c>
      <c r="AW11" t="s">
        <v>698</v>
      </c>
      <c r="AX11" t="s">
        <v>274</v>
      </c>
      <c r="AY11" t="s">
        <v>236</v>
      </c>
      <c r="AZ11" t="s">
        <v>222</v>
      </c>
      <c r="BA11" t="s">
        <v>195</v>
      </c>
      <c r="BB11" t="s">
        <v>209</v>
      </c>
      <c r="BC11" t="s">
        <v>364</v>
      </c>
      <c r="BD11" t="s">
        <v>237</v>
      </c>
      <c r="BE11" t="s">
        <v>199</v>
      </c>
      <c r="BF11" t="s">
        <v>238</v>
      </c>
      <c r="BG11" t="s">
        <v>239</v>
      </c>
      <c r="BH11" t="s">
        <v>683</v>
      </c>
      <c r="BI11" t="s">
        <v>398</v>
      </c>
      <c r="BJ11" t="s">
        <v>274</v>
      </c>
      <c r="BK11" t="s">
        <v>386</v>
      </c>
      <c r="BL11" t="s">
        <v>699</v>
      </c>
      <c r="BM11" t="s">
        <v>364</v>
      </c>
      <c r="BN11">
        <v>-0.47</v>
      </c>
      <c r="BO11">
        <v>10.06</v>
      </c>
      <c r="BP11">
        <v>23.45</v>
      </c>
      <c r="BQ11">
        <v>-2.1</v>
      </c>
      <c r="BR11">
        <v>4.8499999999999996</v>
      </c>
      <c r="BS11">
        <v>21.58</v>
      </c>
      <c r="BT11" t="s">
        <v>342</v>
      </c>
      <c r="BU11" t="s">
        <v>81</v>
      </c>
      <c r="BV11">
        <v>48.22</v>
      </c>
      <c r="BW11">
        <v>81.09</v>
      </c>
      <c r="BX11">
        <v>90.57</v>
      </c>
      <c r="BY11">
        <v>-97.48</v>
      </c>
      <c r="BZ11">
        <v>30.97</v>
      </c>
      <c r="CA11">
        <v>60.1</v>
      </c>
      <c r="CB11">
        <v>3.23</v>
      </c>
      <c r="CC11">
        <v>-10.19</v>
      </c>
      <c r="CD11" t="s">
        <v>700</v>
      </c>
      <c r="CE11" t="s">
        <v>385</v>
      </c>
      <c r="CF11" s="10">
        <v>-0.63232627118644069</v>
      </c>
      <c r="CG11" s="11">
        <v>-3.0621979846937091</v>
      </c>
      <c r="CH11" s="10">
        <v>-0.51456308364868164</v>
      </c>
      <c r="CI11" s="10">
        <v>7.2916664183139801E-2</v>
      </c>
      <c r="CJ11" s="10">
        <v>1.3529411554336548</v>
      </c>
      <c r="CK11" s="10">
        <v>-5.55555559694767E-2</v>
      </c>
      <c r="CL11" s="10">
        <v>-0.47445255517959595</v>
      </c>
      <c r="CM11" s="11">
        <v>-5.4195408821105957</v>
      </c>
      <c r="CN11" s="11">
        <v>-0.72393155097961426</v>
      </c>
      <c r="CO11" s="11">
        <v>0.41216215491294861</v>
      </c>
      <c r="CP11" s="11">
        <v>1.6548672914505005</v>
      </c>
      <c r="CQ11" s="11">
        <v>-23.245407104492187</v>
      </c>
      <c r="CR11">
        <v>-163.45822668469245</v>
      </c>
      <c r="CS11">
        <v>-21.435085319642432</v>
      </c>
      <c r="CT11">
        <v>0</v>
      </c>
      <c r="CU11" s="10">
        <v>7.6257324963808062E-2</v>
      </c>
      <c r="CV11" s="11">
        <v>-5.4643700182437893</v>
      </c>
      <c r="CW11">
        <v>0.06</v>
      </c>
      <c r="CX11" t="e">
        <v>#VALUE!</v>
      </c>
      <c r="CY11" t="s">
        <v>218</v>
      </c>
      <c r="CZ11">
        <v>7.6257324963808062E-2</v>
      </c>
      <c r="DA11" t="e">
        <v>#VALUE!</v>
      </c>
      <c r="DB11" t="s">
        <v>219</v>
      </c>
      <c r="DC11">
        <v>7.2444458715617652E-2</v>
      </c>
      <c r="DD11" t="e">
        <v>#VALUE!</v>
      </c>
      <c r="DE11" t="s">
        <v>219</v>
      </c>
      <c r="DF11">
        <v>6.7106445968151102E-2</v>
      </c>
      <c r="DG11" t="e">
        <v>#VALUE!</v>
      </c>
      <c r="DH11" t="s">
        <v>219</v>
      </c>
      <c r="DI11">
        <v>6.1005859971046454E-2</v>
      </c>
      <c r="DJ11" t="e">
        <v>#VALUE!</v>
      </c>
      <c r="DK11" t="s">
        <v>219</v>
      </c>
      <c r="DL11">
        <v>5.338012747466564E-2</v>
      </c>
      <c r="DM11">
        <v>-254999999.99999997</v>
      </c>
      <c r="DN11">
        <v>7.6257324963808062E-2</v>
      </c>
      <c r="DO11">
        <v>469486800</v>
      </c>
      <c r="DP11">
        <v>400808550</v>
      </c>
      <c r="DQ11">
        <v>1989</v>
      </c>
      <c r="DR11">
        <v>-0.7085835961502488</v>
      </c>
      <c r="DS11">
        <v>2.4021720335500802</v>
      </c>
      <c r="DT11" s="12">
        <v>-0.44</v>
      </c>
      <c r="DU11">
        <v>-2.1983333333333337</v>
      </c>
      <c r="DV11">
        <v>-2.6383333333333336</v>
      </c>
      <c r="DW11">
        <v>6.2406855439642328</v>
      </c>
      <c r="DX11">
        <v>0.37725885714285612</v>
      </c>
      <c r="DY11">
        <v>6.0258156563764107</v>
      </c>
      <c r="DZ11">
        <v>4764</v>
      </c>
      <c r="EA11">
        <v>6.0017479876920232</v>
      </c>
      <c r="EB11">
        <v>6</v>
      </c>
      <c r="EC11">
        <v>9.4128435269406119E-2</v>
      </c>
      <c r="ED11">
        <v>0.87758193380745486</v>
      </c>
      <c r="EE11" s="13">
        <v>-4.0510099999999998</v>
      </c>
      <c r="EF11">
        <v>-4.0668100000000003</v>
      </c>
      <c r="EG11">
        <v>27.107258857142856</v>
      </c>
      <c r="EH11" t="s">
        <v>680</v>
      </c>
      <c r="EI11">
        <v>0</v>
      </c>
      <c r="EJ11">
        <v>0</v>
      </c>
      <c r="EK11" s="15">
        <v>45470</v>
      </c>
      <c r="EL11" s="16">
        <v>-1.54</v>
      </c>
      <c r="EM11" s="16">
        <v>-5.61</v>
      </c>
      <c r="EN11" s="16">
        <v>-1.66</v>
      </c>
      <c r="EO11" s="16">
        <v>6.74</v>
      </c>
      <c r="EP11" s="16">
        <v>-1.58</v>
      </c>
    </row>
    <row r="12" spans="1:146" ht="108" x14ac:dyDescent="0.25">
      <c r="A12" s="7"/>
      <c r="B12" s="7"/>
      <c r="C12" s="7" t="str">
        <f>""&amp;CHAR(10)&amp;Basic_Fundamental_Information_Constructure(F12)&amp;CHAR(10)&amp;Basic_Fundamental_Information_Concatenate("")</f>
        <v xml:space="preserve">
市值42.427847亿, 利润3.32亿; PE12.55; 平均PE60.21; 平均PEG.2, PB1.9; ROIC11.99%; ROE5.6067%; 股利率3.8168%; 毛利37.3733%; 净利2.3067%; 上一年度营收增47.57%, 利润增53%; 当季营收增23.06%, 利润增7.67%; 过往5年营收增304.44%, 利润增-114.13%
Income profile:
</v>
      </c>
      <c r="D12" t="s">
        <v>240</v>
      </c>
      <c r="E12" t="s">
        <v>241</v>
      </c>
      <c r="F12">
        <v>10.48</v>
      </c>
      <c r="G12">
        <v>3.97</v>
      </c>
      <c r="H12" t="s">
        <v>701</v>
      </c>
      <c r="I12">
        <v>4242784700</v>
      </c>
      <c r="J12">
        <v>12.55</v>
      </c>
      <c r="K12">
        <v>1.9</v>
      </c>
      <c r="L12" t="s">
        <v>81</v>
      </c>
      <c r="M12" t="s">
        <v>702</v>
      </c>
      <c r="N12" t="s">
        <v>703</v>
      </c>
      <c r="O12" t="s">
        <v>704</v>
      </c>
      <c r="P12">
        <v>23.05</v>
      </c>
      <c r="Q12" t="s">
        <v>705</v>
      </c>
      <c r="R12">
        <v>81948948</v>
      </c>
      <c r="S12" s="5">
        <v>7.6700000000000004E-2</v>
      </c>
      <c r="T12" t="s">
        <v>706</v>
      </c>
      <c r="U12">
        <v>366397000</v>
      </c>
      <c r="V12">
        <v>404845870</v>
      </c>
      <c r="W12">
        <v>1.55</v>
      </c>
      <c r="X12">
        <v>0.5</v>
      </c>
      <c r="Y12">
        <v>4.83</v>
      </c>
      <c r="Z12" t="s">
        <v>707</v>
      </c>
      <c r="AA12" t="s">
        <v>708</v>
      </c>
      <c r="AB12" t="s">
        <v>709</v>
      </c>
      <c r="AC12" t="s">
        <v>234</v>
      </c>
      <c r="AD12" t="s">
        <v>5</v>
      </c>
      <c r="AE12">
        <v>-1343886</v>
      </c>
      <c r="AF12" t="s">
        <v>710</v>
      </c>
      <c r="AG12" t="s">
        <v>711</v>
      </c>
      <c r="AH12" t="s">
        <v>712</v>
      </c>
      <c r="AI12" t="s">
        <v>390</v>
      </c>
      <c r="AJ12" t="s">
        <v>713</v>
      </c>
      <c r="AK12" t="s">
        <v>5</v>
      </c>
      <c r="AL12" t="s">
        <v>714</v>
      </c>
      <c r="AM12" t="s">
        <v>5</v>
      </c>
      <c r="AN12">
        <v>0</v>
      </c>
      <c r="AO12" t="s">
        <v>715</v>
      </c>
      <c r="AP12" t="s">
        <v>716</v>
      </c>
      <c r="AQ12" t="s">
        <v>717</v>
      </c>
      <c r="AR12" t="s">
        <v>5</v>
      </c>
      <c r="AS12" t="s">
        <v>434</v>
      </c>
      <c r="AT12" t="s">
        <v>604</v>
      </c>
      <c r="AU12" t="s">
        <v>718</v>
      </c>
      <c r="AV12" t="s">
        <v>719</v>
      </c>
      <c r="AW12" t="s">
        <v>412</v>
      </c>
      <c r="AX12" t="s">
        <v>365</v>
      </c>
      <c r="AY12" t="s">
        <v>242</v>
      </c>
      <c r="AZ12" t="s">
        <v>244</v>
      </c>
      <c r="BA12" t="s">
        <v>245</v>
      </c>
      <c r="BB12" t="s">
        <v>246</v>
      </c>
      <c r="BC12" t="s">
        <v>720</v>
      </c>
      <c r="BD12" t="s">
        <v>243</v>
      </c>
      <c r="BE12" t="s">
        <v>247</v>
      </c>
      <c r="BF12" t="s">
        <v>248</v>
      </c>
      <c r="BG12" t="s">
        <v>249</v>
      </c>
      <c r="BH12" t="s">
        <v>705</v>
      </c>
      <c r="BI12" t="s">
        <v>721</v>
      </c>
      <c r="BJ12" t="s">
        <v>365</v>
      </c>
      <c r="BK12" t="s">
        <v>706</v>
      </c>
      <c r="BL12" t="s">
        <v>722</v>
      </c>
      <c r="BM12" t="s">
        <v>720</v>
      </c>
      <c r="BN12">
        <v>13.52</v>
      </c>
      <c r="BO12">
        <v>10.46</v>
      </c>
      <c r="BP12" t="s">
        <v>5</v>
      </c>
      <c r="BQ12">
        <v>13.94</v>
      </c>
      <c r="BR12">
        <v>10.02</v>
      </c>
      <c r="BS12">
        <v>-7.14</v>
      </c>
      <c r="BT12" t="s">
        <v>723</v>
      </c>
      <c r="BU12" t="s">
        <v>81</v>
      </c>
      <c r="BV12">
        <v>36.96</v>
      </c>
      <c r="BW12">
        <v>37.92</v>
      </c>
      <c r="BX12">
        <v>37.24</v>
      </c>
      <c r="BY12">
        <v>5.35</v>
      </c>
      <c r="BZ12">
        <v>5.52</v>
      </c>
      <c r="CA12">
        <v>-3.95</v>
      </c>
      <c r="CB12">
        <v>-8.31</v>
      </c>
      <c r="CC12">
        <v>-23.28</v>
      </c>
      <c r="CD12" t="s">
        <v>724</v>
      </c>
      <c r="CE12" t="s">
        <v>725</v>
      </c>
      <c r="CF12" s="10">
        <v>0.23060188542422044</v>
      </c>
      <c r="CG12" s="11">
        <v>7.6738445771497271E-2</v>
      </c>
      <c r="CH12" s="10">
        <v>0.47566226124763489</v>
      </c>
      <c r="CI12" s="10">
        <v>1.1286746263504028</v>
      </c>
      <c r="CJ12" s="10">
        <v>14.370369911193848</v>
      </c>
      <c r="CK12" s="10">
        <v>-0.67233008146286011</v>
      </c>
      <c r="CL12" s="10">
        <v>-8.03571417927742E-2</v>
      </c>
      <c r="CM12" s="11">
        <v>0.52995389699935913</v>
      </c>
      <c r="CN12" s="11">
        <v>3.4827296733856201</v>
      </c>
      <c r="CO12" s="11">
        <v>-0.39883232116699219</v>
      </c>
      <c r="CP12" s="11">
        <v>-8.8291177749633789</v>
      </c>
      <c r="CQ12" s="11">
        <v>-0.49139678478240967</v>
      </c>
      <c r="CR12">
        <v>60.211876235112129</v>
      </c>
      <c r="CS12">
        <v>0.19777886875103085</v>
      </c>
      <c r="CT12">
        <v>3.8167938931297707</v>
      </c>
      <c r="CU12" s="10">
        <v>3.0444039151072504</v>
      </c>
      <c r="CV12" s="11">
        <v>-1.1413326621055604</v>
      </c>
      <c r="CW12">
        <v>0.06</v>
      </c>
      <c r="CX12">
        <v>2.4746909942395603</v>
      </c>
      <c r="CY12">
        <v>1266737830.0147238</v>
      </c>
      <c r="CZ12">
        <v>3.0444039151072504</v>
      </c>
      <c r="DA12">
        <v>0.14164381214385957</v>
      </c>
      <c r="DB12">
        <v>22131462381.259388</v>
      </c>
      <c r="DC12">
        <v>2.8921837193518876</v>
      </c>
      <c r="DD12">
        <v>3.8470733781675809E-3</v>
      </c>
      <c r="DE12">
        <v>814849209217.09717</v>
      </c>
      <c r="DF12">
        <v>2.6790754452943806</v>
      </c>
      <c r="DG12">
        <v>5.1046891265647668E-5</v>
      </c>
      <c r="DH12">
        <v>61409904154331.398</v>
      </c>
      <c r="DI12">
        <v>2.4355231320858004</v>
      </c>
      <c r="DJ12">
        <v>2.4422997256296789E-9</v>
      </c>
      <c r="DK12">
        <v>1.2835380797464502E+18</v>
      </c>
      <c r="DL12">
        <v>2.1310827405750752</v>
      </c>
      <c r="DM12">
        <v>332000000</v>
      </c>
      <c r="DN12">
        <v>3.0444039151072504</v>
      </c>
      <c r="DO12">
        <v>3134784700</v>
      </c>
      <c r="DP12">
        <v>1438343400</v>
      </c>
      <c r="DQ12">
        <v>2059</v>
      </c>
      <c r="DR12">
        <v>-2.8138020296830302</v>
      </c>
      <c r="DS12">
        <v>1.2180711078770576</v>
      </c>
      <c r="DT12" s="12">
        <v>0.24</v>
      </c>
      <c r="DU12">
        <v>-1.2066666666666666</v>
      </c>
      <c r="DV12">
        <v>-0.96666666666666656</v>
      </c>
      <c r="DW12">
        <v>-9.3569587628865971</v>
      </c>
      <c r="DX12">
        <v>0.46320418848167505</v>
      </c>
      <c r="DY12">
        <v>-9.0582571652183308</v>
      </c>
      <c r="DZ12">
        <v>3531</v>
      </c>
      <c r="EA12">
        <v>-9.0180015780586587</v>
      </c>
      <c r="EB12">
        <v>9</v>
      </c>
      <c r="EC12">
        <v>7.6997203898856614E-2</v>
      </c>
      <c r="ED12">
        <v>0.47178448430263104</v>
      </c>
      <c r="EE12" s="13">
        <v>1.0216099999999999</v>
      </c>
      <c r="EF12">
        <v>1.05951</v>
      </c>
      <c r="EG12">
        <v>30.163204188481675</v>
      </c>
      <c r="EH12" t="s">
        <v>464</v>
      </c>
      <c r="EI12">
        <v>0</v>
      </c>
      <c r="EJ12">
        <v>0</v>
      </c>
      <c r="EK12" s="15">
        <v>45470</v>
      </c>
      <c r="EL12" s="16">
        <v>-0.33</v>
      </c>
      <c r="EM12" s="16">
        <v>-4.38</v>
      </c>
      <c r="EN12" s="16">
        <v>1.04</v>
      </c>
      <c r="EO12" s="16">
        <v>3.85</v>
      </c>
      <c r="EP12" s="16">
        <v>-3.79</v>
      </c>
    </row>
    <row r="13" spans="1:146" ht="216" x14ac:dyDescent="0.25">
      <c r="A13" s="9" t="s">
        <v>223</v>
      </c>
      <c r="B13" s="9" t="s">
        <v>166</v>
      </c>
      <c r="C13" s="7" t="str">
        <f>"公司主营业务是在“电商全域服务商+新消费品牌加速器”的双轮驱动下，为品牌提供全域的电子商务服务，为更多的消费者带去更好的产品。主要产品是品牌线上营销服务、品牌线上管理服务、线上分销、内容电商服务、技术咨询服务。"&amp;CHAR(10)&amp;Basic_Fundamental_Information_Constructure(C13)&amp;CHAR(10)&amp;Basic_Fundamental_Information_Concatenate("品牌线上管理服务 6.03亿 53.09% 65.45% 58.70%
线上分销 2.61亿 23.00% 13.62% 28.19%
品牌线上营销服务 2.26亿 19.94% 18.79% 44.86%
内容电商服务 3348.88万 2.95% 1.18% 18.96%
其他 1033.47万 0.91% 0.88% 45.91%
技术咨询服务 127.36万 0.11% 0.09% 37.14%")</f>
        <v>公司主营业务是在“电商全域服务商+新消费品牌加速器”的双轮驱动下，为品牌提供全域的电子商务服务，为更多的消费者带去更好的产品。主要产品是品牌线上营销服务、品牌线上管理服务、线上分销、内容电商服务、技术咨询服务。
市值63.798422亿, 利润1.80亿; PE43.46; 平均PE28.63; 平均PEG1.44, PB2.26; ROIC13.1367%; ROE13.4167%; 股利率.5607%; 毛利42.5867%; 净利24.19%; 上一年度营收增35.59%, 利润增-44.95%; 当季营收增-25.85%, 利润增-36.47%; 过往5年营收增19.92%, 利润增10.91%
Income profile:
品牌线上管理服务 6.03亿 53.09% 65.45% 58.70%
线上分销 2.61亿 23.00% 13.62% 28.19%
品牌线上营销服务 2.26亿 19.94% 18.79% 44.86%
内容电商服务 3348.88万 2.95% 1.18% 18.96%
其他 1033.47万 0.91% 0.88% 45.91%
技术咨询服务 127.36万 0.11% 0.09% 37.14%</v>
      </c>
      <c r="D13" t="s">
        <v>136</v>
      </c>
      <c r="E13" t="s">
        <v>137</v>
      </c>
      <c r="F13">
        <v>15.14</v>
      </c>
      <c r="G13">
        <v>2.02</v>
      </c>
      <c r="H13" t="s">
        <v>726</v>
      </c>
      <c r="I13">
        <v>3610871400</v>
      </c>
      <c r="J13">
        <v>38.17</v>
      </c>
      <c r="K13">
        <v>1.27</v>
      </c>
      <c r="L13" t="s">
        <v>81</v>
      </c>
      <c r="M13" t="s">
        <v>727</v>
      </c>
      <c r="N13" t="s">
        <v>728</v>
      </c>
      <c r="O13" t="s">
        <v>389</v>
      </c>
      <c r="P13">
        <v>1.22</v>
      </c>
      <c r="Q13" t="s">
        <v>185</v>
      </c>
      <c r="R13">
        <v>29278802</v>
      </c>
      <c r="S13" s="5">
        <v>-0.31290000000000001</v>
      </c>
      <c r="T13" t="s">
        <v>20</v>
      </c>
      <c r="U13">
        <v>208736050</v>
      </c>
      <c r="V13">
        <v>238498770</v>
      </c>
      <c r="W13">
        <v>1.06</v>
      </c>
      <c r="X13">
        <v>0.09</v>
      </c>
      <c r="Y13">
        <v>10.41</v>
      </c>
      <c r="Z13" t="s">
        <v>729</v>
      </c>
      <c r="AA13" t="s">
        <v>725</v>
      </c>
      <c r="AB13" t="s">
        <v>730</v>
      </c>
      <c r="AC13" t="s">
        <v>731</v>
      </c>
      <c r="AD13" t="s">
        <v>5</v>
      </c>
      <c r="AE13">
        <v>-6564142</v>
      </c>
      <c r="AF13" t="s">
        <v>732</v>
      </c>
      <c r="AG13" t="s">
        <v>733</v>
      </c>
      <c r="AH13" t="s">
        <v>734</v>
      </c>
      <c r="AI13" t="s">
        <v>735</v>
      </c>
      <c r="AJ13" t="s">
        <v>736</v>
      </c>
      <c r="AK13" t="s">
        <v>5</v>
      </c>
      <c r="AL13" t="s">
        <v>737</v>
      </c>
      <c r="AM13" t="s">
        <v>5</v>
      </c>
      <c r="AN13">
        <v>0</v>
      </c>
      <c r="AO13" t="s">
        <v>5</v>
      </c>
      <c r="AP13" t="s">
        <v>5</v>
      </c>
      <c r="AQ13" t="s">
        <v>738</v>
      </c>
      <c r="AR13" t="s">
        <v>739</v>
      </c>
      <c r="AS13" t="s">
        <v>350</v>
      </c>
      <c r="AT13" t="s">
        <v>5</v>
      </c>
      <c r="AU13" t="s">
        <v>740</v>
      </c>
      <c r="AV13" t="s">
        <v>741</v>
      </c>
      <c r="AW13" t="s">
        <v>742</v>
      </c>
      <c r="AX13" t="s">
        <v>366</v>
      </c>
      <c r="AY13" t="s">
        <v>191</v>
      </c>
      <c r="AZ13" t="s">
        <v>138</v>
      </c>
      <c r="BA13" t="s">
        <v>139</v>
      </c>
      <c r="BB13" t="s">
        <v>28</v>
      </c>
      <c r="BC13" t="s">
        <v>367</v>
      </c>
      <c r="BD13" t="s">
        <v>192</v>
      </c>
      <c r="BE13" t="s">
        <v>37</v>
      </c>
      <c r="BF13" t="s">
        <v>33</v>
      </c>
      <c r="BG13" t="s">
        <v>111</v>
      </c>
      <c r="BH13" t="s">
        <v>185</v>
      </c>
      <c r="BI13" t="s">
        <v>351</v>
      </c>
      <c r="BJ13" t="s">
        <v>366</v>
      </c>
      <c r="BK13" t="s">
        <v>20</v>
      </c>
      <c r="BL13" t="s">
        <v>743</v>
      </c>
      <c r="BM13" t="s">
        <v>367</v>
      </c>
      <c r="BN13">
        <v>3.34</v>
      </c>
      <c r="BO13">
        <v>6.31</v>
      </c>
      <c r="BP13">
        <v>15.25</v>
      </c>
      <c r="BQ13">
        <v>4.09</v>
      </c>
      <c r="BR13">
        <v>6.69</v>
      </c>
      <c r="BS13">
        <v>16.329999999999998</v>
      </c>
      <c r="BT13" t="s">
        <v>744</v>
      </c>
      <c r="BU13" t="s">
        <v>81</v>
      </c>
      <c r="BV13">
        <v>29.33</v>
      </c>
      <c r="BW13">
        <v>33.590000000000003</v>
      </c>
      <c r="BX13">
        <v>47.61</v>
      </c>
      <c r="BY13">
        <v>8.3800000000000008</v>
      </c>
      <c r="BZ13">
        <v>13.79</v>
      </c>
      <c r="CA13">
        <v>31.69</v>
      </c>
      <c r="CB13">
        <v>0.6</v>
      </c>
      <c r="CC13">
        <v>-12.59</v>
      </c>
      <c r="CD13" t="s">
        <v>745</v>
      </c>
      <c r="CE13" t="s">
        <v>397</v>
      </c>
      <c r="CF13" s="10">
        <v>1.0752688172043012E-2</v>
      </c>
      <c r="CG13" s="11">
        <v>-0.31291868970485742</v>
      </c>
      <c r="CH13" s="10">
        <v>-0.1630929559469223</v>
      </c>
      <c r="CI13" s="10">
        <v>0.3559471070766449</v>
      </c>
      <c r="CJ13" s="10">
        <v>-0.12625095248222351</v>
      </c>
      <c r="CK13" s="10">
        <v>-0.10475533455610275</v>
      </c>
      <c r="CL13" s="10">
        <v>0.43237912654876709</v>
      </c>
      <c r="CM13" s="11">
        <v>-0.40000000596046448</v>
      </c>
      <c r="CN13" s="11">
        <v>-0.44954127073287964</v>
      </c>
      <c r="CO13" s="11">
        <v>5.4838709533214569E-2</v>
      </c>
      <c r="CP13" s="11">
        <v>0.41552510857582092</v>
      </c>
      <c r="CQ13" s="11">
        <v>0.34355828166007996</v>
      </c>
      <c r="CR13">
        <v>16.576303289977044</v>
      </c>
      <c r="CS13">
        <v>2.1023805679894854</v>
      </c>
      <c r="CT13">
        <v>0.89167767503302509</v>
      </c>
      <c r="CU13" s="10">
        <v>7.8845398128032679E-2</v>
      </c>
      <c r="CV13" s="11">
        <v>-7.1238353848457336E-3</v>
      </c>
      <c r="CW13">
        <v>0.06</v>
      </c>
      <c r="CX13">
        <v>9.3328829434557239</v>
      </c>
      <c r="CY13">
        <v>109920097.16776182</v>
      </c>
      <c r="CZ13">
        <v>7.8845398128032679E-2</v>
      </c>
      <c r="DA13">
        <v>3.0788800601313295</v>
      </c>
      <c r="DB13">
        <v>333196285.65077704</v>
      </c>
      <c r="DC13">
        <v>7.4903128221631046E-2</v>
      </c>
      <c r="DD13">
        <v>1.5348694051793377</v>
      </c>
      <c r="DE13">
        <v>668376994.51057518</v>
      </c>
      <c r="DF13">
        <v>6.9383950352668755E-2</v>
      </c>
      <c r="DG13">
        <v>0.93482849114765232</v>
      </c>
      <c r="DH13">
        <v>1097389959.4572453</v>
      </c>
      <c r="DI13">
        <v>6.3076318502426149E-2</v>
      </c>
      <c r="DJ13">
        <v>0.49799139899372946</v>
      </c>
      <c r="DK13">
        <v>2060018309.6995966</v>
      </c>
      <c r="DL13">
        <v>5.519177868962287E-2</v>
      </c>
      <c r="DM13">
        <v>108000000</v>
      </c>
      <c r="DN13">
        <v>7.8845398128032679E-2</v>
      </c>
      <c r="DO13">
        <v>1025871400</v>
      </c>
      <c r="DP13">
        <v>1738226200</v>
      </c>
      <c r="DQ13">
        <v>2250</v>
      </c>
      <c r="DR13">
        <v>-6.8092709955989664E-2</v>
      </c>
      <c r="DS13">
        <v>-0.30579485432001169</v>
      </c>
      <c r="DT13" s="12">
        <v>-0.35666666666666669</v>
      </c>
      <c r="DU13">
        <v>-0.32</v>
      </c>
      <c r="DV13">
        <v>-0.67666666666666675</v>
      </c>
      <c r="DW13">
        <v>-2.1259000000000001</v>
      </c>
      <c r="DX13">
        <v>0.28732945736434062</v>
      </c>
      <c r="DY13">
        <v>-2.0109947786821705</v>
      </c>
      <c r="DZ13">
        <v>1383</v>
      </c>
      <c r="EA13">
        <v>-2.0080190880916731</v>
      </c>
      <c r="EB13">
        <v>2</v>
      </c>
      <c r="EC13">
        <v>4.7235044440690405E-2</v>
      </c>
      <c r="ED13">
        <v>0.54088329260565993</v>
      </c>
      <c r="EE13" s="13">
        <v>-2.0218099999999999</v>
      </c>
      <c r="EF13">
        <v>-2.06541</v>
      </c>
      <c r="EG13">
        <v>20.087329457364341</v>
      </c>
      <c r="EH13" t="s">
        <v>395</v>
      </c>
      <c r="EI13">
        <v>0</v>
      </c>
      <c r="EJ13">
        <v>1</v>
      </c>
      <c r="EK13" s="15">
        <v>45470</v>
      </c>
      <c r="EL13" s="16">
        <v>1.93</v>
      </c>
      <c r="EM13" s="16">
        <v>-3.83</v>
      </c>
      <c r="EN13" s="16">
        <v>0.7</v>
      </c>
      <c r="EO13" s="16">
        <v>2.15</v>
      </c>
      <c r="EP13" s="16">
        <v>-4.3600000000000003</v>
      </c>
    </row>
    <row r="14" spans="1:146" ht="108" x14ac:dyDescent="0.25">
      <c r="A14" s="7"/>
      <c r="B14" s="7"/>
      <c r="C14" s="7" t="str">
        <f>""&amp;CHAR(10)&amp;Basic_Fundamental_Information_Constructure(F14)&amp;CHAR(10)&amp;Basic_Fundamental_Information_Concatenate("")</f>
        <v xml:space="preserve">
市值13.88亿, 利润2422.99万; PE182.6; 平均PE28.94; 平均PEG39.87, PB1.7; ROIC7.65%; ROE3.5467%; 股利率.7205%; 毛利28.2733%; 净利2.05%; 上一年度营收增-.13%, 利润增508.99%; 当季营收增-38.32%, 利润增-56.28%; 过往5年营收增.73%, 利润增75.25%
Income profile:
</v>
      </c>
      <c r="D14" t="s">
        <v>140</v>
      </c>
      <c r="E14" t="s">
        <v>141</v>
      </c>
      <c r="F14">
        <v>17.350000000000001</v>
      </c>
      <c r="G14">
        <v>2.66</v>
      </c>
      <c r="H14" t="s">
        <v>746</v>
      </c>
      <c r="I14">
        <v>1388000000</v>
      </c>
      <c r="J14">
        <v>182.6</v>
      </c>
      <c r="K14">
        <v>1.7</v>
      </c>
      <c r="L14" t="s">
        <v>81</v>
      </c>
      <c r="M14" t="s">
        <v>244</v>
      </c>
      <c r="N14" t="s">
        <v>747</v>
      </c>
      <c r="O14" t="s">
        <v>234</v>
      </c>
      <c r="P14">
        <v>-27.08</v>
      </c>
      <c r="Q14" t="s">
        <v>748</v>
      </c>
      <c r="R14">
        <v>1911621</v>
      </c>
      <c r="S14" s="5">
        <v>0.42649999999999999</v>
      </c>
      <c r="T14" t="s">
        <v>749</v>
      </c>
      <c r="U14">
        <v>50300000</v>
      </c>
      <c r="V14">
        <v>80000000</v>
      </c>
      <c r="W14">
        <v>1.1399999999999999</v>
      </c>
      <c r="X14">
        <v>0.11</v>
      </c>
      <c r="Y14">
        <v>1.85</v>
      </c>
      <c r="Z14" t="s">
        <v>394</v>
      </c>
      <c r="AA14" t="s">
        <v>750</v>
      </c>
      <c r="AB14" t="s">
        <v>751</v>
      </c>
      <c r="AC14" t="s">
        <v>752</v>
      </c>
      <c r="AD14" t="s">
        <v>5</v>
      </c>
      <c r="AE14">
        <v>-760818</v>
      </c>
      <c r="AF14" t="s">
        <v>753</v>
      </c>
      <c r="AG14" t="s">
        <v>754</v>
      </c>
      <c r="AH14" t="s">
        <v>755</v>
      </c>
      <c r="AI14" t="s">
        <v>756</v>
      </c>
      <c r="AJ14" t="s">
        <v>757</v>
      </c>
      <c r="AK14" t="s">
        <v>5</v>
      </c>
      <c r="AL14" t="s">
        <v>758</v>
      </c>
      <c r="AM14" t="s">
        <v>5</v>
      </c>
      <c r="AN14" t="s">
        <v>759</v>
      </c>
      <c r="AO14" t="s">
        <v>5</v>
      </c>
      <c r="AP14" t="s">
        <v>5</v>
      </c>
      <c r="AQ14" t="s">
        <v>760</v>
      </c>
      <c r="AR14" t="s">
        <v>5</v>
      </c>
      <c r="AS14" t="s">
        <v>761</v>
      </c>
      <c r="AT14" t="s">
        <v>762</v>
      </c>
      <c r="AU14" t="s">
        <v>763</v>
      </c>
      <c r="AV14" t="s">
        <v>764</v>
      </c>
      <c r="AW14" t="s">
        <v>765</v>
      </c>
      <c r="AX14" t="s">
        <v>369</v>
      </c>
      <c r="AY14" t="s">
        <v>193</v>
      </c>
      <c r="AZ14" t="s">
        <v>70</v>
      </c>
      <c r="BA14" t="s">
        <v>143</v>
      </c>
      <c r="BB14" t="s">
        <v>71</v>
      </c>
      <c r="BC14" t="s">
        <v>370</v>
      </c>
      <c r="BD14" t="s">
        <v>194</v>
      </c>
      <c r="BE14" t="s">
        <v>142</v>
      </c>
      <c r="BF14" t="s">
        <v>144</v>
      </c>
      <c r="BG14" t="s">
        <v>145</v>
      </c>
      <c r="BH14" t="s">
        <v>766</v>
      </c>
      <c r="BI14" t="s">
        <v>767</v>
      </c>
      <c r="BJ14" t="s">
        <v>369</v>
      </c>
      <c r="BK14" t="s">
        <v>768</v>
      </c>
      <c r="BL14" t="s">
        <v>769</v>
      </c>
      <c r="BM14" t="s">
        <v>370</v>
      </c>
      <c r="BN14" t="s">
        <v>5</v>
      </c>
      <c r="BO14" t="s">
        <v>5</v>
      </c>
      <c r="BP14">
        <v>7.65</v>
      </c>
      <c r="BQ14">
        <v>-0.93</v>
      </c>
      <c r="BR14">
        <v>-1.76</v>
      </c>
      <c r="BS14">
        <v>13.33</v>
      </c>
      <c r="BT14" t="s">
        <v>344</v>
      </c>
      <c r="BU14" t="s">
        <v>81</v>
      </c>
      <c r="BV14">
        <v>26.49</v>
      </c>
      <c r="BW14">
        <v>30.38</v>
      </c>
      <c r="BX14">
        <v>27.95</v>
      </c>
      <c r="BY14">
        <v>1.1000000000000001</v>
      </c>
      <c r="BZ14">
        <v>-0.78</v>
      </c>
      <c r="CA14">
        <v>5.83</v>
      </c>
      <c r="CB14">
        <v>-1.59</v>
      </c>
      <c r="CC14">
        <v>-1.95</v>
      </c>
      <c r="CD14" t="s">
        <v>770</v>
      </c>
      <c r="CE14" t="s">
        <v>771</v>
      </c>
      <c r="CF14" s="10">
        <v>-0.38323353293413176</v>
      </c>
      <c r="CG14" s="11">
        <v>-0.56283822722283205</v>
      </c>
      <c r="CH14" s="10">
        <v>-1.3089005369693041E-3</v>
      </c>
      <c r="CI14" s="10">
        <v>-8.0625750124454498E-2</v>
      </c>
      <c r="CJ14" s="10">
        <v>-6.3134163618087769E-2</v>
      </c>
      <c r="CK14" s="10">
        <v>0.15194804966449738</v>
      </c>
      <c r="CL14" s="10">
        <v>2.9411764815449715E-2</v>
      </c>
      <c r="CM14" s="11">
        <v>5.0899176597595215</v>
      </c>
      <c r="CN14" s="11">
        <v>-1.1223975419998169</v>
      </c>
      <c r="CO14" s="11">
        <v>-0.42794212698936462</v>
      </c>
      <c r="CP14" s="11">
        <v>0.27112641930580139</v>
      </c>
      <c r="CQ14" s="11">
        <v>-4.8004984855651855E-2</v>
      </c>
      <c r="CR14">
        <v>28.936610823779585</v>
      </c>
      <c r="CS14">
        <v>39.867474944149272</v>
      </c>
      <c r="CT14">
        <v>0.72046109510086453</v>
      </c>
      <c r="CU14" s="10">
        <v>7.258200040087104E-3</v>
      </c>
      <c r="CV14" s="11">
        <v>0.75253988504409786</v>
      </c>
      <c r="CW14">
        <v>0.06</v>
      </c>
      <c r="CX14">
        <v>30.576381682756583</v>
      </c>
      <c r="CY14">
        <v>23024307.038821984</v>
      </c>
      <c r="CZ14">
        <v>7.258200040087104E-3</v>
      </c>
      <c r="DA14">
        <v>10.724092620927188</v>
      </c>
      <c r="DB14">
        <v>65646579.611425743</v>
      </c>
      <c r="DC14">
        <v>6.8952900380827489E-3</v>
      </c>
      <c r="DD14">
        <v>5.7843920609513981</v>
      </c>
      <c r="DE14">
        <v>121706826.33227465</v>
      </c>
      <c r="DF14">
        <v>6.3872160352766516E-3</v>
      </c>
      <c r="DG14">
        <v>3.8339931290737019</v>
      </c>
      <c r="DH14">
        <v>183620569.02540338</v>
      </c>
      <c r="DI14">
        <v>5.8065600320696834E-3</v>
      </c>
      <c r="DJ14">
        <v>2.4240802046221264</v>
      </c>
      <c r="DK14">
        <v>290419433.58872563</v>
      </c>
      <c r="DL14">
        <v>5.0807400280609722E-3</v>
      </c>
      <c r="DM14">
        <v>24229899.999999996</v>
      </c>
      <c r="DN14">
        <v>7.258200040087104E-3</v>
      </c>
      <c r="DO14">
        <v>704000000</v>
      </c>
      <c r="DP14">
        <v>619726230</v>
      </c>
      <c r="DQ14">
        <v>2451</v>
      </c>
      <c r="DR14">
        <v>-0.39049173297421885</v>
      </c>
      <c r="DS14">
        <v>-1.3153781122669299</v>
      </c>
      <c r="DT14" s="12">
        <v>-0.32333333333333336</v>
      </c>
      <c r="DU14">
        <v>-0.65333333333333343</v>
      </c>
      <c r="DV14">
        <v>-0.97666666666666679</v>
      </c>
      <c r="DW14">
        <v>-1.95E-2</v>
      </c>
      <c r="DX14">
        <v>0.32086048750823593</v>
      </c>
      <c r="DY14">
        <v>-1.5767795064105812E-3</v>
      </c>
      <c r="DZ14">
        <v>1486</v>
      </c>
      <c r="EA14">
        <v>-1.1182483231373672E-3</v>
      </c>
      <c r="EB14">
        <v>0</v>
      </c>
      <c r="EC14">
        <v>9.9726249999999989E-2</v>
      </c>
      <c r="ED14">
        <v>1.2333125</v>
      </c>
      <c r="EE14" s="13">
        <v>6.4500000000000002E-2</v>
      </c>
      <c r="EF14">
        <v>2.2499999999999999E-2</v>
      </c>
      <c r="EG14">
        <v>24.080860487508236</v>
      </c>
      <c r="EH14" t="s">
        <v>220</v>
      </c>
      <c r="EI14">
        <v>0</v>
      </c>
      <c r="EJ14">
        <v>1</v>
      </c>
      <c r="EK14" s="15">
        <v>45470</v>
      </c>
      <c r="EL14" s="16">
        <v>1.63</v>
      </c>
      <c r="EM14" s="16">
        <v>-3.7</v>
      </c>
      <c r="EN14" s="16">
        <v>6.32</v>
      </c>
      <c r="EO14" s="16">
        <v>1.9</v>
      </c>
      <c r="EP14" s="16">
        <v>-4.2</v>
      </c>
    </row>
    <row r="15" spans="1:146" ht="108" x14ac:dyDescent="0.25">
      <c r="A15" s="7"/>
      <c r="B15" s="7"/>
      <c r="C15" s="7" t="str">
        <f>""&amp;CHAR(10)&amp;Basic_Fundamental_Information_Constructure(F15)&amp;CHAR(10)&amp;Basic_Fundamental_Information_Concatenate("")</f>
        <v xml:space="preserve">
市值29.020932亿, 利润3350.17万; PE43.65; 平均PE37.99; 平均PEG2.96, PB2.03; ROIC15.12%; ROE16.45%; 股利率1.9249%; 毛利43.27%; 净利9.9267%; 上一年度营收增-65.53%, 利润增-49.15%; 当季营收增184.98%, 利润增63.12%; 过往5年营收增12.81%, 利润增19.88%
Income profile:
</v>
      </c>
      <c r="D15" t="s">
        <v>196</v>
      </c>
      <c r="E15" t="s">
        <v>197</v>
      </c>
      <c r="F15">
        <v>31.17</v>
      </c>
      <c r="G15">
        <v>4.5999999999999996</v>
      </c>
      <c r="H15" t="s">
        <v>772</v>
      </c>
      <c r="I15">
        <v>2902093200</v>
      </c>
      <c r="J15">
        <v>43.65</v>
      </c>
      <c r="K15">
        <v>2.0299999999999998</v>
      </c>
      <c r="L15" t="s">
        <v>81</v>
      </c>
      <c r="M15" t="s">
        <v>378</v>
      </c>
      <c r="N15" t="s">
        <v>773</v>
      </c>
      <c r="O15" t="s">
        <v>774</v>
      </c>
      <c r="P15">
        <v>6.35</v>
      </c>
      <c r="Q15" t="s">
        <v>775</v>
      </c>
      <c r="R15">
        <v>24169441</v>
      </c>
      <c r="S15" s="5">
        <v>1.4750000000000001</v>
      </c>
      <c r="T15" t="s">
        <v>776</v>
      </c>
      <c r="U15">
        <v>48177001</v>
      </c>
      <c r="V15">
        <v>93105333</v>
      </c>
      <c r="W15">
        <v>1.0900000000000001</v>
      </c>
      <c r="X15">
        <v>0.14000000000000001</v>
      </c>
      <c r="Y15">
        <v>9.82</v>
      </c>
      <c r="Z15" t="s">
        <v>594</v>
      </c>
      <c r="AA15" t="s">
        <v>777</v>
      </c>
      <c r="AB15" t="s">
        <v>778</v>
      </c>
      <c r="AC15" t="s">
        <v>779</v>
      </c>
      <c r="AD15" t="s">
        <v>5</v>
      </c>
      <c r="AE15">
        <v>-2985511</v>
      </c>
      <c r="AF15" t="s">
        <v>780</v>
      </c>
      <c r="AG15">
        <v>2631.2</v>
      </c>
      <c r="AH15" t="s">
        <v>781</v>
      </c>
      <c r="AI15" t="s">
        <v>782</v>
      </c>
      <c r="AJ15" t="s">
        <v>783</v>
      </c>
      <c r="AK15" t="s">
        <v>5</v>
      </c>
      <c r="AL15" t="s">
        <v>784</v>
      </c>
      <c r="AM15" t="s">
        <v>5</v>
      </c>
      <c r="AN15" t="s">
        <v>785</v>
      </c>
      <c r="AO15" t="s">
        <v>786</v>
      </c>
      <c r="AP15" t="s">
        <v>5</v>
      </c>
      <c r="AQ15" t="s">
        <v>787</v>
      </c>
      <c r="AR15" t="s">
        <v>5</v>
      </c>
      <c r="AS15" t="s">
        <v>363</v>
      </c>
      <c r="AT15" t="s">
        <v>5</v>
      </c>
      <c r="AU15" t="s">
        <v>788</v>
      </c>
      <c r="AV15" t="s">
        <v>789</v>
      </c>
      <c r="AW15" t="s">
        <v>790</v>
      </c>
      <c r="AX15" t="s">
        <v>371</v>
      </c>
      <c r="AY15" t="s">
        <v>198</v>
      </c>
      <c r="AZ15" t="s">
        <v>69</v>
      </c>
      <c r="BA15" t="s">
        <v>200</v>
      </c>
      <c r="BB15" t="s">
        <v>31</v>
      </c>
      <c r="BC15" t="s">
        <v>791</v>
      </c>
      <c r="BD15" t="s">
        <v>199</v>
      </c>
      <c r="BE15" t="s">
        <v>34</v>
      </c>
      <c r="BF15" t="s">
        <v>201</v>
      </c>
      <c r="BG15" t="s">
        <v>202</v>
      </c>
      <c r="BH15" t="s">
        <v>792</v>
      </c>
      <c r="BI15" t="s">
        <v>793</v>
      </c>
      <c r="BJ15" t="s">
        <v>371</v>
      </c>
      <c r="BK15" t="s">
        <v>794</v>
      </c>
      <c r="BL15" t="s">
        <v>795</v>
      </c>
      <c r="BM15" t="s">
        <v>791</v>
      </c>
      <c r="BN15">
        <v>1.08</v>
      </c>
      <c r="BO15">
        <v>6.19</v>
      </c>
      <c r="BP15">
        <v>38.090000000000003</v>
      </c>
      <c r="BQ15">
        <v>1.91</v>
      </c>
      <c r="BR15">
        <v>5.67</v>
      </c>
      <c r="BS15">
        <v>41.77</v>
      </c>
      <c r="BT15" t="s">
        <v>796</v>
      </c>
      <c r="BU15" t="s">
        <v>81</v>
      </c>
      <c r="BV15">
        <v>41.92</v>
      </c>
      <c r="BW15">
        <v>40.65</v>
      </c>
      <c r="BX15">
        <v>47.24</v>
      </c>
      <c r="BY15">
        <v>4.51</v>
      </c>
      <c r="BZ15">
        <v>8.1</v>
      </c>
      <c r="CA15">
        <v>17.170000000000002</v>
      </c>
      <c r="CB15">
        <v>5.55</v>
      </c>
      <c r="CC15">
        <v>4.1500000000000004</v>
      </c>
      <c r="CD15" t="s">
        <v>797</v>
      </c>
      <c r="CE15" t="s">
        <v>798</v>
      </c>
      <c r="CF15" s="10">
        <v>1.8497896073469084</v>
      </c>
      <c r="CG15" s="11">
        <v>0.63122969352149938</v>
      </c>
      <c r="CH15" s="10">
        <v>-0.6552538275718689</v>
      </c>
      <c r="CI15" s="10">
        <v>-3.7500001490116119E-2</v>
      </c>
      <c r="CJ15" s="10">
        <v>0.35593220591545105</v>
      </c>
      <c r="CK15" s="10">
        <v>0.79778391122817993</v>
      </c>
      <c r="CL15" s="10">
        <v>0.17973856627941132</v>
      </c>
      <c r="CM15" s="11">
        <v>-0.4915001392364502</v>
      </c>
      <c r="CN15" s="11">
        <v>-0.55484187602996826</v>
      </c>
      <c r="CO15" s="11">
        <v>0.19354838132858276</v>
      </c>
      <c r="CP15" s="11">
        <v>1.8320393562316895</v>
      </c>
      <c r="CQ15" s="11">
        <v>1.4600993134081364E-2</v>
      </c>
      <c r="CR15">
        <v>37.991778748851253</v>
      </c>
      <c r="CS15">
        <v>2.9648609401917199</v>
      </c>
      <c r="CT15">
        <v>1.9249278152069296</v>
      </c>
      <c r="CU15" s="10">
        <v>0.12814017087221147</v>
      </c>
      <c r="CV15" s="11">
        <v>0.19876934308558702</v>
      </c>
      <c r="CW15">
        <v>0.06</v>
      </c>
      <c r="CX15">
        <v>45.746169335490812</v>
      </c>
      <c r="CY15">
        <v>35655295.813688263</v>
      </c>
      <c r="CZ15">
        <v>0.12814017087221147</v>
      </c>
      <c r="DA15">
        <v>14.476365875160946</v>
      </c>
      <c r="DB15">
        <v>112672836.12931383</v>
      </c>
      <c r="DC15">
        <v>0.12173316232860089</v>
      </c>
      <c r="DD15">
        <v>6.8222541525354625</v>
      </c>
      <c r="DE15">
        <v>239084203.48043042</v>
      </c>
      <c r="DF15">
        <v>0.11276335036754609</v>
      </c>
      <c r="DG15">
        <v>3.8968989495002173</v>
      </c>
      <c r="DH15">
        <v>418561841.38651836</v>
      </c>
      <c r="DI15">
        <v>0.10251213669776918</v>
      </c>
      <c r="DJ15">
        <v>1.7983727189396352</v>
      </c>
      <c r="DK15">
        <v>906982842.22290289</v>
      </c>
      <c r="DL15">
        <v>8.9698119610548022E-2</v>
      </c>
      <c r="DM15">
        <v>33501700</v>
      </c>
      <c r="DN15">
        <v>0.12814017087221147</v>
      </c>
      <c r="DO15">
        <v>1631093200</v>
      </c>
      <c r="DP15">
        <v>1202292590</v>
      </c>
      <c r="DQ15">
        <v>2551</v>
      </c>
      <c r="DR15">
        <v>1.721649436474697</v>
      </c>
      <c r="DS15">
        <v>0.43246035043591236</v>
      </c>
      <c r="DT15" s="12">
        <v>-0.3066666666666667</v>
      </c>
      <c r="DU15">
        <v>0.46833333333333332</v>
      </c>
      <c r="DV15">
        <v>0.16166666666666663</v>
      </c>
      <c r="DW15">
        <v>4.7477477477477477</v>
      </c>
      <c r="DX15">
        <v>0.47965021923298368</v>
      </c>
      <c r="DY15">
        <v>4.1567654792462836</v>
      </c>
      <c r="DZ15">
        <v>1344</v>
      </c>
      <c r="EA15">
        <v>4.1155340107321923</v>
      </c>
      <c r="EB15">
        <v>4</v>
      </c>
      <c r="EC15">
        <v>7.9446576921646375E-2</v>
      </c>
      <c r="ED15">
        <v>0.37894821771380166</v>
      </c>
      <c r="EE15" s="13">
        <v>-1.0578000000000001</v>
      </c>
      <c r="EF15">
        <v>-1.0518000000000001</v>
      </c>
      <c r="EG15">
        <v>27.209650219232984</v>
      </c>
      <c r="EH15" t="s">
        <v>373</v>
      </c>
      <c r="EI15">
        <v>0</v>
      </c>
      <c r="EJ15">
        <v>1</v>
      </c>
      <c r="EK15" s="15">
        <v>45470</v>
      </c>
      <c r="EL15" s="16">
        <v>1.18</v>
      </c>
      <c r="EM15" s="16">
        <v>-6.5</v>
      </c>
      <c r="EN15" s="16">
        <v>3.06</v>
      </c>
      <c r="EO15" s="16">
        <v>0.54</v>
      </c>
      <c r="EP15" s="16">
        <v>-0.6</v>
      </c>
    </row>
    <row r="16" spans="1:146" ht="108" x14ac:dyDescent="0.25">
      <c r="C16" s="7" t="str">
        <f>""&amp;CHAR(10)&amp;Basic_Fundamental_Information_Constructure(F16)&amp;CHAR(10)&amp;Basic_Fundamental_Information_Concatenate("")</f>
        <v xml:space="preserve">
市值89.02225亿, 利润1.42亿; PE24.08; 平均PE45.52; 平均PEG7.88, PB3.56; ROIC18.41%; ROE13.25%; 股利率1.1236%; 毛利58.08%; 净利5.0433%; 上一年度营收增-75.98%, 利润增-23.24%; 当季营收增752.61%, 利润增192.74%; 过往5年营收增5.77%, 利润增311.27%
Income profile:
</v>
      </c>
      <c r="D16" s="5" t="s">
        <v>399</v>
      </c>
      <c r="E16" t="s">
        <v>400</v>
      </c>
      <c r="F16">
        <v>22.25</v>
      </c>
      <c r="G16">
        <v>1.51</v>
      </c>
      <c r="H16" t="s">
        <v>799</v>
      </c>
      <c r="I16">
        <v>8902225000</v>
      </c>
      <c r="J16">
        <v>24.08</v>
      </c>
      <c r="K16">
        <v>3.56</v>
      </c>
      <c r="L16" t="s">
        <v>81</v>
      </c>
      <c r="M16" t="s">
        <v>800</v>
      </c>
      <c r="N16" t="s">
        <v>801</v>
      </c>
      <c r="O16" t="s">
        <v>802</v>
      </c>
      <c r="P16" s="5">
        <v>44.66</v>
      </c>
      <c r="Q16" t="s">
        <v>803</v>
      </c>
      <c r="R16">
        <v>86044898</v>
      </c>
      <c r="S16">
        <v>0.65580000000000005</v>
      </c>
      <c r="T16" t="s">
        <v>396</v>
      </c>
      <c r="U16">
        <v>33446189</v>
      </c>
      <c r="V16">
        <v>400100000</v>
      </c>
      <c r="W16">
        <v>1.51</v>
      </c>
      <c r="X16">
        <v>0.49</v>
      </c>
      <c r="Y16">
        <v>4.78</v>
      </c>
      <c r="Z16" t="s">
        <v>804</v>
      </c>
      <c r="AA16" t="s">
        <v>805</v>
      </c>
      <c r="AB16" t="s">
        <v>431</v>
      </c>
      <c r="AC16" t="s">
        <v>806</v>
      </c>
      <c r="AD16" t="s">
        <v>5</v>
      </c>
      <c r="AE16">
        <v>-6849688</v>
      </c>
      <c r="AF16" t="s">
        <v>807</v>
      </c>
      <c r="AG16" t="s">
        <v>808</v>
      </c>
      <c r="AH16" t="s">
        <v>809</v>
      </c>
      <c r="AI16" t="s">
        <v>810</v>
      </c>
      <c r="AJ16" t="s">
        <v>811</v>
      </c>
      <c r="AK16" t="s">
        <v>5</v>
      </c>
      <c r="AL16" t="s">
        <v>812</v>
      </c>
      <c r="AM16" t="s">
        <v>5</v>
      </c>
      <c r="AN16">
        <v>0</v>
      </c>
      <c r="AO16" t="s">
        <v>729</v>
      </c>
      <c r="AP16" t="s">
        <v>416</v>
      </c>
      <c r="AQ16" t="s">
        <v>384</v>
      </c>
      <c r="AR16" t="s">
        <v>5</v>
      </c>
      <c r="AS16" t="s">
        <v>813</v>
      </c>
      <c r="AT16" t="s">
        <v>5</v>
      </c>
      <c r="AU16" t="s">
        <v>814</v>
      </c>
      <c r="AV16" t="s">
        <v>815</v>
      </c>
      <c r="AW16" t="s">
        <v>816</v>
      </c>
      <c r="AX16" t="s">
        <v>401</v>
      </c>
      <c r="AY16" t="s">
        <v>403</v>
      </c>
      <c r="AZ16" t="s">
        <v>404</v>
      </c>
      <c r="BA16" t="s">
        <v>405</v>
      </c>
      <c r="BB16" t="s">
        <v>406</v>
      </c>
      <c r="BC16" t="s">
        <v>402</v>
      </c>
      <c r="BD16" t="s">
        <v>407</v>
      </c>
      <c r="BE16" t="s">
        <v>408</v>
      </c>
      <c r="BF16" t="s">
        <v>409</v>
      </c>
      <c r="BG16" t="s">
        <v>410</v>
      </c>
      <c r="BH16" t="s">
        <v>817</v>
      </c>
      <c r="BI16" t="s">
        <v>818</v>
      </c>
      <c r="BJ16" t="s">
        <v>401</v>
      </c>
      <c r="BK16" t="s">
        <v>262</v>
      </c>
      <c r="BL16" t="s">
        <v>819</v>
      </c>
      <c r="BM16" t="s">
        <v>402</v>
      </c>
      <c r="BN16">
        <v>10.29</v>
      </c>
      <c r="BO16">
        <v>13.53</v>
      </c>
      <c r="BP16">
        <v>31.41</v>
      </c>
      <c r="BQ16">
        <v>12.89</v>
      </c>
      <c r="BR16">
        <v>13.61</v>
      </c>
      <c r="BS16" t="s">
        <v>5</v>
      </c>
      <c r="BT16" t="s">
        <v>343</v>
      </c>
      <c r="BU16" t="s">
        <v>81</v>
      </c>
      <c r="BV16">
        <v>45.84</v>
      </c>
      <c r="BW16">
        <v>65.62</v>
      </c>
      <c r="BX16">
        <v>62.78</v>
      </c>
      <c r="BY16">
        <v>5.1100000000000003</v>
      </c>
      <c r="BZ16">
        <v>3.77</v>
      </c>
      <c r="CA16">
        <v>6.25</v>
      </c>
      <c r="CB16">
        <v>-2.11</v>
      </c>
      <c r="CC16" s="10">
        <v>-20.02</v>
      </c>
      <c r="CD16" s="11" t="s">
        <v>820</v>
      </c>
      <c r="CE16" s="10" t="s">
        <v>821</v>
      </c>
      <c r="CF16" s="10">
        <v>7.5260663507108996</v>
      </c>
      <c r="CG16" s="10">
        <v>1.9273543720699204</v>
      </c>
      <c r="CH16" s="10">
        <v>-0.75982886552810669</v>
      </c>
      <c r="CI16" s="10">
        <v>-0.11787959933280945</v>
      </c>
      <c r="CJ16" s="11">
        <v>5.9394627809524536E-2</v>
      </c>
      <c r="CK16" s="11">
        <v>0.82459187507629395</v>
      </c>
      <c r="CL16" s="11">
        <v>0.28240540623664856</v>
      </c>
      <c r="CM16" s="11">
        <v>-0.23243242502212524</v>
      </c>
      <c r="CN16" s="11">
        <v>-0.46839079260826111</v>
      </c>
      <c r="CO16">
        <v>-0.22838138043880463</v>
      </c>
      <c r="CP16">
        <v>7.335181713104248</v>
      </c>
      <c r="CQ16">
        <v>9.1573944091796875</v>
      </c>
      <c r="CR16" s="10">
        <v>45.517245787085372</v>
      </c>
      <c r="CS16" s="11">
        <v>7.8835912990296322</v>
      </c>
      <c r="CT16">
        <v>1.1235955056179776</v>
      </c>
      <c r="CU16">
        <v>5.7736688852310182E-2</v>
      </c>
      <c r="CV16">
        <v>3.1126743048429488</v>
      </c>
      <c r="CW16">
        <v>0.06</v>
      </c>
      <c r="CX16">
        <v>53.714867999299834</v>
      </c>
      <c r="CY16">
        <v>141696801.71417737</v>
      </c>
      <c r="CZ16">
        <v>5.7736688852310182E-2</v>
      </c>
      <c r="DA16">
        <v>18.041471783051495</v>
      </c>
      <c r="DB16">
        <v>421873841.08818281</v>
      </c>
      <c r="DC16">
        <v>5.4849854409694671E-2</v>
      </c>
      <c r="DD16">
        <v>9.2088467305954484</v>
      </c>
      <c r="DE16">
        <v>826512290.04740477</v>
      </c>
      <c r="DF16">
        <v>5.0808286190032963E-2</v>
      </c>
      <c r="DG16">
        <v>5.7568349812985851</v>
      </c>
      <c r="DH16">
        <v>1322119710.6961567</v>
      </c>
      <c r="DI16">
        <v>4.618935108184815E-2</v>
      </c>
      <c r="DJ16">
        <v>3.2409134169752587</v>
      </c>
      <c r="DK16">
        <v>2348481437.4040108</v>
      </c>
      <c r="DL16">
        <v>4.0415682196617127E-2</v>
      </c>
      <c r="DM16">
        <v>142000000</v>
      </c>
      <c r="DN16">
        <v>5.7736688852310182E-2</v>
      </c>
      <c r="DO16">
        <v>7611225000</v>
      </c>
      <c r="DP16">
        <v>1764647400</v>
      </c>
      <c r="DQ16" s="12">
        <v>2769</v>
      </c>
      <c r="DR16">
        <v>7.468329661858589</v>
      </c>
      <c r="DS16">
        <v>-1.1853199327730284</v>
      </c>
      <c r="DT16">
        <v>-0.44</v>
      </c>
      <c r="DU16">
        <v>1.0054999999999998</v>
      </c>
      <c r="DV16">
        <v>0.56549999999999989</v>
      </c>
      <c r="DW16">
        <v>-3.0454642857142855</v>
      </c>
      <c r="DX16">
        <v>0.22184059405940582</v>
      </c>
      <c r="DY16">
        <v>-3.0037208241513436</v>
      </c>
      <c r="DZ16">
        <v>1064</v>
      </c>
      <c r="EA16">
        <v>-3.0029460772047623</v>
      </c>
      <c r="EB16" s="13">
        <v>3</v>
      </c>
      <c r="EC16" s="13">
        <v>2.0659585103724069E-2</v>
      </c>
      <c r="ED16">
        <v>0.25243689077730569</v>
      </c>
      <c r="EE16">
        <v>-1.0150000000000001</v>
      </c>
      <c r="EF16">
        <v>-1.0227999999999999</v>
      </c>
      <c r="EG16">
        <v>14.081840594059406</v>
      </c>
      <c r="EH16" s="15" t="s">
        <v>373</v>
      </c>
      <c r="EI16">
        <v>0</v>
      </c>
      <c r="EJ16">
        <v>1</v>
      </c>
      <c r="EK16">
        <v>45470</v>
      </c>
      <c r="EL16">
        <v>-0.03</v>
      </c>
      <c r="EM16">
        <v>-4.97</v>
      </c>
      <c r="EN16" s="16">
        <v>-0.67</v>
      </c>
      <c r="EO16" s="16">
        <v>8.4600000000000009</v>
      </c>
      <c r="EP16" s="16">
        <v>0.78</v>
      </c>
    </row>
    <row r="17" spans="1:146" ht="108" x14ac:dyDescent="0.25">
      <c r="C17" s="7" t="str">
        <f>""&amp;CHAR(10)&amp;Basic_Fundamental_Information_Constructure(F17)&amp;CHAR(10)&amp;Basic_Fundamental_Information_Concatenate("")</f>
        <v xml:space="preserve">
市值64.922456亿, 利润5.96亿; PE55.67; 平均PE27.39; 平均PEG.59, PB4.51; ROIC28.6733%; ROE25.605%; 股利率1.7011%; 毛利32.18%; 净利7.6767%; 上一年度营收增193.64%, 利润增322.7%; 当季营收增-72.59%, 利润增-86.5%; 过往5年营收增46.72%, 利润增64.06%
Income profile:
</v>
      </c>
      <c r="D17" s="5" t="s">
        <v>413</v>
      </c>
      <c r="E17" t="s">
        <v>414</v>
      </c>
      <c r="F17">
        <v>8.23</v>
      </c>
      <c r="G17">
        <v>1.1100000000000001</v>
      </c>
      <c r="H17" t="s">
        <v>822</v>
      </c>
      <c r="I17">
        <v>6492245600</v>
      </c>
      <c r="J17">
        <v>55.67</v>
      </c>
      <c r="K17">
        <v>4.51</v>
      </c>
      <c r="L17" t="s">
        <v>81</v>
      </c>
      <c r="M17" t="s">
        <v>36</v>
      </c>
      <c r="N17" t="s">
        <v>823</v>
      </c>
      <c r="O17" t="s">
        <v>824</v>
      </c>
      <c r="P17" s="5">
        <v>-0.51</v>
      </c>
      <c r="Q17" t="s">
        <v>825</v>
      </c>
      <c r="R17">
        <v>30098097</v>
      </c>
      <c r="S17">
        <v>-0.1903</v>
      </c>
      <c r="T17" t="s">
        <v>826</v>
      </c>
      <c r="U17">
        <v>118460000</v>
      </c>
      <c r="V17">
        <v>788851220</v>
      </c>
      <c r="W17">
        <v>1.08</v>
      </c>
      <c r="X17">
        <v>0.25</v>
      </c>
      <c r="Y17">
        <v>7.73</v>
      </c>
      <c r="Z17" t="s">
        <v>827</v>
      </c>
      <c r="AA17" t="s">
        <v>368</v>
      </c>
      <c r="AB17" t="s">
        <v>828</v>
      </c>
      <c r="AC17" t="s">
        <v>829</v>
      </c>
      <c r="AD17" t="s">
        <v>5</v>
      </c>
      <c r="AE17">
        <v>1009042</v>
      </c>
      <c r="AF17" t="s">
        <v>830</v>
      </c>
      <c r="AG17" t="s">
        <v>831</v>
      </c>
      <c r="AH17" t="s">
        <v>832</v>
      </c>
      <c r="AI17" t="s">
        <v>833</v>
      </c>
      <c r="AJ17" t="s">
        <v>834</v>
      </c>
      <c r="AK17" t="s">
        <v>5</v>
      </c>
      <c r="AL17" t="s">
        <v>835</v>
      </c>
      <c r="AM17" t="s">
        <v>5</v>
      </c>
      <c r="AN17" t="s">
        <v>836</v>
      </c>
      <c r="AO17" t="s">
        <v>5</v>
      </c>
      <c r="AP17" t="s">
        <v>5</v>
      </c>
      <c r="AQ17" t="s">
        <v>837</v>
      </c>
      <c r="AR17" t="s">
        <v>5</v>
      </c>
      <c r="AS17" t="s">
        <v>821</v>
      </c>
      <c r="AT17" t="s">
        <v>5</v>
      </c>
      <c r="AU17" t="s">
        <v>838</v>
      </c>
      <c r="AV17" t="s">
        <v>839</v>
      </c>
      <c r="AW17" t="s">
        <v>840</v>
      </c>
      <c r="AX17" t="s">
        <v>415</v>
      </c>
      <c r="AY17" t="s">
        <v>417</v>
      </c>
      <c r="AZ17" t="s">
        <v>418</v>
      </c>
      <c r="BA17" t="s">
        <v>419</v>
      </c>
      <c r="BB17" t="s">
        <v>420</v>
      </c>
      <c r="BC17" t="s">
        <v>416</v>
      </c>
      <c r="BD17" t="s">
        <v>387</v>
      </c>
      <c r="BE17" t="s">
        <v>421</v>
      </c>
      <c r="BF17" t="s">
        <v>422</v>
      </c>
      <c r="BG17" t="s">
        <v>412</v>
      </c>
      <c r="BH17" t="s">
        <v>841</v>
      </c>
      <c r="BI17" t="s">
        <v>543</v>
      </c>
      <c r="BJ17" t="s">
        <v>415</v>
      </c>
      <c r="BK17" t="s">
        <v>34</v>
      </c>
      <c r="BL17" t="s">
        <v>842</v>
      </c>
      <c r="BM17" t="s">
        <v>416</v>
      </c>
      <c r="BN17">
        <v>11.55</v>
      </c>
      <c r="BO17">
        <v>31.58</v>
      </c>
      <c r="BP17">
        <v>42.89</v>
      </c>
      <c r="BQ17">
        <v>19.05</v>
      </c>
      <c r="BR17">
        <v>32.159999999999997</v>
      </c>
      <c r="BS17" t="s">
        <v>5</v>
      </c>
      <c r="BT17" t="s">
        <v>843</v>
      </c>
      <c r="BU17" t="s">
        <v>81</v>
      </c>
      <c r="BV17">
        <v>31.36</v>
      </c>
      <c r="BW17">
        <v>34.130000000000003</v>
      </c>
      <c r="BX17">
        <v>31.05</v>
      </c>
      <c r="BY17">
        <v>7.27</v>
      </c>
      <c r="BZ17">
        <v>8.86</v>
      </c>
      <c r="CA17">
        <v>6.9</v>
      </c>
      <c r="CB17">
        <v>-1.91</v>
      </c>
      <c r="CC17" s="10">
        <v>-20.94</v>
      </c>
      <c r="CD17" s="11" t="s">
        <v>844</v>
      </c>
      <c r="CE17" s="10" t="s">
        <v>845</v>
      </c>
      <c r="CF17" s="10">
        <v>-0.72586328400281885</v>
      </c>
      <c r="CG17" s="10">
        <v>-0.86503095515695072</v>
      </c>
      <c r="CH17" s="10">
        <v>1.9363980293273926</v>
      </c>
      <c r="CI17" s="10">
        <v>-0.29920560121536255</v>
      </c>
      <c r="CJ17" s="11">
        <v>0.13640916347503662</v>
      </c>
      <c r="CK17" s="11">
        <v>0.27249515056610107</v>
      </c>
      <c r="CL17" s="11">
        <v>0.28971192240715027</v>
      </c>
      <c r="CM17" s="11">
        <v>3.2269504070281982</v>
      </c>
      <c r="CN17" s="11">
        <v>-9.6153847873210907E-2</v>
      </c>
      <c r="CO17">
        <v>-0.27102804183959961</v>
      </c>
      <c r="CP17">
        <v>0.39869281649589539</v>
      </c>
      <c r="CQ17">
        <v>-5.55555559694767E-2</v>
      </c>
      <c r="CR17" s="10">
        <v>27.393441350210971</v>
      </c>
      <c r="CS17" s="11">
        <v>0.58638024950060252</v>
      </c>
      <c r="CT17">
        <v>1.7010935601458079</v>
      </c>
      <c r="CU17">
        <v>0.46716173291206359</v>
      </c>
      <c r="CV17">
        <v>0.64058115556836126</v>
      </c>
      <c r="CW17">
        <v>0.06</v>
      </c>
      <c r="CX17">
        <v>6.2917219765532675</v>
      </c>
      <c r="CY17">
        <v>824932446.05244327</v>
      </c>
      <c r="CZ17">
        <v>0.46716173291206359</v>
      </c>
      <c r="DA17">
        <v>1.5160062236170131</v>
      </c>
      <c r="DB17">
        <v>3423630799.8899126</v>
      </c>
      <c r="DC17">
        <v>0.44380364626646041</v>
      </c>
      <c r="DD17">
        <v>0.47458529666039623</v>
      </c>
      <c r="DE17">
        <v>10936380955.169027</v>
      </c>
      <c r="DF17">
        <v>0.41110232496261595</v>
      </c>
      <c r="DG17">
        <v>0.16084906530492327</v>
      </c>
      <c r="DH17">
        <v>32267800811.65406</v>
      </c>
      <c r="DI17">
        <v>0.37372938632965091</v>
      </c>
      <c r="DJ17">
        <v>1.9819660185092246E-2</v>
      </c>
      <c r="DK17">
        <v>261873591753.30096</v>
      </c>
      <c r="DL17">
        <v>0.32701321303844449</v>
      </c>
      <c r="DM17">
        <v>596000000</v>
      </c>
      <c r="DN17">
        <v>0.46716173291206359</v>
      </c>
      <c r="DO17">
        <v>5190245600</v>
      </c>
      <c r="DP17">
        <v>1403561200</v>
      </c>
      <c r="DQ17" s="12">
        <v>2832</v>
      </c>
      <c r="DR17">
        <v>-1.1930250169148824</v>
      </c>
      <c r="DS17">
        <v>-1.505612110725312</v>
      </c>
      <c r="DT17">
        <v>-7.3333333333333403E-2</v>
      </c>
      <c r="DU17">
        <v>-0.15666666666666673</v>
      </c>
      <c r="DV17">
        <v>-0.23000000000000015</v>
      </c>
      <c r="DW17">
        <v>-3.0558690476190478</v>
      </c>
      <c r="DX17">
        <v>0.25284818181818014</v>
      </c>
      <c r="DY17">
        <v>-3.005187339491342</v>
      </c>
      <c r="DZ17">
        <v>2831</v>
      </c>
      <c r="EA17">
        <v>-3.0023134925050425</v>
      </c>
      <c r="EB17" s="13">
        <v>3</v>
      </c>
      <c r="EC17" s="13">
        <v>2.5894109664937832E-2</v>
      </c>
      <c r="ED17">
        <v>0.27888655607327328</v>
      </c>
      <c r="EE17">
        <v>22.027809999999999</v>
      </c>
      <c r="EF17">
        <v>22.055409999999998</v>
      </c>
      <c r="EG17">
        <v>16.09284818181818</v>
      </c>
      <c r="EH17" s="15" t="s">
        <v>846</v>
      </c>
      <c r="EI17">
        <v>0</v>
      </c>
      <c r="EJ17">
        <v>0</v>
      </c>
      <c r="EK17">
        <v>45470</v>
      </c>
      <c r="EL17">
        <v>-1.8</v>
      </c>
      <c r="EM17">
        <v>-4.59</v>
      </c>
      <c r="EN17" s="16">
        <v>0.4</v>
      </c>
      <c r="EO17" s="16">
        <v>3.24</v>
      </c>
      <c r="EP17" s="16">
        <v>-2.76</v>
      </c>
    </row>
    <row r="18" spans="1:146" ht="108" x14ac:dyDescent="0.25">
      <c r="A18" s="7"/>
      <c r="B18" s="7"/>
      <c r="C18" s="7" t="str">
        <f>""&amp;CHAR(10)&amp;Basic_Fundamental_Information_Constructure(F18)&amp;CHAR(10)&amp;Basic_Fundamental_Information_Concatenate("")</f>
        <v xml:space="preserve">
市值10.72774亿, 利润-2.27亿; PE; 平均PE-17.4; 平均PEG-.16, PB3.41; ROIC1.96%; ROE-12.8067%; 股利率0%; 毛利19.6567%; 净利-4.47%; 上一年度营收增553.96%, 利润增-338.7%; 当季营收增-82.87%, 利润增-86.98%; 过往5年营收增108.78%, 利润增-534.11%
Income profile:
</v>
      </c>
      <c r="D18" t="s">
        <v>250</v>
      </c>
      <c r="E18" t="s">
        <v>251</v>
      </c>
      <c r="F18">
        <v>2.5099999999999998</v>
      </c>
      <c r="G18">
        <v>5.0199999999999996</v>
      </c>
      <c r="H18" t="s">
        <v>847</v>
      </c>
      <c r="I18">
        <v>1072774000</v>
      </c>
      <c r="K18">
        <v>3.41</v>
      </c>
      <c r="L18" t="s">
        <v>81</v>
      </c>
      <c r="M18" t="s">
        <v>848</v>
      </c>
      <c r="N18" t="s">
        <v>849</v>
      </c>
      <c r="O18" t="s">
        <v>179</v>
      </c>
      <c r="P18">
        <v>8.2200000000000006</v>
      </c>
      <c r="Q18" t="s">
        <v>850</v>
      </c>
      <c r="R18">
        <v>2464331</v>
      </c>
      <c r="S18" s="5">
        <v>1.2729999999999999</v>
      </c>
      <c r="T18" t="s">
        <v>851</v>
      </c>
      <c r="U18">
        <v>411160000</v>
      </c>
      <c r="V18">
        <v>427400000</v>
      </c>
      <c r="W18">
        <v>2.58</v>
      </c>
      <c r="X18">
        <v>0.28999999999999998</v>
      </c>
      <c r="Y18">
        <v>1.01</v>
      </c>
      <c r="Z18" t="s">
        <v>272</v>
      </c>
      <c r="AA18" t="s">
        <v>852</v>
      </c>
      <c r="AB18" t="s">
        <v>853</v>
      </c>
      <c r="AC18" t="s">
        <v>854</v>
      </c>
      <c r="AD18" t="s">
        <v>5</v>
      </c>
      <c r="AE18">
        <v>3812996</v>
      </c>
      <c r="AF18" t="s">
        <v>21</v>
      </c>
      <c r="AG18" t="s">
        <v>855</v>
      </c>
      <c r="AH18" t="s">
        <v>856</v>
      </c>
      <c r="AI18" t="s">
        <v>857</v>
      </c>
      <c r="AJ18" t="s">
        <v>5</v>
      </c>
      <c r="AK18" t="s">
        <v>5</v>
      </c>
      <c r="AL18" t="s">
        <v>858</v>
      </c>
      <c r="AM18" t="s">
        <v>5</v>
      </c>
      <c r="AN18" t="s">
        <v>859</v>
      </c>
      <c r="AO18" t="s">
        <v>423</v>
      </c>
      <c r="AP18" t="s">
        <v>5</v>
      </c>
      <c r="AQ18" t="s">
        <v>860</v>
      </c>
      <c r="AR18" t="s">
        <v>5</v>
      </c>
      <c r="AS18" t="s">
        <v>861</v>
      </c>
      <c r="AT18" t="s">
        <v>5</v>
      </c>
      <c r="AU18" t="s">
        <v>463</v>
      </c>
      <c r="AV18" t="s">
        <v>5</v>
      </c>
      <c r="AW18" t="s">
        <v>862</v>
      </c>
      <c r="AX18" t="s">
        <v>372</v>
      </c>
      <c r="AY18" t="s">
        <v>252</v>
      </c>
      <c r="AZ18" t="s">
        <v>254</v>
      </c>
      <c r="BA18" t="s">
        <v>255</v>
      </c>
      <c r="BB18" t="s">
        <v>256</v>
      </c>
      <c r="BC18" t="s">
        <v>863</v>
      </c>
      <c r="BD18" t="s">
        <v>253</v>
      </c>
      <c r="BE18" t="s">
        <v>257</v>
      </c>
      <c r="BF18" t="s">
        <v>258</v>
      </c>
      <c r="BG18" t="s">
        <v>259</v>
      </c>
      <c r="BH18" t="s">
        <v>864</v>
      </c>
      <c r="BI18" t="s">
        <v>865</v>
      </c>
      <c r="BJ18" t="s">
        <v>372</v>
      </c>
      <c r="BK18" t="s">
        <v>866</v>
      </c>
      <c r="BL18" t="s">
        <v>867</v>
      </c>
      <c r="BM18" t="s">
        <v>863</v>
      </c>
      <c r="BN18" t="s">
        <v>5</v>
      </c>
      <c r="BO18" t="s">
        <v>5</v>
      </c>
      <c r="BP18">
        <v>1.96</v>
      </c>
      <c r="BQ18">
        <v>-24.2</v>
      </c>
      <c r="BR18">
        <v>-14.85</v>
      </c>
      <c r="BS18">
        <v>0.63</v>
      </c>
      <c r="BT18" t="s">
        <v>342</v>
      </c>
      <c r="BU18" t="s">
        <v>81</v>
      </c>
      <c r="BV18">
        <v>17.989999999999998</v>
      </c>
      <c r="BW18">
        <v>19.489999999999998</v>
      </c>
      <c r="BX18">
        <v>21.49</v>
      </c>
      <c r="BY18">
        <v>-8.48</v>
      </c>
      <c r="BZ18">
        <v>-6.3</v>
      </c>
      <c r="CA18">
        <v>1.37</v>
      </c>
      <c r="CB18">
        <v>5.46</v>
      </c>
      <c r="CC18">
        <v>-14.33</v>
      </c>
      <c r="CD18" t="s">
        <v>868</v>
      </c>
      <c r="CE18" t="s">
        <v>869</v>
      </c>
      <c r="CF18" s="10">
        <v>-0.82867132867132864</v>
      </c>
      <c r="CG18" s="11">
        <v>-0.86978848755125338</v>
      </c>
      <c r="CH18" s="10">
        <v>5.5395855903625488</v>
      </c>
      <c r="CI18" s="10">
        <v>0.21091444790363312</v>
      </c>
      <c r="CJ18" s="10">
        <v>0.11513157933950424</v>
      </c>
      <c r="CK18" s="10">
        <v>-0.37704917788505554</v>
      </c>
      <c r="CL18" s="10">
        <v>-4.9659200012683868E-2</v>
      </c>
      <c r="CM18" s="11">
        <v>-3.3870329856872559</v>
      </c>
      <c r="CN18" s="11">
        <v>-14.745092391967773</v>
      </c>
      <c r="CO18" s="11">
        <v>1.0554238557815552</v>
      </c>
      <c r="CP18" s="11">
        <v>-1.1690101623535156</v>
      </c>
      <c r="CQ18" s="11">
        <v>-8.4597883224487305</v>
      </c>
      <c r="CR18">
        <v>-17.395502971884859</v>
      </c>
      <c r="CS18">
        <v>-0.15991679055962318</v>
      </c>
      <c r="CT18">
        <v>0</v>
      </c>
      <c r="CU18" s="10">
        <v>1.0877846479415894</v>
      </c>
      <c r="CV18" s="11">
        <v>-5.3411000013351444</v>
      </c>
      <c r="CW18">
        <v>0.06</v>
      </c>
      <c r="CX18" t="e">
        <v>#VALUE!</v>
      </c>
      <c r="CY18" t="s">
        <v>219</v>
      </c>
      <c r="CZ18">
        <v>1.0877846479415894</v>
      </c>
      <c r="DA18" t="e">
        <v>#VALUE!</v>
      </c>
      <c r="DB18" t="s">
        <v>219</v>
      </c>
      <c r="DC18">
        <v>1.0333954155445098</v>
      </c>
      <c r="DD18" t="e">
        <v>#VALUE!</v>
      </c>
      <c r="DE18" t="s">
        <v>219</v>
      </c>
      <c r="DF18">
        <v>0.95725049018859865</v>
      </c>
      <c r="DG18" t="e">
        <v>#VALUE!</v>
      </c>
      <c r="DH18" t="s">
        <v>219</v>
      </c>
      <c r="DI18">
        <v>0.87022771835327151</v>
      </c>
      <c r="DJ18" t="e">
        <v>#VALUE!</v>
      </c>
      <c r="DK18" t="s">
        <v>219</v>
      </c>
      <c r="DL18">
        <v>0.76144925355911253</v>
      </c>
      <c r="DM18">
        <v>-227000000</v>
      </c>
      <c r="DN18">
        <v>1.0877846479415894</v>
      </c>
      <c r="DO18">
        <v>1345774000</v>
      </c>
      <c r="DP18">
        <v>137456470</v>
      </c>
      <c r="DQ18">
        <v>3129</v>
      </c>
      <c r="DR18">
        <v>-1.9164559766129181</v>
      </c>
      <c r="DS18">
        <v>4.471311513783891</v>
      </c>
      <c r="DT18" s="12">
        <v>-0.10666666666666669</v>
      </c>
      <c r="DU18">
        <v>-2.9066666666666667</v>
      </c>
      <c r="DV18">
        <v>-3.0133333333333336</v>
      </c>
      <c r="DW18">
        <v>6.2758969176351691</v>
      </c>
      <c r="DX18">
        <v>0.5967629992636565</v>
      </c>
      <c r="DY18">
        <v>6.051527335825142</v>
      </c>
      <c r="DZ18">
        <v>1494</v>
      </c>
      <c r="EA18">
        <v>6.0364623965447581</v>
      </c>
      <c r="EB18">
        <v>6</v>
      </c>
      <c r="EC18">
        <v>3.6527374824520356E-2</v>
      </c>
      <c r="ED18">
        <v>0.19558142255498362</v>
      </c>
      <c r="EE18" s="13">
        <v>-1.0545</v>
      </c>
      <c r="EF18">
        <v>-1.0265</v>
      </c>
      <c r="EG18">
        <v>41.186762999263657</v>
      </c>
      <c r="EH18" t="s">
        <v>373</v>
      </c>
      <c r="EI18">
        <v>0</v>
      </c>
      <c r="EJ18">
        <v>1</v>
      </c>
      <c r="EK18" s="15">
        <v>45470</v>
      </c>
      <c r="EL18" s="16">
        <v>1.43</v>
      </c>
      <c r="EM18" s="16">
        <v>-3.31</v>
      </c>
      <c r="EN18" s="16">
        <v>-3.81</v>
      </c>
      <c r="EO18" s="16">
        <v>3.3</v>
      </c>
      <c r="EP18" s="16">
        <v>-2.8</v>
      </c>
    </row>
    <row r="19" spans="1:146" ht="96" x14ac:dyDescent="0.25">
      <c r="A19" s="7"/>
      <c r="B19" s="7"/>
      <c r="C19" s="7" t="str">
        <f>""&amp;CHAR(10)&amp;Basic_Fundamental_Information_Constructure(F19)&amp;CHAR(10)&amp;Basic_Fundamental_Information_Concatenate("")</f>
        <v xml:space="preserve">
市值8.809亿, 利润1470.75万; PE; 平均PE109.99; 平均PEG1.22, PB2.53; ROIC6.535%; ROE1.1533%; 股利率0%; 毛利26.7233%; 净利-2.1%; 上一年度营收增65.03%, 利润增-16.05%; 当季营收增-54.62%, 利润增-232.85%; 过往5年营收增90.2%, 利润增-21.24%
Income profile:
</v>
      </c>
      <c r="D19" t="s">
        <v>146</v>
      </c>
      <c r="E19" t="s">
        <v>147</v>
      </c>
      <c r="F19">
        <v>3.83</v>
      </c>
      <c r="G19">
        <v>-2.0499999999999998</v>
      </c>
      <c r="H19" t="s">
        <v>870</v>
      </c>
      <c r="I19">
        <v>880900000</v>
      </c>
      <c r="K19">
        <v>2.5299999999999998</v>
      </c>
      <c r="L19" t="s">
        <v>81</v>
      </c>
      <c r="M19" t="s">
        <v>871</v>
      </c>
      <c r="N19" t="s">
        <v>872</v>
      </c>
      <c r="O19" t="s">
        <v>20</v>
      </c>
      <c r="P19">
        <v>27.44</v>
      </c>
      <c r="Q19" t="s">
        <v>873</v>
      </c>
      <c r="R19">
        <v>-3874867</v>
      </c>
      <c r="S19" s="5">
        <v>0.12909999999999999</v>
      </c>
      <c r="T19" t="s">
        <v>874</v>
      </c>
      <c r="U19">
        <v>230000000</v>
      </c>
      <c r="V19">
        <v>230000000</v>
      </c>
      <c r="W19">
        <v>1.35</v>
      </c>
      <c r="X19">
        <v>0.19</v>
      </c>
      <c r="Y19">
        <v>-2.69</v>
      </c>
      <c r="Z19" t="s">
        <v>875</v>
      </c>
      <c r="AA19" t="s">
        <v>876</v>
      </c>
      <c r="AB19" t="s">
        <v>877</v>
      </c>
      <c r="AC19" t="s">
        <v>878</v>
      </c>
      <c r="AD19" t="s">
        <v>5</v>
      </c>
      <c r="AE19">
        <v>681074</v>
      </c>
      <c r="AF19" t="s">
        <v>879</v>
      </c>
      <c r="AG19" t="s">
        <v>880</v>
      </c>
      <c r="AH19" t="s">
        <v>881</v>
      </c>
      <c r="AI19" t="s">
        <v>416</v>
      </c>
      <c r="AJ19" t="s">
        <v>882</v>
      </c>
      <c r="AK19" t="s">
        <v>5</v>
      </c>
      <c r="AL19" t="s">
        <v>883</v>
      </c>
      <c r="AM19" t="s">
        <v>5</v>
      </c>
      <c r="AN19">
        <v>0</v>
      </c>
      <c r="AO19" t="s">
        <v>884</v>
      </c>
      <c r="AP19" t="s">
        <v>5</v>
      </c>
      <c r="AQ19" t="s">
        <v>885</v>
      </c>
      <c r="AR19" t="s">
        <v>5</v>
      </c>
      <c r="AS19" t="s">
        <v>388</v>
      </c>
      <c r="AT19" t="s">
        <v>5</v>
      </c>
      <c r="AU19" t="s">
        <v>886</v>
      </c>
      <c r="AV19" t="s">
        <v>887</v>
      </c>
      <c r="AW19" t="s">
        <v>888</v>
      </c>
      <c r="AX19" t="s">
        <v>374</v>
      </c>
      <c r="AY19" t="s">
        <v>203</v>
      </c>
      <c r="AZ19" t="s">
        <v>27</v>
      </c>
      <c r="BA19" t="s">
        <v>149</v>
      </c>
      <c r="BB19" t="s">
        <v>150</v>
      </c>
      <c r="BC19" t="s">
        <v>375</v>
      </c>
      <c r="BD19" t="s">
        <v>204</v>
      </c>
      <c r="BE19" t="s">
        <v>148</v>
      </c>
      <c r="BF19" t="s">
        <v>151</v>
      </c>
      <c r="BG19" t="s">
        <v>152</v>
      </c>
      <c r="BH19" t="s">
        <v>679</v>
      </c>
      <c r="BI19" t="s">
        <v>889</v>
      </c>
      <c r="BJ19" t="s">
        <v>374</v>
      </c>
      <c r="BK19" t="s">
        <v>890</v>
      </c>
      <c r="BL19" t="s">
        <v>891</v>
      </c>
      <c r="BM19" t="s">
        <v>375</v>
      </c>
      <c r="BN19" t="s">
        <v>5</v>
      </c>
      <c r="BO19">
        <v>7.29</v>
      </c>
      <c r="BP19">
        <v>5.78</v>
      </c>
      <c r="BQ19">
        <v>-3.87</v>
      </c>
      <c r="BR19">
        <v>3.95</v>
      </c>
      <c r="BS19">
        <v>3.38</v>
      </c>
      <c r="BT19" t="s">
        <v>342</v>
      </c>
      <c r="BU19" t="s">
        <v>81</v>
      </c>
      <c r="BV19">
        <v>20.37</v>
      </c>
      <c r="BW19">
        <v>28.38</v>
      </c>
      <c r="BX19">
        <v>31.42</v>
      </c>
      <c r="BY19">
        <v>-21.35</v>
      </c>
      <c r="BZ19">
        <v>7.4</v>
      </c>
      <c r="CA19">
        <v>7.65</v>
      </c>
      <c r="CB19">
        <v>5.22</v>
      </c>
      <c r="CC19">
        <v>-18.510000000000002</v>
      </c>
      <c r="CD19" t="s">
        <v>892</v>
      </c>
      <c r="CE19" t="s">
        <v>195</v>
      </c>
      <c r="CF19" s="10">
        <v>-0.54621848739495793</v>
      </c>
      <c r="CG19" s="11">
        <v>-2.3284650987383433</v>
      </c>
      <c r="CH19" s="10">
        <v>0.65025466680526733</v>
      </c>
      <c r="CI19" s="10">
        <v>0.26394850015640259</v>
      </c>
      <c r="CJ19" s="10">
        <v>1.251207709312439</v>
      </c>
      <c r="CK19" s="10">
        <v>2.7516584396362305</v>
      </c>
      <c r="CL19" s="10">
        <v>-0.40709522366523743</v>
      </c>
      <c r="CM19" s="11">
        <v>-0.16048769652843475</v>
      </c>
      <c r="CN19" s="11">
        <v>0.21215119957923889</v>
      </c>
      <c r="CO19" s="11">
        <v>0.29659631848335266</v>
      </c>
      <c r="CP19" s="11">
        <v>1.5623817443847656</v>
      </c>
      <c r="CQ19" s="11">
        <v>-2.9725229740142822</v>
      </c>
      <c r="CR19">
        <v>109.98876264202772</v>
      </c>
      <c r="CS19">
        <v>1.2193946172679055</v>
      </c>
      <c r="CT19">
        <v>0</v>
      </c>
      <c r="CU19" s="10">
        <v>0.90199481844902041</v>
      </c>
      <c r="CV19" s="11">
        <v>-0.21237628161907196</v>
      </c>
      <c r="CW19">
        <v>0.06</v>
      </c>
      <c r="CX19">
        <v>22.504584759335863</v>
      </c>
      <c r="CY19">
        <v>26390178.105980158</v>
      </c>
      <c r="CZ19">
        <v>0.90199481844902041</v>
      </c>
      <c r="DA19">
        <v>3.9603089600747694</v>
      </c>
      <c r="DB19">
        <v>149963047.32466817</v>
      </c>
      <c r="DC19">
        <v>0.85689507752656935</v>
      </c>
      <c r="DD19">
        <v>0.73471365296529045</v>
      </c>
      <c r="DE19">
        <v>808342131.11874378</v>
      </c>
      <c r="DF19">
        <v>0.793755440235138</v>
      </c>
      <c r="DG19">
        <v>0.1224606030962293</v>
      </c>
      <c r="DH19">
        <v>4849722971.9938135</v>
      </c>
      <c r="DI19">
        <v>0.72159585475921639</v>
      </c>
      <c r="DJ19">
        <v>2.5442397305145471E-3</v>
      </c>
      <c r="DK19">
        <v>233429260960.36148</v>
      </c>
      <c r="DL19">
        <v>0.63139637291431427</v>
      </c>
      <c r="DM19">
        <v>14707500</v>
      </c>
      <c r="DN19">
        <v>0.90199481844902041</v>
      </c>
      <c r="DO19">
        <v>593900000</v>
      </c>
      <c r="DP19">
        <v>336587180</v>
      </c>
      <c r="DQ19">
        <v>3255</v>
      </c>
      <c r="DR19">
        <v>-1.4482133058439783</v>
      </c>
      <c r="DS19">
        <v>-2.1160888171192713</v>
      </c>
      <c r="DT19" s="12">
        <v>0.73500000000000021</v>
      </c>
      <c r="DU19">
        <v>-1.165</v>
      </c>
      <c r="DV19">
        <v>-0.42999999999999983</v>
      </c>
      <c r="DW19">
        <v>6.2199747155499372</v>
      </c>
      <c r="DX19">
        <v>0.57400370370370446</v>
      </c>
      <c r="DY19">
        <v>6.0536746453153532</v>
      </c>
      <c r="DZ19">
        <v>3979</v>
      </c>
      <c r="EA19">
        <v>6.0118798481118718</v>
      </c>
      <c r="EB19">
        <v>6</v>
      </c>
      <c r="EC19">
        <v>0.22915130434782605</v>
      </c>
      <c r="ED19">
        <v>0.93913043478260871</v>
      </c>
      <c r="EE19" s="13">
        <v>-1.1040000000000001</v>
      </c>
      <c r="EF19">
        <v>-1.1263000000000001</v>
      </c>
      <c r="EG19">
        <v>33.244003703703704</v>
      </c>
      <c r="EH19" t="s">
        <v>373</v>
      </c>
      <c r="EI19">
        <v>0</v>
      </c>
      <c r="EJ19">
        <v>0</v>
      </c>
      <c r="EK19" s="15">
        <v>45470</v>
      </c>
      <c r="EL19" s="16">
        <v>1.77</v>
      </c>
      <c r="EM19" s="16">
        <v>-0.25</v>
      </c>
      <c r="EN19" s="16">
        <v>-1</v>
      </c>
      <c r="EO19" s="16">
        <v>1.26</v>
      </c>
      <c r="EP19" s="16">
        <v>2.23</v>
      </c>
    </row>
    <row r="20" spans="1:146" ht="108" x14ac:dyDescent="0.25">
      <c r="A20" s="9"/>
      <c r="B20" s="9"/>
      <c r="C20" s="7" t="str">
        <f>""&amp;CHAR(10)&amp;Basic_Fundamental_Information_Constructure(F20)&amp;CHAR(10)&amp;Basic_Fundamental_Information_Concatenate("")</f>
        <v xml:space="preserve">
市值36.657854亿, 利润1.38亿; PE15.59; 平均PE-16.76; 平均PEG-2.79, PB1.09; ROIC5.635%; ROE.0733%; 股利率0%; 毛利18.7433%; 净利.02%; 上一年度营收增-46.43%, 利润增-68.2%; 当季营收增91.11%, 利润增51.91%; 过往5年营收增-6.01%, 利润增-126.66%
Income profile:
</v>
      </c>
      <c r="D20" t="s">
        <v>153</v>
      </c>
      <c r="E20" t="s">
        <v>260</v>
      </c>
      <c r="F20">
        <v>3.32</v>
      </c>
      <c r="G20">
        <v>0</v>
      </c>
      <c r="H20" t="s">
        <v>893</v>
      </c>
      <c r="I20">
        <v>3665785400</v>
      </c>
      <c r="J20">
        <v>15.59</v>
      </c>
      <c r="K20">
        <v>1.0900000000000001</v>
      </c>
      <c r="L20" t="s">
        <v>81</v>
      </c>
      <c r="M20" t="s">
        <v>894</v>
      </c>
      <c r="N20" t="s">
        <v>895</v>
      </c>
      <c r="O20" t="s">
        <v>896</v>
      </c>
      <c r="P20">
        <v>16.64</v>
      </c>
      <c r="Q20" t="s">
        <v>897</v>
      </c>
      <c r="R20">
        <v>80575778</v>
      </c>
      <c r="S20" s="5">
        <v>15.18</v>
      </c>
      <c r="T20" t="s">
        <v>36</v>
      </c>
      <c r="U20">
        <v>1104152230</v>
      </c>
      <c r="V20">
        <v>1104152230</v>
      </c>
      <c r="W20">
        <v>1.86</v>
      </c>
      <c r="X20">
        <v>0.33</v>
      </c>
      <c r="Y20">
        <v>3.81</v>
      </c>
      <c r="Z20" t="s">
        <v>898</v>
      </c>
      <c r="AA20" t="s">
        <v>899</v>
      </c>
      <c r="AB20" t="s">
        <v>845</v>
      </c>
      <c r="AC20" t="s">
        <v>900</v>
      </c>
      <c r="AD20" t="s">
        <v>5</v>
      </c>
      <c r="AE20">
        <v>-347884</v>
      </c>
      <c r="AF20" t="s">
        <v>901</v>
      </c>
      <c r="AG20" t="s">
        <v>902</v>
      </c>
      <c r="AH20" t="s">
        <v>903</v>
      </c>
      <c r="AI20" t="s">
        <v>904</v>
      </c>
      <c r="AJ20" t="s">
        <v>905</v>
      </c>
      <c r="AK20" t="s">
        <v>906</v>
      </c>
      <c r="AL20" t="s">
        <v>907</v>
      </c>
      <c r="AM20" t="s">
        <v>5</v>
      </c>
      <c r="AN20" t="s">
        <v>908</v>
      </c>
      <c r="AO20" t="s">
        <v>407</v>
      </c>
      <c r="AP20" t="s">
        <v>909</v>
      </c>
      <c r="AQ20" t="s">
        <v>910</v>
      </c>
      <c r="AR20" t="s">
        <v>911</v>
      </c>
      <c r="AS20" t="s">
        <v>912</v>
      </c>
      <c r="AT20" t="s">
        <v>396</v>
      </c>
      <c r="AU20" t="s">
        <v>432</v>
      </c>
      <c r="AV20" t="s">
        <v>913</v>
      </c>
      <c r="AW20" t="s">
        <v>914</v>
      </c>
      <c r="AX20" t="s">
        <v>915</v>
      </c>
      <c r="AY20" t="s">
        <v>205</v>
      </c>
      <c r="AZ20" t="s">
        <v>154</v>
      </c>
      <c r="BA20" t="s">
        <v>155</v>
      </c>
      <c r="BB20" t="s">
        <v>156</v>
      </c>
      <c r="BC20" t="s">
        <v>916</v>
      </c>
      <c r="BD20" t="s">
        <v>206</v>
      </c>
      <c r="BE20" t="s">
        <v>75</v>
      </c>
      <c r="BF20" t="s">
        <v>261</v>
      </c>
      <c r="BG20" t="s">
        <v>35</v>
      </c>
      <c r="BH20" t="s">
        <v>917</v>
      </c>
      <c r="BI20" t="s">
        <v>393</v>
      </c>
      <c r="BJ20" t="s">
        <v>915</v>
      </c>
      <c r="BK20" t="s">
        <v>378</v>
      </c>
      <c r="BL20" t="s">
        <v>918</v>
      </c>
      <c r="BM20" t="s">
        <v>916</v>
      </c>
      <c r="BN20">
        <v>3.5</v>
      </c>
      <c r="BO20">
        <v>7.77</v>
      </c>
      <c r="BP20" t="s">
        <v>5</v>
      </c>
      <c r="BQ20">
        <v>4.47</v>
      </c>
      <c r="BR20">
        <v>11.2</v>
      </c>
      <c r="BS20">
        <v>-15.45</v>
      </c>
      <c r="BT20" t="s">
        <v>342</v>
      </c>
      <c r="BU20" t="s">
        <v>81</v>
      </c>
      <c r="BV20">
        <v>17.600000000000001</v>
      </c>
      <c r="BW20">
        <v>18.09</v>
      </c>
      <c r="BX20">
        <v>20.54</v>
      </c>
      <c r="BY20">
        <v>1.64</v>
      </c>
      <c r="BZ20">
        <v>5.54</v>
      </c>
      <c r="CA20">
        <v>-7.12</v>
      </c>
      <c r="CB20">
        <v>1.22</v>
      </c>
      <c r="CC20">
        <v>-9.7799999999999994</v>
      </c>
      <c r="CD20" t="s">
        <v>919</v>
      </c>
      <c r="CE20" t="s">
        <v>920</v>
      </c>
      <c r="CF20" s="10">
        <v>0.91109074243813037</v>
      </c>
      <c r="CG20" s="11">
        <v>0.51906524894896588</v>
      </c>
      <c r="CH20" s="10">
        <v>-0.46432009339332581</v>
      </c>
      <c r="CI20" s="10">
        <v>-0.15957941114902496</v>
      </c>
      <c r="CJ20" s="10">
        <v>-0.11359214782714844</v>
      </c>
      <c r="CK20" s="10">
        <v>0.13987158238887787</v>
      </c>
      <c r="CL20" s="10">
        <v>0.29713773727416992</v>
      </c>
      <c r="CM20" s="11">
        <v>-0.68202763795852661</v>
      </c>
      <c r="CN20" s="11">
        <v>1.7149918079376221</v>
      </c>
      <c r="CO20" s="11">
        <v>-2.0812182426452637</v>
      </c>
      <c r="CP20" s="11">
        <v>0.85309475660324097</v>
      </c>
      <c r="CQ20" s="11">
        <v>-6.1379303932189941</v>
      </c>
      <c r="CR20">
        <v>-16.764262500000001</v>
      </c>
      <c r="CS20">
        <v>-2.7895587652365275</v>
      </c>
      <c r="CT20">
        <v>0</v>
      </c>
      <c r="CU20" s="10">
        <v>-6.0096466541290285E-2</v>
      </c>
      <c r="CV20" s="11">
        <v>-1.2666179418563843</v>
      </c>
      <c r="CW20">
        <v>0.06</v>
      </c>
      <c r="CX20">
        <v>23.788299999999996</v>
      </c>
      <c r="CY20" t="s">
        <v>921</v>
      </c>
      <c r="CZ20">
        <v>-6.0096466541290285E-2</v>
      </c>
      <c r="DA20">
        <v>7.929433333333332</v>
      </c>
      <c r="DB20" t="s">
        <v>922</v>
      </c>
      <c r="DC20">
        <v>-5.7091643214225767E-2</v>
      </c>
      <c r="DD20">
        <v>3.964716666666666</v>
      </c>
      <c r="DE20" t="s">
        <v>923</v>
      </c>
      <c r="DF20">
        <v>-5.2884890556335454E-2</v>
      </c>
      <c r="DG20">
        <v>2.3788299999999998</v>
      </c>
      <c r="DH20" t="s">
        <v>924</v>
      </c>
      <c r="DI20">
        <v>-4.8077173233032233E-2</v>
      </c>
      <c r="DJ20">
        <v>1.1894149999999999</v>
      </c>
      <c r="DK20" t="s">
        <v>925</v>
      </c>
      <c r="DL20">
        <v>-4.2067526578903197E-2</v>
      </c>
      <c r="DM20">
        <v>138000000</v>
      </c>
      <c r="DN20">
        <v>-6.0096466541290285E-2</v>
      </c>
      <c r="DO20">
        <v>3282785399.9999995</v>
      </c>
      <c r="DP20">
        <v>1219488500</v>
      </c>
      <c r="DQ20">
        <v>3662</v>
      </c>
      <c r="DR20">
        <v>0.97118720897942068</v>
      </c>
      <c r="DS20">
        <v>1.7856831908053503</v>
      </c>
      <c r="DT20" s="12">
        <v>-0.65666666666666662</v>
      </c>
      <c r="DU20">
        <v>-1.956666666666667</v>
      </c>
      <c r="DV20">
        <v>-2.6133333333333337</v>
      </c>
      <c r="DW20">
        <v>-2.0977999999999999</v>
      </c>
      <c r="DX20">
        <v>0.31273529411764667</v>
      </c>
      <c r="DY20">
        <v>-2.0100475117647059</v>
      </c>
      <c r="DZ20">
        <v>4980</v>
      </c>
      <c r="EA20">
        <v>-2.0002556118452861</v>
      </c>
      <c r="EB20">
        <v>2</v>
      </c>
      <c r="EC20">
        <v>4.2707426312040324E-2</v>
      </c>
      <c r="ED20">
        <v>0.41570354841379076</v>
      </c>
      <c r="EE20" s="13">
        <v>8.070999999999999E-2</v>
      </c>
      <c r="EF20">
        <v>7.9309999999999992E-2</v>
      </c>
      <c r="EG20">
        <v>21.102735294117647</v>
      </c>
      <c r="EH20">
        <v>-1</v>
      </c>
      <c r="EI20">
        <v>0</v>
      </c>
      <c r="EJ20">
        <v>0</v>
      </c>
      <c r="EK20" s="15">
        <v>45470</v>
      </c>
      <c r="EL20" s="16">
        <v>0.14000000000000001</v>
      </c>
      <c r="EM20" s="16">
        <v>-0.82</v>
      </c>
      <c r="EN20">
        <v>-0.55000000000000004</v>
      </c>
      <c r="EO20">
        <v>1.67</v>
      </c>
      <c r="EP20">
        <v>0.14000000000000001</v>
      </c>
    </row>
    <row r="21" spans="1:146" ht="192.5" customHeight="1" x14ac:dyDescent="0.25">
      <c r="A21" s="7" t="s">
        <v>435</v>
      </c>
      <c r="B21" s="7" t="s">
        <v>345</v>
      </c>
      <c r="C21" s="7" t="str">
        <f>"公司的主营B2B业务是以工业电子商务为基础，以互联网大数据为支撑，为相关行业客户提供工业品和原材料的网上商品交易、商业信息服务和互联网技术服务。公司主要业务板块：网上商品交易、商业信息服务、互联网技术服务。"&amp;CHAR(10)&amp;Basic_Fundamental_Information_Constructure(F21)&amp;CHAR(10)&amp;Basic_Fundamental_Information_Concatenate("网上商品交易业务 400.67亿 99.51% 92.22% 5.00%
互联网技术服务 1.07亿 0.27% 4.50% 91.58%
商业信息服务 9077.03万 0.23% 3.28% 78.57%")</f>
        <v>公司的主营B2B业务是以工业电子商务为基础，以互联网大数据为支撑，为相关行业客户提供工业品和原材料的网上商品交易、商业信息服务和互联网技术服务。公司主要业务板块：网上商品交易、商业信息服务、互联网技术服务。
市值136.44876亿, 利润469.45万; PE9.19; 平均PE36.14; 平均PEG.77, PB2; ROIC16.6733%; ROE18.1667%; 股利率1.1276%; 毛利5.1933%; 净利3.09%; 上一年度营收增-98.37%, 利润增-99.58%; 当季营收增9635.33%, 利润增15389.81%; 过往5年营收增47.08%, 利润增49.19%
Income profile:
网上商品交易业务 400.67亿 99.51% 92.22% 5.00%
互联网技术服务 1.07亿 0.27% 4.50% 91.58%
商业信息服务 9077.03万 0.23% 3.28% 78.57%</v>
      </c>
      <c r="D21" t="s">
        <v>157</v>
      </c>
      <c r="E21" t="s">
        <v>158</v>
      </c>
      <c r="F21">
        <v>18.89</v>
      </c>
      <c r="G21">
        <v>-0.57999999999999996</v>
      </c>
      <c r="H21" t="s">
        <v>926</v>
      </c>
      <c r="I21">
        <v>13644876000</v>
      </c>
      <c r="J21">
        <v>9.19</v>
      </c>
      <c r="K21">
        <v>2</v>
      </c>
      <c r="L21" t="s">
        <v>81</v>
      </c>
      <c r="M21" t="s">
        <v>927</v>
      </c>
      <c r="N21" t="s">
        <v>928</v>
      </c>
      <c r="O21" t="s">
        <v>929</v>
      </c>
      <c r="P21">
        <v>23.57</v>
      </c>
      <c r="Q21" t="s">
        <v>930</v>
      </c>
      <c r="R21">
        <v>312878700</v>
      </c>
      <c r="S21" s="5">
        <v>0.22209999999999999</v>
      </c>
      <c r="T21" t="s">
        <v>931</v>
      </c>
      <c r="U21">
        <v>722333310</v>
      </c>
      <c r="V21">
        <v>722333310</v>
      </c>
      <c r="W21">
        <v>2</v>
      </c>
      <c r="X21">
        <v>1.06</v>
      </c>
      <c r="Y21">
        <v>2.37</v>
      </c>
      <c r="Z21" t="s">
        <v>932</v>
      </c>
      <c r="AA21" t="s">
        <v>933</v>
      </c>
      <c r="AB21" t="s">
        <v>934</v>
      </c>
      <c r="AC21" t="s">
        <v>935</v>
      </c>
      <c r="AD21" t="s">
        <v>5</v>
      </c>
      <c r="AE21">
        <v>27392535</v>
      </c>
      <c r="AF21" t="s">
        <v>936</v>
      </c>
      <c r="AG21" t="s">
        <v>937</v>
      </c>
      <c r="AH21" t="s">
        <v>938</v>
      </c>
      <c r="AI21" t="s">
        <v>939</v>
      </c>
      <c r="AJ21" t="s">
        <v>940</v>
      </c>
      <c r="AK21" t="s">
        <v>941</v>
      </c>
      <c r="AL21" t="s">
        <v>942</v>
      </c>
      <c r="AM21" t="s">
        <v>5</v>
      </c>
      <c r="AN21" t="s">
        <v>262</v>
      </c>
      <c r="AO21" t="s">
        <v>943</v>
      </c>
      <c r="AP21" t="s">
        <v>944</v>
      </c>
      <c r="AQ21" t="s">
        <v>529</v>
      </c>
      <c r="AR21" t="s">
        <v>945</v>
      </c>
      <c r="AS21" t="s">
        <v>946</v>
      </c>
      <c r="AT21" t="s">
        <v>5</v>
      </c>
      <c r="AU21" t="s">
        <v>947</v>
      </c>
      <c r="AV21" t="s">
        <v>948</v>
      </c>
      <c r="AW21" t="s">
        <v>949</v>
      </c>
      <c r="AX21" t="s">
        <v>376</v>
      </c>
      <c r="AY21" t="s">
        <v>428</v>
      </c>
      <c r="AZ21" t="s">
        <v>429</v>
      </c>
      <c r="BA21" t="s">
        <v>79</v>
      </c>
      <c r="BB21" t="s">
        <v>159</v>
      </c>
      <c r="BC21" t="s">
        <v>377</v>
      </c>
      <c r="BD21" t="s">
        <v>207</v>
      </c>
      <c r="BE21" t="s">
        <v>24</v>
      </c>
      <c r="BF21" t="s">
        <v>22</v>
      </c>
      <c r="BG21" t="s">
        <v>160</v>
      </c>
      <c r="BH21" t="s">
        <v>950</v>
      </c>
      <c r="BI21" t="s">
        <v>767</v>
      </c>
      <c r="BJ21" t="s">
        <v>376</v>
      </c>
      <c r="BK21" t="s">
        <v>951</v>
      </c>
      <c r="BL21" t="s">
        <v>952</v>
      </c>
      <c r="BM21" t="s">
        <v>377</v>
      </c>
      <c r="BN21">
        <v>14.67</v>
      </c>
      <c r="BO21">
        <v>21.1</v>
      </c>
      <c r="BP21">
        <v>14.25</v>
      </c>
      <c r="BQ21">
        <v>17.12</v>
      </c>
      <c r="BR21">
        <v>23.17</v>
      </c>
      <c r="BS21">
        <v>14.21</v>
      </c>
      <c r="BT21" t="s">
        <v>953</v>
      </c>
      <c r="BU21" t="s">
        <v>81</v>
      </c>
      <c r="BV21">
        <v>5.76</v>
      </c>
      <c r="BW21">
        <v>5.41</v>
      </c>
      <c r="BX21">
        <v>4.41</v>
      </c>
      <c r="BY21">
        <v>3.36</v>
      </c>
      <c r="BZ21">
        <v>3.34</v>
      </c>
      <c r="CA21">
        <v>2.57</v>
      </c>
      <c r="CB21">
        <v>-3.67</v>
      </c>
      <c r="CC21">
        <v>-14.25</v>
      </c>
      <c r="CD21" t="s">
        <v>954</v>
      </c>
      <c r="CE21" t="s">
        <v>955</v>
      </c>
      <c r="CF21" s="10">
        <v>96.35329341317366</v>
      </c>
      <c r="CG21" s="11">
        <v>153.89811376800833</v>
      </c>
      <c r="CH21" s="10">
        <v>-0.98368477821350098</v>
      </c>
      <c r="CI21" s="10">
        <v>0.46480667591094971</v>
      </c>
      <c r="CJ21" s="10">
        <v>0.85524368286132813</v>
      </c>
      <c r="CK21" s="10">
        <v>1.0586273670196533</v>
      </c>
      <c r="CL21" s="10">
        <v>0.95917266607284546</v>
      </c>
      <c r="CM21" s="11">
        <v>-0.99583077430725098</v>
      </c>
      <c r="CN21" s="11">
        <v>0.9480968713760376</v>
      </c>
      <c r="CO21" s="11">
        <v>0.90131580829620361</v>
      </c>
      <c r="CP21" s="11">
        <v>0.91194969415664673</v>
      </c>
      <c r="CQ21" s="11">
        <v>0.69398707151412964</v>
      </c>
      <c r="CR21">
        <v>36.136497889988057</v>
      </c>
      <c r="CS21">
        <v>0.76750118344352358</v>
      </c>
      <c r="CT21">
        <v>1.1275807305452619</v>
      </c>
      <c r="CU21" s="10">
        <v>0.47083312273025513</v>
      </c>
      <c r="CV21" s="11">
        <v>0.49190373420715333</v>
      </c>
      <c r="CW21">
        <v>0.06</v>
      </c>
      <c r="CX21">
        <v>2154.2683850517051</v>
      </c>
      <c r="CY21">
        <v>6513986.8817520589</v>
      </c>
      <c r="CZ21">
        <v>0.47083312273025513</v>
      </c>
      <c r="DA21">
        <v>517.61593521070847</v>
      </c>
      <c r="DB21">
        <v>27110595.02889448</v>
      </c>
      <c r="DC21">
        <v>0.44729146659374236</v>
      </c>
      <c r="DD21">
        <v>161.30995338654216</v>
      </c>
      <c r="DE21">
        <v>86993243.1656802</v>
      </c>
      <c r="DF21">
        <v>0.4143331480026245</v>
      </c>
      <c r="DG21">
        <v>54.342105591603726</v>
      </c>
      <c r="DH21">
        <v>258232099.16562724</v>
      </c>
      <c r="DI21">
        <v>0.37666649818420411</v>
      </c>
      <c r="DJ21">
        <v>6.5923449513233177</v>
      </c>
      <c r="DK21">
        <v>2128662274.7468796</v>
      </c>
      <c r="DL21">
        <v>0.32958318591117858</v>
      </c>
      <c r="DM21">
        <v>4694500</v>
      </c>
      <c r="DN21">
        <v>0.47083312273025513</v>
      </c>
      <c r="DO21">
        <v>14032876000</v>
      </c>
      <c r="DP21">
        <v>7310226000</v>
      </c>
      <c r="DQ21">
        <v>4215</v>
      </c>
      <c r="DR21">
        <v>95.882460290443404</v>
      </c>
      <c r="DS21">
        <v>153.40621003380119</v>
      </c>
      <c r="DT21" s="12">
        <v>7.6666666666666591E-2</v>
      </c>
      <c r="DU21">
        <v>0.8866666666666666</v>
      </c>
      <c r="DV21">
        <v>0.96333333333333315</v>
      </c>
      <c r="DW21">
        <v>-8.2575438596491235</v>
      </c>
      <c r="DX21">
        <v>0.33047311827956816</v>
      </c>
      <c r="DY21">
        <v>-8.0284516732691937</v>
      </c>
      <c r="DZ21">
        <v>4550</v>
      </c>
      <c r="EA21">
        <v>-8.0031179915911448</v>
      </c>
      <c r="EB21">
        <v>8</v>
      </c>
      <c r="EC21">
        <v>7.1116753566300303E-2</v>
      </c>
      <c r="ED21">
        <v>0.64374713662311944</v>
      </c>
      <c r="EE21" s="13">
        <v>1.06541</v>
      </c>
      <c r="EF21">
        <v>1.09131</v>
      </c>
      <c r="EG21">
        <v>22.110473118279568</v>
      </c>
      <c r="EH21" t="s">
        <v>464</v>
      </c>
      <c r="EI21">
        <v>0</v>
      </c>
      <c r="EJ21">
        <v>0</v>
      </c>
      <c r="EK21" s="15">
        <v>45470</v>
      </c>
      <c r="EL21" s="16">
        <v>-0.75</v>
      </c>
      <c r="EM21" s="16">
        <v>-4.45</v>
      </c>
      <c r="EN21">
        <v>2.48</v>
      </c>
      <c r="EO21">
        <v>4.45</v>
      </c>
      <c r="EP21">
        <v>-2.59</v>
      </c>
    </row>
    <row r="22" spans="1:146" ht="156" x14ac:dyDescent="0.25">
      <c r="A22" s="7"/>
      <c r="B22" s="7"/>
      <c r="C22" s="7" t="str">
        <f>"公司主营业务为电商零售业务、品牌营销运营服务。公司的主要服务有品牌化妆品网络零售、分销、线上店铺运营、品牌营销推广服务、寄售。"&amp;CHAR(10)&amp;Basic_Fundamental_Information_Constructure(F22)&amp;CHAR(10)&amp;Basic_Fundamental_Information_Concatenate("天猫国内 17.96亿 85.58% 86.93% 29.34%
其他 2.38亿 11.32% 10.32% 26.33%
天猫国际 6485.17万 3.09% 2.74% 25.63%")</f>
        <v>公司主营业务为电商零售业务、品牌营销运营服务。公司的主要服务有品牌化妆品网络零售、分销、线上店铺运营、品牌营销推广服务、寄售。
市值22.265493亿, 利润1.04亿; PE50.29; 平均PE10.66; 平均PEG1.41, PB.883; ROIC15.71%; ROE3%; 股利率.8993%; 毛利32.6933%; 净利2.1433%; 上一年度营收增43.46%, 利润增174.82%; 当季营收增-63.94%, 利润增-116.91%; 过往5年营收增7.54%, 利润增18.85%
Income profile:
天猫国内 17.96亿 85.58% 86.93% 29.34%
其他 2.38亿 11.32% 10.32% 26.33%
天猫国际 6485.17万 3.09% 2.74% 25.63%</v>
      </c>
      <c r="D22" t="s">
        <v>161</v>
      </c>
      <c r="E22" t="s">
        <v>162</v>
      </c>
      <c r="F22">
        <v>5.56</v>
      </c>
      <c r="G22">
        <v>1.0900000000000001</v>
      </c>
      <c r="H22" t="s">
        <v>956</v>
      </c>
      <c r="I22">
        <v>2226549300</v>
      </c>
      <c r="J22">
        <v>50.29</v>
      </c>
      <c r="K22">
        <v>0.88300000000000001</v>
      </c>
      <c r="L22" t="s">
        <v>81</v>
      </c>
      <c r="M22" t="s">
        <v>957</v>
      </c>
      <c r="N22" t="s">
        <v>958</v>
      </c>
      <c r="O22" t="s">
        <v>959</v>
      </c>
      <c r="P22">
        <v>-23.11</v>
      </c>
      <c r="Q22" t="s">
        <v>960</v>
      </c>
      <c r="R22">
        <v>-9546080</v>
      </c>
      <c r="S22" s="5">
        <v>0.60699999999999998</v>
      </c>
      <c r="T22" t="s">
        <v>394</v>
      </c>
      <c r="U22">
        <v>400458500</v>
      </c>
      <c r="V22">
        <v>400458500</v>
      </c>
      <c r="W22">
        <v>1.1000000000000001</v>
      </c>
      <c r="X22">
        <v>0.16</v>
      </c>
      <c r="Y22">
        <v>-2.11</v>
      </c>
      <c r="Z22" t="s">
        <v>961</v>
      </c>
      <c r="AA22" t="s">
        <v>391</v>
      </c>
      <c r="AB22" t="s">
        <v>962</v>
      </c>
      <c r="AC22" t="s">
        <v>963</v>
      </c>
      <c r="AD22" t="s">
        <v>5</v>
      </c>
      <c r="AE22">
        <v>-3415984</v>
      </c>
      <c r="AF22" t="s">
        <v>964</v>
      </c>
      <c r="AG22" t="s">
        <v>965</v>
      </c>
      <c r="AH22" t="s">
        <v>966</v>
      </c>
      <c r="AI22" t="s">
        <v>967</v>
      </c>
      <c r="AJ22" t="s">
        <v>968</v>
      </c>
      <c r="AK22" t="s">
        <v>5</v>
      </c>
      <c r="AL22" t="s">
        <v>969</v>
      </c>
      <c r="AM22" t="s">
        <v>5</v>
      </c>
      <c r="AN22">
        <v>0</v>
      </c>
      <c r="AO22" t="s">
        <v>5</v>
      </c>
      <c r="AP22" t="s">
        <v>5</v>
      </c>
      <c r="AQ22" t="s">
        <v>875</v>
      </c>
      <c r="AR22" t="s">
        <v>970</v>
      </c>
      <c r="AS22" t="s">
        <v>971</v>
      </c>
      <c r="AT22" t="s">
        <v>5</v>
      </c>
      <c r="AU22" t="s">
        <v>972</v>
      </c>
      <c r="AV22" t="s">
        <v>973</v>
      </c>
      <c r="AW22" t="s">
        <v>974</v>
      </c>
      <c r="AX22" t="s">
        <v>379</v>
      </c>
      <c r="AY22" t="s">
        <v>208</v>
      </c>
      <c r="AZ22" t="s">
        <v>163</v>
      </c>
      <c r="BA22" t="s">
        <v>73</v>
      </c>
      <c r="BB22" t="s">
        <v>164</v>
      </c>
      <c r="BC22" t="s">
        <v>380</v>
      </c>
      <c r="BD22" t="s">
        <v>209</v>
      </c>
      <c r="BE22" t="s">
        <v>29</v>
      </c>
      <c r="BF22" t="s">
        <v>165</v>
      </c>
      <c r="BG22" t="s">
        <v>30</v>
      </c>
      <c r="BH22" t="s">
        <v>975</v>
      </c>
      <c r="BI22" t="s">
        <v>976</v>
      </c>
      <c r="BJ22" t="s">
        <v>379</v>
      </c>
      <c r="BK22" t="s">
        <v>977</v>
      </c>
      <c r="BL22" t="s">
        <v>978</v>
      </c>
      <c r="BM22" t="s">
        <v>380</v>
      </c>
      <c r="BN22" t="s">
        <v>5</v>
      </c>
      <c r="BO22" t="s">
        <v>5</v>
      </c>
      <c r="BP22">
        <v>15.71</v>
      </c>
      <c r="BQ22">
        <v>-2.1</v>
      </c>
      <c r="BR22">
        <v>-5.3</v>
      </c>
      <c r="BS22">
        <v>16.399999999999999</v>
      </c>
      <c r="BT22" t="s">
        <v>979</v>
      </c>
      <c r="BU22" t="s">
        <v>81</v>
      </c>
      <c r="BV22">
        <v>34.57</v>
      </c>
      <c r="BW22">
        <v>27.06</v>
      </c>
      <c r="BX22">
        <v>36.450000000000003</v>
      </c>
      <c r="BY22">
        <v>0.99</v>
      </c>
      <c r="BZ22">
        <v>-4.42</v>
      </c>
      <c r="CA22">
        <v>9.86</v>
      </c>
      <c r="CB22">
        <v>0.91</v>
      </c>
      <c r="CC22">
        <v>-17.87</v>
      </c>
      <c r="CD22" t="s">
        <v>980</v>
      </c>
      <c r="CE22" t="s">
        <v>22</v>
      </c>
      <c r="CF22" s="10">
        <v>-0.63941940412528653</v>
      </c>
      <c r="CG22" s="11">
        <v>-1.1690529149252673</v>
      </c>
      <c r="CH22" s="10">
        <v>0.43460825085639954</v>
      </c>
      <c r="CI22" s="10">
        <v>-0.21973529458045959</v>
      </c>
      <c r="CJ22" s="10">
        <v>-9.6739113330841064E-2</v>
      </c>
      <c r="CK22" s="10">
        <v>0.18740324676036835</v>
      </c>
      <c r="CL22" s="10">
        <v>7.1645863354206085E-2</v>
      </c>
      <c r="CM22" s="11">
        <v>1.7482014894485474</v>
      </c>
      <c r="CN22" s="11">
        <v>-1.3381994962692261</v>
      </c>
      <c r="CO22" s="11">
        <v>0.21238937973976135</v>
      </c>
      <c r="CP22" s="11">
        <v>0.18531468510627747</v>
      </c>
      <c r="CQ22" s="11">
        <v>0.1349206417798996</v>
      </c>
      <c r="CR22">
        <v>10.661848204309656</v>
      </c>
      <c r="CS22">
        <v>1.4133523423873913</v>
      </c>
      <c r="CT22">
        <v>0.89928057553956842</v>
      </c>
      <c r="CU22" s="10">
        <v>7.5436590611934667E-2</v>
      </c>
      <c r="CV22" s="11">
        <v>0.18852533996105195</v>
      </c>
      <c r="CW22">
        <v>0.06</v>
      </c>
      <c r="CX22">
        <v>2.1186588497082091</v>
      </c>
      <c r="CY22">
        <v>105514533.41852945</v>
      </c>
      <c r="CZ22">
        <v>7.5436590611934667E-2</v>
      </c>
      <c r="DA22">
        <v>0.70096318719951956</v>
      </c>
      <c r="DB22">
        <v>318917318.4587934</v>
      </c>
      <c r="DC22">
        <v>7.166476108133793E-2</v>
      </c>
      <c r="DD22">
        <v>0.35078293766501628</v>
      </c>
      <c r="DE22">
        <v>637286697.83101213</v>
      </c>
      <c r="DF22">
        <v>6.6384199738502514E-2</v>
      </c>
      <c r="DG22">
        <v>0.21456202257572413</v>
      </c>
      <c r="DH22">
        <v>1041886617.7545658</v>
      </c>
      <c r="DI22">
        <v>6.0349272489547738E-2</v>
      </c>
      <c r="DJ22">
        <v>0.11535348788121273</v>
      </c>
      <c r="DK22">
        <v>1937950070.7443175</v>
      </c>
      <c r="DL22">
        <v>5.2805613428354263E-2</v>
      </c>
      <c r="DM22">
        <v>104000000</v>
      </c>
      <c r="DN22">
        <v>7.5436590611934667E-2</v>
      </c>
      <c r="DO22">
        <v>223549300</v>
      </c>
      <c r="DP22">
        <v>2122951600</v>
      </c>
      <c r="DQ22">
        <v>4467</v>
      </c>
      <c r="DR22">
        <v>-0.71485599473722117</v>
      </c>
      <c r="DS22">
        <v>-1.3575782548863193</v>
      </c>
      <c r="DT22" s="12">
        <v>-0.3066666666666667</v>
      </c>
      <c r="DU22">
        <v>-1.0316666666666665</v>
      </c>
      <c r="DV22">
        <v>-1.3383333333333332</v>
      </c>
      <c r="DW22">
        <v>-3.0211488095238095</v>
      </c>
      <c r="DX22">
        <v>0.39575974842767181</v>
      </c>
      <c r="DY22">
        <v>-3.0030826451557351</v>
      </c>
      <c r="DZ22">
        <v>3758</v>
      </c>
      <c r="EA22">
        <v>-3.0008156039629266</v>
      </c>
      <c r="EB22">
        <v>3</v>
      </c>
      <c r="EC22">
        <v>5.7873162887040731E-2</v>
      </c>
      <c r="ED22">
        <v>0.39704488729793475</v>
      </c>
      <c r="EE22" s="13">
        <v>-5.0004</v>
      </c>
      <c r="EF22">
        <v>-5.0134100000000004</v>
      </c>
      <c r="EG22">
        <v>25.145759748427672</v>
      </c>
      <c r="EH22" t="s">
        <v>981</v>
      </c>
      <c r="EI22">
        <v>0</v>
      </c>
      <c r="EJ22">
        <v>0</v>
      </c>
      <c r="EK22" s="15">
        <v>45470</v>
      </c>
      <c r="EL22" s="16">
        <v>0.4</v>
      </c>
      <c r="EM22" s="16">
        <v>-3.78</v>
      </c>
      <c r="EN22">
        <v>2.48</v>
      </c>
      <c r="EO22">
        <v>2.62</v>
      </c>
      <c r="EP22">
        <v>-1.38</v>
      </c>
    </row>
    <row r="23" spans="1:146" x14ac:dyDescent="0.25">
      <c r="A23" s="7"/>
      <c r="B23" s="7"/>
      <c r="C23" s="7"/>
      <c r="Q23" s="5"/>
    </row>
    <row r="24" spans="1:146" x14ac:dyDescent="0.25">
      <c r="A24" s="7"/>
      <c r="B24" s="7"/>
      <c r="C24" s="7"/>
      <c r="Q24" s="5"/>
    </row>
    <row r="25" spans="1:146" x14ac:dyDescent="0.25">
      <c r="A25" s="7"/>
      <c r="B25" s="7"/>
      <c r="C25" s="7"/>
      <c r="Q25" s="5"/>
    </row>
    <row r="26" spans="1:146" x14ac:dyDescent="0.25">
      <c r="A26" s="7"/>
      <c r="B26" s="7"/>
      <c r="C26" s="7"/>
      <c r="Q26" s="5"/>
    </row>
    <row r="27" spans="1:146" x14ac:dyDescent="0.25">
      <c r="A27" s="7"/>
      <c r="B27" s="7"/>
      <c r="C27" s="7"/>
      <c r="Q27" s="5"/>
    </row>
    <row r="28" spans="1:146" x14ac:dyDescent="0.25">
      <c r="A28" s="7"/>
      <c r="B28" s="7"/>
      <c r="C28" s="7"/>
      <c r="Q28" s="5"/>
    </row>
    <row r="29" spans="1:146" x14ac:dyDescent="0.25">
      <c r="A29" s="7"/>
      <c r="B29" s="7"/>
      <c r="C29" s="7"/>
      <c r="Q29" s="5"/>
    </row>
    <row r="30" spans="1:146" x14ac:dyDescent="0.25">
      <c r="A30" s="7"/>
      <c r="B30" s="7"/>
      <c r="C30" s="7"/>
      <c r="Q30" s="5"/>
    </row>
    <row r="31" spans="1:146" x14ac:dyDescent="0.25">
      <c r="A31" s="7"/>
      <c r="B31" s="7"/>
      <c r="C31" s="7"/>
      <c r="Q31" s="5"/>
    </row>
    <row r="32" spans="1:146" x14ac:dyDescent="0.25">
      <c r="A32" s="7"/>
      <c r="B32" s="7"/>
      <c r="C32" s="7"/>
      <c r="Q32" s="5"/>
    </row>
    <row r="33" spans="1:17" x14ac:dyDescent="0.25">
      <c r="A33" s="7"/>
      <c r="B33" s="7"/>
      <c r="C33" s="7"/>
      <c r="Q33" s="5"/>
    </row>
    <row r="34" spans="1:17" x14ac:dyDescent="0.25">
      <c r="A34" s="7"/>
      <c r="B34" s="7"/>
      <c r="C34" s="7"/>
      <c r="Q34" s="5"/>
    </row>
    <row r="35" spans="1:17" x14ac:dyDescent="0.25">
      <c r="A35" s="9"/>
      <c r="B35" s="9"/>
      <c r="C35" s="9"/>
      <c r="Q35" s="5"/>
    </row>
    <row r="36" spans="1:17" x14ac:dyDescent="0.25">
      <c r="A36" s="7"/>
      <c r="B36" s="7"/>
      <c r="C36" s="7"/>
      <c r="Q36" s="5"/>
    </row>
    <row r="37" spans="1:17" x14ac:dyDescent="0.25">
      <c r="A37" s="9"/>
      <c r="B37" s="9"/>
      <c r="C37" s="9"/>
      <c r="Q37" s="5"/>
    </row>
    <row r="38" spans="1:17" x14ac:dyDescent="0.25">
      <c r="A38" s="7"/>
      <c r="B38" s="7"/>
      <c r="C38" s="7"/>
      <c r="Q38" s="5"/>
    </row>
    <row r="39" spans="1:17" x14ac:dyDescent="0.25">
      <c r="A39" s="7"/>
      <c r="B39" s="7"/>
      <c r="C39" s="7"/>
      <c r="Q39" s="5"/>
    </row>
    <row r="40" spans="1:17" x14ac:dyDescent="0.25">
      <c r="A40" s="7"/>
      <c r="B40" s="7"/>
      <c r="C40" s="7"/>
      <c r="Q40" s="5"/>
    </row>
    <row r="41" spans="1:17" x14ac:dyDescent="0.25">
      <c r="A41" s="7"/>
      <c r="B41" s="7"/>
      <c r="C41" s="7"/>
      <c r="Q41" s="5"/>
    </row>
    <row r="42" spans="1:17" x14ac:dyDescent="0.25">
      <c r="A42" s="7"/>
      <c r="B42" s="7"/>
      <c r="C42" s="7"/>
      <c r="Q42" s="5"/>
    </row>
    <row r="43" spans="1:17" x14ac:dyDescent="0.25">
      <c r="A43" s="7"/>
      <c r="B43" s="7"/>
      <c r="C43" s="7"/>
      <c r="Q43" s="5"/>
    </row>
    <row r="44" spans="1:17" x14ac:dyDescent="0.25">
      <c r="A44" s="7"/>
      <c r="B44" s="7"/>
      <c r="C44" s="7"/>
      <c r="Q44" s="5"/>
    </row>
    <row r="45" spans="1:17" x14ac:dyDescent="0.25">
      <c r="A45" s="7"/>
      <c r="B45" s="7"/>
      <c r="C45" s="7"/>
      <c r="Q45" s="5"/>
    </row>
    <row r="46" spans="1:17" x14ac:dyDescent="0.25">
      <c r="A46" s="7"/>
      <c r="B46" s="7"/>
      <c r="C46" s="7"/>
      <c r="Q46" s="5"/>
    </row>
    <row r="47" spans="1:17" x14ac:dyDescent="0.25">
      <c r="A47" s="7"/>
      <c r="B47" s="7"/>
      <c r="C47" s="7"/>
      <c r="Q47" s="5"/>
    </row>
    <row r="48" spans="1:17" x14ac:dyDescent="0.25">
      <c r="A48" s="7"/>
      <c r="B48" s="7"/>
      <c r="C48" s="7"/>
      <c r="Q48" s="5"/>
    </row>
    <row r="49" spans="1:17" x14ac:dyDescent="0.25">
      <c r="A49" s="7"/>
      <c r="B49" s="7"/>
      <c r="C49" s="7"/>
      <c r="Q49" s="5"/>
    </row>
    <row r="50" spans="1:17" x14ac:dyDescent="0.25">
      <c r="A50" s="7"/>
      <c r="B50" s="7"/>
      <c r="C50" s="7"/>
      <c r="Q50" s="5"/>
    </row>
    <row r="51" spans="1:17" x14ac:dyDescent="0.25">
      <c r="A51" s="7"/>
      <c r="B51" s="7"/>
      <c r="C51" s="7"/>
      <c r="Q51" s="5"/>
    </row>
    <row r="52" spans="1:17" x14ac:dyDescent="0.25">
      <c r="A52" s="7"/>
      <c r="B52" s="7"/>
      <c r="C52" s="7"/>
      <c r="Q52" s="5"/>
    </row>
    <row r="53" spans="1:17" x14ac:dyDescent="0.25">
      <c r="A53" s="7"/>
      <c r="B53" s="7"/>
      <c r="C53" s="7"/>
      <c r="Q53" s="5"/>
    </row>
    <row r="54" spans="1:17" x14ac:dyDescent="0.25">
      <c r="A54" s="7"/>
      <c r="B54" s="7"/>
      <c r="C54" s="7"/>
      <c r="Q54" s="5"/>
    </row>
    <row r="55" spans="1:17" x14ac:dyDescent="0.25">
      <c r="A55" s="7"/>
      <c r="B55" s="7"/>
      <c r="C55" s="7"/>
      <c r="Q55" s="5"/>
    </row>
    <row r="56" spans="1:17" x14ac:dyDescent="0.25">
      <c r="A56" s="7"/>
      <c r="B56" s="7"/>
      <c r="C56" s="7"/>
      <c r="Q56" s="5"/>
    </row>
    <row r="57" spans="1:17" x14ac:dyDescent="0.25">
      <c r="A57" s="7"/>
      <c r="B57" s="7"/>
      <c r="C57" s="7"/>
      <c r="Q57" s="5"/>
    </row>
    <row r="58" spans="1:17" x14ac:dyDescent="0.25">
      <c r="Q58" s="5"/>
    </row>
    <row r="59" spans="1:17" x14ac:dyDescent="0.25">
      <c r="A59" s="7"/>
      <c r="B59" s="7"/>
      <c r="C59" s="7"/>
      <c r="Q59" s="5"/>
    </row>
    <row r="60" spans="1:17" x14ac:dyDescent="0.25">
      <c r="A60" s="7"/>
      <c r="B60" s="7"/>
      <c r="C60" s="7"/>
      <c r="Q60" s="5"/>
    </row>
    <row r="61" spans="1:17" x14ac:dyDescent="0.25">
      <c r="A61" s="7"/>
      <c r="B61" s="7"/>
      <c r="C61" s="7"/>
      <c r="Q61" s="6"/>
    </row>
    <row r="62" spans="1:17" x14ac:dyDescent="0.25">
      <c r="A62" s="9"/>
      <c r="B62" s="9"/>
      <c r="C62" s="9"/>
      <c r="Q62" s="5"/>
    </row>
    <row r="63" spans="1:17" x14ac:dyDescent="0.25">
      <c r="A63" s="7"/>
      <c r="B63" s="7"/>
      <c r="C63" s="7"/>
      <c r="Q63" s="5"/>
    </row>
    <row r="64" spans="1:17" x14ac:dyDescent="0.25">
      <c r="A64" s="7"/>
      <c r="B64" s="7"/>
      <c r="C64" s="7"/>
      <c r="Q64" s="5"/>
    </row>
    <row r="65" spans="1:17" x14ac:dyDescent="0.25">
      <c r="A65" s="7"/>
      <c r="B65" s="7"/>
      <c r="C65" s="7"/>
      <c r="Q65" s="5"/>
    </row>
    <row r="66" spans="1:17" x14ac:dyDescent="0.25">
      <c r="A66" s="7"/>
      <c r="B66" s="7"/>
      <c r="C66" s="7"/>
      <c r="Q66" s="5"/>
    </row>
    <row r="67" spans="1:17" x14ac:dyDescent="0.25">
      <c r="A67" s="7"/>
      <c r="B67" s="7"/>
      <c r="C67" s="7"/>
      <c r="Q67" s="5"/>
    </row>
    <row r="68" spans="1:17" x14ac:dyDescent="0.25">
      <c r="A68" s="7"/>
      <c r="B68" s="7"/>
      <c r="C68" s="7"/>
      <c r="Q68" s="5"/>
    </row>
    <row r="69" spans="1:17" x14ac:dyDescent="0.25">
      <c r="A69" s="7"/>
      <c r="B69" s="7"/>
      <c r="C69" s="7"/>
      <c r="Q69" s="5"/>
    </row>
    <row r="70" spans="1:17" x14ac:dyDescent="0.25">
      <c r="A70" s="7"/>
      <c r="B70" s="7"/>
      <c r="C70" s="7"/>
      <c r="Q70" s="5"/>
    </row>
    <row r="71" spans="1:17" x14ac:dyDescent="0.25">
      <c r="A71" s="7"/>
      <c r="B71" s="7"/>
      <c r="C71" s="7"/>
      <c r="Q71" s="5"/>
    </row>
    <row r="72" spans="1:17" x14ac:dyDescent="0.25">
      <c r="A72" s="7"/>
      <c r="B72" s="7"/>
      <c r="C72" s="7"/>
      <c r="Q72" s="5"/>
    </row>
    <row r="73" spans="1:17" x14ac:dyDescent="0.25">
      <c r="A73" s="7"/>
      <c r="B73" s="7"/>
      <c r="C73" s="7"/>
      <c r="Q73" s="5"/>
    </row>
    <row r="74" spans="1:17" x14ac:dyDescent="0.25">
      <c r="A74" s="7"/>
      <c r="B74" s="7"/>
      <c r="C74" s="7"/>
      <c r="Q74" s="5"/>
    </row>
    <row r="75" spans="1:17" x14ac:dyDescent="0.25">
      <c r="A75" s="7"/>
      <c r="B75" s="7"/>
      <c r="C75" s="7"/>
      <c r="Q75" s="5"/>
    </row>
    <row r="76" spans="1:17" x14ac:dyDescent="0.25">
      <c r="A76" s="7"/>
      <c r="B76" s="7"/>
      <c r="C76" s="7"/>
      <c r="Q76" s="5"/>
    </row>
    <row r="77" spans="1:17" x14ac:dyDescent="0.25">
      <c r="A77" s="7"/>
      <c r="B77" s="7"/>
      <c r="C77" s="7"/>
      <c r="Q77" s="5"/>
    </row>
    <row r="78" spans="1:17" x14ac:dyDescent="0.25">
      <c r="A78" s="7"/>
      <c r="B78" s="7"/>
      <c r="C78" s="7"/>
      <c r="Q78" s="5"/>
    </row>
    <row r="79" spans="1:17" x14ac:dyDescent="0.25">
      <c r="A79" s="7"/>
      <c r="B79" s="7"/>
      <c r="C79" s="7"/>
      <c r="Q79" s="5"/>
    </row>
    <row r="80" spans="1:17" x14ac:dyDescent="0.25">
      <c r="A80" s="7"/>
      <c r="B80" s="7"/>
      <c r="C80" s="7"/>
      <c r="Q80" s="5"/>
    </row>
    <row r="81" spans="1:17" x14ac:dyDescent="0.25">
      <c r="A81" s="7"/>
      <c r="B81" s="7"/>
      <c r="C81" s="7"/>
      <c r="Q81" s="5"/>
    </row>
    <row r="82" spans="1:17" x14ac:dyDescent="0.25">
      <c r="A82" s="7"/>
      <c r="B82" s="7"/>
      <c r="C82" s="7"/>
      <c r="Q82" s="5"/>
    </row>
    <row r="83" spans="1:17" x14ac:dyDescent="0.25">
      <c r="A83" s="7"/>
      <c r="B83" s="7"/>
      <c r="C83" s="7"/>
      <c r="Q83" s="5"/>
    </row>
    <row r="84" spans="1:17" x14ac:dyDescent="0.25">
      <c r="A84" s="7"/>
      <c r="B84" s="7"/>
      <c r="C84" s="7"/>
      <c r="Q84" s="5"/>
    </row>
    <row r="85" spans="1:17" x14ac:dyDescent="0.25">
      <c r="A85" s="7"/>
      <c r="B85" s="7"/>
      <c r="C85" s="7"/>
      <c r="Q85" s="5"/>
    </row>
    <row r="86" spans="1:17" x14ac:dyDescent="0.25">
      <c r="A86" s="7"/>
      <c r="B86" s="7"/>
      <c r="C86" s="7"/>
      <c r="Q86" s="5"/>
    </row>
    <row r="87" spans="1:17" x14ac:dyDescent="0.25">
      <c r="A87" s="7"/>
      <c r="B87" s="7"/>
      <c r="C87" s="7"/>
      <c r="Q87" s="5"/>
    </row>
    <row r="88" spans="1:17" x14ac:dyDescent="0.25">
      <c r="A88" s="7"/>
      <c r="B88" s="7"/>
      <c r="C88" s="7"/>
      <c r="Q88" s="5"/>
    </row>
    <row r="89" spans="1:17" x14ac:dyDescent="0.25">
      <c r="A89" s="7"/>
      <c r="B89" s="7"/>
      <c r="C89" s="7"/>
      <c r="Q89" s="5"/>
    </row>
    <row r="90" spans="1:17" x14ac:dyDescent="0.25">
      <c r="A90" s="7"/>
      <c r="B90" s="7"/>
      <c r="C90" s="7"/>
      <c r="Q90" s="5"/>
    </row>
    <row r="91" spans="1:17" x14ac:dyDescent="0.25">
      <c r="A91" s="7"/>
      <c r="B91" s="7"/>
      <c r="C91" s="7"/>
      <c r="Q91" s="5"/>
    </row>
    <row r="92" spans="1:17" x14ac:dyDescent="0.25">
      <c r="A92" s="7"/>
      <c r="B92" s="7"/>
      <c r="C92" s="7"/>
      <c r="Q92" s="5"/>
    </row>
    <row r="93" spans="1:17" x14ac:dyDescent="0.25">
      <c r="A93" s="7"/>
      <c r="B93" s="7"/>
      <c r="C93" s="7"/>
      <c r="Q93" s="5"/>
    </row>
    <row r="94" spans="1:17" x14ac:dyDescent="0.25">
      <c r="A94" s="7"/>
      <c r="B94" s="7"/>
      <c r="C94" s="7"/>
      <c r="Q94" s="5"/>
    </row>
    <row r="95" spans="1:17" x14ac:dyDescent="0.25">
      <c r="A95" s="7"/>
      <c r="B95" s="7"/>
      <c r="C95" s="7"/>
      <c r="Q95" s="5"/>
    </row>
    <row r="96" spans="1:17" x14ac:dyDescent="0.25">
      <c r="A96" s="7"/>
      <c r="B96" s="7"/>
      <c r="C96" s="7"/>
      <c r="Q96" s="6"/>
    </row>
    <row r="97" spans="1:17" x14ac:dyDescent="0.25">
      <c r="A97" s="7"/>
      <c r="B97" s="7"/>
      <c r="C97" s="7"/>
      <c r="Q97" s="5"/>
    </row>
    <row r="98" spans="1:17" x14ac:dyDescent="0.25">
      <c r="A98" s="7"/>
      <c r="B98" s="7"/>
      <c r="C98" s="7"/>
      <c r="Q98" s="5"/>
    </row>
    <row r="99" spans="1:17" x14ac:dyDescent="0.25">
      <c r="A99" s="7"/>
      <c r="B99" s="7"/>
      <c r="C99" s="7"/>
      <c r="Q99" s="5"/>
    </row>
    <row r="100" spans="1:17" x14ac:dyDescent="0.25">
      <c r="A100" s="7"/>
      <c r="B100" s="7"/>
      <c r="C100" s="7"/>
      <c r="Q100" s="5"/>
    </row>
    <row r="101" spans="1:17" x14ac:dyDescent="0.25">
      <c r="A101" s="7"/>
      <c r="B101" s="7"/>
      <c r="C101" s="7"/>
      <c r="Q101" s="5"/>
    </row>
    <row r="102" spans="1:17" x14ac:dyDescent="0.25">
      <c r="A102" s="7"/>
      <c r="B102" s="7"/>
      <c r="C102" s="7"/>
      <c r="Q102" s="5"/>
    </row>
    <row r="103" spans="1:17" x14ac:dyDescent="0.25">
      <c r="A103" s="7"/>
      <c r="B103" s="7"/>
      <c r="C103" s="7"/>
      <c r="Q103" s="5"/>
    </row>
    <row r="104" spans="1:17" x14ac:dyDescent="0.25">
      <c r="A104" s="7"/>
      <c r="B104" s="7"/>
      <c r="C104" s="7"/>
      <c r="Q104" s="5"/>
    </row>
    <row r="105" spans="1:17" x14ac:dyDescent="0.25">
      <c r="A105" s="7"/>
      <c r="B105" s="7"/>
      <c r="C105" s="7"/>
      <c r="Q105" s="5"/>
    </row>
    <row r="106" spans="1:17" x14ac:dyDescent="0.25">
      <c r="A106" s="7"/>
      <c r="B106" s="7"/>
      <c r="C106" s="7"/>
      <c r="Q106" s="5"/>
    </row>
    <row r="107" spans="1:17" x14ac:dyDescent="0.25">
      <c r="A107" s="7"/>
      <c r="B107" s="7"/>
      <c r="C107" s="7"/>
      <c r="Q107" s="5"/>
    </row>
    <row r="108" spans="1:17" x14ac:dyDescent="0.25">
      <c r="A108" s="7"/>
      <c r="B108" s="7"/>
      <c r="C108" s="7"/>
      <c r="Q108" s="5"/>
    </row>
    <row r="109" spans="1:17" x14ac:dyDescent="0.25">
      <c r="A109" s="7"/>
      <c r="B109" s="7"/>
      <c r="C109" s="7"/>
      <c r="Q109" s="5"/>
    </row>
    <row r="110" spans="1:17" x14ac:dyDescent="0.25">
      <c r="A110" s="7"/>
      <c r="B110" s="7"/>
      <c r="C110" s="7"/>
      <c r="Q110" s="5"/>
    </row>
    <row r="111" spans="1:17" x14ac:dyDescent="0.25">
      <c r="A111" s="7"/>
      <c r="B111" s="7"/>
      <c r="C111" s="7"/>
      <c r="Q111" s="5"/>
    </row>
    <row r="112" spans="1:17" x14ac:dyDescent="0.25">
      <c r="A112" s="7"/>
      <c r="B112" s="7"/>
      <c r="C112" s="7"/>
      <c r="Q112" s="5"/>
    </row>
    <row r="113" spans="1:17" x14ac:dyDescent="0.25">
      <c r="A113" s="7"/>
      <c r="B113" s="7"/>
      <c r="C113" s="7"/>
      <c r="Q113" s="5"/>
    </row>
    <row r="114" spans="1:17" x14ac:dyDescent="0.25">
      <c r="A114" s="7"/>
      <c r="B114" s="7"/>
      <c r="C114" s="7"/>
      <c r="Q114" s="5"/>
    </row>
    <row r="115" spans="1:17" x14ac:dyDescent="0.25">
      <c r="A115" s="7"/>
      <c r="B115" s="7"/>
      <c r="C115" s="7"/>
      <c r="Q115" s="5"/>
    </row>
    <row r="116" spans="1:17" x14ac:dyDescent="0.25">
      <c r="A116" s="7"/>
      <c r="B116" s="7"/>
      <c r="C116" s="7"/>
      <c r="Q116" s="5"/>
    </row>
    <row r="117" spans="1:17" x14ac:dyDescent="0.25">
      <c r="A117" s="7"/>
      <c r="B117" s="7"/>
      <c r="C117" s="7"/>
      <c r="Q117" s="5"/>
    </row>
    <row r="118" spans="1:17" x14ac:dyDescent="0.25">
      <c r="A118" s="7"/>
      <c r="B118" s="7"/>
      <c r="C118" s="7"/>
      <c r="Q118" s="5"/>
    </row>
    <row r="119" spans="1:17" x14ac:dyDescent="0.25">
      <c r="A119" s="7"/>
      <c r="B119" s="7"/>
      <c r="C119" s="7"/>
      <c r="Q119" s="5"/>
    </row>
    <row r="120" spans="1:17" x14ac:dyDescent="0.25">
      <c r="A120" s="7"/>
      <c r="B120" s="7"/>
      <c r="C120" s="7"/>
      <c r="Q120" s="5"/>
    </row>
    <row r="121" spans="1:17" x14ac:dyDescent="0.25">
      <c r="A121" s="7"/>
      <c r="B121" s="7"/>
      <c r="C121" s="7"/>
      <c r="Q121" s="5"/>
    </row>
    <row r="122" spans="1:17" x14ac:dyDescent="0.25">
      <c r="A122" s="7"/>
      <c r="B122" s="7"/>
      <c r="C122" s="7"/>
      <c r="Q122" s="5"/>
    </row>
    <row r="123" spans="1:17" x14ac:dyDescent="0.25">
      <c r="A123" s="7"/>
      <c r="B123" s="7"/>
      <c r="C123" s="7"/>
      <c r="Q123" s="5"/>
    </row>
    <row r="124" spans="1:17" x14ac:dyDescent="0.25">
      <c r="A124" s="7"/>
      <c r="B124" s="7"/>
      <c r="C124" s="7"/>
      <c r="Q124" s="5"/>
    </row>
    <row r="125" spans="1:17" x14ac:dyDescent="0.25">
      <c r="A125" s="7"/>
      <c r="B125" s="7"/>
      <c r="C125" s="7"/>
      <c r="Q125" s="5"/>
    </row>
    <row r="126" spans="1:17" x14ac:dyDescent="0.25">
      <c r="A126" s="7"/>
      <c r="B126" s="7"/>
      <c r="C126" s="7"/>
      <c r="Q126" s="5"/>
    </row>
    <row r="127" spans="1:17" x14ac:dyDescent="0.25">
      <c r="A127" s="7"/>
      <c r="B127" s="7"/>
      <c r="C127" s="7"/>
      <c r="Q127" s="5"/>
    </row>
    <row r="128" spans="1:17" x14ac:dyDescent="0.25">
      <c r="A128" s="7"/>
      <c r="B128" s="7"/>
      <c r="C128" s="7"/>
      <c r="Q128" s="5"/>
    </row>
    <row r="129" spans="1:17" x14ac:dyDescent="0.25">
      <c r="A129" s="9"/>
      <c r="B129" s="9"/>
      <c r="C129" s="9"/>
      <c r="Q129" s="5"/>
    </row>
    <row r="130" spans="1:17" x14ac:dyDescent="0.25">
      <c r="A130" s="7"/>
      <c r="B130" s="7"/>
      <c r="C130" s="7"/>
      <c r="Q130" s="5"/>
    </row>
    <row r="131" spans="1:17" x14ac:dyDescent="0.25">
      <c r="A131" s="7"/>
      <c r="B131" s="7"/>
      <c r="C131" s="7"/>
      <c r="Q131" s="5"/>
    </row>
    <row r="132" spans="1:17" x14ac:dyDescent="0.25">
      <c r="A132" s="7"/>
      <c r="B132" s="7"/>
      <c r="C132" s="7"/>
      <c r="Q132" s="5"/>
    </row>
    <row r="133" spans="1:17" x14ac:dyDescent="0.25">
      <c r="A133" s="7"/>
      <c r="B133" s="7"/>
      <c r="C133" s="7"/>
      <c r="Q133" s="5"/>
    </row>
    <row r="134" spans="1:17" x14ac:dyDescent="0.25">
      <c r="A134" s="7"/>
      <c r="B134" s="7"/>
      <c r="C134" s="7"/>
      <c r="Q134" s="5"/>
    </row>
    <row r="135" spans="1:17" x14ac:dyDescent="0.25">
      <c r="A135" s="7"/>
      <c r="B135" s="7"/>
      <c r="C135" s="7"/>
      <c r="Q135" s="5"/>
    </row>
    <row r="136" spans="1:17" x14ac:dyDescent="0.25">
      <c r="A136" s="7"/>
      <c r="B136" s="7"/>
      <c r="C136" s="7"/>
      <c r="Q136" s="5"/>
    </row>
    <row r="137" spans="1:17" x14ac:dyDescent="0.25">
      <c r="A137" s="7"/>
      <c r="B137" s="7"/>
      <c r="C137" s="7"/>
      <c r="Q137" s="5"/>
    </row>
    <row r="138" spans="1:17" x14ac:dyDescent="0.25">
      <c r="A138" s="7"/>
      <c r="B138" s="7"/>
      <c r="C138" s="7"/>
      <c r="Q138" s="6"/>
    </row>
    <row r="139" spans="1:17" x14ac:dyDescent="0.25">
      <c r="A139" s="7"/>
      <c r="B139" s="7"/>
      <c r="C139" s="7"/>
      <c r="Q139" s="5"/>
    </row>
    <row r="140" spans="1:17" x14ac:dyDescent="0.25">
      <c r="A140" s="9"/>
      <c r="B140" s="9"/>
      <c r="C140" s="9"/>
      <c r="Q140" s="5"/>
    </row>
    <row r="141" spans="1:17" x14ac:dyDescent="0.25">
      <c r="A141" s="7"/>
      <c r="B141" s="7"/>
      <c r="C141" s="7"/>
      <c r="Q141" s="5"/>
    </row>
    <row r="142" spans="1:17" x14ac:dyDescent="0.25">
      <c r="A142" s="7"/>
      <c r="B142" s="7"/>
      <c r="C142" s="7"/>
      <c r="Q142" s="5"/>
    </row>
    <row r="143" spans="1:17" x14ac:dyDescent="0.25">
      <c r="A143" s="7"/>
      <c r="B143" s="7"/>
      <c r="C143" s="7"/>
      <c r="Q143" s="5"/>
    </row>
    <row r="144" spans="1:17" x14ac:dyDescent="0.25">
      <c r="A144" s="7"/>
      <c r="B144" s="7"/>
      <c r="C144" s="7"/>
      <c r="Q144" s="5"/>
    </row>
    <row r="145" spans="1:17" x14ac:dyDescent="0.25">
      <c r="A145" s="7"/>
      <c r="B145" s="7"/>
      <c r="C145" s="7"/>
    </row>
    <row r="146" spans="1:17" x14ac:dyDescent="0.25">
      <c r="A146" s="7"/>
      <c r="B146" s="7"/>
      <c r="C146" s="7"/>
      <c r="Q146" s="5"/>
    </row>
    <row r="147" spans="1:17" x14ac:dyDescent="0.25">
      <c r="A147" s="7"/>
      <c r="B147" s="7"/>
      <c r="C147" s="7"/>
      <c r="Q147" s="5"/>
    </row>
    <row r="148" spans="1:17" x14ac:dyDescent="0.25">
      <c r="A148" s="7"/>
      <c r="B148" s="7"/>
      <c r="C148" s="7"/>
      <c r="Q148" s="5"/>
    </row>
    <row r="149" spans="1:17" x14ac:dyDescent="0.25">
      <c r="A149" s="7"/>
      <c r="B149" s="7"/>
      <c r="C149" s="7"/>
      <c r="Q149" s="5"/>
    </row>
    <row r="150" spans="1:17" x14ac:dyDescent="0.25">
      <c r="A150" s="7"/>
      <c r="B150" s="7"/>
      <c r="C150" s="7"/>
      <c r="Q150" s="5"/>
    </row>
    <row r="151" spans="1:17" x14ac:dyDescent="0.25">
      <c r="A151" s="7"/>
      <c r="B151" s="7"/>
      <c r="C151" s="7"/>
      <c r="Q151" s="5"/>
    </row>
    <row r="152" spans="1:17" x14ac:dyDescent="0.25">
      <c r="A152" s="7"/>
      <c r="B152" s="7"/>
      <c r="C152" s="7"/>
      <c r="Q152" s="5"/>
    </row>
    <row r="153" spans="1:17" x14ac:dyDescent="0.25">
      <c r="A153" s="7"/>
      <c r="B153" s="7"/>
      <c r="C153" s="7"/>
      <c r="Q153" s="5"/>
    </row>
    <row r="154" spans="1:17" x14ac:dyDescent="0.25">
      <c r="A154" s="7"/>
      <c r="B154" s="7"/>
      <c r="C154" s="7"/>
      <c r="Q154" s="6"/>
    </row>
    <row r="155" spans="1:17" x14ac:dyDescent="0.25">
      <c r="A155" s="7"/>
      <c r="B155" s="7"/>
      <c r="C155" s="7"/>
      <c r="Q155" s="5"/>
    </row>
    <row r="156" spans="1:17" x14ac:dyDescent="0.25">
      <c r="A156" s="7"/>
      <c r="B156" s="7"/>
      <c r="C156" s="7"/>
      <c r="Q156" s="5"/>
    </row>
    <row r="157" spans="1:17" x14ac:dyDescent="0.25">
      <c r="A157" s="7"/>
      <c r="B157" s="7"/>
      <c r="C157" s="7"/>
      <c r="Q157" s="5"/>
    </row>
    <row r="158" spans="1:17" x14ac:dyDescent="0.25">
      <c r="A158" s="7"/>
      <c r="B158" s="7"/>
      <c r="C158" s="7"/>
      <c r="Q158" s="5"/>
    </row>
    <row r="159" spans="1:17" x14ac:dyDescent="0.25">
      <c r="A159" s="7"/>
      <c r="B159" s="7"/>
      <c r="C159" s="7"/>
      <c r="Q159" s="5"/>
    </row>
    <row r="160" spans="1:17" x14ac:dyDescent="0.25">
      <c r="A160" s="7"/>
      <c r="B160" s="7"/>
      <c r="C160" s="7"/>
      <c r="Q160" s="5"/>
    </row>
    <row r="161" spans="1:17" x14ac:dyDescent="0.25">
      <c r="A161" s="7"/>
      <c r="B161" s="7"/>
      <c r="C161" s="7"/>
      <c r="Q161" s="5"/>
    </row>
    <row r="162" spans="1:17" x14ac:dyDescent="0.25">
      <c r="A162" s="7"/>
      <c r="B162" s="7"/>
      <c r="C162" s="7"/>
      <c r="Q162" s="5"/>
    </row>
    <row r="163" spans="1:17" x14ac:dyDescent="0.25">
      <c r="A163" s="7"/>
      <c r="B163" s="7"/>
      <c r="C163" s="7"/>
      <c r="Q163" s="5"/>
    </row>
    <row r="164" spans="1:17" x14ac:dyDescent="0.25">
      <c r="A164" s="7"/>
      <c r="B164" s="7"/>
      <c r="C164" s="7"/>
      <c r="Q164" s="5"/>
    </row>
    <row r="165" spans="1:17" x14ac:dyDescent="0.25">
      <c r="A165" s="7"/>
      <c r="B165" s="7"/>
      <c r="C165" s="7"/>
      <c r="Q165" s="5"/>
    </row>
    <row r="166" spans="1:17" x14ac:dyDescent="0.25">
      <c r="A166" s="7"/>
      <c r="B166" s="7"/>
      <c r="C166" s="7"/>
      <c r="Q166" s="5"/>
    </row>
    <row r="167" spans="1:17" x14ac:dyDescent="0.25">
      <c r="A167" s="7"/>
      <c r="B167" s="7"/>
      <c r="C167" s="7"/>
      <c r="Q167" s="5"/>
    </row>
    <row r="168" spans="1:17" x14ac:dyDescent="0.25">
      <c r="A168" s="7"/>
      <c r="B168" s="7"/>
      <c r="C168" s="7"/>
      <c r="Q168" s="5"/>
    </row>
    <row r="169" spans="1:17" x14ac:dyDescent="0.25">
      <c r="A169" s="7"/>
      <c r="B169" s="7"/>
      <c r="C169" s="7"/>
      <c r="Q169" s="5"/>
    </row>
    <row r="170" spans="1:17" x14ac:dyDescent="0.25">
      <c r="A170" s="7"/>
      <c r="B170" s="7"/>
      <c r="C170" s="7"/>
      <c r="Q170" s="5"/>
    </row>
    <row r="171" spans="1:17" x14ac:dyDescent="0.25">
      <c r="A171" s="7"/>
      <c r="B171" s="7"/>
      <c r="C171" s="7"/>
      <c r="Q171" s="5"/>
    </row>
    <row r="172" spans="1:17" x14ac:dyDescent="0.25">
      <c r="A172" s="7"/>
      <c r="B172" s="7"/>
      <c r="C172" s="7"/>
      <c r="Q172" s="5"/>
    </row>
    <row r="173" spans="1:17" x14ac:dyDescent="0.25">
      <c r="A173" s="7"/>
      <c r="B173" s="7"/>
      <c r="C173" s="7"/>
      <c r="Q173" s="5"/>
    </row>
    <row r="174" spans="1:17" x14ac:dyDescent="0.25">
      <c r="A174" s="7"/>
      <c r="B174" s="7"/>
      <c r="C174" s="7"/>
      <c r="Q174" s="5"/>
    </row>
    <row r="175" spans="1:17" x14ac:dyDescent="0.25">
      <c r="A175" s="7"/>
      <c r="B175" s="7"/>
      <c r="C175" s="7"/>
      <c r="Q175" s="5"/>
    </row>
    <row r="176" spans="1:17" x14ac:dyDescent="0.25">
      <c r="A176" s="7"/>
      <c r="B176" s="7"/>
      <c r="C176" s="7"/>
      <c r="Q176" s="5"/>
    </row>
    <row r="177" spans="1:17" x14ac:dyDescent="0.25">
      <c r="A177" s="7"/>
      <c r="B177" s="7"/>
      <c r="C177" s="7"/>
      <c r="Q177" s="5"/>
    </row>
    <row r="178" spans="1:17" x14ac:dyDescent="0.25">
      <c r="A178" s="7"/>
      <c r="B178" s="7"/>
      <c r="C178" s="7"/>
      <c r="Q178" s="5"/>
    </row>
    <row r="179" spans="1:17" x14ac:dyDescent="0.25">
      <c r="A179" s="7"/>
      <c r="B179" s="7"/>
      <c r="C179" s="7"/>
      <c r="Q179" s="5"/>
    </row>
    <row r="180" spans="1:17" x14ac:dyDescent="0.25">
      <c r="A180" s="7"/>
      <c r="B180" s="7"/>
      <c r="C180" s="7"/>
      <c r="Q180" s="5"/>
    </row>
    <row r="181" spans="1:17" x14ac:dyDescent="0.25">
      <c r="A181" s="7"/>
      <c r="B181" s="7"/>
      <c r="C181" s="7"/>
      <c r="Q181" s="5"/>
    </row>
    <row r="182" spans="1:17" x14ac:dyDescent="0.25">
      <c r="A182" s="7"/>
      <c r="B182" s="7"/>
      <c r="C182" s="7"/>
      <c r="Q182" s="5"/>
    </row>
    <row r="183" spans="1:17" x14ac:dyDescent="0.25">
      <c r="A183" s="7"/>
      <c r="B183" s="7"/>
      <c r="C183" s="7"/>
      <c r="Q183" s="5"/>
    </row>
    <row r="184" spans="1:17" x14ac:dyDescent="0.25">
      <c r="A184" s="7"/>
      <c r="B184" s="7"/>
      <c r="C184" s="7"/>
      <c r="Q184" s="5"/>
    </row>
    <row r="185" spans="1:17" x14ac:dyDescent="0.25">
      <c r="A185" s="7"/>
      <c r="B185" s="7"/>
      <c r="C185" s="7"/>
      <c r="Q185" s="5"/>
    </row>
    <row r="186" spans="1:17" x14ac:dyDescent="0.25">
      <c r="A186" s="7"/>
      <c r="B186" s="7"/>
      <c r="C186" s="7"/>
      <c r="Q186" s="5"/>
    </row>
    <row r="187" spans="1:17" x14ac:dyDescent="0.25">
      <c r="A187" s="7"/>
      <c r="B187" s="7"/>
      <c r="C187" s="7"/>
      <c r="Q187" s="5"/>
    </row>
    <row r="188" spans="1:17" x14ac:dyDescent="0.25">
      <c r="A188" s="7"/>
      <c r="B188" s="7"/>
      <c r="C188" s="7"/>
      <c r="Q188" s="5"/>
    </row>
    <row r="189" spans="1:17" x14ac:dyDescent="0.25">
      <c r="A189" s="7"/>
      <c r="B189" s="7"/>
      <c r="C189" s="7"/>
      <c r="Q189" s="5"/>
    </row>
    <row r="190" spans="1:17" x14ac:dyDescent="0.25">
      <c r="A190" s="7"/>
      <c r="B190" s="7"/>
      <c r="C190" s="7"/>
      <c r="Q190" s="5"/>
    </row>
    <row r="191" spans="1:17" x14ac:dyDescent="0.25">
      <c r="A191" s="7"/>
      <c r="B191" s="7"/>
      <c r="C191" s="7"/>
      <c r="Q191" s="5"/>
    </row>
    <row r="192" spans="1:17" x14ac:dyDescent="0.25">
      <c r="A192" s="7"/>
      <c r="B192" s="7"/>
      <c r="C192" s="7"/>
      <c r="Q192" s="5"/>
    </row>
    <row r="193" spans="1:17" x14ac:dyDescent="0.25">
      <c r="A193" s="7"/>
      <c r="B193" s="7"/>
      <c r="C193" s="7"/>
      <c r="Q193" s="5"/>
    </row>
    <row r="194" spans="1:17" x14ac:dyDescent="0.25">
      <c r="A194" s="7"/>
      <c r="B194" s="7"/>
      <c r="C194" s="7"/>
      <c r="Q194" s="5"/>
    </row>
    <row r="195" spans="1:17" x14ac:dyDescent="0.25">
      <c r="A195" s="7"/>
      <c r="B195" s="7"/>
      <c r="C195" s="7"/>
      <c r="Q195" s="5"/>
    </row>
    <row r="196" spans="1:17" x14ac:dyDescent="0.25">
      <c r="A196" s="7"/>
      <c r="B196" s="7"/>
      <c r="C196" s="7"/>
      <c r="Q196" s="5"/>
    </row>
    <row r="197" spans="1:17" x14ac:dyDescent="0.25">
      <c r="A197" s="7"/>
      <c r="B197" s="7"/>
      <c r="C197" s="7"/>
      <c r="Q197" s="5"/>
    </row>
    <row r="198" spans="1:17" x14ac:dyDescent="0.25">
      <c r="A198" s="7"/>
      <c r="B198" s="7"/>
      <c r="C198" s="7"/>
      <c r="Q198" s="5"/>
    </row>
    <row r="199" spans="1:17" x14ac:dyDescent="0.25">
      <c r="A199" s="7"/>
      <c r="B199" s="7"/>
      <c r="C199" s="7"/>
      <c r="Q199" s="5"/>
    </row>
    <row r="200" spans="1:17" x14ac:dyDescent="0.25">
      <c r="A200" s="7"/>
      <c r="B200" s="7"/>
      <c r="C200" s="7"/>
      <c r="Q200" s="5"/>
    </row>
    <row r="201" spans="1:17" x14ac:dyDescent="0.25">
      <c r="A201" s="7"/>
      <c r="B201" s="7"/>
      <c r="C201" s="7"/>
      <c r="Q201" s="5"/>
    </row>
    <row r="202" spans="1:17" x14ac:dyDescent="0.25">
      <c r="A202" s="7"/>
      <c r="B202" s="7"/>
      <c r="C202" s="7"/>
      <c r="Q202" s="5"/>
    </row>
    <row r="203" spans="1:17" x14ac:dyDescent="0.25">
      <c r="A203" s="7"/>
      <c r="B203" s="7"/>
      <c r="C203" s="7"/>
      <c r="Q203" s="5"/>
    </row>
    <row r="204" spans="1:17" x14ac:dyDescent="0.25">
      <c r="A204" s="7"/>
      <c r="B204" s="7"/>
      <c r="C204" s="7"/>
      <c r="Q204" s="5"/>
    </row>
    <row r="205" spans="1:17" x14ac:dyDescent="0.25">
      <c r="A205" s="7"/>
      <c r="B205" s="7"/>
      <c r="C205" s="7"/>
      <c r="Q205" s="5"/>
    </row>
    <row r="206" spans="1:17" x14ac:dyDescent="0.25">
      <c r="A206" s="7"/>
      <c r="B206" s="7"/>
      <c r="C206" s="7"/>
      <c r="Q206" s="5"/>
    </row>
    <row r="207" spans="1:17" x14ac:dyDescent="0.25">
      <c r="A207" s="8"/>
      <c r="B207" s="8"/>
      <c r="C207" s="7"/>
      <c r="Q207" s="5"/>
    </row>
    <row r="208" spans="1:17" x14ac:dyDescent="0.25">
      <c r="A208" s="7"/>
      <c r="B208" s="7"/>
      <c r="C208" s="7"/>
      <c r="Q208" s="5"/>
    </row>
    <row r="209" spans="1:17" x14ac:dyDescent="0.25">
      <c r="A209" s="7"/>
      <c r="B209" s="7"/>
      <c r="C209" s="7"/>
      <c r="Q209" s="5"/>
    </row>
    <row r="210" spans="1:17" x14ac:dyDescent="0.25">
      <c r="A210" s="7"/>
      <c r="B210" s="7"/>
      <c r="C210" s="7"/>
      <c r="Q210" s="5"/>
    </row>
    <row r="211" spans="1:17" x14ac:dyDescent="0.25">
      <c r="A211" s="7"/>
      <c r="B211" s="7"/>
      <c r="C211" s="7"/>
      <c r="Q211" s="5"/>
    </row>
    <row r="212" spans="1:17" x14ac:dyDescent="0.25">
      <c r="A212" s="7"/>
      <c r="B212" s="7"/>
      <c r="C212" s="7"/>
      <c r="Q212" s="5"/>
    </row>
    <row r="213" spans="1:17" x14ac:dyDescent="0.25">
      <c r="A213" s="8"/>
      <c r="B213" s="8"/>
      <c r="C213" s="8"/>
      <c r="Q213" s="5"/>
    </row>
    <row r="214" spans="1:17" x14ac:dyDescent="0.25">
      <c r="A214" s="8"/>
      <c r="B214" s="8"/>
      <c r="C214" s="8"/>
      <c r="Q214" s="5"/>
    </row>
    <row r="215" spans="1:17" x14ac:dyDescent="0.25">
      <c r="A215" s="8"/>
      <c r="B215" s="8"/>
      <c r="C215" s="8"/>
      <c r="Q215" s="5"/>
    </row>
    <row r="216" spans="1:17" x14ac:dyDescent="0.25">
      <c r="A216" s="8"/>
      <c r="B216" s="8"/>
      <c r="C216" s="8"/>
      <c r="Q216" s="5"/>
    </row>
  </sheetData>
  <autoFilter ref="BU1:BU216"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'Basic_Fundamental_Tabel_Update_Buttom &quot;互联网电商&quot;,&quot;&quot;'" altText="更新基本面按钮_x000a_">
                <anchor moveWithCells="1" sizeWithCells="1">
                  <from>
                    <xdr:col>147</xdr:col>
                    <xdr:colOff>342900</xdr:colOff>
                    <xdr:row>0</xdr:row>
                    <xdr:rowOff>76200</xdr:rowOff>
                  </from>
                  <to>
                    <xdr:col>147</xdr:col>
                    <xdr:colOff>1638300</xdr:colOff>
                    <xdr:row>0</xdr:row>
                    <xdr:rowOff>387350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6"/>
  <sheetViews>
    <sheetView workbookViewId="0">
      <selection activeCell="A3" sqref="A3"/>
    </sheetView>
  </sheetViews>
  <sheetFormatPr defaultRowHeight="14" x14ac:dyDescent="0.25"/>
  <sheetData>
    <row r="1" spans="1:30" x14ac:dyDescent="0.25">
      <c r="A1">
        <v>1</v>
      </c>
      <c r="B1">
        <f>A1+A1*$A$2</f>
        <v>1.1499999999999999</v>
      </c>
      <c r="C1">
        <f t="shared" ref="C1:AD1" si="0">B1+B1*$A$2</f>
        <v>1.3224999999999998</v>
      </c>
      <c r="D1">
        <f t="shared" si="0"/>
        <v>1.5208749999999998</v>
      </c>
      <c r="E1">
        <f t="shared" si="0"/>
        <v>1.7490062499999997</v>
      </c>
      <c r="F1">
        <f t="shared" si="0"/>
        <v>2.0113571874999998</v>
      </c>
      <c r="G1">
        <f t="shared" si="0"/>
        <v>2.313060765625</v>
      </c>
      <c r="H1">
        <f t="shared" si="0"/>
        <v>2.66001988046875</v>
      </c>
      <c r="I1">
        <f t="shared" si="0"/>
        <v>3.0590228625390625</v>
      </c>
      <c r="J1">
        <f t="shared" si="0"/>
        <v>3.5178762919199218</v>
      </c>
      <c r="K1">
        <f t="shared" si="0"/>
        <v>4.0455577357079102</v>
      </c>
      <c r="L1">
        <f t="shared" si="0"/>
        <v>4.6523913960640968</v>
      </c>
      <c r="M1">
        <f t="shared" si="0"/>
        <v>5.3502501054737115</v>
      </c>
      <c r="N1">
        <f t="shared" si="0"/>
        <v>6.1527876212947685</v>
      </c>
      <c r="O1">
        <f t="shared" si="0"/>
        <v>7.0757057644889834</v>
      </c>
      <c r="P1">
        <f t="shared" si="0"/>
        <v>8.1370616291623303</v>
      </c>
      <c r="Q1">
        <f t="shared" si="0"/>
        <v>9.3576208735366802</v>
      </c>
      <c r="R1">
        <f t="shared" si="0"/>
        <v>10.761264004567183</v>
      </c>
      <c r="S1">
        <f t="shared" si="0"/>
        <v>12.375453605252261</v>
      </c>
      <c r="T1">
        <f t="shared" si="0"/>
        <v>14.2317716460401</v>
      </c>
      <c r="U1">
        <f t="shared" si="0"/>
        <v>16.366537392946114</v>
      </c>
      <c r="V1">
        <f t="shared" si="0"/>
        <v>18.82151800188803</v>
      </c>
      <c r="W1">
        <f t="shared" si="0"/>
        <v>21.644745702171235</v>
      </c>
      <c r="X1">
        <f t="shared" si="0"/>
        <v>24.891457557496921</v>
      </c>
      <c r="Y1">
        <f t="shared" si="0"/>
        <v>28.625176191121458</v>
      </c>
      <c r="Z1">
        <f t="shared" si="0"/>
        <v>32.918952619789678</v>
      </c>
      <c r="AA1">
        <f t="shared" si="0"/>
        <v>37.856795512758133</v>
      </c>
      <c r="AB1">
        <f t="shared" si="0"/>
        <v>43.535314839671855</v>
      </c>
      <c r="AC1">
        <f t="shared" si="0"/>
        <v>50.065612065622631</v>
      </c>
      <c r="AD1">
        <f t="shared" si="0"/>
        <v>57.575453875466025</v>
      </c>
    </row>
    <row r="2" spans="1:30" x14ac:dyDescent="0.25">
      <c r="A2">
        <v>0.15</v>
      </c>
      <c r="B2" t="s">
        <v>2</v>
      </c>
    </row>
    <row r="3" spans="1:30" s="2" customFormat="1" x14ac:dyDescent="0.25">
      <c r="A3" s="2">
        <v>1</v>
      </c>
      <c r="B3" s="2">
        <v>2</v>
      </c>
      <c r="C3" s="2">
        <v>3</v>
      </c>
      <c r="D3" s="2">
        <v>4</v>
      </c>
      <c r="E3" s="2">
        <v>5</v>
      </c>
      <c r="F3" s="2">
        <v>6</v>
      </c>
      <c r="G3" s="2">
        <v>7</v>
      </c>
      <c r="H3" s="2">
        <v>8</v>
      </c>
      <c r="I3" s="2">
        <v>9</v>
      </c>
      <c r="J3" s="2">
        <v>10</v>
      </c>
      <c r="K3" s="2">
        <v>11</v>
      </c>
      <c r="L3" s="2">
        <v>12</v>
      </c>
      <c r="M3" s="2">
        <v>13</v>
      </c>
      <c r="N3" s="2">
        <v>14</v>
      </c>
      <c r="O3" s="2">
        <v>15</v>
      </c>
      <c r="P3" s="2">
        <v>16</v>
      </c>
      <c r="Q3" s="2">
        <v>17</v>
      </c>
      <c r="R3" s="2">
        <v>18</v>
      </c>
      <c r="S3" s="2">
        <v>19</v>
      </c>
      <c r="T3" s="2">
        <v>20</v>
      </c>
      <c r="U3" s="2">
        <v>21</v>
      </c>
      <c r="V3" s="2">
        <v>22</v>
      </c>
      <c r="W3" s="2">
        <v>23</v>
      </c>
      <c r="X3" s="2">
        <v>24</v>
      </c>
      <c r="Y3" s="2">
        <v>25</v>
      </c>
      <c r="Z3" s="2">
        <v>26</v>
      </c>
      <c r="AA3" s="2">
        <v>27</v>
      </c>
      <c r="AB3" s="2">
        <v>28</v>
      </c>
      <c r="AC3" s="2">
        <v>29</v>
      </c>
      <c r="AD3" s="2">
        <v>30</v>
      </c>
    </row>
    <row r="4" spans="1:30" x14ac:dyDescent="0.25">
      <c r="A4">
        <v>0.5</v>
      </c>
      <c r="B4" t="s">
        <v>0</v>
      </c>
    </row>
    <row r="5" spans="1:30" x14ac:dyDescent="0.25">
      <c r="A5" s="1">
        <v>1</v>
      </c>
      <c r="B5" s="1">
        <f>A5*$A$4+A5</f>
        <v>1.5</v>
      </c>
      <c r="C5" s="1">
        <f t="shared" ref="C5:AD5" si="1">B5*$A$4+B5</f>
        <v>2.25</v>
      </c>
      <c r="D5" s="1">
        <f t="shared" si="1"/>
        <v>3.375</v>
      </c>
      <c r="E5" s="1">
        <f t="shared" si="1"/>
        <v>5.0625</v>
      </c>
      <c r="F5" s="1">
        <f t="shared" si="1"/>
        <v>7.59375</v>
      </c>
      <c r="G5" s="1">
        <f t="shared" si="1"/>
        <v>11.390625</v>
      </c>
      <c r="H5" s="1">
        <f t="shared" si="1"/>
        <v>17.0859375</v>
      </c>
      <c r="I5" s="1">
        <f t="shared" si="1"/>
        <v>25.62890625</v>
      </c>
      <c r="J5" s="1">
        <f t="shared" si="1"/>
        <v>38.443359375</v>
      </c>
      <c r="K5" s="1">
        <f t="shared" si="1"/>
        <v>57.6650390625</v>
      </c>
      <c r="L5" s="1">
        <f t="shared" si="1"/>
        <v>86.49755859375</v>
      </c>
      <c r="M5" s="1">
        <f t="shared" si="1"/>
        <v>129.746337890625</v>
      </c>
      <c r="N5" s="1">
        <f t="shared" si="1"/>
        <v>194.6195068359375</v>
      </c>
      <c r="O5" s="1">
        <f t="shared" si="1"/>
        <v>291.92926025390625</v>
      </c>
      <c r="P5">
        <f t="shared" si="1"/>
        <v>437.89389038085937</v>
      </c>
      <c r="Q5">
        <f t="shared" si="1"/>
        <v>656.84083557128906</v>
      </c>
      <c r="R5">
        <f t="shared" si="1"/>
        <v>985.26125335693359</v>
      </c>
      <c r="S5" s="1">
        <f t="shared" si="1"/>
        <v>1477.8918800354004</v>
      </c>
      <c r="T5">
        <f t="shared" si="1"/>
        <v>2216.8378200531006</v>
      </c>
      <c r="U5">
        <f t="shared" si="1"/>
        <v>3325.2567300796509</v>
      </c>
      <c r="V5">
        <f t="shared" si="1"/>
        <v>4987.8850951194763</v>
      </c>
      <c r="W5">
        <f t="shared" si="1"/>
        <v>7481.8276426792145</v>
      </c>
      <c r="X5">
        <f t="shared" si="1"/>
        <v>11222.741464018822</v>
      </c>
      <c r="Y5">
        <f t="shared" si="1"/>
        <v>16834.112196028233</v>
      </c>
      <c r="Z5">
        <f t="shared" si="1"/>
        <v>25251.168294042349</v>
      </c>
      <c r="AA5">
        <f t="shared" si="1"/>
        <v>37876.752441063523</v>
      </c>
      <c r="AB5">
        <f t="shared" si="1"/>
        <v>56815.128661595285</v>
      </c>
      <c r="AC5">
        <f t="shared" si="1"/>
        <v>85222.692992392927</v>
      </c>
      <c r="AD5">
        <f t="shared" si="1"/>
        <v>127834.03948858939</v>
      </c>
    </row>
    <row r="6" spans="1:30" x14ac:dyDescent="0.25">
      <c r="A6">
        <v>15</v>
      </c>
      <c r="B6" t="s">
        <v>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互联网电商</vt:lpstr>
      <vt:lpstr>估值-增速与年化收益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keywords>CTPClassification=CTP_NT</cp:keywords>
  <cp:lastModifiedBy>Admin</cp:lastModifiedBy>
  <dcterms:created xsi:type="dcterms:W3CDTF">2018-08-09T11:49:58Z</dcterms:created>
  <dcterms:modified xsi:type="dcterms:W3CDTF">2024-07-10T15:47:13Z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88baec69-fb1e-4d63-9f3d-bd3ecbe7e71b</vt:lpwstr>
  </property>
  <property fmtid="{D5CDD505-2E9C-101B-9397-08002B2CF9AE}" pid="3" name="CTP_TimeStamp">
    <vt:lpwstr>2019-01-09 01:33:49Z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