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001Xiaofeng\value-investment-backup\估值分析\SW1L商贸零售\"/>
    </mc:Choice>
  </mc:AlternateContent>
  <bookViews>
    <workbookView xWindow="-110" yWindow="-110" windowWidth="23260" windowHeight="13180"/>
  </bookViews>
  <sheets>
    <sheet name="零售" sheetId="15" r:id="rId1"/>
    <sheet name="估值-增速与年化收益" sheetId="14" r:id="rId2"/>
  </sheets>
  <functionGroups builtInGroupCount="18"/>
  <definedNames>
    <definedName name="_xlnm._FilterDatabase" localSheetId="0" hidden="1">零售!$BU$1:$BU$75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5" i="14" l="1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P5" i="14" s="1"/>
  <c r="Q5" i="14" s="1"/>
  <c r="R5" i="14" s="1"/>
  <c r="S5" i="14" s="1"/>
  <c r="T5" i="14" s="1"/>
  <c r="U5" i="14" s="1"/>
  <c r="V5" i="14" s="1"/>
  <c r="W5" i="14" s="1"/>
  <c r="X5" i="14" s="1"/>
  <c r="Y5" i="14" s="1"/>
  <c r="Z5" i="14" s="1"/>
  <c r="AA5" i="14" s="1"/>
  <c r="AB5" i="14" s="1"/>
  <c r="AC5" i="14" s="1"/>
  <c r="AD5" i="14" s="1"/>
  <c r="B1" i="14"/>
  <c r="C1" i="14" s="1"/>
  <c r="D1" i="14" s="1"/>
  <c r="E1" i="14" s="1"/>
  <c r="F1" i="14" s="1"/>
  <c r="G1" i="14" s="1"/>
  <c r="H1" i="14" s="1"/>
  <c r="I1" i="14" s="1"/>
  <c r="J1" i="14" s="1"/>
  <c r="K1" i="14" s="1"/>
  <c r="L1" i="14" s="1"/>
  <c r="M1" i="14" s="1"/>
  <c r="N1" i="14" s="1"/>
  <c r="O1" i="14" s="1"/>
  <c r="P1" i="14" s="1"/>
  <c r="Q1" i="14" s="1"/>
  <c r="R1" i="14" s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C18" i="15"/>
  <c r="C9" i="15"/>
  <c r="C34" i="15"/>
  <c r="C45" i="15"/>
  <c r="C70" i="15"/>
  <c r="C60" i="15"/>
  <c r="C66" i="15"/>
  <c r="C46" i="15"/>
  <c r="C53" i="15"/>
  <c r="C41" i="15"/>
  <c r="C62" i="15"/>
  <c r="C48" i="15"/>
  <c r="C52" i="15"/>
  <c r="C43" i="15"/>
  <c r="C50" i="15"/>
  <c r="C65" i="15"/>
  <c r="C57" i="15"/>
  <c r="C73" i="15"/>
  <c r="C49" i="15"/>
  <c r="C63" i="15"/>
  <c r="C71" i="15"/>
  <c r="C58" i="15"/>
  <c r="C69" i="15"/>
  <c r="C44" i="15"/>
  <c r="C67" i="15"/>
  <c r="C59" i="15"/>
  <c r="C39" i="15"/>
  <c r="C47" i="15"/>
  <c r="C54" i="15"/>
  <c r="C61" i="15"/>
  <c r="C40" i="15"/>
  <c r="C56" i="15"/>
  <c r="C51" i="15"/>
  <c r="C42" i="15"/>
  <c r="C64" i="15"/>
  <c r="C38" i="15"/>
  <c r="C37" i="15"/>
  <c r="C36" i="15"/>
  <c r="C35" i="15"/>
  <c r="C33" i="15"/>
  <c r="C32" i="15"/>
  <c r="C31" i="15"/>
  <c r="C30" i="15"/>
  <c r="C29" i="15"/>
  <c r="C28" i="15"/>
  <c r="C27" i="15"/>
  <c r="C26" i="15"/>
  <c r="C25" i="15"/>
  <c r="C24" i="15"/>
  <c r="C23" i="15"/>
  <c r="C22" i="15"/>
  <c r="C21" i="15"/>
  <c r="C20" i="15"/>
  <c r="C19" i="15"/>
  <c r="C17" i="15"/>
  <c r="C16" i="15"/>
  <c r="C15" i="15"/>
  <c r="C14" i="15"/>
  <c r="C13" i="15"/>
  <c r="C12" i="15"/>
  <c r="C11" i="15"/>
  <c r="C10" i="15"/>
  <c r="C8" i="15"/>
  <c r="C7" i="15"/>
  <c r="C6" i="15"/>
  <c r="C5" i="15"/>
  <c r="C4" i="15"/>
  <c r="C3" i="15"/>
  <c r="C2" i="15"/>
</calcChain>
</file>

<file path=xl/sharedStrings.xml><?xml version="1.0" encoding="utf-8"?>
<sst xmlns="http://schemas.openxmlformats.org/spreadsheetml/2006/main" count="4205" uniqueCount="2904">
  <si>
    <t>&lt;-增速</t>
    <phoneticPr fontId="1" type="noConversion"/>
  </si>
  <si>
    <t>&lt;-估值</t>
    <phoneticPr fontId="1" type="noConversion"/>
  </si>
  <si>
    <t>&lt;-折合年化收益</t>
    <phoneticPr fontId="1" type="noConversion"/>
  </si>
  <si>
    <t>现价</t>
  </si>
  <si>
    <t>市净率</t>
  </si>
  <si>
    <t>天音控股</t>
  </si>
  <si>
    <t>吉峰科技</t>
  </si>
  <si>
    <t>农 产 品</t>
  </si>
  <si>
    <t>东百集团</t>
  </si>
  <si>
    <t>永辉超市</t>
  </si>
  <si>
    <t>三江购物</t>
  </si>
  <si>
    <t>银座股份</t>
  </si>
  <si>
    <t>宁波中百</t>
  </si>
  <si>
    <t>深 赛 格</t>
  </si>
  <si>
    <t>爱婴室</t>
  </si>
  <si>
    <t>海印股份</t>
  </si>
  <si>
    <t>爱施德</t>
  </si>
  <si>
    <t>上海九百</t>
  </si>
  <si>
    <t>国芳集团</t>
  </si>
  <si>
    <t>家家悦</t>
  </si>
  <si>
    <t>博士眼镜</t>
  </si>
  <si>
    <t>华致酒行</t>
  </si>
  <si>
    <t>浙江东日</t>
  </si>
  <si>
    <t>汇嘉时代</t>
  </si>
  <si>
    <t>中兴商业</t>
  </si>
  <si>
    <t>杭州解百</t>
  </si>
  <si>
    <t>红旗连锁</t>
  </si>
  <si>
    <t>文峰股份</t>
  </si>
  <si>
    <t>豫园股份</t>
  </si>
  <si>
    <t>友阿股份</t>
  </si>
  <si>
    <t>百大集团</t>
  </si>
  <si>
    <t>百联股份</t>
  </si>
  <si>
    <t>新华百货</t>
  </si>
  <si>
    <t>天虹股份</t>
  </si>
  <si>
    <t>通程控股</t>
  </si>
  <si>
    <t>合肥百货</t>
  </si>
  <si>
    <t>华联股份</t>
  </si>
  <si>
    <t>海宁皮城</t>
  </si>
  <si>
    <t>徐家汇</t>
  </si>
  <si>
    <t>广百股份</t>
  </si>
  <si>
    <t>利群股份</t>
  </si>
  <si>
    <t>轻纺城</t>
  </si>
  <si>
    <t>新世界</t>
  </si>
  <si>
    <t>富森美</t>
  </si>
  <si>
    <t>欧亚集团</t>
  </si>
  <si>
    <t>小商品城</t>
  </si>
  <si>
    <t>重庆百货</t>
  </si>
  <si>
    <t>中百集团</t>
  </si>
  <si>
    <t>王府井</t>
  </si>
  <si>
    <t>茂业商业</t>
  </si>
  <si>
    <t>大商股份</t>
  </si>
  <si>
    <t>美凯龙</t>
  </si>
  <si>
    <t>南宁百货</t>
  </si>
  <si>
    <t>总市值</t>
  </si>
  <si>
    <t>TTM市盈率</t>
  </si>
  <si>
    <t>所属行业</t>
  </si>
  <si>
    <t>SZ000058</t>
  </si>
  <si>
    <t>零售</t>
  </si>
  <si>
    <t>SZ000759</t>
  </si>
  <si>
    <t>SZ000785</t>
  </si>
  <si>
    <t>居然之家</t>
  </si>
  <si>
    <t>SH603101</t>
  </si>
  <si>
    <t>SZ002416</t>
  </si>
  <si>
    <t>SH600628</t>
  </si>
  <si>
    <t>SZ000056</t>
  </si>
  <si>
    <t>皇庭国际</t>
  </si>
  <si>
    <t>SZ000061</t>
  </si>
  <si>
    <t>SZ002251</t>
  </si>
  <si>
    <t>SH600858</t>
  </si>
  <si>
    <t>SH600857</t>
  </si>
  <si>
    <t>SH601116</t>
  </si>
  <si>
    <t>SZ000861</t>
  </si>
  <si>
    <t>SZ300622</t>
  </si>
  <si>
    <t>SH601366</t>
  </si>
  <si>
    <t>SH601933</t>
  </si>
  <si>
    <t>SZ300755</t>
  </si>
  <si>
    <t>SH603708</t>
  </si>
  <si>
    <t>SH600415</t>
  </si>
  <si>
    <t>SH603214</t>
  </si>
  <si>
    <t>SH601086</t>
  </si>
  <si>
    <t>SH600838</t>
  </si>
  <si>
    <t>SH600785</t>
  </si>
  <si>
    <t>SH600814</t>
  </si>
  <si>
    <t>SZ002697</t>
  </si>
  <si>
    <t>SH600113</t>
  </si>
  <si>
    <t>SH601010</t>
  </si>
  <si>
    <t>SH600778</t>
  </si>
  <si>
    <t>友好集团</t>
  </si>
  <si>
    <t>SZ002277</t>
  </si>
  <si>
    <t>SZ000417</t>
  </si>
  <si>
    <t>SZ002344</t>
  </si>
  <si>
    <t>SH600827</t>
  </si>
  <si>
    <t>SH600865</t>
  </si>
  <si>
    <t>SZ000715</t>
  </si>
  <si>
    <t>SZ002561</t>
  </si>
  <si>
    <t>SZ002187</t>
  </si>
  <si>
    <t>SZ000419</t>
  </si>
  <si>
    <t>SZ002419</t>
  </si>
  <si>
    <t>SZ002818</t>
  </si>
  <si>
    <t>SH600729</t>
  </si>
  <si>
    <t>SH600790</t>
  </si>
  <si>
    <t>SH600697</t>
  </si>
  <si>
    <t>SH600693</t>
  </si>
  <si>
    <t>SH601828</t>
  </si>
  <si>
    <t>SH600859</t>
  </si>
  <si>
    <t>SH600655</t>
  </si>
  <si>
    <t>SZ000501</t>
  </si>
  <si>
    <t>SH600694</t>
  </si>
  <si>
    <t>SH600738</t>
  </si>
  <si>
    <t>SH600828</t>
  </si>
  <si>
    <t>SH600280</t>
  </si>
  <si>
    <t>SH600712</t>
  </si>
  <si>
    <t>SZ000007</t>
  </si>
  <si>
    <t>SZ000564</t>
  </si>
  <si>
    <t>SZ000679</t>
  </si>
  <si>
    <t>SZ000829</t>
  </si>
  <si>
    <t>SZ000882</t>
  </si>
  <si>
    <t>SZ002336</t>
  </si>
  <si>
    <t>SZ300022</t>
  </si>
  <si>
    <t>预期多</t>
    <phoneticPr fontId="1" type="noConversion"/>
  </si>
  <si>
    <t>预期空</t>
    <phoneticPr fontId="1" type="noConversion"/>
  </si>
  <si>
    <t>已知和基本信息</t>
    <phoneticPr fontId="1" type="noConversion"/>
  </si>
  <si>
    <t>代码</t>
  </si>
  <si>
    <t>负债合计</t>
  </si>
  <si>
    <t>所有者权益合计</t>
  </si>
  <si>
    <t>主营业务收入</t>
  </si>
  <si>
    <t>净利润增长率</t>
  </si>
  <si>
    <t>总股本</t>
  </si>
  <si>
    <t>财务费用</t>
  </si>
  <si>
    <t>投资收益</t>
  </si>
  <si>
    <t>应收账款</t>
  </si>
  <si>
    <t>4202.08万</t>
  </si>
  <si>
    <t>2228.75万</t>
  </si>
  <si>
    <t>--</t>
  </si>
  <si>
    <t>9.49亿</t>
  </si>
  <si>
    <t>1.01亿</t>
  </si>
  <si>
    <t>1.49亿</t>
  </si>
  <si>
    <t>14.93亿</t>
  </si>
  <si>
    <t>7844.73万</t>
  </si>
  <si>
    <t>1.06亿</t>
  </si>
  <si>
    <t>1.60亿</t>
  </si>
  <si>
    <t>28.53亿</t>
  </si>
  <si>
    <t>3.10亿</t>
  </si>
  <si>
    <t>1.81亿</t>
  </si>
  <si>
    <t>109.09亿</t>
  </si>
  <si>
    <t>2.41亿</t>
  </si>
  <si>
    <t>1.74亿</t>
  </si>
  <si>
    <t>1.82亿</t>
  </si>
  <si>
    <t>2.07亿</t>
  </si>
  <si>
    <t>177.56亿</t>
  </si>
  <si>
    <t>12.25亿</t>
  </si>
  <si>
    <t>27.66亿</t>
  </si>
  <si>
    <t>1.02亿</t>
  </si>
  <si>
    <t>-12.20亿</t>
  </si>
  <si>
    <t>2.53亿</t>
  </si>
  <si>
    <t>2.34亿</t>
  </si>
  <si>
    <t>7.76亿</t>
  </si>
  <si>
    <t>-3.26亿</t>
  </si>
  <si>
    <t>0亿</t>
  </si>
  <si>
    <t>2.10亿</t>
  </si>
  <si>
    <t>27.02亿</t>
  </si>
  <si>
    <t>1.54亿</t>
  </si>
  <si>
    <t>1.39亿</t>
  </si>
  <si>
    <t>155.48亿</t>
  </si>
  <si>
    <t>44.03亿</t>
  </si>
  <si>
    <t>2.21亿</t>
  </si>
  <si>
    <t>529.42亿</t>
  </si>
  <si>
    <t>5068.70万</t>
  </si>
  <si>
    <t>1.22亿</t>
  </si>
  <si>
    <t>9.85亿</t>
  </si>
  <si>
    <t>24.36亿</t>
  </si>
  <si>
    <t>6.56亿</t>
  </si>
  <si>
    <t>1.04亿</t>
  </si>
  <si>
    <t>4.58亿</t>
  </si>
  <si>
    <t>1.88亿</t>
  </si>
  <si>
    <t>2.61亿</t>
  </si>
  <si>
    <t>12.54亿</t>
  </si>
  <si>
    <t>4814.19万</t>
  </si>
  <si>
    <t>2.05亿</t>
  </si>
  <si>
    <t>10.88亿</t>
  </si>
  <si>
    <t>1.20亿</t>
  </si>
  <si>
    <t>80.19亿</t>
  </si>
  <si>
    <t>1.13亿</t>
  </si>
  <si>
    <t>1.73亿</t>
  </si>
  <si>
    <t>1.17亿</t>
  </si>
  <si>
    <t>2.35亿</t>
  </si>
  <si>
    <t>3.17亿</t>
  </si>
  <si>
    <t>2.32亿</t>
  </si>
  <si>
    <t>7.00亿</t>
  </si>
  <si>
    <t>76.01亿</t>
  </si>
  <si>
    <t>3804.48万</t>
  </si>
  <si>
    <t>2.79亿</t>
  </si>
  <si>
    <t>3.00亿</t>
  </si>
  <si>
    <t>4.28亿</t>
  </si>
  <si>
    <t>3.44亿</t>
  </si>
  <si>
    <t>3.19亿</t>
  </si>
  <si>
    <t>1.16亿</t>
  </si>
  <si>
    <t>193.93亿</t>
  </si>
  <si>
    <t>8.59亿</t>
  </si>
  <si>
    <t>43.00亿</t>
  </si>
  <si>
    <t>19.29亿</t>
  </si>
  <si>
    <t>2.13亿</t>
  </si>
  <si>
    <t>2.02亿</t>
  </si>
  <si>
    <t>78.23亿</t>
  </si>
  <si>
    <t>5.16亿</t>
  </si>
  <si>
    <t>2.46亿</t>
  </si>
  <si>
    <t>16.19亿</t>
  </si>
  <si>
    <t>8.01亿</t>
  </si>
  <si>
    <t>2.67亿</t>
  </si>
  <si>
    <t>2.26亿</t>
  </si>
  <si>
    <t>2.95亿</t>
  </si>
  <si>
    <t>22.95亿</t>
  </si>
  <si>
    <t>-1.43亿</t>
  </si>
  <si>
    <t>9.80亿</t>
  </si>
  <si>
    <t>1.03亿</t>
  </si>
  <si>
    <t>1.28亿</t>
  </si>
  <si>
    <t>2.60亿</t>
  </si>
  <si>
    <t>1.07亿</t>
  </si>
  <si>
    <t>2.68亿</t>
  </si>
  <si>
    <t>1.58亿</t>
  </si>
  <si>
    <t>6.55亿</t>
  </si>
  <si>
    <t>6235.76万</t>
  </si>
  <si>
    <t>2.24亿</t>
  </si>
  <si>
    <t>37.38亿</t>
  </si>
  <si>
    <t>1.86亿</t>
  </si>
  <si>
    <t>3.50亿</t>
  </si>
  <si>
    <t>4.98亿</t>
  </si>
  <si>
    <t>1.36亿</t>
  </si>
  <si>
    <t>1.43亿</t>
  </si>
  <si>
    <t>24.60亿</t>
  </si>
  <si>
    <t>81.03亿</t>
  </si>
  <si>
    <t>-5.88亿</t>
  </si>
  <si>
    <t>1.52亿</t>
  </si>
  <si>
    <t>9.61亿</t>
  </si>
  <si>
    <t>2.03亿</t>
  </si>
  <si>
    <t>40.43亿</t>
  </si>
  <si>
    <t>12.55亿</t>
  </si>
  <si>
    <t>16.53亿</t>
  </si>
  <si>
    <t>3662.47万</t>
  </si>
  <si>
    <t>41.00亿</t>
  </si>
  <si>
    <t>8.90亿</t>
  </si>
  <si>
    <t>218.88亿</t>
  </si>
  <si>
    <t>8.93亿</t>
  </si>
  <si>
    <t>167.27亿</t>
  </si>
  <si>
    <t>2.38亿</t>
  </si>
  <si>
    <t>8.33亿</t>
  </si>
  <si>
    <t>18.58亿</t>
  </si>
  <si>
    <t>475.05万</t>
  </si>
  <si>
    <t>1.18亿</t>
  </si>
  <si>
    <t>-1.23亿</t>
  </si>
  <si>
    <t>345.36亿</t>
  </si>
  <si>
    <t>18.83亿</t>
  </si>
  <si>
    <t>1.34亿</t>
  </si>
  <si>
    <t>52.39亿</t>
  </si>
  <si>
    <t>76.68亿</t>
  </si>
  <si>
    <t>1.21亿</t>
  </si>
  <si>
    <t>9.81亿</t>
  </si>
  <si>
    <t>3.39亿</t>
  </si>
  <si>
    <t>1.75亿</t>
  </si>
  <si>
    <t>64.00亿</t>
  </si>
  <si>
    <t>504.59亿</t>
  </si>
  <si>
    <t>9.58亿</t>
  </si>
  <si>
    <t>122.34亿</t>
  </si>
  <si>
    <t>12.59亿</t>
  </si>
  <si>
    <t>1.08亿</t>
  </si>
  <si>
    <t>7423.28万</t>
  </si>
  <si>
    <t>9898.63万</t>
  </si>
  <si>
    <t>10.10亿</t>
  </si>
  <si>
    <t>4123.39万</t>
  </si>
  <si>
    <t>4.71亿</t>
  </si>
  <si>
    <t>122.62亿</t>
  </si>
  <si>
    <t>5281.30万</t>
  </si>
  <si>
    <t>267.89亿</t>
  </si>
  <si>
    <t>1.11亿</t>
  </si>
  <si>
    <t>9.18亿</t>
  </si>
  <si>
    <t>59.93亿</t>
  </si>
  <si>
    <t>3.34亿</t>
  </si>
  <si>
    <t>2.62亿</t>
  </si>
  <si>
    <t>1.15亿</t>
  </si>
  <si>
    <t>12.53亿</t>
  </si>
  <si>
    <t>8.08亿</t>
  </si>
  <si>
    <t>39.79亿</t>
  </si>
  <si>
    <t>124.41亿</t>
  </si>
  <si>
    <t>1.05亿</t>
  </si>
  <si>
    <t>164.69亿</t>
  </si>
  <si>
    <t>44.80亿</t>
  </si>
  <si>
    <t>848.77亿</t>
  </si>
  <si>
    <t>15.64亿</t>
  </si>
  <si>
    <t>1.44亿</t>
  </si>
  <si>
    <t>1.37亿</t>
  </si>
  <si>
    <t>2777.29万</t>
  </si>
  <si>
    <t>4.81亿</t>
  </si>
  <si>
    <t>1.76亿</t>
  </si>
  <si>
    <t>2.12亿</t>
  </si>
  <si>
    <t>SH603682</t>
  </si>
  <si>
    <t>8.22亿</t>
  </si>
  <si>
    <t>1.79亿</t>
  </si>
  <si>
    <t>2.99亿</t>
  </si>
  <si>
    <t>152.64亿</t>
  </si>
  <si>
    <t>1.77亿</t>
  </si>
  <si>
    <t>2.31亿</t>
  </si>
  <si>
    <t>SH605188</t>
  </si>
  <si>
    <t>国光连锁</t>
  </si>
  <si>
    <t>25.27亿</t>
  </si>
  <si>
    <t>1.14亿</t>
  </si>
  <si>
    <t>1.公司继续加快网络发展，积极拓展山东、安徽、江苏、河北、内蒙古等地市
场，进一步完善成熟区域的网络布局
2. 利用“家家悦优鲜”线上平台，推动 O2O 及社区团购业务与线下实体店的融合，通过直播带货等方式，强化线上线下联动和到店到家服务，丰富顾客的购物体验。</t>
    <phoneticPr fontId="1" type="noConversion"/>
  </si>
  <si>
    <t>1.运营成本增加：房租，人工工资；
2.主要以四川成都为中心，突破其他省份依旧存在可能的风险</t>
    <phoneticPr fontId="1" type="noConversion"/>
  </si>
  <si>
    <t>流动资产</t>
  </si>
  <si>
    <t>营业收入[20191231]</t>
  </si>
  <si>
    <t>营业收入[20181231]</t>
  </si>
  <si>
    <t>营业收入[20171231]</t>
  </si>
  <si>
    <t>营业收入[20161231]</t>
  </si>
  <si>
    <t>净利润[20191231]</t>
  </si>
  <si>
    <t>净利润[20181231]</t>
  </si>
  <si>
    <t>净利润[20171231]</t>
  </si>
  <si>
    <t>净利润[20161231]</t>
  </si>
  <si>
    <t>投入资本回报率roic%[20191231]</t>
  </si>
  <si>
    <t>净资产收益率%[20191231]</t>
  </si>
  <si>
    <t>销售毛利率%[20191231]</t>
  </si>
  <si>
    <t>销售净利率%[20191231]</t>
  </si>
  <si>
    <t>4514.64万</t>
  </si>
  <si>
    <t>4244.38万</t>
  </si>
  <si>
    <t>-1.96亿</t>
  </si>
  <si>
    <t>6.86亿</t>
  </si>
  <si>
    <t>-2.92亿</t>
  </si>
  <si>
    <t>9.97亿</t>
  </si>
  <si>
    <t>4995.05万</t>
  </si>
  <si>
    <t>9065.22万</t>
  </si>
  <si>
    <t>1.12亿</t>
  </si>
  <si>
    <t>14.04亿</t>
  </si>
  <si>
    <t>2592.49万</t>
  </si>
  <si>
    <t>16.06亿</t>
  </si>
  <si>
    <t>2785.27万</t>
  </si>
  <si>
    <t>2.20亿</t>
  </si>
  <si>
    <t>1.92亿</t>
  </si>
  <si>
    <t>31.74亿</t>
  </si>
  <si>
    <t>3.15亿</t>
  </si>
  <si>
    <t>-1.28亿</t>
  </si>
  <si>
    <t>23.02亿</t>
  </si>
  <si>
    <t>4276.71万</t>
  </si>
  <si>
    <t>63.30亿</t>
  </si>
  <si>
    <t>5.44亿</t>
  </si>
  <si>
    <t>106.82亿</t>
  </si>
  <si>
    <t>103.90亿</t>
  </si>
  <si>
    <t>12.01亿</t>
  </si>
  <si>
    <t>34.56亿</t>
  </si>
  <si>
    <t>37.65亿</t>
  </si>
  <si>
    <t>1.41亿</t>
  </si>
  <si>
    <t>3.77亿</t>
  </si>
  <si>
    <t>76.39亿</t>
  </si>
  <si>
    <t>5.47亿</t>
  </si>
  <si>
    <t>7.79亿</t>
  </si>
  <si>
    <t>177.06亿</t>
  </si>
  <si>
    <t>10.50亿</t>
  </si>
  <si>
    <t>-45.39亿</t>
  </si>
  <si>
    <t>57.60亿</t>
  </si>
  <si>
    <t>161.88亿</t>
  </si>
  <si>
    <t>7.57亿</t>
  </si>
  <si>
    <t>大连友谊</t>
  </si>
  <si>
    <t>2576.36万</t>
  </si>
  <si>
    <t>-4.15亿</t>
  </si>
  <si>
    <t>8.31亿</t>
  </si>
  <si>
    <t>8.58亿</t>
  </si>
  <si>
    <t>9701.52万</t>
  </si>
  <si>
    <t>25.51亿</t>
  </si>
  <si>
    <t>9028.71万</t>
  </si>
  <si>
    <t>131.29亿</t>
  </si>
  <si>
    <t>2.25亿</t>
  </si>
  <si>
    <t>152.08亿</t>
  </si>
  <si>
    <t>4.31亿</t>
  </si>
  <si>
    <t>7.72亿</t>
  </si>
  <si>
    <t>92.29亿</t>
  </si>
  <si>
    <t>84.17亿</t>
  </si>
  <si>
    <t>31.55亿</t>
  </si>
  <si>
    <t>19.53亿</t>
  </si>
  <si>
    <t>597.84亿</t>
  </si>
  <si>
    <t>424.66亿</t>
  </si>
  <si>
    <t>-2.31亿</t>
  </si>
  <si>
    <t>2.23亿</t>
  </si>
  <si>
    <t>13.02亿</t>
  </si>
  <si>
    <t>3187.86万</t>
  </si>
  <si>
    <t>25.07亿</t>
  </si>
  <si>
    <t>1.38亿</t>
  </si>
  <si>
    <t>1.96亿</t>
  </si>
  <si>
    <t>2297.26万</t>
  </si>
  <si>
    <t>10.96亿</t>
  </si>
  <si>
    <t>3279.92万</t>
  </si>
  <si>
    <t>1.65亿</t>
  </si>
  <si>
    <t>76.13亿</t>
  </si>
  <si>
    <t>2.01亿</t>
  </si>
  <si>
    <t>3.97亿</t>
  </si>
  <si>
    <t>196.61亿</t>
  </si>
  <si>
    <t>183.98亿</t>
  </si>
  <si>
    <t>1.57亿</t>
  </si>
  <si>
    <t>1.24亿</t>
  </si>
  <si>
    <t>1.09亿</t>
  </si>
  <si>
    <t>62.48亿</t>
  </si>
  <si>
    <t>72.18亿</t>
  </si>
  <si>
    <t>4.54亿</t>
  </si>
  <si>
    <t>59.81亿</t>
  </si>
  <si>
    <t>3538.28万</t>
  </si>
  <si>
    <t>81.31亿</t>
  </si>
  <si>
    <t>-3.55亿</t>
  </si>
  <si>
    <t>1.95亿</t>
  </si>
  <si>
    <t>14.13亿</t>
  </si>
  <si>
    <t>17.03亿</t>
  </si>
  <si>
    <t>18.68亿</t>
  </si>
  <si>
    <t>3.64亿</t>
  </si>
  <si>
    <t>3.03亿</t>
  </si>
  <si>
    <t>557.97亿</t>
  </si>
  <si>
    <t>568.08亿</t>
  </si>
  <si>
    <t>-9272.01万</t>
  </si>
  <si>
    <t>118.00亿</t>
  </si>
  <si>
    <t>191.38亿</t>
  </si>
  <si>
    <t>9.04亿</t>
  </si>
  <si>
    <t>29.97亿</t>
  </si>
  <si>
    <t>5.89亿</t>
  </si>
  <si>
    <t>7539.50万</t>
  </si>
  <si>
    <t>20.69亿</t>
  </si>
  <si>
    <t>2.37亿</t>
  </si>
  <si>
    <t>22.54亿</t>
  </si>
  <si>
    <t>90.53亿</t>
  </si>
  <si>
    <t>5.05亿</t>
  </si>
  <si>
    <t>15.84亿</t>
  </si>
  <si>
    <t>9.09亿</t>
  </si>
  <si>
    <t>72.20亿</t>
  </si>
  <si>
    <t>3.23亿</t>
  </si>
  <si>
    <t>13.28亿</t>
  </si>
  <si>
    <t>7.73亿</t>
  </si>
  <si>
    <t>14.21亿</t>
  </si>
  <si>
    <t>7.35亿</t>
  </si>
  <si>
    <t>4.53亿</t>
  </si>
  <si>
    <t>24.97亿</t>
  </si>
  <si>
    <t>-1618.84万</t>
  </si>
  <si>
    <t>29.73亿</t>
  </si>
  <si>
    <t>1046.57万</t>
  </si>
  <si>
    <t>3.62亿</t>
  </si>
  <si>
    <t>6917.40万</t>
  </si>
  <si>
    <t>5.66亿</t>
  </si>
  <si>
    <t>5931.51万</t>
  </si>
  <si>
    <t>49.41亿</t>
  </si>
  <si>
    <t>3.73亿</t>
  </si>
  <si>
    <t>27.21亿</t>
  </si>
  <si>
    <t>SZ300947</t>
  </si>
  <si>
    <t>德必集团</t>
  </si>
  <si>
    <t>13.57亿</t>
  </si>
  <si>
    <t>9839.91万</t>
  </si>
  <si>
    <t>9.10亿</t>
  </si>
  <si>
    <t>6.06亿</t>
  </si>
  <si>
    <t>5140.61万</t>
  </si>
  <si>
    <t>4.18亿</t>
  </si>
  <si>
    <t>9.88亿</t>
  </si>
  <si>
    <t>4.47亿</t>
  </si>
  <si>
    <t>9.98亿</t>
  </si>
  <si>
    <t>31.83亿</t>
  </si>
  <si>
    <t>8137.71万</t>
  </si>
  <si>
    <t>82.50亿</t>
  </si>
  <si>
    <t>-3.40亿</t>
  </si>
  <si>
    <t>9.22亿</t>
  </si>
  <si>
    <t>37.26亿</t>
  </si>
  <si>
    <t>9.27亿</t>
  </si>
  <si>
    <t>35.94亿</t>
  </si>
  <si>
    <t>10.83亿</t>
  </si>
  <si>
    <t>10.46亿</t>
  </si>
  <si>
    <t>7063.21万</t>
  </si>
  <si>
    <t>27.76亿</t>
  </si>
  <si>
    <t>2.73亿</t>
  </si>
  <si>
    <t>439.31亿</t>
  </si>
  <si>
    <t>339.31亿</t>
  </si>
  <si>
    <t>32.00亿</t>
  </si>
  <si>
    <t>30.33亿</t>
  </si>
  <si>
    <t>18.24亿</t>
  </si>
  <si>
    <t>3.60亿</t>
  </si>
  <si>
    <t>81.17亿</t>
  </si>
  <si>
    <t>4.99亿</t>
  </si>
  <si>
    <t>2.17亿</t>
  </si>
  <si>
    <t>238.67亿</t>
  </si>
  <si>
    <t>80.02亿</t>
  </si>
  <si>
    <t>2271.25万</t>
  </si>
  <si>
    <t>156.00亿</t>
  </si>
  <si>
    <t>-1.30亿</t>
  </si>
  <si>
    <t>2.42亿</t>
  </si>
  <si>
    <t>21.29亿</t>
  </si>
  <si>
    <t>-4486.49万</t>
  </si>
  <si>
    <t>210.77亿</t>
  </si>
  <si>
    <t>340.84亿</t>
  </si>
  <si>
    <t>6.05亿</t>
  </si>
  <si>
    <t>丽尚国潮</t>
  </si>
  <si>
    <t>5.99亿</t>
  </si>
  <si>
    <t>8666.15万</t>
  </si>
  <si>
    <t>13.83亿</t>
  </si>
  <si>
    <t>19.55亿</t>
  </si>
  <si>
    <t>-2.87亿</t>
  </si>
  <si>
    <t>56.33亿</t>
  </si>
  <si>
    <t>3616.03万</t>
  </si>
  <si>
    <t>56.94亿</t>
  </si>
  <si>
    <t>4328.62万</t>
  </si>
  <si>
    <t>76.26亿</t>
  </si>
  <si>
    <t>8.20亿</t>
  </si>
  <si>
    <t>5.14亿</t>
  </si>
  <si>
    <t>17.90亿</t>
  </si>
  <si>
    <t>59.09亿</t>
  </si>
  <si>
    <t>1.80亿</t>
  </si>
  <si>
    <t>484.27亿</t>
  </si>
  <si>
    <t>8.72亿</t>
  </si>
  <si>
    <t>8.47亿</t>
  </si>
  <si>
    <t>9.00亿</t>
  </si>
  <si>
    <t>36.99亿</t>
  </si>
  <si>
    <t>131.05亿</t>
  </si>
  <si>
    <t>12.05亿</t>
  </si>
  <si>
    <t>9334.58万</t>
  </si>
  <si>
    <t>5338.34万</t>
  </si>
  <si>
    <t>7083.28万</t>
  </si>
  <si>
    <t>9859.22万</t>
  </si>
  <si>
    <t>7.37亿</t>
  </si>
  <si>
    <t>2250.24万</t>
  </si>
  <si>
    <t>3662.78万</t>
  </si>
  <si>
    <t>54.12亿</t>
  </si>
  <si>
    <t>-3.86亿</t>
  </si>
  <si>
    <t>132.40亿</t>
  </si>
  <si>
    <t>4626.78万</t>
  </si>
  <si>
    <t>267.11亿</t>
  </si>
  <si>
    <t>2.44亿</t>
  </si>
  <si>
    <t>8.12亿</t>
  </si>
  <si>
    <t>9.56亿</t>
  </si>
  <si>
    <t>23.49亿</t>
  </si>
  <si>
    <t>63.73亿</t>
  </si>
  <si>
    <t>10.21亿</t>
  </si>
  <si>
    <t>29.27亿</t>
  </si>
  <si>
    <t>1.32亿</t>
  </si>
  <si>
    <t>41.33亿</t>
  </si>
  <si>
    <t>83.89亿</t>
  </si>
  <si>
    <t>114.16亿</t>
  </si>
  <si>
    <t>142.36亿</t>
  </si>
  <si>
    <t>142.40亿</t>
  </si>
  <si>
    <t>44.77亿</t>
  </si>
  <si>
    <t>931.99亿</t>
  </si>
  <si>
    <t>17.94亿</t>
  </si>
  <si>
    <t>705.17亿</t>
  </si>
  <si>
    <t>14.80亿</t>
  </si>
  <si>
    <t>1621.33万</t>
  </si>
  <si>
    <t>36.24亿</t>
  </si>
  <si>
    <t>7015.63万</t>
  </si>
  <si>
    <t>22.56亿</t>
  </si>
  <si>
    <t>21.35亿</t>
  </si>
  <si>
    <t>7.39亿</t>
  </si>
  <si>
    <t>1.56亿</t>
  </si>
  <si>
    <t>8.00亿</t>
  </si>
  <si>
    <t>166.78亿</t>
  </si>
  <si>
    <t>127.31亿</t>
  </si>
  <si>
    <t>4.30亿</t>
  </si>
  <si>
    <t>3.11亿</t>
  </si>
  <si>
    <t>22.93亿</t>
  </si>
  <si>
    <t>8551.06万</t>
  </si>
  <si>
    <t>1.40亿</t>
  </si>
  <si>
    <t>中央商场</t>
  </si>
  <si>
    <t>1.51亿</t>
  </si>
  <si>
    <t>N-1年营收增速</t>
  </si>
  <si>
    <t>N-2年营收增速</t>
  </si>
  <si>
    <t>N-3年营收增速</t>
  </si>
  <si>
    <t>N-4年营收增速</t>
  </si>
  <si>
    <t>N-5年营收增速</t>
  </si>
  <si>
    <t>N-1年利润增速</t>
  </si>
  <si>
    <t>N-2年利润增速</t>
  </si>
  <si>
    <t>N-3年利润增速</t>
  </si>
  <si>
    <t>N-4年利润增速</t>
  </si>
  <si>
    <t>N-5年利润增速</t>
  </si>
  <si>
    <t>20增速</t>
  </si>
  <si>
    <t>当期自由现金流估计值</t>
  </si>
  <si>
    <t>自由现金流估计增速</t>
  </si>
  <si>
    <t>销售毛利率%[20201231]</t>
  </si>
  <si>
    <t>销售净利率%[20201231]</t>
  </si>
  <si>
    <t>1.25亿</t>
  </si>
  <si>
    <t>3.74亿</t>
  </si>
  <si>
    <t>1.10亿</t>
  </si>
  <si>
    <t>19.73亿</t>
  </si>
  <si>
    <t>1.94亿</t>
  </si>
  <si>
    <t>6.76亿</t>
  </si>
  <si>
    <t>SZ002356</t>
  </si>
  <si>
    <t>4.67亿</t>
  </si>
  <si>
    <t>-5.04亿</t>
  </si>
  <si>
    <t>8.48亿</t>
  </si>
  <si>
    <t>19.18亿</t>
  </si>
  <si>
    <t>-18.79亿</t>
  </si>
  <si>
    <t>-16.52亿</t>
  </si>
  <si>
    <t>2.66亿</t>
  </si>
  <si>
    <t>7.52亿</t>
  </si>
  <si>
    <t>-6.23亿</t>
  </si>
  <si>
    <t>2.49亿</t>
  </si>
  <si>
    <t>4.00亿</t>
  </si>
  <si>
    <t>SZ301078</t>
  </si>
  <si>
    <t>孩子王</t>
  </si>
  <si>
    <t>83.55亿</t>
  </si>
  <si>
    <t>3.91亿</t>
  </si>
  <si>
    <t>3.51亿</t>
  </si>
  <si>
    <t>82.43亿</t>
  </si>
  <si>
    <t>66.71亿</t>
  </si>
  <si>
    <t>2.76亿</t>
  </si>
  <si>
    <t>SH600327</t>
  </si>
  <si>
    <t>79.36亿</t>
  </si>
  <si>
    <t>93.62亿</t>
  </si>
  <si>
    <t>91.54亿</t>
  </si>
  <si>
    <t>91.68亿</t>
  </si>
  <si>
    <t>SH600605</t>
  </si>
  <si>
    <t>汇通能源</t>
  </si>
  <si>
    <t>9258.57万</t>
  </si>
  <si>
    <t>4972.16万</t>
  </si>
  <si>
    <t>20.63亿</t>
  </si>
  <si>
    <t>2306.95万</t>
  </si>
  <si>
    <t>2254.67万</t>
  </si>
  <si>
    <t>9.68亿</t>
  </si>
  <si>
    <t>1.55亿</t>
  </si>
  <si>
    <t>7.53亿</t>
  </si>
  <si>
    <t>SH600824</t>
  </si>
  <si>
    <t>益民集团</t>
  </si>
  <si>
    <t>14.76亿</t>
  </si>
  <si>
    <t>14.78亿</t>
  </si>
  <si>
    <t>8747.52万</t>
  </si>
  <si>
    <t>4.09亿</t>
  </si>
  <si>
    <t>4.32亿</t>
  </si>
  <si>
    <t>SH601888</t>
  </si>
  <si>
    <t>中国中免</t>
  </si>
  <si>
    <t>61.40亿</t>
  </si>
  <si>
    <t>486.12亿</t>
  </si>
  <si>
    <t>470.07亿</t>
  </si>
  <si>
    <t>46.32亿</t>
  </si>
  <si>
    <t>30.95亿</t>
  </si>
  <si>
    <t>1.公司的竞争优势主要表现在：（1）品牌影响力。（2）多元化的产品。（3）产品保真体系。（4）全渠道营销网络。（5）仓储物流效率。</t>
    <phoneticPr fontId="1" type="noConversion"/>
  </si>
  <si>
    <t>1.酒类产品流通领域竞争较为充分，市场参与者众多，占市场较大份额的大型龙头企业较少，公司面临着来自市场不同主
体的竞争</t>
    <phoneticPr fontId="1" type="noConversion"/>
  </si>
  <si>
    <t>1.居然之家是最早开始探索下沉市场的家居公司之一。过去几年，公司以连锁加盟模式下沉门店，实现了下沉市场的快速扩张。截至2020年末，公司卖场网络已分布全国270个城市，其中非一二线城市占比71.35%；2.预计年报业绩：净利润23.00亿元至25.80亿元，增长幅度为68.75%至89.29%</t>
    <phoneticPr fontId="1" type="noConversion"/>
  </si>
  <si>
    <t>公司以经营生鲜为特色，以大卖场、卖场及社区超市为核心业态、以便利店的特许加盟为补充、以食品加工和现代农业相结合的连锁超市业务。
2021H1:
食品用品 234.20亿 50.01% 利润占比41.68% 15.68%
生鲜及加工 201.47亿 43.02% 利润占比23.47% 10.27%
服务业 32.61亿 6.96% 利润占比34.85% 94.19%
1.全国推广初见效果：25省，938家连锁超市，458家mini店，750万平方米；
2. 线上会员数达 3,284 万户，报告期月活数 772 万户，线上销售额 45.61亿元，占主营收入比 9.71%。</t>
    <phoneticPr fontId="1" type="noConversion"/>
  </si>
  <si>
    <t>1.1至2月公司实现经营性净利润7.6亿元左右
1、永辉超市公告，经公司初步核算，2022年1至2月，公司实现营业总收入204亿元左右，同比增长3%左右，其中同店增长约1.6%；公司实现经营性净利润7.6亿元左右。该报告期内，因对外投资股价变动等非经营性因素产生的影响，可能会产生1.5亿元-2亿元左右的计提。 2、公司以经营生鲜为特色，以大卖场、卖场及社区超市为核心业态、以便利店的特许加盟为补充、以食品加工和现代农业相结合的连锁超市业务。 3、公司自有品牌“辉妈到家”主要产品包括金汤酸菜鱼、外婆红烧肉、红烧狮子头、鸡汁百页包、糖醋小排、梅菜扣肉、鱼香肉丝等单品。上述产品均为速冻熟制品,微波高火加热2分钟或热水加热8分钟即可食用。；</t>
    <phoneticPr fontId="1" type="noConversion"/>
  </si>
  <si>
    <t>公司主营业务为超市连锁经营，是一家立足于山东省内，以大卖场和综合超市为主体，以区域一体化物流为支撑，以发展现代农业生产基地和食品加工产业链为保障，以经营生鲜为特色的全供应链、多业态的综合性零售渠道商。公司主要产品是大卖场、综合超市、百货、专业店。
食品化洗 41.20亿 46.81% 利润占比37.23% 19.21%
生鲜 35.54亿 40.38% 利润占比27.65% 16.54%
其他业务 7.93亿 9.01% 利润占比29.52% 79.16%
百货 3.34亿 3.80% 利润占比5.60% 35.58%
1. 商品90%都是自营；2.布局生鲜加工基地，优化供应链；3.构建物流中心，立体物流网络；4. 分红占当年利润60%；5.公司连锁门店数量 844 家，其中大卖场 166 家、综合超市 599 家、百货店 13 家、宝宝悦等其他业态门店 66 家</t>
    <phoneticPr fontId="1" type="noConversion"/>
  </si>
  <si>
    <t>14.25亿</t>
  </si>
  <si>
    <t>-6.87亿</t>
  </si>
  <si>
    <r>
      <t>1.其他省份的扩展或许不会像老本营山东那么顺利，就看如何吸引当地客户；2.。2021年预告年</t>
    </r>
    <r>
      <rPr>
        <sz val="9"/>
        <color rgb="FFFF0000"/>
        <rFont val="宋体"/>
        <family val="3"/>
        <charset val="134"/>
        <scheme val="minor"/>
      </rPr>
      <t>亏损-3亿元至-2.6亿元</t>
    </r>
    <r>
      <rPr>
        <sz val="9"/>
        <color theme="1"/>
        <rFont val="宋体"/>
        <family val="3"/>
        <charset val="134"/>
        <scheme val="minor"/>
      </rPr>
      <t>；公司结合疫情影响、市场环境不确定性等因素综合考虑，预计2021年度维乐惠超市、维客商业连锁将计提商誉减值损失
29,100.00万元至32,900.00万元。3.受疫情及市场影响，2021年共关闭了43家门店，因闭店长期待摊费用一次性处理等因素影响亏损增加；</t>
    </r>
    <phoneticPr fontId="1" type="noConversion"/>
  </si>
  <si>
    <r>
      <t>1.2021年</t>
    </r>
    <r>
      <rPr>
        <sz val="9"/>
        <color rgb="FFFF0000"/>
        <rFont val="宋体"/>
        <family val="3"/>
        <charset val="134"/>
        <scheme val="minor"/>
      </rPr>
      <t>亏损-39.3亿</t>
    </r>
    <r>
      <rPr>
        <sz val="9"/>
        <color theme="1"/>
        <rFont val="宋体"/>
        <family val="3"/>
        <charset val="134"/>
        <scheme val="minor"/>
      </rPr>
      <t>；</t>
    </r>
    <phoneticPr fontId="1" type="noConversion"/>
  </si>
  <si>
    <t>1. 采取差异化竞争策略，以面向住宅、学校、商务、娱乐等商圈的便利超市零售业态为主；2.除了成都，开始进入兰州市场；</t>
    <phoneticPr fontId="1" type="noConversion"/>
  </si>
  <si>
    <t xml:space="preserve">公司以零售商业为主，以综合百货、连锁超市、专业连锁等三大业态为核心业务。公司主要产品包括综合百货、购物中心、奥特莱斯、标准超市、便利店、大卖场、专业专卖。
2021Q3:
大型综合超市 115.50亿 43.57% 超级市场 78.69亿 29.68% 购物中心 18.85亿 7.11% 百货 12.61亿 4.76% 便利店 12.31亿 4.64% 其他业务 8.21亿 3.10% 奥特莱斯 8.03亿 3.03%  专业专卖 7.94亿 3.00% </t>
    <phoneticPr fontId="1" type="noConversion"/>
  </si>
  <si>
    <t>流通股本</t>
  </si>
  <si>
    <t>净利润[20201231]</t>
  </si>
  <si>
    <t>投入资本回报率roic%[20201231]</t>
  </si>
  <si>
    <t>净资产收益率%[20201231]</t>
  </si>
  <si>
    <t>3997.06万</t>
  </si>
  <si>
    <t>7.54亿</t>
  </si>
  <si>
    <t>-11.57亿</t>
  </si>
  <si>
    <t>19.95亿</t>
  </si>
  <si>
    <t>4638.27万</t>
  </si>
  <si>
    <t>3.80亿</t>
  </si>
  <si>
    <t>40.92亿</t>
  </si>
  <si>
    <t>63.38亿</t>
  </si>
  <si>
    <t>12.18亿</t>
  </si>
  <si>
    <t>21.43亿</t>
  </si>
  <si>
    <t>武商集团</t>
  </si>
  <si>
    <t>71.27亿</t>
  </si>
  <si>
    <t>2.70亿</t>
  </si>
  <si>
    <t>-2.16亿</t>
  </si>
  <si>
    <t>1.31亿</t>
  </si>
  <si>
    <t>6.41亿</t>
  </si>
  <si>
    <t>8.68亿</t>
  </si>
  <si>
    <t>123.31亿</t>
  </si>
  <si>
    <t>130.71亿</t>
  </si>
  <si>
    <t>90.22亿</t>
  </si>
  <si>
    <t>710.00亿</t>
  </si>
  <si>
    <t>12.20亿</t>
  </si>
  <si>
    <t>-1.77亿</t>
  </si>
  <si>
    <t>59.76亿</t>
  </si>
  <si>
    <t>38.08亿</t>
  </si>
  <si>
    <t>-1.84亿</t>
  </si>
  <si>
    <t>50.96亿</t>
  </si>
  <si>
    <t>-8.57亿</t>
  </si>
  <si>
    <t>3.28亿</t>
  </si>
  <si>
    <t>3.33亿</t>
  </si>
  <si>
    <t>122.68亿</t>
  </si>
  <si>
    <t>6.19亿</t>
  </si>
  <si>
    <t>93.51亿</t>
  </si>
  <si>
    <t>15.37亿</t>
  </si>
  <si>
    <t>23.86亿</t>
  </si>
  <si>
    <t>1533.16万</t>
  </si>
  <si>
    <t>1.53亿</t>
  </si>
  <si>
    <t>8.87亿</t>
  </si>
  <si>
    <t>9478.36万</t>
  </si>
  <si>
    <t>74.60亿</t>
  </si>
  <si>
    <t>9.55亿</t>
  </si>
  <si>
    <t>90.49亿</t>
  </si>
  <si>
    <t>28.81亿</t>
  </si>
  <si>
    <t>4536.01万</t>
  </si>
  <si>
    <t>大东方</t>
  </si>
  <si>
    <t>69.05亿</t>
  </si>
  <si>
    <t>60.34亿</t>
  </si>
  <si>
    <t>13.34亿</t>
  </si>
  <si>
    <t>6026.74万</t>
  </si>
  <si>
    <t>11.66亿</t>
  </si>
  <si>
    <t>6945.87万</t>
  </si>
  <si>
    <t>455.31亿</t>
  </si>
  <si>
    <t>36.11亿</t>
  </si>
  <si>
    <t>18.95亿</t>
  </si>
  <si>
    <t>83.52亿</t>
  </si>
  <si>
    <t>2830.06万</t>
  </si>
  <si>
    <t>263.87万</t>
  </si>
  <si>
    <t>20.96亿</t>
  </si>
  <si>
    <t>6.43亿</t>
  </si>
  <si>
    <t>-5052.31万</t>
  </si>
  <si>
    <t>57.05亿</t>
  </si>
  <si>
    <t>5145.57万</t>
  </si>
  <si>
    <t>9233.88万</t>
  </si>
  <si>
    <t>346.50亿</t>
  </si>
  <si>
    <t>352.21亿</t>
  </si>
  <si>
    <t>7.70亿</t>
  </si>
  <si>
    <t>41.68亿</t>
  </si>
  <si>
    <t>9863.72万</t>
  </si>
  <si>
    <t>8.34亿</t>
  </si>
  <si>
    <t>3586.45万</t>
  </si>
  <si>
    <t>56.71亿</t>
  </si>
  <si>
    <t>3620.03万</t>
  </si>
  <si>
    <t>13.40亿</t>
  </si>
  <si>
    <t>115.36亿</t>
  </si>
  <si>
    <t>24.74亿</t>
  </si>
  <si>
    <t>8650.60万</t>
  </si>
  <si>
    <t>39.25亿</t>
  </si>
  <si>
    <t>8829.20万</t>
  </si>
  <si>
    <t>80.84亿</t>
  </si>
  <si>
    <t>8021.45万</t>
  </si>
  <si>
    <t>155.13亿</t>
  </si>
  <si>
    <t>676.76亿</t>
  </si>
  <si>
    <t>96.54亿</t>
  </si>
  <si>
    <t>525.98亿</t>
  </si>
  <si>
    <t>910.62亿</t>
  </si>
  <si>
    <t>-39.44亿</t>
  </si>
  <si>
    <t>5244.20万</t>
  </si>
  <si>
    <t>26.52亿</t>
  </si>
  <si>
    <t>7347.80万</t>
  </si>
  <si>
    <t>174.33亿</t>
  </si>
  <si>
    <t>-2.93亿</t>
  </si>
  <si>
    <t>3012.45万</t>
  </si>
  <si>
    <t>1-0</t>
  </si>
  <si>
    <r>
      <t>1.公司拥有丰富的</t>
    </r>
    <r>
      <rPr>
        <sz val="9"/>
        <color rgb="FFFF0000"/>
        <rFont val="宋体"/>
        <family val="3"/>
        <charset val="134"/>
        <scheme val="minor"/>
      </rPr>
      <t>渠道资源和全面的产业整合能力</t>
    </r>
    <r>
      <rPr>
        <sz val="9"/>
        <color theme="1"/>
        <rFont val="宋体"/>
        <family val="2"/>
        <charset val="134"/>
        <scheme val="minor"/>
      </rPr>
      <t>。在渠道建设方面，公司在国内已经建立一张覆盖广、效率高、成本低的智能终端产品营销网络。2.公司作为国内领先的</t>
    </r>
    <r>
      <rPr>
        <sz val="9"/>
        <color rgb="FFFF0000"/>
        <rFont val="宋体"/>
        <family val="3"/>
        <charset val="134"/>
        <scheme val="minor"/>
      </rPr>
      <t>彩票</t>
    </r>
    <r>
      <rPr>
        <sz val="9"/>
        <color theme="1"/>
        <rFont val="宋体"/>
        <family val="2"/>
        <charset val="134"/>
        <scheme val="minor"/>
      </rPr>
      <t>综合技术服务提供商，长年专注于彩票业务深耕与技术创新</t>
    </r>
    <phoneticPr fontId="1" type="noConversion"/>
  </si>
  <si>
    <t xml:space="preserve">    名称</t>
  </si>
  <si>
    <t>LY营业总收入[20211231]</t>
  </si>
  <si>
    <t>净利润?</t>
  </si>
  <si>
    <t>权益乘数[20220630]</t>
  </si>
  <si>
    <t>总资产周转率[20220630]</t>
  </si>
  <si>
    <t>净利润／营业总收入%[20220630]</t>
  </si>
  <si>
    <t>营业总成本[20220630]</t>
  </si>
  <si>
    <t>营业成本[20220630]</t>
  </si>
  <si>
    <t>管理费用[20220630]</t>
  </si>
  <si>
    <t>研发费用总额[20220630]</t>
  </si>
  <si>
    <t>扣非净利润</t>
  </si>
  <si>
    <t>营业总收入[20201231]</t>
  </si>
  <si>
    <t>投入资本回报率roic%[20211231]</t>
  </si>
  <si>
    <t>净资产收益率%[20211231]</t>
  </si>
  <si>
    <t>细分行业</t>
  </si>
  <si>
    <t>单季营收增速</t>
  </si>
  <si>
    <t>单季利润增速</t>
  </si>
  <si>
    <t>扣非对比净利润</t>
    <phoneticPr fontId="1" type="noConversion"/>
  </si>
  <si>
    <t>过往营收增速均值</t>
    <phoneticPr fontId="1" type="noConversion"/>
  </si>
  <si>
    <t>过往利润增速均值</t>
    <phoneticPr fontId="1" type="noConversion"/>
  </si>
  <si>
    <t>1年自由现金流折现</t>
    <phoneticPr fontId="1" type="noConversion"/>
  </si>
  <si>
    <t>1增速</t>
    <phoneticPr fontId="1" type="noConversion"/>
  </si>
  <si>
    <t>3年自由现金流折现</t>
    <phoneticPr fontId="1" type="noConversion"/>
  </si>
  <si>
    <t>10年自由现金流折现</t>
    <phoneticPr fontId="1" type="noConversion"/>
  </si>
  <si>
    <t>10增速</t>
    <phoneticPr fontId="1" type="noConversion"/>
  </si>
  <si>
    <t>20年自由现金流折现</t>
    <phoneticPr fontId="1" type="noConversion"/>
  </si>
  <si>
    <t>承担负债现期溢价</t>
    <phoneticPr fontId="1" type="noConversion"/>
  </si>
  <si>
    <t>清算价格</t>
    <phoneticPr fontId="1" type="noConversion"/>
  </si>
  <si>
    <t>原始顺序</t>
    <phoneticPr fontId="1" type="noConversion"/>
  </si>
  <si>
    <t>策略1营收单季最佳增速</t>
    <phoneticPr fontId="1" type="noConversion"/>
  </si>
  <si>
    <t>策略1利润单季最佳增速</t>
    <phoneticPr fontId="1" type="noConversion"/>
  </si>
  <si>
    <t>营收成长策略</t>
    <phoneticPr fontId="1" type="noConversion"/>
  </si>
  <si>
    <t>利润成长策略</t>
    <phoneticPr fontId="1" type="noConversion"/>
  </si>
  <si>
    <t>基本面排序</t>
    <phoneticPr fontId="1" type="noConversion"/>
  </si>
  <si>
    <t>综合策略</t>
    <phoneticPr fontId="1" type="noConversion"/>
  </si>
  <si>
    <t>机会区域号</t>
    <phoneticPr fontId="1" type="noConversion"/>
  </si>
  <si>
    <t>5日成交换手率</t>
    <phoneticPr fontId="1" type="noConversion"/>
  </si>
  <si>
    <t>今日价格累积指数</t>
    <phoneticPr fontId="1" type="noConversion"/>
  </si>
  <si>
    <t>价格箱体形态过滤</t>
    <phoneticPr fontId="1" type="noConversion"/>
  </si>
  <si>
    <t>价格右侧初期策略</t>
    <phoneticPr fontId="1" type="noConversion"/>
  </si>
  <si>
    <t>N日期</t>
    <phoneticPr fontId="1" type="noConversion"/>
  </si>
  <si>
    <t>N-4</t>
    <phoneticPr fontId="1" type="noConversion"/>
  </si>
  <si>
    <t>N-3</t>
    <phoneticPr fontId="1" type="noConversion"/>
  </si>
  <si>
    <t>N-2</t>
    <phoneticPr fontId="1" type="noConversion"/>
  </si>
  <si>
    <t>N-1</t>
    <phoneticPr fontId="1" type="noConversion"/>
  </si>
  <si>
    <t>商业物业经营</t>
  </si>
  <si>
    <t>亏损</t>
  </si>
  <si>
    <t>扭亏</t>
  </si>
  <si>
    <t>-1-0</t>
  </si>
  <si>
    <t>1-1</t>
  </si>
  <si>
    <t>百货零售</t>
  </si>
  <si>
    <t>3.66亿</t>
  </si>
  <si>
    <t/>
  </si>
  <si>
    <t>2-1</t>
  </si>
  <si>
    <t>1.26亿</t>
  </si>
  <si>
    <t>专业连锁</t>
  </si>
  <si>
    <t>-1-1</t>
  </si>
  <si>
    <t>3.35亿</t>
  </si>
  <si>
    <t>5.00亿</t>
  </si>
  <si>
    <t>2.11亿</t>
  </si>
  <si>
    <t>赫美集团</t>
  </si>
  <si>
    <t>6.63亿</t>
  </si>
  <si>
    <t>6.99亿</t>
  </si>
  <si>
    <t>2.93亿</t>
  </si>
  <si>
    <t>1.78亿</t>
  </si>
  <si>
    <t>1.29亿</t>
  </si>
  <si>
    <t>旅游零售</t>
  </si>
  <si>
    <t>1.66亿</t>
  </si>
  <si>
    <t>锦和商管</t>
  </si>
  <si>
    <t>2.00亿</t>
  </si>
  <si>
    <t>1.45亿</t>
  </si>
  <si>
    <t>涨幅</t>
  </si>
  <si>
    <t>成交量[20221212]</t>
  </si>
  <si>
    <t>营业收入(同比增长率) %[20220930]</t>
  </si>
  <si>
    <t>LY净利润[20211231]</t>
  </si>
  <si>
    <t>销售费用[20220930]</t>
  </si>
  <si>
    <t>其他收入[20220930]</t>
  </si>
  <si>
    <t>货币资金[20220930]</t>
  </si>
  <si>
    <t>应收票据[20220930]</t>
  </si>
  <si>
    <t>固定资产[20220930]</t>
  </si>
  <si>
    <t>在建工程[20220930]</t>
  </si>
  <si>
    <t>短期借款[20220930]</t>
  </si>
  <si>
    <t>应付票据[20220930]</t>
  </si>
  <si>
    <t>应付账款[20220930]</t>
  </si>
  <si>
    <t>预收款项[20220930]</t>
  </si>
  <si>
    <t>流动负债[20220930]</t>
  </si>
  <si>
    <t>长期借款[20220930]</t>
  </si>
  <si>
    <t>经营活动产生的现金流量净额[20220930]</t>
  </si>
  <si>
    <t>投资活动产生的现金流量净额[20220930]</t>
  </si>
  <si>
    <t>筹资活动产生的现金流量净额[20220930]</t>
  </si>
  <si>
    <t>CYLQ营业收入[20220630]</t>
  </si>
  <si>
    <t>LYCQ营业收入[20210930]</t>
  </si>
  <si>
    <t>LYLQ营业收入[20210630]</t>
  </si>
  <si>
    <t>CYLQ净利润[20220630]</t>
  </si>
  <si>
    <t>LYCQ净利润[20210930]</t>
  </si>
  <si>
    <t>LYLQ净利润[20210630]</t>
  </si>
  <si>
    <t>分红明细[20211231]</t>
  </si>
  <si>
    <t>销售毛利率%[20220630]</t>
  </si>
  <si>
    <t>销售净利率%[20220630]</t>
  </si>
  <si>
    <t>区间涨跌幅:前复权%[20221206-20221212]</t>
  </si>
  <si>
    <t>指数@区间涨跌幅:不复权%[20221101-20221212]</t>
  </si>
  <si>
    <t>指数@区间成交量[20221206-20221212]</t>
  </si>
  <si>
    <t>指数@区间成交量[20221101-20221212]</t>
  </si>
  <si>
    <t>市销率</t>
    <phoneticPr fontId="1" type="noConversion"/>
  </si>
  <si>
    <t>股利率</t>
    <phoneticPr fontId="1" type="noConversion"/>
  </si>
  <si>
    <t>3增速</t>
    <phoneticPr fontId="1" type="noConversion"/>
  </si>
  <si>
    <t>价格变动策略</t>
    <phoneticPr fontId="1" type="noConversion"/>
  </si>
  <si>
    <t>折现率</t>
    <phoneticPr fontId="1" type="noConversion"/>
  </si>
  <si>
    <t>6年自由现金流折现</t>
    <phoneticPr fontId="1" type="noConversion"/>
  </si>
  <si>
    <t>6增速</t>
    <phoneticPr fontId="1" type="noConversion"/>
  </si>
  <si>
    <t>营收和利润加权</t>
    <phoneticPr fontId="1" type="noConversion"/>
  </si>
  <si>
    <t>成交量综合策略</t>
    <phoneticPr fontId="1" type="noConversion"/>
  </si>
  <si>
    <t>量价齐升策略</t>
    <phoneticPr fontId="1" type="noConversion"/>
  </si>
  <si>
    <t>30日成交换手率</t>
    <phoneticPr fontId="1" type="noConversion"/>
  </si>
  <si>
    <t>昨日价格累计指数</t>
    <phoneticPr fontId="1" type="noConversion"/>
  </si>
  <si>
    <t>成交量异动策略</t>
    <phoneticPr fontId="1" type="noConversion"/>
  </si>
  <si>
    <t>N</t>
    <phoneticPr fontId="1" type="noConversion"/>
  </si>
  <si>
    <t>2.08亿</t>
  </si>
  <si>
    <t>1.19亿</t>
  </si>
  <si>
    <t>不分配不转增</t>
  </si>
  <si>
    <t>21.54亿</t>
  </si>
  <si>
    <t>10派0.7元(含税)</t>
  </si>
  <si>
    <t>4.86亿</t>
  </si>
  <si>
    <t>10派0.5元(含税)</t>
  </si>
  <si>
    <t>5.70亿</t>
  </si>
  <si>
    <t>21.21亿</t>
  </si>
  <si>
    <t>10派1元(含税)</t>
  </si>
  <si>
    <t>10派0.3元(含税)</t>
  </si>
  <si>
    <t>7.89亿</t>
  </si>
  <si>
    <t>1.23亿</t>
  </si>
  <si>
    <t>1.46亿</t>
  </si>
  <si>
    <t>10派3.5元(含税)</t>
  </si>
  <si>
    <t>-3.00亿</t>
  </si>
  <si>
    <t>3.22亿</t>
  </si>
  <si>
    <t>10派4元(含税)</t>
  </si>
  <si>
    <t>2.91亿</t>
  </si>
  <si>
    <t>17.89亿</t>
  </si>
  <si>
    <t>10派2元(含税)</t>
  </si>
  <si>
    <t>3.76亿</t>
  </si>
  <si>
    <t>2.64亿</t>
  </si>
  <si>
    <t>5.33亿</t>
  </si>
  <si>
    <t>6.74亿</t>
  </si>
  <si>
    <t>2.22亿</t>
  </si>
  <si>
    <t>3.94亿</t>
  </si>
  <si>
    <t>2.59亿</t>
  </si>
  <si>
    <t>2.52亿</t>
  </si>
  <si>
    <t>1.62亿</t>
  </si>
  <si>
    <t>18.29亿</t>
  </si>
  <si>
    <t>1577.63万</t>
  </si>
  <si>
    <t>4.64亿</t>
  </si>
  <si>
    <t>10派0.1元(含税)</t>
  </si>
  <si>
    <t>76.20亿</t>
  </si>
  <si>
    <t>43.54亿</t>
  </si>
  <si>
    <t>9.42亿</t>
  </si>
  <si>
    <t>10派0.4元(含税)</t>
  </si>
  <si>
    <t>63.02亿</t>
  </si>
  <si>
    <t>1.89亿</t>
  </si>
  <si>
    <t>1.91亿</t>
  </si>
  <si>
    <t>63.37亿</t>
  </si>
  <si>
    <t>14.05亿</t>
  </si>
  <si>
    <t>16.63亿</t>
  </si>
  <si>
    <t>22.09亿</t>
  </si>
  <si>
    <t>6.72亿</t>
  </si>
  <si>
    <t>-5016.26万</t>
  </si>
  <si>
    <t>6.93亿</t>
  </si>
  <si>
    <t>8562.57万</t>
  </si>
  <si>
    <t>3-1</t>
  </si>
  <si>
    <t>121.97亿</t>
  </si>
  <si>
    <t>16.48亿</t>
  </si>
  <si>
    <t>4.24亿</t>
  </si>
  <si>
    <t>4.73亿</t>
  </si>
  <si>
    <t>23.03亿</t>
  </si>
  <si>
    <t>764.27亿</t>
  </si>
  <si>
    <t>11.60亿</t>
  </si>
  <si>
    <t>-3.83亿</t>
  </si>
  <si>
    <t>2.97亿</t>
  </si>
  <si>
    <t>11.20亿</t>
  </si>
  <si>
    <t>-1.89亿</t>
  </si>
  <si>
    <t>SZ002177</t>
  </si>
  <si>
    <t>6805.73万</t>
  </si>
  <si>
    <t>5416.68万</t>
  </si>
  <si>
    <t>8588.53万</t>
  </si>
  <si>
    <t>2.14亿</t>
  </si>
  <si>
    <t>-6318.93万</t>
  </si>
  <si>
    <t>7175.69万</t>
  </si>
  <si>
    <t>6565.17万</t>
  </si>
  <si>
    <t>-9481.76万</t>
  </si>
  <si>
    <t>48.92亿</t>
  </si>
  <si>
    <t>5.42亿</t>
  </si>
  <si>
    <t>132.56亿</t>
  </si>
  <si>
    <t>156.38亿</t>
  </si>
  <si>
    <t>3305.86万</t>
  </si>
  <si>
    <t>25.66亿</t>
  </si>
  <si>
    <t>23.13亿</t>
  </si>
  <si>
    <t>39.71亿</t>
  </si>
  <si>
    <t>-5.07亿</t>
  </si>
  <si>
    <t>10.32亿</t>
  </si>
  <si>
    <t>5.75亿</t>
  </si>
  <si>
    <t>1.42亿</t>
  </si>
  <si>
    <t>14.35亿</t>
  </si>
  <si>
    <t>13.11亿</t>
  </si>
  <si>
    <t>2.15亿</t>
  </si>
  <si>
    <t>-6168.13万</t>
  </si>
  <si>
    <t>2.01万</t>
  </si>
  <si>
    <t>7.30亿</t>
  </si>
  <si>
    <t>1.67亿</t>
  </si>
  <si>
    <t>950.37亿</t>
  </si>
  <si>
    <t>640.32亿</t>
  </si>
  <si>
    <t>121.25亿</t>
  </si>
  <si>
    <t>2447.41万</t>
  </si>
  <si>
    <t>10派1.2元(含税)</t>
  </si>
  <si>
    <t>100.20亿</t>
  </si>
  <si>
    <t>14.83亿</t>
  </si>
  <si>
    <t>7.83亿</t>
  </si>
  <si>
    <t>27.08亿</t>
  </si>
  <si>
    <t>1109.47万</t>
  </si>
  <si>
    <t>9.62亿</t>
  </si>
  <si>
    <t>87.08亿</t>
  </si>
  <si>
    <t>4.87亿</t>
  </si>
  <si>
    <t>3249.39万</t>
  </si>
  <si>
    <t>85.20亿</t>
  </si>
  <si>
    <t>9.21亿</t>
  </si>
  <si>
    <t>3-0</t>
  </si>
  <si>
    <t>31.30亿</t>
  </si>
  <si>
    <t>5725.75万</t>
  </si>
  <si>
    <t>0174000000</t>
  </si>
  <si>
    <t>0522000000</t>
  </si>
  <si>
    <t>01044000000</t>
  </si>
  <si>
    <t>01740000000</t>
  </si>
  <si>
    <t>03480000000</t>
  </si>
  <si>
    <t>11.05亿</t>
  </si>
  <si>
    <t>4.11亿</t>
  </si>
  <si>
    <t>926.80万</t>
  </si>
  <si>
    <t>8.50亿</t>
  </si>
  <si>
    <t>-5202.32万</t>
  </si>
  <si>
    <t>519.74亿</t>
  </si>
  <si>
    <t>37.69亿</t>
  </si>
  <si>
    <t>16.71亿</t>
  </si>
  <si>
    <t>2178.22万</t>
  </si>
  <si>
    <t>72.77亿</t>
  </si>
  <si>
    <t>5.49亿</t>
  </si>
  <si>
    <t>83.68亿</t>
  </si>
  <si>
    <t>7.60亿</t>
  </si>
  <si>
    <t>2.50亿</t>
  </si>
  <si>
    <t>69.20亿</t>
  </si>
  <si>
    <t>7.41亿</t>
  </si>
  <si>
    <t>-6449.31万</t>
  </si>
  <si>
    <t>6.81亿</t>
  </si>
  <si>
    <t>183.04亿</t>
  </si>
  <si>
    <t>8.83亿</t>
  </si>
  <si>
    <t>211.36亿</t>
  </si>
  <si>
    <t>9.52亿</t>
  </si>
  <si>
    <t>7.56亿</t>
  </si>
  <si>
    <t>14.40亿</t>
  </si>
  <si>
    <t>-2.18亿</t>
  </si>
  <si>
    <t>58.83亿</t>
  </si>
  <si>
    <t>9347.87万</t>
  </si>
  <si>
    <t>8.10亿</t>
  </si>
  <si>
    <t>3.42亿</t>
  </si>
  <si>
    <t>17.22亿</t>
  </si>
  <si>
    <t>11.87亿</t>
  </si>
  <si>
    <t>19.88亿</t>
  </si>
  <si>
    <t>9.99亿</t>
  </si>
  <si>
    <t>10.11亿</t>
  </si>
  <si>
    <t>6.84亿</t>
  </si>
  <si>
    <t>34.09亿</t>
  </si>
  <si>
    <t>6854.33万</t>
  </si>
  <si>
    <t>5229.97万</t>
  </si>
  <si>
    <t>9.07亿</t>
  </si>
  <si>
    <t>53.79亿</t>
  </si>
  <si>
    <t>108.00亿</t>
  </si>
  <si>
    <t>2.27亿</t>
  </si>
  <si>
    <t>127.54亿</t>
  </si>
  <si>
    <t>23.93亿</t>
  </si>
  <si>
    <t>-1.62亿</t>
  </si>
  <si>
    <t>6.20亿</t>
  </si>
  <si>
    <t>78.60亿</t>
  </si>
  <si>
    <t>-1.73亿</t>
  </si>
  <si>
    <t>141.38亿</t>
  </si>
  <si>
    <t>544.33亿</t>
  </si>
  <si>
    <t>50.30亿</t>
  </si>
  <si>
    <t>900.91亿</t>
  </si>
  <si>
    <t>-27.63亿</t>
  </si>
  <si>
    <t>6.18亿</t>
  </si>
  <si>
    <t>19.07亿</t>
  </si>
  <si>
    <t>-1.56亿</t>
  </si>
  <si>
    <t>23.94亿</t>
  </si>
  <si>
    <t>36.19亿</t>
  </si>
  <si>
    <t>8595.09万</t>
  </si>
  <si>
    <t>8.55亿</t>
  </si>
  <si>
    <t>8.82亿</t>
  </si>
  <si>
    <t>9703.74万</t>
  </si>
  <si>
    <t>181.84亿</t>
  </si>
  <si>
    <t>7.71亿</t>
  </si>
  <si>
    <t>22.50亿</t>
  </si>
  <si>
    <t>1880.95万</t>
  </si>
  <si>
    <t>SH600239</t>
  </si>
  <si>
    <t>25.68亿</t>
  </si>
  <si>
    <t>43.93亿</t>
  </si>
  <si>
    <t>95.43亿</t>
  </si>
  <si>
    <t>4.91亿</t>
  </si>
  <si>
    <t>4953.12万</t>
  </si>
  <si>
    <t>-23.22万</t>
  </si>
  <si>
    <t>7.95亿</t>
  </si>
  <si>
    <t>-1.02亿</t>
  </si>
  <si>
    <t>25.84亿</t>
  </si>
  <si>
    <t>7.05亿</t>
  </si>
  <si>
    <t>4.45亿</t>
  </si>
  <si>
    <t>3290.54万</t>
  </si>
  <si>
    <t>2.72亿</t>
  </si>
  <si>
    <t>2.09亿</t>
  </si>
  <si>
    <t>12.40亿</t>
  </si>
  <si>
    <t>8714.25万</t>
  </si>
  <si>
    <t>3.06亿</t>
  </si>
  <si>
    <t>17.10亿</t>
  </si>
  <si>
    <t>19.69亿</t>
  </si>
  <si>
    <t>9660.29万</t>
  </si>
  <si>
    <t>4.97亿</t>
  </si>
  <si>
    <t>9.63亿</t>
  </si>
  <si>
    <t>3009.30万</t>
  </si>
  <si>
    <t>7.09亿</t>
  </si>
  <si>
    <t>20.54亿</t>
  </si>
  <si>
    <t>6.78亿</t>
  </si>
  <si>
    <t>3.68亿</t>
  </si>
  <si>
    <t>-9000.71万</t>
  </si>
  <si>
    <t>6.17亿</t>
  </si>
  <si>
    <t>-3-0</t>
  </si>
  <si>
    <t>6.61亿</t>
  </si>
  <si>
    <t>4151.08万</t>
  </si>
  <si>
    <t>-880.43万</t>
  </si>
  <si>
    <t>1.63亿</t>
  </si>
  <si>
    <t>2441.93万</t>
  </si>
  <si>
    <t>4.76亿</t>
  </si>
  <si>
    <t>35.12亿</t>
  </si>
  <si>
    <t>5.03亿</t>
  </si>
  <si>
    <t>32.46亿</t>
  </si>
  <si>
    <t>6.09亿</t>
  </si>
  <si>
    <t>228.12亿</t>
  </si>
  <si>
    <t>6037.12万</t>
  </si>
  <si>
    <t>-8750.85万</t>
  </si>
  <si>
    <t>50.34亿</t>
  </si>
  <si>
    <t>5.78亿</t>
  </si>
  <si>
    <t>5.83亿</t>
  </si>
  <si>
    <t>16.86亿</t>
  </si>
  <si>
    <t>3.02亿</t>
  </si>
  <si>
    <t>843.69万</t>
  </si>
  <si>
    <t>御银股份</t>
  </si>
  <si>
    <t>1803.38万</t>
  </si>
  <si>
    <t>1106.92万</t>
  </si>
  <si>
    <t>31.73亿</t>
  </si>
  <si>
    <t>3290.84万</t>
  </si>
  <si>
    <t>10.97亿</t>
  </si>
  <si>
    <t>25.04亿</t>
  </si>
  <si>
    <t>10.34亿</t>
  </si>
  <si>
    <t>-9974.73万</t>
  </si>
  <si>
    <t>1.83亿</t>
  </si>
  <si>
    <t>3.67亿</t>
  </si>
  <si>
    <t>11.09亿</t>
  </si>
  <si>
    <t>3930.40万</t>
  </si>
  <si>
    <t>8.75亿</t>
  </si>
  <si>
    <t>2.19亿</t>
  </si>
  <si>
    <t>-9858.56万</t>
  </si>
  <si>
    <t>5.61亿</t>
  </si>
  <si>
    <t>1.85亿</t>
  </si>
  <si>
    <t>5217.76万</t>
  </si>
  <si>
    <t>372.81万</t>
  </si>
  <si>
    <t>5.58亿</t>
  </si>
  <si>
    <t>249.67亿</t>
  </si>
  <si>
    <t>4.08亿</t>
  </si>
  <si>
    <t>33.84亿</t>
  </si>
  <si>
    <t>2.75亿</t>
  </si>
  <si>
    <t>9.48亿</t>
  </si>
  <si>
    <t>3.04亿</t>
  </si>
  <si>
    <t>1997.17万</t>
  </si>
  <si>
    <t>-1.27亿</t>
  </si>
  <si>
    <t>25.55亿</t>
  </si>
  <si>
    <t>1.00亿</t>
  </si>
  <si>
    <t>60.67亿</t>
  </si>
  <si>
    <t>3.09亿</t>
  </si>
  <si>
    <t>3.53亿</t>
  </si>
  <si>
    <t>3.90亿</t>
  </si>
  <si>
    <t>12.64亿</t>
  </si>
  <si>
    <t>135.89万</t>
  </si>
  <si>
    <t>3728.07万</t>
  </si>
  <si>
    <t>37.43亿</t>
  </si>
  <si>
    <t>50.15亿</t>
  </si>
  <si>
    <t>5.23亿</t>
  </si>
  <si>
    <t>5.31亿</t>
  </si>
  <si>
    <t>11.72亿</t>
  </si>
  <si>
    <t>6.37亿</t>
  </si>
  <si>
    <t>23.77亿</t>
  </si>
  <si>
    <t>9.14亿</t>
  </si>
  <si>
    <t>云南城投</t>
  </si>
  <si>
    <t>8.03亿</t>
  </si>
  <si>
    <t>1.30亿</t>
  </si>
  <si>
    <t>12.43亿</t>
  </si>
  <si>
    <t>11.88亿</t>
  </si>
  <si>
    <t>13.24亿</t>
  </si>
  <si>
    <t>965.63万</t>
  </si>
  <si>
    <t>22.23亿</t>
  </si>
  <si>
    <t>34.55亿</t>
  </si>
  <si>
    <t>17.64亿</t>
  </si>
  <si>
    <t>16.89亿</t>
  </si>
  <si>
    <t>14.53亿</t>
  </si>
  <si>
    <t>5716.23万</t>
  </si>
  <si>
    <t>383.26万</t>
  </si>
  <si>
    <t>82718775亿</t>
  </si>
  <si>
    <t>1047.75万</t>
  </si>
  <si>
    <t>39951338亿</t>
  </si>
  <si>
    <t>5.51亿</t>
  </si>
  <si>
    <t>140244080亿</t>
  </si>
  <si>
    <t>1023979830亿</t>
  </si>
  <si>
    <t>3.57亿</t>
  </si>
  <si>
    <t>1382.37万</t>
  </si>
  <si>
    <t>467.00万</t>
  </si>
  <si>
    <t>16.31亿</t>
  </si>
  <si>
    <t>-1.91亿</t>
  </si>
  <si>
    <t>-2623.36万</t>
  </si>
  <si>
    <t>15.48亿</t>
  </si>
  <si>
    <t>2574.89万</t>
  </si>
  <si>
    <t>1.61亿</t>
  </si>
  <si>
    <t>4672.79万</t>
  </si>
  <si>
    <t>4.75亿</t>
  </si>
  <si>
    <t>6.48亿</t>
  </si>
  <si>
    <t>42.07亿</t>
  </si>
  <si>
    <t>5.37亿</t>
  </si>
  <si>
    <t>4.19亿</t>
  </si>
  <si>
    <t>4.88亿</t>
  </si>
  <si>
    <t>4.14亿</t>
  </si>
  <si>
    <t>19.31亿</t>
  </si>
  <si>
    <t>22.74亿</t>
  </si>
  <si>
    <t>5.80亿</t>
  </si>
  <si>
    <t>5.98亿</t>
  </si>
  <si>
    <t>27.97亿</t>
  </si>
  <si>
    <t>31.37亿</t>
  </si>
  <si>
    <t>16.01亿</t>
  </si>
  <si>
    <t>17.02亿</t>
  </si>
  <si>
    <t>3.65亿</t>
  </si>
  <si>
    <t>6.10亿</t>
  </si>
  <si>
    <t>5.76亿</t>
  </si>
  <si>
    <t>3.45亿</t>
  </si>
  <si>
    <t>-2-1</t>
  </si>
  <si>
    <t>123.32亿</t>
  </si>
  <si>
    <t>16.42亿</t>
  </si>
  <si>
    <t>9333.96万</t>
  </si>
  <si>
    <t>18.56亿</t>
  </si>
  <si>
    <t>33.67亿</t>
  </si>
  <si>
    <t>19.56亿</t>
  </si>
  <si>
    <t>4.79亿</t>
  </si>
  <si>
    <t>2.88亿</t>
  </si>
  <si>
    <t>-1.86亿</t>
  </si>
  <si>
    <t>11.18亿</t>
  </si>
  <si>
    <t>9.01亿</t>
  </si>
  <si>
    <t>全新好</t>
  </si>
  <si>
    <t>2528.96万</t>
  </si>
  <si>
    <t>4328.31万</t>
  </si>
  <si>
    <t>2.16亿</t>
  </si>
  <si>
    <t>3596.93万</t>
  </si>
  <si>
    <t>4241.92万</t>
  </si>
  <si>
    <t>3340.28万</t>
  </si>
  <si>
    <t>235.03万</t>
  </si>
  <si>
    <t>642.23万</t>
  </si>
  <si>
    <t>59037亿</t>
  </si>
  <si>
    <t>579980亿</t>
  </si>
  <si>
    <t>19266220亿</t>
  </si>
  <si>
    <t>280175020亿</t>
  </si>
  <si>
    <t>3495.72万</t>
  </si>
  <si>
    <t>2274.36万</t>
  </si>
  <si>
    <t>2648.95万</t>
  </si>
  <si>
    <t>5.18万</t>
  </si>
  <si>
    <t>-3101.49万</t>
  </si>
  <si>
    <t>-534.06万</t>
  </si>
  <si>
    <t>4-0</t>
  </si>
  <si>
    <t>1782.61万</t>
  </si>
  <si>
    <t>78.07亿</t>
  </si>
  <si>
    <t>8.88亿</t>
  </si>
  <si>
    <t>-11.27亿</t>
  </si>
  <si>
    <t>7293.47万</t>
  </si>
  <si>
    <t>200.95万</t>
  </si>
  <si>
    <t>2222.94万</t>
  </si>
  <si>
    <t>306.57万</t>
  </si>
  <si>
    <t>-84521255亿</t>
  </si>
  <si>
    <t>242588750亿</t>
  </si>
  <si>
    <t>2667.65万</t>
  </si>
  <si>
    <t>1004922410亿</t>
  </si>
  <si>
    <t>6818.89万</t>
  </si>
  <si>
    <t>696.11万</t>
  </si>
  <si>
    <t>5115.26万</t>
  </si>
  <si>
    <t>58.30亿</t>
  </si>
  <si>
    <t>6258.66万</t>
  </si>
  <si>
    <t>-453.92万</t>
  </si>
  <si>
    <t>-4620.28万</t>
  </si>
  <si>
    <t>-12.28亿</t>
  </si>
  <si>
    <t>7.86亿</t>
  </si>
  <si>
    <t>340.27万</t>
  </si>
  <si>
    <t>28.75亿</t>
  </si>
  <si>
    <t>25.30亿</t>
  </si>
  <si>
    <t>19.49亿</t>
  </si>
  <si>
    <t>9046.75万</t>
  </si>
  <si>
    <t>466.91万</t>
  </si>
  <si>
    <t>1987.25万</t>
  </si>
  <si>
    <t>-2612244亿</t>
  </si>
  <si>
    <t>32.17万</t>
  </si>
  <si>
    <t>24648777亿</t>
  </si>
  <si>
    <t>10.62亿</t>
  </si>
  <si>
    <t>347303760亿</t>
  </si>
  <si>
    <t>1350.04万</t>
  </si>
  <si>
    <t>3368717900亿</t>
  </si>
  <si>
    <t>2502.65万</t>
  </si>
  <si>
    <t>20.99亿</t>
  </si>
  <si>
    <t>-4226.11万</t>
  </si>
  <si>
    <t>-3023.30万</t>
  </si>
  <si>
    <t>-1382.02万</t>
  </si>
  <si>
    <t>2453.06万</t>
  </si>
  <si>
    <t>927.23万</t>
  </si>
  <si>
    <t>133.69亿</t>
  </si>
  <si>
    <t>78.97亿</t>
  </si>
  <si>
    <t>54.90亿</t>
  </si>
  <si>
    <t>4.49亿</t>
  </si>
  <si>
    <t>7.17亿</t>
  </si>
  <si>
    <t>4059.67万</t>
  </si>
  <si>
    <t>18568157亿</t>
  </si>
  <si>
    <t>202.37万</t>
  </si>
  <si>
    <t>68804714亿</t>
  </si>
  <si>
    <t>16.50亿</t>
  </si>
  <si>
    <t>289683400亿</t>
  </si>
  <si>
    <t>3751732800亿</t>
  </si>
  <si>
    <t>20.80亿</t>
  </si>
  <si>
    <t>47.68亿</t>
  </si>
  <si>
    <t>13.54亿</t>
  </si>
  <si>
    <t>85.19亿</t>
  </si>
  <si>
    <t>14.49亿</t>
  </si>
  <si>
    <t>-1.38亿</t>
  </si>
  <si>
    <t>-1.11亿</t>
  </si>
  <si>
    <t>10派1.1元(含税)</t>
  </si>
  <si>
    <t>3207.94万</t>
  </si>
  <si>
    <t>785.85万</t>
  </si>
  <si>
    <t>75.63亿</t>
  </si>
  <si>
    <t>57.16亿</t>
  </si>
  <si>
    <t>20.02亿</t>
  </si>
  <si>
    <t>66.88亿</t>
  </si>
  <si>
    <t>18.57亿</t>
  </si>
  <si>
    <t>14.47亿</t>
  </si>
  <si>
    <t>7308180亿</t>
  </si>
  <si>
    <t>413.56万</t>
  </si>
  <si>
    <t>88615263亿</t>
  </si>
  <si>
    <t>18.80亿</t>
  </si>
  <si>
    <t>236218450亿</t>
  </si>
  <si>
    <t>912.95万</t>
  </si>
  <si>
    <t>5633679300亿</t>
  </si>
  <si>
    <t>55.38亿</t>
  </si>
  <si>
    <t>6.94亿</t>
  </si>
  <si>
    <t>-4725.05万</t>
  </si>
  <si>
    <t>-1.68亿</t>
  </si>
  <si>
    <t>1.71亿</t>
  </si>
  <si>
    <t>5070.58万</t>
  </si>
  <si>
    <t>0264000000</t>
  </si>
  <si>
    <t>0792000000</t>
  </si>
  <si>
    <t>01584000000</t>
  </si>
  <si>
    <t>02640000000</t>
  </si>
  <si>
    <t>05280000000</t>
  </si>
  <si>
    <t>510.40万</t>
  </si>
  <si>
    <t>18.87亿</t>
  </si>
  <si>
    <t>36.26亿</t>
  </si>
  <si>
    <t>4.44亿</t>
  </si>
  <si>
    <t>19.97亿</t>
  </si>
  <si>
    <t>3.31亿</t>
  </si>
  <si>
    <t>4245.80万</t>
  </si>
  <si>
    <t>5992.09万</t>
  </si>
  <si>
    <t>25.77万</t>
  </si>
  <si>
    <t>14747053亿</t>
  </si>
  <si>
    <t>8.95亿</t>
  </si>
  <si>
    <t>13116243亿</t>
  </si>
  <si>
    <t>2422992400亿</t>
  </si>
  <si>
    <t>3.88亿</t>
  </si>
  <si>
    <t>827.94万</t>
  </si>
  <si>
    <t>10.79亿</t>
  </si>
  <si>
    <t>-2.19亿</t>
  </si>
  <si>
    <t>-121.51万</t>
  </si>
  <si>
    <t>4434.76万</t>
  </si>
  <si>
    <t>19.85亿</t>
  </si>
  <si>
    <t>3873.93万</t>
  </si>
  <si>
    <t>1.72亿</t>
  </si>
  <si>
    <t>0130000000</t>
  </si>
  <si>
    <t>0390000000</t>
  </si>
  <si>
    <t>0780000000</t>
  </si>
  <si>
    <t>01300000000</t>
  </si>
  <si>
    <t>02600000000</t>
  </si>
  <si>
    <t>1509.94万</t>
  </si>
  <si>
    <t>207.75亿</t>
  </si>
  <si>
    <t>111.65亿</t>
  </si>
  <si>
    <t>71.78亿</t>
  </si>
  <si>
    <t>18.03亿</t>
  </si>
  <si>
    <t>10.47亿</t>
  </si>
  <si>
    <t>5.79亿</t>
  </si>
  <si>
    <t>5088.53万</t>
  </si>
  <si>
    <t>-71705亿</t>
  </si>
  <si>
    <t>220.25万</t>
  </si>
  <si>
    <t>109369939亿</t>
  </si>
  <si>
    <t>37.09亿</t>
  </si>
  <si>
    <t>103633246亿</t>
  </si>
  <si>
    <t>6433900700亿</t>
  </si>
  <si>
    <t>5.39亿</t>
  </si>
  <si>
    <t>635.91万</t>
  </si>
  <si>
    <t>21.10亿</t>
  </si>
  <si>
    <t>1999.80万</t>
  </si>
  <si>
    <t>136.55亿</t>
  </si>
  <si>
    <t>55.32亿</t>
  </si>
  <si>
    <t>-2.08亿</t>
  </si>
  <si>
    <t>2.58亿</t>
  </si>
  <si>
    <t>7271.41万</t>
  </si>
  <si>
    <t>0209000000</t>
  </si>
  <si>
    <t>0627000000</t>
  </si>
  <si>
    <t>01254000000</t>
  </si>
  <si>
    <t>02090000000</t>
  </si>
  <si>
    <t>04180000000</t>
  </si>
  <si>
    <t>SZ000523</t>
  </si>
  <si>
    <t>红棉股份</t>
  </si>
  <si>
    <t>602.85万</t>
  </si>
  <si>
    <t>16.57亿</t>
  </si>
  <si>
    <t>15.91亿</t>
  </si>
  <si>
    <t>5.38亿</t>
  </si>
  <si>
    <t>26.29亿</t>
  </si>
  <si>
    <t>7483.29万</t>
  </si>
  <si>
    <t>4.78亿</t>
  </si>
  <si>
    <t>1813.93万</t>
  </si>
  <si>
    <t>1263.02万</t>
  </si>
  <si>
    <t>692262亿</t>
  </si>
  <si>
    <t>11.97万</t>
  </si>
  <si>
    <t>21079246亿</t>
  </si>
  <si>
    <t>12.65亿</t>
  </si>
  <si>
    <t>209285110亿</t>
  </si>
  <si>
    <t>1416.04万</t>
  </si>
  <si>
    <t>1799189400亿</t>
  </si>
  <si>
    <t>4633.87万</t>
  </si>
  <si>
    <t>6811.56万</t>
  </si>
  <si>
    <t>57.82万</t>
  </si>
  <si>
    <t>5.01亿</t>
  </si>
  <si>
    <t>7360.00万</t>
  </si>
  <si>
    <t>7716.50万</t>
  </si>
  <si>
    <t>-2103.58万</t>
  </si>
  <si>
    <t>2732.22万</t>
  </si>
  <si>
    <t>26.37亿</t>
  </si>
  <si>
    <t>25.86亿</t>
  </si>
  <si>
    <t>33.15亿</t>
  </si>
  <si>
    <t>57.46亿</t>
  </si>
  <si>
    <t>57.40亿</t>
  </si>
  <si>
    <t>-4815.63万</t>
  </si>
  <si>
    <t>14.55亿</t>
  </si>
  <si>
    <t>-47.16亿</t>
  </si>
  <si>
    <t>-1.00亿</t>
  </si>
  <si>
    <t>-1.76亿</t>
  </si>
  <si>
    <t>960.06万</t>
  </si>
  <si>
    <t>3680.39万</t>
  </si>
  <si>
    <t>074832900</t>
  </si>
  <si>
    <t>0224498700</t>
  </si>
  <si>
    <t>0448997400</t>
  </si>
  <si>
    <t>0748329000</t>
  </si>
  <si>
    <t>01496658000</t>
  </si>
  <si>
    <t>供销大集</t>
  </si>
  <si>
    <t>165.36亿</t>
  </si>
  <si>
    <t>128.82亿</t>
  </si>
  <si>
    <t>13.99亿</t>
  </si>
  <si>
    <t>-25.20亿</t>
  </si>
  <si>
    <t>5.26亿</t>
  </si>
  <si>
    <t>2.80亿</t>
  </si>
  <si>
    <t>4039.58万</t>
  </si>
  <si>
    <t>7887.07万</t>
  </si>
  <si>
    <t>-23426亿</t>
  </si>
  <si>
    <t>161.07万</t>
  </si>
  <si>
    <t>-118884814亿</t>
  </si>
  <si>
    <t>11.50亿</t>
  </si>
  <si>
    <t>77527013亿</t>
  </si>
  <si>
    <t>5323299100亿</t>
  </si>
  <si>
    <t>990.90万</t>
  </si>
  <si>
    <t>2802.18万</t>
  </si>
  <si>
    <t>271.82万</t>
  </si>
  <si>
    <t>5.56亿</t>
  </si>
  <si>
    <t>-4527.68万</t>
  </si>
  <si>
    <t>-590.82万</t>
  </si>
  <si>
    <t>-9.31亿</t>
  </si>
  <si>
    <t>78.45亿</t>
  </si>
  <si>
    <t>-2-0</t>
  </si>
  <si>
    <t>6577.42万</t>
  </si>
  <si>
    <t>3899.38万</t>
  </si>
  <si>
    <t>-3716.69万</t>
  </si>
  <si>
    <t>4985.24万</t>
  </si>
  <si>
    <t>2979.88万</t>
  </si>
  <si>
    <t>379.82万</t>
  </si>
  <si>
    <t>669.42万</t>
  </si>
  <si>
    <t>-7727723亿</t>
  </si>
  <si>
    <t>1492703亿</t>
  </si>
  <si>
    <t>251304180亿</t>
  </si>
  <si>
    <t>3.71亿</t>
  </si>
  <si>
    <t>3846.45万</t>
  </si>
  <si>
    <t>4415.91万</t>
  </si>
  <si>
    <t>-318.93万</t>
  </si>
  <si>
    <t>-53.39万</t>
  </si>
  <si>
    <t>-6-0</t>
  </si>
  <si>
    <t>1730.09万</t>
  </si>
  <si>
    <t>18.52亿</t>
  </si>
  <si>
    <t>1.98亿</t>
  </si>
  <si>
    <t>9938.24万</t>
  </si>
  <si>
    <t>1551.56万</t>
  </si>
  <si>
    <t>8015.52万</t>
  </si>
  <si>
    <t>318670亿</t>
  </si>
  <si>
    <t>98.92万</t>
  </si>
  <si>
    <t>11434844亿</t>
  </si>
  <si>
    <t>10.87亿</t>
  </si>
  <si>
    <t>1727662亿</t>
  </si>
  <si>
    <t>1630026800亿</t>
  </si>
  <si>
    <t>1571.56万</t>
  </si>
  <si>
    <t>260.12万</t>
  </si>
  <si>
    <t>6.28亿</t>
  </si>
  <si>
    <t>3124.35万</t>
  </si>
  <si>
    <t>-107.50万</t>
  </si>
  <si>
    <t>6990.34万</t>
  </si>
  <si>
    <t>0134000000</t>
  </si>
  <si>
    <t>0402000000</t>
  </si>
  <si>
    <t>0804000000</t>
  </si>
  <si>
    <t>01340000000</t>
  </si>
  <si>
    <t>02680000000</t>
  </si>
  <si>
    <t>3728.46万</t>
  </si>
  <si>
    <t>90.95亿</t>
  </si>
  <si>
    <t>22.98亿</t>
  </si>
  <si>
    <t>32.60亿</t>
  </si>
  <si>
    <t>116.39亿</t>
  </si>
  <si>
    <t>-3.38亿</t>
  </si>
  <si>
    <t>32.77亿</t>
  </si>
  <si>
    <t>25.45亿</t>
  </si>
  <si>
    <t>5.55亿</t>
  </si>
  <si>
    <t>2104694亿</t>
  </si>
  <si>
    <t>80.56万</t>
  </si>
  <si>
    <t>-15895864亿</t>
  </si>
  <si>
    <t>13.39亿</t>
  </si>
  <si>
    <t>485928340亿</t>
  </si>
  <si>
    <t>347.30万</t>
  </si>
  <si>
    <t>3619605600亿</t>
  </si>
  <si>
    <t>4183.84万</t>
  </si>
  <si>
    <t>19.16亿</t>
  </si>
  <si>
    <t>131.32万</t>
  </si>
  <si>
    <t>68.25亿</t>
  </si>
  <si>
    <t>-5594.73万</t>
  </si>
  <si>
    <t>-3.54亿</t>
  </si>
  <si>
    <t>-5138.99万</t>
  </si>
  <si>
    <t>2374.55万</t>
  </si>
  <si>
    <t>-601.65万</t>
  </si>
  <si>
    <t>4.17亿</t>
  </si>
  <si>
    <t>-340.83万</t>
  </si>
  <si>
    <t>1.97亿</t>
  </si>
  <si>
    <t>6.70亿</t>
  </si>
  <si>
    <t>2301.09万</t>
  </si>
  <si>
    <t>326.79亿</t>
  </si>
  <si>
    <t>213.58亿</t>
  </si>
  <si>
    <t>135.12亿</t>
  </si>
  <si>
    <t>13.00亿</t>
  </si>
  <si>
    <t>26.68亿</t>
  </si>
  <si>
    <t>-8635561亿</t>
  </si>
  <si>
    <t>70.35万</t>
  </si>
  <si>
    <t>373082170亿</t>
  </si>
  <si>
    <t>28.32亿</t>
  </si>
  <si>
    <t>1334425170亿</t>
  </si>
  <si>
    <t>32.36万</t>
  </si>
  <si>
    <t>6523095500亿</t>
  </si>
  <si>
    <t>17.81亿</t>
  </si>
  <si>
    <t>9.84亿</t>
  </si>
  <si>
    <t>100.43亿</t>
  </si>
  <si>
    <t>33.23亿</t>
  </si>
  <si>
    <t>-5.58亿</t>
  </si>
  <si>
    <t>-2.64亿</t>
  </si>
  <si>
    <t>129.83亿</t>
  </si>
  <si>
    <t>10派0.62元(含税)</t>
  </si>
  <si>
    <t>8.23亿</t>
  </si>
  <si>
    <t>1858.55万</t>
  </si>
  <si>
    <t>192.01亿</t>
  </si>
  <si>
    <t>30.79亿</t>
  </si>
  <si>
    <t>261.70亿</t>
  </si>
  <si>
    <t>948.25亿</t>
  </si>
  <si>
    <t>8365.68万</t>
  </si>
  <si>
    <t>261.29亿</t>
  </si>
  <si>
    <t>254.74亿</t>
  </si>
  <si>
    <t>8553.19万</t>
  </si>
  <si>
    <t>-23216亿</t>
  </si>
  <si>
    <t>68.85万</t>
  </si>
  <si>
    <t>7917049亿</t>
  </si>
  <si>
    <t>51.79亿</t>
  </si>
  <si>
    <t>2625079300亿</t>
  </si>
  <si>
    <t>15745254000亿</t>
  </si>
  <si>
    <t>6.77亿</t>
  </si>
  <si>
    <t>100.98亿</t>
  </si>
  <si>
    <t>42.85亿</t>
  </si>
  <si>
    <t>182.77亿</t>
  </si>
  <si>
    <t>12.60亿</t>
  </si>
  <si>
    <t>-8.13亿</t>
  </si>
  <si>
    <t>-1.03亿</t>
  </si>
  <si>
    <t>15.43亿</t>
  </si>
  <si>
    <t>10派0.25元(含税)</t>
  </si>
  <si>
    <t>50.85亿</t>
  </si>
  <si>
    <t>32.89亿</t>
  </si>
  <si>
    <t>9.32亿</t>
  </si>
  <si>
    <t>631.56万</t>
  </si>
  <si>
    <t>4825.95万</t>
  </si>
  <si>
    <t>872549亿</t>
  </si>
  <si>
    <t>-20593408亿</t>
  </si>
  <si>
    <t>9662.31万</t>
  </si>
  <si>
    <t>50326872亿</t>
  </si>
  <si>
    <t>2722015500亿</t>
  </si>
  <si>
    <t>419.77万</t>
  </si>
  <si>
    <t>322.57万</t>
  </si>
  <si>
    <t>23.33亿</t>
  </si>
  <si>
    <t>2481.49万</t>
  </si>
  <si>
    <t>16.15亿</t>
  </si>
  <si>
    <t>43.46亿</t>
  </si>
  <si>
    <t>-7-1</t>
  </si>
  <si>
    <t>47.62亿</t>
  </si>
  <si>
    <t>69.71亿</t>
  </si>
  <si>
    <t>10.99亿</t>
  </si>
  <si>
    <t>2865.09万</t>
  </si>
  <si>
    <t>8396.44万</t>
  </si>
  <si>
    <t>2896.84万</t>
  </si>
  <si>
    <t>10105531亿</t>
  </si>
  <si>
    <t>113.65万</t>
  </si>
  <si>
    <t>8503024亿</t>
  </si>
  <si>
    <t>9.31亿</t>
  </si>
  <si>
    <t>50515103亿</t>
  </si>
  <si>
    <t>2334512800亿</t>
  </si>
  <si>
    <t>5.86亿</t>
  </si>
  <si>
    <t>4591.18万</t>
  </si>
  <si>
    <t>5673.67万</t>
  </si>
  <si>
    <t>20.43亿</t>
  </si>
  <si>
    <t>-1.15亿</t>
  </si>
  <si>
    <t>-2.03亿</t>
  </si>
  <si>
    <t>28.12亿</t>
  </si>
  <si>
    <t>028650900</t>
  </si>
  <si>
    <t>085952700</t>
  </si>
  <si>
    <t>0171905400</t>
  </si>
  <si>
    <t>0286509000</t>
  </si>
  <si>
    <t>0573018000</t>
  </si>
  <si>
    <t>2154.99万</t>
  </si>
  <si>
    <t>3341.09万</t>
  </si>
  <si>
    <t>17.04亿</t>
  </si>
  <si>
    <t>1699.15万</t>
  </si>
  <si>
    <t>7005.90万</t>
  </si>
  <si>
    <t>1544.87万</t>
  </si>
  <si>
    <t>961.57万</t>
  </si>
  <si>
    <t>756.47万</t>
  </si>
  <si>
    <t>59.95万</t>
  </si>
  <si>
    <t>421.23万</t>
  </si>
  <si>
    <t>-3757716亿</t>
  </si>
  <si>
    <t>9.31万</t>
  </si>
  <si>
    <t>5270806亿</t>
  </si>
  <si>
    <t>6275.82万</t>
  </si>
  <si>
    <t>4987275亿</t>
  </si>
  <si>
    <t>547166450亿</t>
  </si>
  <si>
    <t>452.31万</t>
  </si>
  <si>
    <t>256.38万</t>
  </si>
  <si>
    <t>2552.37万</t>
  </si>
  <si>
    <t>968.07万</t>
  </si>
  <si>
    <t>-2310.13万</t>
  </si>
  <si>
    <t>10派0.14元(含税)</t>
  </si>
  <si>
    <t>7.61亿</t>
  </si>
  <si>
    <t>015448700</t>
  </si>
  <si>
    <t>046346100</t>
  </si>
  <si>
    <t>092692200</t>
  </si>
  <si>
    <t>0154487000</t>
  </si>
  <si>
    <t>0308974000</t>
  </si>
  <si>
    <t>373.22万</t>
  </si>
  <si>
    <t>57.94亿</t>
  </si>
  <si>
    <t>40.66亿</t>
  </si>
  <si>
    <t>14.88亿</t>
  </si>
  <si>
    <t>53.44亿</t>
  </si>
  <si>
    <t>3616.52万</t>
  </si>
  <si>
    <t>14.54亿</t>
  </si>
  <si>
    <t>11.53亿</t>
  </si>
  <si>
    <t>3143.99万</t>
  </si>
  <si>
    <t>433798亿</t>
  </si>
  <si>
    <t>26.51万</t>
  </si>
  <si>
    <t>24183316亿</t>
  </si>
  <si>
    <t>29.11亿</t>
  </si>
  <si>
    <t>49372501亿</t>
  </si>
  <si>
    <t>3539844500亿</t>
  </si>
  <si>
    <t>43.61万</t>
  </si>
  <si>
    <t>9.03亿</t>
  </si>
  <si>
    <t>6700.00万</t>
  </si>
  <si>
    <t>457.52万</t>
  </si>
  <si>
    <t>28.46亿</t>
  </si>
  <si>
    <t>3167.34万</t>
  </si>
  <si>
    <t>-648.55万</t>
  </si>
  <si>
    <t>-1.65亿</t>
  </si>
  <si>
    <t>2699.56万</t>
  </si>
  <si>
    <t>*ST步高</t>
  </si>
  <si>
    <t>442.05万</t>
  </si>
  <si>
    <t>209.46亿</t>
  </si>
  <si>
    <t>32.18亿</t>
  </si>
  <si>
    <t>9.28亿</t>
  </si>
  <si>
    <t>30.87亿</t>
  </si>
  <si>
    <t>-18.89亿</t>
  </si>
  <si>
    <t>5.34亿</t>
  </si>
  <si>
    <t>3608.40万</t>
  </si>
  <si>
    <t>2577824亿</t>
  </si>
  <si>
    <t>575.06万</t>
  </si>
  <si>
    <t>8498827亿</t>
  </si>
  <si>
    <t>129452034亿</t>
  </si>
  <si>
    <t>1973750200亿</t>
  </si>
  <si>
    <t>13.23亿</t>
  </si>
  <si>
    <t>60.99亿</t>
  </si>
  <si>
    <t>408.46万</t>
  </si>
  <si>
    <t>24.39亿</t>
  </si>
  <si>
    <t>145.61亿</t>
  </si>
  <si>
    <t>37.41亿</t>
  </si>
  <si>
    <t>-3265.58万</t>
  </si>
  <si>
    <t>-1.09亿</t>
  </si>
  <si>
    <t>86.86亿</t>
  </si>
  <si>
    <t>-25.35亿</t>
  </si>
  <si>
    <t>3318.79万</t>
  </si>
  <si>
    <t>3.18亿</t>
  </si>
  <si>
    <t>2092.18万</t>
  </si>
  <si>
    <t>80.16亿</t>
  </si>
  <si>
    <t>69.42亿</t>
  </si>
  <si>
    <t>4861.62万</t>
  </si>
  <si>
    <t>5825.69万</t>
  </si>
  <si>
    <t>115228408亿</t>
  </si>
  <si>
    <t>54394471亿</t>
  </si>
  <si>
    <t>36834987亿</t>
  </si>
  <si>
    <t>3401183200亿</t>
  </si>
  <si>
    <t>51.69万</t>
  </si>
  <si>
    <t>24.93亿</t>
  </si>
  <si>
    <t>7.88亿</t>
  </si>
  <si>
    <t>2614.70万</t>
  </si>
  <si>
    <t>48.52亿</t>
  </si>
  <si>
    <t>9271.07万</t>
  </si>
  <si>
    <t>-6823.66万</t>
  </si>
  <si>
    <t>-1.33亿</t>
  </si>
  <si>
    <t>10派0.11元(含税)</t>
  </si>
  <si>
    <t>6.67亿</t>
  </si>
  <si>
    <t>048616200</t>
  </si>
  <si>
    <t>0145848600</t>
  </si>
  <si>
    <t>0291697200</t>
  </si>
  <si>
    <t>0486162000</t>
  </si>
  <si>
    <t>0972324000</t>
  </si>
  <si>
    <t>*ST人乐</t>
  </si>
  <si>
    <t>609.19万</t>
  </si>
  <si>
    <t>42.93亿</t>
  </si>
  <si>
    <t>-5.18亿</t>
  </si>
  <si>
    <t>-4.98亿</t>
  </si>
  <si>
    <t>7.15亿</t>
  </si>
  <si>
    <t>5794.49万</t>
  </si>
  <si>
    <t>1667740亿</t>
  </si>
  <si>
    <t>105.68万</t>
  </si>
  <si>
    <t>-128204777亿</t>
  </si>
  <si>
    <t>5030098亿</t>
  </si>
  <si>
    <t>991217730亿</t>
  </si>
  <si>
    <t>2678.92万</t>
  </si>
  <si>
    <t>1.69亿</t>
  </si>
  <si>
    <t>3691.03万</t>
  </si>
  <si>
    <t>9.59亿</t>
  </si>
  <si>
    <t>-2.10亿</t>
  </si>
  <si>
    <t>-1.44亿</t>
  </si>
  <si>
    <t>3616.51万</t>
  </si>
  <si>
    <t>-3-1</t>
  </si>
  <si>
    <t>521.57万</t>
  </si>
  <si>
    <t>43.58亿</t>
  </si>
  <si>
    <t>86.77亿</t>
  </si>
  <si>
    <t>2093.75万</t>
  </si>
  <si>
    <t>2201.89万</t>
  </si>
  <si>
    <t>28825271亿</t>
  </si>
  <si>
    <t>122.55万</t>
  </si>
  <si>
    <t>58278056亿</t>
  </si>
  <si>
    <t>15.07亿</t>
  </si>
  <si>
    <t>68805409亿</t>
  </si>
  <si>
    <t>3337891800亿</t>
  </si>
  <si>
    <t>193.24万</t>
  </si>
  <si>
    <t>38.37亿</t>
  </si>
  <si>
    <t>2451.82万</t>
  </si>
  <si>
    <t>-8869.77万</t>
  </si>
  <si>
    <t>10派0.43元(含税)</t>
  </si>
  <si>
    <t>3605.45万</t>
  </si>
  <si>
    <t>账面净赚</t>
  </si>
  <si>
    <t>0177000000</t>
  </si>
  <si>
    <t>0531000000</t>
  </si>
  <si>
    <t>01062000000</t>
  </si>
  <si>
    <t>01770000000</t>
  </si>
  <si>
    <t>03540000000</t>
  </si>
  <si>
    <t>458.56万</t>
  </si>
  <si>
    <t>5.97亿</t>
  </si>
  <si>
    <t>3674.20万</t>
  </si>
  <si>
    <t>-4720.35万</t>
  </si>
  <si>
    <t>4359.70万</t>
  </si>
  <si>
    <t>2132.46万</t>
  </si>
  <si>
    <t>1094.26万</t>
  </si>
  <si>
    <t>1281.64万</t>
  </si>
  <si>
    <t>424800亿</t>
  </si>
  <si>
    <t>-5604087亿</t>
  </si>
  <si>
    <t>5.36亿</t>
  </si>
  <si>
    <t>18694377亿</t>
  </si>
  <si>
    <t>685256640亿</t>
  </si>
  <si>
    <t>802.95万</t>
  </si>
  <si>
    <t>12.34万</t>
  </si>
  <si>
    <t>362.88万</t>
  </si>
  <si>
    <t>-2502.16万</t>
  </si>
  <si>
    <t>1215.61万</t>
  </si>
  <si>
    <t>4081.39万</t>
  </si>
  <si>
    <t>697.78万</t>
  </si>
  <si>
    <t>65.80亿</t>
  </si>
  <si>
    <t>216.29亿</t>
  </si>
  <si>
    <t>920.43亿</t>
  </si>
  <si>
    <t>213.04亿</t>
  </si>
  <si>
    <t>208.55亿</t>
  </si>
  <si>
    <t>7454.67万</t>
  </si>
  <si>
    <t>1447053亿</t>
  </si>
  <si>
    <t>258.87万</t>
  </si>
  <si>
    <t>154256460亿</t>
  </si>
  <si>
    <t>41.32亿</t>
  </si>
  <si>
    <t>2260089200亿</t>
  </si>
  <si>
    <t>132.80万</t>
  </si>
  <si>
    <t>13222556400亿</t>
  </si>
  <si>
    <t>53.64亿</t>
  </si>
  <si>
    <t>3706.20万</t>
  </si>
  <si>
    <t>13.87亿</t>
  </si>
  <si>
    <t>85.03亿</t>
  </si>
  <si>
    <t>-11.13亿</t>
  </si>
  <si>
    <t>-199.25万</t>
  </si>
  <si>
    <t>8.52亿</t>
  </si>
  <si>
    <t>913.01亿</t>
  </si>
  <si>
    <t>3782.74万</t>
  </si>
  <si>
    <t>2.78亿</t>
  </si>
  <si>
    <t>430.92万</t>
  </si>
  <si>
    <t>242.79亿</t>
  </si>
  <si>
    <t>43.68亿</t>
  </si>
  <si>
    <t>33.40亿</t>
  </si>
  <si>
    <t>120.86亿</t>
  </si>
  <si>
    <t>21.06亿</t>
  </si>
  <si>
    <t>958.47万</t>
  </si>
  <si>
    <t>126539796亿</t>
  </si>
  <si>
    <t>49.71亿</t>
  </si>
  <si>
    <t>246343210亿</t>
  </si>
  <si>
    <t>8964950600亿</t>
  </si>
  <si>
    <t>22.28亿</t>
  </si>
  <si>
    <t>112.87亿</t>
  </si>
  <si>
    <t>4.15亿</t>
  </si>
  <si>
    <t>-2.40亿</t>
  </si>
  <si>
    <t>10派1.6元(含税)</t>
  </si>
  <si>
    <t>4723.00万</t>
  </si>
  <si>
    <t>0227000000</t>
  </si>
  <si>
    <t>0681000000</t>
  </si>
  <si>
    <t>01362000000</t>
  </si>
  <si>
    <t>02270000000</t>
  </si>
  <si>
    <t>04540000000</t>
  </si>
  <si>
    <t>1549.99万</t>
  </si>
  <si>
    <t>23.15亿</t>
  </si>
  <si>
    <t>1.35亿</t>
  </si>
  <si>
    <t>7522.74万</t>
  </si>
  <si>
    <t>5519.41万</t>
  </si>
  <si>
    <t>2082.94万</t>
  </si>
  <si>
    <t>3738.36万</t>
  </si>
  <si>
    <t>1078389亿</t>
  </si>
  <si>
    <t>20.60万</t>
  </si>
  <si>
    <t>7477603亿</t>
  </si>
  <si>
    <t>14403104亿</t>
  </si>
  <si>
    <t>1853280400亿</t>
  </si>
  <si>
    <t>1122.19万</t>
  </si>
  <si>
    <t>2220.16万</t>
  </si>
  <si>
    <t>447.78万</t>
  </si>
  <si>
    <t>-4.26亿</t>
  </si>
  <si>
    <t>-856.95万</t>
  </si>
  <si>
    <t>6774.42万</t>
  </si>
  <si>
    <t>075227400</t>
  </si>
  <si>
    <t>0225682200</t>
  </si>
  <si>
    <t>0451364400</t>
  </si>
  <si>
    <t>0752274000</t>
  </si>
  <si>
    <t>01504548000</t>
  </si>
  <si>
    <t>1184.67万</t>
  </si>
  <si>
    <t>39.99亿</t>
  </si>
  <si>
    <t>42.75亿</t>
  </si>
  <si>
    <t>26.71亿</t>
  </si>
  <si>
    <t>101.33亿</t>
  </si>
  <si>
    <t>25.38亿</t>
  </si>
  <si>
    <t>18.75亿</t>
  </si>
  <si>
    <t>5.92亿</t>
  </si>
  <si>
    <t>3304.00万</t>
  </si>
  <si>
    <t>40829089亿</t>
  </si>
  <si>
    <t>55.58万</t>
  </si>
  <si>
    <t>151440120亿</t>
  </si>
  <si>
    <t>16.04亿</t>
  </si>
  <si>
    <t>34534113亿</t>
  </si>
  <si>
    <t>4468292400亿</t>
  </si>
  <si>
    <t>13.70亿</t>
  </si>
  <si>
    <t>32.11亿</t>
  </si>
  <si>
    <t>3785.93万</t>
  </si>
  <si>
    <t>-1524.20万</t>
  </si>
  <si>
    <t>-1.55亿</t>
  </si>
  <si>
    <t>10派1.24元(含税)</t>
  </si>
  <si>
    <t>7661.67万</t>
  </si>
  <si>
    <t>171.05万</t>
  </si>
  <si>
    <t>15.24亿</t>
  </si>
  <si>
    <t>8.06亿</t>
  </si>
  <si>
    <t>118.07万</t>
  </si>
  <si>
    <t>1640.32万</t>
  </si>
  <si>
    <t>24135882亿</t>
  </si>
  <si>
    <t>14.84万</t>
  </si>
  <si>
    <t>196391510亿</t>
  </si>
  <si>
    <t>56215779亿</t>
  </si>
  <si>
    <t>161.50万</t>
  </si>
  <si>
    <t>2815157500亿</t>
  </si>
  <si>
    <t>1000.00万</t>
  </si>
  <si>
    <t>950.00万</t>
  </si>
  <si>
    <t>11.10亿</t>
  </si>
  <si>
    <t>-2.85亿</t>
  </si>
  <si>
    <t>-8.27万</t>
  </si>
  <si>
    <t>10派6.80元(含税)</t>
  </si>
  <si>
    <t>1222.20万</t>
  </si>
  <si>
    <t>6162.00万</t>
  </si>
  <si>
    <t>597.74万</t>
  </si>
  <si>
    <t>26.50亿</t>
  </si>
  <si>
    <t>1680.42万</t>
  </si>
  <si>
    <t>5.52亿</t>
  </si>
  <si>
    <t>4039.36万</t>
  </si>
  <si>
    <t>2265.38万</t>
  </si>
  <si>
    <t>185648亿</t>
  </si>
  <si>
    <t>13.50万</t>
  </si>
  <si>
    <t>2245408亿</t>
  </si>
  <si>
    <t>4.21亿</t>
  </si>
  <si>
    <t>387424300亿</t>
  </si>
  <si>
    <t>1953800200亿</t>
  </si>
  <si>
    <t>2.82亿</t>
  </si>
  <si>
    <t>3.43亿</t>
  </si>
  <si>
    <t>12.99亿</t>
  </si>
  <si>
    <t>815.54万</t>
  </si>
  <si>
    <t>-1214.83万</t>
  </si>
  <si>
    <t>1535.43万</t>
  </si>
  <si>
    <t>4507.43万</t>
  </si>
  <si>
    <t>016804200</t>
  </si>
  <si>
    <t>050412600</t>
  </si>
  <si>
    <t>0100825200</t>
  </si>
  <si>
    <t>0168042000</t>
  </si>
  <si>
    <t>0336084000</t>
  </si>
  <si>
    <t>103.14万</t>
  </si>
  <si>
    <t>8.41亿</t>
  </si>
  <si>
    <t>2.96亿</t>
  </si>
  <si>
    <t>11.76亿</t>
  </si>
  <si>
    <t>2132.45万</t>
  </si>
  <si>
    <t>2380174亿</t>
  </si>
  <si>
    <t>7.18万</t>
  </si>
  <si>
    <t>22938566亿</t>
  </si>
  <si>
    <t>91107083亿</t>
  </si>
  <si>
    <t>657419240亿</t>
  </si>
  <si>
    <t>52.03万</t>
  </si>
  <si>
    <t>192.56万</t>
  </si>
  <si>
    <t>9390.09万</t>
  </si>
  <si>
    <t>5921.94万</t>
  </si>
  <si>
    <t>-4700.60万</t>
  </si>
  <si>
    <t>-3238.36万</t>
  </si>
  <si>
    <t>7580.99万</t>
  </si>
  <si>
    <t>10派6元(含税)</t>
  </si>
  <si>
    <t>609.88万</t>
  </si>
  <si>
    <t>3728.36万</t>
  </si>
  <si>
    <t>-4-0</t>
  </si>
  <si>
    <t>271.95万</t>
  </si>
  <si>
    <t>33.49亿</t>
  </si>
  <si>
    <t>38.82亿</t>
  </si>
  <si>
    <t>101.21亿</t>
  </si>
  <si>
    <t>39.66亿</t>
  </si>
  <si>
    <t>37.00亿</t>
  </si>
  <si>
    <t>1.93亿</t>
  </si>
  <si>
    <t>4536.65万</t>
  </si>
  <si>
    <t>5540980亿</t>
  </si>
  <si>
    <t>371.45万</t>
  </si>
  <si>
    <t>127733317亿</t>
  </si>
  <si>
    <t>17.73亿</t>
  </si>
  <si>
    <t>250357760亿</t>
  </si>
  <si>
    <t>30.00万</t>
  </si>
  <si>
    <t>6842252900亿</t>
  </si>
  <si>
    <t>12.15亿</t>
  </si>
  <si>
    <t>15.53亿</t>
  </si>
  <si>
    <t>6884.51万</t>
  </si>
  <si>
    <t>34.66亿</t>
  </si>
  <si>
    <t>4.26亿</t>
  </si>
  <si>
    <t>287.60万</t>
  </si>
  <si>
    <t>-2.48亿</t>
  </si>
  <si>
    <t>10派1.16元(含税)</t>
  </si>
  <si>
    <t>1748.88万</t>
  </si>
  <si>
    <t>6334.48万</t>
  </si>
  <si>
    <t>-6-1</t>
  </si>
  <si>
    <t>1332.34万</t>
  </si>
  <si>
    <t>49.31亿</t>
  </si>
  <si>
    <t>13.75亿</t>
  </si>
  <si>
    <t>3.13亿</t>
  </si>
  <si>
    <t>3417.21万</t>
  </si>
  <si>
    <t>1015.15万</t>
  </si>
  <si>
    <t>4644.04万</t>
  </si>
  <si>
    <t>1013393亿</t>
  </si>
  <si>
    <t>12.53万</t>
  </si>
  <si>
    <t>7253766亿</t>
  </si>
  <si>
    <t>45483718亿</t>
  </si>
  <si>
    <t>1298761130亿</t>
  </si>
  <si>
    <t>4693.46万</t>
  </si>
  <si>
    <t>4137.64万</t>
  </si>
  <si>
    <t>448.36万</t>
  </si>
  <si>
    <t>2700.63万</t>
  </si>
  <si>
    <t>-1.54亿</t>
  </si>
  <si>
    <t>11.69亿</t>
  </si>
  <si>
    <t>6942.25万</t>
  </si>
  <si>
    <t>3323.85万</t>
  </si>
  <si>
    <t>671.32万</t>
  </si>
  <si>
    <t>034172100</t>
  </si>
  <si>
    <t>0102516300</t>
  </si>
  <si>
    <t>0205032600</t>
  </si>
  <si>
    <t>0341721000</t>
  </si>
  <si>
    <t>0683442000</t>
  </si>
  <si>
    <t>SZ300972</t>
  </si>
  <si>
    <t>万辰集团</t>
  </si>
  <si>
    <t>238.47万</t>
  </si>
  <si>
    <t>32.30亿</t>
  </si>
  <si>
    <t>48.30亿</t>
  </si>
  <si>
    <t>34.99亿</t>
  </si>
  <si>
    <t>7302.70万</t>
  </si>
  <si>
    <t>47.22亿</t>
  </si>
  <si>
    <t>93.70万</t>
  </si>
  <si>
    <t>1980840亿</t>
  </si>
  <si>
    <t>17.05亿</t>
  </si>
  <si>
    <t>21425182亿</t>
  </si>
  <si>
    <t>2882047900亿</t>
  </si>
  <si>
    <t>96.02万</t>
  </si>
  <si>
    <t>6.42亿</t>
  </si>
  <si>
    <t>9.34亿</t>
  </si>
  <si>
    <t>28.33亿</t>
  </si>
  <si>
    <t>-4664.20万</t>
  </si>
  <si>
    <t>4.35亿</t>
  </si>
  <si>
    <t>4.50亿</t>
  </si>
  <si>
    <t>4.51亿</t>
  </si>
  <si>
    <t>4773.65万</t>
  </si>
  <si>
    <t>2344.96万</t>
  </si>
  <si>
    <t>9613.03万</t>
  </si>
  <si>
    <t>9218.76万</t>
  </si>
  <si>
    <t>3473.82万</t>
  </si>
  <si>
    <t>92.94亿</t>
  </si>
  <si>
    <t>7.94亿</t>
  </si>
  <si>
    <t>-8292.65万</t>
  </si>
  <si>
    <t>4986.50万</t>
  </si>
  <si>
    <t>1098.65万</t>
  </si>
  <si>
    <t>4362.81万</t>
  </si>
  <si>
    <t>-5-0</t>
  </si>
  <si>
    <t>2411.51万</t>
  </si>
  <si>
    <t>63.11亿</t>
  </si>
  <si>
    <t>33.18亿</t>
  </si>
  <si>
    <t>21.94亿</t>
  </si>
  <si>
    <t>657.84万</t>
  </si>
  <si>
    <t>21.78亿</t>
  </si>
  <si>
    <t>4101178亿</t>
  </si>
  <si>
    <t>282.90万</t>
  </si>
  <si>
    <t>2867883亿</t>
  </si>
  <si>
    <t>24.83亿</t>
  </si>
  <si>
    <t>102041585亿</t>
  </si>
  <si>
    <t>5311138600亿</t>
  </si>
  <si>
    <t>10.72亿</t>
  </si>
  <si>
    <t>204.86万</t>
  </si>
  <si>
    <t>27.88亿</t>
  </si>
  <si>
    <t>9.83亿</t>
  </si>
  <si>
    <t>-2.02亿</t>
  </si>
  <si>
    <t>-9325.69万</t>
  </si>
  <si>
    <t>87.53亿</t>
  </si>
  <si>
    <t>7234.13万</t>
  </si>
  <si>
    <t>856.29万</t>
  </si>
  <si>
    <t>1.48亿</t>
  </si>
  <si>
    <t>3.89亿</t>
  </si>
  <si>
    <t>06578400</t>
  </si>
  <si>
    <t>019735200</t>
  </si>
  <si>
    <t>039470400</t>
  </si>
  <si>
    <t>065784000</t>
  </si>
  <si>
    <t>0131568000</t>
  </si>
  <si>
    <t>280.69万</t>
  </si>
  <si>
    <t>12.52亿</t>
  </si>
  <si>
    <t>38.61亿</t>
  </si>
  <si>
    <t>-1770744亿</t>
  </si>
  <si>
    <t>6.74万</t>
  </si>
  <si>
    <t>19143885亿</t>
  </si>
  <si>
    <t>8.38亿</t>
  </si>
  <si>
    <t>33576627亿</t>
  </si>
  <si>
    <t>1588099200亿</t>
  </si>
  <si>
    <t>4477.88万</t>
  </si>
  <si>
    <t>3.08亿</t>
  </si>
  <si>
    <t>2007.42万</t>
  </si>
  <si>
    <t>-9087.20万</t>
  </si>
  <si>
    <t>1601.83万</t>
  </si>
  <si>
    <t>164.26万</t>
  </si>
  <si>
    <t>8.86亿</t>
  </si>
  <si>
    <t>8.02亿</t>
  </si>
  <si>
    <t>1928.94万</t>
  </si>
  <si>
    <t>10派1.8元(含税)</t>
  </si>
  <si>
    <t>1532.41万</t>
  </si>
  <si>
    <t>8287.61万</t>
  </si>
  <si>
    <t>842.99万</t>
  </si>
  <si>
    <t>99.75亿</t>
  </si>
  <si>
    <t>22.61亿</t>
  </si>
  <si>
    <t>4.33亿</t>
  </si>
  <si>
    <t>6.54亿</t>
  </si>
  <si>
    <t>6062.46万</t>
  </si>
  <si>
    <t>-1738838亿</t>
  </si>
  <si>
    <t>499.17万</t>
  </si>
  <si>
    <t>-15464200亿</t>
  </si>
  <si>
    <t>8.36亿</t>
  </si>
  <si>
    <t>169570560亿</t>
  </si>
  <si>
    <t>3612930600亿</t>
  </si>
  <si>
    <t>7380.63万</t>
  </si>
  <si>
    <t>-5.98亿</t>
  </si>
  <si>
    <t>1624.95万</t>
  </si>
  <si>
    <t>-8.38亿</t>
  </si>
  <si>
    <t>19.51亿</t>
  </si>
  <si>
    <t>-7583.28万</t>
  </si>
  <si>
    <t>1252.92万</t>
  </si>
  <si>
    <t>9945.90万</t>
  </si>
  <si>
    <t>开始亏损</t>
  </si>
  <si>
    <t>0181873800</t>
  </si>
  <si>
    <t>0363747600</t>
  </si>
  <si>
    <t>0606246000</t>
  </si>
  <si>
    <t>01212492000</t>
  </si>
  <si>
    <t>5978.78万</t>
  </si>
  <si>
    <t>106.70亿</t>
  </si>
  <si>
    <t>8.67亿</t>
  </si>
  <si>
    <t>6.33亿</t>
  </si>
  <si>
    <t>2.71亿</t>
  </si>
  <si>
    <t>-2.00亿</t>
  </si>
  <si>
    <t>6629.36万</t>
  </si>
  <si>
    <t>229870亿</t>
  </si>
  <si>
    <t>122.57万</t>
  </si>
  <si>
    <t>6809191亿</t>
  </si>
  <si>
    <t>58881984亿</t>
  </si>
  <si>
    <t>6403775000亿</t>
  </si>
  <si>
    <t>623.62万</t>
  </si>
  <si>
    <t>45.62亿</t>
  </si>
  <si>
    <t>15.88亿</t>
  </si>
  <si>
    <t>7103.25万</t>
  </si>
  <si>
    <t>92.86亿</t>
  </si>
  <si>
    <t>7605.91万</t>
  </si>
  <si>
    <t>814.16万</t>
  </si>
  <si>
    <t>-6431.62万</t>
  </si>
  <si>
    <t>-2406.51万</t>
  </si>
  <si>
    <t>24.50亿</t>
  </si>
  <si>
    <t>8706.91万</t>
  </si>
  <si>
    <t>-1.53亿</t>
  </si>
  <si>
    <t>-2863.24万</t>
  </si>
  <si>
    <t>1823.53万</t>
  </si>
  <si>
    <t>185.15亿</t>
  </si>
  <si>
    <t>184.52亿</t>
  </si>
  <si>
    <t>26.81亿</t>
  </si>
  <si>
    <t>45.63亿</t>
  </si>
  <si>
    <t>18.31亿</t>
  </si>
  <si>
    <t>16.34亿</t>
  </si>
  <si>
    <t>3563.62万</t>
  </si>
  <si>
    <t>42259781亿</t>
  </si>
  <si>
    <t>1474.16万</t>
  </si>
  <si>
    <t>690587610亿</t>
  </si>
  <si>
    <t>12.66亿</t>
  </si>
  <si>
    <t>545508870亿</t>
  </si>
  <si>
    <t>6122582200亿</t>
  </si>
  <si>
    <t>142.98亿</t>
  </si>
  <si>
    <t>-11.70亿</t>
  </si>
  <si>
    <t>-6.71亿</t>
  </si>
  <si>
    <t>113.00亿</t>
  </si>
  <si>
    <t>11.51亿</t>
  </si>
  <si>
    <t>26.76亿</t>
  </si>
  <si>
    <t>11.17亿</t>
  </si>
  <si>
    <t>164.08万</t>
  </si>
  <si>
    <t>13.06亿</t>
  </si>
  <si>
    <t>3272.93万</t>
  </si>
  <si>
    <t>3602.45亿</t>
  </si>
  <si>
    <t>-95.56亿</t>
  </si>
  <si>
    <t>2013.76万</t>
  </si>
  <si>
    <t>1765.54万</t>
  </si>
  <si>
    <t>152.90万</t>
  </si>
  <si>
    <t>538.83万</t>
  </si>
  <si>
    <t>775391亿</t>
  </si>
  <si>
    <t>7.40万</t>
  </si>
  <si>
    <t>9492872亿</t>
  </si>
  <si>
    <t>10.65亿</t>
  </si>
  <si>
    <t>22104166亿</t>
  </si>
  <si>
    <t>1394515800亿</t>
  </si>
  <si>
    <t>1938.79万</t>
  </si>
  <si>
    <t>658.80万</t>
  </si>
  <si>
    <t>332.20万</t>
  </si>
  <si>
    <t>-2.99亿</t>
  </si>
  <si>
    <t>-41.12万</t>
  </si>
  <si>
    <t>788.06亿</t>
  </si>
  <si>
    <t>5645.40万</t>
  </si>
  <si>
    <t>19.91亿</t>
  </si>
  <si>
    <t>10派6.0元(含税)</t>
  </si>
  <si>
    <t>1090.70万</t>
  </si>
  <si>
    <t>8107.84万</t>
  </si>
  <si>
    <t>196.89万</t>
  </si>
  <si>
    <t>15.05亿</t>
  </si>
  <si>
    <t>90.59亿</t>
  </si>
  <si>
    <t>4.25亿</t>
  </si>
  <si>
    <t>2871.61万</t>
  </si>
  <si>
    <t>4688.40万</t>
  </si>
  <si>
    <t>5192138亿</t>
  </si>
  <si>
    <t>124.87万</t>
  </si>
  <si>
    <t>19377867亿</t>
  </si>
  <si>
    <t>133091329亿</t>
  </si>
  <si>
    <t>2310984500亿</t>
  </si>
  <si>
    <t>3093.06万</t>
  </si>
  <si>
    <t>314.90万</t>
  </si>
  <si>
    <t>14.12亿</t>
  </si>
  <si>
    <t>4032.89万</t>
  </si>
  <si>
    <t>212.66万</t>
  </si>
  <si>
    <t>11.34亿</t>
  </si>
  <si>
    <t>3165.73万</t>
  </si>
  <si>
    <t>8810.60万</t>
  </si>
  <si>
    <t>1774.93万</t>
  </si>
  <si>
    <t>7846.44万</t>
  </si>
  <si>
    <t>709.09万</t>
  </si>
  <si>
    <t>843.85亿</t>
  </si>
  <si>
    <t>398.14亿</t>
  </si>
  <si>
    <t>172.21亿</t>
  </si>
  <si>
    <t>114.20亿</t>
  </si>
  <si>
    <t>171.39亿</t>
  </si>
  <si>
    <t>148.56亿</t>
  </si>
  <si>
    <t>7.93亿</t>
  </si>
  <si>
    <t>191061940亿</t>
  </si>
  <si>
    <t>621.75万</t>
  </si>
  <si>
    <t>80571609亿</t>
  </si>
  <si>
    <t>108.45亿</t>
  </si>
  <si>
    <t>2302422900亿</t>
  </si>
  <si>
    <t>464.24万</t>
  </si>
  <si>
    <t>75809403000亿</t>
  </si>
  <si>
    <t>108.48亿</t>
  </si>
  <si>
    <t>21.11亿</t>
  </si>
  <si>
    <t>88.95亿</t>
  </si>
  <si>
    <t>8086.42万</t>
  </si>
  <si>
    <t>612.33亿</t>
  </si>
  <si>
    <t>184.25亿</t>
  </si>
  <si>
    <t>5.96亿</t>
  </si>
  <si>
    <t>-2.91亿</t>
  </si>
  <si>
    <t>502.00亿</t>
  </si>
  <si>
    <t>36.80亿</t>
  </si>
  <si>
    <t>581.47亿</t>
  </si>
  <si>
    <t>12.88亿</t>
  </si>
  <si>
    <t>20.24亿</t>
  </si>
  <si>
    <t>2245.26万</t>
  </si>
  <si>
    <t>10派1.9元(含税)</t>
  </si>
  <si>
    <t>5840.31万</t>
  </si>
  <si>
    <t>0505000000</t>
  </si>
  <si>
    <t>01515000000</t>
  </si>
  <si>
    <t>03030000000</t>
  </si>
  <si>
    <t>05050000000</t>
  </si>
  <si>
    <t>010100000000</t>
  </si>
  <si>
    <t>2158.67万</t>
  </si>
  <si>
    <t>102.87亿</t>
  </si>
  <si>
    <t>43.16亿</t>
  </si>
  <si>
    <t>4.89亿</t>
  </si>
  <si>
    <t>73.31亿</t>
  </si>
  <si>
    <t>6433.88万</t>
  </si>
  <si>
    <t>2805.83万</t>
  </si>
  <si>
    <t>1834669亿</t>
  </si>
  <si>
    <t>149.12万</t>
  </si>
  <si>
    <t>36351771亿</t>
  </si>
  <si>
    <t>42746975亿</t>
  </si>
  <si>
    <t>3246390900亿</t>
  </si>
  <si>
    <t>175.12万</t>
  </si>
  <si>
    <t>16.28亿</t>
  </si>
  <si>
    <t>3209.91万</t>
  </si>
  <si>
    <t>55.69亿</t>
  </si>
  <si>
    <t>29.51亿</t>
  </si>
  <si>
    <t>-1.72亿</t>
  </si>
  <si>
    <t>-7932.86万</t>
  </si>
  <si>
    <t>18.86亿</t>
  </si>
  <si>
    <t>3504.54万</t>
  </si>
  <si>
    <t>8771.59万</t>
  </si>
  <si>
    <t>202.59万</t>
  </si>
  <si>
    <t>93.75亿</t>
  </si>
  <si>
    <t>89.53亿</t>
  </si>
  <si>
    <t>20.93亿</t>
  </si>
  <si>
    <t>16.29亿</t>
  </si>
  <si>
    <t>8707.04万</t>
  </si>
  <si>
    <t>17.42亿</t>
  </si>
  <si>
    <t>1008466亿</t>
  </si>
  <si>
    <t>1993.78万</t>
  </si>
  <si>
    <t>231330800亿</t>
  </si>
  <si>
    <t>261864970亿</t>
  </si>
  <si>
    <t>10554330900亿</t>
  </si>
  <si>
    <t>876.26万</t>
  </si>
  <si>
    <t>62.06亿</t>
  </si>
  <si>
    <t>7.64亿</t>
  </si>
  <si>
    <t>3103.46万</t>
  </si>
  <si>
    <t>10送1股派10元(含税)</t>
  </si>
  <si>
    <t>1575.27万</t>
  </si>
  <si>
    <t>8268.47万</t>
  </si>
  <si>
    <t>087070400</t>
  </si>
  <si>
    <t>0261211200</t>
  </si>
  <si>
    <t>0522422400</t>
  </si>
  <si>
    <t>0870704000</t>
  </si>
  <si>
    <t>01741408000</t>
  </si>
  <si>
    <t>178.09万</t>
  </si>
  <si>
    <t>163.49亿</t>
  </si>
  <si>
    <t>43.26亿</t>
  </si>
  <si>
    <t>19.44亿</t>
  </si>
  <si>
    <t>285.20万</t>
  </si>
  <si>
    <t>18.88亿</t>
  </si>
  <si>
    <t>-992754亿</t>
  </si>
  <si>
    <t>108.50万</t>
  </si>
  <si>
    <t>4588823亿</t>
  </si>
  <si>
    <t>8.30亿</t>
  </si>
  <si>
    <t>13912547亿</t>
  </si>
  <si>
    <t>3980574200亿</t>
  </si>
  <si>
    <t>59.58亿</t>
  </si>
  <si>
    <t>14.11亿</t>
  </si>
  <si>
    <t>1.59亿</t>
  </si>
  <si>
    <t>147.38亿</t>
  </si>
  <si>
    <t>8.14亿</t>
  </si>
  <si>
    <t>-1.58亿</t>
  </si>
  <si>
    <t>-9388.91万</t>
  </si>
  <si>
    <t>1353.46万</t>
  </si>
  <si>
    <t>70.06亿</t>
  </si>
  <si>
    <t>1873.39万</t>
  </si>
  <si>
    <t>66.56万</t>
  </si>
  <si>
    <t>1216.58万</t>
  </si>
  <si>
    <t>9269.76万</t>
  </si>
  <si>
    <t>02852000</t>
  </si>
  <si>
    <t>08556000</t>
  </si>
  <si>
    <t>017112000</t>
  </si>
  <si>
    <t>028520000</t>
  </si>
  <si>
    <t>057040000</t>
  </si>
  <si>
    <t>2170.35万</t>
  </si>
  <si>
    <t>535.90亿</t>
  </si>
  <si>
    <t>1676.06万</t>
  </si>
  <si>
    <t>2877.12万</t>
  </si>
  <si>
    <t>9256亿</t>
  </si>
  <si>
    <t>-3456989亿</t>
  </si>
  <si>
    <t>19260953亿</t>
  </si>
  <si>
    <t>316212560亿</t>
  </si>
  <si>
    <t>42.84万</t>
  </si>
  <si>
    <t>9023.14万</t>
  </si>
  <si>
    <t>-2073.52万</t>
  </si>
  <si>
    <t>-3151.69万</t>
  </si>
  <si>
    <t>104.11万</t>
  </si>
  <si>
    <t>140.82亿</t>
  </si>
  <si>
    <t>725.24万</t>
  </si>
  <si>
    <t>2.92亿</t>
  </si>
  <si>
    <t>198.24万</t>
  </si>
  <si>
    <t>122.80亿</t>
  </si>
  <si>
    <t>73.00亿</t>
  </si>
  <si>
    <t>48.50亿</t>
  </si>
  <si>
    <t>-267.55万</t>
  </si>
  <si>
    <t>44.06亿</t>
  </si>
  <si>
    <t>34.82亿</t>
  </si>
  <si>
    <t>165660500亿</t>
  </si>
  <si>
    <t>307.53万</t>
  </si>
  <si>
    <t>445710340亿</t>
  </si>
  <si>
    <t>44.53亿</t>
  </si>
  <si>
    <t>294543140亿</t>
  </si>
  <si>
    <t>7940623400亿</t>
  </si>
  <si>
    <t>1085.22万</t>
  </si>
  <si>
    <t>20.83亿</t>
  </si>
  <si>
    <t>11.75亿</t>
  </si>
  <si>
    <t>20.59亿</t>
  </si>
  <si>
    <t>3246.54万</t>
  </si>
  <si>
    <t>90.06亿</t>
  </si>
  <si>
    <t>6.79亿</t>
  </si>
  <si>
    <t>-6.13亿</t>
  </si>
  <si>
    <t>189.85亿</t>
  </si>
  <si>
    <t>2866.60万</t>
  </si>
  <si>
    <t>13.15亿</t>
  </si>
  <si>
    <t>-883.57万</t>
  </si>
  <si>
    <t>10派13.561元(含税)</t>
  </si>
  <si>
    <t>1233.90万</t>
  </si>
  <si>
    <t>8634.36万</t>
  </si>
  <si>
    <t>1094.31万</t>
  </si>
  <si>
    <t>107.83亿</t>
  </si>
  <si>
    <t>2.33亿</t>
  </si>
  <si>
    <t>6199.79万</t>
  </si>
  <si>
    <t>1362.27万</t>
  </si>
  <si>
    <t>2026.41万</t>
  </si>
  <si>
    <t>-60882亿</t>
  </si>
  <si>
    <t>2.29万</t>
  </si>
  <si>
    <t>63601606亿</t>
  </si>
  <si>
    <t>118263182亿</t>
  </si>
  <si>
    <t>625261750亿</t>
  </si>
  <si>
    <t>626.40万</t>
  </si>
  <si>
    <t>7305.56万</t>
  </si>
  <si>
    <t>7114.02万</t>
  </si>
  <si>
    <t>10.92亿</t>
  </si>
  <si>
    <t>2683.06万</t>
  </si>
  <si>
    <t>-2739.30万</t>
  </si>
  <si>
    <t>8635.48万</t>
  </si>
  <si>
    <t>8.80亿</t>
  </si>
  <si>
    <t>20.67亿</t>
  </si>
  <si>
    <t>8264.28万</t>
  </si>
  <si>
    <t>8395.02万</t>
  </si>
  <si>
    <t>348.60万</t>
  </si>
  <si>
    <t>37.85亿</t>
  </si>
  <si>
    <t>2.40亿</t>
  </si>
  <si>
    <t>5.17亿</t>
  </si>
  <si>
    <t>49.53亿</t>
  </si>
  <si>
    <t>12.69亿</t>
  </si>
  <si>
    <t>5384.39万</t>
  </si>
  <si>
    <t>3954.29万</t>
  </si>
  <si>
    <t>-5903431亿</t>
  </si>
  <si>
    <t>21.29万</t>
  </si>
  <si>
    <t>13143427亿</t>
  </si>
  <si>
    <t>3.78亿</t>
  </si>
  <si>
    <t>69072325亿</t>
  </si>
  <si>
    <t>487.35万</t>
  </si>
  <si>
    <t>1287221520亿</t>
  </si>
  <si>
    <t>1711.20万</t>
  </si>
  <si>
    <t>5.71亿</t>
  </si>
  <si>
    <t>2420.67万</t>
  </si>
  <si>
    <t>3504.15万</t>
  </si>
  <si>
    <t>238.22万</t>
  </si>
  <si>
    <t>5955.74万</t>
  </si>
  <si>
    <t>17.21亿</t>
  </si>
  <si>
    <t>8.53亿</t>
  </si>
  <si>
    <t>2172.22万</t>
  </si>
  <si>
    <t>194.16万</t>
  </si>
  <si>
    <t>68.65亿</t>
  </si>
  <si>
    <t>20.04亿</t>
  </si>
  <si>
    <t>18.84亿</t>
  </si>
  <si>
    <t>672.66亿</t>
  </si>
  <si>
    <t>7.87亿</t>
  </si>
  <si>
    <t>17.98亿</t>
  </si>
  <si>
    <t>13.82亿</t>
  </si>
  <si>
    <t>5563.20万</t>
  </si>
  <si>
    <t>1187319亿</t>
  </si>
  <si>
    <t>88.85万</t>
  </si>
  <si>
    <t>77618399亿</t>
  </si>
  <si>
    <t>333283410亿</t>
  </si>
  <si>
    <t>405.00万</t>
  </si>
  <si>
    <t>1855602400亿</t>
  </si>
  <si>
    <t>5932.47万</t>
  </si>
  <si>
    <t>5.48亿</t>
  </si>
  <si>
    <t>3.30亿</t>
  </si>
  <si>
    <t>6024.12万</t>
  </si>
  <si>
    <t>35.79亿</t>
  </si>
  <si>
    <t>-1.69亿</t>
  </si>
  <si>
    <t>-8613.68万</t>
  </si>
  <si>
    <t>60.65亿</t>
  </si>
  <si>
    <t>148.27亿</t>
  </si>
  <si>
    <t>8811.11万</t>
  </si>
  <si>
    <t>1903.56万</t>
  </si>
  <si>
    <t>9567.79万</t>
  </si>
  <si>
    <t>409.55万</t>
  </si>
  <si>
    <t>61.61亿</t>
  </si>
  <si>
    <t>65.09亿</t>
  </si>
  <si>
    <t>45.35亿</t>
  </si>
  <si>
    <t>-4.07亿</t>
  </si>
  <si>
    <t>696.70万</t>
  </si>
  <si>
    <t>2163.80万</t>
  </si>
  <si>
    <t>18260839亿</t>
  </si>
  <si>
    <t>19.32万</t>
  </si>
  <si>
    <t>57088922亿</t>
  </si>
  <si>
    <t>14.19亿</t>
  </si>
  <si>
    <t>31701197亿</t>
  </si>
  <si>
    <t>2226110700亿</t>
  </si>
  <si>
    <t>26.64亿</t>
  </si>
  <si>
    <t>7926.62万</t>
  </si>
  <si>
    <t>4667.87万</t>
  </si>
  <si>
    <t>21.66亿</t>
  </si>
  <si>
    <t>27.44亿</t>
  </si>
  <si>
    <t>11.52亿</t>
  </si>
  <si>
    <t>-7.47亿</t>
  </si>
  <si>
    <t>-4283.34万</t>
  </si>
  <si>
    <t>2668.95万</t>
  </si>
  <si>
    <t>515.35万</t>
  </si>
  <si>
    <t>42.25亿</t>
  </si>
  <si>
    <t>47.80亿</t>
  </si>
  <si>
    <t>5.12亿</t>
  </si>
  <si>
    <t>8.21亿</t>
  </si>
  <si>
    <t>2.57亿</t>
  </si>
  <si>
    <t>7923.90万</t>
  </si>
  <si>
    <t>5923.43万</t>
  </si>
  <si>
    <t>-337987亿</t>
  </si>
  <si>
    <t>26.05万</t>
  </si>
  <si>
    <t>119992200亿</t>
  </si>
  <si>
    <t>50.29亿</t>
  </si>
  <si>
    <t>32392485亿</t>
  </si>
  <si>
    <t>5201530400亿</t>
  </si>
  <si>
    <t>3054.80万</t>
  </si>
  <si>
    <t>1414.50万</t>
  </si>
  <si>
    <t>23.39亿</t>
  </si>
  <si>
    <t>-2481.72万</t>
  </si>
  <si>
    <t>-5.17亿</t>
  </si>
  <si>
    <t>-3574.37万</t>
  </si>
  <si>
    <t>20.27亿</t>
  </si>
  <si>
    <t>-923.05万</t>
  </si>
  <si>
    <t>10派1.43元(含税)</t>
  </si>
  <si>
    <t>3445.47万</t>
  </si>
  <si>
    <t>288.63万</t>
  </si>
  <si>
    <t>24.21亿</t>
  </si>
  <si>
    <t>13.05亿</t>
  </si>
  <si>
    <t>3618.37万</t>
  </si>
  <si>
    <t>4394.63万</t>
  </si>
  <si>
    <t>1750.82万</t>
  </si>
  <si>
    <t>-986894亿</t>
  </si>
  <si>
    <t>10.63万</t>
  </si>
  <si>
    <t>31869068亿</t>
  </si>
  <si>
    <t>11.84亿</t>
  </si>
  <si>
    <t>58798666亿</t>
  </si>
  <si>
    <t>1622639000亿</t>
  </si>
  <si>
    <t>2377.81万</t>
  </si>
  <si>
    <t>4137.74万</t>
  </si>
  <si>
    <t>-649.45万</t>
  </si>
  <si>
    <t>-704.43万</t>
  </si>
  <si>
    <t>7.99亿</t>
  </si>
  <si>
    <t>10.26亿</t>
  </si>
  <si>
    <t>5688.25万</t>
  </si>
  <si>
    <t>412.83万</t>
  </si>
  <si>
    <t>10派0.17元(含税)</t>
  </si>
  <si>
    <t>1906.78万</t>
  </si>
  <si>
    <t>1147.45万</t>
  </si>
  <si>
    <t>366.46亿</t>
  </si>
  <si>
    <t>198.49亿</t>
  </si>
  <si>
    <t>88.29亿</t>
  </si>
  <si>
    <t>31.65亿</t>
  </si>
  <si>
    <t>5074.95万</t>
  </si>
  <si>
    <t>84.60亿</t>
  </si>
  <si>
    <t>66.55亿</t>
  </si>
  <si>
    <t>11.83亿</t>
  </si>
  <si>
    <t>3139932亿</t>
  </si>
  <si>
    <t>1501.74万</t>
  </si>
  <si>
    <t>161560080亿</t>
  </si>
  <si>
    <t>192.51亿</t>
  </si>
  <si>
    <t>692573060亿</t>
  </si>
  <si>
    <t>25645185000亿</t>
  </si>
  <si>
    <t>8555.91万</t>
  </si>
  <si>
    <t>50.17亿</t>
  </si>
  <si>
    <t>248.64亿</t>
  </si>
  <si>
    <t>18.66亿</t>
  </si>
  <si>
    <t>-5.62亿</t>
  </si>
  <si>
    <t>322.86亿</t>
  </si>
  <si>
    <t>305.19亿</t>
  </si>
  <si>
    <t>3.99亿</t>
  </si>
  <si>
    <t>7285.52万</t>
  </si>
  <si>
    <t>050749500</t>
  </si>
  <si>
    <t>0152248500</t>
  </si>
  <si>
    <t>0304497000</t>
  </si>
  <si>
    <t>0507495000</t>
  </si>
  <si>
    <t>01014990000</t>
  </si>
  <si>
    <t>695.41万</t>
  </si>
  <si>
    <t>75.99亿</t>
  </si>
  <si>
    <t>7.46亿</t>
  </si>
  <si>
    <t>2.29亿</t>
  </si>
  <si>
    <t>6967.03万</t>
  </si>
  <si>
    <t>-1395217亿</t>
  </si>
  <si>
    <t>20.76万</t>
  </si>
  <si>
    <t>54906993亿</t>
  </si>
  <si>
    <t>48861996亿</t>
  </si>
  <si>
    <t>2559926100亿</t>
  </si>
  <si>
    <t>9.11亿</t>
  </si>
  <si>
    <t>3447.31万</t>
  </si>
  <si>
    <t>57.57亿</t>
  </si>
  <si>
    <t>31.43亿</t>
  </si>
  <si>
    <t>4.10亿</t>
  </si>
  <si>
    <t>-3141.30万</t>
  </si>
  <si>
    <t>-1.94亿</t>
  </si>
  <si>
    <t>26.53亿</t>
  </si>
  <si>
    <t>7178.64万</t>
  </si>
  <si>
    <t>10派0.27元(含税)</t>
  </si>
  <si>
    <t>4627.74万</t>
  </si>
  <si>
    <t>400.92万</t>
  </si>
  <si>
    <t>14.70亿</t>
  </si>
  <si>
    <t>2309.79万</t>
  </si>
  <si>
    <t>974.56亿</t>
  </si>
  <si>
    <t>6.88亿</t>
  </si>
  <si>
    <t>3102.91万</t>
  </si>
  <si>
    <t>1698.10万</t>
  </si>
  <si>
    <t>437.82万</t>
  </si>
  <si>
    <t>996.33万</t>
  </si>
  <si>
    <t>17423128亿</t>
  </si>
  <si>
    <t>31.35万</t>
  </si>
  <si>
    <t>9424314亿</t>
  </si>
  <si>
    <t>7545971亿</t>
  </si>
  <si>
    <t>401790080亿</t>
  </si>
  <si>
    <t>594.18万</t>
  </si>
  <si>
    <t>270.58万</t>
  </si>
  <si>
    <t>316.18万</t>
  </si>
  <si>
    <t>5906.12万</t>
  </si>
  <si>
    <t>-146.63万</t>
  </si>
  <si>
    <t>-209.10万</t>
  </si>
  <si>
    <t>-157.22万</t>
  </si>
  <si>
    <t>8654.83万</t>
  </si>
  <si>
    <t>229.43亿</t>
  </si>
  <si>
    <t>6219.66万</t>
  </si>
  <si>
    <t>8295.02万</t>
  </si>
  <si>
    <t>10派0.47元(含税)</t>
  </si>
  <si>
    <t>3228.25万</t>
  </si>
  <si>
    <t>201.39万</t>
  </si>
  <si>
    <t>8.51亿</t>
  </si>
  <si>
    <t>55.39亿</t>
  </si>
  <si>
    <t>159.61万</t>
  </si>
  <si>
    <t>616.18万</t>
  </si>
  <si>
    <t>-25486亿</t>
  </si>
  <si>
    <t>6371825亿</t>
  </si>
  <si>
    <t>772442亿</t>
  </si>
  <si>
    <t>560382920亿</t>
  </si>
  <si>
    <t>3730.47万</t>
  </si>
  <si>
    <t>44.98万</t>
  </si>
  <si>
    <t>9699.58万</t>
  </si>
  <si>
    <t>-1823.29万</t>
  </si>
  <si>
    <t>11.90亿</t>
  </si>
  <si>
    <t>6070.07万</t>
  </si>
  <si>
    <t>10派0.85元(含税)</t>
  </si>
  <si>
    <t>1372.80万</t>
  </si>
  <si>
    <t>7305.35万</t>
  </si>
  <si>
    <t>592.35万</t>
  </si>
  <si>
    <t>84.49亿</t>
  </si>
  <si>
    <t>27.18亿</t>
  </si>
  <si>
    <t>16.72亿</t>
  </si>
  <si>
    <t>122.24亿</t>
  </si>
  <si>
    <t>15.47亿</t>
  </si>
  <si>
    <t>10.08亿</t>
  </si>
  <si>
    <t>4761.32万</t>
  </si>
  <si>
    <t>182.83万</t>
  </si>
  <si>
    <t>78730234亿</t>
  </si>
  <si>
    <t>21.07亿</t>
  </si>
  <si>
    <t>38879601亿</t>
  </si>
  <si>
    <t>3229652900亿</t>
  </si>
  <si>
    <t>102.47万</t>
  </si>
  <si>
    <t>27.10亿</t>
  </si>
  <si>
    <t>925.85万</t>
  </si>
  <si>
    <t>62.25亿</t>
  </si>
  <si>
    <t>5.27亿</t>
  </si>
  <si>
    <t>-1.32亿</t>
  </si>
  <si>
    <t>-1745.33万</t>
  </si>
  <si>
    <t>-1094.66万</t>
  </si>
  <si>
    <t>3262.71万</t>
  </si>
  <si>
    <t>5519.05万</t>
  </si>
  <si>
    <t>206.83亿</t>
  </si>
  <si>
    <t>206.50亿</t>
  </si>
  <si>
    <t>33.08亿</t>
  </si>
  <si>
    <t>-5167.51万</t>
  </si>
  <si>
    <t>30.02亿</t>
  </si>
  <si>
    <t>19.45亿</t>
  </si>
  <si>
    <t>4.41亿</t>
  </si>
  <si>
    <t>16702319亿</t>
  </si>
  <si>
    <t>1186.36万</t>
  </si>
  <si>
    <t>193264340亿</t>
  </si>
  <si>
    <t>108.79亿</t>
  </si>
  <si>
    <t>404025170亿</t>
  </si>
  <si>
    <t>13806421000亿</t>
  </si>
  <si>
    <t>9193.07万</t>
  </si>
  <si>
    <t>83.48亿</t>
  </si>
  <si>
    <t>5.54亿</t>
  </si>
  <si>
    <t>1.47亿</t>
  </si>
  <si>
    <t>-4.61亿</t>
  </si>
  <si>
    <t>-1575.63万</t>
  </si>
  <si>
    <t>-4-1</t>
  </si>
  <si>
    <t>153.43万</t>
  </si>
  <si>
    <t>23.32亿</t>
  </si>
  <si>
    <t>5893.45万</t>
  </si>
  <si>
    <t>173.74亿</t>
  </si>
  <si>
    <t>3186.32万</t>
  </si>
  <si>
    <t>540.32万</t>
  </si>
  <si>
    <t>618.94万</t>
  </si>
  <si>
    <t>1694.50万</t>
  </si>
  <si>
    <t>11196318亿</t>
  </si>
  <si>
    <t>8.39万</t>
  </si>
  <si>
    <t>21850008亿</t>
  </si>
  <si>
    <t>13970968亿</t>
  </si>
  <si>
    <t>1322260080亿</t>
  </si>
  <si>
    <t>60.89万</t>
  </si>
  <si>
    <t>4305.02万</t>
  </si>
  <si>
    <t>2924.94万</t>
  </si>
  <si>
    <t>910.01万</t>
  </si>
  <si>
    <t>2229.93万</t>
  </si>
  <si>
    <t>41.63亿</t>
  </si>
  <si>
    <t>1357.14万</t>
  </si>
  <si>
    <t>10派2.3元(含税)</t>
  </si>
  <si>
    <t>848.29万</t>
  </si>
  <si>
    <t>4730.50万</t>
  </si>
  <si>
    <t>603.97万</t>
  </si>
  <si>
    <t>37.27亿</t>
  </si>
  <si>
    <t>-15.36亿</t>
  </si>
  <si>
    <t>7900.98万</t>
  </si>
  <si>
    <t>8952.18万</t>
  </si>
  <si>
    <t>1505204亿</t>
  </si>
  <si>
    <t>30.91万</t>
  </si>
  <si>
    <t>51711085亿</t>
  </si>
  <si>
    <t>11.71亿</t>
  </si>
  <si>
    <t>58052399亿</t>
  </si>
  <si>
    <t>162.42万</t>
  </si>
  <si>
    <t>1694321900亿</t>
  </si>
  <si>
    <t>2000.00万</t>
  </si>
  <si>
    <t>6251.27万</t>
  </si>
  <si>
    <t>2.85亿</t>
  </si>
  <si>
    <t>4491.09万</t>
  </si>
  <si>
    <t>286.73万</t>
  </si>
  <si>
    <t>3642.22万</t>
  </si>
  <si>
    <t>2858.09万</t>
  </si>
  <si>
    <t>3030.67万</t>
  </si>
  <si>
    <t>10派0.4803元(含税)</t>
  </si>
  <si>
    <t>4438.99万</t>
  </si>
  <si>
    <t>603.67万</t>
  </si>
  <si>
    <t>11.00亿</t>
  </si>
  <si>
    <t>3430.74亿</t>
  </si>
  <si>
    <t>596.94亿</t>
  </si>
  <si>
    <t>4435.90万</t>
  </si>
  <si>
    <t>2021.36万</t>
  </si>
  <si>
    <t>2743135亿</t>
  </si>
  <si>
    <t>1.98万</t>
  </si>
  <si>
    <t>35438985亿</t>
  </si>
  <si>
    <t>4240147亿</t>
  </si>
  <si>
    <t>1193848880亿</t>
  </si>
  <si>
    <t>2424.53万</t>
  </si>
  <si>
    <t>1021.49万</t>
  </si>
  <si>
    <t>7.59亿</t>
  </si>
  <si>
    <t>9083.65万</t>
  </si>
  <si>
    <t>508.96万</t>
  </si>
  <si>
    <t>-2209.72万</t>
  </si>
  <si>
    <t>9.70亿</t>
  </si>
  <si>
    <t>870.42亿</t>
  </si>
  <si>
    <t>186.12亿</t>
  </si>
  <si>
    <t>10派1.80元(含税)</t>
  </si>
  <si>
    <t>4571.48万</t>
  </si>
  <si>
    <t>404.20万</t>
  </si>
  <si>
    <t>32.29亿</t>
  </si>
  <si>
    <t>1783.58亿</t>
  </si>
  <si>
    <t>54.26亿</t>
  </si>
  <si>
    <t>9.91亿</t>
  </si>
  <si>
    <t>7.75亿</t>
  </si>
  <si>
    <t>3442.82万</t>
  </si>
  <si>
    <t>17.59万</t>
  </si>
  <si>
    <t>51392845亿</t>
  </si>
  <si>
    <t>24.90亿</t>
  </si>
  <si>
    <t>36431325亿</t>
  </si>
  <si>
    <t>2901659500亿</t>
  </si>
  <si>
    <t>924.39万</t>
  </si>
  <si>
    <t>16.90亿</t>
  </si>
  <si>
    <t>17.84万</t>
  </si>
  <si>
    <t>-2180.11万</t>
  </si>
  <si>
    <t>40.91亿</t>
  </si>
  <si>
    <t>38.96亿</t>
  </si>
  <si>
    <t>425.91亿</t>
  </si>
  <si>
    <t>11.11亿</t>
  </si>
  <si>
    <t>2743.39万</t>
  </si>
  <si>
    <t>418.65万</t>
  </si>
  <si>
    <t>123.65亿</t>
  </si>
  <si>
    <t>42.46亿</t>
  </si>
  <si>
    <t>22.60亿</t>
  </si>
  <si>
    <t>7351.59万</t>
  </si>
  <si>
    <t>15.50亿</t>
  </si>
  <si>
    <t>18188亿</t>
  </si>
  <si>
    <t>718.20万</t>
  </si>
  <si>
    <t>4559658亿</t>
  </si>
  <si>
    <t>7.08亿</t>
  </si>
  <si>
    <t>279559080亿</t>
  </si>
  <si>
    <t>99.98万</t>
  </si>
  <si>
    <t>4592891000亿</t>
  </si>
  <si>
    <t>34.96亿</t>
  </si>
  <si>
    <t>8.96亿</t>
  </si>
  <si>
    <t>8833.73万</t>
  </si>
  <si>
    <t>77.15亿</t>
  </si>
  <si>
    <t>8416.00万</t>
  </si>
  <si>
    <t>-6895.62万</t>
  </si>
  <si>
    <t>-3.66亿</t>
  </si>
  <si>
    <t>77.03亿</t>
  </si>
  <si>
    <t>2977.60万</t>
  </si>
  <si>
    <t>3064.40万</t>
  </si>
  <si>
    <t>2523.82万</t>
  </si>
  <si>
    <t>6043.58万</t>
  </si>
  <si>
    <t>073515900</t>
  </si>
  <si>
    <t>0220547700</t>
  </si>
  <si>
    <t>0441095400</t>
  </si>
  <si>
    <t>0735159000</t>
  </si>
  <si>
    <t>01470318000</t>
  </si>
  <si>
    <t>1021.92万</t>
  </si>
  <si>
    <t>682.39亿</t>
  </si>
  <si>
    <t>523.99亿</t>
  </si>
  <si>
    <t>21.12亿</t>
  </si>
  <si>
    <t>217.02亿</t>
  </si>
  <si>
    <t>116.71亿</t>
  </si>
  <si>
    <t>20.14亿</t>
  </si>
  <si>
    <t>-14866280亿</t>
  </si>
  <si>
    <t>501.35万</t>
  </si>
  <si>
    <t>-119275435亿</t>
  </si>
  <si>
    <t>37.78亿</t>
  </si>
  <si>
    <t>1359255300亿</t>
  </si>
  <si>
    <t>154.00万</t>
  </si>
  <si>
    <t>11482932400亿</t>
  </si>
  <si>
    <t>1045.68万</t>
  </si>
  <si>
    <t>19.21亿</t>
  </si>
  <si>
    <t>4400.92万</t>
  </si>
  <si>
    <t>16.95亿</t>
  </si>
  <si>
    <t>281.74亿</t>
  </si>
  <si>
    <t>172.54亿</t>
  </si>
  <si>
    <t>-1.82亿</t>
  </si>
  <si>
    <t>-4.71亿</t>
  </si>
  <si>
    <t>14.51亿</t>
  </si>
  <si>
    <t>5.59亿</t>
  </si>
  <si>
    <t>17.17亿</t>
  </si>
  <si>
    <t>41.89亿</t>
  </si>
  <si>
    <t>115.15亿</t>
  </si>
  <si>
    <t>53.05亿</t>
  </si>
  <si>
    <t>-22.16亿</t>
  </si>
  <si>
    <t>7345.39万</t>
  </si>
  <si>
    <t>4033.24万</t>
  </si>
  <si>
    <t>196.88亿</t>
  </si>
  <si>
    <t>616.24亿</t>
  </si>
  <si>
    <t>188.07亿</t>
  </si>
  <si>
    <t>157.73亿</t>
  </si>
  <si>
    <t>125.42亿</t>
  </si>
  <si>
    <t>24.15亿</t>
  </si>
  <si>
    <t>14166569亿</t>
  </si>
  <si>
    <t>159.72万</t>
  </si>
  <si>
    <t>2299091800亿</t>
  </si>
  <si>
    <t>363.86亿</t>
  </si>
  <si>
    <t>216882360亿</t>
  </si>
  <si>
    <t>59733624000亿</t>
  </si>
  <si>
    <t>11.40亿</t>
  </si>
  <si>
    <t>822.54万</t>
  </si>
  <si>
    <t>57.08亿</t>
  </si>
  <si>
    <t>666.59万</t>
  </si>
  <si>
    <t>142.41亿</t>
  </si>
  <si>
    <t>25.22亿</t>
  </si>
  <si>
    <t>53.02亿</t>
  </si>
  <si>
    <t>-4.19亿</t>
  </si>
  <si>
    <t>-2.56亿</t>
  </si>
  <si>
    <t>675.40亿</t>
  </si>
  <si>
    <t>67.14亿</t>
  </si>
  <si>
    <t>5895.62万</t>
  </si>
  <si>
    <t>10派16.5元(含税)</t>
  </si>
  <si>
    <t>5.93亿</t>
  </si>
  <si>
    <t>0237000000</t>
  </si>
  <si>
    <t>0711000000</t>
  </si>
  <si>
    <t>01422000000</t>
  </si>
  <si>
    <t>02370000000</t>
  </si>
  <si>
    <t>04740000000</t>
  </si>
  <si>
    <t>461.17亿</t>
  </si>
  <si>
    <t>66.60亿</t>
  </si>
  <si>
    <t>216.65亿</t>
  </si>
  <si>
    <t>7697.36亿</t>
  </si>
  <si>
    <t>3326.53亿</t>
  </si>
  <si>
    <t>209.74亿</t>
  </si>
  <si>
    <t>167.14亿</t>
  </si>
  <si>
    <t>33.78亿</t>
  </si>
  <si>
    <t>4.38亿</t>
  </si>
  <si>
    <t>143223840亿</t>
  </si>
  <si>
    <t>4418.39万</t>
  </si>
  <si>
    <t>598820970亿</t>
  </si>
  <si>
    <t>69.22亿</t>
  </si>
  <si>
    <t>475883260亿</t>
  </si>
  <si>
    <t>17709571000亿</t>
  </si>
  <si>
    <t>48.51亿</t>
  </si>
  <si>
    <t>76.42亿</t>
  </si>
  <si>
    <t>224.99亿</t>
  </si>
  <si>
    <t>19.84亿</t>
  </si>
  <si>
    <t>7240.40万</t>
  </si>
  <si>
    <t>-10.03亿</t>
  </si>
  <si>
    <t>786.42亿</t>
  </si>
  <si>
    <t>2070.76亿</t>
  </si>
  <si>
    <t>-13.29亿</t>
  </si>
  <si>
    <t>887.43亿</t>
  </si>
  <si>
    <t>53.91亿</t>
  </si>
  <si>
    <t>221.72万</t>
  </si>
  <si>
    <t>28.16亿</t>
  </si>
  <si>
    <t>14.94亿</t>
  </si>
  <si>
    <t>8.71亿</t>
  </si>
  <si>
    <t>6.62亿</t>
  </si>
  <si>
    <t>4.69亿</t>
  </si>
  <si>
    <t>4714.70万</t>
  </si>
  <si>
    <t>21.42万</t>
  </si>
  <si>
    <t>36594700亿</t>
  </si>
  <si>
    <t>121988679亿</t>
  </si>
  <si>
    <t>2495.95万</t>
  </si>
  <si>
    <t>776156950亿</t>
  </si>
  <si>
    <t>694.97万</t>
  </si>
  <si>
    <t>3620.60万</t>
  </si>
  <si>
    <t>23.62亿</t>
  </si>
  <si>
    <t>6550.93万</t>
  </si>
  <si>
    <t>-4541.38万</t>
  </si>
  <si>
    <t>-1654.62万</t>
  </si>
  <si>
    <t>-1.57亿</t>
  </si>
  <si>
    <t>24.94亿</t>
  </si>
  <si>
    <t>4478.32万</t>
  </si>
  <si>
    <t>10派2.5633元(含税)</t>
  </si>
  <si>
    <t>1289.76万</t>
  </si>
  <si>
    <t>7812.45万</t>
  </si>
  <si>
    <t>0169000000</t>
  </si>
  <si>
    <t>0507000000</t>
  </si>
  <si>
    <t>01014000000</t>
  </si>
  <si>
    <t>01690000000</t>
  </si>
  <si>
    <t>03380000000</t>
  </si>
  <si>
    <t>166.27万</t>
  </si>
  <si>
    <t>13.69亿</t>
  </si>
  <si>
    <t>11.70亿</t>
  </si>
  <si>
    <t>15.60亿</t>
  </si>
  <si>
    <t>2537.49万</t>
  </si>
  <si>
    <t>1427151亿</t>
  </si>
  <si>
    <t>5.70万</t>
  </si>
  <si>
    <t>2195725亿</t>
  </si>
  <si>
    <t>9680.87万</t>
  </si>
  <si>
    <t>97556335亿</t>
  </si>
  <si>
    <t>1723784500亿</t>
  </si>
  <si>
    <t>12.04亿</t>
  </si>
  <si>
    <t>8100.00万</t>
  </si>
  <si>
    <t>-4.69亿</t>
  </si>
  <si>
    <t>607.26万</t>
  </si>
  <si>
    <t>33.32亿</t>
  </si>
  <si>
    <t>4636.93万</t>
  </si>
  <si>
    <t>1193.70万</t>
  </si>
  <si>
    <t>4453.82万</t>
  </si>
  <si>
    <t>650.41万</t>
  </si>
  <si>
    <t>44.43亿</t>
  </si>
  <si>
    <t>2.54亿</t>
  </si>
  <si>
    <t>15.59亿</t>
  </si>
  <si>
    <t>5656.89万</t>
  </si>
  <si>
    <t>843.95万</t>
  </si>
  <si>
    <t>1526.30万</t>
  </si>
  <si>
    <t>660764亿</t>
  </si>
  <si>
    <t>1364.65万</t>
  </si>
  <si>
    <t>2139651亿</t>
  </si>
  <si>
    <t>97969241亿</t>
  </si>
  <si>
    <t>492921310亿</t>
  </si>
  <si>
    <t>3479.68万</t>
  </si>
  <si>
    <t>1504.61万</t>
  </si>
  <si>
    <t>-1.19亿</t>
  </si>
  <si>
    <t>9883.55万</t>
  </si>
  <si>
    <t>826.57万</t>
  </si>
  <si>
    <t>3035.08万</t>
  </si>
  <si>
    <t>301.77万</t>
  </si>
  <si>
    <t>117.39亿</t>
  </si>
  <si>
    <t>26.38亿</t>
  </si>
  <si>
    <t>51.89亿</t>
  </si>
  <si>
    <t>11.01亿</t>
  </si>
  <si>
    <t>2135.99万</t>
  </si>
  <si>
    <t>50.06亿</t>
  </si>
  <si>
    <t>39.42亿</t>
  </si>
  <si>
    <t>8.78亿</t>
  </si>
  <si>
    <t>9625.92万</t>
  </si>
  <si>
    <t>-1719174亿</t>
  </si>
  <si>
    <t>489.34万</t>
  </si>
  <si>
    <t>135744220亿</t>
  </si>
  <si>
    <t>166979790亿</t>
  </si>
  <si>
    <t>5369179500亿</t>
  </si>
  <si>
    <t>22.25亿</t>
  </si>
  <si>
    <t>8403.10万</t>
  </si>
  <si>
    <t>73.33亿</t>
  </si>
  <si>
    <t>7.02亿</t>
  </si>
  <si>
    <t>-2.66亿</t>
  </si>
  <si>
    <t>-6.04亿</t>
  </si>
  <si>
    <t>6007.40万</t>
  </si>
  <si>
    <t>177.63亿</t>
  </si>
  <si>
    <t>590.01万</t>
  </si>
  <si>
    <t>1773.93万</t>
  </si>
  <si>
    <t>021359900</t>
  </si>
  <si>
    <t>064079700</t>
  </si>
  <si>
    <t>0128159400</t>
  </si>
  <si>
    <t>0213599000</t>
  </si>
  <si>
    <t>0427198000</t>
  </si>
  <si>
    <t>553.03万</t>
  </si>
  <si>
    <t>15.77亿</t>
  </si>
  <si>
    <t>11.41亿</t>
  </si>
  <si>
    <t>25.11亿</t>
  </si>
  <si>
    <t>7.23亿</t>
  </si>
  <si>
    <t>1770.39万</t>
  </si>
  <si>
    <t>320794亿</t>
  </si>
  <si>
    <t>74.19万</t>
  </si>
  <si>
    <t>25318982亿</t>
  </si>
  <si>
    <t>6.60亿</t>
  </si>
  <si>
    <t>31240744亿</t>
  </si>
  <si>
    <t>1132162500亿</t>
  </si>
  <si>
    <t>5859.96万</t>
  </si>
  <si>
    <t>1395.96万</t>
  </si>
  <si>
    <t>9.87亿</t>
  </si>
  <si>
    <t>-1.37亿</t>
  </si>
  <si>
    <t>-1552.49万</t>
  </si>
  <si>
    <t>24.12亿</t>
  </si>
  <si>
    <t>1452.39万</t>
  </si>
  <si>
    <t>2269.38万</t>
  </si>
  <si>
    <t>2463.29万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</si>
</sst>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Calibri"/>
      <family val="2"/>
    </font>
    <font>
      <sz val="9"/>
      <color theme="1"/>
      <name val="宋体"/>
      <family val="2"/>
      <charset val="134"/>
      <scheme val="minor"/>
    </font>
    <font>
      <sz val="9"/>
      <color rgb="FFFF0000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Fill="0" applyProtection="0"/>
  </cellStyleXfs>
  <cellXfs count="16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0" fillId="0" borderId="1" xfId="0" applyNumberFormat="1" applyFill="1" applyBorder="1" applyAlignment="1">
      <alignment vertical="center" wrapText="1"/>
    </xf>
    <xf numFmtId="0" fontId="0" fillId="3" borderId="1" xfId="0" applyNumberFormat="1" applyFill="1" applyBorder="1" applyAlignment="1">
      <alignment vertical="center" wrapText="1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3" fillId="0" borderId="0" xfId="0" applyFont="1" applyAlignment="1">
      <alignment vertical="center" wrapText="1"/>
    </xf>
    <xf numFmtId="0" fontId="5" fillId="0" borderId="0" xfId="0" applyFont="1" applyAlignment="1">
      <alignment vertical="center" wrapText="1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7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 applyFill="1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147</xdr:col>
          <xdr:colOff>387350</xdr:colOff>
          <xdr:row>0</xdr:row>
          <xdr:rowOff>82550</xdr:rowOff>
        </xdr:from>
        <xdr:to>
          <xdr:col>147</xdr:col>
          <xdr:colOff>1612900</xdr:colOff>
          <xdr:row>0</xdr:row>
          <xdr:rowOff>393700</xdr:rowOff>
        </xdr:to>
        <xdr:sp macro="" textlink="">
          <xdr:nvSpPr>
            <xdr:cNvPr id="2050" name="Button 2" descr="更新基本面按钮&#10;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更新基本面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P75"/>
  <sheetViews>
    <sheetView tabSelected="1" zoomScale="85" zoomScaleNormal="85" workbookViewId="0">
      <pane xSplit="5" ySplit="1" topLeftCell="BE2" activePane="bottomRight" state="frozen"/>
      <selection pane="topRight" activeCell="F1" sqref="F1"/>
      <selection pane="bottomLeft" activeCell="A2" sqref="A2"/>
      <selection pane="bottomRight" activeCell="C17" sqref="C17:C18"/>
    </sheetView>
  </sheetViews>
  <sheetFormatPr defaultRowHeight="14" x14ac:dyDescent="0.25"/>
  <cols>
    <col min="1" max="1" width="43.7265625" customWidth="1"/>
    <col min="2" max="2" width="38.7265625" customWidth="1"/>
    <col min="3" max="3" width="47.81640625" customWidth="1"/>
    <col min="9" max="9" width="11.90625" customWidth="1"/>
    <col min="148" max="148" width="28.26953125" customWidth="1"/>
  </cols>
  <sheetData>
    <row r="1" spans="1:146" ht="37.5" customHeight="1" x14ac:dyDescent="0.25">
      <c r="A1" s="3" t="s">
        <v>119</v>
      </c>
      <c r="B1" s="4" t="s">
        <v>120</v>
      </c>
      <c r="C1" s="3" t="s">
        <v>121</v>
      </c>
      <c r="D1" t="s">
        <v>122</v>
      </c>
      <c r="E1" t="s">
        <v>737</v>
      </c>
      <c r="F1" t="s">
        <v>3</v>
      </c>
      <c r="G1" t="s">
        <v>808</v>
      </c>
      <c r="H1" t="s">
        <v>809</v>
      </c>
      <c r="I1" t="s">
        <v>53</v>
      </c>
      <c r="J1" t="s">
        <v>54</v>
      </c>
      <c r="K1" t="s">
        <v>4</v>
      </c>
      <c r="L1" t="s">
        <v>55</v>
      </c>
      <c r="M1" t="s">
        <v>123</v>
      </c>
      <c r="N1" t="s">
        <v>124</v>
      </c>
      <c r="O1" t="s">
        <v>125</v>
      </c>
      <c r="P1" t="s">
        <v>810</v>
      </c>
      <c r="Q1" t="s">
        <v>738</v>
      </c>
      <c r="R1" t="s">
        <v>739</v>
      </c>
      <c r="S1" t="s">
        <v>126</v>
      </c>
      <c r="T1" t="s">
        <v>811</v>
      </c>
      <c r="U1" t="s">
        <v>639</v>
      </c>
      <c r="V1" t="s">
        <v>127</v>
      </c>
      <c r="W1" t="s">
        <v>740</v>
      </c>
      <c r="X1" t="s">
        <v>741</v>
      </c>
      <c r="Y1" t="s">
        <v>742</v>
      </c>
      <c r="Z1" t="s">
        <v>743</v>
      </c>
      <c r="AA1" t="s">
        <v>744</v>
      </c>
      <c r="AB1" t="s">
        <v>812</v>
      </c>
      <c r="AC1" t="s">
        <v>745</v>
      </c>
      <c r="AD1" t="s">
        <v>746</v>
      </c>
      <c r="AE1" t="s">
        <v>128</v>
      </c>
      <c r="AF1" t="s">
        <v>129</v>
      </c>
      <c r="AG1" t="s">
        <v>813</v>
      </c>
      <c r="AH1" t="s">
        <v>747</v>
      </c>
      <c r="AI1" t="s">
        <v>814</v>
      </c>
      <c r="AJ1" t="s">
        <v>130</v>
      </c>
      <c r="AK1" t="s">
        <v>815</v>
      </c>
      <c r="AL1" t="s">
        <v>307</v>
      </c>
      <c r="AM1" t="s">
        <v>816</v>
      </c>
      <c r="AN1" t="s">
        <v>817</v>
      </c>
      <c r="AO1" t="s">
        <v>818</v>
      </c>
      <c r="AP1" t="s">
        <v>819</v>
      </c>
      <c r="AQ1" t="s">
        <v>820</v>
      </c>
      <c r="AR1" t="s">
        <v>821</v>
      </c>
      <c r="AS1" t="s">
        <v>822</v>
      </c>
      <c r="AT1" t="s">
        <v>823</v>
      </c>
      <c r="AU1" t="s">
        <v>824</v>
      </c>
      <c r="AV1" t="s">
        <v>825</v>
      </c>
      <c r="AW1" t="s">
        <v>826</v>
      </c>
      <c r="AX1" t="s">
        <v>748</v>
      </c>
      <c r="AY1" t="s">
        <v>308</v>
      </c>
      <c r="AZ1" t="s">
        <v>309</v>
      </c>
      <c r="BA1" t="s">
        <v>310</v>
      </c>
      <c r="BB1" t="s">
        <v>311</v>
      </c>
      <c r="BC1" t="s">
        <v>640</v>
      </c>
      <c r="BD1" t="s">
        <v>312</v>
      </c>
      <c r="BE1" t="s">
        <v>313</v>
      </c>
      <c r="BF1" t="s">
        <v>314</v>
      </c>
      <c r="BG1" t="s">
        <v>315</v>
      </c>
      <c r="BH1" t="s">
        <v>827</v>
      </c>
      <c r="BI1" t="s">
        <v>828</v>
      </c>
      <c r="BJ1" t="s">
        <v>829</v>
      </c>
      <c r="BK1" t="s">
        <v>830</v>
      </c>
      <c r="BL1" t="s">
        <v>831</v>
      </c>
      <c r="BM1" t="s">
        <v>832</v>
      </c>
      <c r="BN1" t="s">
        <v>749</v>
      </c>
      <c r="BO1" t="s">
        <v>641</v>
      </c>
      <c r="BP1" t="s">
        <v>316</v>
      </c>
      <c r="BQ1" t="s">
        <v>750</v>
      </c>
      <c r="BR1" t="s">
        <v>642</v>
      </c>
      <c r="BS1" t="s">
        <v>317</v>
      </c>
      <c r="BT1" t="s">
        <v>833</v>
      </c>
      <c r="BU1" t="s">
        <v>751</v>
      </c>
      <c r="BV1" t="s">
        <v>834</v>
      </c>
      <c r="BW1" t="s">
        <v>570</v>
      </c>
      <c r="BX1" t="s">
        <v>318</v>
      </c>
      <c r="BY1" t="s">
        <v>835</v>
      </c>
      <c r="BZ1" t="s">
        <v>571</v>
      </c>
      <c r="CA1" t="s">
        <v>319</v>
      </c>
      <c r="CB1" t="s">
        <v>836</v>
      </c>
      <c r="CC1" t="s">
        <v>837</v>
      </c>
      <c r="CD1" t="s">
        <v>838</v>
      </c>
      <c r="CE1" t="s">
        <v>839</v>
      </c>
      <c r="CF1" s="1" t="s">
        <v>752</v>
      </c>
      <c r="CG1" s="1" t="s">
        <v>753</v>
      </c>
      <c r="CH1" s="1" t="s">
        <v>557</v>
      </c>
      <c r="CI1" s="1" t="s">
        <v>558</v>
      </c>
      <c r="CJ1" s="1" t="s">
        <v>559</v>
      </c>
      <c r="CK1" s="1" t="s">
        <v>560</v>
      </c>
      <c r="CL1" s="1" t="s">
        <v>561</v>
      </c>
      <c r="CM1" s="1" t="s">
        <v>562</v>
      </c>
      <c r="CN1" s="1" t="s">
        <v>563</v>
      </c>
      <c r="CO1" s="1" t="s">
        <v>564</v>
      </c>
      <c r="CP1" s="1" t="s">
        <v>565</v>
      </c>
      <c r="CQ1" s="1" t="s">
        <v>566</v>
      </c>
      <c r="CR1" s="1" t="s">
        <v>840</v>
      </c>
      <c r="CS1" s="1" t="s">
        <v>754</v>
      </c>
      <c r="CT1" s="1" t="s">
        <v>841</v>
      </c>
      <c r="CU1" s="1" t="s">
        <v>755</v>
      </c>
      <c r="CV1" s="1" t="s">
        <v>756</v>
      </c>
      <c r="CW1" s="1" t="s">
        <v>844</v>
      </c>
      <c r="CX1">
        <v>1</v>
      </c>
      <c r="CY1" t="s">
        <v>757</v>
      </c>
      <c r="CZ1" t="s">
        <v>758</v>
      </c>
      <c r="DA1">
        <v>3</v>
      </c>
      <c r="DB1" t="s">
        <v>759</v>
      </c>
      <c r="DC1" t="s">
        <v>842</v>
      </c>
      <c r="DD1">
        <v>6</v>
      </c>
      <c r="DE1" t="s">
        <v>845</v>
      </c>
      <c r="DF1" t="s">
        <v>846</v>
      </c>
      <c r="DG1">
        <v>10</v>
      </c>
      <c r="DH1" t="s">
        <v>760</v>
      </c>
      <c r="DI1" t="s">
        <v>761</v>
      </c>
      <c r="DJ1">
        <v>20</v>
      </c>
      <c r="DK1" t="s">
        <v>762</v>
      </c>
      <c r="DL1" t="s">
        <v>567</v>
      </c>
      <c r="DM1" t="s">
        <v>568</v>
      </c>
      <c r="DN1" s="2" t="s">
        <v>569</v>
      </c>
      <c r="DO1" t="s">
        <v>763</v>
      </c>
      <c r="DP1" t="s">
        <v>764</v>
      </c>
      <c r="DQ1" s="13" t="s">
        <v>765</v>
      </c>
      <c r="DR1" s="1" t="s">
        <v>766</v>
      </c>
      <c r="DS1" s="1" t="s">
        <v>767</v>
      </c>
      <c r="DT1" t="s">
        <v>768</v>
      </c>
      <c r="DU1" t="s">
        <v>769</v>
      </c>
      <c r="DV1" t="s">
        <v>847</v>
      </c>
      <c r="DW1" t="s">
        <v>843</v>
      </c>
      <c r="DX1" t="s">
        <v>848</v>
      </c>
      <c r="DY1" t="s">
        <v>849</v>
      </c>
      <c r="DZ1" t="s">
        <v>770</v>
      </c>
      <c r="EA1" t="s">
        <v>771</v>
      </c>
      <c r="EB1" t="s">
        <v>772</v>
      </c>
      <c r="EC1" t="s">
        <v>773</v>
      </c>
      <c r="ED1" t="s">
        <v>850</v>
      </c>
      <c r="EE1" t="s">
        <v>851</v>
      </c>
      <c r="EF1" t="s">
        <v>774</v>
      </c>
      <c r="EG1" t="s">
        <v>852</v>
      </c>
      <c r="EH1" t="s">
        <v>775</v>
      </c>
      <c r="EI1" t="s">
        <v>776</v>
      </c>
      <c r="EK1" s="14" t="s">
        <v>777</v>
      </c>
      <c r="EL1" t="s">
        <v>778</v>
      </c>
      <c r="EM1" t="s">
        <v>779</v>
      </c>
      <c r="EN1" t="s">
        <v>780</v>
      </c>
      <c r="EO1" t="s">
        <v>781</v>
      </c>
      <c r="EP1" t="s">
        <v>853</v>
      </c>
    </row>
    <row r="2" spans="1:146" ht="96" x14ac:dyDescent="0.25">
      <c r="A2" s="7"/>
      <c r="B2" s="7"/>
      <c r="C2" s="7" t="str">
        <f>""&amp;CHAR(10)&amp;Basic_Fundamental_Information_Constructure(F2)&amp;CHAR(10)&amp;Basic_Fundamental_Information_Concatenate("")</f>
        <v xml:space="preserve">
市值18.015298亿, 利润3596.93万; PE48.9; 平均PE-47.8; 平均PEG-.74, PB14.25; ROIC21.47%; ROE18.0333%; 股利率0%; 毛利21.52%; 净利12.2067%; 上一年度营收增-2.26%, 利润增773.51%; 当季营收增-12.61%, 利润增375.97%; 过往5年营收增64.52%, 利润增50.43%
Income profile:
</v>
      </c>
      <c r="D2" t="s">
        <v>112</v>
      </c>
      <c r="E2" t="s">
        <v>1190</v>
      </c>
      <c r="F2">
        <v>5.2</v>
      </c>
      <c r="G2">
        <v>0.78</v>
      </c>
      <c r="H2" t="s">
        <v>1191</v>
      </c>
      <c r="I2">
        <v>1801529800</v>
      </c>
      <c r="J2">
        <v>48.9</v>
      </c>
      <c r="K2">
        <v>14.25</v>
      </c>
      <c r="L2" t="s">
        <v>57</v>
      </c>
      <c r="M2" t="s">
        <v>216</v>
      </c>
      <c r="N2" t="s">
        <v>382</v>
      </c>
      <c r="O2" t="s">
        <v>1192</v>
      </c>
      <c r="P2">
        <v>-12.61</v>
      </c>
      <c r="Q2" t="s">
        <v>1193</v>
      </c>
      <c r="R2">
        <v>640801</v>
      </c>
      <c r="S2" s="5">
        <v>3.76</v>
      </c>
      <c r="T2" t="s">
        <v>1194</v>
      </c>
      <c r="U2">
        <v>308948040</v>
      </c>
      <c r="V2">
        <v>346448040</v>
      </c>
      <c r="W2">
        <v>2.87</v>
      </c>
      <c r="X2">
        <v>0.11</v>
      </c>
      <c r="Y2">
        <v>0.84</v>
      </c>
      <c r="Z2" t="s">
        <v>1195</v>
      </c>
      <c r="AA2" t="s">
        <v>1196</v>
      </c>
      <c r="AB2" t="s">
        <v>1197</v>
      </c>
      <c r="AC2" t="s">
        <v>1198</v>
      </c>
      <c r="AD2" t="s">
        <v>133</v>
      </c>
      <c r="AE2">
        <v>-29010</v>
      </c>
      <c r="AF2" t="s">
        <v>1199</v>
      </c>
      <c r="AG2">
        <v>2521.0500000000002</v>
      </c>
      <c r="AH2" t="s">
        <v>1200</v>
      </c>
      <c r="AI2" t="s">
        <v>893</v>
      </c>
      <c r="AJ2" t="s">
        <v>1201</v>
      </c>
      <c r="AK2" t="s">
        <v>133</v>
      </c>
      <c r="AL2" t="s">
        <v>1202</v>
      </c>
      <c r="AM2" t="s">
        <v>133</v>
      </c>
      <c r="AN2">
        <v>0</v>
      </c>
      <c r="AO2" t="s">
        <v>1203</v>
      </c>
      <c r="AP2" t="s">
        <v>133</v>
      </c>
      <c r="AQ2" t="s">
        <v>1204</v>
      </c>
      <c r="AR2" t="s">
        <v>133</v>
      </c>
      <c r="AS2" t="s">
        <v>215</v>
      </c>
      <c r="AT2" t="s">
        <v>133</v>
      </c>
      <c r="AU2" t="s">
        <v>1205</v>
      </c>
      <c r="AV2" t="s">
        <v>1206</v>
      </c>
      <c r="AW2" t="s">
        <v>1207</v>
      </c>
      <c r="AX2" t="s">
        <v>165</v>
      </c>
      <c r="AY2" t="s">
        <v>801</v>
      </c>
      <c r="AZ2" t="s">
        <v>320</v>
      </c>
      <c r="BA2" t="s">
        <v>131</v>
      </c>
      <c r="BB2" t="s">
        <v>321</v>
      </c>
      <c r="BC2" t="s">
        <v>1208</v>
      </c>
      <c r="BD2" t="s">
        <v>643</v>
      </c>
      <c r="BE2" t="s">
        <v>249</v>
      </c>
      <c r="BF2" t="s">
        <v>132</v>
      </c>
      <c r="BG2" t="s">
        <v>322</v>
      </c>
      <c r="BH2" t="s">
        <v>1193</v>
      </c>
      <c r="BI2" t="s">
        <v>1038</v>
      </c>
      <c r="BJ2" t="s">
        <v>165</v>
      </c>
      <c r="BK2" t="s">
        <v>1194</v>
      </c>
      <c r="BL2" t="s">
        <v>1039</v>
      </c>
      <c r="BM2" t="s">
        <v>1208</v>
      </c>
      <c r="BN2">
        <v>5.2</v>
      </c>
      <c r="BO2" t="s">
        <v>133</v>
      </c>
      <c r="BP2">
        <v>37.74</v>
      </c>
      <c r="BQ2">
        <v>11.31</v>
      </c>
      <c r="BR2">
        <v>-5.43</v>
      </c>
      <c r="BS2">
        <v>48.22</v>
      </c>
      <c r="BT2" t="s">
        <v>856</v>
      </c>
      <c r="BU2" t="s">
        <v>782</v>
      </c>
      <c r="BV2">
        <v>21.55</v>
      </c>
      <c r="BW2">
        <v>19.97</v>
      </c>
      <c r="BX2">
        <v>23.04</v>
      </c>
      <c r="BY2">
        <v>16.87</v>
      </c>
      <c r="BZ2">
        <v>-2.87</v>
      </c>
      <c r="CA2">
        <v>22.62</v>
      </c>
      <c r="CB2">
        <v>9.6999999999999993</v>
      </c>
      <c r="CC2">
        <v>12.31</v>
      </c>
      <c r="CD2" t="s">
        <v>196</v>
      </c>
      <c r="CE2" t="s">
        <v>804</v>
      </c>
      <c r="CF2" s="9">
        <v>-0.12614473301676504</v>
      </c>
      <c r="CG2" s="10">
        <v>3.7596942291128337</v>
      </c>
      <c r="CH2" s="9">
        <v>-2.2624434903264046E-2</v>
      </c>
      <c r="CI2" s="9">
        <v>0.2415730357170105</v>
      </c>
      <c r="CJ2" s="9">
        <v>2.9427285194396973</v>
      </c>
      <c r="CK2" s="9">
        <v>7.4382208287715912E-2</v>
      </c>
      <c r="CL2" s="9">
        <v>-9.9661201238632202E-3</v>
      </c>
      <c r="CM2" s="10">
        <v>7.7350673675537109</v>
      </c>
      <c r="CN2" s="10">
        <v>-1.1336132287979126</v>
      </c>
      <c r="CO2" s="10">
        <v>1.324964165687561</v>
      </c>
      <c r="CP2" s="10">
        <v>-6.5187888145446777</v>
      </c>
      <c r="CQ2" s="10">
        <v>1.1137117147445679</v>
      </c>
      <c r="CR2">
        <v>-47.804280333921234</v>
      </c>
      <c r="CS2">
        <v>-0.74090048311675638</v>
      </c>
      <c r="CT2">
        <v>0</v>
      </c>
      <c r="CU2" s="9">
        <v>0.64521864168345933</v>
      </c>
      <c r="CV2" s="10">
        <v>0.50426824092864986</v>
      </c>
      <c r="CW2">
        <v>0.06</v>
      </c>
      <c r="CX2">
        <v>34.454755813442198</v>
      </c>
      <c r="CY2">
        <v>55827700.838023447</v>
      </c>
      <c r="CZ2">
        <v>0.64521864168345933</v>
      </c>
      <c r="DA2">
        <v>7.2654844386212156</v>
      </c>
      <c r="DB2">
        <v>264749008.30770093</v>
      </c>
      <c r="DC2">
        <v>0.6129577095992863</v>
      </c>
      <c r="DD2">
        <v>1.8292390821297657</v>
      </c>
      <c r="DE2">
        <v>1051546415.5513518</v>
      </c>
      <c r="DF2">
        <v>0.56779240468144421</v>
      </c>
      <c r="DG2">
        <v>0.46174538195285764</v>
      </c>
      <c r="DH2">
        <v>4165780265.8790526</v>
      </c>
      <c r="DI2">
        <v>0.51617491334676746</v>
      </c>
      <c r="DJ2">
        <v>2.6845631937833944E-2</v>
      </c>
      <c r="DK2">
        <v>71651500119.434372</v>
      </c>
      <c r="DL2">
        <v>0.45165304917842147</v>
      </c>
      <c r="DM2">
        <v>35969300</v>
      </c>
      <c r="DN2">
        <v>0.64521864168345933</v>
      </c>
      <c r="DO2">
        <v>1923529800</v>
      </c>
      <c r="DP2">
        <v>152175020</v>
      </c>
      <c r="DQ2">
        <v>5</v>
      </c>
      <c r="DR2">
        <v>-0.77136337470022442</v>
      </c>
      <c r="DS2">
        <v>3.255425988184184</v>
      </c>
      <c r="DT2" s="11">
        <v>0.12500000000000008</v>
      </c>
      <c r="DU2">
        <v>-0.38000000000000012</v>
      </c>
      <c r="DV2">
        <v>-0.255</v>
      </c>
      <c r="DW2">
        <v>9.7879772542648258</v>
      </c>
      <c r="DX2">
        <v>0.96879518072289317</v>
      </c>
      <c r="DY2">
        <v>9.5506347077995173</v>
      </c>
      <c r="DZ2">
        <v>2330</v>
      </c>
      <c r="EA2">
        <v>9.2995625220514011</v>
      </c>
      <c r="EB2">
        <v>9</v>
      </c>
      <c r="EC2">
        <v>0.33482654426331865</v>
      </c>
      <c r="ED2">
        <v>0.47914833058371464</v>
      </c>
      <c r="EE2" s="12">
        <v>4.0864000000000003</v>
      </c>
      <c r="EF2">
        <v>4.0864000000000003</v>
      </c>
      <c r="EG2">
        <v>27.698795180722893</v>
      </c>
      <c r="EH2" t="s">
        <v>1209</v>
      </c>
      <c r="EI2">
        <v>1</v>
      </c>
      <c r="EJ2">
        <v>0</v>
      </c>
      <c r="EK2" s="14">
        <v>45470</v>
      </c>
      <c r="EL2" s="15">
        <v>-0.43</v>
      </c>
      <c r="EM2" s="15">
        <v>0</v>
      </c>
      <c r="EN2" s="15">
        <v>1.95</v>
      </c>
      <c r="EO2" s="15">
        <v>0.43</v>
      </c>
      <c r="EP2" s="15">
        <v>0</v>
      </c>
    </row>
    <row r="3" spans="1:146" ht="96" x14ac:dyDescent="0.25">
      <c r="A3" s="7"/>
      <c r="B3" s="7"/>
      <c r="C3" s="7" t="str">
        <f>""&amp;CHAR(10)&amp;Basic_Fundamental_Information_Constructure(F3)&amp;CHAR(10)&amp;Basic_Fundamental_Information_Concatenate("")</f>
        <v xml:space="preserve">
市值21.539579亿, 利润-11.27亿; PE; 平均PE-3.53; 平均PEG-.36, PB2.36; ROIC0%; ROE-35.4467%; 股利率0%; 毛利54.5967%; 净利-148.5967%; 上一年度营收增76.77%, 利润增8.22%; 当季营收增-5.61%, 利润增20.24%; 过往5年营收增9.7%, 利润增-204.72%
Income profile:
</v>
      </c>
      <c r="D3" t="s">
        <v>64</v>
      </c>
      <c r="E3" t="s">
        <v>65</v>
      </c>
      <c r="F3">
        <v>1.78</v>
      </c>
      <c r="G3">
        <v>1.71</v>
      </c>
      <c r="H3" t="s">
        <v>1210</v>
      </c>
      <c r="I3">
        <v>2153957900</v>
      </c>
      <c r="K3">
        <v>2.36</v>
      </c>
      <c r="L3" t="s">
        <v>57</v>
      </c>
      <c r="M3" t="s">
        <v>1211</v>
      </c>
      <c r="N3" t="s">
        <v>1212</v>
      </c>
      <c r="O3" t="s">
        <v>1100</v>
      </c>
      <c r="P3">
        <v>-5.3</v>
      </c>
      <c r="Q3" t="s">
        <v>1125</v>
      </c>
      <c r="R3">
        <v>-81351440</v>
      </c>
      <c r="S3" s="5">
        <v>0.2011</v>
      </c>
      <c r="T3" t="s">
        <v>1213</v>
      </c>
      <c r="U3">
        <v>903728780</v>
      </c>
      <c r="V3">
        <v>1210088720</v>
      </c>
      <c r="W3">
        <v>9.91</v>
      </c>
      <c r="X3">
        <v>0.02</v>
      </c>
      <c r="Y3">
        <v>-44.52</v>
      </c>
      <c r="Z3" t="s">
        <v>175</v>
      </c>
      <c r="AA3" t="s">
        <v>1214</v>
      </c>
      <c r="AB3" t="s">
        <v>1215</v>
      </c>
      <c r="AC3" t="s">
        <v>1216</v>
      </c>
      <c r="AD3" t="s">
        <v>133</v>
      </c>
      <c r="AE3">
        <v>157478530</v>
      </c>
      <c r="AF3" t="s">
        <v>158</v>
      </c>
      <c r="AG3" t="s">
        <v>1217</v>
      </c>
      <c r="AH3" t="s">
        <v>1218</v>
      </c>
      <c r="AI3" t="s">
        <v>293</v>
      </c>
      <c r="AJ3" t="s">
        <v>1219</v>
      </c>
      <c r="AK3" t="s">
        <v>1220</v>
      </c>
      <c r="AL3" t="s">
        <v>1221</v>
      </c>
      <c r="AM3" t="s">
        <v>133</v>
      </c>
      <c r="AN3" t="s">
        <v>1222</v>
      </c>
      <c r="AO3" t="s">
        <v>1105</v>
      </c>
      <c r="AP3" t="s">
        <v>1223</v>
      </c>
      <c r="AQ3" t="s">
        <v>893</v>
      </c>
      <c r="AR3" t="s">
        <v>1224</v>
      </c>
      <c r="AS3" t="s">
        <v>1225</v>
      </c>
      <c r="AT3" t="s">
        <v>906</v>
      </c>
      <c r="AU3" t="s">
        <v>1226</v>
      </c>
      <c r="AV3" t="s">
        <v>1227</v>
      </c>
      <c r="AW3" t="s">
        <v>1228</v>
      </c>
      <c r="AX3" t="s">
        <v>798</v>
      </c>
      <c r="AY3" t="s">
        <v>644</v>
      </c>
      <c r="AZ3" t="s">
        <v>323</v>
      </c>
      <c r="BA3" t="s">
        <v>325</v>
      </c>
      <c r="BB3" t="s">
        <v>134</v>
      </c>
      <c r="BC3" t="s">
        <v>1229</v>
      </c>
      <c r="BD3" t="s">
        <v>645</v>
      </c>
      <c r="BE3" t="s">
        <v>324</v>
      </c>
      <c r="BF3" t="s">
        <v>326</v>
      </c>
      <c r="BG3" t="s">
        <v>327</v>
      </c>
      <c r="BH3" t="s">
        <v>1125</v>
      </c>
      <c r="BI3" t="s">
        <v>383</v>
      </c>
      <c r="BJ3" t="s">
        <v>798</v>
      </c>
      <c r="BK3" t="s">
        <v>1213</v>
      </c>
      <c r="BL3" t="s">
        <v>1041</v>
      </c>
      <c r="BM3" t="s">
        <v>1229</v>
      </c>
      <c r="BN3" t="s">
        <v>133</v>
      </c>
      <c r="BO3" t="s">
        <v>133</v>
      </c>
      <c r="BP3" t="s">
        <v>133</v>
      </c>
      <c r="BQ3">
        <v>-27.72</v>
      </c>
      <c r="BR3">
        <v>-43.54</v>
      </c>
      <c r="BS3">
        <v>-35.08</v>
      </c>
      <c r="BT3" t="s">
        <v>856</v>
      </c>
      <c r="BU3" t="s">
        <v>782</v>
      </c>
      <c r="BV3">
        <v>25.09</v>
      </c>
      <c r="BW3">
        <v>68.09</v>
      </c>
      <c r="BX3">
        <v>70.61</v>
      </c>
      <c r="BY3">
        <v>-98.02</v>
      </c>
      <c r="BZ3">
        <v>-181.02</v>
      </c>
      <c r="CA3">
        <v>-166.75</v>
      </c>
      <c r="CB3">
        <v>-0.56000000000000005</v>
      </c>
      <c r="CC3">
        <v>-23.61</v>
      </c>
      <c r="CD3" t="s">
        <v>214</v>
      </c>
      <c r="CE3" t="s">
        <v>1230</v>
      </c>
      <c r="CF3" s="9">
        <v>-5.6122448979591837E-2</v>
      </c>
      <c r="CG3" s="10">
        <v>0.20243686274509803</v>
      </c>
      <c r="CH3" s="9">
        <v>0.767722487449646</v>
      </c>
      <c r="CI3" s="9">
        <v>-0.12068965286016464</v>
      </c>
      <c r="CJ3" s="9">
        <v>9.9125362932682037E-2</v>
      </c>
      <c r="CK3" s="9">
        <v>-0.31193581223487854</v>
      </c>
      <c r="CL3" s="9">
        <v>5.0579559057950974E-2</v>
      </c>
      <c r="CM3" s="10">
        <v>8.2247503101825714E-2</v>
      </c>
      <c r="CN3" s="10">
        <v>-6.1365660279989243E-2</v>
      </c>
      <c r="CO3" s="10">
        <v>-2.9623284339904785</v>
      </c>
      <c r="CP3" s="10">
        <v>-6.8457870483398437</v>
      </c>
      <c r="CQ3" s="10">
        <v>-0.4489874541759491</v>
      </c>
      <c r="CR3">
        <v>-3.527803932158819</v>
      </c>
      <c r="CS3">
        <v>-0.36383970540004779</v>
      </c>
      <c r="CT3">
        <v>0</v>
      </c>
      <c r="CU3" s="9">
        <v>9.6960388869047162E-2</v>
      </c>
      <c r="CV3" s="10">
        <v>-2.0472442187368869</v>
      </c>
      <c r="CW3">
        <v>0.06</v>
      </c>
      <c r="CX3" t="e">
        <v>#VALUE!</v>
      </c>
      <c r="CY3" t="s">
        <v>783</v>
      </c>
      <c r="CZ3">
        <v>9.6960388869047162E-2</v>
      </c>
      <c r="DA3" t="e">
        <v>#VALUE!</v>
      </c>
      <c r="DB3" t="s">
        <v>784</v>
      </c>
      <c r="DC3">
        <v>9.2112369425594795E-2</v>
      </c>
      <c r="DD3" t="e">
        <v>#VALUE!</v>
      </c>
      <c r="DE3" t="s">
        <v>784</v>
      </c>
      <c r="DF3">
        <v>8.5325142204761506E-2</v>
      </c>
      <c r="DG3" t="e">
        <v>#VALUE!</v>
      </c>
      <c r="DH3" t="s">
        <v>784</v>
      </c>
      <c r="DI3">
        <v>7.7568311095237735E-2</v>
      </c>
      <c r="DJ3" t="e">
        <v>#VALUE!</v>
      </c>
      <c r="DK3" t="s">
        <v>784</v>
      </c>
      <c r="DL3">
        <v>6.7872272208333015E-2</v>
      </c>
      <c r="DM3">
        <v>-1127000000</v>
      </c>
      <c r="DN3">
        <v>9.6960388869047162E-2</v>
      </c>
      <c r="DO3">
        <v>9072957900</v>
      </c>
      <c r="DP3">
        <v>-4825077590</v>
      </c>
      <c r="DQ3">
        <v>38</v>
      </c>
      <c r="DR3">
        <v>-0.15308283784863899</v>
      </c>
      <c r="DS3">
        <v>2.249681081481985</v>
      </c>
      <c r="DT3" s="11">
        <v>-0.22333333333333336</v>
      </c>
      <c r="DU3">
        <v>-2.2850000000000001</v>
      </c>
      <c r="DV3">
        <v>-2.5083333333333333</v>
      </c>
      <c r="DW3">
        <v>-3.086065476190476</v>
      </c>
      <c r="DX3">
        <v>0.33104325699745446</v>
      </c>
      <c r="DY3">
        <v>-3.0112783003150367</v>
      </c>
      <c r="DZ3">
        <v>4689</v>
      </c>
      <c r="EA3">
        <v>-3.0009291906913171</v>
      </c>
      <c r="EB3">
        <v>3</v>
      </c>
      <c r="EC3">
        <v>8.5117725913518141E-2</v>
      </c>
      <c r="ED3">
        <v>0.64953915114587635</v>
      </c>
      <c r="EE3" s="12">
        <v>-4.1041999999999996</v>
      </c>
      <c r="EF3">
        <v>-3.0055999999999998</v>
      </c>
      <c r="EG3">
        <v>20.131043256997454</v>
      </c>
      <c r="EH3" t="s">
        <v>1063</v>
      </c>
      <c r="EI3">
        <v>0</v>
      </c>
      <c r="EJ3">
        <v>0</v>
      </c>
      <c r="EK3" s="14">
        <v>45470</v>
      </c>
      <c r="EL3" s="15">
        <v>0</v>
      </c>
      <c r="EM3" s="15">
        <v>-4.57</v>
      </c>
      <c r="EN3" s="15">
        <v>1.2</v>
      </c>
      <c r="EO3" s="15">
        <v>3.55</v>
      </c>
      <c r="EP3" s="15">
        <v>5.14</v>
      </c>
    </row>
    <row r="4" spans="1:146" ht="96" x14ac:dyDescent="0.25">
      <c r="A4" s="7"/>
      <c r="B4" s="7"/>
      <c r="C4" s="7" t="str">
        <f>""&amp;CHAR(10)&amp;Basic_Fundamental_Information_Constructure(F4)&amp;CHAR(10)&amp;Basic_Fundamental_Information_Concatenate("")</f>
        <v xml:space="preserve">
市值66.361716亿, 利润9046.75万; PE80.51; 平均PE139.78; 平均PEG25.57, PB3.27; ROIC3.8967%; ROE3.4267%; 股利率.5566%; 毛利20.11%; 净利4.3267%; 上一年度营收增6.56%, 利润增473.44%; 当季营收增-6.97%, 利润增-24.43%; 过往5年营收增5.47%, 利润增120.21%
Income profile:
</v>
      </c>
      <c r="D4" t="s">
        <v>56</v>
      </c>
      <c r="E4" t="s">
        <v>13</v>
      </c>
      <c r="F4">
        <v>5.39</v>
      </c>
      <c r="G4">
        <v>0.56000000000000005</v>
      </c>
      <c r="H4" t="s">
        <v>1231</v>
      </c>
      <c r="I4">
        <v>6636171600</v>
      </c>
      <c r="J4">
        <v>80.510000000000005</v>
      </c>
      <c r="K4">
        <v>3.27</v>
      </c>
      <c r="L4" t="s">
        <v>57</v>
      </c>
      <c r="M4" t="s">
        <v>1232</v>
      </c>
      <c r="N4" t="s">
        <v>1233</v>
      </c>
      <c r="O4" t="s">
        <v>1165</v>
      </c>
      <c r="P4">
        <v>-6.99</v>
      </c>
      <c r="Q4" t="s">
        <v>1234</v>
      </c>
      <c r="R4">
        <v>24867650</v>
      </c>
      <c r="S4" s="5">
        <v>-0.24429999999999999</v>
      </c>
      <c r="T4" t="s">
        <v>1235</v>
      </c>
      <c r="U4">
        <v>984691600</v>
      </c>
      <c r="V4">
        <v>1231200670</v>
      </c>
      <c r="W4">
        <v>2.12</v>
      </c>
      <c r="X4">
        <v>0.08</v>
      </c>
      <c r="Y4">
        <v>6.8</v>
      </c>
      <c r="Z4" t="s">
        <v>1174</v>
      </c>
      <c r="AA4" t="s">
        <v>870</v>
      </c>
      <c r="AB4" t="s">
        <v>1236</v>
      </c>
      <c r="AC4" t="s">
        <v>1237</v>
      </c>
      <c r="AD4" t="s">
        <v>133</v>
      </c>
      <c r="AE4">
        <v>8346851</v>
      </c>
      <c r="AF4" t="s">
        <v>1238</v>
      </c>
      <c r="AG4" t="s">
        <v>1239</v>
      </c>
      <c r="AH4" t="s">
        <v>1240</v>
      </c>
      <c r="AI4" t="s">
        <v>1241</v>
      </c>
      <c r="AJ4" t="s">
        <v>1242</v>
      </c>
      <c r="AK4" t="s">
        <v>1243</v>
      </c>
      <c r="AL4" t="s">
        <v>1244</v>
      </c>
      <c r="AM4" t="s">
        <v>133</v>
      </c>
      <c r="AN4" t="s">
        <v>1245</v>
      </c>
      <c r="AO4" t="s">
        <v>367</v>
      </c>
      <c r="AP4" t="s">
        <v>133</v>
      </c>
      <c r="AQ4" t="s">
        <v>907</v>
      </c>
      <c r="AR4" t="s">
        <v>657</v>
      </c>
      <c r="AS4" t="s">
        <v>1246</v>
      </c>
      <c r="AT4" t="s">
        <v>1123</v>
      </c>
      <c r="AU4" t="s">
        <v>1247</v>
      </c>
      <c r="AV4" t="s">
        <v>1248</v>
      </c>
      <c r="AW4" t="s">
        <v>1249</v>
      </c>
      <c r="AX4" t="s">
        <v>884</v>
      </c>
      <c r="AY4" t="s">
        <v>646</v>
      </c>
      <c r="AZ4" t="s">
        <v>329</v>
      </c>
      <c r="BA4" t="s">
        <v>137</v>
      </c>
      <c r="BB4" t="s">
        <v>331</v>
      </c>
      <c r="BC4" t="s">
        <v>885</v>
      </c>
      <c r="BD4" t="s">
        <v>647</v>
      </c>
      <c r="BE4" t="s">
        <v>330</v>
      </c>
      <c r="BF4" t="s">
        <v>138</v>
      </c>
      <c r="BG4" t="s">
        <v>332</v>
      </c>
      <c r="BH4" t="s">
        <v>1234</v>
      </c>
      <c r="BI4" t="s">
        <v>1044</v>
      </c>
      <c r="BJ4" t="s">
        <v>884</v>
      </c>
      <c r="BK4" t="s">
        <v>1235</v>
      </c>
      <c r="BL4" t="s">
        <v>1045</v>
      </c>
      <c r="BM4" t="s">
        <v>885</v>
      </c>
      <c r="BN4">
        <v>5.77</v>
      </c>
      <c r="BO4">
        <v>2.11</v>
      </c>
      <c r="BP4">
        <v>3.81</v>
      </c>
      <c r="BQ4">
        <v>7.06</v>
      </c>
      <c r="BR4">
        <v>0.81</v>
      </c>
      <c r="BS4">
        <v>2.41</v>
      </c>
      <c r="BT4" t="s">
        <v>864</v>
      </c>
      <c r="BU4" t="s">
        <v>782</v>
      </c>
      <c r="BV4">
        <v>22.98</v>
      </c>
      <c r="BW4">
        <v>15.62</v>
      </c>
      <c r="BX4">
        <v>21.73</v>
      </c>
      <c r="BY4">
        <v>5.84</v>
      </c>
      <c r="BZ4">
        <v>2.19</v>
      </c>
      <c r="CA4">
        <v>4.95</v>
      </c>
      <c r="CB4">
        <v>0.37</v>
      </c>
      <c r="CC4">
        <v>-14.72</v>
      </c>
      <c r="CD4" t="s">
        <v>1250</v>
      </c>
      <c r="CE4" t="s">
        <v>942</v>
      </c>
      <c r="CF4" s="9">
        <v>-6.9662921348314741E-2</v>
      </c>
      <c r="CG4" s="10">
        <v>-0.24426841794963744</v>
      </c>
      <c r="CH4" s="9">
        <v>6.5609626471996307E-2</v>
      </c>
      <c r="CI4" s="9">
        <v>-8.3208084106445313E-2</v>
      </c>
      <c r="CJ4" s="9">
        <v>0.42094022035598755</v>
      </c>
      <c r="CK4" s="9">
        <v>-5.9611480683088303E-2</v>
      </c>
      <c r="CL4" s="9">
        <v>-7.03611820936203E-2</v>
      </c>
      <c r="CM4" s="10">
        <v>4.7343926429748535</v>
      </c>
      <c r="CN4" s="10">
        <v>-0.65986669063568115</v>
      </c>
      <c r="CO4" s="10">
        <v>0.78911781311035156</v>
      </c>
      <c r="CP4" s="10">
        <v>-0.66952461004257202</v>
      </c>
      <c r="CQ4" s="10">
        <v>1.816506028175354</v>
      </c>
      <c r="CR4">
        <v>139.78175848881205</v>
      </c>
      <c r="CS4">
        <v>25.566488406521099</v>
      </c>
      <c r="CT4">
        <v>0.5565862708719852</v>
      </c>
      <c r="CU4" s="9">
        <v>5.4673819988965991E-2</v>
      </c>
      <c r="CV4" s="10">
        <v>1.2021250367164611</v>
      </c>
      <c r="CW4">
        <v>0.06</v>
      </c>
      <c r="CX4">
        <v>77.557432533458808</v>
      </c>
      <c r="CY4">
        <v>90012928.122501671</v>
      </c>
      <c r="CZ4">
        <v>5.4673819988965991E-2</v>
      </c>
      <c r="DA4">
        <v>26.117747617237004</v>
      </c>
      <c r="DB4">
        <v>267296081.66489121</v>
      </c>
      <c r="DC4">
        <v>5.1940128989517692E-2</v>
      </c>
      <c r="DD4">
        <v>13.376612099841108</v>
      </c>
      <c r="DE4">
        <v>521893850.84156883</v>
      </c>
      <c r="DF4">
        <v>4.811296159029007E-2</v>
      </c>
      <c r="DG4">
        <v>8.393329652295078</v>
      </c>
      <c r="DH4">
        <v>831752342.53918087</v>
      </c>
      <c r="DI4">
        <v>4.3739055991172796E-2</v>
      </c>
      <c r="DJ4">
        <v>4.7616668079314222</v>
      </c>
      <c r="DK4">
        <v>1466119298.471617</v>
      </c>
      <c r="DL4">
        <v>3.8271673992276191E-2</v>
      </c>
      <c r="DM4">
        <v>90467500</v>
      </c>
      <c r="DN4">
        <v>5.4673819988965991E-2</v>
      </c>
      <c r="DO4">
        <v>6981171600</v>
      </c>
      <c r="DP4">
        <v>1269717900.0000002</v>
      </c>
      <c r="DQ4">
        <v>39</v>
      </c>
      <c r="DR4">
        <v>-0.12433674133728073</v>
      </c>
      <c r="DS4">
        <v>-1.4463934546660986</v>
      </c>
      <c r="DT4" s="11">
        <v>-0.3066666666666667</v>
      </c>
      <c r="DU4">
        <v>0.28666666666666668</v>
      </c>
      <c r="DV4">
        <v>-2.0000000000000018E-2</v>
      </c>
      <c r="DW4">
        <v>-2.1471999999999998</v>
      </c>
      <c r="DX4">
        <v>0.30688982035928081</v>
      </c>
      <c r="DY4">
        <v>-2.0216221815568862</v>
      </c>
      <c r="DZ4">
        <v>1746</v>
      </c>
      <c r="EA4">
        <v>-2.01423425024606</v>
      </c>
      <c r="EB4">
        <v>2</v>
      </c>
      <c r="EC4">
        <v>1.9924128208929581E-2</v>
      </c>
      <c r="ED4">
        <v>0.13563995217773883</v>
      </c>
      <c r="EE4" s="12">
        <v>-1.0846100000000001</v>
      </c>
      <c r="EF4">
        <v>-1.10791</v>
      </c>
      <c r="EG4">
        <v>16.146889820359281</v>
      </c>
      <c r="EH4" t="s">
        <v>793</v>
      </c>
      <c r="EI4">
        <v>0</v>
      </c>
      <c r="EJ4">
        <v>0</v>
      </c>
      <c r="EK4" s="14">
        <v>45470</v>
      </c>
      <c r="EL4" s="15">
        <v>0</v>
      </c>
      <c r="EM4" s="15">
        <v>-4.5</v>
      </c>
      <c r="EN4" s="15">
        <v>1.1299999999999999</v>
      </c>
      <c r="EO4" s="15">
        <v>3.92</v>
      </c>
      <c r="EP4" s="15">
        <v>-2.33</v>
      </c>
    </row>
    <row r="5" spans="1:146" ht="96" x14ac:dyDescent="0.25">
      <c r="A5" s="7"/>
      <c r="B5" s="7"/>
      <c r="C5" s="7" t="str">
        <f>""&amp;CHAR(10)&amp;Basic_Fundamental_Information_Constructure(F5)&amp;CHAR(10)&amp;Basic_Fundamental_Information_Concatenate("")</f>
        <v xml:space="preserve">
市值84.508814亿, 利润4.49亿; PE19.02; 平均PE29.95; 平均PEG1.55, PB1.36; ROIC3.69%; ROE5.08%; 股利率2.2088%; 毛利29.45%; 净利10.1767%; 上一年度营收增26.09%, 利润增122.28%; 当季营收增-15.32%, 利润增-5.27%; 过往5年营收增19.32%, 利润增144.3%
Income profile:
</v>
      </c>
      <c r="D5" t="s">
        <v>66</v>
      </c>
      <c r="E5" t="s">
        <v>7</v>
      </c>
      <c r="F5">
        <v>4.9800000000000004</v>
      </c>
      <c r="G5">
        <v>2.2599999999999998</v>
      </c>
      <c r="H5" t="s">
        <v>1251</v>
      </c>
      <c r="I5">
        <v>8450881400</v>
      </c>
      <c r="J5">
        <v>19.02</v>
      </c>
      <c r="K5">
        <v>1.36</v>
      </c>
      <c r="L5" t="s">
        <v>57</v>
      </c>
      <c r="M5" t="s">
        <v>1252</v>
      </c>
      <c r="N5" t="s">
        <v>1253</v>
      </c>
      <c r="O5" t="s">
        <v>353</v>
      </c>
      <c r="P5">
        <v>-15.35</v>
      </c>
      <c r="Q5" t="s">
        <v>1254</v>
      </c>
      <c r="R5">
        <v>82547143</v>
      </c>
      <c r="S5" s="5">
        <v>-5.2699999999999997E-2</v>
      </c>
      <c r="T5" t="s">
        <v>1255</v>
      </c>
      <c r="U5">
        <v>1696932500</v>
      </c>
      <c r="V5">
        <v>1696964100</v>
      </c>
      <c r="W5">
        <v>2.61</v>
      </c>
      <c r="X5">
        <v>0.05</v>
      </c>
      <c r="Y5">
        <v>10.47</v>
      </c>
      <c r="Z5" t="s">
        <v>1128</v>
      </c>
      <c r="AA5" t="s">
        <v>1256</v>
      </c>
      <c r="AB5" t="s">
        <v>1257</v>
      </c>
      <c r="AC5" t="s">
        <v>139</v>
      </c>
      <c r="AD5" t="s">
        <v>133</v>
      </c>
      <c r="AE5">
        <v>34398168</v>
      </c>
      <c r="AF5" t="s">
        <v>1258</v>
      </c>
      <c r="AG5" t="s">
        <v>1259</v>
      </c>
      <c r="AH5" t="s">
        <v>1260</v>
      </c>
      <c r="AI5" t="s">
        <v>1261</v>
      </c>
      <c r="AJ5" t="s">
        <v>1262</v>
      </c>
      <c r="AK5" t="s">
        <v>133</v>
      </c>
      <c r="AL5" t="s">
        <v>1263</v>
      </c>
      <c r="AM5" t="s">
        <v>133</v>
      </c>
      <c r="AN5" t="s">
        <v>1264</v>
      </c>
      <c r="AO5" t="s">
        <v>1265</v>
      </c>
      <c r="AP5" t="s">
        <v>133</v>
      </c>
      <c r="AQ5" t="s">
        <v>1266</v>
      </c>
      <c r="AR5" t="s">
        <v>133</v>
      </c>
      <c r="AS5" t="s">
        <v>1267</v>
      </c>
      <c r="AT5" t="s">
        <v>1268</v>
      </c>
      <c r="AU5" t="s">
        <v>297</v>
      </c>
      <c r="AV5" t="s">
        <v>1269</v>
      </c>
      <c r="AW5" t="s">
        <v>1270</v>
      </c>
      <c r="AX5" t="s">
        <v>889</v>
      </c>
      <c r="AY5" t="s">
        <v>649</v>
      </c>
      <c r="AZ5" t="s">
        <v>335</v>
      </c>
      <c r="BA5" t="s">
        <v>141</v>
      </c>
      <c r="BB5" t="s">
        <v>338</v>
      </c>
      <c r="BC5" t="s">
        <v>202</v>
      </c>
      <c r="BD5" t="s">
        <v>573</v>
      </c>
      <c r="BE5" t="s">
        <v>336</v>
      </c>
      <c r="BF5" t="s">
        <v>142</v>
      </c>
      <c r="BG5" t="s">
        <v>339</v>
      </c>
      <c r="BH5" t="s">
        <v>1254</v>
      </c>
      <c r="BI5" t="s">
        <v>1048</v>
      </c>
      <c r="BJ5" t="s">
        <v>889</v>
      </c>
      <c r="BK5" t="s">
        <v>1255</v>
      </c>
      <c r="BL5" t="s">
        <v>1049</v>
      </c>
      <c r="BM5" t="s">
        <v>202</v>
      </c>
      <c r="BN5">
        <v>3.43</v>
      </c>
      <c r="BO5">
        <v>3.14</v>
      </c>
      <c r="BP5">
        <v>4.5</v>
      </c>
      <c r="BQ5">
        <v>4.9800000000000004</v>
      </c>
      <c r="BR5">
        <v>3.5</v>
      </c>
      <c r="BS5">
        <v>6.76</v>
      </c>
      <c r="BT5" t="s">
        <v>1271</v>
      </c>
      <c r="BU5" t="s">
        <v>782</v>
      </c>
      <c r="BV5">
        <v>28.21</v>
      </c>
      <c r="BW5">
        <v>27.69</v>
      </c>
      <c r="BX5">
        <v>32.450000000000003</v>
      </c>
      <c r="BY5">
        <v>10.9</v>
      </c>
      <c r="BZ5">
        <v>7.52</v>
      </c>
      <c r="CA5">
        <v>12.11</v>
      </c>
      <c r="CB5">
        <v>2.4700000000000002</v>
      </c>
      <c r="CC5">
        <v>-11.39</v>
      </c>
      <c r="CD5" t="s">
        <v>1272</v>
      </c>
      <c r="CE5" t="s">
        <v>174</v>
      </c>
      <c r="CF5" s="9">
        <v>-0.15322580645161291</v>
      </c>
      <c r="CG5" s="10">
        <v>-5.2733821040250164E-2</v>
      </c>
      <c r="CH5" s="9">
        <v>0.26090952754020691</v>
      </c>
      <c r="CI5" s="9">
        <v>6.4027339220046997E-2</v>
      </c>
      <c r="CJ5" s="9">
        <v>0.28922489285469055</v>
      </c>
      <c r="CK5" s="9">
        <v>0.1125132143497467</v>
      </c>
      <c r="CL5" s="9">
        <v>0.23935697972774506</v>
      </c>
      <c r="CM5" s="10">
        <v>1.2227722406387329</v>
      </c>
      <c r="CN5" s="10">
        <v>-0.45989304780960083</v>
      </c>
      <c r="CO5" s="10">
        <v>0.18730159103870392</v>
      </c>
      <c r="CP5" s="10">
        <v>1.6129031777381897E-2</v>
      </c>
      <c r="CQ5" s="10">
        <v>6.2485623359680176</v>
      </c>
      <c r="CR5">
        <v>29.954084291926513</v>
      </c>
      <c r="CS5">
        <v>1.5503671580134526</v>
      </c>
      <c r="CT5">
        <v>2.2088353413654618</v>
      </c>
      <c r="CU5" s="9">
        <v>0.19320639073848725</v>
      </c>
      <c r="CV5" s="10">
        <v>1.4429744303226471</v>
      </c>
      <c r="CW5">
        <v>0.06</v>
      </c>
      <c r="CX5">
        <v>27.546921866293882</v>
      </c>
      <c r="CY5">
        <v>505424216.45432144</v>
      </c>
      <c r="CZ5">
        <v>0.19320639073848725</v>
      </c>
      <c r="DA5">
        <v>8.2574356513847142</v>
      </c>
      <c r="DB5">
        <v>1686102318.9039602</v>
      </c>
      <c r="DC5">
        <v>0.18354607120156288</v>
      </c>
      <c r="DD5">
        <v>3.6063293919734454</v>
      </c>
      <c r="DE5">
        <v>3860679346.4257464</v>
      </c>
      <c r="DF5">
        <v>0.17002162384986877</v>
      </c>
      <c r="DG5">
        <v>1.8808793502132128</v>
      </c>
      <c r="DH5">
        <v>7402325618.8238382</v>
      </c>
      <c r="DI5">
        <v>0.15456511259078981</v>
      </c>
      <c r="DJ5">
        <v>0.69869391187388818</v>
      </c>
      <c r="DK5">
        <v>19927011189.576576</v>
      </c>
      <c r="DL5">
        <v>0.13524447351694108</v>
      </c>
      <c r="DM5">
        <v>449000000</v>
      </c>
      <c r="DN5">
        <v>0.19320639073848725</v>
      </c>
      <c r="DO5">
        <v>13922881400</v>
      </c>
      <c r="DP5">
        <v>-4767267200</v>
      </c>
      <c r="DQ5">
        <v>42</v>
      </c>
      <c r="DR5">
        <v>-0.34643219719010016</v>
      </c>
      <c r="DS5">
        <v>-1.4957082513628972</v>
      </c>
      <c r="DT5" s="11">
        <v>-4.0000000000000036E-2</v>
      </c>
      <c r="DU5">
        <v>0.84833333333333327</v>
      </c>
      <c r="DV5">
        <v>0.80833333333333324</v>
      </c>
      <c r="DW5">
        <v>-2.1139000000000001</v>
      </c>
      <c r="DX5">
        <v>0.57063510638298143</v>
      </c>
      <c r="DY5">
        <v>-2.0194353386170212</v>
      </c>
      <c r="DZ5">
        <v>349</v>
      </c>
      <c r="EA5">
        <v>-2.0181079544335887</v>
      </c>
      <c r="EB5">
        <v>2</v>
      </c>
      <c r="EC5">
        <v>1.8903994492281834E-2</v>
      </c>
      <c r="ED5">
        <v>0.11078607968194495</v>
      </c>
      <c r="EE5" s="12">
        <v>-2.1061100000000001</v>
      </c>
      <c r="EF5">
        <v>-2.1242100000000002</v>
      </c>
      <c r="EG5">
        <v>40.170635106382981</v>
      </c>
      <c r="EH5" t="s">
        <v>1178</v>
      </c>
      <c r="EI5">
        <v>0</v>
      </c>
      <c r="EJ5">
        <v>1</v>
      </c>
      <c r="EK5" s="14">
        <v>45470</v>
      </c>
      <c r="EL5" s="15">
        <v>0.61</v>
      </c>
      <c r="EM5" s="15">
        <v>-3.82</v>
      </c>
      <c r="EN5" s="15">
        <v>1.04</v>
      </c>
      <c r="EO5" s="15">
        <v>2.69</v>
      </c>
      <c r="EP5" s="15">
        <v>-1.81</v>
      </c>
    </row>
    <row r="6" spans="1:146" ht="96" x14ac:dyDescent="0.25">
      <c r="A6" s="7"/>
      <c r="B6" s="7"/>
      <c r="C6" s="7" t="str">
        <f>""&amp;CHAR(10)&amp;Basic_Fundamental_Information_Constructure(F6)&amp;CHAR(10)&amp;Basic_Fundamental_Information_Concatenate("")</f>
        <v xml:space="preserve">
市值33.223067亿, 利润2.64亿; PE12.19; 平均PE17.53; 平均PEG2.57, PB.707; ROIC4.5633%; ROE4.7967%; 股利率2.5822%; 毛利29.28%; 净利4.1833%; 上一年度营收增6.13%, 利润增54.39%; 当季营收增1.68%, 利润增8.9%; 过往5年营收增-6.83%, 利润增7.61%
Income profile:
</v>
      </c>
      <c r="D6" t="s">
        <v>89</v>
      </c>
      <c r="E6" t="s">
        <v>35</v>
      </c>
      <c r="F6">
        <v>4.26</v>
      </c>
      <c r="G6">
        <v>1.19</v>
      </c>
      <c r="H6" t="s">
        <v>1273</v>
      </c>
      <c r="I6">
        <v>3322306700</v>
      </c>
      <c r="J6">
        <v>12.19</v>
      </c>
      <c r="K6">
        <v>0.70699999999999996</v>
      </c>
      <c r="L6" t="s">
        <v>57</v>
      </c>
      <c r="M6" t="s">
        <v>1274</v>
      </c>
      <c r="N6" t="s">
        <v>1275</v>
      </c>
      <c r="O6" t="s">
        <v>1276</v>
      </c>
      <c r="P6">
        <v>1.68</v>
      </c>
      <c r="Q6" t="s">
        <v>1277</v>
      </c>
      <c r="R6">
        <v>105202044</v>
      </c>
      <c r="S6" s="5">
        <v>8.8999999999999996E-2</v>
      </c>
      <c r="T6" t="s">
        <v>876</v>
      </c>
      <c r="U6">
        <v>779027450</v>
      </c>
      <c r="V6">
        <v>779884200</v>
      </c>
      <c r="W6">
        <v>2.25</v>
      </c>
      <c r="X6">
        <v>0.15</v>
      </c>
      <c r="Y6">
        <v>6.46</v>
      </c>
      <c r="Z6" t="s">
        <v>1278</v>
      </c>
      <c r="AA6" t="s">
        <v>1279</v>
      </c>
      <c r="AB6" t="s">
        <v>196</v>
      </c>
      <c r="AC6" t="s">
        <v>205</v>
      </c>
      <c r="AD6" t="s">
        <v>133</v>
      </c>
      <c r="AE6">
        <v>11268614</v>
      </c>
      <c r="AF6" t="s">
        <v>1280</v>
      </c>
      <c r="AG6" t="s">
        <v>1281</v>
      </c>
      <c r="AH6" t="s">
        <v>1282</v>
      </c>
      <c r="AI6" t="s">
        <v>1283</v>
      </c>
      <c r="AJ6" t="s">
        <v>1284</v>
      </c>
      <c r="AK6" t="s">
        <v>1285</v>
      </c>
      <c r="AL6" t="s">
        <v>1286</v>
      </c>
      <c r="AM6" t="s">
        <v>133</v>
      </c>
      <c r="AN6" t="s">
        <v>977</v>
      </c>
      <c r="AO6" t="s">
        <v>215</v>
      </c>
      <c r="AP6" t="s">
        <v>1047</v>
      </c>
      <c r="AQ6" t="s">
        <v>1094</v>
      </c>
      <c r="AR6" t="s">
        <v>383</v>
      </c>
      <c r="AS6" t="s">
        <v>1287</v>
      </c>
      <c r="AT6" t="s">
        <v>1288</v>
      </c>
      <c r="AU6" t="s">
        <v>1289</v>
      </c>
      <c r="AV6" t="s">
        <v>869</v>
      </c>
      <c r="AW6" t="s">
        <v>1290</v>
      </c>
      <c r="AX6" t="s">
        <v>892</v>
      </c>
      <c r="AY6" t="s">
        <v>650</v>
      </c>
      <c r="AZ6" t="s">
        <v>340</v>
      </c>
      <c r="BA6" t="s">
        <v>144</v>
      </c>
      <c r="BB6" t="s">
        <v>342</v>
      </c>
      <c r="BC6" t="s">
        <v>1291</v>
      </c>
      <c r="BD6" t="s">
        <v>143</v>
      </c>
      <c r="BE6" t="s">
        <v>289</v>
      </c>
      <c r="BF6" t="s">
        <v>140</v>
      </c>
      <c r="BG6" t="s">
        <v>222</v>
      </c>
      <c r="BH6" t="s">
        <v>1277</v>
      </c>
      <c r="BI6" t="s">
        <v>1052</v>
      </c>
      <c r="BJ6" t="s">
        <v>892</v>
      </c>
      <c r="BK6" t="s">
        <v>876</v>
      </c>
      <c r="BL6" t="s">
        <v>1053</v>
      </c>
      <c r="BM6" t="s">
        <v>1291</v>
      </c>
      <c r="BN6">
        <v>5.32</v>
      </c>
      <c r="BO6">
        <v>3.77</v>
      </c>
      <c r="BP6">
        <v>4.5999999999999996</v>
      </c>
      <c r="BQ6">
        <v>6.03</v>
      </c>
      <c r="BR6">
        <v>3.96</v>
      </c>
      <c r="BS6">
        <v>4.4000000000000004</v>
      </c>
      <c r="BT6" t="s">
        <v>1271</v>
      </c>
      <c r="BU6" t="s">
        <v>787</v>
      </c>
      <c r="BV6">
        <v>27.68</v>
      </c>
      <c r="BW6">
        <v>29.33</v>
      </c>
      <c r="BX6">
        <v>30.83</v>
      </c>
      <c r="BY6">
        <v>5.03</v>
      </c>
      <c r="BZ6">
        <v>3.62</v>
      </c>
      <c r="CA6">
        <v>3.9</v>
      </c>
      <c r="CB6">
        <v>2.65</v>
      </c>
      <c r="CC6">
        <v>-10.5</v>
      </c>
      <c r="CD6" t="s">
        <v>1292</v>
      </c>
      <c r="CE6" t="s">
        <v>800</v>
      </c>
      <c r="CF6" s="9">
        <v>1.6759776536312727E-2</v>
      </c>
      <c r="CG6" s="10">
        <v>8.9015381525813245E-2</v>
      </c>
      <c r="CH6" s="9">
        <v>6.1250373721122742E-2</v>
      </c>
      <c r="CI6" s="9">
        <v>-5.6799850426614285E-3</v>
      </c>
      <c r="CJ6" s="9">
        <v>1.263823127374053E-3</v>
      </c>
      <c r="CK6" s="9">
        <v>-0.41974514722824097</v>
      </c>
      <c r="CL6" s="9">
        <v>2.1250635385513306E-2</v>
      </c>
      <c r="CM6" s="10">
        <v>0.54385966062545776</v>
      </c>
      <c r="CN6" s="10">
        <v>-5.5248618125915527E-2</v>
      </c>
      <c r="CO6" s="10">
        <v>0.32116788625717163</v>
      </c>
      <c r="CP6" s="10">
        <v>-0.14374999701976776</v>
      </c>
      <c r="CQ6" s="10">
        <v>-0.28571429848670959</v>
      </c>
      <c r="CR6">
        <v>17.531961477572558</v>
      </c>
      <c r="CS6">
        <v>2.5657007085223928</v>
      </c>
      <c r="CT6">
        <v>2.5821596244131459</v>
      </c>
      <c r="CU6" s="9">
        <v>-6.8332060007378459E-2</v>
      </c>
      <c r="CV6" s="10">
        <v>7.6062926650047297E-2</v>
      </c>
      <c r="CW6">
        <v>0.06</v>
      </c>
      <c r="CX6">
        <v>19.580707196969698</v>
      </c>
      <c r="CY6" t="s">
        <v>1293</v>
      </c>
      <c r="CZ6">
        <v>-6.8332060007378459E-2</v>
      </c>
      <c r="DA6">
        <v>6.5269023989898987</v>
      </c>
      <c r="DB6" t="s">
        <v>1294</v>
      </c>
      <c r="DC6">
        <v>-6.4915457007009528E-2</v>
      </c>
      <c r="DD6">
        <v>3.2634511994949493</v>
      </c>
      <c r="DE6" t="s">
        <v>1295</v>
      </c>
      <c r="DF6">
        <v>-6.0132212806493043E-2</v>
      </c>
      <c r="DG6">
        <v>1.9580707196969698</v>
      </c>
      <c r="DH6" t="s">
        <v>1296</v>
      </c>
      <c r="DI6">
        <v>-5.4665648005902769E-2</v>
      </c>
      <c r="DJ6">
        <v>0.97903535984848489</v>
      </c>
      <c r="DK6" t="s">
        <v>1297</v>
      </c>
      <c r="DL6">
        <v>-4.783244200516492E-2</v>
      </c>
      <c r="DM6">
        <v>264000000</v>
      </c>
      <c r="DN6">
        <v>-6.8332060007378459E-2</v>
      </c>
      <c r="DO6">
        <v>5169306700</v>
      </c>
      <c r="DP6">
        <v>95679300</v>
      </c>
      <c r="DQ6">
        <v>80</v>
      </c>
      <c r="DR6">
        <v>8.5091836543691179E-2</v>
      </c>
      <c r="DS6">
        <v>1.2952454875765948E-2</v>
      </c>
      <c r="DT6" s="11">
        <v>-0.55666666666666664</v>
      </c>
      <c r="DU6">
        <v>0.20000000000000004</v>
      </c>
      <c r="DV6">
        <v>-0.35666666666666658</v>
      </c>
      <c r="DW6">
        <v>6.2015209125475286</v>
      </c>
      <c r="DX6">
        <v>0.35305733788396082</v>
      </c>
      <c r="DY6">
        <v>6.0348746726534213</v>
      </c>
      <c r="DZ6">
        <v>2581</v>
      </c>
      <c r="EA6">
        <v>6.0172598918083171</v>
      </c>
      <c r="EB6">
        <v>6</v>
      </c>
      <c r="EC6">
        <v>6.501708843441116E-2</v>
      </c>
      <c r="ED6">
        <v>0.37569680216627033</v>
      </c>
      <c r="EE6" s="12">
        <v>1.0085999999999999</v>
      </c>
      <c r="EF6">
        <v>1.01041</v>
      </c>
      <c r="EG6">
        <v>18.173057337883961</v>
      </c>
      <c r="EH6" t="s">
        <v>786</v>
      </c>
      <c r="EI6">
        <v>0</v>
      </c>
      <c r="EJ6">
        <v>0</v>
      </c>
      <c r="EK6" s="14">
        <v>45470</v>
      </c>
      <c r="EL6" s="15">
        <v>0.48</v>
      </c>
      <c r="EM6" s="15">
        <v>-3.08</v>
      </c>
      <c r="EN6" s="15">
        <v>0.98</v>
      </c>
      <c r="EO6" s="15">
        <v>1.69</v>
      </c>
      <c r="EP6" s="15">
        <v>-1.9</v>
      </c>
    </row>
    <row r="7" spans="1:146" ht="96" x14ac:dyDescent="0.25">
      <c r="A7" s="7"/>
      <c r="B7" s="7"/>
      <c r="C7" s="7" t="str">
        <f>""&amp;CHAR(10)&amp;Basic_Fundamental_Information_Constructure(F7)&amp;CHAR(10)&amp;Basic_Fundamental_Information_Concatenate("")</f>
        <v xml:space="preserve">
市值22.721755亿, 利润1.30亿; PE16.5; 平均PE14.98; 平均PEG1.42, PB.687; ROIC4.29%; ROE4.3667%; 股利率2.8708%; 毛利25.3533%; 净利7.8%; 上一年度营收增.6%, 利润增-10.96%; 当季营收增-10.66%, 利润增27.06%; 过往5年营收增-10.59%, 利润增-.3%
Income profile:
</v>
      </c>
      <c r="D7" t="s">
        <v>96</v>
      </c>
      <c r="E7" t="s">
        <v>34</v>
      </c>
      <c r="F7">
        <v>4.18</v>
      </c>
      <c r="G7">
        <v>0.97</v>
      </c>
      <c r="H7" t="s">
        <v>1298</v>
      </c>
      <c r="I7">
        <v>2272175500</v>
      </c>
      <c r="J7">
        <v>16.5</v>
      </c>
      <c r="K7">
        <v>0.68700000000000006</v>
      </c>
      <c r="L7" t="s">
        <v>57</v>
      </c>
      <c r="M7" t="s">
        <v>1299</v>
      </c>
      <c r="N7" t="s">
        <v>1300</v>
      </c>
      <c r="O7" t="s">
        <v>1301</v>
      </c>
      <c r="P7">
        <v>-10.72</v>
      </c>
      <c r="Q7" t="s">
        <v>1302</v>
      </c>
      <c r="R7">
        <v>38235324</v>
      </c>
      <c r="S7" s="5">
        <v>0.27060000000000001</v>
      </c>
      <c r="T7" t="s">
        <v>1131</v>
      </c>
      <c r="U7">
        <v>543582660</v>
      </c>
      <c r="V7">
        <v>543582660</v>
      </c>
      <c r="W7">
        <v>1.48</v>
      </c>
      <c r="X7">
        <v>0.08</v>
      </c>
      <c r="Y7">
        <v>9.57</v>
      </c>
      <c r="Z7" t="s">
        <v>1044</v>
      </c>
      <c r="AA7" t="s">
        <v>1303</v>
      </c>
      <c r="AB7" t="s">
        <v>1304</v>
      </c>
      <c r="AC7" t="s">
        <v>1305</v>
      </c>
      <c r="AD7" t="s">
        <v>133</v>
      </c>
      <c r="AE7">
        <v>4978826</v>
      </c>
      <c r="AF7" t="s">
        <v>158</v>
      </c>
      <c r="AG7" t="s">
        <v>1306</v>
      </c>
      <c r="AH7" t="s">
        <v>1307</v>
      </c>
      <c r="AI7" t="s">
        <v>1308</v>
      </c>
      <c r="AJ7" t="s">
        <v>1309</v>
      </c>
      <c r="AK7" t="s">
        <v>133</v>
      </c>
      <c r="AL7" t="s">
        <v>1310</v>
      </c>
      <c r="AM7" t="s">
        <v>133</v>
      </c>
      <c r="AN7">
        <v>0</v>
      </c>
      <c r="AO7" t="s">
        <v>216</v>
      </c>
      <c r="AP7" t="s">
        <v>1311</v>
      </c>
      <c r="AQ7" t="s">
        <v>657</v>
      </c>
      <c r="AR7" t="s">
        <v>1312</v>
      </c>
      <c r="AS7" t="s">
        <v>1313</v>
      </c>
      <c r="AT7" t="s">
        <v>133</v>
      </c>
      <c r="AU7" t="s">
        <v>1314</v>
      </c>
      <c r="AV7" t="s">
        <v>1315</v>
      </c>
      <c r="AW7" t="s">
        <v>1316</v>
      </c>
      <c r="AX7" t="s">
        <v>1317</v>
      </c>
      <c r="AY7" t="s">
        <v>857</v>
      </c>
      <c r="AZ7" t="s">
        <v>652</v>
      </c>
      <c r="BA7" t="s">
        <v>345</v>
      </c>
      <c r="BB7" t="s">
        <v>346</v>
      </c>
      <c r="BC7" t="s">
        <v>867</v>
      </c>
      <c r="BD7" t="s">
        <v>382</v>
      </c>
      <c r="BE7" t="s">
        <v>143</v>
      </c>
      <c r="BF7" t="s">
        <v>146</v>
      </c>
      <c r="BG7" t="s">
        <v>347</v>
      </c>
      <c r="BH7" t="s">
        <v>1302</v>
      </c>
      <c r="BI7" t="s">
        <v>1054</v>
      </c>
      <c r="BJ7" t="s">
        <v>1317</v>
      </c>
      <c r="BK7" t="s">
        <v>1131</v>
      </c>
      <c r="BL7" t="s">
        <v>1056</v>
      </c>
      <c r="BM7" t="s">
        <v>867</v>
      </c>
      <c r="BN7">
        <v>4.08</v>
      </c>
      <c r="BO7">
        <v>4.4800000000000004</v>
      </c>
      <c r="BP7">
        <v>4.3099999999999996</v>
      </c>
      <c r="BQ7">
        <v>3.68</v>
      </c>
      <c r="BR7">
        <v>4.8</v>
      </c>
      <c r="BS7">
        <v>4.62</v>
      </c>
      <c r="BT7" t="s">
        <v>947</v>
      </c>
      <c r="BU7" t="s">
        <v>787</v>
      </c>
      <c r="BV7">
        <v>25.58</v>
      </c>
      <c r="BW7">
        <v>24.84</v>
      </c>
      <c r="BX7">
        <v>25.64</v>
      </c>
      <c r="BY7">
        <v>7.6</v>
      </c>
      <c r="BZ7">
        <v>8.34</v>
      </c>
      <c r="CA7">
        <v>7.46</v>
      </c>
      <c r="CB7">
        <v>2.2000000000000002</v>
      </c>
      <c r="CC7">
        <v>-10.49</v>
      </c>
      <c r="CD7" t="s">
        <v>1318</v>
      </c>
      <c r="CE7" t="s">
        <v>1319</v>
      </c>
      <c r="CF7" s="9">
        <v>-0.10663983903420511</v>
      </c>
      <c r="CG7" s="10">
        <v>0.27057202671717673</v>
      </c>
      <c r="CH7" s="9">
        <v>6.0452753677964211E-3</v>
      </c>
      <c r="CI7" s="9">
        <v>-7.8458599746227264E-2</v>
      </c>
      <c r="CJ7" s="9">
        <v>5.1329014822840691E-3</v>
      </c>
      <c r="CK7" s="9">
        <v>-0.37991896271705627</v>
      </c>
      <c r="CL7" s="9">
        <v>-8.2071699202060699E-2</v>
      </c>
      <c r="CM7" s="10">
        <v>-0.10958904027938843</v>
      </c>
      <c r="CN7" s="10">
        <v>5.7971015572547913E-2</v>
      </c>
      <c r="CO7" s="10">
        <v>-0.23756906390190125</v>
      </c>
      <c r="CP7" s="10">
        <v>4.0229886770248413E-2</v>
      </c>
      <c r="CQ7" s="10">
        <v>0.23404255509376526</v>
      </c>
      <c r="CR7">
        <v>14.981376923076924</v>
      </c>
      <c r="CS7">
        <v>1.415283902039161</v>
      </c>
      <c r="CT7">
        <v>2.8708133971291865</v>
      </c>
      <c r="CU7" s="9">
        <v>-0.10585421696305275</v>
      </c>
      <c r="CV7" s="10">
        <v>-2.9829293489456177E-3</v>
      </c>
      <c r="CW7">
        <v>0.06</v>
      </c>
      <c r="CX7">
        <v>4.1013500000000001</v>
      </c>
      <c r="CY7" t="s">
        <v>1320</v>
      </c>
      <c r="CZ7">
        <v>-0.10585421696305275</v>
      </c>
      <c r="DA7">
        <v>1.3671166666666668</v>
      </c>
      <c r="DB7" t="s">
        <v>1321</v>
      </c>
      <c r="DC7">
        <v>-0.10056150611490011</v>
      </c>
      <c r="DD7">
        <v>0.68355833333333338</v>
      </c>
      <c r="DE7" t="s">
        <v>1322</v>
      </c>
      <c r="DF7">
        <v>-9.315171092748642E-2</v>
      </c>
      <c r="DG7">
        <v>0.41013500000000003</v>
      </c>
      <c r="DH7" t="s">
        <v>1323</v>
      </c>
      <c r="DI7">
        <v>-8.46833735704422E-2</v>
      </c>
      <c r="DJ7">
        <v>0.20506750000000001</v>
      </c>
      <c r="DK7" t="s">
        <v>1324</v>
      </c>
      <c r="DL7">
        <v>-7.4097951874136925E-2</v>
      </c>
      <c r="DM7">
        <v>130000000</v>
      </c>
      <c r="DN7">
        <v>-0.10585421696305275</v>
      </c>
      <c r="DO7">
        <v>533175500</v>
      </c>
      <c r="DP7">
        <v>1343992400</v>
      </c>
      <c r="DQ7">
        <v>81</v>
      </c>
      <c r="DR7">
        <v>-7.8562207115236149E-4</v>
      </c>
      <c r="DS7">
        <v>0.27355495606612235</v>
      </c>
      <c r="DT7" s="11">
        <v>-0.55666666666666664</v>
      </c>
      <c r="DU7">
        <v>-3.3333333333333347E-2</v>
      </c>
      <c r="DV7">
        <v>-0.59</v>
      </c>
      <c r="DW7">
        <v>-2.1049000000000002</v>
      </c>
      <c r="DX7">
        <v>0.37522848837209255</v>
      </c>
      <c r="DY7">
        <v>-2.0236264684302325</v>
      </c>
      <c r="DZ7">
        <v>3018</v>
      </c>
      <c r="EA7">
        <v>-2.0096725189737858</v>
      </c>
      <c r="EB7">
        <v>2</v>
      </c>
      <c r="EC7">
        <v>7.1266622080991326E-2</v>
      </c>
      <c r="ED7">
        <v>0.31641921764023895</v>
      </c>
      <c r="EE7" s="12">
        <v>1.1112</v>
      </c>
      <c r="EF7">
        <v>1.1014999999999999</v>
      </c>
      <c r="EG7">
        <v>15.225228488372093</v>
      </c>
      <c r="EH7" t="s">
        <v>735</v>
      </c>
      <c r="EI7">
        <v>0</v>
      </c>
      <c r="EJ7">
        <v>0</v>
      </c>
      <c r="EK7" s="14">
        <v>45470</v>
      </c>
      <c r="EL7" s="15">
        <v>0.25</v>
      </c>
      <c r="EM7" s="15">
        <v>-2.21</v>
      </c>
      <c r="EN7" s="15">
        <v>1.51</v>
      </c>
      <c r="EO7" s="15">
        <v>2.23</v>
      </c>
      <c r="EP7" s="15">
        <v>-0.97</v>
      </c>
    </row>
    <row r="8" spans="1:146" ht="96" x14ac:dyDescent="0.25">
      <c r="A8" s="7"/>
      <c r="B8" s="7"/>
      <c r="C8" s="7" t="str">
        <f>""&amp;CHAR(10)&amp;Basic_Fundamental_Information_Constructure(F8)&amp;CHAR(10)&amp;Basic_Fundamental_Information_Concatenate("")</f>
        <v xml:space="preserve">
市值57.213059亿, 利润2.09亿; PE26.51; 平均PE8.4; 平均PEG.69, PB.512; ROIC2.85%; ROE3.76%; 股利率.672%; 毛利45.8933%; 净利6.0933%; 上一年度营收增13.27%, 利润增-30.79%; 当季营收增-4.77%, 利润增5%; 过往5年营收增-12.24%, 利润增-18.37%
Income profile:
</v>
      </c>
      <c r="D8" t="s">
        <v>106</v>
      </c>
      <c r="E8" t="s">
        <v>653</v>
      </c>
      <c r="F8">
        <v>7.44</v>
      </c>
      <c r="G8">
        <v>4.0599999999999996</v>
      </c>
      <c r="H8" t="s">
        <v>1325</v>
      </c>
      <c r="I8">
        <v>5721305900</v>
      </c>
      <c r="J8">
        <v>26.51</v>
      </c>
      <c r="K8">
        <v>0.51200000000000001</v>
      </c>
      <c r="L8" t="s">
        <v>57</v>
      </c>
      <c r="M8" t="s">
        <v>1326</v>
      </c>
      <c r="N8" t="s">
        <v>1327</v>
      </c>
      <c r="O8" t="s">
        <v>1184</v>
      </c>
      <c r="P8">
        <v>-4.79</v>
      </c>
      <c r="Q8" t="s">
        <v>1328</v>
      </c>
      <c r="R8">
        <v>138606060</v>
      </c>
      <c r="S8" s="5">
        <v>5.1200000000000002E-2</v>
      </c>
      <c r="T8" t="s">
        <v>1047</v>
      </c>
      <c r="U8">
        <v>767999490</v>
      </c>
      <c r="V8">
        <v>768992730</v>
      </c>
      <c r="W8">
        <v>2.88</v>
      </c>
      <c r="X8">
        <v>0.06</v>
      </c>
      <c r="Y8">
        <v>7.09</v>
      </c>
      <c r="Z8" t="s">
        <v>1329</v>
      </c>
      <c r="AA8" t="s">
        <v>1330</v>
      </c>
      <c r="AB8" t="s">
        <v>1331</v>
      </c>
      <c r="AC8" t="s">
        <v>1332</v>
      </c>
      <c r="AD8" t="s">
        <v>133</v>
      </c>
      <c r="AE8">
        <v>62147744</v>
      </c>
      <c r="AF8" t="s">
        <v>1333</v>
      </c>
      <c r="AG8" t="s">
        <v>1334</v>
      </c>
      <c r="AH8" t="s">
        <v>1335</v>
      </c>
      <c r="AI8" t="s">
        <v>1336</v>
      </c>
      <c r="AJ8" t="s">
        <v>1337</v>
      </c>
      <c r="AK8" t="s">
        <v>133</v>
      </c>
      <c r="AL8" t="s">
        <v>1338</v>
      </c>
      <c r="AM8" t="s">
        <v>133</v>
      </c>
      <c r="AN8" t="s">
        <v>1339</v>
      </c>
      <c r="AO8" t="s">
        <v>1182</v>
      </c>
      <c r="AP8" t="s">
        <v>1340</v>
      </c>
      <c r="AQ8" t="s">
        <v>1341</v>
      </c>
      <c r="AR8" t="s">
        <v>1342</v>
      </c>
      <c r="AS8" t="s">
        <v>1343</v>
      </c>
      <c r="AT8" t="s">
        <v>1344</v>
      </c>
      <c r="AU8" t="s">
        <v>934</v>
      </c>
      <c r="AV8" t="s">
        <v>1345</v>
      </c>
      <c r="AW8" t="s">
        <v>1346</v>
      </c>
      <c r="AX8" t="s">
        <v>895</v>
      </c>
      <c r="AY8" t="s">
        <v>654</v>
      </c>
      <c r="AZ8" t="s">
        <v>349</v>
      </c>
      <c r="BA8" t="s">
        <v>149</v>
      </c>
      <c r="BB8" t="s">
        <v>352</v>
      </c>
      <c r="BC8" t="s">
        <v>1081</v>
      </c>
      <c r="BD8" t="s">
        <v>586</v>
      </c>
      <c r="BE8" t="s">
        <v>350</v>
      </c>
      <c r="BF8" t="s">
        <v>150</v>
      </c>
      <c r="BG8" t="s">
        <v>353</v>
      </c>
      <c r="BH8" t="s">
        <v>1328</v>
      </c>
      <c r="BI8" t="s">
        <v>1058</v>
      </c>
      <c r="BJ8" t="s">
        <v>895</v>
      </c>
      <c r="BK8" t="s">
        <v>1047</v>
      </c>
      <c r="BL8" t="s">
        <v>529</v>
      </c>
      <c r="BM8" t="s">
        <v>1081</v>
      </c>
      <c r="BN8">
        <v>1.33</v>
      </c>
      <c r="BO8">
        <v>2.09</v>
      </c>
      <c r="BP8">
        <v>5.13</v>
      </c>
      <c r="BQ8">
        <v>1.0900000000000001</v>
      </c>
      <c r="BR8">
        <v>2.83</v>
      </c>
      <c r="BS8">
        <v>7.36</v>
      </c>
      <c r="BT8" t="s">
        <v>860</v>
      </c>
      <c r="BU8" t="s">
        <v>787</v>
      </c>
      <c r="BV8">
        <v>47.03</v>
      </c>
      <c r="BW8">
        <v>44.75</v>
      </c>
      <c r="BX8">
        <v>45.9</v>
      </c>
      <c r="BY8">
        <v>2.91</v>
      </c>
      <c r="BZ8">
        <v>4.8099999999999996</v>
      </c>
      <c r="CA8">
        <v>10.56</v>
      </c>
      <c r="CB8">
        <v>11.54</v>
      </c>
      <c r="CC8">
        <v>-5.34</v>
      </c>
      <c r="CD8" t="s">
        <v>1347</v>
      </c>
      <c r="CE8" t="s">
        <v>224</v>
      </c>
      <c r="CF8" s="9">
        <v>-4.7711781888997197E-2</v>
      </c>
      <c r="CG8" s="10">
        <v>5.0045909090909092E-2</v>
      </c>
      <c r="CH8" s="9">
        <v>0.13271263241767883</v>
      </c>
      <c r="CI8" s="9">
        <v>-0.11084609478712082</v>
      </c>
      <c r="CJ8" s="9">
        <v>-6.7024476826190948E-2</v>
      </c>
      <c r="CK8" s="9">
        <v>-0.56977921724319458</v>
      </c>
      <c r="CL8" s="9">
        <v>2.8238941449671984E-3</v>
      </c>
      <c r="CM8" s="10">
        <v>-0.30794700980186462</v>
      </c>
      <c r="CN8" s="10">
        <v>-0.59840422868728638</v>
      </c>
      <c r="CO8" s="10">
        <v>0.37477147579193115</v>
      </c>
      <c r="CP8" s="10">
        <v>-0.55346935987472534</v>
      </c>
      <c r="CQ8" s="10">
        <v>0.16666661202907562</v>
      </c>
      <c r="CR8">
        <v>8.4033868788249695</v>
      </c>
      <c r="CS8">
        <v>0.68642417967989666</v>
      </c>
      <c r="CT8">
        <v>0.67204301075268813</v>
      </c>
      <c r="CU8" s="9">
        <v>-0.12242265245877207</v>
      </c>
      <c r="CV8" s="10">
        <v>-0.18367650210857392</v>
      </c>
      <c r="CW8">
        <v>0.06</v>
      </c>
      <c r="CX8">
        <v>73.355530622009567</v>
      </c>
      <c r="CY8" t="s">
        <v>1348</v>
      </c>
      <c r="CZ8">
        <v>-0.12242265245877207</v>
      </c>
      <c r="DA8">
        <v>24.451843540669856</v>
      </c>
      <c r="DB8" t="s">
        <v>1349</v>
      </c>
      <c r="DC8">
        <v>-0.11630151983583346</v>
      </c>
      <c r="DD8">
        <v>12.225921770334928</v>
      </c>
      <c r="DE8" t="s">
        <v>1350</v>
      </c>
      <c r="DF8">
        <v>-0.10773193416371941</v>
      </c>
      <c r="DG8">
        <v>7.3355530622009573</v>
      </c>
      <c r="DH8" t="s">
        <v>1351</v>
      </c>
      <c r="DI8">
        <v>-9.7938121967017663E-2</v>
      </c>
      <c r="DJ8">
        <v>3.6677765311004786</v>
      </c>
      <c r="DK8" t="s">
        <v>1352</v>
      </c>
      <c r="DL8">
        <v>-8.569585672114044E-2</v>
      </c>
      <c r="DM8">
        <v>209000000</v>
      </c>
      <c r="DN8">
        <v>-0.12242265245877207</v>
      </c>
      <c r="DO8">
        <v>15331305900</v>
      </c>
      <c r="DP8">
        <v>-7221099300.0000019</v>
      </c>
      <c r="DQ8">
        <v>93</v>
      </c>
      <c r="DR8">
        <v>7.4710870569774879E-2</v>
      </c>
      <c r="DS8">
        <v>0.233722411199483</v>
      </c>
      <c r="DT8" s="11">
        <v>-0.55666666666666664</v>
      </c>
      <c r="DU8">
        <v>0.24000000000000002</v>
      </c>
      <c r="DV8">
        <v>-0.31666666666666665</v>
      </c>
      <c r="DW8">
        <v>5.4627383015597921</v>
      </c>
      <c r="DX8">
        <v>0.65093599999999996</v>
      </c>
      <c r="DY8">
        <v>5.180901060658579</v>
      </c>
      <c r="DZ8">
        <v>2492</v>
      </c>
      <c r="EA8">
        <v>5.092680817378505</v>
      </c>
      <c r="EB8">
        <v>5</v>
      </c>
      <c r="EC8">
        <v>9.4557590941074313E-2</v>
      </c>
      <c r="ED8">
        <v>0.24187484841371648</v>
      </c>
      <c r="EE8" s="12">
        <v>-1.0023</v>
      </c>
      <c r="EF8">
        <v>-1.01681</v>
      </c>
      <c r="EG8">
        <v>26.390936</v>
      </c>
      <c r="EH8" t="s">
        <v>793</v>
      </c>
      <c r="EI8">
        <v>1</v>
      </c>
      <c r="EJ8">
        <v>0</v>
      </c>
      <c r="EK8" s="14">
        <v>45470</v>
      </c>
      <c r="EL8" s="15">
        <v>0.59</v>
      </c>
      <c r="EM8" s="15">
        <v>-3.67</v>
      </c>
      <c r="EN8" s="15">
        <v>1.37</v>
      </c>
      <c r="EO8" s="15">
        <v>2.2599999999999998</v>
      </c>
      <c r="EP8" s="15">
        <v>-1.91</v>
      </c>
    </row>
    <row r="9" spans="1:146" ht="96" x14ac:dyDescent="0.25">
      <c r="C9" s="7" t="str">
        <f>""&amp;CHAR(10)&amp;Basic_Fundamental_Information_Constructure(F9)&amp;CHAR(10)&amp;Basic_Fundamental_Information_Concatenate("")</f>
        <v xml:space="preserve">
市值49.190555亿, 利润7483.29万; PE56.56; 平均PE-8.41; 平均PEG-.67, PB3.45; ROIC80.15%; ROE-1.96%; 股利率0%; 毛利11.7633%; 净利18.7933%; 上一年度营收增-.3%, 利润增255.4%; 当季营收增-21.35%, 利润增126.36%; 过往5年营收增-12.51%, 利润增-857.98%
Income profile:
</v>
      </c>
      <c r="D9" t="s">
        <v>1353</v>
      </c>
      <c r="E9" t="s">
        <v>1354</v>
      </c>
      <c r="F9">
        <v>2.68</v>
      </c>
      <c r="G9">
        <v>1.1299999999999999</v>
      </c>
      <c r="H9" t="s">
        <v>1355</v>
      </c>
      <c r="I9">
        <v>4919055500</v>
      </c>
      <c r="J9">
        <v>56.56</v>
      </c>
      <c r="K9">
        <v>3.45</v>
      </c>
      <c r="L9" t="s">
        <v>57</v>
      </c>
      <c r="M9" t="s">
        <v>1356</v>
      </c>
      <c r="N9" t="s">
        <v>1357</v>
      </c>
      <c r="O9" t="s">
        <v>1358</v>
      </c>
      <c r="P9" s="5">
        <v>-21.31</v>
      </c>
      <c r="Q9" t="s">
        <v>1359</v>
      </c>
      <c r="R9">
        <v>21731572</v>
      </c>
      <c r="S9">
        <v>1.264</v>
      </c>
      <c r="T9" t="s">
        <v>1360</v>
      </c>
      <c r="U9">
        <v>1376799200</v>
      </c>
      <c r="V9">
        <v>1835468500</v>
      </c>
      <c r="W9">
        <v>2.14</v>
      </c>
      <c r="X9">
        <v>0.16</v>
      </c>
      <c r="Y9">
        <v>5.5</v>
      </c>
      <c r="Z9" t="s">
        <v>499</v>
      </c>
      <c r="AA9" t="s">
        <v>1361</v>
      </c>
      <c r="AB9" t="s">
        <v>1362</v>
      </c>
      <c r="AC9" t="s">
        <v>1363</v>
      </c>
      <c r="AD9" t="s">
        <v>133</v>
      </c>
      <c r="AE9">
        <v>3093403</v>
      </c>
      <c r="AF9" t="s">
        <v>1364</v>
      </c>
      <c r="AG9" t="s">
        <v>1365</v>
      </c>
      <c r="AH9" t="s">
        <v>1366</v>
      </c>
      <c r="AI9" t="s">
        <v>1367</v>
      </c>
      <c r="AJ9" t="s">
        <v>1368</v>
      </c>
      <c r="AK9" t="s">
        <v>1369</v>
      </c>
      <c r="AL9" t="s">
        <v>1370</v>
      </c>
      <c r="AM9" t="s">
        <v>133</v>
      </c>
      <c r="AN9" t="s">
        <v>1371</v>
      </c>
      <c r="AO9" t="s">
        <v>1372</v>
      </c>
      <c r="AP9" t="s">
        <v>133</v>
      </c>
      <c r="AQ9" t="s">
        <v>866</v>
      </c>
      <c r="AR9" t="s">
        <v>1373</v>
      </c>
      <c r="AS9" t="s">
        <v>1374</v>
      </c>
      <c r="AT9" t="s">
        <v>1375</v>
      </c>
      <c r="AU9" t="s">
        <v>1376</v>
      </c>
      <c r="AV9" t="s">
        <v>1377</v>
      </c>
      <c r="AW9" t="s">
        <v>1378</v>
      </c>
      <c r="AX9" t="s">
        <v>1379</v>
      </c>
      <c r="AY9" t="s">
        <v>1380</v>
      </c>
      <c r="AZ9" t="s">
        <v>1381</v>
      </c>
      <c r="BA9" t="s">
        <v>1382</v>
      </c>
      <c r="BB9" t="s">
        <v>1383</v>
      </c>
      <c r="BC9" t="s">
        <v>1384</v>
      </c>
      <c r="BD9" t="s">
        <v>1385</v>
      </c>
      <c r="BE9" t="s">
        <v>1386</v>
      </c>
      <c r="BF9" t="s">
        <v>1387</v>
      </c>
      <c r="BG9" t="s">
        <v>1388</v>
      </c>
      <c r="BH9" t="s">
        <v>1359</v>
      </c>
      <c r="BI9" t="s">
        <v>1001</v>
      </c>
      <c r="BJ9" t="s">
        <v>1379</v>
      </c>
      <c r="BK9" t="s">
        <v>1360</v>
      </c>
      <c r="BL9" t="s">
        <v>1389</v>
      </c>
      <c r="BM9" t="s">
        <v>1384</v>
      </c>
      <c r="BN9">
        <v>2.73</v>
      </c>
      <c r="BO9" t="s">
        <v>133</v>
      </c>
      <c r="BP9">
        <v>157.57</v>
      </c>
      <c r="BQ9">
        <v>1.25</v>
      </c>
      <c r="BR9">
        <v>-7.13</v>
      </c>
      <c r="BS9">
        <v>0</v>
      </c>
      <c r="BT9" t="s">
        <v>856</v>
      </c>
      <c r="BU9" t="s">
        <v>782</v>
      </c>
      <c r="BV9">
        <v>12.35</v>
      </c>
      <c r="BW9">
        <v>9.81</v>
      </c>
      <c r="BX9">
        <v>13.13</v>
      </c>
      <c r="BY9">
        <v>3.78</v>
      </c>
      <c r="BZ9">
        <v>-2.88</v>
      </c>
      <c r="CA9">
        <v>55.48</v>
      </c>
      <c r="CB9">
        <v>3.47</v>
      </c>
      <c r="CC9" s="9">
        <v>-14.65</v>
      </c>
      <c r="CD9" s="10" t="s">
        <v>1390</v>
      </c>
      <c r="CE9" s="9" t="s">
        <v>300</v>
      </c>
      <c r="CF9" s="9">
        <v>-0.21345029239766081</v>
      </c>
      <c r="CG9" s="9">
        <v>1.2635639439201716</v>
      </c>
      <c r="CH9" s="9">
        <v>-3.0337504576891661E-3</v>
      </c>
      <c r="CI9" s="9">
        <v>1.9721603021025658E-2</v>
      </c>
      <c r="CJ9" s="10">
        <v>-0.21990954875946045</v>
      </c>
      <c r="CK9" s="10">
        <v>-0.42307689785957336</v>
      </c>
      <c r="CL9" s="10">
        <v>1.0452292626723647E-3</v>
      </c>
      <c r="CM9" s="10">
        <v>2.5539586544036865</v>
      </c>
      <c r="CN9" s="10">
        <v>-1.0330971479415894</v>
      </c>
      <c r="CO9">
        <v>1.3085241317749023</v>
      </c>
      <c r="CP9">
        <v>-46.160003662109375</v>
      </c>
      <c r="CQ9">
        <v>0.43181818723678589</v>
      </c>
      <c r="CR9" s="9">
        <v>-8.4078672067650526</v>
      </c>
      <c r="CS9" s="10">
        <v>-0.67235681406914727</v>
      </c>
      <c r="CT9">
        <v>0</v>
      </c>
      <c r="CU9">
        <v>-0.125050672958605</v>
      </c>
      <c r="CV9">
        <v>-8.5797599673271172</v>
      </c>
      <c r="CW9">
        <v>0.06</v>
      </c>
      <c r="CX9">
        <v>66.615826728618032</v>
      </c>
      <c r="CY9" t="s">
        <v>1391</v>
      </c>
      <c r="CZ9">
        <v>-0.125050672958605</v>
      </c>
      <c r="DA9">
        <v>22.205275576206009</v>
      </c>
      <c r="DB9" t="s">
        <v>1392</v>
      </c>
      <c r="DC9">
        <v>-0.11879813931067475</v>
      </c>
      <c r="DD9">
        <v>11.102637788103005</v>
      </c>
      <c r="DE9" t="s">
        <v>1393</v>
      </c>
      <c r="DF9">
        <v>-0.11004459220357241</v>
      </c>
      <c r="DG9">
        <v>6.6615826728618028</v>
      </c>
      <c r="DH9" t="s">
        <v>1394</v>
      </c>
      <c r="DI9">
        <v>-0.10004053836688401</v>
      </c>
      <c r="DJ9">
        <v>3.3307913364309014</v>
      </c>
      <c r="DK9" t="s">
        <v>1395</v>
      </c>
      <c r="DL9">
        <v>-8.7535471071023496E-2</v>
      </c>
      <c r="DM9">
        <v>74832900</v>
      </c>
      <c r="DN9">
        <v>-0.125050672958605</v>
      </c>
      <c r="DO9">
        <v>4985055500</v>
      </c>
      <c r="DP9">
        <v>1298189400</v>
      </c>
      <c r="DQ9" s="11">
        <v>109</v>
      </c>
      <c r="DR9">
        <v>-8.8399619439055804E-2</v>
      </c>
      <c r="DS9">
        <v>9.843323911247289</v>
      </c>
      <c r="DT9">
        <v>-0.69</v>
      </c>
      <c r="DU9">
        <v>-1.5566666666666669</v>
      </c>
      <c r="DV9">
        <v>-2.246666666666667</v>
      </c>
      <c r="DW9">
        <v>6.191501103752759</v>
      </c>
      <c r="DX9">
        <v>0.34932424242424404</v>
      </c>
      <c r="DY9">
        <v>6.0305107682788144</v>
      </c>
      <c r="DZ9">
        <v>4602</v>
      </c>
      <c r="EA9">
        <v>6.0030331644394597</v>
      </c>
      <c r="EB9" s="12">
        <v>6</v>
      </c>
      <c r="EC9" s="12">
        <v>2.005150183726934E-2</v>
      </c>
      <c r="ED9">
        <v>0.12585342652298309</v>
      </c>
      <c r="EE9">
        <v>1.2999999999999991E-3</v>
      </c>
      <c r="EF9">
        <v>2.1309999999999999E-2</v>
      </c>
      <c r="EG9">
        <v>19.159324242424244</v>
      </c>
      <c r="EH9" s="14">
        <v>-1</v>
      </c>
      <c r="EI9">
        <v>0</v>
      </c>
      <c r="EJ9">
        <v>0</v>
      </c>
      <c r="EK9">
        <v>45470</v>
      </c>
      <c r="EL9">
        <v>-0.37</v>
      </c>
      <c r="EM9">
        <v>-3.76</v>
      </c>
      <c r="EN9" s="15">
        <v>1.56</v>
      </c>
      <c r="EO9" s="15">
        <v>2.31</v>
      </c>
      <c r="EP9" s="15">
        <v>-2.2599999999999998</v>
      </c>
    </row>
    <row r="10" spans="1:146" ht="96" x14ac:dyDescent="0.25">
      <c r="A10" s="7"/>
      <c r="B10" s="7"/>
      <c r="C10" s="7" t="str">
        <f>""&amp;CHAR(10)&amp;Basic_Fundamental_Information_Constructure(F10)&amp;CHAR(10)&amp;Basic_Fundamental_Information_Concatenate("")</f>
        <v xml:space="preserve">
市值331.53335亿, 利润-25.20亿; PE; 平均PE-21.76; 平均PEG-.65, PB2.68; ROIC0%; ROE-4.69%; 股利率0%; 毛利38.93%; 净利-97.67%; 上一年度营收增-.43%, 利润增-170.68%; 当季营收增5.98%, 利润增-45.21%; 过往5年营收增-33.35%, 利润增-130.91%
Income profile:
</v>
      </c>
      <c r="D10" t="s">
        <v>113</v>
      </c>
      <c r="E10" t="s">
        <v>1396</v>
      </c>
      <c r="F10">
        <v>1.73</v>
      </c>
      <c r="G10">
        <v>1.76</v>
      </c>
      <c r="H10" t="s">
        <v>283</v>
      </c>
      <c r="I10">
        <v>33153335000</v>
      </c>
      <c r="K10">
        <v>2.68</v>
      </c>
      <c r="L10" t="s">
        <v>57</v>
      </c>
      <c r="M10" t="s">
        <v>1397</v>
      </c>
      <c r="N10" t="s">
        <v>1398</v>
      </c>
      <c r="O10" t="s">
        <v>1117</v>
      </c>
      <c r="P10">
        <v>6.07</v>
      </c>
      <c r="Q10" t="s">
        <v>1399</v>
      </c>
      <c r="R10">
        <v>-130701146</v>
      </c>
      <c r="S10" s="5">
        <v>-0.4521</v>
      </c>
      <c r="T10" t="s">
        <v>1400</v>
      </c>
      <c r="U10">
        <v>15181701000</v>
      </c>
      <c r="V10">
        <v>19163777000</v>
      </c>
      <c r="W10">
        <v>2.2599999999999998</v>
      </c>
      <c r="X10">
        <v>0.01</v>
      </c>
      <c r="Y10">
        <v>-34.94</v>
      </c>
      <c r="Z10" t="s">
        <v>1401</v>
      </c>
      <c r="AA10" t="s">
        <v>1402</v>
      </c>
      <c r="AB10" t="s">
        <v>1403</v>
      </c>
      <c r="AC10" t="s">
        <v>1404</v>
      </c>
      <c r="AD10" t="s">
        <v>133</v>
      </c>
      <c r="AE10">
        <v>110973623</v>
      </c>
      <c r="AF10" t="s">
        <v>1405</v>
      </c>
      <c r="AG10" t="s">
        <v>1406</v>
      </c>
      <c r="AH10" t="s">
        <v>1407</v>
      </c>
      <c r="AI10" t="s">
        <v>1408</v>
      </c>
      <c r="AJ10" t="s">
        <v>1409</v>
      </c>
      <c r="AK10" t="s">
        <v>133</v>
      </c>
      <c r="AL10" t="s">
        <v>1410</v>
      </c>
      <c r="AM10" t="s">
        <v>133</v>
      </c>
      <c r="AN10" t="s">
        <v>1411</v>
      </c>
      <c r="AO10" t="s">
        <v>1412</v>
      </c>
      <c r="AP10" t="s">
        <v>1413</v>
      </c>
      <c r="AQ10" t="s">
        <v>1414</v>
      </c>
      <c r="AR10" t="s">
        <v>152</v>
      </c>
      <c r="AS10" t="s">
        <v>1122</v>
      </c>
      <c r="AT10" t="s">
        <v>1077</v>
      </c>
      <c r="AU10" t="s">
        <v>1415</v>
      </c>
      <c r="AV10" t="s">
        <v>1416</v>
      </c>
      <c r="AW10" t="s">
        <v>506</v>
      </c>
      <c r="AX10" t="s">
        <v>896</v>
      </c>
      <c r="AY10" t="s">
        <v>897</v>
      </c>
      <c r="AZ10" t="s">
        <v>898</v>
      </c>
      <c r="BA10" t="s">
        <v>355</v>
      </c>
      <c r="BB10" t="s">
        <v>356</v>
      </c>
      <c r="BC10" t="s">
        <v>1417</v>
      </c>
      <c r="BD10" t="s">
        <v>634</v>
      </c>
      <c r="BE10" t="s">
        <v>354</v>
      </c>
      <c r="BF10" t="s">
        <v>153</v>
      </c>
      <c r="BG10" t="s">
        <v>357</v>
      </c>
      <c r="BH10" t="s">
        <v>1399</v>
      </c>
      <c r="BI10" t="s">
        <v>1060</v>
      </c>
      <c r="BJ10" t="s">
        <v>896</v>
      </c>
      <c r="BK10" t="s">
        <v>1400</v>
      </c>
      <c r="BL10" t="s">
        <v>1061</v>
      </c>
      <c r="BM10" t="s">
        <v>1417</v>
      </c>
      <c r="BN10" t="s">
        <v>133</v>
      </c>
      <c r="BO10" t="s">
        <v>133</v>
      </c>
      <c r="BP10" t="s">
        <v>133</v>
      </c>
      <c r="BQ10">
        <v>-3.4</v>
      </c>
      <c r="BR10">
        <v>-7.92</v>
      </c>
      <c r="BS10">
        <v>-2.75</v>
      </c>
      <c r="BT10" t="s">
        <v>856</v>
      </c>
      <c r="BU10" t="s">
        <v>787</v>
      </c>
      <c r="BV10">
        <v>30.38</v>
      </c>
      <c r="BW10">
        <v>42.89</v>
      </c>
      <c r="BX10">
        <v>43.52</v>
      </c>
      <c r="BY10">
        <v>-182.34</v>
      </c>
      <c r="BZ10">
        <v>-67.34</v>
      </c>
      <c r="CA10">
        <v>-43.33</v>
      </c>
      <c r="CB10">
        <v>0</v>
      </c>
      <c r="CC10">
        <v>-17.62</v>
      </c>
      <c r="CD10" t="s">
        <v>514</v>
      </c>
      <c r="CE10" t="s">
        <v>1418</v>
      </c>
      <c r="CF10" s="9">
        <v>5.9782608695652176E-2</v>
      </c>
      <c r="CG10" s="10">
        <v>-0.45212039939071497</v>
      </c>
      <c r="CH10" s="9">
        <v>-4.2703715153038502E-3</v>
      </c>
      <c r="CI10" s="9">
        <v>-0.15514138340950012</v>
      </c>
      <c r="CJ10" s="9">
        <v>-0.24717061221599579</v>
      </c>
      <c r="CK10" s="9">
        <v>-0.61649304628372192</v>
      </c>
      <c r="CL10" s="9">
        <v>-0.64418089389801025</v>
      </c>
      <c r="CM10" s="10">
        <v>-1.7067668437957764</v>
      </c>
      <c r="CN10" s="10">
        <v>-0.35516738891601563</v>
      </c>
      <c r="CO10" s="10">
        <v>0.84864503145217896</v>
      </c>
      <c r="CP10" s="10">
        <v>-2.7204916477203369</v>
      </c>
      <c r="CQ10" s="10">
        <v>-2.6116247177124023</v>
      </c>
      <c r="CR10">
        <v>-21.763677242888402</v>
      </c>
      <c r="CS10">
        <v>-0.6526794094976005</v>
      </c>
      <c r="CT10">
        <v>0</v>
      </c>
      <c r="CU10" s="9">
        <v>-0.33345126146450638</v>
      </c>
      <c r="CV10" s="10">
        <v>-1.3090811133384705</v>
      </c>
      <c r="CW10">
        <v>0.06</v>
      </c>
      <c r="CX10" t="e">
        <v>#VALUE!</v>
      </c>
      <c r="CY10" t="s">
        <v>783</v>
      </c>
      <c r="CZ10">
        <v>-0.33345126146450638</v>
      </c>
      <c r="DA10" t="e">
        <v>#VALUE!</v>
      </c>
      <c r="DB10" t="s">
        <v>784</v>
      </c>
      <c r="DC10">
        <v>-0.31677869839128103</v>
      </c>
      <c r="DD10" t="e">
        <v>#VALUE!</v>
      </c>
      <c r="DE10" t="s">
        <v>784</v>
      </c>
      <c r="DF10">
        <v>-0.29343711008876561</v>
      </c>
      <c r="DG10" t="e">
        <v>#VALUE!</v>
      </c>
      <c r="DH10" t="s">
        <v>784</v>
      </c>
      <c r="DI10">
        <v>-0.26676100917160511</v>
      </c>
      <c r="DJ10" t="e">
        <v>#VALUE!</v>
      </c>
      <c r="DK10" t="s">
        <v>784</v>
      </c>
      <c r="DL10">
        <v>-0.23341588302515445</v>
      </c>
      <c r="DM10">
        <v>-2520000000</v>
      </c>
      <c r="DN10">
        <v>-0.33345126146450638</v>
      </c>
      <c r="DO10">
        <v>36807335000</v>
      </c>
      <c r="DP10">
        <v>308299100</v>
      </c>
      <c r="DQ10">
        <v>143</v>
      </c>
      <c r="DR10">
        <v>0.39323387016015854</v>
      </c>
      <c r="DS10">
        <v>0.85696071394775553</v>
      </c>
      <c r="DT10" s="11">
        <v>-1.1566666666666665</v>
      </c>
      <c r="DU10">
        <v>-3.6316666666666664</v>
      </c>
      <c r="DV10">
        <v>-4.7883333333333331</v>
      </c>
      <c r="DW10">
        <v>-3.0183214285714284</v>
      </c>
      <c r="DX10">
        <v>0.25394518571861358</v>
      </c>
      <c r="DY10">
        <v>-3.001721210009773</v>
      </c>
      <c r="DZ10">
        <v>5078</v>
      </c>
      <c r="EA10">
        <v>-3.0000107786145427</v>
      </c>
      <c r="EB10">
        <v>3</v>
      </c>
      <c r="EC10">
        <v>3.8457972037558151E-2</v>
      </c>
      <c r="ED10">
        <v>0.40936606599001857</v>
      </c>
      <c r="EE10" s="12">
        <v>-2.0497000000000001</v>
      </c>
      <c r="EF10">
        <v>-2.0438999999999998</v>
      </c>
      <c r="EG10">
        <v>16.093945185718614</v>
      </c>
      <c r="EH10" t="s">
        <v>1419</v>
      </c>
      <c r="EI10">
        <v>0</v>
      </c>
      <c r="EJ10">
        <v>0</v>
      </c>
      <c r="EK10" s="14">
        <v>45470</v>
      </c>
      <c r="EL10" s="15">
        <v>-2.75</v>
      </c>
      <c r="EM10" s="15">
        <v>0</v>
      </c>
      <c r="EN10" s="15">
        <v>-3.39</v>
      </c>
      <c r="EO10" s="15">
        <v>0.57999999999999996</v>
      </c>
      <c r="EP10" s="15">
        <v>-0.57999999999999996</v>
      </c>
    </row>
    <row r="11" spans="1:146" ht="96" x14ac:dyDescent="0.25">
      <c r="A11" s="7"/>
      <c r="B11" s="7"/>
      <c r="C11" s="7" t="str">
        <f>""&amp;CHAR(10)&amp;Basic_Fundamental_Information_Constructure(F11)&amp;CHAR(10)&amp;Basic_Fundamental_Information_Concatenate("")</f>
        <v xml:space="preserve">
市值11.19096亿, 利润-3716.69万; PE; 平均PE-6.59; 平均PEG-.29, PB3.5; ROIC0%; ROE-19.15%; 股利率0%; 毛利24.8033%; 净利-78.48%; 上一年度营收增9.4%, 利润增25.91%; 当季营收增-6.06%, 利润增-43.56%; 过往5年营收增-22.39%, 利润增-141.27%
Income profile:
</v>
      </c>
      <c r="D11" t="s">
        <v>114</v>
      </c>
      <c r="E11" t="s">
        <v>358</v>
      </c>
      <c r="F11">
        <v>3.14</v>
      </c>
      <c r="G11">
        <v>4.67</v>
      </c>
      <c r="H11" t="s">
        <v>1420</v>
      </c>
      <c r="I11">
        <v>1119096000</v>
      </c>
      <c r="K11">
        <v>3.5</v>
      </c>
      <c r="L11" t="s">
        <v>57</v>
      </c>
      <c r="M11" t="s">
        <v>984</v>
      </c>
      <c r="N11" t="s">
        <v>1346</v>
      </c>
      <c r="O11" t="s">
        <v>1421</v>
      </c>
      <c r="P11">
        <v>-6.06</v>
      </c>
      <c r="Q11" t="s">
        <v>1067</v>
      </c>
      <c r="R11">
        <v>-12639147</v>
      </c>
      <c r="S11" s="5">
        <v>-0.43559999999999999</v>
      </c>
      <c r="T11" t="s">
        <v>1422</v>
      </c>
      <c r="U11">
        <v>356400000</v>
      </c>
      <c r="V11">
        <v>356400000</v>
      </c>
      <c r="W11">
        <v>3.69</v>
      </c>
      <c r="X11">
        <v>0.04</v>
      </c>
      <c r="Y11">
        <v>-43.29</v>
      </c>
      <c r="Z11" t="s">
        <v>1423</v>
      </c>
      <c r="AA11" t="s">
        <v>1424</v>
      </c>
      <c r="AB11" t="s">
        <v>1425</v>
      </c>
      <c r="AC11" t="s">
        <v>1426</v>
      </c>
      <c r="AD11" t="s">
        <v>133</v>
      </c>
      <c r="AE11">
        <v>7322057</v>
      </c>
      <c r="AF11" t="s">
        <v>158</v>
      </c>
      <c r="AG11">
        <v>442.48</v>
      </c>
      <c r="AH11" t="s">
        <v>1427</v>
      </c>
      <c r="AI11" t="s">
        <v>855</v>
      </c>
      <c r="AJ11" t="s">
        <v>1428</v>
      </c>
      <c r="AK11" t="s">
        <v>133</v>
      </c>
      <c r="AL11" t="s">
        <v>1429</v>
      </c>
      <c r="AM11" t="s">
        <v>133</v>
      </c>
      <c r="AN11" t="s">
        <v>1430</v>
      </c>
      <c r="AO11" t="s">
        <v>1431</v>
      </c>
      <c r="AP11" t="s">
        <v>133</v>
      </c>
      <c r="AQ11" t="s">
        <v>1432</v>
      </c>
      <c r="AR11" t="s">
        <v>133</v>
      </c>
      <c r="AS11" t="s">
        <v>1059</v>
      </c>
      <c r="AT11" t="s">
        <v>133</v>
      </c>
      <c r="AU11" t="s">
        <v>1433</v>
      </c>
      <c r="AV11">
        <v>-3199</v>
      </c>
      <c r="AW11" t="s">
        <v>1434</v>
      </c>
      <c r="AX11" t="s">
        <v>136</v>
      </c>
      <c r="AY11" t="s">
        <v>292</v>
      </c>
      <c r="AZ11" t="s">
        <v>292</v>
      </c>
      <c r="BA11" t="s">
        <v>156</v>
      </c>
      <c r="BB11" t="s">
        <v>179</v>
      </c>
      <c r="BC11" t="s">
        <v>900</v>
      </c>
      <c r="BD11" t="s">
        <v>656</v>
      </c>
      <c r="BE11" t="s">
        <v>359</v>
      </c>
      <c r="BF11" t="s">
        <v>157</v>
      </c>
      <c r="BG11" t="s">
        <v>360</v>
      </c>
      <c r="BH11" t="s">
        <v>1067</v>
      </c>
      <c r="BI11" t="s">
        <v>1065</v>
      </c>
      <c r="BJ11" t="s">
        <v>136</v>
      </c>
      <c r="BK11" t="s">
        <v>1422</v>
      </c>
      <c r="BL11" t="s">
        <v>1066</v>
      </c>
      <c r="BM11" t="s">
        <v>900</v>
      </c>
      <c r="BN11" t="s">
        <v>133</v>
      </c>
      <c r="BO11" t="s">
        <v>133</v>
      </c>
      <c r="BP11" t="s">
        <v>133</v>
      </c>
      <c r="BQ11">
        <v>-3.79</v>
      </c>
      <c r="BR11">
        <v>-12.72</v>
      </c>
      <c r="BS11">
        <v>-40.94</v>
      </c>
      <c r="BT11" t="s">
        <v>856</v>
      </c>
      <c r="BU11" t="s">
        <v>787</v>
      </c>
      <c r="BV11">
        <v>26.82</v>
      </c>
      <c r="BW11">
        <v>22.08</v>
      </c>
      <c r="BX11">
        <v>25.51</v>
      </c>
      <c r="BY11">
        <v>-27.77</v>
      </c>
      <c r="BZ11">
        <v>-40.01</v>
      </c>
      <c r="CA11">
        <v>-167.66</v>
      </c>
      <c r="CB11">
        <v>32.49</v>
      </c>
      <c r="CC11">
        <v>-1.88</v>
      </c>
      <c r="CD11" t="s">
        <v>184</v>
      </c>
      <c r="CE11" t="s">
        <v>875</v>
      </c>
      <c r="CF11" s="9">
        <v>-6.0634822744924211E-2</v>
      </c>
      <c r="CG11" s="10">
        <v>-0.43556523516917872</v>
      </c>
      <c r="CH11" s="9">
        <v>9.3959733843803406E-2</v>
      </c>
      <c r="CI11" s="9">
        <v>-0.15340909361839294</v>
      </c>
      <c r="CJ11" s="9">
        <v>0</v>
      </c>
      <c r="CK11" s="9">
        <v>-0.77319586277008057</v>
      </c>
      <c r="CL11" s="9">
        <v>-0.2867647111415863</v>
      </c>
      <c r="CM11" s="10">
        <v>0.25907149910926819</v>
      </c>
      <c r="CN11" s="10">
        <v>0.76776576042175293</v>
      </c>
      <c r="CO11" s="10">
        <v>-9.3839216232299805</v>
      </c>
      <c r="CP11" s="10">
        <v>1.0790294408798218</v>
      </c>
      <c r="CQ11" s="10">
        <v>0.21445782482624054</v>
      </c>
      <c r="CR11">
        <v>-6.5921861315011618</v>
      </c>
      <c r="CS11">
        <v>-0.29444915276894412</v>
      </c>
      <c r="CT11">
        <v>0</v>
      </c>
      <c r="CU11" s="9">
        <v>-0.22388198673725129</v>
      </c>
      <c r="CV11" s="10">
        <v>-1.4127194195985795</v>
      </c>
      <c r="CW11">
        <v>0.06</v>
      </c>
      <c r="CX11" t="e">
        <v>#VALUE!</v>
      </c>
      <c r="CY11" t="s">
        <v>783</v>
      </c>
      <c r="CZ11">
        <v>-0.22388198673725129</v>
      </c>
      <c r="DA11" t="e">
        <v>#VALUE!</v>
      </c>
      <c r="DB11" t="s">
        <v>784</v>
      </c>
      <c r="DC11">
        <v>-0.21268788740038871</v>
      </c>
      <c r="DD11" t="e">
        <v>#VALUE!</v>
      </c>
      <c r="DE11" t="s">
        <v>784</v>
      </c>
      <c r="DF11">
        <v>-0.19701614832878114</v>
      </c>
      <c r="DG11" t="e">
        <v>#VALUE!</v>
      </c>
      <c r="DH11" t="s">
        <v>784</v>
      </c>
      <c r="DI11">
        <v>-0.17910558938980103</v>
      </c>
      <c r="DJ11" t="e">
        <v>#VALUE!</v>
      </c>
      <c r="DK11" t="s">
        <v>784</v>
      </c>
      <c r="DL11">
        <v>-0.1567173907160759</v>
      </c>
      <c r="DM11">
        <v>-37166900</v>
      </c>
      <c r="DN11">
        <v>-0.22388198673725129</v>
      </c>
      <c r="DO11">
        <v>1542096000</v>
      </c>
      <c r="DP11">
        <v>-426695820</v>
      </c>
      <c r="DQ11">
        <v>213</v>
      </c>
      <c r="DR11">
        <v>0.16324716399232708</v>
      </c>
      <c r="DS11">
        <v>0.97715418442940072</v>
      </c>
      <c r="DT11" s="11">
        <v>-0.92333333333333334</v>
      </c>
      <c r="DU11">
        <v>-2.0316666666666667</v>
      </c>
      <c r="DV11">
        <v>-2.9550000000000001</v>
      </c>
      <c r="DW11">
        <v>5.0578639581409668</v>
      </c>
      <c r="DX11">
        <v>1.5911702127659442</v>
      </c>
      <c r="DY11">
        <v>5.0180055401662047</v>
      </c>
      <c r="DZ11">
        <v>4892</v>
      </c>
      <c r="EA11">
        <v>5.0007681424180497</v>
      </c>
      <c r="EB11">
        <v>5</v>
      </c>
      <c r="EC11">
        <v>0.32828282828282829</v>
      </c>
      <c r="ED11">
        <v>1.0549943883277217</v>
      </c>
      <c r="EE11" s="12">
        <v>-6.0747999999999998</v>
      </c>
      <c r="EF11">
        <v>-6.0505000000000004</v>
      </c>
      <c r="EG11">
        <v>128.31117021276594</v>
      </c>
      <c r="EH11" t="s">
        <v>1435</v>
      </c>
      <c r="EI11">
        <v>1</v>
      </c>
      <c r="EJ11">
        <v>0</v>
      </c>
      <c r="EK11" s="14">
        <v>45470</v>
      </c>
      <c r="EL11" s="15">
        <v>-0.4</v>
      </c>
      <c r="EM11" s="15">
        <v>-6.45</v>
      </c>
      <c r="EN11" s="15">
        <v>1.72</v>
      </c>
      <c r="EO11" s="15">
        <v>4.66</v>
      </c>
      <c r="EP11" s="15">
        <v>-2.4300000000000002</v>
      </c>
    </row>
    <row r="12" spans="1:146" ht="96" x14ac:dyDescent="0.25">
      <c r="A12" s="7"/>
      <c r="B12" s="7"/>
      <c r="C12" s="7" t="str">
        <f>""&amp;CHAR(10)&amp;Basic_Fundamental_Information_Constructure(F12)&amp;CHAR(10)&amp;Basic_Fundamental_Information_Concatenate("")</f>
        <v xml:space="preserve">
市值21.201666亿, 利润1.34亿; PE16.91; 平均PE18.25; 平均PEG1.42, PB1.15; ROIC4.8567%; ROE6.0167%; 股利率.9804%; 毛利55.39%; 净利14.8967%; 上一年度营收增16.88%, 利润增56.5%; 当季营收增-4.05%, 利润增-36.82%; 过往5年营收增-12.89%, 利润增18.64%
Income profile:
</v>
      </c>
      <c r="D12" t="s">
        <v>93</v>
      </c>
      <c r="E12" t="s">
        <v>24</v>
      </c>
      <c r="F12">
        <v>5.0999999999999996</v>
      </c>
      <c r="G12">
        <v>-0.78</v>
      </c>
      <c r="H12" t="s">
        <v>1436</v>
      </c>
      <c r="I12">
        <v>2120166600</v>
      </c>
      <c r="J12">
        <v>16.91</v>
      </c>
      <c r="K12">
        <v>1.1499999999999999</v>
      </c>
      <c r="L12" t="s">
        <v>57</v>
      </c>
      <c r="M12" t="s">
        <v>982</v>
      </c>
      <c r="N12" t="s">
        <v>1437</v>
      </c>
      <c r="O12" t="s">
        <v>201</v>
      </c>
      <c r="P12">
        <v>-4</v>
      </c>
      <c r="Q12" t="s">
        <v>994</v>
      </c>
      <c r="R12">
        <v>15427372</v>
      </c>
      <c r="S12" s="5">
        <v>-0.36820000000000003</v>
      </c>
      <c r="T12" t="s">
        <v>252</v>
      </c>
      <c r="U12">
        <v>415059490</v>
      </c>
      <c r="V12">
        <v>415718940</v>
      </c>
      <c r="W12">
        <v>1.4</v>
      </c>
      <c r="X12">
        <v>0.08</v>
      </c>
      <c r="Y12">
        <v>7.24</v>
      </c>
      <c r="Z12" t="s">
        <v>1438</v>
      </c>
      <c r="AA12" t="s">
        <v>1439</v>
      </c>
      <c r="AB12" t="s">
        <v>1440</v>
      </c>
      <c r="AC12" t="s">
        <v>1441</v>
      </c>
      <c r="AD12" t="s">
        <v>133</v>
      </c>
      <c r="AE12">
        <v>-5184165</v>
      </c>
      <c r="AF12" t="s">
        <v>1442</v>
      </c>
      <c r="AG12" t="s">
        <v>1443</v>
      </c>
      <c r="AH12" t="s">
        <v>1444</v>
      </c>
      <c r="AI12" t="s">
        <v>1445</v>
      </c>
      <c r="AJ12" t="s">
        <v>1446</v>
      </c>
      <c r="AK12" t="s">
        <v>133</v>
      </c>
      <c r="AL12" t="s">
        <v>1447</v>
      </c>
      <c r="AM12" t="s">
        <v>133</v>
      </c>
      <c r="AN12">
        <v>0</v>
      </c>
      <c r="AO12" t="s">
        <v>133</v>
      </c>
      <c r="AP12" t="s">
        <v>1448</v>
      </c>
      <c r="AQ12" t="s">
        <v>234</v>
      </c>
      <c r="AR12" t="s">
        <v>1449</v>
      </c>
      <c r="AS12" t="s">
        <v>1450</v>
      </c>
      <c r="AT12" t="s">
        <v>133</v>
      </c>
      <c r="AU12" t="s">
        <v>1451</v>
      </c>
      <c r="AV12" t="s">
        <v>980</v>
      </c>
      <c r="AW12" t="s">
        <v>1452</v>
      </c>
      <c r="AX12" t="s">
        <v>901</v>
      </c>
      <c r="AY12" t="s">
        <v>659</v>
      </c>
      <c r="AZ12" t="s">
        <v>362</v>
      </c>
      <c r="BA12" t="s">
        <v>160</v>
      </c>
      <c r="BB12" t="s">
        <v>364</v>
      </c>
      <c r="BC12" t="s">
        <v>902</v>
      </c>
      <c r="BD12" t="s">
        <v>227</v>
      </c>
      <c r="BE12" t="s">
        <v>363</v>
      </c>
      <c r="BF12" t="s">
        <v>161</v>
      </c>
      <c r="BG12" t="s">
        <v>365</v>
      </c>
      <c r="BH12" t="s">
        <v>994</v>
      </c>
      <c r="BI12" t="s">
        <v>879</v>
      </c>
      <c r="BJ12" t="s">
        <v>901</v>
      </c>
      <c r="BK12" t="s">
        <v>252</v>
      </c>
      <c r="BL12" t="s">
        <v>1068</v>
      </c>
      <c r="BM12" t="s">
        <v>902</v>
      </c>
      <c r="BN12">
        <v>3.65</v>
      </c>
      <c r="BO12">
        <v>3.22</v>
      </c>
      <c r="BP12">
        <v>7.7</v>
      </c>
      <c r="BQ12">
        <v>4.5</v>
      </c>
      <c r="BR12">
        <v>5.07</v>
      </c>
      <c r="BS12">
        <v>8.48</v>
      </c>
      <c r="BT12" t="s">
        <v>860</v>
      </c>
      <c r="BU12" t="s">
        <v>787</v>
      </c>
      <c r="BV12">
        <v>55.88</v>
      </c>
      <c r="BW12">
        <v>55.15</v>
      </c>
      <c r="BX12">
        <v>55.14</v>
      </c>
      <c r="BY12">
        <v>16.649999999999999</v>
      </c>
      <c r="BZ12">
        <v>12.37</v>
      </c>
      <c r="CA12">
        <v>15.67</v>
      </c>
      <c r="CB12">
        <v>7.14</v>
      </c>
      <c r="CC12">
        <v>-13.27</v>
      </c>
      <c r="CD12" t="s">
        <v>1453</v>
      </c>
      <c r="CE12" t="s">
        <v>522</v>
      </c>
      <c r="CF12" s="9">
        <v>-4.0540540540540668E-2</v>
      </c>
      <c r="CG12" s="10">
        <v>-0.36823037515407897</v>
      </c>
      <c r="CH12" s="9">
        <v>0.16883116960525513</v>
      </c>
      <c r="CI12" s="9">
        <v>-0.20161290466785431</v>
      </c>
      <c r="CJ12" s="9">
        <v>1.1655011214315891E-2</v>
      </c>
      <c r="CK12" s="9">
        <v>-0.68245744705200195</v>
      </c>
      <c r="CL12" s="9">
        <v>5.9192497283220291E-2</v>
      </c>
      <c r="CM12" s="10">
        <v>0.56495076417922974</v>
      </c>
      <c r="CN12" s="10">
        <v>-0.37039929628372192</v>
      </c>
      <c r="CO12" s="10">
        <v>0.40184217691421509</v>
      </c>
      <c r="CP12" s="10">
        <v>-0.37003117799758911</v>
      </c>
      <c r="CQ12" s="10">
        <v>0.70567011833190918</v>
      </c>
      <c r="CR12">
        <v>18.252960994536021</v>
      </c>
      <c r="CS12">
        <v>1.4162939825152827</v>
      </c>
      <c r="CT12">
        <v>0.98039215686274517</v>
      </c>
      <c r="CU12" s="9">
        <v>-0.12887833472341298</v>
      </c>
      <c r="CV12" s="10">
        <v>0.18640651702880859</v>
      </c>
      <c r="CW12">
        <v>0.06</v>
      </c>
      <c r="CX12">
        <v>7.5310940298507463</v>
      </c>
      <c r="CY12" t="s">
        <v>1454</v>
      </c>
      <c r="CZ12">
        <v>-0.12887833472341298</v>
      </c>
      <c r="DA12">
        <v>2.5103646766169154</v>
      </c>
      <c r="DB12" t="s">
        <v>1455</v>
      </c>
      <c r="DC12">
        <v>-0.12243441798724232</v>
      </c>
      <c r="DD12">
        <v>1.2551823383084577</v>
      </c>
      <c r="DE12" t="s">
        <v>1456</v>
      </c>
      <c r="DF12">
        <v>-0.11341293455660342</v>
      </c>
      <c r="DG12">
        <v>0.75310940298507467</v>
      </c>
      <c r="DH12" t="s">
        <v>1457</v>
      </c>
      <c r="DI12">
        <v>-0.10310266777873039</v>
      </c>
      <c r="DJ12">
        <v>0.37655470149253734</v>
      </c>
      <c r="DK12" t="s">
        <v>1458</v>
      </c>
      <c r="DL12">
        <v>-9.0214834306389075E-2</v>
      </c>
      <c r="DM12">
        <v>134000000.00000001</v>
      </c>
      <c r="DN12">
        <v>-0.12887833472341298</v>
      </c>
      <c r="DO12">
        <v>1009166600</v>
      </c>
      <c r="DP12">
        <v>1002026800</v>
      </c>
      <c r="DQ12">
        <v>239</v>
      </c>
      <c r="DR12">
        <v>8.8337794182872312E-2</v>
      </c>
      <c r="DS12">
        <v>-0.55463689218288759</v>
      </c>
      <c r="DT12" s="11">
        <v>-0.65666666666666662</v>
      </c>
      <c r="DU12">
        <v>1.3333333333333308E-2</v>
      </c>
      <c r="DV12">
        <v>-0.64333333333333331</v>
      </c>
      <c r="DW12">
        <v>7.3498285154336109</v>
      </c>
      <c r="DX12">
        <v>0.60648934426229295</v>
      </c>
      <c r="DY12">
        <v>7.1002221419908276</v>
      </c>
      <c r="DZ12">
        <v>3099</v>
      </c>
      <c r="EA12">
        <v>7.039441629656273</v>
      </c>
      <c r="EB12">
        <v>7</v>
      </c>
      <c r="EC12">
        <v>0.16815062599745875</v>
      </c>
      <c r="ED12">
        <v>0.58693500950425781</v>
      </c>
      <c r="EE12" s="12">
        <v>-2.0281099999999999</v>
      </c>
      <c r="EF12">
        <v>-2.0404100000000001</v>
      </c>
      <c r="EG12">
        <v>32.286489344262293</v>
      </c>
      <c r="EH12" t="s">
        <v>1178</v>
      </c>
      <c r="EI12">
        <v>1</v>
      </c>
      <c r="EJ12">
        <v>0</v>
      </c>
      <c r="EK12" s="14">
        <v>45470</v>
      </c>
      <c r="EL12" s="15">
        <v>-0.41</v>
      </c>
      <c r="EM12" s="15">
        <v>-4.72</v>
      </c>
      <c r="EN12" s="15">
        <v>1.72</v>
      </c>
      <c r="EO12" s="15">
        <v>3.18</v>
      </c>
      <c r="EP12" s="15">
        <v>-1.23</v>
      </c>
    </row>
    <row r="13" spans="1:146" ht="96" x14ac:dyDescent="0.25">
      <c r="A13" s="7"/>
      <c r="B13" s="7"/>
      <c r="C13" s="7" t="str">
        <f>""&amp;CHAR(10)&amp;Basic_Fundamental_Information_Constructure(F13)&amp;CHAR(10)&amp;Basic_Fundamental_Information_Concatenate("")</f>
        <v xml:space="preserve">
市值23.957877亿, 利润-3.38亿; PE; 平均PE-46.57; 平均PEG-9.29, PB1.06; ROIC0%; ROE-4.43%; 股利率0%; 毛利24.4067%; 净利-2.0267%; 上一年度营收增-4.57%, 利润增4.52%; 当季营收增-7.18%, 利润增-619.19%; 过往5年营收增-5.01%, 利润增-101.5%
Income profile:
</v>
      </c>
      <c r="D13" t="s">
        <v>58</v>
      </c>
      <c r="E13" t="s">
        <v>47</v>
      </c>
      <c r="F13">
        <v>3.52</v>
      </c>
      <c r="G13">
        <v>1.73</v>
      </c>
      <c r="H13" t="s">
        <v>1459</v>
      </c>
      <c r="I13">
        <v>2395787700</v>
      </c>
      <c r="K13">
        <v>1.06</v>
      </c>
      <c r="L13" t="s">
        <v>57</v>
      </c>
      <c r="M13" t="s">
        <v>1460</v>
      </c>
      <c r="N13" t="s">
        <v>1461</v>
      </c>
      <c r="O13" t="s">
        <v>1462</v>
      </c>
      <c r="P13">
        <v>-7.18</v>
      </c>
      <c r="Q13" t="s">
        <v>1463</v>
      </c>
      <c r="R13">
        <v>-24512163</v>
      </c>
      <c r="S13" s="5">
        <v>-6.1920000000000002</v>
      </c>
      <c r="T13" t="s">
        <v>1464</v>
      </c>
      <c r="U13">
        <v>655706030</v>
      </c>
      <c r="V13">
        <v>680621500</v>
      </c>
      <c r="W13">
        <v>5</v>
      </c>
      <c r="X13">
        <v>0.28000000000000003</v>
      </c>
      <c r="Y13">
        <v>-0.86</v>
      </c>
      <c r="Z13" t="s">
        <v>1465</v>
      </c>
      <c r="AA13" t="s">
        <v>1466</v>
      </c>
      <c r="AB13" t="s">
        <v>1467</v>
      </c>
      <c r="AC13" t="s">
        <v>866</v>
      </c>
      <c r="AD13" t="s">
        <v>133</v>
      </c>
      <c r="AE13">
        <v>27387481</v>
      </c>
      <c r="AF13" t="s">
        <v>1468</v>
      </c>
      <c r="AG13" t="s">
        <v>1469</v>
      </c>
      <c r="AH13" t="s">
        <v>1470</v>
      </c>
      <c r="AI13" t="s">
        <v>1471</v>
      </c>
      <c r="AJ13" t="s">
        <v>1472</v>
      </c>
      <c r="AK13" t="s">
        <v>1473</v>
      </c>
      <c r="AL13" t="s">
        <v>1474</v>
      </c>
      <c r="AM13" t="s">
        <v>133</v>
      </c>
      <c r="AN13" t="s">
        <v>1475</v>
      </c>
      <c r="AO13" t="s">
        <v>1118</v>
      </c>
      <c r="AP13" t="s">
        <v>217</v>
      </c>
      <c r="AQ13" t="s">
        <v>1476</v>
      </c>
      <c r="AR13" t="s">
        <v>1477</v>
      </c>
      <c r="AS13" t="s">
        <v>1478</v>
      </c>
      <c r="AT13" t="s">
        <v>133</v>
      </c>
      <c r="AU13" t="s">
        <v>1116</v>
      </c>
      <c r="AV13" t="s">
        <v>1479</v>
      </c>
      <c r="AW13" t="s">
        <v>1187</v>
      </c>
      <c r="AX13" t="s">
        <v>904</v>
      </c>
      <c r="AY13" t="s">
        <v>660</v>
      </c>
      <c r="AZ13" t="s">
        <v>366</v>
      </c>
      <c r="BA13" t="s">
        <v>163</v>
      </c>
      <c r="BB13" t="s">
        <v>368</v>
      </c>
      <c r="BC13" t="s">
        <v>1480</v>
      </c>
      <c r="BD13" t="s">
        <v>1481</v>
      </c>
      <c r="BE13" t="s">
        <v>1482</v>
      </c>
      <c r="BF13" t="s">
        <v>1483</v>
      </c>
      <c r="BG13" t="s">
        <v>1484</v>
      </c>
      <c r="BH13" t="s">
        <v>1463</v>
      </c>
      <c r="BI13" t="s">
        <v>1070</v>
      </c>
      <c r="BJ13" t="s">
        <v>904</v>
      </c>
      <c r="BK13" t="s">
        <v>1464</v>
      </c>
      <c r="BL13" t="s">
        <v>1485</v>
      </c>
      <c r="BM13" t="s">
        <v>1480</v>
      </c>
      <c r="BN13" t="s">
        <v>133</v>
      </c>
      <c r="BO13" t="s">
        <v>133</v>
      </c>
      <c r="BP13" t="s">
        <v>133</v>
      </c>
      <c r="BQ13">
        <v>-1.6</v>
      </c>
      <c r="BR13">
        <v>-10.98</v>
      </c>
      <c r="BS13">
        <v>-0.71</v>
      </c>
      <c r="BT13" t="s">
        <v>856</v>
      </c>
      <c r="BU13" t="s">
        <v>787</v>
      </c>
      <c r="BV13">
        <v>24.19</v>
      </c>
      <c r="BW13">
        <v>23.94</v>
      </c>
      <c r="BX13">
        <v>25.09</v>
      </c>
      <c r="BY13">
        <v>-2.86</v>
      </c>
      <c r="BZ13">
        <v>-2.88</v>
      </c>
      <c r="CA13">
        <v>-0.34</v>
      </c>
      <c r="CB13">
        <v>4.45</v>
      </c>
      <c r="CC13">
        <v>-1.95</v>
      </c>
      <c r="CD13" t="s">
        <v>1486</v>
      </c>
      <c r="CE13" t="s">
        <v>1487</v>
      </c>
      <c r="CF13" s="9">
        <v>-7.1753986332573905E-2</v>
      </c>
      <c r="CG13" s="10">
        <v>-6.191903001496347</v>
      </c>
      <c r="CH13" s="9">
        <v>-4.5748963952064514E-2</v>
      </c>
      <c r="CI13" s="9">
        <v>-1.0866889730095863E-2</v>
      </c>
      <c r="CJ13" s="9">
        <v>-6.0781486332416534E-2</v>
      </c>
      <c r="CK13" s="9">
        <v>-0.1555827260017395</v>
      </c>
      <c r="CL13" s="9">
        <v>2.2356636822223663E-2</v>
      </c>
      <c r="CM13" s="10">
        <v>4.5197740197181702E-2</v>
      </c>
      <c r="CN13" s="10">
        <v>-5.8885135650634766</v>
      </c>
      <c r="CO13" s="10">
        <v>-3.1641952991485596</v>
      </c>
      <c r="CP13" s="10">
        <v>4.9467296600341797</v>
      </c>
      <c r="CQ13" s="10">
        <v>-1.0144281387329102</v>
      </c>
      <c r="CR13">
        <v>-46.571257324785869</v>
      </c>
      <c r="CS13">
        <v>-9.2910821375600996</v>
      </c>
      <c r="CT13">
        <v>0</v>
      </c>
      <c r="CU13" s="9">
        <v>-5.0124685838818551E-2</v>
      </c>
      <c r="CV13" s="10">
        <v>-1.015041920542717</v>
      </c>
      <c r="CW13">
        <v>0.06</v>
      </c>
      <c r="CX13" t="e">
        <v>#VALUE!</v>
      </c>
      <c r="CY13" t="s">
        <v>783</v>
      </c>
      <c r="CZ13">
        <v>-5.0124685838818551E-2</v>
      </c>
      <c r="DA13" t="e">
        <v>#VALUE!</v>
      </c>
      <c r="DB13" t="s">
        <v>784</v>
      </c>
      <c r="DC13">
        <v>-4.7618451546877619E-2</v>
      </c>
      <c r="DD13" t="e">
        <v>#VALUE!</v>
      </c>
      <c r="DE13" t="s">
        <v>784</v>
      </c>
      <c r="DF13">
        <v>-4.4109723538160325E-2</v>
      </c>
      <c r="DG13" t="e">
        <v>#VALUE!</v>
      </c>
      <c r="DH13" t="s">
        <v>784</v>
      </c>
      <c r="DI13">
        <v>-4.0099748671054841E-2</v>
      </c>
      <c r="DJ13" t="e">
        <v>#VALUE!</v>
      </c>
      <c r="DK13" t="s">
        <v>784</v>
      </c>
      <c r="DL13">
        <v>-3.5087280087172983E-2</v>
      </c>
      <c r="DM13">
        <v>-338000000</v>
      </c>
      <c r="DN13">
        <v>-5.0124685838818551E-2</v>
      </c>
      <c r="DO13">
        <v>9192787700</v>
      </c>
      <c r="DP13">
        <v>-3205394400</v>
      </c>
      <c r="DQ13">
        <v>268</v>
      </c>
      <c r="DR13">
        <v>-2.1629300493755353E-2</v>
      </c>
      <c r="DS13">
        <v>-5.1768610809536302</v>
      </c>
      <c r="DT13" s="11">
        <v>-0.55666666666666664</v>
      </c>
      <c r="DU13">
        <v>-3.0633333333333339</v>
      </c>
      <c r="DV13">
        <v>-3.6200000000000006</v>
      </c>
      <c r="DW13">
        <v>4.4382022471910112</v>
      </c>
      <c r="DX13">
        <v>0.52402985074626995</v>
      </c>
      <c r="DY13">
        <v>4.1288445413382524</v>
      </c>
      <c r="DZ13">
        <v>4962</v>
      </c>
      <c r="EA13">
        <v>4.0037317010015778</v>
      </c>
      <c r="EB13">
        <v>4</v>
      </c>
      <c r="EC13">
        <v>0.28944134147980927</v>
      </c>
      <c r="ED13">
        <v>0.98439441010899598</v>
      </c>
      <c r="EE13" s="12">
        <v>-2.0026000000000002</v>
      </c>
      <c r="EF13">
        <v>-2.02081</v>
      </c>
      <c r="EG13">
        <v>23.29402985074627</v>
      </c>
      <c r="EH13" t="s">
        <v>1178</v>
      </c>
      <c r="EI13">
        <v>0</v>
      </c>
      <c r="EJ13">
        <v>0</v>
      </c>
      <c r="EK13" s="14">
        <v>45470</v>
      </c>
      <c r="EL13" s="15">
        <v>1.5</v>
      </c>
      <c r="EM13" s="15">
        <v>-5.6</v>
      </c>
      <c r="EN13" s="15">
        <v>10</v>
      </c>
      <c r="EO13" s="15">
        <v>-2.84</v>
      </c>
      <c r="EP13" s="15">
        <v>-2.34</v>
      </c>
    </row>
    <row r="14" spans="1:146" ht="168" x14ac:dyDescent="0.25">
      <c r="A14" s="7" t="s">
        <v>629</v>
      </c>
      <c r="B14" s="7"/>
      <c r="C14" s="7" t="str">
        <f>"公司的主营业务是从事零售业务，业态主要包含现代百货、购物中心以及超市和家居卖场业务、家居建材超市业务和家装业务。"&amp;CHAR(10)&amp;Basic_Fundamental_Information_Constructure(F14)&amp;CHAR(10)&amp;Basic_Fundamental_Information_Concatenate("租赁及其管理 34.72亿 52.57% 利润占比83.98% 53.81%
商品销售 22.73亿 34.42% 利润占比16.02% 15.67%
加盟管理 3.27亿 4.95% - - - -
其他 3.23亿 4.89% - - - -
装修服务 1.47亿 2.22% - - - -
贷款保理利息 6269.99万 0.95% ")</f>
        <v xml:space="preserve">公司的主营业务是从事零售业务，业态主要包含现代百货、购物中心以及超市和家居卖场业务、家居建材超市业务和家装业务。
市值152.15238亿, 利润13.00亿; PE12.71; 平均PE7.79; 平均PEG.7, PB.75; ROIC8.98%; ROE8.91%; 股利率2.562%; 毛利42.37%; 净利13.8467%; 上一年度营收增4.07%, 利润增-21.12%; 当季营收增-3.36%, 利润增-22.93%; 过往5年营收增11.14%, 利润增4.94%
Income profile:
租赁及其管理 34.72亿 52.57% 利润占比83.98% 53.81%
商品销售 22.73亿 34.42% 利润占比16.02% 15.67%
加盟管理 3.27亿 4.95% - - - -
其他 3.23亿 4.89% - - - -
装修服务 1.47亿 2.22% - - - -
贷款保理利息 6269.99万 0.95% </v>
      </c>
      <c r="D14" t="s">
        <v>59</v>
      </c>
      <c r="E14" t="s">
        <v>60</v>
      </c>
      <c r="F14">
        <v>2.42</v>
      </c>
      <c r="G14">
        <v>0.83</v>
      </c>
      <c r="H14" t="s">
        <v>1488</v>
      </c>
      <c r="I14">
        <v>15215238000</v>
      </c>
      <c r="J14">
        <v>12.71</v>
      </c>
      <c r="K14">
        <v>0.75</v>
      </c>
      <c r="L14" t="s">
        <v>57</v>
      </c>
      <c r="M14" t="s">
        <v>1489</v>
      </c>
      <c r="N14" t="s">
        <v>1490</v>
      </c>
      <c r="O14" t="s">
        <v>1171</v>
      </c>
      <c r="P14">
        <v>-3.38</v>
      </c>
      <c r="Q14" t="s">
        <v>1491</v>
      </c>
      <c r="R14">
        <v>349125030</v>
      </c>
      <c r="S14" s="5">
        <v>-0.2288</v>
      </c>
      <c r="T14" t="s">
        <v>1492</v>
      </c>
      <c r="U14">
        <v>5965233900</v>
      </c>
      <c r="V14">
        <v>6287288300</v>
      </c>
      <c r="W14">
        <v>2.4900000000000002</v>
      </c>
      <c r="X14">
        <v>0.06</v>
      </c>
      <c r="Y14">
        <v>11.3</v>
      </c>
      <c r="Z14" t="s">
        <v>1493</v>
      </c>
      <c r="AA14" t="s">
        <v>1317</v>
      </c>
      <c r="AB14" t="s">
        <v>980</v>
      </c>
      <c r="AC14" t="s">
        <v>227</v>
      </c>
      <c r="AD14" t="s">
        <v>133</v>
      </c>
      <c r="AE14">
        <v>251409780</v>
      </c>
      <c r="AF14" t="s">
        <v>1494</v>
      </c>
      <c r="AG14" t="s">
        <v>1495</v>
      </c>
      <c r="AH14" t="s">
        <v>1496</v>
      </c>
      <c r="AI14" t="s">
        <v>1497</v>
      </c>
      <c r="AJ14" t="s">
        <v>1498</v>
      </c>
      <c r="AK14" t="s">
        <v>1499</v>
      </c>
      <c r="AL14" t="s">
        <v>1500</v>
      </c>
      <c r="AM14" t="s">
        <v>133</v>
      </c>
      <c r="AN14" t="s">
        <v>1165</v>
      </c>
      <c r="AO14" t="s">
        <v>1501</v>
      </c>
      <c r="AP14" t="s">
        <v>133</v>
      </c>
      <c r="AQ14" t="s">
        <v>1037</v>
      </c>
      <c r="AR14" t="s">
        <v>1502</v>
      </c>
      <c r="AS14" t="s">
        <v>1503</v>
      </c>
      <c r="AT14" t="s">
        <v>1504</v>
      </c>
      <c r="AU14" t="s">
        <v>195</v>
      </c>
      <c r="AV14" t="s">
        <v>1505</v>
      </c>
      <c r="AW14" t="s">
        <v>1506</v>
      </c>
      <c r="AX14" t="s">
        <v>1507</v>
      </c>
      <c r="AY14" t="s">
        <v>661</v>
      </c>
      <c r="AZ14" t="s">
        <v>662</v>
      </c>
      <c r="BA14" t="s">
        <v>371</v>
      </c>
      <c r="BB14" t="s">
        <v>372</v>
      </c>
      <c r="BC14" t="s">
        <v>905</v>
      </c>
      <c r="BD14" t="s">
        <v>908</v>
      </c>
      <c r="BE14" t="s">
        <v>445</v>
      </c>
      <c r="BF14" t="s">
        <v>373</v>
      </c>
      <c r="BG14" t="s">
        <v>374</v>
      </c>
      <c r="BH14" t="s">
        <v>1491</v>
      </c>
      <c r="BI14" t="s">
        <v>1072</v>
      </c>
      <c r="BJ14" t="s">
        <v>1507</v>
      </c>
      <c r="BK14" t="s">
        <v>1492</v>
      </c>
      <c r="BL14" t="s">
        <v>431</v>
      </c>
      <c r="BM14" t="s">
        <v>905</v>
      </c>
      <c r="BN14">
        <v>6.36</v>
      </c>
      <c r="BO14">
        <v>9.1</v>
      </c>
      <c r="BP14">
        <v>11.48</v>
      </c>
      <c r="BQ14">
        <v>5.78</v>
      </c>
      <c r="BR14">
        <v>8.52</v>
      </c>
      <c r="BS14">
        <v>12.43</v>
      </c>
      <c r="BT14" t="s">
        <v>1508</v>
      </c>
      <c r="BU14" t="s">
        <v>782</v>
      </c>
      <c r="BV14">
        <v>34.11</v>
      </c>
      <c r="BW14">
        <v>44.86</v>
      </c>
      <c r="BX14">
        <v>48.14</v>
      </c>
      <c r="BY14">
        <v>9.92</v>
      </c>
      <c r="BZ14">
        <v>13.26</v>
      </c>
      <c r="CA14">
        <v>18.36</v>
      </c>
      <c r="CB14">
        <v>-0.41</v>
      </c>
      <c r="CC14">
        <v>-19.87</v>
      </c>
      <c r="CD14" t="s">
        <v>556</v>
      </c>
      <c r="CE14" t="s">
        <v>1509</v>
      </c>
      <c r="CF14" s="9">
        <v>-3.3579790511398644E-2</v>
      </c>
      <c r="CG14" s="10">
        <v>-0.22930456953642384</v>
      </c>
      <c r="CH14" s="9">
        <v>4.074554517865181E-2</v>
      </c>
      <c r="CI14" s="9">
        <v>-6.7324223928153515E-3</v>
      </c>
      <c r="CJ14" s="9">
        <v>0.44879177212715149</v>
      </c>
      <c r="CK14" s="9">
        <v>-2.2429252043366432E-2</v>
      </c>
      <c r="CL14" s="9">
        <v>9.6471399068832397E-2</v>
      </c>
      <c r="CM14" s="10">
        <v>-0.21116505563259125</v>
      </c>
      <c r="CN14" s="10">
        <v>-0.28441166877746582</v>
      </c>
      <c r="CO14" s="10">
        <v>0.69712615013122559</v>
      </c>
      <c r="CP14" s="10">
        <v>-0.56988906860351563</v>
      </c>
      <c r="CQ14" s="10">
        <v>0.6154634952545166</v>
      </c>
      <c r="CR14">
        <v>7.7920303857972</v>
      </c>
      <c r="CS14">
        <v>0.69965626096101463</v>
      </c>
      <c r="CT14">
        <v>2.5619834710743801</v>
      </c>
      <c r="CU14" s="9">
        <v>0.11136940838769079</v>
      </c>
      <c r="CV14" s="10">
        <v>4.9424770474433902E-2</v>
      </c>
      <c r="CW14">
        <v>0.06</v>
      </c>
      <c r="CX14">
        <v>19.468990285394526</v>
      </c>
      <c r="CY14">
        <v>1363000217.8339605</v>
      </c>
      <c r="CZ14">
        <v>0.11136940838769079</v>
      </c>
      <c r="DA14">
        <v>6.2484682782202565</v>
      </c>
      <c r="DB14">
        <v>4246838876.0962524</v>
      </c>
      <c r="DC14">
        <v>0.10580093796830624</v>
      </c>
      <c r="DD14">
        <v>3.0020260339347993</v>
      </c>
      <c r="DE14">
        <v>8839442996.1750088</v>
      </c>
      <c r="DF14">
        <v>9.8005079381167898E-2</v>
      </c>
      <c r="DG14">
        <v>1.7534872570498663</v>
      </c>
      <c r="DH14">
        <v>15133407952.245731</v>
      </c>
      <c r="DI14">
        <v>8.9095526710152639E-2</v>
      </c>
      <c r="DJ14">
        <v>0.85156903719154398</v>
      </c>
      <c r="DK14">
        <v>31161581552.466881</v>
      </c>
      <c r="DL14">
        <v>7.7958585871383546E-2</v>
      </c>
      <c r="DM14">
        <v>1300000000</v>
      </c>
      <c r="DN14">
        <v>0.11136940838769079</v>
      </c>
      <c r="DO14">
        <v>26536238000</v>
      </c>
      <c r="DP14">
        <v>-3519904500</v>
      </c>
      <c r="DQ14">
        <v>280</v>
      </c>
      <c r="DR14">
        <v>-0.14494919889908942</v>
      </c>
      <c r="DS14">
        <v>-0.27872934001085775</v>
      </c>
      <c r="DT14" s="11">
        <v>-0.3066666666666667</v>
      </c>
      <c r="DU14">
        <v>-0.18666666666666665</v>
      </c>
      <c r="DV14">
        <v>-0.49333333333333335</v>
      </c>
      <c r="DW14">
        <v>-3.043767857142857</v>
      </c>
      <c r="DX14">
        <v>0.35347509113001341</v>
      </c>
      <c r="DY14">
        <v>-3.0080303115778513</v>
      </c>
      <c r="DZ14">
        <v>2870</v>
      </c>
      <c r="EA14">
        <v>-3.0035201365820718</v>
      </c>
      <c r="EB14">
        <v>3</v>
      </c>
      <c r="EC14">
        <v>2.4016713214821087E-2</v>
      </c>
      <c r="ED14">
        <v>0.13089903957481955</v>
      </c>
      <c r="EE14" s="12">
        <v>-1.02851</v>
      </c>
      <c r="EF14">
        <v>-1.08961</v>
      </c>
      <c r="EG14">
        <v>17.183475091130013</v>
      </c>
      <c r="EH14" t="s">
        <v>793</v>
      </c>
      <c r="EI14">
        <v>0</v>
      </c>
      <c r="EJ14">
        <v>0</v>
      </c>
      <c r="EK14" s="14">
        <v>45470</v>
      </c>
      <c r="EL14" s="15">
        <v>0</v>
      </c>
      <c r="EM14" s="15">
        <v>-1.23</v>
      </c>
      <c r="EN14" s="15">
        <v>3.32</v>
      </c>
      <c r="EO14" s="15">
        <v>5.22</v>
      </c>
      <c r="EP14" s="15">
        <v>-6.11</v>
      </c>
    </row>
    <row r="15" spans="1:146" ht="204" x14ac:dyDescent="0.25">
      <c r="A15" s="7" t="s">
        <v>736</v>
      </c>
      <c r="B15" s="7"/>
      <c r="C15" s="7" t="str">
        <f>"公司主要从事智能终端分销业务、彩票业务、零售电商业务、移动转售和移动互联网业务。公司销售的智能终端产品包括智能手机、笔记本、平板电脑、智能影音(智慧屏和智能音箱)、智能穿戴(智能眼镜、智能手表、智能手环、智能耳机、智能配件等)、智能家居(智能恒温、智能门禁、智能监控、智能防盗等物联网产品)等六大品类。"&amp;CHAR(10)&amp;Basic_Fundamental_Information_Constructure(F15)&amp;CHAR(10)&amp;Basic_Fundamental_Information_Concatenate("通信产品销售 323.28亿 85.19% 86.01% 3.14%
零售电商 52.09亿 13.73% 13.99% 3.17%
通信产品维修 1.52亿 0.40%
彩票业务 1.51亿 0.40%
其他 1.06亿 0.28%")</f>
        <v>公司主要从事智能终端分销业务、彩票业务、零售电商业务、移动转售和移动互联网业务。公司销售的智能终端产品包括智能手机、笔记本、平板电脑、智能影音(智慧屏和智能音箱)、智能穿戴(智能眼镜、智能手表、智能手环、智能耳机、智能配件等)、智能家居(智能恒温、智能门禁、智能监控、智能防盗等物联网产品)等六大品类。
市值82.008035亿, 利润8365.68万; PE209.1; 平均PE120.79; 平均PEG6.86, PB2.72; ROIC3.7167%; ROE5.6433%; 股利率.3125%; 毛利3.23%; 净利.1833%; 上一年度营收增24.07%, 利润增-24.63%; 当季营收增14.72%, 利润增-73.61%; 过往5年营收增17.61%, 利润增65.84%
Income profile:
通信产品销售 323.28亿 85.19% 86.01% 3.14%
零售电商 52.09亿 13.73% 13.99% 3.17%
通信产品维修 1.52亿 0.40%
彩票业务 1.51亿 0.40%
其他 1.06亿 0.28%</v>
      </c>
      <c r="D15" t="s">
        <v>115</v>
      </c>
      <c r="E15" t="s">
        <v>5</v>
      </c>
      <c r="F15">
        <v>8</v>
      </c>
      <c r="G15">
        <v>-0.25</v>
      </c>
      <c r="H15" t="s">
        <v>1510</v>
      </c>
      <c r="I15">
        <v>8200803500</v>
      </c>
      <c r="J15">
        <v>209.1</v>
      </c>
      <c r="K15">
        <v>2.72</v>
      </c>
      <c r="L15" t="s">
        <v>57</v>
      </c>
      <c r="M15" t="s">
        <v>1511</v>
      </c>
      <c r="N15" t="s">
        <v>1512</v>
      </c>
      <c r="O15" t="s">
        <v>1513</v>
      </c>
      <c r="P15">
        <v>14.72</v>
      </c>
      <c r="Q15" t="s">
        <v>1514</v>
      </c>
      <c r="R15">
        <v>15930782</v>
      </c>
      <c r="S15" s="5">
        <v>-0.73609999999999998</v>
      </c>
      <c r="T15" t="s">
        <v>1515</v>
      </c>
      <c r="U15">
        <v>1024129670</v>
      </c>
      <c r="V15">
        <v>1025100440</v>
      </c>
      <c r="W15">
        <v>7.41</v>
      </c>
      <c r="X15">
        <v>1.1599999999999999</v>
      </c>
      <c r="Y15">
        <v>7.0000000000000007E-2</v>
      </c>
      <c r="Z15" t="s">
        <v>1516</v>
      </c>
      <c r="AA15" t="s">
        <v>1517</v>
      </c>
      <c r="AB15" t="s">
        <v>594</v>
      </c>
      <c r="AC15" t="s">
        <v>1518</v>
      </c>
      <c r="AD15" t="s">
        <v>133</v>
      </c>
      <c r="AE15">
        <v>171108530</v>
      </c>
      <c r="AF15" t="s">
        <v>1519</v>
      </c>
      <c r="AG15" t="s">
        <v>1520</v>
      </c>
      <c r="AH15" t="s">
        <v>1521</v>
      </c>
      <c r="AI15" t="s">
        <v>1522</v>
      </c>
      <c r="AJ15" t="s">
        <v>1523</v>
      </c>
      <c r="AK15" t="s">
        <v>133</v>
      </c>
      <c r="AL15" t="s">
        <v>1524</v>
      </c>
      <c r="AM15" t="s">
        <v>133</v>
      </c>
      <c r="AN15" t="s">
        <v>1525</v>
      </c>
      <c r="AO15" t="s">
        <v>1526</v>
      </c>
      <c r="AP15" t="s">
        <v>1527</v>
      </c>
      <c r="AQ15" t="s">
        <v>1188</v>
      </c>
      <c r="AR15" t="s">
        <v>133</v>
      </c>
      <c r="AS15" t="s">
        <v>1528</v>
      </c>
      <c r="AT15" t="s">
        <v>1529</v>
      </c>
      <c r="AU15" t="s">
        <v>1530</v>
      </c>
      <c r="AV15" t="s">
        <v>1531</v>
      </c>
      <c r="AW15" t="s">
        <v>1532</v>
      </c>
      <c r="AX15" t="s">
        <v>909</v>
      </c>
      <c r="AY15" t="s">
        <v>663</v>
      </c>
      <c r="AZ15" t="s">
        <v>375</v>
      </c>
      <c r="BA15" t="s">
        <v>166</v>
      </c>
      <c r="BB15" t="s">
        <v>376</v>
      </c>
      <c r="BC15" t="s">
        <v>273</v>
      </c>
      <c r="BD15" t="s">
        <v>148</v>
      </c>
      <c r="BE15" t="s">
        <v>224</v>
      </c>
      <c r="BF15" t="s">
        <v>167</v>
      </c>
      <c r="BG15" t="s">
        <v>377</v>
      </c>
      <c r="BH15" t="s">
        <v>1514</v>
      </c>
      <c r="BI15" t="s">
        <v>1074</v>
      </c>
      <c r="BJ15" t="s">
        <v>909</v>
      </c>
      <c r="BK15" t="s">
        <v>1515</v>
      </c>
      <c r="BL15" t="s">
        <v>1075</v>
      </c>
      <c r="BM15" t="s">
        <v>273</v>
      </c>
      <c r="BN15">
        <v>3.05</v>
      </c>
      <c r="BO15">
        <v>3.32</v>
      </c>
      <c r="BP15">
        <v>4.78</v>
      </c>
      <c r="BQ15">
        <v>4.57</v>
      </c>
      <c r="BR15">
        <v>4.2300000000000004</v>
      </c>
      <c r="BS15">
        <v>8.1300000000000008</v>
      </c>
      <c r="BT15" t="s">
        <v>1533</v>
      </c>
      <c r="BU15" t="s">
        <v>792</v>
      </c>
      <c r="BV15">
        <v>2.82</v>
      </c>
      <c r="BW15">
        <v>3.55</v>
      </c>
      <c r="BX15">
        <v>3.32</v>
      </c>
      <c r="BY15">
        <v>0.11</v>
      </c>
      <c r="BZ15">
        <v>0.16</v>
      </c>
      <c r="CA15">
        <v>0.28000000000000003</v>
      </c>
      <c r="CB15">
        <v>-11.89</v>
      </c>
      <c r="CC15">
        <v>5.0599999999999996</v>
      </c>
      <c r="CD15" t="s">
        <v>288</v>
      </c>
      <c r="CE15" t="s">
        <v>445</v>
      </c>
      <c r="CF15" s="9">
        <v>0.14720322637208486</v>
      </c>
      <c r="CG15" s="10">
        <v>-0.73611950731474607</v>
      </c>
      <c r="CH15" s="9">
        <v>0.24072636663913727</v>
      </c>
      <c r="CI15" s="9">
        <v>7.6436668634414673E-2</v>
      </c>
      <c r="CJ15" s="9">
        <v>0.18760870397090912</v>
      </c>
      <c r="CK15" s="9">
        <v>0.12923575937747955</v>
      </c>
      <c r="CL15" s="9">
        <v>0.24669145047664642</v>
      </c>
      <c r="CM15" s="10">
        <v>-0.24633513391017914</v>
      </c>
      <c r="CN15" s="10">
        <v>-0.4637681245803833</v>
      </c>
      <c r="CO15" s="10">
        <v>0.11290322244167328</v>
      </c>
      <c r="CP15" s="10">
        <v>2.6695797443389893</v>
      </c>
      <c r="CQ15" s="10">
        <v>1.2194242477416992</v>
      </c>
      <c r="CR15">
        <v>120.79432901642299</v>
      </c>
      <c r="CS15">
        <v>6.8578672167179491</v>
      </c>
      <c r="CT15">
        <v>0.3125</v>
      </c>
      <c r="CU15" s="9">
        <v>0.1761397898197174</v>
      </c>
      <c r="CV15" s="10">
        <v>0.65836079120635982</v>
      </c>
      <c r="CW15">
        <v>0.06</v>
      </c>
      <c r="CX15">
        <v>262.03500102176577</v>
      </c>
      <c r="CY15">
        <v>92822727.517915219</v>
      </c>
      <c r="CZ15">
        <v>0.1761397898197174</v>
      </c>
      <c r="DA15">
        <v>79.665037044547518</v>
      </c>
      <c r="DB15">
        <v>305313402.24443811</v>
      </c>
      <c r="DC15">
        <v>0.16733280032873152</v>
      </c>
      <c r="DD15">
        <v>35.500554515154512</v>
      </c>
      <c r="DE15">
        <v>685138692.40034139</v>
      </c>
      <c r="DF15">
        <v>0.15500301504135131</v>
      </c>
      <c r="DG15">
        <v>18.973982517794052</v>
      </c>
      <c r="DH15">
        <v>1281902915.0675011</v>
      </c>
      <c r="DI15">
        <v>0.14091183185577391</v>
      </c>
      <c r="DJ15">
        <v>7.4812820748998439</v>
      </c>
      <c r="DK15">
        <v>3251154448.728044</v>
      </c>
      <c r="DL15">
        <v>0.12329785287380217</v>
      </c>
      <c r="DM15">
        <v>83656800</v>
      </c>
      <c r="DN15">
        <v>0.1761397898197174</v>
      </c>
      <c r="DO15">
        <v>24322803500</v>
      </c>
      <c r="DP15">
        <v>-2531746000</v>
      </c>
      <c r="DQ15">
        <v>314</v>
      </c>
      <c r="DR15">
        <v>-2.8936563447632541E-2</v>
      </c>
      <c r="DS15">
        <v>-1.3944802985211058</v>
      </c>
      <c r="DT15" s="11">
        <v>-4.0000000000000036E-2</v>
      </c>
      <c r="DU15">
        <v>-0.13833333333333342</v>
      </c>
      <c r="DV15">
        <v>-0.17833333333333345</v>
      </c>
      <c r="DW15">
        <v>-5.4255677039529013</v>
      </c>
      <c r="DX15">
        <v>0.24611643831352426</v>
      </c>
      <c r="DY15">
        <v>-5.0451597290047463</v>
      </c>
      <c r="DZ15">
        <v>2151</v>
      </c>
      <c r="EA15">
        <v>-5.0261502227250574</v>
      </c>
      <c r="EB15">
        <v>5</v>
      </c>
      <c r="EC15">
        <v>0.14047403979262754</v>
      </c>
      <c r="ED15">
        <v>1.3237727222124693</v>
      </c>
      <c r="EE15" s="12">
        <v>-2.0669</v>
      </c>
      <c r="EF15">
        <v>-2.0430000000000001</v>
      </c>
      <c r="EG15">
        <v>14.106116438313524</v>
      </c>
      <c r="EH15" t="s">
        <v>1419</v>
      </c>
      <c r="EI15">
        <v>0</v>
      </c>
      <c r="EJ15">
        <v>0</v>
      </c>
      <c r="EK15" s="14">
        <v>45470</v>
      </c>
      <c r="EL15" s="15">
        <v>1.84</v>
      </c>
      <c r="EM15" s="15">
        <v>-2.93</v>
      </c>
      <c r="EN15" s="15">
        <v>4.6500000000000004</v>
      </c>
      <c r="EO15" s="15">
        <v>2.33</v>
      </c>
      <c r="EP15" s="15">
        <v>-2.39</v>
      </c>
    </row>
    <row r="16" spans="1:146" ht="96" x14ac:dyDescent="0.25">
      <c r="A16" s="7"/>
      <c r="B16" s="7"/>
      <c r="C16" s="7" t="str">
        <f>""&amp;CHAR(10)&amp;Basic_Fundamental_Information_Constructure(F16)&amp;CHAR(10)&amp;Basic_Fundamental_Information_Concatenate("")</f>
        <v xml:space="preserve">
市值23.837825亿, 利润-1.56亿; PE32.92; 平均PE-16.77; 平均PEG-1.04, PB.741; ROIC0%; ROE-11.36%; 股利率0%; 毛利38.9867%; 净利-36.4%; 上一年度营收增-19.66%, 利润增59.27%; 当季营收增-2.36%, 利润增260.93%; 过往5年营收增-16.05%, 利润增-406.57%
Income profile:
</v>
      </c>
      <c r="D16" t="s">
        <v>71</v>
      </c>
      <c r="E16" t="s">
        <v>15</v>
      </c>
      <c r="F16">
        <v>0.95</v>
      </c>
      <c r="G16">
        <v>0</v>
      </c>
      <c r="H16" t="s">
        <v>594</v>
      </c>
      <c r="I16">
        <v>2383782500</v>
      </c>
      <c r="J16">
        <v>32.92</v>
      </c>
      <c r="K16">
        <v>0.74099999999999999</v>
      </c>
      <c r="L16" t="s">
        <v>57</v>
      </c>
      <c r="M16" t="s">
        <v>1534</v>
      </c>
      <c r="N16" t="s">
        <v>1535</v>
      </c>
      <c r="O16" t="s">
        <v>148</v>
      </c>
      <c r="P16">
        <v>-2.74</v>
      </c>
      <c r="Q16" t="s">
        <v>1536</v>
      </c>
      <c r="R16">
        <v>140826690</v>
      </c>
      <c r="S16" s="5">
        <v>2.609</v>
      </c>
      <c r="T16" t="s">
        <v>1022</v>
      </c>
      <c r="U16">
        <v>2386797400</v>
      </c>
      <c r="V16">
        <v>2509244800</v>
      </c>
      <c r="W16">
        <v>2.4900000000000002</v>
      </c>
      <c r="X16">
        <v>0.03</v>
      </c>
      <c r="Y16">
        <v>66.3</v>
      </c>
      <c r="Z16" t="s">
        <v>165</v>
      </c>
      <c r="AA16" t="s">
        <v>855</v>
      </c>
      <c r="AB16" t="s">
        <v>1537</v>
      </c>
      <c r="AC16" t="s">
        <v>1538</v>
      </c>
      <c r="AD16" t="s">
        <v>133</v>
      </c>
      <c r="AE16">
        <v>40950114</v>
      </c>
      <c r="AF16" t="s">
        <v>1539</v>
      </c>
      <c r="AG16" t="s">
        <v>1157</v>
      </c>
      <c r="AH16" t="s">
        <v>1540</v>
      </c>
      <c r="AI16" t="s">
        <v>1541</v>
      </c>
      <c r="AJ16" t="s">
        <v>1542</v>
      </c>
      <c r="AK16" t="s">
        <v>133</v>
      </c>
      <c r="AL16" t="s">
        <v>1543</v>
      </c>
      <c r="AM16" t="s">
        <v>133</v>
      </c>
      <c r="AN16" t="s">
        <v>1544</v>
      </c>
      <c r="AO16" t="s">
        <v>1073</v>
      </c>
      <c r="AP16" t="s">
        <v>133</v>
      </c>
      <c r="AQ16" t="s">
        <v>178</v>
      </c>
      <c r="AR16" t="s">
        <v>1545</v>
      </c>
      <c r="AS16" t="s">
        <v>1546</v>
      </c>
      <c r="AT16" t="s">
        <v>1051</v>
      </c>
      <c r="AU16" t="s">
        <v>217</v>
      </c>
      <c r="AV16" t="s">
        <v>1547</v>
      </c>
      <c r="AW16" t="s">
        <v>480</v>
      </c>
      <c r="AX16" t="s">
        <v>910</v>
      </c>
      <c r="AY16" t="s">
        <v>664</v>
      </c>
      <c r="AZ16" t="s">
        <v>379</v>
      </c>
      <c r="BA16" t="s">
        <v>170</v>
      </c>
      <c r="BB16" t="s">
        <v>381</v>
      </c>
      <c r="BC16" t="s">
        <v>911</v>
      </c>
      <c r="BD16" t="s">
        <v>587</v>
      </c>
      <c r="BE16" t="s">
        <v>380</v>
      </c>
      <c r="BF16" t="s">
        <v>162</v>
      </c>
      <c r="BG16" t="s">
        <v>382</v>
      </c>
      <c r="BH16" t="s">
        <v>1536</v>
      </c>
      <c r="BI16" t="s">
        <v>293</v>
      </c>
      <c r="BJ16" t="s">
        <v>910</v>
      </c>
      <c r="BK16" t="s">
        <v>1022</v>
      </c>
      <c r="BL16" t="s">
        <v>1076</v>
      </c>
      <c r="BM16" t="s">
        <v>911</v>
      </c>
      <c r="BN16" t="s">
        <v>133</v>
      </c>
      <c r="BO16" t="s">
        <v>133</v>
      </c>
      <c r="BP16" t="s">
        <v>133</v>
      </c>
      <c r="BQ16">
        <v>-2.94</v>
      </c>
      <c r="BR16">
        <v>-12.29</v>
      </c>
      <c r="BS16">
        <v>-18.850000000000001</v>
      </c>
      <c r="BT16" t="s">
        <v>856</v>
      </c>
      <c r="BU16" t="s">
        <v>782</v>
      </c>
      <c r="BV16">
        <v>43.89</v>
      </c>
      <c r="BW16">
        <v>37.909999999999997</v>
      </c>
      <c r="BX16">
        <v>35.159999999999997</v>
      </c>
      <c r="BY16">
        <v>-19.239999999999998</v>
      </c>
      <c r="BZ16">
        <v>-34.53</v>
      </c>
      <c r="CA16">
        <v>-55.43</v>
      </c>
      <c r="CB16">
        <v>31.94</v>
      </c>
      <c r="CC16">
        <v>-38.71</v>
      </c>
      <c r="CD16" t="s">
        <v>1548</v>
      </c>
      <c r="CE16" t="s">
        <v>1549</v>
      </c>
      <c r="CF16" s="9">
        <v>-2.3584905660377499E-2</v>
      </c>
      <c r="CG16" s="10">
        <v>2.6092915545347024</v>
      </c>
      <c r="CH16" s="9">
        <v>-0.19655172526836395</v>
      </c>
      <c r="CI16" s="9">
        <v>-4.9180328845977783E-2</v>
      </c>
      <c r="CJ16" s="9">
        <v>-6.2980033457279205E-2</v>
      </c>
      <c r="CK16" s="9">
        <v>-0.46551725268363953</v>
      </c>
      <c r="CL16" s="9">
        <v>-2.8320726007223129E-2</v>
      </c>
      <c r="CM16" s="10">
        <v>0.59268927574157715</v>
      </c>
      <c r="CN16" s="10">
        <v>0.38523274660110474</v>
      </c>
      <c r="CO16" s="10">
        <v>-20.542890548706055</v>
      </c>
      <c r="CP16" s="10">
        <v>-0.77065753936767578</v>
      </c>
      <c r="CQ16" s="10">
        <v>7.2463769465684891E-3</v>
      </c>
      <c r="CR16">
        <v>-16.765134481446601</v>
      </c>
      <c r="CS16">
        <v>-1.0444915019148078</v>
      </c>
      <c r="CT16">
        <v>0</v>
      </c>
      <c r="CU16" s="9">
        <v>-0.16051001325249672</v>
      </c>
      <c r="CV16" s="10">
        <v>-4.0656759377568958</v>
      </c>
      <c r="CW16">
        <v>0.06</v>
      </c>
      <c r="CX16" t="e">
        <v>#VALUE!</v>
      </c>
      <c r="CY16" t="s">
        <v>784</v>
      </c>
      <c r="CZ16">
        <v>-0.16051001325249672</v>
      </c>
      <c r="DA16" t="e">
        <v>#VALUE!</v>
      </c>
      <c r="DB16" t="s">
        <v>784</v>
      </c>
      <c r="DC16">
        <v>-0.15248451258987189</v>
      </c>
      <c r="DD16" t="e">
        <v>#VALUE!</v>
      </c>
      <c r="DE16" t="s">
        <v>784</v>
      </c>
      <c r="DF16">
        <v>-0.14124881166219713</v>
      </c>
      <c r="DG16" t="e">
        <v>#VALUE!</v>
      </c>
      <c r="DH16" t="s">
        <v>784</v>
      </c>
      <c r="DI16">
        <v>-0.12840801060199739</v>
      </c>
      <c r="DJ16" t="e">
        <v>#VALUE!</v>
      </c>
      <c r="DK16" t="s">
        <v>784</v>
      </c>
      <c r="DL16">
        <v>-0.1123570092767477</v>
      </c>
      <c r="DM16">
        <v>-156000000</v>
      </c>
      <c r="DN16">
        <v>-0.16051001325249672</v>
      </c>
      <c r="DO16">
        <v>4179782500</v>
      </c>
      <c r="DP16">
        <v>389015500</v>
      </c>
      <c r="DQ16">
        <v>330</v>
      </c>
      <c r="DR16">
        <v>0.13692510759211923</v>
      </c>
      <c r="DS16">
        <v>6.6749674922915982</v>
      </c>
      <c r="DT16" s="11">
        <v>-0.72333333333333327</v>
      </c>
      <c r="DU16">
        <v>-0.83333333333333337</v>
      </c>
      <c r="DV16">
        <v>-1.5566666666666666</v>
      </c>
      <c r="DW16">
        <v>7.452087756546355</v>
      </c>
      <c r="DX16">
        <v>0.64160607076980769</v>
      </c>
      <c r="DY16">
        <v>7.1679985548533276</v>
      </c>
      <c r="DZ16">
        <v>4062</v>
      </c>
      <c r="EA16">
        <v>7.0344544981382171</v>
      </c>
      <c r="EB16">
        <v>7</v>
      </c>
      <c r="EC16">
        <v>0.64361994493323238</v>
      </c>
      <c r="ED16">
        <v>1.7319952202351878</v>
      </c>
      <c r="EE16" s="12">
        <v>-6.1021099999999997</v>
      </c>
      <c r="EF16">
        <v>-7.05321</v>
      </c>
      <c r="EG16">
        <v>27.371606070769808</v>
      </c>
      <c r="EH16" t="s">
        <v>1550</v>
      </c>
      <c r="EI16">
        <v>1</v>
      </c>
      <c r="EJ16">
        <v>0</v>
      </c>
      <c r="EK16" s="14">
        <v>45470</v>
      </c>
      <c r="EL16" s="15">
        <v>-4.24</v>
      </c>
      <c r="EM16" s="15">
        <v>-7.08</v>
      </c>
      <c r="EN16" s="15">
        <v>-5.71</v>
      </c>
      <c r="EO16" s="15">
        <v>-10.1</v>
      </c>
      <c r="EP16" s="15">
        <v>-10.11</v>
      </c>
    </row>
    <row r="17" spans="1:146" ht="96" x14ac:dyDescent="0.25">
      <c r="A17" s="7"/>
      <c r="B17" s="7"/>
      <c r="C17" s="7" t="str">
        <f>""&amp;CHAR(10)&amp;Basic_Fundamental_Information_Constructure(F17)&amp;CHAR(10)&amp;Basic_Fundamental_Information_Concatenate("")</f>
        <v xml:space="preserve">
市值30.384607亿, 利润2865.09万; PE109.1; 平均PE-78.1; 平均PEG-193.85, PB.437; ROIC2.32%; ROE-1.5033%; 股利率0%; 毛利51.5667%; 净利-9.4133%; 上一年度营收增-1.87%, 利润增115.16%; 当季营收增-.32%, 利润增-9.4%; 过往5年营收增-.4%, 利润增-153.52%
Income profile:
</v>
      </c>
      <c r="D17" t="s">
        <v>116</v>
      </c>
      <c r="E17" t="s">
        <v>36</v>
      </c>
      <c r="F17">
        <v>1.1100000000000001</v>
      </c>
      <c r="G17">
        <v>-1.77</v>
      </c>
      <c r="H17" t="s">
        <v>883</v>
      </c>
      <c r="I17">
        <v>3038460700</v>
      </c>
      <c r="J17">
        <v>109.1</v>
      </c>
      <c r="K17">
        <v>0.437</v>
      </c>
      <c r="L17" t="s">
        <v>57</v>
      </c>
      <c r="M17" t="s">
        <v>1551</v>
      </c>
      <c r="N17" t="s">
        <v>1552</v>
      </c>
      <c r="O17" t="s">
        <v>142</v>
      </c>
      <c r="P17">
        <v>-0.49</v>
      </c>
      <c r="Q17" t="s">
        <v>1553</v>
      </c>
      <c r="R17">
        <v>7643598</v>
      </c>
      <c r="S17" s="5">
        <v>-9.4E-2</v>
      </c>
      <c r="T17" t="s">
        <v>1554</v>
      </c>
      <c r="U17">
        <v>2735514300</v>
      </c>
      <c r="V17">
        <v>2737351900</v>
      </c>
      <c r="W17">
        <v>1.69</v>
      </c>
      <c r="X17">
        <v>0.03</v>
      </c>
      <c r="Y17">
        <v>2.75</v>
      </c>
      <c r="Z17" t="s">
        <v>1115</v>
      </c>
      <c r="AA17" t="s">
        <v>935</v>
      </c>
      <c r="AB17" t="s">
        <v>1555</v>
      </c>
      <c r="AC17" t="s">
        <v>1556</v>
      </c>
      <c r="AD17" t="s">
        <v>133</v>
      </c>
      <c r="AE17">
        <v>46084744</v>
      </c>
      <c r="AF17" t="s">
        <v>1557</v>
      </c>
      <c r="AG17" t="s">
        <v>1558</v>
      </c>
      <c r="AH17" t="s">
        <v>1559</v>
      </c>
      <c r="AI17" t="s">
        <v>1560</v>
      </c>
      <c r="AJ17" t="s">
        <v>1561</v>
      </c>
      <c r="AK17" t="s">
        <v>133</v>
      </c>
      <c r="AL17" t="s">
        <v>1562</v>
      </c>
      <c r="AM17" t="s">
        <v>133</v>
      </c>
      <c r="AN17" t="s">
        <v>1256</v>
      </c>
      <c r="AO17" t="s">
        <v>1563</v>
      </c>
      <c r="AP17" t="s">
        <v>1564</v>
      </c>
      <c r="AQ17" t="s">
        <v>1115</v>
      </c>
      <c r="AR17" t="s">
        <v>1565</v>
      </c>
      <c r="AS17" t="s">
        <v>1566</v>
      </c>
      <c r="AT17" t="s">
        <v>980</v>
      </c>
      <c r="AU17" t="s">
        <v>883</v>
      </c>
      <c r="AV17" t="s">
        <v>1567</v>
      </c>
      <c r="AW17" t="s">
        <v>1568</v>
      </c>
      <c r="AX17" t="s">
        <v>913</v>
      </c>
      <c r="AY17" t="s">
        <v>651</v>
      </c>
      <c r="AZ17" t="s">
        <v>240</v>
      </c>
      <c r="BA17" t="s">
        <v>176</v>
      </c>
      <c r="BB17" t="s">
        <v>279</v>
      </c>
      <c r="BC17" t="s">
        <v>914</v>
      </c>
      <c r="BD17" t="s">
        <v>665</v>
      </c>
      <c r="BE17" t="s">
        <v>384</v>
      </c>
      <c r="BF17" t="s">
        <v>177</v>
      </c>
      <c r="BG17" t="s">
        <v>386</v>
      </c>
      <c r="BH17" t="s">
        <v>1553</v>
      </c>
      <c r="BI17" t="s">
        <v>551</v>
      </c>
      <c r="BJ17" t="s">
        <v>913</v>
      </c>
      <c r="BK17" t="s">
        <v>1554</v>
      </c>
      <c r="BL17" t="s">
        <v>1082</v>
      </c>
      <c r="BM17" t="s">
        <v>914</v>
      </c>
      <c r="BN17">
        <v>2.3199999999999998</v>
      </c>
      <c r="BO17" t="s">
        <v>133</v>
      </c>
      <c r="BP17" t="s">
        <v>133</v>
      </c>
      <c r="BQ17">
        <v>0.61</v>
      </c>
      <c r="BR17">
        <v>-2.69</v>
      </c>
      <c r="BS17">
        <v>-2.4300000000000002</v>
      </c>
      <c r="BT17" t="s">
        <v>856</v>
      </c>
      <c r="BU17" t="s">
        <v>782</v>
      </c>
      <c r="BV17">
        <v>57.28</v>
      </c>
      <c r="BW17">
        <v>45.41</v>
      </c>
      <c r="BX17">
        <v>52.01</v>
      </c>
      <c r="BY17">
        <v>2.84</v>
      </c>
      <c r="BZ17">
        <v>-16.510000000000002</v>
      </c>
      <c r="CA17">
        <v>-14.57</v>
      </c>
      <c r="CB17">
        <v>19.350000000000001</v>
      </c>
      <c r="CC17">
        <v>-22.38</v>
      </c>
      <c r="CD17" t="s">
        <v>1055</v>
      </c>
      <c r="CE17" t="s">
        <v>1569</v>
      </c>
      <c r="CF17" s="9">
        <v>-3.2154340836012861E-3</v>
      </c>
      <c r="CG17" s="10">
        <v>-9.4027664189453478E-2</v>
      </c>
      <c r="CH17" s="9">
        <v>-1.8749943003058434E-2</v>
      </c>
      <c r="CI17" s="9">
        <v>-8.0459773540496826E-2</v>
      </c>
      <c r="CJ17" s="9">
        <v>0.36853933334350586</v>
      </c>
      <c r="CK17" s="9">
        <v>-0.29027113318443298</v>
      </c>
      <c r="CL17" s="9">
        <v>7.981357048265636E-4</v>
      </c>
      <c r="CM17" s="10">
        <v>1.1515920162200928</v>
      </c>
      <c r="CN17" s="10">
        <v>-6.7796610295772552E-2</v>
      </c>
      <c r="CO17" s="10">
        <v>-8.7048311233520508</v>
      </c>
      <c r="CP17" s="10">
        <v>-0.52281486988067627</v>
      </c>
      <c r="CQ17" s="10">
        <v>0.46777665615081787</v>
      </c>
      <c r="CR17">
        <v>-78.097684412903959</v>
      </c>
      <c r="CS17">
        <v>-193.85446180784379</v>
      </c>
      <c r="CT17">
        <v>0</v>
      </c>
      <c r="CU17" s="9">
        <v>-4.028676135931164E-3</v>
      </c>
      <c r="CV17" s="10">
        <v>-1.5352147862315177</v>
      </c>
      <c r="CW17">
        <v>0.06</v>
      </c>
      <c r="CX17">
        <v>28.95059841052117</v>
      </c>
      <c r="CY17" t="s">
        <v>1570</v>
      </c>
      <c r="CZ17">
        <v>-4.028676135931164E-3</v>
      </c>
      <c r="DA17">
        <v>9.6501994701737228</v>
      </c>
      <c r="DB17" t="s">
        <v>1571</v>
      </c>
      <c r="DC17">
        <v>-3.8272423291346057E-3</v>
      </c>
      <c r="DD17">
        <v>4.8250997350868614</v>
      </c>
      <c r="DE17" t="s">
        <v>1572</v>
      </c>
      <c r="DF17">
        <v>-3.5452349996194245E-3</v>
      </c>
      <c r="DG17">
        <v>2.8950598410521167</v>
      </c>
      <c r="DH17" t="s">
        <v>1573</v>
      </c>
      <c r="DI17">
        <v>-3.2229409087449314E-3</v>
      </c>
      <c r="DJ17">
        <v>1.4475299205260583</v>
      </c>
      <c r="DK17" t="s">
        <v>1574</v>
      </c>
      <c r="DL17">
        <v>-2.8200732951518146E-3</v>
      </c>
      <c r="DM17">
        <v>28650900</v>
      </c>
      <c r="DN17">
        <v>-4.028676135931164E-3</v>
      </c>
      <c r="DO17">
        <v>829460700.00000095</v>
      </c>
      <c r="DP17">
        <v>291512800</v>
      </c>
      <c r="DQ17">
        <v>341</v>
      </c>
      <c r="DR17">
        <v>8.1324205232987789E-4</v>
      </c>
      <c r="DS17">
        <v>1.4411871220420642</v>
      </c>
      <c r="DT17" s="11">
        <v>-0.42333333333333334</v>
      </c>
      <c r="DU17">
        <v>-1.2233333333333334</v>
      </c>
      <c r="DV17">
        <v>-1.6466666666666667</v>
      </c>
      <c r="DW17">
        <v>7.4636951833213514</v>
      </c>
      <c r="DX17">
        <v>0.5424608819345671</v>
      </c>
      <c r="DY17">
        <v>7.1587974614290406</v>
      </c>
      <c r="DZ17">
        <v>4130</v>
      </c>
      <c r="EA17">
        <v>7.0304543076713228</v>
      </c>
      <c r="EB17">
        <v>7</v>
      </c>
      <c r="EC17">
        <v>0.35179985445057327</v>
      </c>
      <c r="ED17">
        <v>1.0272701876583716</v>
      </c>
      <c r="EE17" s="12">
        <v>4.871000000000001E-2</v>
      </c>
      <c r="EF17">
        <v>0.12241</v>
      </c>
      <c r="EG17">
        <v>20.342460881934567</v>
      </c>
      <c r="EH17">
        <v>-1</v>
      </c>
      <c r="EI17">
        <v>1</v>
      </c>
      <c r="EJ17">
        <v>0</v>
      </c>
      <c r="EK17" s="14">
        <v>45470</v>
      </c>
      <c r="EL17" s="15">
        <v>-0.95</v>
      </c>
      <c r="EM17" s="15">
        <v>-9.6199999999999992</v>
      </c>
      <c r="EN17" s="15">
        <v>4.26</v>
      </c>
      <c r="EO17" s="15">
        <v>-3.06</v>
      </c>
      <c r="EP17" s="15">
        <v>-7.37</v>
      </c>
    </row>
    <row r="18" spans="1:146" ht="96" x14ac:dyDescent="0.25">
      <c r="C18" s="7" t="str">
        <f>""&amp;CHAR(10)&amp;Basic_Fundamental_Information_Constructure(F18)&amp;CHAR(10)&amp;Basic_Fundamental_Information_Concatenate("")</f>
        <v xml:space="preserve">
市值24.282002亿, 利润1544.87万; PE241.6; 平均PE297.23; 平均PEG11.32, PB1.43; ROIC1.83%; ROE.1033%; 股利率.4389%; 毛利55.8967%; 净利9.3567%; 上一年度营收增2.94%, 利润增-71.48%; 当季营收增-5.78%, 利润增-48.76%; 过往5年营收增-26.25%, 利润增20.94%
Income profile:
</v>
      </c>
      <c r="D18" t="s">
        <v>915</v>
      </c>
      <c r="E18" t="s">
        <v>1083</v>
      </c>
      <c r="F18">
        <v>3.19</v>
      </c>
      <c r="G18">
        <v>0.63</v>
      </c>
      <c r="H18" t="s">
        <v>1575</v>
      </c>
      <c r="I18">
        <v>2428200200</v>
      </c>
      <c r="J18">
        <v>241.6</v>
      </c>
      <c r="K18">
        <v>1.43</v>
      </c>
      <c r="L18" t="s">
        <v>57</v>
      </c>
      <c r="M18" t="s">
        <v>1576</v>
      </c>
      <c r="N18" t="s">
        <v>1577</v>
      </c>
      <c r="O18" t="s">
        <v>1578</v>
      </c>
      <c r="P18" s="5">
        <v>-5.78</v>
      </c>
      <c r="Q18" t="s">
        <v>1579</v>
      </c>
      <c r="R18">
        <v>5672129</v>
      </c>
      <c r="S18">
        <v>-0.48759999999999998</v>
      </c>
      <c r="T18" t="s">
        <v>1580</v>
      </c>
      <c r="U18">
        <v>669210110</v>
      </c>
      <c r="V18">
        <v>761191290</v>
      </c>
      <c r="W18">
        <v>1.02</v>
      </c>
      <c r="X18">
        <v>0.01</v>
      </c>
      <c r="Y18">
        <v>33.380000000000003</v>
      </c>
      <c r="Z18" t="s">
        <v>1581</v>
      </c>
      <c r="AA18" t="s">
        <v>1582</v>
      </c>
      <c r="AB18" t="s">
        <v>1583</v>
      </c>
      <c r="AC18" t="s">
        <v>1584</v>
      </c>
      <c r="AD18" t="s">
        <v>133</v>
      </c>
      <c r="AE18">
        <v>-4630078</v>
      </c>
      <c r="AF18" t="s">
        <v>1585</v>
      </c>
      <c r="AG18" t="s">
        <v>1586</v>
      </c>
      <c r="AH18" t="s">
        <v>1587</v>
      </c>
      <c r="AI18" t="s">
        <v>1588</v>
      </c>
      <c r="AJ18" t="s">
        <v>1589</v>
      </c>
      <c r="AK18" t="s">
        <v>133</v>
      </c>
      <c r="AL18" t="s">
        <v>1590</v>
      </c>
      <c r="AM18" t="s">
        <v>133</v>
      </c>
      <c r="AN18">
        <v>0</v>
      </c>
      <c r="AO18" t="s">
        <v>133</v>
      </c>
      <c r="AP18" t="s">
        <v>133</v>
      </c>
      <c r="AQ18" t="s">
        <v>1591</v>
      </c>
      <c r="AR18" t="s">
        <v>1592</v>
      </c>
      <c r="AS18" t="s">
        <v>1593</v>
      </c>
      <c r="AT18" t="s">
        <v>133</v>
      </c>
      <c r="AU18" t="s">
        <v>1594</v>
      </c>
      <c r="AV18" t="s">
        <v>1595</v>
      </c>
      <c r="AW18" t="s">
        <v>133</v>
      </c>
      <c r="AX18" t="s">
        <v>916</v>
      </c>
      <c r="AY18" t="s">
        <v>918</v>
      </c>
      <c r="AZ18" t="s">
        <v>147</v>
      </c>
      <c r="BA18" t="s">
        <v>919</v>
      </c>
      <c r="BB18" t="s">
        <v>880</v>
      </c>
      <c r="BC18" t="s">
        <v>917</v>
      </c>
      <c r="BD18" t="s">
        <v>920</v>
      </c>
      <c r="BE18" t="s">
        <v>921</v>
      </c>
      <c r="BF18" t="s">
        <v>922</v>
      </c>
      <c r="BG18" t="s">
        <v>923</v>
      </c>
      <c r="BH18" t="s">
        <v>1579</v>
      </c>
      <c r="BI18" t="s">
        <v>1084</v>
      </c>
      <c r="BJ18" t="s">
        <v>916</v>
      </c>
      <c r="BK18" t="s">
        <v>1580</v>
      </c>
      <c r="BL18" t="s">
        <v>1085</v>
      </c>
      <c r="BM18" t="s">
        <v>917</v>
      </c>
      <c r="BN18">
        <v>0.5</v>
      </c>
      <c r="BO18">
        <v>3.16</v>
      </c>
      <c r="BP18" t="s">
        <v>133</v>
      </c>
      <c r="BQ18">
        <v>0.74</v>
      </c>
      <c r="BR18">
        <v>3.27</v>
      </c>
      <c r="BS18">
        <v>-3.7</v>
      </c>
      <c r="BT18" t="s">
        <v>1596</v>
      </c>
      <c r="BU18" t="s">
        <v>782</v>
      </c>
      <c r="BV18">
        <v>56.46</v>
      </c>
      <c r="BW18">
        <v>56.44</v>
      </c>
      <c r="BX18">
        <v>54.79</v>
      </c>
      <c r="BY18">
        <v>22.05</v>
      </c>
      <c r="BZ18">
        <v>79.59</v>
      </c>
      <c r="CA18">
        <v>-73.569999999999993</v>
      </c>
      <c r="CB18">
        <v>-1.24</v>
      </c>
      <c r="CC18" s="9">
        <v>-5.9</v>
      </c>
      <c r="CD18" s="10" t="s">
        <v>1100</v>
      </c>
      <c r="CE18" s="9" t="s">
        <v>1597</v>
      </c>
      <c r="CF18" s="9">
        <v>-5.7797025585289846E-2</v>
      </c>
      <c r="CG18" s="9">
        <v>-0.48757552487984679</v>
      </c>
      <c r="CH18" s="9">
        <v>2.9412040486931801E-2</v>
      </c>
      <c r="CI18" s="9">
        <v>-0.20757918059825897</v>
      </c>
      <c r="CJ18" s="10">
        <v>-0.52810275554656982</v>
      </c>
      <c r="CK18" s="10">
        <v>-0.14953270554542542</v>
      </c>
      <c r="CL18" s="10">
        <v>-0.45685279369354248</v>
      </c>
      <c r="CM18" s="10">
        <v>-0.71479392051696777</v>
      </c>
      <c r="CN18" s="10">
        <v>1.8572146892547607</v>
      </c>
      <c r="CO18">
        <v>-1.8806023597717285</v>
      </c>
      <c r="CP18">
        <v>9.299372136592865E-2</v>
      </c>
      <c r="CQ18">
        <v>1.6923998594284058</v>
      </c>
      <c r="CR18" s="9">
        <v>297.2263042360641</v>
      </c>
      <c r="CS18" s="10">
        <v>11.321566398598357</v>
      </c>
      <c r="CT18">
        <v>0.43887147335423204</v>
      </c>
      <c r="CU18">
        <v>-0.262531078979373</v>
      </c>
      <c r="CV18">
        <v>0.20944239795207978</v>
      </c>
      <c r="CW18">
        <v>0.06</v>
      </c>
      <c r="CX18">
        <v>49.040443532465517</v>
      </c>
      <c r="CY18" t="s">
        <v>1598</v>
      </c>
      <c r="CZ18">
        <v>-0.262531078979373</v>
      </c>
      <c r="DA18">
        <v>16.346814510821837</v>
      </c>
      <c r="DB18" t="s">
        <v>1599</v>
      </c>
      <c r="DC18">
        <v>-0.24940452503040433</v>
      </c>
      <c r="DD18">
        <v>8.1734072554109183</v>
      </c>
      <c r="DE18" t="s">
        <v>1600</v>
      </c>
      <c r="DF18">
        <v>-0.23102734950184825</v>
      </c>
      <c r="DG18">
        <v>4.9040443532465519</v>
      </c>
      <c r="DH18" t="s">
        <v>1601</v>
      </c>
      <c r="DI18">
        <v>-0.21002486318349842</v>
      </c>
      <c r="DJ18">
        <v>2.4520221766232759</v>
      </c>
      <c r="DK18" t="s">
        <v>1602</v>
      </c>
      <c r="DL18">
        <v>-0.18377175528556108</v>
      </c>
      <c r="DM18">
        <v>15448699.999999998</v>
      </c>
      <c r="DN18">
        <v>-0.262531078979373</v>
      </c>
      <c r="DO18">
        <v>757611100</v>
      </c>
      <c r="DP18">
        <v>521642750</v>
      </c>
      <c r="DQ18" s="11">
        <v>687</v>
      </c>
      <c r="DR18">
        <v>0.20473405339408315</v>
      </c>
      <c r="DS18">
        <v>-0.69701792283192654</v>
      </c>
      <c r="DT18">
        <v>-0.82333333333333325</v>
      </c>
      <c r="DU18">
        <v>-0.7200000000000002</v>
      </c>
      <c r="DV18">
        <v>-1.5433333333333334</v>
      </c>
      <c r="DW18">
        <v>-1.0589999999999999</v>
      </c>
      <c r="DX18">
        <v>0.37310118265440295</v>
      </c>
      <c r="DY18">
        <v>-1.0143429697766098</v>
      </c>
      <c r="DZ18">
        <v>4054</v>
      </c>
      <c r="EA18">
        <v>-1.0029640266309394</v>
      </c>
      <c r="EB18" s="12">
        <v>1</v>
      </c>
      <c r="EC18" s="12">
        <v>0.2430400904876355</v>
      </c>
      <c r="ED18">
        <v>0.99974869654643583</v>
      </c>
      <c r="EE18">
        <v>5.3999999999999992E-2</v>
      </c>
      <c r="EF18">
        <v>1.8999999999999996E-2</v>
      </c>
      <c r="EG18">
        <v>13.243101182654403</v>
      </c>
      <c r="EH18" s="14" t="s">
        <v>789</v>
      </c>
      <c r="EI18">
        <v>0</v>
      </c>
      <c r="EJ18">
        <v>0</v>
      </c>
      <c r="EK18">
        <v>45470</v>
      </c>
      <c r="EL18">
        <v>0</v>
      </c>
      <c r="EM18">
        <v>9.94</v>
      </c>
      <c r="EN18" s="15">
        <v>2.33</v>
      </c>
      <c r="EO18" s="15">
        <v>-2.2799999999999998</v>
      </c>
      <c r="EP18" s="15">
        <v>-3.5</v>
      </c>
    </row>
    <row r="19" spans="1:146" ht="96" x14ac:dyDescent="0.25">
      <c r="A19" s="7"/>
      <c r="B19" s="7"/>
      <c r="C19" s="7" t="str">
        <f>""&amp;CHAR(10)&amp;Basic_Fundamental_Information_Constructure(F19)&amp;CHAR(10)&amp;Basic_Fundamental_Information_Concatenate("")</f>
        <v xml:space="preserve">
市值30.132866亿, 利润3616.52万; PE107.7; 平均PE25.82; 平均PEG151.3, PB.744; ROIC2.945%; ROE.9733%; 股利率.7009%; 毛利24.4833%; 净利.7%; 上一年度营收增9.24%, 利润增125.29%; 当季营收增-13.59%, 利润增-24.88%; 过往5年营收增.17%, 利润增8.91%
Income profile:
</v>
      </c>
      <c r="D19" t="s">
        <v>95</v>
      </c>
      <c r="E19" t="s">
        <v>39</v>
      </c>
      <c r="F19">
        <v>4.28</v>
      </c>
      <c r="G19">
        <v>1.42</v>
      </c>
      <c r="H19" t="s">
        <v>1603</v>
      </c>
      <c r="I19">
        <v>3013286600</v>
      </c>
      <c r="J19">
        <v>107.7</v>
      </c>
      <c r="K19">
        <v>0.74399999999999999</v>
      </c>
      <c r="L19" t="s">
        <v>57</v>
      </c>
      <c r="M19" t="s">
        <v>1604</v>
      </c>
      <c r="N19" t="s">
        <v>1605</v>
      </c>
      <c r="O19" t="s">
        <v>1606</v>
      </c>
      <c r="P19">
        <v>-13.63</v>
      </c>
      <c r="Q19" t="s">
        <v>1607</v>
      </c>
      <c r="R19">
        <v>24721517</v>
      </c>
      <c r="S19" s="5">
        <v>-0.24879999999999999</v>
      </c>
      <c r="T19" t="s">
        <v>1608</v>
      </c>
      <c r="U19">
        <v>517110970</v>
      </c>
      <c r="V19">
        <v>704038930</v>
      </c>
      <c r="W19">
        <v>2.33</v>
      </c>
      <c r="X19">
        <v>0.15</v>
      </c>
      <c r="Y19">
        <v>1.67</v>
      </c>
      <c r="Z19" t="s">
        <v>1609</v>
      </c>
      <c r="AA19" t="s">
        <v>1610</v>
      </c>
      <c r="AB19" t="s">
        <v>300</v>
      </c>
      <c r="AC19" t="s">
        <v>1611</v>
      </c>
      <c r="AD19" t="s">
        <v>133</v>
      </c>
      <c r="AE19">
        <v>17405258</v>
      </c>
      <c r="AF19" t="s">
        <v>1612</v>
      </c>
      <c r="AG19" t="s">
        <v>1613</v>
      </c>
      <c r="AH19" t="s">
        <v>1614</v>
      </c>
      <c r="AI19" t="s">
        <v>1615</v>
      </c>
      <c r="AJ19" t="s">
        <v>1616</v>
      </c>
      <c r="AK19" t="s">
        <v>133</v>
      </c>
      <c r="AL19" t="s">
        <v>1617</v>
      </c>
      <c r="AM19" t="s">
        <v>133</v>
      </c>
      <c r="AN19" t="s">
        <v>1618</v>
      </c>
      <c r="AO19" t="s">
        <v>1619</v>
      </c>
      <c r="AP19" t="s">
        <v>1620</v>
      </c>
      <c r="AQ19" t="s">
        <v>880</v>
      </c>
      <c r="AR19" t="s">
        <v>1621</v>
      </c>
      <c r="AS19" t="s">
        <v>1622</v>
      </c>
      <c r="AT19" t="s">
        <v>1165</v>
      </c>
      <c r="AU19" t="s">
        <v>1623</v>
      </c>
      <c r="AV19" t="s">
        <v>1624</v>
      </c>
      <c r="AW19" t="s">
        <v>1625</v>
      </c>
      <c r="AX19" t="s">
        <v>924</v>
      </c>
      <c r="AY19" t="s">
        <v>666</v>
      </c>
      <c r="AZ19" t="s">
        <v>667</v>
      </c>
      <c r="BA19" t="s">
        <v>181</v>
      </c>
      <c r="BB19" t="s">
        <v>388</v>
      </c>
      <c r="BC19" t="s">
        <v>212</v>
      </c>
      <c r="BD19" t="s">
        <v>175</v>
      </c>
      <c r="BE19" t="s">
        <v>187</v>
      </c>
      <c r="BF19" t="s">
        <v>182</v>
      </c>
      <c r="BG19" t="s">
        <v>389</v>
      </c>
      <c r="BH19" t="s">
        <v>1607</v>
      </c>
      <c r="BI19" t="s">
        <v>996</v>
      </c>
      <c r="BJ19" t="s">
        <v>924</v>
      </c>
      <c r="BK19" t="s">
        <v>1608</v>
      </c>
      <c r="BL19" t="s">
        <v>1087</v>
      </c>
      <c r="BM19" t="s">
        <v>212</v>
      </c>
      <c r="BN19">
        <v>1.03</v>
      </c>
      <c r="BO19" t="s">
        <v>133</v>
      </c>
      <c r="BP19">
        <v>4.8600000000000003</v>
      </c>
      <c r="BQ19">
        <v>0.76</v>
      </c>
      <c r="BR19">
        <v>-3.57</v>
      </c>
      <c r="BS19">
        <v>5.73</v>
      </c>
      <c r="BT19" t="s">
        <v>864</v>
      </c>
      <c r="BU19" t="s">
        <v>787</v>
      </c>
      <c r="BV19">
        <v>24.71</v>
      </c>
      <c r="BW19">
        <v>23.81</v>
      </c>
      <c r="BX19">
        <v>24.93</v>
      </c>
      <c r="BY19">
        <v>0.69</v>
      </c>
      <c r="BZ19">
        <v>-2.96</v>
      </c>
      <c r="CA19">
        <v>4.37</v>
      </c>
      <c r="CB19">
        <v>3.63</v>
      </c>
      <c r="CC19">
        <v>-14.57</v>
      </c>
      <c r="CD19" t="s">
        <v>1626</v>
      </c>
      <c r="CE19" t="s">
        <v>252</v>
      </c>
      <c r="CF19" s="9">
        <v>-0.13588850174216027</v>
      </c>
      <c r="CG19" s="10">
        <v>-0.24877791080696721</v>
      </c>
      <c r="CH19" s="9">
        <v>9.2395693063735962E-2</v>
      </c>
      <c r="CI19" s="9">
        <v>-0.18139219284057617</v>
      </c>
      <c r="CJ19" s="9">
        <v>0.569327712059021</v>
      </c>
      <c r="CK19" s="9">
        <v>-0.5251278281211853</v>
      </c>
      <c r="CL19" s="9">
        <v>5.3329776972532272E-2</v>
      </c>
      <c r="CM19" s="10">
        <v>1.2529034614562988</v>
      </c>
      <c r="CN19" s="10">
        <v>-1.547892689704895</v>
      </c>
      <c r="CO19" s="10">
        <v>0.125</v>
      </c>
      <c r="CP19" s="10">
        <v>1.0530973672866821</v>
      </c>
      <c r="CQ19" s="10">
        <v>-0.43781095743179321</v>
      </c>
      <c r="CR19">
        <v>25.822076847006965</v>
      </c>
      <c r="CS19">
        <v>151.30428479516871</v>
      </c>
      <c r="CT19">
        <v>0.7009345794392523</v>
      </c>
      <c r="CU19" s="9">
        <v>1.7066322267055511E-3</v>
      </c>
      <c r="CV19" s="10">
        <v>8.9059436321258539E-2</v>
      </c>
      <c r="CW19">
        <v>0.06</v>
      </c>
      <c r="CX19">
        <v>138.73008523691436</v>
      </c>
      <c r="CY19">
        <v>34176340.279061563</v>
      </c>
      <c r="CZ19">
        <v>1.7066322267055511E-3</v>
      </c>
      <c r="DA19">
        <v>48.890476355662422</v>
      </c>
      <c r="DB19">
        <v>96977713.318002298</v>
      </c>
      <c r="DC19">
        <v>1.6213006153702734E-3</v>
      </c>
      <c r="DD19">
        <v>26.527997957893483</v>
      </c>
      <c r="DE19">
        <v>178727644.94047379</v>
      </c>
      <c r="DF19">
        <v>1.5018363595008849E-3</v>
      </c>
      <c r="DG19">
        <v>17.690632674724831</v>
      </c>
      <c r="DH19">
        <v>268011138.27737924</v>
      </c>
      <c r="DI19">
        <v>1.3653057813644408E-3</v>
      </c>
      <c r="DJ19">
        <v>11.31288443268941</v>
      </c>
      <c r="DK19">
        <v>419105015.01276761</v>
      </c>
      <c r="DL19">
        <v>1.1946425586938857E-3</v>
      </c>
      <c r="DM19">
        <v>36165200</v>
      </c>
      <c r="DN19">
        <v>1.7066322267055511E-3</v>
      </c>
      <c r="DO19">
        <v>4741286600</v>
      </c>
      <c r="DP19">
        <v>693844500</v>
      </c>
      <c r="DQ19">
        <v>697</v>
      </c>
      <c r="DR19">
        <v>-0.13759513396886583</v>
      </c>
      <c r="DS19">
        <v>-0.33783734712822577</v>
      </c>
      <c r="DT19" s="11">
        <v>-0.57333333333333336</v>
      </c>
      <c r="DU19">
        <v>-0.47</v>
      </c>
      <c r="DV19">
        <v>-1.0433333333333334</v>
      </c>
      <c r="DW19">
        <v>6.1994505494505496</v>
      </c>
      <c r="DX19">
        <v>0.36145970149253859</v>
      </c>
      <c r="DY19">
        <v>6.0401812481548305</v>
      </c>
      <c r="DZ19">
        <v>3604</v>
      </c>
      <c r="EA19">
        <v>6.0118420664816385</v>
      </c>
      <c r="EB19">
        <v>6</v>
      </c>
      <c r="EC19">
        <v>3.8343902374830326E-2</v>
      </c>
      <c r="ED19">
        <v>0.19033038414509268</v>
      </c>
      <c r="EE19" s="12">
        <v>-2.0186999999999999</v>
      </c>
      <c r="EF19">
        <v>-2.0049100000000002</v>
      </c>
      <c r="EG19">
        <v>16.201459701492539</v>
      </c>
      <c r="EH19" t="s">
        <v>1178</v>
      </c>
      <c r="EI19">
        <v>0</v>
      </c>
      <c r="EJ19">
        <v>0</v>
      </c>
      <c r="EK19" s="14">
        <v>45470</v>
      </c>
      <c r="EL19" s="15">
        <v>1.18</v>
      </c>
      <c r="EM19" s="15">
        <v>-5.37</v>
      </c>
      <c r="EN19" s="15">
        <v>1.48</v>
      </c>
      <c r="EO19" s="15">
        <v>2.92</v>
      </c>
      <c r="EP19" s="15">
        <v>-2.36</v>
      </c>
    </row>
    <row r="20" spans="1:146" ht="96" x14ac:dyDescent="0.25">
      <c r="A20" s="7"/>
      <c r="B20" s="7"/>
      <c r="C20" s="7" t="str">
        <f>""&amp;CHAR(10)&amp;Basic_Fundamental_Information_Constructure(F20)&amp;CHAR(10)&amp;Basic_Fundamental_Information_Concatenate("")</f>
        <v xml:space="preserve">
市值28.315369亿, 利润-18.89亿; PE; 平均PE-4.08; 平均PEG-.16, PB.984; ROIC0%; ROE-19.8067%; 股利率0%; 毛利33.49%; 净利-30.41%; 上一年度营收增-64.46%, 利润增25.48%; 当季营收增-10.25%, 利润增120.28%; 过往5年营收增-25.55%, 利润增-308.32%
Income profile:
</v>
      </c>
      <c r="D20" t="s">
        <v>67</v>
      </c>
      <c r="E20" t="s">
        <v>1627</v>
      </c>
      <c r="F20">
        <v>3.37</v>
      </c>
      <c r="G20">
        <v>2.12</v>
      </c>
      <c r="H20" t="s">
        <v>1628</v>
      </c>
      <c r="I20">
        <v>2831536900</v>
      </c>
      <c r="K20">
        <v>0.98399999999999999</v>
      </c>
      <c r="L20" t="s">
        <v>57</v>
      </c>
      <c r="M20" t="s">
        <v>1629</v>
      </c>
      <c r="N20" t="s">
        <v>1630</v>
      </c>
      <c r="O20" t="s">
        <v>1631</v>
      </c>
      <c r="P20">
        <v>-10.210000000000001</v>
      </c>
      <c r="Q20" t="s">
        <v>1632</v>
      </c>
      <c r="R20">
        <v>20230315</v>
      </c>
      <c r="S20" s="5">
        <v>1.2030000000000001</v>
      </c>
      <c r="T20" t="s">
        <v>1633</v>
      </c>
      <c r="U20">
        <v>840218650</v>
      </c>
      <c r="V20">
        <v>840218650</v>
      </c>
      <c r="W20">
        <v>7.43</v>
      </c>
      <c r="X20">
        <v>0.04</v>
      </c>
      <c r="Y20">
        <v>2.74</v>
      </c>
      <c r="Z20" t="s">
        <v>958</v>
      </c>
      <c r="AA20" t="s">
        <v>1634</v>
      </c>
      <c r="AB20" t="s">
        <v>191</v>
      </c>
      <c r="AC20" t="s">
        <v>1635</v>
      </c>
      <c r="AD20" t="s">
        <v>133</v>
      </c>
      <c r="AE20">
        <v>33843129</v>
      </c>
      <c r="AF20" t="s">
        <v>1636</v>
      </c>
      <c r="AG20" t="s">
        <v>1637</v>
      </c>
      <c r="AH20" t="s">
        <v>1638</v>
      </c>
      <c r="AI20" t="s">
        <v>504</v>
      </c>
      <c r="AJ20" t="s">
        <v>1639</v>
      </c>
      <c r="AK20" t="s">
        <v>133</v>
      </c>
      <c r="AL20" t="s">
        <v>1640</v>
      </c>
      <c r="AM20" t="s">
        <v>133</v>
      </c>
      <c r="AN20" t="s">
        <v>1641</v>
      </c>
      <c r="AO20" t="s">
        <v>1642</v>
      </c>
      <c r="AP20" t="s">
        <v>1643</v>
      </c>
      <c r="AQ20" t="s">
        <v>1644</v>
      </c>
      <c r="AR20" t="s">
        <v>133</v>
      </c>
      <c r="AS20" t="s">
        <v>1645</v>
      </c>
      <c r="AT20" t="s">
        <v>1646</v>
      </c>
      <c r="AU20" t="s">
        <v>1092</v>
      </c>
      <c r="AV20" t="s">
        <v>1647</v>
      </c>
      <c r="AW20" t="s">
        <v>1648</v>
      </c>
      <c r="AX20" t="s">
        <v>1649</v>
      </c>
      <c r="AY20" t="s">
        <v>926</v>
      </c>
      <c r="AZ20" t="s">
        <v>927</v>
      </c>
      <c r="BA20" t="s">
        <v>391</v>
      </c>
      <c r="BB20" t="s">
        <v>392</v>
      </c>
      <c r="BC20" t="s">
        <v>1650</v>
      </c>
      <c r="BD20" t="s">
        <v>668</v>
      </c>
      <c r="BE20" t="s">
        <v>328</v>
      </c>
      <c r="BF20" t="s">
        <v>183</v>
      </c>
      <c r="BG20" t="s">
        <v>393</v>
      </c>
      <c r="BH20" t="s">
        <v>1632</v>
      </c>
      <c r="BI20" t="s">
        <v>1090</v>
      </c>
      <c r="BJ20" t="s">
        <v>1649</v>
      </c>
      <c r="BK20" t="s">
        <v>1633</v>
      </c>
      <c r="BL20" t="s">
        <v>1091</v>
      </c>
      <c r="BM20" t="s">
        <v>1650</v>
      </c>
      <c r="BN20" t="s">
        <v>133</v>
      </c>
      <c r="BO20" t="s">
        <v>133</v>
      </c>
      <c r="BP20" t="s">
        <v>133</v>
      </c>
      <c r="BQ20">
        <v>-14.7</v>
      </c>
      <c r="BR20">
        <v>-42.15</v>
      </c>
      <c r="BS20">
        <v>-2.57</v>
      </c>
      <c r="BT20" t="s">
        <v>856</v>
      </c>
      <c r="BU20" t="s">
        <v>787</v>
      </c>
      <c r="BV20">
        <v>43.22</v>
      </c>
      <c r="BW20">
        <v>23.75</v>
      </c>
      <c r="BX20">
        <v>33.5</v>
      </c>
      <c r="BY20">
        <v>-60.97</v>
      </c>
      <c r="BZ20">
        <v>-29.01</v>
      </c>
      <c r="CA20">
        <v>-1.25</v>
      </c>
      <c r="CB20">
        <v>1.2</v>
      </c>
      <c r="CC20">
        <v>-9.89</v>
      </c>
      <c r="CD20" t="s">
        <v>1651</v>
      </c>
      <c r="CE20" t="s">
        <v>1652</v>
      </c>
      <c r="CF20" s="9">
        <v>-0.10251450676982603</v>
      </c>
      <c r="CG20" s="10">
        <v>1.2028156651859248</v>
      </c>
      <c r="CH20" s="9">
        <v>-0.644600510597229</v>
      </c>
      <c r="CI20" s="9">
        <v>-0.34474951028823853</v>
      </c>
      <c r="CJ20" s="9">
        <v>-0.15232127904891968</v>
      </c>
      <c r="CK20" s="9">
        <v>-0.20461833477020264</v>
      </c>
      <c r="CL20" s="9">
        <v>6.8648859858512878E-2</v>
      </c>
      <c r="CM20" s="10">
        <v>0.25483238697052002</v>
      </c>
      <c r="CN20" s="10">
        <v>-12.77717399597168</v>
      </c>
      <c r="CO20" s="10">
        <v>-2.6428570747375488</v>
      </c>
      <c r="CP20" s="10">
        <v>-0.35260117053985596</v>
      </c>
      <c r="CQ20" s="10">
        <v>0.10191082954406738</v>
      </c>
      <c r="CR20">
        <v>-4.0780656265002397</v>
      </c>
      <c r="CS20">
        <v>-0.15959359261180212</v>
      </c>
      <c r="CT20">
        <v>0</v>
      </c>
      <c r="CU20" s="9">
        <v>-0.25552815496921538</v>
      </c>
      <c r="CV20" s="10">
        <v>-3.0831778049468994</v>
      </c>
      <c r="CW20">
        <v>0.06</v>
      </c>
      <c r="CX20" t="e">
        <v>#VALUE!</v>
      </c>
      <c r="CY20" t="s">
        <v>784</v>
      </c>
      <c r="CZ20">
        <v>-0.25552815496921538</v>
      </c>
      <c r="DA20" t="e">
        <v>#VALUE!</v>
      </c>
      <c r="DB20" t="s">
        <v>784</v>
      </c>
      <c r="DC20">
        <v>-0.2427517472207546</v>
      </c>
      <c r="DD20" t="e">
        <v>#VALUE!</v>
      </c>
      <c r="DE20" t="s">
        <v>784</v>
      </c>
      <c r="DF20">
        <v>-0.22486477637290953</v>
      </c>
      <c r="DG20" t="e">
        <v>#VALUE!</v>
      </c>
      <c r="DH20" t="s">
        <v>784</v>
      </c>
      <c r="DI20">
        <v>-0.20442252397537231</v>
      </c>
      <c r="DJ20" t="e">
        <v>#VALUE!</v>
      </c>
      <c r="DK20" t="s">
        <v>784</v>
      </c>
      <c r="DL20">
        <v>-0.17886970847845077</v>
      </c>
      <c r="DM20">
        <v>-1889000000</v>
      </c>
      <c r="DN20">
        <v>-0.25552815496921538</v>
      </c>
      <c r="DO20">
        <v>20559536900</v>
      </c>
      <c r="DP20">
        <v>-12587249800.000002</v>
      </c>
      <c r="DQ20">
        <v>760</v>
      </c>
      <c r="DR20">
        <v>0.15301364819938934</v>
      </c>
      <c r="DS20">
        <v>4.2859934701328246</v>
      </c>
      <c r="DT20" s="11">
        <v>-1.1733333333333333</v>
      </c>
      <c r="DU20">
        <v>-1.3266666666666669</v>
      </c>
      <c r="DV20">
        <v>-2.5</v>
      </c>
      <c r="DW20">
        <v>-2.0989</v>
      </c>
      <c r="DX20">
        <v>0.2543644654088052</v>
      </c>
      <c r="DY20">
        <v>-2.010321645628931</v>
      </c>
      <c r="DZ20">
        <v>4683</v>
      </c>
      <c r="EA20">
        <v>-2.0008624936758421</v>
      </c>
      <c r="EB20">
        <v>2</v>
      </c>
      <c r="EC20">
        <v>3.9499123234172435E-2</v>
      </c>
      <c r="ED20">
        <v>0.3784729129733076</v>
      </c>
      <c r="EE20" s="12">
        <v>3.1199999999999999E-2</v>
      </c>
      <c r="EF20">
        <v>9.4099999999999982E-3</v>
      </c>
      <c r="EG20">
        <v>15.104364465408805</v>
      </c>
      <c r="EH20">
        <v>-1</v>
      </c>
      <c r="EI20">
        <v>0</v>
      </c>
      <c r="EJ20">
        <v>0</v>
      </c>
      <c r="EK20" s="14">
        <v>45470</v>
      </c>
      <c r="EL20" s="15">
        <v>-2.36</v>
      </c>
      <c r="EM20" s="15">
        <v>1.81</v>
      </c>
      <c r="EN20" s="15">
        <v>4.45</v>
      </c>
      <c r="EO20" s="15">
        <v>-1.99</v>
      </c>
      <c r="EP20" s="15">
        <v>-4.0599999999999996</v>
      </c>
    </row>
    <row r="21" spans="1:146" ht="96" x14ac:dyDescent="0.25">
      <c r="A21" s="7"/>
      <c r="B21" s="7"/>
      <c r="C21" s="7" t="str">
        <f>""&amp;CHAR(10)&amp;Basic_Fundamental_Information_Constructure(F21)&amp;CHAR(10)&amp;Basic_Fundamental_Information_Concatenate("")</f>
        <v xml:space="preserve">
市值31.368888亿, 利润4861.62万; PE47.47; 平均PE16.76; 平均PEG.69, PB.465; ROIC1.8767%; ROE1.2467%; 股利率.4889%; 毛利53.8833%; 净利1.6%; 上一年度营收增-25.99%, 利润增47.06%; 当季营收增-8.99%, 利润增44.45%; 过往5年营收增-24.35%, 利润增-23.96%
Income profile:
</v>
      </c>
      <c r="D21" t="s">
        <v>88</v>
      </c>
      <c r="E21" t="s">
        <v>29</v>
      </c>
      <c r="F21">
        <v>2.25</v>
      </c>
      <c r="G21">
        <v>1.81</v>
      </c>
      <c r="H21" t="s">
        <v>1653</v>
      </c>
      <c r="I21">
        <v>3136888800</v>
      </c>
      <c r="J21">
        <v>47.47</v>
      </c>
      <c r="K21">
        <v>0.46500000000000002</v>
      </c>
      <c r="L21" t="s">
        <v>57</v>
      </c>
      <c r="M21" t="s">
        <v>1654</v>
      </c>
      <c r="N21" t="s">
        <v>1655</v>
      </c>
      <c r="O21" t="s">
        <v>276</v>
      </c>
      <c r="P21">
        <v>-8.94</v>
      </c>
      <c r="Q21" t="s">
        <v>1134</v>
      </c>
      <c r="R21">
        <v>56772886</v>
      </c>
      <c r="S21" s="5">
        <v>0.44450000000000001</v>
      </c>
      <c r="T21" t="s">
        <v>1656</v>
      </c>
      <c r="U21">
        <v>1394172800</v>
      </c>
      <c r="V21">
        <v>1394172800</v>
      </c>
      <c r="W21">
        <v>2.14</v>
      </c>
      <c r="X21">
        <v>0.02</v>
      </c>
      <c r="Y21">
        <v>15.03</v>
      </c>
      <c r="Z21" t="s">
        <v>589</v>
      </c>
      <c r="AA21" t="s">
        <v>184</v>
      </c>
      <c r="AB21" t="s">
        <v>1657</v>
      </c>
      <c r="AC21" t="s">
        <v>394</v>
      </c>
      <c r="AD21" t="s">
        <v>133</v>
      </c>
      <c r="AE21">
        <v>85773212</v>
      </c>
      <c r="AF21" t="s">
        <v>1658</v>
      </c>
      <c r="AG21" t="s">
        <v>940</v>
      </c>
      <c r="AH21" t="s">
        <v>1659</v>
      </c>
      <c r="AI21" t="s">
        <v>175</v>
      </c>
      <c r="AJ21" t="s">
        <v>1660</v>
      </c>
      <c r="AK21" t="s">
        <v>133</v>
      </c>
      <c r="AL21" t="s">
        <v>1661</v>
      </c>
      <c r="AM21" t="s">
        <v>133</v>
      </c>
      <c r="AN21" t="s">
        <v>1662</v>
      </c>
      <c r="AO21" t="s">
        <v>1663</v>
      </c>
      <c r="AP21" t="s">
        <v>133</v>
      </c>
      <c r="AQ21" t="s">
        <v>1664</v>
      </c>
      <c r="AR21" t="s">
        <v>1665</v>
      </c>
      <c r="AS21" t="s">
        <v>1666</v>
      </c>
      <c r="AT21" t="s">
        <v>450</v>
      </c>
      <c r="AU21" t="s">
        <v>1667</v>
      </c>
      <c r="AV21" t="s">
        <v>1668</v>
      </c>
      <c r="AW21" t="s">
        <v>1669</v>
      </c>
      <c r="AX21" t="s">
        <v>873</v>
      </c>
      <c r="AY21" t="s">
        <v>929</v>
      </c>
      <c r="AZ21" t="s">
        <v>930</v>
      </c>
      <c r="BA21" t="s">
        <v>396</v>
      </c>
      <c r="BB21" t="s">
        <v>397</v>
      </c>
      <c r="BC21" t="s">
        <v>928</v>
      </c>
      <c r="BD21" t="s">
        <v>657</v>
      </c>
      <c r="BE21" t="s">
        <v>162</v>
      </c>
      <c r="BF21" t="s">
        <v>186</v>
      </c>
      <c r="BG21" t="s">
        <v>398</v>
      </c>
      <c r="BH21" t="s">
        <v>1134</v>
      </c>
      <c r="BI21" t="s">
        <v>1093</v>
      </c>
      <c r="BJ21" t="s">
        <v>873</v>
      </c>
      <c r="BK21" t="s">
        <v>1656</v>
      </c>
      <c r="BL21" t="s">
        <v>1095</v>
      </c>
      <c r="BM21" t="s">
        <v>928</v>
      </c>
      <c r="BN21">
        <v>2.72</v>
      </c>
      <c r="BO21">
        <v>0.71</v>
      </c>
      <c r="BP21">
        <v>2.2000000000000002</v>
      </c>
      <c r="BQ21">
        <v>1.3</v>
      </c>
      <c r="BR21">
        <v>0.5</v>
      </c>
      <c r="BS21">
        <v>1.94</v>
      </c>
      <c r="BT21" t="s">
        <v>1670</v>
      </c>
      <c r="BU21" t="s">
        <v>787</v>
      </c>
      <c r="BV21">
        <v>64.069999999999993</v>
      </c>
      <c r="BW21">
        <v>50.57</v>
      </c>
      <c r="BX21">
        <v>47.01</v>
      </c>
      <c r="BY21">
        <v>1.69</v>
      </c>
      <c r="BZ21">
        <v>0.23</v>
      </c>
      <c r="CA21">
        <v>2.88</v>
      </c>
      <c r="CB21">
        <v>4.17</v>
      </c>
      <c r="CC21">
        <v>-14.09</v>
      </c>
      <c r="CD21" t="s">
        <v>554</v>
      </c>
      <c r="CE21" t="s">
        <v>1671</v>
      </c>
      <c r="CF21" s="9">
        <v>-8.9918256130790186E-2</v>
      </c>
      <c r="CG21" s="10">
        <v>0.44445567881131692</v>
      </c>
      <c r="CH21" s="9">
        <v>-0.25992172956466675</v>
      </c>
      <c r="CI21" s="9">
        <v>-0.30280598998069763</v>
      </c>
      <c r="CJ21" s="9">
        <v>0.10938183963298798</v>
      </c>
      <c r="CK21" s="9">
        <v>-0.62980157136917114</v>
      </c>
      <c r="CL21" s="9">
        <v>-0.13438624143600464</v>
      </c>
      <c r="CM21" s="10">
        <v>0.47060674428939819</v>
      </c>
      <c r="CN21" s="10">
        <v>-0.74764424562454224</v>
      </c>
      <c r="CO21" s="10">
        <v>-5.7553958147764206E-2</v>
      </c>
      <c r="CP21" s="10">
        <v>-0.56151419878005981</v>
      </c>
      <c r="CQ21" s="10">
        <v>-0.30176210403442383</v>
      </c>
      <c r="CR21">
        <v>16.764723675992371</v>
      </c>
      <c r="CS21">
        <v>0.68847062616284871</v>
      </c>
      <c r="CT21">
        <v>0.48888888888888887</v>
      </c>
      <c r="CU21" s="9">
        <v>-0.24350673854351043</v>
      </c>
      <c r="CV21" s="10">
        <v>-0.23957355245947837</v>
      </c>
      <c r="CW21">
        <v>0.06</v>
      </c>
      <c r="CX21">
        <v>86.614930825527296</v>
      </c>
      <c r="CY21" t="s">
        <v>1672</v>
      </c>
      <c r="CZ21">
        <v>-0.24350673854351043</v>
      </c>
      <c r="DA21">
        <v>28.871643608509096</v>
      </c>
      <c r="DB21" t="s">
        <v>1673</v>
      </c>
      <c r="DC21">
        <v>-0.23133140161633489</v>
      </c>
      <c r="DD21">
        <v>14.435821804254548</v>
      </c>
      <c r="DE21" t="s">
        <v>1674</v>
      </c>
      <c r="DF21">
        <v>-0.21428592991828918</v>
      </c>
      <c r="DG21">
        <v>8.6614930825527292</v>
      </c>
      <c r="DH21" t="s">
        <v>1675</v>
      </c>
      <c r="DI21">
        <v>-0.19480539083480836</v>
      </c>
      <c r="DJ21">
        <v>4.3307465412763646</v>
      </c>
      <c r="DK21" t="s">
        <v>1676</v>
      </c>
      <c r="DL21">
        <v>-0.1704547169804573</v>
      </c>
      <c r="DM21">
        <v>48616200</v>
      </c>
      <c r="DN21">
        <v>-0.24350673854351043</v>
      </c>
      <c r="DO21">
        <v>4210888800</v>
      </c>
      <c r="DP21">
        <v>-1450816800</v>
      </c>
      <c r="DQ21">
        <v>784</v>
      </c>
      <c r="DR21">
        <v>0.15358848241272025</v>
      </c>
      <c r="DS21">
        <v>0.68402923127079529</v>
      </c>
      <c r="DT21" s="11">
        <v>-0.98999999999999988</v>
      </c>
      <c r="DU21">
        <v>0.25000000000000006</v>
      </c>
      <c r="DV21">
        <v>-0.73999999999999977</v>
      </c>
      <c r="DW21">
        <v>6.2283680175246436</v>
      </c>
      <c r="DX21">
        <v>0.37989505247376176</v>
      </c>
      <c r="DY21">
        <v>6.0479333170216645</v>
      </c>
      <c r="DZ21">
        <v>3257</v>
      </c>
      <c r="EA21">
        <v>6.017381690105899</v>
      </c>
      <c r="EB21">
        <v>6</v>
      </c>
      <c r="EC21">
        <v>0.10041796827480783</v>
      </c>
      <c r="ED21">
        <v>0.47841989170926302</v>
      </c>
      <c r="EE21" s="12">
        <v>-1.0061100000000001</v>
      </c>
      <c r="EF21">
        <v>-1.02861</v>
      </c>
      <c r="EG21">
        <v>17.209895052473762</v>
      </c>
      <c r="EH21" t="s">
        <v>793</v>
      </c>
      <c r="EI21">
        <v>0</v>
      </c>
      <c r="EJ21">
        <v>0</v>
      </c>
      <c r="EK21" s="14">
        <v>45470</v>
      </c>
      <c r="EL21" s="15">
        <v>-3.02</v>
      </c>
      <c r="EM21" s="15">
        <v>-4.8899999999999997</v>
      </c>
      <c r="EN21" s="15">
        <v>0.93</v>
      </c>
      <c r="EO21" s="15">
        <v>2.78</v>
      </c>
      <c r="EP21" s="15">
        <v>-2.25</v>
      </c>
    </row>
    <row r="22" spans="1:146" ht="96" x14ac:dyDescent="0.25">
      <c r="A22" s="7"/>
      <c r="B22" s="7"/>
      <c r="C22" s="7" t="str">
        <f>""&amp;CHAR(10)&amp;Basic_Fundamental_Information_Constructure(F22)&amp;CHAR(10)&amp;Basic_Fundamental_Information_Concatenate("")</f>
        <v xml:space="preserve">
市值10.428亿, 利润-4.98亿; PE; 平均PE-2.92; 平均PEG-.16, PB; ROIC0%; ROE-111.145%; 股利率0%; 毛利25.75%; 净利-15.6767%; 上一年度营收增-28.15%, 利润增1.78%; 当季营收增-38.95%, 利润增-33.63%; 过往5年营收增-18.57%, 利润增-475.15%
Income profile:
</v>
      </c>
      <c r="D22" t="s">
        <v>117</v>
      </c>
      <c r="E22" t="s">
        <v>1677</v>
      </c>
      <c r="F22">
        <v>2.37</v>
      </c>
      <c r="G22">
        <v>0</v>
      </c>
      <c r="H22" t="s">
        <v>1678</v>
      </c>
      <c r="I22">
        <v>1042800000</v>
      </c>
      <c r="L22" t="s">
        <v>57</v>
      </c>
      <c r="M22" t="s">
        <v>1679</v>
      </c>
      <c r="N22" t="s">
        <v>1680</v>
      </c>
      <c r="O22" t="s">
        <v>1079</v>
      </c>
      <c r="P22">
        <v>-38.94</v>
      </c>
      <c r="Q22" t="s">
        <v>141</v>
      </c>
      <c r="R22">
        <v>-131741870</v>
      </c>
      <c r="S22" s="5">
        <v>-0.33629999999999999</v>
      </c>
      <c r="T22" t="s">
        <v>1681</v>
      </c>
      <c r="U22">
        <v>440000000</v>
      </c>
      <c r="V22">
        <v>440000000</v>
      </c>
      <c r="W22" t="s">
        <v>133</v>
      </c>
      <c r="X22">
        <v>0.15</v>
      </c>
      <c r="Y22">
        <v>-22.58</v>
      </c>
      <c r="Z22" t="s">
        <v>1682</v>
      </c>
      <c r="AA22" t="s">
        <v>1163</v>
      </c>
      <c r="AB22" t="s">
        <v>148</v>
      </c>
      <c r="AC22" t="s">
        <v>1683</v>
      </c>
      <c r="AD22" t="s">
        <v>133</v>
      </c>
      <c r="AE22">
        <v>26236138</v>
      </c>
      <c r="AF22" t="s">
        <v>1684</v>
      </c>
      <c r="AG22" t="s">
        <v>1685</v>
      </c>
      <c r="AH22" t="s">
        <v>1686</v>
      </c>
      <c r="AI22" t="s">
        <v>369</v>
      </c>
      <c r="AJ22" t="s">
        <v>1687</v>
      </c>
      <c r="AK22" t="s">
        <v>133</v>
      </c>
      <c r="AL22" t="s">
        <v>1688</v>
      </c>
      <c r="AM22" t="s">
        <v>133</v>
      </c>
      <c r="AN22" t="s">
        <v>1689</v>
      </c>
      <c r="AO22" t="s">
        <v>1690</v>
      </c>
      <c r="AP22" t="s">
        <v>1691</v>
      </c>
      <c r="AQ22" t="s">
        <v>1692</v>
      </c>
      <c r="AR22" t="s">
        <v>133</v>
      </c>
      <c r="AS22" t="s">
        <v>1379</v>
      </c>
      <c r="AT22" t="s">
        <v>133</v>
      </c>
      <c r="AU22" t="s">
        <v>1693</v>
      </c>
      <c r="AV22" t="s">
        <v>367</v>
      </c>
      <c r="AW22" t="s">
        <v>1694</v>
      </c>
      <c r="AX22" t="s">
        <v>931</v>
      </c>
      <c r="AY22" t="s">
        <v>669</v>
      </c>
      <c r="AZ22" t="s">
        <v>399</v>
      </c>
      <c r="BA22" t="s">
        <v>189</v>
      </c>
      <c r="BB22" t="s">
        <v>401</v>
      </c>
      <c r="BC22" t="s">
        <v>932</v>
      </c>
      <c r="BD22" t="s">
        <v>670</v>
      </c>
      <c r="BE22" t="s">
        <v>400</v>
      </c>
      <c r="BF22" t="s">
        <v>190</v>
      </c>
      <c r="BG22" t="s">
        <v>402</v>
      </c>
      <c r="BH22" t="s">
        <v>141</v>
      </c>
      <c r="BI22" t="s">
        <v>683</v>
      </c>
      <c r="BJ22" t="s">
        <v>931</v>
      </c>
      <c r="BK22" t="s">
        <v>1681</v>
      </c>
      <c r="BL22" t="s">
        <v>1098</v>
      </c>
      <c r="BM22" t="s">
        <v>932</v>
      </c>
      <c r="BN22" t="s">
        <v>133</v>
      </c>
      <c r="BO22" t="s">
        <v>133</v>
      </c>
      <c r="BP22" t="s">
        <v>133</v>
      </c>
      <c r="BQ22" t="s">
        <v>133</v>
      </c>
      <c r="BR22">
        <v>-139.24</v>
      </c>
      <c r="BS22">
        <v>-83.05</v>
      </c>
      <c r="BT22" t="s">
        <v>856</v>
      </c>
      <c r="BU22" t="s">
        <v>787</v>
      </c>
      <c r="BV22">
        <v>27.83</v>
      </c>
      <c r="BW22">
        <v>25.4</v>
      </c>
      <c r="BX22">
        <v>24.02</v>
      </c>
      <c r="BY22">
        <v>-17.440000000000001</v>
      </c>
      <c r="BZ22">
        <v>-12.77</v>
      </c>
      <c r="CA22">
        <v>-16.82</v>
      </c>
      <c r="CB22">
        <v>6.76</v>
      </c>
      <c r="CC22">
        <v>-40.6</v>
      </c>
      <c r="CD22" t="s">
        <v>1695</v>
      </c>
      <c r="CE22" t="s">
        <v>938</v>
      </c>
      <c r="CF22" s="9">
        <v>-0.38952879581151839</v>
      </c>
      <c r="CG22" s="10">
        <v>-0.33631960448584786</v>
      </c>
      <c r="CH22" s="9">
        <v>-0.28154119849205017</v>
      </c>
      <c r="CI22" s="9">
        <v>-0.22076137363910675</v>
      </c>
      <c r="CJ22" s="9">
        <v>-0.147968590259552</v>
      </c>
      <c r="CK22" s="9">
        <v>-0.21312981843948364</v>
      </c>
      <c r="CL22" s="9">
        <v>-6.5182618796825409E-2</v>
      </c>
      <c r="CM22" s="10">
        <v>1.7751479521393776E-2</v>
      </c>
      <c r="CN22" s="10">
        <v>0.40840139985084534</v>
      </c>
      <c r="CO22" s="10">
        <v>-25.220808029174805</v>
      </c>
      <c r="CP22" s="10">
        <v>-6.9970138370990753E-2</v>
      </c>
      <c r="CQ22" s="10">
        <v>1.107168436050415</v>
      </c>
      <c r="CR22">
        <v>-2.9188657215403593</v>
      </c>
      <c r="CS22">
        <v>-0.15716763265648742</v>
      </c>
      <c r="CT22">
        <v>0</v>
      </c>
      <c r="CU22" s="9">
        <v>-0.18571671992540359</v>
      </c>
      <c r="CV22" s="10">
        <v>-4.7514913704246284</v>
      </c>
      <c r="CW22">
        <v>0.06</v>
      </c>
      <c r="CX22" t="e">
        <v>#VALUE!</v>
      </c>
      <c r="CY22" t="s">
        <v>783</v>
      </c>
      <c r="CZ22">
        <v>-0.18571671992540359</v>
      </c>
      <c r="DA22" t="e">
        <v>#VALUE!</v>
      </c>
      <c r="DB22" t="s">
        <v>784</v>
      </c>
      <c r="DC22">
        <v>-0.17643088392913339</v>
      </c>
      <c r="DD22" t="e">
        <v>#VALUE!</v>
      </c>
      <c r="DE22" t="s">
        <v>784</v>
      </c>
      <c r="DF22">
        <v>-0.16343071353435515</v>
      </c>
      <c r="DG22" t="e">
        <v>#VALUE!</v>
      </c>
      <c r="DH22" t="s">
        <v>784</v>
      </c>
      <c r="DI22">
        <v>-0.14857337594032288</v>
      </c>
      <c r="DJ22" t="e">
        <v>#VALUE!</v>
      </c>
      <c r="DK22" t="s">
        <v>784</v>
      </c>
      <c r="DL22">
        <v>-0.13000170394778252</v>
      </c>
      <c r="DM22">
        <v>-498000000.00000006</v>
      </c>
      <c r="DN22">
        <v>-0.18571671992540359</v>
      </c>
      <c r="DO22">
        <v>5853800000</v>
      </c>
      <c r="DP22">
        <v>-1645782270</v>
      </c>
      <c r="DQ22">
        <v>843</v>
      </c>
      <c r="DR22">
        <v>-0.2038120758861148</v>
      </c>
      <c r="DS22">
        <v>4.4151717659387808</v>
      </c>
      <c r="DT22" s="11">
        <v>-0.87333333333333341</v>
      </c>
      <c r="DU22">
        <v>-1.625</v>
      </c>
      <c r="DV22">
        <v>-2.4983333333333335</v>
      </c>
      <c r="DW22">
        <v>7.1427364864864868</v>
      </c>
      <c r="DX22">
        <v>0.36820976744186212</v>
      </c>
      <c r="DY22">
        <v>7.0240096711973603</v>
      </c>
      <c r="DZ22">
        <v>4682</v>
      </c>
      <c r="EA22">
        <v>7.0020109861589965</v>
      </c>
      <c r="EB22">
        <v>7</v>
      </c>
      <c r="EC22">
        <v>8.2193409090909095E-2</v>
      </c>
      <c r="ED22">
        <v>0.48863636363636365</v>
      </c>
      <c r="EE22" s="12">
        <v>-3.0500099999999999</v>
      </c>
      <c r="EF22">
        <v>-3.09491</v>
      </c>
      <c r="EG22">
        <v>20.168209767441862</v>
      </c>
      <c r="EH22" t="s">
        <v>1696</v>
      </c>
      <c r="EI22">
        <v>1</v>
      </c>
      <c r="EJ22">
        <v>0</v>
      </c>
      <c r="EK22" s="14">
        <v>45470</v>
      </c>
      <c r="EL22" s="15">
        <v>-4.9800000000000004</v>
      </c>
      <c r="EM22" s="15">
        <v>-4.9000000000000004</v>
      </c>
      <c r="EN22" s="15">
        <v>-5.15</v>
      </c>
      <c r="EO22" s="15">
        <v>-5.04</v>
      </c>
      <c r="EP22" s="15">
        <v>-4.49</v>
      </c>
    </row>
    <row r="23" spans="1:146" ht="96" x14ac:dyDescent="0.25">
      <c r="A23" s="7"/>
      <c r="B23" s="7"/>
      <c r="C23" s="7" t="str">
        <f>""&amp;CHAR(10)&amp;Basic_Fundamental_Information_Constructure(F23)&amp;CHAR(10)&amp;Basic_Fundamental_Information_Concatenate("")</f>
        <v xml:space="preserve">
市值39.761126亿, 利润1.77亿; PE34.91; 平均PE14.79; 平均PEG2.38, PB.472; ROIC2.8867%; ROE3.0333%; 股利率1.3871%; 毛利38.4133%; 净利21.4567%; 上一年度营收增-6.94%, 利润增-34.44%; 当季营收增-15.72%, 利润增-51.94%; 过往5年营收增-6.21%, 利润增-7.48%
Income profile:
</v>
      </c>
      <c r="D23" t="s">
        <v>90</v>
      </c>
      <c r="E23" t="s">
        <v>37</v>
      </c>
      <c r="F23">
        <v>3.1</v>
      </c>
      <c r="G23">
        <v>0.98</v>
      </c>
      <c r="H23" t="s">
        <v>1697</v>
      </c>
      <c r="I23">
        <v>3976112600</v>
      </c>
      <c r="J23">
        <v>34.909999999999997</v>
      </c>
      <c r="K23">
        <v>0.47199999999999998</v>
      </c>
      <c r="L23" t="s">
        <v>57</v>
      </c>
      <c r="M23" t="s">
        <v>1698</v>
      </c>
      <c r="N23" t="s">
        <v>1699</v>
      </c>
      <c r="O23" t="s">
        <v>882</v>
      </c>
      <c r="P23">
        <v>-15.64</v>
      </c>
      <c r="Q23" t="s">
        <v>664</v>
      </c>
      <c r="R23">
        <v>59119063</v>
      </c>
      <c r="S23" s="5">
        <v>-0.51829999999999998</v>
      </c>
      <c r="T23" t="s">
        <v>299</v>
      </c>
      <c r="U23">
        <v>1281450090</v>
      </c>
      <c r="V23">
        <v>1282616960</v>
      </c>
      <c r="W23">
        <v>1.55</v>
      </c>
      <c r="X23">
        <v>0.02</v>
      </c>
      <c r="Y23">
        <v>26.99</v>
      </c>
      <c r="Z23" t="s">
        <v>378</v>
      </c>
      <c r="AA23" t="s">
        <v>1690</v>
      </c>
      <c r="AB23" t="s">
        <v>1700</v>
      </c>
      <c r="AC23" t="s">
        <v>1701</v>
      </c>
      <c r="AD23" t="s">
        <v>133</v>
      </c>
      <c r="AE23">
        <v>-2867005</v>
      </c>
      <c r="AF23" t="s">
        <v>1702</v>
      </c>
      <c r="AG23" t="s">
        <v>1703</v>
      </c>
      <c r="AH23" t="s">
        <v>1704</v>
      </c>
      <c r="AI23" t="s">
        <v>1705</v>
      </c>
      <c r="AJ23" t="s">
        <v>1706</v>
      </c>
      <c r="AK23" t="s">
        <v>133</v>
      </c>
      <c r="AL23" t="s">
        <v>1707</v>
      </c>
      <c r="AM23" t="s">
        <v>133</v>
      </c>
      <c r="AN23" t="s">
        <v>1708</v>
      </c>
      <c r="AO23" t="s">
        <v>505</v>
      </c>
      <c r="AP23" t="s">
        <v>219</v>
      </c>
      <c r="AQ23" t="s">
        <v>1402</v>
      </c>
      <c r="AR23" t="s">
        <v>336</v>
      </c>
      <c r="AS23" t="s">
        <v>1709</v>
      </c>
      <c r="AT23" t="s">
        <v>912</v>
      </c>
      <c r="AU23" t="s">
        <v>1710</v>
      </c>
      <c r="AV23" t="s">
        <v>1711</v>
      </c>
      <c r="AW23" t="s">
        <v>173</v>
      </c>
      <c r="AX23" t="s">
        <v>937</v>
      </c>
      <c r="AY23" t="s">
        <v>936</v>
      </c>
      <c r="AZ23" t="s">
        <v>633</v>
      </c>
      <c r="BA23" t="s">
        <v>404</v>
      </c>
      <c r="BB23" t="s">
        <v>405</v>
      </c>
      <c r="BC23" t="s">
        <v>655</v>
      </c>
      <c r="BD23" t="s">
        <v>671</v>
      </c>
      <c r="BE23" t="s">
        <v>403</v>
      </c>
      <c r="BF23" t="s">
        <v>191</v>
      </c>
      <c r="BG23" t="s">
        <v>407</v>
      </c>
      <c r="BH23" t="s">
        <v>664</v>
      </c>
      <c r="BI23" t="s">
        <v>297</v>
      </c>
      <c r="BJ23" t="s">
        <v>937</v>
      </c>
      <c r="BK23" t="s">
        <v>299</v>
      </c>
      <c r="BL23" t="s">
        <v>866</v>
      </c>
      <c r="BM23" t="s">
        <v>655</v>
      </c>
      <c r="BN23">
        <v>1.67</v>
      </c>
      <c r="BO23">
        <v>3.19</v>
      </c>
      <c r="BP23">
        <v>3.8</v>
      </c>
      <c r="BQ23">
        <v>1.61</v>
      </c>
      <c r="BR23">
        <v>3.32</v>
      </c>
      <c r="BS23">
        <v>4.17</v>
      </c>
      <c r="BT23" t="s">
        <v>1712</v>
      </c>
      <c r="BU23" t="s">
        <v>782</v>
      </c>
      <c r="BV23">
        <v>35.630000000000003</v>
      </c>
      <c r="BW23">
        <v>36.56</v>
      </c>
      <c r="BX23">
        <v>43.05</v>
      </c>
      <c r="BY23">
        <v>17.920000000000002</v>
      </c>
      <c r="BZ23">
        <v>23.38</v>
      </c>
      <c r="CA23">
        <v>23.07</v>
      </c>
      <c r="CB23">
        <v>2.75</v>
      </c>
      <c r="CC23">
        <v>-14.06</v>
      </c>
      <c r="CD23" t="s">
        <v>1713</v>
      </c>
      <c r="CE23" t="s">
        <v>333</v>
      </c>
      <c r="CF23" s="9">
        <v>-0.15719063545150502</v>
      </c>
      <c r="CG23" s="10">
        <v>-0.51935721138211377</v>
      </c>
      <c r="CH23" s="9">
        <v>-6.9412708282470703E-2</v>
      </c>
      <c r="CI23" s="9">
        <v>-8.6411148309707642E-2</v>
      </c>
      <c r="CJ23" s="9">
        <v>7.0176338776946068E-3</v>
      </c>
      <c r="CK23" s="9">
        <v>8.4925694391131401E-3</v>
      </c>
      <c r="CL23" s="9">
        <v>-0.17028780281543732</v>
      </c>
      <c r="CM23" s="10">
        <v>-0.34444445371627808</v>
      </c>
      <c r="CN23" s="10">
        <v>-0.1768292635679245</v>
      </c>
      <c r="CO23" s="10">
        <v>0.68205130100250244</v>
      </c>
      <c r="CP23" s="10">
        <v>-0.301075279712677</v>
      </c>
      <c r="CQ23" s="10">
        <v>-0.23351648449897766</v>
      </c>
      <c r="CR23">
        <v>14.790251456912586</v>
      </c>
      <c r="CS23">
        <v>2.3809050419564817</v>
      </c>
      <c r="CT23">
        <v>1.3870967741935483</v>
      </c>
      <c r="CU23" s="9">
        <v>-6.212029121816158E-2</v>
      </c>
      <c r="CV23" s="10">
        <v>-7.4762836098670959E-2</v>
      </c>
      <c r="CW23">
        <v>0.06</v>
      </c>
      <c r="CX23" t="s">
        <v>1714</v>
      </c>
      <c r="CY23" t="s">
        <v>1715</v>
      </c>
      <c r="CZ23">
        <v>-6.212029121816158E-2</v>
      </c>
      <c r="DA23" t="s">
        <v>1714</v>
      </c>
      <c r="DB23" t="s">
        <v>1716</v>
      </c>
      <c r="DC23">
        <v>-5.9014276657253499E-2</v>
      </c>
      <c r="DD23" t="s">
        <v>1714</v>
      </c>
      <c r="DE23" t="s">
        <v>1717</v>
      </c>
      <c r="DF23">
        <v>-5.4665856271982192E-2</v>
      </c>
      <c r="DG23" t="s">
        <v>1714</v>
      </c>
      <c r="DH23" t="s">
        <v>1718</v>
      </c>
      <c r="DI23">
        <v>-4.969623297452927E-2</v>
      </c>
      <c r="DJ23" t="s">
        <v>1714</v>
      </c>
      <c r="DK23" t="s">
        <v>1719</v>
      </c>
      <c r="DL23">
        <v>-4.3484203852713101E-2</v>
      </c>
      <c r="DM23">
        <v>177000000</v>
      </c>
      <c r="DN23">
        <v>-6.212029121816158E-2</v>
      </c>
      <c r="DO23">
        <v>-342887400</v>
      </c>
      <c r="DP23">
        <v>-499108199.99999952</v>
      </c>
      <c r="DQ23">
        <v>851</v>
      </c>
      <c r="DR23">
        <v>-9.5070344233343443E-2</v>
      </c>
      <c r="DS23">
        <v>-0.44459437528344281</v>
      </c>
      <c r="DT23" s="11">
        <v>-0.54</v>
      </c>
      <c r="DU23">
        <v>-0.48666666666666658</v>
      </c>
      <c r="DV23">
        <v>-1.0266666666666666</v>
      </c>
      <c r="DW23">
        <v>6.1635930993456274</v>
      </c>
      <c r="DX23">
        <v>0.32388409090908954</v>
      </c>
      <c r="DY23">
        <v>6.0268103063652587</v>
      </c>
      <c r="DZ23">
        <v>3579</v>
      </c>
      <c r="EA23">
        <v>6.0080325986389846</v>
      </c>
      <c r="EB23">
        <v>6</v>
      </c>
      <c r="EC23">
        <v>2.8110107011215569E-2</v>
      </c>
      <c r="ED23">
        <v>0.17152431853076389</v>
      </c>
      <c r="EE23" s="12">
        <v>-2.0061</v>
      </c>
      <c r="EF23">
        <v>-2.0099100000000001</v>
      </c>
      <c r="EG23">
        <v>16.16388409090909</v>
      </c>
      <c r="EH23" t="s">
        <v>1178</v>
      </c>
      <c r="EI23">
        <v>0</v>
      </c>
      <c r="EJ23">
        <v>0</v>
      </c>
      <c r="EK23" s="14">
        <v>45470</v>
      </c>
      <c r="EL23" s="15">
        <v>0</v>
      </c>
      <c r="EM23" s="15">
        <v>-2.9</v>
      </c>
      <c r="EN23" s="15">
        <v>1.66</v>
      </c>
      <c r="EO23" s="15">
        <v>2.29</v>
      </c>
      <c r="EP23" s="15">
        <v>-1.6</v>
      </c>
    </row>
    <row r="24" spans="1:146" ht="96" x14ac:dyDescent="0.25">
      <c r="A24" s="7"/>
      <c r="B24" s="7"/>
      <c r="C24" s="7" t="str">
        <f>""&amp;CHAR(10)&amp;Basic_Fundamental_Information_Constructure(F24)&amp;CHAR(10)&amp;Basic_Fundamental_Information_Concatenate("")</f>
        <v xml:space="preserve">
市值40.517765亿, 利润-4720.35万; PE; 平均PE-7.49; 平均PEG-.21, PB7.02; ROIC-133.28%; ROE-3.7333%; 股利率0%; 毛利44.4067%; 净利65.5867%; 上一年度营收增1.85%, 利润增23.47%; 当季营收增-29.58%, 利润增-248.97%; 过往5年营收增-35.78%, 利润增50.93%
Income profile:
</v>
      </c>
      <c r="D24" t="s">
        <v>578</v>
      </c>
      <c r="E24" t="s">
        <v>797</v>
      </c>
      <c r="F24">
        <v>3.09</v>
      </c>
      <c r="G24">
        <v>0</v>
      </c>
      <c r="H24" t="s">
        <v>1720</v>
      </c>
      <c r="I24">
        <v>4051776500</v>
      </c>
      <c r="K24">
        <v>7.02</v>
      </c>
      <c r="L24" t="s">
        <v>57</v>
      </c>
      <c r="M24" t="s">
        <v>796</v>
      </c>
      <c r="N24" t="s">
        <v>1721</v>
      </c>
      <c r="O24" t="s">
        <v>1722</v>
      </c>
      <c r="P24">
        <v>-29.58</v>
      </c>
      <c r="Q24" t="s">
        <v>387</v>
      </c>
      <c r="R24">
        <v>-5553830</v>
      </c>
      <c r="S24" s="5">
        <v>-2.4900000000000002</v>
      </c>
      <c r="T24" t="s">
        <v>1723</v>
      </c>
      <c r="U24">
        <v>1311254520</v>
      </c>
      <c r="V24">
        <v>1311254520</v>
      </c>
      <c r="W24">
        <v>1.35</v>
      </c>
      <c r="X24">
        <v>0.05</v>
      </c>
      <c r="Y24">
        <v>-17.23</v>
      </c>
      <c r="Z24" t="s">
        <v>1724</v>
      </c>
      <c r="AA24" t="s">
        <v>1725</v>
      </c>
      <c r="AB24" t="s">
        <v>1726</v>
      </c>
      <c r="AC24" t="s">
        <v>1727</v>
      </c>
      <c r="AD24" t="s">
        <v>133</v>
      </c>
      <c r="AE24">
        <v>-1616056</v>
      </c>
      <c r="AF24" t="s">
        <v>1728</v>
      </c>
      <c r="AG24">
        <v>19.670000000000002</v>
      </c>
      <c r="AH24" t="s">
        <v>1729</v>
      </c>
      <c r="AI24" t="s">
        <v>1730</v>
      </c>
      <c r="AJ24" t="s">
        <v>1731</v>
      </c>
      <c r="AK24" t="s">
        <v>133</v>
      </c>
      <c r="AL24" t="s">
        <v>1732</v>
      </c>
      <c r="AM24" t="s">
        <v>133</v>
      </c>
      <c r="AN24">
        <v>0</v>
      </c>
      <c r="AO24" t="s">
        <v>133</v>
      </c>
      <c r="AP24" t="s">
        <v>133</v>
      </c>
      <c r="AQ24" t="s">
        <v>1733</v>
      </c>
      <c r="AR24" t="s">
        <v>1734</v>
      </c>
      <c r="AS24" t="s">
        <v>806</v>
      </c>
      <c r="AT24" t="s">
        <v>133</v>
      </c>
      <c r="AU24" t="s">
        <v>1735</v>
      </c>
      <c r="AV24" t="s">
        <v>1736</v>
      </c>
      <c r="AW24" t="s">
        <v>1737</v>
      </c>
      <c r="AX24" t="s">
        <v>883</v>
      </c>
      <c r="AY24" t="s">
        <v>672</v>
      </c>
      <c r="AZ24" t="s">
        <v>579</v>
      </c>
      <c r="BA24" t="s">
        <v>581</v>
      </c>
      <c r="BB24" t="s">
        <v>582</v>
      </c>
      <c r="BC24" t="s">
        <v>939</v>
      </c>
      <c r="BD24" t="s">
        <v>506</v>
      </c>
      <c r="BE24" t="s">
        <v>580</v>
      </c>
      <c r="BF24" t="s">
        <v>583</v>
      </c>
      <c r="BG24" t="s">
        <v>584</v>
      </c>
      <c r="BH24" t="s">
        <v>387</v>
      </c>
      <c r="BI24" t="s">
        <v>1101</v>
      </c>
      <c r="BJ24" t="s">
        <v>883</v>
      </c>
      <c r="BK24" t="s">
        <v>1723</v>
      </c>
      <c r="BL24" t="s">
        <v>1102</v>
      </c>
      <c r="BM24" t="s">
        <v>939</v>
      </c>
      <c r="BN24" t="s">
        <v>133</v>
      </c>
      <c r="BO24" t="s">
        <v>133</v>
      </c>
      <c r="BP24">
        <v>-133.28</v>
      </c>
      <c r="BQ24">
        <v>-1.59</v>
      </c>
      <c r="BR24">
        <v>-9.61</v>
      </c>
      <c r="BS24">
        <v>0</v>
      </c>
      <c r="BT24" t="s">
        <v>856</v>
      </c>
      <c r="BU24" t="s">
        <v>787</v>
      </c>
      <c r="BV24">
        <v>47.45</v>
      </c>
      <c r="BW24">
        <v>49.92</v>
      </c>
      <c r="BX24">
        <v>35.85</v>
      </c>
      <c r="BY24">
        <v>-30.77</v>
      </c>
      <c r="BZ24">
        <v>-40.22</v>
      </c>
      <c r="CA24">
        <v>267.75</v>
      </c>
      <c r="CB24">
        <v>0.32</v>
      </c>
      <c r="CC24">
        <v>-6.36</v>
      </c>
      <c r="CD24" t="s">
        <v>1738</v>
      </c>
      <c r="CE24" t="s">
        <v>1162</v>
      </c>
      <c r="CF24" s="9">
        <v>-0.29582809481463312</v>
      </c>
      <c r="CG24" s="10">
        <v>-2.4897213057589656</v>
      </c>
      <c r="CH24" s="9">
        <v>1.8518518656492233E-2</v>
      </c>
      <c r="CI24" s="9">
        <v>-0.51351350545883179</v>
      </c>
      <c r="CJ24" s="9">
        <v>-0.2869378924369812</v>
      </c>
      <c r="CK24" s="9">
        <v>-0.44929245114326477</v>
      </c>
      <c r="CL24" s="9">
        <v>-0.55787277221679688</v>
      </c>
      <c r="CM24" s="10">
        <v>0.23471944034099579</v>
      </c>
      <c r="CN24" s="10">
        <v>-1.0685347318649292</v>
      </c>
      <c r="CO24" s="10">
        <v>2.7857143878936768</v>
      </c>
      <c r="CP24" s="10">
        <v>0.73177224397659302</v>
      </c>
      <c r="CQ24" s="10">
        <v>-0.13740924000740051</v>
      </c>
      <c r="CR24">
        <v>-7.4943040517345132</v>
      </c>
      <c r="CS24">
        <v>-0.20944363086758719</v>
      </c>
      <c r="CT24">
        <v>0</v>
      </c>
      <c r="CU24" s="9">
        <v>-0.35781962051987648</v>
      </c>
      <c r="CV24" s="10">
        <v>0.50925242006778715</v>
      </c>
      <c r="CW24">
        <v>0.06</v>
      </c>
      <c r="CX24" t="e">
        <v>#VALUE!</v>
      </c>
      <c r="CY24" t="s">
        <v>783</v>
      </c>
      <c r="CZ24">
        <v>-0.35781962051987648</v>
      </c>
      <c r="DA24" t="e">
        <v>#VALUE!</v>
      </c>
      <c r="DB24" t="s">
        <v>784</v>
      </c>
      <c r="DC24">
        <v>-0.33992863949388263</v>
      </c>
      <c r="DD24" t="e">
        <v>#VALUE!</v>
      </c>
      <c r="DE24" t="s">
        <v>784</v>
      </c>
      <c r="DF24">
        <v>-0.31488126605749128</v>
      </c>
      <c r="DG24" t="e">
        <v>#VALUE!</v>
      </c>
      <c r="DH24" t="s">
        <v>784</v>
      </c>
      <c r="DI24">
        <v>-0.28625569641590121</v>
      </c>
      <c r="DJ24" t="e">
        <v>#VALUE!</v>
      </c>
      <c r="DK24" t="s">
        <v>784</v>
      </c>
      <c r="DL24">
        <v>-0.25047373436391351</v>
      </c>
      <c r="DM24">
        <v>-47203500</v>
      </c>
      <c r="DN24">
        <v>-0.35781962051987648</v>
      </c>
      <c r="DO24">
        <v>3665776500</v>
      </c>
      <c r="DP24">
        <v>485256640</v>
      </c>
      <c r="DQ24">
        <v>863</v>
      </c>
      <c r="DR24">
        <v>6.1991525705243355E-2</v>
      </c>
      <c r="DS24">
        <v>-2.9989737258267528</v>
      </c>
      <c r="DT24" s="11">
        <v>-0.94</v>
      </c>
      <c r="DU24">
        <v>-2.1616666666666671</v>
      </c>
      <c r="DV24">
        <v>-3.101666666666667</v>
      </c>
      <c r="DW24">
        <v>-2.0636000000000001</v>
      </c>
      <c r="DX24">
        <v>0.1960035381750459</v>
      </c>
      <c r="DY24">
        <v>-2.0048338250279332</v>
      </c>
      <c r="DZ24">
        <v>4939</v>
      </c>
      <c r="EA24">
        <v>-2.0001617581369424</v>
      </c>
      <c r="EB24">
        <v>2</v>
      </c>
      <c r="EC24">
        <v>3.1125841228749396E-2</v>
      </c>
      <c r="ED24">
        <v>0.40953147677233553</v>
      </c>
      <c r="EE24" s="12">
        <v>-2.0087999999999999</v>
      </c>
      <c r="EF24">
        <v>-2.0192100000000002</v>
      </c>
      <c r="EG24">
        <v>12.076003538175046</v>
      </c>
      <c r="EH24" t="s">
        <v>1178</v>
      </c>
      <c r="EI24">
        <v>0</v>
      </c>
      <c r="EJ24">
        <v>0</v>
      </c>
      <c r="EK24" s="14">
        <v>45470</v>
      </c>
      <c r="EL24" s="15">
        <v>0.31</v>
      </c>
      <c r="EM24" s="15">
        <v>-4.05</v>
      </c>
      <c r="EN24" s="15">
        <v>2.27</v>
      </c>
      <c r="EO24" s="15">
        <v>1.9</v>
      </c>
      <c r="EP24" s="15">
        <v>-2.8</v>
      </c>
    </row>
    <row r="25" spans="1:146" ht="168" x14ac:dyDescent="0.25">
      <c r="A25" s="7"/>
      <c r="B25" s="7"/>
      <c r="C25" s="7" t="str">
        <f>"公司的主营业务为数字化分销业务和数字化零售业务。公司的主要产品为移动通信产品和数码产品。公司是国内领先的数字化分销和数字化零售服务商，聚焦以智能手机为核心的3C数码及快消领域，在销售服务网络、产品运营能力、组织运营效率和数字化支撑等方面具有行业领先的竞争优势。"&amp;CHAR(10)&amp;Basic_Fundamental_Information_Constructure(F25)&amp;CHAR(10)&amp;Basic_Fundamental_Information_Concatenate("通信产品 419.71亿 91.18% 72.97% 2.54%
非通信产品 39.77亿 8.64% 21.63% 7.95%
其他业务收入 8283.46万 0.18% 5.40% 95.27%")</f>
        <v>公司的主营业务为数字化分销业务和数字化零售业务。公司的主要产品为移动通信产品和数码产品。公司是国内领先的数字化分销和数字化零售服务商，聚焦以智能手机为核心的3C数码及快消领域，在销售服务网络、产品运营能力、组织运营效率和数字化支撑等方面具有行业领先的竞争优势。
市值109.180727亿, 利润6.55亿; PE16.84; 平均PE20.11; 平均PEG1.72, PB1.78; ROIC8.0267%; ROE12.4833%; 股利率4.5403%; 毛利3.1533%; 净利.93%; 上一年度营收增.81%, 利润增-10.27%; 当季营收增-13.37%, 利润增-4.05%; 过往5年营收增11.66%, 利润增115.02%
Income profile:
通信产品 419.71亿 91.18% 72.97% 2.54%
非通信产品 39.77亿 8.64% 21.63% 7.95%
其他业务收入 8283.46万 0.18% 5.40% 95.27%</v>
      </c>
      <c r="D25" t="s">
        <v>62</v>
      </c>
      <c r="E25" t="s">
        <v>16</v>
      </c>
      <c r="F25">
        <v>8.81</v>
      </c>
      <c r="G25">
        <v>1.38</v>
      </c>
      <c r="H25" t="s">
        <v>1739</v>
      </c>
      <c r="I25">
        <v>10918072700</v>
      </c>
      <c r="J25">
        <v>16.84</v>
      </c>
      <c r="K25">
        <v>1.78</v>
      </c>
      <c r="L25" t="s">
        <v>57</v>
      </c>
      <c r="M25" t="s">
        <v>1114</v>
      </c>
      <c r="N25" t="s">
        <v>1740</v>
      </c>
      <c r="O25" t="s">
        <v>1741</v>
      </c>
      <c r="P25">
        <v>-13.37</v>
      </c>
      <c r="Q25" t="s">
        <v>1742</v>
      </c>
      <c r="R25">
        <v>167910610</v>
      </c>
      <c r="S25" s="5">
        <v>-3.8899999999999997E-2</v>
      </c>
      <c r="T25" t="s">
        <v>220</v>
      </c>
      <c r="U25">
        <v>1223904300</v>
      </c>
      <c r="V25">
        <v>1239281810</v>
      </c>
      <c r="W25">
        <v>2.2999999999999998</v>
      </c>
      <c r="X25">
        <v>1.57</v>
      </c>
      <c r="Y25">
        <v>1.01</v>
      </c>
      <c r="Z25" t="s">
        <v>1743</v>
      </c>
      <c r="AA25" t="s">
        <v>1744</v>
      </c>
      <c r="AB25" t="s">
        <v>336</v>
      </c>
      <c r="AC25" t="s">
        <v>1745</v>
      </c>
      <c r="AD25" t="s">
        <v>133</v>
      </c>
      <c r="AE25">
        <v>33458748</v>
      </c>
      <c r="AF25" t="s">
        <v>1746</v>
      </c>
      <c r="AG25" t="s">
        <v>1747</v>
      </c>
      <c r="AH25" t="s">
        <v>1748</v>
      </c>
      <c r="AI25" t="s">
        <v>1749</v>
      </c>
      <c r="AJ25" t="s">
        <v>1750</v>
      </c>
      <c r="AK25" t="s">
        <v>1751</v>
      </c>
      <c r="AL25" t="s">
        <v>1752</v>
      </c>
      <c r="AM25" t="s">
        <v>133</v>
      </c>
      <c r="AN25">
        <v>0</v>
      </c>
      <c r="AO25" t="s">
        <v>1753</v>
      </c>
      <c r="AP25" t="s">
        <v>1754</v>
      </c>
      <c r="AQ25" t="s">
        <v>1755</v>
      </c>
      <c r="AR25" t="s">
        <v>133</v>
      </c>
      <c r="AS25" t="s">
        <v>1756</v>
      </c>
      <c r="AT25" t="s">
        <v>133</v>
      </c>
      <c r="AU25" t="s">
        <v>1757</v>
      </c>
      <c r="AV25" t="s">
        <v>1758</v>
      </c>
      <c r="AW25" t="s">
        <v>1759</v>
      </c>
      <c r="AX25" t="s">
        <v>1760</v>
      </c>
      <c r="AY25" t="s">
        <v>943</v>
      </c>
      <c r="AZ25" t="s">
        <v>944</v>
      </c>
      <c r="BA25" t="s">
        <v>409</v>
      </c>
      <c r="BB25" t="s">
        <v>410</v>
      </c>
      <c r="BC25" t="s">
        <v>941</v>
      </c>
      <c r="BD25" t="s">
        <v>458</v>
      </c>
      <c r="BE25" t="s">
        <v>188</v>
      </c>
      <c r="BF25" t="s">
        <v>194</v>
      </c>
      <c r="BG25" t="s">
        <v>411</v>
      </c>
      <c r="BH25" t="s">
        <v>1742</v>
      </c>
      <c r="BI25" t="s">
        <v>1104</v>
      </c>
      <c r="BJ25" t="s">
        <v>1760</v>
      </c>
      <c r="BK25" t="s">
        <v>220</v>
      </c>
      <c r="BL25" t="s">
        <v>258</v>
      </c>
      <c r="BM25" t="s">
        <v>941</v>
      </c>
      <c r="BN25">
        <v>5.88</v>
      </c>
      <c r="BO25">
        <v>7.37</v>
      </c>
      <c r="BP25">
        <v>10.83</v>
      </c>
      <c r="BQ25">
        <v>8.75</v>
      </c>
      <c r="BR25">
        <v>12.65</v>
      </c>
      <c r="BS25">
        <v>16.05</v>
      </c>
      <c r="BT25" t="s">
        <v>871</v>
      </c>
      <c r="BU25" t="s">
        <v>792</v>
      </c>
      <c r="BV25">
        <v>3.12</v>
      </c>
      <c r="BW25">
        <v>3.23</v>
      </c>
      <c r="BX25">
        <v>3.11</v>
      </c>
      <c r="BY25">
        <v>0.82</v>
      </c>
      <c r="BZ25">
        <v>0.88</v>
      </c>
      <c r="CA25">
        <v>1.0900000000000001</v>
      </c>
      <c r="CB25">
        <v>-0.45</v>
      </c>
      <c r="CC25">
        <v>-11.72</v>
      </c>
      <c r="CD25" t="s">
        <v>1761</v>
      </c>
      <c r="CE25" t="s">
        <v>1762</v>
      </c>
      <c r="CF25" s="9">
        <v>-0.13369647935274562</v>
      </c>
      <c r="CG25" s="10">
        <v>-4.05108E-2</v>
      </c>
      <c r="CH25" s="9">
        <v>8.1269489601254463E-3</v>
      </c>
      <c r="CI25" s="9">
        <v>-3.9310947060585022E-2</v>
      </c>
      <c r="CJ25" s="9">
        <v>0.48421093821525574</v>
      </c>
      <c r="CK25" s="9">
        <v>0.14758865535259247</v>
      </c>
      <c r="CL25" s="9">
        <v>-1.7796847969293594E-2</v>
      </c>
      <c r="CM25" s="10">
        <v>-0.10273972898721695</v>
      </c>
      <c r="CN25" s="10">
        <v>-0.20824295282363892</v>
      </c>
      <c r="CO25" s="10">
        <v>0.31714284420013428</v>
      </c>
      <c r="CP25" s="10">
        <v>1.0348837375640869</v>
      </c>
      <c r="CQ25" s="10">
        <v>4.7100911140441895</v>
      </c>
      <c r="CR25">
        <v>20.105220610420854</v>
      </c>
      <c r="CS25">
        <v>1.7248261742375204</v>
      </c>
      <c r="CT25">
        <v>4.5402951191827468</v>
      </c>
      <c r="CU25" s="9">
        <v>0.11656374949961901</v>
      </c>
      <c r="CV25" s="10">
        <v>1.150227002799511</v>
      </c>
      <c r="CW25">
        <v>0.06</v>
      </c>
      <c r="CX25">
        <v>15.080861808072353</v>
      </c>
      <c r="CY25">
        <v>689952128.22853816</v>
      </c>
      <c r="CZ25">
        <v>0.11656374949961901</v>
      </c>
      <c r="DA25">
        <v>4.8189959155713842</v>
      </c>
      <c r="DB25">
        <v>2159178567.9623842</v>
      </c>
      <c r="DC25">
        <v>0.11073556202463805</v>
      </c>
      <c r="DD25">
        <v>2.3015019734278734</v>
      </c>
      <c r="DE25">
        <v>4520992299.8686857</v>
      </c>
      <c r="DF25">
        <v>0.10257609955966472</v>
      </c>
      <c r="DG25">
        <v>1.3351160927780779</v>
      </c>
      <c r="DH25">
        <v>7793384227.9957638</v>
      </c>
      <c r="DI25">
        <v>9.3250999599695211E-2</v>
      </c>
      <c r="DJ25">
        <v>0.63837412756146683</v>
      </c>
      <c r="DK25">
        <v>16299333338.815695</v>
      </c>
      <c r="DL25">
        <v>8.1594624649733299E-2</v>
      </c>
      <c r="DM25">
        <v>655000000</v>
      </c>
      <c r="DN25">
        <v>0.11656374949961901</v>
      </c>
      <c r="DO25">
        <v>10405072700</v>
      </c>
      <c r="DP25">
        <v>4719556400</v>
      </c>
      <c r="DQ25">
        <v>921</v>
      </c>
      <c r="DR25">
        <v>-0.25026022885236465</v>
      </c>
      <c r="DS25">
        <v>-1.190737802799511</v>
      </c>
      <c r="DT25" s="11">
        <v>-0.3066666666666667</v>
      </c>
      <c r="DU25">
        <v>0.73833333333333329</v>
      </c>
      <c r="DV25">
        <v>0.43166666666666659</v>
      </c>
      <c r="DW25">
        <v>-2.1172</v>
      </c>
      <c r="DX25">
        <v>0.35606978417266189</v>
      </c>
      <c r="DY25">
        <v>-2.0159473787050359</v>
      </c>
      <c r="DZ25">
        <v>813</v>
      </c>
      <c r="EA25">
        <v>-2.0134101538738824</v>
      </c>
      <c r="EB25">
        <v>2</v>
      </c>
      <c r="EC25">
        <v>3.0523646594958091E-2</v>
      </c>
      <c r="ED25">
        <v>0.22432347328651583</v>
      </c>
      <c r="EE25" s="12">
        <v>1.03871</v>
      </c>
      <c r="EF25">
        <v>1.0700099999999999</v>
      </c>
      <c r="EG25">
        <v>22.136069784172662</v>
      </c>
      <c r="EH25" t="s">
        <v>786</v>
      </c>
      <c r="EI25">
        <v>0</v>
      </c>
      <c r="EJ25">
        <v>1</v>
      </c>
      <c r="EK25" s="14">
        <v>45470</v>
      </c>
      <c r="EL25" s="15">
        <v>-0.52</v>
      </c>
      <c r="EM25" s="15">
        <v>-3.35</v>
      </c>
      <c r="EN25" s="15">
        <v>-0.54</v>
      </c>
      <c r="EO25" s="15">
        <v>1.0900000000000001</v>
      </c>
      <c r="EP25" s="15">
        <v>-3.13</v>
      </c>
    </row>
    <row r="26" spans="1:146" ht="96" x14ac:dyDescent="0.25">
      <c r="A26" s="7"/>
      <c r="B26" s="7"/>
      <c r="C26" s="7" t="str">
        <f>""&amp;CHAR(10)&amp;Basic_Fundamental_Information_Constructure(F26)&amp;CHAR(10)&amp;Basic_Fundamental_Information_Concatenate("")</f>
        <v xml:space="preserve">
市值49.559145亿, 利润2.27亿; PE29.56; 平均PE11.46; 平均PEG1.62, PB1.14; ROIC5.7833%; ROE4.64%; 股利率3.7736%; 毛利38.1033%; 净利1.59%; 上一年度营收增-.32%, 利润增89.17%; 当季营收增-1.3%, 利润增-28.28%; 过往5年营收增-7.07%, 利润增-8.59%
Income profile:
</v>
      </c>
      <c r="D26" t="s">
        <v>97</v>
      </c>
      <c r="E26" t="s">
        <v>33</v>
      </c>
      <c r="F26">
        <v>4.24</v>
      </c>
      <c r="G26">
        <v>0.47</v>
      </c>
      <c r="H26" t="s">
        <v>1763</v>
      </c>
      <c r="I26">
        <v>4955914500</v>
      </c>
      <c r="J26">
        <v>29.56</v>
      </c>
      <c r="K26">
        <v>1.1399999999999999</v>
      </c>
      <c r="L26" t="s">
        <v>57</v>
      </c>
      <c r="M26" t="s">
        <v>1764</v>
      </c>
      <c r="N26" t="s">
        <v>1765</v>
      </c>
      <c r="O26" t="s">
        <v>1766</v>
      </c>
      <c r="P26">
        <v>-1.3</v>
      </c>
      <c r="Q26" t="s">
        <v>1767</v>
      </c>
      <c r="R26">
        <v>149175960</v>
      </c>
      <c r="S26" s="5">
        <v>-0.28339999999999999</v>
      </c>
      <c r="T26" t="s">
        <v>1008</v>
      </c>
      <c r="U26">
        <v>1168648130</v>
      </c>
      <c r="V26">
        <v>1168847750</v>
      </c>
      <c r="W26">
        <v>6.39</v>
      </c>
      <c r="X26">
        <v>0.12</v>
      </c>
      <c r="Y26">
        <v>4.4800000000000004</v>
      </c>
      <c r="Z26" t="s">
        <v>1086</v>
      </c>
      <c r="AA26" t="s">
        <v>1768</v>
      </c>
      <c r="AB26" t="s">
        <v>424</v>
      </c>
      <c r="AC26" t="s">
        <v>1113</v>
      </c>
      <c r="AD26" t="s">
        <v>133</v>
      </c>
      <c r="AE26">
        <v>9978293</v>
      </c>
      <c r="AF26" t="s">
        <v>158</v>
      </c>
      <c r="AG26" t="s">
        <v>1769</v>
      </c>
      <c r="AH26" t="s">
        <v>1770</v>
      </c>
      <c r="AI26" t="s">
        <v>1771</v>
      </c>
      <c r="AJ26" t="s">
        <v>1772</v>
      </c>
      <c r="AK26" t="s">
        <v>133</v>
      </c>
      <c r="AL26" t="s">
        <v>1773</v>
      </c>
      <c r="AM26" t="s">
        <v>133</v>
      </c>
      <c r="AN26">
        <v>0</v>
      </c>
      <c r="AO26" t="s">
        <v>1117</v>
      </c>
      <c r="AP26" t="s">
        <v>133</v>
      </c>
      <c r="AQ26" t="s">
        <v>1774</v>
      </c>
      <c r="AR26" t="s">
        <v>178</v>
      </c>
      <c r="AS26" t="s">
        <v>1775</v>
      </c>
      <c r="AT26" t="s">
        <v>133</v>
      </c>
      <c r="AU26" t="s">
        <v>1776</v>
      </c>
      <c r="AV26" t="s">
        <v>1777</v>
      </c>
      <c r="AW26" t="s">
        <v>1681</v>
      </c>
      <c r="AX26" t="s">
        <v>945</v>
      </c>
      <c r="AY26" t="s">
        <v>673</v>
      </c>
      <c r="AZ26" t="s">
        <v>412</v>
      </c>
      <c r="BA26" t="s">
        <v>197</v>
      </c>
      <c r="BB26" t="s">
        <v>413</v>
      </c>
      <c r="BC26" t="s">
        <v>180</v>
      </c>
      <c r="BD26" t="s">
        <v>187</v>
      </c>
      <c r="BE26" t="s">
        <v>154</v>
      </c>
      <c r="BF26" t="s">
        <v>198</v>
      </c>
      <c r="BG26" t="s">
        <v>414</v>
      </c>
      <c r="BH26" t="s">
        <v>1767</v>
      </c>
      <c r="BI26" t="s">
        <v>1106</v>
      </c>
      <c r="BJ26" t="s">
        <v>945</v>
      </c>
      <c r="BK26" t="s">
        <v>1008</v>
      </c>
      <c r="BL26" t="s">
        <v>854</v>
      </c>
      <c r="BM26" t="s">
        <v>180</v>
      </c>
      <c r="BN26">
        <v>5.95</v>
      </c>
      <c r="BO26">
        <v>4.47</v>
      </c>
      <c r="BP26">
        <v>6.93</v>
      </c>
      <c r="BQ26">
        <v>5.45</v>
      </c>
      <c r="BR26">
        <v>2.97</v>
      </c>
      <c r="BS26">
        <v>5.5</v>
      </c>
      <c r="BT26" t="s">
        <v>1778</v>
      </c>
      <c r="BU26" t="s">
        <v>787</v>
      </c>
      <c r="BV26">
        <v>38.26</v>
      </c>
      <c r="BW26">
        <v>36.81</v>
      </c>
      <c r="BX26">
        <v>39.24</v>
      </c>
      <c r="BY26">
        <v>1.88</v>
      </c>
      <c r="BZ26">
        <v>0.99</v>
      </c>
      <c r="CA26">
        <v>1.9</v>
      </c>
      <c r="CB26">
        <v>1.44</v>
      </c>
      <c r="CC26">
        <v>-12.03</v>
      </c>
      <c r="CD26" t="s">
        <v>1779</v>
      </c>
      <c r="CE26" t="s">
        <v>202</v>
      </c>
      <c r="CF26" s="9">
        <v>-1.3002364066193992E-2</v>
      </c>
      <c r="CG26" s="10">
        <v>-0.28280788461538464</v>
      </c>
      <c r="CH26" s="9">
        <v>-3.216500161215663E-3</v>
      </c>
      <c r="CI26" s="9">
        <v>-1.1656388640403748E-2</v>
      </c>
      <c r="CJ26" s="9">
        <v>3.9660993963479996E-2</v>
      </c>
      <c r="CK26" s="9">
        <v>-0.39153298735618591</v>
      </c>
      <c r="CL26" s="9">
        <v>1.3324198313057423E-2</v>
      </c>
      <c r="CM26" s="10">
        <v>0.89166665077209473</v>
      </c>
      <c r="CN26" s="10">
        <v>-0.48275861144065857</v>
      </c>
      <c r="CO26" s="10">
        <v>-8.3003953099250793E-2</v>
      </c>
      <c r="CP26" s="10">
        <v>-0.7054714560508728</v>
      </c>
      <c r="CQ26" s="10">
        <v>-4.9778759479522705E-2</v>
      </c>
      <c r="CR26">
        <v>11.458761849710983</v>
      </c>
      <c r="CS26">
        <v>1.6211221318275428</v>
      </c>
      <c r="CT26">
        <v>3.7735849056603774</v>
      </c>
      <c r="CU26" s="9">
        <v>-7.0684136776253584E-2</v>
      </c>
      <c r="CV26" s="10">
        <v>-8.5869225859642032E-2</v>
      </c>
      <c r="CW26">
        <v>0.06</v>
      </c>
      <c r="CX26">
        <v>109.54587885462556</v>
      </c>
      <c r="CY26" t="s">
        <v>1780</v>
      </c>
      <c r="CZ26">
        <v>-7.0684136776253584E-2</v>
      </c>
      <c r="DA26">
        <v>36.515292951541852</v>
      </c>
      <c r="DB26" t="s">
        <v>1781</v>
      </c>
      <c r="DC26">
        <v>-6.71499299374409E-2</v>
      </c>
      <c r="DD26">
        <v>18.257646475770926</v>
      </c>
      <c r="DE26" t="s">
        <v>1782</v>
      </c>
      <c r="DF26">
        <v>-6.2202040363103152E-2</v>
      </c>
      <c r="DG26">
        <v>10.954587885462555</v>
      </c>
      <c r="DH26" t="s">
        <v>1783</v>
      </c>
      <c r="DI26">
        <v>-5.6547309421002868E-2</v>
      </c>
      <c r="DJ26">
        <v>5.4772939427312775</v>
      </c>
      <c r="DK26" t="s">
        <v>1784</v>
      </c>
      <c r="DL26">
        <v>-4.9478895743377507E-2</v>
      </c>
      <c r="DM26">
        <v>227000000</v>
      </c>
      <c r="DN26">
        <v>-7.0684136776253584E-2</v>
      </c>
      <c r="DO26">
        <v>24866914500</v>
      </c>
      <c r="DP26">
        <v>-2322049400</v>
      </c>
      <c r="DQ26">
        <v>923</v>
      </c>
      <c r="DR26">
        <v>5.7681772710059594E-2</v>
      </c>
      <c r="DS26">
        <v>-0.19693865875574262</v>
      </c>
      <c r="DT26" s="11">
        <v>-0.55666666666666664</v>
      </c>
      <c r="DU26">
        <v>-0.26999999999999996</v>
      </c>
      <c r="DV26">
        <v>-0.82666666666666666</v>
      </c>
      <c r="DW26">
        <v>-2.1202999999999999</v>
      </c>
      <c r="DX26">
        <v>0.33381188118811911</v>
      </c>
      <c r="DY26">
        <v>-2.0281275693069305</v>
      </c>
      <c r="DZ26">
        <v>3377</v>
      </c>
      <c r="EA26">
        <v>-2.0095391541309024</v>
      </c>
      <c r="EB26">
        <v>2</v>
      </c>
      <c r="EC26">
        <v>4.0407315666219148E-2</v>
      </c>
      <c r="ED26">
        <v>0.17281977058175454</v>
      </c>
      <c r="EE26" s="12">
        <v>2.1185100000000001</v>
      </c>
      <c r="EF26">
        <v>2.1280100000000002</v>
      </c>
      <c r="EG26">
        <v>10.233811881188119</v>
      </c>
      <c r="EH26" t="s">
        <v>790</v>
      </c>
      <c r="EI26">
        <v>0</v>
      </c>
      <c r="EJ26">
        <v>0</v>
      </c>
      <c r="EK26" s="14">
        <v>45470</v>
      </c>
      <c r="EL26" s="15">
        <v>-0.93</v>
      </c>
      <c r="EM26" s="15">
        <v>-3.74</v>
      </c>
      <c r="EN26" s="15">
        <v>0.73</v>
      </c>
      <c r="EO26" s="15">
        <v>1.93</v>
      </c>
      <c r="EP26" s="15">
        <v>-0.95</v>
      </c>
    </row>
    <row r="27" spans="1:146" ht="96" x14ac:dyDescent="0.25">
      <c r="A27" s="7"/>
      <c r="B27" s="7"/>
      <c r="C27" s="7" t="str">
        <f>""&amp;CHAR(10)&amp;Basic_Fundamental_Information_Constructure(F27)&amp;CHAR(10)&amp;Basic_Fundamental_Information_Concatenate("")</f>
        <v xml:space="preserve">
市值31.722717亿, 利润7522.74万; PE47.9; 平均PE26.36; 平均PEG1.63, PB1.4; ROIC2.5533%; ROE2.5167%; 股利率1.5727%; 毛利55.8567%; 净利13.62%; 上一年度营收增12.68%, 利润增207.38%; 当季营收增-11.18%, 利润增-45.08%; 过往5年营收增-16.15%, 利润增19.07%
Income profile:
</v>
      </c>
      <c r="D27" t="s">
        <v>94</v>
      </c>
      <c r="E27" t="s">
        <v>38</v>
      </c>
      <c r="F27">
        <v>7.63</v>
      </c>
      <c r="G27">
        <v>-0.39</v>
      </c>
      <c r="H27" t="s">
        <v>1785</v>
      </c>
      <c r="I27">
        <v>3172271700</v>
      </c>
      <c r="J27">
        <v>47.9</v>
      </c>
      <c r="K27">
        <v>1.4</v>
      </c>
      <c r="L27" t="s">
        <v>57</v>
      </c>
      <c r="M27" t="s">
        <v>1159</v>
      </c>
      <c r="N27" t="s">
        <v>1786</v>
      </c>
      <c r="O27" t="s">
        <v>1787</v>
      </c>
      <c r="P27">
        <v>-11.14</v>
      </c>
      <c r="Q27" t="s">
        <v>925</v>
      </c>
      <c r="R27">
        <v>10968697</v>
      </c>
      <c r="S27" s="5">
        <v>-0.45079999999999998</v>
      </c>
      <c r="T27" t="s">
        <v>1788</v>
      </c>
      <c r="U27">
        <v>414439570</v>
      </c>
      <c r="V27">
        <v>415763000</v>
      </c>
      <c r="W27">
        <v>1.19</v>
      </c>
      <c r="X27">
        <v>0.05</v>
      </c>
      <c r="Y27">
        <v>9.8000000000000007</v>
      </c>
      <c r="Z27" t="s">
        <v>855</v>
      </c>
      <c r="AA27" t="s">
        <v>1789</v>
      </c>
      <c r="AB27" t="s">
        <v>1790</v>
      </c>
      <c r="AC27" t="s">
        <v>1791</v>
      </c>
      <c r="AD27" t="s">
        <v>133</v>
      </c>
      <c r="AE27">
        <v>-3399292</v>
      </c>
      <c r="AF27" t="s">
        <v>1792</v>
      </c>
      <c r="AG27" t="s">
        <v>1793</v>
      </c>
      <c r="AH27" t="s">
        <v>1794</v>
      </c>
      <c r="AI27" t="s">
        <v>453</v>
      </c>
      <c r="AJ27" t="s">
        <v>1795</v>
      </c>
      <c r="AK27" t="s">
        <v>133</v>
      </c>
      <c r="AL27" t="s">
        <v>1796</v>
      </c>
      <c r="AM27" t="s">
        <v>133</v>
      </c>
      <c r="AN27" t="s">
        <v>1797</v>
      </c>
      <c r="AO27" t="s">
        <v>133</v>
      </c>
      <c r="AP27" t="s">
        <v>133</v>
      </c>
      <c r="AQ27" t="s">
        <v>657</v>
      </c>
      <c r="AR27" t="s">
        <v>1798</v>
      </c>
      <c r="AS27" t="s">
        <v>1186</v>
      </c>
      <c r="AT27" t="s">
        <v>133</v>
      </c>
      <c r="AU27" t="s">
        <v>1799</v>
      </c>
      <c r="AV27" t="s">
        <v>1800</v>
      </c>
      <c r="AW27" t="s">
        <v>1801</v>
      </c>
      <c r="AX27" t="s">
        <v>291</v>
      </c>
      <c r="AY27" t="s">
        <v>674</v>
      </c>
      <c r="AZ27" t="s">
        <v>416</v>
      </c>
      <c r="BA27" t="s">
        <v>200</v>
      </c>
      <c r="BB27" t="s">
        <v>418</v>
      </c>
      <c r="BC27" t="s">
        <v>946</v>
      </c>
      <c r="BD27" t="s">
        <v>214</v>
      </c>
      <c r="BE27" t="s">
        <v>417</v>
      </c>
      <c r="BF27" t="s">
        <v>201</v>
      </c>
      <c r="BG27" t="s">
        <v>300</v>
      </c>
      <c r="BH27" t="s">
        <v>925</v>
      </c>
      <c r="BI27" t="s">
        <v>232</v>
      </c>
      <c r="BJ27" t="s">
        <v>291</v>
      </c>
      <c r="BK27" t="s">
        <v>1788</v>
      </c>
      <c r="BL27" t="s">
        <v>1110</v>
      </c>
      <c r="BM27" t="s">
        <v>946</v>
      </c>
      <c r="BN27">
        <v>1.86</v>
      </c>
      <c r="BO27">
        <v>1.1200000000000001</v>
      </c>
      <c r="BP27">
        <v>4.68</v>
      </c>
      <c r="BQ27">
        <v>1.85</v>
      </c>
      <c r="BR27">
        <v>1.0900000000000001</v>
      </c>
      <c r="BS27">
        <v>4.6100000000000003</v>
      </c>
      <c r="BT27" t="s">
        <v>947</v>
      </c>
      <c r="BU27" t="s">
        <v>787</v>
      </c>
      <c r="BV27">
        <v>57.97</v>
      </c>
      <c r="BW27">
        <v>50.98</v>
      </c>
      <c r="BX27">
        <v>58.62</v>
      </c>
      <c r="BY27">
        <v>15.91</v>
      </c>
      <c r="BZ27">
        <v>6.53</v>
      </c>
      <c r="CA27">
        <v>18.420000000000002</v>
      </c>
      <c r="CB27">
        <v>9.6300000000000008</v>
      </c>
      <c r="CC27">
        <v>-6.72</v>
      </c>
      <c r="CD27" t="s">
        <v>1802</v>
      </c>
      <c r="CE27" t="s">
        <v>894</v>
      </c>
      <c r="CF27" s="9">
        <v>-0.1118421052631579</v>
      </c>
      <c r="CG27" s="10">
        <v>-0.45078801504128341</v>
      </c>
      <c r="CH27" s="9">
        <v>0.12681913375854492</v>
      </c>
      <c r="CI27" s="9">
        <v>-0.22294022142887115</v>
      </c>
      <c r="CJ27" s="9">
        <v>5.0933785736560822E-2</v>
      </c>
      <c r="CK27" s="9">
        <v>-0.694660484790802</v>
      </c>
      <c r="CL27" s="9">
        <v>-6.7665599286556244E-2</v>
      </c>
      <c r="CM27" s="10">
        <v>2.0737555027008057</v>
      </c>
      <c r="CN27" s="10">
        <v>-0.76238739490509033</v>
      </c>
      <c r="CO27" s="10">
        <v>0.36613833904266357</v>
      </c>
      <c r="CP27" s="10">
        <v>-0.64603281021118164</v>
      </c>
      <c r="CQ27" s="10">
        <v>-7.7922075986862183E-2</v>
      </c>
      <c r="CR27">
        <v>26.358845666749527</v>
      </c>
      <c r="CS27">
        <v>1.6320996111875246</v>
      </c>
      <c r="CT27">
        <v>1.5727391874180865</v>
      </c>
      <c r="CU27" s="9">
        <v>-0.16150267720222472</v>
      </c>
      <c r="CV27" s="10">
        <v>0.19071031212806702</v>
      </c>
      <c r="CW27">
        <v>0.06</v>
      </c>
      <c r="CX27">
        <v>17.709926170517658</v>
      </c>
      <c r="CY27" t="s">
        <v>1803</v>
      </c>
      <c r="CZ27">
        <v>-0.16150267720222472</v>
      </c>
      <c r="DA27">
        <v>5.9033087235058854</v>
      </c>
      <c r="DB27" t="s">
        <v>1804</v>
      </c>
      <c r="DC27">
        <v>-0.15342754334211348</v>
      </c>
      <c r="DD27">
        <v>2.9516543617529427</v>
      </c>
      <c r="DE27" t="s">
        <v>1805</v>
      </c>
      <c r="DF27">
        <v>-0.14212235593795775</v>
      </c>
      <c r="DG27">
        <v>1.7709926170517658</v>
      </c>
      <c r="DH27" t="s">
        <v>1806</v>
      </c>
      <c r="DI27">
        <v>-0.12920214176177977</v>
      </c>
      <c r="DJ27">
        <v>0.8854963085258829</v>
      </c>
      <c r="DK27" t="s">
        <v>1807</v>
      </c>
      <c r="DL27">
        <v>-0.1130518740415573</v>
      </c>
      <c r="DM27">
        <v>75227400</v>
      </c>
      <c r="DN27">
        <v>-0.16150267720222472</v>
      </c>
      <c r="DO27">
        <v>1332271700</v>
      </c>
      <c r="DP27">
        <v>1565280400</v>
      </c>
      <c r="DQ27">
        <v>1054</v>
      </c>
      <c r="DR27">
        <v>4.9660571939066825E-2</v>
      </c>
      <c r="DS27">
        <v>-0.6414983271693504</v>
      </c>
      <c r="DT27" s="11">
        <v>-0.82333333333333325</v>
      </c>
      <c r="DU27">
        <v>-0.32</v>
      </c>
      <c r="DV27">
        <v>-1.1433333333333333</v>
      </c>
      <c r="DW27">
        <v>5.6978193146417446</v>
      </c>
      <c r="DX27">
        <v>0.64468167539266918</v>
      </c>
      <c r="DY27">
        <v>5.2475037236384985</v>
      </c>
      <c r="DZ27">
        <v>3702</v>
      </c>
      <c r="EA27">
        <v>5.0681967207207448</v>
      </c>
      <c r="EB27">
        <v>5</v>
      </c>
      <c r="EC27">
        <v>0.16293946310758772</v>
      </c>
      <c r="ED27">
        <v>0.45939633877954505</v>
      </c>
      <c r="EE27" s="12">
        <v>1.0799000000000001</v>
      </c>
      <c r="EF27">
        <v>1.0643</v>
      </c>
      <c r="EG27">
        <v>29.354681675392669</v>
      </c>
      <c r="EH27" t="s">
        <v>735</v>
      </c>
      <c r="EI27">
        <v>1</v>
      </c>
      <c r="EJ27">
        <v>0</v>
      </c>
      <c r="EK27" s="14">
        <v>45470</v>
      </c>
      <c r="EL27" s="15">
        <v>-1.27</v>
      </c>
      <c r="EM27" s="15">
        <v>-3</v>
      </c>
      <c r="EN27" s="15">
        <v>1.47</v>
      </c>
      <c r="EO27" s="15">
        <v>2.3199999999999998</v>
      </c>
      <c r="EP27" s="15">
        <v>-1.56</v>
      </c>
    </row>
    <row r="28" spans="1:146" ht="144" x14ac:dyDescent="0.25">
      <c r="A28" s="7" t="s">
        <v>637</v>
      </c>
      <c r="B28" s="7" t="s">
        <v>306</v>
      </c>
      <c r="C28" s="7" t="str">
        <f>"公司的主营业务为便利超市的连锁经营；公司的主要产品为日用百货、烟酒、食品；为中国A股市场首家便利连锁超市上市企业。"&amp;CHAR(10)&amp;Basic_Fundamental_Information_Constructure(F28)&amp;CHAR(10)&amp;Basic_Fundamental_Information_Concatenate("食品 44.47亿 47.55% 利润占比54.52% 25.74%
烟酒 28.94亿 30.95% 利润占比28.45% 20.64%
日用百货 13.36亿 14.28% 利润占比17.03% 26.76%
其他业务收入 6.75亿 7.22%")</f>
        <v>公司的主营业务为便利超市的连锁经营；公司的主要产品为日用百货、烟酒、食品；为中国A股市场首家便利连锁超市上市企业。
市值63.648亿, 利润5.61亿; PE10.91; 平均PE13.3; 平均PEG1.87, PB1.49; ROIC11.2867%; ROE11.92%; 股利率2.6496%; 毛利29.4533%; 净利5.1767%; 上一年度营收增1.13%, 利润增15.43%; 当季营收增4.54%, 利润增15.87%; 过往5年营收增7.13%, 利润增13.87%
Income profile:
食品 44.47亿 47.55% 利润占比54.52% 25.74%
烟酒 28.94亿 30.95% 利润占比28.45% 20.64%
日用百货 13.36亿 14.28% 利润占比17.03% 26.76%
其他业务收入 6.75亿 7.22%</v>
      </c>
      <c r="D28" t="s">
        <v>83</v>
      </c>
      <c r="E28" t="s">
        <v>26</v>
      </c>
      <c r="F28">
        <v>4.68</v>
      </c>
      <c r="G28">
        <v>1.74</v>
      </c>
      <c r="H28" t="s">
        <v>1808</v>
      </c>
      <c r="I28">
        <v>6364800000</v>
      </c>
      <c r="J28">
        <v>10.91</v>
      </c>
      <c r="K28">
        <v>1.49</v>
      </c>
      <c r="L28" t="s">
        <v>57</v>
      </c>
      <c r="M28" t="s">
        <v>1809</v>
      </c>
      <c r="N28" t="s">
        <v>1810</v>
      </c>
      <c r="O28" t="s">
        <v>1811</v>
      </c>
      <c r="P28">
        <v>4.55</v>
      </c>
      <c r="Q28" t="s">
        <v>1812</v>
      </c>
      <c r="R28">
        <v>163376970</v>
      </c>
      <c r="S28" s="5">
        <v>0.1595</v>
      </c>
      <c r="T28" t="s">
        <v>1099</v>
      </c>
      <c r="U28">
        <v>1077730000</v>
      </c>
      <c r="V28">
        <v>1360000000</v>
      </c>
      <c r="W28">
        <v>1.88</v>
      </c>
      <c r="X28">
        <v>0.33</v>
      </c>
      <c r="Y28">
        <v>6.12</v>
      </c>
      <c r="Z28" t="s">
        <v>1813</v>
      </c>
      <c r="AA28" t="s">
        <v>1814</v>
      </c>
      <c r="AB28" t="s">
        <v>1815</v>
      </c>
      <c r="AC28" t="s">
        <v>1816</v>
      </c>
      <c r="AD28" t="s">
        <v>133</v>
      </c>
      <c r="AE28">
        <v>25826401</v>
      </c>
      <c r="AF28" t="s">
        <v>1817</v>
      </c>
      <c r="AG28" t="s">
        <v>1818</v>
      </c>
      <c r="AH28" t="s">
        <v>1819</v>
      </c>
      <c r="AI28" t="s">
        <v>1820</v>
      </c>
      <c r="AJ28" t="s">
        <v>1821</v>
      </c>
      <c r="AK28" t="s">
        <v>133</v>
      </c>
      <c r="AL28" t="s">
        <v>1822</v>
      </c>
      <c r="AM28" t="s">
        <v>133</v>
      </c>
      <c r="AN28">
        <v>0</v>
      </c>
      <c r="AO28" t="s">
        <v>133</v>
      </c>
      <c r="AP28" t="s">
        <v>133</v>
      </c>
      <c r="AQ28" t="s">
        <v>1823</v>
      </c>
      <c r="AR28" t="s">
        <v>133</v>
      </c>
      <c r="AS28" t="s">
        <v>1824</v>
      </c>
      <c r="AT28" t="s">
        <v>133</v>
      </c>
      <c r="AU28" t="s">
        <v>1825</v>
      </c>
      <c r="AV28" t="s">
        <v>1826</v>
      </c>
      <c r="AW28" t="s">
        <v>1827</v>
      </c>
      <c r="AX28" t="s">
        <v>948</v>
      </c>
      <c r="AY28" t="s">
        <v>675</v>
      </c>
      <c r="AZ28" t="s">
        <v>421</v>
      </c>
      <c r="BA28" t="s">
        <v>203</v>
      </c>
      <c r="BB28" t="s">
        <v>425</v>
      </c>
      <c r="BC28" t="s">
        <v>859</v>
      </c>
      <c r="BD28" t="s">
        <v>291</v>
      </c>
      <c r="BE28" t="s">
        <v>422</v>
      </c>
      <c r="BF28" t="s">
        <v>204</v>
      </c>
      <c r="BG28" t="s">
        <v>426</v>
      </c>
      <c r="BH28" t="s">
        <v>1812</v>
      </c>
      <c r="BI28" t="s">
        <v>1112</v>
      </c>
      <c r="BJ28" t="s">
        <v>948</v>
      </c>
      <c r="BK28" t="s">
        <v>1099</v>
      </c>
      <c r="BL28" t="s">
        <v>347</v>
      </c>
      <c r="BM28" t="s">
        <v>859</v>
      </c>
      <c r="BN28">
        <v>9.67</v>
      </c>
      <c r="BO28">
        <v>11.55</v>
      </c>
      <c r="BP28">
        <v>12.64</v>
      </c>
      <c r="BQ28">
        <v>9.9600000000000009</v>
      </c>
      <c r="BR28">
        <v>12.4</v>
      </c>
      <c r="BS28">
        <v>13.4</v>
      </c>
      <c r="BT28" t="s">
        <v>1828</v>
      </c>
      <c r="BU28" t="s">
        <v>787</v>
      </c>
      <c r="BV28">
        <v>29.63</v>
      </c>
      <c r="BW28">
        <v>29.06</v>
      </c>
      <c r="BX28">
        <v>29.67</v>
      </c>
      <c r="BY28">
        <v>5.54</v>
      </c>
      <c r="BZ28">
        <v>4.8499999999999996</v>
      </c>
      <c r="CA28">
        <v>5.14</v>
      </c>
      <c r="CB28">
        <v>1.08</v>
      </c>
      <c r="CC28">
        <v>-7.51</v>
      </c>
      <c r="CD28" t="s">
        <v>1829</v>
      </c>
      <c r="CE28" t="s">
        <v>472</v>
      </c>
      <c r="CF28" s="9">
        <v>4.5401174168297455E-2</v>
      </c>
      <c r="CG28" s="10">
        <v>0.15870191489361701</v>
      </c>
      <c r="CH28" s="9">
        <v>1.1277490295469761E-2</v>
      </c>
      <c r="CI28" s="9">
        <v>7.1543112397193909E-2</v>
      </c>
      <c r="CJ28" s="9">
        <v>3.2917309552431107E-2</v>
      </c>
      <c r="CK28" s="9">
        <v>0.15722863376140594</v>
      </c>
      <c r="CL28" s="9">
        <v>8.3518050611019135E-2</v>
      </c>
      <c r="CM28" s="10">
        <v>0.15432098507881165</v>
      </c>
      <c r="CN28" s="10">
        <v>1.0395010001957417E-2</v>
      </c>
      <c r="CO28" s="10">
        <v>-4.7524753957986832E-2</v>
      </c>
      <c r="CP28" s="10">
        <v>-2.1317830309271812E-2</v>
      </c>
      <c r="CQ28" s="10">
        <v>0.59752321243286133</v>
      </c>
      <c r="CR28">
        <v>13.296935933147632</v>
      </c>
      <c r="CS28">
        <v>1.8650084827387656</v>
      </c>
      <c r="CT28">
        <v>2.6495726495726499</v>
      </c>
      <c r="CU28" s="9">
        <v>7.1296919323503974E-2</v>
      </c>
      <c r="CV28" s="10">
        <v>0.13867932464927435</v>
      </c>
      <c r="CW28">
        <v>0.06</v>
      </c>
      <c r="CX28">
        <v>10.739025086755142</v>
      </c>
      <c r="CY28">
        <v>566978841.26460922</v>
      </c>
      <c r="CZ28">
        <v>7.1296919323503974E-2</v>
      </c>
      <c r="DA28">
        <v>3.5655546671587799</v>
      </c>
      <c r="DB28">
        <v>1707672597.5013232</v>
      </c>
      <c r="DC28">
        <v>6.7732073357328768E-2</v>
      </c>
      <c r="DD28">
        <v>1.7926168003629102</v>
      </c>
      <c r="DE28">
        <v>3396598759.2927499</v>
      </c>
      <c r="DF28">
        <v>6.2741289004683495E-2</v>
      </c>
      <c r="DG28">
        <v>1.1021477618762052</v>
      </c>
      <c r="DH28">
        <v>5524486108.5004883</v>
      </c>
      <c r="DI28">
        <v>5.7037535458803183E-2</v>
      </c>
      <c r="DJ28">
        <v>0.59910434888329134</v>
      </c>
      <c r="DK28">
        <v>10163171092.563927</v>
      </c>
      <c r="DL28">
        <v>4.9907843526452778E-2</v>
      </c>
      <c r="DM28">
        <v>561000000</v>
      </c>
      <c r="DN28">
        <v>7.1296919323503974E-2</v>
      </c>
      <c r="DO28">
        <v>6088800000</v>
      </c>
      <c r="DP28">
        <v>1257292400</v>
      </c>
      <c r="DQ28">
        <v>1185</v>
      </c>
      <c r="DR28">
        <v>-2.5895745155206519E-2</v>
      </c>
      <c r="DS28">
        <v>2.0022590244342664E-2</v>
      </c>
      <c r="DT28" s="11">
        <v>-0.32333333333333336</v>
      </c>
      <c r="DU28">
        <v>0.48666666666666664</v>
      </c>
      <c r="DV28">
        <v>0.16333333333333327</v>
      </c>
      <c r="DW28">
        <v>-2.0750999999999999</v>
      </c>
      <c r="DX28">
        <v>0.3928241777777795</v>
      </c>
      <c r="DY28">
        <v>-2.0159830957511109</v>
      </c>
      <c r="DZ28">
        <v>1333</v>
      </c>
      <c r="EA28">
        <v>-2.0118137285033164</v>
      </c>
      <c r="EB28">
        <v>2</v>
      </c>
      <c r="EC28">
        <v>5.6335808823529412E-2</v>
      </c>
      <c r="ED28">
        <v>0.26470588235294118</v>
      </c>
      <c r="EE28" s="12">
        <v>2.8209999999999999E-2</v>
      </c>
      <c r="EF28">
        <v>4.5110000000000004E-2</v>
      </c>
      <c r="EG28">
        <v>18.21282417777778</v>
      </c>
      <c r="EH28">
        <v>-1</v>
      </c>
      <c r="EI28">
        <v>0</v>
      </c>
      <c r="EJ28">
        <v>1</v>
      </c>
      <c r="EK28" s="14">
        <v>45470</v>
      </c>
      <c r="EL28" s="15">
        <v>0.21</v>
      </c>
      <c r="EM28" s="15">
        <v>-2.3199999999999998</v>
      </c>
      <c r="EN28" s="15">
        <v>1.73</v>
      </c>
      <c r="EO28" s="15">
        <v>0.42</v>
      </c>
      <c r="EP28" s="15">
        <v>-1.69</v>
      </c>
    </row>
    <row r="29" spans="1:146" ht="96" x14ac:dyDescent="0.25">
      <c r="A29" s="7"/>
      <c r="B29" s="7"/>
      <c r="C29" s="7" t="str">
        <f>""&amp;CHAR(10)&amp;Basic_Fundamental_Information_Constructure(F29)&amp;CHAR(10)&amp;Basic_Fundamental_Information_Concatenate("")</f>
        <v xml:space="preserve">
市值90.713224亿, 利润8.06亿; PE11.79; 平均PE11.3; 平均PEG5.16, PB1.48; ROIC13.02%; ROE13.1867%; 股利率5.6106%; 毛利69.7367%; 净利56.45%; 上一年度营收增2.76%, 利润增2.94%; 当季营收增-2.56%, 利润增-16.38%; 过往5年营收增2.19%, 利润增2.49%
Income profile:
</v>
      </c>
      <c r="D29" t="s">
        <v>98</v>
      </c>
      <c r="E29" t="s">
        <v>43</v>
      </c>
      <c r="F29">
        <v>12.12</v>
      </c>
      <c r="G29">
        <v>2.2799999999999998</v>
      </c>
      <c r="H29" t="s">
        <v>1830</v>
      </c>
      <c r="I29">
        <v>9071322400</v>
      </c>
      <c r="J29">
        <v>11.79</v>
      </c>
      <c r="K29">
        <v>1.48</v>
      </c>
      <c r="L29" t="s">
        <v>57</v>
      </c>
      <c r="M29" t="s">
        <v>458</v>
      </c>
      <c r="N29" t="s">
        <v>895</v>
      </c>
      <c r="O29" t="s">
        <v>648</v>
      </c>
      <c r="P29">
        <v>-2.46</v>
      </c>
      <c r="Q29" t="s">
        <v>1831</v>
      </c>
      <c r="R29">
        <v>187306460</v>
      </c>
      <c r="S29" s="5">
        <v>-0.1651</v>
      </c>
      <c r="T29" t="s">
        <v>1832</v>
      </c>
      <c r="U29">
        <v>298257190</v>
      </c>
      <c r="V29">
        <v>748458940</v>
      </c>
      <c r="W29">
        <v>1.18</v>
      </c>
      <c r="X29">
        <v>0.05</v>
      </c>
      <c r="Y29">
        <v>50.91</v>
      </c>
      <c r="Z29" t="s">
        <v>140</v>
      </c>
      <c r="AA29" t="s">
        <v>855</v>
      </c>
      <c r="AB29" t="s">
        <v>1833</v>
      </c>
      <c r="AC29" t="s">
        <v>1834</v>
      </c>
      <c r="AD29" t="s">
        <v>133</v>
      </c>
      <c r="AE29">
        <v>-107906</v>
      </c>
      <c r="AF29" t="s">
        <v>1835</v>
      </c>
      <c r="AG29" t="s">
        <v>1836</v>
      </c>
      <c r="AH29" t="s">
        <v>1837</v>
      </c>
      <c r="AI29" t="s">
        <v>180</v>
      </c>
      <c r="AJ29" t="s">
        <v>1838</v>
      </c>
      <c r="AK29" t="s">
        <v>1839</v>
      </c>
      <c r="AL29" t="s">
        <v>1840</v>
      </c>
      <c r="AM29" t="s">
        <v>133</v>
      </c>
      <c r="AN29">
        <v>0</v>
      </c>
      <c r="AO29" t="s">
        <v>1841</v>
      </c>
      <c r="AP29" t="s">
        <v>1842</v>
      </c>
      <c r="AQ29" t="s">
        <v>655</v>
      </c>
      <c r="AR29" t="s">
        <v>155</v>
      </c>
      <c r="AS29" t="s">
        <v>1843</v>
      </c>
      <c r="AT29" t="s">
        <v>133</v>
      </c>
      <c r="AU29" t="s">
        <v>655</v>
      </c>
      <c r="AV29" t="s">
        <v>1844</v>
      </c>
      <c r="AW29" t="s">
        <v>1845</v>
      </c>
      <c r="AX29" t="s">
        <v>949</v>
      </c>
      <c r="AY29" t="s">
        <v>676</v>
      </c>
      <c r="AZ29" t="s">
        <v>427</v>
      </c>
      <c r="BA29" t="s">
        <v>206</v>
      </c>
      <c r="BB29" t="s">
        <v>429</v>
      </c>
      <c r="BC29" t="s">
        <v>950</v>
      </c>
      <c r="BD29" t="s">
        <v>274</v>
      </c>
      <c r="BE29" t="s">
        <v>428</v>
      </c>
      <c r="BF29" t="s">
        <v>207</v>
      </c>
      <c r="BG29" t="s">
        <v>430</v>
      </c>
      <c r="BH29" t="s">
        <v>1831</v>
      </c>
      <c r="BI29" t="s">
        <v>1117</v>
      </c>
      <c r="BJ29" t="s">
        <v>949</v>
      </c>
      <c r="BK29" t="s">
        <v>1832</v>
      </c>
      <c r="BL29" t="s">
        <v>222</v>
      </c>
      <c r="BM29" t="s">
        <v>950</v>
      </c>
      <c r="BN29">
        <v>10.5</v>
      </c>
      <c r="BO29">
        <v>12.97</v>
      </c>
      <c r="BP29">
        <v>15.59</v>
      </c>
      <c r="BQ29">
        <v>10.32</v>
      </c>
      <c r="BR29">
        <v>13.24</v>
      </c>
      <c r="BS29">
        <v>16</v>
      </c>
      <c r="BT29" t="s">
        <v>1846</v>
      </c>
      <c r="BU29" t="s">
        <v>782</v>
      </c>
      <c r="BV29">
        <v>70.180000000000007</v>
      </c>
      <c r="BW29">
        <v>68.97</v>
      </c>
      <c r="BX29">
        <v>70.06</v>
      </c>
      <c r="BY29">
        <v>54.2</v>
      </c>
      <c r="BZ29">
        <v>54.25</v>
      </c>
      <c r="CA29">
        <v>60.9</v>
      </c>
      <c r="CB29">
        <v>-1.1399999999999999</v>
      </c>
      <c r="CC29">
        <v>-10.82</v>
      </c>
      <c r="CD29" t="s">
        <v>1847</v>
      </c>
      <c r="CE29" t="s">
        <v>1848</v>
      </c>
      <c r="CF29" s="9">
        <v>-2.564102564102564E-2</v>
      </c>
      <c r="CG29" s="10">
        <v>-0.16381044642857154</v>
      </c>
      <c r="CH29" s="9">
        <v>2.7646617963910103E-2</v>
      </c>
      <c r="CI29" s="9">
        <v>-3.5133294761180878E-2</v>
      </c>
      <c r="CJ29" s="9">
        <v>0.15737946331501007</v>
      </c>
      <c r="CK29" s="9">
        <v>-0.17974060773849487</v>
      </c>
      <c r="CL29" s="9">
        <v>0.13933859765529633</v>
      </c>
      <c r="CM29" s="10">
        <v>2.9374202713370323E-2</v>
      </c>
      <c r="CN29" s="10">
        <v>-0.14705882966518402</v>
      </c>
      <c r="CO29" s="10">
        <v>0.18758085370063782</v>
      </c>
      <c r="CP29" s="10">
        <v>-3.4956306219100952E-2</v>
      </c>
      <c r="CQ29" s="10">
        <v>8.9795917272567749E-2</v>
      </c>
      <c r="CR29">
        <v>11.301481395348837</v>
      </c>
      <c r="CS29">
        <v>5.1609285107706979</v>
      </c>
      <c r="CT29">
        <v>5.6105610561056105</v>
      </c>
      <c r="CU29" s="9">
        <v>2.1898155286908149E-2</v>
      </c>
      <c r="CV29" s="10">
        <v>2.4947167560458183E-2</v>
      </c>
      <c r="CW29">
        <v>0.06</v>
      </c>
      <c r="CX29">
        <v>4.7055207340758187</v>
      </c>
      <c r="CY29">
        <v>777028219.96344149</v>
      </c>
      <c r="CZ29">
        <v>2.1898155286908149E-2</v>
      </c>
      <c r="DA29">
        <v>1.62971000119922</v>
      </c>
      <c r="DB29">
        <v>2243541732.7680998</v>
      </c>
      <c r="DC29">
        <v>2.080324752256274E-2</v>
      </c>
      <c r="DD29">
        <v>0.86525465961711501</v>
      </c>
      <c r="DE29">
        <v>4225718243.0175691</v>
      </c>
      <c r="DF29">
        <v>1.927037665247917E-2</v>
      </c>
      <c r="DG29">
        <v>0.56417786400621683</v>
      </c>
      <c r="DH29">
        <v>6480797339.400239</v>
      </c>
      <c r="DI29">
        <v>1.751852422952652E-2</v>
      </c>
      <c r="DJ29">
        <v>0.34571469574372471</v>
      </c>
      <c r="DK29">
        <v>10576126629.891371</v>
      </c>
      <c r="DL29">
        <v>1.5328708700835704E-2</v>
      </c>
      <c r="DM29">
        <v>806000000</v>
      </c>
      <c r="DN29">
        <v>2.1898155286908149E-2</v>
      </c>
      <c r="DO29">
        <v>3656322400</v>
      </c>
      <c r="DP29">
        <v>1705157500</v>
      </c>
      <c r="DQ29">
        <v>1289</v>
      </c>
      <c r="DR29">
        <v>-4.7539180927933786E-2</v>
      </c>
      <c r="DS29">
        <v>-0.18875761398902971</v>
      </c>
      <c r="DT29" s="11">
        <v>-0.42333333333333334</v>
      </c>
      <c r="DU29">
        <v>-8.666666666666667E-2</v>
      </c>
      <c r="DV29">
        <v>-0.51</v>
      </c>
      <c r="DW29">
        <v>-2.1082000000000001</v>
      </c>
      <c r="DX29">
        <v>0.35834469328140262</v>
      </c>
      <c r="DY29">
        <v>-2.0214608958130476</v>
      </c>
      <c r="DZ29">
        <v>2895</v>
      </c>
      <c r="EA29">
        <v>-2.0093025213749316</v>
      </c>
      <c r="EB29">
        <v>2</v>
      </c>
      <c r="EC29">
        <v>1.6329553094789676E-2</v>
      </c>
      <c r="ED29">
        <v>8.232916557854196E-2</v>
      </c>
      <c r="EE29" s="12">
        <v>-1.0541</v>
      </c>
      <c r="EF29">
        <v>-1.0452999999999999</v>
      </c>
      <c r="EG29">
        <v>16.198344693281403</v>
      </c>
      <c r="EH29" t="s">
        <v>785</v>
      </c>
      <c r="EI29">
        <v>0</v>
      </c>
      <c r="EJ29">
        <v>0</v>
      </c>
      <c r="EK29" s="14">
        <v>45470</v>
      </c>
      <c r="EL29" s="15">
        <v>0.32</v>
      </c>
      <c r="EM29" s="15">
        <v>-2.65</v>
      </c>
      <c r="EN29" s="15">
        <v>1.9</v>
      </c>
      <c r="EO29" s="15">
        <v>1.3</v>
      </c>
      <c r="EP29" s="15">
        <v>-0.88</v>
      </c>
    </row>
    <row r="30" spans="1:146" ht="96" x14ac:dyDescent="0.25">
      <c r="A30" s="7"/>
      <c r="B30" s="7"/>
      <c r="C30" s="7" t="str">
        <f>""&amp;CHAR(10)&amp;Basic_Fundamental_Information_Constructure(F30)&amp;CHAR(10)&amp;Basic_Fundamental_Information_Concatenate("")</f>
        <v xml:space="preserve">
市值17.900654亿, 利润1680.42万; PE99.1; 平均PE-101.81; 平均PEG-71.75, PB3.27; ROIC12.5733%; ROE11.9467%; 股利率0%; 毛利15.73%; 净利2.36%; 上一年度营收增-2.14%, 利润增51.46%; 当季营收增30.8%, 利润增92.67%; 过往5年营收增-1.42%, 利润增-231.83%
Income profile:
</v>
      </c>
      <c r="D30" t="s">
        <v>118</v>
      </c>
      <c r="E30" t="s">
        <v>6</v>
      </c>
      <c r="F30">
        <v>3.6</v>
      </c>
      <c r="G30">
        <v>1.1200000000000001</v>
      </c>
      <c r="H30" t="s">
        <v>1849</v>
      </c>
      <c r="I30">
        <v>1790065400</v>
      </c>
      <c r="J30">
        <v>99.1</v>
      </c>
      <c r="K30">
        <v>3.27</v>
      </c>
      <c r="L30" t="s">
        <v>57</v>
      </c>
      <c r="M30" t="s">
        <v>1108</v>
      </c>
      <c r="N30" t="s">
        <v>1005</v>
      </c>
      <c r="O30" t="s">
        <v>1126</v>
      </c>
      <c r="P30">
        <v>30.91</v>
      </c>
      <c r="Q30" t="s">
        <v>1850</v>
      </c>
      <c r="R30">
        <v>2618251</v>
      </c>
      <c r="S30" s="5">
        <v>0.92679999999999996</v>
      </c>
      <c r="T30" t="s">
        <v>1851</v>
      </c>
      <c r="U30">
        <v>323481740</v>
      </c>
      <c r="V30">
        <v>497240380</v>
      </c>
      <c r="W30">
        <v>2.46</v>
      </c>
      <c r="X30">
        <v>0.31</v>
      </c>
      <c r="Y30">
        <v>2.1800000000000002</v>
      </c>
      <c r="Z30" t="s">
        <v>1012</v>
      </c>
      <c r="AA30" t="s">
        <v>1852</v>
      </c>
      <c r="AB30" t="s">
        <v>1853</v>
      </c>
      <c r="AC30" t="s">
        <v>1854</v>
      </c>
      <c r="AD30" t="s">
        <v>133</v>
      </c>
      <c r="AE30">
        <v>2570806</v>
      </c>
      <c r="AF30" t="s">
        <v>1855</v>
      </c>
      <c r="AG30" t="s">
        <v>1856</v>
      </c>
      <c r="AH30" t="s">
        <v>1857</v>
      </c>
      <c r="AI30" t="s">
        <v>1858</v>
      </c>
      <c r="AJ30" t="s">
        <v>1859</v>
      </c>
      <c r="AK30" t="s">
        <v>133</v>
      </c>
      <c r="AL30" t="s">
        <v>1860</v>
      </c>
      <c r="AM30" t="s">
        <v>133</v>
      </c>
      <c r="AN30">
        <v>0</v>
      </c>
      <c r="AO30" t="s">
        <v>1861</v>
      </c>
      <c r="AP30" t="s">
        <v>1081</v>
      </c>
      <c r="AQ30" t="s">
        <v>1862</v>
      </c>
      <c r="AR30" t="s">
        <v>133</v>
      </c>
      <c r="AS30" t="s">
        <v>1863</v>
      </c>
      <c r="AT30" t="s">
        <v>133</v>
      </c>
      <c r="AU30" t="s">
        <v>1864</v>
      </c>
      <c r="AV30" t="s">
        <v>1865</v>
      </c>
      <c r="AW30" t="s">
        <v>1866</v>
      </c>
      <c r="AX30" t="s">
        <v>951</v>
      </c>
      <c r="AY30" t="s">
        <v>677</v>
      </c>
      <c r="AZ30" t="s">
        <v>432</v>
      </c>
      <c r="BA30" t="s">
        <v>211</v>
      </c>
      <c r="BB30" t="s">
        <v>434</v>
      </c>
      <c r="BC30" t="s">
        <v>952</v>
      </c>
      <c r="BD30" t="s">
        <v>678</v>
      </c>
      <c r="BE30" t="s">
        <v>433</v>
      </c>
      <c r="BF30" t="s">
        <v>212</v>
      </c>
      <c r="BG30" t="s">
        <v>435</v>
      </c>
      <c r="BH30" t="s">
        <v>1850</v>
      </c>
      <c r="BI30" t="s">
        <v>955</v>
      </c>
      <c r="BJ30" t="s">
        <v>951</v>
      </c>
      <c r="BK30" t="s">
        <v>1851</v>
      </c>
      <c r="BL30" t="s">
        <v>1119</v>
      </c>
      <c r="BM30" t="s">
        <v>952</v>
      </c>
      <c r="BN30">
        <v>6.92</v>
      </c>
      <c r="BO30">
        <v>14.71</v>
      </c>
      <c r="BP30">
        <v>16.09</v>
      </c>
      <c r="BQ30">
        <v>2</v>
      </c>
      <c r="BR30">
        <v>12.86</v>
      </c>
      <c r="BS30">
        <v>20.98</v>
      </c>
      <c r="BT30" t="s">
        <v>856</v>
      </c>
      <c r="BU30" t="s">
        <v>792</v>
      </c>
      <c r="BV30">
        <v>15.78</v>
      </c>
      <c r="BW30">
        <v>15.21</v>
      </c>
      <c r="BX30">
        <v>16.2</v>
      </c>
      <c r="BY30">
        <v>2.52</v>
      </c>
      <c r="BZ30">
        <v>2.19</v>
      </c>
      <c r="CA30">
        <v>2.37</v>
      </c>
      <c r="CB30">
        <v>1.41</v>
      </c>
      <c r="CC30">
        <v>-10.45</v>
      </c>
      <c r="CD30" t="s">
        <v>1867</v>
      </c>
      <c r="CE30" t="s">
        <v>387</v>
      </c>
      <c r="CF30" s="9">
        <v>0.30800821355236141</v>
      </c>
      <c r="CG30" s="10">
        <v>0.92674295385973982</v>
      </c>
      <c r="CH30" s="9">
        <v>-2.1418068557977676E-2</v>
      </c>
      <c r="CI30" s="9">
        <v>0.13495396077632904</v>
      </c>
      <c r="CJ30" s="9">
        <v>-4.4453371316194534E-2</v>
      </c>
      <c r="CK30" s="9">
        <v>8.8017374277114868E-2</v>
      </c>
      <c r="CL30" s="9">
        <v>-0.22805243730545044</v>
      </c>
      <c r="CM30" s="10">
        <v>0.51461505889892578</v>
      </c>
      <c r="CN30" s="10">
        <v>-0.27635079622268677</v>
      </c>
      <c r="CO30" s="10">
        <v>1.947073221206665</v>
      </c>
      <c r="CP30" s="10">
        <v>0.88679438829421997</v>
      </c>
      <c r="CQ30" s="10">
        <v>-14.663681983947754</v>
      </c>
      <c r="CR30">
        <v>-101.81219464567049</v>
      </c>
      <c r="CS30">
        <v>-71.746685597686096</v>
      </c>
      <c r="CT30">
        <v>0</v>
      </c>
      <c r="CU30" s="9">
        <v>-1.4190508425235749E-2</v>
      </c>
      <c r="CV30" s="10">
        <v>-2.318310022354126</v>
      </c>
      <c r="CW30">
        <v>0.06</v>
      </c>
      <c r="CX30">
        <v>108.96474690851096</v>
      </c>
      <c r="CY30" t="s">
        <v>1868</v>
      </c>
      <c r="CZ30">
        <v>-1.4190508425235749E-2</v>
      </c>
      <c r="DA30">
        <v>36.321582302836987</v>
      </c>
      <c r="DB30" t="s">
        <v>1869</v>
      </c>
      <c r="DC30">
        <v>-1.348098300397396E-2</v>
      </c>
      <c r="DD30">
        <v>18.160791151418493</v>
      </c>
      <c r="DE30" t="s">
        <v>1870</v>
      </c>
      <c r="DF30">
        <v>-1.2487647414207459E-2</v>
      </c>
      <c r="DG30">
        <v>10.896474690851097</v>
      </c>
      <c r="DH30" t="s">
        <v>1871</v>
      </c>
      <c r="DI30">
        <v>-1.13524067401886E-2</v>
      </c>
      <c r="DJ30">
        <v>5.4482373454255484</v>
      </c>
      <c r="DK30" t="s">
        <v>1872</v>
      </c>
      <c r="DL30">
        <v>-9.9333558976650235E-3</v>
      </c>
      <c r="DM30">
        <v>16804200</v>
      </c>
      <c r="DN30">
        <v>-1.4190508425235749E-2</v>
      </c>
      <c r="DO30">
        <v>1831065400</v>
      </c>
      <c r="DP30">
        <v>654800200</v>
      </c>
      <c r="DQ30">
        <v>1520</v>
      </c>
      <c r="DR30">
        <v>0.32219872197759714</v>
      </c>
      <c r="DS30">
        <v>3.2450529762138656</v>
      </c>
      <c r="DT30" s="11">
        <v>-0.54</v>
      </c>
      <c r="DU30">
        <v>-0.82166666666666677</v>
      </c>
      <c r="DV30">
        <v>-1.3616666666666668</v>
      </c>
      <c r="DW30">
        <v>-2.1044999999999998</v>
      </c>
      <c r="DX30">
        <v>0.42317757575757542</v>
      </c>
      <c r="DY30">
        <v>-2.0285470566666666</v>
      </c>
      <c r="DZ30">
        <v>3902</v>
      </c>
      <c r="EA30">
        <v>-2.0067485018499673</v>
      </c>
      <c r="EB30">
        <v>2</v>
      </c>
      <c r="EC30">
        <v>9.0648913107177653E-2</v>
      </c>
      <c r="ED30">
        <v>0.33183145745323417</v>
      </c>
      <c r="EE30" s="12">
        <v>-2.1067999999999998</v>
      </c>
      <c r="EF30">
        <v>-2.0985</v>
      </c>
      <c r="EG30">
        <v>15.273177575757575</v>
      </c>
      <c r="EH30" t="s">
        <v>1419</v>
      </c>
      <c r="EI30">
        <v>0</v>
      </c>
      <c r="EJ30">
        <v>0</v>
      </c>
      <c r="EK30" s="14">
        <v>45470</v>
      </c>
      <c r="EL30" s="15">
        <v>-0.84</v>
      </c>
      <c r="EM30" s="15">
        <v>-4.5199999999999996</v>
      </c>
      <c r="EN30" s="15">
        <v>1.78</v>
      </c>
      <c r="EO30" s="15">
        <v>4.9400000000000004</v>
      </c>
      <c r="EP30" s="15">
        <v>-0.83</v>
      </c>
    </row>
    <row r="31" spans="1:146" ht="96" x14ac:dyDescent="0.25">
      <c r="A31" s="7"/>
      <c r="B31" s="7"/>
      <c r="C31" s="7" t="str">
        <f>""&amp;CHAR(10)&amp;Basic_Fundamental_Information_Constructure(F31)&amp;CHAR(10)&amp;Basic_Fundamental_Information_Concatenate("")</f>
        <v xml:space="preserve">
市值21.00117亿, 利润1.28亿; PE18.13; 平均PE25.75; 平均PEG1.57, PB2.57; ROIC12.2133%; ROE13.65%; 股利率4.9793%; 毛利63.28%; 净利9.84%; 上一年度营收增22.25%, 利润增68.84%; 当季营收增-4.52%, 利润增-32.85%; 过往5年营收增16.36%, 利润增20.38%
Income profile:
</v>
      </c>
      <c r="D31" t="s">
        <v>72</v>
      </c>
      <c r="E31" t="s">
        <v>20</v>
      </c>
      <c r="F31">
        <v>12.05</v>
      </c>
      <c r="G31">
        <v>2.64</v>
      </c>
      <c r="H31" t="s">
        <v>1873</v>
      </c>
      <c r="I31">
        <v>2100117000</v>
      </c>
      <c r="J31">
        <v>18.13</v>
      </c>
      <c r="K31">
        <v>2.57</v>
      </c>
      <c r="L31" t="s">
        <v>57</v>
      </c>
      <c r="M31" t="s">
        <v>1115</v>
      </c>
      <c r="N31" t="s">
        <v>1874</v>
      </c>
      <c r="O31" t="s">
        <v>1875</v>
      </c>
      <c r="P31">
        <v>-4.47</v>
      </c>
      <c r="Q31" t="s">
        <v>1876</v>
      </c>
      <c r="R31">
        <v>25035455</v>
      </c>
      <c r="S31" s="5">
        <v>-0.32850000000000001</v>
      </c>
      <c r="T31" t="s">
        <v>215</v>
      </c>
      <c r="U31">
        <v>115008685</v>
      </c>
      <c r="V31">
        <v>174283570</v>
      </c>
      <c r="W31">
        <v>1.43</v>
      </c>
      <c r="X31">
        <v>0.25</v>
      </c>
      <c r="Y31">
        <v>8.5</v>
      </c>
      <c r="Z31" t="s">
        <v>876</v>
      </c>
      <c r="AA31" t="s">
        <v>255</v>
      </c>
      <c r="AB31" t="s">
        <v>184</v>
      </c>
      <c r="AC31" t="s">
        <v>1877</v>
      </c>
      <c r="AD31" t="s">
        <v>133</v>
      </c>
      <c r="AE31">
        <v>1610894</v>
      </c>
      <c r="AF31" t="s">
        <v>1878</v>
      </c>
      <c r="AG31" t="s">
        <v>1879</v>
      </c>
      <c r="AH31" t="s">
        <v>1880</v>
      </c>
      <c r="AI31" t="s">
        <v>146</v>
      </c>
      <c r="AJ31" t="s">
        <v>1881</v>
      </c>
      <c r="AK31" t="s">
        <v>133</v>
      </c>
      <c r="AL31" t="s">
        <v>1882</v>
      </c>
      <c r="AM31" t="s">
        <v>133</v>
      </c>
      <c r="AN31" t="s">
        <v>1883</v>
      </c>
      <c r="AO31" t="s">
        <v>133</v>
      </c>
      <c r="AP31" t="s">
        <v>1884</v>
      </c>
      <c r="AQ31" t="s">
        <v>1885</v>
      </c>
      <c r="AR31" t="s">
        <v>133</v>
      </c>
      <c r="AS31" t="s">
        <v>655</v>
      </c>
      <c r="AT31" t="s">
        <v>133</v>
      </c>
      <c r="AU31" t="s">
        <v>1886</v>
      </c>
      <c r="AV31" t="s">
        <v>1887</v>
      </c>
      <c r="AW31" t="s">
        <v>1888</v>
      </c>
      <c r="AX31" t="s">
        <v>953</v>
      </c>
      <c r="AY31" t="s">
        <v>680</v>
      </c>
      <c r="AZ31" t="s">
        <v>171</v>
      </c>
      <c r="BA31" t="s">
        <v>220</v>
      </c>
      <c r="BB31" t="s">
        <v>438</v>
      </c>
      <c r="BC31" t="s">
        <v>1889</v>
      </c>
      <c r="BD31" t="s">
        <v>681</v>
      </c>
      <c r="BE31" t="s">
        <v>437</v>
      </c>
      <c r="BF31" t="s">
        <v>221</v>
      </c>
      <c r="BG31" t="s">
        <v>439</v>
      </c>
      <c r="BH31" t="s">
        <v>1876</v>
      </c>
      <c r="BI31" t="s">
        <v>142</v>
      </c>
      <c r="BJ31" t="s">
        <v>953</v>
      </c>
      <c r="BK31" t="s">
        <v>215</v>
      </c>
      <c r="BL31" t="s">
        <v>1120</v>
      </c>
      <c r="BM31" t="s">
        <v>1889</v>
      </c>
      <c r="BN31">
        <v>12.48</v>
      </c>
      <c r="BO31">
        <v>10.15</v>
      </c>
      <c r="BP31">
        <v>14.01</v>
      </c>
      <c r="BQ31">
        <v>14</v>
      </c>
      <c r="BR31">
        <v>11.59</v>
      </c>
      <c r="BS31">
        <v>15.36</v>
      </c>
      <c r="BT31" t="s">
        <v>1890</v>
      </c>
      <c r="BU31" t="s">
        <v>792</v>
      </c>
      <c r="BV31">
        <v>63.07</v>
      </c>
      <c r="BW31">
        <v>61.84</v>
      </c>
      <c r="BX31">
        <v>64.930000000000007</v>
      </c>
      <c r="BY31">
        <v>11.2</v>
      </c>
      <c r="BZ31">
        <v>7.67</v>
      </c>
      <c r="CA31">
        <v>10.65</v>
      </c>
      <c r="CB31">
        <v>-0.99</v>
      </c>
      <c r="CC31">
        <v>-15.32</v>
      </c>
      <c r="CD31" t="s">
        <v>1891</v>
      </c>
      <c r="CE31" t="s">
        <v>1892</v>
      </c>
      <c r="CF31" s="9">
        <v>-4.5161290322580643E-2</v>
      </c>
      <c r="CG31" s="10">
        <v>-0.32846070486873907</v>
      </c>
      <c r="CH31" s="9">
        <v>0.22245322167873383</v>
      </c>
      <c r="CI31" s="9">
        <v>8.4554679691791534E-2</v>
      </c>
      <c r="CJ31" s="9">
        <v>0.35213413834571838</v>
      </c>
      <c r="CK31" s="9">
        <v>1.5267175622284412E-3</v>
      </c>
      <c r="CL31" s="9">
        <v>0.15724381804466248</v>
      </c>
      <c r="CM31" s="10">
        <v>0.68843376636505127</v>
      </c>
      <c r="CN31" s="10">
        <v>-0.20017910003662109</v>
      </c>
      <c r="CO31" s="10">
        <v>0.37022003531455994</v>
      </c>
      <c r="CP31" s="10">
        <v>0.10931145399808884</v>
      </c>
      <c r="CQ31" s="10">
        <v>5.1293853670358658E-2</v>
      </c>
      <c r="CR31">
        <v>25.745130865834067</v>
      </c>
      <c r="CS31">
        <v>1.5738314608784978</v>
      </c>
      <c r="CT31">
        <v>4.9792531120331951</v>
      </c>
      <c r="CU31" s="9">
        <v>0.16358251506462693</v>
      </c>
      <c r="CV31" s="10">
        <v>0.20381600186228752</v>
      </c>
      <c r="CW31">
        <v>0.06</v>
      </c>
      <c r="CX31">
        <v>11.160333485699329</v>
      </c>
      <c r="CY31">
        <v>140508077.29082286</v>
      </c>
      <c r="CZ31">
        <v>0.16358251506462693</v>
      </c>
      <c r="DA31">
        <v>3.4286028088317901</v>
      </c>
      <c r="DB31">
        <v>457363272.28125215</v>
      </c>
      <c r="DC31">
        <v>0.15540338931139558</v>
      </c>
      <c r="DD31">
        <v>1.5505534719799468</v>
      </c>
      <c r="DE31">
        <v>1011327263.6754835</v>
      </c>
      <c r="DF31">
        <v>0.1439526132568717</v>
      </c>
      <c r="DG31">
        <v>0.84355426025801794</v>
      </c>
      <c r="DH31">
        <v>1858940288.5836413</v>
      </c>
      <c r="DI31">
        <v>0.13086601205170154</v>
      </c>
      <c r="DJ31">
        <v>0.34711492059842464</v>
      </c>
      <c r="DK31">
        <v>4517573019.6114101</v>
      </c>
      <c r="DL31">
        <v>0.11450776054523884</v>
      </c>
      <c r="DM31">
        <v>128000000</v>
      </c>
      <c r="DN31">
        <v>0.16358251506462693</v>
      </c>
      <c r="DO31">
        <v>1568117000</v>
      </c>
      <c r="DP31">
        <v>387419240</v>
      </c>
      <c r="DQ31">
        <v>2089</v>
      </c>
      <c r="DR31">
        <v>-0.20874380538720758</v>
      </c>
      <c r="DS31">
        <v>-0.53227670673102656</v>
      </c>
      <c r="DT31" s="11">
        <v>-4.0000000000000036E-2</v>
      </c>
      <c r="DU31">
        <v>9.6666666666666637E-2</v>
      </c>
      <c r="DV31">
        <v>5.6666666666666601E-2</v>
      </c>
      <c r="DW31">
        <v>-2.1532</v>
      </c>
      <c r="DX31">
        <v>0.36357862438176697</v>
      </c>
      <c r="DY31">
        <v>-2.0250602452552866</v>
      </c>
      <c r="DZ31">
        <v>1588</v>
      </c>
      <c r="EA31">
        <v>-2.0172724430115694</v>
      </c>
      <c r="EB31">
        <v>2</v>
      </c>
      <c r="EC31">
        <v>3.4993545289438356E-2</v>
      </c>
      <c r="ED31">
        <v>0.21392492705996324</v>
      </c>
      <c r="EE31" s="12">
        <v>-4.0313999999999997</v>
      </c>
      <c r="EF31">
        <v>-4.0175999999999998</v>
      </c>
      <c r="EG31">
        <v>20.163578624381767</v>
      </c>
      <c r="EH31" t="s">
        <v>1893</v>
      </c>
      <c r="EI31">
        <v>0</v>
      </c>
      <c r="EJ31">
        <v>0</v>
      </c>
      <c r="EK31" s="14">
        <v>45470</v>
      </c>
      <c r="EL31" s="15">
        <v>-0.69</v>
      </c>
      <c r="EM31" s="15">
        <v>-4.4800000000000004</v>
      </c>
      <c r="EN31" s="15">
        <v>1.7</v>
      </c>
      <c r="EO31" s="15">
        <v>2.7</v>
      </c>
      <c r="EP31" s="15">
        <v>-1.38</v>
      </c>
    </row>
    <row r="32" spans="1:146" ht="192" x14ac:dyDescent="0.25">
      <c r="A32" s="8" t="s">
        <v>627</v>
      </c>
      <c r="B32" s="8" t="s">
        <v>628</v>
      </c>
      <c r="C32" s="7" t="str">
        <f>"公司是国内领先的精品酒水营销和服务商之一，以“精品、保真、服务、创新”为核心理念，依托多年构建的遍布全国的酒类流通全渠道营销网络体系，以及与上游酒类生产企业长期的合作关系，开发及遴选契合市场需求的产品，持续为客户和广大消费者提供白酒、葡萄酒、进口烈性酒等国内外优质酒类产品和多元化的服务；"&amp;CHAR(10)&amp;Basic_Fundamental_Information_Constructure(F32)&amp;CHAR(10)&amp;Basic_Fundamental_Information_Concatenate("白酒 42.96亿 86.93% 毛利20.06%
葡萄酒 3.57亿 7.23% 毛利16.02%
进口烈性酒 2.00亿 4.04%
其他 8844.97万 1.79%")</f>
        <v>公司是国内领先的精品酒水营销和服务商之一，以“精品、保真、服务、创新”为核心理念，依托多年构建的遍布全国的酒类流通全渠道营销网络体系，以及与上游酒类生产企业长期的合作关系，开发及遴选契合市场需求的产品，持续为客户和广大消费者提供白酒、葡萄酒、进口烈性酒等国内外优质酒类产品和多元化的服务；
市值58.060017亿, 利润2.35亿; PE22; 平均PE15.88; 平均PEG.52, PB1.53; ROIC10.86%; ROE12.7867%; 股利率.8327%; 毛利15.2467%; 净利5.3%; 上一年度营收增16.23%, 利润增-35.79%; 当季营收增10.42%, 利润增28.48%; 过往5年营收增30.7%, 利润增11.66%
Income profile:
白酒 42.96亿 86.93% 毛利20.06%
葡萄酒 3.57亿 7.23% 毛利16.02%
进口烈性酒 2.00亿 4.04%
其他 8844.97万 1.79%</v>
      </c>
      <c r="D32" t="s">
        <v>75</v>
      </c>
      <c r="E32" t="s">
        <v>21</v>
      </c>
      <c r="F32">
        <v>13.93</v>
      </c>
      <c r="G32">
        <v>0.22</v>
      </c>
      <c r="H32" t="s">
        <v>1894</v>
      </c>
      <c r="I32">
        <v>5806001700</v>
      </c>
      <c r="J32">
        <v>22</v>
      </c>
      <c r="K32">
        <v>1.53</v>
      </c>
      <c r="L32" t="s">
        <v>57</v>
      </c>
      <c r="M32" t="s">
        <v>1895</v>
      </c>
      <c r="N32" t="s">
        <v>1896</v>
      </c>
      <c r="O32" t="s">
        <v>530</v>
      </c>
      <c r="P32">
        <v>10.42</v>
      </c>
      <c r="Q32" t="s">
        <v>1897</v>
      </c>
      <c r="R32">
        <v>129767786</v>
      </c>
      <c r="S32" s="5">
        <v>0.28239999999999998</v>
      </c>
      <c r="T32" t="s">
        <v>185</v>
      </c>
      <c r="U32">
        <v>416479640</v>
      </c>
      <c r="V32">
        <v>416798400</v>
      </c>
      <c r="W32">
        <v>1.91</v>
      </c>
      <c r="X32">
        <v>0.56000000000000005</v>
      </c>
      <c r="Y32">
        <v>3.3</v>
      </c>
      <c r="Z32" t="s">
        <v>1898</v>
      </c>
      <c r="AA32" t="s">
        <v>1899</v>
      </c>
      <c r="AB32" t="s">
        <v>1900</v>
      </c>
      <c r="AC32" t="s">
        <v>1901</v>
      </c>
      <c r="AD32" t="s">
        <v>133</v>
      </c>
      <c r="AE32">
        <v>10865526</v>
      </c>
      <c r="AF32" t="s">
        <v>1902</v>
      </c>
      <c r="AG32" t="s">
        <v>1903</v>
      </c>
      <c r="AH32" t="s">
        <v>1904</v>
      </c>
      <c r="AI32" t="s">
        <v>1905</v>
      </c>
      <c r="AJ32" t="s">
        <v>1906</v>
      </c>
      <c r="AK32" t="s">
        <v>1907</v>
      </c>
      <c r="AL32" t="s">
        <v>1908</v>
      </c>
      <c r="AM32" t="s">
        <v>133</v>
      </c>
      <c r="AN32">
        <v>0</v>
      </c>
      <c r="AO32" t="s">
        <v>1909</v>
      </c>
      <c r="AP32" t="s">
        <v>1910</v>
      </c>
      <c r="AQ32" t="s">
        <v>1911</v>
      </c>
      <c r="AR32" t="s">
        <v>133</v>
      </c>
      <c r="AS32" t="s">
        <v>1912</v>
      </c>
      <c r="AT32" t="s">
        <v>133</v>
      </c>
      <c r="AU32" t="s">
        <v>1913</v>
      </c>
      <c r="AV32" t="s">
        <v>1914</v>
      </c>
      <c r="AW32" t="s">
        <v>1915</v>
      </c>
      <c r="AX32" t="s">
        <v>954</v>
      </c>
      <c r="AY32" t="s">
        <v>682</v>
      </c>
      <c r="AZ32" t="s">
        <v>440</v>
      </c>
      <c r="BA32" t="s">
        <v>223</v>
      </c>
      <c r="BB32" t="s">
        <v>442</v>
      </c>
      <c r="BC32" t="s">
        <v>788</v>
      </c>
      <c r="BD32" t="s">
        <v>577</v>
      </c>
      <c r="BE32" t="s">
        <v>441</v>
      </c>
      <c r="BF32" t="s">
        <v>195</v>
      </c>
      <c r="BG32" t="s">
        <v>367</v>
      </c>
      <c r="BH32" t="s">
        <v>1897</v>
      </c>
      <c r="BI32" t="s">
        <v>1121</v>
      </c>
      <c r="BJ32" t="s">
        <v>954</v>
      </c>
      <c r="BK32" t="s">
        <v>185</v>
      </c>
      <c r="BL32" t="s">
        <v>135</v>
      </c>
      <c r="BM32" t="s">
        <v>788</v>
      </c>
      <c r="BN32">
        <v>5.04</v>
      </c>
      <c r="BO32">
        <v>8.5</v>
      </c>
      <c r="BP32">
        <v>19.04</v>
      </c>
      <c r="BQ32">
        <v>6.19</v>
      </c>
      <c r="BR32">
        <v>10.42</v>
      </c>
      <c r="BS32">
        <v>21.75</v>
      </c>
      <c r="BT32" t="s">
        <v>1916</v>
      </c>
      <c r="BU32" t="s">
        <v>792</v>
      </c>
      <c r="BV32">
        <v>10.75</v>
      </c>
      <c r="BW32">
        <v>14.03</v>
      </c>
      <c r="BX32">
        <v>20.96</v>
      </c>
      <c r="BY32">
        <v>2.39</v>
      </c>
      <c r="BZ32">
        <v>4.29</v>
      </c>
      <c r="CA32">
        <v>9.2200000000000006</v>
      </c>
      <c r="CB32">
        <v>1.98</v>
      </c>
      <c r="CC32">
        <v>-19.22</v>
      </c>
      <c r="CD32" t="s">
        <v>1917</v>
      </c>
      <c r="CE32" t="s">
        <v>1918</v>
      </c>
      <c r="CF32" s="9">
        <v>0.10419449639326743</v>
      </c>
      <c r="CG32" s="10">
        <v>0.28482956435643564</v>
      </c>
      <c r="CH32" s="9">
        <v>0.1622646152973175</v>
      </c>
      <c r="CI32" s="9">
        <v>0.16729223728179932</v>
      </c>
      <c r="CJ32" s="9">
        <v>0.50981569290161133</v>
      </c>
      <c r="CK32" s="9">
        <v>0.32182985544204712</v>
      </c>
      <c r="CL32" s="9">
        <v>0.37375971674919128</v>
      </c>
      <c r="CM32" s="10">
        <v>-0.35792350769042969</v>
      </c>
      <c r="CN32" s="10">
        <v>-0.45857986807823181</v>
      </c>
      <c r="CO32" s="10">
        <v>0.81233245134353638</v>
      </c>
      <c r="CP32" s="10">
        <v>0.16927899420261383</v>
      </c>
      <c r="CQ32" s="10">
        <v>0.41777777671813965</v>
      </c>
      <c r="CR32">
        <v>15.877853327256153</v>
      </c>
      <c r="CS32">
        <v>0.51720668361958155</v>
      </c>
      <c r="CT32">
        <v>0.832735104091888</v>
      </c>
      <c r="CU32" s="9">
        <v>0.30699242353439332</v>
      </c>
      <c r="CV32" s="10">
        <v>0.11657716929912568</v>
      </c>
      <c r="CW32">
        <v>0.06</v>
      </c>
      <c r="CX32">
        <v>18.19796579114605</v>
      </c>
      <c r="CY32">
        <v>289757754.27413434</v>
      </c>
      <c r="CZ32">
        <v>0.30699242353439332</v>
      </c>
      <c r="DA32">
        <v>4.9723179373169311</v>
      </c>
      <c r="DB32">
        <v>1060471547.9729196</v>
      </c>
      <c r="DC32">
        <v>0.29164280235767365</v>
      </c>
      <c r="DD32">
        <v>1.8940829315047434</v>
      </c>
      <c r="DE32">
        <v>2783933909.2776122</v>
      </c>
      <c r="DF32">
        <v>0.27015333271026615</v>
      </c>
      <c r="DG32">
        <v>0.8316645420916583</v>
      </c>
      <c r="DH32">
        <v>6340298802.1327219</v>
      </c>
      <c r="DI32">
        <v>0.24559393882751468</v>
      </c>
      <c r="DJ32">
        <v>0.20007390754028562</v>
      </c>
      <c r="DK32">
        <v>26355269234.386608</v>
      </c>
      <c r="DL32">
        <v>0.2148946964740753</v>
      </c>
      <c r="DM32">
        <v>235000000</v>
      </c>
      <c r="DN32">
        <v>0.30699242353439332</v>
      </c>
      <c r="DO32">
        <v>5273001700</v>
      </c>
      <c r="DP32">
        <v>3376252900.0000005</v>
      </c>
      <c r="DQ32">
        <v>2214</v>
      </c>
      <c r="DR32">
        <v>-0.20279792714112588</v>
      </c>
      <c r="DS32">
        <v>0.16825239505730996</v>
      </c>
      <c r="DT32" s="11">
        <v>0.22666666666666657</v>
      </c>
      <c r="DU32">
        <v>0.38666666666666666</v>
      </c>
      <c r="DV32">
        <v>0.61333333333333329</v>
      </c>
      <c r="DW32">
        <v>-3.0364166666666668</v>
      </c>
      <c r="DX32">
        <v>0.45608896073553168</v>
      </c>
      <c r="DY32">
        <v>-3.0100542396534524</v>
      </c>
      <c r="DZ32">
        <v>3400</v>
      </c>
      <c r="EA32">
        <v>-3.003364530294991</v>
      </c>
      <c r="EB32">
        <v>3</v>
      </c>
      <c r="EC32">
        <v>4.1959853972568031E-2</v>
      </c>
      <c r="ED32">
        <v>0.15197947017071081</v>
      </c>
      <c r="EE32" s="12">
        <v>-6.0235099999999999</v>
      </c>
      <c r="EF32">
        <v>-6.0317100000000003</v>
      </c>
      <c r="EG32">
        <v>18.276088960735532</v>
      </c>
      <c r="EH32" t="s">
        <v>1919</v>
      </c>
      <c r="EI32">
        <v>0</v>
      </c>
      <c r="EJ32">
        <v>0</v>
      </c>
      <c r="EK32" s="14">
        <v>45470</v>
      </c>
      <c r="EL32" s="15">
        <v>2.86</v>
      </c>
      <c r="EM32" s="15">
        <v>-6.72</v>
      </c>
      <c r="EN32" s="15">
        <v>0.38</v>
      </c>
      <c r="EO32" s="15">
        <v>4.59</v>
      </c>
      <c r="EP32" s="15">
        <v>-0.82</v>
      </c>
    </row>
    <row r="33" spans="1:146" ht="96" x14ac:dyDescent="0.25">
      <c r="A33" s="7"/>
      <c r="B33" s="7"/>
      <c r="C33" s="7" t="str">
        <f>""&amp;CHAR(10)&amp;Basic_Fundamental_Information_Constructure(F33)&amp;CHAR(10)&amp;Basic_Fundamental_Information_Concatenate("")</f>
        <v xml:space="preserve">
市值25.114188亿, 利润3417.21万; PE63.43; 平均PE34.68; 平均PEG3.77, PB1.98; ROIC9.3133%; ROE4.5367%; 股利率0%; 毛利38.0533%; 净利6.4667%; 上一年度营收增-51.6%, 利润增5.16%; 当季营收增350.86%, 利润增31.57%; 过往5年营收增-9.19%, 利润增10.04%
Income profile:
</v>
      </c>
      <c r="D33" t="s">
        <v>443</v>
      </c>
      <c r="E33" t="s">
        <v>444</v>
      </c>
      <c r="F33">
        <v>16.350000000000001</v>
      </c>
      <c r="G33">
        <v>-2.74</v>
      </c>
      <c r="H33" t="s">
        <v>1920</v>
      </c>
      <c r="I33">
        <v>2511418800</v>
      </c>
      <c r="J33">
        <v>63.43</v>
      </c>
      <c r="K33">
        <v>1.98</v>
      </c>
      <c r="L33" t="s">
        <v>57</v>
      </c>
      <c r="M33" t="s">
        <v>1921</v>
      </c>
      <c r="N33" t="s">
        <v>1922</v>
      </c>
      <c r="O33" t="s">
        <v>1923</v>
      </c>
      <c r="P33">
        <v>31.05</v>
      </c>
      <c r="Q33" t="s">
        <v>348</v>
      </c>
      <c r="R33">
        <v>8832356</v>
      </c>
      <c r="S33" s="5">
        <v>2.5619999999999998</v>
      </c>
      <c r="T33" t="s">
        <v>1924</v>
      </c>
      <c r="U33">
        <v>95293756</v>
      </c>
      <c r="V33">
        <v>153603600</v>
      </c>
      <c r="W33">
        <v>4.51</v>
      </c>
      <c r="X33">
        <v>0.05</v>
      </c>
      <c r="Y33">
        <v>4</v>
      </c>
      <c r="Z33" t="s">
        <v>192</v>
      </c>
      <c r="AA33" t="s">
        <v>234</v>
      </c>
      <c r="AB33" t="s">
        <v>1925</v>
      </c>
      <c r="AC33" t="s">
        <v>1926</v>
      </c>
      <c r="AD33" t="s">
        <v>133</v>
      </c>
      <c r="AE33">
        <v>38915757</v>
      </c>
      <c r="AF33" t="s">
        <v>1927</v>
      </c>
      <c r="AG33" t="s">
        <v>1928</v>
      </c>
      <c r="AH33" t="s">
        <v>1929</v>
      </c>
      <c r="AI33" t="s">
        <v>450</v>
      </c>
      <c r="AJ33" t="s">
        <v>1930</v>
      </c>
      <c r="AK33" t="s">
        <v>133</v>
      </c>
      <c r="AL33" t="s">
        <v>1931</v>
      </c>
      <c r="AM33" t="s">
        <v>133</v>
      </c>
      <c r="AN33" t="s">
        <v>1932</v>
      </c>
      <c r="AO33" t="s">
        <v>1933</v>
      </c>
      <c r="AP33" t="s">
        <v>133</v>
      </c>
      <c r="AQ33" t="s">
        <v>866</v>
      </c>
      <c r="AR33" t="s">
        <v>227</v>
      </c>
      <c r="AS33" t="s">
        <v>1132</v>
      </c>
      <c r="AT33" t="s">
        <v>1934</v>
      </c>
      <c r="AU33" t="s">
        <v>383</v>
      </c>
      <c r="AV33" t="s">
        <v>1935</v>
      </c>
      <c r="AW33" t="s">
        <v>1936</v>
      </c>
      <c r="AX33" t="s">
        <v>351</v>
      </c>
      <c r="AY33" t="s">
        <v>683</v>
      </c>
      <c r="AZ33" t="s">
        <v>245</v>
      </c>
      <c r="BA33" t="s">
        <v>447</v>
      </c>
      <c r="BB33" t="s">
        <v>370</v>
      </c>
      <c r="BC33" t="s">
        <v>956</v>
      </c>
      <c r="BD33" t="s">
        <v>172</v>
      </c>
      <c r="BE33" t="s">
        <v>446</v>
      </c>
      <c r="BF33" t="s">
        <v>304</v>
      </c>
      <c r="BG33" t="s">
        <v>449</v>
      </c>
      <c r="BH33" t="s">
        <v>1937</v>
      </c>
      <c r="BI33" t="s">
        <v>1938</v>
      </c>
      <c r="BJ33" t="s">
        <v>351</v>
      </c>
      <c r="BK33" t="s">
        <v>1939</v>
      </c>
      <c r="BL33" t="s">
        <v>1940</v>
      </c>
      <c r="BM33" t="s">
        <v>956</v>
      </c>
      <c r="BN33">
        <v>6.45</v>
      </c>
      <c r="BO33">
        <v>7.19</v>
      </c>
      <c r="BP33">
        <v>14.3</v>
      </c>
      <c r="BQ33">
        <v>2.09</v>
      </c>
      <c r="BR33">
        <v>2.5499999999999998</v>
      </c>
      <c r="BS33">
        <v>8.9700000000000006</v>
      </c>
      <c r="BT33" t="s">
        <v>856</v>
      </c>
      <c r="BU33" t="s">
        <v>782</v>
      </c>
      <c r="BV33">
        <v>33.04</v>
      </c>
      <c r="BW33">
        <v>41.5</v>
      </c>
      <c r="BX33">
        <v>39.619999999999997</v>
      </c>
      <c r="BY33">
        <v>3.81</v>
      </c>
      <c r="BZ33">
        <v>4.0999999999999996</v>
      </c>
      <c r="CA33">
        <v>11.49</v>
      </c>
      <c r="CB33">
        <v>14.34</v>
      </c>
      <c r="CC33">
        <v>-28.42</v>
      </c>
      <c r="CD33" t="s">
        <v>264</v>
      </c>
      <c r="CE33" t="s">
        <v>452</v>
      </c>
      <c r="CF33" s="9">
        <v>3.5086247254132306</v>
      </c>
      <c r="CG33" s="10">
        <v>0.31567002323779997</v>
      </c>
      <c r="CH33" s="9">
        <v>-0.51604622602462769</v>
      </c>
      <c r="CI33" s="9">
        <v>-0.18429319560527802</v>
      </c>
      <c r="CJ33" s="9">
        <v>0.14645858108997345</v>
      </c>
      <c r="CK33" s="9">
        <v>-8.461538702249527E-2</v>
      </c>
      <c r="CL33" s="9">
        <v>0.1787564754486084</v>
      </c>
      <c r="CM33" s="10">
        <v>5.164661630988121E-2</v>
      </c>
      <c r="CN33" s="10">
        <v>-0.68755859136581421</v>
      </c>
      <c r="CO33" s="10">
        <v>5.6920193135738373E-2</v>
      </c>
      <c r="CP33" s="10">
        <v>-0.13684996962547302</v>
      </c>
      <c r="CQ33" s="10">
        <v>1.2176356315612793</v>
      </c>
      <c r="CR33">
        <v>34.682420376770658</v>
      </c>
      <c r="CS33">
        <v>3.7719623131680193</v>
      </c>
      <c r="CT33">
        <v>0</v>
      </c>
      <c r="CU33" s="9">
        <v>-9.1947950422763824E-2</v>
      </c>
      <c r="CV33" s="10">
        <v>0.10035877600312233</v>
      </c>
      <c r="CW33">
        <v>0.06</v>
      </c>
      <c r="CX33">
        <v>177.55475373184558</v>
      </c>
      <c r="CY33" t="s">
        <v>1941</v>
      </c>
      <c r="CZ33">
        <v>-9.1947950422763824E-2</v>
      </c>
      <c r="DA33">
        <v>59.184917910615191</v>
      </c>
      <c r="DB33" t="s">
        <v>1942</v>
      </c>
      <c r="DC33">
        <v>-8.7350552901625633E-2</v>
      </c>
      <c r="DD33">
        <v>29.592458955307595</v>
      </c>
      <c r="DE33" t="s">
        <v>1943</v>
      </c>
      <c r="DF33">
        <v>-8.0914196372032163E-2</v>
      </c>
      <c r="DG33">
        <v>17.755475373184556</v>
      </c>
      <c r="DH33" t="s">
        <v>1944</v>
      </c>
      <c r="DI33">
        <v>-7.355836033821106E-2</v>
      </c>
      <c r="DJ33">
        <v>8.8777376865922779</v>
      </c>
      <c r="DK33" t="s">
        <v>1945</v>
      </c>
      <c r="DL33">
        <v>-6.4363565295934677E-2</v>
      </c>
      <c r="DM33">
        <v>34172100</v>
      </c>
      <c r="DN33">
        <v>-9.1947950422763824E-2</v>
      </c>
      <c r="DO33">
        <v>6067418800</v>
      </c>
      <c r="DP33">
        <v>55761130</v>
      </c>
      <c r="DQ33">
        <v>2399</v>
      </c>
      <c r="DR33">
        <v>3.6005726758359944</v>
      </c>
      <c r="DS33">
        <v>0.21531124723467765</v>
      </c>
      <c r="DT33" s="11">
        <v>-0.65666666666666662</v>
      </c>
      <c r="DU33">
        <v>-0.10000000000000002</v>
      </c>
      <c r="DV33">
        <v>-0.7566666666666666</v>
      </c>
      <c r="DW33">
        <v>7.3353601496725913</v>
      </c>
      <c r="DX33">
        <v>0.38161073825503367</v>
      </c>
      <c r="DY33">
        <v>7.0810266133437132</v>
      </c>
      <c r="DZ33">
        <v>1845</v>
      </c>
      <c r="EA33">
        <v>7.0517714075474016</v>
      </c>
      <c r="EB33">
        <v>7</v>
      </c>
      <c r="EC33">
        <v>0.70310852089404152</v>
      </c>
      <c r="ED33">
        <v>2.9100880448114497</v>
      </c>
      <c r="EE33" s="12">
        <v>-1.0121</v>
      </c>
      <c r="EF33">
        <v>-1.0490999999999999</v>
      </c>
      <c r="EG33">
        <v>14.241610738255034</v>
      </c>
      <c r="EH33" t="s">
        <v>785</v>
      </c>
      <c r="EI33">
        <v>1</v>
      </c>
      <c r="EJ33">
        <v>0</v>
      </c>
      <c r="EK33" s="14">
        <v>45470</v>
      </c>
      <c r="EL33" s="15">
        <v>-1.97</v>
      </c>
      <c r="EM33" s="15">
        <v>-4.7699999999999996</v>
      </c>
      <c r="EN33" s="15">
        <v>20</v>
      </c>
      <c r="EO33" s="15">
        <v>3.32</v>
      </c>
      <c r="EP33" s="15">
        <v>3.7</v>
      </c>
    </row>
    <row r="34" spans="1:146" ht="96" x14ac:dyDescent="0.25">
      <c r="C34" s="7" t="str">
        <f>""&amp;CHAR(10)&amp;Basic_Fundamental_Information_Constructure(F34)&amp;CHAR(10)&amp;Basic_Fundamental_Information_Concatenate("")</f>
        <v xml:space="preserve">
市值37.601765亿, 利润7302.70万; PE; 平均PE61.43; 平均PEG.52, PB4.25; ROIC4.66%; ROE.8367%; 股利率0%; 毛利12.0067%; 净利3.9033%; 上一年度营收增537.34%, 利润增52.98%; 当季营收增508.31%, 利润增-87.49%; 过往5年营收增118.3%, 利润增50.12%
Income profile:
</v>
      </c>
      <c r="D34" t="s">
        <v>1946</v>
      </c>
      <c r="E34" t="s">
        <v>1947</v>
      </c>
      <c r="F34">
        <v>21.22</v>
      </c>
      <c r="G34">
        <v>0.62</v>
      </c>
      <c r="H34" t="s">
        <v>1948</v>
      </c>
      <c r="I34">
        <v>3760176500</v>
      </c>
      <c r="K34">
        <v>4.25</v>
      </c>
      <c r="L34" t="s">
        <v>57</v>
      </c>
      <c r="M34" t="s">
        <v>1949</v>
      </c>
      <c r="N34" t="s">
        <v>453</v>
      </c>
      <c r="O34" t="s">
        <v>1950</v>
      </c>
      <c r="P34" s="5">
        <v>534.03</v>
      </c>
      <c r="Q34" t="s">
        <v>1951</v>
      </c>
      <c r="R34">
        <v>6238216</v>
      </c>
      <c r="S34">
        <v>-0.88149999999999995</v>
      </c>
      <c r="T34" t="s">
        <v>1952</v>
      </c>
      <c r="U34">
        <v>152998030</v>
      </c>
      <c r="V34">
        <v>177199650</v>
      </c>
      <c r="W34">
        <v>4.43</v>
      </c>
      <c r="X34">
        <v>1.1599999999999999</v>
      </c>
      <c r="Y34">
        <v>1.43</v>
      </c>
      <c r="Z34" t="s">
        <v>1953</v>
      </c>
      <c r="AA34" t="s">
        <v>1698</v>
      </c>
      <c r="AB34" t="s">
        <v>383</v>
      </c>
      <c r="AC34" t="s">
        <v>807</v>
      </c>
      <c r="AD34" t="s">
        <v>133</v>
      </c>
      <c r="AE34">
        <v>10968880</v>
      </c>
      <c r="AF34" t="s">
        <v>158</v>
      </c>
      <c r="AG34" t="s">
        <v>1954</v>
      </c>
      <c r="AH34" t="s">
        <v>1955</v>
      </c>
      <c r="AI34" t="s">
        <v>1956</v>
      </c>
      <c r="AJ34" t="s">
        <v>1957</v>
      </c>
      <c r="AK34" t="s">
        <v>133</v>
      </c>
      <c r="AL34" t="s">
        <v>1958</v>
      </c>
      <c r="AM34" t="s">
        <v>133</v>
      </c>
      <c r="AN34" t="s">
        <v>1959</v>
      </c>
      <c r="AO34" t="s">
        <v>1960</v>
      </c>
      <c r="AP34" t="s">
        <v>133</v>
      </c>
      <c r="AQ34" t="s">
        <v>1961</v>
      </c>
      <c r="AR34" t="s">
        <v>133</v>
      </c>
      <c r="AS34" t="s">
        <v>1962</v>
      </c>
      <c r="AT34" t="s">
        <v>140</v>
      </c>
      <c r="AU34" t="s">
        <v>597</v>
      </c>
      <c r="AV34" t="s">
        <v>1963</v>
      </c>
      <c r="AW34" t="s">
        <v>876</v>
      </c>
      <c r="AX34" t="s">
        <v>977</v>
      </c>
      <c r="AY34" t="s">
        <v>1964</v>
      </c>
      <c r="AZ34" t="s">
        <v>1965</v>
      </c>
      <c r="BA34" t="s">
        <v>1966</v>
      </c>
      <c r="BB34" t="s">
        <v>1862</v>
      </c>
      <c r="BC34" t="s">
        <v>1967</v>
      </c>
      <c r="BD34" t="s">
        <v>1968</v>
      </c>
      <c r="BE34" t="s">
        <v>1969</v>
      </c>
      <c r="BF34" t="s">
        <v>1970</v>
      </c>
      <c r="BG34" t="s">
        <v>1971</v>
      </c>
      <c r="BH34" t="s">
        <v>1972</v>
      </c>
      <c r="BI34" t="s">
        <v>1973</v>
      </c>
      <c r="BJ34" t="s">
        <v>977</v>
      </c>
      <c r="BK34" t="s">
        <v>1974</v>
      </c>
      <c r="BL34" t="s">
        <v>1975</v>
      </c>
      <c r="BM34" t="s">
        <v>1967</v>
      </c>
      <c r="BN34" t="s">
        <v>133</v>
      </c>
      <c r="BO34">
        <v>5.18</v>
      </c>
      <c r="BP34">
        <v>4.1399999999999997</v>
      </c>
      <c r="BQ34">
        <v>-8.84</v>
      </c>
      <c r="BR34">
        <v>7.05</v>
      </c>
      <c r="BS34">
        <v>4.3</v>
      </c>
      <c r="BT34" t="s">
        <v>856</v>
      </c>
      <c r="BU34" t="s">
        <v>792</v>
      </c>
      <c r="BV34">
        <v>9.3000000000000007</v>
      </c>
      <c r="BW34">
        <v>15.97</v>
      </c>
      <c r="BX34">
        <v>10.75</v>
      </c>
      <c r="BY34">
        <v>-1.57</v>
      </c>
      <c r="BZ34">
        <v>7.57</v>
      </c>
      <c r="CA34">
        <v>5.71</v>
      </c>
      <c r="CB34">
        <v>0.43</v>
      </c>
      <c r="CC34" s="9">
        <v>-20.32</v>
      </c>
      <c r="CD34" s="10" t="s">
        <v>1976</v>
      </c>
      <c r="CE34" s="9" t="s">
        <v>1977</v>
      </c>
      <c r="CF34" s="9">
        <v>5.0831234256926949</v>
      </c>
      <c r="CG34" s="9">
        <v>-0.87489790434172265</v>
      </c>
      <c r="CH34" s="9">
        <v>5.3734064102172852</v>
      </c>
      <c r="CI34" s="9">
        <v>0.26206895709037781</v>
      </c>
      <c r="CJ34" s="10">
        <v>-3.3333335071802139E-2</v>
      </c>
      <c r="CK34" s="10">
        <v>-2.2172948811203241E-3</v>
      </c>
      <c r="CL34" s="10">
        <v>0.31486880779266357</v>
      </c>
      <c r="CM34" s="10">
        <v>0.52979373931884766</v>
      </c>
      <c r="CN34" s="10">
        <v>1.0357064008712769</v>
      </c>
      <c r="CO34">
        <v>-0.75606441497802734</v>
      </c>
      <c r="CP34">
        <v>4.2768269777297974E-2</v>
      </c>
      <c r="CQ34">
        <v>1.6537817716598511</v>
      </c>
      <c r="CR34" s="9">
        <v>61.429215953856186</v>
      </c>
      <c r="CS34" s="10">
        <v>0.51928453195339119</v>
      </c>
      <c r="CT34">
        <v>0</v>
      </c>
      <c r="CU34">
        <v>1.1829587090294809</v>
      </c>
      <c r="CV34">
        <v>0.50119715332984927</v>
      </c>
      <c r="CW34">
        <v>0.06</v>
      </c>
      <c r="CX34">
        <v>39.8438669674672</v>
      </c>
      <c r="CY34">
        <v>150391439.28707159</v>
      </c>
      <c r="CZ34">
        <v>1.1829587090294809</v>
      </c>
      <c r="DA34">
        <v>5.8355063341485769</v>
      </c>
      <c r="DB34">
        <v>1026847741.5463694</v>
      </c>
      <c r="DC34">
        <v>1.1238107735780067</v>
      </c>
      <c r="DD34">
        <v>0.78941885561147462</v>
      </c>
      <c r="DE34">
        <v>7590617398.3626604</v>
      </c>
      <c r="DF34">
        <v>1.0410036639459432</v>
      </c>
      <c r="DG34">
        <v>8.5960570836037434E-2</v>
      </c>
      <c r="DH34">
        <v>69708430757.51059</v>
      </c>
      <c r="DI34">
        <v>0.94636696722358471</v>
      </c>
      <c r="DJ34">
        <v>6.3646299620336163E-4</v>
      </c>
      <c r="DK34">
        <v>9414807358392.584</v>
      </c>
      <c r="DL34">
        <v>0.82807109632063658</v>
      </c>
      <c r="DM34">
        <v>73027000</v>
      </c>
      <c r="DN34">
        <v>1.1829587090294809</v>
      </c>
      <c r="DO34">
        <v>5992176500</v>
      </c>
      <c r="DP34">
        <v>49047900</v>
      </c>
      <c r="DQ34" s="11">
        <v>2423</v>
      </c>
      <c r="DR34">
        <v>3.9001647166632143</v>
      </c>
      <c r="DS34">
        <v>-1.3760950576715718</v>
      </c>
      <c r="DT34">
        <v>0.10999999999999995</v>
      </c>
      <c r="DU34">
        <v>-4.0000000000000036E-2</v>
      </c>
      <c r="DV34">
        <v>6.999999999999991E-2</v>
      </c>
      <c r="DW34">
        <v>-3.0488571428571429</v>
      </c>
      <c r="DX34">
        <v>0.5218216470577457</v>
      </c>
      <c r="DY34">
        <v>-3.0123032861848213</v>
      </c>
      <c r="DZ34">
        <v>2341</v>
      </c>
      <c r="EA34">
        <v>-3.0066668883455518</v>
      </c>
      <c r="EB34" s="12">
        <v>3</v>
      </c>
      <c r="EC34" s="12">
        <v>6.2000686795938932E-2</v>
      </c>
      <c r="ED34">
        <v>0.24620872558156862</v>
      </c>
      <c r="EE34">
        <v>-5.0377999999999998</v>
      </c>
      <c r="EF34">
        <v>-5.0309999999999997</v>
      </c>
      <c r="EG34">
        <v>27.251821647057746</v>
      </c>
      <c r="EH34" s="14" t="s">
        <v>1978</v>
      </c>
      <c r="EI34">
        <v>0</v>
      </c>
      <c r="EJ34">
        <v>0</v>
      </c>
      <c r="EK34">
        <v>45470</v>
      </c>
      <c r="EL34">
        <v>-1.28</v>
      </c>
      <c r="EM34">
        <v>-5.71</v>
      </c>
      <c r="EN34" s="15">
        <v>19.989999999999998</v>
      </c>
      <c r="EO34" s="15">
        <v>0.1</v>
      </c>
      <c r="EP34" s="15">
        <v>-0.68</v>
      </c>
    </row>
    <row r="35" spans="1:146" ht="156" x14ac:dyDescent="0.25">
      <c r="A35" s="7"/>
      <c r="B35" s="7"/>
      <c r="C35" s="7" t="str">
        <f>"公司主要从事母婴童商品零售及增值服务,是一家数据驱动的，基于顾客关系经营的创新型新家庭全渠道服务提供商。公司主要通过线下直营门店和线上渠道向目标用户群体销售食品(奶粉、零食辅食、营养保健)、衣物品(内衣家纺、外服童鞋)、易耗品(纸尿裤、洗护用品)、耐用品(玩具、文教智能、车床椅)等多个品类"&amp;CHAR(10)&amp;Basic_Fundamental_Information_Constructure(F35)&amp;CHAR(10)&amp;Basic_Fundamental_Information_Concatenate("母婴商品 38.43亿 87.86% 63.56% 21.33%
其他业务 5.31亿 12.14% 36.44% 88.48%")</f>
        <v>公司主要从事母婴童商品零售及增值服务,是一家数据驱动的，基于顾客关系经营的创新型新家庭全渠道服务提供商。公司主要通过线下直营门店和线上渠道向目标用户群体销售食品(奶粉、零食辅食、营养保健)、衣物品(内衣家纺、外服童鞋)、易耗品(纸尿裤、洗护用品)、耐用品(玩具、文教智能、车床椅)等多个品类
市值59.627562亿, 利润657.84万; PE54.61; 平均PE26.03; 平均PEG1.88, PB1.9; ROIC5.9133%; ROE5.6333%; 股利率.9346%; 毛利30.0233%; 净利1.67%; 上一年度营收增-96.76%, 利润增-94.61%; 当季营收增2932.85%, 利润增36.16%; 过往5年营收增-13.88%, 利润增-28.45%
Income profile:
母婴商品 38.43亿 87.86% 63.56% 21.33%
其他业务 5.31亿 12.14% 36.44% 88.48%</v>
      </c>
      <c r="D35" t="s">
        <v>590</v>
      </c>
      <c r="E35" t="s">
        <v>591</v>
      </c>
      <c r="F35">
        <v>5.35</v>
      </c>
      <c r="G35">
        <v>-0.37</v>
      </c>
      <c r="H35" t="s">
        <v>1979</v>
      </c>
      <c r="I35">
        <v>5962756200</v>
      </c>
      <c r="J35">
        <v>54.61</v>
      </c>
      <c r="K35">
        <v>1.9</v>
      </c>
      <c r="L35" t="s">
        <v>57</v>
      </c>
      <c r="M35" t="s">
        <v>1980</v>
      </c>
      <c r="N35" t="s">
        <v>1981</v>
      </c>
      <c r="O35" t="s">
        <v>1982</v>
      </c>
      <c r="P35">
        <v>4.6399999999999997</v>
      </c>
      <c r="Q35" t="s">
        <v>597</v>
      </c>
      <c r="R35">
        <v>11658850</v>
      </c>
      <c r="S35" s="5">
        <v>0.53549999999999998</v>
      </c>
      <c r="T35" t="s">
        <v>1983</v>
      </c>
      <c r="U35">
        <v>647835210</v>
      </c>
      <c r="V35">
        <v>1114533870</v>
      </c>
      <c r="W35">
        <v>2.88</v>
      </c>
      <c r="X35">
        <v>0.23</v>
      </c>
      <c r="Y35">
        <v>0.75</v>
      </c>
      <c r="Z35" t="s">
        <v>1984</v>
      </c>
      <c r="AA35" t="s">
        <v>676</v>
      </c>
      <c r="AB35" t="s">
        <v>1069</v>
      </c>
      <c r="AC35" t="s">
        <v>278</v>
      </c>
      <c r="AD35" t="s">
        <v>133</v>
      </c>
      <c r="AE35">
        <v>31047002</v>
      </c>
      <c r="AF35" t="s">
        <v>1985</v>
      </c>
      <c r="AG35" t="s">
        <v>1986</v>
      </c>
      <c r="AH35" t="s">
        <v>1987</v>
      </c>
      <c r="AI35" t="s">
        <v>1988</v>
      </c>
      <c r="AJ35" t="s">
        <v>1989</v>
      </c>
      <c r="AK35" t="s">
        <v>133</v>
      </c>
      <c r="AL35" t="s">
        <v>1990</v>
      </c>
      <c r="AM35" t="s">
        <v>133</v>
      </c>
      <c r="AN35" t="s">
        <v>218</v>
      </c>
      <c r="AO35" t="s">
        <v>133</v>
      </c>
      <c r="AP35" t="s">
        <v>574</v>
      </c>
      <c r="AQ35" t="s">
        <v>1991</v>
      </c>
      <c r="AR35" t="s">
        <v>1992</v>
      </c>
      <c r="AS35" t="s">
        <v>1993</v>
      </c>
      <c r="AT35" t="s">
        <v>1994</v>
      </c>
      <c r="AU35" t="s">
        <v>390</v>
      </c>
      <c r="AV35" t="s">
        <v>1995</v>
      </c>
      <c r="AW35" t="s">
        <v>1996</v>
      </c>
      <c r="AX35" t="s">
        <v>957</v>
      </c>
      <c r="AY35" t="s">
        <v>684</v>
      </c>
      <c r="AZ35" t="s">
        <v>592</v>
      </c>
      <c r="BA35" t="s">
        <v>595</v>
      </c>
      <c r="BB35" t="s">
        <v>596</v>
      </c>
      <c r="BC35" t="s">
        <v>168</v>
      </c>
      <c r="BD35" t="s">
        <v>202</v>
      </c>
      <c r="BE35" t="s">
        <v>593</v>
      </c>
      <c r="BF35" t="s">
        <v>348</v>
      </c>
      <c r="BG35" t="s">
        <v>597</v>
      </c>
      <c r="BH35" t="s">
        <v>1997</v>
      </c>
      <c r="BI35" t="s">
        <v>1998</v>
      </c>
      <c r="BJ35" t="s">
        <v>957</v>
      </c>
      <c r="BK35" t="s">
        <v>283</v>
      </c>
      <c r="BL35" t="s">
        <v>1999</v>
      </c>
      <c r="BM35" t="s">
        <v>168</v>
      </c>
      <c r="BN35">
        <v>3.94</v>
      </c>
      <c r="BO35">
        <v>4.41</v>
      </c>
      <c r="BP35">
        <v>9.39</v>
      </c>
      <c r="BQ35">
        <v>3.87</v>
      </c>
      <c r="BR35">
        <v>4.2</v>
      </c>
      <c r="BS35">
        <v>8.83</v>
      </c>
      <c r="BT35" t="s">
        <v>860</v>
      </c>
      <c r="BU35" t="s">
        <v>792</v>
      </c>
      <c r="BV35">
        <v>29.56</v>
      </c>
      <c r="BW35">
        <v>29.91</v>
      </c>
      <c r="BX35">
        <v>30.6</v>
      </c>
      <c r="BY35">
        <v>1.38</v>
      </c>
      <c r="BZ35">
        <v>1.41</v>
      </c>
      <c r="CA35">
        <v>2.2200000000000002</v>
      </c>
      <c r="CB35">
        <v>5.73</v>
      </c>
      <c r="CC35">
        <v>-16.670000000000002</v>
      </c>
      <c r="CD35" t="s">
        <v>2000</v>
      </c>
      <c r="CE35" t="s">
        <v>2001</v>
      </c>
      <c r="CF35" s="9">
        <v>29.328456911888505</v>
      </c>
      <c r="CG35" s="10">
        <v>0.3615539128099125</v>
      </c>
      <c r="CH35" s="9">
        <v>-0.9676055908203125</v>
      </c>
      <c r="CI35" s="9">
        <v>-5.8459490537643433E-2</v>
      </c>
      <c r="CJ35" s="9">
        <v>8.3064049482345581E-2</v>
      </c>
      <c r="CK35" s="9">
        <v>1.3587286695837975E-2</v>
      </c>
      <c r="CL35" s="9">
        <v>0.23564678430557251</v>
      </c>
      <c r="CM35" s="10">
        <v>-0.94607871770858765</v>
      </c>
      <c r="CN35" s="10">
        <v>-0.39603960514068604</v>
      </c>
      <c r="CO35" s="10">
        <v>-0.48337596654891968</v>
      </c>
      <c r="CP35" s="10">
        <v>3.7135276943445206E-2</v>
      </c>
      <c r="CQ35" s="10">
        <v>0.36594203114509583</v>
      </c>
      <c r="CR35">
        <v>26.027280219156651</v>
      </c>
      <c r="CS35">
        <v>1.8757941561789186</v>
      </c>
      <c r="CT35">
        <v>0.93457943925233655</v>
      </c>
      <c r="CU35" s="9">
        <v>-0.13875339217483998</v>
      </c>
      <c r="CV35" s="10">
        <v>-0.28448339626193048</v>
      </c>
      <c r="CW35">
        <v>0.06</v>
      </c>
      <c r="CX35">
        <v>1361.3882098990637</v>
      </c>
      <c r="CY35" t="s">
        <v>2002</v>
      </c>
      <c r="CZ35">
        <v>-0.13875339217483998</v>
      </c>
      <c r="DA35">
        <v>453.79606996635454</v>
      </c>
      <c r="DB35" t="s">
        <v>2003</v>
      </c>
      <c r="DC35">
        <v>-0.13181572256609797</v>
      </c>
      <c r="DD35">
        <v>226.89803498317727</v>
      </c>
      <c r="DE35" t="s">
        <v>2004</v>
      </c>
      <c r="DF35">
        <v>-0.12210298511385918</v>
      </c>
      <c r="DG35">
        <v>136.13882098990635</v>
      </c>
      <c r="DH35" t="s">
        <v>2005</v>
      </c>
      <c r="DI35">
        <v>-0.11100271373987199</v>
      </c>
      <c r="DJ35">
        <v>68.069410494953175</v>
      </c>
      <c r="DK35" t="s">
        <v>2006</v>
      </c>
      <c r="DL35">
        <v>-9.7127374522387983E-2</v>
      </c>
      <c r="DM35">
        <v>6578400</v>
      </c>
      <c r="DN35">
        <v>-0.13875339217483998</v>
      </c>
      <c r="DO35">
        <v>8955756200</v>
      </c>
      <c r="DP35">
        <v>2523138600</v>
      </c>
      <c r="DQ35">
        <v>2522</v>
      </c>
      <c r="DR35">
        <v>29.467210304063347</v>
      </c>
      <c r="DS35">
        <v>0.64603730907184298</v>
      </c>
      <c r="DT35" s="11">
        <v>-0.67333333333333334</v>
      </c>
      <c r="DU35">
        <v>-0.73666666666666669</v>
      </c>
      <c r="DV35">
        <v>-1.4100000000000001</v>
      </c>
      <c r="DW35">
        <v>6.2558035714285714</v>
      </c>
      <c r="DX35">
        <v>0.57046272493573236</v>
      </c>
      <c r="DY35">
        <v>6.0973237238340063</v>
      </c>
      <c r="DZ35">
        <v>817</v>
      </c>
      <c r="EA35">
        <v>6.0817633554636767</v>
      </c>
      <c r="EB35">
        <v>6</v>
      </c>
      <c r="EC35">
        <v>0.13279093976749221</v>
      </c>
      <c r="ED35">
        <v>0.3490248349294221</v>
      </c>
      <c r="EE35" s="12">
        <v>3.0991</v>
      </c>
      <c r="EF35">
        <v>3.0798000000000001</v>
      </c>
      <c r="EG35">
        <v>19.380462724935732</v>
      </c>
      <c r="EH35" t="s">
        <v>959</v>
      </c>
      <c r="EI35">
        <v>0</v>
      </c>
      <c r="EJ35">
        <v>1</v>
      </c>
      <c r="EK35" s="14">
        <v>45470</v>
      </c>
      <c r="EL35" s="15">
        <v>-0.22</v>
      </c>
      <c r="EM35" s="15">
        <v>-5.28</v>
      </c>
      <c r="EN35" s="15">
        <v>1.97</v>
      </c>
      <c r="EO35" s="15">
        <v>3.02</v>
      </c>
      <c r="EP35" s="15">
        <v>-1.93</v>
      </c>
    </row>
    <row r="36" spans="1:146" ht="96" x14ac:dyDescent="0.25">
      <c r="A36" s="8"/>
      <c r="B36" s="8"/>
      <c r="C36" s="7" t="str">
        <f>""&amp;CHAR(10)&amp;Basic_Fundamental_Information_Constructure(F36)&amp;CHAR(10)&amp;Basic_Fundamental_Information_Concatenate("")</f>
        <v xml:space="preserve">
市值33.469614亿, 利润1.98亿; PE16.69; 平均PE18.65; 平均PEG.16, PB1.42; ROIC15.1933%; ROE16.2733%; 股利率2.267%; 毛利39.9467%; 净利48.43%; 上一年度营收增320.59%, 利润增22.98%; 当季营收增-79.43%, 利润增1.83%; 过往5年营收增116.32%, 利润增22.98%
Income profile:
</v>
      </c>
      <c r="D36" t="s">
        <v>84</v>
      </c>
      <c r="E36" t="s">
        <v>22</v>
      </c>
      <c r="F36">
        <v>7.94</v>
      </c>
      <c r="G36">
        <v>1.93</v>
      </c>
      <c r="H36" t="s">
        <v>2007</v>
      </c>
      <c r="I36">
        <v>3346961400</v>
      </c>
      <c r="J36">
        <v>16.690000000000001</v>
      </c>
      <c r="K36">
        <v>1.42</v>
      </c>
      <c r="L36" t="s">
        <v>57</v>
      </c>
      <c r="M36" t="s">
        <v>2008</v>
      </c>
      <c r="N36" t="s">
        <v>1089</v>
      </c>
      <c r="O36" t="s">
        <v>387</v>
      </c>
      <c r="P36">
        <v>-0.25</v>
      </c>
      <c r="Q36" t="s">
        <v>2009</v>
      </c>
      <c r="R36">
        <v>19642473</v>
      </c>
      <c r="S36" s="5">
        <v>-0.24970000000000001</v>
      </c>
      <c r="T36" t="s">
        <v>1438</v>
      </c>
      <c r="U36">
        <v>411431160</v>
      </c>
      <c r="V36">
        <v>421531660</v>
      </c>
      <c r="W36">
        <v>1.46</v>
      </c>
      <c r="X36" t="s">
        <v>133</v>
      </c>
      <c r="Y36">
        <v>9.75</v>
      </c>
      <c r="Z36" t="s">
        <v>133</v>
      </c>
      <c r="AA36" t="s">
        <v>133</v>
      </c>
      <c r="AB36" t="s">
        <v>133</v>
      </c>
      <c r="AC36" t="s">
        <v>133</v>
      </c>
      <c r="AD36" t="s">
        <v>133</v>
      </c>
      <c r="AE36">
        <v>-2067531</v>
      </c>
      <c r="AF36" t="s">
        <v>2010</v>
      </c>
      <c r="AG36" t="s">
        <v>2011</v>
      </c>
      <c r="AH36" t="s">
        <v>2012</v>
      </c>
      <c r="AI36" t="s">
        <v>2013</v>
      </c>
      <c r="AJ36" t="s">
        <v>2014</v>
      </c>
      <c r="AK36" t="s">
        <v>133</v>
      </c>
      <c r="AL36" t="s">
        <v>2015</v>
      </c>
      <c r="AM36" t="s">
        <v>133</v>
      </c>
      <c r="AN36" t="s">
        <v>2016</v>
      </c>
      <c r="AO36" t="s">
        <v>133</v>
      </c>
      <c r="AP36" t="s">
        <v>133</v>
      </c>
      <c r="AQ36" t="s">
        <v>2017</v>
      </c>
      <c r="AR36" t="s">
        <v>2018</v>
      </c>
      <c r="AS36" t="s">
        <v>133</v>
      </c>
      <c r="AT36" t="s">
        <v>133</v>
      </c>
      <c r="AU36" t="s">
        <v>2019</v>
      </c>
      <c r="AV36" t="s">
        <v>2020</v>
      </c>
      <c r="AW36" t="s">
        <v>2021</v>
      </c>
      <c r="AX36" t="s">
        <v>274</v>
      </c>
      <c r="AY36" t="s">
        <v>133</v>
      </c>
      <c r="AZ36" t="s">
        <v>341</v>
      </c>
      <c r="BA36" t="s">
        <v>226</v>
      </c>
      <c r="BB36" t="s">
        <v>450</v>
      </c>
      <c r="BC36" t="s">
        <v>1157</v>
      </c>
      <c r="BD36" t="s">
        <v>133</v>
      </c>
      <c r="BE36" t="s">
        <v>133</v>
      </c>
      <c r="BF36" t="s">
        <v>133</v>
      </c>
      <c r="BG36" t="s">
        <v>133</v>
      </c>
      <c r="BH36" t="s">
        <v>2022</v>
      </c>
      <c r="BI36" t="s">
        <v>2023</v>
      </c>
      <c r="BJ36" t="s">
        <v>274</v>
      </c>
      <c r="BK36" t="s">
        <v>148</v>
      </c>
      <c r="BL36" t="s">
        <v>2024</v>
      </c>
      <c r="BM36" t="s">
        <v>1157</v>
      </c>
      <c r="BN36">
        <v>3.56</v>
      </c>
      <c r="BO36">
        <v>8.5</v>
      </c>
      <c r="BP36">
        <v>33.520000000000003</v>
      </c>
      <c r="BQ36">
        <v>4.8499999999999996</v>
      </c>
      <c r="BR36">
        <v>7.53</v>
      </c>
      <c r="BS36">
        <v>36.44</v>
      </c>
      <c r="BT36" t="s">
        <v>2025</v>
      </c>
      <c r="BU36" t="s">
        <v>782</v>
      </c>
      <c r="BV36">
        <v>36.96</v>
      </c>
      <c r="BW36">
        <v>41.97</v>
      </c>
      <c r="BX36">
        <v>40.909999999999997</v>
      </c>
      <c r="BY36">
        <v>23.62</v>
      </c>
      <c r="BZ36">
        <v>21.24</v>
      </c>
      <c r="CA36">
        <v>100.43</v>
      </c>
      <c r="CB36">
        <v>4.2</v>
      </c>
      <c r="CC36">
        <v>2.4500000000000002</v>
      </c>
      <c r="CD36" t="s">
        <v>2026</v>
      </c>
      <c r="CE36" t="s">
        <v>2027</v>
      </c>
      <c r="CF36" s="9">
        <v>-0.79426433915211969</v>
      </c>
      <c r="CG36" s="10">
        <v>1.8303990792870695E-2</v>
      </c>
      <c r="CH36" s="9">
        <v>3.2058823108673096</v>
      </c>
      <c r="CI36" s="9" t="s">
        <v>133</v>
      </c>
      <c r="CJ36" s="9" t="s">
        <v>133</v>
      </c>
      <c r="CK36" s="9">
        <v>9.2369474470615387E-2</v>
      </c>
      <c r="CL36" s="9">
        <v>0.19138756394386292</v>
      </c>
      <c r="CM36" s="10">
        <v>0.22981366515159607</v>
      </c>
      <c r="CN36" s="10" t="s">
        <v>133</v>
      </c>
      <c r="CO36" s="10" t="s">
        <v>133</v>
      </c>
      <c r="CP36" s="10" t="s">
        <v>133</v>
      </c>
      <c r="CQ36" s="10" t="s">
        <v>133</v>
      </c>
      <c r="CR36">
        <v>18.646024512534819</v>
      </c>
      <c r="CS36">
        <v>0.16029757788327675</v>
      </c>
      <c r="CT36">
        <v>2.2670025188916876</v>
      </c>
      <c r="CU36" s="9">
        <v>1.1632131164272626</v>
      </c>
      <c r="CV36" s="10">
        <v>0.22981366515159607</v>
      </c>
      <c r="CW36">
        <v>0.06</v>
      </c>
      <c r="CX36">
        <v>5.1846255156381575</v>
      </c>
      <c r="CY36">
        <v>404071884.01188481</v>
      </c>
      <c r="CZ36">
        <v>1.1632131164272626</v>
      </c>
      <c r="DA36">
        <v>0.76884690502607211</v>
      </c>
      <c r="DB36">
        <v>2724809563.9130635</v>
      </c>
      <c r="DC36">
        <v>1.1050524606058993</v>
      </c>
      <c r="DD36">
        <v>0.1062688566102374</v>
      </c>
      <c r="DE36">
        <v>19713785080.832253</v>
      </c>
      <c r="DF36">
        <v>1.0236275424559911</v>
      </c>
      <c r="DG36">
        <v>1.1910057931774397E-2</v>
      </c>
      <c r="DH36">
        <v>175898506287.7764</v>
      </c>
      <c r="DI36">
        <v>0.93057049314181006</v>
      </c>
      <c r="DJ36">
        <v>9.4518466663086665E-5</v>
      </c>
      <c r="DK36">
        <v>22164572426545.387</v>
      </c>
      <c r="DL36">
        <v>0.81424918149908376</v>
      </c>
      <c r="DM36">
        <v>198000000</v>
      </c>
      <c r="DN36">
        <v>1.1632131164272626</v>
      </c>
      <c r="DO36">
        <v>2094961400</v>
      </c>
      <c r="DP36">
        <v>1588099200</v>
      </c>
      <c r="DQ36">
        <v>2930</v>
      </c>
      <c r="DR36">
        <v>-1.9574774555793821</v>
      </c>
      <c r="DS36">
        <v>-0.21150967435872536</v>
      </c>
      <c r="DT36" s="11">
        <v>-0.21000000000000008</v>
      </c>
      <c r="DU36">
        <v>0.5</v>
      </c>
      <c r="DV36">
        <v>0.28999999999999992</v>
      </c>
      <c r="DW36">
        <v>4.583333333333333</v>
      </c>
      <c r="DX36">
        <v>0.40490373870892893</v>
      </c>
      <c r="DY36">
        <v>4.107860514246874</v>
      </c>
      <c r="DZ36">
        <v>5035</v>
      </c>
      <c r="EA36">
        <v>4.0015830799546999</v>
      </c>
      <c r="EB36">
        <v>4</v>
      </c>
      <c r="EC36">
        <v>3.6353378533892332E-2</v>
      </c>
      <c r="ED36">
        <v>0.19660705912338827</v>
      </c>
      <c r="EE36" s="12">
        <v>-7.0644099999999996</v>
      </c>
      <c r="EF36">
        <v>-7.1104099999999999</v>
      </c>
      <c r="EG36">
        <v>22.184903738708929</v>
      </c>
      <c r="EH36" t="s">
        <v>1550</v>
      </c>
      <c r="EI36">
        <v>0</v>
      </c>
      <c r="EJ36">
        <v>0</v>
      </c>
      <c r="EK36" s="14">
        <v>45470</v>
      </c>
      <c r="EL36" s="15">
        <v>-4.67</v>
      </c>
      <c r="EM36" s="15">
        <v>-4.9000000000000004</v>
      </c>
      <c r="EN36" s="15">
        <v>-5.15</v>
      </c>
      <c r="EO36" s="15">
        <v>-5.43</v>
      </c>
      <c r="EP36" s="15">
        <v>-4.5999999999999996</v>
      </c>
    </row>
    <row r="37" spans="1:146" ht="96" x14ac:dyDescent="0.25">
      <c r="C37" s="7" t="str">
        <f>""&amp;CHAR(10)&amp;Basic_Fundamental_Information_Constructure(F37)&amp;CHAR(10)&amp;Basic_Fundamental_Information_Concatenate("")</f>
        <v xml:space="preserve">
市值30.66862亿, 利润6062.46万; PE; 平均PE-7.89; 平均PEG-.17, PB2.34; ROIC3.75%; ROE-107.5%; 股利率0%; 毛利36.2667%; 净利-22.9333%; 上一年度营收增-74.53%, 利润增107.23%; 当季营收增137.91%, 利润增-531.76%; 过往5年营收增-46.25%, 利润增107.23%
Income profile:
</v>
      </c>
      <c r="D37" t="s">
        <v>1033</v>
      </c>
      <c r="E37" t="s">
        <v>1129</v>
      </c>
      <c r="F37">
        <v>1.91</v>
      </c>
      <c r="G37">
        <v>0.53</v>
      </c>
      <c r="H37" t="s">
        <v>2028</v>
      </c>
      <c r="I37">
        <v>3066862000</v>
      </c>
      <c r="K37">
        <v>2.34</v>
      </c>
      <c r="L37" t="s">
        <v>57</v>
      </c>
      <c r="M37" t="s">
        <v>2029</v>
      </c>
      <c r="N37" t="s">
        <v>2030</v>
      </c>
      <c r="O37" t="s">
        <v>2031</v>
      </c>
      <c r="P37" s="5">
        <v>9.01</v>
      </c>
      <c r="Q37" t="s">
        <v>2032</v>
      </c>
      <c r="R37">
        <v>-54096316</v>
      </c>
      <c r="S37">
        <v>-1.3520000000000001</v>
      </c>
      <c r="T37" t="s">
        <v>2033</v>
      </c>
      <c r="U37">
        <v>1605686900</v>
      </c>
      <c r="V37">
        <v>1605686900</v>
      </c>
      <c r="W37">
        <v>5.36</v>
      </c>
      <c r="X37" t="s">
        <v>133</v>
      </c>
      <c r="Y37">
        <v>-14.57</v>
      </c>
      <c r="Z37" t="s">
        <v>133</v>
      </c>
      <c r="AA37" t="s">
        <v>133</v>
      </c>
      <c r="AB37" t="s">
        <v>133</v>
      </c>
      <c r="AC37" t="s">
        <v>133</v>
      </c>
      <c r="AD37" t="s">
        <v>133</v>
      </c>
      <c r="AE37">
        <v>53377394</v>
      </c>
      <c r="AF37" t="s">
        <v>2034</v>
      </c>
      <c r="AG37" t="s">
        <v>2035</v>
      </c>
      <c r="AH37" t="s">
        <v>2036</v>
      </c>
      <c r="AI37" t="s">
        <v>2037</v>
      </c>
      <c r="AJ37" t="s">
        <v>2038</v>
      </c>
      <c r="AK37" t="s">
        <v>133</v>
      </c>
      <c r="AL37" t="s">
        <v>2039</v>
      </c>
      <c r="AM37" t="s">
        <v>133</v>
      </c>
      <c r="AN37">
        <v>0</v>
      </c>
      <c r="AO37" t="s">
        <v>133</v>
      </c>
      <c r="AP37" t="s">
        <v>133</v>
      </c>
      <c r="AQ37" t="s">
        <v>291</v>
      </c>
      <c r="AR37" t="s">
        <v>2040</v>
      </c>
      <c r="AS37" t="s">
        <v>133</v>
      </c>
      <c r="AT37" t="s">
        <v>133</v>
      </c>
      <c r="AU37" t="s">
        <v>2041</v>
      </c>
      <c r="AV37" t="s">
        <v>2042</v>
      </c>
      <c r="AW37" t="s">
        <v>1160</v>
      </c>
      <c r="AX37" t="s">
        <v>1034</v>
      </c>
      <c r="AY37" t="s">
        <v>133</v>
      </c>
      <c r="AZ37" t="s">
        <v>1035</v>
      </c>
      <c r="BA37" t="s">
        <v>396</v>
      </c>
      <c r="BB37" t="s">
        <v>1036</v>
      </c>
      <c r="BC37" t="s">
        <v>2043</v>
      </c>
      <c r="BD37" t="s">
        <v>133</v>
      </c>
      <c r="BE37" t="s">
        <v>133</v>
      </c>
      <c r="BF37" t="s">
        <v>133</v>
      </c>
      <c r="BG37" t="s">
        <v>133</v>
      </c>
      <c r="BH37" t="s">
        <v>2044</v>
      </c>
      <c r="BI37" t="s">
        <v>147</v>
      </c>
      <c r="BJ37" t="s">
        <v>1034</v>
      </c>
      <c r="BK37" t="s">
        <v>2045</v>
      </c>
      <c r="BL37" t="s">
        <v>2046</v>
      </c>
      <c r="BM37" t="s">
        <v>2043</v>
      </c>
      <c r="BN37">
        <v>3.75</v>
      </c>
      <c r="BO37" t="s">
        <v>133</v>
      </c>
      <c r="BP37" t="s">
        <v>133</v>
      </c>
      <c r="BQ37">
        <v>8.2200000000000006</v>
      </c>
      <c r="BR37">
        <v>-223.22</v>
      </c>
      <c r="BS37" t="s">
        <v>133</v>
      </c>
      <c r="BT37" t="s">
        <v>856</v>
      </c>
      <c r="BU37" t="s">
        <v>782</v>
      </c>
      <c r="BV37">
        <v>37.86</v>
      </c>
      <c r="BW37">
        <v>35.83</v>
      </c>
      <c r="BX37">
        <v>35.11</v>
      </c>
      <c r="BY37">
        <v>-3.76</v>
      </c>
      <c r="BZ37">
        <v>-48.73</v>
      </c>
      <c r="CA37">
        <v>-16.309999999999999</v>
      </c>
      <c r="CB37">
        <v>3.24</v>
      </c>
      <c r="CC37" s="9">
        <v>-16.59</v>
      </c>
      <c r="CD37" s="10" t="s">
        <v>2047</v>
      </c>
      <c r="CE37" s="9" t="s">
        <v>1062</v>
      </c>
      <c r="CF37" s="9">
        <v>1.3791208791208791</v>
      </c>
      <c r="CG37" s="9">
        <v>-5.3176193212655241</v>
      </c>
      <c r="CH37" s="9">
        <v>-0.74532711505889893</v>
      </c>
      <c r="CI37" s="9" t="s">
        <v>133</v>
      </c>
      <c r="CJ37" s="10" t="s">
        <v>133</v>
      </c>
      <c r="CK37" s="10">
        <v>-0.29689502716064453</v>
      </c>
      <c r="CL37" s="10">
        <v>-0.3452792763710022</v>
      </c>
      <c r="CM37" s="10">
        <v>1.0723444223403931</v>
      </c>
      <c r="CN37" s="10" t="s">
        <v>133</v>
      </c>
      <c r="CO37" t="s">
        <v>133</v>
      </c>
      <c r="CP37" t="s">
        <v>133</v>
      </c>
      <c r="CQ37" t="s">
        <v>133</v>
      </c>
      <c r="CR37" s="9">
        <v>-7.8902985610298435</v>
      </c>
      <c r="CS37" s="10">
        <v>-0.17060087554458106</v>
      </c>
      <c r="CT37">
        <v>0</v>
      </c>
      <c r="CU37">
        <v>-0.4625004728635152</v>
      </c>
      <c r="CV37">
        <v>1.0723444223403931</v>
      </c>
      <c r="CW37">
        <v>0.06</v>
      </c>
      <c r="CX37" t="e">
        <v>#VALUE!</v>
      </c>
      <c r="CY37" t="s">
        <v>2048</v>
      </c>
      <c r="CZ37">
        <v>-0.4625004728635152</v>
      </c>
      <c r="DA37">
        <v>59.276608285525455</v>
      </c>
      <c r="DB37" t="s">
        <v>2049</v>
      </c>
      <c r="DC37">
        <v>-0.43937544922033944</v>
      </c>
      <c r="DD37">
        <v>29.638304142762728</v>
      </c>
      <c r="DE37" t="s">
        <v>2050</v>
      </c>
      <c r="DF37">
        <v>-0.4070004161198934</v>
      </c>
      <c r="DG37">
        <v>17.782982485657637</v>
      </c>
      <c r="DH37" t="s">
        <v>2051</v>
      </c>
      <c r="DI37">
        <v>-0.37000037829081217</v>
      </c>
      <c r="DJ37">
        <v>8.8914912428288186</v>
      </c>
      <c r="DK37" t="s">
        <v>2052</v>
      </c>
      <c r="DL37">
        <v>-0.3237503310044606</v>
      </c>
      <c r="DM37">
        <v>60624600</v>
      </c>
      <c r="DN37">
        <v>-0.4625004728635152</v>
      </c>
      <c r="DO37">
        <v>10780862000</v>
      </c>
      <c r="DP37">
        <v>3612930600</v>
      </c>
      <c r="DQ37" s="11">
        <v>3035</v>
      </c>
      <c r="DR37">
        <v>1.8416213519843943</v>
      </c>
      <c r="DS37">
        <v>-6.3899637436059171</v>
      </c>
      <c r="DT37">
        <v>-1.1599999999999999</v>
      </c>
      <c r="DU37">
        <v>-1.6950000000000001</v>
      </c>
      <c r="DV37">
        <v>-2.855</v>
      </c>
      <c r="DW37">
        <v>6.1633888048411496</v>
      </c>
      <c r="DX37">
        <v>0.2511977309562391</v>
      </c>
      <c r="DY37">
        <v>6.0263379046040448</v>
      </c>
      <c r="DZ37">
        <v>4916</v>
      </c>
      <c r="EA37">
        <v>6.0009999126209754</v>
      </c>
      <c r="EB37" s="12">
        <v>6</v>
      </c>
      <c r="EC37" s="12">
        <v>6.1941714788854539E-2</v>
      </c>
      <c r="ED37">
        <v>0.38425922264172424</v>
      </c>
      <c r="EE37">
        <v>3.7699999999999997E-2</v>
      </c>
      <c r="EF37">
        <v>4.5699999999999998E-2</v>
      </c>
      <c r="EG37">
        <v>9.1611977309562391</v>
      </c>
      <c r="EH37" s="14" t="s">
        <v>789</v>
      </c>
      <c r="EI37">
        <v>0</v>
      </c>
      <c r="EJ37">
        <v>0</v>
      </c>
      <c r="EK37">
        <v>45470</v>
      </c>
      <c r="EL37">
        <v>-0.82</v>
      </c>
      <c r="EM37">
        <v>-2.4700000000000002</v>
      </c>
      <c r="EN37" s="15">
        <v>2.81</v>
      </c>
      <c r="EO37" s="15">
        <v>3.15</v>
      </c>
      <c r="EP37" s="15">
        <v>0.8</v>
      </c>
    </row>
    <row r="38" spans="1:146" ht="96" x14ac:dyDescent="0.25">
      <c r="A38" s="8"/>
      <c r="B38" s="8"/>
      <c r="C38" s="7" t="str">
        <f>""&amp;CHAR(10)&amp;Basic_Fundamental_Information_Constructure(F38)&amp;CHAR(10)&amp;Basic_Fundamental_Information_Concatenate("")</f>
        <v xml:space="preserve">
市值27.644202亿, 利润-2.00亿; PE; 平均PE-16.18; 平均PEG-.46, PB3.27; ROIC-6.86%; ROE-.04%; 股利率0%; 毛利52.9667%; 净利-2.3867%; 上一年度营收增-89.15%, 利润增-731.08%; 当季营收增627.01%, 利润增121.74%; 过往5年营收增-34.89%, 利润增-177.5%
Income profile:
</v>
      </c>
      <c r="D38" t="s">
        <v>110</v>
      </c>
      <c r="E38" t="s">
        <v>555</v>
      </c>
      <c r="F38">
        <v>2.4500000000000002</v>
      </c>
      <c r="G38">
        <v>-5.77</v>
      </c>
      <c r="H38" t="s">
        <v>2053</v>
      </c>
      <c r="I38">
        <v>2764420200</v>
      </c>
      <c r="K38">
        <v>3.27</v>
      </c>
      <c r="L38" t="s">
        <v>57</v>
      </c>
      <c r="M38" t="s">
        <v>2054</v>
      </c>
      <c r="N38" t="s">
        <v>2055</v>
      </c>
      <c r="O38" t="s">
        <v>2056</v>
      </c>
      <c r="P38">
        <v>-0.71</v>
      </c>
      <c r="Q38" t="s">
        <v>2057</v>
      </c>
      <c r="R38">
        <v>6225749</v>
      </c>
      <c r="S38" s="5">
        <v>1.214</v>
      </c>
      <c r="T38" t="s">
        <v>2058</v>
      </c>
      <c r="U38">
        <v>1128334790</v>
      </c>
      <c r="V38">
        <v>1128334790</v>
      </c>
      <c r="W38">
        <v>13.47</v>
      </c>
      <c r="X38">
        <v>0.05</v>
      </c>
      <c r="Y38">
        <v>0.68</v>
      </c>
      <c r="Z38" t="s">
        <v>448</v>
      </c>
      <c r="AA38" t="s">
        <v>218</v>
      </c>
      <c r="AB38" t="s">
        <v>2059</v>
      </c>
      <c r="AC38" t="s">
        <v>556</v>
      </c>
      <c r="AD38" t="s">
        <v>133</v>
      </c>
      <c r="AE38">
        <v>71941284</v>
      </c>
      <c r="AF38" t="s">
        <v>2060</v>
      </c>
      <c r="AG38" t="s">
        <v>2061</v>
      </c>
      <c r="AH38" t="s">
        <v>2062</v>
      </c>
      <c r="AI38" t="s">
        <v>648</v>
      </c>
      <c r="AJ38" t="s">
        <v>2063</v>
      </c>
      <c r="AK38" t="s">
        <v>133</v>
      </c>
      <c r="AL38" t="s">
        <v>2064</v>
      </c>
      <c r="AM38" t="s">
        <v>133</v>
      </c>
      <c r="AN38" t="s">
        <v>2065</v>
      </c>
      <c r="AO38" t="s">
        <v>2066</v>
      </c>
      <c r="AP38" t="s">
        <v>133</v>
      </c>
      <c r="AQ38" t="s">
        <v>2067</v>
      </c>
      <c r="AR38" t="s">
        <v>2068</v>
      </c>
      <c r="AS38" t="s">
        <v>2069</v>
      </c>
      <c r="AT38" t="s">
        <v>1064</v>
      </c>
      <c r="AU38" t="s">
        <v>2070</v>
      </c>
      <c r="AV38" t="s">
        <v>2071</v>
      </c>
      <c r="AW38" t="s">
        <v>2072</v>
      </c>
      <c r="AX38" t="s">
        <v>432</v>
      </c>
      <c r="AY38" t="s">
        <v>685</v>
      </c>
      <c r="AZ38" t="s">
        <v>454</v>
      </c>
      <c r="BA38" t="s">
        <v>230</v>
      </c>
      <c r="BB38" t="s">
        <v>456</v>
      </c>
      <c r="BC38" t="s">
        <v>2073</v>
      </c>
      <c r="BD38" t="s">
        <v>686</v>
      </c>
      <c r="BE38" t="s">
        <v>455</v>
      </c>
      <c r="BF38" t="s">
        <v>231</v>
      </c>
      <c r="BG38" t="s">
        <v>457</v>
      </c>
      <c r="BH38" t="s">
        <v>2074</v>
      </c>
      <c r="BI38" t="s">
        <v>2075</v>
      </c>
      <c r="BJ38" t="s">
        <v>432</v>
      </c>
      <c r="BK38" t="s">
        <v>2076</v>
      </c>
      <c r="BL38" t="s">
        <v>2077</v>
      </c>
      <c r="BM38" t="s">
        <v>2073</v>
      </c>
      <c r="BN38">
        <v>0.35</v>
      </c>
      <c r="BO38">
        <v>-22.43</v>
      </c>
      <c r="BP38">
        <v>1.5</v>
      </c>
      <c r="BQ38">
        <v>0.76</v>
      </c>
      <c r="BR38">
        <v>-5.64</v>
      </c>
      <c r="BS38">
        <v>4.76</v>
      </c>
      <c r="BT38" t="s">
        <v>856</v>
      </c>
      <c r="BU38" t="s">
        <v>787</v>
      </c>
      <c r="BV38">
        <v>55.2</v>
      </c>
      <c r="BW38">
        <v>53.22</v>
      </c>
      <c r="BX38">
        <v>50.48</v>
      </c>
      <c r="BY38">
        <v>-6.33</v>
      </c>
      <c r="BZ38">
        <v>-2.44</v>
      </c>
      <c r="CA38">
        <v>1.61</v>
      </c>
      <c r="CB38">
        <v>8.89</v>
      </c>
      <c r="CC38">
        <v>-13.43</v>
      </c>
      <c r="CD38" t="s">
        <v>942</v>
      </c>
      <c r="CE38" t="s">
        <v>173</v>
      </c>
      <c r="CF38" s="9">
        <v>6.2700877808545163</v>
      </c>
      <c r="CG38" s="10">
        <v>1.2174372040066499</v>
      </c>
      <c r="CH38" s="9">
        <v>-0.89146971702575684</v>
      </c>
      <c r="CI38" s="9">
        <v>-0.13328705728054047</v>
      </c>
      <c r="CJ38" s="9">
        <v>-9.4879083335399628E-2</v>
      </c>
      <c r="CK38" s="9">
        <v>-0.60718250274658203</v>
      </c>
      <c r="CL38" s="9">
        <v>-1.7818158492445946E-2</v>
      </c>
      <c r="CM38" s="10">
        <v>-7.3107900619506836</v>
      </c>
      <c r="CN38" s="10">
        <v>-1.5305345058441162</v>
      </c>
      <c r="CO38" s="10">
        <v>-0.44259384274482727</v>
      </c>
      <c r="CP38" s="10">
        <v>1.1383963823318481</v>
      </c>
      <c r="CQ38" s="10">
        <v>-0.729411780834198</v>
      </c>
      <c r="CR38">
        <v>-16.176796905653301</v>
      </c>
      <c r="CS38">
        <v>-0.46361510637274628</v>
      </c>
      <c r="CT38">
        <v>0</v>
      </c>
      <c r="CU38" s="9">
        <v>-0.348927303776145</v>
      </c>
      <c r="CV38" s="10">
        <v>-1.7749867618083954</v>
      </c>
      <c r="CW38">
        <v>0.06</v>
      </c>
      <c r="CX38" t="e">
        <v>#VALUE!</v>
      </c>
      <c r="CY38" t="s">
        <v>784</v>
      </c>
      <c r="CZ38">
        <v>-0.348927303776145</v>
      </c>
      <c r="DA38" t="e">
        <v>#VALUE!</v>
      </c>
      <c r="DB38" t="s">
        <v>784</v>
      </c>
      <c r="DC38">
        <v>-0.33148093858733774</v>
      </c>
      <c r="DD38" t="e">
        <v>#VALUE!</v>
      </c>
      <c r="DE38" t="s">
        <v>784</v>
      </c>
      <c r="DF38">
        <v>-0.30705602732300763</v>
      </c>
      <c r="DG38" t="e">
        <v>#VALUE!</v>
      </c>
      <c r="DH38" t="s">
        <v>784</v>
      </c>
      <c r="DI38">
        <v>-0.27914184302091599</v>
      </c>
      <c r="DJ38" t="e">
        <v>#VALUE!</v>
      </c>
      <c r="DK38" t="s">
        <v>784</v>
      </c>
      <c r="DL38">
        <v>-0.24424911264330149</v>
      </c>
      <c r="DM38">
        <v>-200000000</v>
      </c>
      <c r="DN38">
        <v>-0.348927303776145</v>
      </c>
      <c r="DO38">
        <v>12567420200</v>
      </c>
      <c r="DP38">
        <v>-2882225000</v>
      </c>
      <c r="DQ38">
        <v>3063</v>
      </c>
      <c r="DR38">
        <v>6.6190150846306617</v>
      </c>
      <c r="DS38">
        <v>2.9924239658150453</v>
      </c>
      <c r="DT38" s="11">
        <v>-1.0066666666666666</v>
      </c>
      <c r="DU38">
        <v>-1.3833333333333335</v>
      </c>
      <c r="DV38">
        <v>-2.39</v>
      </c>
      <c r="DW38">
        <v>7.3982974910394264</v>
      </c>
      <c r="DX38">
        <v>0.91462882096069653</v>
      </c>
      <c r="DY38">
        <v>7.1452307445493108</v>
      </c>
      <c r="DZ38">
        <v>1145</v>
      </c>
      <c r="EA38">
        <v>7.1126888262501016</v>
      </c>
      <c r="EB38">
        <v>7</v>
      </c>
      <c r="EC38">
        <v>0.14800571734564702</v>
      </c>
      <c r="ED38">
        <v>0.40590789547488826</v>
      </c>
      <c r="EE38" s="12">
        <v>-1.07901</v>
      </c>
      <c r="EF38">
        <v>-1.0927100000000001</v>
      </c>
      <c r="EG38">
        <v>55.364628820960696</v>
      </c>
      <c r="EH38" t="s">
        <v>793</v>
      </c>
      <c r="EI38">
        <v>1</v>
      </c>
      <c r="EJ38">
        <v>1</v>
      </c>
      <c r="EK38" s="14">
        <v>45470</v>
      </c>
      <c r="EL38" s="15">
        <v>0.82</v>
      </c>
      <c r="EM38" s="15">
        <v>-2.97</v>
      </c>
      <c r="EN38" s="15">
        <v>0.84</v>
      </c>
      <c r="EO38" s="15">
        <v>1.1000000000000001</v>
      </c>
      <c r="EP38" s="15">
        <v>-1.37</v>
      </c>
    </row>
    <row r="39" spans="1:146" ht="96" x14ac:dyDescent="0.25">
      <c r="A39" s="8"/>
      <c r="B39" s="8"/>
      <c r="C39" s="7" t="str">
        <f>""&amp;CHAR(10)&amp;Basic_Fundamental_Information_Constructure(F39)&amp;CHAR(10)&amp;Basic_Fundamental_Information_Concatenate("")</f>
        <v xml:space="preserve">
市值41.407681亿, 利润1.74亿; PE27.27; 平均PE13.01; 平均PEG.81, PB1.28; ROIC8.3933%; ROE12.4867%; 股利率1.4957%; 毛利15.71%; 净利5.5567%; 上一年度营收增-54.67%, 利润增-72.85%; 当季营收增23.91%, 利润增8.95%; 过往5年营收增-16.15%, 利润增12.1%
Income profile:
</v>
      </c>
      <c r="D39" t="s">
        <v>598</v>
      </c>
      <c r="E39" t="s">
        <v>687</v>
      </c>
      <c r="F39">
        <v>4.68</v>
      </c>
      <c r="G39">
        <v>2.18E-2</v>
      </c>
      <c r="H39" t="s">
        <v>1135</v>
      </c>
      <c r="I39">
        <v>4140768100</v>
      </c>
      <c r="J39">
        <v>27.27</v>
      </c>
      <c r="K39">
        <v>1.28</v>
      </c>
      <c r="L39" t="s">
        <v>57</v>
      </c>
      <c r="M39" t="s">
        <v>1136</v>
      </c>
      <c r="N39" t="s">
        <v>1137</v>
      </c>
      <c r="O39" t="s">
        <v>1138</v>
      </c>
      <c r="P39">
        <v>13.91</v>
      </c>
      <c r="Q39" t="s">
        <v>960</v>
      </c>
      <c r="R39">
        <v>138774460</v>
      </c>
      <c r="S39" s="5">
        <v>-0.13919999999999999</v>
      </c>
      <c r="T39" t="s">
        <v>146</v>
      </c>
      <c r="U39">
        <v>884779520</v>
      </c>
      <c r="V39">
        <v>884779520</v>
      </c>
      <c r="W39">
        <v>1.64</v>
      </c>
      <c r="X39">
        <v>0.32</v>
      </c>
      <c r="Y39">
        <v>8.14</v>
      </c>
      <c r="Z39" t="s">
        <v>1139</v>
      </c>
      <c r="AA39" t="s">
        <v>1140</v>
      </c>
      <c r="AB39" t="s">
        <v>1141</v>
      </c>
      <c r="AC39" t="s">
        <v>867</v>
      </c>
      <c r="AD39" t="s">
        <v>1142</v>
      </c>
      <c r="AE39">
        <v>17861985</v>
      </c>
      <c r="AF39" t="s">
        <v>1143</v>
      </c>
      <c r="AG39" t="s">
        <v>1144</v>
      </c>
      <c r="AH39" t="s">
        <v>1145</v>
      </c>
      <c r="AI39" t="s">
        <v>1146</v>
      </c>
      <c r="AJ39" t="s">
        <v>1147</v>
      </c>
      <c r="AK39" t="s">
        <v>133</v>
      </c>
      <c r="AL39" t="s">
        <v>1148</v>
      </c>
      <c r="AM39" t="s">
        <v>1149</v>
      </c>
      <c r="AN39" t="s">
        <v>1150</v>
      </c>
      <c r="AO39" t="s">
        <v>1030</v>
      </c>
      <c r="AP39" t="s">
        <v>133</v>
      </c>
      <c r="AQ39" t="s">
        <v>794</v>
      </c>
      <c r="AR39" t="s">
        <v>1151</v>
      </c>
      <c r="AS39" t="s">
        <v>1152</v>
      </c>
      <c r="AT39" t="s">
        <v>133</v>
      </c>
      <c r="AU39" t="s">
        <v>334</v>
      </c>
      <c r="AV39" t="s">
        <v>1153</v>
      </c>
      <c r="AW39" t="s">
        <v>1154</v>
      </c>
      <c r="AX39" t="s">
        <v>688</v>
      </c>
      <c r="AY39" t="s">
        <v>599</v>
      </c>
      <c r="AZ39" t="s">
        <v>600</v>
      </c>
      <c r="BA39" t="s">
        <v>601</v>
      </c>
      <c r="BB39" t="s">
        <v>602</v>
      </c>
      <c r="BC39" t="s">
        <v>658</v>
      </c>
      <c r="BD39" t="s">
        <v>336</v>
      </c>
      <c r="BE39" t="s">
        <v>378</v>
      </c>
      <c r="BF39" t="s">
        <v>210</v>
      </c>
      <c r="BG39" t="s">
        <v>175</v>
      </c>
      <c r="BH39" t="s">
        <v>424</v>
      </c>
      <c r="BI39" t="s">
        <v>1155</v>
      </c>
      <c r="BJ39" t="s">
        <v>362</v>
      </c>
      <c r="BK39" t="s">
        <v>1156</v>
      </c>
      <c r="BL39" t="s">
        <v>1157</v>
      </c>
      <c r="BM39" t="s">
        <v>961</v>
      </c>
      <c r="BN39">
        <v>4.1399999999999997</v>
      </c>
      <c r="BO39">
        <v>13.72</v>
      </c>
      <c r="BP39">
        <v>7.32</v>
      </c>
      <c r="BQ39">
        <v>5</v>
      </c>
      <c r="BR39">
        <v>23.3</v>
      </c>
      <c r="BS39">
        <v>9.16</v>
      </c>
      <c r="BT39" t="s">
        <v>858</v>
      </c>
      <c r="BU39" t="s">
        <v>787</v>
      </c>
      <c r="BV39">
        <v>19.34</v>
      </c>
      <c r="BW39">
        <v>14.83</v>
      </c>
      <c r="BX39">
        <v>12.96</v>
      </c>
      <c r="BY39">
        <v>2.98</v>
      </c>
      <c r="BZ39">
        <v>9.7100000000000009</v>
      </c>
      <c r="CA39">
        <v>3.98</v>
      </c>
      <c r="CB39">
        <v>2.41</v>
      </c>
      <c r="CC39">
        <v>-1.06</v>
      </c>
      <c r="CD39" t="s">
        <v>1158</v>
      </c>
      <c r="CE39" t="s">
        <v>1097</v>
      </c>
      <c r="CF39" s="9">
        <v>0.2391304347826087</v>
      </c>
      <c r="CG39" s="10">
        <v>8.9481745668361562E-2</v>
      </c>
      <c r="CH39" s="9">
        <v>-0.54670530557632446</v>
      </c>
      <c r="CI39" s="9">
        <v>-0.12991432845592499</v>
      </c>
      <c r="CJ39" s="9">
        <v>-0.15231786668300629</v>
      </c>
      <c r="CK39" s="9">
        <v>2.2722307592630386E-2</v>
      </c>
      <c r="CL39" s="9">
        <v>-1.5270645963028073E-3</v>
      </c>
      <c r="CM39" s="10">
        <v>-0.72854912281036377</v>
      </c>
      <c r="CN39" s="10">
        <v>1.0349206924438477</v>
      </c>
      <c r="CO39" s="10">
        <v>0.41255605220794678</v>
      </c>
      <c r="CP39" s="10">
        <v>-0.24406780302524567</v>
      </c>
      <c r="CQ39" s="10">
        <v>0.13026820123195648</v>
      </c>
      <c r="CR39">
        <v>13.014462336301728</v>
      </c>
      <c r="CS39">
        <v>0.80560737115913028</v>
      </c>
      <c r="CT39">
        <v>1.4957264957264957</v>
      </c>
      <c r="CU39" s="9">
        <v>-0.16154845154378564</v>
      </c>
      <c r="CV39" s="10">
        <v>0.12102560400962829</v>
      </c>
      <c r="CW39">
        <v>0.06</v>
      </c>
      <c r="CX39">
        <v>16.717058045977016</v>
      </c>
      <c r="CY39" t="s">
        <v>962</v>
      </c>
      <c r="CZ39">
        <v>-0.16154845154378564</v>
      </c>
      <c r="DA39">
        <v>5.5723526819923377</v>
      </c>
      <c r="DB39" t="s">
        <v>963</v>
      </c>
      <c r="DC39">
        <v>-0.15347102896659634</v>
      </c>
      <c r="DD39">
        <v>2.7861763409961688</v>
      </c>
      <c r="DE39" t="s">
        <v>964</v>
      </c>
      <c r="DF39">
        <v>-0.14216263735853135</v>
      </c>
      <c r="DG39">
        <v>1.6717058045977014</v>
      </c>
      <c r="DH39" t="s">
        <v>965</v>
      </c>
      <c r="DI39">
        <v>-0.1292387612350285</v>
      </c>
      <c r="DJ39">
        <v>0.83585290229885068</v>
      </c>
      <c r="DK39" t="s">
        <v>966</v>
      </c>
      <c r="DL39">
        <v>-0.11308391608064994</v>
      </c>
      <c r="DM39">
        <v>174000000</v>
      </c>
      <c r="DN39">
        <v>-0.16154845154378564</v>
      </c>
      <c r="DO39">
        <v>2908768100.0000005</v>
      </c>
      <c r="DP39">
        <v>-607020169.99999976</v>
      </c>
      <c r="DQ39">
        <v>3075</v>
      </c>
      <c r="DR39">
        <v>0.40067888632639437</v>
      </c>
      <c r="DS39">
        <v>-3.1543858341266731E-2</v>
      </c>
      <c r="DT39" s="11">
        <v>-0.7400000000000001</v>
      </c>
      <c r="DU39">
        <v>-1.6666666666666646E-2</v>
      </c>
      <c r="DV39">
        <v>-0.75666666666666671</v>
      </c>
      <c r="DW39">
        <v>-1.06E-2</v>
      </c>
      <c r="DX39">
        <v>0.47336940639269387</v>
      </c>
      <c r="DY39">
        <v>-2.261715707762557E-3</v>
      </c>
      <c r="DZ39">
        <v>3567</v>
      </c>
      <c r="EA39">
        <v>-6.679701665557136E-4</v>
      </c>
      <c r="EB39">
        <v>0</v>
      </c>
      <c r="EC39">
        <v>5.2813044316396475E-2</v>
      </c>
      <c r="ED39">
        <v>0.24751929158577268</v>
      </c>
      <c r="EE39" s="12">
        <v>-1.0020100000000001</v>
      </c>
      <c r="EF39">
        <v>-1.001792</v>
      </c>
      <c r="EG39">
        <v>26.213369406392694</v>
      </c>
      <c r="EH39" t="s">
        <v>785</v>
      </c>
      <c r="EI39">
        <v>0</v>
      </c>
      <c r="EJ39">
        <v>0</v>
      </c>
      <c r="EK39" s="14">
        <v>45170</v>
      </c>
      <c r="EL39" s="15">
        <v>1.31</v>
      </c>
      <c r="EM39" s="15">
        <v>1.08</v>
      </c>
      <c r="EN39" s="15">
        <v>-0.43</v>
      </c>
      <c r="EO39" s="15">
        <v>-1.72</v>
      </c>
      <c r="EP39" s="15">
        <v>2.18E-2</v>
      </c>
    </row>
    <row r="40" spans="1:146" ht="96" x14ac:dyDescent="0.25">
      <c r="A40" s="8"/>
      <c r="B40" s="8"/>
      <c r="C40" s="7" t="str">
        <f>""&amp;CHAR(10)&amp;Basic_Fundamental_Information_Constructure(F40)&amp;CHAR(10)&amp;Basic_Fundamental_Information_Concatenate("")</f>
        <v xml:space="preserve">
市值404.19543亿, 利润3.00亿; PE18.65; 平均PE40.39; 平均PEG3.83, PB2.19; ROIC8.12%; ROE10.29%; 股利率2.7137%; 毛利25.02%; 净利20.08%; 上一年度营收增-40.12%, 利润增-72.85%; 当季营收增132.93%, 利润增599.04%; 过往5年营收增10.55%, 利润增-11.27%
Income profile:
</v>
      </c>
      <c r="D40" t="s">
        <v>77</v>
      </c>
      <c r="E40" t="s">
        <v>45</v>
      </c>
      <c r="F40">
        <v>7.37</v>
      </c>
      <c r="G40">
        <v>0</v>
      </c>
      <c r="H40" t="s">
        <v>2078</v>
      </c>
      <c r="I40">
        <v>40419543000</v>
      </c>
      <c r="J40">
        <v>18.649999999999999</v>
      </c>
      <c r="K40">
        <v>2.19</v>
      </c>
      <c r="L40" t="s">
        <v>57</v>
      </c>
      <c r="M40" t="s">
        <v>2079</v>
      </c>
      <c r="N40" t="s">
        <v>2080</v>
      </c>
      <c r="O40" t="s">
        <v>2081</v>
      </c>
      <c r="P40">
        <v>26.42</v>
      </c>
      <c r="Q40" t="s">
        <v>2082</v>
      </c>
      <c r="R40">
        <v>713020910</v>
      </c>
      <c r="S40" s="5">
        <v>-0.41660000000000003</v>
      </c>
      <c r="T40" t="s">
        <v>192</v>
      </c>
      <c r="U40">
        <v>5469530000</v>
      </c>
      <c r="V40">
        <v>5484334200</v>
      </c>
      <c r="W40">
        <v>1.96</v>
      </c>
      <c r="X40">
        <v>7.0000000000000007E-2</v>
      </c>
      <c r="Y40">
        <v>26.52</v>
      </c>
      <c r="Z40" t="s">
        <v>2083</v>
      </c>
      <c r="AA40" t="s">
        <v>2084</v>
      </c>
      <c r="AB40" t="s">
        <v>2085</v>
      </c>
      <c r="AC40" t="s">
        <v>152</v>
      </c>
      <c r="AD40" t="s">
        <v>133</v>
      </c>
      <c r="AE40">
        <v>24847010</v>
      </c>
      <c r="AF40" t="s">
        <v>2086</v>
      </c>
      <c r="AG40" t="s">
        <v>2087</v>
      </c>
      <c r="AH40" t="s">
        <v>2088</v>
      </c>
      <c r="AI40" t="s">
        <v>2089</v>
      </c>
      <c r="AJ40" t="s">
        <v>2090</v>
      </c>
      <c r="AK40" t="s">
        <v>133</v>
      </c>
      <c r="AL40" t="s">
        <v>2091</v>
      </c>
      <c r="AM40" t="s">
        <v>133</v>
      </c>
      <c r="AN40" t="s">
        <v>1679</v>
      </c>
      <c r="AO40" t="s">
        <v>1189</v>
      </c>
      <c r="AP40" t="s">
        <v>133</v>
      </c>
      <c r="AQ40" t="s">
        <v>1040</v>
      </c>
      <c r="AR40" t="s">
        <v>1117</v>
      </c>
      <c r="AS40" t="s">
        <v>2092</v>
      </c>
      <c r="AT40" t="s">
        <v>524</v>
      </c>
      <c r="AU40" t="s">
        <v>502</v>
      </c>
      <c r="AV40" t="s">
        <v>2093</v>
      </c>
      <c r="AW40" t="s">
        <v>2094</v>
      </c>
      <c r="AX40" t="s">
        <v>888</v>
      </c>
      <c r="AY40" t="s">
        <v>689</v>
      </c>
      <c r="AZ40" t="s">
        <v>459</v>
      </c>
      <c r="BA40" t="s">
        <v>235</v>
      </c>
      <c r="BB40" t="s">
        <v>461</v>
      </c>
      <c r="BC40" t="s">
        <v>967</v>
      </c>
      <c r="BD40" t="s">
        <v>690</v>
      </c>
      <c r="BE40" t="s">
        <v>460</v>
      </c>
      <c r="BF40" t="s">
        <v>236</v>
      </c>
      <c r="BG40" t="s">
        <v>462</v>
      </c>
      <c r="BH40" t="s">
        <v>2095</v>
      </c>
      <c r="BI40" t="s">
        <v>2096</v>
      </c>
      <c r="BJ40" t="s">
        <v>888</v>
      </c>
      <c r="BK40" t="s">
        <v>2097</v>
      </c>
      <c r="BL40" t="s">
        <v>152</v>
      </c>
      <c r="BM40" t="s">
        <v>967</v>
      </c>
      <c r="BN40">
        <v>10.93</v>
      </c>
      <c r="BO40">
        <v>6.17</v>
      </c>
      <c r="BP40">
        <v>7.26</v>
      </c>
      <c r="BQ40">
        <v>14.19</v>
      </c>
      <c r="BR40">
        <v>7.3</v>
      </c>
      <c r="BS40">
        <v>9.3800000000000008</v>
      </c>
      <c r="BT40" t="s">
        <v>874</v>
      </c>
      <c r="BU40" t="s">
        <v>782</v>
      </c>
      <c r="BV40">
        <v>26.5</v>
      </c>
      <c r="BW40">
        <v>15.31</v>
      </c>
      <c r="BX40">
        <v>33.25</v>
      </c>
      <c r="BY40">
        <v>23.73</v>
      </c>
      <c r="BZ40">
        <v>14.48</v>
      </c>
      <c r="CA40">
        <v>22.03</v>
      </c>
      <c r="CB40">
        <v>-0.67</v>
      </c>
      <c r="CC40">
        <v>-6.11</v>
      </c>
      <c r="CD40" t="s">
        <v>867</v>
      </c>
      <c r="CE40" t="s">
        <v>2098</v>
      </c>
      <c r="CF40" s="9">
        <v>1.3292788879235446</v>
      </c>
      <c r="CG40" s="10">
        <v>5.9904010784313728</v>
      </c>
      <c r="CH40" s="9">
        <v>-0.40118110179901123</v>
      </c>
      <c r="CI40" s="9">
        <v>0.26284387707710266</v>
      </c>
      <c r="CJ40" s="9">
        <v>0.61943095922470093</v>
      </c>
      <c r="CK40" s="9">
        <v>-7.8407108783721924E-2</v>
      </c>
      <c r="CL40" s="9">
        <v>0.12493050098419189</v>
      </c>
      <c r="CM40" s="10">
        <v>-0.72850674390792847</v>
      </c>
      <c r="CN40" s="10">
        <v>-0.17166422307491302</v>
      </c>
      <c r="CO40" s="10">
        <v>0.43905070424079895</v>
      </c>
      <c r="CP40" s="10">
        <v>-0.26135462522506714</v>
      </c>
      <c r="CQ40" s="10">
        <v>0.15881809592247009</v>
      </c>
      <c r="CR40">
        <v>40.392614590273155</v>
      </c>
      <c r="CS40">
        <v>3.8278339108000949</v>
      </c>
      <c r="CT40">
        <v>2.7137042062415198</v>
      </c>
      <c r="CU40" s="9">
        <v>0.10552342534065247</v>
      </c>
      <c r="CV40" s="10">
        <v>-0.11273135840892792</v>
      </c>
      <c r="CW40">
        <v>0.06</v>
      </c>
      <c r="CX40">
        <v>129.38515396534868</v>
      </c>
      <c r="CY40">
        <v>312883988.3039583</v>
      </c>
      <c r="CZ40">
        <v>0.10552342534065247</v>
      </c>
      <c r="DA40">
        <v>41.730674122075051</v>
      </c>
      <c r="DB40">
        <v>970090798.95465183</v>
      </c>
      <c r="DC40">
        <v>0.10024725407361984</v>
      </c>
      <c r="DD40">
        <v>20.1836146799454</v>
      </c>
      <c r="DE40">
        <v>2005713230.3572848</v>
      </c>
      <c r="DF40">
        <v>9.2860614299774172E-2</v>
      </c>
      <c r="DG40">
        <v>11.879997964196125</v>
      </c>
      <c r="DH40">
        <v>3407622048.5900817</v>
      </c>
      <c r="DI40">
        <v>8.4418740272521983E-2</v>
      </c>
      <c r="DJ40">
        <v>5.869911703700688</v>
      </c>
      <c r="DK40">
        <v>6896618730.1382685</v>
      </c>
      <c r="DL40">
        <v>7.3866397738456727E-2</v>
      </c>
      <c r="DM40">
        <v>300000000</v>
      </c>
      <c r="DN40">
        <v>0.10552342534065247</v>
      </c>
      <c r="DO40">
        <v>40482543000</v>
      </c>
      <c r="DP40">
        <v>-8175417799.9999981</v>
      </c>
      <c r="DQ40">
        <v>3166</v>
      </c>
      <c r="DR40">
        <v>1.2237554625828921</v>
      </c>
      <c r="DS40">
        <v>6.1031324368403004</v>
      </c>
      <c r="DT40" s="11">
        <v>-0.19000000000000003</v>
      </c>
      <c r="DU40">
        <v>7.333333333333332E-2</v>
      </c>
      <c r="DV40">
        <v>-0.11666666666666671</v>
      </c>
      <c r="DW40">
        <v>-2.0611000000000002</v>
      </c>
      <c r="DX40">
        <v>0.27070725905574322</v>
      </c>
      <c r="DY40">
        <v>-2.007986213528306</v>
      </c>
      <c r="DZ40">
        <v>4674</v>
      </c>
      <c r="EA40">
        <v>-2.0006814068685599</v>
      </c>
      <c r="EB40">
        <v>2</v>
      </c>
      <c r="EC40">
        <v>2.6621280665208184E-2</v>
      </c>
      <c r="ED40">
        <v>0.20367103084272289</v>
      </c>
      <c r="EE40" s="12">
        <v>-1.0868</v>
      </c>
      <c r="EF40">
        <v>-1.0667</v>
      </c>
      <c r="EG40">
        <v>14.130707259055743</v>
      </c>
      <c r="EH40" t="s">
        <v>785</v>
      </c>
      <c r="EI40">
        <v>0</v>
      </c>
      <c r="EJ40">
        <v>0</v>
      </c>
      <c r="EK40" s="14">
        <v>45470</v>
      </c>
      <c r="EL40" s="15">
        <v>-0.5</v>
      </c>
      <c r="EM40" s="15">
        <v>-4.01</v>
      </c>
      <c r="EN40" s="15">
        <v>-2.09</v>
      </c>
      <c r="EO40" s="15">
        <v>6.4</v>
      </c>
      <c r="EP40" s="15">
        <v>-2.0099999999999998</v>
      </c>
    </row>
    <row r="41" spans="1:146" ht="96" x14ac:dyDescent="0.25">
      <c r="A41" s="8"/>
      <c r="B41" s="8"/>
      <c r="C41" s="7" t="str">
        <f>""&amp;CHAR(10)&amp;Basic_Fundamental_Information_Constructure(F41)&amp;CHAR(10)&amp;Basic_Fundamental_Information_Concatenate("")</f>
        <v xml:space="preserve">
市值51.467466亿, 利润-95.56亿; PE84.82; 平均PE-3.29; 平均PEG0, PB3.94; ROIC2.77%; ROE4.0133%; 股利率2.4048%; 毛利61.1867%; 净利31.8867%; 上一年度营收增333460.18%, 利润增-103207.47%; 当季营收增-99.96%, 利润增-99.43%; 过往5年营收增66672.16%, 利润增-20630.61%
Income profile:
</v>
      </c>
      <c r="D41" t="s">
        <v>603</v>
      </c>
      <c r="E41" t="s">
        <v>604</v>
      </c>
      <c r="F41">
        <v>24.95</v>
      </c>
      <c r="G41">
        <v>1.63</v>
      </c>
      <c r="H41" t="s">
        <v>2099</v>
      </c>
      <c r="I41">
        <v>5146746600</v>
      </c>
      <c r="J41">
        <v>84.82</v>
      </c>
      <c r="K41">
        <v>3.94</v>
      </c>
      <c r="L41" t="s">
        <v>57</v>
      </c>
      <c r="M41" t="s">
        <v>148</v>
      </c>
      <c r="N41" t="s">
        <v>2100</v>
      </c>
      <c r="O41" t="s">
        <v>2101</v>
      </c>
      <c r="P41">
        <v>35</v>
      </c>
      <c r="Q41" t="s">
        <v>2102</v>
      </c>
      <c r="R41">
        <v>11370583</v>
      </c>
      <c r="S41" s="5">
        <v>0.59050000000000002</v>
      </c>
      <c r="T41" t="s">
        <v>2103</v>
      </c>
      <c r="U41">
        <v>206282430</v>
      </c>
      <c r="V41">
        <v>206282430</v>
      </c>
      <c r="W41">
        <v>1.1499999999999999</v>
      </c>
      <c r="X41">
        <v>0.02</v>
      </c>
      <c r="Y41">
        <v>34.74</v>
      </c>
      <c r="Z41" t="s">
        <v>2104</v>
      </c>
      <c r="AA41" t="s">
        <v>2105</v>
      </c>
      <c r="AB41" t="s">
        <v>2106</v>
      </c>
      <c r="AC41" t="s">
        <v>2107</v>
      </c>
      <c r="AD41" t="s">
        <v>133</v>
      </c>
      <c r="AE41">
        <v>-5076802</v>
      </c>
      <c r="AF41" t="s">
        <v>2108</v>
      </c>
      <c r="AG41" t="s">
        <v>2109</v>
      </c>
      <c r="AH41" t="s">
        <v>2110</v>
      </c>
      <c r="AI41" t="s">
        <v>2111</v>
      </c>
      <c r="AJ41" t="s">
        <v>2112</v>
      </c>
      <c r="AK41" t="s">
        <v>133</v>
      </c>
      <c r="AL41" t="s">
        <v>2113</v>
      </c>
      <c r="AM41" t="s">
        <v>133</v>
      </c>
      <c r="AN41">
        <v>0</v>
      </c>
      <c r="AO41" t="s">
        <v>133</v>
      </c>
      <c r="AP41" t="s">
        <v>133</v>
      </c>
      <c r="AQ41" t="s">
        <v>2114</v>
      </c>
      <c r="AR41" t="s">
        <v>2115</v>
      </c>
      <c r="AS41" t="s">
        <v>383</v>
      </c>
      <c r="AT41" t="s">
        <v>133</v>
      </c>
      <c r="AU41" t="s">
        <v>2116</v>
      </c>
      <c r="AV41" t="s">
        <v>2117</v>
      </c>
      <c r="AW41" t="s">
        <v>2118</v>
      </c>
      <c r="AX41" t="s">
        <v>264</v>
      </c>
      <c r="AY41" t="s">
        <v>182</v>
      </c>
      <c r="AZ41" t="s">
        <v>605</v>
      </c>
      <c r="BA41" t="s">
        <v>180</v>
      </c>
      <c r="BB41" t="s">
        <v>607</v>
      </c>
      <c r="BC41" t="s">
        <v>969</v>
      </c>
      <c r="BD41" t="s">
        <v>691</v>
      </c>
      <c r="BE41" t="s">
        <v>606</v>
      </c>
      <c r="BF41" t="s">
        <v>608</v>
      </c>
      <c r="BG41" t="s">
        <v>609</v>
      </c>
      <c r="BH41" t="s">
        <v>1131</v>
      </c>
      <c r="BI41" t="s">
        <v>2119</v>
      </c>
      <c r="BJ41" t="s">
        <v>264</v>
      </c>
      <c r="BK41" t="s">
        <v>2120</v>
      </c>
      <c r="BL41" t="s">
        <v>2121</v>
      </c>
      <c r="BM41" t="s">
        <v>969</v>
      </c>
      <c r="BN41">
        <v>2.83</v>
      </c>
      <c r="BO41">
        <v>0.19</v>
      </c>
      <c r="BP41">
        <v>5.29</v>
      </c>
      <c r="BQ41">
        <v>3.69</v>
      </c>
      <c r="BR41">
        <v>0.83</v>
      </c>
      <c r="BS41">
        <v>7.52</v>
      </c>
      <c r="BT41" t="s">
        <v>2122</v>
      </c>
      <c r="BU41" t="s">
        <v>782</v>
      </c>
      <c r="BV41">
        <v>48.08</v>
      </c>
      <c r="BW41">
        <v>64.17</v>
      </c>
      <c r="BX41">
        <v>71.31</v>
      </c>
      <c r="BY41">
        <v>41.66</v>
      </c>
      <c r="BZ41">
        <v>3.54</v>
      </c>
      <c r="CA41">
        <v>50.46</v>
      </c>
      <c r="CB41">
        <v>0.28000000000000003</v>
      </c>
      <c r="CC41">
        <v>-14.88</v>
      </c>
      <c r="CD41" t="s">
        <v>2123</v>
      </c>
      <c r="CE41" t="s">
        <v>2124</v>
      </c>
      <c r="CF41" s="9">
        <v>-0.99958468517625565</v>
      </c>
      <c r="CG41" s="10">
        <v>-0.99428900904068307</v>
      </c>
      <c r="CH41" s="9">
        <v>3334.601806640625</v>
      </c>
      <c r="CI41" s="9">
        <v>-4.4247787445783615E-2</v>
      </c>
      <c r="CJ41" s="9">
        <v>0.22049090266227722</v>
      </c>
      <c r="CK41" s="9">
        <v>-0.22845253348350525</v>
      </c>
      <c r="CL41" s="9">
        <v>-0.94183230400085449</v>
      </c>
      <c r="CM41" s="10">
        <v>-1032.07470703125</v>
      </c>
      <c r="CN41" s="10">
        <v>-0.84621870517730713</v>
      </c>
      <c r="CO41" s="10">
        <v>0.21209695935249329</v>
      </c>
      <c r="CP41" s="10">
        <v>1.1552959680557251</v>
      </c>
      <c r="CQ41" s="10">
        <v>2.3187428712844849E-2</v>
      </c>
      <c r="CR41">
        <v>-3.2882613830749254</v>
      </c>
      <c r="CS41">
        <v>-4.9319860267895941E-5</v>
      </c>
      <c r="CT41">
        <v>2.4048096192384771</v>
      </c>
      <c r="CU41" s="9">
        <v>666.72155298367147</v>
      </c>
      <c r="CV41" s="10">
        <v>-206.30606907606125</v>
      </c>
      <c r="CW41">
        <v>0.06</v>
      </c>
      <c r="CX41" t="e">
        <v>#VALUE!</v>
      </c>
      <c r="CY41" t="s">
        <v>784</v>
      </c>
      <c r="CZ41">
        <v>666.72155298367147</v>
      </c>
      <c r="DA41" t="e">
        <v>#VALUE!</v>
      </c>
      <c r="DB41" t="s">
        <v>784</v>
      </c>
      <c r="DC41">
        <v>633.38547533448786</v>
      </c>
      <c r="DD41" t="e">
        <v>#VALUE!</v>
      </c>
      <c r="DE41" t="s">
        <v>784</v>
      </c>
      <c r="DF41">
        <v>586.71496662563095</v>
      </c>
      <c r="DG41" t="e">
        <v>#VALUE!</v>
      </c>
      <c r="DH41" t="s">
        <v>784</v>
      </c>
      <c r="DI41">
        <v>533.37724238693716</v>
      </c>
      <c r="DJ41" t="e">
        <v>#VALUE!</v>
      </c>
      <c r="DK41" t="s">
        <v>784</v>
      </c>
      <c r="DL41">
        <v>466.70508708857</v>
      </c>
      <c r="DM41">
        <v>-9556000000</v>
      </c>
      <c r="DN41">
        <v>666.72155298367147</v>
      </c>
      <c r="DO41">
        <v>4047746600</v>
      </c>
      <c r="DP41">
        <v>1198515800</v>
      </c>
      <c r="DQ41">
        <v>3312</v>
      </c>
      <c r="DR41">
        <v>-667.72113766884775</v>
      </c>
      <c r="DS41">
        <v>205.31178006702058</v>
      </c>
      <c r="DT41" s="11">
        <v>-0.32333333333333331</v>
      </c>
      <c r="DU41">
        <v>-1.1233333333333333</v>
      </c>
      <c r="DV41">
        <v>-1.4466666666666665</v>
      </c>
      <c r="DW41">
        <v>-2.1488</v>
      </c>
      <c r="DX41">
        <v>0.30452411493073417</v>
      </c>
      <c r="DY41">
        <v>-2.0200171883016931</v>
      </c>
      <c r="DZ41">
        <v>4654</v>
      </c>
      <c r="EA41">
        <v>-2.0017862696410123</v>
      </c>
      <c r="EB41">
        <v>2</v>
      </c>
      <c r="EC41">
        <v>5.2874110509557211E-2</v>
      </c>
      <c r="ED41">
        <v>0.39304559287962626</v>
      </c>
      <c r="EE41" s="12">
        <v>1.0110999999999999</v>
      </c>
      <c r="EF41">
        <v>1.0054000000000001</v>
      </c>
      <c r="EG41">
        <v>17.134524114930734</v>
      </c>
      <c r="EH41" t="s">
        <v>735</v>
      </c>
      <c r="EI41">
        <v>0</v>
      </c>
      <c r="EJ41">
        <v>0</v>
      </c>
      <c r="EK41" s="14">
        <v>45470</v>
      </c>
      <c r="EL41" s="15">
        <v>-3.07</v>
      </c>
      <c r="EM41" s="15">
        <v>-4.6100000000000003</v>
      </c>
      <c r="EN41" s="15">
        <v>1.51</v>
      </c>
      <c r="EO41" s="15">
        <v>3.57</v>
      </c>
      <c r="EP41" s="15">
        <v>-0.56999999999999995</v>
      </c>
    </row>
    <row r="42" spans="1:146" ht="96" x14ac:dyDescent="0.25">
      <c r="A42" s="8"/>
      <c r="B42" s="8"/>
      <c r="C42" s="7" t="str">
        <f>""&amp;CHAR(10)&amp;Basic_Fundamental_Information_Constructure(F42)&amp;CHAR(10)&amp;Basic_Fundamental_Information_Concatenate("")</f>
        <v xml:space="preserve">
市值35.578146亿, 利润4.25亿; PE105.9; 平均PE25.95; 平均PEG.15, PB.846; ROIC1.42%; ROE.5367%; 股利率.5455%; 毛利35.0867%; 净利.9133%; 上一年度营收增965.76%, 利润增916.94%; 当季营收增-83.63%, 利润增-70.67%; 过往5年营收增174.59%, 利润增149.33%
Income profile:
</v>
      </c>
      <c r="D42" t="s">
        <v>63</v>
      </c>
      <c r="E42" t="s">
        <v>42</v>
      </c>
      <c r="F42">
        <v>5.5</v>
      </c>
      <c r="G42">
        <v>1.29</v>
      </c>
      <c r="H42" t="s">
        <v>2125</v>
      </c>
      <c r="I42">
        <v>3557814600</v>
      </c>
      <c r="J42">
        <v>105.9</v>
      </c>
      <c r="K42">
        <v>0.84599999999999997</v>
      </c>
      <c r="L42" t="s">
        <v>57</v>
      </c>
      <c r="M42" t="s">
        <v>2126</v>
      </c>
      <c r="N42" t="s">
        <v>1161</v>
      </c>
      <c r="O42" t="s">
        <v>597</v>
      </c>
      <c r="P42">
        <v>4.24</v>
      </c>
      <c r="Q42" t="s">
        <v>2127</v>
      </c>
      <c r="R42">
        <v>25845763</v>
      </c>
      <c r="S42" s="5">
        <v>8.1000000000000003E-2</v>
      </c>
      <c r="T42" t="s">
        <v>2128</v>
      </c>
      <c r="U42">
        <v>646875380</v>
      </c>
      <c r="V42">
        <v>646875380</v>
      </c>
      <c r="W42">
        <v>1.34</v>
      </c>
      <c r="X42">
        <v>0.05</v>
      </c>
      <c r="Y42">
        <v>9.31</v>
      </c>
      <c r="Z42" t="s">
        <v>588</v>
      </c>
      <c r="AA42" t="s">
        <v>1067</v>
      </c>
      <c r="AB42" t="s">
        <v>2129</v>
      </c>
      <c r="AC42" t="s">
        <v>2130</v>
      </c>
      <c r="AD42" t="s">
        <v>133</v>
      </c>
      <c r="AE42">
        <v>3703351</v>
      </c>
      <c r="AF42" t="s">
        <v>2131</v>
      </c>
      <c r="AG42" t="s">
        <v>2132</v>
      </c>
      <c r="AH42" t="s">
        <v>2133</v>
      </c>
      <c r="AI42" t="s">
        <v>1172</v>
      </c>
      <c r="AJ42" t="s">
        <v>2134</v>
      </c>
      <c r="AK42" t="s">
        <v>133</v>
      </c>
      <c r="AL42" t="s">
        <v>2135</v>
      </c>
      <c r="AM42" t="s">
        <v>133</v>
      </c>
      <c r="AN42" t="s">
        <v>2136</v>
      </c>
      <c r="AO42" t="s">
        <v>1168</v>
      </c>
      <c r="AP42" t="s">
        <v>133</v>
      </c>
      <c r="AQ42" t="s">
        <v>1175</v>
      </c>
      <c r="AR42" t="s">
        <v>2137</v>
      </c>
      <c r="AS42" t="s">
        <v>2138</v>
      </c>
      <c r="AT42" t="s">
        <v>133</v>
      </c>
      <c r="AU42" t="s">
        <v>2139</v>
      </c>
      <c r="AV42" t="s">
        <v>1776</v>
      </c>
      <c r="AW42" t="s">
        <v>2140</v>
      </c>
      <c r="AX42" t="s">
        <v>970</v>
      </c>
      <c r="AY42" t="s">
        <v>692</v>
      </c>
      <c r="AZ42" t="s">
        <v>463</v>
      </c>
      <c r="BA42" t="s">
        <v>237</v>
      </c>
      <c r="BB42" t="s">
        <v>465</v>
      </c>
      <c r="BC42" t="s">
        <v>971</v>
      </c>
      <c r="BD42" t="s">
        <v>693</v>
      </c>
      <c r="BE42" t="s">
        <v>464</v>
      </c>
      <c r="BF42" t="s">
        <v>238</v>
      </c>
      <c r="BG42" t="s">
        <v>466</v>
      </c>
      <c r="BH42" t="s">
        <v>2141</v>
      </c>
      <c r="BI42" t="s">
        <v>1080</v>
      </c>
      <c r="BJ42" t="s">
        <v>970</v>
      </c>
      <c r="BK42" t="s">
        <v>2142</v>
      </c>
      <c r="BL42" t="s">
        <v>2143</v>
      </c>
      <c r="BM42" t="s">
        <v>971</v>
      </c>
      <c r="BN42">
        <v>1.23</v>
      </c>
      <c r="BO42" t="s">
        <v>133</v>
      </c>
      <c r="BP42">
        <v>1.61</v>
      </c>
      <c r="BQ42">
        <v>1.22</v>
      </c>
      <c r="BR42">
        <v>-1.21</v>
      </c>
      <c r="BS42">
        <v>1.6</v>
      </c>
      <c r="BT42" t="s">
        <v>864</v>
      </c>
      <c r="BU42" t="s">
        <v>787</v>
      </c>
      <c r="BV42">
        <v>39.770000000000003</v>
      </c>
      <c r="BW42">
        <v>27.49</v>
      </c>
      <c r="BX42">
        <v>38</v>
      </c>
      <c r="BY42">
        <v>2.78</v>
      </c>
      <c r="BZ42">
        <v>-6.05</v>
      </c>
      <c r="CA42">
        <v>6.01</v>
      </c>
      <c r="CB42">
        <v>1.48</v>
      </c>
      <c r="CC42">
        <v>-11.58</v>
      </c>
      <c r="CD42" t="s">
        <v>2144</v>
      </c>
      <c r="CE42" t="s">
        <v>2145</v>
      </c>
      <c r="CF42" s="9">
        <v>-0.83629893238434161</v>
      </c>
      <c r="CG42" s="10">
        <v>-0.7066514993303521</v>
      </c>
      <c r="CH42" s="9">
        <v>9.6576471328735352</v>
      </c>
      <c r="CI42" s="9">
        <v>-0.27101200819015503</v>
      </c>
      <c r="CJ42" s="9">
        <v>0.11472275108098984</v>
      </c>
      <c r="CK42" s="9">
        <v>-0.36721110343933105</v>
      </c>
      <c r="CL42" s="9">
        <v>-0.40453892946243286</v>
      </c>
      <c r="CM42" s="10">
        <v>9.1694316864013672</v>
      </c>
      <c r="CN42" s="10">
        <v>-1.7489802837371826</v>
      </c>
      <c r="CO42" s="10">
        <v>-1.6612730920314789E-2</v>
      </c>
      <c r="CP42" s="10">
        <v>0.92853718996047974</v>
      </c>
      <c r="CQ42" s="10">
        <v>-0.86584359407424927</v>
      </c>
      <c r="CR42">
        <v>25.947596203343583</v>
      </c>
      <c r="CS42">
        <v>0.14861833813393197</v>
      </c>
      <c r="CT42">
        <v>0.54545454545454541</v>
      </c>
      <c r="CU42" s="9">
        <v>1.7459215685725211</v>
      </c>
      <c r="CV42" s="10">
        <v>1.4933064535260201</v>
      </c>
      <c r="CW42">
        <v>0.06</v>
      </c>
      <c r="CX42">
        <v>0.77733549308191574</v>
      </c>
      <c r="CY42">
        <v>1100959119.4748316</v>
      </c>
      <c r="CZ42">
        <v>1.7459215685725211</v>
      </c>
      <c r="DA42">
        <v>8.1933704456942202E-2</v>
      </c>
      <c r="DB42">
        <v>10445208179.86141</v>
      </c>
      <c r="DC42">
        <v>1.658625490143895</v>
      </c>
      <c r="DD42">
        <v>6.27791893675652E-3</v>
      </c>
      <c r="DE42">
        <v>136321384302.8938</v>
      </c>
      <c r="DF42">
        <v>1.5364109803438186</v>
      </c>
      <c r="DG42">
        <v>3.2165857895486376E-4</v>
      </c>
      <c r="DH42">
        <v>2660630419933.8354</v>
      </c>
      <c r="DI42">
        <v>1.396737254858017</v>
      </c>
      <c r="DJ42">
        <v>3.9187530993931291E-7</v>
      </c>
      <c r="DK42">
        <v>2183895178628462.7</v>
      </c>
      <c r="DL42">
        <v>1.2221450980007647</v>
      </c>
      <c r="DM42">
        <v>425000000</v>
      </c>
      <c r="DN42">
        <v>1.7459215685725211</v>
      </c>
      <c r="DO42">
        <v>855814600</v>
      </c>
      <c r="DP42">
        <v>898984500</v>
      </c>
      <c r="DQ42">
        <v>3331</v>
      </c>
      <c r="DR42">
        <v>-2.5822205009568626</v>
      </c>
      <c r="DS42">
        <v>-2.199957952856372</v>
      </c>
      <c r="DT42" s="11">
        <v>-0.50666666666666671</v>
      </c>
      <c r="DU42">
        <v>-0.82333333333333325</v>
      </c>
      <c r="DV42">
        <v>-1.33</v>
      </c>
      <c r="DW42">
        <v>-2.1158000000000001</v>
      </c>
      <c r="DX42">
        <v>0.34620831867700452</v>
      </c>
      <c r="DY42">
        <v>-2.0261949233027972</v>
      </c>
      <c r="DZ42">
        <v>4695</v>
      </c>
      <c r="EA42">
        <v>-2.0021273763543368</v>
      </c>
      <c r="EB42">
        <v>2</v>
      </c>
      <c r="EC42">
        <v>2.7438515282495371E-2</v>
      </c>
      <c r="ED42">
        <v>0.12129755193341876</v>
      </c>
      <c r="EE42" s="12">
        <v>-3.0891999999999999</v>
      </c>
      <c r="EF42">
        <v>-3.069</v>
      </c>
      <c r="EG42">
        <v>12.226208318677005</v>
      </c>
      <c r="EH42" t="s">
        <v>1063</v>
      </c>
      <c r="EI42">
        <v>0</v>
      </c>
      <c r="EJ42">
        <v>0</v>
      </c>
      <c r="EK42" s="14">
        <v>45470</v>
      </c>
      <c r="EL42" s="15">
        <v>-2.37</v>
      </c>
      <c r="EM42" s="15">
        <v>-2.83</v>
      </c>
      <c r="EN42" s="15">
        <v>0.83</v>
      </c>
      <c r="EO42" s="15">
        <v>2.48</v>
      </c>
      <c r="EP42" s="15">
        <v>-2.02</v>
      </c>
    </row>
    <row r="43" spans="1:146" ht="96" x14ac:dyDescent="0.25">
      <c r="A43" s="8"/>
      <c r="B43" s="8"/>
      <c r="C43" s="7" t="str">
        <f>""&amp;CHAR(10)&amp;Basic_Fundamental_Information_Constructure(F43)&amp;CHAR(10)&amp;Basic_Fundamental_Information_Concatenate("")</f>
        <v xml:space="preserve">
市值206.49307亿, 利润5.05亿; PE10.95; 平均PE6.96; 平均PEG1.04, PB.566; ROIC4.8233%; ROE9.25%; 股利率3.5849%; 毛利18.7%; 净利6.2267%; 上一年度营收增-77.25%, 利润增-86.28%; 当季营收增1237.03%, 利润增702.72%; 过往5年营收增-6.68%, 利润增-13.18%
Income profile:
</v>
      </c>
      <c r="D43" t="s">
        <v>105</v>
      </c>
      <c r="E43" t="s">
        <v>28</v>
      </c>
      <c r="F43">
        <v>5.3</v>
      </c>
      <c r="G43">
        <v>0.19</v>
      </c>
      <c r="H43" t="s">
        <v>2146</v>
      </c>
      <c r="I43">
        <v>20649307000</v>
      </c>
      <c r="J43">
        <v>10.95</v>
      </c>
      <c r="K43">
        <v>0.56599999999999995</v>
      </c>
      <c r="L43" t="s">
        <v>57</v>
      </c>
      <c r="M43" t="s">
        <v>2147</v>
      </c>
      <c r="N43" t="s">
        <v>2148</v>
      </c>
      <c r="O43" t="s">
        <v>2149</v>
      </c>
      <c r="P43">
        <v>12.56</v>
      </c>
      <c r="Q43" t="s">
        <v>2150</v>
      </c>
      <c r="R43">
        <v>180231360</v>
      </c>
      <c r="S43" s="5">
        <v>-0.43480000000000002</v>
      </c>
      <c r="T43" t="s">
        <v>422</v>
      </c>
      <c r="U43">
        <v>3884231100</v>
      </c>
      <c r="V43">
        <v>3896095700</v>
      </c>
      <c r="W43">
        <v>3.16</v>
      </c>
      <c r="X43">
        <v>0.14000000000000001</v>
      </c>
      <c r="Y43">
        <v>0.85</v>
      </c>
      <c r="Z43" t="s">
        <v>2151</v>
      </c>
      <c r="AA43" t="s">
        <v>2152</v>
      </c>
      <c r="AB43" t="s">
        <v>547</v>
      </c>
      <c r="AC43" t="s">
        <v>2153</v>
      </c>
      <c r="AD43" t="s">
        <v>133</v>
      </c>
      <c r="AE43">
        <v>569884960</v>
      </c>
      <c r="AF43" t="s">
        <v>2154</v>
      </c>
      <c r="AG43" t="s">
        <v>2155</v>
      </c>
      <c r="AH43" t="s">
        <v>2156</v>
      </c>
      <c r="AI43" t="s">
        <v>2157</v>
      </c>
      <c r="AJ43" t="s">
        <v>2158</v>
      </c>
      <c r="AK43" t="s">
        <v>2159</v>
      </c>
      <c r="AL43" t="s">
        <v>2160</v>
      </c>
      <c r="AM43" t="s">
        <v>133</v>
      </c>
      <c r="AN43" t="s">
        <v>1900</v>
      </c>
      <c r="AO43" t="s">
        <v>2161</v>
      </c>
      <c r="AP43" t="s">
        <v>2162</v>
      </c>
      <c r="AQ43" t="s">
        <v>2163</v>
      </c>
      <c r="AR43" t="s">
        <v>2164</v>
      </c>
      <c r="AS43" t="s">
        <v>2165</v>
      </c>
      <c r="AT43" t="s">
        <v>2166</v>
      </c>
      <c r="AU43" t="s">
        <v>2167</v>
      </c>
      <c r="AV43" t="s">
        <v>2168</v>
      </c>
      <c r="AW43" t="s">
        <v>708</v>
      </c>
      <c r="AX43" t="s">
        <v>2169</v>
      </c>
      <c r="AY43" t="s">
        <v>972</v>
      </c>
      <c r="AZ43" t="s">
        <v>694</v>
      </c>
      <c r="BA43" t="s">
        <v>467</v>
      </c>
      <c r="BB43" t="s">
        <v>468</v>
      </c>
      <c r="BC43" t="s">
        <v>2170</v>
      </c>
      <c r="BD43" t="s">
        <v>973</v>
      </c>
      <c r="BE43" t="s">
        <v>695</v>
      </c>
      <c r="BF43" t="s">
        <v>469</v>
      </c>
      <c r="BG43" t="s">
        <v>470</v>
      </c>
      <c r="BH43" t="s">
        <v>2171</v>
      </c>
      <c r="BI43" t="s">
        <v>2172</v>
      </c>
      <c r="BJ43" t="s">
        <v>2169</v>
      </c>
      <c r="BK43" t="s">
        <v>2173</v>
      </c>
      <c r="BL43" t="s">
        <v>2174</v>
      </c>
      <c r="BM43" t="s">
        <v>2170</v>
      </c>
      <c r="BN43">
        <v>3.63</v>
      </c>
      <c r="BO43">
        <v>5.31</v>
      </c>
      <c r="BP43">
        <v>5.53</v>
      </c>
      <c r="BQ43">
        <v>6.1</v>
      </c>
      <c r="BR43">
        <v>10.85</v>
      </c>
      <c r="BS43">
        <v>10.8</v>
      </c>
      <c r="BT43" t="s">
        <v>2175</v>
      </c>
      <c r="BU43" t="s">
        <v>782</v>
      </c>
      <c r="BV43">
        <v>14.11</v>
      </c>
      <c r="BW43">
        <v>17.87</v>
      </c>
      <c r="BX43">
        <v>24.12</v>
      </c>
      <c r="BY43">
        <v>3.13</v>
      </c>
      <c r="BZ43">
        <v>7.86</v>
      </c>
      <c r="CA43">
        <v>7.69</v>
      </c>
      <c r="CB43">
        <v>2.91</v>
      </c>
      <c r="CC43">
        <v>-7.34</v>
      </c>
      <c r="CD43" t="s">
        <v>2176</v>
      </c>
      <c r="CE43" t="s">
        <v>210</v>
      </c>
      <c r="CF43" s="9">
        <v>12.370341614906833</v>
      </c>
      <c r="CG43" s="10">
        <v>7.0271932871916825</v>
      </c>
      <c r="CH43" s="9">
        <v>-0.77250993251800537</v>
      </c>
      <c r="CI43" s="9">
        <v>-3.4132491797208786E-2</v>
      </c>
      <c r="CJ43" s="9">
        <v>0.14150798320770264</v>
      </c>
      <c r="CK43" s="9">
        <v>3.6420751363039017E-2</v>
      </c>
      <c r="CL43" s="9">
        <v>0.29471579194068909</v>
      </c>
      <c r="CM43" s="10">
        <v>-0.86277174949645996</v>
      </c>
      <c r="CN43" s="10">
        <v>-2.3613674566149712E-2</v>
      </c>
      <c r="CO43" s="10">
        <v>4.3755155056715012E-2</v>
      </c>
      <c r="CP43" s="10">
        <v>0.12843751907348633</v>
      </c>
      <c r="CQ43" s="10">
        <v>5.5061016231775284E-2</v>
      </c>
      <c r="CR43">
        <v>6.961222721654118</v>
      </c>
      <c r="CS43">
        <v>1.0421057688428454</v>
      </c>
      <c r="CT43">
        <v>3.5849056603773586</v>
      </c>
      <c r="CU43" s="9">
        <v>-6.6799579560756689E-2</v>
      </c>
      <c r="CV43" s="10">
        <v>-0.13182634674012661</v>
      </c>
      <c r="CW43">
        <v>0.06</v>
      </c>
      <c r="CX43">
        <v>129.14912277227722</v>
      </c>
      <c r="CY43" t="s">
        <v>2177</v>
      </c>
      <c r="CZ43">
        <v>-6.6799579560756689E-2</v>
      </c>
      <c r="DA43">
        <v>43.049707590759077</v>
      </c>
      <c r="DB43" t="s">
        <v>2178</v>
      </c>
      <c r="DC43">
        <v>-6.345960058271885E-2</v>
      </c>
      <c r="DD43">
        <v>21.524853795379538</v>
      </c>
      <c r="DE43" t="s">
        <v>2179</v>
      </c>
      <c r="DF43">
        <v>-5.8783630013465885E-2</v>
      </c>
      <c r="DG43">
        <v>12.914912277227723</v>
      </c>
      <c r="DH43" t="s">
        <v>2180</v>
      </c>
      <c r="DI43">
        <v>-5.3439663648605355E-2</v>
      </c>
      <c r="DJ43">
        <v>6.4574561386138614</v>
      </c>
      <c r="DK43" t="s">
        <v>2181</v>
      </c>
      <c r="DL43">
        <v>-4.6759705692529678E-2</v>
      </c>
      <c r="DM43">
        <v>505000000</v>
      </c>
      <c r="DN43">
        <v>-6.6799579560756689E-2</v>
      </c>
      <c r="DO43">
        <v>65220307000</v>
      </c>
      <c r="DP43">
        <v>14576402999.999992</v>
      </c>
      <c r="DQ43">
        <v>3352</v>
      </c>
      <c r="DR43">
        <v>12.437141194467589</v>
      </c>
      <c r="DS43">
        <v>7.1590196339318091</v>
      </c>
      <c r="DT43" s="11">
        <v>-0.67333333333333334</v>
      </c>
      <c r="DU43">
        <v>-0.33333333333333331</v>
      </c>
      <c r="DV43">
        <v>-1.0066666666666666</v>
      </c>
      <c r="DW43">
        <v>6.2839024390243905</v>
      </c>
      <c r="DX43">
        <v>0.32797661016949065</v>
      </c>
      <c r="DY43">
        <v>6.0562060424968998</v>
      </c>
      <c r="DZ43">
        <v>4403</v>
      </c>
      <c r="EA43">
        <v>6.0077764524550501</v>
      </c>
      <c r="EB43">
        <v>6</v>
      </c>
      <c r="EC43">
        <v>1.4990160534301047E-2</v>
      </c>
      <c r="ED43">
        <v>7.5716825949629529E-2</v>
      </c>
      <c r="EE43" s="12">
        <v>1.0989</v>
      </c>
      <c r="EF43">
        <v>1.0989</v>
      </c>
      <c r="EG43">
        <v>13.197976610169491</v>
      </c>
      <c r="EH43" t="s">
        <v>735</v>
      </c>
      <c r="EI43">
        <v>0</v>
      </c>
      <c r="EJ43">
        <v>0</v>
      </c>
      <c r="EK43" s="14">
        <v>45470</v>
      </c>
      <c r="EL43" s="15">
        <v>1.36</v>
      </c>
      <c r="EM43" s="15">
        <v>4.93</v>
      </c>
      <c r="EN43" s="15">
        <v>0</v>
      </c>
      <c r="EO43" s="15">
        <v>1.71</v>
      </c>
      <c r="EP43" s="15">
        <v>0</v>
      </c>
    </row>
    <row r="44" spans="1:146" ht="96" x14ac:dyDescent="0.25">
      <c r="A44" s="8"/>
      <c r="B44" s="8"/>
      <c r="C44" s="7" t="str">
        <f>""&amp;CHAR(10)&amp;Basic_Fundamental_Information_Constructure(F44)&amp;CHAR(10)&amp;Basic_Fundamental_Information_Concatenate("")</f>
        <v xml:space="preserve">
市值26.443326亿, 利润5.05亿; PE65.02; 平均PE10.73; 平均PEG.17, PB.75; ROIC2.79%; ROE2.43%; 股利率1.3158%; 毛利54.2233%; 净利7.5333%; 上一年度营收增338.72%, 利润增2218.41%; 当季营收增-78.5%, 利润增-82.4%; 过往5年营收增62.42%, 利润增418.23%
Income profile:
</v>
      </c>
      <c r="D44" t="s">
        <v>102</v>
      </c>
      <c r="E44" t="s">
        <v>8</v>
      </c>
      <c r="F44">
        <v>3.04</v>
      </c>
      <c r="G44">
        <v>0.66</v>
      </c>
      <c r="H44" t="s">
        <v>2182</v>
      </c>
      <c r="I44">
        <v>2644332600</v>
      </c>
      <c r="J44">
        <v>65.02</v>
      </c>
      <c r="K44">
        <v>0.75</v>
      </c>
      <c r="L44" t="s">
        <v>57</v>
      </c>
      <c r="M44" t="s">
        <v>2183</v>
      </c>
      <c r="N44" t="s">
        <v>2184</v>
      </c>
      <c r="O44" t="s">
        <v>2185</v>
      </c>
      <c r="P44">
        <v>-5.4</v>
      </c>
      <c r="Q44" t="s">
        <v>2186</v>
      </c>
      <c r="R44">
        <v>37670791</v>
      </c>
      <c r="S44" s="5">
        <v>0.17549999999999999</v>
      </c>
      <c r="T44" t="s">
        <v>422</v>
      </c>
      <c r="U44">
        <v>868952780</v>
      </c>
      <c r="V44">
        <v>869846250</v>
      </c>
      <c r="W44">
        <v>3.35</v>
      </c>
      <c r="X44">
        <v>0.03</v>
      </c>
      <c r="Y44">
        <v>12.37</v>
      </c>
      <c r="Z44" t="s">
        <v>968</v>
      </c>
      <c r="AA44" t="s">
        <v>938</v>
      </c>
      <c r="AB44" t="s">
        <v>2187</v>
      </c>
      <c r="AC44" t="s">
        <v>2188</v>
      </c>
      <c r="AD44" t="s">
        <v>133</v>
      </c>
      <c r="AE44">
        <v>74813927</v>
      </c>
      <c r="AF44" t="s">
        <v>2189</v>
      </c>
      <c r="AG44" t="s">
        <v>2190</v>
      </c>
      <c r="AH44" t="s">
        <v>2191</v>
      </c>
      <c r="AI44" t="s">
        <v>148</v>
      </c>
      <c r="AJ44" t="s">
        <v>2192</v>
      </c>
      <c r="AK44" t="s">
        <v>133</v>
      </c>
      <c r="AL44" t="s">
        <v>2193</v>
      </c>
      <c r="AM44" t="s">
        <v>133</v>
      </c>
      <c r="AN44" t="s">
        <v>2194</v>
      </c>
      <c r="AO44" t="s">
        <v>2195</v>
      </c>
      <c r="AP44" t="s">
        <v>133</v>
      </c>
      <c r="AQ44" t="s">
        <v>899</v>
      </c>
      <c r="AR44" t="s">
        <v>2196</v>
      </c>
      <c r="AS44" t="s">
        <v>2197</v>
      </c>
      <c r="AT44" t="s">
        <v>2198</v>
      </c>
      <c r="AU44" t="s">
        <v>387</v>
      </c>
      <c r="AV44" t="s">
        <v>2199</v>
      </c>
      <c r="AW44" t="s">
        <v>2200</v>
      </c>
      <c r="AX44" t="s">
        <v>974</v>
      </c>
      <c r="AY44" t="s">
        <v>696</v>
      </c>
      <c r="AZ44" t="s">
        <v>471</v>
      </c>
      <c r="BA44" t="s">
        <v>239</v>
      </c>
      <c r="BB44" t="s">
        <v>415</v>
      </c>
      <c r="BC44" t="s">
        <v>975</v>
      </c>
      <c r="BD44" t="s">
        <v>572</v>
      </c>
      <c r="BE44" t="s">
        <v>178</v>
      </c>
      <c r="BF44" t="s">
        <v>472</v>
      </c>
      <c r="BG44" t="s">
        <v>277</v>
      </c>
      <c r="BH44" t="s">
        <v>2201</v>
      </c>
      <c r="BI44" t="s">
        <v>1167</v>
      </c>
      <c r="BJ44" t="s">
        <v>974</v>
      </c>
      <c r="BK44" t="s">
        <v>2202</v>
      </c>
      <c r="BL44" t="s">
        <v>919</v>
      </c>
      <c r="BM44" t="s">
        <v>975</v>
      </c>
      <c r="BN44">
        <v>3.3</v>
      </c>
      <c r="BO44">
        <v>1.66</v>
      </c>
      <c r="BP44">
        <v>3.41</v>
      </c>
      <c r="BQ44">
        <v>2.92</v>
      </c>
      <c r="BR44">
        <v>0.63</v>
      </c>
      <c r="BS44">
        <v>3.74</v>
      </c>
      <c r="BT44" t="s">
        <v>891</v>
      </c>
      <c r="BU44" t="s">
        <v>787</v>
      </c>
      <c r="BV44">
        <v>59.2</v>
      </c>
      <c r="BW44">
        <v>51.62</v>
      </c>
      <c r="BX44">
        <v>51.85</v>
      </c>
      <c r="BY44">
        <v>9.19</v>
      </c>
      <c r="BZ44">
        <v>4.0199999999999996</v>
      </c>
      <c r="CA44">
        <v>9.39</v>
      </c>
      <c r="CB44">
        <v>9.75</v>
      </c>
      <c r="CC44">
        <v>-7.88</v>
      </c>
      <c r="CD44" t="s">
        <v>2203</v>
      </c>
      <c r="CE44" t="s">
        <v>159</v>
      </c>
      <c r="CF44" s="9">
        <v>-0.78496042216358841</v>
      </c>
      <c r="CG44" s="10">
        <v>-0.8239682663551402</v>
      </c>
      <c r="CH44" s="9">
        <v>3.387192964553833</v>
      </c>
      <c r="CI44" s="9">
        <v>-0.11820580065250397</v>
      </c>
      <c r="CJ44" s="9">
        <v>3.8925472646951675E-2</v>
      </c>
      <c r="CK44" s="9">
        <v>-0.55512195825576782</v>
      </c>
      <c r="CL44" s="9">
        <v>0.3680347204208374</v>
      </c>
      <c r="CM44" s="10">
        <v>22.184066772460937</v>
      </c>
      <c r="CN44" s="10">
        <v>-0.82574242353439331</v>
      </c>
      <c r="CO44" s="10">
        <v>-0.39024388790130615</v>
      </c>
      <c r="CP44" s="10">
        <v>-0.4305555522441864</v>
      </c>
      <c r="CQ44" s="10">
        <v>0.37404578924179077</v>
      </c>
      <c r="CR44">
        <v>10.729095603125328</v>
      </c>
      <c r="CS44">
        <v>0.17189515965149324</v>
      </c>
      <c r="CT44">
        <v>1.3157894736842106</v>
      </c>
      <c r="CU44" s="9">
        <v>0.6241650797426701</v>
      </c>
      <c r="CV44" s="10">
        <v>4.1823141396045687</v>
      </c>
      <c r="CW44">
        <v>0.06</v>
      </c>
      <c r="CX44">
        <v>11.134132024675667</v>
      </c>
      <c r="CY44">
        <v>773776759.68872488</v>
      </c>
      <c r="CZ44">
        <v>0.6241650797426701</v>
      </c>
      <c r="DA44">
        <v>2.3843458044359496</v>
      </c>
      <c r="DB44">
        <v>3613289894.4321032</v>
      </c>
      <c r="DC44">
        <v>0.59295682575553654</v>
      </c>
      <c r="DD44">
        <v>0.61586573480525475</v>
      </c>
      <c r="DE44">
        <v>13988978624.901558</v>
      </c>
      <c r="DF44">
        <v>0.54926527017354965</v>
      </c>
      <c r="DG44">
        <v>0.16096060207232021</v>
      </c>
      <c r="DH44">
        <v>53524480457.20591</v>
      </c>
      <c r="DI44">
        <v>0.49933206379413608</v>
      </c>
      <c r="DJ44">
        <v>1.0215889199569426E-2</v>
      </c>
      <c r="DK44">
        <v>843326746374.96216</v>
      </c>
      <c r="DL44">
        <v>0.43691555581986907</v>
      </c>
      <c r="DM44">
        <v>505000000</v>
      </c>
      <c r="DN44">
        <v>0.6241650797426701</v>
      </c>
      <c r="DO44">
        <v>8615332600</v>
      </c>
      <c r="DP44">
        <v>-2322609100</v>
      </c>
      <c r="DQ44">
        <v>3382</v>
      </c>
      <c r="DR44">
        <v>-1.4091255019062585</v>
      </c>
      <c r="DS44">
        <v>-5.0062824059597091</v>
      </c>
      <c r="DT44" s="11">
        <v>-0.1566666666666667</v>
      </c>
      <c r="DU44">
        <v>-0.59000000000000008</v>
      </c>
      <c r="DV44">
        <v>-0.74666666666666681</v>
      </c>
      <c r="DW44">
        <v>5.8082051282051284</v>
      </c>
      <c r="DX44">
        <v>0.73769478095238106</v>
      </c>
      <c r="DY44">
        <v>5.3375830639902322</v>
      </c>
      <c r="DZ44">
        <v>3484</v>
      </c>
      <c r="EA44">
        <v>5.1074187988352477</v>
      </c>
      <c r="EB44">
        <v>5</v>
      </c>
      <c r="EC44">
        <v>0.10084069454803075</v>
      </c>
      <c r="ED44">
        <v>0.24142197543531399</v>
      </c>
      <c r="EE44" s="12">
        <v>4.8010000000000004E-2</v>
      </c>
      <c r="EF44">
        <v>5.1199999999999996E-2</v>
      </c>
      <c r="EG44">
        <v>32.417694780952381</v>
      </c>
      <c r="EH44" t="s">
        <v>789</v>
      </c>
      <c r="EI44">
        <v>1</v>
      </c>
      <c r="EJ44">
        <v>0</v>
      </c>
      <c r="EK44" s="14">
        <v>45470</v>
      </c>
      <c r="EL44" s="15">
        <v>3.81</v>
      </c>
      <c r="EM44" s="15">
        <v>-6.11</v>
      </c>
      <c r="EN44" s="15">
        <v>1.74</v>
      </c>
      <c r="EO44" s="15">
        <v>1.07</v>
      </c>
      <c r="EP44" s="15">
        <v>9.92</v>
      </c>
    </row>
    <row r="45" spans="1:146" ht="96" x14ac:dyDescent="0.25">
      <c r="A45" s="8"/>
      <c r="B45" s="8"/>
      <c r="C45" s="7" t="str">
        <f>""&amp;CHAR(10)&amp;Basic_Fundamental_Information_Constructure(F45)&amp;CHAR(10)&amp;Basic_Fundamental_Information_Concatenate("")</f>
        <v xml:space="preserve">
市值54.972031亿, 利润8707.04万; PE9.92; 平均PE8.73; 平均PEG.28, PB.653; ROIC7.6767%; ROE6.6733%; 股利率.5638%; 毛利38.8067%; 净利8.5267%; 上一年度营收增-77.61%, 利润增-84.14%; 当季营收增439.43%, 利润增748.07%; 过往5年营收增-31.75%, 利润增-22.67%
Income profile:
</v>
      </c>
      <c r="D45" t="s">
        <v>107</v>
      </c>
      <c r="E45" t="s">
        <v>50</v>
      </c>
      <c r="F45">
        <v>17.559999999999999</v>
      </c>
      <c r="G45">
        <v>1.44</v>
      </c>
      <c r="H45" t="s">
        <v>2204</v>
      </c>
      <c r="I45">
        <v>5497203100</v>
      </c>
      <c r="J45">
        <v>9.92</v>
      </c>
      <c r="K45">
        <v>0.65300000000000002</v>
      </c>
      <c r="L45" t="s">
        <v>57</v>
      </c>
      <c r="M45" t="s">
        <v>2205</v>
      </c>
      <c r="N45" t="s">
        <v>2206</v>
      </c>
      <c r="O45" t="s">
        <v>2207</v>
      </c>
      <c r="P45">
        <v>-7.92</v>
      </c>
      <c r="Q45" t="s">
        <v>2208</v>
      </c>
      <c r="R45">
        <v>263194100</v>
      </c>
      <c r="S45" s="5">
        <v>0.22869999999999999</v>
      </c>
      <c r="T45" t="s">
        <v>2209</v>
      </c>
      <c r="U45">
        <v>313052570</v>
      </c>
      <c r="V45">
        <v>313052570</v>
      </c>
      <c r="W45">
        <v>2.0699999999999998</v>
      </c>
      <c r="X45">
        <v>0.11</v>
      </c>
      <c r="Y45">
        <v>13.73</v>
      </c>
      <c r="Z45" t="s">
        <v>2210</v>
      </c>
      <c r="AA45" t="s">
        <v>1876</v>
      </c>
      <c r="AB45" t="s">
        <v>244</v>
      </c>
      <c r="AC45" t="s">
        <v>148</v>
      </c>
      <c r="AD45" t="s">
        <v>133</v>
      </c>
      <c r="AE45">
        <v>35815708</v>
      </c>
      <c r="AF45" t="s">
        <v>2211</v>
      </c>
      <c r="AG45" t="s">
        <v>2212</v>
      </c>
      <c r="AH45" t="s">
        <v>2213</v>
      </c>
      <c r="AI45" t="s">
        <v>1121</v>
      </c>
      <c r="AJ45" t="s">
        <v>2214</v>
      </c>
      <c r="AK45" t="s">
        <v>133</v>
      </c>
      <c r="AL45" t="s">
        <v>2215</v>
      </c>
      <c r="AM45" t="s">
        <v>133</v>
      </c>
      <c r="AN45" t="s">
        <v>2216</v>
      </c>
      <c r="AO45" t="s">
        <v>133</v>
      </c>
      <c r="AP45" t="s">
        <v>886</v>
      </c>
      <c r="AQ45" t="s">
        <v>200</v>
      </c>
      <c r="AR45" t="s">
        <v>133</v>
      </c>
      <c r="AS45" t="s">
        <v>2217</v>
      </c>
      <c r="AT45" t="s">
        <v>133</v>
      </c>
      <c r="AU45" t="s">
        <v>2218</v>
      </c>
      <c r="AV45" t="s">
        <v>146</v>
      </c>
      <c r="AW45" t="s">
        <v>1290</v>
      </c>
      <c r="AX45" t="s">
        <v>976</v>
      </c>
      <c r="AY45" t="s">
        <v>978</v>
      </c>
      <c r="AZ45" t="s">
        <v>473</v>
      </c>
      <c r="BA45" t="s">
        <v>241</v>
      </c>
      <c r="BB45" t="s">
        <v>476</v>
      </c>
      <c r="BC45" t="s">
        <v>977</v>
      </c>
      <c r="BD45" t="s">
        <v>979</v>
      </c>
      <c r="BE45" t="s">
        <v>474</v>
      </c>
      <c r="BF45" t="s">
        <v>242</v>
      </c>
      <c r="BG45" t="s">
        <v>451</v>
      </c>
      <c r="BH45" t="s">
        <v>2186</v>
      </c>
      <c r="BI45" t="s">
        <v>1311</v>
      </c>
      <c r="BJ45" t="s">
        <v>976</v>
      </c>
      <c r="BK45" t="s">
        <v>422</v>
      </c>
      <c r="BL45" t="s">
        <v>2219</v>
      </c>
      <c r="BM45" t="s">
        <v>977</v>
      </c>
      <c r="BN45">
        <v>6.52</v>
      </c>
      <c r="BO45">
        <v>7.65</v>
      </c>
      <c r="BP45">
        <v>8.86</v>
      </c>
      <c r="BQ45">
        <v>5.49</v>
      </c>
      <c r="BR45">
        <v>6.49</v>
      </c>
      <c r="BS45">
        <v>8.0399999999999991</v>
      </c>
      <c r="BT45" t="s">
        <v>2220</v>
      </c>
      <c r="BU45" t="s">
        <v>787</v>
      </c>
      <c r="BV45">
        <v>38.76</v>
      </c>
      <c r="BW45">
        <v>38</v>
      </c>
      <c r="BX45">
        <v>39.659999999999997</v>
      </c>
      <c r="BY45">
        <v>7.68</v>
      </c>
      <c r="BZ45">
        <v>8.23</v>
      </c>
      <c r="CA45">
        <v>9.67</v>
      </c>
      <c r="CB45">
        <v>4.46</v>
      </c>
      <c r="CC45">
        <v>-0.69</v>
      </c>
      <c r="CD45" t="s">
        <v>2221</v>
      </c>
      <c r="CE45" t="s">
        <v>2222</v>
      </c>
      <c r="CF45" s="9">
        <v>4.3943298969072169</v>
      </c>
      <c r="CG45" s="10">
        <v>7.4806667397034277</v>
      </c>
      <c r="CH45" s="9">
        <v>-0.77614396810531616</v>
      </c>
      <c r="CI45" s="9">
        <v>-0.13037760555744171</v>
      </c>
      <c r="CJ45" s="9">
        <v>3.0922729521989822E-2</v>
      </c>
      <c r="CK45" s="9">
        <v>-0.62915754318237305</v>
      </c>
      <c r="CL45" s="9">
        <v>-8.2917869091033936E-2</v>
      </c>
      <c r="CM45" s="10">
        <v>-0.84140181541442871</v>
      </c>
      <c r="CN45" s="10">
        <v>-0.27763158082962036</v>
      </c>
      <c r="CO45" s="10">
        <v>0.52304607629776001</v>
      </c>
      <c r="CP45" s="10">
        <v>-0.44120940566062927</v>
      </c>
      <c r="CQ45" s="10">
        <v>-9.6153847873210907E-2</v>
      </c>
      <c r="CR45">
        <v>8.734799700768292</v>
      </c>
      <c r="CS45">
        <v>0.27508160649074775</v>
      </c>
      <c r="CT45">
        <v>0.56383770495500585</v>
      </c>
      <c r="CU45" s="9">
        <v>-0.31753485128283498</v>
      </c>
      <c r="CV45" s="10">
        <v>-0.22667011469602585</v>
      </c>
      <c r="CW45">
        <v>0.06</v>
      </c>
      <c r="CX45">
        <v>67.98180667597714</v>
      </c>
      <c r="CY45" t="s">
        <v>2223</v>
      </c>
      <c r="CZ45">
        <v>-0.31753485128283498</v>
      </c>
      <c r="DA45">
        <v>22.660602225325714</v>
      </c>
      <c r="DB45" t="s">
        <v>2224</v>
      </c>
      <c r="DC45">
        <v>-0.3016581087186932</v>
      </c>
      <c r="DD45">
        <v>11.330301112662857</v>
      </c>
      <c r="DE45" t="s">
        <v>2225</v>
      </c>
      <c r="DF45">
        <v>-0.2794306691288948</v>
      </c>
      <c r="DG45">
        <v>6.7981806675977143</v>
      </c>
      <c r="DH45" t="s">
        <v>2226</v>
      </c>
      <c r="DI45">
        <v>-0.254027881026268</v>
      </c>
      <c r="DJ45">
        <v>3.3990903337988572</v>
      </c>
      <c r="DK45" t="s">
        <v>2227</v>
      </c>
      <c r="DL45">
        <v>-0.22227439589798448</v>
      </c>
      <c r="DM45">
        <v>87070400.000000015</v>
      </c>
      <c r="DN45">
        <v>-0.31753485128283498</v>
      </c>
      <c r="DO45">
        <v>5919203100</v>
      </c>
      <c r="DP45">
        <v>4348330900</v>
      </c>
      <c r="DQ45">
        <v>3383</v>
      </c>
      <c r="DR45">
        <v>4.7118647481900515</v>
      </c>
      <c r="DS45">
        <v>7.7073368543994532</v>
      </c>
      <c r="DT45" s="11">
        <v>-1.0066666666666666</v>
      </c>
      <c r="DU45">
        <v>-0.68666666666666665</v>
      </c>
      <c r="DV45">
        <v>-1.6933333333333334</v>
      </c>
      <c r="DW45">
        <v>4.1547085201793719</v>
      </c>
      <c r="DX45">
        <v>0.33051528563251631</v>
      </c>
      <c r="DY45">
        <v>4.0294743379117568</v>
      </c>
      <c r="DZ45">
        <v>1665</v>
      </c>
      <c r="EA45">
        <v>4.0198706642086108</v>
      </c>
      <c r="EB45">
        <v>4</v>
      </c>
      <c r="EC45">
        <v>5.03196635632156E-2</v>
      </c>
      <c r="ED45">
        <v>0.26412400958727156</v>
      </c>
      <c r="EE45" s="12">
        <v>1.0192099999999999</v>
      </c>
      <c r="EF45">
        <v>1.0403100000000001</v>
      </c>
      <c r="EG45">
        <v>14.190515285632516</v>
      </c>
      <c r="EH45" t="s">
        <v>786</v>
      </c>
      <c r="EI45">
        <v>0</v>
      </c>
      <c r="EJ45">
        <v>0</v>
      </c>
      <c r="EK45" s="14">
        <v>45470</v>
      </c>
      <c r="EL45" s="15">
        <v>-0.69</v>
      </c>
      <c r="EM45" s="15">
        <v>-4.55</v>
      </c>
      <c r="EN45" s="15">
        <v>2.56</v>
      </c>
      <c r="EO45" s="15">
        <v>1.79</v>
      </c>
      <c r="EP45" s="15">
        <v>-2.11</v>
      </c>
    </row>
    <row r="46" spans="1:146" ht="96" x14ac:dyDescent="0.25">
      <c r="A46" s="8"/>
      <c r="B46" s="8"/>
      <c r="C46" s="7" t="str">
        <f>""&amp;CHAR(10)&amp;Basic_Fundamental_Information_Constructure(F46)&amp;CHAR(10)&amp;Basic_Fundamental_Information_Concatenate("")</f>
        <v xml:space="preserve">
市值16.083804亿, 利润285.20万; PE71.07; 平均PE24.32; 平均PEG.81, PB.684; ROIC1.6%; ROE-1.6067%; 股利率1.088%; 毛利39.9433%; 净利1.3133%; 上一年度营收增-92.95%, 利润增101.84%; 当季营收增1700%, 利润增1919.83%; 过往5年营收增-30.13%, 利润增-124.03%
Income profile:
</v>
      </c>
      <c r="D46" t="s">
        <v>101</v>
      </c>
      <c r="E46" t="s">
        <v>44</v>
      </c>
      <c r="F46">
        <v>10.11</v>
      </c>
      <c r="G46">
        <v>0.5</v>
      </c>
      <c r="H46" t="s">
        <v>2228</v>
      </c>
      <c r="I46">
        <v>1608380400</v>
      </c>
      <c r="J46">
        <v>71.069999999999993</v>
      </c>
      <c r="K46">
        <v>0.68400000000000005</v>
      </c>
      <c r="L46" t="s">
        <v>57</v>
      </c>
      <c r="M46" t="s">
        <v>2229</v>
      </c>
      <c r="N46" t="s">
        <v>2230</v>
      </c>
      <c r="O46" t="s">
        <v>2231</v>
      </c>
      <c r="P46">
        <v>0.2</v>
      </c>
      <c r="Q46" t="s">
        <v>1164</v>
      </c>
      <c r="R46">
        <v>13444001</v>
      </c>
      <c r="S46" s="5">
        <v>0.40810000000000002</v>
      </c>
      <c r="T46" t="s">
        <v>2232</v>
      </c>
      <c r="U46">
        <v>155376020</v>
      </c>
      <c r="V46">
        <v>159088080</v>
      </c>
      <c r="W46">
        <v>4.7300000000000004</v>
      </c>
      <c r="X46">
        <v>0.09</v>
      </c>
      <c r="Y46">
        <v>2.16</v>
      </c>
      <c r="Z46" t="s">
        <v>2233</v>
      </c>
      <c r="AA46" t="s">
        <v>1909</v>
      </c>
      <c r="AB46" t="s">
        <v>1438</v>
      </c>
      <c r="AC46" t="s">
        <v>872</v>
      </c>
      <c r="AD46" t="s">
        <v>133</v>
      </c>
      <c r="AE46">
        <v>112708094</v>
      </c>
      <c r="AF46" t="s">
        <v>2234</v>
      </c>
      <c r="AG46" t="s">
        <v>2235</v>
      </c>
      <c r="AH46" t="s">
        <v>2236</v>
      </c>
      <c r="AI46" t="s">
        <v>2237</v>
      </c>
      <c r="AJ46" t="s">
        <v>2238</v>
      </c>
      <c r="AK46" t="s">
        <v>133</v>
      </c>
      <c r="AL46" t="s">
        <v>2239</v>
      </c>
      <c r="AM46" t="s">
        <v>133</v>
      </c>
      <c r="AN46" t="s">
        <v>865</v>
      </c>
      <c r="AO46" t="s">
        <v>2240</v>
      </c>
      <c r="AP46" t="s">
        <v>385</v>
      </c>
      <c r="AQ46" t="s">
        <v>2241</v>
      </c>
      <c r="AR46" t="s">
        <v>2242</v>
      </c>
      <c r="AS46" t="s">
        <v>2243</v>
      </c>
      <c r="AT46" t="s">
        <v>2244</v>
      </c>
      <c r="AU46" t="s">
        <v>2245</v>
      </c>
      <c r="AV46" t="s">
        <v>2246</v>
      </c>
      <c r="AW46" t="s">
        <v>2247</v>
      </c>
      <c r="AX46" t="s">
        <v>981</v>
      </c>
      <c r="AY46" t="s">
        <v>697</v>
      </c>
      <c r="AZ46" t="s">
        <v>477</v>
      </c>
      <c r="BA46" t="s">
        <v>243</v>
      </c>
      <c r="BB46" t="s">
        <v>479</v>
      </c>
      <c r="BC46" t="s">
        <v>1827</v>
      </c>
      <c r="BD46" t="s">
        <v>698</v>
      </c>
      <c r="BE46" t="s">
        <v>478</v>
      </c>
      <c r="BF46" t="s">
        <v>244</v>
      </c>
      <c r="BG46" t="s">
        <v>216</v>
      </c>
      <c r="BH46" t="s">
        <v>2248</v>
      </c>
      <c r="BI46" t="s">
        <v>264</v>
      </c>
      <c r="BJ46" t="s">
        <v>981</v>
      </c>
      <c r="BK46" t="s">
        <v>2249</v>
      </c>
      <c r="BL46" t="s">
        <v>2250</v>
      </c>
      <c r="BM46" t="s">
        <v>1827</v>
      </c>
      <c r="BN46">
        <v>2.44</v>
      </c>
      <c r="BO46">
        <v>-0.6</v>
      </c>
      <c r="BP46">
        <v>2.96</v>
      </c>
      <c r="BQ46">
        <v>0.71</v>
      </c>
      <c r="BR46">
        <v>-6.39</v>
      </c>
      <c r="BS46">
        <v>0.86</v>
      </c>
      <c r="BT46" t="s">
        <v>1271</v>
      </c>
      <c r="BU46" t="s">
        <v>787</v>
      </c>
      <c r="BV46">
        <v>38.630000000000003</v>
      </c>
      <c r="BW46">
        <v>40.76</v>
      </c>
      <c r="BX46">
        <v>40.44</v>
      </c>
      <c r="BY46">
        <v>2.09</v>
      </c>
      <c r="BZ46">
        <v>-0.24</v>
      </c>
      <c r="CA46">
        <v>2.09</v>
      </c>
      <c r="CB46">
        <v>0.6</v>
      </c>
      <c r="CC46">
        <v>-13.88</v>
      </c>
      <c r="CD46" t="s">
        <v>2251</v>
      </c>
      <c r="CE46" t="s">
        <v>2252</v>
      </c>
      <c r="CF46" s="9">
        <v>17.000000000000004</v>
      </c>
      <c r="CG46" s="10">
        <v>19.198318810096154</v>
      </c>
      <c r="CH46" s="9">
        <v>-0.92947977781295776</v>
      </c>
      <c r="CI46" s="9">
        <v>-0.17145593464374542</v>
      </c>
      <c r="CJ46" s="9">
        <v>4.3739080429077148E-2</v>
      </c>
      <c r="CK46" s="9">
        <v>-0.52161175012588501</v>
      </c>
      <c r="CL46" s="9">
        <v>7.2243593633174896E-2</v>
      </c>
      <c r="CM46" s="10">
        <v>1.0183999538421631</v>
      </c>
      <c r="CN46" s="10">
        <v>-6.4769158363342285</v>
      </c>
      <c r="CO46" s="10">
        <v>0.24603632092475891</v>
      </c>
      <c r="CP46" s="10">
        <v>-0.90456932783126831</v>
      </c>
      <c r="CQ46" s="10">
        <v>-8.461538702249527E-2</v>
      </c>
      <c r="CR46">
        <v>24.316278755677935</v>
      </c>
      <c r="CS46">
        <v>0.8070107220400401</v>
      </c>
      <c r="CT46">
        <v>1.0880316518298716</v>
      </c>
      <c r="CU46" s="9">
        <v>-0.30131295770406724</v>
      </c>
      <c r="CV46" s="10">
        <v>-1.2403328552842141</v>
      </c>
      <c r="CW46">
        <v>0.06</v>
      </c>
      <c r="CX46">
        <v>4779.5863955119212</v>
      </c>
      <c r="CY46" t="s">
        <v>2253</v>
      </c>
      <c r="CZ46">
        <v>-0.30131295770406724</v>
      </c>
      <c r="DA46">
        <v>1593.1954651706405</v>
      </c>
      <c r="DB46" t="s">
        <v>2254</v>
      </c>
      <c r="DC46">
        <v>-0.28624730981886387</v>
      </c>
      <c r="DD46">
        <v>796.59773258532027</v>
      </c>
      <c r="DE46" t="s">
        <v>2255</v>
      </c>
      <c r="DF46">
        <v>-0.26515540277957916</v>
      </c>
      <c r="DG46">
        <v>477.95863955119216</v>
      </c>
      <c r="DH46" t="s">
        <v>2256</v>
      </c>
      <c r="DI46">
        <v>-0.24105036616325382</v>
      </c>
      <c r="DJ46">
        <v>238.97931977559608</v>
      </c>
      <c r="DK46" t="s">
        <v>2257</v>
      </c>
      <c r="DL46">
        <v>-0.21091907039284705</v>
      </c>
      <c r="DM46">
        <v>2852000</v>
      </c>
      <c r="DN46">
        <v>-0.30131295770406724</v>
      </c>
      <c r="DO46">
        <v>13631380400</v>
      </c>
      <c r="DP46">
        <v>-10757425800</v>
      </c>
      <c r="DQ46">
        <v>3385</v>
      </c>
      <c r="DR46">
        <v>17.30131295770407</v>
      </c>
      <c r="DS46">
        <v>20.43865166538037</v>
      </c>
      <c r="DT46" s="11">
        <v>-1.04</v>
      </c>
      <c r="DU46">
        <v>0.11666666666666674</v>
      </c>
      <c r="DV46">
        <v>-0.92333333333333334</v>
      </c>
      <c r="DW46">
        <v>-2.1387999999999998</v>
      </c>
      <c r="DX46">
        <v>0.3012418012979855</v>
      </c>
      <c r="DY46">
        <v>-2.0182163620201603</v>
      </c>
      <c r="DZ46">
        <v>2582</v>
      </c>
      <c r="EA46">
        <v>-2.0090119301735743</v>
      </c>
      <c r="EB46">
        <v>2</v>
      </c>
      <c r="EC46">
        <v>7.6472102749621462E-2</v>
      </c>
      <c r="ED46">
        <v>0.58268099030423903</v>
      </c>
      <c r="EE46" s="12">
        <v>-5.0902000000000003</v>
      </c>
      <c r="EF46">
        <v>-5.0545999999999998</v>
      </c>
      <c r="EG46">
        <v>17.131241801297985</v>
      </c>
      <c r="EH46" t="s">
        <v>1978</v>
      </c>
      <c r="EI46">
        <v>0</v>
      </c>
      <c r="EJ46">
        <v>0</v>
      </c>
      <c r="EK46" s="14">
        <v>45470</v>
      </c>
      <c r="EL46" s="15">
        <v>0</v>
      </c>
      <c r="EM46" s="15">
        <v>-5.31</v>
      </c>
      <c r="EN46" s="15">
        <v>3.33</v>
      </c>
      <c r="EO46" s="15">
        <v>3.08</v>
      </c>
      <c r="EP46" s="15">
        <v>-3.56</v>
      </c>
    </row>
    <row r="47" spans="1:146" ht="96" x14ac:dyDescent="0.25">
      <c r="A47" s="8"/>
      <c r="B47" s="8"/>
      <c r="C47" s="7" t="str">
        <f>""&amp;CHAR(10)&amp;Basic_Fundamental_Information_Constructure(F47)&amp;CHAR(10)&amp;Basic_Fundamental_Information_Concatenate("")</f>
        <v xml:space="preserve">
市值19.498662亿, 利润5.78亿; PE141; 平均PE33.81; 平均PEG.02, PB2.35; ROIC.51%; ROE-3.1733%; 股利率0%; 毛利26.7333%; 净利-2.8133%; 上一年度营收增8069.21%, 利润增996.22%; 当季营收增-98.9%, 利润增-98.54%; 过往5年营收增1596.94%, 利润增-834.37%
Income profile:
</v>
      </c>
      <c r="D47" t="s">
        <v>111</v>
      </c>
      <c r="E47" t="s">
        <v>52</v>
      </c>
      <c r="F47">
        <v>3.58</v>
      </c>
      <c r="G47">
        <v>0</v>
      </c>
      <c r="H47" t="s">
        <v>2258</v>
      </c>
      <c r="I47">
        <v>1949866200</v>
      </c>
      <c r="J47">
        <v>141</v>
      </c>
      <c r="K47">
        <v>2.35</v>
      </c>
      <c r="L47" t="s">
        <v>57</v>
      </c>
      <c r="M47" t="s">
        <v>984</v>
      </c>
      <c r="N47" t="s">
        <v>361</v>
      </c>
      <c r="O47" t="s">
        <v>611</v>
      </c>
      <c r="P47">
        <v>0.05</v>
      </c>
      <c r="Q47" t="s">
        <v>2259</v>
      </c>
      <c r="R47">
        <v>2168654</v>
      </c>
      <c r="S47" s="5">
        <v>1.492</v>
      </c>
      <c r="T47" t="s">
        <v>1078</v>
      </c>
      <c r="U47">
        <v>538648370</v>
      </c>
      <c r="V47">
        <v>544655360</v>
      </c>
      <c r="W47">
        <v>1.75</v>
      </c>
      <c r="X47">
        <v>0.1</v>
      </c>
      <c r="Y47">
        <v>1.4</v>
      </c>
      <c r="Z47" t="s">
        <v>219</v>
      </c>
      <c r="AA47" t="s">
        <v>139</v>
      </c>
      <c r="AB47" t="s">
        <v>2260</v>
      </c>
      <c r="AC47" t="s">
        <v>2261</v>
      </c>
      <c r="AD47" t="s">
        <v>133</v>
      </c>
      <c r="AE47">
        <v>3095407</v>
      </c>
      <c r="AF47" t="s">
        <v>2262</v>
      </c>
      <c r="AG47">
        <v>7698.03</v>
      </c>
      <c r="AH47" t="s">
        <v>2263</v>
      </c>
      <c r="AI47" t="s">
        <v>1113</v>
      </c>
      <c r="AJ47" t="s">
        <v>2264</v>
      </c>
      <c r="AK47" t="s">
        <v>133</v>
      </c>
      <c r="AL47" t="s">
        <v>2265</v>
      </c>
      <c r="AM47" t="s">
        <v>133</v>
      </c>
      <c r="AN47" t="s">
        <v>2266</v>
      </c>
      <c r="AO47" t="s">
        <v>2267</v>
      </c>
      <c r="AP47" t="s">
        <v>791</v>
      </c>
      <c r="AQ47" t="s">
        <v>395</v>
      </c>
      <c r="AR47" t="s">
        <v>133</v>
      </c>
      <c r="AS47" t="s">
        <v>1169</v>
      </c>
      <c r="AT47" t="s">
        <v>133</v>
      </c>
      <c r="AU47" t="s">
        <v>2268</v>
      </c>
      <c r="AV47" t="s">
        <v>2269</v>
      </c>
      <c r="AW47" t="s">
        <v>2270</v>
      </c>
      <c r="AX47" t="s">
        <v>171</v>
      </c>
      <c r="AY47" t="s">
        <v>280</v>
      </c>
      <c r="AZ47" t="s">
        <v>351</v>
      </c>
      <c r="BA47" t="s">
        <v>246</v>
      </c>
      <c r="BB47" t="s">
        <v>700</v>
      </c>
      <c r="BC47" t="s">
        <v>983</v>
      </c>
      <c r="BD47" t="s">
        <v>699</v>
      </c>
      <c r="BE47" t="s">
        <v>480</v>
      </c>
      <c r="BF47" t="s">
        <v>247</v>
      </c>
      <c r="BG47" t="s">
        <v>483</v>
      </c>
      <c r="BH47" t="s">
        <v>984</v>
      </c>
      <c r="BI47" t="s">
        <v>2271</v>
      </c>
      <c r="BJ47" t="s">
        <v>171</v>
      </c>
      <c r="BK47" t="s">
        <v>2272</v>
      </c>
      <c r="BL47" t="s">
        <v>136</v>
      </c>
      <c r="BM47" t="s">
        <v>983</v>
      </c>
      <c r="BN47" t="s">
        <v>133</v>
      </c>
      <c r="BO47" t="s">
        <v>133</v>
      </c>
      <c r="BP47">
        <v>0.51</v>
      </c>
      <c r="BQ47">
        <v>-2.2599999999999998</v>
      </c>
      <c r="BR47">
        <v>-7.56</v>
      </c>
      <c r="BS47">
        <v>0.3</v>
      </c>
      <c r="BT47" t="s">
        <v>856</v>
      </c>
      <c r="BU47" t="s">
        <v>787</v>
      </c>
      <c r="BV47">
        <v>27.39</v>
      </c>
      <c r="BW47">
        <v>25.63</v>
      </c>
      <c r="BX47">
        <v>27.18</v>
      </c>
      <c r="BY47">
        <v>1.07</v>
      </c>
      <c r="BZ47">
        <v>-9.84</v>
      </c>
      <c r="CA47">
        <v>0.33</v>
      </c>
      <c r="CB47">
        <v>1.99</v>
      </c>
      <c r="CC47">
        <v>-5.54</v>
      </c>
      <c r="CD47" t="s">
        <v>139</v>
      </c>
      <c r="CE47" t="s">
        <v>2273</v>
      </c>
      <c r="CF47" s="9">
        <v>-0.98899304076125549</v>
      </c>
      <c r="CG47" s="10">
        <v>-0.98544527516778524</v>
      </c>
      <c r="CH47" s="9">
        <v>80.69207763671875</v>
      </c>
      <c r="CI47" s="9">
        <v>-0.18811881542205811</v>
      </c>
      <c r="CJ47" s="9">
        <v>3.7227213382720947E-2</v>
      </c>
      <c r="CK47" s="9">
        <v>-0.58073198795318604</v>
      </c>
      <c r="CL47" s="9">
        <v>-0.1135496199131012</v>
      </c>
      <c r="CM47" s="10">
        <v>9.9621992111206055</v>
      </c>
      <c r="CN47" s="10">
        <v>-25.441240310668945</v>
      </c>
      <c r="CO47" s="10">
        <v>1.0202977657318115</v>
      </c>
      <c r="CP47" s="10">
        <v>-28.36553955078125</v>
      </c>
      <c r="CQ47" s="10">
        <v>1.1058845520019531</v>
      </c>
      <c r="CR47">
        <v>33.809659938178989</v>
      </c>
      <c r="CS47">
        <v>2.1171553350054155E-2</v>
      </c>
      <c r="CT47">
        <v>0</v>
      </c>
      <c r="CU47" s="9">
        <v>15.969380885362625</v>
      </c>
      <c r="CV47" s="10">
        <v>-8.343679666519165</v>
      </c>
      <c r="CW47">
        <v>0.06</v>
      </c>
      <c r="CX47">
        <v>0.19451462062285904</v>
      </c>
      <c r="CY47">
        <v>9253115237.4901867</v>
      </c>
      <c r="CZ47">
        <v>15.969380885362625</v>
      </c>
      <c r="DA47">
        <v>8.1979440531028468E-4</v>
      </c>
      <c r="DB47">
        <v>2195509250052.4778</v>
      </c>
      <c r="DC47">
        <v>15.170911841094494</v>
      </c>
      <c r="DD47">
        <v>3.5292920589194523E-7</v>
      </c>
      <c r="DE47">
        <v>5099793867870082</v>
      </c>
      <c r="DF47">
        <v>14.053055179119109</v>
      </c>
      <c r="DG47">
        <v>2.0918085012690201E-11</v>
      </c>
      <c r="DH47">
        <v>8.6043545520925557E+19</v>
      </c>
      <c r="DI47">
        <v>12.7755047082901</v>
      </c>
      <c r="DJ47">
        <v>1.76994100699209E-21</v>
      </c>
      <c r="DK47">
        <v>1.0169074522199844E+30</v>
      </c>
      <c r="DL47">
        <v>11.178566619753838</v>
      </c>
      <c r="DM47">
        <v>578000000</v>
      </c>
      <c r="DN47">
        <v>15.969380885362625</v>
      </c>
      <c r="DO47">
        <v>1799866200</v>
      </c>
      <c r="DP47">
        <v>-281787440</v>
      </c>
      <c r="DQ47">
        <v>3397</v>
      </c>
      <c r="DR47">
        <v>-16.95837392612388</v>
      </c>
      <c r="DS47">
        <v>7.3582343913513801</v>
      </c>
      <c r="DT47" s="11">
        <v>-0.40666666666666673</v>
      </c>
      <c r="DU47">
        <v>-1.04</v>
      </c>
      <c r="DV47">
        <v>-1.4466666666666668</v>
      </c>
      <c r="DW47">
        <v>-1.0553999999999999</v>
      </c>
      <c r="DX47">
        <v>0.61301369863013733</v>
      </c>
      <c r="DY47">
        <v>-1.0201109589041095</v>
      </c>
      <c r="DZ47">
        <v>2387</v>
      </c>
      <c r="EA47">
        <v>-1.0107166616626009</v>
      </c>
      <c r="EB47">
        <v>1</v>
      </c>
      <c r="EC47">
        <v>0.19461848314501118</v>
      </c>
      <c r="ED47">
        <v>0.53611884036172897</v>
      </c>
      <c r="EE47" s="12">
        <v>-2.0935999999999999</v>
      </c>
      <c r="EF47">
        <v>-2.0747</v>
      </c>
      <c r="EG47">
        <v>25.363013698630137</v>
      </c>
      <c r="EH47" t="s">
        <v>1419</v>
      </c>
      <c r="EI47">
        <v>0</v>
      </c>
      <c r="EJ47">
        <v>0</v>
      </c>
      <c r="EK47" s="14">
        <v>45470</v>
      </c>
      <c r="EL47" s="15">
        <v>-1.55</v>
      </c>
      <c r="EM47" s="15">
        <v>-4.46</v>
      </c>
      <c r="EN47" s="15">
        <v>0.82</v>
      </c>
      <c r="EO47" s="15">
        <v>0.82</v>
      </c>
      <c r="EP47" s="15">
        <v>-1.89</v>
      </c>
    </row>
    <row r="48" spans="1:146" ht="96" x14ac:dyDescent="0.25">
      <c r="A48" s="8"/>
      <c r="B48" s="8"/>
      <c r="C48" s="7" t="str">
        <f>""&amp;CHAR(10)&amp;Basic_Fundamental_Information_Constructure(F48)&amp;CHAR(10)&amp;Basic_Fundamental_Information_Concatenate("")</f>
        <v xml:space="preserve">
市值99.399533亿, 利润-267.55万; PE8.03; 平均PE12.69; 平均PEG.42, PB1.39; ROIC14.8067%; ROE18.0233%; 股利率6.0894%; 毛利25.8633%; 净利5.6%; 上一年度营收增-99.33%, 利润增-100.3%; 当季营收增16819%, 利润增5021.3%; 过往5年营收增-30.02%, 利润增-18.35%
Income profile:
</v>
      </c>
      <c r="D48" t="s">
        <v>99</v>
      </c>
      <c r="E48" t="s">
        <v>46</v>
      </c>
      <c r="F48">
        <v>22.27</v>
      </c>
      <c r="G48">
        <v>-0.18</v>
      </c>
      <c r="H48" t="s">
        <v>2274</v>
      </c>
      <c r="I48">
        <v>9939953300</v>
      </c>
      <c r="J48">
        <v>8.0299999999999994</v>
      </c>
      <c r="K48">
        <v>1.39</v>
      </c>
      <c r="L48" t="s">
        <v>57</v>
      </c>
      <c r="M48" t="s">
        <v>2275</v>
      </c>
      <c r="N48" t="s">
        <v>2276</v>
      </c>
      <c r="O48" t="s">
        <v>2277</v>
      </c>
      <c r="P48">
        <v>-4.63</v>
      </c>
      <c r="Q48" t="s">
        <v>866</v>
      </c>
      <c r="R48">
        <v>434831230</v>
      </c>
      <c r="S48" s="5">
        <v>-0.1507</v>
      </c>
      <c r="T48" t="s">
        <v>2278</v>
      </c>
      <c r="U48">
        <v>192799460</v>
      </c>
      <c r="V48">
        <v>446338270</v>
      </c>
      <c r="W48">
        <v>2.67</v>
      </c>
      <c r="X48">
        <v>0.25</v>
      </c>
      <c r="Y48">
        <v>9.02</v>
      </c>
      <c r="Z48" t="s">
        <v>2279</v>
      </c>
      <c r="AA48" t="s">
        <v>2280</v>
      </c>
      <c r="AB48" t="s">
        <v>658</v>
      </c>
      <c r="AC48" t="s">
        <v>178</v>
      </c>
      <c r="AD48" t="s">
        <v>133</v>
      </c>
      <c r="AE48">
        <v>15765415</v>
      </c>
      <c r="AF48" t="s">
        <v>2281</v>
      </c>
      <c r="AG48" t="s">
        <v>2282</v>
      </c>
      <c r="AH48" t="s">
        <v>2283</v>
      </c>
      <c r="AI48" t="s">
        <v>2284</v>
      </c>
      <c r="AJ48" t="s">
        <v>2285</v>
      </c>
      <c r="AK48" t="s">
        <v>133</v>
      </c>
      <c r="AL48" t="s">
        <v>2286</v>
      </c>
      <c r="AM48" t="s">
        <v>133</v>
      </c>
      <c r="AN48" t="s">
        <v>2287</v>
      </c>
      <c r="AO48" t="s">
        <v>2288</v>
      </c>
      <c r="AP48" t="s">
        <v>2289</v>
      </c>
      <c r="AQ48" t="s">
        <v>2290</v>
      </c>
      <c r="AR48" t="s">
        <v>2291</v>
      </c>
      <c r="AS48" t="s">
        <v>2292</v>
      </c>
      <c r="AT48" t="s">
        <v>133</v>
      </c>
      <c r="AU48" t="s">
        <v>2293</v>
      </c>
      <c r="AV48" t="s">
        <v>2294</v>
      </c>
      <c r="AW48" t="s">
        <v>665</v>
      </c>
      <c r="AX48" t="s">
        <v>985</v>
      </c>
      <c r="AY48" t="s">
        <v>987</v>
      </c>
      <c r="AZ48" t="s">
        <v>484</v>
      </c>
      <c r="BA48" t="s">
        <v>250</v>
      </c>
      <c r="BB48" t="s">
        <v>485</v>
      </c>
      <c r="BC48" t="s">
        <v>986</v>
      </c>
      <c r="BD48" t="s">
        <v>988</v>
      </c>
      <c r="BE48" t="s">
        <v>353</v>
      </c>
      <c r="BF48" t="s">
        <v>169</v>
      </c>
      <c r="BG48" t="s">
        <v>361</v>
      </c>
      <c r="BH48" t="s">
        <v>2295</v>
      </c>
      <c r="BI48" t="s">
        <v>2296</v>
      </c>
      <c r="BJ48" t="s">
        <v>985</v>
      </c>
      <c r="BK48" t="s">
        <v>2297</v>
      </c>
      <c r="BL48" t="s">
        <v>2298</v>
      </c>
      <c r="BM48" t="s">
        <v>986</v>
      </c>
      <c r="BN48">
        <v>16.22</v>
      </c>
      <c r="BO48">
        <v>14.15</v>
      </c>
      <c r="BP48">
        <v>14.05</v>
      </c>
      <c r="BQ48">
        <v>20.13</v>
      </c>
      <c r="BR48">
        <v>17.25</v>
      </c>
      <c r="BS48">
        <v>16.690000000000001</v>
      </c>
      <c r="BT48" t="s">
        <v>2299</v>
      </c>
      <c r="BU48" t="s">
        <v>787</v>
      </c>
      <c r="BV48">
        <v>25.67</v>
      </c>
      <c r="BW48">
        <v>26.11</v>
      </c>
      <c r="BX48">
        <v>25.81</v>
      </c>
      <c r="BY48">
        <v>7.05</v>
      </c>
      <c r="BZ48">
        <v>4.9400000000000004</v>
      </c>
      <c r="CA48">
        <v>4.8099999999999996</v>
      </c>
      <c r="CB48">
        <v>-0.4</v>
      </c>
      <c r="CC48">
        <v>-10.11</v>
      </c>
      <c r="CD48" t="s">
        <v>2300</v>
      </c>
      <c r="CE48" t="s">
        <v>2301</v>
      </c>
      <c r="CF48" s="9">
        <v>168.18998116235261</v>
      </c>
      <c r="CG48" s="10">
        <v>50.212991613567688</v>
      </c>
      <c r="CH48" s="9">
        <v>-0.99328011274337769</v>
      </c>
      <c r="CI48" s="9">
        <v>-0.1339893639087677</v>
      </c>
      <c r="CJ48" s="9">
        <v>2.7992022223770618E-3</v>
      </c>
      <c r="CK48" s="9">
        <v>-0.38970932364463806</v>
      </c>
      <c r="CL48" s="9">
        <v>1.3261406682431698E-2</v>
      </c>
      <c r="CM48" s="10">
        <v>-1.0030300617218018</v>
      </c>
      <c r="CN48" s="10">
        <v>-7.2478994727134705E-2</v>
      </c>
      <c r="CO48" s="10">
        <v>-9.3333333730697632E-2</v>
      </c>
      <c r="CP48" s="10">
        <v>6.5989844501018524E-2</v>
      </c>
      <c r="CQ48" s="10">
        <v>0.18531888723373413</v>
      </c>
      <c r="CR48">
        <v>12.693827299497938</v>
      </c>
      <c r="CS48">
        <v>0.42286872703319983</v>
      </c>
      <c r="CT48">
        <v>6.0893578805568032</v>
      </c>
      <c r="CU48" s="9">
        <v>-0.30018363827839495</v>
      </c>
      <c r="CV48" s="10">
        <v>-0.1835067316889763</v>
      </c>
      <c r="CW48">
        <v>0.06</v>
      </c>
      <c r="CX48" t="e">
        <v>#VALUE!</v>
      </c>
      <c r="CY48" t="s">
        <v>784</v>
      </c>
      <c r="CZ48">
        <v>-0.30018363827839495</v>
      </c>
      <c r="DA48" t="e">
        <v>#VALUE!</v>
      </c>
      <c r="DB48" t="s">
        <v>784</v>
      </c>
      <c r="DC48">
        <v>-0.28517445636447519</v>
      </c>
      <c r="DD48" t="e">
        <v>#VALUE!</v>
      </c>
      <c r="DE48" t="s">
        <v>784</v>
      </c>
      <c r="DF48">
        <v>-0.26416160168498753</v>
      </c>
      <c r="DG48" t="e">
        <v>#VALUE!</v>
      </c>
      <c r="DH48" t="s">
        <v>784</v>
      </c>
      <c r="DI48">
        <v>-0.24014691062271598</v>
      </c>
      <c r="DJ48" t="e">
        <v>#VALUE!</v>
      </c>
      <c r="DK48" t="s">
        <v>784</v>
      </c>
      <c r="DL48">
        <v>-0.21012854679487644</v>
      </c>
      <c r="DM48">
        <v>-2675500</v>
      </c>
      <c r="DN48">
        <v>-0.30018363827839495</v>
      </c>
      <c r="DO48">
        <v>14919953300</v>
      </c>
      <c r="DP48">
        <v>-1065376600</v>
      </c>
      <c r="DQ48">
        <v>3413</v>
      </c>
      <c r="DR48">
        <v>168.49016480063099</v>
      </c>
      <c r="DS48">
        <v>50.396498345256667</v>
      </c>
      <c r="DT48" s="11">
        <v>-0.89</v>
      </c>
      <c r="DU48">
        <v>-0.87</v>
      </c>
      <c r="DV48">
        <v>-1.76</v>
      </c>
      <c r="DW48">
        <v>-2.1011000000000002</v>
      </c>
      <c r="DX48">
        <v>0.33290578572123636</v>
      </c>
      <c r="DY48">
        <v>-2.0144477749364169</v>
      </c>
      <c r="DZ48">
        <v>3721</v>
      </c>
      <c r="EA48">
        <v>-2.0039271936177463</v>
      </c>
      <c r="EB48">
        <v>2</v>
      </c>
      <c r="EC48">
        <v>2.7644951888172169E-2</v>
      </c>
      <c r="ED48">
        <v>0.19344879389347455</v>
      </c>
      <c r="EE48" s="12">
        <v>-3.0636000000000001</v>
      </c>
      <c r="EF48">
        <v>-3.0453000000000001</v>
      </c>
      <c r="EG48">
        <v>19.142905785721236</v>
      </c>
      <c r="EH48" t="s">
        <v>1063</v>
      </c>
      <c r="EI48">
        <v>0</v>
      </c>
      <c r="EJ48">
        <v>0</v>
      </c>
      <c r="EK48" s="14">
        <v>45470</v>
      </c>
      <c r="EL48" s="15">
        <v>-1.55</v>
      </c>
      <c r="EM48" s="15">
        <v>-4.1900000000000004</v>
      </c>
      <c r="EN48" s="15">
        <v>-1.37</v>
      </c>
      <c r="EO48" s="15">
        <v>6.09</v>
      </c>
      <c r="EP48" s="15">
        <v>-1.83</v>
      </c>
    </row>
    <row r="49" spans="1:146" ht="96" x14ac:dyDescent="0.25">
      <c r="A49" s="8"/>
      <c r="B49" s="8"/>
      <c r="C49" s="7" t="str">
        <f>""&amp;CHAR(10)&amp;Basic_Fundamental_Information_Constructure(F49)&amp;CHAR(10)&amp;Basic_Fundamental_Information_Concatenate("")</f>
        <v xml:space="preserve">
市值28.778472亿, 利润2.33亿; PE23.6; 平均PE7.22; 平均PEG.03, PB1.48; ROIC5.03%; ROE5.7967%; 股利率1.0582%; 毛利56.55%; 净利14.77%; 上一年度营收增1326.32%, 利润增169.82%; 当季营收增-90.61%, 利润增-79.01%; 过往5年营收增263.84%, 利润增11.03%
Income profile:
</v>
      </c>
      <c r="D49" t="s">
        <v>108</v>
      </c>
      <c r="E49" t="s">
        <v>487</v>
      </c>
      <c r="F49">
        <v>3.78</v>
      </c>
      <c r="G49">
        <v>1.34</v>
      </c>
      <c r="H49" t="s">
        <v>2302</v>
      </c>
      <c r="I49">
        <v>2877847200</v>
      </c>
      <c r="J49">
        <v>23.6</v>
      </c>
      <c r="K49">
        <v>1.48</v>
      </c>
      <c r="L49" t="s">
        <v>57</v>
      </c>
      <c r="M49" t="s">
        <v>2195</v>
      </c>
      <c r="N49" t="s">
        <v>1184</v>
      </c>
      <c r="O49" t="s">
        <v>576</v>
      </c>
      <c r="P49">
        <v>-19.54</v>
      </c>
      <c r="Q49" t="s">
        <v>2303</v>
      </c>
      <c r="R49">
        <v>63823598</v>
      </c>
      <c r="S49" s="5">
        <v>1.6020000000000001</v>
      </c>
      <c r="T49" t="s">
        <v>2304</v>
      </c>
      <c r="U49">
        <v>760666200</v>
      </c>
      <c r="V49">
        <v>761335240</v>
      </c>
      <c r="W49">
        <v>1.82</v>
      </c>
      <c r="X49">
        <v>0.05</v>
      </c>
      <c r="Y49">
        <v>31.48</v>
      </c>
      <c r="Z49" t="s">
        <v>273</v>
      </c>
      <c r="AA49" t="s">
        <v>2305</v>
      </c>
      <c r="AB49" t="s">
        <v>2306</v>
      </c>
      <c r="AC49" t="s">
        <v>2307</v>
      </c>
      <c r="AD49" t="s">
        <v>133</v>
      </c>
      <c r="AE49">
        <v>5136672</v>
      </c>
      <c r="AF49" t="s">
        <v>2308</v>
      </c>
      <c r="AG49" t="s">
        <v>2309</v>
      </c>
      <c r="AH49" t="s">
        <v>2310</v>
      </c>
      <c r="AI49" t="s">
        <v>407</v>
      </c>
      <c r="AJ49" t="s">
        <v>2311</v>
      </c>
      <c r="AK49" t="s">
        <v>133</v>
      </c>
      <c r="AL49" t="s">
        <v>2312</v>
      </c>
      <c r="AM49" t="s">
        <v>133</v>
      </c>
      <c r="AN49" t="s">
        <v>2313</v>
      </c>
      <c r="AO49" t="s">
        <v>2314</v>
      </c>
      <c r="AP49" t="s">
        <v>133</v>
      </c>
      <c r="AQ49" t="s">
        <v>2315</v>
      </c>
      <c r="AR49" t="s">
        <v>1050</v>
      </c>
      <c r="AS49" t="s">
        <v>2316</v>
      </c>
      <c r="AT49" t="s">
        <v>474</v>
      </c>
      <c r="AU49" t="s">
        <v>2317</v>
      </c>
      <c r="AV49" t="s">
        <v>1567</v>
      </c>
      <c r="AW49" t="s">
        <v>2318</v>
      </c>
      <c r="AX49" t="s">
        <v>989</v>
      </c>
      <c r="AY49" t="s">
        <v>701</v>
      </c>
      <c r="AZ49" t="s">
        <v>488</v>
      </c>
      <c r="BA49" t="s">
        <v>251</v>
      </c>
      <c r="BB49" t="s">
        <v>490</v>
      </c>
      <c r="BC49" t="s">
        <v>2319</v>
      </c>
      <c r="BD49" t="s">
        <v>611</v>
      </c>
      <c r="BE49" t="s">
        <v>489</v>
      </c>
      <c r="BF49" t="s">
        <v>205</v>
      </c>
      <c r="BG49" t="s">
        <v>423</v>
      </c>
      <c r="BH49" t="s">
        <v>2320</v>
      </c>
      <c r="BI49" t="s">
        <v>2321</v>
      </c>
      <c r="BJ49" t="s">
        <v>989</v>
      </c>
      <c r="BK49" t="s">
        <v>2322</v>
      </c>
      <c r="BL49" t="s">
        <v>1109</v>
      </c>
      <c r="BM49" t="s">
        <v>2319</v>
      </c>
      <c r="BN49">
        <v>3.52</v>
      </c>
      <c r="BO49">
        <v>4.33</v>
      </c>
      <c r="BP49">
        <v>7.24</v>
      </c>
      <c r="BQ49">
        <v>4</v>
      </c>
      <c r="BR49">
        <v>4.5999999999999996</v>
      </c>
      <c r="BS49">
        <v>8.7899999999999991</v>
      </c>
      <c r="BT49" t="s">
        <v>891</v>
      </c>
      <c r="BU49" t="s">
        <v>782</v>
      </c>
      <c r="BV49">
        <v>54.66</v>
      </c>
      <c r="BW49">
        <v>45.67</v>
      </c>
      <c r="BX49">
        <v>69.319999999999993</v>
      </c>
      <c r="BY49">
        <v>9.42</v>
      </c>
      <c r="BZ49">
        <v>10.95</v>
      </c>
      <c r="CA49">
        <v>23.94</v>
      </c>
      <c r="CB49">
        <v>3</v>
      </c>
      <c r="CC49">
        <v>-10</v>
      </c>
      <c r="CD49" t="s">
        <v>2323</v>
      </c>
      <c r="CE49" t="s">
        <v>218</v>
      </c>
      <c r="CF49" s="9">
        <v>-0.90614417029511374</v>
      </c>
      <c r="CG49" s="10">
        <v>-0.79005395394736844</v>
      </c>
      <c r="CH49" s="9">
        <v>13.263227462768555</v>
      </c>
      <c r="CI49" s="9">
        <v>0.17573872208595276</v>
      </c>
      <c r="CJ49" s="9">
        <v>7.3455758392810822E-2</v>
      </c>
      <c r="CK49" s="9">
        <v>-0.68189060688018799</v>
      </c>
      <c r="CL49" s="9">
        <v>0.3615327775478363</v>
      </c>
      <c r="CM49" s="10">
        <v>1.6981707811355591</v>
      </c>
      <c r="CN49" s="10">
        <v>-0.44287225604057312</v>
      </c>
      <c r="CO49" s="10">
        <v>0.78856807947158813</v>
      </c>
      <c r="CP49" s="10">
        <v>-0.64771747589111328</v>
      </c>
      <c r="CQ49" s="10">
        <v>-0.84469699859619141</v>
      </c>
      <c r="CR49">
        <v>7.2216501409881646</v>
      </c>
      <c r="CS49">
        <v>2.7371191038143835E-2</v>
      </c>
      <c r="CT49">
        <v>1.0582010582010584</v>
      </c>
      <c r="CU49" s="9">
        <v>2.6384128227829935</v>
      </c>
      <c r="CV49" s="10">
        <v>0.11029042601585388</v>
      </c>
      <c r="CW49">
        <v>0.06</v>
      </c>
      <c r="CX49">
        <v>3.1882482259379623</v>
      </c>
      <c r="CY49">
        <v>799764328.02682769</v>
      </c>
      <c r="CZ49">
        <v>2.6384128227829935</v>
      </c>
      <c r="DA49">
        <v>0.21691734728189238</v>
      </c>
      <c r="DB49">
        <v>11754925237.428688</v>
      </c>
      <c r="DC49">
        <v>2.5064921816438437</v>
      </c>
      <c r="DD49">
        <v>7.8757091102672795E-3</v>
      </c>
      <c r="DE49">
        <v>323760967336.37048</v>
      </c>
      <c r="DF49">
        <v>2.3218032840490341</v>
      </c>
      <c r="DG49">
        <v>1.5228204634966589E-4</v>
      </c>
      <c r="DH49">
        <v>16744240448050.654</v>
      </c>
      <c r="DI49">
        <v>2.1107302582263947</v>
      </c>
      <c r="DJ49">
        <v>1.8013245430457643E-8</v>
      </c>
      <c r="DK49">
        <v>1.4155401423047278E+17</v>
      </c>
      <c r="DL49">
        <v>1.8468889759480953</v>
      </c>
      <c r="DM49">
        <v>233000000</v>
      </c>
      <c r="DN49">
        <v>2.6384128227829935</v>
      </c>
      <c r="DO49">
        <v>2549847200</v>
      </c>
      <c r="DP49">
        <v>-466738250</v>
      </c>
      <c r="DQ49">
        <v>3422</v>
      </c>
      <c r="DR49">
        <v>-3.5445569930781073</v>
      </c>
      <c r="DS49">
        <v>-0.90034437996322236</v>
      </c>
      <c r="DT49" s="11">
        <v>-0.12333333333333336</v>
      </c>
      <c r="DU49">
        <v>-0.42333333333333328</v>
      </c>
      <c r="DV49">
        <v>-0.54666666666666663</v>
      </c>
      <c r="DW49">
        <v>6.2307692307692308</v>
      </c>
      <c r="DX49">
        <v>0.45324701492537345</v>
      </c>
      <c r="DY49">
        <v>6.0722877726750859</v>
      </c>
      <c r="DZ49">
        <v>281</v>
      </c>
      <c r="EA49">
        <v>6.068312652494714</v>
      </c>
      <c r="EB49">
        <v>6</v>
      </c>
      <c r="EC49">
        <v>0.11026706185306752</v>
      </c>
      <c r="ED49">
        <v>0.35201312893384529</v>
      </c>
      <c r="EE49" s="12">
        <v>1.0304</v>
      </c>
      <c r="EF49">
        <v>1.0045999999999999</v>
      </c>
      <c r="EG49">
        <v>14.313247014925373</v>
      </c>
      <c r="EH49" t="s">
        <v>735</v>
      </c>
      <c r="EI49">
        <v>0</v>
      </c>
      <c r="EJ49">
        <v>1</v>
      </c>
      <c r="EK49" s="14">
        <v>45470</v>
      </c>
      <c r="EL49" s="15">
        <v>1.98</v>
      </c>
      <c r="EM49" s="15">
        <v>-1.94</v>
      </c>
      <c r="EN49" s="15">
        <v>0</v>
      </c>
      <c r="EO49" s="15">
        <v>1.04</v>
      </c>
      <c r="EP49" s="15">
        <v>-2.58</v>
      </c>
    </row>
    <row r="50" spans="1:146" ht="96" x14ac:dyDescent="0.25">
      <c r="A50" s="8"/>
      <c r="B50" s="8"/>
      <c r="C50" s="7" t="str">
        <f>""&amp;CHAR(10)&amp;Basic_Fundamental_Information_Constructure(F50)&amp;CHAR(10)&amp;Basic_Fundamental_Information_Concatenate("")</f>
        <v xml:space="preserve">
市值12.1170136亿, 利润12.69亿; PE; 平均PE8.4; 平均PEG.28, PB5.4; ROIC0%; ROE-30.5833%; 股利率0%; 毛利29.84%; 净利-8.1733%; 上一年度营收增243.96%, 利润增682.11%; 当季营收增-39.39%, 利润增-91.51%; 过往5年营收增29.64%, 利润增61.28%
Income profile:
</v>
      </c>
      <c r="D50" t="s">
        <v>86</v>
      </c>
      <c r="E50" t="s">
        <v>87</v>
      </c>
      <c r="F50">
        <v>3.89</v>
      </c>
      <c r="G50">
        <v>-1.27</v>
      </c>
      <c r="H50" t="s">
        <v>2324</v>
      </c>
      <c r="I50">
        <v>1211701360</v>
      </c>
      <c r="K50">
        <v>5.4</v>
      </c>
      <c r="L50" t="s">
        <v>57</v>
      </c>
      <c r="M50" t="s">
        <v>2325</v>
      </c>
      <c r="N50" t="s">
        <v>2326</v>
      </c>
      <c r="O50" t="s">
        <v>2327</v>
      </c>
      <c r="P50">
        <v>-4.62</v>
      </c>
      <c r="Q50" t="s">
        <v>2328</v>
      </c>
      <c r="R50">
        <v>13506281</v>
      </c>
      <c r="S50" s="5">
        <v>-0.70789999999999997</v>
      </c>
      <c r="T50" t="s">
        <v>2329</v>
      </c>
      <c r="U50">
        <v>311214880</v>
      </c>
      <c r="V50">
        <v>311491350</v>
      </c>
      <c r="W50">
        <v>16.57</v>
      </c>
      <c r="X50">
        <v>0.13</v>
      </c>
      <c r="Y50">
        <v>2.83</v>
      </c>
      <c r="Z50" t="s">
        <v>1054</v>
      </c>
      <c r="AA50" t="s">
        <v>407</v>
      </c>
      <c r="AB50" t="s">
        <v>2330</v>
      </c>
      <c r="AC50" t="s">
        <v>2331</v>
      </c>
      <c r="AD50" t="s">
        <v>133</v>
      </c>
      <c r="AE50">
        <v>18827113</v>
      </c>
      <c r="AF50" t="s">
        <v>2332</v>
      </c>
      <c r="AG50" t="s">
        <v>2333</v>
      </c>
      <c r="AH50" t="s">
        <v>2334</v>
      </c>
      <c r="AI50" t="s">
        <v>2335</v>
      </c>
      <c r="AJ50" t="s">
        <v>2336</v>
      </c>
      <c r="AK50" t="s">
        <v>2337</v>
      </c>
      <c r="AL50" t="s">
        <v>2338</v>
      </c>
      <c r="AM50" t="s">
        <v>133</v>
      </c>
      <c r="AN50" t="s">
        <v>2339</v>
      </c>
      <c r="AO50" t="s">
        <v>2340</v>
      </c>
      <c r="AP50" t="s">
        <v>133</v>
      </c>
      <c r="AQ50" t="s">
        <v>795</v>
      </c>
      <c r="AR50" t="s">
        <v>2341</v>
      </c>
      <c r="AS50" t="s">
        <v>1170</v>
      </c>
      <c r="AT50" t="s">
        <v>1163</v>
      </c>
      <c r="AU50" t="s">
        <v>2342</v>
      </c>
      <c r="AV50" t="s">
        <v>2343</v>
      </c>
      <c r="AW50" t="s">
        <v>2344</v>
      </c>
      <c r="AX50" t="s">
        <v>990</v>
      </c>
      <c r="AY50" t="s">
        <v>575</v>
      </c>
      <c r="AZ50" t="s">
        <v>491</v>
      </c>
      <c r="BA50" t="s">
        <v>253</v>
      </c>
      <c r="BB50" t="s">
        <v>493</v>
      </c>
      <c r="BC50" t="s">
        <v>991</v>
      </c>
      <c r="BD50" t="s">
        <v>702</v>
      </c>
      <c r="BE50" t="s">
        <v>492</v>
      </c>
      <c r="BF50" t="s">
        <v>196</v>
      </c>
      <c r="BG50" t="s">
        <v>494</v>
      </c>
      <c r="BH50" t="s">
        <v>2345</v>
      </c>
      <c r="BI50" t="s">
        <v>2346</v>
      </c>
      <c r="BJ50" t="s">
        <v>990</v>
      </c>
      <c r="BK50" t="s">
        <v>1111</v>
      </c>
      <c r="BL50" t="s">
        <v>2242</v>
      </c>
      <c r="BM50" t="s">
        <v>991</v>
      </c>
      <c r="BN50" t="s">
        <v>133</v>
      </c>
      <c r="BO50" t="s">
        <v>133</v>
      </c>
      <c r="BP50" t="s">
        <v>133</v>
      </c>
      <c r="BQ50">
        <v>-33.619999999999997</v>
      </c>
      <c r="BR50">
        <v>-49.36</v>
      </c>
      <c r="BS50">
        <v>-8.77</v>
      </c>
      <c r="BT50" t="s">
        <v>856</v>
      </c>
      <c r="BU50" t="s">
        <v>787</v>
      </c>
      <c r="BV50">
        <v>33.9</v>
      </c>
      <c r="BW50">
        <v>22.8</v>
      </c>
      <c r="BX50">
        <v>32.82</v>
      </c>
      <c r="BY50">
        <v>-7.09</v>
      </c>
      <c r="BZ50">
        <v>-15.05</v>
      </c>
      <c r="CA50">
        <v>-2.38</v>
      </c>
      <c r="CB50">
        <v>0</v>
      </c>
      <c r="CC50">
        <v>-12.58</v>
      </c>
      <c r="CD50" t="s">
        <v>2347</v>
      </c>
      <c r="CE50" t="s">
        <v>1113</v>
      </c>
      <c r="CF50" s="9">
        <v>-0.39390386869871036</v>
      </c>
      <c r="CG50" s="10">
        <v>-0.91505483647798747</v>
      </c>
      <c r="CH50" s="9">
        <v>2.4395833015441895</v>
      </c>
      <c r="CI50" s="9">
        <v>-0.27014696598052979</v>
      </c>
      <c r="CJ50" s="9">
        <v>9.2070950195193291E-3</v>
      </c>
      <c r="CK50" s="9">
        <v>-0.62683719396591187</v>
      </c>
      <c r="CL50" s="9">
        <v>-6.9944947957992554E-2</v>
      </c>
      <c r="CM50" s="10">
        <v>6.8211007118225098</v>
      </c>
      <c r="CN50" s="10">
        <v>-3.3148579597473145</v>
      </c>
      <c r="CO50" s="10">
        <v>0.82396131753921509</v>
      </c>
      <c r="CP50" s="10">
        <v>-3.4741380214691162</v>
      </c>
      <c r="CQ50" s="10">
        <v>2.2079379558563232</v>
      </c>
      <c r="CR50">
        <v>8.398678060508491</v>
      </c>
      <c r="CS50">
        <v>0.28338273375463024</v>
      </c>
      <c r="CT50">
        <v>0</v>
      </c>
      <c r="CU50" s="9">
        <v>0.29637225773185494</v>
      </c>
      <c r="CV50" s="10">
        <v>0.61280080080032351</v>
      </c>
      <c r="CW50">
        <v>0.06</v>
      </c>
      <c r="CX50">
        <v>3.0649288739161218</v>
      </c>
      <c r="CY50">
        <v>1551977731.1903052</v>
      </c>
      <c r="CZ50">
        <v>0.29637225773185494</v>
      </c>
      <c r="DA50">
        <v>0.84462025001193564</v>
      </c>
      <c r="DB50">
        <v>5631763339.717206</v>
      </c>
      <c r="DC50">
        <v>0.28155364484526219</v>
      </c>
      <c r="DD50">
        <v>0.32591554058730327</v>
      </c>
      <c r="DE50">
        <v>14594889680.401167</v>
      </c>
      <c r="DF50">
        <v>0.26080758680403232</v>
      </c>
      <c r="DG50">
        <v>0.1455023410621798</v>
      </c>
      <c r="DH50">
        <v>32691579566.869267</v>
      </c>
      <c r="DI50">
        <v>0.23709780618548396</v>
      </c>
      <c r="DJ50">
        <v>3.6529903367569561E-2</v>
      </c>
      <c r="DK50">
        <v>130213904814.83984</v>
      </c>
      <c r="DL50">
        <v>0.20746058041229845</v>
      </c>
      <c r="DM50">
        <v>1269000000</v>
      </c>
      <c r="DN50">
        <v>0.29637225773185494</v>
      </c>
      <c r="DO50">
        <v>4756701360</v>
      </c>
      <c r="DP50">
        <v>-1509778480</v>
      </c>
      <c r="DQ50">
        <v>3456</v>
      </c>
      <c r="DR50">
        <v>-0.69027612643056524</v>
      </c>
      <c r="DS50">
        <v>-1.527855637278311</v>
      </c>
      <c r="DT50" s="11">
        <v>-0.52333333333333332</v>
      </c>
      <c r="DU50">
        <v>-1.3083333333333336</v>
      </c>
      <c r="DV50">
        <v>-1.831666666666667</v>
      </c>
      <c r="DW50">
        <v>-2.1257999999999999</v>
      </c>
      <c r="DX50">
        <v>0.40722199999999958</v>
      </c>
      <c r="DY50">
        <v>-2.0273265276000001</v>
      </c>
      <c r="DZ50">
        <v>1814</v>
      </c>
      <c r="EA50">
        <v>-2.0176258776848535</v>
      </c>
      <c r="EB50">
        <v>2</v>
      </c>
      <c r="EC50">
        <v>6.9736125898841164E-2</v>
      </c>
      <c r="ED50">
        <v>0.32103620212888739</v>
      </c>
      <c r="EE50" s="12">
        <v>2.0053000000000001</v>
      </c>
      <c r="EF50">
        <v>2.00021</v>
      </c>
      <c r="EG50">
        <v>19.217222</v>
      </c>
      <c r="EH50" t="s">
        <v>790</v>
      </c>
      <c r="EI50">
        <v>0</v>
      </c>
      <c r="EJ50">
        <v>0</v>
      </c>
      <c r="EK50" s="14">
        <v>45470</v>
      </c>
      <c r="EL50" s="15">
        <v>-2.76</v>
      </c>
      <c r="EM50" s="15">
        <v>2.27</v>
      </c>
      <c r="EN50" s="15">
        <v>2.2200000000000002</v>
      </c>
      <c r="EO50" s="15">
        <v>-1.0900000000000001</v>
      </c>
      <c r="EP50" s="15">
        <v>-0.55000000000000004</v>
      </c>
    </row>
    <row r="51" spans="1:146" ht="96" x14ac:dyDescent="0.25">
      <c r="A51" s="8"/>
      <c r="B51" s="8"/>
      <c r="C51" s="7" t="str">
        <f>""&amp;CHAR(10)&amp;Basic_Fundamental_Information_Constructure(F51)&amp;CHAR(10)&amp;Basic_Fundamental_Information_Concatenate("")</f>
        <v xml:space="preserve">
市值30.302281亿, 利润7.87亿; PE22.59; 平均PE14.05; 平均PEG.07, PB1.35; ROIC4.38%; ROE4.6267%; 股利率1.4892%; 毛利26.3867%; 净利1.1233%; 上一年度营收增1043.4%, 利润增741.9%; 当季营收增-87.29%, 利润增-7.09%; 过往5年营收增204.3%, 利润增159.81%
Income profile:
</v>
      </c>
      <c r="D51" t="s">
        <v>81</v>
      </c>
      <c r="E51" t="s">
        <v>32</v>
      </c>
      <c r="F51">
        <v>13.43</v>
      </c>
      <c r="G51">
        <v>-0.22</v>
      </c>
      <c r="H51" t="s">
        <v>2348</v>
      </c>
      <c r="I51">
        <v>3030228100</v>
      </c>
      <c r="J51">
        <v>22.59</v>
      </c>
      <c r="K51">
        <v>1.35</v>
      </c>
      <c r="L51" t="s">
        <v>57</v>
      </c>
      <c r="M51" t="s">
        <v>2349</v>
      </c>
      <c r="N51" t="s">
        <v>2350</v>
      </c>
      <c r="O51" t="s">
        <v>2351</v>
      </c>
      <c r="P51">
        <v>2.3199999999999998</v>
      </c>
      <c r="Q51" t="s">
        <v>2352</v>
      </c>
      <c r="R51">
        <v>81862368</v>
      </c>
      <c r="S51" s="5">
        <v>-2.3300000000000001E-2</v>
      </c>
      <c r="T51" t="s">
        <v>2353</v>
      </c>
      <c r="U51">
        <v>225631280</v>
      </c>
      <c r="V51">
        <v>225631280</v>
      </c>
      <c r="W51">
        <v>4.33</v>
      </c>
      <c r="X51">
        <v>0.22</v>
      </c>
      <c r="Y51">
        <v>4.03</v>
      </c>
      <c r="Z51" t="s">
        <v>2354</v>
      </c>
      <c r="AA51" t="s">
        <v>2355</v>
      </c>
      <c r="AB51" t="s">
        <v>872</v>
      </c>
      <c r="AC51" t="s">
        <v>2356</v>
      </c>
      <c r="AD51" t="s">
        <v>133</v>
      </c>
      <c r="AE51">
        <v>49004065</v>
      </c>
      <c r="AF51" t="s">
        <v>2357</v>
      </c>
      <c r="AG51" t="s">
        <v>2358</v>
      </c>
      <c r="AH51" t="s">
        <v>2359</v>
      </c>
      <c r="AI51" t="s">
        <v>589</v>
      </c>
      <c r="AJ51" t="s">
        <v>2360</v>
      </c>
      <c r="AK51" t="s">
        <v>2361</v>
      </c>
      <c r="AL51" t="s">
        <v>2362</v>
      </c>
      <c r="AM51" t="s">
        <v>133</v>
      </c>
      <c r="AN51" t="s">
        <v>2363</v>
      </c>
      <c r="AO51" t="s">
        <v>2364</v>
      </c>
      <c r="AP51" t="s">
        <v>2365</v>
      </c>
      <c r="AQ51" t="s">
        <v>1088</v>
      </c>
      <c r="AR51" t="s">
        <v>2366</v>
      </c>
      <c r="AS51" t="s">
        <v>2367</v>
      </c>
      <c r="AT51" t="s">
        <v>182</v>
      </c>
      <c r="AU51" t="s">
        <v>159</v>
      </c>
      <c r="AV51" t="s">
        <v>2368</v>
      </c>
      <c r="AW51" t="s">
        <v>2369</v>
      </c>
      <c r="AX51" t="s">
        <v>992</v>
      </c>
      <c r="AY51" t="s">
        <v>703</v>
      </c>
      <c r="AZ51" t="s">
        <v>495</v>
      </c>
      <c r="BA51" t="s">
        <v>254</v>
      </c>
      <c r="BB51" t="s">
        <v>497</v>
      </c>
      <c r="BC51" t="s">
        <v>993</v>
      </c>
      <c r="BD51" t="s">
        <v>704</v>
      </c>
      <c r="BE51" t="s">
        <v>496</v>
      </c>
      <c r="BF51" t="s">
        <v>147</v>
      </c>
      <c r="BG51" t="s">
        <v>289</v>
      </c>
      <c r="BH51" t="s">
        <v>2370</v>
      </c>
      <c r="BI51" t="s">
        <v>2371</v>
      </c>
      <c r="BJ51" t="s">
        <v>992</v>
      </c>
      <c r="BK51" t="s">
        <v>227</v>
      </c>
      <c r="BL51" t="s">
        <v>2372</v>
      </c>
      <c r="BM51" t="s">
        <v>993</v>
      </c>
      <c r="BN51">
        <v>7.53</v>
      </c>
      <c r="BO51">
        <v>2.85</v>
      </c>
      <c r="BP51">
        <v>2.76</v>
      </c>
      <c r="BQ51">
        <v>6.53</v>
      </c>
      <c r="BR51">
        <v>4.68</v>
      </c>
      <c r="BS51">
        <v>2.67</v>
      </c>
      <c r="BT51" t="s">
        <v>874</v>
      </c>
      <c r="BU51" t="s">
        <v>787</v>
      </c>
      <c r="BV51">
        <v>26.76</v>
      </c>
      <c r="BW51">
        <v>25.3</v>
      </c>
      <c r="BX51">
        <v>27.1</v>
      </c>
      <c r="BY51">
        <v>1.8</v>
      </c>
      <c r="BZ51">
        <v>1.1599999999999999</v>
      </c>
      <c r="CA51">
        <v>0.41</v>
      </c>
      <c r="CB51">
        <v>7.0000000000000007E-2</v>
      </c>
      <c r="CC51">
        <v>-7.57</v>
      </c>
      <c r="CD51" t="s">
        <v>2373</v>
      </c>
      <c r="CE51" t="s">
        <v>2374</v>
      </c>
      <c r="CF51" s="9">
        <v>-0.87293451136440281</v>
      </c>
      <c r="CG51" s="10">
        <v>-7.0918783218005446E-2</v>
      </c>
      <c r="CH51" s="9">
        <v>10.433962821960449</v>
      </c>
      <c r="CI51" s="9">
        <v>3.1200679019093513E-2</v>
      </c>
      <c r="CJ51" s="9">
        <v>1.9318243721500039E-3</v>
      </c>
      <c r="CK51" s="9">
        <v>-0.25743350386619568</v>
      </c>
      <c r="CL51" s="9">
        <v>5.5075250566005707E-3</v>
      </c>
      <c r="CM51" s="10">
        <v>7.419029712677002</v>
      </c>
      <c r="CN51" s="10">
        <v>0.81668317317962646</v>
      </c>
      <c r="CO51" s="10">
        <v>0.18873220682144165</v>
      </c>
      <c r="CP51" s="10">
        <v>-0.76216369867324829</v>
      </c>
      <c r="CQ51" s="10">
        <v>0.32846716046333313</v>
      </c>
      <c r="CR51">
        <v>14.048121780784511</v>
      </c>
      <c r="CS51">
        <v>6.8761081212715749E-2</v>
      </c>
      <c r="CT51">
        <v>1.4892032762472078</v>
      </c>
      <c r="CU51" s="9">
        <v>2.0430338693084193</v>
      </c>
      <c r="CV51" s="10">
        <v>1.5981497108936309</v>
      </c>
      <c r="CW51">
        <v>0.06</v>
      </c>
      <c r="CX51">
        <v>3.492761601263104</v>
      </c>
      <c r="CY51">
        <v>2259309108.6280432</v>
      </c>
      <c r="CZ51">
        <v>2.0430338693084193</v>
      </c>
      <c r="DA51">
        <v>0.31504039854343041</v>
      </c>
      <c r="DB51">
        <v>25048305349.04285</v>
      </c>
      <c r="DC51">
        <v>1.9408821758429984</v>
      </c>
      <c r="DD51">
        <v>1.8472086418321244E-2</v>
      </c>
      <c r="DE51">
        <v>427197443823.84497</v>
      </c>
      <c r="DF51">
        <v>1.797869804991409</v>
      </c>
      <c r="DG51">
        <v>6.6657857336407575E-4</v>
      </c>
      <c r="DH51">
        <v>11838406476485.891</v>
      </c>
      <c r="DI51">
        <v>1.6344270954467355</v>
      </c>
      <c r="DJ51">
        <v>3.5143980276475884E-7</v>
      </c>
      <c r="DK51">
        <v>2.2453996496469992E+16</v>
      </c>
      <c r="DL51">
        <v>1.4301237085158935</v>
      </c>
      <c r="DM51">
        <v>787000000</v>
      </c>
      <c r="DN51">
        <v>2.0430338693084193</v>
      </c>
      <c r="DO51">
        <v>7891228100</v>
      </c>
      <c r="DP51">
        <v>-1723397600</v>
      </c>
      <c r="DQ51">
        <v>3462</v>
      </c>
      <c r="DR51">
        <v>-2.915968380672822</v>
      </c>
      <c r="DS51">
        <v>-1.6690684941116363</v>
      </c>
      <c r="DT51" s="11">
        <v>-0.25666666666666665</v>
      </c>
      <c r="DU51">
        <v>0.6</v>
      </c>
      <c r="DV51">
        <v>0.34333333333333332</v>
      </c>
      <c r="DW51">
        <v>-2.0756999999999999</v>
      </c>
      <c r="DX51">
        <v>0.30895502727568191</v>
      </c>
      <c r="DY51">
        <v>-2.0150608955647691</v>
      </c>
      <c r="DZ51">
        <v>1220</v>
      </c>
      <c r="EA51">
        <v>-2.0114651435904016</v>
      </c>
      <c r="EB51">
        <v>2</v>
      </c>
      <c r="EC51">
        <v>8.4365962024414348E-2</v>
      </c>
      <c r="ED51">
        <v>0.42404537172328238</v>
      </c>
      <c r="EE51" s="12">
        <v>7.1899999999999992E-2</v>
      </c>
      <c r="EF51">
        <v>6.9800000000000001E-2</v>
      </c>
      <c r="EG51">
        <v>11.198955027275682</v>
      </c>
      <c r="EH51" t="s">
        <v>789</v>
      </c>
      <c r="EI51">
        <v>0</v>
      </c>
      <c r="EJ51">
        <v>1</v>
      </c>
      <c r="EK51" s="14">
        <v>45470</v>
      </c>
      <c r="EL51" s="15">
        <v>-0.64</v>
      </c>
      <c r="EM51" s="15">
        <v>-3.02</v>
      </c>
      <c r="EN51" s="15">
        <v>0.89</v>
      </c>
      <c r="EO51" s="15">
        <v>2.86</v>
      </c>
      <c r="EP51" s="15">
        <v>-0.21</v>
      </c>
    </row>
    <row r="52" spans="1:146" ht="96" x14ac:dyDescent="0.25">
      <c r="A52" s="8"/>
      <c r="B52" s="8"/>
      <c r="C52" s="7" t="str">
        <f>""&amp;CHAR(10)&amp;Basic_Fundamental_Information_Constructure(F52)&amp;CHAR(10)&amp;Basic_Fundamental_Information_Concatenate("")</f>
        <v xml:space="preserve">
市值47.931363亿, 利润-4.07亿; PE24.07; 平均PE11.68; 平均PEG.13, PB.767; ROIC9.54%; ROE10.2433%; 股利率3.0581%; 毛利54.1367%; 净利73.2833%; 上一年度营收增453.05%, 利润增-134.29%; 当季营收增-86.78%, 利润增229.91%; 过往5年营收增87.65%, 利润增6.47%
Income profile:
</v>
      </c>
      <c r="D52" t="s">
        <v>100</v>
      </c>
      <c r="E52" t="s">
        <v>41</v>
      </c>
      <c r="F52">
        <v>3.27</v>
      </c>
      <c r="G52">
        <v>0.31</v>
      </c>
      <c r="H52" t="s">
        <v>2375</v>
      </c>
      <c r="I52">
        <v>4793136300</v>
      </c>
      <c r="J52">
        <v>24.07</v>
      </c>
      <c r="K52">
        <v>0.76700000000000002</v>
      </c>
      <c r="L52" t="s">
        <v>57</v>
      </c>
      <c r="M52" t="s">
        <v>2376</v>
      </c>
      <c r="N52" t="s">
        <v>2377</v>
      </c>
      <c r="O52" t="s">
        <v>367</v>
      </c>
      <c r="P52">
        <v>1.59</v>
      </c>
      <c r="Q52" t="s">
        <v>2378</v>
      </c>
      <c r="R52">
        <v>55644982</v>
      </c>
      <c r="S52" s="5">
        <v>-0.216</v>
      </c>
      <c r="T52" t="s">
        <v>2379</v>
      </c>
      <c r="U52">
        <v>1465790900</v>
      </c>
      <c r="V52">
        <v>1465790900</v>
      </c>
      <c r="W52">
        <v>1.81</v>
      </c>
      <c r="X52">
        <v>0.02</v>
      </c>
      <c r="Y52">
        <v>25.76</v>
      </c>
      <c r="Z52" t="s">
        <v>804</v>
      </c>
      <c r="AA52" t="s">
        <v>328</v>
      </c>
      <c r="AB52" t="s">
        <v>2380</v>
      </c>
      <c r="AC52" t="s">
        <v>2381</v>
      </c>
      <c r="AD52" t="s">
        <v>133</v>
      </c>
      <c r="AE52">
        <v>1388886</v>
      </c>
      <c r="AF52" t="s">
        <v>2382</v>
      </c>
      <c r="AG52" t="s">
        <v>2383</v>
      </c>
      <c r="AH52" t="s">
        <v>2384</v>
      </c>
      <c r="AI52" t="s">
        <v>2385</v>
      </c>
      <c r="AJ52" t="s">
        <v>2386</v>
      </c>
      <c r="AK52" t="s">
        <v>133</v>
      </c>
      <c r="AL52" t="s">
        <v>2387</v>
      </c>
      <c r="AM52" t="s">
        <v>133</v>
      </c>
      <c r="AN52" t="s">
        <v>2388</v>
      </c>
      <c r="AO52" t="s">
        <v>2389</v>
      </c>
      <c r="AP52" t="s">
        <v>135</v>
      </c>
      <c r="AQ52" t="s">
        <v>2390</v>
      </c>
      <c r="AR52" t="s">
        <v>2391</v>
      </c>
      <c r="AS52" t="s">
        <v>2392</v>
      </c>
      <c r="AT52" t="s">
        <v>2393</v>
      </c>
      <c r="AU52" t="s">
        <v>337</v>
      </c>
      <c r="AV52" t="s">
        <v>869</v>
      </c>
      <c r="AW52" t="s">
        <v>2394</v>
      </c>
      <c r="AX52" t="s">
        <v>498</v>
      </c>
      <c r="AY52" t="s">
        <v>460</v>
      </c>
      <c r="AZ52" t="s">
        <v>498</v>
      </c>
      <c r="BA52" t="s">
        <v>256</v>
      </c>
      <c r="BB52" t="s">
        <v>213</v>
      </c>
      <c r="BC52" t="s">
        <v>997</v>
      </c>
      <c r="BD52" t="s">
        <v>619</v>
      </c>
      <c r="BE52" t="s">
        <v>390</v>
      </c>
      <c r="BF52" t="s">
        <v>257</v>
      </c>
      <c r="BG52" t="s">
        <v>499</v>
      </c>
      <c r="BH52" t="s">
        <v>1026</v>
      </c>
      <c r="BI52" t="s">
        <v>1173</v>
      </c>
      <c r="BJ52" t="s">
        <v>498</v>
      </c>
      <c r="BK52" t="s">
        <v>919</v>
      </c>
      <c r="BL52" t="s">
        <v>2395</v>
      </c>
      <c r="BM52" t="s">
        <v>997</v>
      </c>
      <c r="BN52">
        <v>3.31</v>
      </c>
      <c r="BO52">
        <v>17.97</v>
      </c>
      <c r="BP52">
        <v>7.34</v>
      </c>
      <c r="BQ52">
        <v>3.92</v>
      </c>
      <c r="BR52">
        <v>19.309999999999999</v>
      </c>
      <c r="BS52">
        <v>7.5</v>
      </c>
      <c r="BT52" t="s">
        <v>863</v>
      </c>
      <c r="BU52" t="s">
        <v>782</v>
      </c>
      <c r="BV52">
        <v>48.92</v>
      </c>
      <c r="BW52">
        <v>56.45</v>
      </c>
      <c r="BX52">
        <v>57.04</v>
      </c>
      <c r="BY52">
        <v>26.61</v>
      </c>
      <c r="BZ52">
        <v>145.47999999999999</v>
      </c>
      <c r="CA52">
        <v>47.76</v>
      </c>
      <c r="CB52">
        <v>1.55</v>
      </c>
      <c r="CC52">
        <v>-7.37</v>
      </c>
      <c r="CD52" t="s">
        <v>2396</v>
      </c>
      <c r="CE52" t="s">
        <v>219</v>
      </c>
      <c r="CF52" s="9">
        <v>-0.86780258519388953</v>
      </c>
      <c r="CG52" s="10">
        <v>2.2991026161826986</v>
      </c>
      <c r="CH52" s="9">
        <v>4.5304880142211914</v>
      </c>
      <c r="CI52" s="9">
        <v>-0.11542610824108124</v>
      </c>
      <c r="CJ52" s="9">
        <v>0.13048779964447021</v>
      </c>
      <c r="CK52" s="9">
        <v>-0.16411824524402618</v>
      </c>
      <c r="CL52" s="9">
        <v>1.0204081190750003E-3</v>
      </c>
      <c r="CM52" s="10">
        <v>-1.3428812026977539</v>
      </c>
      <c r="CN52" s="10">
        <v>1.7476853132247925</v>
      </c>
      <c r="CO52" s="10">
        <v>8.8161207735538483E-2</v>
      </c>
      <c r="CP52" s="10">
        <v>0.17109145224094391</v>
      </c>
      <c r="CQ52" s="10">
        <v>-0.34046691656112671</v>
      </c>
      <c r="CR52">
        <v>11.681079528838344</v>
      </c>
      <c r="CS52">
        <v>0.13327105327499539</v>
      </c>
      <c r="CT52">
        <v>3.0581039755351682</v>
      </c>
      <c r="CU52" s="9">
        <v>0.87649037369992588</v>
      </c>
      <c r="CV52" s="10">
        <v>6.4717970788478851E-2</v>
      </c>
      <c r="CW52">
        <v>0.06</v>
      </c>
      <c r="CX52" t="e">
        <v>#VALUE!</v>
      </c>
      <c r="CY52" t="s">
        <v>784</v>
      </c>
      <c r="CZ52">
        <v>0.87649037369992588</v>
      </c>
      <c r="DA52" t="e">
        <v>#VALUE!</v>
      </c>
      <c r="DB52" t="s">
        <v>784</v>
      </c>
      <c r="DC52">
        <v>0.83266585501492951</v>
      </c>
      <c r="DD52" t="e">
        <v>#VALUE!</v>
      </c>
      <c r="DE52" t="s">
        <v>784</v>
      </c>
      <c r="DF52">
        <v>0.77131152885593479</v>
      </c>
      <c r="DG52" t="e">
        <v>#VALUE!</v>
      </c>
      <c r="DH52" t="s">
        <v>784</v>
      </c>
      <c r="DI52">
        <v>0.70119229895994073</v>
      </c>
      <c r="DJ52" t="e">
        <v>#VALUE!</v>
      </c>
      <c r="DK52" t="s">
        <v>784</v>
      </c>
      <c r="DL52">
        <v>0.6135432615899481</v>
      </c>
      <c r="DM52">
        <v>-407000000</v>
      </c>
      <c r="DN52">
        <v>0.87649037369992588</v>
      </c>
      <c r="DO52">
        <v>4445136300</v>
      </c>
      <c r="DP52">
        <v>-517889300</v>
      </c>
      <c r="DQ52">
        <v>3465</v>
      </c>
      <c r="DR52">
        <v>-1.7442929588938154</v>
      </c>
      <c r="DS52">
        <v>2.2343846453942198</v>
      </c>
      <c r="DT52" s="11">
        <v>-0.25666666666666665</v>
      </c>
      <c r="DU52">
        <v>-0.43333333333333335</v>
      </c>
      <c r="DV52">
        <v>-0.69</v>
      </c>
      <c r="DW52">
        <v>-2.0737000000000001</v>
      </c>
      <c r="DX52">
        <v>0.34892088607594857</v>
      </c>
      <c r="DY52">
        <v>-2.0124494693037973</v>
      </c>
      <c r="DZ52">
        <v>1121</v>
      </c>
      <c r="EA52">
        <v>-2.0097183822021227</v>
      </c>
      <c r="EB52">
        <v>2</v>
      </c>
      <c r="EC52">
        <v>1.8208258763238332E-2</v>
      </c>
      <c r="ED52">
        <v>0.1077916365833626</v>
      </c>
      <c r="EE52" s="12">
        <v>-1.097</v>
      </c>
      <c r="EF52">
        <v>-1.0717000000000001</v>
      </c>
      <c r="EG52">
        <v>18.168920886075949</v>
      </c>
      <c r="EH52" t="s">
        <v>785</v>
      </c>
      <c r="EI52">
        <v>0</v>
      </c>
      <c r="EJ52">
        <v>1</v>
      </c>
      <c r="EK52" s="14">
        <v>45470</v>
      </c>
      <c r="EL52" s="15">
        <v>-0.42</v>
      </c>
      <c r="EM52" s="15">
        <v>-3.21</v>
      </c>
      <c r="EN52" s="15">
        <v>0.14000000000000001</v>
      </c>
      <c r="EO52" s="15">
        <v>2.4500000000000002</v>
      </c>
      <c r="EP52" s="15">
        <v>-2.5299999999999998</v>
      </c>
    </row>
    <row r="53" spans="1:146" ht="96" x14ac:dyDescent="0.25">
      <c r="A53" s="8"/>
      <c r="B53" s="8"/>
      <c r="C53" s="7" t="str">
        <f>""&amp;CHAR(10)&amp;Basic_Fundamental_Information_Constructure(F53)&amp;CHAR(10)&amp;Basic_Fundamental_Information_Concatenate("")</f>
        <v xml:space="preserve">
市值44.106336亿, 利润-2.18亿; PE16.28; 平均PE25.89; 平均PEG1.18, PB1.23; ROIC10.96%; ROE8.96%; 股利率2.3833%; 毛利79.4133%; 净利25.5067%; 上一年度营收增-58.7%, 利润增-191.6%; 当季营收增192.57%, 利润增1434.96%; 过往5年营收增-22.02%, 利润增-24.2%
Income profile:
</v>
      </c>
      <c r="D53" t="s">
        <v>82</v>
      </c>
      <c r="E53" t="s">
        <v>25</v>
      </c>
      <c r="F53">
        <v>6</v>
      </c>
      <c r="G53">
        <v>0.84</v>
      </c>
      <c r="H53" t="s">
        <v>2397</v>
      </c>
      <c r="I53">
        <v>4410633600</v>
      </c>
      <c r="J53">
        <v>16.28</v>
      </c>
      <c r="K53">
        <v>1.23</v>
      </c>
      <c r="L53" t="s">
        <v>57</v>
      </c>
      <c r="M53" t="s">
        <v>2398</v>
      </c>
      <c r="N53" t="s">
        <v>2399</v>
      </c>
      <c r="O53" t="s">
        <v>2400</v>
      </c>
      <c r="P53">
        <v>-11.71</v>
      </c>
      <c r="Q53" t="s">
        <v>2401</v>
      </c>
      <c r="R53">
        <v>123223553</v>
      </c>
      <c r="S53" s="5">
        <v>9.4600000000000004E-2</v>
      </c>
      <c r="T53" t="s">
        <v>991</v>
      </c>
      <c r="U53">
        <v>723458880</v>
      </c>
      <c r="V53">
        <v>735105600</v>
      </c>
      <c r="W53">
        <v>1.81</v>
      </c>
      <c r="X53">
        <v>0.06</v>
      </c>
      <c r="Y53">
        <v>38.659999999999997</v>
      </c>
      <c r="Z53" t="s">
        <v>2402</v>
      </c>
      <c r="AA53" t="s">
        <v>139</v>
      </c>
      <c r="AB53" t="s">
        <v>2403</v>
      </c>
      <c r="AC53" t="s">
        <v>2404</v>
      </c>
      <c r="AD53" t="s">
        <v>133</v>
      </c>
      <c r="AE53">
        <v>-20800210</v>
      </c>
      <c r="AF53" t="s">
        <v>2405</v>
      </c>
      <c r="AG53" t="s">
        <v>2406</v>
      </c>
      <c r="AH53" t="s">
        <v>2407</v>
      </c>
      <c r="AI53" t="s">
        <v>2408</v>
      </c>
      <c r="AJ53" t="s">
        <v>2409</v>
      </c>
      <c r="AK53" t="s">
        <v>133</v>
      </c>
      <c r="AL53" t="s">
        <v>2410</v>
      </c>
      <c r="AM53" t="s">
        <v>133</v>
      </c>
      <c r="AN53" t="s">
        <v>2411</v>
      </c>
      <c r="AO53" t="s">
        <v>133</v>
      </c>
      <c r="AP53" t="s">
        <v>133</v>
      </c>
      <c r="AQ53" t="s">
        <v>799</v>
      </c>
      <c r="AR53" t="s">
        <v>2412</v>
      </c>
      <c r="AS53" t="s">
        <v>2413</v>
      </c>
      <c r="AT53" t="s">
        <v>133</v>
      </c>
      <c r="AU53" t="s">
        <v>2414</v>
      </c>
      <c r="AV53" t="s">
        <v>2415</v>
      </c>
      <c r="AW53" t="s">
        <v>2416</v>
      </c>
      <c r="AX53" t="s">
        <v>998</v>
      </c>
      <c r="AY53" t="s">
        <v>482</v>
      </c>
      <c r="AZ53" t="s">
        <v>500</v>
      </c>
      <c r="BA53" t="s">
        <v>259</v>
      </c>
      <c r="BB53" t="s">
        <v>501</v>
      </c>
      <c r="BC53" t="s">
        <v>244</v>
      </c>
      <c r="BD53" t="s">
        <v>594</v>
      </c>
      <c r="BE53" t="s">
        <v>208</v>
      </c>
      <c r="BF53" t="s">
        <v>185</v>
      </c>
      <c r="BG53" t="s">
        <v>136</v>
      </c>
      <c r="BH53" t="s">
        <v>2417</v>
      </c>
      <c r="BI53" t="s">
        <v>258</v>
      </c>
      <c r="BJ53" t="s">
        <v>998</v>
      </c>
      <c r="BK53" t="s">
        <v>216</v>
      </c>
      <c r="BL53" t="s">
        <v>2418</v>
      </c>
      <c r="BM53" t="s">
        <v>244</v>
      </c>
      <c r="BN53">
        <v>9.4</v>
      </c>
      <c r="BO53">
        <v>10.19</v>
      </c>
      <c r="BP53">
        <v>13.29</v>
      </c>
      <c r="BQ53">
        <v>7.52</v>
      </c>
      <c r="BR53">
        <v>7.46</v>
      </c>
      <c r="BS53">
        <v>11.9</v>
      </c>
      <c r="BT53" t="s">
        <v>2419</v>
      </c>
      <c r="BU53" t="s">
        <v>787</v>
      </c>
      <c r="BV53">
        <v>78.92</v>
      </c>
      <c r="BW53">
        <v>78.84</v>
      </c>
      <c r="BX53">
        <v>80.48</v>
      </c>
      <c r="BY53">
        <v>24.44</v>
      </c>
      <c r="BZ53">
        <v>23.38</v>
      </c>
      <c r="CA53">
        <v>28.7</v>
      </c>
      <c r="CB53">
        <v>1.69</v>
      </c>
      <c r="CC53">
        <v>-9.0500000000000007</v>
      </c>
      <c r="CD53" t="s">
        <v>2420</v>
      </c>
      <c r="CE53" t="s">
        <v>299</v>
      </c>
      <c r="CF53" s="9">
        <v>1.9257142857142857</v>
      </c>
      <c r="CG53" s="10">
        <v>14.349607605221818</v>
      </c>
      <c r="CH53" s="9">
        <v>-0.58702218532562256</v>
      </c>
      <c r="CI53" s="9">
        <v>-6.6228248178958893E-2</v>
      </c>
      <c r="CJ53" s="9">
        <v>0.18938544392585754</v>
      </c>
      <c r="CK53" s="9">
        <v>-0.72031247615814209</v>
      </c>
      <c r="CL53" s="9">
        <v>8.3093553781509399E-2</v>
      </c>
      <c r="CM53" s="10">
        <v>-1.9159663915634155</v>
      </c>
      <c r="CN53" s="10">
        <v>-0.32193732261657715</v>
      </c>
      <c r="CO53" s="10">
        <v>0.31460675597190857</v>
      </c>
      <c r="CP53" s="10">
        <v>0.13617020845413208</v>
      </c>
      <c r="CQ53" s="10">
        <v>0.57718122005462646</v>
      </c>
      <c r="CR53">
        <v>25.89413072407045</v>
      </c>
      <c r="CS53">
        <v>1.1758472920599863</v>
      </c>
      <c r="CT53">
        <v>2.3833333333333333</v>
      </c>
      <c r="CU53" s="9">
        <v>-0.22021678239107131</v>
      </c>
      <c r="CV53" s="10">
        <v>-0.24198910593986511</v>
      </c>
      <c r="CW53">
        <v>0.06</v>
      </c>
      <c r="CX53" t="e">
        <v>#VALUE!</v>
      </c>
      <c r="CY53" t="s">
        <v>784</v>
      </c>
      <c r="CZ53">
        <v>-0.22021678239107131</v>
      </c>
      <c r="DA53" t="e">
        <v>#VALUE!</v>
      </c>
      <c r="DB53" t="s">
        <v>784</v>
      </c>
      <c r="DC53">
        <v>-0.20920594327151773</v>
      </c>
      <c r="DD53" t="e">
        <v>#VALUE!</v>
      </c>
      <c r="DE53" t="s">
        <v>784</v>
      </c>
      <c r="DF53">
        <v>-0.19379076850414276</v>
      </c>
      <c r="DG53" t="e">
        <v>#VALUE!</v>
      </c>
      <c r="DH53" t="s">
        <v>784</v>
      </c>
      <c r="DI53">
        <v>-0.17617342591285706</v>
      </c>
      <c r="DJ53" t="e">
        <v>#VALUE!</v>
      </c>
      <c r="DK53" t="s">
        <v>784</v>
      </c>
      <c r="DL53">
        <v>-0.15415174767374992</v>
      </c>
      <c r="DM53">
        <v>-218000000.00000003</v>
      </c>
      <c r="DN53">
        <v>-0.22021678239107131</v>
      </c>
      <c r="DO53">
        <v>3855633600</v>
      </c>
      <c r="DP53">
        <v>2862530400</v>
      </c>
      <c r="DQ53">
        <v>3486</v>
      </c>
      <c r="DR53">
        <v>2.1459310681053569</v>
      </c>
      <c r="DS53">
        <v>14.591596711161683</v>
      </c>
      <c r="DT53" s="11">
        <v>-0.70666666666666667</v>
      </c>
      <c r="DU53">
        <v>-0.88666666666666671</v>
      </c>
      <c r="DV53">
        <v>-1.5933333333333333</v>
      </c>
      <c r="DW53">
        <v>-2.0905</v>
      </c>
      <c r="DX53">
        <v>0.36465932203389972</v>
      </c>
      <c r="DY53">
        <v>-2.017616668644068</v>
      </c>
      <c r="DZ53">
        <v>2881</v>
      </c>
      <c r="EA53">
        <v>-2.0076844529173439</v>
      </c>
      <c r="EB53">
        <v>2</v>
      </c>
      <c r="EC53">
        <v>4.687040882289565E-2</v>
      </c>
      <c r="ED53">
        <v>0.24078173258372676</v>
      </c>
      <c r="EE53" s="12">
        <v>-3.0419100000000001</v>
      </c>
      <c r="EF53">
        <v>-3.0769099999999998</v>
      </c>
      <c r="EG53">
        <v>17.1946593220339</v>
      </c>
      <c r="EH53" t="s">
        <v>1696</v>
      </c>
      <c r="EI53">
        <v>0</v>
      </c>
      <c r="EJ53">
        <v>0</v>
      </c>
      <c r="EK53" s="14">
        <v>45470</v>
      </c>
      <c r="EL53" s="15">
        <v>1.43</v>
      </c>
      <c r="EM53" s="15">
        <v>-4.22</v>
      </c>
      <c r="EN53" s="15">
        <v>1.71</v>
      </c>
      <c r="EO53" s="15">
        <v>2.88</v>
      </c>
      <c r="EP53" s="15">
        <v>-3.5</v>
      </c>
    </row>
    <row r="54" spans="1:146" ht="96" x14ac:dyDescent="0.25">
      <c r="A54" s="8"/>
      <c r="B54" s="8"/>
      <c r="C54" s="7" t="str">
        <f>""&amp;CHAR(10)&amp;Basic_Fundamental_Information_Constructure(F54)&amp;CHAR(10)&amp;Basic_Fundamental_Information_Concatenate("")</f>
        <v xml:space="preserve">
市值31.199201亿, 利润3618.37万; PE60.68; 平均PE93.13; 平均PEG44.42, PB1.29; ROIC3.105%; ROE-1.7767%; 股利率.5743%; 毛利43.93%; 净利-7.56%; 上一年度营收增63.33%, 利润增112.06%; 当季营收增57.23%, 利润增685.99%; 过往5年营收增2.1%, 利润增-56.1%
Income profile:
</v>
      </c>
      <c r="D54" t="s">
        <v>613</v>
      </c>
      <c r="E54" t="s">
        <v>614</v>
      </c>
      <c r="F54">
        <v>2.96</v>
      </c>
      <c r="G54">
        <v>1.02</v>
      </c>
      <c r="H54" t="s">
        <v>2421</v>
      </c>
      <c r="I54">
        <v>3119920100</v>
      </c>
      <c r="J54">
        <v>60.68</v>
      </c>
      <c r="K54">
        <v>1.29</v>
      </c>
      <c r="L54" t="s">
        <v>57</v>
      </c>
      <c r="M54" t="s">
        <v>795</v>
      </c>
      <c r="N54" t="s">
        <v>2422</v>
      </c>
      <c r="O54" t="s">
        <v>175</v>
      </c>
      <c r="P54">
        <v>-22.06</v>
      </c>
      <c r="Q54" t="s">
        <v>2423</v>
      </c>
      <c r="R54">
        <v>32448040</v>
      </c>
      <c r="S54" s="5">
        <v>-0.14419999999999999</v>
      </c>
      <c r="T54" t="s">
        <v>2424</v>
      </c>
      <c r="U54">
        <v>1054027070</v>
      </c>
      <c r="V54">
        <v>1054027070</v>
      </c>
      <c r="W54">
        <v>1.21</v>
      </c>
      <c r="X54">
        <v>0.09</v>
      </c>
      <c r="Y54">
        <v>12.42</v>
      </c>
      <c r="Z54" t="s">
        <v>165</v>
      </c>
      <c r="AA54" t="s">
        <v>679</v>
      </c>
      <c r="AB54" t="s">
        <v>2425</v>
      </c>
      <c r="AC54" t="s">
        <v>2426</v>
      </c>
      <c r="AD54" t="s">
        <v>133</v>
      </c>
      <c r="AE54">
        <v>-2400720</v>
      </c>
      <c r="AF54" t="s">
        <v>2427</v>
      </c>
      <c r="AG54" t="s">
        <v>2428</v>
      </c>
      <c r="AH54" t="s">
        <v>2429</v>
      </c>
      <c r="AI54" t="s">
        <v>2430</v>
      </c>
      <c r="AJ54" t="s">
        <v>2431</v>
      </c>
      <c r="AK54" t="s">
        <v>133</v>
      </c>
      <c r="AL54" t="s">
        <v>2432</v>
      </c>
      <c r="AM54" t="s">
        <v>133</v>
      </c>
      <c r="AN54">
        <v>0</v>
      </c>
      <c r="AO54" t="s">
        <v>133</v>
      </c>
      <c r="AP54" t="s">
        <v>133</v>
      </c>
      <c r="AQ54" t="s">
        <v>289</v>
      </c>
      <c r="AR54" t="s">
        <v>2433</v>
      </c>
      <c r="AS54" t="s">
        <v>1177</v>
      </c>
      <c r="AT54" t="s">
        <v>133</v>
      </c>
      <c r="AU54" t="s">
        <v>2434</v>
      </c>
      <c r="AV54" t="s">
        <v>2435</v>
      </c>
      <c r="AW54" t="s">
        <v>2436</v>
      </c>
      <c r="AX54" t="s">
        <v>2437</v>
      </c>
      <c r="AY54" t="s">
        <v>999</v>
      </c>
      <c r="AZ54" t="s">
        <v>1000</v>
      </c>
      <c r="BA54" t="s">
        <v>615</v>
      </c>
      <c r="BB54" t="s">
        <v>616</v>
      </c>
      <c r="BC54" t="s">
        <v>869</v>
      </c>
      <c r="BD54" t="s">
        <v>705</v>
      </c>
      <c r="BE54" t="s">
        <v>258</v>
      </c>
      <c r="BF54" t="s">
        <v>617</v>
      </c>
      <c r="BG54" t="s">
        <v>574</v>
      </c>
      <c r="BH54" t="s">
        <v>2438</v>
      </c>
      <c r="BI54" t="s">
        <v>804</v>
      </c>
      <c r="BJ54" t="s">
        <v>2437</v>
      </c>
      <c r="BK54" t="s">
        <v>2439</v>
      </c>
      <c r="BL54" t="s">
        <v>2440</v>
      </c>
      <c r="BM54" t="s">
        <v>869</v>
      </c>
      <c r="BN54">
        <v>2.96</v>
      </c>
      <c r="BO54" t="s">
        <v>133</v>
      </c>
      <c r="BP54">
        <v>3.25</v>
      </c>
      <c r="BQ54">
        <v>3.19</v>
      </c>
      <c r="BR54">
        <v>-12.01</v>
      </c>
      <c r="BS54">
        <v>3.49</v>
      </c>
      <c r="BT54" t="s">
        <v>2441</v>
      </c>
      <c r="BU54" t="s">
        <v>787</v>
      </c>
      <c r="BV54">
        <v>42.83</v>
      </c>
      <c r="BW54">
        <v>40.81</v>
      </c>
      <c r="BX54">
        <v>48.15</v>
      </c>
      <c r="BY54">
        <v>5.7</v>
      </c>
      <c r="BZ54">
        <v>-37.42</v>
      </c>
      <c r="CA54">
        <v>9.0399999999999991</v>
      </c>
      <c r="CB54">
        <v>1.72</v>
      </c>
      <c r="CC54">
        <v>-9.76</v>
      </c>
      <c r="CD54" t="s">
        <v>2442</v>
      </c>
      <c r="CE54" t="s">
        <v>162</v>
      </c>
      <c r="CF54" s="9">
        <v>0.57228915662650603</v>
      </c>
      <c r="CG54" s="10">
        <v>6.8599035922776928</v>
      </c>
      <c r="CH54" s="9">
        <v>0.63329154253005981</v>
      </c>
      <c r="CI54" s="9">
        <v>-0.20020020008087158</v>
      </c>
      <c r="CJ54" s="9">
        <v>-1.1869436129927635E-2</v>
      </c>
      <c r="CK54" s="9">
        <v>-0.31504064798355103</v>
      </c>
      <c r="CL54" s="9">
        <v>-1.3531799195334315E-3</v>
      </c>
      <c r="CM54" s="10">
        <v>1.1206123828887939</v>
      </c>
      <c r="CN54" s="10">
        <v>-4.2489051818847656</v>
      </c>
      <c r="CO54" s="10">
        <v>-0.47234970331192017</v>
      </c>
      <c r="CP54" s="10">
        <v>1.0005669593811035</v>
      </c>
      <c r="CQ54" s="10">
        <v>-0.20477090775966644</v>
      </c>
      <c r="CR54">
        <v>93.133008984679918</v>
      </c>
      <c r="CS54">
        <v>44.421785838205565</v>
      </c>
      <c r="CT54">
        <v>0.57432432432432434</v>
      </c>
      <c r="CU54" s="9">
        <v>2.0965615683235229E-2</v>
      </c>
      <c r="CV54" s="10">
        <v>-0.56096929013729091</v>
      </c>
      <c r="CW54">
        <v>0.06</v>
      </c>
      <c r="CX54">
        <v>34.40107518826494</v>
      </c>
      <c r="CY54">
        <v>34851239.196412712</v>
      </c>
      <c r="CZ54">
        <v>2.0965615683235229E-2</v>
      </c>
      <c r="DA54">
        <v>11.924020597624805</v>
      </c>
      <c r="DB54">
        <v>100546631.07834767</v>
      </c>
      <c r="DC54">
        <v>1.9917334899073467E-2</v>
      </c>
      <c r="DD54">
        <v>6.3371753662799817</v>
      </c>
      <c r="DE54">
        <v>189188405.03916565</v>
      </c>
      <c r="DF54">
        <v>1.8449741801247001E-2</v>
      </c>
      <c r="DG54">
        <v>4.136449005458612</v>
      </c>
      <c r="DH54">
        <v>289842833.41045916</v>
      </c>
      <c r="DI54">
        <v>1.6772492546588184E-2</v>
      </c>
      <c r="DJ54">
        <v>2.5399228326769432</v>
      </c>
      <c r="DK54">
        <v>472030128.07141155</v>
      </c>
      <c r="DL54">
        <v>1.4675930978264659E-2</v>
      </c>
      <c r="DM54">
        <v>36183700</v>
      </c>
      <c r="DN54">
        <v>2.0965615683235229E-2</v>
      </c>
      <c r="DO54">
        <v>1198920100</v>
      </c>
      <c r="DP54">
        <v>1277639000</v>
      </c>
      <c r="DQ54">
        <v>3495</v>
      </c>
      <c r="DR54">
        <v>0.55132354094327085</v>
      </c>
      <c r="DS54">
        <v>7.4208728824149839</v>
      </c>
      <c r="DT54" s="11">
        <v>-0.37333333333333335</v>
      </c>
      <c r="DU54">
        <v>0.21666666666666667</v>
      </c>
      <c r="DV54">
        <v>-0.15666666666666668</v>
      </c>
      <c r="DW54">
        <v>-2.0975999999999999</v>
      </c>
      <c r="DX54">
        <v>0.30717841726618833</v>
      </c>
      <c r="DY54">
        <v>-2.0133886135251799</v>
      </c>
      <c r="DZ54">
        <v>2322</v>
      </c>
      <c r="EA54">
        <v>-2.0073047856180435</v>
      </c>
      <c r="EB54">
        <v>2</v>
      </c>
      <c r="EC54">
        <v>1.8090427222139559E-2</v>
      </c>
      <c r="ED54">
        <v>0.13187517090998432</v>
      </c>
      <c r="EE54" s="12">
        <v>-1.03041</v>
      </c>
      <c r="EF54">
        <v>-1.04741</v>
      </c>
      <c r="EG54">
        <v>17.137178417266188</v>
      </c>
      <c r="EH54" t="s">
        <v>793</v>
      </c>
      <c r="EI54">
        <v>0</v>
      </c>
      <c r="EJ54">
        <v>0</v>
      </c>
      <c r="EK54" s="14">
        <v>45470</v>
      </c>
      <c r="EL54" s="15">
        <v>0.38</v>
      </c>
      <c r="EM54" s="15">
        <v>-4.72</v>
      </c>
      <c r="EN54" s="15">
        <v>0.54</v>
      </c>
      <c r="EO54" s="15">
        <v>1.73</v>
      </c>
      <c r="EP54" s="15">
        <v>-1.7</v>
      </c>
    </row>
    <row r="55" spans="1:146" ht="96" x14ac:dyDescent="0.25">
      <c r="A55" s="8"/>
      <c r="B55" s="8"/>
      <c r="C55" s="8" t="s">
        <v>638</v>
      </c>
      <c r="D55" t="s">
        <v>91</v>
      </c>
      <c r="E55" t="s">
        <v>31</v>
      </c>
      <c r="F55">
        <v>7.48</v>
      </c>
      <c r="G55">
        <v>1.22</v>
      </c>
      <c r="H55" t="s">
        <v>2443</v>
      </c>
      <c r="I55">
        <v>13345577500</v>
      </c>
      <c r="J55">
        <v>34.85</v>
      </c>
      <c r="K55">
        <v>0.745</v>
      </c>
      <c r="L55" t="s">
        <v>57</v>
      </c>
      <c r="M55" t="s">
        <v>2444</v>
      </c>
      <c r="N55" t="s">
        <v>2445</v>
      </c>
      <c r="O55" t="s">
        <v>2446</v>
      </c>
      <c r="P55">
        <v>-6.99</v>
      </c>
      <c r="Q55" t="s">
        <v>2447</v>
      </c>
      <c r="R55">
        <v>192592000</v>
      </c>
      <c r="S55" s="5">
        <v>-7.7299999999999994E-2</v>
      </c>
      <c r="T55" t="s">
        <v>2448</v>
      </c>
      <c r="U55">
        <v>1604449900</v>
      </c>
      <c r="V55">
        <v>1784168100</v>
      </c>
      <c r="W55">
        <v>2.79</v>
      </c>
      <c r="X55">
        <v>0.16</v>
      </c>
      <c r="Y55">
        <v>3.32</v>
      </c>
      <c r="Z55" t="s">
        <v>2449</v>
      </c>
      <c r="AA55" t="s">
        <v>2450</v>
      </c>
      <c r="AB55" t="s">
        <v>2451</v>
      </c>
      <c r="AC55" t="s">
        <v>1730</v>
      </c>
      <c r="AD55" t="s">
        <v>133</v>
      </c>
      <c r="AE55">
        <v>-13219053</v>
      </c>
      <c r="AF55" t="s">
        <v>2452</v>
      </c>
      <c r="AG55" t="s">
        <v>2453</v>
      </c>
      <c r="AH55" t="s">
        <v>2454</v>
      </c>
      <c r="AI55" t="s">
        <v>2455</v>
      </c>
      <c r="AJ55" t="s">
        <v>2456</v>
      </c>
      <c r="AK55" t="s">
        <v>133</v>
      </c>
      <c r="AL55" t="s">
        <v>2457</v>
      </c>
      <c r="AM55" t="s">
        <v>133</v>
      </c>
      <c r="AN55" t="s">
        <v>2458</v>
      </c>
      <c r="AO55" t="s">
        <v>2098</v>
      </c>
      <c r="AP55" t="s">
        <v>353</v>
      </c>
      <c r="AQ55" t="s">
        <v>2459</v>
      </c>
      <c r="AR55" t="s">
        <v>215</v>
      </c>
      <c r="AS55" t="s">
        <v>2460</v>
      </c>
      <c r="AT55" t="s">
        <v>2461</v>
      </c>
      <c r="AU55" t="s">
        <v>1096</v>
      </c>
      <c r="AV55" t="s">
        <v>2462</v>
      </c>
      <c r="AW55" t="s">
        <v>932</v>
      </c>
      <c r="AX55" t="s">
        <v>2463</v>
      </c>
      <c r="AY55" t="s">
        <v>706</v>
      </c>
      <c r="AZ55" t="s">
        <v>707</v>
      </c>
      <c r="BA55" t="s">
        <v>260</v>
      </c>
      <c r="BB55" t="s">
        <v>503</v>
      </c>
      <c r="BC55" t="s">
        <v>878</v>
      </c>
      <c r="BD55" t="s">
        <v>612</v>
      </c>
      <c r="BE55" t="s">
        <v>708</v>
      </c>
      <c r="BF55" t="s">
        <v>261</v>
      </c>
      <c r="BG55" t="s">
        <v>504</v>
      </c>
      <c r="BH55" t="s">
        <v>2464</v>
      </c>
      <c r="BI55" t="s">
        <v>890</v>
      </c>
      <c r="BJ55" t="s">
        <v>2463</v>
      </c>
      <c r="BK55" t="s">
        <v>2465</v>
      </c>
      <c r="BL55" t="s">
        <v>139</v>
      </c>
      <c r="BM55" t="s">
        <v>878</v>
      </c>
      <c r="BN55">
        <v>1</v>
      </c>
      <c r="BO55">
        <v>2.67</v>
      </c>
      <c r="BP55">
        <v>2.75</v>
      </c>
      <c r="BQ55">
        <v>1.93</v>
      </c>
      <c r="BR55">
        <v>3.85</v>
      </c>
      <c r="BS55">
        <v>4.24</v>
      </c>
      <c r="BT55" t="s">
        <v>947</v>
      </c>
      <c r="BU55" t="s">
        <v>787</v>
      </c>
      <c r="BV55">
        <v>26.54</v>
      </c>
      <c r="BW55">
        <v>24.94</v>
      </c>
      <c r="BX55">
        <v>26.73</v>
      </c>
      <c r="BY55">
        <v>-0.19</v>
      </c>
      <c r="BZ55">
        <v>1.9</v>
      </c>
      <c r="CA55">
        <v>1.83</v>
      </c>
      <c r="CB55">
        <v>1.36</v>
      </c>
      <c r="CC55">
        <v>-16.14</v>
      </c>
      <c r="CD55" t="s">
        <v>2466</v>
      </c>
      <c r="CE55" t="s">
        <v>419</v>
      </c>
      <c r="CF55" s="9">
        <v>8.372611464968152</v>
      </c>
      <c r="CG55" s="10">
        <v>0.81690566037735846</v>
      </c>
      <c r="CH55" s="9">
        <v>-0.90196990966796875</v>
      </c>
      <c r="CI55" s="9">
        <v>-6.8225175142288208E-2</v>
      </c>
      <c r="CJ55" s="9">
        <v>-1.6211884096264839E-2</v>
      </c>
      <c r="CK55" s="9">
        <v>-0.30198776721954346</v>
      </c>
      <c r="CL55" s="9">
        <v>4.1960086673498154E-2</v>
      </c>
      <c r="CM55" s="10">
        <v>-0.92470401525497437</v>
      </c>
      <c r="CN55" s="10">
        <v>-0.10491368174552917</v>
      </c>
      <c r="CO55" s="10">
        <v>-2.2077921777963638E-2</v>
      </c>
      <c r="CP55" s="10">
        <v>-0.19624216854572296</v>
      </c>
      <c r="CQ55" s="10">
        <v>9.8623856902122498E-2</v>
      </c>
      <c r="CR55">
        <v>19.636680723031173</v>
      </c>
      <c r="CS55">
        <v>0.78771401018318865</v>
      </c>
      <c r="CT55">
        <v>1.6042780748663099</v>
      </c>
      <c r="CU55" s="9">
        <v>-0.24928692989051343</v>
      </c>
      <c r="CV55" s="10">
        <v>-0.22986278608441352</v>
      </c>
      <c r="CW55">
        <v>0.06</v>
      </c>
      <c r="CX55">
        <v>593.94826550015273</v>
      </c>
      <c r="CY55" t="s">
        <v>2467</v>
      </c>
      <c r="CZ55">
        <v>-0.24928692989051343</v>
      </c>
      <c r="DA55">
        <v>197.98275516671757</v>
      </c>
      <c r="DB55" t="s">
        <v>2468</v>
      </c>
      <c r="DC55">
        <v>-0.23682258339598775</v>
      </c>
      <c r="DD55">
        <v>98.991377583358783</v>
      </c>
      <c r="DE55" t="s">
        <v>2469</v>
      </c>
      <c r="DF55">
        <v>-0.21937249830365183</v>
      </c>
      <c r="DG55">
        <v>59.394826550015274</v>
      </c>
      <c r="DH55" t="s">
        <v>2470</v>
      </c>
      <c r="DI55">
        <v>-0.19942954391241074</v>
      </c>
      <c r="DJ55">
        <v>29.697413275007637</v>
      </c>
      <c r="DK55" t="s">
        <v>2471</v>
      </c>
      <c r="DL55">
        <v>-0.1745008509233594</v>
      </c>
      <c r="DM55">
        <v>50749500</v>
      </c>
      <c r="DN55">
        <v>-0.24928692989051343</v>
      </c>
      <c r="DO55">
        <v>30142577500</v>
      </c>
      <c r="DP55">
        <v>781185000</v>
      </c>
      <c r="DQ55">
        <v>3498</v>
      </c>
      <c r="DR55">
        <v>8.6218983948586647</v>
      </c>
      <c r="DS55">
        <v>1.0467684464617719</v>
      </c>
      <c r="DT55" s="11">
        <v>-0.89</v>
      </c>
      <c r="DU55">
        <v>-0.67</v>
      </c>
      <c r="DV55">
        <v>-1.56</v>
      </c>
      <c r="DW55">
        <v>-3.0015833333333335</v>
      </c>
      <c r="DX55">
        <v>0.48740590717299553</v>
      </c>
      <c r="DY55">
        <v>-3.0004867260196906</v>
      </c>
      <c r="DZ55">
        <v>2605</v>
      </c>
      <c r="EA55">
        <v>-3.0002386005243298</v>
      </c>
      <c r="EB55">
        <v>3</v>
      </c>
      <c r="EC55">
        <v>4.0834268923427113E-2</v>
      </c>
      <c r="ED55">
        <v>0.13283501705921097</v>
      </c>
      <c r="EE55" s="12">
        <v>-1.0665</v>
      </c>
      <c r="EF55">
        <v>-1.0627</v>
      </c>
      <c r="EG55">
        <v>18.307405907172996</v>
      </c>
      <c r="EH55" t="s">
        <v>785</v>
      </c>
      <c r="EI55">
        <v>0</v>
      </c>
      <c r="EJ55">
        <v>0</v>
      </c>
      <c r="EK55" s="14">
        <v>45470</v>
      </c>
      <c r="EL55" s="15">
        <v>0</v>
      </c>
      <c r="EM55" s="15">
        <v>-1.87</v>
      </c>
      <c r="EN55" s="15">
        <v>0.38</v>
      </c>
      <c r="EO55" s="15">
        <v>1.01</v>
      </c>
      <c r="EP55" s="15">
        <v>-0.38</v>
      </c>
    </row>
    <row r="56" spans="1:146" ht="96" x14ac:dyDescent="0.25">
      <c r="A56" s="8"/>
      <c r="B56" s="8"/>
      <c r="C56" s="8" t="str">
        <f>""&amp;CHAR(10)&amp;Basic_Fundamental_Information_Constructure(F56)&amp;CHAR(10)&amp;Basic_Fundamental_Information_Concatenate("")</f>
        <v xml:space="preserve">
市值41.913978亿, 利润2.92亿; PE1379; 平均PE6.76; 平均PEG.28, PB.594; ROIC4.33%; ROE4.5233%; 股利率1.1157%; 毛利61.3867%; 净利7.08%; 上一年度营收增204.78%, 利润增-14.62%; 当季营收增-68.98%, 利润增-18.6%; 过往5年营收增24.57%, 利润增-3.52%
Income profile:
</v>
      </c>
      <c r="D56" t="s">
        <v>109</v>
      </c>
      <c r="E56" t="s">
        <v>49</v>
      </c>
      <c r="F56">
        <v>2.42</v>
      </c>
      <c r="G56">
        <v>1.26</v>
      </c>
      <c r="H56" t="s">
        <v>2472</v>
      </c>
      <c r="I56">
        <v>4191397800</v>
      </c>
      <c r="J56">
        <v>1379</v>
      </c>
      <c r="K56">
        <v>0.59399999999999997</v>
      </c>
      <c r="L56" t="s">
        <v>57</v>
      </c>
      <c r="M56" t="s">
        <v>1179</v>
      </c>
      <c r="N56" t="s">
        <v>2473</v>
      </c>
      <c r="O56" t="s">
        <v>1509</v>
      </c>
      <c r="P56">
        <v>-12.67</v>
      </c>
      <c r="Q56" t="s">
        <v>343</v>
      </c>
      <c r="R56">
        <v>58435896</v>
      </c>
      <c r="S56" s="5">
        <v>-0.44950000000000001</v>
      </c>
      <c r="T56" t="s">
        <v>2273</v>
      </c>
      <c r="U56">
        <v>1731360200</v>
      </c>
      <c r="V56">
        <v>1731982500</v>
      </c>
      <c r="W56">
        <v>2.61</v>
      </c>
      <c r="X56">
        <v>0.04</v>
      </c>
      <c r="Y56">
        <v>7.19</v>
      </c>
      <c r="Z56" t="s">
        <v>2474</v>
      </c>
      <c r="AA56" t="s">
        <v>671</v>
      </c>
      <c r="AB56" t="s">
        <v>2475</v>
      </c>
      <c r="AC56" t="s">
        <v>2476</v>
      </c>
      <c r="AD56" t="s">
        <v>133</v>
      </c>
      <c r="AE56">
        <v>88734057</v>
      </c>
      <c r="AF56" t="s">
        <v>2477</v>
      </c>
      <c r="AG56" t="s">
        <v>2478</v>
      </c>
      <c r="AH56" t="s">
        <v>2479</v>
      </c>
      <c r="AI56" t="s">
        <v>1020</v>
      </c>
      <c r="AJ56" t="s">
        <v>2480</v>
      </c>
      <c r="AK56" t="s">
        <v>133</v>
      </c>
      <c r="AL56" t="s">
        <v>2481</v>
      </c>
      <c r="AM56" t="s">
        <v>133</v>
      </c>
      <c r="AN56" t="s">
        <v>1502</v>
      </c>
      <c r="AO56" t="s">
        <v>2482</v>
      </c>
      <c r="AP56" t="s">
        <v>133</v>
      </c>
      <c r="AQ56" t="s">
        <v>692</v>
      </c>
      <c r="AR56" t="s">
        <v>2483</v>
      </c>
      <c r="AS56" t="s">
        <v>2484</v>
      </c>
      <c r="AT56" t="s">
        <v>2485</v>
      </c>
      <c r="AU56" t="s">
        <v>2486</v>
      </c>
      <c r="AV56" t="s">
        <v>2487</v>
      </c>
      <c r="AW56" t="s">
        <v>2488</v>
      </c>
      <c r="AX56" t="s">
        <v>1002</v>
      </c>
      <c r="AY56" t="s">
        <v>709</v>
      </c>
      <c r="AZ56" t="s">
        <v>507</v>
      </c>
      <c r="BA56" t="s">
        <v>262</v>
      </c>
      <c r="BB56" t="s">
        <v>508</v>
      </c>
      <c r="BC56" t="s">
        <v>995</v>
      </c>
      <c r="BD56" t="s">
        <v>618</v>
      </c>
      <c r="BE56" t="s">
        <v>201</v>
      </c>
      <c r="BF56" t="s">
        <v>263</v>
      </c>
      <c r="BG56" t="s">
        <v>509</v>
      </c>
      <c r="BH56" t="s">
        <v>2447</v>
      </c>
      <c r="BI56" t="s">
        <v>2489</v>
      </c>
      <c r="BJ56" t="s">
        <v>1002</v>
      </c>
      <c r="BK56" t="s">
        <v>2448</v>
      </c>
      <c r="BL56" t="s">
        <v>2490</v>
      </c>
      <c r="BM56" t="s">
        <v>995</v>
      </c>
      <c r="BN56">
        <v>2.86</v>
      </c>
      <c r="BO56">
        <v>4.62</v>
      </c>
      <c r="BP56">
        <v>5.51</v>
      </c>
      <c r="BQ56">
        <v>2.61</v>
      </c>
      <c r="BR56">
        <v>4.8</v>
      </c>
      <c r="BS56">
        <v>6.16</v>
      </c>
      <c r="BT56" t="s">
        <v>2491</v>
      </c>
      <c r="BU56" t="s">
        <v>787</v>
      </c>
      <c r="BV56">
        <v>59.17</v>
      </c>
      <c r="BW56">
        <v>63.09</v>
      </c>
      <c r="BX56">
        <v>61.9</v>
      </c>
      <c r="BY56">
        <v>1.4</v>
      </c>
      <c r="BZ56">
        <v>9.7799999999999994</v>
      </c>
      <c r="CA56">
        <v>10.06</v>
      </c>
      <c r="CB56">
        <v>2.11</v>
      </c>
      <c r="CC56">
        <v>-19.600000000000001</v>
      </c>
      <c r="CD56" t="s">
        <v>2492</v>
      </c>
      <c r="CE56" t="s">
        <v>1008</v>
      </c>
      <c r="CF56" s="9">
        <v>-0.68978514888805131</v>
      </c>
      <c r="CG56" s="10">
        <v>-0.18597539366788138</v>
      </c>
      <c r="CH56" s="9">
        <v>2.0478146076202393</v>
      </c>
      <c r="CI56" s="9">
        <v>-0.18210174143314362</v>
      </c>
      <c r="CJ56" s="9">
        <v>0.12679100036621094</v>
      </c>
      <c r="CK56" s="9">
        <v>-0.69764590263366699</v>
      </c>
      <c r="CL56" s="9">
        <v>-6.6463187336921692E-2</v>
      </c>
      <c r="CM56" s="10">
        <v>-0.1461988240480423</v>
      </c>
      <c r="CN56" s="10">
        <v>-0.16381418704986572</v>
      </c>
      <c r="CO56" s="10">
        <v>0.92018777132034302</v>
      </c>
      <c r="CP56" s="10">
        <v>-0.83081811666488647</v>
      </c>
      <c r="CQ56" s="10">
        <v>4.4813387095928192E-2</v>
      </c>
      <c r="CR56">
        <v>6.7603190322580646</v>
      </c>
      <c r="CS56">
        <v>0.27516882850416602</v>
      </c>
      <c r="CT56">
        <v>1.115702479338843</v>
      </c>
      <c r="CU56" s="9">
        <v>0.24567895531654357</v>
      </c>
      <c r="CV56" s="10">
        <v>-3.5165993869304656E-2</v>
      </c>
      <c r="CW56">
        <v>0.06</v>
      </c>
      <c r="CX56">
        <v>26.007332303381595</v>
      </c>
      <c r="CY56">
        <v>343149297.12493455</v>
      </c>
      <c r="CZ56">
        <v>0.24567895531654357</v>
      </c>
      <c r="DA56">
        <v>7.4673370972794517</v>
      </c>
      <c r="DB56">
        <v>1195124538.2040398</v>
      </c>
      <c r="DC56">
        <v>0.23339500755071638</v>
      </c>
      <c r="DD56">
        <v>3.0633928679134983</v>
      </c>
      <c r="DE56">
        <v>2913239726.2772503</v>
      </c>
      <c r="DF56">
        <v>0.21619748067855835</v>
      </c>
      <c r="DG56">
        <v>1.4783875626808558</v>
      </c>
      <c r="DH56">
        <v>6036575269.7599888</v>
      </c>
      <c r="DI56">
        <v>0.19654316425323487</v>
      </c>
      <c r="DJ56">
        <v>0.45261596746104632</v>
      </c>
      <c r="DK56">
        <v>19717372875.865376</v>
      </c>
      <c r="DL56">
        <v>0.1719752687215805</v>
      </c>
      <c r="DM56">
        <v>292000000</v>
      </c>
      <c r="DN56">
        <v>0.24567895531654357</v>
      </c>
      <c r="DO56">
        <v>8924397800</v>
      </c>
      <c r="DP56">
        <v>-3197073900</v>
      </c>
      <c r="DQ56">
        <v>3499</v>
      </c>
      <c r="DR56">
        <v>-0.93546410420459492</v>
      </c>
      <c r="DS56">
        <v>-0.15080939979857672</v>
      </c>
      <c r="DT56" s="11">
        <v>-0.52333333333333332</v>
      </c>
      <c r="DU56">
        <v>-0.33666666666666667</v>
      </c>
      <c r="DV56">
        <v>-0.86</v>
      </c>
      <c r="DW56">
        <v>-3.0407142857142859</v>
      </c>
      <c r="DX56">
        <v>0.37386519823788522</v>
      </c>
      <c r="DY56">
        <v>-3.0083002259282567</v>
      </c>
      <c r="DZ56">
        <v>3395</v>
      </c>
      <c r="EA56">
        <v>-3.0027856922635929</v>
      </c>
      <c r="EB56">
        <v>3</v>
      </c>
      <c r="EC56">
        <v>2.6719323087848752E-2</v>
      </c>
      <c r="ED56">
        <v>0.13106367991593448</v>
      </c>
      <c r="EE56" s="12">
        <v>-2.0939000000000001</v>
      </c>
      <c r="EF56">
        <v>-2.0768</v>
      </c>
      <c r="EG56">
        <v>17.203865198237885</v>
      </c>
      <c r="EH56" t="s">
        <v>1419</v>
      </c>
      <c r="EI56">
        <v>0</v>
      </c>
      <c r="EJ56">
        <v>0</v>
      </c>
      <c r="EK56" s="14">
        <v>45470</v>
      </c>
      <c r="EL56" s="15">
        <v>0.26</v>
      </c>
      <c r="EM56" s="15">
        <v>-3.11</v>
      </c>
      <c r="EN56" s="15">
        <v>0</v>
      </c>
      <c r="EO56" s="15">
        <v>1.87</v>
      </c>
      <c r="EP56" s="15">
        <v>-1.71</v>
      </c>
    </row>
    <row r="57" spans="1:146" ht="96" x14ac:dyDescent="0.25">
      <c r="A57" s="8"/>
      <c r="B57" s="8"/>
      <c r="C57" s="8" t="str">
        <f>""&amp;CHAR(10)&amp;Basic_Fundamental_Information_Constructure(F57)&amp;CHAR(10)&amp;Basic_Fundamental_Information_Concatenate("")</f>
        <v xml:space="preserve">
市值22.008421亿, 利润6.88亿; PE38.22; 平均PE12.08; 平均PEG0, PB1.5; ROIC0%; ROE4.64%; 股利率.8561%; 毛利25.2733%; 净利84.01%; 上一年度营收增142081.67%, 利润增1215.5%; 当季营收增-99.9%, 利润增-87.82%; 过往5年营收增28417.47%, 利润增242.43%
Income profile:
</v>
      </c>
      <c r="D57" t="s">
        <v>80</v>
      </c>
      <c r="E57" t="s">
        <v>17</v>
      </c>
      <c r="F57">
        <v>5.49</v>
      </c>
      <c r="G57">
        <v>0.37</v>
      </c>
      <c r="H57" t="s">
        <v>2493</v>
      </c>
      <c r="I57">
        <v>2200842100</v>
      </c>
      <c r="J57">
        <v>38.22</v>
      </c>
      <c r="K57">
        <v>1.5</v>
      </c>
      <c r="L57" t="s">
        <v>57</v>
      </c>
      <c r="M57" t="s">
        <v>180</v>
      </c>
      <c r="N57" t="s">
        <v>2494</v>
      </c>
      <c r="O57" t="s">
        <v>2495</v>
      </c>
      <c r="P57">
        <v>5.27</v>
      </c>
      <c r="Q57" t="s">
        <v>2496</v>
      </c>
      <c r="R57">
        <v>10101251</v>
      </c>
      <c r="S57" s="5">
        <v>-0.31319999999999998</v>
      </c>
      <c r="T57" t="s">
        <v>2497</v>
      </c>
      <c r="U57">
        <v>400881980</v>
      </c>
      <c r="V57">
        <v>400881980</v>
      </c>
      <c r="W57">
        <v>1.08</v>
      </c>
      <c r="X57">
        <v>0.01</v>
      </c>
      <c r="Y57">
        <v>43.73</v>
      </c>
      <c r="Z57" t="s">
        <v>2498</v>
      </c>
      <c r="AA57" t="s">
        <v>2499</v>
      </c>
      <c r="AB57" t="s">
        <v>2500</v>
      </c>
      <c r="AC57" t="s">
        <v>2501</v>
      </c>
      <c r="AD57" t="s">
        <v>133</v>
      </c>
      <c r="AE57">
        <v>-960023</v>
      </c>
      <c r="AF57" t="s">
        <v>2502</v>
      </c>
      <c r="AG57" t="s">
        <v>2503</v>
      </c>
      <c r="AH57" t="s">
        <v>2504</v>
      </c>
      <c r="AI57" t="s">
        <v>441</v>
      </c>
      <c r="AJ57" t="s">
        <v>2505</v>
      </c>
      <c r="AK57" t="s">
        <v>133</v>
      </c>
      <c r="AL57" t="s">
        <v>2506</v>
      </c>
      <c r="AM57" t="s">
        <v>133</v>
      </c>
      <c r="AN57" t="s">
        <v>2507</v>
      </c>
      <c r="AO57" t="s">
        <v>133</v>
      </c>
      <c r="AP57" t="s">
        <v>133</v>
      </c>
      <c r="AQ57" t="s">
        <v>2508</v>
      </c>
      <c r="AR57" t="s">
        <v>2509</v>
      </c>
      <c r="AS57" t="s">
        <v>2510</v>
      </c>
      <c r="AT57" t="s">
        <v>133</v>
      </c>
      <c r="AU57" t="s">
        <v>2511</v>
      </c>
      <c r="AV57" t="s">
        <v>2512</v>
      </c>
      <c r="AW57" t="s">
        <v>2513</v>
      </c>
      <c r="AX57" t="s">
        <v>1003</v>
      </c>
      <c r="AY57" t="s">
        <v>710</v>
      </c>
      <c r="AZ57" t="s">
        <v>510</v>
      </c>
      <c r="BA57" t="s">
        <v>265</v>
      </c>
      <c r="BB57" t="s">
        <v>512</v>
      </c>
      <c r="BC57" t="s">
        <v>1004</v>
      </c>
      <c r="BD57" t="s">
        <v>152</v>
      </c>
      <c r="BE57" t="s">
        <v>511</v>
      </c>
      <c r="BF57" t="s">
        <v>266</v>
      </c>
      <c r="BG57" t="s">
        <v>513</v>
      </c>
      <c r="BH57" t="s">
        <v>2514</v>
      </c>
      <c r="BI57" t="s">
        <v>2515</v>
      </c>
      <c r="BJ57" t="s">
        <v>1003</v>
      </c>
      <c r="BK57" t="s">
        <v>2516</v>
      </c>
      <c r="BL57" t="s">
        <v>2517</v>
      </c>
      <c r="BM57" t="s">
        <v>1004</v>
      </c>
      <c r="BN57" t="s">
        <v>133</v>
      </c>
      <c r="BO57" t="s">
        <v>133</v>
      </c>
      <c r="BP57" t="s">
        <v>133</v>
      </c>
      <c r="BQ57">
        <v>3.08</v>
      </c>
      <c r="BR57">
        <v>3.59</v>
      </c>
      <c r="BS57">
        <v>7.25</v>
      </c>
      <c r="BT57" t="s">
        <v>2518</v>
      </c>
      <c r="BU57" t="s">
        <v>787</v>
      </c>
      <c r="BV57">
        <v>27.02</v>
      </c>
      <c r="BW57">
        <v>22.31</v>
      </c>
      <c r="BX57">
        <v>26.49</v>
      </c>
      <c r="BY57">
        <v>71.86</v>
      </c>
      <c r="BZ57">
        <v>76.3</v>
      </c>
      <c r="CA57">
        <v>103.87</v>
      </c>
      <c r="CB57">
        <v>2.04</v>
      </c>
      <c r="CC57">
        <v>-12.3</v>
      </c>
      <c r="CD57" t="s">
        <v>2519</v>
      </c>
      <c r="CE57" t="s">
        <v>283</v>
      </c>
      <c r="CF57" s="9">
        <v>-0.99899324848537685</v>
      </c>
      <c r="CG57" s="10">
        <v>-0.87822511579236695</v>
      </c>
      <c r="CH57" s="9">
        <v>1420.816650390625</v>
      </c>
      <c r="CI57" s="9">
        <v>-0.30509689450263977</v>
      </c>
      <c r="CJ57" s="9">
        <v>5.6685999035835266E-2</v>
      </c>
      <c r="CK57" s="9">
        <v>0.25747379660606384</v>
      </c>
      <c r="CL57" s="9">
        <v>4.8000361770391464E-2</v>
      </c>
      <c r="CM57" s="10">
        <v>12.154951095581055</v>
      </c>
      <c r="CN57" s="10">
        <v>-0.48725783824920654</v>
      </c>
      <c r="CO57" s="10">
        <v>0.91070634126663208</v>
      </c>
      <c r="CP57" s="10">
        <v>-0.46069908142089844</v>
      </c>
      <c r="CQ57" s="10">
        <v>3.9972332306206226E-3</v>
      </c>
      <c r="CR57">
        <v>12.078584485177199</v>
      </c>
      <c r="CS57">
        <v>4.2504074672896773E-4</v>
      </c>
      <c r="CT57">
        <v>0.85610200364298716</v>
      </c>
      <c r="CU57" s="9">
        <v>284.17474273070695</v>
      </c>
      <c r="CV57" s="10">
        <v>2.4243395500816405</v>
      </c>
      <c r="CW57">
        <v>0.06</v>
      </c>
      <c r="CX57">
        <v>4.5967971504591743E-3</v>
      </c>
      <c r="CY57">
        <v>185094549998.79846</v>
      </c>
      <c r="CZ57">
        <v>284.17474273070695</v>
      </c>
      <c r="DA57">
        <v>7.3744810714616553E-8</v>
      </c>
      <c r="DB57">
        <v>1.1537653860047936E+16</v>
      </c>
      <c r="DC57">
        <v>269.96600559417158</v>
      </c>
      <c r="DD57">
        <v>6.9734904311086063E-15</v>
      </c>
      <c r="DE57">
        <v>1.2201093676194203E+23</v>
      </c>
      <c r="DF57">
        <v>250.07377360302212</v>
      </c>
      <c r="DG57">
        <v>5.7211370938874152E-24</v>
      </c>
      <c r="DH57">
        <v>1.4871905462797908E+32</v>
      </c>
      <c r="DI57">
        <v>227.33979418456556</v>
      </c>
      <c r="DJ57">
        <v>3.7917823626231792E-46</v>
      </c>
      <c r="DK57">
        <v>2.2439106958960113E+54</v>
      </c>
      <c r="DL57">
        <v>198.92231991149487</v>
      </c>
      <c r="DM57">
        <v>688000000</v>
      </c>
      <c r="DN57">
        <v>284.17474273070695</v>
      </c>
      <c r="DO57">
        <v>850842100</v>
      </c>
      <c r="DP57">
        <v>342728880</v>
      </c>
      <c r="DQ57">
        <v>3508</v>
      </c>
      <c r="DR57">
        <v>-285.17373597919232</v>
      </c>
      <c r="DS57">
        <v>-3.3025646658740073</v>
      </c>
      <c r="DT57" s="11">
        <v>-0.17333333333333337</v>
      </c>
      <c r="DU57">
        <v>-0.14000000000000001</v>
      </c>
      <c r="DV57">
        <v>-0.31333333333333335</v>
      </c>
      <c r="DW57">
        <v>-2.1230000000000002</v>
      </c>
      <c r="DX57">
        <v>0.44745238095238038</v>
      </c>
      <c r="DY57">
        <v>-2.0378166428571429</v>
      </c>
      <c r="DZ57">
        <v>3647</v>
      </c>
      <c r="EA57">
        <v>-2.0108269566536205</v>
      </c>
      <c r="EB57">
        <v>2</v>
      </c>
      <c r="EC57">
        <v>8.0528688268801704E-2</v>
      </c>
      <c r="ED57">
        <v>0.26192247404086361</v>
      </c>
      <c r="EE57" s="12">
        <v>5.741000000000001E-2</v>
      </c>
      <c r="EF57">
        <v>5.851E-2</v>
      </c>
      <c r="EG57">
        <v>14.30745238095238</v>
      </c>
      <c r="EH57">
        <v>-1</v>
      </c>
      <c r="EI57">
        <v>0</v>
      </c>
      <c r="EJ57">
        <v>0</v>
      </c>
      <c r="EK57" s="14">
        <v>45470</v>
      </c>
      <c r="EL57" s="15">
        <v>-0.56999999999999995</v>
      </c>
      <c r="EM57" s="15">
        <v>0.8</v>
      </c>
      <c r="EN57" s="15">
        <v>-0.8</v>
      </c>
      <c r="EO57" s="15">
        <v>0.23</v>
      </c>
      <c r="EP57" s="15">
        <v>-0.11</v>
      </c>
    </row>
    <row r="58" spans="1:146" ht="96" x14ac:dyDescent="0.25">
      <c r="A58" s="8"/>
      <c r="B58" s="8"/>
      <c r="C58" s="8" t="str">
        <f>""&amp;CHAR(10)&amp;Basic_Fundamental_Information_Constructure(F58)&amp;CHAR(10)&amp;Basic_Fundamental_Information_Concatenate("")</f>
        <v xml:space="preserve">
市值12.7413714亿, 利润2.17亿; PE31.03; 平均PE10.69; 平均PEG.11, PB1.5; ROIC24.0133%; ROE24.4667%; 股利率1.4965%; 毛利12.43%; 净利16.4433%; 上一年度营收增510.69%, 利润增-40.06%; 当季营收增-82.95%, 利润增-104.97%; 过往5年营收增101.36%, 利润增179.17%
Income profile:
</v>
      </c>
      <c r="D58" t="s">
        <v>69</v>
      </c>
      <c r="E58" t="s">
        <v>12</v>
      </c>
      <c r="F58">
        <v>5.68</v>
      </c>
      <c r="G58">
        <v>1.97</v>
      </c>
      <c r="H58" t="s">
        <v>2520</v>
      </c>
      <c r="I58">
        <v>1274137140</v>
      </c>
      <c r="J58">
        <v>31.03</v>
      </c>
      <c r="K58">
        <v>1.5</v>
      </c>
      <c r="L58" t="s">
        <v>57</v>
      </c>
      <c r="M58" t="s">
        <v>1157</v>
      </c>
      <c r="N58" t="s">
        <v>2521</v>
      </c>
      <c r="O58" t="s">
        <v>1402</v>
      </c>
      <c r="P58">
        <v>-5.76</v>
      </c>
      <c r="Q58" t="s">
        <v>2522</v>
      </c>
      <c r="R58">
        <v>-4634953</v>
      </c>
      <c r="S58" s="6">
        <v>-1.3089999999999999</v>
      </c>
      <c r="T58" t="s">
        <v>475</v>
      </c>
      <c r="U58">
        <v>224319920</v>
      </c>
      <c r="V58">
        <v>224319920</v>
      </c>
      <c r="W58">
        <v>1.1499999999999999</v>
      </c>
      <c r="X58">
        <v>0.28000000000000003</v>
      </c>
      <c r="Y58">
        <v>-1.66</v>
      </c>
      <c r="Z58" t="s">
        <v>1046</v>
      </c>
      <c r="AA58" t="s">
        <v>175</v>
      </c>
      <c r="AB58" t="s">
        <v>2523</v>
      </c>
      <c r="AC58" t="s">
        <v>2524</v>
      </c>
      <c r="AD58" t="s">
        <v>133</v>
      </c>
      <c r="AE58">
        <v>-1512639</v>
      </c>
      <c r="AF58" t="s">
        <v>2525</v>
      </c>
      <c r="AG58">
        <v>7001.28</v>
      </c>
      <c r="AH58" t="s">
        <v>2526</v>
      </c>
      <c r="AI58" t="s">
        <v>550</v>
      </c>
      <c r="AJ58" t="s">
        <v>2527</v>
      </c>
      <c r="AK58" t="s">
        <v>133</v>
      </c>
      <c r="AL58" t="s">
        <v>2528</v>
      </c>
      <c r="AM58" t="s">
        <v>133</v>
      </c>
      <c r="AN58">
        <v>0</v>
      </c>
      <c r="AO58" t="s">
        <v>133</v>
      </c>
      <c r="AP58" t="s">
        <v>133</v>
      </c>
      <c r="AQ58" t="s">
        <v>2529</v>
      </c>
      <c r="AR58" t="s">
        <v>2530</v>
      </c>
      <c r="AS58" t="s">
        <v>2531</v>
      </c>
      <c r="AT58" t="s">
        <v>133</v>
      </c>
      <c r="AU58" t="s">
        <v>2532</v>
      </c>
      <c r="AV58">
        <v>-7999</v>
      </c>
      <c r="AW58" t="s">
        <v>133</v>
      </c>
      <c r="AX58" t="s">
        <v>1005</v>
      </c>
      <c r="AY58" t="s">
        <v>711</v>
      </c>
      <c r="AZ58" t="s">
        <v>514</v>
      </c>
      <c r="BA58" t="s">
        <v>267</v>
      </c>
      <c r="BB58" t="s">
        <v>453</v>
      </c>
      <c r="BC58" t="s">
        <v>436</v>
      </c>
      <c r="BD58" t="s">
        <v>712</v>
      </c>
      <c r="BE58" t="s">
        <v>515</v>
      </c>
      <c r="BF58" t="s">
        <v>268</v>
      </c>
      <c r="BG58" t="s">
        <v>516</v>
      </c>
      <c r="BH58" t="s">
        <v>2533</v>
      </c>
      <c r="BI58" t="s">
        <v>1180</v>
      </c>
      <c r="BJ58" t="s">
        <v>1005</v>
      </c>
      <c r="BK58" t="s">
        <v>2534</v>
      </c>
      <c r="BL58" t="s">
        <v>1181</v>
      </c>
      <c r="BM58" t="s">
        <v>436</v>
      </c>
      <c r="BN58">
        <v>8.2200000000000006</v>
      </c>
      <c r="BO58">
        <v>56.95</v>
      </c>
      <c r="BP58">
        <v>6.87</v>
      </c>
      <c r="BQ58">
        <v>8.77</v>
      </c>
      <c r="BR58">
        <v>57.51</v>
      </c>
      <c r="BS58">
        <v>7.12</v>
      </c>
      <c r="BT58" t="s">
        <v>2535</v>
      </c>
      <c r="BU58" t="s">
        <v>787</v>
      </c>
      <c r="BV58">
        <v>20.420000000000002</v>
      </c>
      <c r="BW58">
        <v>7.33</v>
      </c>
      <c r="BX58">
        <v>9.5399999999999991</v>
      </c>
      <c r="BY58">
        <v>5.0999999999999996</v>
      </c>
      <c r="BZ58">
        <v>39.93</v>
      </c>
      <c r="CA58">
        <v>4.3</v>
      </c>
      <c r="CB58">
        <v>0.53</v>
      </c>
      <c r="CC58">
        <v>-15.41</v>
      </c>
      <c r="CD58" t="s">
        <v>2536</v>
      </c>
      <c r="CE58" t="s">
        <v>2537</v>
      </c>
      <c r="CF58" s="9">
        <v>-0.82947624847746648</v>
      </c>
      <c r="CG58" s="10">
        <v>-1.0496568766097134</v>
      </c>
      <c r="CH58" s="9">
        <v>5.1069459915161133</v>
      </c>
      <c r="CI58" s="9">
        <v>8.7529979646205902E-2</v>
      </c>
      <c r="CJ58" s="9">
        <v>0.13161465525627136</v>
      </c>
      <c r="CK58" s="9">
        <v>-0.27029702067375183</v>
      </c>
      <c r="CL58" s="9">
        <v>1.2024047784507275E-2</v>
      </c>
      <c r="CM58" s="10">
        <v>-0.40055248141288757</v>
      </c>
      <c r="CN58" s="10">
        <v>9.0935459136962891</v>
      </c>
      <c r="CO58" s="10">
        <v>0.59380775690078735</v>
      </c>
      <c r="CP58" s="10">
        <v>-0.45427426695823669</v>
      </c>
      <c r="CQ58" s="10">
        <v>0.12575420737266541</v>
      </c>
      <c r="CR58">
        <v>10.6886425403011</v>
      </c>
      <c r="CS58">
        <v>0.10545606877604684</v>
      </c>
      <c r="CT58">
        <v>1.4964788732394367</v>
      </c>
      <c r="CU58" s="9">
        <v>1.0135635307058692</v>
      </c>
      <c r="CV58" s="10">
        <v>1.7916562259197235</v>
      </c>
      <c r="CW58">
        <v>0.06</v>
      </c>
      <c r="CX58">
        <v>1.4170840656166286</v>
      </c>
      <c r="CY58">
        <v>412210647.32374865</v>
      </c>
      <c r="CZ58">
        <v>1.0135635307058692</v>
      </c>
      <c r="DA58">
        <v>0.23144441930831008</v>
      </c>
      <c r="DB58">
        <v>2523876539.1092167</v>
      </c>
      <c r="DC58">
        <v>0.96288535417057575</v>
      </c>
      <c r="DD58">
        <v>3.7781621619734154E-2</v>
      </c>
      <c r="DE58">
        <v>15460880580.490824</v>
      </c>
      <c r="DF58">
        <v>0.89193590702116499</v>
      </c>
      <c r="DG58">
        <v>5.2968060613402387E-3</v>
      </c>
      <c r="DH58">
        <v>110281013356.98085</v>
      </c>
      <c r="DI58">
        <v>0.81085082456469548</v>
      </c>
      <c r="DJ58">
        <v>7.2203258300799816E-5</v>
      </c>
      <c r="DK58">
        <v>8090177005121.7949</v>
      </c>
      <c r="DL58">
        <v>0.70949447149410838</v>
      </c>
      <c r="DM58">
        <v>217000000</v>
      </c>
      <c r="DN58">
        <v>1.0135635307058692</v>
      </c>
      <c r="DO58">
        <v>584137140</v>
      </c>
      <c r="DP58">
        <v>463387120</v>
      </c>
      <c r="DQ58">
        <v>3522</v>
      </c>
      <c r="DR58">
        <v>-1.8430397791833357</v>
      </c>
      <c r="DS58">
        <v>-2.8413131025294369</v>
      </c>
      <c r="DT58" s="11">
        <v>-0.25666666666666665</v>
      </c>
      <c r="DU58">
        <v>-0.71499999999999997</v>
      </c>
      <c r="DV58">
        <v>-0.97166666666666668</v>
      </c>
      <c r="DW58">
        <v>-2.1541000000000001</v>
      </c>
      <c r="DX58">
        <v>0.35791706418353375</v>
      </c>
      <c r="DY58">
        <v>-2.0289580195906827</v>
      </c>
      <c r="DZ58">
        <v>4740</v>
      </c>
      <c r="EA58">
        <v>-2.0020967646278969</v>
      </c>
      <c r="EB58">
        <v>2</v>
      </c>
      <c r="EC58">
        <v>6.1198309985131948E-2</v>
      </c>
      <c r="ED58">
        <v>0.32566657477409944</v>
      </c>
      <c r="EE58" s="12">
        <v>-1.1048</v>
      </c>
      <c r="EF58">
        <v>-1.1404000000000001</v>
      </c>
      <c r="EG58">
        <v>17.187917064183534</v>
      </c>
      <c r="EH58" t="s">
        <v>785</v>
      </c>
      <c r="EI58">
        <v>0</v>
      </c>
      <c r="EJ58">
        <v>0</v>
      </c>
      <c r="EK58" s="14">
        <v>45470</v>
      </c>
      <c r="EL58" s="15">
        <v>-2.4300000000000002</v>
      </c>
      <c r="EM58" s="15">
        <v>-5.64</v>
      </c>
      <c r="EN58" s="15">
        <v>10</v>
      </c>
      <c r="EO58" s="15">
        <v>2.72</v>
      </c>
      <c r="EP58" s="15">
        <v>3.56</v>
      </c>
    </row>
    <row r="59" spans="1:146" ht="96" x14ac:dyDescent="0.25">
      <c r="A59" s="8"/>
      <c r="B59" s="8"/>
      <c r="C59" s="8" t="str">
        <f>""&amp;CHAR(10)&amp;Basic_Fundamental_Information_Constructure(F59)&amp;CHAR(10)&amp;Basic_Fundamental_Information_Concatenate("")</f>
        <v xml:space="preserve">
市值21.270723亿, 利润7.09亿; PE9.92; 平均PE28.53; 平均PEG2.24, PB.792; ROIC.6767%; ROE3.55%; 股利率0%; 毛利40.81%; 净利1.02%; 上一年度营收增127.25%, 利润增6576.9%; 当季营收增-50.34%, 利润增-59.68%; 过往5年营收增12.73%, 利润增1147.86%
Income profile:
</v>
      </c>
      <c r="D59" t="s">
        <v>68</v>
      </c>
      <c r="E59" t="s">
        <v>11</v>
      </c>
      <c r="F59">
        <v>4.09</v>
      </c>
      <c r="G59">
        <v>1.49</v>
      </c>
      <c r="H59" t="s">
        <v>2538</v>
      </c>
      <c r="I59">
        <v>2127072300</v>
      </c>
      <c r="J59">
        <v>9.92</v>
      </c>
      <c r="K59">
        <v>0.79200000000000004</v>
      </c>
      <c r="L59" t="s">
        <v>57</v>
      </c>
      <c r="M59" t="s">
        <v>2539</v>
      </c>
      <c r="N59" t="s">
        <v>2540</v>
      </c>
      <c r="O59" t="s">
        <v>2541</v>
      </c>
      <c r="P59">
        <v>1.8</v>
      </c>
      <c r="Q59" t="s">
        <v>2542</v>
      </c>
      <c r="R59">
        <v>91127481</v>
      </c>
      <c r="S59" s="5">
        <v>-2.3699999999999999E-2</v>
      </c>
      <c r="T59" t="s">
        <v>1057</v>
      </c>
      <c r="U59">
        <v>517548030</v>
      </c>
      <c r="V59">
        <v>520066590</v>
      </c>
      <c r="W59">
        <v>4.2</v>
      </c>
      <c r="X59">
        <v>0.15</v>
      </c>
      <c r="Y59">
        <v>5.3</v>
      </c>
      <c r="Z59" t="s">
        <v>2543</v>
      </c>
      <c r="AA59" t="s">
        <v>2544</v>
      </c>
      <c r="AB59" t="s">
        <v>348</v>
      </c>
      <c r="AC59" t="s">
        <v>2545</v>
      </c>
      <c r="AD59" t="s">
        <v>133</v>
      </c>
      <c r="AE59">
        <v>74204403</v>
      </c>
      <c r="AF59" t="s">
        <v>158</v>
      </c>
      <c r="AG59" t="s">
        <v>2546</v>
      </c>
      <c r="AH59" t="s">
        <v>2547</v>
      </c>
      <c r="AI59" t="s">
        <v>2548</v>
      </c>
      <c r="AJ59" t="s">
        <v>2549</v>
      </c>
      <c r="AK59" t="s">
        <v>133</v>
      </c>
      <c r="AL59" t="s">
        <v>2550</v>
      </c>
      <c r="AM59" t="s">
        <v>133</v>
      </c>
      <c r="AN59" t="s">
        <v>2551</v>
      </c>
      <c r="AO59" t="s">
        <v>2552</v>
      </c>
      <c r="AP59" t="s">
        <v>133</v>
      </c>
      <c r="AQ59" t="s">
        <v>1133</v>
      </c>
      <c r="AR59" t="s">
        <v>2553</v>
      </c>
      <c r="AS59" t="s">
        <v>2554</v>
      </c>
      <c r="AT59" t="s">
        <v>573</v>
      </c>
      <c r="AU59" t="s">
        <v>2555</v>
      </c>
      <c r="AV59" t="s">
        <v>2556</v>
      </c>
      <c r="AW59" t="s">
        <v>2557</v>
      </c>
      <c r="AX59" t="s">
        <v>1006</v>
      </c>
      <c r="AY59" t="s">
        <v>713</v>
      </c>
      <c r="AZ59" t="s">
        <v>517</v>
      </c>
      <c r="BA59" t="s">
        <v>270</v>
      </c>
      <c r="BB59" t="s">
        <v>519</v>
      </c>
      <c r="BC59" t="s">
        <v>2558</v>
      </c>
      <c r="BD59" t="s">
        <v>714</v>
      </c>
      <c r="BE59" t="s">
        <v>518</v>
      </c>
      <c r="BF59" t="s">
        <v>271</v>
      </c>
      <c r="BG59" t="s">
        <v>520</v>
      </c>
      <c r="BH59" t="s">
        <v>2522</v>
      </c>
      <c r="BI59" t="s">
        <v>1183</v>
      </c>
      <c r="BJ59" t="s">
        <v>1006</v>
      </c>
      <c r="BK59" t="s">
        <v>475</v>
      </c>
      <c r="BL59" t="s">
        <v>209</v>
      </c>
      <c r="BM59" t="s">
        <v>2558</v>
      </c>
      <c r="BN59">
        <v>6.75</v>
      </c>
      <c r="BO59">
        <v>-5.36</v>
      </c>
      <c r="BP59">
        <v>0.64</v>
      </c>
      <c r="BQ59">
        <v>9.6999999999999993</v>
      </c>
      <c r="BR59">
        <v>-0.63</v>
      </c>
      <c r="BS59">
        <v>1.58</v>
      </c>
      <c r="BT59" t="s">
        <v>856</v>
      </c>
      <c r="BU59" t="s">
        <v>787</v>
      </c>
      <c r="BV59">
        <v>41.48</v>
      </c>
      <c r="BW59">
        <v>40.44</v>
      </c>
      <c r="BX59">
        <v>40.51</v>
      </c>
      <c r="BY59">
        <v>3.48</v>
      </c>
      <c r="BZ59">
        <v>-0.62</v>
      </c>
      <c r="CA59">
        <v>0.2</v>
      </c>
      <c r="CB59">
        <v>4.07</v>
      </c>
      <c r="CC59">
        <v>-12.04</v>
      </c>
      <c r="CD59" t="s">
        <v>2559</v>
      </c>
      <c r="CE59" t="s">
        <v>1438</v>
      </c>
      <c r="CF59" s="9">
        <v>-0.50341550341550345</v>
      </c>
      <c r="CG59" s="10">
        <v>-0.59678105752212385</v>
      </c>
      <c r="CH59" s="9">
        <v>1.2725414037704468</v>
      </c>
      <c r="CI59" s="9">
        <v>-5.1490083336830139E-2</v>
      </c>
      <c r="CJ59" s="9">
        <v>4.7856677323579788E-2</v>
      </c>
      <c r="CK59" s="9">
        <v>-0.55863642692565918</v>
      </c>
      <c r="CL59" s="9">
        <v>-7.3867134749889374E-2</v>
      </c>
      <c r="CM59" s="10">
        <v>65.768974304199219</v>
      </c>
      <c r="CN59" s="10">
        <v>-1.3023897409439087</v>
      </c>
      <c r="CO59" s="10">
        <v>1.0937831401824951</v>
      </c>
      <c r="CP59" s="10">
        <v>-8.3088064193725586</v>
      </c>
      <c r="CQ59" s="10">
        <v>0.14146339893341064</v>
      </c>
      <c r="CR59">
        <v>28.529956441991395</v>
      </c>
      <c r="CS59">
        <v>2.2414957238238928</v>
      </c>
      <c r="CT59">
        <v>0</v>
      </c>
      <c r="CU59" s="9">
        <v>0.12728088721632957</v>
      </c>
      <c r="CV59" s="10">
        <v>11.478604936599732</v>
      </c>
      <c r="CW59">
        <v>0.06</v>
      </c>
      <c r="CX59">
        <v>10.421818529018642</v>
      </c>
      <c r="CY59">
        <v>754002027.39280915</v>
      </c>
      <c r="CZ59">
        <v>0.12728088721632957</v>
      </c>
      <c r="DA59">
        <v>3.3003620243944667</v>
      </c>
      <c r="DB59">
        <v>2380972827.1981792</v>
      </c>
      <c r="DC59">
        <v>0.12091684285551309</v>
      </c>
      <c r="DD59">
        <v>1.5568992156890544</v>
      </c>
      <c r="DE59">
        <v>5047258178.8296194</v>
      </c>
      <c r="DF59">
        <v>0.11200718075037003</v>
      </c>
      <c r="DG59">
        <v>0.89033560887799756</v>
      </c>
      <c r="DH59">
        <v>8825966547.4941025</v>
      </c>
      <c r="DI59">
        <v>0.10182470977306367</v>
      </c>
      <c r="DJ59">
        <v>0.41197644725873528</v>
      </c>
      <c r="DK59">
        <v>19074081424.52586</v>
      </c>
      <c r="DL59">
        <v>8.9096621051430694E-2</v>
      </c>
      <c r="DM59">
        <v>709000000</v>
      </c>
      <c r="DN59">
        <v>0.12728088721632957</v>
      </c>
      <c r="DO59">
        <v>7858072300</v>
      </c>
      <c r="DP59">
        <v>-2995347100</v>
      </c>
      <c r="DQ59">
        <v>3523</v>
      </c>
      <c r="DR59">
        <v>-0.63069639063183303</v>
      </c>
      <c r="DS59">
        <v>-12.075385994121856</v>
      </c>
      <c r="DT59" s="11">
        <v>-0.22333333333333336</v>
      </c>
      <c r="DU59">
        <v>-1.02</v>
      </c>
      <c r="DV59">
        <v>-1.2433333333333334</v>
      </c>
      <c r="DW59">
        <v>6.2526381129733082</v>
      </c>
      <c r="DX59">
        <v>0.38478333333333237</v>
      </c>
      <c r="DY59">
        <v>6.0416305503827852</v>
      </c>
      <c r="DZ59">
        <v>3843</v>
      </c>
      <c r="EA59">
        <v>6.0103220953688821</v>
      </c>
      <c r="EB59">
        <v>6</v>
      </c>
      <c r="EC59">
        <v>6.2736389199698442E-2</v>
      </c>
      <c r="ED59">
        <v>0.38072047658358521</v>
      </c>
      <c r="EE59" s="12">
        <v>-3.0505</v>
      </c>
      <c r="EF59">
        <v>-3.0348000000000002</v>
      </c>
      <c r="EG59">
        <v>22.164783333333332</v>
      </c>
      <c r="EH59" t="s">
        <v>1063</v>
      </c>
      <c r="EI59">
        <v>0</v>
      </c>
      <c r="EJ59">
        <v>0</v>
      </c>
      <c r="EK59" s="14">
        <v>45470</v>
      </c>
      <c r="EL59" s="15">
        <v>-1.2</v>
      </c>
      <c r="EM59" s="15">
        <v>-4.88</v>
      </c>
      <c r="EN59" s="15">
        <v>2.56</v>
      </c>
      <c r="EO59" s="15">
        <v>2.68</v>
      </c>
      <c r="EP59" s="15">
        <v>-1.57</v>
      </c>
    </row>
    <row r="60" spans="1:146" ht="96" x14ac:dyDescent="0.25">
      <c r="A60" s="8"/>
      <c r="B60" s="8"/>
      <c r="C60" s="8" t="str">
        <f>""&amp;CHAR(10)&amp;Basic_Fundamental_Information_Constructure(F60)&amp;CHAR(10)&amp;Basic_Fundamental_Information_Concatenate("")</f>
        <v xml:space="preserve">
市值150.39405亿, 利润-5167.51万; PE21.96; 平均PE22.65; 平均PEG.76, PB.755; ROIC3.3733%; ROE4.4%; 股利率1.5094%; 毛利40.7533%; 净利6.0967%; 上一年度营收增-86.99%, 利润增-126.5%; 当季营收增1102.91%, 利润增1381.01%; 过往5年营收增-29.68%, 利润增-.28%
Income profile:
</v>
      </c>
      <c r="D60" t="s">
        <v>104</v>
      </c>
      <c r="E60" t="s">
        <v>48</v>
      </c>
      <c r="F60">
        <v>13.25</v>
      </c>
      <c r="G60">
        <v>6.77</v>
      </c>
      <c r="H60" t="s">
        <v>2560</v>
      </c>
      <c r="I60">
        <v>15039405000</v>
      </c>
      <c r="J60">
        <v>21.96</v>
      </c>
      <c r="K60">
        <v>0.755</v>
      </c>
      <c r="L60" t="s">
        <v>57</v>
      </c>
      <c r="M60" t="s">
        <v>2561</v>
      </c>
      <c r="N60" t="s">
        <v>2562</v>
      </c>
      <c r="O60" t="s">
        <v>2563</v>
      </c>
      <c r="P60">
        <v>-1.74</v>
      </c>
      <c r="Q60" t="s">
        <v>896</v>
      </c>
      <c r="R60">
        <v>201839330</v>
      </c>
      <c r="S60" s="5">
        <v>-0.1086</v>
      </c>
      <c r="T60" t="s">
        <v>2564</v>
      </c>
      <c r="U60">
        <v>1093469530</v>
      </c>
      <c r="V60">
        <v>1135049450</v>
      </c>
      <c r="W60">
        <v>2</v>
      </c>
      <c r="X60">
        <v>0.08</v>
      </c>
      <c r="Y60">
        <v>6.31</v>
      </c>
      <c r="Z60" t="s">
        <v>2565</v>
      </c>
      <c r="AA60" t="s">
        <v>2566</v>
      </c>
      <c r="AB60" t="s">
        <v>2567</v>
      </c>
      <c r="AC60" t="s">
        <v>1071</v>
      </c>
      <c r="AD60" t="s">
        <v>133</v>
      </c>
      <c r="AE60">
        <v>16913570</v>
      </c>
      <c r="AF60" t="s">
        <v>2568</v>
      </c>
      <c r="AG60" t="s">
        <v>2569</v>
      </c>
      <c r="AH60" t="s">
        <v>2570</v>
      </c>
      <c r="AI60" t="s">
        <v>2571</v>
      </c>
      <c r="AJ60" t="s">
        <v>2572</v>
      </c>
      <c r="AK60" t="s">
        <v>133</v>
      </c>
      <c r="AL60" t="s">
        <v>2573</v>
      </c>
      <c r="AM60" t="s">
        <v>133</v>
      </c>
      <c r="AN60" t="s">
        <v>165</v>
      </c>
      <c r="AO60" t="s">
        <v>1900</v>
      </c>
      <c r="AP60" t="s">
        <v>133</v>
      </c>
      <c r="AQ60" t="s">
        <v>1042</v>
      </c>
      <c r="AR60" t="s">
        <v>2574</v>
      </c>
      <c r="AS60" t="s">
        <v>2575</v>
      </c>
      <c r="AT60" t="s">
        <v>1126</v>
      </c>
      <c r="AU60" t="s">
        <v>2576</v>
      </c>
      <c r="AV60" t="s">
        <v>2577</v>
      </c>
      <c r="AW60" t="s">
        <v>2578</v>
      </c>
      <c r="AX60" t="s">
        <v>1007</v>
      </c>
      <c r="AY60" t="s">
        <v>1009</v>
      </c>
      <c r="AZ60" t="s">
        <v>716</v>
      </c>
      <c r="BA60" t="s">
        <v>272</v>
      </c>
      <c r="BB60" t="s">
        <v>521</v>
      </c>
      <c r="BC60" t="s">
        <v>403</v>
      </c>
      <c r="BD60" t="s">
        <v>715</v>
      </c>
      <c r="BE60" t="s">
        <v>257</v>
      </c>
      <c r="BF60" t="s">
        <v>233</v>
      </c>
      <c r="BG60" t="s">
        <v>344</v>
      </c>
      <c r="BH60" t="s">
        <v>2542</v>
      </c>
      <c r="BI60" t="s">
        <v>1107</v>
      </c>
      <c r="BJ60" t="s">
        <v>1007</v>
      </c>
      <c r="BK60" t="s">
        <v>1057</v>
      </c>
      <c r="BL60" t="s">
        <v>2579</v>
      </c>
      <c r="BM60" t="s">
        <v>403</v>
      </c>
      <c r="BN60">
        <v>3.8</v>
      </c>
      <c r="BO60">
        <v>0.42</v>
      </c>
      <c r="BP60">
        <v>5.9</v>
      </c>
      <c r="BQ60">
        <v>3.33</v>
      </c>
      <c r="BR60">
        <v>1.01</v>
      </c>
      <c r="BS60">
        <v>8.86</v>
      </c>
      <c r="BT60" t="s">
        <v>874</v>
      </c>
      <c r="BU60" t="s">
        <v>787</v>
      </c>
      <c r="BV60">
        <v>41.84</v>
      </c>
      <c r="BW60">
        <v>38.28</v>
      </c>
      <c r="BX60">
        <v>42.14</v>
      </c>
      <c r="BY60">
        <v>6.22</v>
      </c>
      <c r="BZ60">
        <v>1.26</v>
      </c>
      <c r="CA60">
        <v>10.81</v>
      </c>
      <c r="CB60">
        <v>12.86</v>
      </c>
      <c r="CC60">
        <v>-2.65</v>
      </c>
      <c r="CD60" t="s">
        <v>942</v>
      </c>
      <c r="CE60" t="s">
        <v>2335</v>
      </c>
      <c r="CF60" s="9">
        <v>11.029090909090909</v>
      </c>
      <c r="CG60" s="10">
        <v>13.810071526944776</v>
      </c>
      <c r="CH60" s="9">
        <v>-0.8699074387550354</v>
      </c>
      <c r="CI60" s="9">
        <v>-0.15320682525634766</v>
      </c>
      <c r="CJ60" s="9">
        <v>0.10558251291513443</v>
      </c>
      <c r="CK60" s="9">
        <v>-0.56937545537948608</v>
      </c>
      <c r="CL60" s="9">
        <v>2.9201500583440065E-3</v>
      </c>
      <c r="CM60" s="10">
        <v>-1.265000581741333</v>
      </c>
      <c r="CN60" s="10">
        <v>-0.85447758436203003</v>
      </c>
      <c r="CO60" s="10">
        <v>2.9528024196624756</v>
      </c>
      <c r="CP60" s="10">
        <v>-0.64724242687225342</v>
      </c>
      <c r="CQ60" s="10">
        <v>-0.19983342289924622</v>
      </c>
      <c r="CR60">
        <v>22.647859365083406</v>
      </c>
      <c r="CS60">
        <v>0.76307469351381596</v>
      </c>
      <c r="CT60">
        <v>1.5094339622641511</v>
      </c>
      <c r="CU60" s="9">
        <v>-0.29679741128347814</v>
      </c>
      <c r="CV60" s="10">
        <v>-2.7503192424774168E-3</v>
      </c>
      <c r="CW60">
        <v>0.06</v>
      </c>
      <c r="CX60" t="e">
        <v>#VALUE!</v>
      </c>
      <c r="CY60" t="s">
        <v>784</v>
      </c>
      <c r="CZ60">
        <v>-0.29679741128347814</v>
      </c>
      <c r="DA60" t="e">
        <v>#VALUE!</v>
      </c>
      <c r="DB60" t="s">
        <v>784</v>
      </c>
      <c r="DC60">
        <v>-0.28195754071930423</v>
      </c>
      <c r="DD60" t="e">
        <v>#VALUE!</v>
      </c>
      <c r="DE60" t="s">
        <v>784</v>
      </c>
      <c r="DF60">
        <v>-0.26118172192946076</v>
      </c>
      <c r="DG60" t="e">
        <v>#VALUE!</v>
      </c>
      <c r="DH60" t="s">
        <v>784</v>
      </c>
      <c r="DI60">
        <v>-0.23743792902678251</v>
      </c>
      <c r="DJ60" t="e">
        <v>#VALUE!</v>
      </c>
      <c r="DK60" t="s">
        <v>784</v>
      </c>
      <c r="DL60">
        <v>-0.2077581878984347</v>
      </c>
      <c r="DM60">
        <v>-51675100</v>
      </c>
      <c r="DN60">
        <v>-0.29679741128347814</v>
      </c>
      <c r="DO60">
        <v>15072405000</v>
      </c>
      <c r="DP60">
        <v>5458421000</v>
      </c>
      <c r="DQ60">
        <v>3524</v>
      </c>
      <c r="DR60">
        <v>11.325888320374387</v>
      </c>
      <c r="DS60">
        <v>13.812821846187253</v>
      </c>
      <c r="DT60" s="11">
        <v>-1.04</v>
      </c>
      <c r="DU60">
        <v>-1.0883333333333334</v>
      </c>
      <c r="DV60">
        <v>-2.1283333333333334</v>
      </c>
      <c r="DW60">
        <v>5.2060653188180401</v>
      </c>
      <c r="DX60">
        <v>0.93179894179894318</v>
      </c>
      <c r="DY60">
        <v>5.0910394397952716</v>
      </c>
      <c r="DZ60">
        <v>3901</v>
      </c>
      <c r="EA60">
        <v>5.0215394682411905</v>
      </c>
      <c r="EB60">
        <v>5</v>
      </c>
      <c r="EC60">
        <v>0.14713015366863533</v>
      </c>
      <c r="ED60">
        <v>0.33302513824397695</v>
      </c>
      <c r="EE60" s="12">
        <v>-4.0895099999999998</v>
      </c>
      <c r="EF60">
        <v>-4.1121100000000004</v>
      </c>
      <c r="EG60">
        <v>49.441798941798943</v>
      </c>
      <c r="EH60" t="s">
        <v>2580</v>
      </c>
      <c r="EI60">
        <v>1</v>
      </c>
      <c r="EJ60">
        <v>0</v>
      </c>
      <c r="EK60" s="14">
        <v>45470</v>
      </c>
      <c r="EL60" s="15">
        <v>0.76</v>
      </c>
      <c r="EM60" s="15">
        <v>-4.0199999999999996</v>
      </c>
      <c r="EN60" s="15">
        <v>2.36</v>
      </c>
      <c r="EO60" s="15">
        <v>2.0499999999999998</v>
      </c>
      <c r="EP60" s="15">
        <v>-2.2599999999999998</v>
      </c>
    </row>
    <row r="61" spans="1:146" ht="96" x14ac:dyDescent="0.25">
      <c r="A61" s="8"/>
      <c r="B61" s="8"/>
      <c r="C61" s="8" t="str">
        <f>""&amp;CHAR(10)&amp;Basic_Fundamental_Information_Constructure(F61)&amp;CHAR(10)&amp;Basic_Fundamental_Information_Concatenate("")</f>
        <v xml:space="preserve">
市值25.509093亿, 利润6.78亿; PE54.99; 平均PE9.6; 平均PEG.01, PB1.09; ROIC4.5033%; ROE4.58%; 股利率3.3923%; 毛利85.8933%; 净利42.5067%; 上一年度营收增7553.74%, 利润增276.67%; 当季营收增-98.58%, 利润增-70%; 过往5年营收增1497.55%, 利润增79.56%
Income profile:
</v>
      </c>
      <c r="D61" t="s">
        <v>92</v>
      </c>
      <c r="E61" t="s">
        <v>30</v>
      </c>
      <c r="F61">
        <v>6.78</v>
      </c>
      <c r="G61">
        <v>2.42</v>
      </c>
      <c r="H61" t="s">
        <v>2581</v>
      </c>
      <c r="I61">
        <v>2550909300</v>
      </c>
      <c r="J61">
        <v>54.99</v>
      </c>
      <c r="K61">
        <v>1.0900000000000001</v>
      </c>
      <c r="L61" t="s">
        <v>57</v>
      </c>
      <c r="M61" t="s">
        <v>481</v>
      </c>
      <c r="N61" t="s">
        <v>2582</v>
      </c>
      <c r="O61" t="s">
        <v>2583</v>
      </c>
      <c r="P61">
        <v>4.29</v>
      </c>
      <c r="Q61" t="s">
        <v>2584</v>
      </c>
      <c r="R61">
        <v>36301160</v>
      </c>
      <c r="S61" s="5">
        <v>9.4079999999999995</v>
      </c>
      <c r="T61" t="s">
        <v>1059</v>
      </c>
      <c r="U61">
        <v>376240320</v>
      </c>
      <c r="V61">
        <v>376240320</v>
      </c>
      <c r="W61">
        <v>1.0900000000000001</v>
      </c>
      <c r="X61">
        <v>0.02</v>
      </c>
      <c r="Y61">
        <v>61.52</v>
      </c>
      <c r="Z61" t="s">
        <v>2585</v>
      </c>
      <c r="AA61" t="s">
        <v>2586</v>
      </c>
      <c r="AB61" t="s">
        <v>2587</v>
      </c>
      <c r="AC61" t="s">
        <v>2588</v>
      </c>
      <c r="AD61" t="s">
        <v>133</v>
      </c>
      <c r="AE61">
        <v>35126</v>
      </c>
      <c r="AF61" t="s">
        <v>2589</v>
      </c>
      <c r="AG61" t="s">
        <v>2590</v>
      </c>
      <c r="AH61" t="s">
        <v>2591</v>
      </c>
      <c r="AI61" t="s">
        <v>367</v>
      </c>
      <c r="AJ61" t="s">
        <v>2592</v>
      </c>
      <c r="AK61" t="s">
        <v>133</v>
      </c>
      <c r="AL61" t="s">
        <v>2593</v>
      </c>
      <c r="AM61" t="s">
        <v>133</v>
      </c>
      <c r="AN61" t="s">
        <v>2594</v>
      </c>
      <c r="AO61" t="s">
        <v>133</v>
      </c>
      <c r="AP61" t="s">
        <v>133</v>
      </c>
      <c r="AQ61" t="s">
        <v>2595</v>
      </c>
      <c r="AR61" t="s">
        <v>2596</v>
      </c>
      <c r="AS61" t="s">
        <v>1100</v>
      </c>
      <c r="AT61" t="s">
        <v>133</v>
      </c>
      <c r="AU61" t="s">
        <v>2597</v>
      </c>
      <c r="AV61" t="s">
        <v>2598</v>
      </c>
      <c r="AW61" t="s">
        <v>133</v>
      </c>
      <c r="AX61" t="s">
        <v>1008</v>
      </c>
      <c r="AY61" t="s">
        <v>585</v>
      </c>
      <c r="AZ61" t="s">
        <v>522</v>
      </c>
      <c r="BA61" t="s">
        <v>274</v>
      </c>
      <c r="BB61" t="s">
        <v>523</v>
      </c>
      <c r="BC61" t="s">
        <v>502</v>
      </c>
      <c r="BD61" t="s">
        <v>182</v>
      </c>
      <c r="BE61" t="s">
        <v>408</v>
      </c>
      <c r="BF61" t="s">
        <v>178</v>
      </c>
      <c r="BG61" t="s">
        <v>196</v>
      </c>
      <c r="BH61" t="s">
        <v>475</v>
      </c>
      <c r="BI61" t="s">
        <v>2599</v>
      </c>
      <c r="BJ61" t="s">
        <v>1008</v>
      </c>
      <c r="BK61" t="s">
        <v>2600</v>
      </c>
      <c r="BL61" t="s">
        <v>255</v>
      </c>
      <c r="BM61" t="s">
        <v>502</v>
      </c>
      <c r="BN61">
        <v>0.74</v>
      </c>
      <c r="BO61">
        <v>7.71</v>
      </c>
      <c r="BP61">
        <v>5.0599999999999996</v>
      </c>
      <c r="BQ61">
        <v>0.89</v>
      </c>
      <c r="BR61">
        <v>7.76</v>
      </c>
      <c r="BS61">
        <v>5.09</v>
      </c>
      <c r="BT61" t="s">
        <v>2601</v>
      </c>
      <c r="BU61" t="s">
        <v>787</v>
      </c>
      <c r="BV61">
        <v>89.12</v>
      </c>
      <c r="BW61">
        <v>85.65</v>
      </c>
      <c r="BX61">
        <v>82.91</v>
      </c>
      <c r="BY61">
        <v>6.21</v>
      </c>
      <c r="BZ61">
        <v>79.040000000000006</v>
      </c>
      <c r="CA61">
        <v>42.27</v>
      </c>
      <c r="CB61">
        <v>4.79</v>
      </c>
      <c r="CC61">
        <v>-7.12</v>
      </c>
      <c r="CD61" t="s">
        <v>2602</v>
      </c>
      <c r="CE61" t="s">
        <v>2603</v>
      </c>
      <c r="CF61" s="9">
        <v>-0.98584326207062212</v>
      </c>
      <c r="CG61" s="10">
        <v>-0.69999041322314048</v>
      </c>
      <c r="CH61" s="9">
        <v>75.537437438964844</v>
      </c>
      <c r="CI61" s="9">
        <v>-0.14661654829978943</v>
      </c>
      <c r="CJ61" s="9">
        <v>9.0163931250572205E-2</v>
      </c>
      <c r="CK61" s="9">
        <v>-0.73420476913452148</v>
      </c>
      <c r="CL61" s="9">
        <v>0.13054187595844269</v>
      </c>
      <c r="CM61" s="10">
        <v>2.7666666507720947</v>
      </c>
      <c r="CN61" s="10">
        <v>0.59292036294937134</v>
      </c>
      <c r="CO61" s="10">
        <v>-0.62706267833709717</v>
      </c>
      <c r="CP61" s="10">
        <v>0.47804877161979675</v>
      </c>
      <c r="CQ61" s="10">
        <v>0.76724135875701904</v>
      </c>
      <c r="CR61">
        <v>9.5958970532915355</v>
      </c>
      <c r="CS61">
        <v>6.4077459009711331E-3</v>
      </c>
      <c r="CT61">
        <v>3.3923303834808256</v>
      </c>
      <c r="CU61" s="9">
        <v>14.975464385747909</v>
      </c>
      <c r="CV61" s="10">
        <v>0.79556289315223694</v>
      </c>
      <c r="CW61">
        <v>0.06</v>
      </c>
      <c r="CX61">
        <v>4.5106398372357935E-2</v>
      </c>
      <c r="CY61">
        <v>10218268729.751965</v>
      </c>
      <c r="CZ61">
        <v>14.975464385747909</v>
      </c>
      <c r="DA61">
        <v>2.1345001178464274E-4</v>
      </c>
      <c r="DB61">
        <v>2159331340140.7898</v>
      </c>
      <c r="DC61">
        <v>14.226691166460514</v>
      </c>
      <c r="DD61">
        <v>1.0982716481853562E-7</v>
      </c>
      <c r="DE61">
        <v>4196678488073034.5</v>
      </c>
      <c r="DF61">
        <v>13.17840865945816</v>
      </c>
      <c r="DG61">
        <v>8.2333366461483553E-12</v>
      </c>
      <c r="DH61">
        <v>5.5980864114868716E+19</v>
      </c>
      <c r="DI61">
        <v>11.980371508598328</v>
      </c>
      <c r="DJ61">
        <v>1.2458472747405335E-21</v>
      </c>
      <c r="DK61">
        <v>3.6995650216916945E+29</v>
      </c>
      <c r="DL61">
        <v>10.482825070023535</v>
      </c>
      <c r="DM61">
        <v>678000000</v>
      </c>
      <c r="DN61">
        <v>14.975464385747909</v>
      </c>
      <c r="DO61">
        <v>460909300</v>
      </c>
      <c r="DP61">
        <v>1137260080</v>
      </c>
      <c r="DQ61">
        <v>3530</v>
      </c>
      <c r="DR61">
        <v>-15.961307647818531</v>
      </c>
      <c r="DS61">
        <v>-1.4955533063753774</v>
      </c>
      <c r="DT61" s="11">
        <v>-0.37333333333333335</v>
      </c>
      <c r="DU61">
        <v>5.9999999999999908E-2</v>
      </c>
      <c r="DV61">
        <v>-0.31333333333333346</v>
      </c>
      <c r="DW61">
        <v>6.4021830394626367</v>
      </c>
      <c r="DX61">
        <v>0.39932353873797521</v>
      </c>
      <c r="DY61">
        <v>6.0721208858568358</v>
      </c>
      <c r="DZ61">
        <v>2823</v>
      </c>
      <c r="EA61">
        <v>6.0322779776819146</v>
      </c>
      <c r="EB61">
        <v>6</v>
      </c>
      <c r="EC61">
        <v>2.2546493687864183E-2</v>
      </c>
      <c r="ED61">
        <v>0.12573080949963045</v>
      </c>
      <c r="EE61" s="12">
        <v>7.691000000000002E-2</v>
      </c>
      <c r="EF61">
        <v>0.10761</v>
      </c>
      <c r="EG61">
        <v>22.179323538737975</v>
      </c>
      <c r="EH61">
        <v>-1</v>
      </c>
      <c r="EI61">
        <v>0</v>
      </c>
      <c r="EJ61">
        <v>0</v>
      </c>
      <c r="EK61" s="14">
        <v>45470</v>
      </c>
      <c r="EL61" s="15">
        <v>0.42</v>
      </c>
      <c r="EM61" s="15">
        <v>-3.34</v>
      </c>
      <c r="EN61" s="15">
        <v>-0.22</v>
      </c>
      <c r="EO61" s="15">
        <v>5.63</v>
      </c>
      <c r="EP61" s="15">
        <v>-3.07</v>
      </c>
    </row>
    <row r="62" spans="1:146" ht="96" x14ac:dyDescent="0.25">
      <c r="A62" s="8"/>
      <c r="B62" s="8"/>
      <c r="C62" s="8" t="str">
        <f>""&amp;CHAR(10)&amp;Basic_Fundamental_Information_Constructure(F62)&amp;CHAR(10)&amp;Basic_Fundamental_Information_Concatenate("")</f>
        <v xml:space="preserve">
市值32.1552亿, 利润-15.36亿; PE23.41; 平均PE-31.27; 平均PEG-17.42, PB.714; ROIC4.09%; ROE1.39%; 股利率2.7603%; 毛利45.1333%; 净利3.3633%; 上一年度营收增55.75%, 利润增-848.15%; 当季营收增-32.77%, 利润增74.78%; 过往5年营收增-1.79%, 利润增-201.96%
Income profile:
</v>
      </c>
      <c r="D62" t="s">
        <v>85</v>
      </c>
      <c r="E62" t="s">
        <v>27</v>
      </c>
      <c r="F62">
        <v>1.74</v>
      </c>
      <c r="G62">
        <v>0.57999999999999996</v>
      </c>
      <c r="H62" t="s">
        <v>2604</v>
      </c>
      <c r="I62">
        <v>3215520000</v>
      </c>
      <c r="J62">
        <v>23.41</v>
      </c>
      <c r="K62">
        <v>0.71399999999999997</v>
      </c>
      <c r="L62" t="s">
        <v>57</v>
      </c>
      <c r="M62" t="s">
        <v>1768</v>
      </c>
      <c r="N62" t="s">
        <v>285</v>
      </c>
      <c r="O62" t="s">
        <v>1103</v>
      </c>
      <c r="P62">
        <v>-11.74</v>
      </c>
      <c r="Q62" t="s">
        <v>2605</v>
      </c>
      <c r="R62">
        <v>52971050</v>
      </c>
      <c r="S62" s="5">
        <v>-0.38529999999999998</v>
      </c>
      <c r="T62" t="s">
        <v>2606</v>
      </c>
      <c r="U62">
        <v>1848000000</v>
      </c>
      <c r="V62">
        <v>1848000000</v>
      </c>
      <c r="W62">
        <v>1.45</v>
      </c>
      <c r="X62">
        <v>0.09</v>
      </c>
      <c r="Y62">
        <v>9.48</v>
      </c>
      <c r="Z62" t="s">
        <v>1361</v>
      </c>
      <c r="AA62" t="s">
        <v>1046</v>
      </c>
      <c r="AB62" t="s">
        <v>2607</v>
      </c>
      <c r="AC62" t="s">
        <v>2608</v>
      </c>
      <c r="AD62" t="s">
        <v>133</v>
      </c>
      <c r="AE62">
        <v>5810010</v>
      </c>
      <c r="AF62" t="s">
        <v>2609</v>
      </c>
      <c r="AG62" t="s">
        <v>2610</v>
      </c>
      <c r="AH62" t="s">
        <v>2611</v>
      </c>
      <c r="AI62" t="s">
        <v>2612</v>
      </c>
      <c r="AJ62" t="s">
        <v>2613</v>
      </c>
      <c r="AK62" t="s">
        <v>2614</v>
      </c>
      <c r="AL62" t="s">
        <v>2615</v>
      </c>
      <c r="AM62" t="s">
        <v>133</v>
      </c>
      <c r="AN62" t="s">
        <v>1124</v>
      </c>
      <c r="AO62" t="s">
        <v>2616</v>
      </c>
      <c r="AP62" t="s">
        <v>2617</v>
      </c>
      <c r="AQ62" t="s">
        <v>2618</v>
      </c>
      <c r="AR62" t="s">
        <v>2619</v>
      </c>
      <c r="AS62" t="s">
        <v>406</v>
      </c>
      <c r="AT62" t="s">
        <v>133</v>
      </c>
      <c r="AU62" t="s">
        <v>2620</v>
      </c>
      <c r="AV62" t="s">
        <v>2621</v>
      </c>
      <c r="AW62" t="s">
        <v>2622</v>
      </c>
      <c r="AX62" t="s">
        <v>1010</v>
      </c>
      <c r="AY62" t="s">
        <v>717</v>
      </c>
      <c r="AZ62" t="s">
        <v>525</v>
      </c>
      <c r="BA62" t="s">
        <v>275</v>
      </c>
      <c r="BB62" t="s">
        <v>526</v>
      </c>
      <c r="BC62" t="s">
        <v>1011</v>
      </c>
      <c r="BD62" t="s">
        <v>419</v>
      </c>
      <c r="BE62" t="s">
        <v>218</v>
      </c>
      <c r="BF62" t="s">
        <v>276</v>
      </c>
      <c r="BG62" t="s">
        <v>481</v>
      </c>
      <c r="BH62" t="s">
        <v>2391</v>
      </c>
      <c r="BI62" t="s">
        <v>2237</v>
      </c>
      <c r="BJ62" t="s">
        <v>1010</v>
      </c>
      <c r="BK62" t="s">
        <v>1291</v>
      </c>
      <c r="BL62" t="s">
        <v>2623</v>
      </c>
      <c r="BM62" t="s">
        <v>1011</v>
      </c>
      <c r="BN62">
        <v>3.12</v>
      </c>
      <c r="BO62" t="s">
        <v>133</v>
      </c>
      <c r="BP62">
        <v>5.0599999999999996</v>
      </c>
      <c r="BQ62">
        <v>2.83</v>
      </c>
      <c r="BR62">
        <v>-3.54</v>
      </c>
      <c r="BS62">
        <v>4.88</v>
      </c>
      <c r="BT62" t="s">
        <v>2624</v>
      </c>
      <c r="BU62" t="s">
        <v>787</v>
      </c>
      <c r="BV62">
        <v>46.02</v>
      </c>
      <c r="BW62">
        <v>42.17</v>
      </c>
      <c r="BX62">
        <v>47.21</v>
      </c>
      <c r="BY62">
        <v>7.62</v>
      </c>
      <c r="BZ62">
        <v>-7.05</v>
      </c>
      <c r="CA62">
        <v>9.52</v>
      </c>
      <c r="CB62">
        <v>2.35</v>
      </c>
      <c r="CC62">
        <v>-14.37</v>
      </c>
      <c r="CD62" t="s">
        <v>2625</v>
      </c>
      <c r="CE62" t="s">
        <v>208</v>
      </c>
      <c r="CF62" s="9">
        <v>-0.3277108433734941</v>
      </c>
      <c r="CG62" s="10">
        <v>0.74783298742522275</v>
      </c>
      <c r="CH62" s="9">
        <v>0.55745929479598999</v>
      </c>
      <c r="CI62" s="9">
        <v>-3.2740477472543716E-2</v>
      </c>
      <c r="CJ62" s="9">
        <v>5.321410670876503E-2</v>
      </c>
      <c r="CK62" s="9">
        <v>-0.60804271697998047</v>
      </c>
      <c r="CL62" s="9">
        <v>-5.9626586735248566E-2</v>
      </c>
      <c r="CM62" s="10">
        <v>-8.4814815521240234</v>
      </c>
      <c r="CN62" s="10">
        <v>-1.6835442781448364</v>
      </c>
      <c r="CO62" s="10">
        <v>-0.11567164212465286</v>
      </c>
      <c r="CP62" s="10">
        <v>-0.19760479032993317</v>
      </c>
      <c r="CQ62" s="10">
        <v>0.38016527891159058</v>
      </c>
      <c r="CR62">
        <v>-31.269238249594814</v>
      </c>
      <c r="CS62">
        <v>-17.422832501182572</v>
      </c>
      <c r="CT62">
        <v>2.760344827586207</v>
      </c>
      <c r="CU62" s="9">
        <v>-1.7947275936603547E-2</v>
      </c>
      <c r="CV62" s="10">
        <v>-2.0196273967623712</v>
      </c>
      <c r="CW62">
        <v>0.06</v>
      </c>
      <c r="CX62" t="e">
        <v>#VALUE!</v>
      </c>
      <c r="CY62" t="s">
        <v>784</v>
      </c>
      <c r="CZ62">
        <v>-1.7947275936603547E-2</v>
      </c>
      <c r="DA62" t="e">
        <v>#VALUE!</v>
      </c>
      <c r="DB62" t="s">
        <v>784</v>
      </c>
      <c r="DC62">
        <v>-1.704991213977337E-2</v>
      </c>
      <c r="DD62" t="e">
        <v>#VALUE!</v>
      </c>
      <c r="DE62" t="s">
        <v>784</v>
      </c>
      <c r="DF62">
        <v>-1.579360282421112E-2</v>
      </c>
      <c r="DG62" t="e">
        <v>#VALUE!</v>
      </c>
      <c r="DH62" t="s">
        <v>784</v>
      </c>
      <c r="DI62">
        <v>-1.4357820749282837E-2</v>
      </c>
      <c r="DJ62" t="e">
        <v>#VALUE!</v>
      </c>
      <c r="DK62" t="s">
        <v>784</v>
      </c>
      <c r="DL62">
        <v>-1.2563093155622483E-2</v>
      </c>
      <c r="DM62">
        <v>-1536000000</v>
      </c>
      <c r="DN62">
        <v>-1.7947275936603547E-2</v>
      </c>
      <c r="DO62">
        <v>841520000</v>
      </c>
      <c r="DP62">
        <v>-173678100</v>
      </c>
      <c r="DQ62">
        <v>3628</v>
      </c>
      <c r="DR62">
        <v>-0.30976356743689054</v>
      </c>
      <c r="DS62">
        <v>2.767460384187594</v>
      </c>
      <c r="DT62" s="11">
        <v>-0.50666666666666671</v>
      </c>
      <c r="DU62">
        <v>-0.88333333333333341</v>
      </c>
      <c r="DV62">
        <v>-1.3900000000000001</v>
      </c>
      <c r="DW62">
        <v>-2.1436999999999999</v>
      </c>
      <c r="DX62">
        <v>0.31625430711610536</v>
      </c>
      <c r="DY62">
        <v>-2.0238907439325842</v>
      </c>
      <c r="DZ62">
        <v>1522</v>
      </c>
      <c r="EA62">
        <v>-2.0167749489687106</v>
      </c>
      <c r="EB62">
        <v>2</v>
      </c>
      <c r="EC62">
        <v>2.4020508658008657E-2</v>
      </c>
      <c r="ED62">
        <v>0.14448051948051949</v>
      </c>
      <c r="EE62" s="12">
        <v>1.0519000000000001</v>
      </c>
      <c r="EF62">
        <v>1.0811999999999999</v>
      </c>
      <c r="EG62">
        <v>15.166254307116105</v>
      </c>
      <c r="EH62" t="s">
        <v>735</v>
      </c>
      <c r="EI62">
        <v>0</v>
      </c>
      <c r="EJ62">
        <v>0</v>
      </c>
      <c r="EK62" s="14">
        <v>45470</v>
      </c>
      <c r="EL62" s="15">
        <v>0.41</v>
      </c>
      <c r="EM62" s="15">
        <v>-0.3</v>
      </c>
      <c r="EN62" s="15">
        <v>0.2</v>
      </c>
      <c r="EO62" s="15">
        <v>0.3</v>
      </c>
      <c r="EP62" s="15">
        <v>2.93</v>
      </c>
    </row>
    <row r="63" spans="1:146" ht="96" x14ac:dyDescent="0.25">
      <c r="A63" s="8"/>
      <c r="B63" s="8"/>
      <c r="C63" s="8" t="str">
        <f>""&amp;CHAR(10)&amp;Basic_Fundamental_Information_Constructure(F63)&amp;CHAR(10)&amp;Basic_Fundamental_Information_Concatenate("")</f>
        <v xml:space="preserve">
市值25.0416亿, 利润596.94亿; PE24.65; 平均PE.25; 平均PEG0, PB1.52; ROIC6.5867%; ROE6.6867%; 股利率4.7872%; 毛利45.1133%; 净利13.6233%; 上一年度营收增45400.53%, 利润增50063.02%; 当季营收增-99.72%, 利润增-99.91%; 过往5年营收增9060.93%, 利润增10012.24%
Income profile:
</v>
      </c>
      <c r="D63" t="s">
        <v>79</v>
      </c>
      <c r="E63" t="s">
        <v>18</v>
      </c>
      <c r="F63">
        <v>3.76</v>
      </c>
      <c r="G63">
        <v>0.53</v>
      </c>
      <c r="H63" t="s">
        <v>2626</v>
      </c>
      <c r="I63">
        <v>2504160000</v>
      </c>
      <c r="J63">
        <v>24.65</v>
      </c>
      <c r="K63">
        <v>1.52</v>
      </c>
      <c r="L63" t="s">
        <v>57</v>
      </c>
      <c r="M63" t="s">
        <v>2627</v>
      </c>
      <c r="N63" t="s">
        <v>1180</v>
      </c>
      <c r="O63" t="s">
        <v>205</v>
      </c>
      <c r="P63">
        <v>-14.62</v>
      </c>
      <c r="Q63" t="s">
        <v>2628</v>
      </c>
      <c r="R63">
        <v>17041045</v>
      </c>
      <c r="S63" s="5">
        <v>-0.76729999999999998</v>
      </c>
      <c r="T63" t="s">
        <v>2629</v>
      </c>
      <c r="U63">
        <v>666000000</v>
      </c>
      <c r="V63">
        <v>666000000</v>
      </c>
      <c r="W63">
        <v>1.68</v>
      </c>
      <c r="X63">
        <v>0.09</v>
      </c>
      <c r="Y63">
        <v>6.92</v>
      </c>
      <c r="Z63" t="s">
        <v>389</v>
      </c>
      <c r="AA63" t="s">
        <v>802</v>
      </c>
      <c r="AB63" t="s">
        <v>2630</v>
      </c>
      <c r="AC63" t="s">
        <v>2631</v>
      </c>
      <c r="AD63" t="s">
        <v>133</v>
      </c>
      <c r="AE63">
        <v>-1817603</v>
      </c>
      <c r="AF63" t="s">
        <v>2632</v>
      </c>
      <c r="AG63" t="s">
        <v>2633</v>
      </c>
      <c r="AH63" t="s">
        <v>2634</v>
      </c>
      <c r="AI63" t="s">
        <v>361</v>
      </c>
      <c r="AJ63" t="s">
        <v>2635</v>
      </c>
      <c r="AK63" t="s">
        <v>133</v>
      </c>
      <c r="AL63" t="s">
        <v>2636</v>
      </c>
      <c r="AM63" t="s">
        <v>133</v>
      </c>
      <c r="AN63" t="s">
        <v>2637</v>
      </c>
      <c r="AO63" t="s">
        <v>133</v>
      </c>
      <c r="AP63" t="s">
        <v>133</v>
      </c>
      <c r="AQ63" t="s">
        <v>2475</v>
      </c>
      <c r="AR63" t="s">
        <v>2638</v>
      </c>
      <c r="AS63" t="s">
        <v>2639</v>
      </c>
      <c r="AT63" t="s">
        <v>133</v>
      </c>
      <c r="AU63" t="s">
        <v>2640</v>
      </c>
      <c r="AV63" t="s">
        <v>2641</v>
      </c>
      <c r="AW63" t="s">
        <v>2642</v>
      </c>
      <c r="AX63" t="s">
        <v>644</v>
      </c>
      <c r="AY63" t="s">
        <v>610</v>
      </c>
      <c r="AZ63" t="s">
        <v>527</v>
      </c>
      <c r="BA63" t="s">
        <v>151</v>
      </c>
      <c r="BB63" t="s">
        <v>528</v>
      </c>
      <c r="BC63" t="s">
        <v>855</v>
      </c>
      <c r="BD63" t="s">
        <v>718</v>
      </c>
      <c r="BE63" t="s">
        <v>135</v>
      </c>
      <c r="BF63" t="s">
        <v>278</v>
      </c>
      <c r="BG63" t="s">
        <v>529</v>
      </c>
      <c r="BH63" t="s">
        <v>2643</v>
      </c>
      <c r="BI63" t="s">
        <v>2644</v>
      </c>
      <c r="BJ63" t="s">
        <v>644</v>
      </c>
      <c r="BK63" t="s">
        <v>219</v>
      </c>
      <c r="BL63" t="s">
        <v>2645</v>
      </c>
      <c r="BM63" t="s">
        <v>855</v>
      </c>
      <c r="BN63">
        <v>7.96</v>
      </c>
      <c r="BO63">
        <v>7.14</v>
      </c>
      <c r="BP63">
        <v>4.66</v>
      </c>
      <c r="BQ63">
        <v>8.11</v>
      </c>
      <c r="BR63">
        <v>7.42</v>
      </c>
      <c r="BS63">
        <v>4.53</v>
      </c>
      <c r="BT63" t="s">
        <v>2646</v>
      </c>
      <c r="BU63" t="s">
        <v>787</v>
      </c>
      <c r="BV63">
        <v>48.31</v>
      </c>
      <c r="BW63">
        <v>43.22</v>
      </c>
      <c r="BX63">
        <v>43.81</v>
      </c>
      <c r="BY63">
        <v>16.27</v>
      </c>
      <c r="BZ63">
        <v>15.66</v>
      </c>
      <c r="CA63">
        <v>8.94</v>
      </c>
      <c r="CB63">
        <v>1.9</v>
      </c>
      <c r="CC63">
        <v>-10.69</v>
      </c>
      <c r="CD63" t="s">
        <v>2647</v>
      </c>
      <c r="CE63" t="s">
        <v>576</v>
      </c>
      <c r="CF63" s="9">
        <v>-0.99717377817605291</v>
      </c>
      <c r="CG63" s="10">
        <v>-0.99908440549108102</v>
      </c>
      <c r="CH63" s="9">
        <v>454.00534057617187</v>
      </c>
      <c r="CI63" s="9">
        <v>-0.22107438743114471</v>
      </c>
      <c r="CJ63" s="9">
        <v>-5.1909893751144409E-2</v>
      </c>
      <c r="CK63" s="9">
        <v>-0.63087493181228638</v>
      </c>
      <c r="CL63" s="9">
        <v>-5.5005103349685669E-2</v>
      </c>
      <c r="CM63" s="10">
        <v>500.63021850585937</v>
      </c>
      <c r="CN63" s="10">
        <v>0.37562713027000427</v>
      </c>
      <c r="CO63" s="10">
        <v>-0.14350494742393494</v>
      </c>
      <c r="CP63" s="10">
        <v>-0.12173912674188614</v>
      </c>
      <c r="CQ63" s="10">
        <v>-0.12878787517547607</v>
      </c>
      <c r="CR63">
        <v>0.24938725264411771</v>
      </c>
      <c r="CS63">
        <v>2.7523363022593195E-5</v>
      </c>
      <c r="CT63">
        <v>4.7872340425531918</v>
      </c>
      <c r="CU63" s="9">
        <v>90.60929525196552</v>
      </c>
      <c r="CV63" s="10">
        <v>100.12236273735762</v>
      </c>
      <c r="CW63">
        <v>0.06</v>
      </c>
      <c r="CX63">
        <v>3.8033829908713644E-4</v>
      </c>
      <c r="CY63">
        <v>5158986104500.7832</v>
      </c>
      <c r="CZ63">
        <v>90.60929525196552</v>
      </c>
      <c r="DA63">
        <v>5.8568661513299307E-8</v>
      </c>
      <c r="DB63">
        <v>3.3501875393796528E+16</v>
      </c>
      <c r="DC63">
        <v>86.078830489367235</v>
      </c>
      <c r="DD63">
        <v>1.6614606449247933E-13</v>
      </c>
      <c r="DE63">
        <v>1.1809849399645682E+22</v>
      </c>
      <c r="DF63">
        <v>79.736179821729664</v>
      </c>
      <c r="DG63">
        <v>1.2630526195986344E-20</v>
      </c>
      <c r="DH63">
        <v>1.553506140245783E+29</v>
      </c>
      <c r="DI63">
        <v>72.487436201572422</v>
      </c>
      <c r="DJ63">
        <v>6.8300604775616391E-38</v>
      </c>
      <c r="DK63">
        <v>2.8728296132166889E+46</v>
      </c>
      <c r="DL63">
        <v>63.426506676375858</v>
      </c>
      <c r="DM63">
        <v>59694000000.000008</v>
      </c>
      <c r="DN63">
        <v>90.60929525196552</v>
      </c>
      <c r="DO63">
        <v>1962159999.9999998</v>
      </c>
      <c r="DP63">
        <v>434848880</v>
      </c>
      <c r="DQ63">
        <v>3650</v>
      </c>
      <c r="DR63">
        <v>-91.606469030141568</v>
      </c>
      <c r="DS63">
        <v>-101.12144714284869</v>
      </c>
      <c r="DT63" s="11">
        <v>-0.52333333333333332</v>
      </c>
      <c r="DU63">
        <v>1.0000000000000011E-2</v>
      </c>
      <c r="DV63">
        <v>-0.51333333333333331</v>
      </c>
      <c r="DW63">
        <v>-2.1069</v>
      </c>
      <c r="DX63">
        <v>0.38564329896907135</v>
      </c>
      <c r="DY63">
        <v>-2.0251902686597938</v>
      </c>
      <c r="DZ63">
        <v>2238</v>
      </c>
      <c r="EA63">
        <v>-2.0141578183152502</v>
      </c>
      <c r="EB63">
        <v>2</v>
      </c>
      <c r="EC63">
        <v>6.8640840840840836E-2</v>
      </c>
      <c r="ED63">
        <v>0.29129129129129128</v>
      </c>
      <c r="EE63" s="12">
        <v>3.02081</v>
      </c>
      <c r="EF63">
        <v>3.0374099999999999</v>
      </c>
      <c r="EG63">
        <v>15.235643298969071</v>
      </c>
      <c r="EH63" t="s">
        <v>903</v>
      </c>
      <c r="EI63">
        <v>0</v>
      </c>
      <c r="EJ63">
        <v>0</v>
      </c>
      <c r="EK63" s="14">
        <v>45470</v>
      </c>
      <c r="EL63" s="15">
        <v>-2.57</v>
      </c>
      <c r="EM63" s="15">
        <v>-3.76</v>
      </c>
      <c r="EN63" s="15">
        <v>0.42</v>
      </c>
      <c r="EO63" s="15">
        <v>1.37</v>
      </c>
      <c r="EP63" s="15">
        <v>-1.66</v>
      </c>
    </row>
    <row r="64" spans="1:146" ht="96" x14ac:dyDescent="0.25">
      <c r="A64" s="8"/>
      <c r="B64" s="8"/>
      <c r="C64" s="8" t="str">
        <f>""&amp;CHAR(10)&amp;Basic_Fundamental_Information_Constructure(F64)&amp;CHAR(10)&amp;Basic_Fundamental_Information_Concatenate("")</f>
        <v xml:space="preserve">
市值42.937987亿, 利润54.26亿; PE31.35; 平均PE4.25; 平均PEG0, PB1.33; ROIC2.09%; ROE3.6767%; 股利率2.551%; 毛利26.98%; 净利3.2%; 上一年度营收增4259.76%, 利润增3378.2%; 当季营收增-97.51%, 利润增-95.29%; 过往5年营收增851.92%, 利润增689.27%
Income profile:
</v>
      </c>
      <c r="D64" t="s">
        <v>70</v>
      </c>
      <c r="E64" t="s">
        <v>10</v>
      </c>
      <c r="F64">
        <v>7.84</v>
      </c>
      <c r="G64">
        <v>1.95</v>
      </c>
      <c r="H64" t="s">
        <v>2648</v>
      </c>
      <c r="I64">
        <v>4293798700</v>
      </c>
      <c r="J64">
        <v>31.35</v>
      </c>
      <c r="K64">
        <v>1.33</v>
      </c>
      <c r="L64" t="s">
        <v>57</v>
      </c>
      <c r="M64" t="s">
        <v>246</v>
      </c>
      <c r="N64" t="s">
        <v>2649</v>
      </c>
      <c r="O64" t="s">
        <v>1241</v>
      </c>
      <c r="P64">
        <v>-2.74</v>
      </c>
      <c r="Q64" t="s">
        <v>2650</v>
      </c>
      <c r="R64">
        <v>52293105</v>
      </c>
      <c r="S64" s="5">
        <v>-1.41E-2</v>
      </c>
      <c r="T64" t="s">
        <v>2651</v>
      </c>
      <c r="U64">
        <v>547678400</v>
      </c>
      <c r="V64">
        <v>547678400</v>
      </c>
      <c r="W64">
        <v>1.59</v>
      </c>
      <c r="X64">
        <v>0.21</v>
      </c>
      <c r="Y64">
        <v>4.93</v>
      </c>
      <c r="Z64" t="s">
        <v>2652</v>
      </c>
      <c r="AA64" t="s">
        <v>2653</v>
      </c>
      <c r="AB64" t="s">
        <v>1900</v>
      </c>
      <c r="AC64" t="s">
        <v>2654</v>
      </c>
      <c r="AD64" t="s">
        <v>133</v>
      </c>
      <c r="AE64">
        <v>-17779560</v>
      </c>
      <c r="AF64" t="s">
        <v>158</v>
      </c>
      <c r="AG64" t="s">
        <v>2655</v>
      </c>
      <c r="AH64" t="s">
        <v>2656</v>
      </c>
      <c r="AI64" t="s">
        <v>2657</v>
      </c>
      <c r="AJ64" t="s">
        <v>2658</v>
      </c>
      <c r="AK64" t="s">
        <v>133</v>
      </c>
      <c r="AL64" t="s">
        <v>2659</v>
      </c>
      <c r="AM64" t="s">
        <v>133</v>
      </c>
      <c r="AN64">
        <v>0</v>
      </c>
      <c r="AO64" t="s">
        <v>133</v>
      </c>
      <c r="AP64" t="s">
        <v>133</v>
      </c>
      <c r="AQ64" t="s">
        <v>142</v>
      </c>
      <c r="AR64" t="s">
        <v>2660</v>
      </c>
      <c r="AS64" t="s">
        <v>2661</v>
      </c>
      <c r="AT64" t="s">
        <v>133</v>
      </c>
      <c r="AU64" t="s">
        <v>1690</v>
      </c>
      <c r="AV64" t="s">
        <v>2662</v>
      </c>
      <c r="AW64" t="s">
        <v>2663</v>
      </c>
      <c r="AX64" t="s">
        <v>2664</v>
      </c>
      <c r="AY64" t="s">
        <v>719</v>
      </c>
      <c r="AZ64" t="s">
        <v>199</v>
      </c>
      <c r="BA64" t="s">
        <v>281</v>
      </c>
      <c r="BB64" t="s">
        <v>530</v>
      </c>
      <c r="BC64" t="s">
        <v>546</v>
      </c>
      <c r="BD64" t="s">
        <v>720</v>
      </c>
      <c r="BE64" t="s">
        <v>168</v>
      </c>
      <c r="BF64" t="s">
        <v>140</v>
      </c>
      <c r="BG64" t="s">
        <v>328</v>
      </c>
      <c r="BH64" t="s">
        <v>2665</v>
      </c>
      <c r="BI64" t="s">
        <v>2666</v>
      </c>
      <c r="BJ64" t="s">
        <v>2664</v>
      </c>
      <c r="BK64" t="s">
        <v>382</v>
      </c>
      <c r="BL64" t="s">
        <v>2667</v>
      </c>
      <c r="BM64" t="s">
        <v>546</v>
      </c>
      <c r="BN64">
        <v>1.98</v>
      </c>
      <c r="BO64">
        <v>3.03</v>
      </c>
      <c r="BP64">
        <v>1.26</v>
      </c>
      <c r="BQ64">
        <v>3.26</v>
      </c>
      <c r="BR64">
        <v>4.92</v>
      </c>
      <c r="BS64">
        <v>2.85</v>
      </c>
      <c r="BT64" t="s">
        <v>874</v>
      </c>
      <c r="BU64" t="s">
        <v>787</v>
      </c>
      <c r="BV64">
        <v>27.07</v>
      </c>
      <c r="BW64">
        <v>27.76</v>
      </c>
      <c r="BX64">
        <v>26.11</v>
      </c>
      <c r="BY64">
        <v>3.53</v>
      </c>
      <c r="BZ64">
        <v>3.82</v>
      </c>
      <c r="CA64">
        <v>2.25</v>
      </c>
      <c r="CB64">
        <v>3.02</v>
      </c>
      <c r="CC64">
        <v>-10.3</v>
      </c>
      <c r="CD64" t="s">
        <v>2668</v>
      </c>
      <c r="CE64" t="s">
        <v>214</v>
      </c>
      <c r="CF64" s="9">
        <v>-0.97506515461012888</v>
      </c>
      <c r="CG64" s="10">
        <v>-0.95293149864986504</v>
      </c>
      <c r="CH64" s="9">
        <v>42.597648620605469</v>
      </c>
      <c r="CI64" s="9">
        <v>4.229302704334259E-2</v>
      </c>
      <c r="CJ64" s="9">
        <v>-8.7209373712539673E-2</v>
      </c>
      <c r="CK64" s="9">
        <v>8.0673582851886749E-2</v>
      </c>
      <c r="CL64" s="9">
        <v>-3.7261039018630981E-2</v>
      </c>
      <c r="CM64" s="10">
        <v>33.782047271728516</v>
      </c>
      <c r="CN64" s="10">
        <v>0.76686447858810425</v>
      </c>
      <c r="CO64" s="10">
        <v>-0.27629509568214417</v>
      </c>
      <c r="CP64" s="10">
        <v>-0.23749999701976776</v>
      </c>
      <c r="CQ64" s="10">
        <v>0.4285714328289032</v>
      </c>
      <c r="CR64">
        <v>4.2482769958966351</v>
      </c>
      <c r="CS64">
        <v>4.9866918873423633E-3</v>
      </c>
      <c r="CT64">
        <v>2.5510204081632653</v>
      </c>
      <c r="CU64" s="9">
        <v>8.5192289635539051</v>
      </c>
      <c r="CV64" s="10">
        <v>6.8927376180887219</v>
      </c>
      <c r="CW64">
        <v>0.06</v>
      </c>
      <c r="CX64">
        <v>5.9982312957629826E-2</v>
      </c>
      <c r="CY64">
        <v>48727675807.776871</v>
      </c>
      <c r="CZ64">
        <v>8.5192289635539051</v>
      </c>
      <c r="DA64">
        <v>7.5498364219132505E-4</v>
      </c>
      <c r="DB64">
        <v>3871340432643.8579</v>
      </c>
      <c r="DC64">
        <v>8.0932675153762101</v>
      </c>
      <c r="DD64">
        <v>1.7771247026719594E-6</v>
      </c>
      <c r="DE64">
        <v>1644678449185634.5</v>
      </c>
      <c r="DF64">
        <v>7.4969214879274366</v>
      </c>
      <c r="DG64">
        <v>9.8078706186311226E-10</v>
      </c>
      <c r="DH64">
        <v>2.9800542988891228E+18</v>
      </c>
      <c r="DI64">
        <v>6.8153831708431243</v>
      </c>
      <c r="DJ64">
        <v>2.0380550807890853E-17</v>
      </c>
      <c r="DK64">
        <v>1.4341117311060913E+26</v>
      </c>
      <c r="DL64">
        <v>5.9634602744877334</v>
      </c>
      <c r="DM64">
        <v>5426000000</v>
      </c>
      <c r="DN64">
        <v>8.5192289635539051</v>
      </c>
      <c r="DO64">
        <v>2922798700</v>
      </c>
      <c r="DP64">
        <v>1211659500.0000002</v>
      </c>
      <c r="DQ64">
        <v>3663</v>
      </c>
      <c r="DR64">
        <v>-9.4942941181640332</v>
      </c>
      <c r="DS64">
        <v>-7.8456691167385868</v>
      </c>
      <c r="DT64" s="11">
        <v>-0.14000000000000004</v>
      </c>
      <c r="DU64">
        <v>1.0000000000000011E-2</v>
      </c>
      <c r="DV64">
        <v>-0.13000000000000003</v>
      </c>
      <c r="DW64">
        <v>6.226726726726727</v>
      </c>
      <c r="DX64">
        <v>0.43634854368932185</v>
      </c>
      <c r="DY64">
        <v>6.0603883334791098</v>
      </c>
      <c r="DZ64">
        <v>4567</v>
      </c>
      <c r="EA64">
        <v>6.0064169990370173</v>
      </c>
      <c r="EB64">
        <v>6</v>
      </c>
      <c r="EC64">
        <v>5.0091257935313861E-2</v>
      </c>
      <c r="ED64">
        <v>0.18806657337590821</v>
      </c>
      <c r="EE64" s="12">
        <v>5.4000000000000003E-3</v>
      </c>
      <c r="EF64">
        <v>3.6100000000000008E-3</v>
      </c>
      <c r="EG64">
        <v>17.266348543689322</v>
      </c>
      <c r="EH64">
        <v>-1</v>
      </c>
      <c r="EI64">
        <v>0</v>
      </c>
      <c r="EJ64">
        <v>0</v>
      </c>
      <c r="EK64" s="14">
        <v>45470</v>
      </c>
      <c r="EL64" s="15">
        <v>0.3</v>
      </c>
      <c r="EM64" s="15">
        <v>-2.7</v>
      </c>
      <c r="EN64" s="15">
        <v>1.23</v>
      </c>
      <c r="EO64" s="15">
        <v>1.52</v>
      </c>
      <c r="EP64" s="15">
        <v>-0.9</v>
      </c>
    </row>
    <row r="65" spans="1:146" ht="96" x14ac:dyDescent="0.25">
      <c r="A65" s="8"/>
      <c r="B65" s="8"/>
      <c r="C65" s="8" t="str">
        <f>""&amp;CHAR(10)&amp;Basic_Fundamental_Information_Constructure(F65)&amp;CHAR(10)&amp;Basic_Fundamental_Information_Concatenate("")</f>
        <v xml:space="preserve">
市值44.01334亿, 利润7351.59万; PE192.3; 平均PE44.55; 平均PEG2.22, PB1.11; ROIC1.19%; ROE-.55%; 股利率.5792%; 毛利30.81%; 净利-.3033%; 上一年度营收增-70.33%, 利润增142.49%; 当季营收增347.52%, 利润增-60.11%; 过往5年营收增-20.07%, 利润增-46.27%
Income profile:
</v>
      </c>
      <c r="D65" t="s">
        <v>73</v>
      </c>
      <c r="E65" t="s">
        <v>40</v>
      </c>
      <c r="F65">
        <v>5.18</v>
      </c>
      <c r="G65">
        <v>0.19</v>
      </c>
      <c r="H65" t="s">
        <v>2669</v>
      </c>
      <c r="I65">
        <v>4401334000</v>
      </c>
      <c r="J65">
        <v>192.3</v>
      </c>
      <c r="K65">
        <v>1.1100000000000001</v>
      </c>
      <c r="L65" t="s">
        <v>57</v>
      </c>
      <c r="M65" t="s">
        <v>2670</v>
      </c>
      <c r="N65" t="s">
        <v>2671</v>
      </c>
      <c r="O65" t="s">
        <v>2672</v>
      </c>
      <c r="P65">
        <v>-0.62</v>
      </c>
      <c r="Q65" t="s">
        <v>2582</v>
      </c>
      <c r="R65">
        <v>12222496</v>
      </c>
      <c r="S65" s="5">
        <v>-0.3604</v>
      </c>
      <c r="T65" t="s">
        <v>2673</v>
      </c>
      <c r="U65">
        <v>849678390</v>
      </c>
      <c r="V65">
        <v>849678390</v>
      </c>
      <c r="W65">
        <v>3.85</v>
      </c>
      <c r="X65">
        <v>0.14000000000000001</v>
      </c>
      <c r="Y65">
        <v>0.54</v>
      </c>
      <c r="Z65" t="s">
        <v>1136</v>
      </c>
      <c r="AA65" t="s">
        <v>2674</v>
      </c>
      <c r="AB65" t="s">
        <v>441</v>
      </c>
      <c r="AC65" t="s">
        <v>893</v>
      </c>
      <c r="AD65" t="s">
        <v>133</v>
      </c>
      <c r="AE65">
        <v>87857672</v>
      </c>
      <c r="AF65" t="s">
        <v>2675</v>
      </c>
      <c r="AG65" t="s">
        <v>2676</v>
      </c>
      <c r="AH65" t="s">
        <v>2677</v>
      </c>
      <c r="AI65" t="s">
        <v>2678</v>
      </c>
      <c r="AJ65" t="s">
        <v>2679</v>
      </c>
      <c r="AK65" t="s">
        <v>2680</v>
      </c>
      <c r="AL65" t="s">
        <v>2681</v>
      </c>
      <c r="AM65" t="s">
        <v>133</v>
      </c>
      <c r="AN65" t="s">
        <v>269</v>
      </c>
      <c r="AO65" t="s">
        <v>2682</v>
      </c>
      <c r="AP65" t="s">
        <v>226</v>
      </c>
      <c r="AQ65" t="s">
        <v>2683</v>
      </c>
      <c r="AR65" t="s">
        <v>2684</v>
      </c>
      <c r="AS65" t="s">
        <v>2685</v>
      </c>
      <c r="AT65" t="s">
        <v>2686</v>
      </c>
      <c r="AU65" t="s">
        <v>193</v>
      </c>
      <c r="AV65" t="s">
        <v>2687</v>
      </c>
      <c r="AW65" t="s">
        <v>2688</v>
      </c>
      <c r="AX65" t="s">
        <v>1013</v>
      </c>
      <c r="AY65" t="s">
        <v>721</v>
      </c>
      <c r="AZ65" t="s">
        <v>531</v>
      </c>
      <c r="BA65" t="s">
        <v>282</v>
      </c>
      <c r="BB65" t="s">
        <v>532</v>
      </c>
      <c r="BC65" t="s">
        <v>1014</v>
      </c>
      <c r="BD65" t="s">
        <v>722</v>
      </c>
      <c r="BE65" t="s">
        <v>228</v>
      </c>
      <c r="BF65" t="s">
        <v>208</v>
      </c>
      <c r="BG65" t="s">
        <v>202</v>
      </c>
      <c r="BH65" t="s">
        <v>2689</v>
      </c>
      <c r="BI65" t="s">
        <v>422</v>
      </c>
      <c r="BJ65" t="s">
        <v>1013</v>
      </c>
      <c r="BK65" t="s">
        <v>2690</v>
      </c>
      <c r="BL65" t="s">
        <v>2691</v>
      </c>
      <c r="BM65" t="s">
        <v>1014</v>
      </c>
      <c r="BN65">
        <v>1.1499999999999999</v>
      </c>
      <c r="BO65" t="s">
        <v>133</v>
      </c>
      <c r="BP65">
        <v>1.23</v>
      </c>
      <c r="BQ65">
        <v>0.68</v>
      </c>
      <c r="BR65">
        <v>-4</v>
      </c>
      <c r="BS65">
        <v>1.67</v>
      </c>
      <c r="BT65" t="s">
        <v>864</v>
      </c>
      <c r="BU65" t="s">
        <v>787</v>
      </c>
      <c r="BV65">
        <v>32.68</v>
      </c>
      <c r="BW65">
        <v>29.98</v>
      </c>
      <c r="BX65">
        <v>29.77</v>
      </c>
      <c r="BY65">
        <v>0.3</v>
      </c>
      <c r="BZ65">
        <v>-2.2000000000000002</v>
      </c>
      <c r="CA65">
        <v>0.99</v>
      </c>
      <c r="CB65">
        <v>15.11</v>
      </c>
      <c r="CC65">
        <v>0.57999999999999996</v>
      </c>
      <c r="CD65" t="s">
        <v>2692</v>
      </c>
      <c r="CE65" t="s">
        <v>2693</v>
      </c>
      <c r="CF65" s="9">
        <v>3.4752475247524752</v>
      </c>
      <c r="CG65" s="10">
        <v>-0.60114554235739459</v>
      </c>
      <c r="CH65" s="9">
        <v>-0.7033078670501709</v>
      </c>
      <c r="CI65" s="9">
        <v>-2.7709055691957474E-2</v>
      </c>
      <c r="CJ65" s="9">
        <v>-3.6357186734676361E-2</v>
      </c>
      <c r="CK65" s="9">
        <v>-0.32569727301597595</v>
      </c>
      <c r="CL65" s="9">
        <v>8.9786209166049957E-2</v>
      </c>
      <c r="CM65" s="10">
        <v>1.4249473810195923</v>
      </c>
      <c r="CN65" s="10">
        <v>-3.1567173004150391</v>
      </c>
      <c r="CO65" s="10">
        <v>-0.43905946612358093</v>
      </c>
      <c r="CP65" s="10">
        <v>-0.46441948413848877</v>
      </c>
      <c r="CQ65" s="10">
        <v>0.32178217172622681</v>
      </c>
      <c r="CR65">
        <v>44.553145915917256</v>
      </c>
      <c r="CS65">
        <v>2.2203630184320504</v>
      </c>
      <c r="CT65">
        <v>0.57915057915057921</v>
      </c>
      <c r="CU65" s="9">
        <v>-0.20065703466534615</v>
      </c>
      <c r="CV65" s="10">
        <v>-0.46269333958625791</v>
      </c>
      <c r="CW65">
        <v>0.06</v>
      </c>
      <c r="CX65">
        <v>170.30783816834182</v>
      </c>
      <c r="CY65" t="s">
        <v>2694</v>
      </c>
      <c r="CZ65">
        <v>-0.20065703466534615</v>
      </c>
      <c r="DA65">
        <v>56.76927938944727</v>
      </c>
      <c r="DB65" t="s">
        <v>2695</v>
      </c>
      <c r="DC65">
        <v>-0.19062418293207883</v>
      </c>
      <c r="DD65">
        <v>28.384639694723635</v>
      </c>
      <c r="DE65" t="s">
        <v>2696</v>
      </c>
      <c r="DF65">
        <v>-0.17657819050550461</v>
      </c>
      <c r="DG65">
        <v>17.03078381683418</v>
      </c>
      <c r="DH65" t="s">
        <v>2697</v>
      </c>
      <c r="DI65">
        <v>-0.16052562773227694</v>
      </c>
      <c r="DJ65">
        <v>8.5153919084170901</v>
      </c>
      <c r="DK65" t="s">
        <v>2698</v>
      </c>
      <c r="DL65">
        <v>-0.1404599242657423</v>
      </c>
      <c r="DM65">
        <v>73515900</v>
      </c>
      <c r="DN65">
        <v>-0.20065703466534615</v>
      </c>
      <c r="DO65">
        <v>12520334000</v>
      </c>
      <c r="DP65">
        <v>-3122109000.000001</v>
      </c>
      <c r="DQ65">
        <v>3718</v>
      </c>
      <c r="DR65">
        <v>3.6759045594178215</v>
      </c>
      <c r="DS65">
        <v>-0.13845220277113668</v>
      </c>
      <c r="DT65" s="11">
        <v>-0.89</v>
      </c>
      <c r="DU65">
        <v>-0.75333333333333341</v>
      </c>
      <c r="DV65">
        <v>-1.6433333333333335</v>
      </c>
      <c r="DW65">
        <v>5.0383851753805429</v>
      </c>
      <c r="DX65">
        <v>0.60760347343792853</v>
      </c>
      <c r="DY65">
        <v>5.0160297825674389</v>
      </c>
      <c r="DZ65">
        <v>4314</v>
      </c>
      <c r="EA65">
        <v>5.0024970072257693</v>
      </c>
      <c r="EB65">
        <v>5</v>
      </c>
      <c r="EC65">
        <v>2.9703238657158269E-2</v>
      </c>
      <c r="ED65">
        <v>7.1127853445819664E-2</v>
      </c>
      <c r="EE65" s="12">
        <v>1.07111</v>
      </c>
      <c r="EF65">
        <v>1.0926100000000001</v>
      </c>
      <c r="EG65">
        <v>19.417603473437929</v>
      </c>
      <c r="EH65" t="s">
        <v>786</v>
      </c>
      <c r="EI65">
        <v>1</v>
      </c>
      <c r="EJ65">
        <v>0</v>
      </c>
      <c r="EK65" s="14">
        <v>45470</v>
      </c>
      <c r="EL65" s="15">
        <v>0.9</v>
      </c>
      <c r="EM65" s="15">
        <v>-3.19</v>
      </c>
      <c r="EN65" s="15">
        <v>-2.37</v>
      </c>
      <c r="EO65" s="15">
        <v>6.89</v>
      </c>
      <c r="EP65" s="15">
        <v>-2.15</v>
      </c>
    </row>
    <row r="66" spans="1:146" ht="96" x14ac:dyDescent="0.25">
      <c r="A66" s="8"/>
      <c r="B66" s="8"/>
      <c r="C66" s="8" t="str">
        <f>""&amp;CHAR(10)&amp;Basic_Fundamental_Information_Constructure(F66)&amp;CHAR(10)&amp;Basic_Fundamental_Information_Concatenate("")</f>
        <v xml:space="preserve">
市值114.093996亿, 利润116.71亿; PE; 平均PE2.78; 平均PEG.25, PB.232; ROIC3.11%; ROE1.4833%; 股利率0%; 毛利58.7967%; 净利-.7%; 上一年度营收增53.5%, 利润增1987.84%; 当季营收增-60.19%, 利润增-114.7%; 过往5年营收增11.14%, 利润增373.32%
Income profile:
</v>
      </c>
      <c r="D66" t="s">
        <v>103</v>
      </c>
      <c r="E66" t="s">
        <v>51</v>
      </c>
      <c r="F66">
        <v>2.62</v>
      </c>
      <c r="G66">
        <v>0.77</v>
      </c>
      <c r="H66" t="s">
        <v>2699</v>
      </c>
      <c r="I66">
        <v>11409399600</v>
      </c>
      <c r="K66">
        <v>0.23200000000000001</v>
      </c>
      <c r="L66" t="s">
        <v>57</v>
      </c>
      <c r="M66" t="s">
        <v>2700</v>
      </c>
      <c r="N66" t="s">
        <v>2701</v>
      </c>
      <c r="O66" t="s">
        <v>2702</v>
      </c>
      <c r="P66">
        <v>-19.3</v>
      </c>
      <c r="Q66" t="s">
        <v>2703</v>
      </c>
      <c r="R66">
        <v>-371506930</v>
      </c>
      <c r="S66" s="5">
        <v>-3.222</v>
      </c>
      <c r="T66" t="s">
        <v>2704</v>
      </c>
      <c r="U66">
        <v>3613447000</v>
      </c>
      <c r="V66">
        <v>4354732700</v>
      </c>
      <c r="W66">
        <v>2.3199999999999998</v>
      </c>
      <c r="X66">
        <v>0.02</v>
      </c>
      <c r="Y66">
        <v>-16.93</v>
      </c>
      <c r="Z66" t="s">
        <v>2705</v>
      </c>
      <c r="AA66" t="s">
        <v>711</v>
      </c>
      <c r="AB66" t="s">
        <v>202</v>
      </c>
      <c r="AC66" t="s">
        <v>145</v>
      </c>
      <c r="AD66" t="s">
        <v>133</v>
      </c>
      <c r="AE66">
        <v>644505770</v>
      </c>
      <c r="AF66" t="s">
        <v>2706</v>
      </c>
      <c r="AG66" t="s">
        <v>2707</v>
      </c>
      <c r="AH66" t="s">
        <v>2708</v>
      </c>
      <c r="AI66" t="s">
        <v>2709</v>
      </c>
      <c r="AJ66" t="s">
        <v>2710</v>
      </c>
      <c r="AK66" t="s">
        <v>2711</v>
      </c>
      <c r="AL66" t="s">
        <v>2712</v>
      </c>
      <c r="AM66" t="s">
        <v>133</v>
      </c>
      <c r="AN66" t="s">
        <v>2713</v>
      </c>
      <c r="AO66" t="s">
        <v>2714</v>
      </c>
      <c r="AP66" t="s">
        <v>2715</v>
      </c>
      <c r="AQ66" t="s">
        <v>2716</v>
      </c>
      <c r="AR66" t="s">
        <v>861</v>
      </c>
      <c r="AS66" t="s">
        <v>2717</v>
      </c>
      <c r="AT66" t="s">
        <v>2718</v>
      </c>
      <c r="AU66" t="s">
        <v>2719</v>
      </c>
      <c r="AV66" t="s">
        <v>2720</v>
      </c>
      <c r="AW66" t="s">
        <v>2721</v>
      </c>
      <c r="AX66" t="s">
        <v>1015</v>
      </c>
      <c r="AY66" t="s">
        <v>723</v>
      </c>
      <c r="AZ66" t="s">
        <v>533</v>
      </c>
      <c r="BA66" t="s">
        <v>284</v>
      </c>
      <c r="BB66" t="s">
        <v>534</v>
      </c>
      <c r="BC66" t="s">
        <v>2722</v>
      </c>
      <c r="BD66" t="s">
        <v>646</v>
      </c>
      <c r="BE66" t="s">
        <v>2723</v>
      </c>
      <c r="BF66" t="s">
        <v>2724</v>
      </c>
      <c r="BG66" t="s">
        <v>535</v>
      </c>
      <c r="BH66" t="s">
        <v>2725</v>
      </c>
      <c r="BI66" t="s">
        <v>2726</v>
      </c>
      <c r="BJ66" t="s">
        <v>1015</v>
      </c>
      <c r="BK66" t="s">
        <v>2727</v>
      </c>
      <c r="BL66" t="s">
        <v>303</v>
      </c>
      <c r="BM66" t="s">
        <v>2722</v>
      </c>
      <c r="BN66" t="s">
        <v>133</v>
      </c>
      <c r="BO66">
        <v>1.91</v>
      </c>
      <c r="BP66">
        <v>4.3099999999999996</v>
      </c>
      <c r="BQ66">
        <v>-1.06</v>
      </c>
      <c r="BR66">
        <v>1.39</v>
      </c>
      <c r="BS66">
        <v>4.12</v>
      </c>
      <c r="BT66" t="s">
        <v>856</v>
      </c>
      <c r="BU66" t="s">
        <v>782</v>
      </c>
      <c r="BV66">
        <v>56.74</v>
      </c>
      <c r="BW66">
        <v>58.16</v>
      </c>
      <c r="BX66">
        <v>61.49</v>
      </c>
      <c r="BY66">
        <v>-20.59</v>
      </c>
      <c r="BZ66">
        <v>4.72</v>
      </c>
      <c r="CA66">
        <v>13.77</v>
      </c>
      <c r="CB66">
        <v>2.75</v>
      </c>
      <c r="CC66">
        <v>-21.56</v>
      </c>
      <c r="CD66" t="s">
        <v>2728</v>
      </c>
      <c r="CE66" t="s">
        <v>1185</v>
      </c>
      <c r="CF66" s="9">
        <v>-0.60188501413760598</v>
      </c>
      <c r="CG66" s="10">
        <v>-1.147015009893154</v>
      </c>
      <c r="CH66" s="9">
        <v>0.53501200675964355</v>
      </c>
      <c r="CI66" s="9">
        <v>-8.8635310530662537E-2</v>
      </c>
      <c r="CJ66" s="9">
        <v>8.9702136814594269E-2</v>
      </c>
      <c r="CK66" s="9">
        <v>-0.13558806478977203</v>
      </c>
      <c r="CL66" s="9">
        <v>0.15653091669082642</v>
      </c>
      <c r="CM66" s="10">
        <v>19.878355026245117</v>
      </c>
      <c r="CN66" s="10">
        <v>-0.7197994589805603</v>
      </c>
      <c r="CO66" s="10">
        <v>0.1619102954864502</v>
      </c>
      <c r="CP66" s="10">
        <v>-0.59011697769165039</v>
      </c>
      <c r="CQ66" s="10">
        <v>-6.4328849315643311E-2</v>
      </c>
      <c r="CR66">
        <v>2.7818757152145643</v>
      </c>
      <c r="CS66">
        <v>0.24970982193369137</v>
      </c>
      <c r="CT66">
        <v>0</v>
      </c>
      <c r="CU66" s="9">
        <v>0.11140433698892593</v>
      </c>
      <c r="CV66" s="10">
        <v>3.7332040071487427</v>
      </c>
      <c r="CW66">
        <v>0.06</v>
      </c>
      <c r="CX66">
        <v>2.2268073530705932</v>
      </c>
      <c r="CY66">
        <v>12236981148.111088</v>
      </c>
      <c r="CZ66">
        <v>0.11140433698892593</v>
      </c>
      <c r="DA66">
        <v>0.7146608728311713</v>
      </c>
      <c r="DB66">
        <v>38129133181.79837</v>
      </c>
      <c r="DC66">
        <v>0.10583412013947963</v>
      </c>
      <c r="DD66">
        <v>0.34333930384064604</v>
      </c>
      <c r="DE66">
        <v>79365803143.374619</v>
      </c>
      <c r="DF66">
        <v>9.8035816550254826E-2</v>
      </c>
      <c r="DG66">
        <v>0.20053570545219246</v>
      </c>
      <c r="DH66">
        <v>135883031595.56906</v>
      </c>
      <c r="DI66">
        <v>8.9123469591140758E-2</v>
      </c>
      <c r="DJ66">
        <v>9.7378662188425127E-2</v>
      </c>
      <c r="DK66">
        <v>279829266367.13428</v>
      </c>
      <c r="DL66">
        <v>7.7983035892248143E-2</v>
      </c>
      <c r="DM66">
        <v>11671000000</v>
      </c>
      <c r="DN66">
        <v>0.11140433698892593</v>
      </c>
      <c r="DO66">
        <v>27249399600</v>
      </c>
      <c r="DP66">
        <v>-16691067600</v>
      </c>
      <c r="DQ66">
        <v>3792</v>
      </c>
      <c r="DR66">
        <v>-0.71328935112653191</v>
      </c>
      <c r="DS66">
        <v>-4.8802190170418971</v>
      </c>
      <c r="DT66" s="11">
        <v>-0.17333333333333334</v>
      </c>
      <c r="DU66">
        <v>-0.88166666666666671</v>
      </c>
      <c r="DV66">
        <v>-1.0550000000000002</v>
      </c>
      <c r="DW66">
        <v>6.113122171945701</v>
      </c>
      <c r="DX66">
        <v>0.31334844258872596</v>
      </c>
      <c r="DY66">
        <v>6.0173471088901271</v>
      </c>
      <c r="DZ66">
        <v>1309</v>
      </c>
      <c r="EA66">
        <v>6.0129033974347106</v>
      </c>
      <c r="EB66">
        <v>6</v>
      </c>
      <c r="EC66">
        <v>1.6867602459273792E-2</v>
      </c>
      <c r="ED66">
        <v>0.10999527020338125</v>
      </c>
      <c r="EE66" s="12">
        <v>2.0272100000000002</v>
      </c>
      <c r="EF66">
        <v>2.0188100000000002</v>
      </c>
      <c r="EG66">
        <v>16.153348442588726</v>
      </c>
      <c r="EH66" t="s">
        <v>790</v>
      </c>
      <c r="EI66">
        <v>0</v>
      </c>
      <c r="EJ66">
        <v>1</v>
      </c>
      <c r="EK66" s="14">
        <v>45470</v>
      </c>
      <c r="EL66" s="15">
        <v>0.61</v>
      </c>
      <c r="EM66" s="15">
        <v>1.0900000000000001</v>
      </c>
      <c r="EN66" s="15">
        <v>0.12</v>
      </c>
      <c r="EO66" s="15">
        <v>-0.36</v>
      </c>
      <c r="EP66" s="15">
        <v>0.84</v>
      </c>
    </row>
    <row r="67" spans="1:146" ht="96" x14ac:dyDescent="0.25">
      <c r="C67" s="8" t="str">
        <f>""&amp;CHAR(10)&amp;Basic_Fundamental_Information_Constructure(F67)&amp;CHAR(10)&amp;Basic_Fundamental_Information_Concatenate("")</f>
        <v xml:space="preserve">
市值1359.861亿, 利润2.37亿; PE20.24; 平均PE28.34; 平均PEG1.87, PB2.42; ROIC19.9567%; ROE20.5033%; 股利率2.5103%; 毛利31.2967%; 净利13.4667%; 上一年度营收增-96.45%, 利润增-95.29%; 当季营收增3746.01%, 利润增3812.15%; 过往5年营收增-15.15%, 利润增-.75%
Income profile:
</v>
      </c>
      <c r="D67" t="s">
        <v>620</v>
      </c>
      <c r="E67" t="s">
        <v>621</v>
      </c>
      <c r="F67">
        <v>65.73</v>
      </c>
      <c r="G67">
        <v>1.51</v>
      </c>
      <c r="H67" t="s">
        <v>2729</v>
      </c>
      <c r="I67">
        <v>135986100000</v>
      </c>
      <c r="J67">
        <v>20.239999999999998</v>
      </c>
      <c r="K67">
        <v>2.42</v>
      </c>
      <c r="L67" t="s">
        <v>57</v>
      </c>
      <c r="M67" t="s">
        <v>2730</v>
      </c>
      <c r="N67" t="s">
        <v>2731</v>
      </c>
      <c r="O67" t="s">
        <v>2732</v>
      </c>
      <c r="P67">
        <v>-9.4499999999999993</v>
      </c>
      <c r="Q67" t="s">
        <v>1166</v>
      </c>
      <c r="R67">
        <v>2306454900</v>
      </c>
      <c r="S67" s="5">
        <v>2.47E-3</v>
      </c>
      <c r="T67" t="s">
        <v>419</v>
      </c>
      <c r="U67">
        <v>1952475500</v>
      </c>
      <c r="V67">
        <v>2068859000</v>
      </c>
      <c r="W67">
        <v>1.3</v>
      </c>
      <c r="X67">
        <v>0.24</v>
      </c>
      <c r="Y67">
        <v>12.95</v>
      </c>
      <c r="Z67" t="s">
        <v>2733</v>
      </c>
      <c r="AA67" t="s">
        <v>2734</v>
      </c>
      <c r="AB67" t="s">
        <v>2735</v>
      </c>
      <c r="AC67" t="s">
        <v>1069</v>
      </c>
      <c r="AD67" t="s">
        <v>133</v>
      </c>
      <c r="AE67">
        <v>-124944832</v>
      </c>
      <c r="AF67" t="s">
        <v>2736</v>
      </c>
      <c r="AG67" t="s">
        <v>2737</v>
      </c>
      <c r="AH67" t="s">
        <v>2738</v>
      </c>
      <c r="AI67" t="s">
        <v>2739</v>
      </c>
      <c r="AJ67" t="s">
        <v>2740</v>
      </c>
      <c r="AK67" t="s">
        <v>133</v>
      </c>
      <c r="AL67" t="s">
        <v>2741</v>
      </c>
      <c r="AM67" t="s">
        <v>133</v>
      </c>
      <c r="AN67" t="s">
        <v>2742</v>
      </c>
      <c r="AO67" t="s">
        <v>1430</v>
      </c>
      <c r="AP67" t="s">
        <v>2743</v>
      </c>
      <c r="AQ67" t="s">
        <v>2744</v>
      </c>
      <c r="AR67" t="s">
        <v>2745</v>
      </c>
      <c r="AS67" t="s">
        <v>2746</v>
      </c>
      <c r="AT67" t="s">
        <v>2747</v>
      </c>
      <c r="AU67" t="s">
        <v>2748</v>
      </c>
      <c r="AV67" t="s">
        <v>2749</v>
      </c>
      <c r="AW67" t="s">
        <v>2750</v>
      </c>
      <c r="AX67" t="s">
        <v>1016</v>
      </c>
      <c r="AY67" t="s">
        <v>724</v>
      </c>
      <c r="AZ67" t="s">
        <v>726</v>
      </c>
      <c r="BA67" t="s">
        <v>623</v>
      </c>
      <c r="BB67" t="s">
        <v>624</v>
      </c>
      <c r="BC67" t="s">
        <v>1017</v>
      </c>
      <c r="BD67" t="s">
        <v>725</v>
      </c>
      <c r="BE67" t="s">
        <v>622</v>
      </c>
      <c r="BF67" t="s">
        <v>625</v>
      </c>
      <c r="BG67" t="s">
        <v>626</v>
      </c>
      <c r="BH67" t="s">
        <v>2751</v>
      </c>
      <c r="BI67" t="s">
        <v>2185</v>
      </c>
      <c r="BJ67" t="s">
        <v>1016</v>
      </c>
      <c r="BK67" t="s">
        <v>2752</v>
      </c>
      <c r="BL67" t="s">
        <v>2753</v>
      </c>
      <c r="BM67" t="s">
        <v>1017</v>
      </c>
      <c r="BN67">
        <v>8.15</v>
      </c>
      <c r="BO67">
        <v>12.7</v>
      </c>
      <c r="BP67">
        <v>39.020000000000003</v>
      </c>
      <c r="BQ67">
        <v>10.23</v>
      </c>
      <c r="BR67">
        <v>13.95</v>
      </c>
      <c r="BS67">
        <v>37.33</v>
      </c>
      <c r="BT67" t="s">
        <v>2754</v>
      </c>
      <c r="BU67" t="s">
        <v>803</v>
      </c>
      <c r="BV67">
        <v>31.82</v>
      </c>
      <c r="BW67">
        <v>28.39</v>
      </c>
      <c r="BX67">
        <v>33.68</v>
      </c>
      <c r="BY67">
        <v>10.76</v>
      </c>
      <c r="BZ67">
        <v>11.37</v>
      </c>
      <c r="CA67">
        <v>18.27</v>
      </c>
      <c r="CB67">
        <v>5.18</v>
      </c>
      <c r="CC67">
        <v>-11.37</v>
      </c>
      <c r="CD67" t="s">
        <v>146</v>
      </c>
      <c r="CE67" t="s">
        <v>2755</v>
      </c>
      <c r="CF67" s="9">
        <v>37.46012269938651</v>
      </c>
      <c r="CG67" s="10">
        <v>38.121498671895409</v>
      </c>
      <c r="CH67" s="9">
        <v>-0.96452516317367554</v>
      </c>
      <c r="CI67" s="9">
        <v>-0.1956823468208313</v>
      </c>
      <c r="CJ67" s="9">
        <v>0.28666484355926514</v>
      </c>
      <c r="CK67" s="9">
        <v>8.1996254622936249E-2</v>
      </c>
      <c r="CL67" s="9">
        <v>3.4143876284360886E-2</v>
      </c>
      <c r="CM67" s="10">
        <v>-0.95288264751434326</v>
      </c>
      <c r="CN67" s="10">
        <v>-0.47897240519523621</v>
      </c>
      <c r="CO67" s="10">
        <v>0.57231259346008301</v>
      </c>
      <c r="CP67" s="10">
        <v>0.32556137442588806</v>
      </c>
      <c r="CQ67" s="10">
        <v>0.49660739302635193</v>
      </c>
      <c r="CR67">
        <v>28.342246769487286</v>
      </c>
      <c r="CS67">
        <v>1.8710161004234973</v>
      </c>
      <c r="CT67">
        <v>2.5102692834322227</v>
      </c>
      <c r="CU67" s="9">
        <v>-0.15148050710558891</v>
      </c>
      <c r="CV67" s="10">
        <v>-7.4747383594512941E-3</v>
      </c>
      <c r="CW67">
        <v>0.06</v>
      </c>
      <c r="CX67">
        <v>396.83586497890298</v>
      </c>
      <c r="CY67" t="s">
        <v>2756</v>
      </c>
      <c r="CZ67">
        <v>-0.15148050710558891</v>
      </c>
      <c r="DA67">
        <v>132.27862165963433</v>
      </c>
      <c r="DB67" t="s">
        <v>2757</v>
      </c>
      <c r="DC67">
        <v>-0.14390648175030946</v>
      </c>
      <c r="DD67">
        <v>66.139310829817163</v>
      </c>
      <c r="DE67" t="s">
        <v>2758</v>
      </c>
      <c r="DF67">
        <v>-0.13330284625291824</v>
      </c>
      <c r="DG67">
        <v>39.683586497890296</v>
      </c>
      <c r="DH67" t="s">
        <v>2759</v>
      </c>
      <c r="DI67">
        <v>-0.12118440568447114</v>
      </c>
      <c r="DJ67">
        <v>19.841793248945148</v>
      </c>
      <c r="DK67" t="s">
        <v>2760</v>
      </c>
      <c r="DL67">
        <v>-0.10603635497391223</v>
      </c>
      <c r="DM67">
        <v>237000000</v>
      </c>
      <c r="DN67">
        <v>-0.15148050710558891</v>
      </c>
      <c r="DO67">
        <v>94050100000</v>
      </c>
      <c r="DP67">
        <v>45492624000</v>
      </c>
      <c r="DQ67">
        <v>3808</v>
      </c>
      <c r="DR67">
        <v>37.611603206492099</v>
      </c>
      <c r="DS67">
        <v>38.128973410254858</v>
      </c>
      <c r="DT67" s="11">
        <v>-0.79</v>
      </c>
      <c r="DU67">
        <v>-0.13333333333333339</v>
      </c>
      <c r="DV67">
        <v>-0.92333333333333345</v>
      </c>
      <c r="DW67">
        <v>6.3129909365558916</v>
      </c>
      <c r="DX67">
        <v>0.59342327150084206</v>
      </c>
      <c r="DY67">
        <v>6.0918388245543422</v>
      </c>
      <c r="DZ67">
        <v>2009</v>
      </c>
      <c r="EA67">
        <v>6.0557323277774984</v>
      </c>
      <c r="EB67">
        <v>6</v>
      </c>
      <c r="EC67">
        <v>8.4104329971254693E-2</v>
      </c>
      <c r="ED67">
        <v>0.2866314234077818</v>
      </c>
      <c r="EE67" s="12">
        <v>3.6010000000000007E-2</v>
      </c>
      <c r="EF67">
        <v>5.9909999999999998E-2</v>
      </c>
      <c r="EG67">
        <v>30.293423271500842</v>
      </c>
      <c r="EH67">
        <v>-1</v>
      </c>
      <c r="EI67">
        <v>0</v>
      </c>
      <c r="EJ67">
        <v>0</v>
      </c>
      <c r="EK67" s="14">
        <v>45470</v>
      </c>
      <c r="EL67" s="15">
        <v>1.21</v>
      </c>
      <c r="EM67" s="15">
        <v>-3.39</v>
      </c>
      <c r="EN67" s="15">
        <v>1.03</v>
      </c>
      <c r="EO67" s="15">
        <v>2.66</v>
      </c>
      <c r="EP67" s="15">
        <v>-2.39</v>
      </c>
    </row>
    <row r="68" spans="1:146" ht="144" x14ac:dyDescent="0.25">
      <c r="A68" s="8" t="s">
        <v>631</v>
      </c>
      <c r="B68" s="8" t="s">
        <v>636</v>
      </c>
      <c r="C68" s="8" t="s">
        <v>630</v>
      </c>
      <c r="D68" t="s">
        <v>74</v>
      </c>
      <c r="E68" t="s">
        <v>9</v>
      </c>
      <c r="F68">
        <v>2.2599999999999998</v>
      </c>
      <c r="G68">
        <v>-1.74</v>
      </c>
      <c r="H68" t="s">
        <v>264</v>
      </c>
      <c r="I68">
        <v>20509584000</v>
      </c>
      <c r="K68">
        <v>3.07</v>
      </c>
      <c r="L68" t="s">
        <v>57</v>
      </c>
      <c r="M68" t="s">
        <v>2761</v>
      </c>
      <c r="N68" t="s">
        <v>2762</v>
      </c>
      <c r="O68" t="s">
        <v>2763</v>
      </c>
      <c r="P68">
        <v>-8.98</v>
      </c>
      <c r="Q68" t="s">
        <v>2764</v>
      </c>
      <c r="R68">
        <v>736404590</v>
      </c>
      <c r="S68" s="5">
        <v>4.5699999999999998E-2</v>
      </c>
      <c r="T68" t="s">
        <v>2765</v>
      </c>
      <c r="U68">
        <v>9075037000</v>
      </c>
      <c r="V68">
        <v>9075037000</v>
      </c>
      <c r="W68">
        <v>7.49</v>
      </c>
      <c r="X68">
        <v>0.43</v>
      </c>
      <c r="Y68">
        <v>3.35</v>
      </c>
      <c r="Z68" t="s">
        <v>2766</v>
      </c>
      <c r="AA68" t="s">
        <v>2767</v>
      </c>
      <c r="AB68" t="s">
        <v>2768</v>
      </c>
      <c r="AC68" t="s">
        <v>2769</v>
      </c>
      <c r="AD68" t="s">
        <v>133</v>
      </c>
      <c r="AE68">
        <v>313738630</v>
      </c>
      <c r="AF68" t="s">
        <v>2770</v>
      </c>
      <c r="AG68" t="s">
        <v>2771</v>
      </c>
      <c r="AH68" t="s">
        <v>2772</v>
      </c>
      <c r="AI68" t="s">
        <v>2773</v>
      </c>
      <c r="AJ68" t="s">
        <v>2774</v>
      </c>
      <c r="AK68" t="s">
        <v>133</v>
      </c>
      <c r="AL68" t="s">
        <v>2775</v>
      </c>
      <c r="AM68" t="s">
        <v>133</v>
      </c>
      <c r="AN68" t="s">
        <v>2618</v>
      </c>
      <c r="AO68" t="s">
        <v>2776</v>
      </c>
      <c r="AP68" t="s">
        <v>133</v>
      </c>
      <c r="AQ68" t="s">
        <v>2777</v>
      </c>
      <c r="AR68" t="s">
        <v>806</v>
      </c>
      <c r="AS68" t="s">
        <v>2778</v>
      </c>
      <c r="AT68" t="s">
        <v>225</v>
      </c>
      <c r="AU68" t="s">
        <v>2779</v>
      </c>
      <c r="AV68" t="s">
        <v>2780</v>
      </c>
      <c r="AW68" t="s">
        <v>2781</v>
      </c>
      <c r="AX68" t="s">
        <v>1018</v>
      </c>
      <c r="AY68" t="s">
        <v>727</v>
      </c>
      <c r="AZ68" t="s">
        <v>536</v>
      </c>
      <c r="BA68" t="s">
        <v>286</v>
      </c>
      <c r="BB68" t="s">
        <v>538</v>
      </c>
      <c r="BC68" t="s">
        <v>1019</v>
      </c>
      <c r="BD68" t="s">
        <v>728</v>
      </c>
      <c r="BE68" t="s">
        <v>537</v>
      </c>
      <c r="BF68" t="s">
        <v>287</v>
      </c>
      <c r="BG68" t="s">
        <v>539</v>
      </c>
      <c r="BH68" t="s">
        <v>2782</v>
      </c>
      <c r="BI68" t="s">
        <v>2783</v>
      </c>
      <c r="BJ68" t="s">
        <v>1018</v>
      </c>
      <c r="BK68" t="s">
        <v>2784</v>
      </c>
      <c r="BL68" t="s">
        <v>2785</v>
      </c>
      <c r="BM68" t="s">
        <v>1019</v>
      </c>
      <c r="BN68">
        <v>-1.1000000000000001</v>
      </c>
      <c r="BO68" t="s">
        <v>133</v>
      </c>
      <c r="BP68" t="s">
        <v>133</v>
      </c>
      <c r="BQ68">
        <v>0.7</v>
      </c>
      <c r="BR68">
        <v>-30.21</v>
      </c>
      <c r="BS68">
        <v>-30.24</v>
      </c>
      <c r="BT68" t="s">
        <v>856</v>
      </c>
      <c r="BU68" t="s">
        <v>787</v>
      </c>
      <c r="BV68">
        <v>21.24</v>
      </c>
      <c r="BW68">
        <v>19.68</v>
      </c>
      <c r="BX68">
        <v>18.71</v>
      </c>
      <c r="BY68">
        <v>-1.86</v>
      </c>
      <c r="BZ68">
        <v>-3.33</v>
      </c>
      <c r="CA68">
        <v>-4.9400000000000004</v>
      </c>
      <c r="CB68">
        <v>-8.8699999999999992</v>
      </c>
      <c r="CC68">
        <v>-5.44</v>
      </c>
      <c r="CD68" t="s">
        <v>488</v>
      </c>
      <c r="CE68" t="s">
        <v>2786</v>
      </c>
      <c r="CF68" s="9">
        <v>-0.89537657671579518</v>
      </c>
      <c r="CG68" s="10">
        <v>-0.99170182898932868</v>
      </c>
      <c r="CH68" s="9">
        <v>7.5439825057983398</v>
      </c>
      <c r="CI68" s="9">
        <v>-1.0663039982318878E-2</v>
      </c>
      <c r="CJ68" s="9">
        <v>-2.292940765619278E-2</v>
      </c>
      <c r="CK68" s="9">
        <v>9.8047748208045959E-2</v>
      </c>
      <c r="CL68" s="9">
        <v>0.20363888144493103</v>
      </c>
      <c r="CM68" s="10">
        <v>121.39558410644531</v>
      </c>
      <c r="CN68" s="10">
        <v>0.29944217205047607</v>
      </c>
      <c r="CO68" s="10">
        <v>-3.1984391212463379</v>
      </c>
      <c r="CP68" s="10">
        <v>0.14705882966518402</v>
      </c>
      <c r="CQ68" s="10">
        <v>5.6756757199764252E-2</v>
      </c>
      <c r="CR68">
        <v>0.37201770339556933</v>
      </c>
      <c r="CS68">
        <v>2.3810423160331609E-3</v>
      </c>
      <c r="CT68">
        <v>0</v>
      </c>
      <c r="CU68" s="9">
        <v>1.5624153375625611</v>
      </c>
      <c r="CV68" s="10">
        <v>23.740080548822881</v>
      </c>
      <c r="CW68">
        <v>0.06</v>
      </c>
      <c r="CX68">
        <v>7.457172778755182E-2</v>
      </c>
      <c r="CY68">
        <v>804146367251.13074</v>
      </c>
      <c r="CZ68">
        <v>1.5624153375625611</v>
      </c>
      <c r="DA68">
        <v>8.7044476530409587E-3</v>
      </c>
      <c r="DB68">
        <v>6889188882542.1641</v>
      </c>
      <c r="DC68">
        <v>1.484294570684433</v>
      </c>
      <c r="DD68">
        <v>7.9533716750660691E-4</v>
      </c>
      <c r="DE68">
        <v>75397688489771.047</v>
      </c>
      <c r="DF68">
        <v>1.3749254970550537</v>
      </c>
      <c r="DG68">
        <v>5.1388849608010047E-5</v>
      </c>
      <c r="DH68">
        <v>1166918202244654.5</v>
      </c>
      <c r="DI68">
        <v>1.249932270050049</v>
      </c>
      <c r="DJ68">
        <v>1.0895901428190883E-7</v>
      </c>
      <c r="DK68">
        <v>5.5035909048193952E+17</v>
      </c>
      <c r="DL68">
        <v>1.0936907362937927</v>
      </c>
      <c r="DM68">
        <v>332653000000</v>
      </c>
      <c r="DN68">
        <v>1.5624153375625611</v>
      </c>
      <c r="DO68">
        <v>59966584000</v>
      </c>
      <c r="DP68">
        <v>-4789429000</v>
      </c>
      <c r="DQ68">
        <v>3821</v>
      </c>
      <c r="DR68">
        <v>-2.4577919142783564</v>
      </c>
      <c r="DS68">
        <v>-24.731782377812209</v>
      </c>
      <c r="DT68" s="11">
        <v>-4.0000000000000036E-2</v>
      </c>
      <c r="DU68">
        <v>-1.0899999999999999</v>
      </c>
      <c r="DV68">
        <v>-1.1299999999999999</v>
      </c>
      <c r="DW68">
        <v>-5.6133032694475764</v>
      </c>
      <c r="DX68">
        <v>0.32111110979204138</v>
      </c>
      <c r="DY68">
        <v>-5.0681448069074069</v>
      </c>
      <c r="DZ68">
        <v>4976</v>
      </c>
      <c r="EA68">
        <v>-5.001786967539255</v>
      </c>
      <c r="EB68">
        <v>5</v>
      </c>
      <c r="EC68">
        <v>6.6005240529597844E-2</v>
      </c>
      <c r="ED68">
        <v>0.59404716476638053</v>
      </c>
      <c r="EE68" s="12">
        <v>-3.0140099999999999</v>
      </c>
      <c r="EF68">
        <v>-3.0847099999999998</v>
      </c>
      <c r="EG68">
        <v>21.111111109792041</v>
      </c>
      <c r="EH68" t="s">
        <v>1696</v>
      </c>
      <c r="EI68">
        <v>0</v>
      </c>
      <c r="EJ68">
        <v>0</v>
      </c>
      <c r="EK68" s="14">
        <v>45470</v>
      </c>
      <c r="EL68" s="15">
        <v>0.95</v>
      </c>
      <c r="EM68" s="15">
        <v>-5.66</v>
      </c>
      <c r="EN68" s="15">
        <v>-4</v>
      </c>
      <c r="EO68" s="15">
        <v>3.13</v>
      </c>
      <c r="EP68" s="15">
        <v>-7.07</v>
      </c>
    </row>
    <row r="69" spans="1:146" ht="96" x14ac:dyDescent="0.25">
      <c r="A69" s="8"/>
      <c r="B69" s="8"/>
      <c r="C69" s="8" t="str">
        <f>""&amp;CHAR(10)&amp;Basic_Fundamental_Information_Constructure(F69)&amp;CHAR(10)&amp;Basic_Fundamental_Information_Concatenate("")</f>
        <v xml:space="preserve">
市值23.2848亿, 利润1.69亿; PE21.33; 平均PE78.23; 平均PEG4.25, PB1.56; ROIC6.38%; ROE1.33%; 股利率5.1784%; 毛利36.21%; 净利.15%; 上一年度营收增-54.33%, 利润增207.64%; 当季营收增203.88%, 利润增-15.64%; 过往5年营收增-18.43%, 利润增-14.06%
Income profile:
</v>
      </c>
      <c r="D69" t="s">
        <v>61</v>
      </c>
      <c r="E69" t="s">
        <v>23</v>
      </c>
      <c r="F69">
        <v>4.95</v>
      </c>
      <c r="G69">
        <v>1.43</v>
      </c>
      <c r="H69" t="s">
        <v>2787</v>
      </c>
      <c r="I69">
        <v>2328480000</v>
      </c>
      <c r="J69">
        <v>21.33</v>
      </c>
      <c r="K69">
        <v>1.56</v>
      </c>
      <c r="L69" t="s">
        <v>57</v>
      </c>
      <c r="M69" t="s">
        <v>2788</v>
      </c>
      <c r="N69" t="s">
        <v>2789</v>
      </c>
      <c r="O69" t="s">
        <v>1043</v>
      </c>
      <c r="P69">
        <v>-4.67</v>
      </c>
      <c r="Q69" t="s">
        <v>2790</v>
      </c>
      <c r="R69">
        <v>37778985</v>
      </c>
      <c r="S69" s="5">
        <v>-0.58069999999999999</v>
      </c>
      <c r="T69" t="s">
        <v>1690</v>
      </c>
      <c r="U69">
        <v>470400000</v>
      </c>
      <c r="V69">
        <v>470400000</v>
      </c>
      <c r="W69">
        <v>2.82</v>
      </c>
      <c r="X69">
        <v>0.17</v>
      </c>
      <c r="Y69">
        <v>5.36</v>
      </c>
      <c r="Z69" t="s">
        <v>2791</v>
      </c>
      <c r="AA69" t="s">
        <v>2792</v>
      </c>
      <c r="AB69" t="s">
        <v>1113</v>
      </c>
      <c r="AC69" t="s">
        <v>2793</v>
      </c>
      <c r="AD69" t="s">
        <v>133</v>
      </c>
      <c r="AE69">
        <v>18417773</v>
      </c>
      <c r="AF69" t="s">
        <v>158</v>
      </c>
      <c r="AG69" t="s">
        <v>2794</v>
      </c>
      <c r="AH69" t="s">
        <v>2795</v>
      </c>
      <c r="AI69" t="s">
        <v>255</v>
      </c>
      <c r="AJ69" t="s">
        <v>2796</v>
      </c>
      <c r="AK69" t="s">
        <v>2797</v>
      </c>
      <c r="AL69" t="s">
        <v>2798</v>
      </c>
      <c r="AM69" t="s">
        <v>133</v>
      </c>
      <c r="AN69" t="s">
        <v>2799</v>
      </c>
      <c r="AO69" t="s">
        <v>2401</v>
      </c>
      <c r="AP69" t="s">
        <v>133</v>
      </c>
      <c r="AQ69" t="s">
        <v>877</v>
      </c>
      <c r="AR69" t="s">
        <v>2800</v>
      </c>
      <c r="AS69" t="s">
        <v>2801</v>
      </c>
      <c r="AT69" t="s">
        <v>133</v>
      </c>
      <c r="AU69" t="s">
        <v>2802</v>
      </c>
      <c r="AV69" t="s">
        <v>2803</v>
      </c>
      <c r="AW69" t="s">
        <v>2804</v>
      </c>
      <c r="AX69" t="s">
        <v>1021</v>
      </c>
      <c r="AY69" t="s">
        <v>1023</v>
      </c>
      <c r="AZ69" t="s">
        <v>862</v>
      </c>
      <c r="BA69" t="s">
        <v>164</v>
      </c>
      <c r="BB69" t="s">
        <v>541</v>
      </c>
      <c r="BC69" t="s">
        <v>2805</v>
      </c>
      <c r="BD69" t="s">
        <v>729</v>
      </c>
      <c r="BE69" t="s">
        <v>540</v>
      </c>
      <c r="BF69" t="s">
        <v>290</v>
      </c>
      <c r="BG69" t="s">
        <v>542</v>
      </c>
      <c r="BH69" t="s">
        <v>2806</v>
      </c>
      <c r="BI69" t="s">
        <v>187</v>
      </c>
      <c r="BJ69" t="s">
        <v>1021</v>
      </c>
      <c r="BK69" t="s">
        <v>883</v>
      </c>
      <c r="BL69" t="s">
        <v>2807</v>
      </c>
      <c r="BM69" t="s">
        <v>2805</v>
      </c>
      <c r="BN69">
        <v>8.59</v>
      </c>
      <c r="BO69" t="s">
        <v>133</v>
      </c>
      <c r="BP69">
        <v>4.17</v>
      </c>
      <c r="BQ69">
        <v>11.66</v>
      </c>
      <c r="BR69">
        <v>-11.35</v>
      </c>
      <c r="BS69">
        <v>3.68</v>
      </c>
      <c r="BT69" t="s">
        <v>2808</v>
      </c>
      <c r="BU69" t="s">
        <v>787</v>
      </c>
      <c r="BV69">
        <v>37.51</v>
      </c>
      <c r="BW69">
        <v>35.619999999999997</v>
      </c>
      <c r="BX69">
        <v>35.5</v>
      </c>
      <c r="BY69">
        <v>6.47</v>
      </c>
      <c r="BZ69">
        <v>-8.1999999999999993</v>
      </c>
      <c r="CA69">
        <v>2.1800000000000002</v>
      </c>
      <c r="CB69">
        <v>0.41</v>
      </c>
      <c r="CC69">
        <v>-11.76</v>
      </c>
      <c r="CD69" t="s">
        <v>2809</v>
      </c>
      <c r="CE69" t="s">
        <v>2810</v>
      </c>
      <c r="CF69" s="9">
        <v>2.0387931034482762</v>
      </c>
      <c r="CG69" s="10">
        <v>-0.15640273584737133</v>
      </c>
      <c r="CH69" s="9">
        <v>-0.54326170682907104</v>
      </c>
      <c r="CI69" s="9">
        <v>-0.20342515408992767</v>
      </c>
      <c r="CJ69" s="9">
        <v>0.12871284782886505</v>
      </c>
      <c r="CK69" s="9">
        <v>-0.51828300952911377</v>
      </c>
      <c r="CL69" s="9">
        <v>0.21495579183101654</v>
      </c>
      <c r="CM69" s="10">
        <v>2.0764331817626953</v>
      </c>
      <c r="CN69" s="10">
        <v>-3.993783712387085</v>
      </c>
      <c r="CO69" s="10">
        <v>2.2345049381256104</v>
      </c>
      <c r="CP69" s="10">
        <v>-0.41621869802474976</v>
      </c>
      <c r="CQ69" s="10">
        <v>-0.60412824153900146</v>
      </c>
      <c r="CR69">
        <v>78.23120147605195</v>
      </c>
      <c r="CS69">
        <v>4.2456907068885741</v>
      </c>
      <c r="CT69">
        <v>5.1783838383838381</v>
      </c>
      <c r="CU69" s="9">
        <v>-0.18426024615764619</v>
      </c>
      <c r="CV69" s="10">
        <v>-0.14063850641250611</v>
      </c>
      <c r="CW69">
        <v>0.06</v>
      </c>
      <c r="CX69">
        <v>21.600473372781064</v>
      </c>
      <c r="CY69" t="s">
        <v>2811</v>
      </c>
      <c r="CZ69">
        <v>-0.18426024615764619</v>
      </c>
      <c r="DA69">
        <v>7.2001577909270216</v>
      </c>
      <c r="DB69" t="s">
        <v>2812</v>
      </c>
      <c r="DC69">
        <v>-0.17504723384976387</v>
      </c>
      <c r="DD69">
        <v>3.6000788954635108</v>
      </c>
      <c r="DE69" t="s">
        <v>2813</v>
      </c>
      <c r="DF69">
        <v>-0.16214901661872866</v>
      </c>
      <c r="DG69">
        <v>2.1600473372781064</v>
      </c>
      <c r="DH69" t="s">
        <v>2814</v>
      </c>
      <c r="DI69">
        <v>-0.14740819692611695</v>
      </c>
      <c r="DJ69">
        <v>1.0800236686390532</v>
      </c>
      <c r="DK69" t="s">
        <v>2815</v>
      </c>
      <c r="DL69">
        <v>-0.12898217231035233</v>
      </c>
      <c r="DM69">
        <v>169000000</v>
      </c>
      <c r="DN69">
        <v>-0.18426024615764619</v>
      </c>
      <c r="DO69">
        <v>3650480000</v>
      </c>
      <c r="DP69">
        <v>-1585843050</v>
      </c>
      <c r="DQ69">
        <v>3930</v>
      </c>
      <c r="DR69">
        <v>2.2230533496059226</v>
      </c>
      <c r="DS69">
        <v>-1.5764229434865218E-2</v>
      </c>
      <c r="DT69" s="11">
        <v>-0.77333333333333332</v>
      </c>
      <c r="DU69">
        <v>-0.40500000000000008</v>
      </c>
      <c r="DV69">
        <v>-1.1783333333333335</v>
      </c>
      <c r="DW69">
        <v>-2.1175999999999999</v>
      </c>
      <c r="DX69">
        <v>0.36509034503083343</v>
      </c>
      <c r="DY69">
        <v>-2.0194146245756261</v>
      </c>
      <c r="DZ69">
        <v>794</v>
      </c>
      <c r="EA69">
        <v>-2.0163979490544821</v>
      </c>
      <c r="EB69">
        <v>2</v>
      </c>
      <c r="EC69">
        <v>2.7418367346938775E-2</v>
      </c>
      <c r="ED69">
        <v>0.16608099489795919</v>
      </c>
      <c r="EE69" s="12">
        <v>-1.04941</v>
      </c>
      <c r="EF69">
        <v>-1.0843099999999999</v>
      </c>
      <c r="EG69">
        <v>20.165090345030833</v>
      </c>
      <c r="EH69" t="s">
        <v>793</v>
      </c>
      <c r="EI69">
        <v>0</v>
      </c>
      <c r="EJ69">
        <v>1</v>
      </c>
      <c r="EK69" s="14">
        <v>45470</v>
      </c>
      <c r="EL69" s="15">
        <v>-0.08</v>
      </c>
      <c r="EM69" s="15">
        <v>-2.4900000000000002</v>
      </c>
      <c r="EN69" s="15">
        <v>-0.74</v>
      </c>
      <c r="EO69" s="15">
        <v>1.41</v>
      </c>
      <c r="EP69" s="15">
        <v>-3.49</v>
      </c>
    </row>
    <row r="70" spans="1:146" ht="96" x14ac:dyDescent="0.25">
      <c r="A70" s="8"/>
      <c r="B70" s="8"/>
      <c r="C70" s="8" t="str">
        <f>""&amp;CHAR(10)&amp;Basic_Fundamental_Information_Constructure(F70)&amp;CHAR(10)&amp;Basic_Fundamental_Information_Concatenate("")</f>
        <v xml:space="preserve">
市值15.904396亿, 利润2.02亿; PE14.68; 平均PE12.68; 平均PEG15.65, PB1.43; ROIC6.52%; ROE7.7767%; 股利率3.0488%; 毛利29.06%; 净利3.0667%; 上一年度营收增-56.89%, 利润增135.02%; 当季营收增113.23%, 利润增-86.4%; 过往5年营收增.81%, 利润增23.82%
Income profile:
</v>
      </c>
      <c r="D70" t="s">
        <v>78</v>
      </c>
      <c r="E70" t="s">
        <v>14</v>
      </c>
      <c r="F70">
        <v>11.48</v>
      </c>
      <c r="G70">
        <v>1.59</v>
      </c>
      <c r="H70" t="s">
        <v>2816</v>
      </c>
      <c r="I70">
        <v>1590439600</v>
      </c>
      <c r="J70">
        <v>14.68</v>
      </c>
      <c r="K70">
        <v>1.43</v>
      </c>
      <c r="L70" t="s">
        <v>57</v>
      </c>
      <c r="M70" t="s">
        <v>2817</v>
      </c>
      <c r="N70" t="s">
        <v>2818</v>
      </c>
      <c r="O70" t="s">
        <v>1832</v>
      </c>
      <c r="P70">
        <v>6.42</v>
      </c>
      <c r="Q70" t="s">
        <v>2819</v>
      </c>
      <c r="R70">
        <v>6306934</v>
      </c>
      <c r="S70" s="5">
        <v>1.353</v>
      </c>
      <c r="T70" t="s">
        <v>202</v>
      </c>
      <c r="U70">
        <v>138540040</v>
      </c>
      <c r="V70">
        <v>138540040</v>
      </c>
      <c r="W70">
        <v>2.2000000000000002</v>
      </c>
      <c r="X70">
        <v>0.31</v>
      </c>
      <c r="Y70">
        <v>0.86</v>
      </c>
      <c r="Z70" t="s">
        <v>1130</v>
      </c>
      <c r="AA70" t="s">
        <v>486</v>
      </c>
      <c r="AB70" t="s">
        <v>883</v>
      </c>
      <c r="AC70" t="s">
        <v>2820</v>
      </c>
      <c r="AD70" t="s">
        <v>133</v>
      </c>
      <c r="AE70">
        <v>7567442</v>
      </c>
      <c r="AF70" t="s">
        <v>2821</v>
      </c>
      <c r="AG70" t="s">
        <v>2822</v>
      </c>
      <c r="AH70" t="s">
        <v>2823</v>
      </c>
      <c r="AI70" t="s">
        <v>2824</v>
      </c>
      <c r="AJ70" t="s">
        <v>2825</v>
      </c>
      <c r="AK70" t="s">
        <v>133</v>
      </c>
      <c r="AL70" t="s">
        <v>2826</v>
      </c>
      <c r="AM70" t="s">
        <v>133</v>
      </c>
      <c r="AN70">
        <v>0</v>
      </c>
      <c r="AO70" t="s">
        <v>1093</v>
      </c>
      <c r="AP70" t="s">
        <v>133</v>
      </c>
      <c r="AQ70" t="s">
        <v>1185</v>
      </c>
      <c r="AR70" t="s">
        <v>133</v>
      </c>
      <c r="AS70" t="s">
        <v>2827</v>
      </c>
      <c r="AT70" t="s">
        <v>133</v>
      </c>
      <c r="AU70" t="s">
        <v>2828</v>
      </c>
      <c r="AV70" t="s">
        <v>2829</v>
      </c>
      <c r="AW70" t="s">
        <v>2830</v>
      </c>
      <c r="AX70" t="s">
        <v>1024</v>
      </c>
      <c r="AY70" t="s">
        <v>730</v>
      </c>
      <c r="AZ70" t="s">
        <v>543</v>
      </c>
      <c r="BA70" t="s">
        <v>229</v>
      </c>
      <c r="BB70" t="s">
        <v>544</v>
      </c>
      <c r="BC70" t="s">
        <v>1025</v>
      </c>
      <c r="BD70" t="s">
        <v>731</v>
      </c>
      <c r="BE70" t="s">
        <v>184</v>
      </c>
      <c r="BF70" t="s">
        <v>161</v>
      </c>
      <c r="BG70" t="s">
        <v>180</v>
      </c>
      <c r="BH70" t="s">
        <v>2831</v>
      </c>
      <c r="BI70" t="s">
        <v>2335</v>
      </c>
      <c r="BJ70" t="s">
        <v>1024</v>
      </c>
      <c r="BK70" t="s">
        <v>283</v>
      </c>
      <c r="BL70" t="s">
        <v>2832</v>
      </c>
      <c r="BM70" t="s">
        <v>1025</v>
      </c>
      <c r="BN70">
        <v>4.71</v>
      </c>
      <c r="BO70">
        <v>7.62</v>
      </c>
      <c r="BP70">
        <v>7.23</v>
      </c>
      <c r="BQ70">
        <v>4.3499999999999996</v>
      </c>
      <c r="BR70">
        <v>11.86</v>
      </c>
      <c r="BS70">
        <v>7.12</v>
      </c>
      <c r="BT70" t="s">
        <v>868</v>
      </c>
      <c r="BU70" t="s">
        <v>792</v>
      </c>
      <c r="BV70">
        <v>28.38</v>
      </c>
      <c r="BW70">
        <v>28.54</v>
      </c>
      <c r="BX70">
        <v>30.26</v>
      </c>
      <c r="BY70">
        <v>3.48</v>
      </c>
      <c r="BZ70">
        <v>2.71</v>
      </c>
      <c r="CA70">
        <v>3.01</v>
      </c>
      <c r="CB70">
        <v>1.68</v>
      </c>
      <c r="CC70">
        <v>-10.24</v>
      </c>
      <c r="CD70" t="s">
        <v>2833</v>
      </c>
      <c r="CE70" t="s">
        <v>2834</v>
      </c>
      <c r="CF70" s="9">
        <v>1.1322751322751323</v>
      </c>
      <c r="CG70" s="10">
        <v>-0.86398470539775241</v>
      </c>
      <c r="CH70" s="9">
        <v>-0.56894171237945557</v>
      </c>
      <c r="CI70" s="9">
        <v>0.36463049054145813</v>
      </c>
      <c r="CJ70" s="9">
        <v>0.17553190886974335</v>
      </c>
      <c r="CK70" s="9">
        <v>-8.2926832139492035E-2</v>
      </c>
      <c r="CL70" s="9">
        <v>0.15222479403018951</v>
      </c>
      <c r="CM70" s="10">
        <v>1.3501790761947632</v>
      </c>
      <c r="CN70" s="10">
        <v>0.16975007951259613</v>
      </c>
      <c r="CO70" s="10">
        <v>-0.37198290228843689</v>
      </c>
      <c r="CP70" s="10">
        <v>-0.24025973677635193</v>
      </c>
      <c r="CQ70" s="10">
        <v>0.28333333134651184</v>
      </c>
      <c r="CR70">
        <v>12.682444281446392</v>
      </c>
      <c r="CS70">
        <v>15.650132246168692</v>
      </c>
      <c r="CT70">
        <v>3.0487804878048781</v>
      </c>
      <c r="CU70" s="9">
        <v>8.1037297844886776E-3</v>
      </c>
      <c r="CV70" s="10">
        <v>0.23820396959781648</v>
      </c>
      <c r="CW70">
        <v>0.06</v>
      </c>
      <c r="CX70">
        <v>9.3146452261086452</v>
      </c>
      <c r="CY70">
        <v>192110333.41176102</v>
      </c>
      <c r="CZ70">
        <v>8.1037297844886776E-3</v>
      </c>
      <c r="DA70">
        <v>3.2645574821736361</v>
      </c>
      <c r="DB70">
        <v>548141550.50764787</v>
      </c>
      <c r="DC70">
        <v>7.6985432952642431E-3</v>
      </c>
      <c r="DD70">
        <v>1.7592481906566486</v>
      </c>
      <c r="DE70">
        <v>1017161540.6533868</v>
      </c>
      <c r="DF70">
        <v>7.1312822103500361E-3</v>
      </c>
      <c r="DG70">
        <v>1.1649710830792499</v>
      </c>
      <c r="DH70">
        <v>1536037783.2470791</v>
      </c>
      <c r="DI70">
        <v>6.4829838275909423E-3</v>
      </c>
      <c r="DJ70">
        <v>0.73527303399964217</v>
      </c>
      <c r="DK70">
        <v>2433707639.5499511</v>
      </c>
      <c r="DL70">
        <v>5.6726108491420742E-3</v>
      </c>
      <c r="DM70">
        <v>202000000</v>
      </c>
      <c r="DN70">
        <v>8.1037297844886776E-3</v>
      </c>
      <c r="DO70">
        <v>1789439600</v>
      </c>
      <c r="DP70">
        <v>519784500</v>
      </c>
      <c r="DQ70">
        <v>4014</v>
      </c>
      <c r="DR70">
        <v>1.1241714024906437</v>
      </c>
      <c r="DS70">
        <v>-1.1021886749955689</v>
      </c>
      <c r="DT70" s="11">
        <v>-0.22333333333333338</v>
      </c>
      <c r="DU70">
        <v>-0.10666666666666669</v>
      </c>
      <c r="DV70">
        <v>-0.33000000000000007</v>
      </c>
      <c r="DW70">
        <v>-2.1023999999999998</v>
      </c>
      <c r="DX70">
        <v>0.42801711788981212</v>
      </c>
      <c r="DY70">
        <v>-2.0274449528719165</v>
      </c>
      <c r="DZ70">
        <v>2347</v>
      </c>
      <c r="EA70">
        <v>-2.0148396095469874</v>
      </c>
      <c r="EB70">
        <v>2</v>
      </c>
      <c r="EC70">
        <v>8.6162816179351467E-2</v>
      </c>
      <c r="ED70">
        <v>0.32148251148187917</v>
      </c>
      <c r="EE70" s="12">
        <v>-1.0189999999999999</v>
      </c>
      <c r="EF70">
        <v>-1.01441</v>
      </c>
      <c r="EG70">
        <v>16.268017117889812</v>
      </c>
      <c r="EH70" t="s">
        <v>793</v>
      </c>
      <c r="EI70">
        <v>0</v>
      </c>
      <c r="EJ70">
        <v>0</v>
      </c>
      <c r="EK70" s="14">
        <v>45470</v>
      </c>
      <c r="EL70" s="15">
        <v>-0.63</v>
      </c>
      <c r="EM70" s="15">
        <v>-5.84</v>
      </c>
      <c r="EN70" s="15">
        <v>1.48</v>
      </c>
      <c r="EO70" s="15">
        <v>3.45</v>
      </c>
      <c r="EP70" s="15">
        <v>-3.34</v>
      </c>
    </row>
    <row r="71" spans="1:146" ht="96" x14ac:dyDescent="0.25">
      <c r="C71" s="8" t="str">
        <f>""&amp;CHAR(10)&amp;Basic_Fundamental_Information_Constructure(F71)&amp;CHAR(10)&amp;Basic_Fundamental_Information_Concatenate("")</f>
        <v xml:space="preserve">
市值18.94725亿, 利润5656.89万; PE21.34; 平均PE14.4; 平均PEG.8, PB1.67; ROIC13.2733%; ROE9.3633%; 股利率0%; 毛利36.1833%; 净利10.15%; 上一年度营收增76.76%, 利润增-41.7%; 当季营收增-13.31%, 利润增58.81%; 过往5年营收增17.89%, 利润增-19.14%
Income profile:
</v>
      </c>
      <c r="D71" t="s">
        <v>294</v>
      </c>
      <c r="E71" t="s">
        <v>805</v>
      </c>
      <c r="F71">
        <v>4.01</v>
      </c>
      <c r="G71">
        <v>-0.5</v>
      </c>
      <c r="H71" t="s">
        <v>2835</v>
      </c>
      <c r="I71">
        <v>1894725000</v>
      </c>
      <c r="J71">
        <v>21.34</v>
      </c>
      <c r="K71">
        <v>1.67</v>
      </c>
      <c r="L71" t="s">
        <v>57</v>
      </c>
      <c r="M71" t="s">
        <v>2836</v>
      </c>
      <c r="N71" t="s">
        <v>2827</v>
      </c>
      <c r="O71" t="s">
        <v>2837</v>
      </c>
      <c r="P71">
        <v>3.09</v>
      </c>
      <c r="Q71" t="s">
        <v>2838</v>
      </c>
      <c r="R71">
        <v>13126360</v>
      </c>
      <c r="S71" s="5">
        <v>-0.43380000000000002</v>
      </c>
      <c r="T71" t="s">
        <v>2839</v>
      </c>
      <c r="U71">
        <v>472500000</v>
      </c>
      <c r="V71">
        <v>472500000</v>
      </c>
      <c r="W71">
        <v>4.59</v>
      </c>
      <c r="X71">
        <v>0.05</v>
      </c>
      <c r="Y71">
        <v>4</v>
      </c>
      <c r="Z71" t="s">
        <v>881</v>
      </c>
      <c r="AA71" t="s">
        <v>174</v>
      </c>
      <c r="AB71" t="s">
        <v>2840</v>
      </c>
      <c r="AC71" t="s">
        <v>2841</v>
      </c>
      <c r="AD71" t="s">
        <v>133</v>
      </c>
      <c r="AE71">
        <v>44208994</v>
      </c>
      <c r="AF71" t="s">
        <v>2842</v>
      </c>
      <c r="AG71" t="s">
        <v>2843</v>
      </c>
      <c r="AH71" t="s">
        <v>2844</v>
      </c>
      <c r="AI71" t="s">
        <v>919</v>
      </c>
      <c r="AJ71" t="s">
        <v>2845</v>
      </c>
      <c r="AK71" t="s">
        <v>133</v>
      </c>
      <c r="AL71" t="s">
        <v>2846</v>
      </c>
      <c r="AM71" t="s">
        <v>133</v>
      </c>
      <c r="AN71">
        <v>0</v>
      </c>
      <c r="AO71" t="s">
        <v>133</v>
      </c>
      <c r="AP71" t="s">
        <v>133</v>
      </c>
      <c r="AQ71" t="s">
        <v>791</v>
      </c>
      <c r="AR71" t="s">
        <v>2847</v>
      </c>
      <c r="AS71" t="s">
        <v>2790</v>
      </c>
      <c r="AT71" t="s">
        <v>133</v>
      </c>
      <c r="AU71" t="s">
        <v>611</v>
      </c>
      <c r="AV71" t="s">
        <v>2848</v>
      </c>
      <c r="AW71" t="s">
        <v>2849</v>
      </c>
      <c r="AX71" t="s">
        <v>1027</v>
      </c>
      <c r="AY71" t="s">
        <v>424</v>
      </c>
      <c r="AZ71" t="s">
        <v>545</v>
      </c>
      <c r="BA71" t="s">
        <v>295</v>
      </c>
      <c r="BB71" t="s">
        <v>547</v>
      </c>
      <c r="BC71" t="s">
        <v>1028</v>
      </c>
      <c r="BD71" t="s">
        <v>394</v>
      </c>
      <c r="BE71" t="s">
        <v>546</v>
      </c>
      <c r="BF71" t="s">
        <v>296</v>
      </c>
      <c r="BG71" t="s">
        <v>299</v>
      </c>
      <c r="BH71" t="s">
        <v>933</v>
      </c>
      <c r="BI71" t="s">
        <v>800</v>
      </c>
      <c r="BJ71" t="s">
        <v>1027</v>
      </c>
      <c r="BK71" t="s">
        <v>2850</v>
      </c>
      <c r="BL71" t="s">
        <v>2851</v>
      </c>
      <c r="BM71" t="s">
        <v>1028</v>
      </c>
      <c r="BN71">
        <v>11.4</v>
      </c>
      <c r="BO71">
        <v>13.13</v>
      </c>
      <c r="BP71">
        <v>15.29</v>
      </c>
      <c r="BQ71">
        <v>8.23</v>
      </c>
      <c r="BR71">
        <v>8.68</v>
      </c>
      <c r="BS71">
        <v>11.18</v>
      </c>
      <c r="BT71" t="s">
        <v>856</v>
      </c>
      <c r="BU71" t="s">
        <v>782</v>
      </c>
      <c r="BV71">
        <v>28.68</v>
      </c>
      <c r="BW71">
        <v>40.57</v>
      </c>
      <c r="BX71">
        <v>39.299999999999997</v>
      </c>
      <c r="BY71">
        <v>8.06</v>
      </c>
      <c r="BZ71">
        <v>9.32</v>
      </c>
      <c r="CA71">
        <v>13.07</v>
      </c>
      <c r="CB71">
        <v>0.5</v>
      </c>
      <c r="CC71">
        <v>-19.149999999999999</v>
      </c>
      <c r="CD71" t="s">
        <v>2852</v>
      </c>
      <c r="CE71" t="s">
        <v>175</v>
      </c>
      <c r="CF71" s="9">
        <v>-0.13310580204778158</v>
      </c>
      <c r="CG71" s="10">
        <v>0.58805182864125227</v>
      </c>
      <c r="CH71" s="9">
        <v>0.7675737738609314</v>
      </c>
      <c r="CI71" s="9">
        <v>-2.9702970758080482E-2</v>
      </c>
      <c r="CJ71" s="9">
        <v>0.23004059493541718</v>
      </c>
      <c r="CK71" s="9">
        <v>-0.10097323358058929</v>
      </c>
      <c r="CL71" s="9">
        <v>2.7499999850988388E-2</v>
      </c>
      <c r="CM71" s="10">
        <v>-0.41704022884368896</v>
      </c>
      <c r="CN71" s="10">
        <v>-0.21744032204151154</v>
      </c>
      <c r="CO71" s="10">
        <v>-0.20512820780277252</v>
      </c>
      <c r="CP71" s="10">
        <v>-0.12849162518978119</v>
      </c>
      <c r="CQ71" s="10">
        <v>1.1299435049295425E-2</v>
      </c>
      <c r="CR71">
        <v>14.397491509376255</v>
      </c>
      <c r="CS71">
        <v>0.80483436887470161</v>
      </c>
      <c r="CT71">
        <v>0</v>
      </c>
      <c r="CU71" s="9">
        <v>0.17888763286173343</v>
      </c>
      <c r="CV71" s="10">
        <v>-0.19136018976569175</v>
      </c>
      <c r="CW71">
        <v>0.06</v>
      </c>
      <c r="CX71">
        <v>81.599654636206694</v>
      </c>
      <c r="CY71">
        <v>62913562.843954831</v>
      </c>
      <c r="CZ71">
        <v>0.17888763286173343</v>
      </c>
      <c r="DA71">
        <v>24.751813772018739</v>
      </c>
      <c r="DB71">
        <v>207408032.69146839</v>
      </c>
      <c r="DC71">
        <v>0.16994325121864676</v>
      </c>
      <c r="DD71">
        <v>10.994349372491405</v>
      </c>
      <c r="DE71">
        <v>466942137.82626575</v>
      </c>
      <c r="DF71">
        <v>0.15742111691832542</v>
      </c>
      <c r="DG71">
        <v>5.8532068100463182</v>
      </c>
      <c r="DH71">
        <v>877079038.31256819</v>
      </c>
      <c r="DI71">
        <v>0.14311010628938675</v>
      </c>
      <c r="DJ71">
        <v>2.2860998617391299</v>
      </c>
      <c r="DK71">
        <v>2245625873.9697247</v>
      </c>
      <c r="DL71">
        <v>0.12522134300321339</v>
      </c>
      <c r="DM71">
        <v>56568900</v>
      </c>
      <c r="DN71">
        <v>0.17888763286173343</v>
      </c>
      <c r="DO71">
        <v>5133725000</v>
      </c>
      <c r="DP71">
        <v>-378078690.00000012</v>
      </c>
      <c r="DQ71">
        <v>4252</v>
      </c>
      <c r="DR71">
        <v>-0.31199343490951503</v>
      </c>
      <c r="DS71">
        <v>0.77941201840694396</v>
      </c>
      <c r="DT71" s="11">
        <v>2.6666666666666616E-2</v>
      </c>
      <c r="DU71">
        <v>-0.67</v>
      </c>
      <c r="DV71">
        <v>-0.64333333333333342</v>
      </c>
      <c r="DW71">
        <v>-3.035625</v>
      </c>
      <c r="DX71">
        <v>0.38628659003831389</v>
      </c>
      <c r="DY71">
        <v>-3.004142709770115</v>
      </c>
      <c r="DZ71">
        <v>1583</v>
      </c>
      <c r="EA71">
        <v>-3.0028593615184334</v>
      </c>
      <c r="EB71">
        <v>3</v>
      </c>
      <c r="EC71">
        <v>6.423449735449735E-2</v>
      </c>
      <c r="ED71">
        <v>0.55238095238095242</v>
      </c>
      <c r="EE71" s="12">
        <v>-6.0766999999999998</v>
      </c>
      <c r="EF71">
        <v>-6.0641999999999996</v>
      </c>
      <c r="EG71">
        <v>27.116286590038314</v>
      </c>
      <c r="EH71" t="s">
        <v>1435</v>
      </c>
      <c r="EI71">
        <v>0</v>
      </c>
      <c r="EJ71">
        <v>0</v>
      </c>
      <c r="EK71" s="14">
        <v>45470</v>
      </c>
      <c r="EL71" s="15">
        <v>-0.99</v>
      </c>
      <c r="EM71" s="15">
        <v>-4.38</v>
      </c>
      <c r="EN71">
        <v>0.92</v>
      </c>
      <c r="EO71">
        <v>4.0199999999999996</v>
      </c>
      <c r="EP71">
        <v>-1.25</v>
      </c>
    </row>
    <row r="72" spans="1:146" ht="156" x14ac:dyDescent="0.25">
      <c r="A72" s="8" t="s">
        <v>305</v>
      </c>
      <c r="B72" s="8" t="s">
        <v>635</v>
      </c>
      <c r="C72" s="8" t="s">
        <v>632</v>
      </c>
      <c r="D72" t="s">
        <v>76</v>
      </c>
      <c r="E72" t="s">
        <v>19</v>
      </c>
      <c r="F72">
        <v>8.17</v>
      </c>
      <c r="G72">
        <v>1.36</v>
      </c>
      <c r="H72" t="s">
        <v>2853</v>
      </c>
      <c r="I72">
        <v>5215212200</v>
      </c>
      <c r="J72">
        <v>35.68</v>
      </c>
      <c r="K72">
        <v>2.06</v>
      </c>
      <c r="L72" t="s">
        <v>57</v>
      </c>
      <c r="M72" t="s">
        <v>2854</v>
      </c>
      <c r="N72" t="s">
        <v>2855</v>
      </c>
      <c r="O72" t="s">
        <v>2856</v>
      </c>
      <c r="P72">
        <v>5.73</v>
      </c>
      <c r="Q72" t="s">
        <v>2857</v>
      </c>
      <c r="R72">
        <v>147171980</v>
      </c>
      <c r="S72" s="5">
        <v>7.0999999999999994E-2</v>
      </c>
      <c r="T72" t="s">
        <v>2858</v>
      </c>
      <c r="U72">
        <v>599402650</v>
      </c>
      <c r="V72">
        <v>638336870</v>
      </c>
      <c r="W72">
        <v>5.42</v>
      </c>
      <c r="X72">
        <v>0.36</v>
      </c>
      <c r="Y72">
        <v>2.94</v>
      </c>
      <c r="Z72" t="s">
        <v>2859</v>
      </c>
      <c r="AA72" t="s">
        <v>2860</v>
      </c>
      <c r="AB72" t="s">
        <v>2861</v>
      </c>
      <c r="AC72" t="s">
        <v>2862</v>
      </c>
      <c r="AD72" t="s">
        <v>133</v>
      </c>
      <c r="AE72">
        <v>64403674</v>
      </c>
      <c r="AF72" t="s">
        <v>2863</v>
      </c>
      <c r="AG72" t="s">
        <v>2864</v>
      </c>
      <c r="AH72" t="s">
        <v>2865</v>
      </c>
      <c r="AI72" t="s">
        <v>1127</v>
      </c>
      <c r="AJ72" t="s">
        <v>2866</v>
      </c>
      <c r="AK72" t="s">
        <v>133</v>
      </c>
      <c r="AL72" t="s">
        <v>2867</v>
      </c>
      <c r="AM72" t="s">
        <v>133</v>
      </c>
      <c r="AN72" t="s">
        <v>1097</v>
      </c>
      <c r="AO72" t="s">
        <v>573</v>
      </c>
      <c r="AP72" t="s">
        <v>934</v>
      </c>
      <c r="AQ72" t="s">
        <v>2868</v>
      </c>
      <c r="AR72" t="s">
        <v>2869</v>
      </c>
      <c r="AS72" t="s">
        <v>2870</v>
      </c>
      <c r="AT72" t="s">
        <v>133</v>
      </c>
      <c r="AU72" t="s">
        <v>2871</v>
      </c>
      <c r="AV72" t="s">
        <v>2872</v>
      </c>
      <c r="AW72" t="s">
        <v>2873</v>
      </c>
      <c r="AX72" t="s">
        <v>1029</v>
      </c>
      <c r="AY72" t="s">
        <v>732</v>
      </c>
      <c r="AZ72" t="s">
        <v>548</v>
      </c>
      <c r="BA72" t="s">
        <v>298</v>
      </c>
      <c r="BB72" t="s">
        <v>549</v>
      </c>
      <c r="BC72" t="s">
        <v>2874</v>
      </c>
      <c r="BD72" t="s">
        <v>733</v>
      </c>
      <c r="BE72" t="s">
        <v>193</v>
      </c>
      <c r="BF72" t="s">
        <v>173</v>
      </c>
      <c r="BG72" t="s">
        <v>550</v>
      </c>
      <c r="BH72" t="s">
        <v>2875</v>
      </c>
      <c r="BI72" t="s">
        <v>148</v>
      </c>
      <c r="BJ72" t="s">
        <v>1029</v>
      </c>
      <c r="BK72" t="s">
        <v>227</v>
      </c>
      <c r="BL72" t="s">
        <v>2876</v>
      </c>
      <c r="BM72" t="s">
        <v>2874</v>
      </c>
      <c r="BN72">
        <v>8.42</v>
      </c>
      <c r="BO72">
        <v>1.61</v>
      </c>
      <c r="BP72" t="s">
        <v>133</v>
      </c>
      <c r="BQ72">
        <v>8.67</v>
      </c>
      <c r="BR72">
        <v>2.5</v>
      </c>
      <c r="BS72">
        <v>-11.92</v>
      </c>
      <c r="BT72" t="s">
        <v>2175</v>
      </c>
      <c r="BU72" t="s">
        <v>787</v>
      </c>
      <c r="BV72">
        <v>23.88</v>
      </c>
      <c r="BW72">
        <v>23.25</v>
      </c>
      <c r="BX72">
        <v>23.26</v>
      </c>
      <c r="BY72">
        <v>0.76</v>
      </c>
      <c r="BZ72">
        <v>0.1</v>
      </c>
      <c r="CA72">
        <v>-2.0299999999999998</v>
      </c>
      <c r="CB72">
        <v>0.74</v>
      </c>
      <c r="CC72">
        <v>-16.12</v>
      </c>
      <c r="CD72" t="s">
        <v>2877</v>
      </c>
      <c r="CE72" t="s">
        <v>866</v>
      </c>
      <c r="CF72" s="9">
        <v>24.067632850241548</v>
      </c>
      <c r="CG72" s="10">
        <v>23.943980610498127</v>
      </c>
      <c r="CH72" s="9">
        <v>-0.93945229053497314</v>
      </c>
      <c r="CI72" s="9">
        <v>4.30791936814785E-2</v>
      </c>
      <c r="CJ72" s="9">
        <v>4.5269235968589783E-2</v>
      </c>
      <c r="CK72" s="9">
        <v>9.2636242508888245E-2</v>
      </c>
      <c r="CL72" s="9">
        <v>0.19896318018436432</v>
      </c>
      <c r="CM72" s="10">
        <v>-0.6444401741027832</v>
      </c>
      <c r="CN72" s="10">
        <v>1.2050306797027588</v>
      </c>
      <c r="CO72" s="10">
        <v>-1.6845794916152954</v>
      </c>
      <c r="CP72" s="10">
        <v>-6.5502181649208069E-2</v>
      </c>
      <c r="CQ72" s="10">
        <v>6.5116278827190399E-2</v>
      </c>
      <c r="CR72">
        <v>28.332409209822337</v>
      </c>
      <c r="CS72">
        <v>2.5319199702324231</v>
      </c>
      <c r="CT72">
        <v>2.3255813953488369</v>
      </c>
      <c r="CU72" s="9">
        <v>-0.11190088763833046</v>
      </c>
      <c r="CV72" s="10">
        <v>-0.22487497776746751</v>
      </c>
      <c r="CW72">
        <v>0.06</v>
      </c>
      <c r="CX72">
        <v>670.23779137542783</v>
      </c>
      <c r="CY72" t="s">
        <v>2878</v>
      </c>
      <c r="CZ72">
        <v>-0.11190088763833046</v>
      </c>
      <c r="DA72">
        <v>223.41259712514258</v>
      </c>
      <c r="DB72" t="s">
        <v>2879</v>
      </c>
      <c r="DC72">
        <v>-0.10630584325641393</v>
      </c>
      <c r="DD72">
        <v>111.70629856257129</v>
      </c>
      <c r="DE72" t="s">
        <v>2880</v>
      </c>
      <c r="DF72">
        <v>-9.8472781121730801E-2</v>
      </c>
      <c r="DG72">
        <v>67.023779137542775</v>
      </c>
      <c r="DH72" t="s">
        <v>2881</v>
      </c>
      <c r="DI72">
        <v>-8.952071011066437E-2</v>
      </c>
      <c r="DJ72">
        <v>33.511889568771387</v>
      </c>
      <c r="DK72" t="s">
        <v>2882</v>
      </c>
      <c r="DL72">
        <v>-7.8330621346831317E-2</v>
      </c>
      <c r="DM72">
        <v>21359899.999999996</v>
      </c>
      <c r="DN72">
        <v>-0.11190088763833046</v>
      </c>
      <c r="DO72">
        <v>14316212200</v>
      </c>
      <c r="DP72">
        <v>-1963820500</v>
      </c>
      <c r="DQ72">
        <v>4270</v>
      </c>
      <c r="DR72">
        <v>24.179533737879879</v>
      </c>
      <c r="DS72">
        <v>24.168855588265593</v>
      </c>
      <c r="DT72" s="11">
        <v>-0.67333333333333334</v>
      </c>
      <c r="DU72">
        <v>-0.11666666666666665</v>
      </c>
      <c r="DV72">
        <v>-0.79</v>
      </c>
      <c r="DW72">
        <v>-3.0013571428571431</v>
      </c>
      <c r="DX72">
        <v>0.34422195121951377</v>
      </c>
      <c r="DY72">
        <v>-3.0001957297909407</v>
      </c>
      <c r="DZ72">
        <v>3921</v>
      </c>
      <c r="EA72">
        <v>-3.0000455426069332</v>
      </c>
      <c r="EB72">
        <v>3</v>
      </c>
      <c r="EC72">
        <v>2.77898721407084E-2</v>
      </c>
      <c r="ED72">
        <v>0.19268822745582595</v>
      </c>
      <c r="EE72" s="12">
        <v>-2.0209000000000001</v>
      </c>
      <c r="EF72">
        <v>-2.0038100000000001</v>
      </c>
      <c r="EG72">
        <v>20.144221951219514</v>
      </c>
      <c r="EH72" t="s">
        <v>1178</v>
      </c>
      <c r="EI72">
        <v>0</v>
      </c>
      <c r="EJ72">
        <v>0</v>
      </c>
      <c r="EK72" s="14">
        <v>45470</v>
      </c>
      <c r="EL72" s="15">
        <v>-0.24</v>
      </c>
      <c r="EM72" s="15">
        <v>-3.43</v>
      </c>
      <c r="EN72">
        <v>0.33</v>
      </c>
      <c r="EO72">
        <v>3.63</v>
      </c>
      <c r="EP72">
        <v>-2.4700000000000002</v>
      </c>
    </row>
    <row r="73" spans="1:146" ht="96" x14ac:dyDescent="0.25">
      <c r="A73" s="8"/>
      <c r="B73" s="8"/>
      <c r="C73" s="8" t="str">
        <f>""&amp;CHAR(10)&amp;Basic_Fundamental_Information_Constructure(F73)&amp;CHAR(10)&amp;Basic_Fundamental_Information_Concatenate("")</f>
        <v xml:space="preserve">
市值39.943748亿, 利润1.04亿; PE290; 平均PE52.28; 平均PEG23.61, PB3.5; ROIC2.7567%; ROE1.8333%; 股利率.1241%; 毛利25.7567%; 净利.95%; 上一年度营收增11.6%, 利润增452.91%; 当季营收增60.04%, 利润增16.98%; 过往5年营收增2.21%, 利润增74.01%
Income profile:
</v>
      </c>
      <c r="D73" t="s">
        <v>301</v>
      </c>
      <c r="E73" t="s">
        <v>302</v>
      </c>
      <c r="F73">
        <v>8.06</v>
      </c>
      <c r="G73">
        <v>2.68</v>
      </c>
      <c r="H73" t="s">
        <v>2883</v>
      </c>
      <c r="I73">
        <v>3994374800</v>
      </c>
      <c r="J73">
        <v>290</v>
      </c>
      <c r="K73">
        <v>3.5</v>
      </c>
      <c r="L73" t="s">
        <v>57</v>
      </c>
      <c r="M73" t="s">
        <v>2884</v>
      </c>
      <c r="N73" t="s">
        <v>2885</v>
      </c>
      <c r="O73" t="s">
        <v>357</v>
      </c>
      <c r="P73">
        <v>12.31</v>
      </c>
      <c r="Q73" t="s">
        <v>2886</v>
      </c>
      <c r="R73">
        <v>26547382</v>
      </c>
      <c r="S73" s="5">
        <v>-2.75E-2</v>
      </c>
      <c r="T73" t="s">
        <v>172</v>
      </c>
      <c r="U73">
        <v>495580000</v>
      </c>
      <c r="V73">
        <v>495580000</v>
      </c>
      <c r="W73">
        <v>2.4</v>
      </c>
      <c r="X73">
        <v>0.28000000000000003</v>
      </c>
      <c r="Y73">
        <v>3.51</v>
      </c>
      <c r="Z73" t="s">
        <v>2887</v>
      </c>
      <c r="AA73" t="s">
        <v>1176</v>
      </c>
      <c r="AB73" t="s">
        <v>248</v>
      </c>
      <c r="AC73" t="s">
        <v>2888</v>
      </c>
      <c r="AD73" t="s">
        <v>133</v>
      </c>
      <c r="AE73">
        <v>5957061</v>
      </c>
      <c r="AF73" t="s">
        <v>2889</v>
      </c>
      <c r="AG73" t="s">
        <v>2890</v>
      </c>
      <c r="AH73" t="s">
        <v>2891</v>
      </c>
      <c r="AI73" t="s">
        <v>2892</v>
      </c>
      <c r="AJ73" t="s">
        <v>2893</v>
      </c>
      <c r="AK73" t="s">
        <v>133</v>
      </c>
      <c r="AL73" t="s">
        <v>2894</v>
      </c>
      <c r="AM73" t="s">
        <v>133</v>
      </c>
      <c r="AN73" t="s">
        <v>2895</v>
      </c>
      <c r="AO73" t="s">
        <v>133</v>
      </c>
      <c r="AP73" t="s">
        <v>133</v>
      </c>
      <c r="AQ73" t="s">
        <v>876</v>
      </c>
      <c r="AR73" t="s">
        <v>2896</v>
      </c>
      <c r="AS73" t="s">
        <v>2897</v>
      </c>
      <c r="AT73" t="s">
        <v>133</v>
      </c>
      <c r="AU73" t="s">
        <v>196</v>
      </c>
      <c r="AV73" t="s">
        <v>2898</v>
      </c>
      <c r="AW73" t="s">
        <v>2899</v>
      </c>
      <c r="AX73" t="s">
        <v>1031</v>
      </c>
      <c r="AY73" t="s">
        <v>652</v>
      </c>
      <c r="AZ73" t="s">
        <v>420</v>
      </c>
      <c r="BA73" t="s">
        <v>303</v>
      </c>
      <c r="BB73" t="s">
        <v>552</v>
      </c>
      <c r="BC73" t="s">
        <v>1032</v>
      </c>
      <c r="BD73" t="s">
        <v>734</v>
      </c>
      <c r="BE73" t="s">
        <v>139</v>
      </c>
      <c r="BF73" t="s">
        <v>304</v>
      </c>
      <c r="BG73" t="s">
        <v>553</v>
      </c>
      <c r="BH73" t="s">
        <v>2900</v>
      </c>
      <c r="BI73" t="s">
        <v>907</v>
      </c>
      <c r="BJ73" t="s">
        <v>1031</v>
      </c>
      <c r="BK73" t="s">
        <v>2901</v>
      </c>
      <c r="BL73" t="s">
        <v>2902</v>
      </c>
      <c r="BM73" t="s">
        <v>1032</v>
      </c>
      <c r="BN73">
        <v>2.0299999999999998</v>
      </c>
      <c r="BO73">
        <v>2.7</v>
      </c>
      <c r="BP73">
        <v>3.54</v>
      </c>
      <c r="BQ73">
        <v>1.06</v>
      </c>
      <c r="BR73">
        <v>1.71</v>
      </c>
      <c r="BS73">
        <v>2.73</v>
      </c>
      <c r="BT73" t="s">
        <v>887</v>
      </c>
      <c r="BU73" t="s">
        <v>787</v>
      </c>
      <c r="BV73">
        <v>24.86</v>
      </c>
      <c r="BW73">
        <v>25.64</v>
      </c>
      <c r="BX73">
        <v>26.77</v>
      </c>
      <c r="BY73">
        <v>0.6</v>
      </c>
      <c r="BZ73">
        <v>0.84</v>
      </c>
      <c r="CA73">
        <v>1.41</v>
      </c>
      <c r="CB73">
        <v>4</v>
      </c>
      <c r="CC73">
        <v>11.94</v>
      </c>
      <c r="CD73" t="s">
        <v>2903</v>
      </c>
      <c r="CE73" t="s">
        <v>611</v>
      </c>
      <c r="CF73" s="9">
        <v>0.60042283298097232</v>
      </c>
      <c r="CG73" s="10">
        <v>0.16980770078171131</v>
      </c>
      <c r="CH73" s="9">
        <v>0.11600009351968765</v>
      </c>
      <c r="CI73" s="9">
        <v>4.9929913133382797E-2</v>
      </c>
      <c r="CJ73" s="9">
        <v>-4.9245811998844147E-2</v>
      </c>
      <c r="CK73" s="9">
        <v>-0.10803321003913879</v>
      </c>
      <c r="CL73" s="9">
        <v>0.10204977542161942</v>
      </c>
      <c r="CM73" s="10">
        <v>4.529120922088623</v>
      </c>
      <c r="CN73" s="10">
        <v>-0.37560790777206421</v>
      </c>
      <c r="CO73" s="10">
        <v>-0.71580666303634644</v>
      </c>
      <c r="CP73" s="10">
        <v>-7.0175439119338989E-2</v>
      </c>
      <c r="CQ73" s="10">
        <v>0.33316805958747864</v>
      </c>
      <c r="CR73">
        <v>52.277306352828674</v>
      </c>
      <c r="CS73">
        <v>23.611990710585097</v>
      </c>
      <c r="CT73">
        <v>0.12406947890818859</v>
      </c>
      <c r="CU73" s="9">
        <v>2.2140152007341384E-2</v>
      </c>
      <c r="CV73" s="10">
        <v>0.74013979434967037</v>
      </c>
      <c r="CW73">
        <v>0.06</v>
      </c>
      <c r="CX73">
        <v>44.177643413348491</v>
      </c>
      <c r="CY73">
        <v>100285448.87619199</v>
      </c>
      <c r="CZ73">
        <v>2.2140152007341384E-2</v>
      </c>
      <c r="DA73">
        <v>15.297303123842795</v>
      </c>
      <c r="DB73">
        <v>289618030.32422733</v>
      </c>
      <c r="DC73">
        <v>2.1033144406974316E-2</v>
      </c>
      <c r="DD73">
        <v>8.1195959280909449</v>
      </c>
      <c r="DE73">
        <v>545639812.52718031</v>
      </c>
      <c r="DF73">
        <v>1.9483333766460418E-2</v>
      </c>
      <c r="DG73">
        <v>5.2928189938147669</v>
      </c>
      <c r="DH73">
        <v>837053903.63384306</v>
      </c>
      <c r="DI73">
        <v>1.7712121605873109E-2</v>
      </c>
      <c r="DJ73">
        <v>3.2415823017525418</v>
      </c>
      <c r="DK73">
        <v>1366732165.8329468</v>
      </c>
      <c r="DL73">
        <v>1.5498106405138969E-2</v>
      </c>
      <c r="DM73">
        <v>104000000</v>
      </c>
      <c r="DN73">
        <v>2.2140152007341384E-2</v>
      </c>
      <c r="DO73">
        <v>4430374800</v>
      </c>
      <c r="DP73">
        <v>145162500.00000012</v>
      </c>
      <c r="DQ73">
        <v>4483</v>
      </c>
      <c r="DR73">
        <v>0.57828268097363089</v>
      </c>
      <c r="DS73">
        <v>-0.570332093567959</v>
      </c>
      <c r="DT73" s="11">
        <v>-0.44</v>
      </c>
      <c r="DU73">
        <v>0.20333333333333334</v>
      </c>
      <c r="DV73">
        <v>-0.23666666666666666</v>
      </c>
      <c r="DW73">
        <v>8.3350083752093802</v>
      </c>
      <c r="DX73">
        <v>0.43892193548387115</v>
      </c>
      <c r="DY73">
        <v>8.0532401793915813</v>
      </c>
      <c r="DZ73">
        <v>2304</v>
      </c>
      <c r="EA73">
        <v>8.0292352139672758</v>
      </c>
      <c r="EB73">
        <v>8</v>
      </c>
      <c r="EC73">
        <v>4.9705193914201543E-2</v>
      </c>
      <c r="ED73">
        <v>0.3127648411961742</v>
      </c>
      <c r="EE73" s="12">
        <v>-1.00501</v>
      </c>
      <c r="EF73">
        <v>-1.0031099999999999</v>
      </c>
      <c r="EG73">
        <v>28.158921935483871</v>
      </c>
      <c r="EH73" t="s">
        <v>793</v>
      </c>
      <c r="EI73">
        <v>0</v>
      </c>
      <c r="EJ73">
        <v>0</v>
      </c>
      <c r="EK73" s="14">
        <v>45470</v>
      </c>
      <c r="EL73" s="15">
        <v>-2.2999999999999998</v>
      </c>
      <c r="EM73" s="15">
        <v>-4.99</v>
      </c>
      <c r="EN73">
        <v>2.57</v>
      </c>
      <c r="EO73">
        <v>2.9</v>
      </c>
      <c r="EP73">
        <v>0.19</v>
      </c>
    </row>
    <row r="74" spans="1:146" x14ac:dyDescent="0.25">
      <c r="Q74" s="5"/>
    </row>
    <row r="75" spans="1:146" x14ac:dyDescent="0.25">
      <c r="Q75" s="5"/>
    </row>
  </sheetData>
  <autoFilter ref="BU1:BU75"/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'Basic_Fundamental_Tabel_Update_Buttom &quot;零售&quot;,&quot;&quot;'" altText="更新基本面按钮_x000a_">
                <anchor moveWithCells="1" sizeWithCells="1">
                  <from>
                    <xdr:col>147</xdr:col>
                    <xdr:colOff>387350</xdr:colOff>
                    <xdr:row>0</xdr:row>
                    <xdr:rowOff>82550</xdr:rowOff>
                  </from>
                  <to>
                    <xdr:col>147</xdr:col>
                    <xdr:colOff>1612900</xdr:colOff>
                    <xdr:row>0</xdr:row>
                    <xdr:rowOff>393700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6"/>
  <sheetViews>
    <sheetView workbookViewId="0">
      <selection activeCell="A3" sqref="A3"/>
    </sheetView>
  </sheetViews>
  <sheetFormatPr defaultRowHeight="14" x14ac:dyDescent="0.25"/>
  <sheetData>
    <row r="1" spans="1:30" x14ac:dyDescent="0.25">
      <c r="A1">
        <v>1</v>
      </c>
      <c r="B1">
        <f>A1+A1*$A$2</f>
        <v>1.1499999999999999</v>
      </c>
      <c r="C1">
        <f t="shared" ref="C1:AD1" si="0">B1+B1*$A$2</f>
        <v>1.3224999999999998</v>
      </c>
      <c r="D1">
        <f t="shared" si="0"/>
        <v>1.5208749999999998</v>
      </c>
      <c r="E1">
        <f t="shared" si="0"/>
        <v>1.7490062499999997</v>
      </c>
      <c r="F1">
        <f t="shared" si="0"/>
        <v>2.0113571874999998</v>
      </c>
      <c r="G1">
        <f t="shared" si="0"/>
        <v>2.313060765625</v>
      </c>
      <c r="H1">
        <f t="shared" si="0"/>
        <v>2.66001988046875</v>
      </c>
      <c r="I1">
        <f t="shared" si="0"/>
        <v>3.0590228625390625</v>
      </c>
      <c r="J1">
        <f t="shared" si="0"/>
        <v>3.5178762919199218</v>
      </c>
      <c r="K1">
        <f t="shared" si="0"/>
        <v>4.0455577357079102</v>
      </c>
      <c r="L1">
        <f t="shared" si="0"/>
        <v>4.6523913960640968</v>
      </c>
      <c r="M1">
        <f t="shared" si="0"/>
        <v>5.3502501054737115</v>
      </c>
      <c r="N1">
        <f t="shared" si="0"/>
        <v>6.1527876212947685</v>
      </c>
      <c r="O1">
        <f t="shared" si="0"/>
        <v>7.0757057644889834</v>
      </c>
      <c r="P1">
        <f t="shared" si="0"/>
        <v>8.1370616291623303</v>
      </c>
      <c r="Q1">
        <f t="shared" si="0"/>
        <v>9.3576208735366802</v>
      </c>
      <c r="R1">
        <f t="shared" si="0"/>
        <v>10.761264004567183</v>
      </c>
      <c r="S1">
        <f t="shared" si="0"/>
        <v>12.375453605252261</v>
      </c>
      <c r="T1">
        <f t="shared" si="0"/>
        <v>14.2317716460401</v>
      </c>
      <c r="U1">
        <f t="shared" si="0"/>
        <v>16.366537392946114</v>
      </c>
      <c r="V1">
        <f t="shared" si="0"/>
        <v>18.82151800188803</v>
      </c>
      <c r="W1">
        <f t="shared" si="0"/>
        <v>21.644745702171235</v>
      </c>
      <c r="X1">
        <f t="shared" si="0"/>
        <v>24.891457557496921</v>
      </c>
      <c r="Y1">
        <f t="shared" si="0"/>
        <v>28.625176191121458</v>
      </c>
      <c r="Z1">
        <f t="shared" si="0"/>
        <v>32.918952619789678</v>
      </c>
      <c r="AA1">
        <f t="shared" si="0"/>
        <v>37.856795512758133</v>
      </c>
      <c r="AB1">
        <f t="shared" si="0"/>
        <v>43.535314839671855</v>
      </c>
      <c r="AC1">
        <f t="shared" si="0"/>
        <v>50.065612065622631</v>
      </c>
      <c r="AD1">
        <f t="shared" si="0"/>
        <v>57.575453875466025</v>
      </c>
    </row>
    <row r="2" spans="1:30" x14ac:dyDescent="0.25">
      <c r="A2">
        <v>0.15</v>
      </c>
      <c r="B2" t="s">
        <v>2</v>
      </c>
    </row>
    <row r="3" spans="1:30" s="2" customFormat="1" x14ac:dyDescent="0.25">
      <c r="A3" s="2">
        <v>1</v>
      </c>
      <c r="B3" s="2">
        <v>2</v>
      </c>
      <c r="C3" s="2">
        <v>3</v>
      </c>
      <c r="D3" s="2">
        <v>4</v>
      </c>
      <c r="E3" s="2">
        <v>5</v>
      </c>
      <c r="F3" s="2">
        <v>6</v>
      </c>
      <c r="G3" s="2">
        <v>7</v>
      </c>
      <c r="H3" s="2">
        <v>8</v>
      </c>
      <c r="I3" s="2">
        <v>9</v>
      </c>
      <c r="J3" s="2">
        <v>10</v>
      </c>
      <c r="K3" s="2">
        <v>11</v>
      </c>
      <c r="L3" s="2">
        <v>12</v>
      </c>
      <c r="M3" s="2">
        <v>13</v>
      </c>
      <c r="N3" s="2">
        <v>14</v>
      </c>
      <c r="O3" s="2">
        <v>15</v>
      </c>
      <c r="P3" s="2">
        <v>16</v>
      </c>
      <c r="Q3" s="2">
        <v>17</v>
      </c>
      <c r="R3" s="2">
        <v>18</v>
      </c>
      <c r="S3" s="2">
        <v>19</v>
      </c>
      <c r="T3" s="2">
        <v>20</v>
      </c>
      <c r="U3" s="2">
        <v>21</v>
      </c>
      <c r="V3" s="2">
        <v>22</v>
      </c>
      <c r="W3" s="2">
        <v>23</v>
      </c>
      <c r="X3" s="2">
        <v>24</v>
      </c>
      <c r="Y3" s="2">
        <v>25</v>
      </c>
      <c r="Z3" s="2">
        <v>26</v>
      </c>
      <c r="AA3" s="2">
        <v>27</v>
      </c>
      <c r="AB3" s="2">
        <v>28</v>
      </c>
      <c r="AC3" s="2">
        <v>29</v>
      </c>
      <c r="AD3" s="2">
        <v>30</v>
      </c>
    </row>
    <row r="4" spans="1:30" x14ac:dyDescent="0.25">
      <c r="A4">
        <v>0.5</v>
      </c>
      <c r="B4" t="s">
        <v>0</v>
      </c>
    </row>
    <row r="5" spans="1:30" x14ac:dyDescent="0.25">
      <c r="A5" s="1">
        <v>1</v>
      </c>
      <c r="B5" s="1">
        <f>A5*$A$4+A5</f>
        <v>1.5</v>
      </c>
      <c r="C5" s="1">
        <f t="shared" ref="C5:AD5" si="1">B5*$A$4+B5</f>
        <v>2.25</v>
      </c>
      <c r="D5" s="1">
        <f t="shared" si="1"/>
        <v>3.375</v>
      </c>
      <c r="E5" s="1">
        <f t="shared" si="1"/>
        <v>5.0625</v>
      </c>
      <c r="F5" s="1">
        <f t="shared" si="1"/>
        <v>7.59375</v>
      </c>
      <c r="G5" s="1">
        <f t="shared" si="1"/>
        <v>11.390625</v>
      </c>
      <c r="H5" s="1">
        <f t="shared" si="1"/>
        <v>17.0859375</v>
      </c>
      <c r="I5" s="1">
        <f t="shared" si="1"/>
        <v>25.62890625</v>
      </c>
      <c r="J5" s="1">
        <f t="shared" si="1"/>
        <v>38.443359375</v>
      </c>
      <c r="K5" s="1">
        <f t="shared" si="1"/>
        <v>57.6650390625</v>
      </c>
      <c r="L5" s="1">
        <f t="shared" si="1"/>
        <v>86.49755859375</v>
      </c>
      <c r="M5" s="1">
        <f t="shared" si="1"/>
        <v>129.746337890625</v>
      </c>
      <c r="N5" s="1">
        <f t="shared" si="1"/>
        <v>194.6195068359375</v>
      </c>
      <c r="O5" s="1">
        <f t="shared" si="1"/>
        <v>291.92926025390625</v>
      </c>
      <c r="P5">
        <f t="shared" si="1"/>
        <v>437.89389038085937</v>
      </c>
      <c r="Q5">
        <f t="shared" si="1"/>
        <v>656.84083557128906</v>
      </c>
      <c r="R5">
        <f t="shared" si="1"/>
        <v>985.26125335693359</v>
      </c>
      <c r="S5" s="1">
        <f t="shared" si="1"/>
        <v>1477.8918800354004</v>
      </c>
      <c r="T5">
        <f t="shared" si="1"/>
        <v>2216.8378200531006</v>
      </c>
      <c r="U5">
        <f t="shared" si="1"/>
        <v>3325.2567300796509</v>
      </c>
      <c r="V5">
        <f t="shared" si="1"/>
        <v>4987.8850951194763</v>
      </c>
      <c r="W5">
        <f t="shared" si="1"/>
        <v>7481.8276426792145</v>
      </c>
      <c r="X5">
        <f t="shared" si="1"/>
        <v>11222.741464018822</v>
      </c>
      <c r="Y5">
        <f t="shared" si="1"/>
        <v>16834.112196028233</v>
      </c>
      <c r="Z5">
        <f t="shared" si="1"/>
        <v>25251.168294042349</v>
      </c>
      <c r="AA5">
        <f t="shared" si="1"/>
        <v>37876.752441063523</v>
      </c>
      <c r="AB5">
        <f t="shared" si="1"/>
        <v>56815.128661595285</v>
      </c>
      <c r="AC5">
        <f t="shared" si="1"/>
        <v>85222.692992392927</v>
      </c>
      <c r="AD5">
        <f t="shared" si="1"/>
        <v>127834.03948858939</v>
      </c>
    </row>
    <row r="6" spans="1:30" x14ac:dyDescent="0.25">
      <c r="A6">
        <v>15</v>
      </c>
      <c r="B6" t="s"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零售</vt:lpstr>
      <vt:lpstr>估值-增速与年化收益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Admin</cp:lastModifiedBy>
  <dcterms:created xsi:type="dcterms:W3CDTF">2018-08-09T11:49:58Z</dcterms:created>
  <dcterms:modified xsi:type="dcterms:W3CDTF">2024-07-10T15:45:46Z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2019-01-09 01:33:49Z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