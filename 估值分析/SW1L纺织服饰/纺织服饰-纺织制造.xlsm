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纺织服饰\"/>
    </mc:Choice>
  </mc:AlternateContent>
  <bookViews>
    <workbookView xWindow="0" yWindow="0" windowWidth="3800" windowHeight="2950"/>
  </bookViews>
  <sheets>
    <sheet name="纺织制造" sheetId="15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6" i="15"/>
  <c r="C28" i="15"/>
  <c r="C8" i="15"/>
  <c r="C6" i="15"/>
  <c r="C7" i="15"/>
  <c r="C31" i="15"/>
  <c r="C11" i="15"/>
  <c r="C9" i="15"/>
  <c r="C12" i="15"/>
  <c r="C29" i="15"/>
  <c r="C17" i="15"/>
  <c r="C32" i="15"/>
  <c r="C19" i="15"/>
  <c r="C27" i="15"/>
  <c r="C10" i="15"/>
  <c r="C13" i="15"/>
  <c r="C33" i="15"/>
  <c r="C24" i="15"/>
  <c r="C23" i="15"/>
  <c r="C14" i="15"/>
  <c r="C30" i="15"/>
  <c r="C26" i="15"/>
  <c r="C5" i="15"/>
  <c r="C18" i="15"/>
  <c r="C21" i="15"/>
  <c r="C20" i="15"/>
  <c r="C22" i="15"/>
  <c r="C15" i="15"/>
  <c r="C25" i="15"/>
  <c r="C4" i="15"/>
  <c r="C3" i="15"/>
  <c r="C2" i="15"/>
</calcChain>
</file>

<file path=xl/sharedStrings.xml><?xml version="1.0" encoding="utf-8"?>
<sst xmlns="http://schemas.openxmlformats.org/spreadsheetml/2006/main" count="1910" uniqueCount="1415">
  <si>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</si>
  <si>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</si>
  <si>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</si>
  <si>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</si>
  <si>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</si>
  <si>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华纺股份</t>
  </si>
  <si>
    <t>开润股份</t>
  </si>
  <si>
    <t>兴业科技</t>
  </si>
  <si>
    <t>凤竹纺织</t>
  </si>
  <si>
    <t>华茂股份</t>
  </si>
  <si>
    <t>嘉欣丝绸</t>
  </si>
  <si>
    <t>宏达高科</t>
  </si>
  <si>
    <t>百隆东方</t>
  </si>
  <si>
    <t>台华新材</t>
  </si>
  <si>
    <t>伟星股份</t>
  </si>
  <si>
    <t>华孚时尚</t>
  </si>
  <si>
    <t>孚日股份</t>
  </si>
  <si>
    <t>航民股份</t>
  </si>
  <si>
    <t>鲁  泰Ａ</t>
  </si>
  <si>
    <t>联发股份</t>
  </si>
  <si>
    <t>浔兴股份</t>
  </si>
  <si>
    <t>欣龙控股</t>
  </si>
  <si>
    <t>华升股份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</si>
  <si>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</si>
  <si>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</si>
  <si>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</si>
  <si>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</si>
  <si>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</si>
  <si>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</si>
  <si>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</si>
  <si>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</si>
  <si>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</si>
  <si>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</si>
  <si>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</si>
  <si>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</si>
  <si>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</si>
  <si>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</si>
  <si>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</si>
  <si>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SZ000726</t>
  </si>
  <si>
    <t>纺织制造</t>
  </si>
  <si>
    <t>68.01亿</t>
  </si>
  <si>
    <t>9.52亿</t>
  </si>
  <si>
    <t>1.44亿</t>
  </si>
  <si>
    <t>--</t>
  </si>
  <si>
    <t>1.08亿</t>
  </si>
  <si>
    <t>SZ000850</t>
  </si>
  <si>
    <t>29.79亿</t>
  </si>
  <si>
    <t>1.98亿</t>
  </si>
  <si>
    <t>2.76亿</t>
  </si>
  <si>
    <t>SZ000955</t>
  </si>
  <si>
    <t>7.34亿</t>
  </si>
  <si>
    <t>482.60万</t>
  </si>
  <si>
    <t>SZ002003</t>
  </si>
  <si>
    <t>27.32亿</t>
  </si>
  <si>
    <t>2.91亿</t>
  </si>
  <si>
    <t>SZ002042</t>
  </si>
  <si>
    <t>158.87亿</t>
  </si>
  <si>
    <t>4.02亿</t>
  </si>
  <si>
    <t>SZ002083</t>
  </si>
  <si>
    <t>49.87亿</t>
  </si>
  <si>
    <t>3.69亿</t>
  </si>
  <si>
    <t>0亿</t>
  </si>
  <si>
    <t>SZ002098</t>
  </si>
  <si>
    <t>19.19亿</t>
  </si>
  <si>
    <t>1.38亿</t>
  </si>
  <si>
    <t>SZ002144</t>
  </si>
  <si>
    <t>1.79亿</t>
  </si>
  <si>
    <t>5.43亿</t>
  </si>
  <si>
    <t>8252.78万</t>
  </si>
  <si>
    <t>SZ002394</t>
  </si>
  <si>
    <t>39.11亿</t>
  </si>
  <si>
    <t>3.93亿</t>
  </si>
  <si>
    <t>SZ002404</t>
  </si>
  <si>
    <t>34.38亿</t>
  </si>
  <si>
    <t>1.58亿</t>
  </si>
  <si>
    <t>2.23亿</t>
  </si>
  <si>
    <t>33.40亿</t>
  </si>
  <si>
    <t>2.95亿</t>
  </si>
  <si>
    <t>SZ002674</t>
  </si>
  <si>
    <t>15.87亿</t>
  </si>
  <si>
    <t>1.18亿</t>
  </si>
  <si>
    <t>SZ300577</t>
  </si>
  <si>
    <t>26.95亿</t>
  </si>
  <si>
    <t>2.26亿</t>
  </si>
  <si>
    <t>1.12亿</t>
  </si>
  <si>
    <t>1.95亿</t>
  </si>
  <si>
    <t>1.10亿</t>
  </si>
  <si>
    <t>10.38亿</t>
  </si>
  <si>
    <t>6.01亿</t>
  </si>
  <si>
    <t>3.18亿</t>
  </si>
  <si>
    <t>SZ300819</t>
  </si>
  <si>
    <t>聚杰微纤</t>
  </si>
  <si>
    <t>1.15亿</t>
  </si>
  <si>
    <t>4.98亿</t>
  </si>
  <si>
    <t>5965.82万</t>
  </si>
  <si>
    <t>1.51亿</t>
  </si>
  <si>
    <t>SZ300877</t>
  </si>
  <si>
    <t>金春股份</t>
  </si>
  <si>
    <t>6.38亿</t>
  </si>
  <si>
    <t>8.38亿</t>
  </si>
  <si>
    <t>8841.45万</t>
  </si>
  <si>
    <t>SH600156</t>
  </si>
  <si>
    <t>1.26亿</t>
  </si>
  <si>
    <t>SH600220</t>
  </si>
  <si>
    <t>23.49亿</t>
  </si>
  <si>
    <t>7007.63万</t>
  </si>
  <si>
    <t>SH600448</t>
  </si>
  <si>
    <t>30.83亿</t>
  </si>
  <si>
    <t>1159.99万</t>
  </si>
  <si>
    <t>1.03亿</t>
  </si>
  <si>
    <t>SH600493</t>
  </si>
  <si>
    <t>10.24亿</t>
  </si>
  <si>
    <t>2595.36万</t>
  </si>
  <si>
    <t>1.04亿</t>
  </si>
  <si>
    <t>1.19亿</t>
  </si>
  <si>
    <t>SH600987</t>
  </si>
  <si>
    <t>66.94亿</t>
  </si>
  <si>
    <t>7.37亿</t>
  </si>
  <si>
    <t>SH601339</t>
  </si>
  <si>
    <t>62.22亿</t>
  </si>
  <si>
    <t>2.98亿</t>
  </si>
  <si>
    <t>41.69亿</t>
  </si>
  <si>
    <t>2.33亿</t>
  </si>
  <si>
    <t>SH601599</t>
  </si>
  <si>
    <t>30.35亿</t>
  </si>
  <si>
    <t>-9.66亿</t>
  </si>
  <si>
    <t>SH603055</t>
  </si>
  <si>
    <t>26.91亿</t>
  </si>
  <si>
    <t>1.96亿</t>
  </si>
  <si>
    <t>1.43亿</t>
  </si>
  <si>
    <t>1.20亿</t>
  </si>
  <si>
    <t>SH603889</t>
  </si>
  <si>
    <t>27.10亿</t>
  </si>
  <si>
    <t>9.14亿</t>
  </si>
  <si>
    <t>4.88亿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</si>
  <si>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</si>
  <si>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</si>
  <si>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</si>
  <si>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</si>
  <si>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</si>
  <si>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</si>
  <si>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</si>
  <si>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</si>
  <si>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</si>
  <si>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</si>
  <si>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</si>
  <si>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</si>
  <si>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</si>
  <si>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47.51亿</t>
  </si>
  <si>
    <t>9730.86万</t>
  </si>
  <si>
    <t>68.79亿</t>
  </si>
  <si>
    <t>8.12亿</t>
  </si>
  <si>
    <t>33.92亿</t>
  </si>
  <si>
    <t>2.22亿</t>
  </si>
  <si>
    <t>27.82亿</t>
  </si>
  <si>
    <t>19.66亿</t>
  </si>
  <si>
    <t>13.79亿</t>
  </si>
  <si>
    <t>1.90亿</t>
  </si>
  <si>
    <t>1.91亿</t>
  </si>
  <si>
    <t>7.43亿</t>
  </si>
  <si>
    <t>-1.09亿</t>
  </si>
  <si>
    <t>1.42亿</t>
  </si>
  <si>
    <t>1.13亿</t>
  </si>
  <si>
    <t>24.96亿</t>
  </si>
  <si>
    <t>3.96亿</t>
  </si>
  <si>
    <t>27.12亿</t>
  </si>
  <si>
    <t>26.24亿</t>
  </si>
  <si>
    <t>21.74亿</t>
  </si>
  <si>
    <t>3.10亿</t>
  </si>
  <si>
    <t>3.65亿</t>
  </si>
  <si>
    <t>142.32亿</t>
  </si>
  <si>
    <t>-4.44亿</t>
  </si>
  <si>
    <t>143.07亿</t>
  </si>
  <si>
    <t>7.47亿</t>
  </si>
  <si>
    <t>44.32亿</t>
  </si>
  <si>
    <t>11.45亿</t>
  </si>
  <si>
    <t>2.18亿</t>
  </si>
  <si>
    <t>51.55亿</t>
  </si>
  <si>
    <t>4.05亿</t>
  </si>
  <si>
    <t>3.86亿</t>
  </si>
  <si>
    <t>15.90亿</t>
  </si>
  <si>
    <t>22.72亿</t>
  </si>
  <si>
    <t>18.60亿</t>
  </si>
  <si>
    <t>11.75亿</t>
  </si>
  <si>
    <t>4.62亿</t>
  </si>
  <si>
    <t>6395.17万</t>
  </si>
  <si>
    <t>1.16亿</t>
  </si>
  <si>
    <t>5.70亿</t>
  </si>
  <si>
    <t>9084.84万</t>
  </si>
  <si>
    <t>1.01亿</t>
  </si>
  <si>
    <t>38.73亿</t>
  </si>
  <si>
    <t>4.71亿</t>
  </si>
  <si>
    <t>2.01亿</t>
  </si>
  <si>
    <t>3.90亿</t>
  </si>
  <si>
    <t>26.03亿</t>
  </si>
  <si>
    <t>31.81亿</t>
  </si>
  <si>
    <t>14.60亿</t>
  </si>
  <si>
    <t>18.07亿</t>
  </si>
  <si>
    <t>25.66亿</t>
  </si>
  <si>
    <t>19.44亿</t>
  </si>
  <si>
    <t>7795.41万</t>
  </si>
  <si>
    <t>1.31亿</t>
  </si>
  <si>
    <t>20.48亿</t>
  </si>
  <si>
    <t>1.74亿</t>
  </si>
  <si>
    <t>3.48亿</t>
  </si>
  <si>
    <t>580.96万</t>
  </si>
  <si>
    <t>4.33亿</t>
  </si>
  <si>
    <t>6638.65万</t>
  </si>
  <si>
    <t>10.91亿</t>
  </si>
  <si>
    <t>1.99亿</t>
  </si>
  <si>
    <t>1.14亿</t>
  </si>
  <si>
    <t>8.65亿</t>
  </si>
  <si>
    <t>6.05亿</t>
  </si>
  <si>
    <t>7258.71万</t>
  </si>
  <si>
    <t>34.98亿</t>
  </si>
  <si>
    <t>4.27亿</t>
  </si>
  <si>
    <t>5.97亿</t>
  </si>
  <si>
    <t>10.17亿</t>
  </si>
  <si>
    <t>19.72亿</t>
  </si>
  <si>
    <t>1591.50万</t>
  </si>
  <si>
    <t>24.20亿</t>
  </si>
  <si>
    <t>1.36亿</t>
  </si>
  <si>
    <t>1.21亿</t>
  </si>
  <si>
    <t>1782.21万</t>
  </si>
  <si>
    <t>32.64亿</t>
  </si>
  <si>
    <t>2101.37万</t>
  </si>
  <si>
    <t>10.50亿</t>
  </si>
  <si>
    <t>2962.77万</t>
  </si>
  <si>
    <t>2.93亿</t>
  </si>
  <si>
    <t>10.05亿</t>
  </si>
  <si>
    <t>3060.33万</t>
  </si>
  <si>
    <t>52.33亿</t>
  </si>
  <si>
    <t>75.34亿</t>
  </si>
  <si>
    <t>6.62亿</t>
  </si>
  <si>
    <t>61.35亿</t>
  </si>
  <si>
    <t>3.66亿</t>
  </si>
  <si>
    <t>59.98亿</t>
  </si>
  <si>
    <t>4.38亿</t>
  </si>
  <si>
    <t>浙文影业</t>
  </si>
  <si>
    <t>16.93亿</t>
  </si>
  <si>
    <t>-10.22亿</t>
  </si>
  <si>
    <t>47.80亿</t>
  </si>
  <si>
    <t>5609.42万</t>
  </si>
  <si>
    <t>25.01亿</t>
  </si>
  <si>
    <t>29.74亿</t>
  </si>
  <si>
    <t>3.45亿</t>
  </si>
  <si>
    <t>22.73亿</t>
  </si>
  <si>
    <t>7.80亿</t>
  </si>
  <si>
    <t>1.59亿</t>
  </si>
  <si>
    <t>SH605055</t>
  </si>
  <si>
    <t>迎丰股份</t>
  </si>
  <si>
    <t>8064.25万</t>
  </si>
  <si>
    <t>9.04亿</t>
  </si>
  <si>
    <t>9.87亿</t>
  </si>
  <si>
    <t>SH605180</t>
  </si>
  <si>
    <t>华生科技</t>
  </si>
  <si>
    <t>8657.82万</t>
  </si>
  <si>
    <t>6764.99万</t>
  </si>
  <si>
    <t>SH605189</t>
  </si>
  <si>
    <t>富春染织</t>
  </si>
  <si>
    <t>15.15亿</t>
  </si>
  <si>
    <t>13.98亿</t>
  </si>
  <si>
    <t>14.34亿</t>
  </si>
  <si>
    <t>9105.31万</t>
  </si>
  <si>
    <t>9831.53万</t>
  </si>
  <si>
    <t>新澳股份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</si>
  <si>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</si>
  <si>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</si>
  <si>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</si>
  <si>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</si>
  <si>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</si>
  <si>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</si>
  <si>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</si>
  <si>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</si>
  <si>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</si>
  <si>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</si>
  <si>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</si>
  <si>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</si>
  <si>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</si>
  <si>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</si>
  <si>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</si>
  <si>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2.39亿</t>
  </si>
  <si>
    <t>2.30亿</t>
  </si>
  <si>
    <t>1.81亿</t>
  </si>
  <si>
    <t>5289.83万</t>
  </si>
  <si>
    <t>-6.52亿</t>
  </si>
  <si>
    <t>SZ002486</t>
  </si>
  <si>
    <t>嘉麟杰</t>
  </si>
  <si>
    <t>11.71亿</t>
  </si>
  <si>
    <t>1667.58万</t>
  </si>
  <si>
    <t>8.79亿</t>
  </si>
  <si>
    <t>-1734.09万</t>
  </si>
  <si>
    <t>1757.87万</t>
  </si>
  <si>
    <t>4.51亿</t>
  </si>
  <si>
    <t>2.73亿</t>
  </si>
  <si>
    <t>4.81亿</t>
  </si>
  <si>
    <t>SZ300979</t>
  </si>
  <si>
    <t>华利集团</t>
  </si>
  <si>
    <t>139.31亿</t>
  </si>
  <si>
    <t>18.79亿</t>
  </si>
  <si>
    <t>151.66亿</t>
  </si>
  <si>
    <t>123.88亿</t>
  </si>
  <si>
    <t>100.09亿</t>
  </si>
  <si>
    <t>18.21亿</t>
  </si>
  <si>
    <t>15.32亿</t>
  </si>
  <si>
    <t>11.06亿</t>
  </si>
  <si>
    <t>SZ301066</t>
  </si>
  <si>
    <t>万事利</t>
  </si>
  <si>
    <t>7.36亿</t>
  </si>
  <si>
    <t>6340.28万</t>
  </si>
  <si>
    <t>7.29亿</t>
  </si>
  <si>
    <t>7.53亿</t>
  </si>
  <si>
    <t>5966.03万</t>
  </si>
  <si>
    <t>5011.90万</t>
  </si>
  <si>
    <t>2.59亿</t>
  </si>
  <si>
    <t>4.80亿</t>
  </si>
  <si>
    <t>1.00亿</t>
  </si>
  <si>
    <t>SH600527</t>
  </si>
  <si>
    <t>江南高纤</t>
  </si>
  <si>
    <t>11.53亿</t>
  </si>
  <si>
    <t>13.72亿</t>
  </si>
  <si>
    <t>8230.31万</t>
  </si>
  <si>
    <t>8841.73万</t>
  </si>
  <si>
    <t>1.07亿</t>
  </si>
  <si>
    <t>1.52亿</t>
  </si>
  <si>
    <t>涨幅%</t>
  </si>
  <si>
    <t>流通股本</t>
  </si>
  <si>
    <t>净利润[20201231]</t>
  </si>
  <si>
    <t>投入资本回报率roic%[20201231]</t>
  </si>
  <si>
    <t>净资产收益率%[20201231]</t>
  </si>
  <si>
    <t>52.38亿</t>
  </si>
  <si>
    <t>987.96万</t>
  </si>
  <si>
    <t>1.73亿</t>
  </si>
  <si>
    <t>33.56亿</t>
  </si>
  <si>
    <t>4.49亿</t>
  </si>
  <si>
    <t>167.08亿</t>
  </si>
  <si>
    <t>3.52亿</t>
  </si>
  <si>
    <t>51.57亿</t>
  </si>
  <si>
    <t>22.62亿</t>
  </si>
  <si>
    <t>6486.65万</t>
  </si>
  <si>
    <t>38.97亿</t>
  </si>
  <si>
    <t>1.82亿</t>
  </si>
  <si>
    <t>1.09亿</t>
  </si>
  <si>
    <t>11.55亿</t>
  </si>
  <si>
    <t>1992.33万</t>
  </si>
  <si>
    <t>17.26亿</t>
  </si>
  <si>
    <t>22.89亿</t>
  </si>
  <si>
    <t>1.80亿</t>
  </si>
  <si>
    <t>2.69亿</t>
  </si>
  <si>
    <t>3066.99万</t>
  </si>
  <si>
    <t>8.89亿</t>
  </si>
  <si>
    <t>8855.06万</t>
  </si>
  <si>
    <t>174.70亿</t>
  </si>
  <si>
    <t>27.68亿</t>
  </si>
  <si>
    <t>6.70亿</t>
  </si>
  <si>
    <t>5090.71万</t>
  </si>
  <si>
    <t>19.92亿</t>
  </si>
  <si>
    <t>36.21亿</t>
  </si>
  <si>
    <t>-5727.42万</t>
  </si>
  <si>
    <t>2.96亿</t>
  </si>
  <si>
    <t>13.02亿</t>
  </si>
  <si>
    <t>7319.47万</t>
  </si>
  <si>
    <t>1.77亿</t>
  </si>
  <si>
    <t>8.75亿</t>
  </si>
  <si>
    <t>94.91亿</t>
  </si>
  <si>
    <t>6.67亿</t>
  </si>
  <si>
    <t>77.74亿</t>
  </si>
  <si>
    <t>13.71亿</t>
  </si>
  <si>
    <t>24.52亿</t>
  </si>
  <si>
    <t>8528.46万</t>
  </si>
  <si>
    <t>42.57亿</t>
  </si>
  <si>
    <t>4.64亿</t>
  </si>
  <si>
    <t>34.45亿</t>
  </si>
  <si>
    <t>2.88亿</t>
  </si>
  <si>
    <t>6.43亿</t>
  </si>
  <si>
    <t>21.75亿</t>
  </si>
  <si>
    <t xml:space="preserve">    名称</t>
  </si>
  <si>
    <t>成交量[20220902]</t>
  </si>
  <si>
    <t>营业收入(同比增长率) %[20220630]</t>
  </si>
  <si>
    <t>LY营业总收入[20211231]</t>
  </si>
  <si>
    <t>净利润?</t>
  </si>
  <si>
    <t>净利润[20211231]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</si>
  <si>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</si>
  <si>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</si>
  <si>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</si>
  <si>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</si>
  <si>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</si>
  <si>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销售费用[20220630]</t>
  </si>
  <si>
    <t>管理费用[20220630]</t>
  </si>
  <si>
    <t>研发费用总额[20220630]</t>
  </si>
  <si>
    <t>其他收入[20220630]</t>
  </si>
  <si>
    <t>扣非净利润</t>
  </si>
  <si>
    <t>货币资金[20220630]</t>
  </si>
  <si>
    <t>应收票据[20220630]</t>
  </si>
  <si>
    <t>固定资产[20220630]</t>
  </si>
  <si>
    <t>在建工程[20220630]</t>
  </si>
  <si>
    <t>短期借款[20220630]</t>
  </si>
  <si>
    <t>应付票据[20220630]</t>
  </si>
  <si>
    <t>应付账款[20220630]</t>
  </si>
  <si>
    <t>预收款项[20220630]</t>
  </si>
  <si>
    <t>流动负债[20220630]</t>
  </si>
  <si>
    <t>长期借款[20220630]</t>
  </si>
  <si>
    <t>经营活动产生的现金流量净额[20220630]</t>
  </si>
  <si>
    <t>投资活动产生的现金流量净额[20220630]</t>
  </si>
  <si>
    <t>筹资活动产生的现金流量净额[20220630]</t>
  </si>
  <si>
    <t>营业总收入[20201231]</t>
  </si>
  <si>
    <t>CYLQ营业收入[20220331]</t>
  </si>
  <si>
    <t>LYCQ营业收入[20210630]</t>
  </si>
  <si>
    <t>LYLQ营业收入[20210331]</t>
  </si>
  <si>
    <t>CYLQ净利润[20220331]</t>
  </si>
  <si>
    <t>LYCQ净利润[20210630]</t>
  </si>
  <si>
    <t>LYLQ净利润[20210331]</t>
  </si>
  <si>
    <t>投入资本回报率roic%[20220331]</t>
  </si>
  <si>
    <t>投入资本回报率roic%[20211231]</t>
  </si>
  <si>
    <t>净资产收益率%[20211231]</t>
  </si>
  <si>
    <t>细分行业</t>
  </si>
  <si>
    <t>销售毛利率%[20220331]</t>
  </si>
  <si>
    <t>销售净利率%[20220331]</t>
  </si>
  <si>
    <t>区间涨跌幅:前复权%[20220829-20220902]</t>
  </si>
  <si>
    <t>区间涨跌幅:前复权%[20220725-20220902]</t>
  </si>
  <si>
    <t>区间成交量[20220829-20220902]</t>
  </si>
  <si>
    <t>指数@区间成交量[20220725-20220902]</t>
  </si>
  <si>
    <t>单季营收增速</t>
  </si>
  <si>
    <t>单季利润增速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</si>
  <si>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</si>
  <si>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</si>
  <si>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</si>
  <si>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</si>
  <si>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</si>
  <si>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</si>
  <si>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</si>
  <si>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</si>
  <si>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</si>
  <si>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</si>
  <si>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</si>
  <si>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</si>
  <si>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</si>
  <si>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</si>
  <si>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</si>
  <si>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</si>
  <si>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</si>
  <si>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</si>
  <si>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</si>
  <si>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</si>
  <si>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</si>
  <si>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</si>
  <si>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</si>
  <si>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</si>
  <si>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</si>
  <si>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</si>
  <si>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</si>
  <si>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</si>
  <si>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</si>
  <si>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</si>
  <si>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</si>
  <si>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</si>
  <si>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</si>
  <si>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</si>
  <si>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</si>
  <si>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</si>
  <si>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</si>
  <si>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</si>
  <si>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</si>
  <si>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</si>
  <si>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</si>
  <si>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</si>
  <si>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棉纺</t>
  </si>
  <si>
    <t/>
  </si>
  <si>
    <t>3.44亿</t>
  </si>
  <si>
    <t>5.02亿</t>
  </si>
  <si>
    <t>其他纺织</t>
  </si>
  <si>
    <t>1-0</t>
  </si>
  <si>
    <t>2.25亿</t>
  </si>
  <si>
    <t>1-1</t>
  </si>
  <si>
    <t>7643.71万</t>
  </si>
  <si>
    <t>8.46亿</t>
  </si>
  <si>
    <t>1.88亿</t>
  </si>
  <si>
    <t>14.83亿</t>
  </si>
  <si>
    <t>2.37亿</t>
  </si>
  <si>
    <t>辅料</t>
  </si>
  <si>
    <t>1.71亿</t>
  </si>
  <si>
    <t>3.02亿</t>
  </si>
  <si>
    <t>9.73亿</t>
  </si>
  <si>
    <t>7303.27万</t>
  </si>
  <si>
    <t>-1-0</t>
  </si>
  <si>
    <t>11.47亿</t>
  </si>
  <si>
    <t>3.12亿</t>
  </si>
  <si>
    <t>2.99亿</t>
  </si>
  <si>
    <t>8.04亿</t>
  </si>
  <si>
    <t>81.95亿</t>
  </si>
  <si>
    <t>12.91亿</t>
  </si>
  <si>
    <t>3.23亿</t>
  </si>
  <si>
    <t>-1-1</t>
  </si>
  <si>
    <t>亏损</t>
  </si>
  <si>
    <t>扭亏</t>
  </si>
  <si>
    <t>2-1</t>
  </si>
  <si>
    <t>印染</t>
  </si>
  <si>
    <t>3-1</t>
  </si>
  <si>
    <t>1.60亿</t>
  </si>
  <si>
    <t>1.06亿</t>
  </si>
  <si>
    <t>1.65亿</t>
  </si>
  <si>
    <t>2.81亿</t>
  </si>
  <si>
    <t>7.67亿</t>
  </si>
  <si>
    <t>3.06亿</t>
  </si>
  <si>
    <t>2.47亿</t>
  </si>
  <si>
    <t>17.68亿</t>
  </si>
  <si>
    <t>29.54亿</t>
  </si>
  <si>
    <t>2818444300亿</t>
  </si>
  <si>
    <t>22.32亿</t>
  </si>
  <si>
    <t>16.78亿</t>
  </si>
  <si>
    <t>6628490亿</t>
  </si>
  <si>
    <t>117.89万</t>
  </si>
  <si>
    <t>503214840亿</t>
  </si>
  <si>
    <t>8.69亿</t>
  </si>
  <si>
    <t>426555660亿</t>
  </si>
  <si>
    <t>2026920500亿</t>
  </si>
  <si>
    <t>15.24亿</t>
  </si>
  <si>
    <t>5.67亿</t>
  </si>
  <si>
    <t>-5.48亿</t>
  </si>
  <si>
    <t>18.29亿</t>
  </si>
  <si>
    <t>23.71亿</t>
  </si>
  <si>
    <t>3.99亿</t>
  </si>
  <si>
    <t>1.35亿</t>
  </si>
  <si>
    <t>7.82亿</t>
  </si>
  <si>
    <t>10.87亿</t>
  </si>
  <si>
    <t>1617455200亿</t>
  </si>
  <si>
    <t>15.36亿</t>
  </si>
  <si>
    <t>10.45亿</t>
  </si>
  <si>
    <t>4481.99万</t>
  </si>
  <si>
    <t>540130亿</t>
  </si>
  <si>
    <t>80.68万</t>
  </si>
  <si>
    <t>84257621亿</t>
  </si>
  <si>
    <t>357519990亿</t>
  </si>
  <si>
    <t>936598230亿</t>
  </si>
  <si>
    <t>1120.92万</t>
  </si>
  <si>
    <t>431.57万</t>
  </si>
  <si>
    <t>1.87亿</t>
  </si>
  <si>
    <t>308.35万</t>
  </si>
  <si>
    <t>7.46亿</t>
  </si>
  <si>
    <t>2.03亿</t>
  </si>
  <si>
    <t>-6076.01万</t>
  </si>
  <si>
    <t>-1.15亿</t>
  </si>
  <si>
    <t>15.82亿</t>
  </si>
  <si>
    <t>6220.78万</t>
  </si>
  <si>
    <t>2.38亿</t>
  </si>
  <si>
    <t>7.66亿</t>
  </si>
  <si>
    <t>3-0</t>
  </si>
  <si>
    <t>3.21亿</t>
  </si>
  <si>
    <t>2.44亿</t>
  </si>
  <si>
    <t>1.68亿</t>
  </si>
  <si>
    <t>5.58亿</t>
  </si>
  <si>
    <t>1.69亿</t>
  </si>
  <si>
    <t>11.04亿</t>
  </si>
  <si>
    <t>61.90亿</t>
  </si>
  <si>
    <t>127.31亿</t>
  </si>
  <si>
    <t>15373963000亿</t>
  </si>
  <si>
    <t>121.82亿</t>
  </si>
  <si>
    <t>113.93亿</t>
  </si>
  <si>
    <t>5929.61万</t>
  </si>
  <si>
    <t>6.53亿</t>
  </si>
  <si>
    <t>49160729亿</t>
  </si>
  <si>
    <t>208.43万</t>
  </si>
  <si>
    <t>2402840400亿</t>
  </si>
  <si>
    <t>56.69亿</t>
  </si>
  <si>
    <t>2795855000亿</t>
  </si>
  <si>
    <t>13391694500亿</t>
  </si>
  <si>
    <t>22.27亿</t>
  </si>
  <si>
    <t>1330.35万</t>
  </si>
  <si>
    <t>17.64亿</t>
  </si>
  <si>
    <t>59.20亿</t>
  </si>
  <si>
    <t>31.74亿</t>
  </si>
  <si>
    <t>-30.14亿</t>
  </si>
  <si>
    <t>-11.99亿</t>
  </si>
  <si>
    <t>98.99亿</t>
  </si>
  <si>
    <t>126.34亿</t>
  </si>
  <si>
    <t>15.62亿</t>
  </si>
  <si>
    <t>19.97亿</t>
  </si>
  <si>
    <t>4.03亿</t>
  </si>
  <si>
    <t>-3-0</t>
  </si>
  <si>
    <t>1.48亿</t>
  </si>
  <si>
    <t>1.84亿</t>
  </si>
  <si>
    <t>4.72亿</t>
  </si>
  <si>
    <t>1.55亿</t>
  </si>
  <si>
    <t>4.21亿</t>
  </si>
  <si>
    <t>96.59亿</t>
  </si>
  <si>
    <t>1.67亿</t>
  </si>
  <si>
    <t>SH603130</t>
  </si>
  <si>
    <t>云中马</t>
  </si>
  <si>
    <t>17.10亿</t>
  </si>
  <si>
    <t>3.26亿</t>
  </si>
  <si>
    <t>8.22亿</t>
  </si>
  <si>
    <t>11.30亿</t>
  </si>
  <si>
    <t>16.51亿</t>
  </si>
  <si>
    <t>15.23亿</t>
  </si>
  <si>
    <t>9230.62万</t>
  </si>
  <si>
    <t>5663.31万</t>
  </si>
  <si>
    <t>2.58亿</t>
  </si>
  <si>
    <t>6.58亿</t>
  </si>
  <si>
    <t>10派0.5元(含税)</t>
  </si>
  <si>
    <t>不分配不转增</t>
  </si>
  <si>
    <t>429.51万</t>
  </si>
  <si>
    <t>10转3股派5元(含税)</t>
  </si>
  <si>
    <t>2566.59万</t>
  </si>
  <si>
    <t>10派3元(含税)</t>
  </si>
  <si>
    <t>4.60亿</t>
  </si>
  <si>
    <t>5720.90万</t>
  </si>
  <si>
    <t>2.29亿</t>
  </si>
  <si>
    <t>10派1元(含税)</t>
  </si>
  <si>
    <t>231.34万</t>
  </si>
  <si>
    <t>10派11元(含税)</t>
  </si>
  <si>
    <t>1447.15万</t>
  </si>
  <si>
    <t>8104.77万</t>
  </si>
  <si>
    <t>-4-0</t>
  </si>
  <si>
    <t>-3-1</t>
  </si>
  <si>
    <t>2.02亿</t>
  </si>
  <si>
    <t>7.09亿</t>
  </si>
  <si>
    <t>4.31亿</t>
  </si>
  <si>
    <r>
      <t>1.问：浔兴股份自2021年Q4收入持续提速的原因是什么？2022年Q1收入增速仍能维持在高位水平，原因是什么？答：受益于国内疫情的防控，稳定的供应链优势，</t>
    </r>
    <r>
      <rPr>
        <sz val="9"/>
        <color rgb="FFFF0000"/>
        <rFont val="宋体"/>
        <family val="3"/>
        <charset val="134"/>
        <scheme val="minor"/>
      </rPr>
      <t>海外订单回流，公司国内品牌客户业务增长</t>
    </r>
    <r>
      <rPr>
        <sz val="9"/>
        <color theme="1"/>
        <rFont val="宋体"/>
        <family val="2"/>
        <charset val="134"/>
        <scheme val="minor"/>
      </rPr>
      <t>、海外订单稳定。2.跨境电商涉及行业：价之链电商业务所售产品均为自有品牌，品类涵盖家居生活用品、3C 电子产品、保健美容产品、汽车周边产品、其他产品等多个领域。</t>
    </r>
    <phoneticPr fontId="1" type="noConversion"/>
  </si>
  <si>
    <r>
      <t>1.公司</t>
    </r>
    <r>
      <rPr>
        <b/>
        <sz val="9"/>
        <color theme="1"/>
        <rFont val="宋体"/>
        <family val="3"/>
        <charset val="134"/>
        <scheme val="minor"/>
      </rPr>
      <t>2018年</t>
    </r>
    <r>
      <rPr>
        <sz val="9"/>
        <color theme="1"/>
        <rFont val="宋体"/>
        <family val="2"/>
        <charset val="134"/>
        <scheme val="minor"/>
      </rPr>
      <t>因</t>
    </r>
    <r>
      <rPr>
        <sz val="9"/>
        <color rgb="FFFF0000"/>
        <rFont val="宋体"/>
        <family val="3"/>
        <charset val="134"/>
        <scheme val="minor"/>
      </rPr>
      <t>涉嫌信息披露违法违规</t>
    </r>
    <r>
      <rPr>
        <sz val="9"/>
        <color theme="1"/>
        <rFont val="宋体"/>
        <family val="2"/>
        <charset val="134"/>
        <scheme val="minor"/>
      </rPr>
      <t>，正被中国证券监督管理委员会立案调查。根据相关规定，如公司因此受到中国证券监督管理委员会行政处罚，且违法行为</t>
    </r>
    <r>
      <rPr>
        <sz val="9"/>
        <color rgb="FFFF0000"/>
        <rFont val="宋体"/>
        <family val="3"/>
        <charset val="134"/>
        <scheme val="minor"/>
      </rPr>
      <t>属于重大违法强制退市</t>
    </r>
    <r>
      <rPr>
        <sz val="9"/>
        <color theme="1"/>
        <rFont val="宋体"/>
        <family val="2"/>
        <charset val="134"/>
        <scheme val="minor"/>
      </rPr>
      <t>情形的，公司股票将可能存在被终止上市的风险。</t>
    </r>
    <phoneticPr fontId="1" type="noConversion"/>
  </si>
  <si>
    <t>459.01万</t>
  </si>
  <si>
    <t>38.13亿</t>
  </si>
  <si>
    <t>13.83亿</t>
  </si>
  <si>
    <t>59.61亿</t>
  </si>
  <si>
    <t>12.44亿</t>
  </si>
  <si>
    <t>10.58亿</t>
  </si>
  <si>
    <t>3088.91万</t>
  </si>
  <si>
    <t>8250.31万</t>
  </si>
  <si>
    <t>23510003亿</t>
  </si>
  <si>
    <t>127.05万</t>
  </si>
  <si>
    <t>122504699亿</t>
  </si>
  <si>
    <t>17.83亿</t>
  </si>
  <si>
    <t>795032830亿</t>
  </si>
  <si>
    <t>8055.04万</t>
  </si>
  <si>
    <t>5924576600亿</t>
  </si>
  <si>
    <t>6.25亿</t>
  </si>
  <si>
    <t>2.10亿</t>
  </si>
  <si>
    <t>14.33亿</t>
  </si>
  <si>
    <t>8.32亿</t>
  </si>
  <si>
    <t>9339.51万</t>
  </si>
  <si>
    <t>-6.01亿</t>
  </si>
  <si>
    <t>69.38亿</t>
  </si>
  <si>
    <t>9.64亿</t>
  </si>
  <si>
    <t>13.78亿</t>
  </si>
  <si>
    <t>9575.92万</t>
  </si>
  <si>
    <t>10派1.3元(含税)</t>
  </si>
  <si>
    <t>2741.55万</t>
  </si>
  <si>
    <t>账面净赚</t>
  </si>
  <si>
    <t>0403000000</t>
  </si>
  <si>
    <t>01209000000</t>
  </si>
  <si>
    <t>02418000000</t>
  </si>
  <si>
    <t>04030000000</t>
  </si>
  <si>
    <t>08060000000</t>
  </si>
  <si>
    <t>318.69万</t>
  </si>
  <si>
    <t>29.29亿</t>
  </si>
  <si>
    <t>44.17亿</t>
  </si>
  <si>
    <t>7.94亿</t>
  </si>
  <si>
    <t>35.65亿</t>
  </si>
  <si>
    <t>7.00亿</t>
  </si>
  <si>
    <t>575.31万</t>
  </si>
  <si>
    <t>2800.19万</t>
  </si>
  <si>
    <t>23286829亿</t>
  </si>
  <si>
    <t>13.98万</t>
  </si>
  <si>
    <t>17790946亿</t>
  </si>
  <si>
    <t>5.42亿</t>
  </si>
  <si>
    <t>385596460亿</t>
  </si>
  <si>
    <t>3133766700亿</t>
  </si>
  <si>
    <t>5999.20万</t>
  </si>
  <si>
    <t>18.00亿</t>
  </si>
  <si>
    <t>-1.17亿</t>
  </si>
  <si>
    <t>6.41亿</t>
  </si>
  <si>
    <t>-3.80亿</t>
  </si>
  <si>
    <t>34.94亿</t>
  </si>
  <si>
    <t>-1.75亿</t>
  </si>
  <si>
    <t>7.57亿</t>
  </si>
  <si>
    <t>4873.80万</t>
  </si>
  <si>
    <t>2000.75万</t>
  </si>
  <si>
    <t>471.28万</t>
  </si>
  <si>
    <t>7.31亿</t>
  </si>
  <si>
    <t>5.91亿</t>
  </si>
  <si>
    <t>-2842.84万</t>
  </si>
  <si>
    <t>9626.01万</t>
  </si>
  <si>
    <t>589.51万</t>
  </si>
  <si>
    <t>758.41万</t>
  </si>
  <si>
    <t>-1668576亿</t>
  </si>
  <si>
    <t>-7291989亿</t>
  </si>
  <si>
    <t>6449.90万</t>
  </si>
  <si>
    <t>61166577亿</t>
  </si>
  <si>
    <t>44.53万</t>
  </si>
  <si>
    <t>454008790亿</t>
  </si>
  <si>
    <t>2600.00万</t>
  </si>
  <si>
    <t>3390.83万</t>
  </si>
  <si>
    <t>5270.00万</t>
  </si>
  <si>
    <t>-4234.49万</t>
  </si>
  <si>
    <t>-1261.72万</t>
  </si>
  <si>
    <t>-2032.10万</t>
  </si>
  <si>
    <t>-1.20亿</t>
  </si>
  <si>
    <t>-797.46万</t>
  </si>
  <si>
    <t>3214.93万</t>
  </si>
  <si>
    <t>1479.78万</t>
  </si>
  <si>
    <t>105.93亿</t>
  </si>
  <si>
    <t>63.38亿</t>
  </si>
  <si>
    <t>39.24亿</t>
  </si>
  <si>
    <t>136.63亿</t>
  </si>
  <si>
    <t>6678.21万</t>
  </si>
  <si>
    <t>39.06亿</t>
  </si>
  <si>
    <t>37.17亿</t>
  </si>
  <si>
    <t>2345.29万</t>
  </si>
  <si>
    <t>6923.59万</t>
  </si>
  <si>
    <t>-10428483亿</t>
  </si>
  <si>
    <t>88.37万</t>
  </si>
  <si>
    <t>9357306亿</t>
  </si>
  <si>
    <t>26.50亿</t>
  </si>
  <si>
    <t>1225597580亿</t>
  </si>
  <si>
    <t>3560.33万</t>
  </si>
  <si>
    <t>10457863200亿</t>
  </si>
  <si>
    <t>74.63亿</t>
  </si>
  <si>
    <t>9.59亿</t>
  </si>
  <si>
    <t>1054.22万</t>
  </si>
  <si>
    <t>102.05亿</t>
  </si>
  <si>
    <t>7758.67万</t>
  </si>
  <si>
    <t>-2.44亿</t>
  </si>
  <si>
    <t>-2.97亿</t>
  </si>
  <si>
    <t>144.60亿</t>
  </si>
  <si>
    <t>-3.50亿</t>
  </si>
  <si>
    <t>45.33亿</t>
  </si>
  <si>
    <t>5197.21万</t>
  </si>
  <si>
    <t>7968.53万</t>
  </si>
  <si>
    <t>066782100</t>
  </si>
  <si>
    <t>0200346300</t>
  </si>
  <si>
    <t>0400692600</t>
  </si>
  <si>
    <t>0667821000</t>
  </si>
  <si>
    <t>01335642000</t>
  </si>
  <si>
    <t>480.10万</t>
  </si>
  <si>
    <t>42.76亿</t>
  </si>
  <si>
    <t>39.44亿</t>
  </si>
  <si>
    <t>13.17亿</t>
  </si>
  <si>
    <t>53.40亿</t>
  </si>
  <si>
    <t>2.87亿</t>
  </si>
  <si>
    <t>12.11亿</t>
  </si>
  <si>
    <t>10.88亿</t>
  </si>
  <si>
    <t>2974.71万</t>
  </si>
  <si>
    <t>4566.58万</t>
  </si>
  <si>
    <t>212082亿</t>
  </si>
  <si>
    <t>16.61万</t>
  </si>
  <si>
    <t>86632502亿</t>
  </si>
  <si>
    <t>14.24亿</t>
  </si>
  <si>
    <t>746484200亿</t>
  </si>
  <si>
    <t>2131.23万</t>
  </si>
  <si>
    <t>3655981000亿</t>
  </si>
  <si>
    <t>20.18亿</t>
  </si>
  <si>
    <t>2.12亿</t>
  </si>
  <si>
    <t>4.19亿</t>
  </si>
  <si>
    <t>33.51亿</t>
  </si>
  <si>
    <t>2.08亿</t>
  </si>
  <si>
    <t>-8740.12万</t>
  </si>
  <si>
    <t>-1536.79万</t>
  </si>
  <si>
    <t>52.48亿</t>
  </si>
  <si>
    <t>2.04亿</t>
  </si>
  <si>
    <t>13.31亿</t>
  </si>
  <si>
    <t>2490.67万</t>
  </si>
  <si>
    <t>2413.18万</t>
  </si>
  <si>
    <t>-2-0</t>
  </si>
  <si>
    <t>113.40万</t>
  </si>
  <si>
    <t>20.08亿</t>
  </si>
  <si>
    <t>5.35亿</t>
  </si>
  <si>
    <t>8225.30万</t>
  </si>
  <si>
    <t>8407.32万</t>
  </si>
  <si>
    <t>301.50万</t>
  </si>
  <si>
    <t>1119.24万</t>
  </si>
  <si>
    <t>2210483亿</t>
  </si>
  <si>
    <t>1.87万</t>
  </si>
  <si>
    <t>17134343亿</t>
  </si>
  <si>
    <t>109364051亿</t>
  </si>
  <si>
    <t>729.81万</t>
  </si>
  <si>
    <t>916204060亿</t>
  </si>
  <si>
    <t>282.50万</t>
  </si>
  <si>
    <t>8359.08万</t>
  </si>
  <si>
    <t>3842.39万</t>
  </si>
  <si>
    <t>4553.84万</t>
  </si>
  <si>
    <t>91.43万</t>
  </si>
  <si>
    <t>1913.59万</t>
  </si>
  <si>
    <t>3110.27万</t>
  </si>
  <si>
    <t>7287.99万</t>
  </si>
  <si>
    <t>5.79亿</t>
  </si>
  <si>
    <t>7968.45万</t>
  </si>
  <si>
    <t>1722.39万</t>
  </si>
  <si>
    <t>10派1.5元(含税)</t>
  </si>
  <si>
    <t>650.81万</t>
  </si>
  <si>
    <t>5192.95万</t>
  </si>
  <si>
    <t>082253000</t>
  </si>
  <si>
    <t>0246759000</t>
  </si>
  <si>
    <t>0493518000</t>
  </si>
  <si>
    <t>0822530000</t>
  </si>
  <si>
    <t>01645060000</t>
  </si>
  <si>
    <t>143.64万</t>
  </si>
  <si>
    <t>22.85亿</t>
  </si>
  <si>
    <t>39.60亿</t>
  </si>
  <si>
    <t>12.52亿</t>
  </si>
  <si>
    <t>42.61亿</t>
  </si>
  <si>
    <t>1.49亿</t>
  </si>
  <si>
    <t>11.80亿</t>
  </si>
  <si>
    <t>10.64亿</t>
  </si>
  <si>
    <t>3779.53万</t>
  </si>
  <si>
    <t>4948.21万</t>
  </si>
  <si>
    <t>-2310411亿</t>
  </si>
  <si>
    <t>25.27万</t>
  </si>
  <si>
    <t>55248127亿</t>
  </si>
  <si>
    <t>555408690亿</t>
  </si>
  <si>
    <t>3647613500亿</t>
  </si>
  <si>
    <t>4685.87万</t>
  </si>
  <si>
    <t>17.57亿</t>
  </si>
  <si>
    <t>1.34亿</t>
  </si>
  <si>
    <t>-5708.13万</t>
  </si>
  <si>
    <t>42.07亿</t>
  </si>
  <si>
    <t>10.55亿</t>
  </si>
  <si>
    <t>6269.09万</t>
  </si>
  <si>
    <t>828.14万</t>
  </si>
  <si>
    <t>7528.05万</t>
  </si>
  <si>
    <t>397.89万</t>
  </si>
  <si>
    <t>14.15亿</t>
  </si>
  <si>
    <t>21.43亿</t>
  </si>
  <si>
    <t>11.69亿</t>
  </si>
  <si>
    <t>42.91亿</t>
  </si>
  <si>
    <t>2.17亿</t>
  </si>
  <si>
    <t>11.16亿</t>
  </si>
  <si>
    <t>10.37亿</t>
  </si>
  <si>
    <t>2372.89万</t>
  </si>
  <si>
    <t>3665.37万</t>
  </si>
  <si>
    <t>-545919亿</t>
  </si>
  <si>
    <t>5.04万</t>
  </si>
  <si>
    <t>43154710亿</t>
  </si>
  <si>
    <t>11.64亿</t>
  </si>
  <si>
    <t>489430330亿</t>
  </si>
  <si>
    <t>145.37万</t>
  </si>
  <si>
    <t>2649792300亿</t>
  </si>
  <si>
    <t>6502.19万</t>
  </si>
  <si>
    <t>10.21亿</t>
  </si>
  <si>
    <t>1165.76万</t>
  </si>
  <si>
    <t>507.91万</t>
  </si>
  <si>
    <t>14.58亿</t>
  </si>
  <si>
    <t>2.36亿</t>
  </si>
  <si>
    <t>-1.27亿</t>
  </si>
  <si>
    <t>43.21亿</t>
  </si>
  <si>
    <t>36.95亿</t>
  </si>
  <si>
    <t>9.63亿</t>
  </si>
  <si>
    <t>5247.86万</t>
  </si>
  <si>
    <t>2451.07万</t>
  </si>
  <si>
    <t>1757.04万</t>
  </si>
  <si>
    <t>1.93亿</t>
  </si>
  <si>
    <t>10.28亿</t>
  </si>
  <si>
    <t>2.35亿</t>
  </si>
  <si>
    <t>9.88亿</t>
  </si>
  <si>
    <t>5146.12万</t>
  </si>
  <si>
    <t>1.89亿</t>
  </si>
  <si>
    <t>1895.85万</t>
  </si>
  <si>
    <t>2287.61万</t>
  </si>
  <si>
    <t>14403亿</t>
  </si>
  <si>
    <t>22.76万</t>
  </si>
  <si>
    <t>-7790678亿</t>
  </si>
  <si>
    <t>2.97亿</t>
  </si>
  <si>
    <t>136259360亿</t>
  </si>
  <si>
    <t>711335790亿</t>
  </si>
  <si>
    <t>100.88万</t>
  </si>
  <si>
    <t>2602.70万</t>
  </si>
  <si>
    <t>8159.31万</t>
  </si>
  <si>
    <t>1.56亿</t>
  </si>
  <si>
    <t>429.89万</t>
  </si>
  <si>
    <t>1632.18万</t>
  </si>
  <si>
    <t>-565.88万</t>
  </si>
  <si>
    <t>-127.41万</t>
  </si>
  <si>
    <t>13.65亿</t>
  </si>
  <si>
    <t>9316.22万</t>
  </si>
  <si>
    <t>513.52万</t>
  </si>
  <si>
    <t>6.11亿</t>
  </si>
  <si>
    <t>114.22万</t>
  </si>
  <si>
    <t>14.99亿</t>
  </si>
  <si>
    <t>26.56亿</t>
  </si>
  <si>
    <t>27.00亿</t>
  </si>
  <si>
    <t>1.86亿</t>
  </si>
  <si>
    <t>5.29亿</t>
  </si>
  <si>
    <t>4.76亿</t>
  </si>
  <si>
    <t>738.31万</t>
  </si>
  <si>
    <t>2605.90万</t>
  </si>
  <si>
    <t>571374亿</t>
  </si>
  <si>
    <t>32818124亿</t>
  </si>
  <si>
    <t>424498450亿</t>
  </si>
  <si>
    <t>2893012100亿</t>
  </si>
  <si>
    <t>8307.12万</t>
  </si>
  <si>
    <t>5.06亿</t>
  </si>
  <si>
    <t>1324.55万</t>
  </si>
  <si>
    <t>9.98亿</t>
  </si>
  <si>
    <t>4.32亿</t>
  </si>
  <si>
    <t>4473.67万</t>
  </si>
  <si>
    <t>-1.80亿</t>
  </si>
  <si>
    <t>5063.18万</t>
  </si>
  <si>
    <t>19.88亿</t>
  </si>
  <si>
    <t>2837.76万</t>
  </si>
  <si>
    <t>10派6元(含税)</t>
  </si>
  <si>
    <t>819.29万</t>
  </si>
  <si>
    <t>5263.30万</t>
  </si>
  <si>
    <t>78.28万</t>
  </si>
  <si>
    <t>16.79亿</t>
  </si>
  <si>
    <t>19.68亿</t>
  </si>
  <si>
    <t>9.10亿</t>
  </si>
  <si>
    <t>31.05亿</t>
  </si>
  <si>
    <t>8.11亿</t>
  </si>
  <si>
    <t>6.90亿</t>
  </si>
  <si>
    <t>4459.10万</t>
  </si>
  <si>
    <t>4819.35万</t>
  </si>
  <si>
    <t>2282007亿</t>
  </si>
  <si>
    <t>78146443亿</t>
  </si>
  <si>
    <t>6.84亿</t>
  </si>
  <si>
    <t>691794080亿</t>
  </si>
  <si>
    <t>1956396100亿</t>
  </si>
  <si>
    <t>7875.77万</t>
  </si>
  <si>
    <t>3.81亿</t>
  </si>
  <si>
    <t>373.74万</t>
  </si>
  <si>
    <t>-7413.62万</t>
  </si>
  <si>
    <t>27.41亿</t>
  </si>
  <si>
    <t>4690.77万</t>
  </si>
  <si>
    <t>7.40亿</t>
  </si>
  <si>
    <t>3501.18万</t>
  </si>
  <si>
    <t>10派0.94元(含税)</t>
  </si>
  <si>
    <t>745.87万</t>
  </si>
  <si>
    <t>3932.76万</t>
  </si>
  <si>
    <t>75.95万</t>
  </si>
  <si>
    <t>8.71亿</t>
  </si>
  <si>
    <t>17.70亿</t>
  </si>
  <si>
    <t>8532.66万</t>
  </si>
  <si>
    <t>383.43万</t>
  </si>
  <si>
    <t>925.86万</t>
  </si>
  <si>
    <t>13074989亿</t>
  </si>
  <si>
    <t>2.53亿</t>
  </si>
  <si>
    <t>104618383亿</t>
  </si>
  <si>
    <t>541173990亿</t>
  </si>
  <si>
    <t>1987.69万</t>
  </si>
  <si>
    <t>2870.67万</t>
  </si>
  <si>
    <t>1361.42万</t>
  </si>
  <si>
    <t>6067.81万</t>
  </si>
  <si>
    <t>-2423.44万</t>
  </si>
  <si>
    <t>-1130.54万</t>
  </si>
  <si>
    <t>-2305.19万</t>
  </si>
  <si>
    <t>3675.28万</t>
  </si>
  <si>
    <t>6.85亿</t>
  </si>
  <si>
    <t>7443.61万</t>
  </si>
  <si>
    <t>5524.35万</t>
  </si>
  <si>
    <t>547.51万</t>
  </si>
  <si>
    <t>9940.40万</t>
  </si>
  <si>
    <t>86.96万</t>
  </si>
  <si>
    <t>15.66亿</t>
  </si>
  <si>
    <t>2.52亿</t>
  </si>
  <si>
    <t>5.20亿</t>
  </si>
  <si>
    <t>-803.86万</t>
  </si>
  <si>
    <t>190.51万</t>
  </si>
  <si>
    <t>471.41万</t>
  </si>
  <si>
    <t>-1295194亿</t>
  </si>
  <si>
    <t>2.17万</t>
  </si>
  <si>
    <t>813226亿</t>
  </si>
  <si>
    <t>182874450亿</t>
  </si>
  <si>
    <t>191.49万</t>
  </si>
  <si>
    <t>1135825180亿</t>
  </si>
  <si>
    <t>120.81万</t>
  </si>
  <si>
    <t>9480.08万</t>
  </si>
  <si>
    <t>2178.79万</t>
  </si>
  <si>
    <t>-9019.24万</t>
  </si>
  <si>
    <t>6487.91万</t>
  </si>
  <si>
    <t>-1603.55万</t>
  </si>
  <si>
    <t>8.08亿</t>
  </si>
  <si>
    <t>-2529.54万</t>
  </si>
  <si>
    <t>9.00亿</t>
  </si>
  <si>
    <t>3027.31万</t>
  </si>
  <si>
    <t>2752.60万</t>
  </si>
  <si>
    <t>10派0.9元(含税)</t>
  </si>
  <si>
    <t>503.34万</t>
  </si>
  <si>
    <t>3696.51万</t>
  </si>
  <si>
    <t>-5-0</t>
  </si>
  <si>
    <t>210.13万</t>
  </si>
  <si>
    <t>1.63亿</t>
  </si>
  <si>
    <t>6.82亿</t>
  </si>
  <si>
    <t>2069.28万</t>
  </si>
  <si>
    <t>8612.82万</t>
  </si>
  <si>
    <t>4265.40万</t>
  </si>
  <si>
    <t>1029.72万</t>
  </si>
  <si>
    <t>330516亿</t>
  </si>
  <si>
    <t>12145143亿</t>
  </si>
  <si>
    <t>2.78亿</t>
  </si>
  <si>
    <t>88441452亿</t>
  </si>
  <si>
    <t>547067170亿</t>
  </si>
  <si>
    <t>3264.61万</t>
  </si>
  <si>
    <t>1.40亿</t>
  </si>
  <si>
    <t>2.31亿</t>
  </si>
  <si>
    <t>2656.06万</t>
  </si>
  <si>
    <t>-143.29万</t>
  </si>
  <si>
    <t>-4934.26万</t>
  </si>
  <si>
    <t>2638.72万</t>
  </si>
  <si>
    <t>5.49亿</t>
  </si>
  <si>
    <t>-159.02万</t>
  </si>
  <si>
    <t>6.92亿</t>
  </si>
  <si>
    <t>1.22亿</t>
  </si>
  <si>
    <t>3474.05万</t>
  </si>
  <si>
    <t>52.47万</t>
  </si>
  <si>
    <t>10派0.6元(含税)</t>
  </si>
  <si>
    <t>1271.52万</t>
  </si>
  <si>
    <t>8170.49万</t>
  </si>
  <si>
    <t>020692800</t>
  </si>
  <si>
    <t>062078400</t>
  </si>
  <si>
    <t>0124156800</t>
  </si>
  <si>
    <t>0206928000</t>
  </si>
  <si>
    <t>0413856000</t>
  </si>
  <si>
    <t>381.50万</t>
  </si>
  <si>
    <t>301.20亿</t>
  </si>
  <si>
    <t>22.66亿</t>
  </si>
  <si>
    <t>-24750亿</t>
  </si>
  <si>
    <t>1.95万</t>
  </si>
  <si>
    <t>-9302936亿</t>
  </si>
  <si>
    <t>1.24亿</t>
  </si>
  <si>
    <t>61204552亿</t>
  </si>
  <si>
    <t>352478490亿</t>
  </si>
  <si>
    <t>50.35万</t>
  </si>
  <si>
    <t>5689.55万</t>
  </si>
  <si>
    <t>-2390.30万</t>
  </si>
  <si>
    <t>196.32万</t>
  </si>
  <si>
    <t>-141.24万</t>
  </si>
  <si>
    <t>9.11亿</t>
  </si>
  <si>
    <t>-2.08亿</t>
  </si>
  <si>
    <t>5.81亿</t>
  </si>
  <si>
    <t>70.68亿</t>
  </si>
  <si>
    <t>2102.31万</t>
  </si>
  <si>
    <t>2174.44万</t>
  </si>
  <si>
    <t>ST阳光</t>
  </si>
  <si>
    <t>20.47亿</t>
  </si>
  <si>
    <t>586.41亿</t>
  </si>
  <si>
    <t>3.11亿</t>
  </si>
  <si>
    <t>688.42万</t>
  </si>
  <si>
    <t>3554.83万</t>
  </si>
  <si>
    <t>27.02万</t>
  </si>
  <si>
    <t>-27698811亿</t>
  </si>
  <si>
    <t>8282.78万</t>
  </si>
  <si>
    <t>1902604500亿</t>
  </si>
  <si>
    <t>943.06万</t>
  </si>
  <si>
    <t>13.90亿</t>
  </si>
  <si>
    <t>874.50万</t>
  </si>
  <si>
    <t>18.70亿</t>
  </si>
  <si>
    <t>1599.00万</t>
  </si>
  <si>
    <t>5802.81万</t>
  </si>
  <si>
    <t>-1255.11万</t>
  </si>
  <si>
    <t>-3966.49万</t>
  </si>
  <si>
    <t>19.93亿</t>
  </si>
  <si>
    <t>1.17亿</t>
  </si>
  <si>
    <t>17.17亿</t>
  </si>
  <si>
    <t>131.48亿</t>
  </si>
  <si>
    <t>-1.00亿</t>
  </si>
  <si>
    <t>2135.54万</t>
  </si>
  <si>
    <t>1036.22万</t>
  </si>
  <si>
    <t>22.30亿</t>
  </si>
  <si>
    <t>12.58亿</t>
  </si>
  <si>
    <t>6.61亿</t>
  </si>
  <si>
    <t>104.10亿</t>
  </si>
  <si>
    <t>6.06亿</t>
  </si>
  <si>
    <t>1076.18万</t>
  </si>
  <si>
    <t>1504.16万</t>
  </si>
  <si>
    <t>9.99万</t>
  </si>
  <si>
    <t>278835亿</t>
  </si>
  <si>
    <t>304076660亿</t>
  </si>
  <si>
    <t>20.00万</t>
  </si>
  <si>
    <t>1721654700亿</t>
  </si>
  <si>
    <t>1398.92万</t>
  </si>
  <si>
    <t>10.12亿</t>
  </si>
  <si>
    <t>3.38亿</t>
  </si>
  <si>
    <t>20.85亿</t>
  </si>
  <si>
    <t>2984.09万</t>
  </si>
  <si>
    <t>-1681.34万</t>
  </si>
  <si>
    <t>-1011.46万</t>
  </si>
  <si>
    <t>34.89亿</t>
  </si>
  <si>
    <t>-8580.81万</t>
  </si>
  <si>
    <t>27.98亿</t>
  </si>
  <si>
    <t>11.40亿</t>
  </si>
  <si>
    <t>944.07万</t>
  </si>
  <si>
    <t>646.27万</t>
  </si>
  <si>
    <t>5864.31万</t>
  </si>
  <si>
    <t>344.03万</t>
  </si>
  <si>
    <t>6.60亿</t>
  </si>
  <si>
    <t>12.83亿</t>
  </si>
  <si>
    <t>2035.03万</t>
  </si>
  <si>
    <t>2.09亿</t>
  </si>
  <si>
    <t>472.40万</t>
  </si>
  <si>
    <t>1099.44万</t>
  </si>
  <si>
    <t>3011359亿</t>
  </si>
  <si>
    <t>568908亿</t>
  </si>
  <si>
    <t>164941310亿</t>
  </si>
  <si>
    <t>688396900亿</t>
  </si>
  <si>
    <t>8913.54万</t>
  </si>
  <si>
    <t>8990.17万</t>
  </si>
  <si>
    <t>1.76亿</t>
  </si>
  <si>
    <t>5390.68万</t>
  </si>
  <si>
    <t>5.41亿</t>
  </si>
  <si>
    <t>1325.95万</t>
  </si>
  <si>
    <t>-4225.35万</t>
  </si>
  <si>
    <t>-4239.23万</t>
  </si>
  <si>
    <t>11.49亿</t>
  </si>
  <si>
    <t>2584.53万</t>
  </si>
  <si>
    <t>9.95亿</t>
  </si>
  <si>
    <t>2.71亿</t>
  </si>
  <si>
    <t>-1717.47万</t>
  </si>
  <si>
    <t>1884.63万</t>
  </si>
  <si>
    <t>848.76万</t>
  </si>
  <si>
    <t>22.26亿</t>
  </si>
  <si>
    <t>300.67亿</t>
  </si>
  <si>
    <t>17.44亿</t>
  </si>
  <si>
    <t>41.01万</t>
  </si>
  <si>
    <t>545.22万</t>
  </si>
  <si>
    <t>4654761亿</t>
  </si>
  <si>
    <t>6.83万</t>
  </si>
  <si>
    <t>2664439亿</t>
  </si>
  <si>
    <t>27197037亿</t>
  </si>
  <si>
    <t>1292478280亿</t>
  </si>
  <si>
    <t>8.60亿</t>
  </si>
  <si>
    <t>981.43万</t>
  </si>
  <si>
    <t>2413.88万</t>
  </si>
  <si>
    <t>97.21万</t>
  </si>
  <si>
    <t>6696.07万</t>
  </si>
  <si>
    <t>-1.53亿</t>
  </si>
  <si>
    <t>-242.20万</t>
  </si>
  <si>
    <t>8.31亿</t>
  </si>
  <si>
    <t>8359.41万</t>
  </si>
  <si>
    <t>8.20亿</t>
  </si>
  <si>
    <t>74.35亿</t>
  </si>
  <si>
    <t>4599.62万</t>
  </si>
  <si>
    <t>5.25亿</t>
  </si>
  <si>
    <t>6166.93万</t>
  </si>
  <si>
    <t>331.90万</t>
  </si>
  <si>
    <t>20.98亿</t>
  </si>
  <si>
    <t>69.52亿</t>
  </si>
  <si>
    <t>31.27亿</t>
  </si>
  <si>
    <t>72.21亿</t>
  </si>
  <si>
    <t>27.95亿</t>
  </si>
  <si>
    <t>26.62亿</t>
  </si>
  <si>
    <t>3265.60万</t>
  </si>
  <si>
    <t>5279.53万</t>
  </si>
  <si>
    <t>-3968802亿</t>
  </si>
  <si>
    <t>106.40万</t>
  </si>
  <si>
    <t>127762281亿</t>
  </si>
  <si>
    <t>34.75亿</t>
  </si>
  <si>
    <t>391081380亿</t>
  </si>
  <si>
    <t>8247896400亿</t>
  </si>
  <si>
    <t>3522.92万</t>
  </si>
  <si>
    <t>3153.11万</t>
  </si>
  <si>
    <t>566.00万</t>
  </si>
  <si>
    <t>36.54亿</t>
  </si>
  <si>
    <t>-2.70亿</t>
  </si>
  <si>
    <t>4360.13万</t>
  </si>
  <si>
    <t>95.70亿</t>
  </si>
  <si>
    <t>96.66亿</t>
  </si>
  <si>
    <t>7526.16万</t>
  </si>
  <si>
    <t>2586.55万</t>
  </si>
  <si>
    <t>295.57万</t>
  </si>
  <si>
    <t>62.91亿</t>
  </si>
  <si>
    <t>97.80亿</t>
  </si>
  <si>
    <t>18.34亿</t>
  </si>
  <si>
    <t>90.55亿</t>
  </si>
  <si>
    <t>-4.92亿</t>
  </si>
  <si>
    <t>18.83亿</t>
  </si>
  <si>
    <t>1149.64万</t>
  </si>
  <si>
    <t>8270.46万</t>
  </si>
  <si>
    <t>46040318亿</t>
  </si>
  <si>
    <t>117.15万</t>
  </si>
  <si>
    <t>-7495828亿</t>
  </si>
  <si>
    <t>29.34亿</t>
  </si>
  <si>
    <t>653850690亿</t>
  </si>
  <si>
    <t>8547978200亿</t>
  </si>
  <si>
    <t>31.47亿</t>
  </si>
  <si>
    <t>3.43亿</t>
  </si>
  <si>
    <t>17.71万</t>
  </si>
  <si>
    <t>50.52亿</t>
  </si>
  <si>
    <t>13.20亿</t>
  </si>
  <si>
    <t>2.83亿</t>
  </si>
  <si>
    <t>6787.03万</t>
  </si>
  <si>
    <t>7379.41万</t>
  </si>
  <si>
    <t>69.89亿</t>
  </si>
  <si>
    <t>15.63亿</t>
  </si>
  <si>
    <t>69.14亿</t>
  </si>
  <si>
    <t>5.04亿</t>
  </si>
  <si>
    <t>-1.86亿</t>
  </si>
  <si>
    <t>1331.42万</t>
  </si>
  <si>
    <t>8908.50万</t>
  </si>
  <si>
    <t>731.07万</t>
  </si>
  <si>
    <t>17.18亿</t>
  </si>
  <si>
    <t>14.53亿</t>
  </si>
  <si>
    <t>6.16亿</t>
  </si>
  <si>
    <t>2250.71亿</t>
  </si>
  <si>
    <t>67.17亿</t>
  </si>
  <si>
    <t>5.69亿</t>
  </si>
  <si>
    <t>2254.28万</t>
  </si>
  <si>
    <t>3092.45万</t>
  </si>
  <si>
    <t>-404628亿</t>
  </si>
  <si>
    <t>130.17万</t>
  </si>
  <si>
    <t>26463104亿</t>
  </si>
  <si>
    <t>575297480亿</t>
  </si>
  <si>
    <t>1.11亿</t>
  </si>
  <si>
    <t>2721938900亿</t>
  </si>
  <si>
    <t>4.34亿</t>
  </si>
  <si>
    <t>6.39亿</t>
  </si>
  <si>
    <t>16.92亿</t>
  </si>
  <si>
    <t>-3.03亿</t>
  </si>
  <si>
    <t>-5722.04万</t>
  </si>
  <si>
    <t>8176.24万</t>
  </si>
  <si>
    <t>28.66亿</t>
  </si>
  <si>
    <t>662.79亿</t>
  </si>
  <si>
    <t>18.13亿</t>
  </si>
  <si>
    <t>3965.83万</t>
  </si>
  <si>
    <t>2.72亿</t>
  </si>
  <si>
    <t>736.31万</t>
  </si>
  <si>
    <t>61.10亿</t>
  </si>
  <si>
    <t>45.94亿</t>
  </si>
  <si>
    <t>14.72亿</t>
  </si>
  <si>
    <t>362.79亿</t>
  </si>
  <si>
    <t>13.00亿</t>
  </si>
  <si>
    <t>11.28亿</t>
  </si>
  <si>
    <t>1300.67万</t>
  </si>
  <si>
    <t>4540.54万</t>
  </si>
  <si>
    <t>142857亿</t>
  </si>
  <si>
    <t>1.76万</t>
  </si>
  <si>
    <t>135080300亿</t>
  </si>
  <si>
    <t>8.42亿</t>
  </si>
  <si>
    <t>1025269020亿</t>
  </si>
  <si>
    <t>4630861200亿</t>
  </si>
  <si>
    <t>14.92亿</t>
  </si>
  <si>
    <t>8.54亿</t>
  </si>
  <si>
    <t>9.96亿</t>
  </si>
  <si>
    <t>355.78万</t>
  </si>
  <si>
    <t>40.15亿</t>
  </si>
  <si>
    <t>16.08亿</t>
  </si>
  <si>
    <t>-1.55亿</t>
  </si>
  <si>
    <t>-2.18亿</t>
  </si>
  <si>
    <t>40.09亿</t>
  </si>
  <si>
    <t>50.94亿</t>
  </si>
  <si>
    <t>74.17亿</t>
  </si>
  <si>
    <t>7263.93万</t>
  </si>
  <si>
    <t>10派1.6元(含税)</t>
  </si>
  <si>
    <t>2691.29万</t>
  </si>
  <si>
    <t>1.64亿</t>
  </si>
  <si>
    <t>SH603073</t>
  </si>
  <si>
    <t>彩蝶实业</t>
  </si>
  <si>
    <t>39.45万</t>
  </si>
  <si>
    <t>13.15亿</t>
  </si>
  <si>
    <t>16.76亿</t>
  </si>
  <si>
    <t>2.50亿</t>
  </si>
  <si>
    <t>426.28万</t>
  </si>
  <si>
    <t>736.47万</t>
  </si>
  <si>
    <t>582368亿</t>
  </si>
  <si>
    <t>13.89万</t>
  </si>
  <si>
    <t>27047837亿</t>
  </si>
  <si>
    <t>7.11亿</t>
  </si>
  <si>
    <t>107730741亿</t>
  </si>
  <si>
    <t>4317.60万</t>
  </si>
  <si>
    <t>996730460亿</t>
  </si>
  <si>
    <t>7292.36万</t>
  </si>
  <si>
    <t>8475.21万</t>
  </si>
  <si>
    <t>246.61万</t>
  </si>
  <si>
    <t>2.51亿</t>
  </si>
  <si>
    <t>1280.80万</t>
  </si>
  <si>
    <t>6412.25万</t>
  </si>
  <si>
    <t>2403.91万</t>
  </si>
  <si>
    <t>8.30亿</t>
  </si>
  <si>
    <t>6.24亿</t>
  </si>
  <si>
    <t>9.13亿</t>
  </si>
  <si>
    <t>9347.59万</t>
  </si>
  <si>
    <t>7588.94万</t>
  </si>
  <si>
    <t>7987.22万</t>
  </si>
  <si>
    <t>3.75亿</t>
  </si>
  <si>
    <t>4148.31万</t>
  </si>
  <si>
    <t>267.06万</t>
  </si>
  <si>
    <t>2281.66万</t>
  </si>
  <si>
    <t>19.24万</t>
  </si>
  <si>
    <t>11.66亿</t>
  </si>
  <si>
    <t>13.35亿</t>
  </si>
  <si>
    <t>5.47亿</t>
  </si>
  <si>
    <t>10.53亿</t>
  </si>
  <si>
    <t>-5424.56万</t>
  </si>
  <si>
    <t>5.22亿</t>
  </si>
  <si>
    <t>4.92亿</t>
  </si>
  <si>
    <t>365.42万</t>
  </si>
  <si>
    <t>1072.38万</t>
  </si>
  <si>
    <t>-2086036亿</t>
  </si>
  <si>
    <t>3.65万</t>
  </si>
  <si>
    <t>20045933亿</t>
  </si>
  <si>
    <t>321723720亿</t>
  </si>
  <si>
    <t>332.50万</t>
  </si>
  <si>
    <t>1291689890亿</t>
  </si>
  <si>
    <t>4635.27万</t>
  </si>
  <si>
    <t>9666.51万</t>
  </si>
  <si>
    <t>8.82亿</t>
  </si>
  <si>
    <t>-5439.91万</t>
  </si>
  <si>
    <t>-1622.13万</t>
  </si>
  <si>
    <t>18.89亿</t>
  </si>
  <si>
    <t>23.25亿</t>
  </si>
  <si>
    <t>696.85万</t>
  </si>
  <si>
    <t>10派2.7元(含税)</t>
  </si>
  <si>
    <t>157.76万</t>
  </si>
  <si>
    <t>1236.45万</t>
  </si>
  <si>
    <t>258.53万</t>
  </si>
  <si>
    <t>23.50亿</t>
  </si>
  <si>
    <t>33.98亿</t>
  </si>
  <si>
    <t>11.00亿</t>
  </si>
  <si>
    <t>32.57亿</t>
  </si>
  <si>
    <t>2674.67万</t>
  </si>
  <si>
    <t>9.79亿</t>
  </si>
  <si>
    <t>8.81亿</t>
  </si>
  <si>
    <t>1893.46万</t>
  </si>
  <si>
    <t>3363.54万</t>
  </si>
  <si>
    <t>944841亿</t>
  </si>
  <si>
    <t>13.13万</t>
  </si>
  <si>
    <t>93446957亿</t>
  </si>
  <si>
    <t>6.81亿</t>
  </si>
  <si>
    <t>609555980亿</t>
  </si>
  <si>
    <t>3351967300亿</t>
  </si>
  <si>
    <t>6.09亿</t>
  </si>
  <si>
    <t>1.45亿</t>
  </si>
  <si>
    <t>15.88亿</t>
  </si>
  <si>
    <t>5.31亿</t>
  </si>
  <si>
    <t>-2.91亿</t>
  </si>
  <si>
    <t>-2.22亿</t>
  </si>
  <si>
    <t>39.50亿</t>
  </si>
  <si>
    <t>44.38亿</t>
  </si>
  <si>
    <t>6.95亿</t>
  </si>
  <si>
    <t>4.04亿</t>
  </si>
  <si>
    <t>-2904.47万</t>
  </si>
  <si>
    <t>1570.47万</t>
  </si>
  <si>
    <t>-2-1</t>
  </si>
  <si>
    <t>134.20万</t>
  </si>
  <si>
    <t>10.36亿</t>
  </si>
  <si>
    <t>11.46亿</t>
  </si>
  <si>
    <t>3.19亿</t>
  </si>
  <si>
    <t>29.28亿</t>
  </si>
  <si>
    <t>9664.30万</t>
  </si>
  <si>
    <t>3.32亿</t>
  </si>
  <si>
    <t>881.25万</t>
  </si>
  <si>
    <t>1589.75万</t>
  </si>
  <si>
    <t>-3773583亿</t>
  </si>
  <si>
    <t>2.46亿</t>
  </si>
  <si>
    <t>123704595亿</t>
  </si>
  <si>
    <t>469063630亿</t>
  </si>
  <si>
    <t>6758.09万</t>
  </si>
  <si>
    <t>5.85亿</t>
  </si>
  <si>
    <t>8.51万</t>
  </si>
  <si>
    <t>7547.02万</t>
  </si>
  <si>
    <t>-4085.53万</t>
  </si>
  <si>
    <t>-6060.65万</t>
  </si>
  <si>
    <t>13.70亿</t>
  </si>
  <si>
    <t>13.01亿</t>
  </si>
  <si>
    <t>-4751.30万</t>
  </si>
  <si>
    <t>8829.46万</t>
  </si>
  <si>
    <t>15.47亿</t>
  </si>
  <si>
    <t>3.73亿</t>
  </si>
  <si>
    <t>3719.10万</t>
  </si>
  <si>
    <t>1294.35万</t>
  </si>
  <si>
    <t>734.79万</t>
  </si>
  <si>
    <t>6180.73万</t>
  </si>
  <si>
    <t>225.60万</t>
  </si>
  <si>
    <t>2706.99万</t>
  </si>
  <si>
    <t>11.22亿</t>
  </si>
  <si>
    <t>8812.02万</t>
  </si>
  <si>
    <t>18.10亿</t>
  </si>
  <si>
    <t>4.13亿</t>
  </si>
  <si>
    <t>6569.68万</t>
  </si>
  <si>
    <t>6363.34万</t>
  </si>
  <si>
    <t>82.66万</t>
  </si>
  <si>
    <t>402.71万</t>
  </si>
  <si>
    <t>17461983亿</t>
  </si>
  <si>
    <t>192334390亿</t>
  </si>
  <si>
    <t>813174920亿</t>
  </si>
  <si>
    <t>9792.76万</t>
  </si>
  <si>
    <t>851.01万</t>
  </si>
  <si>
    <t>7.20万</t>
  </si>
  <si>
    <t>2502.91万</t>
  </si>
  <si>
    <t>-4615.94万</t>
  </si>
  <si>
    <t>-3998.89万</t>
  </si>
  <si>
    <t>2.77亿</t>
  </si>
  <si>
    <t>5896.88万</t>
  </si>
  <si>
    <t>4.15亿</t>
  </si>
  <si>
    <t>2778.05万</t>
  </si>
  <si>
    <t>8399.83万</t>
  </si>
  <si>
    <t>10派0.8元(含税)</t>
  </si>
  <si>
    <t>1132.14万</t>
  </si>
  <si>
    <t>8799.27万</t>
  </si>
  <si>
    <t>80.13万</t>
  </si>
  <si>
    <t>22.69亿</t>
  </si>
  <si>
    <t>18.25亿</t>
  </si>
  <si>
    <t>5.37亿</t>
  </si>
  <si>
    <t>53.64亿</t>
  </si>
  <si>
    <t>3.64亿</t>
  </si>
  <si>
    <t>5.28亿</t>
  </si>
  <si>
    <t>4.74亿</t>
  </si>
  <si>
    <t>429.44万</t>
  </si>
  <si>
    <t>1531.83万</t>
  </si>
  <si>
    <t>4101455亿</t>
  </si>
  <si>
    <t>85.11万</t>
  </si>
  <si>
    <t>23055912亿</t>
  </si>
  <si>
    <t>5.80亿</t>
  </si>
  <si>
    <t>36909311亿</t>
  </si>
  <si>
    <t>4436.58万</t>
  </si>
  <si>
    <t>2298199100亿</t>
  </si>
  <si>
    <t>7.51亿</t>
  </si>
  <si>
    <t>16.94亿</t>
  </si>
  <si>
    <t>3.13亿</t>
  </si>
  <si>
    <t>-3.84亿</t>
  </si>
  <si>
    <t>-9289.14万</t>
  </si>
  <si>
    <t>4.28亿</t>
  </si>
  <si>
    <t>22.08亿</t>
  </si>
  <si>
    <t>25.11亿</t>
  </si>
  <si>
    <t>12.86亿</t>
  </si>
  <si>
    <t>4924.42万</t>
  </si>
  <si>
    <t>10派1.50元(含税)</t>
  </si>
  <si>
    <t>459.69万</t>
  </si>
  <si>
    <t>4102.06万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</si>
</sst>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9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304800</xdr:colOff>
          <xdr:row>0</xdr:row>
          <xdr:rowOff>101600</xdr:rowOff>
        </xdr:from>
        <xdr:to>
          <xdr:col>147</xdr:col>
          <xdr:colOff>1320800</xdr:colOff>
          <xdr:row>0</xdr:row>
          <xdr:rowOff>406400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33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15" sqref="C15:C16"/>
    </sheetView>
  </sheetViews>
  <sheetFormatPr defaultRowHeight="14" x14ac:dyDescent="0.25"/>
  <cols>
    <col min="1" max="1" width="32.1796875" customWidth="1"/>
    <col min="2" max="2" width="36.1796875" customWidth="1"/>
    <col min="3" max="3" width="48.453125" customWidth="1"/>
    <col min="148" max="148" width="23.6328125" customWidth="1"/>
  </cols>
  <sheetData>
    <row r="1" spans="1:146" ht="37.5" customHeight="1" x14ac:dyDescent="0.25">
      <c r="A1" s="3" t="s">
        <v>23</v>
      </c>
      <c r="B1" s="4" t="s">
        <v>24</v>
      </c>
      <c r="C1" s="3" t="s">
        <v>25</v>
      </c>
      <c r="D1" t="s">
        <v>26</v>
      </c>
      <c r="E1" t="s">
        <v>376</v>
      </c>
      <c r="F1" t="s">
        <v>3</v>
      </c>
      <c r="G1" t="s">
        <v>325</v>
      </c>
      <c r="H1" t="s">
        <v>377</v>
      </c>
      <c r="I1" t="s">
        <v>27</v>
      </c>
      <c r="J1" t="s">
        <v>28</v>
      </c>
      <c r="K1" t="s">
        <v>4</v>
      </c>
      <c r="L1" t="s">
        <v>29</v>
      </c>
      <c r="M1" t="s">
        <v>30</v>
      </c>
      <c r="N1" t="s">
        <v>31</v>
      </c>
      <c r="O1" t="s">
        <v>32</v>
      </c>
      <c r="P1" t="s">
        <v>378</v>
      </c>
      <c r="Q1" t="s">
        <v>379</v>
      </c>
      <c r="R1" t="s">
        <v>380</v>
      </c>
      <c r="S1" t="s">
        <v>33</v>
      </c>
      <c r="T1" t="s">
        <v>381</v>
      </c>
      <c r="U1" t="s">
        <v>326</v>
      </c>
      <c r="V1" t="s">
        <v>34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35</v>
      </c>
      <c r="AF1" t="s">
        <v>36</v>
      </c>
      <c r="AG1" t="s">
        <v>390</v>
      </c>
      <c r="AH1" t="s">
        <v>391</v>
      </c>
      <c r="AI1" t="s">
        <v>392</v>
      </c>
      <c r="AJ1" t="s">
        <v>37</v>
      </c>
      <c r="AK1" t="s">
        <v>393</v>
      </c>
      <c r="AL1" t="s">
        <v>135</v>
      </c>
      <c r="AM1" t="s">
        <v>394</v>
      </c>
      <c r="AN1" t="s">
        <v>395</v>
      </c>
      <c r="AO1" t="s">
        <v>396</v>
      </c>
      <c r="AP1" t="s">
        <v>397</v>
      </c>
      <c r="AQ1" t="s">
        <v>398</v>
      </c>
      <c r="AR1" t="s">
        <v>399</v>
      </c>
      <c r="AS1" t="s">
        <v>400</v>
      </c>
      <c r="AT1" t="s">
        <v>401</v>
      </c>
      <c r="AU1" t="s">
        <v>402</v>
      </c>
      <c r="AV1" t="s">
        <v>403</v>
      </c>
      <c r="AW1" t="s">
        <v>404</v>
      </c>
      <c r="AX1" t="s">
        <v>405</v>
      </c>
      <c r="AY1" t="s">
        <v>136</v>
      </c>
      <c r="AZ1" t="s">
        <v>137</v>
      </c>
      <c r="BA1" t="s">
        <v>138</v>
      </c>
      <c r="BB1" t="s">
        <v>139</v>
      </c>
      <c r="BC1" t="s">
        <v>327</v>
      </c>
      <c r="BD1" t="s">
        <v>140</v>
      </c>
      <c r="BE1" t="s">
        <v>141</v>
      </c>
      <c r="BF1" t="s">
        <v>142</v>
      </c>
      <c r="BG1" t="s">
        <v>143</v>
      </c>
      <c r="BH1" t="s">
        <v>406</v>
      </c>
      <c r="BI1" t="s">
        <v>407</v>
      </c>
      <c r="BJ1" t="s">
        <v>408</v>
      </c>
      <c r="BK1" t="s">
        <v>409</v>
      </c>
      <c r="BL1" t="s">
        <v>410</v>
      </c>
      <c r="BM1" t="s">
        <v>411</v>
      </c>
      <c r="BN1" t="s">
        <v>412</v>
      </c>
      <c r="BO1" t="s">
        <v>413</v>
      </c>
      <c r="BP1" t="s">
        <v>328</v>
      </c>
      <c r="BQ1" t="s">
        <v>144</v>
      </c>
      <c r="BR1" t="s">
        <v>414</v>
      </c>
      <c r="BS1" t="s">
        <v>329</v>
      </c>
      <c r="BT1" t="s">
        <v>145</v>
      </c>
      <c r="BU1" t="s">
        <v>415</v>
      </c>
      <c r="BV1" t="s">
        <v>416</v>
      </c>
      <c r="BW1" t="s">
        <v>279</v>
      </c>
      <c r="BX1" t="s">
        <v>146</v>
      </c>
      <c r="BY1" t="s">
        <v>417</v>
      </c>
      <c r="BZ1" t="s">
        <v>280</v>
      </c>
      <c r="CA1" t="s">
        <v>147</v>
      </c>
      <c r="CB1" t="s">
        <v>418</v>
      </c>
      <c r="CC1" t="s">
        <v>419</v>
      </c>
      <c r="CD1" t="s">
        <v>420</v>
      </c>
      <c r="CE1" t="s">
        <v>421</v>
      </c>
      <c r="CF1" s="1" t="s">
        <v>422</v>
      </c>
      <c r="CG1" s="1" t="s">
        <v>423</v>
      </c>
      <c r="CH1" s="1" t="s">
        <v>266</v>
      </c>
      <c r="CI1" s="1" t="s">
        <v>267</v>
      </c>
      <c r="CJ1" s="1" t="s">
        <v>268</v>
      </c>
      <c r="CK1" s="1" t="s">
        <v>269</v>
      </c>
      <c r="CL1" s="1" t="s">
        <v>270</v>
      </c>
      <c r="CM1" s="1" t="s">
        <v>271</v>
      </c>
      <c r="CN1" s="1" t="s">
        <v>272</v>
      </c>
      <c r="CO1" s="1" t="s">
        <v>273</v>
      </c>
      <c r="CP1" s="1" t="s">
        <v>274</v>
      </c>
      <c r="CQ1" s="1" t="s">
        <v>275</v>
      </c>
      <c r="CR1" s="1" t="s">
        <v>424</v>
      </c>
      <c r="CS1" s="1" t="s">
        <v>425</v>
      </c>
      <c r="CT1" s="1" t="s">
        <v>426</v>
      </c>
      <c r="CU1" s="1" t="s">
        <v>427</v>
      </c>
      <c r="CV1" s="1" t="s">
        <v>428</v>
      </c>
      <c r="CW1" s="1" t="s">
        <v>429</v>
      </c>
      <c r="CX1">
        <v>1</v>
      </c>
      <c r="CY1" t="s">
        <v>430</v>
      </c>
      <c r="CZ1" t="s">
        <v>431</v>
      </c>
      <c r="DA1">
        <v>3</v>
      </c>
      <c r="DB1" t="s">
        <v>432</v>
      </c>
      <c r="DC1" t="s">
        <v>433</v>
      </c>
      <c r="DD1">
        <v>6</v>
      </c>
      <c r="DE1" t="s">
        <v>434</v>
      </c>
      <c r="DF1" t="s">
        <v>435</v>
      </c>
      <c r="DG1">
        <v>10</v>
      </c>
      <c r="DH1" t="s">
        <v>436</v>
      </c>
      <c r="DI1" t="s">
        <v>437</v>
      </c>
      <c r="DJ1">
        <v>20</v>
      </c>
      <c r="DK1" t="s">
        <v>438</v>
      </c>
      <c r="DL1" t="s">
        <v>276</v>
      </c>
      <c r="DM1" t="s">
        <v>277</v>
      </c>
      <c r="DN1" s="2" t="s">
        <v>278</v>
      </c>
      <c r="DO1" t="s">
        <v>439</v>
      </c>
      <c r="DP1" t="s">
        <v>440</v>
      </c>
      <c r="DQ1" s="7" t="s">
        <v>441</v>
      </c>
      <c r="DR1" s="1" t="s">
        <v>442</v>
      </c>
      <c r="DS1" s="1" t="s">
        <v>443</v>
      </c>
      <c r="DT1" t="s">
        <v>444</v>
      </c>
      <c r="DU1" t="s">
        <v>445</v>
      </c>
      <c r="DV1" t="s">
        <v>446</v>
      </c>
      <c r="DW1" t="s">
        <v>447</v>
      </c>
      <c r="DX1" t="s">
        <v>448</v>
      </c>
      <c r="DY1" t="s">
        <v>449</v>
      </c>
      <c r="DZ1" t="s">
        <v>450</v>
      </c>
      <c r="EA1" t="s">
        <v>451</v>
      </c>
      <c r="EB1" t="s">
        <v>452</v>
      </c>
      <c r="EC1" t="s">
        <v>453</v>
      </c>
      <c r="ED1" t="s">
        <v>454</v>
      </c>
      <c r="EE1" t="s">
        <v>455</v>
      </c>
      <c r="EF1" t="s">
        <v>456</v>
      </c>
      <c r="EG1" t="s">
        <v>457</v>
      </c>
      <c r="EH1" t="s">
        <v>458</v>
      </c>
      <c r="EI1" t="s">
        <v>459</v>
      </c>
      <c r="EK1" s="8" t="s">
        <v>460</v>
      </c>
      <c r="EL1" t="s">
        <v>461</v>
      </c>
      <c r="EM1" t="s">
        <v>462</v>
      </c>
      <c r="EN1" t="s">
        <v>463</v>
      </c>
      <c r="EO1" t="s">
        <v>464</v>
      </c>
      <c r="EP1" t="s">
        <v>465</v>
      </c>
    </row>
    <row r="2" spans="1:146" ht="84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市值50.022732亿, 利润4.03亿; PE13.31; 平均PE8.39; 平均PEG15.82, PB.544; ROIC4.74%; ROE6.4667%; 股利率2.1242%; 毛利23.1367%; 净利8.9767%; 上一年度营收增-14.08%, 利润增-58.2%; 当季营收增.36%, 利润增-28.74%; 过往5年营收增-.53%, 利润增60.78%
Income profile:
</v>
      </c>
      <c r="D2" t="s">
        <v>38</v>
      </c>
      <c r="E2" t="s">
        <v>18</v>
      </c>
      <c r="F2">
        <v>6.12</v>
      </c>
      <c r="G2">
        <v>-1.1299999999999999</v>
      </c>
      <c r="H2" t="s">
        <v>619</v>
      </c>
      <c r="I2">
        <v>5002273200</v>
      </c>
      <c r="J2">
        <v>13.31</v>
      </c>
      <c r="K2">
        <v>0.54400000000000004</v>
      </c>
      <c r="L2" t="s">
        <v>39</v>
      </c>
      <c r="M2" t="s">
        <v>620</v>
      </c>
      <c r="N2" t="s">
        <v>584</v>
      </c>
      <c r="O2" t="s">
        <v>621</v>
      </c>
      <c r="P2">
        <v>0.32</v>
      </c>
      <c r="Q2" t="s">
        <v>622</v>
      </c>
      <c r="R2">
        <v>68241726</v>
      </c>
      <c r="S2" s="5">
        <v>-0.28739999999999999</v>
      </c>
      <c r="T2" t="s">
        <v>577</v>
      </c>
      <c r="U2">
        <v>588543990</v>
      </c>
      <c r="V2">
        <v>817364900</v>
      </c>
      <c r="W2">
        <v>1.44</v>
      </c>
      <c r="X2">
        <v>0.1</v>
      </c>
      <c r="Y2">
        <v>5.1100000000000003</v>
      </c>
      <c r="Z2" t="s">
        <v>623</v>
      </c>
      <c r="AA2" t="s">
        <v>624</v>
      </c>
      <c r="AB2" t="s">
        <v>625</v>
      </c>
      <c r="AC2" t="s">
        <v>626</v>
      </c>
      <c r="AD2" t="s">
        <v>43</v>
      </c>
      <c r="AE2">
        <v>3100276</v>
      </c>
      <c r="AF2" t="s">
        <v>627</v>
      </c>
      <c r="AG2" t="s">
        <v>628</v>
      </c>
      <c r="AH2" t="s">
        <v>629</v>
      </c>
      <c r="AI2" t="s">
        <v>630</v>
      </c>
      <c r="AJ2" t="s">
        <v>631</v>
      </c>
      <c r="AK2" t="s">
        <v>632</v>
      </c>
      <c r="AL2" t="s">
        <v>633</v>
      </c>
      <c r="AM2" t="s">
        <v>43</v>
      </c>
      <c r="AN2" t="s">
        <v>523</v>
      </c>
      <c r="AO2" t="s">
        <v>634</v>
      </c>
      <c r="AP2" t="s">
        <v>43</v>
      </c>
      <c r="AQ2" t="s">
        <v>635</v>
      </c>
      <c r="AR2" t="s">
        <v>43</v>
      </c>
      <c r="AS2" t="s">
        <v>636</v>
      </c>
      <c r="AT2" t="s">
        <v>637</v>
      </c>
      <c r="AU2" t="s">
        <v>638</v>
      </c>
      <c r="AV2" t="s">
        <v>639</v>
      </c>
      <c r="AW2" t="s">
        <v>295</v>
      </c>
      <c r="AX2" t="s">
        <v>640</v>
      </c>
      <c r="AY2" t="s">
        <v>330</v>
      </c>
      <c r="AZ2" t="s">
        <v>148</v>
      </c>
      <c r="BA2" t="s">
        <v>40</v>
      </c>
      <c r="BB2" t="s">
        <v>150</v>
      </c>
      <c r="BC2" t="s">
        <v>641</v>
      </c>
      <c r="BD2" t="s">
        <v>204</v>
      </c>
      <c r="BE2" t="s">
        <v>149</v>
      </c>
      <c r="BF2" t="s">
        <v>41</v>
      </c>
      <c r="BG2" t="s">
        <v>151</v>
      </c>
      <c r="BH2" t="s">
        <v>622</v>
      </c>
      <c r="BI2" t="s">
        <v>642</v>
      </c>
      <c r="BJ2" t="s">
        <v>640</v>
      </c>
      <c r="BK2" t="s">
        <v>577</v>
      </c>
      <c r="BL2" t="s">
        <v>643</v>
      </c>
      <c r="BM2" t="s">
        <v>641</v>
      </c>
      <c r="BN2">
        <v>2.44</v>
      </c>
      <c r="BO2">
        <v>8.65</v>
      </c>
      <c r="BP2">
        <v>3.13</v>
      </c>
      <c r="BQ2">
        <v>3.65</v>
      </c>
      <c r="BR2">
        <v>11.31</v>
      </c>
      <c r="BS2">
        <v>4.4400000000000004</v>
      </c>
      <c r="BT2" t="s">
        <v>644</v>
      </c>
      <c r="BU2" t="s">
        <v>466</v>
      </c>
      <c r="BV2">
        <v>22.98</v>
      </c>
      <c r="BW2">
        <v>25.71</v>
      </c>
      <c r="BX2">
        <v>20.72</v>
      </c>
      <c r="BY2">
        <v>6.65</v>
      </c>
      <c r="BZ2">
        <v>14.03</v>
      </c>
      <c r="CA2">
        <v>6.25</v>
      </c>
      <c r="CB2">
        <v>-7.55</v>
      </c>
      <c r="CC2">
        <v>-0.49</v>
      </c>
      <c r="CD2" t="s">
        <v>645</v>
      </c>
      <c r="CE2" t="s">
        <v>491</v>
      </c>
      <c r="CF2" s="9">
        <v>3.6284470246734399E-3</v>
      </c>
      <c r="CG2" s="10">
        <v>-0.28736115172223659</v>
      </c>
      <c r="CH2" s="9">
        <v>-0.14081867039203644</v>
      </c>
      <c r="CI2" s="9">
        <v>0.3245512843132019</v>
      </c>
      <c r="CJ2" s="9">
        <v>0.10250474512577057</v>
      </c>
      <c r="CK2" s="9">
        <v>-0.3014262318611145</v>
      </c>
      <c r="CL2" s="9">
        <v>-1.1338875629007816E-2</v>
      </c>
      <c r="CM2" s="10">
        <v>-0.58195018768310547</v>
      </c>
      <c r="CN2" s="10">
        <v>1.7701148986816406</v>
      </c>
      <c r="CO2" s="10">
        <v>2.5762510299682617</v>
      </c>
      <c r="CP2" s="10">
        <v>-0.89778506755828857</v>
      </c>
      <c r="CQ2" s="10">
        <v>0.17241379618644714</v>
      </c>
      <c r="CR2">
        <v>8.392351599635445</v>
      </c>
      <c r="CS2">
        <v>15.818062391554081</v>
      </c>
      <c r="CT2">
        <v>2.1241830065359477</v>
      </c>
      <c r="CU2" s="9">
        <v>-5.3055496886372563E-3</v>
      </c>
      <c r="CV2" s="10">
        <v>0.60780889391899107</v>
      </c>
      <c r="CW2">
        <v>0.06</v>
      </c>
      <c r="CX2" t="s">
        <v>646</v>
      </c>
      <c r="CY2" t="s">
        <v>647</v>
      </c>
      <c r="CZ2">
        <v>-5.3055496886372563E-3</v>
      </c>
      <c r="DA2" t="s">
        <v>646</v>
      </c>
      <c r="DB2" t="s">
        <v>648</v>
      </c>
      <c r="DC2">
        <v>-5.0402722042053932E-3</v>
      </c>
      <c r="DD2" t="s">
        <v>646</v>
      </c>
      <c r="DE2" t="s">
        <v>649</v>
      </c>
      <c r="DF2">
        <v>-4.6688837260007859E-3</v>
      </c>
      <c r="DG2" t="s">
        <v>646</v>
      </c>
      <c r="DH2" t="s">
        <v>650</v>
      </c>
      <c r="DI2">
        <v>-4.2444397509098048E-3</v>
      </c>
      <c r="DJ2" t="s">
        <v>646</v>
      </c>
      <c r="DK2" t="s">
        <v>651</v>
      </c>
      <c r="DL2">
        <v>-3.7138847820460791E-3</v>
      </c>
      <c r="DM2">
        <v>403000000</v>
      </c>
      <c r="DN2">
        <v>-5.3055496886372563E-3</v>
      </c>
      <c r="DO2">
        <v>-843726800</v>
      </c>
      <c r="DP2">
        <v>4491576600</v>
      </c>
      <c r="DQ2">
        <v>249</v>
      </c>
      <c r="DR2">
        <v>8.9339967133106966E-3</v>
      </c>
      <c r="DS2">
        <v>-0.89517004564122771</v>
      </c>
      <c r="DT2" s="11">
        <v>-0.40666666666666668</v>
      </c>
      <c r="DU2">
        <v>0.19333333333333338</v>
      </c>
      <c r="DV2">
        <v>-0.21333333333333329</v>
      </c>
      <c r="DW2">
        <v>-5.0649006622516559</v>
      </c>
      <c r="DX2">
        <v>0.28487770897832904</v>
      </c>
      <c r="DY2">
        <v>-5.0055086195230967</v>
      </c>
      <c r="DZ2">
        <v>2239</v>
      </c>
      <c r="EA2">
        <v>-5.0030949602056385</v>
      </c>
      <c r="EB2">
        <v>5</v>
      </c>
      <c r="EC2">
        <v>3.3541322853477072E-2</v>
      </c>
      <c r="ED2">
        <v>0.39517233979584881</v>
      </c>
      <c r="EE2" s="12">
        <v>-1.10141</v>
      </c>
      <c r="EF2">
        <v>-1.12951</v>
      </c>
      <c r="EG2">
        <v>20.084877708978329</v>
      </c>
      <c r="EH2" t="s">
        <v>492</v>
      </c>
      <c r="EI2">
        <v>0</v>
      </c>
      <c r="EJ2">
        <v>0</v>
      </c>
      <c r="EK2" s="8">
        <v>45470</v>
      </c>
      <c r="EL2" s="13">
        <v>-1.86</v>
      </c>
      <c r="EM2" s="13">
        <v>-1.17</v>
      </c>
      <c r="EN2" s="13">
        <v>1.03</v>
      </c>
      <c r="EO2" s="13">
        <v>-1.17</v>
      </c>
      <c r="EP2" s="13">
        <v>-2.81</v>
      </c>
    </row>
    <row r="3" spans="1:146" ht="84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市值28.876149亿, 利润1.38亿; PE41.37; 平均PE17.63; 平均PEG3.39, PB.67; ROIC5.315%; ROE3.2433%; 股利率3.268%; 毛利15.2933%; 净利3.8233%; 上一年度营收增2.03%, 利润增178.86%; 当季营收增4.89%, 利润增-140.75%; 过往5年营收增5.2%, 利润增47.53%
Income profile:
</v>
      </c>
      <c r="D3" t="s">
        <v>45</v>
      </c>
      <c r="E3" t="s">
        <v>9</v>
      </c>
      <c r="F3">
        <v>3.06</v>
      </c>
      <c r="G3">
        <v>0</v>
      </c>
      <c r="H3" t="s">
        <v>652</v>
      </c>
      <c r="I3">
        <v>2887614900</v>
      </c>
      <c r="J3">
        <v>41.37</v>
      </c>
      <c r="K3">
        <v>0.67</v>
      </c>
      <c r="L3" t="s">
        <v>39</v>
      </c>
      <c r="M3" t="s">
        <v>653</v>
      </c>
      <c r="N3" t="s">
        <v>654</v>
      </c>
      <c r="O3" t="s">
        <v>655</v>
      </c>
      <c r="P3">
        <v>4.88</v>
      </c>
      <c r="Q3" t="s">
        <v>656</v>
      </c>
      <c r="R3">
        <v>-19860725</v>
      </c>
      <c r="S3" s="5">
        <v>-1.407</v>
      </c>
      <c r="T3" t="s">
        <v>64</v>
      </c>
      <c r="U3">
        <v>943665010</v>
      </c>
      <c r="V3">
        <v>943665010</v>
      </c>
      <c r="W3">
        <v>1.55</v>
      </c>
      <c r="X3">
        <v>0.11</v>
      </c>
      <c r="Y3">
        <v>-2.5499999999999998</v>
      </c>
      <c r="Z3" t="s">
        <v>523</v>
      </c>
      <c r="AA3" t="s">
        <v>657</v>
      </c>
      <c r="AB3" t="s">
        <v>658</v>
      </c>
      <c r="AC3" t="s">
        <v>659</v>
      </c>
      <c r="AD3" t="s">
        <v>43</v>
      </c>
      <c r="AE3">
        <v>16395041</v>
      </c>
      <c r="AF3" t="s">
        <v>660</v>
      </c>
      <c r="AG3" t="s">
        <v>661</v>
      </c>
      <c r="AH3" t="s">
        <v>662</v>
      </c>
      <c r="AI3" t="s">
        <v>663</v>
      </c>
      <c r="AJ3" t="s">
        <v>664</v>
      </c>
      <c r="AK3" t="s">
        <v>582</v>
      </c>
      <c r="AL3" t="s">
        <v>665</v>
      </c>
      <c r="AM3" t="s">
        <v>43</v>
      </c>
      <c r="AN3" t="s">
        <v>666</v>
      </c>
      <c r="AO3" t="s">
        <v>552</v>
      </c>
      <c r="AP3" t="s">
        <v>43</v>
      </c>
      <c r="AQ3" t="s">
        <v>42</v>
      </c>
      <c r="AR3" t="s">
        <v>43</v>
      </c>
      <c r="AS3" t="s">
        <v>667</v>
      </c>
      <c r="AT3" t="s">
        <v>583</v>
      </c>
      <c r="AU3" t="s">
        <v>668</v>
      </c>
      <c r="AV3" t="s">
        <v>669</v>
      </c>
      <c r="AW3" t="s">
        <v>670</v>
      </c>
      <c r="AX3" t="s">
        <v>671</v>
      </c>
      <c r="AY3" t="s">
        <v>214</v>
      </c>
      <c r="AZ3" t="s">
        <v>152</v>
      </c>
      <c r="BA3" t="s">
        <v>46</v>
      </c>
      <c r="BB3" t="s">
        <v>154</v>
      </c>
      <c r="BC3" t="s">
        <v>672</v>
      </c>
      <c r="BD3" t="s">
        <v>295</v>
      </c>
      <c r="BE3" t="s">
        <v>153</v>
      </c>
      <c r="BF3" t="s">
        <v>47</v>
      </c>
      <c r="BG3" t="s">
        <v>114</v>
      </c>
      <c r="BH3" t="s">
        <v>656</v>
      </c>
      <c r="BI3" t="s">
        <v>673</v>
      </c>
      <c r="BJ3" t="s">
        <v>671</v>
      </c>
      <c r="BK3" t="s">
        <v>64</v>
      </c>
      <c r="BL3" t="s">
        <v>674</v>
      </c>
      <c r="BM3" t="s">
        <v>672</v>
      </c>
      <c r="BN3">
        <v>2.58</v>
      </c>
      <c r="BO3" t="s">
        <v>43</v>
      </c>
      <c r="BP3">
        <v>8.0500000000000007</v>
      </c>
      <c r="BQ3">
        <v>2.91</v>
      </c>
      <c r="BR3">
        <v>-3.79</v>
      </c>
      <c r="BS3">
        <v>10.61</v>
      </c>
      <c r="BT3" t="s">
        <v>607</v>
      </c>
      <c r="BU3" t="s">
        <v>466</v>
      </c>
      <c r="BV3">
        <v>12.79</v>
      </c>
      <c r="BW3">
        <v>13.68</v>
      </c>
      <c r="BX3">
        <v>19.41</v>
      </c>
      <c r="BY3">
        <v>3.49</v>
      </c>
      <c r="BZ3">
        <v>-5.27</v>
      </c>
      <c r="CA3">
        <v>13.25</v>
      </c>
      <c r="CB3">
        <v>0.66</v>
      </c>
      <c r="CC3">
        <v>-9.73</v>
      </c>
      <c r="CD3" t="s">
        <v>675</v>
      </c>
      <c r="CE3" t="s">
        <v>66</v>
      </c>
      <c r="CF3" s="9">
        <v>4.8877146631439897E-2</v>
      </c>
      <c r="CG3" s="10">
        <v>-1.4074997948212893</v>
      </c>
      <c r="CH3" s="9">
        <v>2.032049372792244E-2</v>
      </c>
      <c r="CI3" s="9">
        <v>-1.1434374609962106E-3</v>
      </c>
      <c r="CJ3" s="9">
        <v>3.1249962747097015E-2</v>
      </c>
      <c r="CK3" s="9">
        <v>0.13863709568977356</v>
      </c>
      <c r="CL3" s="9">
        <v>7.0812337100505829E-2</v>
      </c>
      <c r="CM3" s="10">
        <v>1.7885714769363403</v>
      </c>
      <c r="CN3" s="10">
        <v>-1.3638253211975098</v>
      </c>
      <c r="CO3" s="10">
        <v>1.1666666269302368</v>
      </c>
      <c r="CP3" s="10">
        <v>0.12121212482452393</v>
      </c>
      <c r="CQ3" s="10">
        <v>0.66386556625366211</v>
      </c>
      <c r="CR3">
        <v>17.625319837232958</v>
      </c>
      <c r="CS3">
        <v>3.391095983276224</v>
      </c>
      <c r="CT3">
        <v>3.2679738562091503</v>
      </c>
      <c r="CU3" s="9">
        <v>5.1975290360860529E-2</v>
      </c>
      <c r="CV3" s="10">
        <v>0.47529809474945067</v>
      </c>
      <c r="CW3">
        <v>0.06</v>
      </c>
      <c r="CX3">
        <v>10.219503511556082</v>
      </c>
      <c r="CY3">
        <v>136955273.65075353</v>
      </c>
      <c r="CZ3">
        <v>5.1975290360860529E-2</v>
      </c>
      <c r="DA3">
        <v>3.4493921373663885</v>
      </c>
      <c r="DB3">
        <v>405756969.4203009</v>
      </c>
      <c r="DC3">
        <v>4.9376525842817501E-2</v>
      </c>
      <c r="DD3">
        <v>1.7719524282218408</v>
      </c>
      <c r="DE3">
        <v>789871600.22378111</v>
      </c>
      <c r="DF3">
        <v>4.5738255517557266E-2</v>
      </c>
      <c r="DG3">
        <v>1.1154531916689148</v>
      </c>
      <c r="DH3">
        <v>1254750006.950923</v>
      </c>
      <c r="DI3">
        <v>4.1580232288688429E-2</v>
      </c>
      <c r="DJ3">
        <v>0.63707399425058375</v>
      </c>
      <c r="DK3">
        <v>2196942447.237113</v>
      </c>
      <c r="DL3">
        <v>3.6382703252602365E-2</v>
      </c>
      <c r="DM3">
        <v>138000000</v>
      </c>
      <c r="DN3">
        <v>5.1975290360860529E-2</v>
      </c>
      <c r="DO3">
        <v>1399614900</v>
      </c>
      <c r="DP3">
        <v>1333766700</v>
      </c>
      <c r="DQ3">
        <v>323</v>
      </c>
      <c r="DR3">
        <v>-3.0981437294206327E-3</v>
      </c>
      <c r="DS3">
        <v>-1.88279788957074</v>
      </c>
      <c r="DT3" s="11">
        <v>-0.44</v>
      </c>
      <c r="DU3">
        <v>-0.81500000000000006</v>
      </c>
      <c r="DV3">
        <v>-1.2550000000000001</v>
      </c>
      <c r="DW3">
        <v>-2.0973000000000002</v>
      </c>
      <c r="DX3">
        <v>0.29177374301675868</v>
      </c>
      <c r="DY3">
        <v>-2.0108755851955307</v>
      </c>
      <c r="DZ3">
        <v>3820</v>
      </c>
      <c r="EA3">
        <v>-2.0027454999808678</v>
      </c>
      <c r="EB3">
        <v>2</v>
      </c>
      <c r="EC3">
        <v>2.1201909351285578E-2</v>
      </c>
      <c r="ED3">
        <v>0.18968595646033332</v>
      </c>
      <c r="EE3" s="12">
        <v>3.0871</v>
      </c>
      <c r="EF3">
        <v>3.0838000000000001</v>
      </c>
      <c r="EG3">
        <v>18.111773743016759</v>
      </c>
      <c r="EH3" t="s">
        <v>546</v>
      </c>
      <c r="EI3">
        <v>0</v>
      </c>
      <c r="EJ3">
        <v>0</v>
      </c>
      <c r="EK3" s="8">
        <v>45470</v>
      </c>
      <c r="EL3" s="13">
        <v>1</v>
      </c>
      <c r="EM3" s="13">
        <v>-3.3</v>
      </c>
      <c r="EN3" s="13">
        <v>0.68</v>
      </c>
      <c r="EO3" s="13">
        <v>3.39</v>
      </c>
      <c r="EP3" s="13">
        <v>-0.33</v>
      </c>
    </row>
    <row r="4" spans="1:146" ht="84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市值15.882653亿, 利润-2842.84万; PE; 平均PE-180.75; 平均PEG-67.76, PB2.42; ROIC1.48%; ROE-5.3367%; 股利率0%; 毛利9.2033%; 净利-6.7833%; 上一年度营收增-29.47%, 利润增76.31%; 当季营收增-6.14%, 利润增10.7%; 过往5年营收增2.67%, 利润增521.66%
Income profile:
</v>
      </c>
      <c r="D4" t="s">
        <v>49</v>
      </c>
      <c r="E4" t="s">
        <v>21</v>
      </c>
      <c r="F4">
        <v>2.95</v>
      </c>
      <c r="G4">
        <v>1.72</v>
      </c>
      <c r="H4" t="s">
        <v>676</v>
      </c>
      <c r="I4">
        <v>1588265300</v>
      </c>
      <c r="K4">
        <v>2.42</v>
      </c>
      <c r="L4" t="s">
        <v>39</v>
      </c>
      <c r="M4" t="s">
        <v>158</v>
      </c>
      <c r="N4" t="s">
        <v>677</v>
      </c>
      <c r="O4" t="s">
        <v>323</v>
      </c>
      <c r="P4">
        <v>-5.6</v>
      </c>
      <c r="Q4" t="s">
        <v>678</v>
      </c>
      <c r="R4">
        <v>-7121488</v>
      </c>
      <c r="S4" s="5">
        <v>0.107</v>
      </c>
      <c r="T4" t="s">
        <v>679</v>
      </c>
      <c r="U4">
        <v>537741300</v>
      </c>
      <c r="V4">
        <v>538395000</v>
      </c>
      <c r="W4">
        <v>1.24</v>
      </c>
      <c r="X4">
        <v>0.12</v>
      </c>
      <c r="Y4">
        <v>-7.29</v>
      </c>
      <c r="Z4" t="s">
        <v>210</v>
      </c>
      <c r="AA4" t="s">
        <v>680</v>
      </c>
      <c r="AB4" t="s">
        <v>681</v>
      </c>
      <c r="AC4" t="s">
        <v>682</v>
      </c>
      <c r="AD4" t="s">
        <v>43</v>
      </c>
      <c r="AE4">
        <v>920494</v>
      </c>
      <c r="AF4" t="s">
        <v>683</v>
      </c>
      <c r="AG4">
        <v>9282.85</v>
      </c>
      <c r="AH4" t="s">
        <v>684</v>
      </c>
      <c r="AI4" t="s">
        <v>685</v>
      </c>
      <c r="AJ4" t="s">
        <v>686</v>
      </c>
      <c r="AK4" t="s">
        <v>687</v>
      </c>
      <c r="AL4" t="s">
        <v>688</v>
      </c>
      <c r="AM4" t="s">
        <v>43</v>
      </c>
      <c r="AN4">
        <v>370</v>
      </c>
      <c r="AO4" t="s">
        <v>689</v>
      </c>
      <c r="AP4" t="s">
        <v>43</v>
      </c>
      <c r="AQ4" t="s">
        <v>690</v>
      </c>
      <c r="AR4" t="s">
        <v>43</v>
      </c>
      <c r="AS4" t="s">
        <v>92</v>
      </c>
      <c r="AT4" t="s">
        <v>691</v>
      </c>
      <c r="AU4" t="s">
        <v>692</v>
      </c>
      <c r="AV4" t="s">
        <v>693</v>
      </c>
      <c r="AW4" t="s">
        <v>694</v>
      </c>
      <c r="AX4" t="s">
        <v>99</v>
      </c>
      <c r="AY4" t="s">
        <v>217</v>
      </c>
      <c r="AZ4" t="s">
        <v>156</v>
      </c>
      <c r="BA4" t="s">
        <v>50</v>
      </c>
      <c r="BB4" t="s">
        <v>159</v>
      </c>
      <c r="BC4" t="s">
        <v>695</v>
      </c>
      <c r="BD4" t="s">
        <v>331</v>
      </c>
      <c r="BE4" t="s">
        <v>157</v>
      </c>
      <c r="BF4" t="s">
        <v>51</v>
      </c>
      <c r="BG4" t="s">
        <v>160</v>
      </c>
      <c r="BH4" t="s">
        <v>678</v>
      </c>
      <c r="BI4" t="s">
        <v>210</v>
      </c>
      <c r="BJ4" t="s">
        <v>99</v>
      </c>
      <c r="BK4" t="s">
        <v>679</v>
      </c>
      <c r="BL4" t="s">
        <v>696</v>
      </c>
      <c r="BM4" t="s">
        <v>695</v>
      </c>
      <c r="BN4" t="s">
        <v>43</v>
      </c>
      <c r="BO4" t="s">
        <v>43</v>
      </c>
      <c r="BP4">
        <v>1.48</v>
      </c>
      <c r="BQ4">
        <v>-1.63</v>
      </c>
      <c r="BR4">
        <v>-15.98</v>
      </c>
      <c r="BS4">
        <v>1.6</v>
      </c>
      <c r="BT4" t="s">
        <v>599</v>
      </c>
      <c r="BU4" t="s">
        <v>470</v>
      </c>
      <c r="BV4">
        <v>7.5</v>
      </c>
      <c r="BW4">
        <v>7.42</v>
      </c>
      <c r="BX4">
        <v>12.69</v>
      </c>
      <c r="BY4">
        <v>-6.02</v>
      </c>
      <c r="BZ4">
        <v>-15.29</v>
      </c>
      <c r="CA4">
        <v>0.96</v>
      </c>
      <c r="CB4">
        <v>0.68</v>
      </c>
      <c r="CC4">
        <v>-28.22</v>
      </c>
      <c r="CD4" t="s">
        <v>697</v>
      </c>
      <c r="CE4" t="s">
        <v>501</v>
      </c>
      <c r="CF4" s="9">
        <v>-6.1403508771929703E-2</v>
      </c>
      <c r="CG4" s="10">
        <v>0.1069786572367266</v>
      </c>
      <c r="CH4" s="9">
        <v>-0.29474940896034241</v>
      </c>
      <c r="CI4" s="9">
        <v>-0.17600786685943604</v>
      </c>
      <c r="CJ4" s="9">
        <v>-0.26250910758972168</v>
      </c>
      <c r="CK4" s="9">
        <v>0.87874668836593628</v>
      </c>
      <c r="CL4" s="9">
        <v>-1.2113055214285851E-2</v>
      </c>
      <c r="CM4" s="10">
        <v>0.76309669017791748</v>
      </c>
      <c r="CN4" s="10">
        <v>-13.146241188049316</v>
      </c>
      <c r="CO4" s="10">
        <v>-0.94800209999084473</v>
      </c>
      <c r="CP4" s="10">
        <v>38.370079040527344</v>
      </c>
      <c r="CQ4" s="10">
        <v>1.0442752838134766</v>
      </c>
      <c r="CR4">
        <v>-180.74897008504854</v>
      </c>
      <c r="CS4">
        <v>-67.76362654043821</v>
      </c>
      <c r="CT4">
        <v>0</v>
      </c>
      <c r="CU4" s="9">
        <v>2.6673449948430062E-2</v>
      </c>
      <c r="CV4" s="10">
        <v>5.2166415452957153</v>
      </c>
      <c r="CW4">
        <v>0.06</v>
      </c>
      <c r="CX4" t="e">
        <v>#VALUE!</v>
      </c>
      <c r="CY4" t="s">
        <v>493</v>
      </c>
      <c r="CZ4">
        <v>2.6673449948430062E-2</v>
      </c>
      <c r="DA4" t="e">
        <v>#VALUE!</v>
      </c>
      <c r="DB4" t="s">
        <v>494</v>
      </c>
      <c r="DC4">
        <v>2.5339777451008558E-2</v>
      </c>
      <c r="DD4" t="e">
        <v>#VALUE!</v>
      </c>
      <c r="DE4" t="s">
        <v>494</v>
      </c>
      <c r="DF4">
        <v>2.3472635954618456E-2</v>
      </c>
      <c r="DG4" t="e">
        <v>#VALUE!</v>
      </c>
      <c r="DH4" t="s">
        <v>494</v>
      </c>
      <c r="DI4">
        <v>2.1338759958744052E-2</v>
      </c>
      <c r="DJ4" t="e">
        <v>#VALUE!</v>
      </c>
      <c r="DK4" t="s">
        <v>494</v>
      </c>
      <c r="DL4">
        <v>1.8671414963901043E-2</v>
      </c>
      <c r="DM4">
        <v>-28428400</v>
      </c>
      <c r="DN4">
        <v>2.6673449948430062E-2</v>
      </c>
      <c r="DO4">
        <v>1048265300</v>
      </c>
      <c r="DP4">
        <v>339008790</v>
      </c>
      <c r="DQ4">
        <v>393</v>
      </c>
      <c r="DR4">
        <v>-8.8076958720359769E-2</v>
      </c>
      <c r="DS4">
        <v>-5.1096628880589892</v>
      </c>
      <c r="DT4" s="11">
        <v>-0.65666666666666673</v>
      </c>
      <c r="DU4">
        <v>-0.9816666666666668</v>
      </c>
      <c r="DV4">
        <v>-1.6383333333333336</v>
      </c>
      <c r="DW4">
        <v>-3.1382023809523809</v>
      </c>
      <c r="DX4">
        <v>0.28441032028469782</v>
      </c>
      <c r="DY4">
        <v>-3.0158117786688696</v>
      </c>
      <c r="DZ4">
        <v>4122</v>
      </c>
      <c r="EA4">
        <v>-3.0030571501614176</v>
      </c>
      <c r="EB4">
        <v>3</v>
      </c>
      <c r="EC4">
        <v>5.9713221705253575E-2</v>
      </c>
      <c r="ED4">
        <v>0.52192163745948605</v>
      </c>
      <c r="EE4" s="12">
        <v>1.0161100000000001</v>
      </c>
      <c r="EF4">
        <v>1.0396099999999999</v>
      </c>
      <c r="EG4">
        <v>17.114410320284698</v>
      </c>
      <c r="EH4" t="s">
        <v>473</v>
      </c>
      <c r="EI4">
        <v>0</v>
      </c>
      <c r="EJ4">
        <v>0</v>
      </c>
      <c r="EK4" s="8">
        <v>45470</v>
      </c>
      <c r="EL4" s="13">
        <v>-1.29</v>
      </c>
      <c r="EM4" s="13">
        <v>-4.59</v>
      </c>
      <c r="EN4" s="13">
        <v>-2.06</v>
      </c>
      <c r="EO4" s="13">
        <v>4.5599999999999996</v>
      </c>
      <c r="EP4" s="13">
        <v>-2.35</v>
      </c>
    </row>
    <row r="5" spans="1:146" ht="132" x14ac:dyDescent="0.25">
      <c r="A5" s="6"/>
      <c r="B5" s="6"/>
      <c r="C5" s="6" t="str">
        <f>"公司主营业务为从事各类中高档服饰辅料产品的研发、生产与销售。公司的主要产品有钮扣、拉链、金属制品。"&amp;CHAR(10)&amp;Basic_Fundamental_Information_Constructure(F5)&amp;CHAR(10)&amp;Basic_Fundamental_Information_Concatenate("拉链 10.45亿 57.14% 57.67% 40.32%
钮扣 7.07亿 38.66% 40.36% 41.70%
其他服饰辅料 4939.29万 2.70% -0.34% -4.98%
其他 2741.70万 1.50% 2.31% 61.44%")</f>
        <v>公司主营业务为从事各类中高档服饰辅料产品的研发、生产与销售。公司的主要产品有钮扣、拉链、金属制品。
市值105.587526亿, 利润4.49亿; PE18.54; 平均PE3.15; 平均PEG112074574.61, PB3.62; ROIC13.1767%; ROE15.3067%; 股利率4.9116%; 毛利39.0133%; 净利14.4133%; 上一年度营收增34.46%, 利润增13.38%; 当季营收增11.42%, 利润增28.57%; 过往5年营收增10.12%, 利润增10.4%
Income profile:
拉链 10.45亿 57.14% 57.67% 40.32%
钮扣 7.07亿 38.66% 40.36% 41.70%
其他服饰辅料 4939.29万 2.70% -0.34% -4.98%
其他 2741.70万 1.50% 2.31% 61.44%</v>
      </c>
      <c r="D5" t="s">
        <v>52</v>
      </c>
      <c r="E5" t="s">
        <v>14</v>
      </c>
      <c r="F5">
        <v>10.18</v>
      </c>
      <c r="G5">
        <v>-1.45</v>
      </c>
      <c r="H5" t="s">
        <v>600</v>
      </c>
      <c r="I5">
        <v>10558752600</v>
      </c>
      <c r="J5">
        <v>18.54</v>
      </c>
      <c r="K5">
        <v>3.62</v>
      </c>
      <c r="L5" t="s">
        <v>39</v>
      </c>
      <c r="M5" t="s">
        <v>505</v>
      </c>
      <c r="N5" t="s">
        <v>506</v>
      </c>
      <c r="O5" t="s">
        <v>507</v>
      </c>
      <c r="P5">
        <v>18.88</v>
      </c>
      <c r="Q5" t="s">
        <v>333</v>
      </c>
      <c r="R5">
        <v>520283580</v>
      </c>
      <c r="S5" s="5">
        <v>0.30309999999999998</v>
      </c>
      <c r="T5" t="s">
        <v>334</v>
      </c>
      <c r="U5">
        <v>852027440</v>
      </c>
      <c r="V5">
        <v>1037205560</v>
      </c>
      <c r="W5">
        <v>1.6</v>
      </c>
      <c r="X5">
        <v>0.64</v>
      </c>
      <c r="Y5">
        <v>18.420000000000002</v>
      </c>
      <c r="Z5" t="s">
        <v>508</v>
      </c>
      <c r="AA5" t="s">
        <v>509</v>
      </c>
      <c r="AB5" t="s">
        <v>158</v>
      </c>
      <c r="AC5" t="s">
        <v>314</v>
      </c>
      <c r="AD5" t="s">
        <v>474</v>
      </c>
      <c r="AE5">
        <v>-35596441</v>
      </c>
      <c r="AF5" t="s">
        <v>510</v>
      </c>
      <c r="AG5" t="s">
        <v>511</v>
      </c>
      <c r="AH5" t="s">
        <v>512</v>
      </c>
      <c r="AI5" t="s">
        <v>513</v>
      </c>
      <c r="AJ5" t="s">
        <v>514</v>
      </c>
      <c r="AK5" t="s">
        <v>43</v>
      </c>
      <c r="AL5" t="s">
        <v>515</v>
      </c>
      <c r="AM5" t="s">
        <v>43</v>
      </c>
      <c r="AN5" t="s">
        <v>164</v>
      </c>
      <c r="AO5" t="s">
        <v>475</v>
      </c>
      <c r="AP5" t="s">
        <v>43</v>
      </c>
      <c r="AQ5" t="s">
        <v>468</v>
      </c>
      <c r="AR5" t="s">
        <v>43</v>
      </c>
      <c r="AS5" t="s">
        <v>516</v>
      </c>
      <c r="AT5" t="s">
        <v>316</v>
      </c>
      <c r="AU5" t="s">
        <v>517</v>
      </c>
      <c r="AV5" t="s">
        <v>518</v>
      </c>
      <c r="AW5" t="s">
        <v>480</v>
      </c>
      <c r="AX5" t="s">
        <v>163</v>
      </c>
      <c r="AY5" t="s">
        <v>53</v>
      </c>
      <c r="AZ5" t="s">
        <v>165</v>
      </c>
      <c r="BA5" t="s">
        <v>166</v>
      </c>
      <c r="BB5" t="s">
        <v>167</v>
      </c>
      <c r="BC5" t="s">
        <v>164</v>
      </c>
      <c r="BD5" t="s">
        <v>54</v>
      </c>
      <c r="BE5" t="s">
        <v>168</v>
      </c>
      <c r="BF5" t="s">
        <v>169</v>
      </c>
      <c r="BG5" t="s">
        <v>77</v>
      </c>
      <c r="BH5" t="s">
        <v>519</v>
      </c>
      <c r="BI5" t="s">
        <v>520</v>
      </c>
      <c r="BJ5" t="s">
        <v>477</v>
      </c>
      <c r="BK5" t="s">
        <v>486</v>
      </c>
      <c r="BL5" t="s">
        <v>521</v>
      </c>
      <c r="BM5" t="s">
        <v>478</v>
      </c>
      <c r="BN5">
        <v>15.01</v>
      </c>
      <c r="BO5">
        <v>13.7</v>
      </c>
      <c r="BP5">
        <v>10.82</v>
      </c>
      <c r="BQ5">
        <v>17.399999999999999</v>
      </c>
      <c r="BR5">
        <v>16.23</v>
      </c>
      <c r="BS5">
        <v>12.29</v>
      </c>
      <c r="BT5" t="s">
        <v>601</v>
      </c>
      <c r="BU5" t="s">
        <v>479</v>
      </c>
      <c r="BV5">
        <v>39.94</v>
      </c>
      <c r="BW5">
        <v>38.840000000000003</v>
      </c>
      <c r="BX5">
        <v>38.26</v>
      </c>
      <c r="BY5">
        <v>17.04</v>
      </c>
      <c r="BZ5">
        <v>15.83</v>
      </c>
      <c r="CA5">
        <v>10.37</v>
      </c>
      <c r="CB5">
        <v>-3.96</v>
      </c>
      <c r="CC5">
        <v>6.15</v>
      </c>
      <c r="CD5" t="s">
        <v>602</v>
      </c>
      <c r="CE5" t="s">
        <v>544</v>
      </c>
      <c r="CF5" s="9">
        <v>0.11423907657657657</v>
      </c>
      <c r="CG5" s="10">
        <v>0.28570111111111113</v>
      </c>
      <c r="CH5" s="9">
        <v>0.34455129504203796</v>
      </c>
      <c r="CI5" s="9">
        <v>-8.6383603513240814E-2</v>
      </c>
      <c r="CJ5" s="9">
        <v>7.3746312409639359E-3</v>
      </c>
      <c r="CK5" s="9">
        <v>3.3536586910486221E-2</v>
      </c>
      <c r="CL5" s="9">
        <v>0.20699164271354675</v>
      </c>
      <c r="CM5" s="10">
        <v>0.13383838534355164</v>
      </c>
      <c r="CN5" s="10">
        <v>0.36082473397254944</v>
      </c>
      <c r="CO5" s="10">
        <v>-6.1290323734283447E-2</v>
      </c>
      <c r="CP5" s="10">
        <v>-0.15068493783473969</v>
      </c>
      <c r="CQ5" s="10">
        <v>0.23728813230991364</v>
      </c>
      <c r="CR5">
        <v>3.1462314064362338</v>
      </c>
      <c r="CS5">
        <v>112074574.61024499</v>
      </c>
      <c r="CT5">
        <v>4.9115913555992146</v>
      </c>
      <c r="CU5" s="9">
        <v>0.10121411047875881</v>
      </c>
      <c r="CV5" s="10">
        <v>0.10399519801139831</v>
      </c>
      <c r="CW5">
        <v>0.06</v>
      </c>
      <c r="CX5">
        <v>20.093468497458673</v>
      </c>
      <c r="CY5">
        <v>466457675.09902143</v>
      </c>
      <c r="CZ5">
        <v>0.10121411047875881</v>
      </c>
      <c r="DA5">
        <v>6.5043783541258868</v>
      </c>
      <c r="DB5">
        <v>1440991296.8938274</v>
      </c>
      <c r="DC5">
        <v>9.6153404954820859E-2</v>
      </c>
      <c r="DD5">
        <v>3.1614300158849216</v>
      </c>
      <c r="DE5">
        <v>2964719305.1580033</v>
      </c>
      <c r="DF5">
        <v>8.9068417221307747E-2</v>
      </c>
      <c r="DG5">
        <v>1.8712759582605536</v>
      </c>
      <c r="DH5">
        <v>5008749542.5914898</v>
      </c>
      <c r="DI5">
        <v>8.0971288383007045E-2</v>
      </c>
      <c r="DJ5">
        <v>0.93627551881443771</v>
      </c>
      <c r="DK5">
        <v>10010677852.464071</v>
      </c>
      <c r="DL5">
        <v>7.0849877335131164E-2</v>
      </c>
      <c r="DM5">
        <v>449000000</v>
      </c>
      <c r="DN5">
        <v>0.10121411047875881</v>
      </c>
      <c r="DO5">
        <v>9372752600</v>
      </c>
      <c r="DP5">
        <v>502920500</v>
      </c>
      <c r="DQ5">
        <v>514</v>
      </c>
      <c r="DR5">
        <v>1.3024966097817767E-2</v>
      </c>
      <c r="DS5">
        <v>0.18170591309971282</v>
      </c>
      <c r="DT5" s="11">
        <v>0.6</v>
      </c>
      <c r="DU5">
        <v>0.6</v>
      </c>
      <c r="DV5">
        <v>1.2</v>
      </c>
      <c r="DW5">
        <v>-6.3916913946587535</v>
      </c>
      <c r="DX5">
        <v>0.30783991596638743</v>
      </c>
      <c r="DY5">
        <v>-6.0422399670847566</v>
      </c>
      <c r="DZ5">
        <v>1205</v>
      </c>
      <c r="EA5">
        <v>-6.0318650872769437</v>
      </c>
      <c r="EB5">
        <v>6</v>
      </c>
      <c r="EC5">
        <v>2.4745239506814832E-2</v>
      </c>
      <c r="ED5">
        <v>0.22946271132599791</v>
      </c>
      <c r="EE5" s="12">
        <v>2.8292000000000001E-2</v>
      </c>
      <c r="EF5">
        <v>1.38E-2</v>
      </c>
      <c r="EG5">
        <v>20.107839915966387</v>
      </c>
      <c r="EH5" t="s">
        <v>467</v>
      </c>
      <c r="EI5">
        <v>0</v>
      </c>
      <c r="EJ5">
        <v>1</v>
      </c>
      <c r="EK5" s="8">
        <v>44910</v>
      </c>
      <c r="EL5" s="13">
        <v>0.56999999999999995</v>
      </c>
      <c r="EM5" s="13">
        <v>-2.9100000000000001E-2</v>
      </c>
      <c r="EN5" s="13">
        <v>-1.35E-2</v>
      </c>
      <c r="EO5" s="13">
        <v>1.18E-2</v>
      </c>
      <c r="EP5" s="13">
        <v>-1.45</v>
      </c>
    </row>
    <row r="6" spans="1:146" ht="96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市值61.904801亿, 利润6678.21万; PE218.7; 平均PE37.45; 平均PEG198.62, PB1.02; ROIC3.315%; ROE1.8367%; 股利率0%; 毛利6.3633%; 净利.55%; 上一年度营收增-5.51%, 利润增119.08%; 当季营收增-13.43%, 利润增-74.04%; 过往5年营收增-.19%, 利润增-14.12%
Income profile:
</v>
      </c>
      <c r="D6" t="s">
        <v>55</v>
      </c>
      <c r="E6" t="s">
        <v>15</v>
      </c>
      <c r="F6">
        <v>3.64</v>
      </c>
      <c r="G6">
        <v>0.83</v>
      </c>
      <c r="H6" t="s">
        <v>698</v>
      </c>
      <c r="I6">
        <v>6190480100</v>
      </c>
      <c r="J6">
        <v>218.7</v>
      </c>
      <c r="K6">
        <v>1.02</v>
      </c>
      <c r="L6" t="s">
        <v>39</v>
      </c>
      <c r="M6" t="s">
        <v>699</v>
      </c>
      <c r="N6" t="s">
        <v>700</v>
      </c>
      <c r="O6" t="s">
        <v>701</v>
      </c>
      <c r="P6">
        <v>-13.43</v>
      </c>
      <c r="Q6" t="s">
        <v>702</v>
      </c>
      <c r="R6">
        <v>13494498</v>
      </c>
      <c r="S6" s="5">
        <v>-0.74039999999999995</v>
      </c>
      <c r="T6" t="s">
        <v>703</v>
      </c>
      <c r="U6">
        <v>1700681400</v>
      </c>
      <c r="V6">
        <v>1700681400</v>
      </c>
      <c r="W6">
        <v>2.79</v>
      </c>
      <c r="X6">
        <v>0.23</v>
      </c>
      <c r="Y6">
        <v>0.42</v>
      </c>
      <c r="Z6" t="s">
        <v>704</v>
      </c>
      <c r="AA6" t="s">
        <v>705</v>
      </c>
      <c r="AB6" t="s">
        <v>706</v>
      </c>
      <c r="AC6" t="s">
        <v>707</v>
      </c>
      <c r="AD6" t="s">
        <v>43</v>
      </c>
      <c r="AE6">
        <v>48814656</v>
      </c>
      <c r="AF6" t="s">
        <v>708</v>
      </c>
      <c r="AG6" t="s">
        <v>709</v>
      </c>
      <c r="AH6" t="s">
        <v>710</v>
      </c>
      <c r="AI6" t="s">
        <v>711</v>
      </c>
      <c r="AJ6" t="s">
        <v>712</v>
      </c>
      <c r="AK6" t="s">
        <v>713</v>
      </c>
      <c r="AL6" t="s">
        <v>714</v>
      </c>
      <c r="AM6" t="s">
        <v>43</v>
      </c>
      <c r="AN6" t="s">
        <v>134</v>
      </c>
      <c r="AO6" t="s">
        <v>715</v>
      </c>
      <c r="AP6" t="s">
        <v>476</v>
      </c>
      <c r="AQ6" t="s">
        <v>716</v>
      </c>
      <c r="AR6" t="s">
        <v>717</v>
      </c>
      <c r="AS6" t="s">
        <v>718</v>
      </c>
      <c r="AT6" t="s">
        <v>590</v>
      </c>
      <c r="AU6" t="s">
        <v>719</v>
      </c>
      <c r="AV6" t="s">
        <v>720</v>
      </c>
      <c r="AW6" t="s">
        <v>721</v>
      </c>
      <c r="AX6" t="s">
        <v>722</v>
      </c>
      <c r="AY6" t="s">
        <v>335</v>
      </c>
      <c r="AZ6" t="s">
        <v>170</v>
      </c>
      <c r="BA6" t="s">
        <v>56</v>
      </c>
      <c r="BB6" t="s">
        <v>172</v>
      </c>
      <c r="BC6" t="s">
        <v>723</v>
      </c>
      <c r="BD6" t="s">
        <v>187</v>
      </c>
      <c r="BE6" t="s">
        <v>171</v>
      </c>
      <c r="BF6" t="s">
        <v>57</v>
      </c>
      <c r="BG6" t="s">
        <v>173</v>
      </c>
      <c r="BH6" t="s">
        <v>702</v>
      </c>
      <c r="BI6" t="s">
        <v>724</v>
      </c>
      <c r="BJ6" t="s">
        <v>722</v>
      </c>
      <c r="BK6" t="s">
        <v>703</v>
      </c>
      <c r="BL6" t="s">
        <v>725</v>
      </c>
      <c r="BM6" t="s">
        <v>723</v>
      </c>
      <c r="BN6">
        <v>1.23</v>
      </c>
      <c r="BO6" t="s">
        <v>43</v>
      </c>
      <c r="BP6">
        <v>5.4</v>
      </c>
      <c r="BQ6">
        <v>1.36</v>
      </c>
      <c r="BR6">
        <v>-5.09</v>
      </c>
      <c r="BS6">
        <v>9.24</v>
      </c>
      <c r="BT6" t="s">
        <v>599</v>
      </c>
      <c r="BU6" t="s">
        <v>466</v>
      </c>
      <c r="BV6">
        <v>4.24</v>
      </c>
      <c r="BW6">
        <v>5.21</v>
      </c>
      <c r="BX6">
        <v>9.64</v>
      </c>
      <c r="BY6">
        <v>0.51</v>
      </c>
      <c r="BZ6">
        <v>-2.5299999999999998</v>
      </c>
      <c r="CA6">
        <v>3.67</v>
      </c>
      <c r="CB6">
        <v>-4.46</v>
      </c>
      <c r="CC6">
        <v>-15.94</v>
      </c>
      <c r="CD6" t="s">
        <v>726</v>
      </c>
      <c r="CE6" t="s">
        <v>502</v>
      </c>
      <c r="CF6" s="9">
        <v>-0.1343481138318994</v>
      </c>
      <c r="CG6" s="10">
        <v>-0.74035111146172661</v>
      </c>
      <c r="CH6" s="9">
        <v>-5.5117614567279816E-2</v>
      </c>
      <c r="CI6" s="9">
        <v>-0.13454629480838776</v>
      </c>
      <c r="CJ6" s="9">
        <v>0.17397408187389374</v>
      </c>
      <c r="CK6" s="9">
        <v>-0.10417316854000092</v>
      </c>
      <c r="CL6" s="9">
        <v>0.11043539643287659</v>
      </c>
      <c r="CM6" s="10">
        <v>1.1908060312271118</v>
      </c>
      <c r="CN6" s="10">
        <v>-1.6140351295471191</v>
      </c>
      <c r="CO6" s="10">
        <v>2.2837836742401123</v>
      </c>
      <c r="CP6" s="10">
        <v>-2.1044776439666748</v>
      </c>
      <c r="CQ6" s="10">
        <v>-0.46184739470481873</v>
      </c>
      <c r="CR6">
        <v>37.450646265948947</v>
      </c>
      <c r="CS6">
        <v>198.62238437980258</v>
      </c>
      <c r="CT6">
        <v>0</v>
      </c>
      <c r="CU6" s="9">
        <v>-1.8855199217796327E-3</v>
      </c>
      <c r="CV6" s="10">
        <v>-0.14115409255027772</v>
      </c>
      <c r="CW6">
        <v>0.06</v>
      </c>
      <c r="CX6">
        <v>156.41137520383455</v>
      </c>
      <c r="CY6" t="s">
        <v>727</v>
      </c>
      <c r="CZ6">
        <v>-1.8855199217796327E-3</v>
      </c>
      <c r="DA6">
        <v>52.137125067944851</v>
      </c>
      <c r="DB6" t="s">
        <v>728</v>
      </c>
      <c r="DC6">
        <v>-1.791243925690651E-3</v>
      </c>
      <c r="DD6">
        <v>26.068562533972425</v>
      </c>
      <c r="DE6" t="s">
        <v>729</v>
      </c>
      <c r="DF6">
        <v>-1.6592575311660768E-3</v>
      </c>
      <c r="DG6">
        <v>15.641137520383456</v>
      </c>
      <c r="DH6" t="s">
        <v>730</v>
      </c>
      <c r="DI6">
        <v>-1.5084159374237063E-3</v>
      </c>
      <c r="DJ6">
        <v>7.820568760191728</v>
      </c>
      <c r="DK6" t="s">
        <v>731</v>
      </c>
      <c r="DL6">
        <v>-1.3198639452457427E-3</v>
      </c>
      <c r="DM6">
        <v>66782100</v>
      </c>
      <c r="DN6">
        <v>-1.8855199217796327E-3</v>
      </c>
      <c r="DO6">
        <v>10445480100</v>
      </c>
      <c r="DP6">
        <v>252863200</v>
      </c>
      <c r="DQ6">
        <v>560</v>
      </c>
      <c r="DR6">
        <v>-0.13246259391011977</v>
      </c>
      <c r="DS6">
        <v>-0.59919701891144883</v>
      </c>
      <c r="DT6" s="11">
        <v>-0.3066666666666667</v>
      </c>
      <c r="DU6">
        <v>-1.2116666666666667</v>
      </c>
      <c r="DV6">
        <v>-1.5183333333333333</v>
      </c>
      <c r="DW6">
        <v>-8.2797992471769142</v>
      </c>
      <c r="DX6">
        <v>0.32389217209908705</v>
      </c>
      <c r="DY6">
        <v>-8.0290689515408982</v>
      </c>
      <c r="DZ6">
        <v>4033</v>
      </c>
      <c r="EA6">
        <v>-8.0061266655204602</v>
      </c>
      <c r="EB6">
        <v>8</v>
      </c>
      <c r="EC6">
        <v>4.6854925325813521E-2</v>
      </c>
      <c r="ED6">
        <v>0.45099570089965119</v>
      </c>
      <c r="EE6" s="12">
        <v>3.0356999999999998</v>
      </c>
      <c r="EF6">
        <v>3.0463</v>
      </c>
      <c r="EG6">
        <v>22.103892172099087</v>
      </c>
      <c r="EH6" t="s">
        <v>546</v>
      </c>
      <c r="EI6">
        <v>0</v>
      </c>
      <c r="EJ6">
        <v>0</v>
      </c>
      <c r="EK6" s="8">
        <v>45470</v>
      </c>
      <c r="EL6" s="13">
        <v>-0.52</v>
      </c>
      <c r="EM6" s="13">
        <v>-4.43</v>
      </c>
      <c r="EN6" s="13">
        <v>1.0900000000000001</v>
      </c>
      <c r="EO6" s="13">
        <v>2.16</v>
      </c>
      <c r="EP6" s="13">
        <v>1.06</v>
      </c>
    </row>
    <row r="7" spans="1:146" ht="96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市值33.505696亿, 利润2.87亿; PE9.52; 平均PE11.42; 平均PEG10.4, PB.899; ROIC4.26%; ROE6.2567%; 股利率2.331%; 毛利15.2367%; 净利4.6133%; 上一年度营收增1.75%, 利润增40.69%; 当季营收增-1.05%, 利润增263.13%; 过往5年营收增1.1%, 利润增-2.12%
Income profile:
</v>
      </c>
      <c r="D7" t="s">
        <v>58</v>
      </c>
      <c r="E7" t="s">
        <v>16</v>
      </c>
      <c r="F7">
        <v>4.29</v>
      </c>
      <c r="G7">
        <v>1.66</v>
      </c>
      <c r="H7" t="s">
        <v>732</v>
      </c>
      <c r="I7">
        <v>3350569600</v>
      </c>
      <c r="J7">
        <v>9.52</v>
      </c>
      <c r="K7">
        <v>0.89900000000000002</v>
      </c>
      <c r="L7" t="s">
        <v>39</v>
      </c>
      <c r="M7" t="s">
        <v>733</v>
      </c>
      <c r="N7" t="s">
        <v>734</v>
      </c>
      <c r="O7" t="s">
        <v>735</v>
      </c>
      <c r="P7">
        <v>-1.05</v>
      </c>
      <c r="Q7" t="s">
        <v>736</v>
      </c>
      <c r="R7">
        <v>90444874</v>
      </c>
      <c r="S7" s="5">
        <v>2.6309999999999998</v>
      </c>
      <c r="T7" t="s">
        <v>737</v>
      </c>
      <c r="U7">
        <v>780705060</v>
      </c>
      <c r="V7">
        <v>781018560</v>
      </c>
      <c r="W7">
        <v>2.1</v>
      </c>
      <c r="X7">
        <v>0.16</v>
      </c>
      <c r="Y7">
        <v>6.4</v>
      </c>
      <c r="Z7" t="s">
        <v>738</v>
      </c>
      <c r="AA7" t="s">
        <v>739</v>
      </c>
      <c r="AB7" t="s">
        <v>740</v>
      </c>
      <c r="AC7" t="s">
        <v>741</v>
      </c>
      <c r="AD7" t="s">
        <v>43</v>
      </c>
      <c r="AE7">
        <v>15876776</v>
      </c>
      <c r="AF7" t="s">
        <v>742</v>
      </c>
      <c r="AG7" t="s">
        <v>743</v>
      </c>
      <c r="AH7" t="s">
        <v>744</v>
      </c>
      <c r="AI7" t="s">
        <v>745</v>
      </c>
      <c r="AJ7" t="s">
        <v>746</v>
      </c>
      <c r="AK7" t="s">
        <v>747</v>
      </c>
      <c r="AL7" t="s">
        <v>748</v>
      </c>
      <c r="AM7" t="s">
        <v>43</v>
      </c>
      <c r="AN7" t="s">
        <v>215</v>
      </c>
      <c r="AO7" t="s">
        <v>749</v>
      </c>
      <c r="AP7" t="s">
        <v>750</v>
      </c>
      <c r="AQ7" t="s">
        <v>751</v>
      </c>
      <c r="AR7" t="s">
        <v>43</v>
      </c>
      <c r="AS7" t="s">
        <v>752</v>
      </c>
      <c r="AT7" t="s">
        <v>753</v>
      </c>
      <c r="AU7" t="s">
        <v>342</v>
      </c>
      <c r="AV7" t="s">
        <v>754</v>
      </c>
      <c r="AW7" t="s">
        <v>755</v>
      </c>
      <c r="AX7" t="s">
        <v>756</v>
      </c>
      <c r="AY7" t="s">
        <v>337</v>
      </c>
      <c r="AZ7" t="s">
        <v>174</v>
      </c>
      <c r="BA7" t="s">
        <v>59</v>
      </c>
      <c r="BB7" t="s">
        <v>177</v>
      </c>
      <c r="BC7" t="s">
        <v>757</v>
      </c>
      <c r="BD7" t="s">
        <v>294</v>
      </c>
      <c r="BE7" t="s">
        <v>75</v>
      </c>
      <c r="BF7" t="s">
        <v>60</v>
      </c>
      <c r="BG7" t="s">
        <v>178</v>
      </c>
      <c r="BH7" t="s">
        <v>736</v>
      </c>
      <c r="BI7" t="s">
        <v>758</v>
      </c>
      <c r="BJ7" t="s">
        <v>756</v>
      </c>
      <c r="BK7" t="s">
        <v>737</v>
      </c>
      <c r="BL7" t="s">
        <v>759</v>
      </c>
      <c r="BM7" t="s">
        <v>757</v>
      </c>
      <c r="BN7">
        <v>4.13</v>
      </c>
      <c r="BO7">
        <v>3.8</v>
      </c>
      <c r="BP7">
        <v>4.8499999999999996</v>
      </c>
      <c r="BQ7">
        <v>6.18</v>
      </c>
      <c r="BR7">
        <v>5.44</v>
      </c>
      <c r="BS7">
        <v>7.15</v>
      </c>
      <c r="BT7" t="s">
        <v>607</v>
      </c>
      <c r="BU7" t="s">
        <v>466</v>
      </c>
      <c r="BV7">
        <v>16.52</v>
      </c>
      <c r="BW7">
        <v>12.57</v>
      </c>
      <c r="BX7">
        <v>16.62</v>
      </c>
      <c r="BY7">
        <v>4.93</v>
      </c>
      <c r="BZ7">
        <v>3.72</v>
      </c>
      <c r="CA7">
        <v>5.19</v>
      </c>
      <c r="CB7">
        <v>1.42</v>
      </c>
      <c r="CC7">
        <v>-8.7200000000000006</v>
      </c>
      <c r="CD7" t="s">
        <v>760</v>
      </c>
      <c r="CE7" t="s">
        <v>362</v>
      </c>
      <c r="CF7" s="9">
        <v>-1.0518407212622089E-2</v>
      </c>
      <c r="CG7" s="10">
        <v>2.6313471475546741</v>
      </c>
      <c r="CH7" s="9">
        <v>1.7530536279082298E-2</v>
      </c>
      <c r="CI7" s="9">
        <v>1.7645880579948425E-2</v>
      </c>
      <c r="CJ7" s="9">
        <v>0.16358307003974915</v>
      </c>
      <c r="CK7" s="9">
        <v>-0.11128931492567062</v>
      </c>
      <c r="CL7" s="9">
        <v>-3.2589718699455261E-2</v>
      </c>
      <c r="CM7" s="10">
        <v>0.40686273574829102</v>
      </c>
      <c r="CN7" s="10">
        <v>-0.25274726748466492</v>
      </c>
      <c r="CO7" s="10">
        <v>0.22421523928642273</v>
      </c>
      <c r="CP7" s="10">
        <v>-0.39566394686698914</v>
      </c>
      <c r="CQ7" s="10">
        <v>-8.8888891041278839E-2</v>
      </c>
      <c r="CR7">
        <v>11.415910051107325</v>
      </c>
      <c r="CS7">
        <v>10.40070678186952</v>
      </c>
      <c r="CT7">
        <v>2.3310023310023311</v>
      </c>
      <c r="CU7" s="9">
        <v>1.0976090654730796E-2</v>
      </c>
      <c r="CV7" s="10">
        <v>-2.124442607164383E-2</v>
      </c>
      <c r="CW7">
        <v>0.06</v>
      </c>
      <c r="CX7">
        <v>13.453461723871659</v>
      </c>
      <c r="CY7">
        <v>273726545.29991293</v>
      </c>
      <c r="CZ7">
        <v>1.0976090654730796E-2</v>
      </c>
      <c r="DA7">
        <v>4.7034592527122232</v>
      </c>
      <c r="DB7">
        <v>782949187.42550325</v>
      </c>
      <c r="DC7">
        <v>1.0427286121994256E-2</v>
      </c>
      <c r="DD7">
        <v>2.5268448077624535</v>
      </c>
      <c r="DE7">
        <v>1457378620.4388835</v>
      </c>
      <c r="DF7">
        <v>9.6589597761631008E-3</v>
      </c>
      <c r="DG7">
        <v>1.6679519473428344</v>
      </c>
      <c r="DH7">
        <v>2207839144.2071185</v>
      </c>
      <c r="DI7">
        <v>8.7808725237846375E-3</v>
      </c>
      <c r="DJ7">
        <v>1.0464220033955305</v>
      </c>
      <c r="DK7">
        <v>3519201228.6156492</v>
      </c>
      <c r="DL7">
        <v>7.6832634583115572E-3</v>
      </c>
      <c r="DM7">
        <v>287000000</v>
      </c>
      <c r="DN7">
        <v>1.0976090654730796E-2</v>
      </c>
      <c r="DO7">
        <v>3682569600</v>
      </c>
      <c r="DP7">
        <v>304981000</v>
      </c>
      <c r="DQ7">
        <v>599</v>
      </c>
      <c r="DR7">
        <v>-2.1494497867352885E-2</v>
      </c>
      <c r="DS7">
        <v>2.6525915736263181</v>
      </c>
      <c r="DT7" s="11">
        <v>-0.3066666666666667</v>
      </c>
      <c r="DU7">
        <v>3.3333333333333347E-2</v>
      </c>
      <c r="DV7">
        <v>-0.27333333333333337</v>
      </c>
      <c r="DW7">
        <v>-2.0872000000000002</v>
      </c>
      <c r="DX7">
        <v>0.3763378531073458</v>
      </c>
      <c r="DY7">
        <v>-2.0118886607909605</v>
      </c>
      <c r="DZ7">
        <v>2366</v>
      </c>
      <c r="EA7">
        <v>-2.0063840479863786</v>
      </c>
      <c r="EB7">
        <v>2</v>
      </c>
      <c r="EC7">
        <v>3.0897857280113804E-2</v>
      </c>
      <c r="ED7">
        <v>0.22662713674819712</v>
      </c>
      <c r="EE7" s="12">
        <v>-2.0375000000000001</v>
      </c>
      <c r="EF7">
        <v>-2.0141</v>
      </c>
      <c r="EG7">
        <v>24.136337853107346</v>
      </c>
      <c r="EH7" t="s">
        <v>761</v>
      </c>
      <c r="EI7">
        <v>0</v>
      </c>
      <c r="EJ7">
        <v>0</v>
      </c>
      <c r="EK7" s="8">
        <v>45470</v>
      </c>
      <c r="EL7" s="13">
        <v>0.71</v>
      </c>
      <c r="EM7" s="13">
        <v>-3.54</v>
      </c>
      <c r="EN7" s="13">
        <v>2.69</v>
      </c>
      <c r="EO7" s="13">
        <v>1.9</v>
      </c>
      <c r="EP7" s="13">
        <v>-2.34</v>
      </c>
    </row>
    <row r="8" spans="1:146" ht="156" x14ac:dyDescent="0.25">
      <c r="A8" s="6" t="s">
        <v>617</v>
      </c>
      <c r="B8" s="6" t="s">
        <v>618</v>
      </c>
      <c r="C8" s="6" t="str">
        <f>"公司的主营业务为拉链业务、跨境电商出口业务。公司的主要产品为条装拉链、码装拉链、拉头、纽扣、跨境电商产品。"&amp;CHAR(10)&amp;Basic_Fundamental_Information_Constructure(F8)&amp;CHAR(10)&amp;Basic_Fundamental_Information_Concatenate("条装拉链 6.02亿 55.14% 56.06% 37.03%
跨境电商产品 2.01亿 18.42% 25.87% 51.16%
码装拉链 1.31亿 11.97% 6.10% 18.56%
拉头 1.13亿 10.38% 8.18% 28.70%
其他(拉链业务) 2392.25万 2.19% 3.02% 50.13%
纽扣 2074.70万 1.90% 0.77% 14.79%")</f>
        <v>公司的主营业务为拉链业务、跨境电商出口业务。公司的主要产品为条装拉链、码装拉链、拉头、纽扣、跨境电商产品。
市值29.1054亿, 利润1.26亿; PE37.1; 平均PE1.29; 平均PEG66871127.78, PB2.86; ROIC9.58%; ROE17.1433%; 股利率0%; 毛利36.2233%; 净利6.0133%; 上一年度营收增42.26%, 利润增-37.31%; 当季营收增-13.55%, 利润增-76.13%; 过往5年营收增18.01%, 利润增-60.35%
Income profile:
条装拉链 6.02亿 55.14% 56.06% 37.03%
跨境电商产品 2.01亿 18.42% 25.87% 51.16%
码装拉链 1.31亿 11.97% 6.10% 18.56%
拉头 1.13亿 10.38% 8.18% 28.70%
其他(拉链业务) 2392.25万 2.19% 3.02% 50.13%
纽扣 2074.70万 1.90% 0.77% 14.79%</v>
      </c>
      <c r="D8" t="s">
        <v>62</v>
      </c>
      <c r="E8" t="s">
        <v>20</v>
      </c>
      <c r="F8">
        <v>8.1300000000000008</v>
      </c>
      <c r="G8">
        <v>10.01</v>
      </c>
      <c r="H8" t="s">
        <v>605</v>
      </c>
      <c r="I8">
        <v>2910540000</v>
      </c>
      <c r="J8">
        <v>37.1</v>
      </c>
      <c r="K8">
        <v>2.86</v>
      </c>
      <c r="L8" t="s">
        <v>39</v>
      </c>
      <c r="M8" t="s">
        <v>523</v>
      </c>
      <c r="N8" t="s">
        <v>524</v>
      </c>
      <c r="O8" t="s">
        <v>525</v>
      </c>
      <c r="P8">
        <v>2.25</v>
      </c>
      <c r="Q8" t="s">
        <v>338</v>
      </c>
      <c r="R8">
        <v>73655321</v>
      </c>
      <c r="S8" s="5">
        <v>-0.39290000000000003</v>
      </c>
      <c r="T8" t="s">
        <v>102</v>
      </c>
      <c r="U8">
        <v>358000000</v>
      </c>
      <c r="V8">
        <v>358000000</v>
      </c>
      <c r="W8">
        <v>1.72</v>
      </c>
      <c r="X8">
        <v>0.81</v>
      </c>
      <c r="Y8">
        <v>3.54</v>
      </c>
      <c r="Z8" t="s">
        <v>526</v>
      </c>
      <c r="AA8" t="s">
        <v>527</v>
      </c>
      <c r="AB8" t="s">
        <v>373</v>
      </c>
      <c r="AC8" t="s">
        <v>210</v>
      </c>
      <c r="AD8" t="s">
        <v>528</v>
      </c>
      <c r="AE8">
        <v>7243967</v>
      </c>
      <c r="AF8" t="s">
        <v>529</v>
      </c>
      <c r="AG8" t="s">
        <v>530</v>
      </c>
      <c r="AH8" t="s">
        <v>531</v>
      </c>
      <c r="AI8" t="s">
        <v>176</v>
      </c>
      <c r="AJ8" t="s">
        <v>532</v>
      </c>
      <c r="AK8" t="s">
        <v>43</v>
      </c>
      <c r="AL8" t="s">
        <v>533</v>
      </c>
      <c r="AM8" t="s">
        <v>43</v>
      </c>
      <c r="AN8" t="s">
        <v>534</v>
      </c>
      <c r="AO8" t="s">
        <v>336</v>
      </c>
      <c r="AP8" t="s">
        <v>535</v>
      </c>
      <c r="AQ8" t="s">
        <v>536</v>
      </c>
      <c r="AR8" t="s">
        <v>537</v>
      </c>
      <c r="AS8" t="s">
        <v>538</v>
      </c>
      <c r="AT8" t="s">
        <v>43</v>
      </c>
      <c r="AU8" t="s">
        <v>539</v>
      </c>
      <c r="AV8" t="s">
        <v>540</v>
      </c>
      <c r="AW8" t="s">
        <v>541</v>
      </c>
      <c r="AX8" t="s">
        <v>180</v>
      </c>
      <c r="AY8" t="s">
        <v>63</v>
      </c>
      <c r="AZ8" t="s">
        <v>181</v>
      </c>
      <c r="BA8" t="s">
        <v>182</v>
      </c>
      <c r="BB8" t="s">
        <v>183</v>
      </c>
      <c r="BC8" t="s">
        <v>192</v>
      </c>
      <c r="BD8" t="s">
        <v>284</v>
      </c>
      <c r="BE8" t="s">
        <v>285</v>
      </c>
      <c r="BF8" t="s">
        <v>80</v>
      </c>
      <c r="BG8" t="s">
        <v>80</v>
      </c>
      <c r="BH8" t="s">
        <v>208</v>
      </c>
      <c r="BI8" t="s">
        <v>542</v>
      </c>
      <c r="BJ8" t="s">
        <v>482</v>
      </c>
      <c r="BK8" t="s">
        <v>543</v>
      </c>
      <c r="BL8" t="s">
        <v>222</v>
      </c>
      <c r="BM8" t="s">
        <v>483</v>
      </c>
      <c r="BN8">
        <v>9.67</v>
      </c>
      <c r="BO8">
        <v>15.08</v>
      </c>
      <c r="BP8">
        <v>3.99</v>
      </c>
      <c r="BQ8">
        <v>14.31</v>
      </c>
      <c r="BR8">
        <v>27.86</v>
      </c>
      <c r="BS8">
        <v>9.26</v>
      </c>
      <c r="BT8" t="s">
        <v>599</v>
      </c>
      <c r="BU8" t="s">
        <v>479</v>
      </c>
      <c r="BV8">
        <v>36.42</v>
      </c>
      <c r="BW8">
        <v>35</v>
      </c>
      <c r="BX8">
        <v>37.25</v>
      </c>
      <c r="BY8">
        <v>4.54</v>
      </c>
      <c r="BZ8">
        <v>11.83</v>
      </c>
      <c r="CA8">
        <v>1.67</v>
      </c>
      <c r="CB8">
        <v>21.34</v>
      </c>
      <c r="CC8">
        <v>37.799999999999997</v>
      </c>
      <c r="CD8" t="s">
        <v>606</v>
      </c>
      <c r="CE8" t="s">
        <v>547</v>
      </c>
      <c r="CF8" s="9">
        <v>-0.13554154351395731</v>
      </c>
      <c r="CG8" s="10">
        <v>-0.76134739708092802</v>
      </c>
      <c r="CH8" s="9">
        <v>0.4226415753364563</v>
      </c>
      <c r="CI8" s="9">
        <v>-0.17144349217414856</v>
      </c>
      <c r="CJ8" s="9">
        <v>-0.15536968410015106</v>
      </c>
      <c r="CK8" s="9">
        <v>0.22150537371635437</v>
      </c>
      <c r="CL8" s="9">
        <v>0.58297866582870483</v>
      </c>
      <c r="CM8" s="10">
        <v>-0.3731343150138855</v>
      </c>
      <c r="CN8" s="10">
        <v>2.7997438907623291</v>
      </c>
      <c r="CO8" s="10">
        <v>1.0811324119567871</v>
      </c>
      <c r="CP8" s="10">
        <v>-6.525423526763916</v>
      </c>
      <c r="CQ8" s="10">
        <v>0</v>
      </c>
      <c r="CR8">
        <v>1.286710875331565</v>
      </c>
      <c r="CS8">
        <v>66871127.777777776</v>
      </c>
      <c r="CT8">
        <v>0</v>
      </c>
      <c r="CU8" s="9">
        <v>0.18006248772144318</v>
      </c>
      <c r="CV8" s="10">
        <v>-0.60353630781173706</v>
      </c>
      <c r="CW8">
        <v>0.06</v>
      </c>
      <c r="CX8">
        <v>18.574967385452901</v>
      </c>
      <c r="CY8">
        <v>140271578.72915268</v>
      </c>
      <c r="CZ8">
        <v>0.18006248772144318</v>
      </c>
      <c r="DA8">
        <v>5.6289034685613641</v>
      </c>
      <c r="DB8">
        <v>462885891.46225387</v>
      </c>
      <c r="DC8">
        <v>0.171059363335371</v>
      </c>
      <c r="DD8">
        <v>2.4968084701616511</v>
      </c>
      <c r="DE8">
        <v>1043548206.095003</v>
      </c>
      <c r="DF8">
        <v>0.15845498919487</v>
      </c>
      <c r="DG8">
        <v>1.3270329132490566</v>
      </c>
      <c r="DH8">
        <v>1963432838.7686298</v>
      </c>
      <c r="DI8">
        <v>0.14404999017715456</v>
      </c>
      <c r="DJ8">
        <v>0.51619862777508152</v>
      </c>
      <c r="DK8">
        <v>5047553131.3021774</v>
      </c>
      <c r="DL8">
        <v>0.12604374140501021</v>
      </c>
      <c r="DM8">
        <v>126000000</v>
      </c>
      <c r="DN8">
        <v>0.18006248772144318</v>
      </c>
      <c r="DO8">
        <v>2605540000</v>
      </c>
      <c r="DP8">
        <v>190598230</v>
      </c>
      <c r="DQ8">
        <v>606</v>
      </c>
      <c r="DR8">
        <v>-0.31560403123540048</v>
      </c>
      <c r="DS8">
        <v>-0.15781108926919096</v>
      </c>
      <c r="DT8" s="11">
        <v>0.6</v>
      </c>
      <c r="DU8">
        <v>-0.22</v>
      </c>
      <c r="DV8">
        <v>0.38</v>
      </c>
      <c r="DW8">
        <v>9.5645502645502649</v>
      </c>
      <c r="DX8">
        <v>1.0433956386292866</v>
      </c>
      <c r="DY8">
        <v>9.4027476965171672</v>
      </c>
      <c r="DZ8">
        <v>3931</v>
      </c>
      <c r="EA8">
        <v>9.0800405634130126</v>
      </c>
      <c r="EB8">
        <v>9</v>
      </c>
      <c r="EC8">
        <v>0.63966480446927376</v>
      </c>
      <c r="ED8">
        <v>0.8966480446927374</v>
      </c>
      <c r="EE8" s="12">
        <v>-1.064897</v>
      </c>
      <c r="EF8">
        <v>1.4999999999999986E-2</v>
      </c>
      <c r="EG8">
        <v>33.713395638629287</v>
      </c>
      <c r="EH8" t="s">
        <v>467</v>
      </c>
      <c r="EI8">
        <v>1</v>
      </c>
      <c r="EJ8">
        <v>0</v>
      </c>
      <c r="EK8" s="8">
        <v>44910</v>
      </c>
      <c r="EL8" s="13">
        <v>10</v>
      </c>
      <c r="EM8" s="13">
        <v>-5.16E-2</v>
      </c>
      <c r="EN8" s="13">
        <v>7.1999999999999998E-3</v>
      </c>
      <c r="EO8" s="13">
        <v>4.9700000000000001E-2</v>
      </c>
      <c r="EP8" s="13">
        <v>10.01</v>
      </c>
    </row>
    <row r="9" spans="1:146" ht="96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市值14.759671亿, 利润8225.30万; PE17.8; 平均PE19.08; 平均PEG8.69, PB.737; ROIC3.4733%; ROE3.7833%; 股利率1.7964%; 毛利28.4567%; 净利13.3533%; 上一年度营收增-7.6%, 利润增3.22%; 当季营收增.83%, 利润增3.8%; 过往5年营收增-2.2%, 利润增-.83%
Income profile:
</v>
      </c>
      <c r="D9" t="s">
        <v>65</v>
      </c>
      <c r="E9" t="s">
        <v>11</v>
      </c>
      <c r="F9">
        <v>8.35</v>
      </c>
      <c r="G9">
        <v>0.97</v>
      </c>
      <c r="H9" t="s">
        <v>762</v>
      </c>
      <c r="I9">
        <v>1475967100</v>
      </c>
      <c r="J9">
        <v>17.8</v>
      </c>
      <c r="K9">
        <v>0.73699999999999999</v>
      </c>
      <c r="L9" t="s">
        <v>39</v>
      </c>
      <c r="M9" t="s">
        <v>551</v>
      </c>
      <c r="N9" t="s">
        <v>763</v>
      </c>
      <c r="O9" t="s">
        <v>222</v>
      </c>
      <c r="P9">
        <v>0.7</v>
      </c>
      <c r="Q9" t="s">
        <v>764</v>
      </c>
      <c r="R9">
        <v>17877888</v>
      </c>
      <c r="S9" s="5">
        <v>3.7999999999999999E-2</v>
      </c>
      <c r="T9" t="s">
        <v>765</v>
      </c>
      <c r="U9">
        <v>137899610</v>
      </c>
      <c r="V9">
        <v>176762530</v>
      </c>
      <c r="W9">
        <v>1.1100000000000001</v>
      </c>
      <c r="X9">
        <v>0.06</v>
      </c>
      <c r="Y9">
        <v>14.92</v>
      </c>
      <c r="Z9" t="s">
        <v>113</v>
      </c>
      <c r="AA9" t="s">
        <v>766</v>
      </c>
      <c r="AB9" t="s">
        <v>767</v>
      </c>
      <c r="AC9" t="s">
        <v>768</v>
      </c>
      <c r="AD9" t="s">
        <v>43</v>
      </c>
      <c r="AE9">
        <v>-2320733</v>
      </c>
      <c r="AF9" t="s">
        <v>769</v>
      </c>
      <c r="AG9" t="s">
        <v>770</v>
      </c>
      <c r="AH9" t="s">
        <v>771</v>
      </c>
      <c r="AI9" t="s">
        <v>597</v>
      </c>
      <c r="AJ9" t="s">
        <v>772</v>
      </c>
      <c r="AK9" t="s">
        <v>773</v>
      </c>
      <c r="AL9" t="s">
        <v>774</v>
      </c>
      <c r="AM9" t="s">
        <v>43</v>
      </c>
      <c r="AN9" t="s">
        <v>775</v>
      </c>
      <c r="AO9" t="s">
        <v>776</v>
      </c>
      <c r="AP9" t="s">
        <v>777</v>
      </c>
      <c r="AQ9" t="s">
        <v>778</v>
      </c>
      <c r="AR9" t="s">
        <v>779</v>
      </c>
      <c r="AS9" t="s">
        <v>85</v>
      </c>
      <c r="AT9" t="s">
        <v>43</v>
      </c>
      <c r="AU9" t="s">
        <v>780</v>
      </c>
      <c r="AV9" t="s">
        <v>781</v>
      </c>
      <c r="AW9" t="s">
        <v>782</v>
      </c>
      <c r="AX9" t="s">
        <v>783</v>
      </c>
      <c r="AY9" t="s">
        <v>88</v>
      </c>
      <c r="AZ9" t="s">
        <v>184</v>
      </c>
      <c r="BA9" t="s">
        <v>67</v>
      </c>
      <c r="BB9" t="s">
        <v>98</v>
      </c>
      <c r="BC9" t="s">
        <v>784</v>
      </c>
      <c r="BD9" t="s">
        <v>339</v>
      </c>
      <c r="BE9" t="s">
        <v>185</v>
      </c>
      <c r="BF9" t="s">
        <v>68</v>
      </c>
      <c r="BG9" t="s">
        <v>188</v>
      </c>
      <c r="BH9" t="s">
        <v>764</v>
      </c>
      <c r="BI9" t="s">
        <v>130</v>
      </c>
      <c r="BJ9" t="s">
        <v>783</v>
      </c>
      <c r="BK9" t="s">
        <v>765</v>
      </c>
      <c r="BL9" t="s">
        <v>785</v>
      </c>
      <c r="BM9" t="s">
        <v>784</v>
      </c>
      <c r="BN9">
        <v>3.08</v>
      </c>
      <c r="BO9">
        <v>3.96</v>
      </c>
      <c r="BP9">
        <v>3.38</v>
      </c>
      <c r="BQ9">
        <v>3.58</v>
      </c>
      <c r="BR9">
        <v>4.1900000000000004</v>
      </c>
      <c r="BS9">
        <v>3.58</v>
      </c>
      <c r="BT9" t="s">
        <v>786</v>
      </c>
      <c r="BU9" t="s">
        <v>470</v>
      </c>
      <c r="BV9">
        <v>33.19</v>
      </c>
      <c r="BW9">
        <v>27.8</v>
      </c>
      <c r="BX9">
        <v>24.38</v>
      </c>
      <c r="BY9">
        <v>15.38</v>
      </c>
      <c r="BZ9">
        <v>13.85</v>
      </c>
      <c r="CA9">
        <v>10.83</v>
      </c>
      <c r="CB9">
        <v>-0.6</v>
      </c>
      <c r="CC9">
        <v>-7.73</v>
      </c>
      <c r="CD9" t="s">
        <v>787</v>
      </c>
      <c r="CE9" t="s">
        <v>788</v>
      </c>
      <c r="CF9" s="9">
        <v>8.3333333333333332E-3</v>
      </c>
      <c r="CG9" s="10">
        <v>3.7969797780990369E-2</v>
      </c>
      <c r="CH9" s="9">
        <v>-7.5993090867996216E-2</v>
      </c>
      <c r="CI9" s="9">
        <v>-3.6605656147003174E-2</v>
      </c>
      <c r="CJ9" s="9">
        <v>0.30086579918861389</v>
      </c>
      <c r="CK9" s="9">
        <v>-0.14917127788066864</v>
      </c>
      <c r="CL9" s="9">
        <v>-0.14890281856060028</v>
      </c>
      <c r="CM9" s="10">
        <v>3.2233420759439468E-2</v>
      </c>
      <c r="CN9" s="10">
        <v>0.22843834757804871</v>
      </c>
      <c r="CO9" s="10">
        <v>1.430454570800066E-2</v>
      </c>
      <c r="CP9" s="10">
        <v>-0.22508899867534637</v>
      </c>
      <c r="CQ9" s="10">
        <v>-9.1587744653224945E-2</v>
      </c>
      <c r="CR9">
        <v>19.080357544913415</v>
      </c>
      <c r="CS9">
        <v>8.6881300157779897</v>
      </c>
      <c r="CT9">
        <v>1.7964071856287427</v>
      </c>
      <c r="CU9" s="9">
        <v>-2.1961408853530883E-2</v>
      </c>
      <c r="CV9" s="10">
        <v>-8.340085856616497E-3</v>
      </c>
      <c r="CW9">
        <v>0.06</v>
      </c>
      <c r="CX9" t="s">
        <v>646</v>
      </c>
      <c r="CY9" t="s">
        <v>789</v>
      </c>
      <c r="CZ9">
        <v>-2.1961408853530883E-2</v>
      </c>
      <c r="DA9" t="s">
        <v>646</v>
      </c>
      <c r="DB9" t="s">
        <v>790</v>
      </c>
      <c r="DC9">
        <v>-2.0863338410854339E-2</v>
      </c>
      <c r="DD9" t="s">
        <v>646</v>
      </c>
      <c r="DE9" t="s">
        <v>791</v>
      </c>
      <c r="DF9">
        <v>-1.9326039791107176E-2</v>
      </c>
      <c r="DG9" t="s">
        <v>646</v>
      </c>
      <c r="DH9" t="s">
        <v>792</v>
      </c>
      <c r="DI9">
        <v>-1.7569127082824706E-2</v>
      </c>
      <c r="DJ9" t="s">
        <v>646</v>
      </c>
      <c r="DK9" t="s">
        <v>793</v>
      </c>
      <c r="DL9">
        <v>-1.5372986197471617E-2</v>
      </c>
      <c r="DM9">
        <v>82253000</v>
      </c>
      <c r="DN9">
        <v>-2.1961408853530883E-2</v>
      </c>
      <c r="DO9">
        <v>-363032899.99999976</v>
      </c>
      <c r="DP9">
        <v>721204060</v>
      </c>
      <c r="DQ9">
        <v>655</v>
      </c>
      <c r="DR9">
        <v>3.0294742186864218E-2</v>
      </c>
      <c r="DS9">
        <v>4.6309883637606866E-2</v>
      </c>
      <c r="DT9" s="11">
        <v>-0.3066666666666667</v>
      </c>
      <c r="DU9">
        <v>3.3333333333333347E-2</v>
      </c>
      <c r="DV9">
        <v>-0.27333333333333337</v>
      </c>
      <c r="DW9">
        <v>-2.0773000000000001</v>
      </c>
      <c r="DX9">
        <v>0.33532568193416079</v>
      </c>
      <c r="DY9">
        <v>-2.0096876752135104</v>
      </c>
      <c r="DZ9">
        <v>2367</v>
      </c>
      <c r="EA9">
        <v>-2.0052002530549236</v>
      </c>
      <c r="EB9">
        <v>2</v>
      </c>
      <c r="EC9">
        <v>3.6818323430876439E-2</v>
      </c>
      <c r="ED9">
        <v>0.29378115373207209</v>
      </c>
      <c r="EE9" s="12">
        <v>-3.0384000000000002</v>
      </c>
      <c r="EF9">
        <v>-3.036</v>
      </c>
      <c r="EG9">
        <v>21.125325681934161</v>
      </c>
      <c r="EH9" t="s">
        <v>578</v>
      </c>
      <c r="EI9">
        <v>0</v>
      </c>
      <c r="EJ9">
        <v>0</v>
      </c>
      <c r="EK9" s="8">
        <v>45470</v>
      </c>
      <c r="EL9" s="13">
        <v>0.73</v>
      </c>
      <c r="EM9" s="13">
        <v>-4.09</v>
      </c>
      <c r="EN9" s="13">
        <v>2.13</v>
      </c>
      <c r="EO9" s="13">
        <v>3.68</v>
      </c>
      <c r="EP9" s="13">
        <v>-0.24</v>
      </c>
    </row>
    <row r="10" spans="1:146" ht="96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市值20.10177亿, 利润1.49亿; PE18.78; 平均PE6.91; 平均PEG12.81, PB.514; ROIC3.6967%; ROE4.1733%; 股利率0%; 毛利15.6233%; 净利3.8433%; 上一年度营收增1.28%, 利润增-6.88%; 当季营收增18.67%, 利润增-67.55%; 过往5年营收增.54%, 利润增-11.94%
Income profile:
</v>
      </c>
      <c r="D10" t="s">
        <v>69</v>
      </c>
      <c r="E10" t="s">
        <v>19</v>
      </c>
      <c r="F10">
        <v>6.21</v>
      </c>
      <c r="G10">
        <v>0.65</v>
      </c>
      <c r="H10" t="s">
        <v>794</v>
      </c>
      <c r="I10">
        <v>2010177000</v>
      </c>
      <c r="J10">
        <v>18.78</v>
      </c>
      <c r="K10">
        <v>0.51400000000000001</v>
      </c>
      <c r="L10" t="s">
        <v>39</v>
      </c>
      <c r="M10" t="s">
        <v>795</v>
      </c>
      <c r="N10" t="s">
        <v>796</v>
      </c>
      <c r="O10" t="s">
        <v>797</v>
      </c>
      <c r="P10">
        <v>18.64</v>
      </c>
      <c r="Q10" t="s">
        <v>798</v>
      </c>
      <c r="R10">
        <v>20344571</v>
      </c>
      <c r="S10" s="5">
        <v>-0.67549999999999999</v>
      </c>
      <c r="T10" t="s">
        <v>799</v>
      </c>
      <c r="U10">
        <v>323285610</v>
      </c>
      <c r="V10">
        <v>323700000</v>
      </c>
      <c r="W10">
        <v>1.56</v>
      </c>
      <c r="X10">
        <v>0.2</v>
      </c>
      <c r="Y10">
        <v>1.58</v>
      </c>
      <c r="Z10" t="s">
        <v>800</v>
      </c>
      <c r="AA10" t="s">
        <v>801</v>
      </c>
      <c r="AB10" t="s">
        <v>802</v>
      </c>
      <c r="AC10" t="s">
        <v>803</v>
      </c>
      <c r="AD10" t="s">
        <v>43</v>
      </c>
      <c r="AE10">
        <v>8769083</v>
      </c>
      <c r="AF10" t="s">
        <v>804</v>
      </c>
      <c r="AG10" t="s">
        <v>805</v>
      </c>
      <c r="AH10" t="s">
        <v>806</v>
      </c>
      <c r="AI10" t="s">
        <v>545</v>
      </c>
      <c r="AJ10" t="s">
        <v>807</v>
      </c>
      <c r="AK10" t="s">
        <v>332</v>
      </c>
      <c r="AL10" t="s">
        <v>808</v>
      </c>
      <c r="AM10" t="s">
        <v>43</v>
      </c>
      <c r="AN10" t="s">
        <v>809</v>
      </c>
      <c r="AO10" t="s">
        <v>523</v>
      </c>
      <c r="AP10" t="s">
        <v>43</v>
      </c>
      <c r="AQ10" t="s">
        <v>503</v>
      </c>
      <c r="AR10" t="s">
        <v>43</v>
      </c>
      <c r="AS10" t="s">
        <v>810</v>
      </c>
      <c r="AT10" t="s">
        <v>487</v>
      </c>
      <c r="AU10" t="s">
        <v>811</v>
      </c>
      <c r="AV10" t="s">
        <v>753</v>
      </c>
      <c r="AW10" t="s">
        <v>812</v>
      </c>
      <c r="AX10" t="s">
        <v>813</v>
      </c>
      <c r="AY10" t="s">
        <v>340</v>
      </c>
      <c r="AZ10" t="s">
        <v>190</v>
      </c>
      <c r="BA10" t="s">
        <v>70</v>
      </c>
      <c r="BB10" t="s">
        <v>121</v>
      </c>
      <c r="BC10" t="s">
        <v>498</v>
      </c>
      <c r="BD10" t="s">
        <v>341</v>
      </c>
      <c r="BE10" t="s">
        <v>191</v>
      </c>
      <c r="BF10" t="s">
        <v>71</v>
      </c>
      <c r="BG10" t="s">
        <v>193</v>
      </c>
      <c r="BH10" t="s">
        <v>798</v>
      </c>
      <c r="BI10" t="s">
        <v>814</v>
      </c>
      <c r="BJ10" t="s">
        <v>813</v>
      </c>
      <c r="BK10" t="s">
        <v>799</v>
      </c>
      <c r="BL10" t="s">
        <v>815</v>
      </c>
      <c r="BM10" t="s">
        <v>498</v>
      </c>
      <c r="BN10">
        <v>2.92</v>
      </c>
      <c r="BO10">
        <v>3.65</v>
      </c>
      <c r="BP10">
        <v>4.5199999999999996</v>
      </c>
      <c r="BQ10">
        <v>3.52</v>
      </c>
      <c r="BR10">
        <v>4.12</v>
      </c>
      <c r="BS10">
        <v>4.88</v>
      </c>
      <c r="BT10" t="s">
        <v>599</v>
      </c>
      <c r="BU10" t="s">
        <v>466</v>
      </c>
      <c r="BV10">
        <v>16.920000000000002</v>
      </c>
      <c r="BW10">
        <v>14.13</v>
      </c>
      <c r="BX10">
        <v>15.82</v>
      </c>
      <c r="BY10">
        <v>3.46</v>
      </c>
      <c r="BZ10">
        <v>3.56</v>
      </c>
      <c r="CA10">
        <v>4.51</v>
      </c>
      <c r="CB10">
        <v>0.81</v>
      </c>
      <c r="CC10">
        <v>-10.26</v>
      </c>
      <c r="CD10" t="s">
        <v>816</v>
      </c>
      <c r="CE10" t="s">
        <v>817</v>
      </c>
      <c r="CF10" s="9">
        <v>0.18672985781990509</v>
      </c>
      <c r="CG10" s="10">
        <v>-0.67547808374102147</v>
      </c>
      <c r="CH10" s="9">
        <v>1.2835719622671604E-2</v>
      </c>
      <c r="CI10" s="9">
        <v>7.954840362071991E-2</v>
      </c>
      <c r="CJ10" s="9">
        <v>6.1967466026544571E-3</v>
      </c>
      <c r="CK10" s="9">
        <v>-9.7162174060940742E-3</v>
      </c>
      <c r="CL10" s="9">
        <v>-6.1885315924882889E-2</v>
      </c>
      <c r="CM10" s="10">
        <v>-6.8750001490116119E-2</v>
      </c>
      <c r="CN10" s="10">
        <v>-0.12087912112474442</v>
      </c>
      <c r="CO10" s="10">
        <v>-0.61358809471130371</v>
      </c>
      <c r="CP10" s="10">
        <v>0.19847328960895538</v>
      </c>
      <c r="CQ10" s="10">
        <v>7.6923076994717121E-3</v>
      </c>
      <c r="CR10">
        <v>6.9117833810888261</v>
      </c>
      <c r="CS10">
        <v>12.809402071893663</v>
      </c>
      <c r="CT10">
        <v>0</v>
      </c>
      <c r="CU10" s="9">
        <v>5.3958673030138019E-3</v>
      </c>
      <c r="CV10" s="10">
        <v>-0.11941032400354742</v>
      </c>
      <c r="CW10">
        <v>0.06</v>
      </c>
      <c r="CX10">
        <v>2.3716833823251502</v>
      </c>
      <c r="CY10">
        <v>141324513.42278212</v>
      </c>
      <c r="CZ10">
        <v>5.3958673030138019E-3</v>
      </c>
      <c r="DA10">
        <v>0.83315996722722474</v>
      </c>
      <c r="DB10">
        <v>402296093.40866035</v>
      </c>
      <c r="DC10">
        <v>5.1260739378631119E-3</v>
      </c>
      <c r="DD10">
        <v>0.45029102914164959</v>
      </c>
      <c r="DE10">
        <v>744356379.11534369</v>
      </c>
      <c r="DF10">
        <v>4.7483632266521461E-3</v>
      </c>
      <c r="DG10">
        <v>0.29907334698255988</v>
      </c>
      <c r="DH10">
        <v>1120718390.2601173</v>
      </c>
      <c r="DI10">
        <v>4.3166938424110419E-3</v>
      </c>
      <c r="DJ10">
        <v>0.18982008046688281</v>
      </c>
      <c r="DK10">
        <v>1765761552.6007378</v>
      </c>
      <c r="DL10">
        <v>3.777107112109661E-3</v>
      </c>
      <c r="DM10">
        <v>149000000</v>
      </c>
      <c r="DN10">
        <v>5.3958673030138019E-3</v>
      </c>
      <c r="DO10">
        <v>335177000</v>
      </c>
      <c r="DP10">
        <v>1890613500</v>
      </c>
      <c r="DQ10">
        <v>900</v>
      </c>
      <c r="DR10">
        <v>0.18133399051689128</v>
      </c>
      <c r="DS10">
        <v>-0.55606775973747402</v>
      </c>
      <c r="DT10" s="11">
        <v>-0.44</v>
      </c>
      <c r="DU10">
        <v>-0.59</v>
      </c>
      <c r="DV10">
        <v>-1.03</v>
      </c>
      <c r="DW10">
        <v>-2.1025999999999998</v>
      </c>
      <c r="DX10">
        <v>0.31000724543578856</v>
      </c>
      <c r="DY10">
        <v>-2.0112867433817119</v>
      </c>
      <c r="DZ10">
        <v>3584</v>
      </c>
      <c r="EA10">
        <v>-2.00337056172221</v>
      </c>
      <c r="EB10">
        <v>2</v>
      </c>
      <c r="EC10">
        <v>2.5583565029348162E-2</v>
      </c>
      <c r="ED10">
        <v>0.23256255792400371</v>
      </c>
      <c r="EE10" s="12">
        <v>3.4410000000000003E-2</v>
      </c>
      <c r="EF10">
        <v>4.8809999999999999E-2</v>
      </c>
      <c r="EG10">
        <v>20.110007245435789</v>
      </c>
      <c r="EH10">
        <v>-1</v>
      </c>
      <c r="EI10">
        <v>0</v>
      </c>
      <c r="EJ10">
        <v>0</v>
      </c>
      <c r="EK10" s="8">
        <v>45470</v>
      </c>
      <c r="EL10" s="13">
        <v>0.16</v>
      </c>
      <c r="EM10" s="13">
        <v>-3.36</v>
      </c>
      <c r="EN10" s="13">
        <v>1.49</v>
      </c>
      <c r="EO10" s="13">
        <v>1.63</v>
      </c>
      <c r="EP10" s="13">
        <v>-1.44</v>
      </c>
    </row>
    <row r="11" spans="1:146" ht="96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市值29.514716亿, 利润2.17亿; PE13.86; 平均PE16.47; 平均PEG1.96, PB1.49; ROIC6.58%; ROE9.3833%; 股利率5.6926%; 毛利14.44%; 净利4.9867%; 上一年度营收增-.69%, 利润增-5.65%; 当季营收增21.39%, 利润增-7.6%; 过往5年营收增8.4%, 利润增14.05%
Income profile:
</v>
      </c>
      <c r="D11" t="s">
        <v>72</v>
      </c>
      <c r="E11" t="s">
        <v>10</v>
      </c>
      <c r="F11">
        <v>5.27</v>
      </c>
      <c r="G11">
        <v>1.54</v>
      </c>
      <c r="H11" t="s">
        <v>818</v>
      </c>
      <c r="I11">
        <v>2951471600</v>
      </c>
      <c r="J11">
        <v>13.86</v>
      </c>
      <c r="K11">
        <v>1.49</v>
      </c>
      <c r="L11" t="s">
        <v>39</v>
      </c>
      <c r="M11" t="s">
        <v>819</v>
      </c>
      <c r="N11" t="s">
        <v>820</v>
      </c>
      <c r="O11" t="s">
        <v>821</v>
      </c>
      <c r="P11">
        <v>21.36</v>
      </c>
      <c r="Q11" t="s">
        <v>822</v>
      </c>
      <c r="R11">
        <v>48488014</v>
      </c>
      <c r="S11" s="5">
        <v>-7.5999999999999998E-2</v>
      </c>
      <c r="T11" t="s">
        <v>823</v>
      </c>
      <c r="U11">
        <v>443299490</v>
      </c>
      <c r="V11">
        <v>560051540</v>
      </c>
      <c r="W11">
        <v>1.69</v>
      </c>
      <c r="X11">
        <v>0.33</v>
      </c>
      <c r="Y11">
        <v>4.37</v>
      </c>
      <c r="Z11" t="s">
        <v>824</v>
      </c>
      <c r="AA11" t="s">
        <v>825</v>
      </c>
      <c r="AB11" t="s">
        <v>826</v>
      </c>
      <c r="AC11" t="s">
        <v>827</v>
      </c>
      <c r="AD11" t="s">
        <v>43</v>
      </c>
      <c r="AE11">
        <v>-3766920</v>
      </c>
      <c r="AF11" t="s">
        <v>828</v>
      </c>
      <c r="AG11" t="s">
        <v>829</v>
      </c>
      <c r="AH11" t="s">
        <v>830</v>
      </c>
      <c r="AI11" t="s">
        <v>831</v>
      </c>
      <c r="AJ11" t="s">
        <v>832</v>
      </c>
      <c r="AK11" t="s">
        <v>833</v>
      </c>
      <c r="AL11" t="s">
        <v>834</v>
      </c>
      <c r="AM11" t="s">
        <v>43</v>
      </c>
      <c r="AN11" t="s">
        <v>835</v>
      </c>
      <c r="AO11" t="s">
        <v>836</v>
      </c>
      <c r="AP11" t="s">
        <v>837</v>
      </c>
      <c r="AQ11" t="s">
        <v>504</v>
      </c>
      <c r="AR11" t="s">
        <v>838</v>
      </c>
      <c r="AS11" t="s">
        <v>839</v>
      </c>
      <c r="AT11" t="s">
        <v>43</v>
      </c>
      <c r="AU11" t="s">
        <v>840</v>
      </c>
      <c r="AV11" t="s">
        <v>841</v>
      </c>
      <c r="AW11" t="s">
        <v>80</v>
      </c>
      <c r="AX11" t="s">
        <v>842</v>
      </c>
      <c r="AY11" t="s">
        <v>843</v>
      </c>
      <c r="AZ11" t="s">
        <v>194</v>
      </c>
      <c r="BA11" t="s">
        <v>73</v>
      </c>
      <c r="BB11" t="s">
        <v>195</v>
      </c>
      <c r="BC11" t="s">
        <v>282</v>
      </c>
      <c r="BD11" t="s">
        <v>201</v>
      </c>
      <c r="BE11" t="s">
        <v>85</v>
      </c>
      <c r="BF11" t="s">
        <v>74</v>
      </c>
      <c r="BG11" t="s">
        <v>42</v>
      </c>
      <c r="BH11" t="s">
        <v>822</v>
      </c>
      <c r="BI11" t="s">
        <v>844</v>
      </c>
      <c r="BJ11" t="s">
        <v>842</v>
      </c>
      <c r="BK11" t="s">
        <v>823</v>
      </c>
      <c r="BL11" t="s">
        <v>845</v>
      </c>
      <c r="BM11" t="s">
        <v>282</v>
      </c>
      <c r="BN11">
        <v>5.62</v>
      </c>
      <c r="BO11">
        <v>8.56</v>
      </c>
      <c r="BP11">
        <v>5.56</v>
      </c>
      <c r="BQ11">
        <v>8.52</v>
      </c>
      <c r="BR11">
        <v>12.34</v>
      </c>
      <c r="BS11">
        <v>7.29</v>
      </c>
      <c r="BT11" t="s">
        <v>603</v>
      </c>
      <c r="BU11" t="s">
        <v>470</v>
      </c>
      <c r="BV11">
        <v>14.1</v>
      </c>
      <c r="BW11">
        <v>14.68</v>
      </c>
      <c r="BX11">
        <v>14.54</v>
      </c>
      <c r="BY11">
        <v>5.37</v>
      </c>
      <c r="BZ11">
        <v>5.64</v>
      </c>
      <c r="CA11">
        <v>3.95</v>
      </c>
      <c r="CB11">
        <v>-0.38</v>
      </c>
      <c r="CC11">
        <v>-20.39</v>
      </c>
      <c r="CD11" t="s">
        <v>846</v>
      </c>
      <c r="CE11" t="s">
        <v>120</v>
      </c>
      <c r="CF11" s="9">
        <v>0.21391484942886796</v>
      </c>
      <c r="CG11" s="10">
        <v>-7.6042158136840537E-2</v>
      </c>
      <c r="CH11" s="9">
        <v>-6.9428076967597008E-3</v>
      </c>
      <c r="CI11" s="9">
        <v>0.1694180965423584</v>
      </c>
      <c r="CJ11" s="9">
        <v>0.4195159375667572</v>
      </c>
      <c r="CK11" s="9">
        <v>-0.24287377297878265</v>
      </c>
      <c r="CL11" s="9">
        <v>8.0792263150215149E-2</v>
      </c>
      <c r="CM11" s="10">
        <v>-5.6521739810705185E-2</v>
      </c>
      <c r="CN11" s="10">
        <v>0.7557252049446106</v>
      </c>
      <c r="CO11" s="10">
        <v>-0.32820513844490051</v>
      </c>
      <c r="CP11" s="10">
        <v>0.23417721688747406</v>
      </c>
      <c r="CQ11" s="10">
        <v>9.7222223877906799E-2</v>
      </c>
      <c r="CR11">
        <v>16.473329860465117</v>
      </c>
      <c r="CS11">
        <v>1.9615323496780819</v>
      </c>
      <c r="CT11">
        <v>5.6925996204933593</v>
      </c>
      <c r="CU11" s="9">
        <v>8.3981943316757679E-2</v>
      </c>
      <c r="CV11" s="10">
        <v>0.14047955349087715</v>
      </c>
      <c r="CW11">
        <v>0.06</v>
      </c>
      <c r="CX11">
        <v>10.019721956056173</v>
      </c>
      <c r="CY11">
        <v>221909511.03748718</v>
      </c>
      <c r="CZ11">
        <v>8.3981943316757679E-2</v>
      </c>
      <c r="DA11">
        <v>3.2910917100947699</v>
      </c>
      <c r="DB11">
        <v>675603050.85997534</v>
      </c>
      <c r="DC11">
        <v>7.9782846150919795E-2</v>
      </c>
      <c r="DD11">
        <v>1.631189100228096</v>
      </c>
      <c r="DE11">
        <v>1363098612.9622142</v>
      </c>
      <c r="DF11">
        <v>7.3904110118746758E-2</v>
      </c>
      <c r="DG11">
        <v>0.98708076293295832</v>
      </c>
      <c r="DH11">
        <v>2252573126.2285943</v>
      </c>
      <c r="DI11">
        <v>6.7185554653406143E-2</v>
      </c>
      <c r="DJ11">
        <v>0.51850401932574353</v>
      </c>
      <c r="DK11">
        <v>4288243710.9964471</v>
      </c>
      <c r="DL11">
        <v>5.8787360321730368E-2</v>
      </c>
      <c r="DM11">
        <v>217000000</v>
      </c>
      <c r="DN11">
        <v>8.3981943316757679E-2</v>
      </c>
      <c r="DO11">
        <v>2223471600</v>
      </c>
      <c r="DP11">
        <v>1191792300</v>
      </c>
      <c r="DQ11">
        <v>910</v>
      </c>
      <c r="DR11">
        <v>0.12993290611211028</v>
      </c>
      <c r="DS11">
        <v>-0.21652171162771769</v>
      </c>
      <c r="DT11" s="11">
        <v>-0.27333333333333337</v>
      </c>
      <c r="DU11">
        <v>0.28333333333333333</v>
      </c>
      <c r="DV11">
        <v>9.9999999999999534E-3</v>
      </c>
      <c r="DW11">
        <v>-3.0496488095238097</v>
      </c>
      <c r="DX11">
        <v>0.27225067114094031</v>
      </c>
      <c r="DY11">
        <v>-3.004083647904682</v>
      </c>
      <c r="DZ11">
        <v>1689</v>
      </c>
      <c r="EA11">
        <v>-3.0027338863956783</v>
      </c>
      <c r="EB11">
        <v>3</v>
      </c>
      <c r="EC11">
        <v>4.3765079192532884E-2</v>
      </c>
      <c r="ED11">
        <v>0.53209388550203796</v>
      </c>
      <c r="EE11" s="12">
        <v>1.1006</v>
      </c>
      <c r="EF11">
        <v>1.0857999999999999</v>
      </c>
      <c r="EG11">
        <v>19.08225067114094</v>
      </c>
      <c r="EH11" t="s">
        <v>471</v>
      </c>
      <c r="EI11">
        <v>0</v>
      </c>
      <c r="EJ11">
        <v>0</v>
      </c>
      <c r="EK11" s="8">
        <v>45470</v>
      </c>
      <c r="EL11" s="13">
        <v>0.56000000000000005</v>
      </c>
      <c r="EM11" s="13">
        <v>-2.81</v>
      </c>
      <c r="EN11" s="13">
        <v>1.73</v>
      </c>
      <c r="EO11" s="13">
        <v>2.08</v>
      </c>
      <c r="EP11" s="13">
        <v>-1.48</v>
      </c>
    </row>
    <row r="12" spans="1:146" ht="96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市值12.3136亿, 利润5146.12万; PE30.96; 平均PE40.72; 平均PEG10.15, PB1.2; ROIC5.25%; ROE5.4267%; 股利率0%; 毛利21.3933%; 净利4.6267%; 上一年度营收增-27.62%, 利润增-44.76%; 当季营收增.86%, 利润增-227.67%; 过往5年营收增4.01%, 利润增67.97%
Income profile:
</v>
      </c>
      <c r="D12" t="s">
        <v>286</v>
      </c>
      <c r="E12" t="s">
        <v>287</v>
      </c>
      <c r="F12">
        <v>1.48</v>
      </c>
      <c r="G12">
        <v>1.37</v>
      </c>
      <c r="H12" t="s">
        <v>847</v>
      </c>
      <c r="I12">
        <v>1231360000</v>
      </c>
      <c r="J12">
        <v>30.96</v>
      </c>
      <c r="K12">
        <v>1.2</v>
      </c>
      <c r="L12" t="s">
        <v>39</v>
      </c>
      <c r="M12" t="s">
        <v>848</v>
      </c>
      <c r="N12" t="s">
        <v>849</v>
      </c>
      <c r="O12" t="s">
        <v>850</v>
      </c>
      <c r="P12">
        <v>0.68</v>
      </c>
      <c r="Q12" t="s">
        <v>851</v>
      </c>
      <c r="R12">
        <v>-6555874</v>
      </c>
      <c r="S12" s="5">
        <v>-2.2770000000000001</v>
      </c>
      <c r="T12" t="s">
        <v>852</v>
      </c>
      <c r="U12">
        <v>832000000</v>
      </c>
      <c r="V12">
        <v>832000000</v>
      </c>
      <c r="W12">
        <v>1.17</v>
      </c>
      <c r="X12">
        <v>0.19</v>
      </c>
      <c r="Y12">
        <v>-2.62</v>
      </c>
      <c r="Z12" t="s">
        <v>504</v>
      </c>
      <c r="AA12" t="s">
        <v>853</v>
      </c>
      <c r="AB12" t="s">
        <v>854</v>
      </c>
      <c r="AC12" t="s">
        <v>855</v>
      </c>
      <c r="AD12" t="s">
        <v>43</v>
      </c>
      <c r="AE12">
        <v>206605</v>
      </c>
      <c r="AF12" t="s">
        <v>856</v>
      </c>
      <c r="AG12" t="s">
        <v>857</v>
      </c>
      <c r="AH12" t="s">
        <v>858</v>
      </c>
      <c r="AI12" t="s">
        <v>859</v>
      </c>
      <c r="AJ12" t="s">
        <v>860</v>
      </c>
      <c r="AK12" t="s">
        <v>43</v>
      </c>
      <c r="AL12" t="s">
        <v>861</v>
      </c>
      <c r="AM12" t="s">
        <v>43</v>
      </c>
      <c r="AN12" t="s">
        <v>862</v>
      </c>
      <c r="AO12" t="s">
        <v>863</v>
      </c>
      <c r="AP12" t="s">
        <v>43</v>
      </c>
      <c r="AQ12" t="s">
        <v>864</v>
      </c>
      <c r="AR12" t="s">
        <v>43</v>
      </c>
      <c r="AS12" t="s">
        <v>865</v>
      </c>
      <c r="AT12" t="s">
        <v>866</v>
      </c>
      <c r="AU12" t="s">
        <v>867</v>
      </c>
      <c r="AV12" t="s">
        <v>868</v>
      </c>
      <c r="AW12" t="s">
        <v>869</v>
      </c>
      <c r="AX12" t="s">
        <v>870</v>
      </c>
      <c r="AY12" t="s">
        <v>343</v>
      </c>
      <c r="AZ12" t="s">
        <v>288</v>
      </c>
      <c r="BA12" t="s">
        <v>229</v>
      </c>
      <c r="BB12" t="s">
        <v>290</v>
      </c>
      <c r="BC12" t="s">
        <v>871</v>
      </c>
      <c r="BD12" t="s">
        <v>344</v>
      </c>
      <c r="BE12" t="s">
        <v>289</v>
      </c>
      <c r="BF12" t="s">
        <v>291</v>
      </c>
      <c r="BG12" t="s">
        <v>292</v>
      </c>
      <c r="BH12" t="s">
        <v>851</v>
      </c>
      <c r="BI12" t="s">
        <v>122</v>
      </c>
      <c r="BJ12" t="s">
        <v>870</v>
      </c>
      <c r="BK12" t="s">
        <v>852</v>
      </c>
      <c r="BL12" t="s">
        <v>872</v>
      </c>
      <c r="BM12" t="s">
        <v>871</v>
      </c>
      <c r="BN12">
        <v>4.38</v>
      </c>
      <c r="BO12">
        <v>9.07</v>
      </c>
      <c r="BP12">
        <v>2.2999999999999998</v>
      </c>
      <c r="BQ12">
        <v>4.9000000000000004</v>
      </c>
      <c r="BR12">
        <v>9.2899999999999991</v>
      </c>
      <c r="BS12">
        <v>2.09</v>
      </c>
      <c r="BT12" t="s">
        <v>599</v>
      </c>
      <c r="BU12" t="s">
        <v>470</v>
      </c>
      <c r="BV12">
        <v>25.23</v>
      </c>
      <c r="BW12">
        <v>21.61</v>
      </c>
      <c r="BX12">
        <v>17.34</v>
      </c>
      <c r="BY12">
        <v>5.28</v>
      </c>
      <c r="BZ12">
        <v>6.83</v>
      </c>
      <c r="CA12">
        <v>1.77</v>
      </c>
      <c r="CB12">
        <v>2.0699999999999998</v>
      </c>
      <c r="CC12">
        <v>-27.45</v>
      </c>
      <c r="CD12" t="s">
        <v>84</v>
      </c>
      <c r="CE12" t="s">
        <v>873</v>
      </c>
      <c r="CF12" s="9">
        <v>8.5836909871244635E-3</v>
      </c>
      <c r="CG12" s="10">
        <v>-2.2766540738432779</v>
      </c>
      <c r="CH12" s="9">
        <v>-0.27619042992591858</v>
      </c>
      <c r="CI12" s="9">
        <v>0.18181806802749634</v>
      </c>
      <c r="CJ12" s="9">
        <v>-1.3663535006344318E-2</v>
      </c>
      <c r="CK12" s="9">
        <v>0.16517418622970581</v>
      </c>
      <c r="CL12" s="9">
        <v>0.14334471523761749</v>
      </c>
      <c r="CM12" s="10">
        <v>-0.44761717319488525</v>
      </c>
      <c r="CN12" s="10">
        <v>3.6760423183441162</v>
      </c>
      <c r="CO12" s="10">
        <v>0.19474327564239502</v>
      </c>
      <c r="CP12" s="10">
        <v>1.9616456031799316</v>
      </c>
      <c r="CQ12" s="10">
        <v>-1.9864722490310669</v>
      </c>
      <c r="CR12">
        <v>40.715021412397093</v>
      </c>
      <c r="CS12">
        <v>10.154232649604166</v>
      </c>
      <c r="CT12">
        <v>0</v>
      </c>
      <c r="CU12" s="9">
        <v>4.0096600912511347E-2</v>
      </c>
      <c r="CV12" s="10">
        <v>0.67966835498809819</v>
      </c>
      <c r="CW12">
        <v>0.06</v>
      </c>
      <c r="CX12">
        <v>7.8495018981620328</v>
      </c>
      <c r="CY12">
        <v>50494923.772527292</v>
      </c>
      <c r="CZ12">
        <v>4.0096600912511347E-2</v>
      </c>
      <c r="DA12">
        <v>2.6764907685890167</v>
      </c>
      <c r="DB12">
        <v>148089432.86920127</v>
      </c>
      <c r="DC12">
        <v>3.8091770866885775E-2</v>
      </c>
      <c r="DD12">
        <v>1.393050936662332</v>
      </c>
      <c r="DE12">
        <v>284526566.52286911</v>
      </c>
      <c r="DF12">
        <v>3.5285008803009985E-2</v>
      </c>
      <c r="DG12">
        <v>0.88940396713208336</v>
      </c>
      <c r="DH12">
        <v>445646764.17857444</v>
      </c>
      <c r="DI12">
        <v>3.2077280730009081E-2</v>
      </c>
      <c r="DJ12">
        <v>0.52279268999966522</v>
      </c>
      <c r="DK12">
        <v>758159032.40776753</v>
      </c>
      <c r="DL12">
        <v>2.806762063875794E-2</v>
      </c>
      <c r="DM12">
        <v>51461200</v>
      </c>
      <c r="DN12">
        <v>4.0096600912511347E-2</v>
      </c>
      <c r="DO12">
        <v>396360000.00000012</v>
      </c>
      <c r="DP12">
        <v>555335790</v>
      </c>
      <c r="DQ12">
        <v>984</v>
      </c>
      <c r="DR12">
        <v>-3.1512909925386884E-2</v>
      </c>
      <c r="DS12">
        <v>-2.9563224288313759</v>
      </c>
      <c r="DT12" s="11">
        <v>-0.34</v>
      </c>
      <c r="DU12">
        <v>-0.77</v>
      </c>
      <c r="DV12">
        <v>-1.1100000000000001</v>
      </c>
      <c r="DW12">
        <v>-3.1294940476190476</v>
      </c>
      <c r="DX12">
        <v>0.36330605564648294</v>
      </c>
      <c r="DY12">
        <v>-3.0237370430987451</v>
      </c>
      <c r="DZ12">
        <v>3677</v>
      </c>
      <c r="EA12">
        <v>-3.0066565915382588</v>
      </c>
      <c r="EB12">
        <v>3</v>
      </c>
      <c r="EC12">
        <v>0.13461538461538464</v>
      </c>
      <c r="ED12">
        <v>0.734375</v>
      </c>
      <c r="EE12" s="12">
        <v>-3.0185</v>
      </c>
      <c r="EF12">
        <v>-3.0083099999999998</v>
      </c>
      <c r="EG12">
        <v>18.183306055646483</v>
      </c>
      <c r="EH12" t="s">
        <v>613</v>
      </c>
      <c r="EI12">
        <v>0</v>
      </c>
      <c r="EJ12">
        <v>0</v>
      </c>
      <c r="EK12" s="8">
        <v>45470</v>
      </c>
      <c r="EL12" s="13">
        <v>-1.35</v>
      </c>
      <c r="EM12" s="13">
        <v>-6.85</v>
      </c>
      <c r="EN12" s="13">
        <v>10.29</v>
      </c>
      <c r="EO12" s="13">
        <v>-0.67</v>
      </c>
      <c r="EP12" s="13">
        <v>-2.68</v>
      </c>
    </row>
    <row r="13" spans="1:146" ht="156" x14ac:dyDescent="0.25">
      <c r="A13" s="6"/>
      <c r="B13" s="6"/>
      <c r="C13" s="6" t="str">
        <f>"公司主营业务是天然牛头层皮革的研发、生产与销售。主要产品为鞋面用皮革、包袋用皮革、军用皮革、家具用皮革以及特殊功能性皮革。"&amp;CHAR(10)&amp;Basic_Fundamental_Information_Constructure(F13)&amp;CHAR(10)&amp;Basic_Fundamental_Information_Concatenate("鞋包带用皮革 6.53亿 88.21% 89.97% 16.48%
汽车内饰用皮革 4360.62万 5.89% 7.27% 19.96%
其他业务收入 1964.50万 2.65% -0.25% -1.50%
其他用皮革 1348.28万 1.82% 1.77% 15.75%")</f>
        <v>公司主营业务是天然牛头层皮革的研发、生产与销售。主要产品为鞋面用皮革、包袋用皮革、军用皮革、家具用皮革以及特殊功能性皮革。
市值28.223147亿, 利润1.86亿; PE14.66; 平均PE19.51; 平均PEG1.99, PB1.16; ROIC6.35%; ROE7.33%; 股利率6.2048%; 毛利21.7767%; 净利9.16%; 上一年度营收增35.81%, 利润增23.18%; 当季营收增28.66%, 利润增22.03%; 过往5年营收增9.81%, 利润增12.53%
Income profile:
鞋包带用皮革 6.53亿 88.21% 89.97% 16.48%
汽车内饰用皮革 4360.62万 5.89% 7.27% 19.96%
其他业务收入 1964.50万 2.65% -0.25% -1.50%
其他用皮革 1348.28万 1.82% 1.77% 15.75%</v>
      </c>
      <c r="D13" t="s">
        <v>78</v>
      </c>
      <c r="E13" t="s">
        <v>7</v>
      </c>
      <c r="F13">
        <v>9.67</v>
      </c>
      <c r="G13">
        <v>0.1</v>
      </c>
      <c r="H13" t="s">
        <v>874</v>
      </c>
      <c r="I13">
        <v>2822314700</v>
      </c>
      <c r="J13">
        <v>14.66</v>
      </c>
      <c r="K13">
        <v>1.1599999999999999</v>
      </c>
      <c r="L13" t="s">
        <v>39</v>
      </c>
      <c r="M13" t="s">
        <v>875</v>
      </c>
      <c r="N13" t="s">
        <v>876</v>
      </c>
      <c r="O13" t="s">
        <v>216</v>
      </c>
      <c r="P13">
        <v>28.61</v>
      </c>
      <c r="Q13" t="s">
        <v>877</v>
      </c>
      <c r="R13">
        <v>34628104</v>
      </c>
      <c r="S13" s="5">
        <v>0.2203</v>
      </c>
      <c r="T13" t="s">
        <v>878</v>
      </c>
      <c r="U13">
        <v>288866650</v>
      </c>
      <c r="V13">
        <v>291862940</v>
      </c>
      <c r="W13">
        <v>1.56</v>
      </c>
      <c r="X13">
        <v>0.14000000000000001</v>
      </c>
      <c r="Y13">
        <v>7.46</v>
      </c>
      <c r="Z13" t="s">
        <v>879</v>
      </c>
      <c r="AA13" t="s">
        <v>880</v>
      </c>
      <c r="AB13" t="s">
        <v>881</v>
      </c>
      <c r="AC13" t="s">
        <v>882</v>
      </c>
      <c r="AD13" t="s">
        <v>43</v>
      </c>
      <c r="AE13">
        <v>1444398</v>
      </c>
      <c r="AF13" t="s">
        <v>883</v>
      </c>
      <c r="AG13" t="s">
        <v>43</v>
      </c>
      <c r="AH13" t="s">
        <v>884</v>
      </c>
      <c r="AI13" t="s">
        <v>604</v>
      </c>
      <c r="AJ13" t="s">
        <v>885</v>
      </c>
      <c r="AK13" t="s">
        <v>43</v>
      </c>
      <c r="AL13" t="s">
        <v>886</v>
      </c>
      <c r="AM13" t="s">
        <v>43</v>
      </c>
      <c r="AN13" t="s">
        <v>887</v>
      </c>
      <c r="AO13" t="s">
        <v>888</v>
      </c>
      <c r="AP13" t="s">
        <v>889</v>
      </c>
      <c r="AQ13" t="s">
        <v>359</v>
      </c>
      <c r="AR13" t="s">
        <v>43</v>
      </c>
      <c r="AS13" t="s">
        <v>890</v>
      </c>
      <c r="AT13" t="s">
        <v>891</v>
      </c>
      <c r="AU13" t="s">
        <v>892</v>
      </c>
      <c r="AV13" t="s">
        <v>893</v>
      </c>
      <c r="AW13" t="s">
        <v>894</v>
      </c>
      <c r="AX13" t="s">
        <v>895</v>
      </c>
      <c r="AY13" t="s">
        <v>345</v>
      </c>
      <c r="AZ13" t="s">
        <v>196</v>
      </c>
      <c r="BA13" t="s">
        <v>79</v>
      </c>
      <c r="BB13" t="s">
        <v>197</v>
      </c>
      <c r="BC13" t="s">
        <v>95</v>
      </c>
      <c r="BD13" t="s">
        <v>283</v>
      </c>
      <c r="BE13" t="s">
        <v>186</v>
      </c>
      <c r="BF13" t="s">
        <v>80</v>
      </c>
      <c r="BG13" t="s">
        <v>186</v>
      </c>
      <c r="BH13" t="s">
        <v>877</v>
      </c>
      <c r="BI13" t="s">
        <v>371</v>
      </c>
      <c r="BJ13" t="s">
        <v>895</v>
      </c>
      <c r="BK13" t="s">
        <v>878</v>
      </c>
      <c r="BL13" t="s">
        <v>896</v>
      </c>
      <c r="BM13" t="s">
        <v>95</v>
      </c>
      <c r="BN13">
        <v>6.46</v>
      </c>
      <c r="BO13">
        <v>5.87</v>
      </c>
      <c r="BP13">
        <v>6.72</v>
      </c>
      <c r="BQ13">
        <v>7.31</v>
      </c>
      <c r="BR13">
        <v>6.5</v>
      </c>
      <c r="BS13">
        <v>8.18</v>
      </c>
      <c r="BT13" t="s">
        <v>897</v>
      </c>
      <c r="BU13" t="s">
        <v>479</v>
      </c>
      <c r="BV13">
        <v>21.41</v>
      </c>
      <c r="BW13">
        <v>19.510000000000002</v>
      </c>
      <c r="BX13">
        <v>24.41</v>
      </c>
      <c r="BY13">
        <v>8.57</v>
      </c>
      <c r="BZ13">
        <v>8.43</v>
      </c>
      <c r="CA13">
        <v>10.48</v>
      </c>
      <c r="CB13">
        <v>-5.38</v>
      </c>
      <c r="CC13">
        <v>-14.8</v>
      </c>
      <c r="CD13" t="s">
        <v>898</v>
      </c>
      <c r="CE13" t="s">
        <v>899</v>
      </c>
      <c r="CF13" s="9">
        <v>0.28663793103448293</v>
      </c>
      <c r="CG13" s="10">
        <v>0.2202618967072619</v>
      </c>
      <c r="CH13" s="9">
        <v>0.35814890265464783</v>
      </c>
      <c r="CI13" s="9">
        <v>0.15179605782032013</v>
      </c>
      <c r="CJ13" s="9">
        <v>0.18219177424907684</v>
      </c>
      <c r="CK13" s="9">
        <v>-8.0025240778923035E-2</v>
      </c>
      <c r="CL13" s="9">
        <v>-0.12174875289201736</v>
      </c>
      <c r="CM13" s="10">
        <v>0.23178808391094208</v>
      </c>
      <c r="CN13" s="10">
        <v>-0.16574585437774658</v>
      </c>
      <c r="CO13" s="10">
        <v>0.56034481525421143</v>
      </c>
      <c r="CP13" s="10">
        <v>-1.6949152573943138E-2</v>
      </c>
      <c r="CQ13" s="10">
        <v>1.7241379246115685E-2</v>
      </c>
      <c r="CR13">
        <v>19.509087788018434</v>
      </c>
      <c r="CS13">
        <v>1.9892506255798168</v>
      </c>
      <c r="CT13">
        <v>6.2047569803516032</v>
      </c>
      <c r="CU13" s="9">
        <v>9.8072548210620877E-2</v>
      </c>
      <c r="CV13" s="10">
        <v>0.1253358542919159</v>
      </c>
      <c r="CW13">
        <v>0.06</v>
      </c>
      <c r="CX13">
        <v>8.6428744116202871</v>
      </c>
      <c r="CY13">
        <v>192680654.68601459</v>
      </c>
      <c r="CZ13">
        <v>9.8072548210620877E-2</v>
      </c>
      <c r="DA13">
        <v>2.8051873433683712</v>
      </c>
      <c r="DB13">
        <v>593655430.51408041</v>
      </c>
      <c r="DC13">
        <v>9.316892080008983E-2</v>
      </c>
      <c r="DD13">
        <v>1.3683354380582291</v>
      </c>
      <c r="DE13">
        <v>1217036885.6069436</v>
      </c>
      <c r="DF13">
        <v>8.6303842425346375E-2</v>
      </c>
      <c r="DG13">
        <v>0.81323110085832828</v>
      </c>
      <c r="DH13">
        <v>2047775470.2720253</v>
      </c>
      <c r="DI13">
        <v>7.8458038568496702E-2</v>
      </c>
      <c r="DJ13">
        <v>0.41059351152224244</v>
      </c>
      <c r="DK13">
        <v>4055871934.814507</v>
      </c>
      <c r="DL13">
        <v>6.8650783747434607E-2</v>
      </c>
      <c r="DM13">
        <v>186000000</v>
      </c>
      <c r="DN13">
        <v>9.8072548210620877E-2</v>
      </c>
      <c r="DO13">
        <v>1665314700</v>
      </c>
      <c r="DP13">
        <v>1895012100</v>
      </c>
      <c r="DQ13">
        <v>1164</v>
      </c>
      <c r="DR13">
        <v>0.18856538282386204</v>
      </c>
      <c r="DS13">
        <v>9.4926042415345996E-2</v>
      </c>
      <c r="DT13" s="11">
        <v>1.0000000000000011E-2</v>
      </c>
      <c r="DU13">
        <v>0.37000000000000005</v>
      </c>
      <c r="DV13">
        <v>0.38000000000000006</v>
      </c>
      <c r="DW13">
        <v>-8.3635135135135137</v>
      </c>
      <c r="DX13">
        <v>0.3156608971557765</v>
      </c>
      <c r="DY13">
        <v>-8.0565848396417614</v>
      </c>
      <c r="DZ13">
        <v>898</v>
      </c>
      <c r="EA13">
        <v>-8.0466409676264377</v>
      </c>
      <c r="EB13">
        <v>8</v>
      </c>
      <c r="EC13">
        <v>2.8071052803072566E-2</v>
      </c>
      <c r="ED13">
        <v>0.18033464611848288</v>
      </c>
      <c r="EE13" s="12">
        <v>-3.0657000000000001</v>
      </c>
      <c r="EF13">
        <v>-3.0419</v>
      </c>
      <c r="EG13">
        <v>16.155660897155776</v>
      </c>
      <c r="EH13" t="s">
        <v>578</v>
      </c>
      <c r="EI13">
        <v>0</v>
      </c>
      <c r="EJ13">
        <v>1</v>
      </c>
      <c r="EK13" s="8">
        <v>45470</v>
      </c>
      <c r="EL13" s="13">
        <v>0.38</v>
      </c>
      <c r="EM13" s="13">
        <v>-4.2300000000000004</v>
      </c>
      <c r="EN13" s="13">
        <v>0.79</v>
      </c>
      <c r="EO13" s="13">
        <v>2.2400000000000002</v>
      </c>
      <c r="EP13" s="13">
        <v>-2.38</v>
      </c>
    </row>
    <row r="14" spans="1:146" ht="96" x14ac:dyDescent="0.25">
      <c r="A14" s="6"/>
      <c r="B14" s="6"/>
      <c r="C14" s="6" t="str">
        <f>""&amp;CHAR(10)&amp;Basic_Fundamental_Information_Constructure(F14)&amp;CHAR(10)&amp;Basic_Fundamental_Information_Concatenate("")</f>
        <v xml:space="preserve">
市值47.886568亿, 利润1.16亿; PE31.57; 平均PE35; 平均PEG3.21, PB2.59; ROIC5.02%; ROE6.8433%; 股利率.4707%; 毛利24.1867%; 净利4.41%; 上一年度营收增13.28%, 利润增147.29%; 当季营收增22.97%, 利润增102.95%; 过往5年营收增10.9%, 利润增33.73%
Income profile:
</v>
      </c>
      <c r="D14" t="s">
        <v>81</v>
      </c>
      <c r="E14" t="s">
        <v>6</v>
      </c>
      <c r="F14">
        <v>19.97</v>
      </c>
      <c r="G14">
        <v>1.17</v>
      </c>
      <c r="H14" t="s">
        <v>900</v>
      </c>
      <c r="I14">
        <v>4788656800</v>
      </c>
      <c r="J14">
        <v>31.57</v>
      </c>
      <c r="K14">
        <v>2.59</v>
      </c>
      <c r="L14" t="s">
        <v>39</v>
      </c>
      <c r="M14" t="s">
        <v>901</v>
      </c>
      <c r="N14" t="s">
        <v>902</v>
      </c>
      <c r="O14" t="s">
        <v>903</v>
      </c>
      <c r="P14">
        <v>22.92</v>
      </c>
      <c r="Q14" t="s">
        <v>904</v>
      </c>
      <c r="R14">
        <v>71057522</v>
      </c>
      <c r="S14" s="5">
        <v>1.03</v>
      </c>
      <c r="T14" t="s">
        <v>186</v>
      </c>
      <c r="U14">
        <v>140478310</v>
      </c>
      <c r="V14">
        <v>239792530</v>
      </c>
      <c r="W14">
        <v>1.87</v>
      </c>
      <c r="X14">
        <v>0.25</v>
      </c>
      <c r="Y14">
        <v>7.83</v>
      </c>
      <c r="Z14" t="s">
        <v>905</v>
      </c>
      <c r="AA14" t="s">
        <v>906</v>
      </c>
      <c r="AB14" t="s">
        <v>907</v>
      </c>
      <c r="AC14" t="s">
        <v>908</v>
      </c>
      <c r="AD14" t="s">
        <v>43</v>
      </c>
      <c r="AE14">
        <v>6860293</v>
      </c>
      <c r="AF14" t="s">
        <v>909</v>
      </c>
      <c r="AG14">
        <v>2316.9699999999998</v>
      </c>
      <c r="AH14" t="s">
        <v>910</v>
      </c>
      <c r="AI14" t="s">
        <v>911</v>
      </c>
      <c r="AJ14" t="s">
        <v>912</v>
      </c>
      <c r="AK14" t="s">
        <v>43</v>
      </c>
      <c r="AL14" t="s">
        <v>913</v>
      </c>
      <c r="AM14" t="s">
        <v>43</v>
      </c>
      <c r="AN14" t="s">
        <v>914</v>
      </c>
      <c r="AO14" t="s">
        <v>589</v>
      </c>
      <c r="AP14" t="s">
        <v>522</v>
      </c>
      <c r="AQ14" t="s">
        <v>915</v>
      </c>
      <c r="AR14" t="s">
        <v>43</v>
      </c>
      <c r="AS14" t="s">
        <v>175</v>
      </c>
      <c r="AT14" t="s">
        <v>547</v>
      </c>
      <c r="AU14" t="s">
        <v>916</v>
      </c>
      <c r="AV14" t="s">
        <v>917</v>
      </c>
      <c r="AW14" t="s">
        <v>86</v>
      </c>
      <c r="AX14" t="s">
        <v>918</v>
      </c>
      <c r="AY14" t="s">
        <v>346</v>
      </c>
      <c r="AZ14" t="s">
        <v>199</v>
      </c>
      <c r="BA14" t="s">
        <v>82</v>
      </c>
      <c r="BB14" t="s">
        <v>202</v>
      </c>
      <c r="BC14" t="s">
        <v>919</v>
      </c>
      <c r="BD14" t="s">
        <v>347</v>
      </c>
      <c r="BE14" t="s">
        <v>200</v>
      </c>
      <c r="BF14" t="s">
        <v>83</v>
      </c>
      <c r="BG14" t="s">
        <v>203</v>
      </c>
      <c r="BH14" t="s">
        <v>904</v>
      </c>
      <c r="BI14" t="s">
        <v>920</v>
      </c>
      <c r="BJ14" t="s">
        <v>918</v>
      </c>
      <c r="BK14" t="s">
        <v>186</v>
      </c>
      <c r="BL14" t="s">
        <v>921</v>
      </c>
      <c r="BM14" t="s">
        <v>919</v>
      </c>
      <c r="BN14">
        <v>4.63</v>
      </c>
      <c r="BO14">
        <v>2.78</v>
      </c>
      <c r="BP14">
        <v>7.65</v>
      </c>
      <c r="BQ14">
        <v>6.71</v>
      </c>
      <c r="BR14">
        <v>2.76</v>
      </c>
      <c r="BS14">
        <v>11.06</v>
      </c>
      <c r="BT14" t="s">
        <v>922</v>
      </c>
      <c r="BU14" t="s">
        <v>470</v>
      </c>
      <c r="BV14">
        <v>24.35</v>
      </c>
      <c r="BW14">
        <v>21.63</v>
      </c>
      <c r="BX14">
        <v>26.58</v>
      </c>
      <c r="BY14">
        <v>3.7</v>
      </c>
      <c r="BZ14">
        <v>1.99</v>
      </c>
      <c r="CA14">
        <v>7.54</v>
      </c>
      <c r="CB14">
        <v>-4.13</v>
      </c>
      <c r="CC14">
        <v>-9.3800000000000008</v>
      </c>
      <c r="CD14" t="s">
        <v>923</v>
      </c>
      <c r="CE14" t="s">
        <v>924</v>
      </c>
      <c r="CF14" s="9">
        <v>0.22972972972972974</v>
      </c>
      <c r="CG14" s="10">
        <v>1.0295306725161231</v>
      </c>
      <c r="CH14" s="9">
        <v>0.13279825448989868</v>
      </c>
      <c r="CI14" s="9">
        <v>0.19746614992618561</v>
      </c>
      <c r="CJ14" s="9">
        <v>0.17746910452842712</v>
      </c>
      <c r="CK14" s="9">
        <v>-0.27866420149803162</v>
      </c>
      <c r="CL14" s="9">
        <v>0.31591799855232239</v>
      </c>
      <c r="CM14" s="10">
        <v>1.4729416370391846</v>
      </c>
      <c r="CN14" s="10">
        <v>-0.73940169811248779</v>
      </c>
      <c r="CO14" s="10">
        <v>1.3090511560440063</v>
      </c>
      <c r="CP14" s="10">
        <v>-0.65507036447525024</v>
      </c>
      <c r="CQ14" s="10">
        <v>0.29885056614875793</v>
      </c>
      <c r="CR14">
        <v>35.002165772606304</v>
      </c>
      <c r="CS14">
        <v>3.211282665424434</v>
      </c>
      <c r="CT14">
        <v>0.47070605908863294</v>
      </c>
      <c r="CU14" s="9">
        <v>0.10899746119976043</v>
      </c>
      <c r="CV14" s="10">
        <v>0.33727425932884214</v>
      </c>
      <c r="CW14">
        <v>0.06</v>
      </c>
      <c r="CX14">
        <v>37.076327904987878</v>
      </c>
      <c r="CY14">
        <v>121361986.31997375</v>
      </c>
      <c r="CZ14">
        <v>0.10899746119976043</v>
      </c>
      <c r="DA14">
        <v>11.923262861805071</v>
      </c>
      <c r="DB14">
        <v>377384685.06084698</v>
      </c>
      <c r="DC14">
        <v>0.10354758813977241</v>
      </c>
      <c r="DD14">
        <v>5.7440041117955136</v>
      </c>
      <c r="DE14">
        <v>783365873.77432358</v>
      </c>
      <c r="DF14">
        <v>9.5917765855789178E-2</v>
      </c>
      <c r="DG14">
        <v>3.365556969218733</v>
      </c>
      <c r="DH14">
        <v>1336972406.3962383</v>
      </c>
      <c r="DI14">
        <v>8.7197968959808358E-2</v>
      </c>
      <c r="DJ14">
        <v>1.6460033223774544</v>
      </c>
      <c r="DK14">
        <v>2733686341.2285132</v>
      </c>
      <c r="DL14">
        <v>7.62982228398323E-2</v>
      </c>
      <c r="DM14">
        <v>115999999.99999999</v>
      </c>
      <c r="DN14">
        <v>0.10899746119976043</v>
      </c>
      <c r="DO14">
        <v>4499656800</v>
      </c>
      <c r="DP14">
        <v>811396100</v>
      </c>
      <c r="DQ14">
        <v>2044</v>
      </c>
      <c r="DR14">
        <v>0.12073226852996931</v>
      </c>
      <c r="DS14">
        <v>0.69225641318728093</v>
      </c>
      <c r="DT14" s="11">
        <v>-0.17333333333333334</v>
      </c>
      <c r="DU14">
        <v>0.60666666666666669</v>
      </c>
      <c r="DV14">
        <v>0.43333333333333335</v>
      </c>
      <c r="DW14">
        <v>-8.4402985074626873</v>
      </c>
      <c r="DX14">
        <v>0.29965561081784797</v>
      </c>
      <c r="DY14">
        <v>-8.083505082375023</v>
      </c>
      <c r="DZ14">
        <v>810</v>
      </c>
      <c r="EA14">
        <v>-8.0702684646208613</v>
      </c>
      <c r="EB14">
        <v>8</v>
      </c>
      <c r="EC14">
        <v>3.1104805474966215E-2</v>
      </c>
      <c r="ED14">
        <v>0.16400677702512251</v>
      </c>
      <c r="EE14" s="12">
        <v>2.0102000000000002</v>
      </c>
      <c r="EF14">
        <v>2.0064099999999998</v>
      </c>
      <c r="EG14">
        <v>11.189655610817848</v>
      </c>
      <c r="EH14" t="s">
        <v>495</v>
      </c>
      <c r="EI14">
        <v>0</v>
      </c>
      <c r="EJ14">
        <v>1</v>
      </c>
      <c r="EK14" s="8">
        <v>45470</v>
      </c>
      <c r="EL14" s="13">
        <v>3.12</v>
      </c>
      <c r="EM14" s="13">
        <v>-2.14</v>
      </c>
      <c r="EN14" s="13">
        <v>1.33</v>
      </c>
      <c r="EO14" s="13">
        <v>-0.84</v>
      </c>
      <c r="EP14" s="13">
        <v>-1.66</v>
      </c>
    </row>
    <row r="15" spans="1:146" ht="96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市值16.681119亿, 利润4.31亿; PE21.41; 平均PE15.88; 平均PEG.34, PB1.92; ROIC4.5333%; ROE5.7467%; 股利率2.6834%; 毛利20.8033%; 净利6.8867%; 上一年度营收增192.56%, 利润增1072.7%; 当季营收增-48.93%, 利润增-79.6%; 过往5年营收增46.84%, 利润增284.01%
Income profile:
</v>
      </c>
      <c r="D15" t="s">
        <v>90</v>
      </c>
      <c r="E15" t="s">
        <v>91</v>
      </c>
      <c r="F15">
        <v>11.18</v>
      </c>
      <c r="G15">
        <v>1.18</v>
      </c>
      <c r="H15" t="s">
        <v>925</v>
      </c>
      <c r="I15">
        <v>1668111900</v>
      </c>
      <c r="J15">
        <v>21.41</v>
      </c>
      <c r="K15">
        <v>1.92</v>
      </c>
      <c r="L15" t="s">
        <v>39</v>
      </c>
      <c r="M15" t="s">
        <v>248</v>
      </c>
      <c r="N15" t="s">
        <v>926</v>
      </c>
      <c r="O15" t="s">
        <v>114</v>
      </c>
      <c r="P15">
        <v>-24.54</v>
      </c>
      <c r="Q15" t="s">
        <v>927</v>
      </c>
      <c r="R15">
        <v>11272403</v>
      </c>
      <c r="S15" s="5">
        <v>0.44879999999999998</v>
      </c>
      <c r="T15" t="s">
        <v>616</v>
      </c>
      <c r="U15">
        <v>134762250</v>
      </c>
      <c r="V15">
        <v>149205000</v>
      </c>
      <c r="W15">
        <v>1.1499999999999999</v>
      </c>
      <c r="X15">
        <v>0.12</v>
      </c>
      <c r="Y15">
        <v>9.61</v>
      </c>
      <c r="Z15" t="s">
        <v>113</v>
      </c>
      <c r="AA15" t="s">
        <v>928</v>
      </c>
      <c r="AB15" t="s">
        <v>929</v>
      </c>
      <c r="AC15" t="s">
        <v>930</v>
      </c>
      <c r="AD15" t="s">
        <v>43</v>
      </c>
      <c r="AE15">
        <v>-2853274</v>
      </c>
      <c r="AF15" t="s">
        <v>61</v>
      </c>
      <c r="AG15" t="s">
        <v>43</v>
      </c>
      <c r="AH15" t="s">
        <v>931</v>
      </c>
      <c r="AI15" t="s">
        <v>932</v>
      </c>
      <c r="AJ15" t="s">
        <v>933</v>
      </c>
      <c r="AK15" t="s">
        <v>43</v>
      </c>
      <c r="AL15" t="s">
        <v>934</v>
      </c>
      <c r="AM15" t="s">
        <v>43</v>
      </c>
      <c r="AN15" t="s">
        <v>935</v>
      </c>
      <c r="AO15" t="s">
        <v>936</v>
      </c>
      <c r="AP15" t="s">
        <v>937</v>
      </c>
      <c r="AQ15" t="s">
        <v>938</v>
      </c>
      <c r="AR15" t="s">
        <v>43</v>
      </c>
      <c r="AS15" t="s">
        <v>130</v>
      </c>
      <c r="AT15" t="s">
        <v>43</v>
      </c>
      <c r="AU15" t="s">
        <v>939</v>
      </c>
      <c r="AV15" t="s">
        <v>940</v>
      </c>
      <c r="AW15" t="s">
        <v>941</v>
      </c>
      <c r="AX15" t="s">
        <v>212</v>
      </c>
      <c r="AY15" t="s">
        <v>315</v>
      </c>
      <c r="AZ15" t="s">
        <v>204</v>
      </c>
      <c r="BA15" t="s">
        <v>93</v>
      </c>
      <c r="BB15" t="s">
        <v>184</v>
      </c>
      <c r="BC15" t="s">
        <v>942</v>
      </c>
      <c r="BD15" t="s">
        <v>349</v>
      </c>
      <c r="BE15" t="s">
        <v>205</v>
      </c>
      <c r="BF15" t="s">
        <v>94</v>
      </c>
      <c r="BG15" t="s">
        <v>207</v>
      </c>
      <c r="BH15" t="s">
        <v>943</v>
      </c>
      <c r="BI15" t="s">
        <v>122</v>
      </c>
      <c r="BJ15" t="s">
        <v>212</v>
      </c>
      <c r="BK15" t="s">
        <v>944</v>
      </c>
      <c r="BL15" t="s">
        <v>945</v>
      </c>
      <c r="BM15" t="s">
        <v>942</v>
      </c>
      <c r="BN15">
        <v>8.42</v>
      </c>
      <c r="BO15">
        <v>3</v>
      </c>
      <c r="BP15">
        <v>2.1800000000000002</v>
      </c>
      <c r="BQ15">
        <v>8.8800000000000008</v>
      </c>
      <c r="BR15">
        <v>4.54</v>
      </c>
      <c r="BS15">
        <v>3.82</v>
      </c>
      <c r="BT15" t="s">
        <v>603</v>
      </c>
      <c r="BU15" t="s">
        <v>470</v>
      </c>
      <c r="BV15">
        <v>23.82</v>
      </c>
      <c r="BW15">
        <v>20.14</v>
      </c>
      <c r="BX15">
        <v>18.45</v>
      </c>
      <c r="BY15">
        <v>10.92</v>
      </c>
      <c r="BZ15">
        <v>4.82</v>
      </c>
      <c r="CA15">
        <v>4.92</v>
      </c>
      <c r="CB15">
        <v>-3.37</v>
      </c>
      <c r="CC15">
        <v>-18.39</v>
      </c>
      <c r="CD15" t="s">
        <v>946</v>
      </c>
      <c r="CE15" t="s">
        <v>947</v>
      </c>
      <c r="CF15" s="9">
        <v>-0.48927038626609443</v>
      </c>
      <c r="CG15" s="10">
        <v>-0.79595060052313849</v>
      </c>
      <c r="CH15" s="9">
        <v>1.9256197214126587</v>
      </c>
      <c r="CI15" s="9">
        <v>0.2604166567325592</v>
      </c>
      <c r="CJ15" s="9">
        <v>0.37931033968925476</v>
      </c>
      <c r="CK15" s="9">
        <v>-0.30120483040809631</v>
      </c>
      <c r="CL15" s="9">
        <v>7.7922075986862183E-2</v>
      </c>
      <c r="CM15" s="10">
        <v>10.726997375488281</v>
      </c>
      <c r="CN15" s="10">
        <v>0.19833452999591827</v>
      </c>
      <c r="CO15" s="10">
        <v>4.2791757583618164</v>
      </c>
      <c r="CP15" s="10">
        <v>-0.90261858701705933</v>
      </c>
      <c r="CQ15" s="10">
        <v>-0.10135042667388916</v>
      </c>
      <c r="CR15">
        <v>15.879797930116441</v>
      </c>
      <c r="CS15">
        <v>0.33901290012109242</v>
      </c>
      <c r="CT15">
        <v>2.6833631484794278</v>
      </c>
      <c r="CU15" s="9">
        <v>0.46841279268264768</v>
      </c>
      <c r="CV15" s="10">
        <v>2.8401077300310136</v>
      </c>
      <c r="CW15">
        <v>0.06</v>
      </c>
      <c r="CX15">
        <v>1.6013606751982912</v>
      </c>
      <c r="CY15">
        <v>597062182.68511415</v>
      </c>
      <c r="CZ15">
        <v>0.46841279268264768</v>
      </c>
      <c r="DA15">
        <v>0.38548147851715253</v>
      </c>
      <c r="DB15">
        <v>2480305678.1817765</v>
      </c>
      <c r="DC15">
        <v>0.4449921530485153</v>
      </c>
      <c r="DD15">
        <v>0.1204894421799485</v>
      </c>
      <c r="DE15">
        <v>7935233848.7223339</v>
      </c>
      <c r="DF15">
        <v>0.41220325756072995</v>
      </c>
      <c r="DG15">
        <v>4.0752809567563067E-2</v>
      </c>
      <c r="DH15">
        <v>23461251141.835651</v>
      </c>
      <c r="DI15">
        <v>0.37473023414611817</v>
      </c>
      <c r="DJ15">
        <v>4.9949016411572301E-3</v>
      </c>
      <c r="DK15">
        <v>191417563085.08325</v>
      </c>
      <c r="DL15">
        <v>0.32788895487785336</v>
      </c>
      <c r="DM15">
        <v>430999999.99999994</v>
      </c>
      <c r="DN15">
        <v>0.46841279268264768</v>
      </c>
      <c r="DO15">
        <v>956111899.99999988</v>
      </c>
      <c r="DP15">
        <v>421173990</v>
      </c>
      <c r="DQ15">
        <v>2276</v>
      </c>
      <c r="DR15">
        <v>-0.95768317894874211</v>
      </c>
      <c r="DS15">
        <v>-3.6360583305541523</v>
      </c>
      <c r="DT15" s="11">
        <v>2.6666666666666616E-2</v>
      </c>
      <c r="DU15">
        <v>0.19166666666666674</v>
      </c>
      <c r="DV15">
        <v>0.21833333333333335</v>
      </c>
      <c r="DW15">
        <v>-8.1832517672648173</v>
      </c>
      <c r="DX15">
        <v>0.21507927246388533</v>
      </c>
      <c r="DY15">
        <v>-8.0100933740186679</v>
      </c>
      <c r="DZ15">
        <v>1397</v>
      </c>
      <c r="EA15">
        <v>-8.0073339917282418</v>
      </c>
      <c r="EB15">
        <v>8</v>
      </c>
      <c r="EC15">
        <v>3.6695150966790657E-2</v>
      </c>
      <c r="ED15">
        <v>0.66622432224121175</v>
      </c>
      <c r="EE15" s="12">
        <v>3.06121</v>
      </c>
      <c r="EF15">
        <v>3.07721</v>
      </c>
      <c r="EG15">
        <v>16.055079272463885</v>
      </c>
      <c r="EH15" t="s">
        <v>497</v>
      </c>
      <c r="EI15">
        <v>0</v>
      </c>
      <c r="EJ15">
        <v>1</v>
      </c>
      <c r="EK15" s="8">
        <v>45470</v>
      </c>
      <c r="EL15" s="13">
        <v>-0.9</v>
      </c>
      <c r="EM15" s="13">
        <v>-4.59</v>
      </c>
      <c r="EN15" s="13">
        <v>3.03</v>
      </c>
      <c r="EO15" s="13">
        <v>0.44</v>
      </c>
      <c r="EP15" s="13">
        <v>-1.6</v>
      </c>
    </row>
    <row r="16" spans="1:146" ht="96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市值12.756亿, 利润-803.86万; PE58.16; 平均PE15.55; 平均PEG2.15, PB.815; ROIC3.165%; ROE1.68%; 股利率.8467%; 毛利7.7167%; 净利3.41%; 上一年度营收增-35.64%, 利润增68.22%; 当季营收增28.57%, 利润增-117.06%; 过往5年营收增-7.24%, 利润增21.14%
Income profile:
</v>
      </c>
      <c r="D16" t="s">
        <v>96</v>
      </c>
      <c r="E16" t="s">
        <v>97</v>
      </c>
      <c r="F16">
        <v>10.63</v>
      </c>
      <c r="G16">
        <v>2.11</v>
      </c>
      <c r="H16" t="s">
        <v>948</v>
      </c>
      <c r="I16">
        <v>1275600000</v>
      </c>
      <c r="J16">
        <v>58.16</v>
      </c>
      <c r="K16">
        <v>0.81499999999999995</v>
      </c>
      <c r="L16" t="s">
        <v>39</v>
      </c>
      <c r="M16" t="s">
        <v>281</v>
      </c>
      <c r="N16" t="s">
        <v>949</v>
      </c>
      <c r="O16" t="s">
        <v>950</v>
      </c>
      <c r="P16">
        <v>26.11</v>
      </c>
      <c r="Q16" t="s">
        <v>951</v>
      </c>
      <c r="R16">
        <v>-4697186</v>
      </c>
      <c r="S16" s="5">
        <v>-2.29</v>
      </c>
      <c r="T16" t="s">
        <v>952</v>
      </c>
      <c r="U16">
        <v>119998950</v>
      </c>
      <c r="V16">
        <v>120000000</v>
      </c>
      <c r="W16">
        <v>1.1499999999999999</v>
      </c>
      <c r="X16">
        <v>0.14000000000000001</v>
      </c>
      <c r="Y16">
        <v>-1.87</v>
      </c>
      <c r="Z16" t="s">
        <v>504</v>
      </c>
      <c r="AA16" t="s">
        <v>606</v>
      </c>
      <c r="AB16" t="s">
        <v>953</v>
      </c>
      <c r="AC16" t="s">
        <v>954</v>
      </c>
      <c r="AD16" t="s">
        <v>43</v>
      </c>
      <c r="AE16">
        <v>702755</v>
      </c>
      <c r="AF16" t="s">
        <v>955</v>
      </c>
      <c r="AG16" t="s">
        <v>956</v>
      </c>
      <c r="AH16" t="s">
        <v>957</v>
      </c>
      <c r="AI16" t="s">
        <v>84</v>
      </c>
      <c r="AJ16" t="s">
        <v>958</v>
      </c>
      <c r="AK16" t="s">
        <v>959</v>
      </c>
      <c r="AL16" t="s">
        <v>960</v>
      </c>
      <c r="AM16" t="s">
        <v>43</v>
      </c>
      <c r="AN16" t="s">
        <v>961</v>
      </c>
      <c r="AO16" t="s">
        <v>962</v>
      </c>
      <c r="AP16" t="s">
        <v>43</v>
      </c>
      <c r="AQ16" t="s">
        <v>963</v>
      </c>
      <c r="AR16" t="s">
        <v>43</v>
      </c>
      <c r="AS16" t="s">
        <v>848</v>
      </c>
      <c r="AT16" t="s">
        <v>43</v>
      </c>
      <c r="AU16" t="s">
        <v>964</v>
      </c>
      <c r="AV16" t="s">
        <v>965</v>
      </c>
      <c r="AW16" t="s">
        <v>966</v>
      </c>
      <c r="AX16" t="s">
        <v>967</v>
      </c>
      <c r="AY16" t="s">
        <v>350</v>
      </c>
      <c r="AZ16" t="s">
        <v>208</v>
      </c>
      <c r="BA16" t="s">
        <v>99</v>
      </c>
      <c r="BB16" t="s">
        <v>211</v>
      </c>
      <c r="BC16" t="s">
        <v>968</v>
      </c>
      <c r="BD16" t="s">
        <v>351</v>
      </c>
      <c r="BE16" t="s">
        <v>48</v>
      </c>
      <c r="BF16" t="s">
        <v>100</v>
      </c>
      <c r="BG16" t="s">
        <v>213</v>
      </c>
      <c r="BH16" t="s">
        <v>969</v>
      </c>
      <c r="BI16" t="s">
        <v>128</v>
      </c>
      <c r="BJ16" t="s">
        <v>967</v>
      </c>
      <c r="BK16" t="s">
        <v>970</v>
      </c>
      <c r="BL16" t="s">
        <v>971</v>
      </c>
      <c r="BM16" t="s">
        <v>968</v>
      </c>
      <c r="BN16">
        <v>1.1599999999999999</v>
      </c>
      <c r="BO16" t="s">
        <v>43</v>
      </c>
      <c r="BP16">
        <v>5.17</v>
      </c>
      <c r="BQ16">
        <v>1.1200000000000001</v>
      </c>
      <c r="BR16">
        <v>-1.58</v>
      </c>
      <c r="BS16">
        <v>5.5</v>
      </c>
      <c r="BT16" t="s">
        <v>972</v>
      </c>
      <c r="BU16" t="s">
        <v>470</v>
      </c>
      <c r="BV16">
        <v>6.83</v>
      </c>
      <c r="BW16">
        <v>4.24</v>
      </c>
      <c r="BX16">
        <v>12.08</v>
      </c>
      <c r="BY16">
        <v>3.36</v>
      </c>
      <c r="BZ16">
        <v>-3.13</v>
      </c>
      <c r="CA16">
        <v>10</v>
      </c>
      <c r="CB16">
        <v>-1.94</v>
      </c>
      <c r="CC16">
        <v>-16.95</v>
      </c>
      <c r="CD16" t="s">
        <v>973</v>
      </c>
      <c r="CE16" t="s">
        <v>974</v>
      </c>
      <c r="CF16" s="9">
        <v>0.2857142857142857</v>
      </c>
      <c r="CG16" s="10">
        <v>-1.1706454261425561</v>
      </c>
      <c r="CH16" s="9">
        <v>-0.35643565654754639</v>
      </c>
      <c r="CI16" s="9">
        <v>-9.1113612055778503E-2</v>
      </c>
      <c r="CJ16" s="9">
        <v>-0.18515127897262573</v>
      </c>
      <c r="CK16" s="9">
        <v>0.30190938711166382</v>
      </c>
      <c r="CL16" s="9">
        <v>-3.1213872134685516E-2</v>
      </c>
      <c r="CM16" s="10">
        <v>0.68221098184585571</v>
      </c>
      <c r="CN16" s="10">
        <v>-1.2856603860855103</v>
      </c>
      <c r="CO16" s="10">
        <v>-0.67916452884674072</v>
      </c>
      <c r="CP16" s="10">
        <v>2.1216599941253662</v>
      </c>
      <c r="CQ16" s="10">
        <v>0.2180468887090683</v>
      </c>
      <c r="CR16">
        <v>15.549201553294859</v>
      </c>
      <c r="CS16">
        <v>2.1476499154806228</v>
      </c>
      <c r="CT16">
        <v>0.84666039510818436</v>
      </c>
      <c r="CU16" s="9">
        <v>-7.2401006519794461E-2</v>
      </c>
      <c r="CV16" s="10">
        <v>0.21141858994960785</v>
      </c>
      <c r="CW16">
        <v>0.06</v>
      </c>
      <c r="CX16" t="s">
        <v>646</v>
      </c>
      <c r="CY16" t="s">
        <v>493</v>
      </c>
      <c r="CZ16">
        <v>-7.2401006519794461E-2</v>
      </c>
      <c r="DA16" t="s">
        <v>646</v>
      </c>
      <c r="DB16" t="s">
        <v>494</v>
      </c>
      <c r="DC16">
        <v>-6.878095619380474E-2</v>
      </c>
      <c r="DD16" t="s">
        <v>646</v>
      </c>
      <c r="DE16" t="s">
        <v>494</v>
      </c>
      <c r="DF16">
        <v>-6.3712885737419123E-2</v>
      </c>
      <c r="DG16" t="s">
        <v>646</v>
      </c>
      <c r="DH16" t="s">
        <v>494</v>
      </c>
      <c r="DI16">
        <v>-5.792080521583557E-2</v>
      </c>
      <c r="DJ16" t="s">
        <v>646</v>
      </c>
      <c r="DK16" t="s">
        <v>494</v>
      </c>
      <c r="DL16">
        <v>-5.0680704563856122E-2</v>
      </c>
      <c r="DM16">
        <v>-8038600</v>
      </c>
      <c r="DN16">
        <v>-7.2401006519794461E-2</v>
      </c>
      <c r="DO16">
        <v>-51400000</v>
      </c>
      <c r="DP16">
        <v>942825180</v>
      </c>
      <c r="DQ16">
        <v>2333</v>
      </c>
      <c r="DR16">
        <v>0.35811529223408017</v>
      </c>
      <c r="DS16">
        <v>-1.382064016092164</v>
      </c>
      <c r="DT16" s="11">
        <v>-0.62333333333333341</v>
      </c>
      <c r="DU16">
        <v>-1.5216666666666667</v>
      </c>
      <c r="DV16">
        <v>-2.145</v>
      </c>
      <c r="DW16">
        <v>-3.0107440476190477</v>
      </c>
      <c r="DX16">
        <v>0.33616627575740382</v>
      </c>
      <c r="DY16">
        <v>-3.0014629769508461</v>
      </c>
      <c r="DZ16">
        <v>3833</v>
      </c>
      <c r="EA16">
        <v>-3.0003656010892819</v>
      </c>
      <c r="EB16">
        <v>3</v>
      </c>
      <c r="EC16">
        <v>4.1945000000000003E-2</v>
      </c>
      <c r="ED16">
        <v>0.3080425</v>
      </c>
      <c r="EE16" s="12">
        <v>-5.0308999999999999</v>
      </c>
      <c r="EF16">
        <v>-5.0069999999999997</v>
      </c>
      <c r="EG16">
        <v>20.136166275757404</v>
      </c>
      <c r="EH16" t="s">
        <v>975</v>
      </c>
      <c r="EI16">
        <v>0</v>
      </c>
      <c r="EJ16">
        <v>0</v>
      </c>
      <c r="EK16" s="8">
        <v>45470</v>
      </c>
      <c r="EL16" s="13">
        <v>0.11</v>
      </c>
      <c r="EM16" s="13">
        <v>-5.67</v>
      </c>
      <c r="EN16" s="13">
        <v>2</v>
      </c>
      <c r="EO16" s="13">
        <v>4.76</v>
      </c>
      <c r="EP16" s="13">
        <v>-2.39</v>
      </c>
    </row>
    <row r="17" spans="1:146" ht="84" x14ac:dyDescent="0.25">
      <c r="A17" s="6"/>
      <c r="B17" s="6"/>
      <c r="C17" s="6" t="str">
        <f>""&amp;CHAR(10)&amp;Basic_Fundamental_Information_Constructure(F17)&amp;CHAR(10)&amp;Basic_Fundamental_Information_Concatenate("")</f>
        <v xml:space="preserve">
市值617.1096亿, 利润27.68亿; PE19.19; 平均PE3.53; 平均PEG86807817.92, PB4.85; ROIC37.1667%; ROE33.375%; 股利率2.0802%; 毛利24.8733%; 净利13.7567%; 上一年度营收增25.4%, 利润增47.31%; 当季营收增23.34%, 利润增25.15%; 过往5年营收增15.86%, 利润增26.97%
Income profile:
</v>
      </c>
      <c r="D17" t="s">
        <v>296</v>
      </c>
      <c r="E17" t="s">
        <v>297</v>
      </c>
      <c r="F17">
        <v>52.88</v>
      </c>
      <c r="G17">
        <v>-3.73</v>
      </c>
      <c r="H17" t="s">
        <v>608</v>
      </c>
      <c r="I17">
        <v>61710960000</v>
      </c>
      <c r="J17">
        <v>19.190000000000001</v>
      </c>
      <c r="K17">
        <v>4.8499999999999996</v>
      </c>
      <c r="L17" t="s">
        <v>39</v>
      </c>
      <c r="M17" t="s">
        <v>553</v>
      </c>
      <c r="N17" t="s">
        <v>554</v>
      </c>
      <c r="O17" t="s">
        <v>555</v>
      </c>
      <c r="P17">
        <v>21.68</v>
      </c>
      <c r="Q17" t="s">
        <v>352</v>
      </c>
      <c r="R17">
        <v>2445542300</v>
      </c>
      <c r="S17" s="5">
        <v>0.22459999999999999</v>
      </c>
      <c r="T17" t="s">
        <v>353</v>
      </c>
      <c r="U17">
        <v>146085000</v>
      </c>
      <c r="V17">
        <v>1167000000</v>
      </c>
      <c r="W17">
        <v>1.49</v>
      </c>
      <c r="X17">
        <v>0.88</v>
      </c>
      <c r="Y17">
        <v>15.91</v>
      </c>
      <c r="Z17" t="s">
        <v>556</v>
      </c>
      <c r="AA17" t="s">
        <v>557</v>
      </c>
      <c r="AB17" t="s">
        <v>558</v>
      </c>
      <c r="AC17" t="s">
        <v>559</v>
      </c>
      <c r="AD17" t="s">
        <v>324</v>
      </c>
      <c r="AE17">
        <v>-147936120</v>
      </c>
      <c r="AF17" t="s">
        <v>560</v>
      </c>
      <c r="AG17" t="s">
        <v>561</v>
      </c>
      <c r="AH17" t="s">
        <v>562</v>
      </c>
      <c r="AI17" t="s">
        <v>563</v>
      </c>
      <c r="AJ17" t="s">
        <v>564</v>
      </c>
      <c r="AK17" t="s">
        <v>43</v>
      </c>
      <c r="AL17" t="s">
        <v>565</v>
      </c>
      <c r="AM17" t="s">
        <v>43</v>
      </c>
      <c r="AN17" t="s">
        <v>98</v>
      </c>
      <c r="AO17" t="s">
        <v>566</v>
      </c>
      <c r="AP17" t="s">
        <v>567</v>
      </c>
      <c r="AQ17" t="s">
        <v>568</v>
      </c>
      <c r="AR17" t="s">
        <v>43</v>
      </c>
      <c r="AS17" t="s">
        <v>569</v>
      </c>
      <c r="AT17" t="s">
        <v>43</v>
      </c>
      <c r="AU17" t="s">
        <v>570</v>
      </c>
      <c r="AV17" t="s">
        <v>571</v>
      </c>
      <c r="AW17" t="s">
        <v>572</v>
      </c>
      <c r="AX17" t="s">
        <v>298</v>
      </c>
      <c r="AY17" t="s">
        <v>300</v>
      </c>
      <c r="AZ17" t="s">
        <v>301</v>
      </c>
      <c r="BA17" t="s">
        <v>302</v>
      </c>
      <c r="BB17" t="s">
        <v>43</v>
      </c>
      <c r="BC17" t="s">
        <v>299</v>
      </c>
      <c r="BD17" t="s">
        <v>303</v>
      </c>
      <c r="BE17" t="s">
        <v>304</v>
      </c>
      <c r="BF17" t="s">
        <v>305</v>
      </c>
      <c r="BG17" t="s">
        <v>43</v>
      </c>
      <c r="BH17" t="s">
        <v>573</v>
      </c>
      <c r="BI17" t="s">
        <v>574</v>
      </c>
      <c r="BJ17" t="s">
        <v>489</v>
      </c>
      <c r="BK17" t="s">
        <v>575</v>
      </c>
      <c r="BL17" t="s">
        <v>576</v>
      </c>
      <c r="BM17" t="s">
        <v>490</v>
      </c>
      <c r="BN17">
        <v>27.36</v>
      </c>
      <c r="BO17">
        <v>30.76</v>
      </c>
      <c r="BP17">
        <v>53.38</v>
      </c>
      <c r="BQ17">
        <v>29.97</v>
      </c>
      <c r="BR17">
        <v>36.78</v>
      </c>
      <c r="BS17" t="s">
        <v>43</v>
      </c>
      <c r="BT17" t="s">
        <v>609</v>
      </c>
      <c r="BU17" t="s">
        <v>470</v>
      </c>
      <c r="BV17">
        <v>26.32</v>
      </c>
      <c r="BW17">
        <v>24.82</v>
      </c>
      <c r="BX17">
        <v>23.48</v>
      </c>
      <c r="BY17">
        <v>15.78</v>
      </c>
      <c r="BZ17">
        <v>13.48</v>
      </c>
      <c r="CA17">
        <v>12.01</v>
      </c>
      <c r="CB17">
        <v>-1.27</v>
      </c>
      <c r="CC17">
        <v>16.350000000000001</v>
      </c>
      <c r="CD17" t="s">
        <v>610</v>
      </c>
      <c r="CE17" t="s">
        <v>611</v>
      </c>
      <c r="CF17" s="9">
        <v>0.23337756251407973</v>
      </c>
      <c r="CG17" s="10">
        <v>0.25147634560906518</v>
      </c>
      <c r="CH17" s="9">
        <v>0.25403770804405212</v>
      </c>
      <c r="CI17" s="9">
        <v>-8.1432171165943146E-2</v>
      </c>
      <c r="CJ17" s="9">
        <v>0.22424930334091187</v>
      </c>
      <c r="CK17" s="9">
        <v>0.23768606781959534</v>
      </c>
      <c r="CL17" s="9" t="e">
        <v>#VALUE!</v>
      </c>
      <c r="CM17" s="10">
        <v>0.4731239378452301</v>
      </c>
      <c r="CN17" s="10">
        <v>3.1850703060626984E-2</v>
      </c>
      <c r="CO17" s="10">
        <v>0.18864224851131439</v>
      </c>
      <c r="CP17" s="10">
        <v>0.3851718008518219</v>
      </c>
      <c r="CQ17" s="10" t="e">
        <v>#VALUE!</v>
      </c>
      <c r="CR17">
        <v>3.5323961076130508</v>
      </c>
      <c r="CS17">
        <v>86807817.919075146</v>
      </c>
      <c r="CT17">
        <v>2.0801815431164901</v>
      </c>
      <c r="CU17" s="9">
        <v>0.15863522700965405</v>
      </c>
      <c r="CV17" s="10">
        <v>0.26969717256724834</v>
      </c>
      <c r="CW17">
        <v>0.06</v>
      </c>
      <c r="CX17">
        <v>18.234578126026502</v>
      </c>
      <c r="CY17">
        <v>3025568215.4365306</v>
      </c>
      <c r="CZ17">
        <v>0.15863522700965405</v>
      </c>
      <c r="DA17">
        <v>5.6250305049354727</v>
      </c>
      <c r="DB17">
        <v>9807939699.4546394</v>
      </c>
      <c r="DC17">
        <v>0.15070346565917134</v>
      </c>
      <c r="DD17">
        <v>2.5586357612181083</v>
      </c>
      <c r="DE17">
        <v>21562256275.873684</v>
      </c>
      <c r="DF17">
        <v>0.13959899976849557</v>
      </c>
      <c r="DG17">
        <v>1.4016551945884261</v>
      </c>
      <c r="DH17">
        <v>39360578987.615982</v>
      </c>
      <c r="DI17">
        <v>0.12690818160772324</v>
      </c>
      <c r="DJ17">
        <v>0.58638491076852517</v>
      </c>
      <c r="DK17">
        <v>94084890294.488297</v>
      </c>
      <c r="DL17">
        <v>0.11104465890675783</v>
      </c>
      <c r="DM17">
        <v>2768000000</v>
      </c>
      <c r="DN17">
        <v>0.15863522700965405</v>
      </c>
      <c r="DO17">
        <v>55169960000</v>
      </c>
      <c r="DP17">
        <v>7471694500</v>
      </c>
      <c r="DQ17">
        <v>2443</v>
      </c>
      <c r="DR17">
        <v>7.4742335504425689E-2</v>
      </c>
      <c r="DS17">
        <v>-1.8220826958183167E-2</v>
      </c>
      <c r="DT17" s="11">
        <v>0.6</v>
      </c>
      <c r="DU17">
        <v>0.6</v>
      </c>
      <c r="DV17">
        <v>1.2</v>
      </c>
      <c r="DW17">
        <v>3.0039583333333333</v>
      </c>
      <c r="DX17">
        <v>0.36855535338105</v>
      </c>
      <c r="DY17">
        <v>3.0007067816071333</v>
      </c>
      <c r="DZ17">
        <v>745</v>
      </c>
      <c r="EA17">
        <v>3.0005994533769429</v>
      </c>
      <c r="EB17">
        <v>3</v>
      </c>
      <c r="EC17">
        <v>1.2400599828620395E-2</v>
      </c>
      <c r="ED17">
        <v>6.9449614395886886E-2</v>
      </c>
      <c r="EE17" s="12">
        <v>-4.0860700000000003</v>
      </c>
      <c r="EF17">
        <v>-4.0488</v>
      </c>
      <c r="EG17">
        <v>19.17855535338105</v>
      </c>
      <c r="EH17" t="s">
        <v>612</v>
      </c>
      <c r="EI17">
        <v>0</v>
      </c>
      <c r="EJ17">
        <v>1</v>
      </c>
      <c r="EK17" s="8">
        <v>44910</v>
      </c>
      <c r="EL17" s="13">
        <v>-0.13</v>
      </c>
      <c r="EM17" s="13">
        <v>-1.8700000000000001E-2</v>
      </c>
      <c r="EN17" s="13">
        <v>3.9199999999999999E-2</v>
      </c>
      <c r="EO17" s="13">
        <v>7.0000000000000001E-3</v>
      </c>
      <c r="EP17" s="13">
        <v>-3.73</v>
      </c>
    </row>
    <row r="18" spans="1:146" ht="96" x14ac:dyDescent="0.25">
      <c r="A18" s="6"/>
      <c r="B18" s="6"/>
      <c r="C18" s="6" t="str">
        <f>""&amp;CHAR(10)&amp;Basic_Fundamental_Information_Constructure(F18)&amp;CHAR(10)&amp;Basic_Fundamental_Information_Concatenate("")</f>
        <v xml:space="preserve">
市值15.200022亿, 利润2069.28万; PE38.8; 平均PE37.5; 平均PEG37.29, PB2.3; ROIC5.945%; ROE4.31%; 股利率.7435%; 毛利41.1067%; 净利4.1333%; 上一年度营收增24.23%, 利润增1401.27%; 当季营收增33.61%, 利润增2399.43%; 过往5年营收增-1.01%, 利润增260.75%
Income profile:
</v>
      </c>
      <c r="D18" t="s">
        <v>306</v>
      </c>
      <c r="E18" t="s">
        <v>307</v>
      </c>
      <c r="F18">
        <v>8.07</v>
      </c>
      <c r="G18">
        <v>2.02</v>
      </c>
      <c r="H18" t="s">
        <v>976</v>
      </c>
      <c r="I18">
        <v>1520002200</v>
      </c>
      <c r="J18">
        <v>38.799999999999997</v>
      </c>
      <c r="K18">
        <v>2.2999999999999998</v>
      </c>
      <c r="L18" t="s">
        <v>39</v>
      </c>
      <c r="M18" t="s">
        <v>501</v>
      </c>
      <c r="N18" t="s">
        <v>365</v>
      </c>
      <c r="O18" t="s">
        <v>977</v>
      </c>
      <c r="P18">
        <v>20.36</v>
      </c>
      <c r="Q18" t="s">
        <v>978</v>
      </c>
      <c r="R18">
        <v>13114488</v>
      </c>
      <c r="S18" s="5">
        <v>0.51180000000000003</v>
      </c>
      <c r="T18" t="s">
        <v>979</v>
      </c>
      <c r="U18">
        <v>72048580</v>
      </c>
      <c r="V18">
        <v>188352190</v>
      </c>
      <c r="W18">
        <v>1.41</v>
      </c>
      <c r="X18">
        <v>0.17</v>
      </c>
      <c r="Y18">
        <v>8.16</v>
      </c>
      <c r="Z18" t="s">
        <v>579</v>
      </c>
      <c r="AA18" t="s">
        <v>980</v>
      </c>
      <c r="AB18" t="s">
        <v>981</v>
      </c>
      <c r="AC18" t="s">
        <v>982</v>
      </c>
      <c r="AD18" t="s">
        <v>43</v>
      </c>
      <c r="AE18">
        <v>-417393</v>
      </c>
      <c r="AF18" t="s">
        <v>983</v>
      </c>
      <c r="AG18" t="s">
        <v>43</v>
      </c>
      <c r="AH18" t="s">
        <v>984</v>
      </c>
      <c r="AI18" t="s">
        <v>985</v>
      </c>
      <c r="AJ18" t="s">
        <v>986</v>
      </c>
      <c r="AK18" t="s">
        <v>43</v>
      </c>
      <c r="AL18" t="s">
        <v>987</v>
      </c>
      <c r="AM18" t="s">
        <v>43</v>
      </c>
      <c r="AN18" t="s">
        <v>362</v>
      </c>
      <c r="AO18" t="s">
        <v>43</v>
      </c>
      <c r="AP18" t="s">
        <v>988</v>
      </c>
      <c r="AQ18" t="s">
        <v>989</v>
      </c>
      <c r="AR18" t="s">
        <v>43</v>
      </c>
      <c r="AS18" t="s">
        <v>990</v>
      </c>
      <c r="AT18" t="s">
        <v>991</v>
      </c>
      <c r="AU18" t="s">
        <v>992</v>
      </c>
      <c r="AV18" t="s">
        <v>993</v>
      </c>
      <c r="AW18" t="s">
        <v>994</v>
      </c>
      <c r="AX18" t="s">
        <v>995</v>
      </c>
      <c r="AY18" t="s">
        <v>354</v>
      </c>
      <c r="AZ18" t="s">
        <v>308</v>
      </c>
      <c r="BA18" t="s">
        <v>310</v>
      </c>
      <c r="BB18" t="s">
        <v>311</v>
      </c>
      <c r="BC18" t="s">
        <v>996</v>
      </c>
      <c r="BD18" t="s">
        <v>355</v>
      </c>
      <c r="BE18" t="s">
        <v>309</v>
      </c>
      <c r="BF18" t="s">
        <v>312</v>
      </c>
      <c r="BG18" t="s">
        <v>313</v>
      </c>
      <c r="BH18" t="s">
        <v>997</v>
      </c>
      <c r="BI18" t="s">
        <v>998</v>
      </c>
      <c r="BJ18" t="s">
        <v>995</v>
      </c>
      <c r="BK18" t="s">
        <v>999</v>
      </c>
      <c r="BL18" t="s">
        <v>1000</v>
      </c>
      <c r="BM18" t="s">
        <v>996</v>
      </c>
      <c r="BN18">
        <v>3.52</v>
      </c>
      <c r="BO18" t="s">
        <v>43</v>
      </c>
      <c r="BP18">
        <v>8.3699999999999992</v>
      </c>
      <c r="BQ18">
        <v>3.79</v>
      </c>
      <c r="BR18">
        <v>-0.25</v>
      </c>
      <c r="BS18">
        <v>9.39</v>
      </c>
      <c r="BT18" t="s">
        <v>1001</v>
      </c>
      <c r="BU18" t="s">
        <v>470</v>
      </c>
      <c r="BV18">
        <v>45.08</v>
      </c>
      <c r="BW18">
        <v>37.31</v>
      </c>
      <c r="BX18">
        <v>40.93</v>
      </c>
      <c r="BY18">
        <v>5.04</v>
      </c>
      <c r="BZ18">
        <v>-0.26</v>
      </c>
      <c r="CA18">
        <v>7.62</v>
      </c>
      <c r="CB18">
        <v>-0.37</v>
      </c>
      <c r="CC18">
        <v>-18.32</v>
      </c>
      <c r="CD18" t="s">
        <v>1002</v>
      </c>
      <c r="CE18" t="s">
        <v>1003</v>
      </c>
      <c r="CF18" s="9">
        <v>0.33606557377049179</v>
      </c>
      <c r="CG18" s="10">
        <v>23.994259576901086</v>
      </c>
      <c r="CH18" s="9">
        <v>0.24225865304470062</v>
      </c>
      <c r="CI18" s="9">
        <v>-0.18059702217578888</v>
      </c>
      <c r="CJ18" s="9">
        <v>-8.9673914015293121E-2</v>
      </c>
      <c r="CK18" s="9">
        <v>9.6021946519613266E-3</v>
      </c>
      <c r="CL18" s="9">
        <v>-3.187251091003418E-2</v>
      </c>
      <c r="CM18" s="10">
        <v>14.012702941894531</v>
      </c>
      <c r="CN18" s="10">
        <v>-1.0312372446060181</v>
      </c>
      <c r="CO18" s="10">
        <v>-0.19708435237407684</v>
      </c>
      <c r="CP18" s="10">
        <v>6.2730155885219574E-2</v>
      </c>
      <c r="CQ18" s="10">
        <v>0.19037291407585144</v>
      </c>
      <c r="CR18">
        <v>37.501318712226322</v>
      </c>
      <c r="CS18">
        <v>37.290552951111259</v>
      </c>
      <c r="CT18">
        <v>0.74349442379182151</v>
      </c>
      <c r="CU18" s="9">
        <v>-1.0056519880890846E-2</v>
      </c>
      <c r="CV18" s="10">
        <v>2.6074968829751013</v>
      </c>
      <c r="CW18">
        <v>0.06</v>
      </c>
      <c r="CX18">
        <v>54.801776463310908</v>
      </c>
      <c r="CY18" t="s">
        <v>1004</v>
      </c>
      <c r="CZ18">
        <v>-1.0056519880890846E-2</v>
      </c>
      <c r="DA18">
        <v>18.267258821103638</v>
      </c>
      <c r="DB18" t="s">
        <v>1005</v>
      </c>
      <c r="DC18">
        <v>-9.5536938868463032E-3</v>
      </c>
      <c r="DD18">
        <v>9.1336294105518192</v>
      </c>
      <c r="DE18" t="s">
        <v>1006</v>
      </c>
      <c r="DF18">
        <v>-8.8497374951839441E-3</v>
      </c>
      <c r="DG18">
        <v>5.4801776463310912</v>
      </c>
      <c r="DH18" t="s">
        <v>1007</v>
      </c>
      <c r="DI18">
        <v>-8.0452159047126777E-3</v>
      </c>
      <c r="DJ18">
        <v>2.7400888231655456</v>
      </c>
      <c r="DK18" t="s">
        <v>1008</v>
      </c>
      <c r="DL18">
        <v>-7.0395639166235917E-3</v>
      </c>
      <c r="DM18">
        <v>20692800.000000004</v>
      </c>
      <c r="DN18">
        <v>-1.0056519880890846E-2</v>
      </c>
      <c r="DO18">
        <v>1134002200</v>
      </c>
      <c r="DP18">
        <v>316067170</v>
      </c>
      <c r="DQ18">
        <v>2511</v>
      </c>
      <c r="DR18">
        <v>0.34612209365138263</v>
      </c>
      <c r="DS18">
        <v>21.386762693925984</v>
      </c>
      <c r="DT18" s="11">
        <v>-0.42333333333333334</v>
      </c>
      <c r="DU18">
        <v>0.14999999999999994</v>
      </c>
      <c r="DV18">
        <v>-0.27333333333333343</v>
      </c>
      <c r="DW18">
        <v>-3.0262380952380954</v>
      </c>
      <c r="DX18">
        <v>0.34562347695785661</v>
      </c>
      <c r="DY18">
        <v>-3.0040832636097039</v>
      </c>
      <c r="DZ18">
        <v>1729</v>
      </c>
      <c r="EA18">
        <v>-3.0027016661965575</v>
      </c>
      <c r="EB18">
        <v>3</v>
      </c>
      <c r="EC18">
        <v>6.7507577161699042E-2</v>
      </c>
      <c r="ED18">
        <v>0.43378789490050529</v>
      </c>
      <c r="EE18" s="12">
        <v>-1.0318100000000001</v>
      </c>
      <c r="EF18">
        <v>-1.0299100000000001</v>
      </c>
      <c r="EG18">
        <v>19.155623476957857</v>
      </c>
      <c r="EH18" t="s">
        <v>492</v>
      </c>
      <c r="EI18">
        <v>0</v>
      </c>
      <c r="EJ18">
        <v>0</v>
      </c>
      <c r="EK18" s="8">
        <v>45470</v>
      </c>
      <c r="EL18" s="13">
        <v>1.81</v>
      </c>
      <c r="EM18" s="13">
        <v>-6.64</v>
      </c>
      <c r="EN18" s="13">
        <v>2.63</v>
      </c>
      <c r="EO18" s="13">
        <v>3.46</v>
      </c>
      <c r="EP18" s="13">
        <v>0.19</v>
      </c>
    </row>
    <row r="19" spans="1:146" ht="96" x14ac:dyDescent="0.25">
      <c r="A19" s="6"/>
      <c r="B19" s="6"/>
      <c r="C19" s="6" t="str">
        <f>""&amp;CHAR(10)&amp;Basic_Fundamental_Information_Constructure(F19)&amp;CHAR(10)&amp;Basic_Fundamental_Information_Concatenate("")</f>
        <v xml:space="preserve">
市值12.3850096亿, 利润22.66亿; PE; 平均PE1.2; 平均PEG0, PB2.75; ROIC0%; ROE-17.8267%; 股利率0%; 毛利5.9567%; 净利-10.5833%; 上一年度营收增3206.26%, 利润增1189.42%; 当季营收增-97.35%, 利润增-103.03%; 过往5年营收增1065.46%, 利润增1189.42%
Income profile:
</v>
      </c>
      <c r="D19" t="s">
        <v>101</v>
      </c>
      <c r="E19" t="s">
        <v>22</v>
      </c>
      <c r="F19">
        <v>3.08</v>
      </c>
      <c r="G19">
        <v>0.98</v>
      </c>
      <c r="H19" t="s">
        <v>1009</v>
      </c>
      <c r="I19">
        <v>1238500960</v>
      </c>
      <c r="K19">
        <v>2.75</v>
      </c>
      <c r="L19" t="s">
        <v>39</v>
      </c>
      <c r="M19" t="s">
        <v>880</v>
      </c>
      <c r="N19" t="s">
        <v>293</v>
      </c>
      <c r="O19" t="s">
        <v>536</v>
      </c>
      <c r="P19">
        <v>16.149999999999999</v>
      </c>
      <c r="Q19" t="s">
        <v>1010</v>
      </c>
      <c r="R19">
        <v>-12697685</v>
      </c>
      <c r="S19" s="14">
        <v>-1.8</v>
      </c>
      <c r="T19" t="s">
        <v>1011</v>
      </c>
      <c r="U19">
        <v>402110700</v>
      </c>
      <c r="V19">
        <v>402110700</v>
      </c>
      <c r="W19">
        <v>1.95</v>
      </c>
      <c r="X19" t="s">
        <v>43</v>
      </c>
      <c r="Y19">
        <v>-7.57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>
        <v>944189</v>
      </c>
      <c r="AF19" t="s">
        <v>1012</v>
      </c>
      <c r="AG19" t="s">
        <v>1013</v>
      </c>
      <c r="AH19" t="s">
        <v>1014</v>
      </c>
      <c r="AI19" t="s">
        <v>1015</v>
      </c>
      <c r="AJ19" t="s">
        <v>1016</v>
      </c>
      <c r="AK19" t="s">
        <v>43</v>
      </c>
      <c r="AL19" t="s">
        <v>1017</v>
      </c>
      <c r="AM19" t="s">
        <v>43</v>
      </c>
      <c r="AN19" t="s">
        <v>1018</v>
      </c>
      <c r="AO19" t="s">
        <v>43</v>
      </c>
      <c r="AP19" t="s">
        <v>43</v>
      </c>
      <c r="AQ19" t="s">
        <v>1019</v>
      </c>
      <c r="AR19" t="s">
        <v>43</v>
      </c>
      <c r="AS19" t="s">
        <v>43</v>
      </c>
      <c r="AT19" t="s">
        <v>43</v>
      </c>
      <c r="AU19" t="s">
        <v>1020</v>
      </c>
      <c r="AV19" t="s">
        <v>1021</v>
      </c>
      <c r="AW19" t="s">
        <v>1022</v>
      </c>
      <c r="AX19" t="s">
        <v>1023</v>
      </c>
      <c r="AY19" t="s">
        <v>43</v>
      </c>
      <c r="AZ19" t="s">
        <v>133</v>
      </c>
      <c r="BA19" t="s">
        <v>87</v>
      </c>
      <c r="BB19" t="s">
        <v>217</v>
      </c>
      <c r="BC19" t="s">
        <v>1024</v>
      </c>
      <c r="BD19" t="s">
        <v>43</v>
      </c>
      <c r="BE19" t="s">
        <v>43</v>
      </c>
      <c r="BF19" t="s">
        <v>43</v>
      </c>
      <c r="BG19" t="s">
        <v>43</v>
      </c>
      <c r="BH19" t="s">
        <v>1025</v>
      </c>
      <c r="BI19" t="s">
        <v>1026</v>
      </c>
      <c r="BJ19" t="s">
        <v>1023</v>
      </c>
      <c r="BK19" t="s">
        <v>1027</v>
      </c>
      <c r="BL19" t="s">
        <v>751</v>
      </c>
      <c r="BM19" t="s">
        <v>1024</v>
      </c>
      <c r="BN19" t="s">
        <v>43</v>
      </c>
      <c r="BO19" t="s">
        <v>43</v>
      </c>
      <c r="BP19" t="s">
        <v>43</v>
      </c>
      <c r="BQ19">
        <v>-5.13</v>
      </c>
      <c r="BR19">
        <v>-38.11</v>
      </c>
      <c r="BS19">
        <v>-10.24</v>
      </c>
      <c r="BT19" t="s">
        <v>599</v>
      </c>
      <c r="BU19" t="s">
        <v>470</v>
      </c>
      <c r="BV19">
        <v>10</v>
      </c>
      <c r="BW19">
        <v>4.21</v>
      </c>
      <c r="BX19">
        <v>3.66</v>
      </c>
      <c r="BY19">
        <v>1.8</v>
      </c>
      <c r="BZ19">
        <v>-24.46</v>
      </c>
      <c r="CA19">
        <v>-9.09</v>
      </c>
      <c r="CB19">
        <v>-0.96</v>
      </c>
      <c r="CC19">
        <v>-18.52</v>
      </c>
      <c r="CD19" t="s">
        <v>1028</v>
      </c>
      <c r="CE19" t="s">
        <v>248</v>
      </c>
      <c r="CF19" s="9">
        <v>-0.97354272778720996</v>
      </c>
      <c r="CG19" s="10">
        <v>-1.030304737470167</v>
      </c>
      <c r="CH19" s="9">
        <v>32.062568664550781</v>
      </c>
      <c r="CI19" s="9" t="s">
        <v>43</v>
      </c>
      <c r="CJ19" s="9" t="s">
        <v>43</v>
      </c>
      <c r="CK19" s="9">
        <v>-0.11946050077676773</v>
      </c>
      <c r="CL19" s="9">
        <v>2.064896747469902E-2</v>
      </c>
      <c r="CM19" s="10">
        <v>11.894229888916016</v>
      </c>
      <c r="CN19" s="10" t="s">
        <v>43</v>
      </c>
      <c r="CO19" s="10" t="s">
        <v>43</v>
      </c>
      <c r="CP19" s="10" t="s">
        <v>43</v>
      </c>
      <c r="CQ19" s="10" t="s">
        <v>43</v>
      </c>
      <c r="CR19">
        <v>1.2035966569484937</v>
      </c>
      <c r="CS19">
        <v>1.1296512972548732E-3</v>
      </c>
      <c r="CT19">
        <v>0</v>
      </c>
      <c r="CU19" s="9">
        <v>10.654585710416237</v>
      </c>
      <c r="CV19" s="10">
        <v>11.894229888916016</v>
      </c>
      <c r="CW19">
        <v>0.06</v>
      </c>
      <c r="CX19">
        <v>5.071362977722433E-2</v>
      </c>
      <c r="CY19">
        <v>24914425679.059612</v>
      </c>
      <c r="CZ19">
        <v>10.654585710416237</v>
      </c>
      <c r="DA19">
        <v>4.3709757044211526E-4</v>
      </c>
      <c r="DB19">
        <v>2890661137104.9136</v>
      </c>
      <c r="DC19">
        <v>10.121856424895425</v>
      </c>
      <c r="DD19">
        <v>5.6906564354614447E-7</v>
      </c>
      <c r="DE19">
        <v>2220307928144224.8</v>
      </c>
      <c r="DF19">
        <v>9.3760354251662879</v>
      </c>
      <c r="DG19">
        <v>1.4457259179135028E-10</v>
      </c>
      <c r="DH19">
        <v>8.7395608278470021E+18</v>
      </c>
      <c r="DI19">
        <v>8.5236685683329902</v>
      </c>
      <c r="DJ19">
        <v>4.4536070744972384E-19</v>
      </c>
      <c r="DK19">
        <v>2.8370283656930709E+27</v>
      </c>
      <c r="DL19">
        <v>7.4582099972913651</v>
      </c>
      <c r="DM19">
        <v>2266000000</v>
      </c>
      <c r="DN19">
        <v>10.654585710416237</v>
      </c>
      <c r="DO19">
        <v>1263500960</v>
      </c>
      <c r="DP19">
        <v>352478490</v>
      </c>
      <c r="DQ19">
        <v>2962</v>
      </c>
      <c r="DR19">
        <v>-11.628128438203447</v>
      </c>
      <c r="DS19">
        <v>-12.924534626386183</v>
      </c>
      <c r="DT19" s="11">
        <v>-0.21000000000000008</v>
      </c>
      <c r="DU19">
        <v>-1.7950000000000002</v>
      </c>
      <c r="DV19">
        <v>-2.0050000000000003</v>
      </c>
      <c r="DW19">
        <v>-3.0285000000000002</v>
      </c>
      <c r="DX19">
        <v>0.34675723270440084</v>
      </c>
      <c r="DY19">
        <v>-3.0038975811320756</v>
      </c>
      <c r="DZ19">
        <v>919</v>
      </c>
      <c r="EA19">
        <v>-3.0031966267171288</v>
      </c>
      <c r="EB19">
        <v>3</v>
      </c>
      <c r="EC19">
        <v>5.407565628072071E-2</v>
      </c>
      <c r="ED19">
        <v>0.39541350180435386</v>
      </c>
      <c r="EE19" s="12">
        <v>1.1241099999999999</v>
      </c>
      <c r="EF19">
        <v>1.1483099999999999</v>
      </c>
      <c r="EG19">
        <v>21.136757232704401</v>
      </c>
      <c r="EH19" t="s">
        <v>473</v>
      </c>
      <c r="EI19">
        <v>0</v>
      </c>
      <c r="EJ19">
        <v>1</v>
      </c>
      <c r="EK19" s="8">
        <v>45470</v>
      </c>
      <c r="EL19" s="13">
        <v>0.31</v>
      </c>
      <c r="EM19" s="13">
        <v>-2.66</v>
      </c>
      <c r="EN19" s="13">
        <v>-1.61</v>
      </c>
      <c r="EO19" s="13">
        <v>1.47</v>
      </c>
      <c r="EP19" s="13">
        <v>-2.42</v>
      </c>
    </row>
    <row r="20" spans="1:146" ht="96" x14ac:dyDescent="0.25">
      <c r="A20" s="6"/>
      <c r="B20" s="6"/>
      <c r="C20" s="6" t="str">
        <f>""&amp;CHAR(10)&amp;Basic_Fundamental_Information_Constructure(F20)&amp;CHAR(10)&amp;Basic_Fundamental_Information_Concatenate("")</f>
        <v xml:space="preserve">
市值6.5983592亿, 利润3.11亿; PE; 平均PE5.18; 平均PEG.01, PB.34; ROIC3.4667%; ROE4.24%; 股利率0%; 毛利24.5933%; 净利1.96%; 上一年度营收增2842.35%, 利润增165.81%; 当季营收增-98.18%, 利润增-117.19%; 过往5年营收增564.89%, 利润增132.88%
Income profile:
</v>
      </c>
      <c r="D20" t="s">
        <v>103</v>
      </c>
      <c r="E20" t="s">
        <v>1029</v>
      </c>
      <c r="F20" t="s">
        <v>43</v>
      </c>
      <c r="G20" t="s">
        <v>43</v>
      </c>
      <c r="H20" t="s">
        <v>43</v>
      </c>
      <c r="I20">
        <v>659835920</v>
      </c>
      <c r="K20">
        <v>0.34</v>
      </c>
      <c r="L20" t="s">
        <v>39</v>
      </c>
      <c r="M20" t="s">
        <v>895</v>
      </c>
      <c r="N20" t="s">
        <v>1030</v>
      </c>
      <c r="O20" t="s">
        <v>281</v>
      </c>
      <c r="P20">
        <v>-30.22</v>
      </c>
      <c r="Q20" t="s">
        <v>1031</v>
      </c>
      <c r="R20">
        <v>-27167803</v>
      </c>
      <c r="S20" s="5">
        <v>-12.89</v>
      </c>
      <c r="T20" t="s">
        <v>1032</v>
      </c>
      <c r="U20">
        <v>1783340300</v>
      </c>
      <c r="V20">
        <v>1783340300</v>
      </c>
      <c r="W20">
        <v>1.97</v>
      </c>
      <c r="X20">
        <v>0.06</v>
      </c>
      <c r="Y20">
        <v>-11.14</v>
      </c>
      <c r="Z20" t="s">
        <v>314</v>
      </c>
      <c r="AA20" t="s">
        <v>853</v>
      </c>
      <c r="AB20" t="s">
        <v>1033</v>
      </c>
      <c r="AC20" t="s">
        <v>1034</v>
      </c>
      <c r="AD20" t="s">
        <v>43</v>
      </c>
      <c r="AE20">
        <v>20104376</v>
      </c>
      <c r="AF20" t="s">
        <v>61</v>
      </c>
      <c r="AG20" t="s">
        <v>1035</v>
      </c>
      <c r="AH20" t="s">
        <v>1036</v>
      </c>
      <c r="AI20" t="s">
        <v>1037</v>
      </c>
      <c r="AJ20" t="s">
        <v>43</v>
      </c>
      <c r="AK20" t="s">
        <v>43</v>
      </c>
      <c r="AL20" t="s">
        <v>1038</v>
      </c>
      <c r="AM20" t="s">
        <v>43</v>
      </c>
      <c r="AN20" t="s">
        <v>1039</v>
      </c>
      <c r="AO20" t="s">
        <v>1040</v>
      </c>
      <c r="AP20" t="s">
        <v>43</v>
      </c>
      <c r="AQ20" t="s">
        <v>472</v>
      </c>
      <c r="AR20" t="s">
        <v>1041</v>
      </c>
      <c r="AS20" t="s">
        <v>1042</v>
      </c>
      <c r="AT20" t="s">
        <v>1043</v>
      </c>
      <c r="AU20" t="s">
        <v>1044</v>
      </c>
      <c r="AV20" t="s">
        <v>1045</v>
      </c>
      <c r="AW20" t="s">
        <v>1046</v>
      </c>
      <c r="AX20" t="s">
        <v>1047</v>
      </c>
      <c r="AY20" t="s">
        <v>356</v>
      </c>
      <c r="AZ20" t="s">
        <v>218</v>
      </c>
      <c r="BA20" t="s">
        <v>104</v>
      </c>
      <c r="BB20" t="s">
        <v>220</v>
      </c>
      <c r="BC20" t="s">
        <v>1048</v>
      </c>
      <c r="BD20" t="s">
        <v>92</v>
      </c>
      <c r="BE20" t="s">
        <v>219</v>
      </c>
      <c r="BF20" t="s">
        <v>105</v>
      </c>
      <c r="BG20" t="s">
        <v>221</v>
      </c>
      <c r="BH20" t="s">
        <v>1049</v>
      </c>
      <c r="BI20" t="s">
        <v>1050</v>
      </c>
      <c r="BJ20" t="s">
        <v>1047</v>
      </c>
      <c r="BK20" t="s">
        <v>1051</v>
      </c>
      <c r="BL20" t="s">
        <v>74</v>
      </c>
      <c r="BM20" t="s">
        <v>1048</v>
      </c>
      <c r="BN20">
        <v>1.96</v>
      </c>
      <c r="BO20">
        <v>4.29</v>
      </c>
      <c r="BP20">
        <v>4.1500000000000004</v>
      </c>
      <c r="BQ20">
        <v>1.58</v>
      </c>
      <c r="BR20">
        <v>5.55</v>
      </c>
      <c r="BS20">
        <v>5.59</v>
      </c>
      <c r="BT20" t="s">
        <v>599</v>
      </c>
      <c r="BU20" t="s">
        <v>470</v>
      </c>
      <c r="BV20">
        <v>23.57</v>
      </c>
      <c r="BW20">
        <v>27.54</v>
      </c>
      <c r="BX20">
        <v>22.67</v>
      </c>
      <c r="BY20">
        <v>-5.58</v>
      </c>
      <c r="BZ20">
        <v>5.78</v>
      </c>
      <c r="CA20">
        <v>5.68</v>
      </c>
      <c r="CB20">
        <v>0</v>
      </c>
      <c r="CC20">
        <v>-50</v>
      </c>
      <c r="CD20" t="s">
        <v>43</v>
      </c>
      <c r="CE20" t="s">
        <v>1052</v>
      </c>
      <c r="CF20" s="9">
        <v>-0.98182233039245514</v>
      </c>
      <c r="CG20" s="10">
        <v>-1.1719481202531645</v>
      </c>
      <c r="CH20" s="9">
        <v>28.423482894897461</v>
      </c>
      <c r="CI20" s="9">
        <v>5.019758827984333E-4</v>
      </c>
      <c r="CJ20" s="9">
        <v>1.0141988284885883E-2</v>
      </c>
      <c r="CK20" s="9">
        <v>-0.16049380600452423</v>
      </c>
      <c r="CL20" s="9">
        <v>-2.9338870197534561E-2</v>
      </c>
      <c r="CM20" s="10">
        <v>1.6581196784973145</v>
      </c>
      <c r="CN20" s="10">
        <v>1.7391303554177284E-2</v>
      </c>
      <c r="CO20" s="10">
        <v>6.2258872985839844</v>
      </c>
      <c r="CP20" s="10">
        <v>-0.77289044857025146</v>
      </c>
      <c r="CQ20" s="10">
        <v>-0.48473304510116577</v>
      </c>
      <c r="CR20">
        <v>5.1752425419740069</v>
      </c>
      <c r="CS20">
        <v>9.161571729262805E-3</v>
      </c>
      <c r="CT20">
        <v>0</v>
      </c>
      <c r="CU20" s="9">
        <v>5.6488588365726171</v>
      </c>
      <c r="CV20" s="10">
        <v>1.3287549573928117</v>
      </c>
      <c r="CW20">
        <v>0.06</v>
      </c>
      <c r="CX20">
        <v>0.30800250748364122</v>
      </c>
      <c r="CY20">
        <v>1950750092.6170604</v>
      </c>
      <c r="CZ20">
        <v>5.6488588365726171</v>
      </c>
      <c r="DA20">
        <v>7.4669552119107762E-3</v>
      </c>
      <c r="DB20">
        <v>80465986864.577362</v>
      </c>
      <c r="DC20">
        <v>5.3664158947439864</v>
      </c>
      <c r="DD20">
        <v>4.9737791530752449E-5</v>
      </c>
      <c r="DE20">
        <v>12080068324475.33</v>
      </c>
      <c r="DF20">
        <v>4.9709957761839032</v>
      </c>
      <c r="DG20">
        <v>1.0660079242379016E-7</v>
      </c>
      <c r="DH20">
        <v>5636317576433992</v>
      </c>
      <c r="DI20">
        <v>4.5190870692580942</v>
      </c>
      <c r="DJ20">
        <v>6.1388182018860998E-14</v>
      </c>
      <c r="DK20">
        <v>9.7874851517088127E+21</v>
      </c>
      <c r="DL20">
        <v>3.9542011856008319</v>
      </c>
      <c r="DM20">
        <v>311000000</v>
      </c>
      <c r="DN20">
        <v>5.6488588365726171</v>
      </c>
      <c r="DO20">
        <v>600835920</v>
      </c>
      <c r="DP20">
        <v>32604500</v>
      </c>
      <c r="DQ20">
        <v>3017</v>
      </c>
      <c r="DR20">
        <v>-6.630681166965072</v>
      </c>
      <c r="DS20">
        <v>-2.5007030776459764</v>
      </c>
      <c r="DT20" s="11">
        <v>-0.25666666666666665</v>
      </c>
      <c r="DU20">
        <v>-0.46499999999999991</v>
      </c>
      <c r="DV20">
        <v>-0.72166666666666657</v>
      </c>
      <c r="DW20">
        <v>-3.3845238095238095</v>
      </c>
      <c r="DX20" t="e">
        <v>#VALUE!</v>
      </c>
      <c r="DY20">
        <v>-3</v>
      </c>
      <c r="DZ20">
        <v>1088</v>
      </c>
      <c r="EA20">
        <v>-3</v>
      </c>
      <c r="EB20">
        <v>3</v>
      </c>
      <c r="EC20">
        <v>0</v>
      </c>
      <c r="ED20">
        <v>1.1974943873583747E-2</v>
      </c>
      <c r="EE20" s="12">
        <v>-1.0278</v>
      </c>
      <c r="EF20">
        <v>-1.00101</v>
      </c>
      <c r="EG20" t="e">
        <v>#VALUE!</v>
      </c>
      <c r="EH20" t="s">
        <v>492</v>
      </c>
      <c r="EI20">
        <v>0</v>
      </c>
      <c r="EJ20">
        <v>1</v>
      </c>
      <c r="EK20" s="8">
        <v>45470</v>
      </c>
      <c r="EL20" s="13">
        <v>0.26</v>
      </c>
      <c r="EM20" s="13">
        <v>-2.62</v>
      </c>
      <c r="EN20" s="13">
        <v>1.89</v>
      </c>
      <c r="EO20" s="13">
        <v>1.06</v>
      </c>
      <c r="EP20" s="13">
        <v>-2.88</v>
      </c>
    </row>
    <row r="21" spans="1:146" ht="96" x14ac:dyDescent="0.25">
      <c r="A21" s="6"/>
      <c r="B21" s="6"/>
      <c r="C21" s="6" t="str">
        <f>""&amp;CHAR(10)&amp;Basic_Fundamental_Information_Constructure(F21)&amp;CHAR(10)&amp;Basic_Fundamental_Information_Concatenate("")</f>
        <v xml:space="preserve">
市值12.5334113亿, 利润2.97亿; PE135.1; 平均PE36.8; 平均PEG.89, PB.999; ROIC1.75%; ROE-3.33%; 股利率0%; 毛利11.7133%; 净利-1.25%; 上一年度营收增198.37%, 利润增446.12%; 当季营收增-42.02%, 利润增-85.37%; 过往5年营收增41.18%, 利润增-3.24%
Income profile:
</v>
      </c>
      <c r="D21" t="s">
        <v>106</v>
      </c>
      <c r="E21" t="s">
        <v>5</v>
      </c>
      <c r="F21">
        <v>1.99</v>
      </c>
      <c r="G21">
        <v>1.02</v>
      </c>
      <c r="H21" t="s">
        <v>1053</v>
      </c>
      <c r="I21">
        <v>1253341130</v>
      </c>
      <c r="J21">
        <v>135.1</v>
      </c>
      <c r="K21">
        <v>0.999</v>
      </c>
      <c r="L21" t="s">
        <v>39</v>
      </c>
      <c r="M21" t="s">
        <v>1054</v>
      </c>
      <c r="N21" t="s">
        <v>1055</v>
      </c>
      <c r="O21" t="s">
        <v>1056</v>
      </c>
      <c r="P21">
        <v>3.93</v>
      </c>
      <c r="Q21" t="s">
        <v>1057</v>
      </c>
      <c r="R21">
        <v>945439</v>
      </c>
      <c r="S21" s="5">
        <v>-0.14699999999999999</v>
      </c>
      <c r="T21" t="s">
        <v>859</v>
      </c>
      <c r="U21">
        <v>629819660</v>
      </c>
      <c r="V21">
        <v>629819660</v>
      </c>
      <c r="W21">
        <v>2.8</v>
      </c>
      <c r="X21">
        <v>0.19</v>
      </c>
      <c r="Y21">
        <v>0.13</v>
      </c>
      <c r="Z21" t="s">
        <v>1056</v>
      </c>
      <c r="AA21" t="s">
        <v>1058</v>
      </c>
      <c r="AB21" t="s">
        <v>1059</v>
      </c>
      <c r="AC21" t="s">
        <v>1060</v>
      </c>
      <c r="AD21" t="s">
        <v>43</v>
      </c>
      <c r="AE21">
        <v>12184901</v>
      </c>
      <c r="AF21" t="s">
        <v>61</v>
      </c>
      <c r="AG21" t="s">
        <v>1061</v>
      </c>
      <c r="AH21" t="s">
        <v>1062</v>
      </c>
      <c r="AI21" t="s">
        <v>237</v>
      </c>
      <c r="AJ21" t="s">
        <v>1063</v>
      </c>
      <c r="AK21" t="s">
        <v>1064</v>
      </c>
      <c r="AL21" t="s">
        <v>1065</v>
      </c>
      <c r="AM21" t="s">
        <v>43</v>
      </c>
      <c r="AN21" t="s">
        <v>1066</v>
      </c>
      <c r="AO21" t="s">
        <v>1067</v>
      </c>
      <c r="AP21" t="s">
        <v>1068</v>
      </c>
      <c r="AQ21" t="s">
        <v>581</v>
      </c>
      <c r="AR21" t="s">
        <v>43</v>
      </c>
      <c r="AS21" t="s">
        <v>1069</v>
      </c>
      <c r="AT21" t="s">
        <v>66</v>
      </c>
      <c r="AU21" t="s">
        <v>1070</v>
      </c>
      <c r="AV21" t="s">
        <v>1071</v>
      </c>
      <c r="AW21" t="s">
        <v>1072</v>
      </c>
      <c r="AX21" t="s">
        <v>1073</v>
      </c>
      <c r="AY21" t="s">
        <v>357</v>
      </c>
      <c r="AZ21" t="s">
        <v>76</v>
      </c>
      <c r="BA21" t="s">
        <v>107</v>
      </c>
      <c r="BB21" t="s">
        <v>224</v>
      </c>
      <c r="BC21" t="s">
        <v>1074</v>
      </c>
      <c r="BD21" t="s">
        <v>358</v>
      </c>
      <c r="BE21" t="s">
        <v>223</v>
      </c>
      <c r="BF21" t="s">
        <v>108</v>
      </c>
      <c r="BG21" t="s">
        <v>225</v>
      </c>
      <c r="BH21" t="s">
        <v>1075</v>
      </c>
      <c r="BI21" t="s">
        <v>1076</v>
      </c>
      <c r="BJ21" t="s">
        <v>1073</v>
      </c>
      <c r="BK21" t="s">
        <v>1077</v>
      </c>
      <c r="BL21" t="s">
        <v>1078</v>
      </c>
      <c r="BM21" t="s">
        <v>1074</v>
      </c>
      <c r="BN21">
        <v>1.75</v>
      </c>
      <c r="BO21" t="s">
        <v>43</v>
      </c>
      <c r="BP21" t="s">
        <v>43</v>
      </c>
      <c r="BQ21">
        <v>0.3</v>
      </c>
      <c r="BR21">
        <v>-6.22</v>
      </c>
      <c r="BS21">
        <v>-4.07</v>
      </c>
      <c r="BT21" t="s">
        <v>599</v>
      </c>
      <c r="BU21" t="s">
        <v>496</v>
      </c>
      <c r="BV21">
        <v>14.56</v>
      </c>
      <c r="BW21">
        <v>9.7100000000000009</v>
      </c>
      <c r="BX21">
        <v>10.87</v>
      </c>
      <c r="BY21">
        <v>0.31</v>
      </c>
      <c r="BZ21">
        <v>-2.48</v>
      </c>
      <c r="CA21">
        <v>-1.58</v>
      </c>
      <c r="CB21">
        <v>1.02</v>
      </c>
      <c r="CC21">
        <v>-18.11</v>
      </c>
      <c r="CD21" t="s">
        <v>1079</v>
      </c>
      <c r="CE21" t="s">
        <v>235</v>
      </c>
      <c r="CF21" s="9">
        <v>-0.4201754385964912</v>
      </c>
      <c r="CG21" s="10">
        <v>-0.85370835718817217</v>
      </c>
      <c r="CH21" s="9">
        <v>1.9836630821228027</v>
      </c>
      <c r="CI21" s="9">
        <v>-3.6454018205404282E-2</v>
      </c>
      <c r="CJ21" s="9">
        <v>8.4131717681884766E-2</v>
      </c>
      <c r="CK21" s="9">
        <v>8.3360344171524048E-2</v>
      </c>
      <c r="CL21" s="9">
        <v>-5.5453412234783173E-2</v>
      </c>
      <c r="CM21" s="10">
        <v>4.4612116813659668</v>
      </c>
      <c r="CN21" s="10">
        <v>-0.49819806218147278</v>
      </c>
      <c r="CO21" s="10">
        <v>-4.2136621475219727</v>
      </c>
      <c r="CP21" s="10">
        <v>0.53640115261077881</v>
      </c>
      <c r="CQ21" s="10">
        <v>-0.44798392057418823</v>
      </c>
      <c r="CR21">
        <v>36.799225165815692</v>
      </c>
      <c r="CS21">
        <v>0.89351137611866371</v>
      </c>
      <c r="CT21">
        <v>0</v>
      </c>
      <c r="CU21" s="9">
        <v>0.41184954270720481</v>
      </c>
      <c r="CV21" s="10">
        <v>-3.2446259260177614E-2</v>
      </c>
      <c r="CW21">
        <v>0.06</v>
      </c>
      <c r="CX21">
        <v>5.6254542016270985</v>
      </c>
      <c r="CY21">
        <v>395584258.6641885</v>
      </c>
      <c r="CZ21">
        <v>0.41184954270720481</v>
      </c>
      <c r="DA21">
        <v>1.4147368670447191</v>
      </c>
      <c r="DB21">
        <v>1572971753.149102</v>
      </c>
      <c r="DC21">
        <v>0.39125706557184453</v>
      </c>
      <c r="DD21">
        <v>0.47403403649297127</v>
      </c>
      <c r="DE21">
        <v>4694475414.6003103</v>
      </c>
      <c r="DF21">
        <v>0.36242759758234022</v>
      </c>
      <c r="DG21">
        <v>0.17592451955428981</v>
      </c>
      <c r="DH21">
        <v>12649408596.58432</v>
      </c>
      <c r="DI21">
        <v>0.32947963416576387</v>
      </c>
      <c r="DJ21">
        <v>2.740348830880537E-2</v>
      </c>
      <c r="DK21">
        <v>81206491119.78006</v>
      </c>
      <c r="DL21">
        <v>0.28829467989504337</v>
      </c>
      <c r="DM21">
        <v>297000000</v>
      </c>
      <c r="DN21">
        <v>0.41184954270720481</v>
      </c>
      <c r="DO21">
        <v>2225341130</v>
      </c>
      <c r="DP21">
        <v>-363345300.00000024</v>
      </c>
      <c r="DQ21">
        <v>3185</v>
      </c>
      <c r="DR21">
        <v>-0.83202498130369595</v>
      </c>
      <c r="DS21">
        <v>-0.82126209792799454</v>
      </c>
      <c r="DT21" s="11">
        <v>-0.14000000000000004</v>
      </c>
      <c r="DU21">
        <v>-1.3733333333333333</v>
      </c>
      <c r="DV21">
        <v>-1.5133333333333334</v>
      </c>
      <c r="DW21">
        <v>-3.0238630952380952</v>
      </c>
      <c r="DX21">
        <v>0.37022704918032812</v>
      </c>
      <c r="DY21">
        <v>-3.003823513334309</v>
      </c>
      <c r="DZ21">
        <v>2207</v>
      </c>
      <c r="EA21">
        <v>-3.0021721446593932</v>
      </c>
      <c r="EB21">
        <v>3</v>
      </c>
      <c r="EC21">
        <v>9.3110939090088121E-2</v>
      </c>
      <c r="ED21">
        <v>0.58111872849443924</v>
      </c>
      <c r="EE21" s="12">
        <v>3.03531</v>
      </c>
      <c r="EF21">
        <v>3.0537100000000001</v>
      </c>
      <c r="EG21">
        <v>21.160227049180328</v>
      </c>
      <c r="EH21" t="s">
        <v>497</v>
      </c>
      <c r="EI21">
        <v>0</v>
      </c>
      <c r="EJ21">
        <v>0</v>
      </c>
      <c r="EK21" s="8">
        <v>45470</v>
      </c>
      <c r="EL21" s="13">
        <v>0</v>
      </c>
      <c r="EM21" s="13">
        <v>-3.24</v>
      </c>
      <c r="EN21" s="13">
        <v>-0.71</v>
      </c>
      <c r="EO21" s="13">
        <v>5.21</v>
      </c>
      <c r="EP21" s="13">
        <v>-1.84</v>
      </c>
    </row>
    <row r="22" spans="1:146" ht="144" x14ac:dyDescent="0.25">
      <c r="A22" s="6"/>
      <c r="B22" s="6"/>
      <c r="C22" s="6" t="str">
        <f>"公司处于纺织行业的中游，主营业务为生产、加工针织、机织色布、漂染、纺纱、染纱、印花加工，销售自产产品；"&amp;CHAR(10)&amp;Basic_Fundamental_Information_Constructure(F22)&amp;CHAR(10)&amp;Basic_Fundamental_Information_Concatenate("染整成品 4.91亿 46.78% 利润占比50.68% 毛利17.66%
印花成品 2.28亿 21.68% 利润占比25.05% 毛利18.83%
纺纱 1.93亿 18.40% 利润占比10.32% 毛利9.14%
染整加工 1.22亿 11.66% 利润占比15.25% 毛利21.32%")</f>
        <v>公司处于纺织行业的中游，主营业务为生产、加工针织、机织色布、漂染、纺纱、染纱、印花加工，销售自产产品；
市值11.8864亿, 利润2035.03万; PE4.26; 平均PE34.69; 平均PEG6.12, PB1.08; ROIC4.8533%; ROE6.6667%; 股利率2.2883%; 毛利13.4467%; 净利11.7133%; 上一年度营收增11.66%, 利润增-21.26%; 当季营收增23.81%, 利润增110.14%; 过往5年营收增5.67%, 利润增12.01%
Income profile:
染整成品 4.91亿 46.78% 利润占比50.68% 毛利17.66%
印花成品 2.28亿 21.68% 利润占比25.05% 毛利18.83%
纺纱 1.93亿 18.40% 利润占比10.32% 毛利9.14%
染整加工 1.22亿 11.66% 利润占比15.25% 毛利21.32%</v>
      </c>
      <c r="D22" t="s">
        <v>110</v>
      </c>
      <c r="E22" t="s">
        <v>8</v>
      </c>
      <c r="F22">
        <v>4.37</v>
      </c>
      <c r="G22">
        <v>1.39</v>
      </c>
      <c r="H22" t="s">
        <v>1080</v>
      </c>
      <c r="I22">
        <v>1188640000</v>
      </c>
      <c r="J22">
        <v>4.26</v>
      </c>
      <c r="K22">
        <v>1.08</v>
      </c>
      <c r="L22" t="s">
        <v>39</v>
      </c>
      <c r="M22" t="s">
        <v>1081</v>
      </c>
      <c r="N22" t="s">
        <v>552</v>
      </c>
      <c r="O22" t="s">
        <v>753</v>
      </c>
      <c r="P22">
        <v>-2.74</v>
      </c>
      <c r="Q22" t="s">
        <v>1082</v>
      </c>
      <c r="R22">
        <v>1741291</v>
      </c>
      <c r="S22" s="5">
        <v>1.294</v>
      </c>
      <c r="T22" t="s">
        <v>1083</v>
      </c>
      <c r="U22">
        <v>272000000</v>
      </c>
      <c r="V22">
        <v>272000000</v>
      </c>
      <c r="W22">
        <v>1.54</v>
      </c>
      <c r="X22">
        <v>0.12</v>
      </c>
      <c r="Y22">
        <v>0.84</v>
      </c>
      <c r="Z22" t="s">
        <v>1084</v>
      </c>
      <c r="AA22" t="s">
        <v>853</v>
      </c>
      <c r="AB22" t="s">
        <v>1085</v>
      </c>
      <c r="AC22" t="s">
        <v>1086</v>
      </c>
      <c r="AD22" t="s">
        <v>43</v>
      </c>
      <c r="AE22">
        <v>-1886477</v>
      </c>
      <c r="AF22" t="s">
        <v>1087</v>
      </c>
      <c r="AG22">
        <v>1.5</v>
      </c>
      <c r="AH22" t="s">
        <v>1088</v>
      </c>
      <c r="AI22" t="s">
        <v>811</v>
      </c>
      <c r="AJ22" t="s">
        <v>1089</v>
      </c>
      <c r="AK22" t="s">
        <v>43</v>
      </c>
      <c r="AL22" t="s">
        <v>1090</v>
      </c>
      <c r="AM22" t="s">
        <v>43</v>
      </c>
      <c r="AN22" t="s">
        <v>1091</v>
      </c>
      <c r="AO22" t="s">
        <v>1092</v>
      </c>
      <c r="AP22" t="s">
        <v>1093</v>
      </c>
      <c r="AQ22" t="s">
        <v>498</v>
      </c>
      <c r="AR22" t="s">
        <v>1094</v>
      </c>
      <c r="AS22" t="s">
        <v>1095</v>
      </c>
      <c r="AT22" t="s">
        <v>43</v>
      </c>
      <c r="AU22" t="s">
        <v>1096</v>
      </c>
      <c r="AV22" t="s">
        <v>1097</v>
      </c>
      <c r="AW22" t="s">
        <v>1098</v>
      </c>
      <c r="AX22" t="s">
        <v>1099</v>
      </c>
      <c r="AY22" t="s">
        <v>360</v>
      </c>
      <c r="AZ22" t="s">
        <v>226</v>
      </c>
      <c r="BA22" t="s">
        <v>111</v>
      </c>
      <c r="BB22" t="s">
        <v>229</v>
      </c>
      <c r="BC22" t="s">
        <v>1100</v>
      </c>
      <c r="BD22" t="s">
        <v>361</v>
      </c>
      <c r="BE22" t="s">
        <v>227</v>
      </c>
      <c r="BF22" t="s">
        <v>112</v>
      </c>
      <c r="BG22" t="s">
        <v>230</v>
      </c>
      <c r="BH22" t="s">
        <v>1101</v>
      </c>
      <c r="BI22" t="s">
        <v>549</v>
      </c>
      <c r="BJ22" t="s">
        <v>1099</v>
      </c>
      <c r="BK22" t="s">
        <v>1102</v>
      </c>
      <c r="BL22" t="s">
        <v>1103</v>
      </c>
      <c r="BM22" t="s">
        <v>1100</v>
      </c>
      <c r="BN22">
        <v>5.7</v>
      </c>
      <c r="BO22">
        <v>2.84</v>
      </c>
      <c r="BP22">
        <v>6.02</v>
      </c>
      <c r="BQ22">
        <v>7.73</v>
      </c>
      <c r="BR22">
        <v>3.11</v>
      </c>
      <c r="BS22">
        <v>9.16</v>
      </c>
      <c r="BT22" t="s">
        <v>607</v>
      </c>
      <c r="BU22" t="s">
        <v>466</v>
      </c>
      <c r="BV22">
        <v>12.27</v>
      </c>
      <c r="BW22">
        <v>12.23</v>
      </c>
      <c r="BX22">
        <v>15.84</v>
      </c>
      <c r="BY22">
        <v>27.25</v>
      </c>
      <c r="BZ22">
        <v>2.27</v>
      </c>
      <c r="CA22">
        <v>5.62</v>
      </c>
      <c r="CB22">
        <v>0.46</v>
      </c>
      <c r="CC22">
        <v>-13.64</v>
      </c>
      <c r="CD22" t="s">
        <v>1104</v>
      </c>
      <c r="CE22" t="s">
        <v>585</v>
      </c>
      <c r="CF22" s="9">
        <v>0.23809523809523808</v>
      </c>
      <c r="CG22" s="10">
        <v>1.1013869820142419</v>
      </c>
      <c r="CH22" s="9">
        <v>0.11662326753139496</v>
      </c>
      <c r="CI22" s="9">
        <v>-0.1175115704536438</v>
      </c>
      <c r="CJ22" s="9">
        <v>0.23999999463558197</v>
      </c>
      <c r="CK22" s="9">
        <v>2.5390625E-2</v>
      </c>
      <c r="CL22" s="9">
        <v>1.8905472010374069E-2</v>
      </c>
      <c r="CM22" s="10">
        <v>-0.21261118352413177</v>
      </c>
      <c r="CN22" s="10">
        <v>-0.6468966007232666</v>
      </c>
      <c r="CO22" s="10">
        <v>1.4704821109771729</v>
      </c>
      <c r="CP22" s="10">
        <v>0.14156417548656464</v>
      </c>
      <c r="CQ22" s="10">
        <v>-0.15193459391593933</v>
      </c>
      <c r="CR22">
        <v>34.692173023068477</v>
      </c>
      <c r="CS22">
        <v>6.1205398022581692</v>
      </c>
      <c r="CT22">
        <v>2.2883295194508007</v>
      </c>
      <c r="CU22" s="9">
        <v>5.6681557744741443E-2</v>
      </c>
      <c r="CV22" s="10">
        <v>0.12012078166007996</v>
      </c>
      <c r="CW22">
        <v>0.06</v>
      </c>
      <c r="CX22">
        <v>36.706018844213617</v>
      </c>
      <c r="CY22">
        <v>20286591.23072907</v>
      </c>
      <c r="CZ22">
        <v>5.6681557744741443E-2</v>
      </c>
      <c r="DA22">
        <v>12.339728187775719</v>
      </c>
      <c r="DB22">
        <v>60344927.268144637</v>
      </c>
      <c r="DC22">
        <v>5.384747985750437E-2</v>
      </c>
      <c r="DD22">
        <v>6.3059141085781976</v>
      </c>
      <c r="DE22">
        <v>118085972.49795002</v>
      </c>
      <c r="DF22">
        <v>4.9879770815372468E-2</v>
      </c>
      <c r="DG22">
        <v>3.9471354844470707</v>
      </c>
      <c r="DH22">
        <v>188653265.8770166</v>
      </c>
      <c r="DI22">
        <v>4.5345246195793158E-2</v>
      </c>
      <c r="DJ22">
        <v>2.228028337508686</v>
      </c>
      <c r="DK22">
        <v>334214779.70636314</v>
      </c>
      <c r="DL22">
        <v>3.9677090421319006E-2</v>
      </c>
      <c r="DM22">
        <v>20350300</v>
      </c>
      <c r="DN22">
        <v>5.6681557744741443E-2</v>
      </c>
      <c r="DO22">
        <v>744640000</v>
      </c>
      <c r="DP22">
        <v>147396900</v>
      </c>
      <c r="DQ22">
        <v>3215</v>
      </c>
      <c r="DR22">
        <v>0.18141368035049665</v>
      </c>
      <c r="DS22">
        <v>0.9812662003541619</v>
      </c>
      <c r="DT22" s="11">
        <v>-0.3066666666666667</v>
      </c>
      <c r="DU22">
        <v>-0.3</v>
      </c>
      <c r="DV22">
        <v>-0.60666666666666669</v>
      </c>
      <c r="DW22">
        <v>-2.1364000000000001</v>
      </c>
      <c r="DX22">
        <v>0.33285209580838182</v>
      </c>
      <c r="DY22">
        <v>-2.0153930258682635</v>
      </c>
      <c r="DZ22">
        <v>4884</v>
      </c>
      <c r="EA22">
        <v>-2.0006807874454458</v>
      </c>
      <c r="EB22">
        <v>2</v>
      </c>
      <c r="EC22">
        <v>6.9287867647058826E-2</v>
      </c>
      <c r="ED22">
        <v>0.61397058823529416</v>
      </c>
      <c r="EE22" s="12">
        <v>-1.0642</v>
      </c>
      <c r="EF22">
        <v>-1.0498000000000001</v>
      </c>
      <c r="EG22">
        <v>22.112852095808382</v>
      </c>
      <c r="EH22" t="s">
        <v>484</v>
      </c>
      <c r="EI22">
        <v>0</v>
      </c>
      <c r="EJ22">
        <v>0</v>
      </c>
      <c r="EK22" s="8">
        <v>45470</v>
      </c>
      <c r="EL22" s="13">
        <v>10.16</v>
      </c>
      <c r="EM22" s="13">
        <v>6.03</v>
      </c>
      <c r="EN22" s="13">
        <v>-6.35</v>
      </c>
      <c r="EO22" s="13">
        <v>-0.71</v>
      </c>
      <c r="EP22" s="13">
        <v>-1.44</v>
      </c>
    </row>
    <row r="23" spans="1:146" ht="96" x14ac:dyDescent="0.25">
      <c r="A23" s="6"/>
      <c r="B23" s="6"/>
      <c r="C23" s="6" t="str">
        <f>""&amp;CHAR(10)&amp;Basic_Fundamental_Information_Constructure(F23)&amp;CHAR(10)&amp;Basic_Fundamental_Information_Concatenate("")</f>
        <v xml:space="preserve">
市值25.283709亿, 利润17.44亿; PE56.66; 平均PE6.5; 平均PEG.01, PB1.14; ROIC2.8933%; ROE3.04%; 股利率3.4247%; 毛利13.8267%; 净利9.1267%; 上一年度营收增3518.17%, 利润增1986.27%; 当季营收增-98.39%, 利润增-98.75%; 过往5年营收增694.58%, 利润增417.56%
Income profile:
</v>
      </c>
      <c r="D23" t="s">
        <v>317</v>
      </c>
      <c r="E23" t="s">
        <v>318</v>
      </c>
      <c r="F23">
        <v>1.46</v>
      </c>
      <c r="G23">
        <v>2.1</v>
      </c>
      <c r="H23" t="s">
        <v>1105</v>
      </c>
      <c r="I23">
        <v>2528370900</v>
      </c>
      <c r="J23">
        <v>56.66</v>
      </c>
      <c r="K23">
        <v>1.1399999999999999</v>
      </c>
      <c r="L23" t="s">
        <v>39</v>
      </c>
      <c r="M23" t="s">
        <v>1048</v>
      </c>
      <c r="N23" t="s">
        <v>1106</v>
      </c>
      <c r="O23" t="s">
        <v>130</v>
      </c>
      <c r="P23">
        <v>-23.71</v>
      </c>
      <c r="Q23" t="s">
        <v>1107</v>
      </c>
      <c r="R23">
        <v>6578910</v>
      </c>
      <c r="S23" s="5">
        <v>-0.17280000000000001</v>
      </c>
      <c r="T23" t="s">
        <v>1108</v>
      </c>
      <c r="U23">
        <v>1731760900</v>
      </c>
      <c r="V23">
        <v>1731760900</v>
      </c>
      <c r="W23">
        <v>1.05</v>
      </c>
      <c r="X23">
        <v>0.05</v>
      </c>
      <c r="Y23">
        <v>5.47</v>
      </c>
      <c r="Z23" t="s">
        <v>222</v>
      </c>
      <c r="AA23" t="s">
        <v>499</v>
      </c>
      <c r="AB23" t="s">
        <v>1109</v>
      </c>
      <c r="AC23" t="s">
        <v>1110</v>
      </c>
      <c r="AD23" t="s">
        <v>43</v>
      </c>
      <c r="AE23">
        <v>-1398688</v>
      </c>
      <c r="AF23" t="s">
        <v>1111</v>
      </c>
      <c r="AG23" t="s">
        <v>1112</v>
      </c>
      <c r="AH23" t="s">
        <v>1113</v>
      </c>
      <c r="AI23" t="s">
        <v>614</v>
      </c>
      <c r="AJ23" t="s">
        <v>1114</v>
      </c>
      <c r="AK23" t="s">
        <v>43</v>
      </c>
      <c r="AL23" t="s">
        <v>1115</v>
      </c>
      <c r="AM23" t="s">
        <v>43</v>
      </c>
      <c r="AN23" t="s">
        <v>1116</v>
      </c>
      <c r="AO23" t="s">
        <v>43</v>
      </c>
      <c r="AP23" t="s">
        <v>1117</v>
      </c>
      <c r="AQ23" t="s">
        <v>1118</v>
      </c>
      <c r="AR23" t="s">
        <v>1119</v>
      </c>
      <c r="AS23" t="s">
        <v>1120</v>
      </c>
      <c r="AT23" t="s">
        <v>43</v>
      </c>
      <c r="AU23" t="s">
        <v>865</v>
      </c>
      <c r="AV23" t="s">
        <v>1121</v>
      </c>
      <c r="AW23" t="s">
        <v>1122</v>
      </c>
      <c r="AX23" t="s">
        <v>1123</v>
      </c>
      <c r="AY23" t="s">
        <v>363</v>
      </c>
      <c r="AZ23" t="s">
        <v>175</v>
      </c>
      <c r="BA23" t="s">
        <v>319</v>
      </c>
      <c r="BB23" t="s">
        <v>320</v>
      </c>
      <c r="BC23" t="s">
        <v>1124</v>
      </c>
      <c r="BD23" t="s">
        <v>109</v>
      </c>
      <c r="BE23" t="s">
        <v>122</v>
      </c>
      <c r="BF23" t="s">
        <v>321</v>
      </c>
      <c r="BG23" t="s">
        <v>322</v>
      </c>
      <c r="BH23" t="s">
        <v>1125</v>
      </c>
      <c r="BI23" t="s">
        <v>1126</v>
      </c>
      <c r="BJ23" t="s">
        <v>1123</v>
      </c>
      <c r="BK23" t="s">
        <v>1127</v>
      </c>
      <c r="BL23" t="s">
        <v>1128</v>
      </c>
      <c r="BM23" t="s">
        <v>1124</v>
      </c>
      <c r="BN23">
        <v>1.39</v>
      </c>
      <c r="BO23">
        <v>3.24</v>
      </c>
      <c r="BP23">
        <v>4.05</v>
      </c>
      <c r="BQ23">
        <v>1.63</v>
      </c>
      <c r="BR23">
        <v>3.53</v>
      </c>
      <c r="BS23">
        <v>3.96</v>
      </c>
      <c r="BT23" t="s">
        <v>598</v>
      </c>
      <c r="BU23" t="s">
        <v>470</v>
      </c>
      <c r="BV23">
        <v>9.67</v>
      </c>
      <c r="BW23">
        <v>13.95</v>
      </c>
      <c r="BX23">
        <v>17.86</v>
      </c>
      <c r="BY23">
        <v>5.61</v>
      </c>
      <c r="BZ23">
        <v>10.050000000000001</v>
      </c>
      <c r="CA23">
        <v>11.72</v>
      </c>
      <c r="CB23">
        <v>1.39</v>
      </c>
      <c r="CC23">
        <v>-17.05</v>
      </c>
      <c r="CD23" t="s">
        <v>1129</v>
      </c>
      <c r="CE23" t="s">
        <v>751</v>
      </c>
      <c r="CF23" s="9">
        <v>-0.98386012104909215</v>
      </c>
      <c r="CG23" s="10">
        <v>-0.98746874285714281</v>
      </c>
      <c r="CH23" s="9">
        <v>35.181705474853516</v>
      </c>
      <c r="CI23" s="9">
        <v>-5.0285715609788895E-2</v>
      </c>
      <c r="CJ23" s="9">
        <v>-0.23580782115459442</v>
      </c>
      <c r="CK23" s="9">
        <v>-6.9384220987558365E-3</v>
      </c>
      <c r="CL23" s="9">
        <v>-0.15962104499340057</v>
      </c>
      <c r="CM23" s="10">
        <v>19.862716674804688</v>
      </c>
      <c r="CN23" s="10">
        <v>-0.18840683996677399</v>
      </c>
      <c r="CO23" s="10">
        <v>-0.55793988704681396</v>
      </c>
      <c r="CP23" s="10">
        <v>1.8309988975524902</v>
      </c>
      <c r="CQ23" s="10">
        <v>-6.9151535630226135E-2</v>
      </c>
      <c r="CR23">
        <v>6.4987924292120871</v>
      </c>
      <c r="CS23">
        <v>9.3564205856744541E-3</v>
      </c>
      <c r="CT23">
        <v>3.4246575342465753</v>
      </c>
      <c r="CU23" s="9">
        <v>6.945810494199395</v>
      </c>
      <c r="CV23" s="10">
        <v>4.1756434619426726</v>
      </c>
      <c r="CW23">
        <v>0.06</v>
      </c>
      <c r="CX23">
        <v>3.2078900411504539E-2</v>
      </c>
      <c r="CY23">
        <v>13073107077.248817</v>
      </c>
      <c r="CZ23">
        <v>6.945810494199395</v>
      </c>
      <c r="DA23">
        <v>5.6326586222456938E-4</v>
      </c>
      <c r="DB23">
        <v>744534558412.13464</v>
      </c>
      <c r="DC23">
        <v>6.5985199694894252</v>
      </c>
      <c r="DD23">
        <v>2.2425236509511203E-6</v>
      </c>
      <c r="DE23">
        <v>187008462462428.19</v>
      </c>
      <c r="DF23">
        <v>6.1123132348954679</v>
      </c>
      <c r="DG23">
        <v>2.4587115520033911E-9</v>
      </c>
      <c r="DH23">
        <v>1.7056531078576134E+17</v>
      </c>
      <c r="DI23">
        <v>5.5566483953595167</v>
      </c>
      <c r="DJ23">
        <v>2.7512527487840292E-16</v>
      </c>
      <c r="DK23">
        <v>1.5242907078797078E+24</v>
      </c>
      <c r="DL23">
        <v>4.8620673459395762</v>
      </c>
      <c r="DM23">
        <v>1744000000.0000002</v>
      </c>
      <c r="DN23">
        <v>6.945810494199395</v>
      </c>
      <c r="DO23">
        <v>419370900</v>
      </c>
      <c r="DP23">
        <v>1225517580</v>
      </c>
      <c r="DQ23">
        <v>3245</v>
      </c>
      <c r="DR23">
        <v>-7.9296706152484875</v>
      </c>
      <c r="DS23">
        <v>-5.1631122047998153</v>
      </c>
      <c r="DT23" s="11">
        <v>-0.37333333333333335</v>
      </c>
      <c r="DU23">
        <v>-1.6666666666667036E-3</v>
      </c>
      <c r="DV23">
        <v>-0.37500000000000006</v>
      </c>
      <c r="DW23">
        <v>-3.0118749999999999</v>
      </c>
      <c r="DX23">
        <v>0.29718210023866265</v>
      </c>
      <c r="DY23">
        <v>-3.0017477874403342</v>
      </c>
      <c r="DZ23">
        <v>598</v>
      </c>
      <c r="EA23">
        <v>-3.0015432518455554</v>
      </c>
      <c r="EB23">
        <v>3</v>
      </c>
      <c r="EC23">
        <v>3.561074741899993E-2</v>
      </c>
      <c r="ED23">
        <v>0.24195025999258907</v>
      </c>
      <c r="EE23" s="12">
        <v>8.6E-3</v>
      </c>
      <c r="EF23">
        <v>1.0010000000000002E-2</v>
      </c>
      <c r="EG23">
        <v>15.147182100238663</v>
      </c>
      <c r="EH23">
        <v>-1</v>
      </c>
      <c r="EI23">
        <v>0</v>
      </c>
      <c r="EJ23">
        <v>1</v>
      </c>
      <c r="EK23" s="8">
        <v>45470</v>
      </c>
      <c r="EL23" s="13">
        <v>0.27</v>
      </c>
      <c r="EM23" s="13">
        <v>-2.67</v>
      </c>
      <c r="EN23" s="13">
        <v>1.37</v>
      </c>
      <c r="EO23" s="13">
        <v>2.17</v>
      </c>
      <c r="EP23" s="13">
        <v>-1.86</v>
      </c>
    </row>
    <row r="24" spans="1:146" ht="96" x14ac:dyDescent="0.25">
      <c r="A24" s="6"/>
      <c r="B24" s="6"/>
      <c r="C24" s="6" t="str">
        <f>""&amp;CHAR(10)&amp;Basic_Fundamental_Information_Constructure(F24)&amp;CHAR(10)&amp;Basic_Fundamental_Information_Concatenate("")</f>
        <v xml:space="preserve">
市值73.55732亿, 利润8.04亿; PE10.67; 平均PE10.69; 平均PEG2.17, PB1.17; ROIC9.0767%; ROE10.53%; 股利率4.2857%; 毛利13.4767%; 净利7.9267%; 上一年度营收增-24.55%, 利润增22.19%; 当季营收增97.04%, 利润增70.19%; 过往5年营收增4.94%, 利润增4.94%
Income profile:
</v>
      </c>
      <c r="D24" t="s">
        <v>115</v>
      </c>
      <c r="E24" t="s">
        <v>17</v>
      </c>
      <c r="F24">
        <v>7</v>
      </c>
      <c r="G24">
        <v>0.86</v>
      </c>
      <c r="H24" t="s">
        <v>1130</v>
      </c>
      <c r="I24">
        <v>7355732000</v>
      </c>
      <c r="J24">
        <v>10.67</v>
      </c>
      <c r="K24">
        <v>1.17</v>
      </c>
      <c r="L24" t="s">
        <v>39</v>
      </c>
      <c r="M24" t="s">
        <v>1131</v>
      </c>
      <c r="N24" t="s">
        <v>1132</v>
      </c>
      <c r="O24" t="s">
        <v>1133</v>
      </c>
      <c r="P24">
        <v>31.83</v>
      </c>
      <c r="Q24" t="s">
        <v>1134</v>
      </c>
      <c r="R24">
        <v>128089566</v>
      </c>
      <c r="S24" s="5">
        <v>3.6400000000000002E-2</v>
      </c>
      <c r="T24" t="s">
        <v>488</v>
      </c>
      <c r="U24">
        <v>1050818860</v>
      </c>
      <c r="V24">
        <v>1050818860</v>
      </c>
      <c r="W24">
        <v>1.54</v>
      </c>
      <c r="X24">
        <v>0.32</v>
      </c>
      <c r="Y24">
        <v>4.6900000000000004</v>
      </c>
      <c r="Z24" t="s">
        <v>1135</v>
      </c>
      <c r="AA24" t="s">
        <v>1136</v>
      </c>
      <c r="AB24" t="s">
        <v>1137</v>
      </c>
      <c r="AC24" t="s">
        <v>1138</v>
      </c>
      <c r="AD24" t="s">
        <v>43</v>
      </c>
      <c r="AE24">
        <v>-296101</v>
      </c>
      <c r="AF24" t="s">
        <v>1139</v>
      </c>
      <c r="AG24" t="s">
        <v>1140</v>
      </c>
      <c r="AH24" t="s">
        <v>1141</v>
      </c>
      <c r="AI24" t="s">
        <v>1142</v>
      </c>
      <c r="AJ24" t="s">
        <v>1143</v>
      </c>
      <c r="AK24" t="s">
        <v>43</v>
      </c>
      <c r="AL24" t="s">
        <v>1144</v>
      </c>
      <c r="AM24" t="s">
        <v>43</v>
      </c>
      <c r="AN24" t="s">
        <v>1145</v>
      </c>
      <c r="AO24" t="s">
        <v>1146</v>
      </c>
      <c r="AP24" t="s">
        <v>1147</v>
      </c>
      <c r="AQ24" t="s">
        <v>548</v>
      </c>
      <c r="AR24" t="s">
        <v>43</v>
      </c>
      <c r="AS24" t="s">
        <v>1148</v>
      </c>
      <c r="AT24" t="s">
        <v>43</v>
      </c>
      <c r="AU24" t="s">
        <v>580</v>
      </c>
      <c r="AV24" t="s">
        <v>1149</v>
      </c>
      <c r="AW24" t="s">
        <v>1150</v>
      </c>
      <c r="AX24" t="s">
        <v>1151</v>
      </c>
      <c r="AY24" t="s">
        <v>364</v>
      </c>
      <c r="AZ24" t="s">
        <v>231</v>
      </c>
      <c r="BA24" t="s">
        <v>116</v>
      </c>
      <c r="BB24" t="s">
        <v>232</v>
      </c>
      <c r="BC24" t="s">
        <v>597</v>
      </c>
      <c r="BD24" t="s">
        <v>365</v>
      </c>
      <c r="BE24" t="s">
        <v>88</v>
      </c>
      <c r="BF24" t="s">
        <v>117</v>
      </c>
      <c r="BG24" t="s">
        <v>233</v>
      </c>
      <c r="BH24" t="s">
        <v>1152</v>
      </c>
      <c r="BI24" t="s">
        <v>79</v>
      </c>
      <c r="BJ24" t="s">
        <v>1151</v>
      </c>
      <c r="BK24" t="s">
        <v>943</v>
      </c>
      <c r="BL24" t="s">
        <v>1153</v>
      </c>
      <c r="BM24" t="s">
        <v>597</v>
      </c>
      <c r="BN24">
        <v>6.39</v>
      </c>
      <c r="BO24">
        <v>9.9700000000000006</v>
      </c>
      <c r="BP24">
        <v>10.87</v>
      </c>
      <c r="BQ24">
        <v>7.49</v>
      </c>
      <c r="BR24">
        <v>11.73</v>
      </c>
      <c r="BS24">
        <v>12.37</v>
      </c>
      <c r="BT24" t="s">
        <v>603</v>
      </c>
      <c r="BU24" t="s">
        <v>496</v>
      </c>
      <c r="BV24">
        <v>13.79</v>
      </c>
      <c r="BW24">
        <v>13.11</v>
      </c>
      <c r="BX24">
        <v>13.53</v>
      </c>
      <c r="BY24">
        <v>8.02</v>
      </c>
      <c r="BZ24">
        <v>7.78</v>
      </c>
      <c r="CA24">
        <v>7.98</v>
      </c>
      <c r="CB24">
        <v>-0.85</v>
      </c>
      <c r="CC24">
        <v>-2.37</v>
      </c>
      <c r="CD24" t="s">
        <v>1154</v>
      </c>
      <c r="CE24" t="s">
        <v>536</v>
      </c>
      <c r="CF24" s="9">
        <v>0.97038437303087588</v>
      </c>
      <c r="CG24" s="10">
        <v>0.70192456710992057</v>
      </c>
      <c r="CH24" s="9">
        <v>-0.24545451998710632</v>
      </c>
      <c r="CI24" s="9">
        <v>8.3236275240778923E-3</v>
      </c>
      <c r="CJ24" s="9">
        <v>0.81368249654769897</v>
      </c>
      <c r="CK24" s="9">
        <v>-0.2182551771402359</v>
      </c>
      <c r="CL24" s="9">
        <v>-0.11149455606937408</v>
      </c>
      <c r="CM24" s="10">
        <v>0.22188450396060944</v>
      </c>
      <c r="CN24" s="10">
        <v>-1.3493252918124199E-2</v>
      </c>
      <c r="CO24" s="10">
        <v>0.10981696844100952</v>
      </c>
      <c r="CP24" s="10">
        <v>-0.18453188240528107</v>
      </c>
      <c r="CQ24" s="10">
        <v>0.11329305171966553</v>
      </c>
      <c r="CR24">
        <v>10.688881569387261</v>
      </c>
      <c r="CS24">
        <v>2.1654782298628388</v>
      </c>
      <c r="CT24">
        <v>4.2857142857142856</v>
      </c>
      <c r="CU24" s="9">
        <v>4.9360374175012114E-2</v>
      </c>
      <c r="CV24" s="10">
        <v>4.9393877759575842E-2</v>
      </c>
      <c r="CW24">
        <v>0.06</v>
      </c>
      <c r="CX24">
        <v>3.1431560255719049</v>
      </c>
      <c r="CY24">
        <v>795929944.18557501</v>
      </c>
      <c r="CZ24">
        <v>4.9360374175012114E-2</v>
      </c>
      <c r="DA24">
        <v>1.063282683414857</v>
      </c>
      <c r="DB24">
        <v>2352838091.9036455</v>
      </c>
      <c r="DC24">
        <v>4.6892355466261505E-2</v>
      </c>
      <c r="DD24">
        <v>0.54779105813546003</v>
      </c>
      <c r="DE24">
        <v>4566945668.1444435</v>
      </c>
      <c r="DF24">
        <v>4.3437129274010659E-2</v>
      </c>
      <c r="DG24">
        <v>0.34591975084860532</v>
      </c>
      <c r="DH24">
        <v>7232116679.8449268</v>
      </c>
      <c r="DI24">
        <v>3.9488299340009692E-2</v>
      </c>
      <c r="DJ24">
        <v>0.19884316111824091</v>
      </c>
      <c r="DK24">
        <v>12581433457.05694</v>
      </c>
      <c r="DL24">
        <v>3.455226192250848E-2</v>
      </c>
      <c r="DM24">
        <v>803999999.99999988</v>
      </c>
      <c r="DN24">
        <v>4.9360374175012114E-2</v>
      </c>
      <c r="DO24">
        <v>2501732000</v>
      </c>
      <c r="DP24">
        <v>4593896400</v>
      </c>
      <c r="DQ24">
        <v>3608</v>
      </c>
      <c r="DR24">
        <v>0.92102399885586372</v>
      </c>
      <c r="DS24">
        <v>0.65253068935034475</v>
      </c>
      <c r="DT24" s="11">
        <v>-0.45666666666666661</v>
      </c>
      <c r="DU24">
        <v>5.000000000000001E-2</v>
      </c>
      <c r="DV24">
        <v>-0.40666666666666662</v>
      </c>
      <c r="DW24">
        <v>-2.3700000000000002E-2</v>
      </c>
      <c r="DX24">
        <v>0.2783181818181818</v>
      </c>
      <c r="DY24">
        <v>-3.2781409090909095E-3</v>
      </c>
      <c r="DZ24">
        <v>3435</v>
      </c>
      <c r="EA24">
        <v>-1.0745373821384096E-3</v>
      </c>
      <c r="EB24">
        <v>0</v>
      </c>
      <c r="EC24">
        <v>2.4614613407300284E-2</v>
      </c>
      <c r="ED24">
        <v>0.17795645578725147</v>
      </c>
      <c r="EE24" s="12">
        <v>3.73E-2</v>
      </c>
      <c r="EF24">
        <v>2.5600000000000001E-2</v>
      </c>
      <c r="EG24">
        <v>14.138318181818182</v>
      </c>
      <c r="EH24" t="s">
        <v>467</v>
      </c>
      <c r="EI24">
        <v>0</v>
      </c>
      <c r="EJ24">
        <v>0</v>
      </c>
      <c r="EK24" s="8">
        <v>45470</v>
      </c>
      <c r="EL24" s="13">
        <v>0</v>
      </c>
      <c r="EM24" s="13">
        <v>-3.58</v>
      </c>
      <c r="EN24" s="13">
        <v>0</v>
      </c>
      <c r="EO24" s="13">
        <v>5.94</v>
      </c>
      <c r="EP24" s="13">
        <v>-1.17</v>
      </c>
    </row>
    <row r="25" spans="1:146" ht="96" x14ac:dyDescent="0.25">
      <c r="A25" s="6"/>
      <c r="B25" s="6"/>
      <c r="C25" s="6" t="str">
        <f>""&amp;CHAR(10)&amp;Basic_Fundamental_Information_Constructure(F25)&amp;CHAR(10)&amp;Basic_Fundamental_Information_Concatenate("")</f>
        <v xml:space="preserve">
市值79.65亿, 利润-4.92亿; PE15.92; 平均PE13.48; 平均PEG1.39, PB.814; ROIC9.1133%; ROE12.7133%; 股利率5.6497%; 毛利20.5767%; 净利15.76%; 上一年度营收增29.56%, 利润增-131.48%; 当季营收增-6.71%, 利润增143.19%; 过往5年营收增9.7%, 利润增29.59%
Income profile:
</v>
      </c>
      <c r="D25" t="s">
        <v>118</v>
      </c>
      <c r="E25" t="s">
        <v>12</v>
      </c>
      <c r="F25">
        <v>5.31</v>
      </c>
      <c r="G25">
        <v>1.34</v>
      </c>
      <c r="H25" t="s">
        <v>1155</v>
      </c>
      <c r="I25">
        <v>7965000000</v>
      </c>
      <c r="J25">
        <v>15.92</v>
      </c>
      <c r="K25">
        <v>0.81399999999999995</v>
      </c>
      <c r="L25" t="s">
        <v>39</v>
      </c>
      <c r="M25" t="s">
        <v>1156</v>
      </c>
      <c r="N25" t="s">
        <v>1157</v>
      </c>
      <c r="O25" t="s">
        <v>1158</v>
      </c>
      <c r="P25">
        <v>23.45</v>
      </c>
      <c r="Q25" t="s">
        <v>1159</v>
      </c>
      <c r="R25">
        <v>80326875</v>
      </c>
      <c r="S25" s="5">
        <v>-4.5100000000000001E-2</v>
      </c>
      <c r="T25" t="s">
        <v>1160</v>
      </c>
      <c r="U25">
        <v>1500000000</v>
      </c>
      <c r="V25">
        <v>1500000000</v>
      </c>
      <c r="W25">
        <v>1.67</v>
      </c>
      <c r="X25">
        <v>0.11</v>
      </c>
      <c r="Y25">
        <v>4.38</v>
      </c>
      <c r="Z25" t="s">
        <v>1161</v>
      </c>
      <c r="AA25" t="s">
        <v>345</v>
      </c>
      <c r="AB25" t="s">
        <v>1162</v>
      </c>
      <c r="AC25" t="s">
        <v>1163</v>
      </c>
      <c r="AD25" t="s">
        <v>43</v>
      </c>
      <c r="AE25">
        <v>37954986</v>
      </c>
      <c r="AF25" t="s">
        <v>1164</v>
      </c>
      <c r="AG25" t="s">
        <v>1165</v>
      </c>
      <c r="AH25" t="s">
        <v>1166</v>
      </c>
      <c r="AI25" t="s">
        <v>1167</v>
      </c>
      <c r="AJ25" t="s">
        <v>1168</v>
      </c>
      <c r="AK25" t="s">
        <v>43</v>
      </c>
      <c r="AL25" t="s">
        <v>1169</v>
      </c>
      <c r="AM25" t="s">
        <v>43</v>
      </c>
      <c r="AN25" t="s">
        <v>153</v>
      </c>
      <c r="AO25" t="s">
        <v>1170</v>
      </c>
      <c r="AP25" t="s">
        <v>43</v>
      </c>
      <c r="AQ25" t="s">
        <v>1171</v>
      </c>
      <c r="AR25" t="s">
        <v>1172</v>
      </c>
      <c r="AS25" t="s">
        <v>1173</v>
      </c>
      <c r="AT25" t="s">
        <v>1174</v>
      </c>
      <c r="AU25" t="s">
        <v>1175</v>
      </c>
      <c r="AV25" t="s">
        <v>1176</v>
      </c>
      <c r="AW25" t="s">
        <v>1177</v>
      </c>
      <c r="AX25" t="s">
        <v>1178</v>
      </c>
      <c r="AY25" t="s">
        <v>366</v>
      </c>
      <c r="AZ25" t="s">
        <v>234</v>
      </c>
      <c r="BA25" t="s">
        <v>119</v>
      </c>
      <c r="BB25" t="s">
        <v>236</v>
      </c>
      <c r="BC25" t="s">
        <v>1179</v>
      </c>
      <c r="BD25" t="s">
        <v>367</v>
      </c>
      <c r="BE25" t="s">
        <v>235</v>
      </c>
      <c r="BF25" t="s">
        <v>120</v>
      </c>
      <c r="BG25" t="s">
        <v>237</v>
      </c>
      <c r="BH25" t="s">
        <v>1180</v>
      </c>
      <c r="BI25" t="s">
        <v>155</v>
      </c>
      <c r="BJ25" t="s">
        <v>1178</v>
      </c>
      <c r="BK25" t="s">
        <v>1181</v>
      </c>
      <c r="BL25" t="s">
        <v>1182</v>
      </c>
      <c r="BM25" t="s">
        <v>1179</v>
      </c>
      <c r="BN25">
        <v>4.0599999999999996</v>
      </c>
      <c r="BO25">
        <v>11.76</v>
      </c>
      <c r="BP25">
        <v>11.52</v>
      </c>
      <c r="BQ25">
        <v>5.49</v>
      </c>
      <c r="BR25">
        <v>16.41</v>
      </c>
      <c r="BS25">
        <v>16.239999999999998</v>
      </c>
      <c r="BT25" t="s">
        <v>603</v>
      </c>
      <c r="BU25" t="s">
        <v>466</v>
      </c>
      <c r="BV25">
        <v>8.65</v>
      </c>
      <c r="BW25">
        <v>26.87</v>
      </c>
      <c r="BX25">
        <v>26.21</v>
      </c>
      <c r="BY25">
        <v>7.29</v>
      </c>
      <c r="BZ25">
        <v>22.36</v>
      </c>
      <c r="CA25">
        <v>17.63</v>
      </c>
      <c r="CB25">
        <v>1.92</v>
      </c>
      <c r="CC25">
        <v>1.92</v>
      </c>
      <c r="CD25" t="s">
        <v>1183</v>
      </c>
      <c r="CE25" t="s">
        <v>1184</v>
      </c>
      <c r="CF25" s="9">
        <v>-6.7141403865717195E-2</v>
      </c>
      <c r="CG25" s="10">
        <v>1.4318649193548387</v>
      </c>
      <c r="CH25" s="9">
        <v>0.29560726881027222</v>
      </c>
      <c r="CI25" s="9">
        <v>-0.10097760707139969</v>
      </c>
      <c r="CJ25" s="9">
        <v>0.26715567708015442</v>
      </c>
      <c r="CK25" s="9">
        <v>-1.3982652686536312E-2</v>
      </c>
      <c r="CL25" s="9">
        <v>3.7345781922340393E-2</v>
      </c>
      <c r="CM25" s="10">
        <v>-1.3147792816162109</v>
      </c>
      <c r="CN25" s="10">
        <v>0.14004375040531158</v>
      </c>
      <c r="CO25" s="10">
        <v>2.7459018230438232</v>
      </c>
      <c r="CP25" s="10">
        <v>0.2281879186630249</v>
      </c>
      <c r="CQ25" s="10">
        <v>-0.31963470578193665</v>
      </c>
      <c r="CR25">
        <v>13.484762979683973</v>
      </c>
      <c r="CS25">
        <v>1.3897563186945834</v>
      </c>
      <c r="CT25">
        <v>5.6497175141242941</v>
      </c>
      <c r="CU25" s="9">
        <v>9.7029693610966208E-2</v>
      </c>
      <c r="CV25" s="10">
        <v>0.29594390094280243</v>
      </c>
      <c r="CW25">
        <v>0.06</v>
      </c>
      <c r="CX25" t="e">
        <v>#VALUE!</v>
      </c>
      <c r="CY25" t="s">
        <v>494</v>
      </c>
      <c r="CZ25">
        <v>9.7029693610966208E-2</v>
      </c>
      <c r="DA25" t="e">
        <v>#VALUE!</v>
      </c>
      <c r="DB25" t="s">
        <v>494</v>
      </c>
      <c r="DC25">
        <v>9.2178208930417893E-2</v>
      </c>
      <c r="DD25" t="e">
        <v>#VALUE!</v>
      </c>
      <c r="DE25" t="s">
        <v>494</v>
      </c>
      <c r="DF25">
        <v>8.5386130377650263E-2</v>
      </c>
      <c r="DG25" t="e">
        <v>#VALUE!</v>
      </c>
      <c r="DH25" t="s">
        <v>494</v>
      </c>
      <c r="DI25">
        <v>7.7623754888772975E-2</v>
      </c>
      <c r="DJ25" t="e">
        <v>#VALUE!</v>
      </c>
      <c r="DK25" t="s">
        <v>494</v>
      </c>
      <c r="DL25">
        <v>6.7920785527676344E-2</v>
      </c>
      <c r="DM25">
        <v>-492000000</v>
      </c>
      <c r="DN25">
        <v>9.7029693610966208E-2</v>
      </c>
      <c r="DO25">
        <v>4476000000</v>
      </c>
      <c r="DP25">
        <v>3495978200</v>
      </c>
      <c r="DQ25">
        <v>3716</v>
      </c>
      <c r="DR25">
        <v>-0.1641710974766834</v>
      </c>
      <c r="DS25">
        <v>1.1359210184120363</v>
      </c>
      <c r="DT25" s="11">
        <v>-0.14000000000000001</v>
      </c>
      <c r="DU25">
        <v>-0.18833333333333335</v>
      </c>
      <c r="DV25">
        <v>-0.32833333333333337</v>
      </c>
      <c r="DW25">
        <v>1.9199999999999998E-2</v>
      </c>
      <c r="DX25">
        <v>0.42945501487343551</v>
      </c>
      <c r="DY25">
        <v>2.8695362855699611E-3</v>
      </c>
      <c r="DZ25">
        <v>3166</v>
      </c>
      <c r="EA25">
        <v>1.0916592053127211E-3</v>
      </c>
      <c r="EB25">
        <v>0</v>
      </c>
      <c r="EC25">
        <v>8.8761333333333328E-3</v>
      </c>
      <c r="ED25">
        <v>5.9389999999999998E-2</v>
      </c>
      <c r="EE25" s="12">
        <v>3.0064099999999998</v>
      </c>
      <c r="EF25">
        <v>3.0202100000000001</v>
      </c>
      <c r="EG25">
        <v>28.149455014873435</v>
      </c>
      <c r="EH25" t="s">
        <v>497</v>
      </c>
      <c r="EI25">
        <v>0</v>
      </c>
      <c r="EJ25">
        <v>0</v>
      </c>
      <c r="EK25" s="8">
        <v>45470</v>
      </c>
      <c r="EL25" s="13">
        <v>0</v>
      </c>
      <c r="EM25" s="13">
        <v>-1.96</v>
      </c>
      <c r="EN25" s="13">
        <v>-0.26</v>
      </c>
      <c r="EO25" s="13">
        <v>0.1</v>
      </c>
      <c r="EP25" s="13">
        <v>-1.38</v>
      </c>
    </row>
    <row r="26" spans="1:146" ht="96" x14ac:dyDescent="0.25">
      <c r="A26" s="6"/>
      <c r="B26" s="6"/>
      <c r="C26" s="6" t="str">
        <f>""&amp;CHAR(10)&amp;Basic_Fundamental_Information_Constructure(F26)&amp;CHAR(10)&amp;Basic_Fundamental_Information_Concatenate("")</f>
        <v xml:space="preserve">
市值33.539677亿, 利润67.17亿; PE33.04; 平均PE4.06; 平均PEG0, PB2.35; ROIC5.49%; ROE8.1533%; 股利率0%; 毛利15.66%; 净利3.2967%; 上一年度营收增8138.32%, 利润增8115.27%; 当季营收增-99.07%, 利润增-98.04%; 过往5年营收增1622.77%, 利润增1278.32%
Income profile:
</v>
      </c>
      <c r="D26" t="s">
        <v>123</v>
      </c>
      <c r="E26" t="s">
        <v>238</v>
      </c>
      <c r="F26">
        <v>2.89</v>
      </c>
      <c r="G26">
        <v>2.12</v>
      </c>
      <c r="H26" t="s">
        <v>1185</v>
      </c>
      <c r="I26">
        <v>3353967700</v>
      </c>
      <c r="J26">
        <v>33.04</v>
      </c>
      <c r="K26">
        <v>2.35</v>
      </c>
      <c r="L26" t="s">
        <v>39</v>
      </c>
      <c r="M26" t="s">
        <v>1186</v>
      </c>
      <c r="N26" t="s">
        <v>1187</v>
      </c>
      <c r="O26" t="s">
        <v>1188</v>
      </c>
      <c r="P26">
        <v>-10.11</v>
      </c>
      <c r="Q26" t="s">
        <v>1189</v>
      </c>
      <c r="R26">
        <v>35479693</v>
      </c>
      <c r="S26" s="5">
        <v>2.75E-2</v>
      </c>
      <c r="T26" t="s">
        <v>1190</v>
      </c>
      <c r="U26">
        <v>1160542450</v>
      </c>
      <c r="V26">
        <v>1160542450</v>
      </c>
      <c r="W26">
        <v>2.27</v>
      </c>
      <c r="X26">
        <v>0.19</v>
      </c>
      <c r="Y26">
        <v>5.92</v>
      </c>
      <c r="Z26" t="s">
        <v>1191</v>
      </c>
      <c r="AA26" t="s">
        <v>469</v>
      </c>
      <c r="AB26" t="s">
        <v>1192</v>
      </c>
      <c r="AC26" t="s">
        <v>1193</v>
      </c>
      <c r="AD26" t="s">
        <v>43</v>
      </c>
      <c r="AE26">
        <v>1199712</v>
      </c>
      <c r="AF26" t="s">
        <v>1194</v>
      </c>
      <c r="AG26" t="s">
        <v>1195</v>
      </c>
      <c r="AH26" t="s">
        <v>1196</v>
      </c>
      <c r="AI26" t="s">
        <v>482</v>
      </c>
      <c r="AJ26" t="s">
        <v>1197</v>
      </c>
      <c r="AK26" t="s">
        <v>1198</v>
      </c>
      <c r="AL26" t="s">
        <v>1199</v>
      </c>
      <c r="AM26" t="s">
        <v>43</v>
      </c>
      <c r="AN26" t="s">
        <v>86</v>
      </c>
      <c r="AO26" t="s">
        <v>1200</v>
      </c>
      <c r="AP26" t="s">
        <v>481</v>
      </c>
      <c r="AQ26" t="s">
        <v>1201</v>
      </c>
      <c r="AR26" t="s">
        <v>43</v>
      </c>
      <c r="AS26" t="s">
        <v>1202</v>
      </c>
      <c r="AT26" t="s">
        <v>43</v>
      </c>
      <c r="AU26" t="s">
        <v>1203</v>
      </c>
      <c r="AV26" t="s">
        <v>1204</v>
      </c>
      <c r="AW26" t="s">
        <v>878</v>
      </c>
      <c r="AX26" t="s">
        <v>53</v>
      </c>
      <c r="AY26" t="s">
        <v>368</v>
      </c>
      <c r="AZ26" t="s">
        <v>239</v>
      </c>
      <c r="BA26" t="s">
        <v>124</v>
      </c>
      <c r="BB26" t="s">
        <v>241</v>
      </c>
      <c r="BC26" t="s">
        <v>1205</v>
      </c>
      <c r="BD26" t="s">
        <v>369</v>
      </c>
      <c r="BE26" t="s">
        <v>240</v>
      </c>
      <c r="BF26" t="s">
        <v>125</v>
      </c>
      <c r="BG26" t="s">
        <v>242</v>
      </c>
      <c r="BH26" t="s">
        <v>1206</v>
      </c>
      <c r="BI26" t="s">
        <v>1207</v>
      </c>
      <c r="BJ26" t="s">
        <v>53</v>
      </c>
      <c r="BK26" t="s">
        <v>189</v>
      </c>
      <c r="BL26" t="s">
        <v>1208</v>
      </c>
      <c r="BM26" t="s">
        <v>1205</v>
      </c>
      <c r="BN26">
        <v>6.4</v>
      </c>
      <c r="BO26">
        <v>5.13</v>
      </c>
      <c r="BP26">
        <v>4.9400000000000004</v>
      </c>
      <c r="BQ26">
        <v>8.6999999999999993</v>
      </c>
      <c r="BR26">
        <v>6.52</v>
      </c>
      <c r="BS26">
        <v>9.24</v>
      </c>
      <c r="BT26" t="s">
        <v>599</v>
      </c>
      <c r="BU26" t="s">
        <v>470</v>
      </c>
      <c r="BV26">
        <v>16.690000000000001</v>
      </c>
      <c r="BW26">
        <v>16.29</v>
      </c>
      <c r="BX26">
        <v>14</v>
      </c>
      <c r="BY26">
        <v>3.56</v>
      </c>
      <c r="BZ26">
        <v>3.05</v>
      </c>
      <c r="CA26">
        <v>3.28</v>
      </c>
      <c r="CB26">
        <v>0.35</v>
      </c>
      <c r="CC26">
        <v>-12.16</v>
      </c>
      <c r="CD26" t="s">
        <v>1209</v>
      </c>
      <c r="CE26" t="s">
        <v>1210</v>
      </c>
      <c r="CF26" s="9">
        <v>-0.99070595512907556</v>
      </c>
      <c r="CG26" s="10">
        <v>-0.98043039547710975</v>
      </c>
      <c r="CH26" s="9">
        <v>81.38323974609375</v>
      </c>
      <c r="CI26" s="9">
        <v>0.11419249325990677</v>
      </c>
      <c r="CJ26" s="9">
        <v>0.44831666350364685</v>
      </c>
      <c r="CK26" s="9">
        <v>-0.44217467308044434</v>
      </c>
      <c r="CL26" s="9">
        <v>-0.36506277322769165</v>
      </c>
      <c r="CM26" s="10">
        <v>81.152679443359375</v>
      </c>
      <c r="CN26" s="10">
        <v>-4.129936546087265E-2</v>
      </c>
      <c r="CO26" s="10">
        <v>1.0834487676620483</v>
      </c>
      <c r="CP26" s="10">
        <v>-5.7971015572547913E-2</v>
      </c>
      <c r="CQ26" s="10">
        <v>-18.221031188964844</v>
      </c>
      <c r="CR26">
        <v>4.063657595223658</v>
      </c>
      <c r="CS26">
        <v>2.5041484754128162E-3</v>
      </c>
      <c r="CT26">
        <v>0</v>
      </c>
      <c r="CU26" s="9">
        <v>16.227702291309832</v>
      </c>
      <c r="CV26" s="10">
        <v>12.783165328204632</v>
      </c>
      <c r="CW26">
        <v>0.06</v>
      </c>
      <c r="CX26">
        <v>3.3150330742017946E-2</v>
      </c>
      <c r="CY26">
        <v>109168373859.17749</v>
      </c>
      <c r="CZ26">
        <v>16.227702291309832</v>
      </c>
      <c r="DA26">
        <v>1.3571505352409226E-4</v>
      </c>
      <c r="DB26">
        <v>26665926925766.992</v>
      </c>
      <c r="DC26">
        <v>15.416317176744339</v>
      </c>
      <c r="DD26">
        <v>5.5874937740001115E-8</v>
      </c>
      <c r="DE26">
        <v>6.4769069038428032E+16</v>
      </c>
      <c r="DF26">
        <v>14.280378016352651</v>
      </c>
      <c r="DG26">
        <v>3.122379004563081E-12</v>
      </c>
      <c r="DH26">
        <v>1.1590417738241253E+21</v>
      </c>
      <c r="DI26">
        <v>12.982161833047867</v>
      </c>
      <c r="DJ26">
        <v>2.2837195627754748E-22</v>
      </c>
      <c r="DK26">
        <v>1.5846813063166814E+31</v>
      </c>
      <c r="DL26">
        <v>11.359391603916881</v>
      </c>
      <c r="DM26">
        <v>6717000000</v>
      </c>
      <c r="DN26">
        <v>16.227702291309832</v>
      </c>
      <c r="DO26">
        <v>3618967700</v>
      </c>
      <c r="DP26">
        <v>1029938899.9999998</v>
      </c>
      <c r="DQ26">
        <v>3743</v>
      </c>
      <c r="DR26">
        <v>-17.218408246438909</v>
      </c>
      <c r="DS26">
        <v>-13.763595723681741</v>
      </c>
      <c r="DT26" s="11">
        <v>-0.2233333333333333</v>
      </c>
      <c r="DU26">
        <v>-0.90666666666666662</v>
      </c>
      <c r="DV26">
        <v>-1.1299999999999999</v>
      </c>
      <c r="DW26">
        <v>-2.1215999999999999</v>
      </c>
      <c r="DX26">
        <v>0.36580257352941214</v>
      </c>
      <c r="DY26">
        <v>-2.0177295929411763</v>
      </c>
      <c r="DZ26">
        <v>2669</v>
      </c>
      <c r="EA26">
        <v>-2.0084692634773798</v>
      </c>
      <c r="EB26">
        <v>2</v>
      </c>
      <c r="EC26">
        <v>3.4172209728304211E-2</v>
      </c>
      <c r="ED26">
        <v>0.23437315886204765</v>
      </c>
      <c r="EE26" s="12">
        <v>5.7210000000000004E-2</v>
      </c>
      <c r="EF26">
        <v>7.8810000000000005E-2</v>
      </c>
      <c r="EG26">
        <v>22.145802573529412</v>
      </c>
      <c r="EH26">
        <v>-1</v>
      </c>
      <c r="EI26">
        <v>0</v>
      </c>
      <c r="EJ26">
        <v>0</v>
      </c>
      <c r="EK26" s="8">
        <v>45470</v>
      </c>
      <c r="EL26" s="13">
        <v>0.36</v>
      </c>
      <c r="EM26" s="13">
        <v>-1.77</v>
      </c>
      <c r="EN26" s="13">
        <v>-1.26</v>
      </c>
      <c r="EO26" s="13">
        <v>1.65</v>
      </c>
      <c r="EP26" s="13">
        <v>-2.16</v>
      </c>
    </row>
    <row r="27" spans="1:146" ht="96" x14ac:dyDescent="0.25">
      <c r="A27" s="6"/>
      <c r="B27" s="6"/>
      <c r="C27" s="6" t="str">
        <f>""&amp;CHAR(10)&amp;Basic_Fundamental_Information_Constructure(F27)&amp;CHAR(10)&amp;Basic_Fundamental_Information_Concatenate("")</f>
        <v xml:space="preserve">
市值89.135786亿, 利润7.46亿; PE17; 平均PE24.99; 平均PEG.15, PB1.97; ROIC7.5567%; ROE9.6433%; 股利率1.5984%; 毛利23.0067%; 净利8.7933%; 上一年度营收增804.94%, 利润增177.32%; 当季营收增-80.15%, 利润增106.22%; 过往5年营收增170.55%, 利润增68%
Income profile:
</v>
      </c>
      <c r="D27" t="s">
        <v>126</v>
      </c>
      <c r="E27" t="s">
        <v>13</v>
      </c>
      <c r="F27">
        <v>10.01</v>
      </c>
      <c r="G27">
        <v>2.67</v>
      </c>
      <c r="H27" t="s">
        <v>1211</v>
      </c>
      <c r="I27">
        <v>8913578600</v>
      </c>
      <c r="J27">
        <v>17</v>
      </c>
      <c r="K27">
        <v>1.97</v>
      </c>
      <c r="L27" t="s">
        <v>39</v>
      </c>
      <c r="M27" t="s">
        <v>1212</v>
      </c>
      <c r="N27" t="s">
        <v>1213</v>
      </c>
      <c r="O27" t="s">
        <v>1214</v>
      </c>
      <c r="P27">
        <v>51.72</v>
      </c>
      <c r="Q27" t="s">
        <v>1215</v>
      </c>
      <c r="R27">
        <v>149800220</v>
      </c>
      <c r="S27" s="5">
        <v>1.0109999999999999</v>
      </c>
      <c r="T27" t="s">
        <v>538</v>
      </c>
      <c r="U27">
        <v>887623100</v>
      </c>
      <c r="V27">
        <v>890467390</v>
      </c>
      <c r="W27">
        <v>2.39</v>
      </c>
      <c r="X27">
        <v>0.14000000000000001</v>
      </c>
      <c r="Y27">
        <v>10.17</v>
      </c>
      <c r="Z27" t="s">
        <v>1216</v>
      </c>
      <c r="AA27" t="s">
        <v>1217</v>
      </c>
      <c r="AB27" t="s">
        <v>1218</v>
      </c>
      <c r="AC27" t="s">
        <v>1219</v>
      </c>
      <c r="AD27" t="s">
        <v>43</v>
      </c>
      <c r="AE27">
        <v>23164705</v>
      </c>
      <c r="AF27" t="s">
        <v>1220</v>
      </c>
      <c r="AG27" t="s">
        <v>1221</v>
      </c>
      <c r="AH27" t="s">
        <v>1222</v>
      </c>
      <c r="AI27" t="s">
        <v>1223</v>
      </c>
      <c r="AJ27" t="s">
        <v>1224</v>
      </c>
      <c r="AK27" t="s">
        <v>161</v>
      </c>
      <c r="AL27" t="s">
        <v>1225</v>
      </c>
      <c r="AM27" t="s">
        <v>43</v>
      </c>
      <c r="AN27" t="s">
        <v>1226</v>
      </c>
      <c r="AO27" t="s">
        <v>485</v>
      </c>
      <c r="AP27" t="s">
        <v>1227</v>
      </c>
      <c r="AQ27" t="s">
        <v>1228</v>
      </c>
      <c r="AR27" t="s">
        <v>1229</v>
      </c>
      <c r="AS27" t="s">
        <v>1230</v>
      </c>
      <c r="AT27" t="s">
        <v>1231</v>
      </c>
      <c r="AU27" t="s">
        <v>1232</v>
      </c>
      <c r="AV27" t="s">
        <v>1233</v>
      </c>
      <c r="AW27" t="s">
        <v>206</v>
      </c>
      <c r="AX27" t="s">
        <v>1234</v>
      </c>
      <c r="AY27" t="s">
        <v>370</v>
      </c>
      <c r="AZ27" t="s">
        <v>243</v>
      </c>
      <c r="BA27" t="s">
        <v>127</v>
      </c>
      <c r="BB27" t="s">
        <v>244</v>
      </c>
      <c r="BC27" t="s">
        <v>348</v>
      </c>
      <c r="BD27" t="s">
        <v>371</v>
      </c>
      <c r="BE27" t="s">
        <v>130</v>
      </c>
      <c r="BF27" t="s">
        <v>128</v>
      </c>
      <c r="BG27" t="s">
        <v>245</v>
      </c>
      <c r="BH27" t="s">
        <v>1235</v>
      </c>
      <c r="BI27" t="s">
        <v>1236</v>
      </c>
      <c r="BJ27" t="s">
        <v>1234</v>
      </c>
      <c r="BK27" t="s">
        <v>334</v>
      </c>
      <c r="BL27" t="s">
        <v>1237</v>
      </c>
      <c r="BM27" t="s">
        <v>348</v>
      </c>
      <c r="BN27">
        <v>5.48</v>
      </c>
      <c r="BO27">
        <v>6.14</v>
      </c>
      <c r="BP27">
        <v>11.05</v>
      </c>
      <c r="BQ27">
        <v>7.74</v>
      </c>
      <c r="BR27">
        <v>7.03</v>
      </c>
      <c r="BS27">
        <v>14.16</v>
      </c>
      <c r="BT27" t="s">
        <v>1238</v>
      </c>
      <c r="BU27" t="s">
        <v>470</v>
      </c>
      <c r="BV27">
        <v>21.79</v>
      </c>
      <c r="BW27">
        <v>21.69</v>
      </c>
      <c r="BX27">
        <v>25.54</v>
      </c>
      <c r="BY27">
        <v>8.81</v>
      </c>
      <c r="BZ27">
        <v>6.69</v>
      </c>
      <c r="CA27">
        <v>10.88</v>
      </c>
      <c r="CB27">
        <v>-1.18</v>
      </c>
      <c r="CC27">
        <v>-11.96</v>
      </c>
      <c r="CD27" t="s">
        <v>1239</v>
      </c>
      <c r="CE27" t="s">
        <v>1240</v>
      </c>
      <c r="CF27" s="9">
        <v>-0.80153700957260343</v>
      </c>
      <c r="CG27" s="10">
        <v>1.062247571218335</v>
      </c>
      <c r="CH27" s="9">
        <v>8.0493888854980469</v>
      </c>
      <c r="CI27" s="9">
        <v>-5.825699120759964E-2</v>
      </c>
      <c r="CJ27" s="9">
        <v>0.70211917161941528</v>
      </c>
      <c r="CK27" s="9">
        <v>-7.0605769753456116E-2</v>
      </c>
      <c r="CL27" s="9">
        <v>-9.5158055424690247E-2</v>
      </c>
      <c r="CM27" s="10">
        <v>1.7732342481613159</v>
      </c>
      <c r="CN27" s="10">
        <v>-0.42025861144065857</v>
      </c>
      <c r="CO27" s="10">
        <v>2.8666665554046631</v>
      </c>
      <c r="CP27" s="10">
        <v>-0.38775509595870972</v>
      </c>
      <c r="CQ27" s="10">
        <v>-0.4318840503692627</v>
      </c>
      <c r="CR27">
        <v>24.991341869158877</v>
      </c>
      <c r="CS27">
        <v>0.1465340326150664</v>
      </c>
      <c r="CT27">
        <v>1.5984015984015985</v>
      </c>
      <c r="CU27" s="9">
        <v>1.7054974481463432</v>
      </c>
      <c r="CV27" s="10">
        <v>0.68000060915946958</v>
      </c>
      <c r="CW27">
        <v>0.06</v>
      </c>
      <c r="CX27">
        <v>5.4775540360023038</v>
      </c>
      <c r="CY27">
        <v>1904057638.035068</v>
      </c>
      <c r="CZ27">
        <v>1.7054974481463432</v>
      </c>
      <c r="DA27">
        <v>0.59024005076602781</v>
      </c>
      <c r="DB27">
        <v>17670062521.959057</v>
      </c>
      <c r="DC27">
        <v>1.6202225757390261</v>
      </c>
      <c r="DD27">
        <v>4.6979155849794653E-2</v>
      </c>
      <c r="DE27">
        <v>222004384952.04651</v>
      </c>
      <c r="DF27">
        <v>1.5008377543687821</v>
      </c>
      <c r="DG27">
        <v>2.5305378026877941E-3</v>
      </c>
      <c r="DH27">
        <v>4121486977559.5889</v>
      </c>
      <c r="DI27">
        <v>1.3643979585170747</v>
      </c>
      <c r="DJ27">
        <v>3.4742595402508333E-6</v>
      </c>
      <c r="DK27">
        <v>3001957245614128.5</v>
      </c>
      <c r="DL27">
        <v>1.1938482137024402</v>
      </c>
      <c r="DM27">
        <v>746000000</v>
      </c>
      <c r="DN27">
        <v>1.7054974481463432</v>
      </c>
      <c r="DO27">
        <v>10429578600</v>
      </c>
      <c r="DP27">
        <v>615861200</v>
      </c>
      <c r="DQ27">
        <v>3891</v>
      </c>
      <c r="DR27">
        <v>-2.5070344577189467</v>
      </c>
      <c r="DS27">
        <v>0.38224696205886544</v>
      </c>
      <c r="DT27" s="11">
        <v>0.12666666666666662</v>
      </c>
      <c r="DU27">
        <v>0.82500000000000007</v>
      </c>
      <c r="DV27">
        <v>0.95166666666666666</v>
      </c>
      <c r="DW27">
        <v>-2.1196000000000002</v>
      </c>
      <c r="DX27">
        <v>0.53410304878048975</v>
      </c>
      <c r="DY27">
        <v>-2.0196267246341462</v>
      </c>
      <c r="DZ27">
        <v>2460</v>
      </c>
      <c r="EA27">
        <v>-2.0101782427163379</v>
      </c>
      <c r="EB27">
        <v>2</v>
      </c>
      <c r="EC27">
        <v>3.0223341474638392E-2</v>
      </c>
      <c r="ED27">
        <v>0.18417294315516708</v>
      </c>
      <c r="EE27" s="12">
        <v>-2.1190000000000002</v>
      </c>
      <c r="EF27">
        <v>-2.1105999999999998</v>
      </c>
      <c r="EG27">
        <v>37.16410304878049</v>
      </c>
      <c r="EH27" t="s">
        <v>761</v>
      </c>
      <c r="EI27">
        <v>0</v>
      </c>
      <c r="EJ27">
        <v>0</v>
      </c>
      <c r="EK27" s="8">
        <v>45470</v>
      </c>
      <c r="EL27" s="13">
        <v>1.1499999999999999</v>
      </c>
      <c r="EM27" s="13">
        <v>-2.4700000000000002</v>
      </c>
      <c r="EN27" s="13">
        <v>0.53</v>
      </c>
      <c r="EO27" s="13">
        <v>0.74</v>
      </c>
      <c r="EP27" s="13">
        <v>-0.84</v>
      </c>
    </row>
    <row r="28" spans="1:146" ht="96" x14ac:dyDescent="0.25">
      <c r="C28" s="6" t="str">
        <f>""&amp;CHAR(10)&amp;Basic_Fundamental_Information_Constructure(F28)&amp;CHAR(10)&amp;Basic_Fundamental_Information_Concatenate("")</f>
        <v xml:space="preserve">
市值16.4488亿, 利润2.50亿; PE14.43; 平均PE13.33; 平均PEG.57, PB1.25; ROIC12.79%; ROE12.05%; 股利率2.1157%; 毛利27.1367%; 净利15.12%; 上一年度营收增127.72%, 利润增127.27%; 当季营收增-56%, 利润增-32.93%; 过往5年营收增23.26%, 利润增33.91%
Income profile:
</v>
      </c>
      <c r="D28" t="s">
        <v>1241</v>
      </c>
      <c r="E28" t="s">
        <v>1242</v>
      </c>
      <c r="F28">
        <v>14.18</v>
      </c>
      <c r="G28">
        <v>0.42</v>
      </c>
      <c r="H28" t="s">
        <v>1243</v>
      </c>
      <c r="I28">
        <v>1644880000</v>
      </c>
      <c r="J28">
        <v>14.43</v>
      </c>
      <c r="K28">
        <v>1.25</v>
      </c>
      <c r="L28" t="s">
        <v>39</v>
      </c>
      <c r="M28" t="s">
        <v>228</v>
      </c>
      <c r="N28" t="s">
        <v>1244</v>
      </c>
      <c r="O28" t="s">
        <v>500</v>
      </c>
      <c r="P28" s="5">
        <v>1.62</v>
      </c>
      <c r="Q28" t="s">
        <v>1245</v>
      </c>
      <c r="R28">
        <v>27823319</v>
      </c>
      <c r="S28">
        <v>0.56789999999999996</v>
      </c>
      <c r="T28" t="s">
        <v>1246</v>
      </c>
      <c r="U28">
        <v>37422305</v>
      </c>
      <c r="V28">
        <v>116000000</v>
      </c>
      <c r="W28">
        <v>1.21</v>
      </c>
      <c r="X28">
        <v>0.1</v>
      </c>
      <c r="Y28">
        <v>16.84</v>
      </c>
      <c r="Z28" t="s">
        <v>221</v>
      </c>
      <c r="AA28" t="s">
        <v>998</v>
      </c>
      <c r="AB28" t="s">
        <v>1247</v>
      </c>
      <c r="AC28" t="s">
        <v>1248</v>
      </c>
      <c r="AD28" t="s">
        <v>43</v>
      </c>
      <c r="AE28">
        <v>-5176941</v>
      </c>
      <c r="AF28" t="s">
        <v>1249</v>
      </c>
      <c r="AG28" t="s">
        <v>1250</v>
      </c>
      <c r="AH28" t="s">
        <v>1251</v>
      </c>
      <c r="AI28" t="s">
        <v>1252</v>
      </c>
      <c r="AJ28" t="s">
        <v>1253</v>
      </c>
      <c r="AK28" t="s">
        <v>1254</v>
      </c>
      <c r="AL28" t="s">
        <v>1255</v>
      </c>
      <c r="AM28" t="s">
        <v>43</v>
      </c>
      <c r="AN28" t="s">
        <v>1256</v>
      </c>
      <c r="AO28" t="s">
        <v>811</v>
      </c>
      <c r="AP28" t="s">
        <v>43</v>
      </c>
      <c r="AQ28" t="s">
        <v>1257</v>
      </c>
      <c r="AR28" t="s">
        <v>1258</v>
      </c>
      <c r="AS28" t="s">
        <v>1259</v>
      </c>
      <c r="AT28" t="s">
        <v>43</v>
      </c>
      <c r="AU28" t="s">
        <v>1260</v>
      </c>
      <c r="AV28" t="s">
        <v>1261</v>
      </c>
      <c r="AW28" t="s">
        <v>1262</v>
      </c>
      <c r="AX28" t="s">
        <v>308</v>
      </c>
      <c r="AY28" t="s">
        <v>1263</v>
      </c>
      <c r="AZ28" t="s">
        <v>1264</v>
      </c>
      <c r="BA28" t="s">
        <v>211</v>
      </c>
      <c r="BB28" t="s">
        <v>1265</v>
      </c>
      <c r="BC28" t="s">
        <v>86</v>
      </c>
      <c r="BD28" t="s">
        <v>201</v>
      </c>
      <c r="BE28" t="s">
        <v>1266</v>
      </c>
      <c r="BF28" t="s">
        <v>1267</v>
      </c>
      <c r="BG28" t="s">
        <v>1268</v>
      </c>
      <c r="BH28" t="s">
        <v>615</v>
      </c>
      <c r="BI28" t="s">
        <v>1269</v>
      </c>
      <c r="BJ28" t="s">
        <v>308</v>
      </c>
      <c r="BK28" t="s">
        <v>113</v>
      </c>
      <c r="BL28" t="s">
        <v>1270</v>
      </c>
      <c r="BM28" t="s">
        <v>86</v>
      </c>
      <c r="BN28">
        <v>6.28</v>
      </c>
      <c r="BO28">
        <v>13.66</v>
      </c>
      <c r="BP28">
        <v>18.43</v>
      </c>
      <c r="BQ28">
        <v>7.66</v>
      </c>
      <c r="BR28">
        <v>16.440000000000001</v>
      </c>
      <c r="BS28" t="s">
        <v>43</v>
      </c>
      <c r="BT28" t="s">
        <v>603</v>
      </c>
      <c r="BU28" t="s">
        <v>470</v>
      </c>
      <c r="BV28">
        <v>25.09</v>
      </c>
      <c r="BW28">
        <v>26.87</v>
      </c>
      <c r="BX28">
        <v>29.45</v>
      </c>
      <c r="BY28">
        <v>14.65</v>
      </c>
      <c r="BZ28">
        <v>14.93</v>
      </c>
      <c r="CA28">
        <v>15.78</v>
      </c>
      <c r="CB28">
        <v>-1.94</v>
      </c>
      <c r="CC28" s="9">
        <v>-11.32</v>
      </c>
      <c r="CD28" s="10" t="s">
        <v>1271</v>
      </c>
      <c r="CE28" s="9" t="s">
        <v>1272</v>
      </c>
      <c r="CF28" s="9">
        <v>-0.56000000000000005</v>
      </c>
      <c r="CG28" s="9">
        <v>-0.32928544395187448</v>
      </c>
      <c r="CH28" s="9">
        <v>1.2771738767623901</v>
      </c>
      <c r="CI28" s="9">
        <v>-0.11325301229953766</v>
      </c>
      <c r="CJ28" s="10">
        <v>0.33012819290161133</v>
      </c>
      <c r="CK28" s="10">
        <v>-0.27861270308494568</v>
      </c>
      <c r="CL28" s="10">
        <v>-5.2573930472135544E-2</v>
      </c>
      <c r="CM28" s="10">
        <v>1.2727272510528564</v>
      </c>
      <c r="CN28" s="10">
        <v>-0.16030533611774445</v>
      </c>
      <c r="CO28">
        <v>0.40143069624900818</v>
      </c>
      <c r="CP28">
        <v>0.2317386120557785</v>
      </c>
      <c r="CQ28">
        <v>-4.986465722322464E-2</v>
      </c>
      <c r="CR28" s="9">
        <v>13.332585825495196</v>
      </c>
      <c r="CS28" s="10">
        <v>0.57326582889497579</v>
      </c>
      <c r="CT28">
        <v>2.1156558533145278</v>
      </c>
      <c r="CU28">
        <v>0.23257248476147652</v>
      </c>
      <c r="CV28">
        <v>0.3391453132033348</v>
      </c>
      <c r="CW28">
        <v>0.06</v>
      </c>
      <c r="CX28">
        <v>2.1426822622209358</v>
      </c>
      <c r="CY28">
        <v>290701057.72676331</v>
      </c>
      <c r="CZ28">
        <v>0.23257248476147652</v>
      </c>
      <c r="DA28">
        <v>0.62183573016063309</v>
      </c>
      <c r="DB28">
        <v>1001679333.9281054</v>
      </c>
      <c r="DC28">
        <v>0.22094386052340267</v>
      </c>
      <c r="DD28">
        <v>0.25914290952196795</v>
      </c>
      <c r="DE28">
        <v>2403615831.7007608</v>
      </c>
      <c r="DF28">
        <v>0.20466378659009934</v>
      </c>
      <c r="DG28">
        <v>0.12754997324731898</v>
      </c>
      <c r="DH28">
        <v>4883419291.6076727</v>
      </c>
      <c r="DI28">
        <v>0.18605798780918123</v>
      </c>
      <c r="DJ28">
        <v>4.1035512596680548E-2</v>
      </c>
      <c r="DK28">
        <v>15179047624.480902</v>
      </c>
      <c r="DL28">
        <v>0.16280073933303355</v>
      </c>
      <c r="DM28">
        <v>250000000</v>
      </c>
      <c r="DN28">
        <v>0.23257248476147652</v>
      </c>
      <c r="DO28">
        <v>622880000</v>
      </c>
      <c r="DP28">
        <v>745730460</v>
      </c>
      <c r="DQ28" s="11">
        <v>3907</v>
      </c>
      <c r="DR28">
        <v>-0.79257248476147657</v>
      </c>
      <c r="DS28">
        <v>-0.66843075715520928</v>
      </c>
      <c r="DT28">
        <v>-9.0000000000000011E-2</v>
      </c>
      <c r="DU28">
        <v>0.21333333333333335</v>
      </c>
      <c r="DV28">
        <v>0.12333333333333334</v>
      </c>
      <c r="DW28">
        <v>-2.1132</v>
      </c>
      <c r="DX28">
        <v>0.28704636098279412</v>
      </c>
      <c r="DY28">
        <v>-2.013249648063252</v>
      </c>
      <c r="DZ28">
        <v>2432</v>
      </c>
      <c r="EA28">
        <v>-2.0069437490241464</v>
      </c>
      <c r="EB28" s="12">
        <v>2</v>
      </c>
      <c r="EC28" s="12">
        <v>2.3022413793103449E-2</v>
      </c>
      <c r="ED28">
        <v>0.19669482758620691</v>
      </c>
      <c r="EE28">
        <v>0.10980999999999999</v>
      </c>
      <c r="EF28">
        <v>0.12951000000000001</v>
      </c>
      <c r="EG28">
        <v>17.117046360982794</v>
      </c>
      <c r="EH28" s="8">
        <v>-1</v>
      </c>
      <c r="EI28">
        <v>0</v>
      </c>
      <c r="EJ28">
        <v>0</v>
      </c>
      <c r="EK28">
        <v>45470</v>
      </c>
      <c r="EL28">
        <v>1.85</v>
      </c>
      <c r="EM28">
        <v>-2.84</v>
      </c>
      <c r="EN28" s="13">
        <v>1.22</v>
      </c>
      <c r="EO28" s="13">
        <v>1.52</v>
      </c>
      <c r="EP28" s="13">
        <v>-1.97</v>
      </c>
    </row>
    <row r="29" spans="1:146" ht="96" x14ac:dyDescent="0.25">
      <c r="C29" s="6" t="str">
        <f>""&amp;CHAR(10)&amp;Basic_Fundamental_Information_Constructure(F29)&amp;CHAR(10)&amp;Basic_Fundamental_Information_Concatenate("")</f>
        <v xml:space="preserve">
市值23.927471亿, 利润-5424.56万; PE19.24; 平均PE33.96; 平均PEG30.25, PB1.83; ROIC11.8067%; ROE16.3967%; 股利率1.5517%; 毛利11.3733%; 净利5.8333%; 上一年度营收增-44.26%, 利润增-153.71%; 当季营收增169.46%, 利润增246.11%; 过往5年营收增-1.12%, 利润增-15.7%
Income profile:
</v>
      </c>
      <c r="D29" t="s">
        <v>586</v>
      </c>
      <c r="E29" t="s">
        <v>587</v>
      </c>
      <c r="F29">
        <v>17.399999999999999</v>
      </c>
      <c r="G29">
        <v>0.57999999999999996</v>
      </c>
      <c r="H29" t="s">
        <v>1273</v>
      </c>
      <c r="I29">
        <v>2392747100</v>
      </c>
      <c r="J29">
        <v>19.239999999999998</v>
      </c>
      <c r="K29">
        <v>1.83</v>
      </c>
      <c r="L29" t="s">
        <v>39</v>
      </c>
      <c r="M29" t="s">
        <v>1274</v>
      </c>
      <c r="N29" t="s">
        <v>1275</v>
      </c>
      <c r="O29" t="s">
        <v>1276</v>
      </c>
      <c r="P29" s="5">
        <v>20.46</v>
      </c>
      <c r="Q29" t="s">
        <v>1277</v>
      </c>
      <c r="R29">
        <v>24118672</v>
      </c>
      <c r="S29">
        <v>0.25690000000000002</v>
      </c>
      <c r="T29" t="s">
        <v>1278</v>
      </c>
      <c r="U29">
        <v>51063450</v>
      </c>
      <c r="V29">
        <v>137514200</v>
      </c>
      <c r="W29">
        <v>1.69</v>
      </c>
      <c r="X29">
        <v>0.23</v>
      </c>
      <c r="Y29">
        <v>4.41</v>
      </c>
      <c r="Z29" t="s">
        <v>1279</v>
      </c>
      <c r="AA29" t="s">
        <v>1280</v>
      </c>
      <c r="AB29" t="s">
        <v>1281</v>
      </c>
      <c r="AC29" t="s">
        <v>1282</v>
      </c>
      <c r="AD29" t="s">
        <v>43</v>
      </c>
      <c r="AE29">
        <v>1702278</v>
      </c>
      <c r="AF29" t="s">
        <v>1283</v>
      </c>
      <c r="AG29" t="s">
        <v>1284</v>
      </c>
      <c r="AH29" t="s">
        <v>1285</v>
      </c>
      <c r="AI29" t="s">
        <v>179</v>
      </c>
      <c r="AJ29" t="s">
        <v>1286</v>
      </c>
      <c r="AK29" t="s">
        <v>1287</v>
      </c>
      <c r="AL29" t="s">
        <v>1288</v>
      </c>
      <c r="AM29" t="s">
        <v>43</v>
      </c>
      <c r="AN29" t="s">
        <v>86</v>
      </c>
      <c r="AO29" t="s">
        <v>550</v>
      </c>
      <c r="AP29" t="s">
        <v>1289</v>
      </c>
      <c r="AQ29" t="s">
        <v>1290</v>
      </c>
      <c r="AR29" t="s">
        <v>43</v>
      </c>
      <c r="AS29" t="s">
        <v>1291</v>
      </c>
      <c r="AT29" t="s">
        <v>43</v>
      </c>
      <c r="AU29" t="s">
        <v>1292</v>
      </c>
      <c r="AV29" t="s">
        <v>1293</v>
      </c>
      <c r="AW29" t="s">
        <v>1232</v>
      </c>
      <c r="AX29" t="s">
        <v>1294</v>
      </c>
      <c r="AY29" t="s">
        <v>588</v>
      </c>
      <c r="AZ29" t="s">
        <v>591</v>
      </c>
      <c r="BA29" t="s">
        <v>592</v>
      </c>
      <c r="BB29" t="s">
        <v>593</v>
      </c>
      <c r="BC29" t="s">
        <v>189</v>
      </c>
      <c r="BD29" t="s">
        <v>130</v>
      </c>
      <c r="BE29" t="s">
        <v>323</v>
      </c>
      <c r="BF29" t="s">
        <v>594</v>
      </c>
      <c r="BG29" t="s">
        <v>595</v>
      </c>
      <c r="BH29" t="s">
        <v>1295</v>
      </c>
      <c r="BI29" t="s">
        <v>539</v>
      </c>
      <c r="BJ29" t="s">
        <v>1294</v>
      </c>
      <c r="BK29" t="s">
        <v>114</v>
      </c>
      <c r="BL29" t="s">
        <v>1296</v>
      </c>
      <c r="BM29" t="s">
        <v>189</v>
      </c>
      <c r="BN29">
        <v>5.66</v>
      </c>
      <c r="BO29">
        <v>9.43</v>
      </c>
      <c r="BP29">
        <v>20.329999999999998</v>
      </c>
      <c r="BQ29">
        <v>7.14</v>
      </c>
      <c r="BR29">
        <v>16.25</v>
      </c>
      <c r="BS29">
        <v>25.8</v>
      </c>
      <c r="BT29" t="s">
        <v>1297</v>
      </c>
      <c r="BU29" t="s">
        <v>470</v>
      </c>
      <c r="BV29">
        <v>10.7</v>
      </c>
      <c r="BW29">
        <v>9.0399999999999991</v>
      </c>
      <c r="BX29">
        <v>14.38</v>
      </c>
      <c r="BY29">
        <v>5.14</v>
      </c>
      <c r="BZ29">
        <v>5.34</v>
      </c>
      <c r="CA29">
        <v>7.02</v>
      </c>
      <c r="CB29">
        <v>-1.36</v>
      </c>
      <c r="CC29" s="9">
        <v>-7.64</v>
      </c>
      <c r="CD29" s="10" t="s">
        <v>1298</v>
      </c>
      <c r="CE29" s="9" t="s">
        <v>1299</v>
      </c>
      <c r="CF29" s="9">
        <v>1.6945812807881775</v>
      </c>
      <c r="CG29" s="9">
        <v>2.4610995192652649</v>
      </c>
      <c r="CH29" s="9">
        <v>-0.44256219267845154</v>
      </c>
      <c r="CI29" s="9">
        <v>0.10467832535505295</v>
      </c>
      <c r="CJ29" s="10">
        <v>0.51327431201934814</v>
      </c>
      <c r="CK29" s="10">
        <v>-0.31556636095046997</v>
      </c>
      <c r="CL29" s="10">
        <v>8.4044642746448517E-2</v>
      </c>
      <c r="CM29" s="10">
        <v>-1.5370851755142212</v>
      </c>
      <c r="CN29" s="10">
        <v>-0.15833333134651184</v>
      </c>
      <c r="CO29">
        <v>0.1214953288435936</v>
      </c>
      <c r="CP29">
        <v>0.15918540954589844</v>
      </c>
      <c r="CQ29">
        <v>0.62989842891693115</v>
      </c>
      <c r="CR29" s="9">
        <v>33.964269162279919</v>
      </c>
      <c r="CS29" s="10">
        <v>30.254319062791016</v>
      </c>
      <c r="CT29">
        <v>1.5517241379310347</v>
      </c>
      <c r="CU29">
        <v>-1.1226254701614379E-2</v>
      </c>
      <c r="CV29">
        <v>-0.15696786791086198</v>
      </c>
      <c r="CW29">
        <v>0.06</v>
      </c>
      <c r="CX29" t="e">
        <v>#VALUE!</v>
      </c>
      <c r="CY29" t="s">
        <v>494</v>
      </c>
      <c r="CZ29">
        <v>-1.1226254701614379E-2</v>
      </c>
      <c r="DA29" t="e">
        <v>#VALUE!</v>
      </c>
      <c r="DB29" t="s">
        <v>494</v>
      </c>
      <c r="DC29">
        <v>-1.0664941966533659E-2</v>
      </c>
      <c r="DD29" t="e">
        <v>#VALUE!</v>
      </c>
      <c r="DE29" t="s">
        <v>494</v>
      </c>
      <c r="DF29">
        <v>-9.8791041374206544E-3</v>
      </c>
      <c r="DG29" t="e">
        <v>#VALUE!</v>
      </c>
      <c r="DH29" t="s">
        <v>494</v>
      </c>
      <c r="DI29">
        <v>-8.9810037612915034E-3</v>
      </c>
      <c r="DJ29" t="e">
        <v>#VALUE!</v>
      </c>
      <c r="DK29" t="s">
        <v>494</v>
      </c>
      <c r="DL29">
        <v>-7.8583782911300654E-3</v>
      </c>
      <c r="DM29">
        <v>-54245600.000000007</v>
      </c>
      <c r="DN29">
        <v>-1.1226254701614379E-2</v>
      </c>
      <c r="DO29">
        <v>2223747100</v>
      </c>
      <c r="DP29">
        <v>409689890</v>
      </c>
      <c r="DQ29" s="11">
        <v>3955</v>
      </c>
      <c r="DR29">
        <v>1.7058075354897919</v>
      </c>
      <c r="DS29">
        <v>2.6180673871761271</v>
      </c>
      <c r="DT29">
        <v>-0.59</v>
      </c>
      <c r="DU29">
        <v>-0.80333333333333334</v>
      </c>
      <c r="DV29">
        <v>-1.3933333333333333</v>
      </c>
      <c r="DW29">
        <v>-2.0764</v>
      </c>
      <c r="DX29">
        <v>0.25759108738727854</v>
      </c>
      <c r="DY29">
        <v>-2.009747959076388</v>
      </c>
      <c r="DZ29">
        <v>117</v>
      </c>
      <c r="EA29">
        <v>-2.0095247670583962</v>
      </c>
      <c r="EB29" s="12">
        <v>2</v>
      </c>
      <c r="EC29">
        <v>1.1472269772867093E-2</v>
      </c>
      <c r="ED29">
        <v>8.991435066342239E-2</v>
      </c>
      <c r="EE29">
        <v>1.0942099999999999</v>
      </c>
      <c r="EF29">
        <v>1.1384099999999999</v>
      </c>
      <c r="EG29">
        <v>13.127591087387279</v>
      </c>
      <c r="EH29" s="8" t="s">
        <v>473</v>
      </c>
      <c r="EI29" s="13">
        <v>0</v>
      </c>
      <c r="EJ29" s="13">
        <v>1</v>
      </c>
      <c r="EK29" s="13">
        <v>45470</v>
      </c>
      <c r="EL29" s="13">
        <v>3.23</v>
      </c>
      <c r="EM29" s="13">
        <v>-6.53</v>
      </c>
      <c r="EN29" s="13">
        <v>-3.44</v>
      </c>
      <c r="EO29" s="13">
        <v>2.58</v>
      </c>
      <c r="EP29" s="13">
        <v>-4.42</v>
      </c>
    </row>
    <row r="30" spans="1:146" ht="96" x14ac:dyDescent="0.25">
      <c r="A30" s="6"/>
      <c r="B30" s="6"/>
      <c r="C30" s="6" t="str">
        <f>""&amp;CHAR(10)&amp;Basic_Fundamental_Information_Constructure(F30)&amp;CHAR(10)&amp;Basic_Fundamental_Information_Concatenate("")</f>
        <v xml:space="preserve">
市值56.406639亿, 利润2674.67万; PE13.75; 平均PE28.02; 平均PEG3.67, PB1.73; ROIC10.3133%; ROE12.2533%; 股利率3.886%; 毛利18.8333%; 净利9.71%; 上一年度营收增-17.54%, 利润增-93.14%; 当季营收增58.27%, 利润增430.7%; 过往5年营收增7.63%, 利润增2.51%
Income profile:
</v>
      </c>
      <c r="D30" t="s">
        <v>131</v>
      </c>
      <c r="E30" t="s">
        <v>265</v>
      </c>
      <c r="F30">
        <v>7.72</v>
      </c>
      <c r="G30">
        <v>1.98</v>
      </c>
      <c r="H30" t="s">
        <v>1300</v>
      </c>
      <c r="I30">
        <v>5640663900</v>
      </c>
      <c r="J30">
        <v>13.75</v>
      </c>
      <c r="K30">
        <v>1.73</v>
      </c>
      <c r="L30" t="s">
        <v>39</v>
      </c>
      <c r="M30" t="s">
        <v>1301</v>
      </c>
      <c r="N30" t="s">
        <v>1302</v>
      </c>
      <c r="O30" t="s">
        <v>1303</v>
      </c>
      <c r="P30">
        <v>12.48</v>
      </c>
      <c r="Q30" t="s">
        <v>1304</v>
      </c>
      <c r="R30">
        <v>96051022</v>
      </c>
      <c r="S30" s="5">
        <v>6.59E-2</v>
      </c>
      <c r="T30" t="s">
        <v>1305</v>
      </c>
      <c r="U30">
        <v>716444940</v>
      </c>
      <c r="V30">
        <v>730655940</v>
      </c>
      <c r="W30">
        <v>1.63</v>
      </c>
      <c r="X30">
        <v>0.2</v>
      </c>
      <c r="Y30">
        <v>9.08</v>
      </c>
      <c r="Z30" t="s">
        <v>1306</v>
      </c>
      <c r="AA30" t="s">
        <v>1307</v>
      </c>
      <c r="AB30" t="s">
        <v>1308</v>
      </c>
      <c r="AC30" t="s">
        <v>1309</v>
      </c>
      <c r="AD30" t="s">
        <v>43</v>
      </c>
      <c r="AE30">
        <v>14534860</v>
      </c>
      <c r="AF30" t="s">
        <v>1310</v>
      </c>
      <c r="AG30" t="s">
        <v>1311</v>
      </c>
      <c r="AH30" t="s">
        <v>1312</v>
      </c>
      <c r="AI30" t="s">
        <v>1313</v>
      </c>
      <c r="AJ30" t="s">
        <v>1314</v>
      </c>
      <c r="AK30" t="s">
        <v>43</v>
      </c>
      <c r="AL30" t="s">
        <v>1315</v>
      </c>
      <c r="AM30" t="s">
        <v>43</v>
      </c>
      <c r="AN30" t="s">
        <v>341</v>
      </c>
      <c r="AO30" t="s">
        <v>1316</v>
      </c>
      <c r="AP30" t="s">
        <v>1317</v>
      </c>
      <c r="AQ30" t="s">
        <v>120</v>
      </c>
      <c r="AR30" t="s">
        <v>43</v>
      </c>
      <c r="AS30" t="s">
        <v>1318</v>
      </c>
      <c r="AT30" t="s">
        <v>1319</v>
      </c>
      <c r="AU30" t="s">
        <v>1320</v>
      </c>
      <c r="AV30" t="s">
        <v>1321</v>
      </c>
      <c r="AW30" t="s">
        <v>480</v>
      </c>
      <c r="AX30" t="s">
        <v>1322</v>
      </c>
      <c r="AY30" t="s">
        <v>372</v>
      </c>
      <c r="AZ30" t="s">
        <v>246</v>
      </c>
      <c r="BA30" t="s">
        <v>132</v>
      </c>
      <c r="BB30" t="s">
        <v>198</v>
      </c>
      <c r="BC30" t="s">
        <v>193</v>
      </c>
      <c r="BD30" t="s">
        <v>120</v>
      </c>
      <c r="BE30" t="s">
        <v>95</v>
      </c>
      <c r="BF30" t="s">
        <v>129</v>
      </c>
      <c r="BG30" t="s">
        <v>209</v>
      </c>
      <c r="BH30" t="s">
        <v>1323</v>
      </c>
      <c r="BI30" t="s">
        <v>1324</v>
      </c>
      <c r="BJ30" t="s">
        <v>1322</v>
      </c>
      <c r="BK30" t="s">
        <v>1325</v>
      </c>
      <c r="BL30" t="s">
        <v>1326</v>
      </c>
      <c r="BM30" t="s">
        <v>193</v>
      </c>
      <c r="BN30">
        <v>8.7799999999999994</v>
      </c>
      <c r="BO30">
        <v>11.7</v>
      </c>
      <c r="BP30">
        <v>10.46</v>
      </c>
      <c r="BQ30">
        <v>11.53</v>
      </c>
      <c r="BR30">
        <v>13.79</v>
      </c>
      <c r="BS30">
        <v>11.44</v>
      </c>
      <c r="BT30" t="s">
        <v>603</v>
      </c>
      <c r="BU30" t="s">
        <v>470</v>
      </c>
      <c r="BV30">
        <v>18.63</v>
      </c>
      <c r="BW30">
        <v>18.809999999999999</v>
      </c>
      <c r="BX30">
        <v>19.059999999999999</v>
      </c>
      <c r="BY30">
        <v>9.6999999999999993</v>
      </c>
      <c r="BZ30">
        <v>10.34</v>
      </c>
      <c r="CA30">
        <v>9.09</v>
      </c>
      <c r="CB30">
        <v>-0.26</v>
      </c>
      <c r="CC30">
        <v>4.47</v>
      </c>
      <c r="CD30" t="s">
        <v>1327</v>
      </c>
      <c r="CE30" t="s">
        <v>109</v>
      </c>
      <c r="CF30" s="9">
        <v>0.58273381294964033</v>
      </c>
      <c r="CG30" s="10">
        <v>4.3070068549511618</v>
      </c>
      <c r="CH30" s="9">
        <v>-0.17544308304786682</v>
      </c>
      <c r="CI30" s="9">
        <v>0.14658932387828827</v>
      </c>
      <c r="CJ30" s="9">
        <v>0.51561814546585083</v>
      </c>
      <c r="CK30" s="9">
        <v>-0.16125467419624329</v>
      </c>
      <c r="CL30" s="9">
        <v>5.6118469685316086E-2</v>
      </c>
      <c r="CM30" s="10">
        <v>-0.931418776512146</v>
      </c>
      <c r="CN30" s="10">
        <v>0.30872482061386108</v>
      </c>
      <c r="CO30" s="10">
        <v>0.97350990772247314</v>
      </c>
      <c r="CP30" s="10">
        <v>5.5944055318832397E-2</v>
      </c>
      <c r="CQ30" s="10">
        <v>-0.28140702843666077</v>
      </c>
      <c r="CR30">
        <v>28.02241844254263</v>
      </c>
      <c r="CS30">
        <v>3.6714293886063736</v>
      </c>
      <c r="CT30">
        <v>3.8860103626943006</v>
      </c>
      <c r="CU30" s="9">
        <v>7.6325636357069016E-2</v>
      </c>
      <c r="CV30" s="10">
        <v>2.5070595741271972E-2</v>
      </c>
      <c r="CW30">
        <v>0.06</v>
      </c>
      <c r="CX30">
        <v>169.1050737651164</v>
      </c>
      <c r="CY30">
        <v>27158640.469765674</v>
      </c>
      <c r="CZ30">
        <v>7.6325636357069016E-2</v>
      </c>
      <c r="DA30">
        <v>55.906567654920281</v>
      </c>
      <c r="DB30">
        <v>82148915.461022839</v>
      </c>
      <c r="DC30">
        <v>7.2509354539215559E-2</v>
      </c>
      <c r="DD30">
        <v>27.949384753256879</v>
      </c>
      <c r="DE30">
        <v>164320751.26322153</v>
      </c>
      <c r="DF30">
        <v>6.7166559994220734E-2</v>
      </c>
      <c r="DG30">
        <v>17.076705704738981</v>
      </c>
      <c r="DH30">
        <v>268943201.30641377</v>
      </c>
      <c r="DI30">
        <v>6.1060509085655218E-2</v>
      </c>
      <c r="DJ30">
        <v>9.1589573390145489</v>
      </c>
      <c r="DK30">
        <v>501439599.50949436</v>
      </c>
      <c r="DL30">
        <v>5.3427945449948305E-2</v>
      </c>
      <c r="DM30">
        <v>26746700</v>
      </c>
      <c r="DN30">
        <v>7.6325636357069016E-2</v>
      </c>
      <c r="DO30">
        <v>4592663900</v>
      </c>
      <c r="DP30">
        <v>1763967300</v>
      </c>
      <c r="DQ30">
        <v>4361</v>
      </c>
      <c r="DR30">
        <v>0.50640817659257131</v>
      </c>
      <c r="DS30">
        <v>4.28193625920989</v>
      </c>
      <c r="DT30" s="11">
        <v>-0.59</v>
      </c>
      <c r="DU30">
        <v>-1.666666666666668E-2</v>
      </c>
      <c r="DV30">
        <v>-0.60666666666666669</v>
      </c>
      <c r="DW30">
        <v>1.0447</v>
      </c>
      <c r="DX30">
        <v>0.3424728155339794</v>
      </c>
      <c r="DY30">
        <v>1.006815534854369</v>
      </c>
      <c r="DZ30">
        <v>2893</v>
      </c>
      <c r="EA30">
        <v>1.0029569551413182</v>
      </c>
      <c r="EB30">
        <v>1</v>
      </c>
      <c r="EC30">
        <v>2.1493974304787011E-2</v>
      </c>
      <c r="ED30">
        <v>0.14096922280546983</v>
      </c>
      <c r="EE30" s="12">
        <v>-2.0670099999999998</v>
      </c>
      <c r="EF30">
        <v>-2.07951</v>
      </c>
      <c r="EG30">
        <v>19.152472815533979</v>
      </c>
      <c r="EH30" t="s">
        <v>1328</v>
      </c>
      <c r="EI30">
        <v>0</v>
      </c>
      <c r="EJ30">
        <v>0</v>
      </c>
      <c r="EK30" s="8">
        <v>45470</v>
      </c>
      <c r="EL30" s="13">
        <v>-1.96</v>
      </c>
      <c r="EM30" s="13">
        <v>-4.45</v>
      </c>
      <c r="EN30" s="13">
        <v>-2.21</v>
      </c>
      <c r="EO30" s="13">
        <v>4.6399999999999997</v>
      </c>
      <c r="EP30" s="13">
        <v>-1.25</v>
      </c>
    </row>
    <row r="31" spans="1:146" ht="96" x14ac:dyDescent="0.25">
      <c r="A31" s="6"/>
      <c r="B31" s="6"/>
      <c r="C31" s="6" t="str">
        <f>""&amp;CHAR(10)&amp;Basic_Fundamental_Information_Constructure(F31)&amp;CHAR(10)&amp;Basic_Fundamental_Information_Concatenate("")</f>
        <v xml:space="preserve">
市值17.908亿, 利润9664.30万; PE42.29; 平均PE22.86; 平均PEG.7, PB1.57; ROIC4.445%; ROE1.9367%; 股利率1.4742%; 毛利13.6167%; 净利1.78%; 上一年度营收增113.72%, 利润增303.4%; 当季营收增-14.48%, 利润增-135.73%; 过往5年营收增32.74%, 利润增22.49%
Income profile:
</v>
      </c>
      <c r="D31" t="s">
        <v>249</v>
      </c>
      <c r="E31" t="s">
        <v>250</v>
      </c>
      <c r="F31">
        <v>4.07</v>
      </c>
      <c r="G31">
        <v>2.0099999999999998</v>
      </c>
      <c r="H31" t="s">
        <v>1329</v>
      </c>
      <c r="I31">
        <v>1790800000</v>
      </c>
      <c r="J31">
        <v>42.29</v>
      </c>
      <c r="K31">
        <v>1.57</v>
      </c>
      <c r="L31" t="s">
        <v>39</v>
      </c>
      <c r="M31" t="s">
        <v>1330</v>
      </c>
      <c r="N31" t="s">
        <v>1331</v>
      </c>
      <c r="O31" t="s">
        <v>1332</v>
      </c>
      <c r="P31">
        <v>6.98</v>
      </c>
      <c r="Q31" t="s">
        <v>1333</v>
      </c>
      <c r="R31">
        <v>-4624717</v>
      </c>
      <c r="S31" s="5">
        <v>0.52729999999999999</v>
      </c>
      <c r="T31" t="s">
        <v>1334</v>
      </c>
      <c r="U31">
        <v>440000000</v>
      </c>
      <c r="V31">
        <v>440000000</v>
      </c>
      <c r="W31">
        <v>2.02</v>
      </c>
      <c r="X31">
        <v>0.14000000000000001</v>
      </c>
      <c r="Y31">
        <v>-1.75</v>
      </c>
      <c r="Z31" t="s">
        <v>1335</v>
      </c>
      <c r="AA31" t="s">
        <v>1175</v>
      </c>
      <c r="AB31" t="s">
        <v>1336</v>
      </c>
      <c r="AC31" t="s">
        <v>1337</v>
      </c>
      <c r="AD31" t="s">
        <v>43</v>
      </c>
      <c r="AE31">
        <v>5595312</v>
      </c>
      <c r="AF31" t="s">
        <v>61</v>
      </c>
      <c r="AG31">
        <v>700</v>
      </c>
      <c r="AH31" t="s">
        <v>1338</v>
      </c>
      <c r="AI31" t="s">
        <v>1339</v>
      </c>
      <c r="AJ31" t="s">
        <v>1340</v>
      </c>
      <c r="AK31" t="s">
        <v>43</v>
      </c>
      <c r="AL31" t="s">
        <v>1341</v>
      </c>
      <c r="AM31" t="s">
        <v>43</v>
      </c>
      <c r="AN31" t="s">
        <v>1342</v>
      </c>
      <c r="AO31" t="s">
        <v>1343</v>
      </c>
      <c r="AP31" t="s">
        <v>130</v>
      </c>
      <c r="AQ31" t="s">
        <v>1093</v>
      </c>
      <c r="AR31" t="s">
        <v>1344</v>
      </c>
      <c r="AS31" t="s">
        <v>849</v>
      </c>
      <c r="AT31" t="s">
        <v>1345</v>
      </c>
      <c r="AU31" t="s">
        <v>1346</v>
      </c>
      <c r="AV31" t="s">
        <v>1347</v>
      </c>
      <c r="AW31" t="s">
        <v>977</v>
      </c>
      <c r="AX31" t="s">
        <v>1348</v>
      </c>
      <c r="AY31" t="s">
        <v>1349</v>
      </c>
      <c r="AZ31" t="s">
        <v>247</v>
      </c>
      <c r="BA31" t="s">
        <v>252</v>
      </c>
      <c r="BB31" t="s">
        <v>253</v>
      </c>
      <c r="BC31" t="s">
        <v>1350</v>
      </c>
      <c r="BD31" t="s">
        <v>1351</v>
      </c>
      <c r="BE31" t="s">
        <v>251</v>
      </c>
      <c r="BF31" t="s">
        <v>210</v>
      </c>
      <c r="BG31" t="s">
        <v>64</v>
      </c>
      <c r="BH31" t="s">
        <v>1352</v>
      </c>
      <c r="BI31" t="s">
        <v>1353</v>
      </c>
      <c r="BJ31" t="s">
        <v>1348</v>
      </c>
      <c r="BK31" t="s">
        <v>1354</v>
      </c>
      <c r="BL31" t="s">
        <v>1355</v>
      </c>
      <c r="BM31" t="s">
        <v>1350</v>
      </c>
      <c r="BN31">
        <v>2.38</v>
      </c>
      <c r="BO31" t="s">
        <v>43</v>
      </c>
      <c r="BP31">
        <v>6.51</v>
      </c>
      <c r="BQ31">
        <v>2.2999999999999998</v>
      </c>
      <c r="BR31">
        <v>-4.1900000000000004</v>
      </c>
      <c r="BS31">
        <v>7.7</v>
      </c>
      <c r="BT31" t="s">
        <v>1001</v>
      </c>
      <c r="BU31" t="s">
        <v>496</v>
      </c>
      <c r="BV31">
        <v>15.07</v>
      </c>
      <c r="BW31">
        <v>8.31</v>
      </c>
      <c r="BX31">
        <v>17.47</v>
      </c>
      <c r="BY31">
        <v>2.2599999999999998</v>
      </c>
      <c r="BZ31">
        <v>-3.52</v>
      </c>
      <c r="CA31">
        <v>6.6</v>
      </c>
      <c r="CB31">
        <v>0</v>
      </c>
      <c r="CC31">
        <v>-15.21</v>
      </c>
      <c r="CD31" t="s">
        <v>1356</v>
      </c>
      <c r="CE31" t="s">
        <v>1357</v>
      </c>
      <c r="CF31" s="9">
        <v>-0.1447721179624665</v>
      </c>
      <c r="CG31" s="10">
        <v>-1.3573003438019082</v>
      </c>
      <c r="CH31" s="9">
        <v>1.1372262239456177</v>
      </c>
      <c r="CI31" s="9">
        <v>5.3036179393529892E-2</v>
      </c>
      <c r="CJ31" s="9">
        <v>0.66794866323471069</v>
      </c>
      <c r="CK31" s="9">
        <v>-0.13716813921928406</v>
      </c>
      <c r="CL31" s="9">
        <v>-8.4093213081359863E-2</v>
      </c>
      <c r="CM31" s="10">
        <v>3.0340328216552734</v>
      </c>
      <c r="CN31" s="10">
        <v>-1.5381189584732056</v>
      </c>
      <c r="CO31" s="10">
        <v>9.4889223575592041E-2</v>
      </c>
      <c r="CP31" s="10">
        <v>-0.29260969161987305</v>
      </c>
      <c r="CQ31" s="10">
        <v>-0.17391304671764374</v>
      </c>
      <c r="CR31">
        <v>22.858013249597768</v>
      </c>
      <c r="CS31">
        <v>0.69818923117459497</v>
      </c>
      <c r="CT31">
        <v>1.474201474201474</v>
      </c>
      <c r="CU31" s="9">
        <v>0.32738994285464285</v>
      </c>
      <c r="CV31" s="10">
        <v>0.22485606968402863</v>
      </c>
      <c r="CW31">
        <v>0.06</v>
      </c>
      <c r="CX31">
        <v>13.888424394037344</v>
      </c>
      <c r="CY31">
        <v>121021647.40311439</v>
      </c>
      <c r="CZ31">
        <v>0.32738994285464285</v>
      </c>
      <c r="DA31">
        <v>3.7333811719922845</v>
      </c>
      <c r="DB31">
        <v>450208516.77543992</v>
      </c>
      <c r="DC31">
        <v>0.31102044571191068</v>
      </c>
      <c r="DD31">
        <v>1.3872500565270041</v>
      </c>
      <c r="DE31">
        <v>1211605645.349838</v>
      </c>
      <c r="DF31">
        <v>0.28810314971208573</v>
      </c>
      <c r="DG31">
        <v>0.58984178423978806</v>
      </c>
      <c r="DH31">
        <v>2849577708.6499271</v>
      </c>
      <c r="DI31">
        <v>0.26191195428371428</v>
      </c>
      <c r="DJ31">
        <v>0.13061564254913791</v>
      </c>
      <c r="DK31">
        <v>12868290253.731894</v>
      </c>
      <c r="DL31">
        <v>0.22917295999824996</v>
      </c>
      <c r="DM31">
        <v>96643000</v>
      </c>
      <c r="DN31">
        <v>0.32738994285464285</v>
      </c>
      <c r="DO31">
        <v>1680800000</v>
      </c>
      <c r="DP31">
        <v>-558936369.99999988</v>
      </c>
      <c r="DQ31">
        <v>4441</v>
      </c>
      <c r="DR31">
        <v>-0.47216206081710932</v>
      </c>
      <c r="DS31">
        <v>-1.5821564134859369</v>
      </c>
      <c r="DT31" s="11">
        <v>0.16</v>
      </c>
      <c r="DU31">
        <v>-1.5316666666666665</v>
      </c>
      <c r="DV31">
        <v>-1.3716666666666666</v>
      </c>
      <c r="DW31">
        <v>-2.1520999999999999</v>
      </c>
      <c r="DX31">
        <v>0.33888401531857792</v>
      </c>
      <c r="DY31">
        <v>-2.0180822587299558</v>
      </c>
      <c r="DZ31">
        <v>3027</v>
      </c>
      <c r="EA31">
        <v>-2.0073709089891385</v>
      </c>
      <c r="EB31">
        <v>2</v>
      </c>
      <c r="EC31">
        <v>1.6699772727272726E-2</v>
      </c>
      <c r="ED31">
        <v>0.14047113636363634</v>
      </c>
      <c r="EE31" s="12">
        <v>1.0457099999999999</v>
      </c>
      <c r="EF31">
        <v>1.06541</v>
      </c>
      <c r="EG31">
        <v>22.118884015318578</v>
      </c>
      <c r="EH31" t="s">
        <v>473</v>
      </c>
      <c r="EI31">
        <v>0</v>
      </c>
      <c r="EJ31">
        <v>0</v>
      </c>
      <c r="EK31" s="8">
        <v>45470</v>
      </c>
      <c r="EL31" s="13">
        <v>0.09</v>
      </c>
      <c r="EM31" s="13">
        <v>-5.91</v>
      </c>
      <c r="EN31" s="13">
        <v>-0.2</v>
      </c>
      <c r="EO31" s="13">
        <v>5.0199999999999996</v>
      </c>
      <c r="EP31" s="13">
        <v>-1.97</v>
      </c>
    </row>
    <row r="32" spans="1:146" ht="96" x14ac:dyDescent="0.25">
      <c r="A32" s="6"/>
      <c r="B32" s="6"/>
      <c r="C32" s="6" t="str">
        <f>""&amp;CHAR(10)&amp;Basic_Fundamental_Information_Constructure(F32)&amp;CHAR(10)&amp;Basic_Fundamental_Information_Concatenate("")</f>
        <v xml:space="preserve">
市值19.1477亿, 利润4.13亿; PE53.15; 平均PE12.57; 平均PEG.11, PB1.71; ROIC8.9033%; ROE9.33%; 股利率.7061%; 毛利30.8733%; 净利20.3267%; 上一年度营收增553.43%, 利润增600.37%; 当季营收增-78.77%, 利润增-79.09%; 过往5年营收增117.36%, 利润增130.5%
Income profile:
</v>
      </c>
      <c r="D32" t="s">
        <v>254</v>
      </c>
      <c r="E32" t="s">
        <v>255</v>
      </c>
      <c r="F32">
        <v>11.33</v>
      </c>
      <c r="G32">
        <v>0.09</v>
      </c>
      <c r="H32" t="s">
        <v>1358</v>
      </c>
      <c r="I32">
        <v>1914770000</v>
      </c>
      <c r="J32">
        <v>53.15</v>
      </c>
      <c r="K32">
        <v>1.71</v>
      </c>
      <c r="L32" t="s">
        <v>39</v>
      </c>
      <c r="M32" t="s">
        <v>1359</v>
      </c>
      <c r="N32" t="s">
        <v>1360</v>
      </c>
      <c r="O32" t="s">
        <v>1361</v>
      </c>
      <c r="P32">
        <v>54.65</v>
      </c>
      <c r="Q32" t="s">
        <v>1362</v>
      </c>
      <c r="R32">
        <v>17561533</v>
      </c>
      <c r="S32" s="5">
        <v>0.88549999999999995</v>
      </c>
      <c r="T32" t="s">
        <v>1363</v>
      </c>
      <c r="U32">
        <v>169000000</v>
      </c>
      <c r="V32">
        <v>169000000</v>
      </c>
      <c r="W32">
        <v>1.02</v>
      </c>
      <c r="X32">
        <v>0.08</v>
      </c>
      <c r="Y32">
        <v>19.93</v>
      </c>
      <c r="Z32" t="s">
        <v>1364</v>
      </c>
      <c r="AA32" t="s">
        <v>1365</v>
      </c>
      <c r="AB32" t="s">
        <v>1366</v>
      </c>
      <c r="AC32" t="s">
        <v>1367</v>
      </c>
      <c r="AD32" t="s">
        <v>43</v>
      </c>
      <c r="AE32">
        <v>-6116838</v>
      </c>
      <c r="AF32" t="s">
        <v>61</v>
      </c>
      <c r="AG32" t="s">
        <v>43</v>
      </c>
      <c r="AH32" t="s">
        <v>1368</v>
      </c>
      <c r="AI32" t="s">
        <v>604</v>
      </c>
      <c r="AJ32" t="s">
        <v>1369</v>
      </c>
      <c r="AK32" t="s">
        <v>43</v>
      </c>
      <c r="AL32" t="s">
        <v>1370</v>
      </c>
      <c r="AM32" t="s">
        <v>43</v>
      </c>
      <c r="AN32" t="s">
        <v>1371</v>
      </c>
      <c r="AO32" t="s">
        <v>43</v>
      </c>
      <c r="AP32" t="s">
        <v>43</v>
      </c>
      <c r="AQ32" t="s">
        <v>1372</v>
      </c>
      <c r="AR32" t="s">
        <v>1373</v>
      </c>
      <c r="AS32" t="s">
        <v>1374</v>
      </c>
      <c r="AT32" t="s">
        <v>43</v>
      </c>
      <c r="AU32" t="s">
        <v>1375</v>
      </c>
      <c r="AV32" t="s">
        <v>1376</v>
      </c>
      <c r="AW32" t="s">
        <v>43</v>
      </c>
      <c r="AX32" t="s">
        <v>1377</v>
      </c>
      <c r="AY32" t="s">
        <v>374</v>
      </c>
      <c r="AZ32" t="s">
        <v>60</v>
      </c>
      <c r="BA32" t="s">
        <v>89</v>
      </c>
      <c r="BB32" t="s">
        <v>89</v>
      </c>
      <c r="BC32" t="s">
        <v>1378</v>
      </c>
      <c r="BD32" t="s">
        <v>347</v>
      </c>
      <c r="BE32" t="s">
        <v>44</v>
      </c>
      <c r="BF32" t="s">
        <v>256</v>
      </c>
      <c r="BG32" t="s">
        <v>257</v>
      </c>
      <c r="BH32" t="s">
        <v>281</v>
      </c>
      <c r="BI32" t="s">
        <v>1379</v>
      </c>
      <c r="BJ32" t="s">
        <v>1377</v>
      </c>
      <c r="BK32" t="s">
        <v>1380</v>
      </c>
      <c r="BL32" t="s">
        <v>1381</v>
      </c>
      <c r="BM32" t="s">
        <v>1378</v>
      </c>
      <c r="BN32">
        <v>1.1599999999999999</v>
      </c>
      <c r="BO32">
        <v>4.41</v>
      </c>
      <c r="BP32">
        <v>21.14</v>
      </c>
      <c r="BQ32">
        <v>2.5</v>
      </c>
      <c r="BR32">
        <v>5.29</v>
      </c>
      <c r="BS32">
        <v>20.2</v>
      </c>
      <c r="BT32" t="s">
        <v>1382</v>
      </c>
      <c r="BU32" t="s">
        <v>470</v>
      </c>
      <c r="BV32">
        <v>24.87</v>
      </c>
      <c r="BW32">
        <v>28.36</v>
      </c>
      <c r="BX32">
        <v>39.39</v>
      </c>
      <c r="BY32">
        <v>11.6</v>
      </c>
      <c r="BZ32">
        <v>21.31</v>
      </c>
      <c r="CA32">
        <v>28.07</v>
      </c>
      <c r="CB32">
        <v>-4.3899999999999997</v>
      </c>
      <c r="CC32">
        <v>-18.079999999999998</v>
      </c>
      <c r="CD32" t="s">
        <v>1383</v>
      </c>
      <c r="CE32" t="s">
        <v>1384</v>
      </c>
      <c r="CF32" s="9">
        <v>-0.78766216867469885</v>
      </c>
      <c r="CG32" s="10">
        <v>-0.79092989977178108</v>
      </c>
      <c r="CH32" s="9">
        <v>5.5342960357666016</v>
      </c>
      <c r="CI32" s="9">
        <v>-0.5692068338394165</v>
      </c>
      <c r="CJ32" s="9">
        <v>0.74254745244979858</v>
      </c>
      <c r="CK32" s="9">
        <v>0.16037735342979431</v>
      </c>
      <c r="CL32" s="9">
        <v>0</v>
      </c>
      <c r="CM32" s="10">
        <v>6.0037035942077637</v>
      </c>
      <c r="CN32" s="10">
        <v>-0.67239552736282349</v>
      </c>
      <c r="CO32" s="10">
        <v>0.66666668653488159</v>
      </c>
      <c r="CP32" s="10">
        <v>0.24742718040943146</v>
      </c>
      <c r="CQ32" s="10">
        <v>0.27979782223701477</v>
      </c>
      <c r="CR32">
        <v>12.566898881411651</v>
      </c>
      <c r="CS32">
        <v>0.10707965987038126</v>
      </c>
      <c r="CT32">
        <v>0.70609002647837604</v>
      </c>
      <c r="CU32" s="9">
        <v>1.1736028015613555</v>
      </c>
      <c r="CV32" s="10">
        <v>1.3050399512052535</v>
      </c>
      <c r="CW32">
        <v>0.06</v>
      </c>
      <c r="CX32">
        <v>0.96806535781900205</v>
      </c>
      <c r="CY32">
        <v>846884865.13664138</v>
      </c>
      <c r="CZ32">
        <v>1.1736028015613555</v>
      </c>
      <c r="DA32">
        <v>0.14261964219560905</v>
      </c>
      <c r="DB32">
        <v>5748436101.6384678</v>
      </c>
      <c r="DC32">
        <v>1.1149226614832877</v>
      </c>
      <c r="DD32">
        <v>1.9490664791249026E-2</v>
      </c>
      <c r="DE32">
        <v>42063208658.131256</v>
      </c>
      <c r="DF32">
        <v>1.0327704653739929</v>
      </c>
      <c r="DG32">
        <v>2.1514920365075848E-3</v>
      </c>
      <c r="DH32">
        <v>381056441803.43207</v>
      </c>
      <c r="DI32">
        <v>0.93888224124908448</v>
      </c>
      <c r="DJ32">
        <v>1.646132183961479E-5</v>
      </c>
      <c r="DK32">
        <v>49804013795965.305</v>
      </c>
      <c r="DL32">
        <v>0.82152196109294884</v>
      </c>
      <c r="DM32">
        <v>413000000</v>
      </c>
      <c r="DN32">
        <v>1.1736028015613555</v>
      </c>
      <c r="DO32">
        <v>819839900</v>
      </c>
      <c r="DP32">
        <v>788145820</v>
      </c>
      <c r="DQ32">
        <v>4480</v>
      </c>
      <c r="DR32">
        <v>-1.9612649702360545</v>
      </c>
      <c r="DS32">
        <v>-2.0959698509770348</v>
      </c>
      <c r="DT32" s="11">
        <v>9.3333333333333268E-2</v>
      </c>
      <c r="DU32">
        <v>4.33333333333333E-2</v>
      </c>
      <c r="DV32">
        <v>0.13666666666666658</v>
      </c>
      <c r="DW32">
        <v>-8.2428097345132745</v>
      </c>
      <c r="DX32">
        <v>0.36866294005466727</v>
      </c>
      <c r="DY32">
        <v>-8.0312406143163706</v>
      </c>
      <c r="DZ32">
        <v>1191</v>
      </c>
      <c r="EA32">
        <v>-8.0239592891400893</v>
      </c>
      <c r="EB32">
        <v>8</v>
      </c>
      <c r="EC32">
        <v>6.6990532544378714E-2</v>
      </c>
      <c r="ED32">
        <v>0.52066686390532546</v>
      </c>
      <c r="EE32" s="12">
        <v>1.00301</v>
      </c>
      <c r="EF32">
        <v>1.00681</v>
      </c>
      <c r="EG32">
        <v>24.128662940054667</v>
      </c>
      <c r="EH32" t="s">
        <v>473</v>
      </c>
      <c r="EI32">
        <v>0</v>
      </c>
      <c r="EJ32">
        <v>1</v>
      </c>
      <c r="EK32" s="8">
        <v>45470</v>
      </c>
      <c r="EL32" s="13">
        <v>0.76</v>
      </c>
      <c r="EM32" s="13">
        <v>-2.95</v>
      </c>
      <c r="EN32">
        <v>0</v>
      </c>
      <c r="EO32">
        <v>1.49</v>
      </c>
      <c r="EP32">
        <v>-0.38</v>
      </c>
    </row>
    <row r="33" spans="1:146" ht="96" x14ac:dyDescent="0.25">
      <c r="A33" s="6"/>
      <c r="B33" s="6"/>
      <c r="C33" s="6" t="str">
        <f>""&amp;CHAR(10)&amp;Basic_Fundamental_Information_Constructure(F33)&amp;CHAR(10)&amp;Basic_Fundamental_Information_Concatenate("")</f>
        <v xml:space="preserve">
市值15.845211亿, 利润3.64亿; PE14.24; 平均PE8.95; 平均PEG.23, PB.913; ROIC9.6833%; ROE11.2033%; 股利率1.4178%; 毛利13.94%; 净利7.4133%; 上一年度营收增142.93%, 利润增123.31%; 当季营收增-58.24%, 利润增-40.07%; 过往5年营收增38.78%, 利润增43.24%
Income profile:
</v>
      </c>
      <c r="D33" t="s">
        <v>258</v>
      </c>
      <c r="E33" t="s">
        <v>259</v>
      </c>
      <c r="F33">
        <v>10.58</v>
      </c>
      <c r="G33">
        <v>1.83</v>
      </c>
      <c r="H33" t="s">
        <v>1385</v>
      </c>
      <c r="I33">
        <v>1584521100</v>
      </c>
      <c r="J33">
        <v>14.24</v>
      </c>
      <c r="K33">
        <v>0.91300000000000003</v>
      </c>
      <c r="L33" t="s">
        <v>39</v>
      </c>
      <c r="M33" t="s">
        <v>1386</v>
      </c>
      <c r="N33" t="s">
        <v>1387</v>
      </c>
      <c r="O33" t="s">
        <v>1388</v>
      </c>
      <c r="P33">
        <v>13.55</v>
      </c>
      <c r="Q33" t="s">
        <v>1389</v>
      </c>
      <c r="R33">
        <v>29514437</v>
      </c>
      <c r="S33" s="5">
        <v>0.30059999999999998</v>
      </c>
      <c r="T33" t="s">
        <v>1390</v>
      </c>
      <c r="U33">
        <v>149765700</v>
      </c>
      <c r="V33">
        <v>149765700</v>
      </c>
      <c r="W33">
        <v>2.4300000000000002</v>
      </c>
      <c r="X33">
        <v>0.13</v>
      </c>
      <c r="Y33">
        <v>5.49</v>
      </c>
      <c r="Z33" t="s">
        <v>1391</v>
      </c>
      <c r="AA33" t="s">
        <v>1392</v>
      </c>
      <c r="AB33" t="s">
        <v>1393</v>
      </c>
      <c r="AC33" t="s">
        <v>1394</v>
      </c>
      <c r="AD33" t="s">
        <v>43</v>
      </c>
      <c r="AE33">
        <v>5262483</v>
      </c>
      <c r="AF33" t="s">
        <v>1395</v>
      </c>
      <c r="AG33" t="s">
        <v>1396</v>
      </c>
      <c r="AH33" t="s">
        <v>1397</v>
      </c>
      <c r="AI33" t="s">
        <v>1398</v>
      </c>
      <c r="AJ33" t="s">
        <v>1399</v>
      </c>
      <c r="AK33" t="s">
        <v>1400</v>
      </c>
      <c r="AL33" t="s">
        <v>1401</v>
      </c>
      <c r="AM33" t="s">
        <v>43</v>
      </c>
      <c r="AN33" t="s">
        <v>235</v>
      </c>
      <c r="AO33" t="s">
        <v>1402</v>
      </c>
      <c r="AP33" t="s">
        <v>596</v>
      </c>
      <c r="AQ33" t="s">
        <v>604</v>
      </c>
      <c r="AR33" t="s">
        <v>43</v>
      </c>
      <c r="AS33" t="s">
        <v>1403</v>
      </c>
      <c r="AT33" t="s">
        <v>1404</v>
      </c>
      <c r="AU33" t="s">
        <v>1405</v>
      </c>
      <c r="AV33" t="s">
        <v>1406</v>
      </c>
      <c r="AW33" t="s">
        <v>1407</v>
      </c>
      <c r="AX33" t="s">
        <v>1408</v>
      </c>
      <c r="AY33" t="s">
        <v>375</v>
      </c>
      <c r="AZ33" t="s">
        <v>260</v>
      </c>
      <c r="BA33" t="s">
        <v>261</v>
      </c>
      <c r="BB33" t="s">
        <v>262</v>
      </c>
      <c r="BC33" t="s">
        <v>977</v>
      </c>
      <c r="BD33" t="s">
        <v>122</v>
      </c>
      <c r="BE33" t="s">
        <v>162</v>
      </c>
      <c r="BF33" t="s">
        <v>263</v>
      </c>
      <c r="BG33" t="s">
        <v>264</v>
      </c>
      <c r="BH33" t="s">
        <v>1409</v>
      </c>
      <c r="BI33" t="s">
        <v>1410</v>
      </c>
      <c r="BJ33" t="s">
        <v>1408</v>
      </c>
      <c r="BK33" t="s">
        <v>113</v>
      </c>
      <c r="BL33" t="s">
        <v>1411</v>
      </c>
      <c r="BM33" t="s">
        <v>977</v>
      </c>
      <c r="BN33">
        <v>2.72</v>
      </c>
      <c r="BO33">
        <v>7.5</v>
      </c>
      <c r="BP33">
        <v>18.829999999999998</v>
      </c>
      <c r="BQ33">
        <v>4.0599999999999996</v>
      </c>
      <c r="BR33">
        <v>10.16</v>
      </c>
      <c r="BS33">
        <v>19.39</v>
      </c>
      <c r="BT33" t="s">
        <v>1412</v>
      </c>
      <c r="BU33" t="s">
        <v>496</v>
      </c>
      <c r="BV33">
        <v>11.49</v>
      </c>
      <c r="BW33">
        <v>11.79</v>
      </c>
      <c r="BX33">
        <v>18.54</v>
      </c>
      <c r="BY33">
        <v>4.16</v>
      </c>
      <c r="BZ33">
        <v>7.38</v>
      </c>
      <c r="CA33">
        <v>10.7</v>
      </c>
      <c r="CB33">
        <v>-0.75</v>
      </c>
      <c r="CC33">
        <v>-17.47</v>
      </c>
      <c r="CD33" t="s">
        <v>1413</v>
      </c>
      <c r="CE33" t="s">
        <v>1414</v>
      </c>
      <c r="CF33" s="9">
        <v>-0.58242612752721612</v>
      </c>
      <c r="CG33" s="10">
        <v>-0.40065150819791978</v>
      </c>
      <c r="CH33" s="9">
        <v>1.4293477535247803</v>
      </c>
      <c r="CI33" s="9">
        <v>1.51723837479949E-2</v>
      </c>
      <c r="CJ33" s="9">
        <v>0.43564355373382568</v>
      </c>
      <c r="CK33" s="9">
        <v>8.3691030740737915E-2</v>
      </c>
      <c r="CL33" s="9">
        <v>-2.5104602798819542E-2</v>
      </c>
      <c r="CM33" s="10">
        <v>1.2331287860870361</v>
      </c>
      <c r="CN33" s="10">
        <v>-0.30042919516563416</v>
      </c>
      <c r="CO33" s="10">
        <v>1.0619468688964844</v>
      </c>
      <c r="CP33" s="10">
        <v>0.24103401601314545</v>
      </c>
      <c r="CQ33" s="10">
        <v>-7.3866352438926697E-2</v>
      </c>
      <c r="CR33">
        <v>8.948992270477925</v>
      </c>
      <c r="CS33">
        <v>0.23079282324767592</v>
      </c>
      <c r="CT33">
        <v>1.4177693761814745</v>
      </c>
      <c r="CU33" s="9">
        <v>0.38775002378970386</v>
      </c>
      <c r="CV33" s="10">
        <v>0.43236282467842102</v>
      </c>
      <c r="CW33">
        <v>0.06</v>
      </c>
      <c r="CX33">
        <v>4.256697296674262</v>
      </c>
      <c r="CY33">
        <v>476548121.37684166</v>
      </c>
      <c r="CZ33">
        <v>0.38775002378970386</v>
      </c>
      <c r="DA33">
        <v>1.0908830687778848</v>
      </c>
      <c r="DB33">
        <v>1859522031.3324234</v>
      </c>
      <c r="DC33">
        <v>0.36836252260021862</v>
      </c>
      <c r="DD33">
        <v>0.37649453163786994</v>
      </c>
      <c r="DE33">
        <v>5387916502.2006922</v>
      </c>
      <c r="DF33">
        <v>0.34122002093493942</v>
      </c>
      <c r="DG33">
        <v>0.14531025530926228</v>
      </c>
      <c r="DH33">
        <v>13959930740.488482</v>
      </c>
      <c r="DI33">
        <v>0.31020001903176309</v>
      </c>
      <c r="DJ33">
        <v>2.5051297099269905E-2</v>
      </c>
      <c r="DK33">
        <v>80974693324.726852</v>
      </c>
      <c r="DL33">
        <v>0.27142501665279267</v>
      </c>
      <c r="DM33">
        <v>364000000</v>
      </c>
      <c r="DN33">
        <v>0.38775002378970386</v>
      </c>
      <c r="DO33">
        <v>2028521100</v>
      </c>
      <c r="DP33">
        <v>604199099.99999976</v>
      </c>
      <c r="DQ33">
        <v>4484</v>
      </c>
      <c r="DR33">
        <v>-0.97017615131692003</v>
      </c>
      <c r="DS33">
        <v>-0.83301433287634086</v>
      </c>
      <c r="DT33" s="11">
        <v>2.6666666666666616E-2</v>
      </c>
      <c r="DU33">
        <v>0.34666666666666668</v>
      </c>
      <c r="DV33">
        <v>0.37333333333333329</v>
      </c>
      <c r="DW33">
        <v>-3.0166249999999999</v>
      </c>
      <c r="DX33">
        <v>0.3220632072665941</v>
      </c>
      <c r="DY33">
        <v>-3.0018630508208073</v>
      </c>
      <c r="DZ33">
        <v>554</v>
      </c>
      <c r="EA33">
        <v>-3.0016610684030525</v>
      </c>
      <c r="EB33">
        <v>3</v>
      </c>
      <c r="EC33">
        <v>3.069394394043496E-2</v>
      </c>
      <c r="ED33">
        <v>0.27389849611760242</v>
      </c>
      <c r="EE33" s="12">
        <v>3.0885099999999999</v>
      </c>
      <c r="EF33">
        <v>3.1280100000000002</v>
      </c>
      <c r="EG33">
        <v>21.112063207266594</v>
      </c>
      <c r="EH33" t="s">
        <v>497</v>
      </c>
      <c r="EI33">
        <v>0</v>
      </c>
      <c r="EJ33">
        <v>1</v>
      </c>
      <c r="EK33" s="8">
        <v>45470</v>
      </c>
      <c r="EL33" s="13">
        <v>1.02</v>
      </c>
      <c r="EM33" s="13">
        <v>-4.67</v>
      </c>
      <c r="EN33">
        <v>-1.1499999999999999</v>
      </c>
      <c r="EO33">
        <v>0.68</v>
      </c>
      <c r="EP33">
        <v>-3.95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纺织制造&quot;,&quot;&quot;'" altText="更新基本面按钮_x000a_">
                <anchor moveWithCells="1" sizeWithCells="1">
                  <from>
                    <xdr:col>147</xdr:col>
                    <xdr:colOff>304800</xdr:colOff>
                    <xdr:row>0</xdr:row>
                    <xdr:rowOff>101600</xdr:rowOff>
                  </from>
                  <to>
                    <xdr:col>147</xdr:col>
                    <xdr:colOff>1320800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纺织制造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2024-07-09T15:22:27Z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