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001Xiaofeng\value-investment-backup\估值分析\SW1L纺织服饰\"/>
    </mc:Choice>
  </mc:AlternateContent>
  <bookViews>
    <workbookView xWindow="0" yWindow="0" windowWidth="3800" windowHeight="2950"/>
  </bookViews>
  <sheets>
    <sheet name="服装家纺" sheetId="15" r:id="rId1"/>
    <sheet name="估值-增速与年化收益" sheetId="14" r:id="rId2"/>
  </sheets>
  <functionGroups builtInGroupCount="18"/>
  <definedNames>
    <definedName name="_xlnm._FilterDatabase" localSheetId="0" hidden="1">服装家纺!$BU$1:$BU$73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 i="14" l="1"/>
  <c r="C5" i="14" s="1"/>
  <c r="D5" i="14" s="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B1" i="14"/>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3" i="15"/>
  <c r="C2" i="15"/>
  <c r="C12" i="15"/>
  <c r="C17" i="15"/>
  <c r="C22" i="15"/>
  <c r="C23" i="15"/>
  <c r="C28" i="15"/>
  <c r="C37" i="15"/>
  <c r="C40" i="15"/>
  <c r="C48" i="15"/>
  <c r="C47" i="15"/>
  <c r="C50" i="15"/>
  <c r="C51" i="15"/>
  <c r="C69" i="15"/>
  <c r="C74" i="15"/>
  <c r="C65" i="15"/>
  <c r="C54" i="15"/>
  <c r="C29" i="15"/>
  <c r="C35" i="15"/>
  <c r="C31" i="15"/>
  <c r="C64" i="15"/>
  <c r="C34" i="15"/>
  <c r="C72" i="15"/>
  <c r="C38" i="15"/>
  <c r="C15" i="15"/>
  <c r="C53" i="15"/>
  <c r="C44" i="15"/>
  <c r="C11" i="15"/>
  <c r="C7" i="15"/>
  <c r="C21" i="15"/>
  <c r="C10" i="15"/>
  <c r="C6" i="15"/>
  <c r="C70" i="15"/>
  <c r="C73" i="15"/>
  <c r="C42" i="15"/>
  <c r="C62" i="15"/>
  <c r="C18" i="15"/>
  <c r="C57" i="15"/>
  <c r="C56" i="15"/>
  <c r="C71" i="15"/>
  <c r="C49" i="15"/>
  <c r="C30" i="15"/>
  <c r="C61" i="15"/>
  <c r="C32" i="15"/>
  <c r="C14" i="15"/>
  <c r="C9" i="15"/>
  <c r="C5" i="15"/>
  <c r="C66" i="15"/>
  <c r="C36" i="15"/>
  <c r="C45" i="15"/>
  <c r="C39" i="15"/>
  <c r="C58" i="15"/>
  <c r="C52" i="15"/>
  <c r="C63" i="15"/>
  <c r="C20" i="15"/>
  <c r="C67" i="15"/>
  <c r="C24" i="15"/>
  <c r="C13" i="15"/>
  <c r="C4" i="15"/>
  <c r="C59" i="15"/>
  <c r="C46" i="15"/>
  <c r="C25" i="15"/>
  <c r="C27" i="15"/>
  <c r="C16" i="15"/>
  <c r="C60" i="15"/>
  <c r="C26" i="15"/>
  <c r="C55" i="15"/>
  <c r="C33" i="15"/>
  <c r="C19" i="15"/>
  <c r="C41" i="15"/>
  <c r="C68" i="15"/>
  <c r="C43" i="15"/>
  <c r="C8" i="15"/>
</calcChain>
</file>

<file path=xl/sharedStrings.xml><?xml version="1.0" encoding="utf-8"?>
<sst xmlns="http://schemas.openxmlformats.org/spreadsheetml/2006/main" count="4237" uniqueCount="2810">
  <si>
    <t>&lt;-增速</t>
    <phoneticPr fontId="1" type="noConversion"/>
  </si>
  <si>
    <t>&lt;-估值</t>
    <phoneticPr fontId="1" type="noConversion"/>
  </si>
  <si>
    <t>&lt;-折合年化收益</t>
    <phoneticPr fontId="1" type="noConversion"/>
  </si>
  <si>
    <t>现价</t>
  </si>
  <si>
    <t>市净率</t>
  </si>
  <si>
    <t>三夫户外</t>
  </si>
  <si>
    <t>哈森股份</t>
  </si>
  <si>
    <t>美邦服饰</t>
  </si>
  <si>
    <t>棒杰股份</t>
  </si>
  <si>
    <t>华斯股份</t>
  </si>
  <si>
    <t>际华集团</t>
  </si>
  <si>
    <t>报 喜 鸟</t>
  </si>
  <si>
    <t>日播时尚</t>
  </si>
  <si>
    <t>浪莎股份</t>
  </si>
  <si>
    <t>万里马</t>
  </si>
  <si>
    <t>红豆股份</t>
  </si>
  <si>
    <t>梦洁股份</t>
  </si>
  <si>
    <t>金发拉比</t>
  </si>
  <si>
    <t>牧高笛</t>
  </si>
  <si>
    <t>康隆达</t>
  </si>
  <si>
    <t>安奈儿</t>
  </si>
  <si>
    <t>比音勒芬</t>
  </si>
  <si>
    <t>太平鸟</t>
  </si>
  <si>
    <t>汇洁股份</t>
  </si>
  <si>
    <t>乔治白</t>
  </si>
  <si>
    <t>朗姿股份</t>
  </si>
  <si>
    <t>健盛集团</t>
  </si>
  <si>
    <t>森马服饰</t>
  </si>
  <si>
    <t>地素时尚</t>
  </si>
  <si>
    <t>九牧王</t>
  </si>
  <si>
    <t>罗莱生活</t>
  </si>
  <si>
    <t>歌力思</t>
  </si>
  <si>
    <t>七 匹 狼</t>
  </si>
  <si>
    <t>红蜻蜓</t>
  </si>
  <si>
    <t>富安娜</t>
  </si>
  <si>
    <t>安正时尚</t>
  </si>
  <si>
    <t>海澜之家</t>
  </si>
  <si>
    <t>雅戈尔</t>
  </si>
  <si>
    <t>探路者</t>
  </si>
  <si>
    <t>美尔雅</t>
  </si>
  <si>
    <t>代码</t>
  </si>
  <si>
    <t>总市值</t>
  </si>
  <si>
    <t>TTM市盈率</t>
  </si>
  <si>
    <t>所属行业</t>
  </si>
  <si>
    <t>负债合计</t>
  </si>
  <si>
    <t>所有者权益合计</t>
  </si>
  <si>
    <t>主营业务收入</t>
  </si>
  <si>
    <t>净利润增长率</t>
  </si>
  <si>
    <t>总股本</t>
  </si>
  <si>
    <t>财务费用</t>
  </si>
  <si>
    <t>投资收益</t>
  </si>
  <si>
    <t>应收账款</t>
  </si>
  <si>
    <t>SZ002634</t>
  </si>
  <si>
    <t>服装家纺</t>
  </si>
  <si>
    <t>--</t>
  </si>
  <si>
    <t>6.01亿</t>
  </si>
  <si>
    <t>3805.48万</t>
  </si>
  <si>
    <t>SH603808</t>
  </si>
  <si>
    <t>26.13亿</t>
  </si>
  <si>
    <t>3.57亿</t>
  </si>
  <si>
    <t>SZ300840</t>
  </si>
  <si>
    <t>酷特智能</t>
  </si>
  <si>
    <t>5.35亿</t>
  </si>
  <si>
    <t>6867.42万</t>
  </si>
  <si>
    <t>SH601718</t>
  </si>
  <si>
    <t>211.54亿</t>
  </si>
  <si>
    <t>6260.23万</t>
  </si>
  <si>
    <t>SH600177</t>
  </si>
  <si>
    <t>124.21亿</t>
  </si>
  <si>
    <t>SH600400</t>
  </si>
  <si>
    <t>25.40亿</t>
  </si>
  <si>
    <t>1.70亿</t>
  </si>
  <si>
    <t>8.06亿</t>
  </si>
  <si>
    <t>1.83亿</t>
  </si>
  <si>
    <t>1.51亿</t>
  </si>
  <si>
    <t>SZ002154</t>
  </si>
  <si>
    <t>32.73亿</t>
  </si>
  <si>
    <t>2.10亿</t>
  </si>
  <si>
    <t>5.43亿</t>
  </si>
  <si>
    <t>1.29亿</t>
  </si>
  <si>
    <t>3.85亿</t>
  </si>
  <si>
    <t>SH603908</t>
  </si>
  <si>
    <t>5.29亿</t>
  </si>
  <si>
    <t>4078.65万</t>
  </si>
  <si>
    <t>SZ002327</t>
  </si>
  <si>
    <t>27.89亿</t>
  </si>
  <si>
    <t>5.07亿</t>
  </si>
  <si>
    <t>SZ002832</t>
  </si>
  <si>
    <t>18.26亿</t>
  </si>
  <si>
    <t>4.07亿</t>
  </si>
  <si>
    <t>2.69亿</t>
  </si>
  <si>
    <t>1.47亿</t>
  </si>
  <si>
    <t>SH603877</t>
  </si>
  <si>
    <t>79.28亿</t>
  </si>
  <si>
    <t>5.52亿</t>
  </si>
  <si>
    <t>SH600137</t>
  </si>
  <si>
    <t>3.31亿</t>
  </si>
  <si>
    <t>0亿</t>
  </si>
  <si>
    <t>SZ002687</t>
  </si>
  <si>
    <t>11.21亿</t>
  </si>
  <si>
    <t>1.43亿</t>
  </si>
  <si>
    <t>SZ002193</t>
  </si>
  <si>
    <t>如意集团</t>
  </si>
  <si>
    <t>11.50亿</t>
  </si>
  <si>
    <t>4816.95万</t>
  </si>
  <si>
    <t>SH603839</t>
  </si>
  <si>
    <t>24.38亿</t>
  </si>
  <si>
    <t>3.03亿</t>
  </si>
  <si>
    <t>SH603665</t>
  </si>
  <si>
    <t>9.87亿</t>
  </si>
  <si>
    <t>5006.54万</t>
  </si>
  <si>
    <t>SH603557</t>
  </si>
  <si>
    <t>15.23亿</t>
  </si>
  <si>
    <t>SH603587</t>
  </si>
  <si>
    <t>23.78亿</t>
  </si>
  <si>
    <t>6.24亿</t>
  </si>
  <si>
    <t>SH603365</t>
  </si>
  <si>
    <t>30.02亿</t>
  </si>
  <si>
    <t>3.16亿</t>
  </si>
  <si>
    <t>SZ002763</t>
  </si>
  <si>
    <t>25.85亿</t>
  </si>
  <si>
    <t>1.82亿</t>
  </si>
  <si>
    <t>3.51亿</t>
  </si>
  <si>
    <t>1.13亿</t>
  </si>
  <si>
    <t>1.04亿</t>
  </si>
  <si>
    <t>SZ002397</t>
  </si>
  <si>
    <t>26.04亿</t>
  </si>
  <si>
    <t>8538.96万</t>
  </si>
  <si>
    <t>SZ002293</t>
  </si>
  <si>
    <t>48.60亿</t>
  </si>
  <si>
    <t>5.46亿</t>
  </si>
  <si>
    <t>SH600398</t>
  </si>
  <si>
    <t>219.70亿</t>
  </si>
  <si>
    <t>32.11亿</t>
  </si>
  <si>
    <t>SH603558</t>
  </si>
  <si>
    <t>17.80亿</t>
  </si>
  <si>
    <t>2.73亿</t>
  </si>
  <si>
    <t>6.86亿</t>
  </si>
  <si>
    <t>5.74亿</t>
  </si>
  <si>
    <t>2.85亿</t>
  </si>
  <si>
    <t>SH603116</t>
  </si>
  <si>
    <t>29.70亿</t>
  </si>
  <si>
    <t>1.31亿</t>
  </si>
  <si>
    <t>SH601566</t>
  </si>
  <si>
    <t>28.57亿</t>
  </si>
  <si>
    <t>3.70亿</t>
  </si>
  <si>
    <t>SZ002029</t>
  </si>
  <si>
    <t>36.23亿</t>
  </si>
  <si>
    <t>3.47亿</t>
  </si>
  <si>
    <t>3.18亿</t>
  </si>
  <si>
    <t>SZ002563</t>
  </si>
  <si>
    <t>193.37亿</t>
  </si>
  <si>
    <t>15.49亿</t>
  </si>
  <si>
    <t>SZ002762</t>
  </si>
  <si>
    <t>4.38亿</t>
  </si>
  <si>
    <t>4660.35万</t>
  </si>
  <si>
    <t>SH603518</t>
  </si>
  <si>
    <t>锦泓集团</t>
  </si>
  <si>
    <t>29.13亿</t>
  </si>
  <si>
    <t>1.09亿</t>
  </si>
  <si>
    <t>SH603001</t>
  </si>
  <si>
    <t>27.26亿</t>
  </si>
  <si>
    <t>2249.72万</t>
  </si>
  <si>
    <t>SZ002612</t>
  </si>
  <si>
    <t>30.07亿</t>
  </si>
  <si>
    <t>5877.87万</t>
  </si>
  <si>
    <t>SH603958</t>
  </si>
  <si>
    <t>12.36亿</t>
  </si>
  <si>
    <t>946.19万</t>
  </si>
  <si>
    <t>SH603608</t>
  </si>
  <si>
    <t>20.89亿</t>
  </si>
  <si>
    <t>2.07亿</t>
  </si>
  <si>
    <t>SZ300005</t>
  </si>
  <si>
    <t>15.11亿</t>
  </si>
  <si>
    <t>SZ002875</t>
  </si>
  <si>
    <t>13.27亿</t>
  </si>
  <si>
    <t>4211.73万</t>
  </si>
  <si>
    <t>SZ002656</t>
  </si>
  <si>
    <t>ST摩登</t>
  </si>
  <si>
    <t>13.72亿</t>
  </si>
  <si>
    <t>-14.68亿</t>
  </si>
  <si>
    <t>10.05亿</t>
  </si>
  <si>
    <t>1.50亿</t>
  </si>
  <si>
    <t>SZ002494</t>
  </si>
  <si>
    <t>4.77亿</t>
  </si>
  <si>
    <t>1688.98万</t>
  </si>
  <si>
    <t>SH600107</t>
  </si>
  <si>
    <t>4.47亿</t>
  </si>
  <si>
    <t>SH603196</t>
  </si>
  <si>
    <t>11.14亿</t>
  </si>
  <si>
    <t>881.31万</t>
  </si>
  <si>
    <t>SZ300591</t>
  </si>
  <si>
    <t>6.76亿</t>
  </si>
  <si>
    <t>2399.88万</t>
  </si>
  <si>
    <t>SZ002269</t>
  </si>
  <si>
    <t>54.63亿</t>
  </si>
  <si>
    <t>-8.25亿</t>
  </si>
  <si>
    <t>SZ002569</t>
  </si>
  <si>
    <t>ST步森</t>
  </si>
  <si>
    <t>3.04亿</t>
  </si>
  <si>
    <t>3.59亿</t>
  </si>
  <si>
    <t>4448.42万</t>
  </si>
  <si>
    <t>1.95亿</t>
  </si>
  <si>
    <t>1.07亿</t>
  </si>
  <si>
    <t>SH600630</t>
  </si>
  <si>
    <t>40.95亿</t>
  </si>
  <si>
    <t>1914.97万</t>
  </si>
  <si>
    <t>SZ002780</t>
  </si>
  <si>
    <t>4.02亿</t>
  </si>
  <si>
    <t>-2973.49万</t>
  </si>
  <si>
    <t>预期多</t>
    <phoneticPr fontId="1" type="noConversion"/>
  </si>
  <si>
    <t>预期空</t>
    <phoneticPr fontId="1" type="noConversion"/>
  </si>
  <si>
    <t>已知和基本信息</t>
    <phoneticPr fontId="1" type="noConversion"/>
  </si>
  <si>
    <t>回归我们所理解的“红海”服装业，完全取决于如何做；（20%）</t>
    <phoneticPr fontId="1" type="noConversion"/>
  </si>
  <si>
    <t>撤回的资金投往哪个方向很关键；（15%）</t>
    <phoneticPr fontId="1" type="noConversion"/>
  </si>
  <si>
    <t>3.65亿</t>
  </si>
  <si>
    <t>1.24亿</t>
  </si>
  <si>
    <t>19.97亿</t>
  </si>
  <si>
    <t>1.40亿</t>
  </si>
  <si>
    <t>1.06亿</t>
  </si>
  <si>
    <t>1.62亿</t>
  </si>
  <si>
    <t>1.59亿</t>
  </si>
  <si>
    <t>1.66亿</t>
  </si>
  <si>
    <t>3.53亿</t>
  </si>
  <si>
    <t>2.55亿</t>
  </si>
  <si>
    <t>5.85亿</t>
  </si>
  <si>
    <t>1.18亿</t>
  </si>
  <si>
    <t>1.03亿</t>
  </si>
  <si>
    <t>2.79亿</t>
  </si>
  <si>
    <t>32.54亿</t>
  </si>
  <si>
    <t>1.23亿</t>
  </si>
  <si>
    <t>1.17亿</t>
  </si>
  <si>
    <t>1.10亿</t>
  </si>
  <si>
    <t>1.90亿</t>
  </si>
  <si>
    <t>7.86亿</t>
  </si>
  <si>
    <t>3.82亿</t>
  </si>
  <si>
    <t>1.30亿</t>
  </si>
  <si>
    <t>1.67亿</t>
  </si>
  <si>
    <t>4.49亿</t>
  </si>
  <si>
    <t>1.88亿</t>
  </si>
  <si>
    <t>1.96亿</t>
  </si>
  <si>
    <t>1.78亿</t>
  </si>
  <si>
    <t>2.42亿</t>
  </si>
  <si>
    <t>1.45亿</t>
  </si>
  <si>
    <t>1.69亿</t>
  </si>
  <si>
    <t>1.02亿</t>
  </si>
  <si>
    <t>1.33亿</t>
  </si>
  <si>
    <t>1.19亿</t>
  </si>
  <si>
    <t>6.34亿</t>
  </si>
  <si>
    <t>1.22亿</t>
  </si>
  <si>
    <t>1.85亿</t>
  </si>
  <si>
    <t>1.25亿</t>
  </si>
  <si>
    <t>5.87亿</t>
  </si>
  <si>
    <t>1.08亿</t>
  </si>
  <si>
    <t>2.31亿</t>
  </si>
  <si>
    <t>5.99亿</t>
  </si>
  <si>
    <t>2.00亿</t>
  </si>
  <si>
    <t>2.57亿</t>
  </si>
  <si>
    <t>1.42亿</t>
  </si>
  <si>
    <t>3.35亿</t>
  </si>
  <si>
    <t>4.67亿</t>
  </si>
  <si>
    <t>1.00亿</t>
  </si>
  <si>
    <t>2.11亿</t>
  </si>
  <si>
    <t>1.26亿</t>
  </si>
  <si>
    <t>1.73亿</t>
  </si>
  <si>
    <t>4.30亿</t>
  </si>
  <si>
    <t>流动资产</t>
  </si>
  <si>
    <t>营业收入[20191231]</t>
  </si>
  <si>
    <t>营业收入[20181231]</t>
  </si>
  <si>
    <t>营业收入[20171231]</t>
  </si>
  <si>
    <t>净利润[20191231]</t>
  </si>
  <si>
    <t>净利润[20181231]</t>
  </si>
  <si>
    <t>净利润[20171231]</t>
  </si>
  <si>
    <t>33.30亿</t>
  </si>
  <si>
    <t>2.09亿</t>
  </si>
  <si>
    <t>7.55亿</t>
  </si>
  <si>
    <t>35.17亿</t>
  </si>
  <si>
    <t>3.46亿</t>
  </si>
  <si>
    <t>3.17亿</t>
  </si>
  <si>
    <t>37.88亿</t>
  </si>
  <si>
    <t>3.66亿</t>
  </si>
  <si>
    <t>31.10亿</t>
  </si>
  <si>
    <t>26.01亿</t>
  </si>
  <si>
    <t>5183.75万</t>
  </si>
  <si>
    <t>509.32万</t>
  </si>
  <si>
    <t>2355.37万</t>
  </si>
  <si>
    <t>13.28亿</t>
  </si>
  <si>
    <t>9901.19万</t>
  </si>
  <si>
    <t>1.60亿</t>
  </si>
  <si>
    <t>38.19亿</t>
  </si>
  <si>
    <t>-8.59亿</t>
  </si>
  <si>
    <t>76.77亿</t>
  </si>
  <si>
    <t>4036.16万</t>
  </si>
  <si>
    <t>-3.05亿</t>
  </si>
  <si>
    <t>4.99亿</t>
  </si>
  <si>
    <t>49.11亿</t>
  </si>
  <si>
    <t>16.34亿</t>
  </si>
  <si>
    <t>48.13亿</t>
  </si>
  <si>
    <t>4.28亿</t>
  </si>
  <si>
    <t>28.74亿</t>
  </si>
  <si>
    <t>5.16亿</t>
  </si>
  <si>
    <t>1.84亿</t>
  </si>
  <si>
    <t>29.18亿</t>
  </si>
  <si>
    <t>5.11亿</t>
  </si>
  <si>
    <t>22.20亿</t>
  </si>
  <si>
    <t>4492.04万</t>
  </si>
  <si>
    <t>1.81亿</t>
  </si>
  <si>
    <t>23.08亿</t>
  </si>
  <si>
    <t>8438.27万</t>
  </si>
  <si>
    <t>3.38亿</t>
  </si>
  <si>
    <t>-3.46亿</t>
  </si>
  <si>
    <t>5.01亿</t>
  </si>
  <si>
    <t>1686.53万</t>
  </si>
  <si>
    <t>2.13亿</t>
  </si>
  <si>
    <t>3.69亿</t>
  </si>
  <si>
    <t>1.94亿</t>
  </si>
  <si>
    <t>152.05亿</t>
  </si>
  <si>
    <t>2.92亿</t>
  </si>
  <si>
    <t>-1.53亿</t>
  </si>
  <si>
    <t>157.19亿</t>
  </si>
  <si>
    <t>16.94亿</t>
  </si>
  <si>
    <t>27.38亿</t>
  </si>
  <si>
    <t>3.20亿</t>
  </si>
  <si>
    <t>3.44亿</t>
  </si>
  <si>
    <t>-1.93亿</t>
  </si>
  <si>
    <t>28.76亿</t>
  </si>
  <si>
    <t>26.62亿</t>
  </si>
  <si>
    <t>6.26亿</t>
  </si>
  <si>
    <t>6166.36万</t>
  </si>
  <si>
    <t>4.16亿</t>
  </si>
  <si>
    <t>1814.64万</t>
  </si>
  <si>
    <t>5.12亿</t>
  </si>
  <si>
    <t>731.75万</t>
  </si>
  <si>
    <t>15.68亿</t>
  </si>
  <si>
    <t>9.23亿</t>
  </si>
  <si>
    <t>2593.07万</t>
  </si>
  <si>
    <t>10.88亿</t>
  </si>
  <si>
    <t>1.44亿</t>
  </si>
  <si>
    <t>2.93亿</t>
  </si>
  <si>
    <t>7.02亿</t>
  </si>
  <si>
    <t>3.13亿</t>
  </si>
  <si>
    <t>3260.10万</t>
  </si>
  <si>
    <t>1.20亿</t>
  </si>
  <si>
    <t>4.54亿</t>
  </si>
  <si>
    <t>3951.28万</t>
  </si>
  <si>
    <t>23.73亿</t>
  </si>
  <si>
    <t>23.55亿</t>
  </si>
  <si>
    <t>4.18亿</t>
  </si>
  <si>
    <t>10.08亿</t>
  </si>
  <si>
    <t>10.50亿</t>
  </si>
  <si>
    <t>1.92亿</t>
  </si>
  <si>
    <t>1.21亿</t>
  </si>
  <si>
    <t>2.04亿</t>
  </si>
  <si>
    <t>-6545.34万</t>
  </si>
  <si>
    <t>4.20亿</t>
  </si>
  <si>
    <t>502.87万</t>
  </si>
  <si>
    <t>14.76亿</t>
  </si>
  <si>
    <t>1.80亿</t>
  </si>
  <si>
    <t>12.57亿</t>
  </si>
  <si>
    <t>-4681.59万</t>
  </si>
  <si>
    <t>5.56亿</t>
  </si>
  <si>
    <t>12.13亿</t>
  </si>
  <si>
    <t>10.31亿</t>
  </si>
  <si>
    <t>8338.67万</t>
  </si>
  <si>
    <t>SZ003016</t>
  </si>
  <si>
    <t>欣贺股份</t>
  </si>
  <si>
    <t>18.33亿</t>
  </si>
  <si>
    <t>19.65亿</t>
  </si>
  <si>
    <t>17.60亿</t>
  </si>
  <si>
    <t>2.06亿</t>
  </si>
  <si>
    <t>SZ003041</t>
  </si>
  <si>
    <t>真爱美家</t>
  </si>
  <si>
    <t>8.91亿</t>
  </si>
  <si>
    <t>10.02亿</t>
  </si>
  <si>
    <t>10.24亿</t>
  </si>
  <si>
    <t>6292.73万</t>
  </si>
  <si>
    <t>9.12亿</t>
  </si>
  <si>
    <t>-2.75亿</t>
  </si>
  <si>
    <t>19.92亿</t>
  </si>
  <si>
    <t>-1.82亿</t>
  </si>
  <si>
    <t>2.76亿</t>
  </si>
  <si>
    <t>-1.45亿</t>
  </si>
  <si>
    <t>2.75亿</t>
  </si>
  <si>
    <t>6.93亿</t>
  </si>
  <si>
    <t>3779.73万</t>
  </si>
  <si>
    <t>4761.84万</t>
  </si>
  <si>
    <t>5.91亿</t>
  </si>
  <si>
    <t>2.91亿</t>
  </si>
  <si>
    <t>6359.62万</t>
  </si>
  <si>
    <t>SZ300901</t>
  </si>
  <si>
    <t>中胤时尚</t>
  </si>
  <si>
    <t>6.25亿</t>
  </si>
  <si>
    <t>6.21亿</t>
  </si>
  <si>
    <t>8510.55万</t>
  </si>
  <si>
    <t>SZ300918</t>
  </si>
  <si>
    <t>南山智尚</t>
  </si>
  <si>
    <t>13.58亿</t>
  </si>
  <si>
    <t>8750.80万</t>
  </si>
  <si>
    <t>17.71亿</t>
  </si>
  <si>
    <t>7.67亿</t>
  </si>
  <si>
    <t>3.39亿</t>
  </si>
  <si>
    <t>4.44亿</t>
  </si>
  <si>
    <t>3.88亿</t>
  </si>
  <si>
    <t>114.76亿</t>
  </si>
  <si>
    <t>96.35亿</t>
  </si>
  <si>
    <t>2.97亿</t>
  </si>
  <si>
    <t>179.59亿</t>
  </si>
  <si>
    <t>17.85亿</t>
  </si>
  <si>
    <t>7.29亿</t>
  </si>
  <si>
    <t>190.90亿</t>
  </si>
  <si>
    <t>34.55亿</t>
  </si>
  <si>
    <t>23.84亿</t>
  </si>
  <si>
    <t>24.83亿</t>
  </si>
  <si>
    <t>30.41亿</t>
  </si>
  <si>
    <t>6.64亿</t>
  </si>
  <si>
    <t>-2.94亿</t>
  </si>
  <si>
    <t>43.62亿</t>
  </si>
  <si>
    <t>3767.29万</t>
  </si>
  <si>
    <t>26.72亿</t>
  </si>
  <si>
    <t>27.33亿</t>
  </si>
  <si>
    <t>5.34亿</t>
  </si>
  <si>
    <t>4.94亿</t>
  </si>
  <si>
    <t>149.54亿</t>
  </si>
  <si>
    <t>-7.76亿</t>
  </si>
  <si>
    <t>226.77亿</t>
  </si>
  <si>
    <t>-6796.89万</t>
  </si>
  <si>
    <t>2794.05万</t>
  </si>
  <si>
    <t>30.43亿</t>
  </si>
  <si>
    <t>1.37亿</t>
  </si>
  <si>
    <t>2.26亿</t>
  </si>
  <si>
    <t>25.92亿</t>
  </si>
  <si>
    <t>7860.86万</t>
  </si>
  <si>
    <t>-1.31亿</t>
  </si>
  <si>
    <t>8.23亿</t>
  </si>
  <si>
    <t>-4752.21万</t>
  </si>
  <si>
    <t>11.32亿</t>
  </si>
  <si>
    <t>9.49亿</t>
  </si>
  <si>
    <t>3836.43万</t>
  </si>
  <si>
    <t>24.36亿</t>
  </si>
  <si>
    <t>30.35亿</t>
  </si>
  <si>
    <t>27.19亿</t>
  </si>
  <si>
    <t>1.98亿</t>
  </si>
  <si>
    <t>1.35亿</t>
  </si>
  <si>
    <t>SH603511</t>
  </si>
  <si>
    <t>33.62亿</t>
  </si>
  <si>
    <t>33.18亿</t>
  </si>
  <si>
    <t>31.19亿</t>
  </si>
  <si>
    <t>33.40亿</t>
  </si>
  <si>
    <t>-6.24亿</t>
  </si>
  <si>
    <t>30.86亿</t>
  </si>
  <si>
    <t>25.64亿</t>
  </si>
  <si>
    <t>ST起步</t>
  </si>
  <si>
    <t>15.82亿</t>
  </si>
  <si>
    <t>-5.28亿</t>
  </si>
  <si>
    <t>1.41亿</t>
  </si>
  <si>
    <t>15.77亿</t>
  </si>
  <si>
    <t>1.32亿</t>
  </si>
  <si>
    <t>6.30亿</t>
  </si>
  <si>
    <t>21.00亿</t>
  </si>
  <si>
    <t>19.46亿</t>
  </si>
  <si>
    <t>18.78亿</t>
  </si>
  <si>
    <t>-4.62亿</t>
  </si>
  <si>
    <t>20.52亿</t>
  </si>
  <si>
    <t>7679.73万</t>
  </si>
  <si>
    <t>2.81亿</t>
  </si>
  <si>
    <t>9.05亿</t>
  </si>
  <si>
    <t>8356.70万</t>
  </si>
  <si>
    <t>19.62亿</t>
  </si>
  <si>
    <t>4.45亿</t>
  </si>
  <si>
    <t>1.52亿</t>
  </si>
  <si>
    <t>35.94亿</t>
  </si>
  <si>
    <t>16.49亿</t>
  </si>
  <si>
    <t>93.87亿</t>
  </si>
  <si>
    <t>7.13亿</t>
  </si>
  <si>
    <t>77.12亿</t>
  </si>
  <si>
    <t>5.72亿</t>
  </si>
  <si>
    <t>6.43亿</t>
  </si>
  <si>
    <t>4597.47万</t>
  </si>
  <si>
    <t>5.51亿</t>
  </si>
  <si>
    <t>4119.19万</t>
  </si>
  <si>
    <t>8.92亿</t>
  </si>
  <si>
    <t>-4353.29万</t>
  </si>
  <si>
    <t>2.35亿</t>
  </si>
  <si>
    <t>13.48亿</t>
  </si>
  <si>
    <t>-6237.40万</t>
  </si>
  <si>
    <t>5.81亿</t>
  </si>
  <si>
    <t>SZ001209</t>
  </si>
  <si>
    <t>洪兴股份</t>
  </si>
  <si>
    <t>11.31亿</t>
  </si>
  <si>
    <t>1.34亿</t>
  </si>
  <si>
    <t>8.60亿</t>
  </si>
  <si>
    <t>9175.11万</t>
  </si>
  <si>
    <t>8570.03万</t>
  </si>
  <si>
    <t>3.86亿</t>
  </si>
  <si>
    <t>5.97亿</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</si>
  <si>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</si>
  <si>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</si>
  <si>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</si>
  <si>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</si>
  <si>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</si>
  <si>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</si>
  <si>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</si>
  <si>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</si>
  <si>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</si>
  <si>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</si>
  <si>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</si>
  <si>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</si>
  <si>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</si>
  <si>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销售毛利率%[20201231]</t>
  </si>
  <si>
    <t>销售净利率%[20201231]</t>
  </si>
  <si>
    <t>6.52亿</t>
  </si>
  <si>
    <t>14.86亿</t>
  </si>
  <si>
    <t>2.99亿</t>
  </si>
  <si>
    <t>4.95亿</t>
  </si>
  <si>
    <t>1.87亿</t>
  </si>
  <si>
    <t>2.46亿</t>
  </si>
  <si>
    <t>2.20亿</t>
  </si>
  <si>
    <t>2.51亿</t>
  </si>
  <si>
    <t>2.24亿</t>
  </si>
  <si>
    <t>3.45亿</t>
  </si>
  <si>
    <t>4.11亿</t>
  </si>
  <si>
    <t>3.15亿</t>
  </si>
  <si>
    <t>SZ300952</t>
  </si>
  <si>
    <t>恒辉安防</t>
  </si>
  <si>
    <t>8.29亿</t>
  </si>
  <si>
    <t>9684.89万</t>
  </si>
  <si>
    <t>7186.21万</t>
  </si>
  <si>
    <t>SZ301088</t>
  </si>
  <si>
    <t>戎美股份</t>
  </si>
  <si>
    <t>8.51亿</t>
  </si>
  <si>
    <t>6.94亿</t>
  </si>
  <si>
    <t>7.04亿</t>
  </si>
  <si>
    <t>水星家纺</t>
  </si>
  <si>
    <t>6.51亿</t>
  </si>
  <si>
    <t>2.80亿</t>
  </si>
  <si>
    <t>SH605003</t>
  </si>
  <si>
    <t>众望布艺</t>
  </si>
  <si>
    <t>4.88亿</t>
  </si>
  <si>
    <t>4.25亿</t>
  </si>
  <si>
    <t>8984.81万</t>
  </si>
  <si>
    <t>SH605138</t>
  </si>
  <si>
    <t>盛泰集团</t>
  </si>
  <si>
    <t>47.02亿</t>
  </si>
  <si>
    <t>55.70亿</t>
  </si>
  <si>
    <t>52.90亿</t>
  </si>
  <si>
    <r>
      <t>1.商务类品牌坚持“西服做全做宽、休闲做准做精”，在私人定制、商务套西、婚庆礼服、轻正装的基础上，推出运动西服。休闲类品牌</t>
    </r>
    <r>
      <rPr>
        <sz val="9"/>
        <color rgb="FFFF0000"/>
        <rFont val="宋体"/>
        <family val="3"/>
        <charset val="134"/>
        <scheme val="minor"/>
      </rPr>
      <t>哈吉斯</t>
    </r>
    <r>
      <rPr>
        <sz val="9"/>
        <color theme="1"/>
        <rFont val="宋体"/>
        <family val="3"/>
        <charset val="134"/>
        <scheme val="minor"/>
      </rPr>
      <t>推进产品年轻化、</t>
    </r>
    <r>
      <rPr>
        <sz val="9"/>
        <color rgb="FFFF0000"/>
        <rFont val="宋体"/>
        <family val="3"/>
        <charset val="134"/>
        <scheme val="minor"/>
      </rPr>
      <t>乐飞叶\亨利格兰</t>
    </r>
    <r>
      <rPr>
        <sz val="9"/>
        <color theme="1"/>
        <rFont val="宋体"/>
        <family val="3"/>
        <charset val="134"/>
        <scheme val="minor"/>
      </rPr>
      <t>等积极推进功能性面料的应用开发，打造功能性休闲产品；2.</t>
    </r>
    <phoneticPr fontId="1" type="noConversion"/>
  </si>
  <si>
    <t>涨幅%</t>
  </si>
  <si>
    <t>流通股本</t>
  </si>
  <si>
    <t>净利润[20201231]</t>
  </si>
  <si>
    <t>投入资本回报率roic%[20201231]</t>
  </si>
  <si>
    <t>净资产收益率%[20201231]</t>
  </si>
  <si>
    <t>12.85亿</t>
  </si>
  <si>
    <t>2.50亿</t>
  </si>
  <si>
    <t>SZ001234</t>
  </si>
  <si>
    <t>泰慕士</t>
  </si>
  <si>
    <t>8.69亿</t>
  </si>
  <si>
    <t>9805.16万</t>
  </si>
  <si>
    <t>7.91亿</t>
  </si>
  <si>
    <t>8200.89万</t>
  </si>
  <si>
    <t>9310.43万</t>
  </si>
  <si>
    <t>9857.11万</t>
  </si>
  <si>
    <t>35.14亿</t>
  </si>
  <si>
    <t>44.51亿</t>
  </si>
  <si>
    <t>4.64亿</t>
  </si>
  <si>
    <t>6.90亿</t>
  </si>
  <si>
    <t>99.38万</t>
  </si>
  <si>
    <t>26.39亿</t>
  </si>
  <si>
    <t>57.60亿</t>
  </si>
  <si>
    <t>31.79亿</t>
  </si>
  <si>
    <t>24.63亿</t>
  </si>
  <si>
    <t>-1.56亿</t>
  </si>
  <si>
    <t>4.15亿</t>
  </si>
  <si>
    <t>1742.25万</t>
  </si>
  <si>
    <t>154.20亿</t>
  </si>
  <si>
    <t>3255.67万</t>
  </si>
  <si>
    <t>6.14亿</t>
  </si>
  <si>
    <t>5561.51万</t>
  </si>
  <si>
    <t>1.63亿</t>
  </si>
  <si>
    <t>13.04亿</t>
  </si>
  <si>
    <t>2.21亿</t>
  </si>
  <si>
    <t>1400.66万</t>
  </si>
  <si>
    <t>2.83亿</t>
  </si>
  <si>
    <t>23.03亿</t>
  </si>
  <si>
    <t>-2616.90万</t>
  </si>
  <si>
    <t>27.20亿</t>
  </si>
  <si>
    <t>11.86亿</t>
  </si>
  <si>
    <t>-302.95万</t>
  </si>
  <si>
    <t>21.02亿</t>
  </si>
  <si>
    <t>2.87亿</t>
  </si>
  <si>
    <t>9.33亿</t>
  </si>
  <si>
    <t>12.43亿</t>
  </si>
  <si>
    <t>5446.52万</t>
  </si>
  <si>
    <t>5.93亿</t>
  </si>
  <si>
    <t>6138.30万</t>
  </si>
  <si>
    <t>7095.82万</t>
  </si>
  <si>
    <t>14.92亿</t>
  </si>
  <si>
    <t>9.50亿</t>
  </si>
  <si>
    <t>9256.11万</t>
  </si>
  <si>
    <t>8.72亿</t>
  </si>
  <si>
    <t>4.86亿</t>
  </si>
  <si>
    <t>201.88亿</t>
  </si>
  <si>
    <t>24.91亿</t>
  </si>
  <si>
    <t>23.43亿</t>
  </si>
  <si>
    <t>7697.31万</t>
  </si>
  <si>
    <t>29.49亿</t>
  </si>
  <si>
    <t>30.50亿</t>
  </si>
  <si>
    <t>154.94亿</t>
  </si>
  <si>
    <t>-1.66亿</t>
  </si>
  <si>
    <t>29.59亿</t>
  </si>
  <si>
    <t>3405.21万</t>
  </si>
  <si>
    <t>25.11亿</t>
  </si>
  <si>
    <t>2252.54万</t>
  </si>
  <si>
    <t>10.25亿</t>
  </si>
  <si>
    <t>8123.44万</t>
  </si>
  <si>
    <t>37.99亿</t>
  </si>
  <si>
    <t>爱慕股份</t>
  </si>
  <si>
    <t>35.19亿</t>
  </si>
  <si>
    <t>3.27亿</t>
  </si>
  <si>
    <t>43.24亿</t>
  </si>
  <si>
    <t>10.53亿</t>
  </si>
  <si>
    <t>28.98亿</t>
  </si>
  <si>
    <t>6.89亿</t>
  </si>
  <si>
    <t>-1.54亿</t>
  </si>
  <si>
    <t>9.90亿</t>
  </si>
  <si>
    <t>19.25亿</t>
  </si>
  <si>
    <t>-6461.16万</t>
  </si>
  <si>
    <t>10.14亿</t>
  </si>
  <si>
    <t>23.63亿</t>
  </si>
  <si>
    <t>30.78亿</t>
  </si>
  <si>
    <t>6973.00万</t>
  </si>
  <si>
    <t>109.21亿</t>
  </si>
  <si>
    <t>6.77亿</t>
  </si>
  <si>
    <t>3.87亿</t>
  </si>
  <si>
    <t>7861.40万</t>
  </si>
  <si>
    <t>-2009.54万</t>
  </si>
  <si>
    <t>51.57亿</t>
  </si>
  <si>
    <t>2.39亿</t>
  </si>
  <si>
    <t xml:space="preserve">    名称</t>
  </si>
  <si>
    <t>净利润?</t>
  </si>
  <si>
    <t>净利润[20211231]</t>
  </si>
  <si>
    <t>投入资本回报率roic%[20211231]</t>
  </si>
  <si>
    <t>净资产收益率%[20211231]</t>
  </si>
  <si>
    <t>细分行业</t>
  </si>
  <si>
    <t>单季营收增速</t>
  </si>
  <si>
    <t>单季利润增速</t>
  </si>
  <si>
    <t>价格箱体形态过滤</t>
    <phoneticPr fontId="1" type="noConversion"/>
  </si>
  <si>
    <t>服装</t>
  </si>
  <si>
    <t>1-1</t>
  </si>
  <si>
    <t/>
  </si>
  <si>
    <t>-2-0</t>
  </si>
  <si>
    <t>2.62亿</t>
  </si>
  <si>
    <t>-1-0</t>
  </si>
  <si>
    <t>亏损</t>
  </si>
  <si>
    <t>扭亏</t>
  </si>
  <si>
    <t>-2-1</t>
  </si>
  <si>
    <t>家纺</t>
  </si>
  <si>
    <t>-1-1</t>
  </si>
  <si>
    <t>2-0</t>
  </si>
  <si>
    <t>1.16亿</t>
  </si>
  <si>
    <t>鞋帽及其他</t>
  </si>
  <si>
    <t>4.97亿</t>
  </si>
  <si>
    <t>4.59亿</t>
  </si>
  <si>
    <t>2.45亿</t>
  </si>
  <si>
    <t>1-0</t>
  </si>
  <si>
    <t>3.73亿</t>
  </si>
  <si>
    <t>3.01亿</t>
  </si>
  <si>
    <t>SZ301276</t>
  </si>
  <si>
    <t>12.14亿</t>
  </si>
  <si>
    <t>10.43亿</t>
  </si>
  <si>
    <t>8.97亿</t>
  </si>
  <si>
    <t>8948.38万</t>
  </si>
  <si>
    <t>6982.12万</t>
  </si>
  <si>
    <t>-3-0</t>
  </si>
  <si>
    <t>5.66亿</t>
  </si>
  <si>
    <t>2-1</t>
  </si>
  <si>
    <t>2.19亿</t>
  </si>
  <si>
    <t>4.17亿</t>
  </si>
  <si>
    <t>2.88亿</t>
  </si>
  <si>
    <t>1.54亿</t>
  </si>
  <si>
    <t>6.16亿</t>
  </si>
  <si>
    <t>4.91亿</t>
  </si>
  <si>
    <t>6.08亿</t>
  </si>
  <si>
    <t>5.92亿</t>
  </si>
  <si>
    <t>1.38亿</t>
  </si>
  <si>
    <t>3.76亿</t>
  </si>
  <si>
    <t>2.71亿</t>
  </si>
  <si>
    <t>2.43亿</t>
  </si>
  <si>
    <t>1.14亿</t>
  </si>
  <si>
    <t>嘉曼服饰</t>
  </si>
  <si>
    <t>2.34亿</t>
  </si>
  <si>
    <t>13.74亿</t>
  </si>
  <si>
    <t>4-0</t>
  </si>
  <si>
    <t>5.62亿</t>
  </si>
  <si>
    <t>-3.16亿</t>
  </si>
  <si>
    <t>1.12亿</t>
  </si>
  <si>
    <t>8.93亿</t>
  </si>
  <si>
    <t>1.89亿</t>
  </si>
  <si>
    <t>23.54亿</t>
  </si>
  <si>
    <t>1.介绍电子束接枝技术及抗病毒抗菌面料的情况电子束接枝技术可以与果木嫁接技术中人们将两个不同品种的植株进行结合的方法类比，利用电子束在纺织物的纤维大分子上打开化学键，再将若干个制剂分子“嫁接”到这个纤维大分子中，纤维大分子摇身一变，成为自带抗病毒抗菌“武器”的新型材料。
　　这种嫁接上去的类似于树杈状的制剂分子带有正电荷，而包膜类病毒、细菌、真菌带有负电荷，正负电荷相互吸引作用下，制剂分子将刺破病毒、细菌、真菌的包膜，从而达到灭杀的目的。
　　电子束接枝技术具有广谱性、长效性和安全性的特点，对所有包膜类病毒、细菌、真菌均有效，即使病毒变异也依然有效；水洗150次之后抑制率超过94%，远远超过国家行业标准中对抗菌有效性最高等级（AAA）的要求；利用该技术制备抗病毒抗菌产品属于非释放型纯物理消毒，能够解决抗菌剂脱落引起的安全隐患，有效防止纺织品出现二次污染。
　　该项技术已经通过了拥有中国最高等级生物安全实验室的研究机构的权威认证，也经过中国纺织工业联合会组织召开的“电子束接枝关键技术及安全长效广谱抗病毒抗菌功能纺织品研究”项目鉴定会鉴定通过，一致认为：该技术对有包膜的病毒、细菌、部分真菌抑制率均超过99%，技术具有独创性，项目整体水平达到国际先进。</t>
    <phoneticPr fontId="1" type="noConversion"/>
  </si>
  <si>
    <t>10派5元(含税)</t>
  </si>
  <si>
    <t>不分配不转增</t>
  </si>
  <si>
    <t>1.68亿</t>
  </si>
  <si>
    <t>10派0.5元(含税)</t>
  </si>
  <si>
    <t>10派3元(含税)</t>
  </si>
  <si>
    <t>2.78亿</t>
  </si>
  <si>
    <t>10派1.5元(含税)</t>
  </si>
  <si>
    <t>10派4.1元(含税)</t>
  </si>
  <si>
    <t>成交量[20230512]</t>
  </si>
  <si>
    <t>当季营业收入(同比增长率) %</t>
  </si>
  <si>
    <t>LYear营业总收入[20221231]</t>
  </si>
  <si>
    <t>LYear净利润[20221231]</t>
  </si>
  <si>
    <t>权益乘数[20220930]</t>
  </si>
  <si>
    <t>总资产周转率[20220930]</t>
  </si>
  <si>
    <t>净利润／营业总收入%[20220930]</t>
  </si>
  <si>
    <t>营业总成本[20220930]</t>
  </si>
  <si>
    <t>营业成本[20220930]</t>
  </si>
  <si>
    <t>销售费用[20230331]</t>
  </si>
  <si>
    <t>管理费用[20220930]</t>
  </si>
  <si>
    <t>研发费用总额</t>
  </si>
  <si>
    <t>其他收入[20230331]</t>
  </si>
  <si>
    <t>扣除非经常性损益后的净利润[20230331]</t>
  </si>
  <si>
    <t>货币资金[20230331]</t>
  </si>
  <si>
    <t>应收票据[20230331]</t>
  </si>
  <si>
    <t>固定资产[20230331]</t>
  </si>
  <si>
    <t>在建工程[20230331]</t>
  </si>
  <si>
    <t>短期借款[20230331]</t>
  </si>
  <si>
    <t>应付票据[20230331]</t>
  </si>
  <si>
    <t>应付账款[20230331]</t>
  </si>
  <si>
    <t>预收款项[20230331]</t>
  </si>
  <si>
    <t>流动负债[20230331]</t>
  </si>
  <si>
    <t>长期借款[20230331]</t>
  </si>
  <si>
    <t>经营活动产生的现金流量净额[20230331]</t>
  </si>
  <si>
    <t>投资活动产生的现金流量净额[20230331]</t>
  </si>
  <si>
    <t>筹资活动产生的现金流量净额[20230331]</t>
  </si>
  <si>
    <t>营业收入[20211231]</t>
  </si>
  <si>
    <t>营业收入[20201231]</t>
  </si>
  <si>
    <t>CYLQ营业收入[20221231]</t>
  </si>
  <si>
    <t>LYCQ营业收入[20220331]</t>
  </si>
  <si>
    <t>LYLQ营业收入[20211231]</t>
  </si>
  <si>
    <t>CYLQ净利润[20221231]</t>
  </si>
  <si>
    <t>LYCQ净利润[20220331]</t>
  </si>
  <si>
    <t>LYLQ净利润[20211231]</t>
  </si>
  <si>
    <t>投入资本回报率roic%[20221231]</t>
  </si>
  <si>
    <t>净资产收益率%[20221231]</t>
  </si>
  <si>
    <t>分红明细[20221231]</t>
  </si>
  <si>
    <t>销售毛利率%[20230331]</t>
  </si>
  <si>
    <t>销售毛利率%[20211231]</t>
  </si>
  <si>
    <t>销售净利率%[20230331]</t>
  </si>
  <si>
    <t>销售净利率%[20211231]</t>
  </si>
  <si>
    <t>区间涨跌幅:前复权%[20230508-20230512]</t>
  </si>
  <si>
    <t>区间涨跌幅:前复权%[20230328-20230512]</t>
  </si>
  <si>
    <t>区间成交量[20230508-20230512]</t>
  </si>
  <si>
    <t>区间成交量[20230328-20230512]</t>
  </si>
  <si>
    <t>6年PE</t>
    <phoneticPr fontId="1" type="noConversion"/>
  </si>
  <si>
    <t>5年营收增速PEG</t>
    <phoneticPr fontId="1" type="noConversion"/>
  </si>
  <si>
    <t>股利率</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</si>
  <si>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</si>
  <si>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</si>
  <si>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</si>
  <si>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</si>
  <si>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</si>
  <si>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</si>
  <si>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</si>
  <si>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</si>
  <si>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</si>
  <si>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</si>
  <si>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</si>
  <si>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</si>
  <si>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</si>
  <si>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</si>
  <si>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原始顺序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</si>
  <si>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</si>
  <si>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</si>
  <si>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</si>
  <si>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</si>
  <si>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</si>
  <si>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</si>
  <si>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</si>
  <si>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</si>
  <si>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</si>
  <si>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</si>
  <si>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</si>
  <si>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</si>
  <si>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</si>
  <si>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</si>
  <si>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</si>
  <si>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</si>
  <si>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价格右侧初期策略</t>
    <phoneticPr fontId="1" type="noConversion"/>
  </si>
  <si>
    <t>N日期</t>
    <phoneticPr fontId="1" type="noConversion"/>
  </si>
  <si>
    <t>N-4</t>
    <phoneticPr fontId="1" type="noConversion"/>
  </si>
  <si>
    <t>N-3</t>
    <phoneticPr fontId="1" type="noConversion"/>
  </si>
  <si>
    <t>N-2</t>
    <phoneticPr fontId="1" type="noConversion"/>
  </si>
  <si>
    <t>N-1</t>
    <phoneticPr fontId="1" type="noConversion"/>
  </si>
  <si>
    <t>N</t>
    <phoneticPr fontId="1" type="noConversion"/>
  </si>
  <si>
    <t>-1498.52万</t>
  </si>
  <si>
    <t>3.14亿</t>
  </si>
  <si>
    <t>2.70亿</t>
  </si>
  <si>
    <t>10派4元(含税)</t>
  </si>
  <si>
    <t>7.42亿</t>
  </si>
  <si>
    <t>7684.67万</t>
  </si>
  <si>
    <t>32.28亿</t>
  </si>
  <si>
    <t>7.61亿</t>
  </si>
  <si>
    <t>43.13亿</t>
  </si>
  <si>
    <t>10派2元(含税)</t>
  </si>
  <si>
    <t>14.39亿</t>
  </si>
  <si>
    <t>9.52亿</t>
  </si>
  <si>
    <t>-4.02亿</t>
  </si>
  <si>
    <t>4.70亿</t>
  </si>
  <si>
    <t>3-0</t>
  </si>
  <si>
    <t>53.14亿</t>
  </si>
  <si>
    <t>2.17亿</t>
  </si>
  <si>
    <t>30.80亿</t>
  </si>
  <si>
    <t>6.96亿</t>
  </si>
  <si>
    <t>20.33亿</t>
  </si>
  <si>
    <t>-4.48亿</t>
  </si>
  <si>
    <t>28.00万</t>
  </si>
  <si>
    <t>2.12亿</t>
  </si>
  <si>
    <t>133.31亿</t>
  </si>
  <si>
    <t>6.37亿</t>
  </si>
  <si>
    <t>7000.00万</t>
  </si>
  <si>
    <t>38.33亿</t>
  </si>
  <si>
    <t>3.24亿</t>
  </si>
  <si>
    <t>7287.22万</t>
  </si>
  <si>
    <t>12.79亿</t>
  </si>
  <si>
    <t>2.40亿</t>
  </si>
  <si>
    <t>24.55亿</t>
  </si>
  <si>
    <t>1.01亿</t>
  </si>
  <si>
    <t>3.56亿</t>
  </si>
  <si>
    <t>28.85亿</t>
  </si>
  <si>
    <t>7.28亿</t>
  </si>
  <si>
    <t>9.38亿</t>
  </si>
  <si>
    <t>-2.37亿</t>
  </si>
  <si>
    <t>17.43亿</t>
  </si>
  <si>
    <t>9.79亿</t>
  </si>
  <si>
    <t>1.55亿</t>
  </si>
  <si>
    <t>1.77亿</t>
  </si>
  <si>
    <t>11.39亿</t>
  </si>
  <si>
    <t>5.69亿</t>
  </si>
  <si>
    <t>4.76亿</t>
  </si>
  <si>
    <t>-2.13亿</t>
  </si>
  <si>
    <t>8532.70万</t>
  </si>
  <si>
    <t>4.72亿</t>
  </si>
  <si>
    <t>10派1元(含税)</t>
  </si>
  <si>
    <t>3.79亿</t>
  </si>
  <si>
    <t>4.46亿</t>
  </si>
  <si>
    <t>11.43亿</t>
  </si>
  <si>
    <t>-1.18亿</t>
  </si>
  <si>
    <t>1727.66万</t>
  </si>
  <si>
    <t>148.21亿</t>
  </si>
  <si>
    <t>4.79亿</t>
  </si>
  <si>
    <t>185.62亿</t>
  </si>
  <si>
    <t>21.55亿</t>
  </si>
  <si>
    <t>9.24亿</t>
  </si>
  <si>
    <t>3.28亿</t>
  </si>
  <si>
    <t>6.40亿</t>
  </si>
  <si>
    <t>23.41亿</t>
  </si>
  <si>
    <t>1503.94万</t>
  </si>
  <si>
    <t>10派0.3元(含税)</t>
  </si>
  <si>
    <t>21.94亿</t>
  </si>
  <si>
    <t>-5.22亿</t>
  </si>
  <si>
    <t>2.15亿</t>
  </si>
  <si>
    <t>8000.00万</t>
  </si>
  <si>
    <t>26.20亿</t>
  </si>
  <si>
    <t>7.66亿</t>
  </si>
  <si>
    <t>154.36亿</t>
  </si>
  <si>
    <t>6.56亿</t>
  </si>
  <si>
    <t>27.54亿</t>
  </si>
  <si>
    <t>22.51亿</t>
  </si>
  <si>
    <t>12.72亿</t>
  </si>
  <si>
    <t>5.40亿</t>
  </si>
  <si>
    <t>1657.25万</t>
  </si>
  <si>
    <t>SH603307</t>
  </si>
  <si>
    <t>扬州金泉</t>
  </si>
  <si>
    <t>11.28亿</t>
  </si>
  <si>
    <t>7.76亿</t>
  </si>
  <si>
    <t>5.96亿</t>
  </si>
  <si>
    <t>5951.87万</t>
  </si>
  <si>
    <t>8274.19万</t>
  </si>
  <si>
    <t>6253.06万</t>
  </si>
  <si>
    <t>36.64亿</t>
  </si>
  <si>
    <t>10派7元(含税)</t>
  </si>
  <si>
    <t>33.00亿</t>
  </si>
  <si>
    <t>2.05亿</t>
  </si>
  <si>
    <t>38.99亿</t>
  </si>
  <si>
    <t>7141.42万</t>
  </si>
  <si>
    <t>4.74亿</t>
  </si>
  <si>
    <t>24.00亿</t>
  </si>
  <si>
    <t>12.73亿</t>
  </si>
  <si>
    <t>-1.79亿</t>
  </si>
  <si>
    <t>3.26亿</t>
  </si>
  <si>
    <t>3.33亿</t>
  </si>
  <si>
    <t>23.95亿</t>
  </si>
  <si>
    <t>2045.18万</t>
  </si>
  <si>
    <t>6.07亿</t>
  </si>
  <si>
    <t>2.30亿</t>
  </si>
  <si>
    <t>22.63亿</t>
  </si>
  <si>
    <t>-3.55亿</t>
  </si>
  <si>
    <t>86.02亿</t>
  </si>
  <si>
    <t>2.14亿</t>
  </si>
  <si>
    <t>14.36亿</t>
  </si>
  <si>
    <t>1.79亿</t>
  </si>
  <si>
    <t>9080.99万</t>
  </si>
  <si>
    <t>59.66亿</t>
  </si>
  <si>
    <t>6.62亿</t>
  </si>
  <si>
    <t>5.37亿</t>
  </si>
  <si>
    <t>5.79亿</t>
  </si>
  <si>
    <t>1.56亿</t>
  </si>
  <si>
    <t>13.55亿</t>
  </si>
  <si>
    <t>2.28亿</t>
  </si>
  <si>
    <t>3.64亿</t>
  </si>
  <si>
    <t>3.84亿</t>
  </si>
  <si>
    <t>1.11亿</t>
  </si>
  <si>
    <t>3.09亿</t>
  </si>
  <si>
    <t>-5-1</t>
  </si>
  <si>
    <t>8.37亿</t>
  </si>
  <si>
    <t>5.61亿</t>
  </si>
  <si>
    <t>17.59亿</t>
  </si>
  <si>
    <t>2.16亿</t>
  </si>
  <si>
    <t>2.41亿</t>
  </si>
  <si>
    <t>2.23亿</t>
  </si>
  <si>
    <t>11.72亿</t>
  </si>
  <si>
    <t>8.34亿</t>
  </si>
  <si>
    <t>1.72亿</t>
  </si>
  <si>
    <t>19.04亿</t>
  </si>
  <si>
    <t>6.42亿</t>
  </si>
  <si>
    <t>-1.64亿</t>
  </si>
  <si>
    <t>-4140.12万</t>
  </si>
  <si>
    <t>1.15亿</t>
  </si>
  <si>
    <t>-3948.32万</t>
  </si>
  <si>
    <t>-3-1</t>
  </si>
  <si>
    <t>9.64亿</t>
  </si>
  <si>
    <t>4.98亿</t>
  </si>
  <si>
    <t>3.62亿</t>
  </si>
  <si>
    <t>9.15亿</t>
  </si>
  <si>
    <t>2.68亿</t>
  </si>
  <si>
    <t>5.89亿</t>
  </si>
  <si>
    <t>12.74亿</t>
  </si>
  <si>
    <t>1.46亿</t>
  </si>
  <si>
    <t>13.93亿</t>
  </si>
  <si>
    <t>5.64亿</t>
  </si>
  <si>
    <t>2.82亿</t>
  </si>
  <si>
    <t>4.10亿</t>
  </si>
  <si>
    <t>1100.00万</t>
  </si>
  <si>
    <t>2.56亿</t>
  </si>
  <si>
    <t>5.50亿</t>
  </si>
  <si>
    <t>7.48亿</t>
  </si>
  <si>
    <t>4.65亿</t>
  </si>
  <si>
    <t>4-1</t>
  </si>
  <si>
    <t>20.04亿</t>
  </si>
  <si>
    <t>7.36亿</t>
  </si>
  <si>
    <t>6.33亿</t>
  </si>
  <si>
    <t>9.11亿</t>
  </si>
  <si>
    <t>5.09亿</t>
  </si>
  <si>
    <t>6.85亿</t>
  </si>
  <si>
    <t>4.14亿</t>
  </si>
  <si>
    <t>5.22亿</t>
  </si>
  <si>
    <t>1.99亿</t>
  </si>
  <si>
    <t>3.49亿</t>
  </si>
  <si>
    <t>4.37亿</t>
  </si>
  <si>
    <t>13.02亿</t>
  </si>
  <si>
    <t>12.76亿</t>
  </si>
  <si>
    <t>4.13亿</t>
  </si>
  <si>
    <t>12.26亿</t>
  </si>
  <si>
    <t>7.63亿</t>
  </si>
  <si>
    <t>105.94万</t>
  </si>
  <si>
    <t>3.52亿</t>
  </si>
  <si>
    <t>10.57亿</t>
  </si>
  <si>
    <t>1.75亿</t>
  </si>
  <si>
    <t>3.98亿</t>
  </si>
  <si>
    <t>4.51亿</t>
  </si>
  <si>
    <t>10.47亿</t>
  </si>
  <si>
    <t>17.78亿</t>
  </si>
  <si>
    <t>4.83亿</t>
  </si>
  <si>
    <t>3.94亿</t>
  </si>
  <si>
    <t>6-1</t>
  </si>
  <si>
    <t>5.18亿</t>
  </si>
  <si>
    <t>16.51亿</t>
  </si>
  <si>
    <t>6.48亿</t>
  </si>
  <si>
    <t>-1.60亿</t>
  </si>
  <si>
    <t>17.96亿</t>
  </si>
  <si>
    <t>7.22亿</t>
  </si>
  <si>
    <t>30.96亿</t>
  </si>
  <si>
    <t>18.23亿</t>
  </si>
  <si>
    <t>12.27亿</t>
  </si>
  <si>
    <t>9.40亿</t>
  </si>
  <si>
    <t>7.09亿</t>
  </si>
  <si>
    <t>7.83亿</t>
  </si>
  <si>
    <t>10.27亿</t>
  </si>
  <si>
    <t>7.49亿</t>
  </si>
  <si>
    <t>7.59亿</t>
  </si>
  <si>
    <t>3.11亿</t>
  </si>
  <si>
    <t>15.03亿</t>
  </si>
  <si>
    <t>7.84亿</t>
  </si>
  <si>
    <t>6.36亿</t>
  </si>
  <si>
    <t>5.42亿</t>
  </si>
  <si>
    <t>-1.90亿</t>
  </si>
  <si>
    <t>22.81亿</t>
  </si>
  <si>
    <t>-2.73亿</t>
  </si>
  <si>
    <t>11.58亿</t>
  </si>
  <si>
    <t>3.95亿</t>
  </si>
  <si>
    <t>3-1</t>
  </si>
  <si>
    <t>2.74亿</t>
  </si>
  <si>
    <t>2.48亿</t>
  </si>
  <si>
    <t>5.05亿</t>
  </si>
  <si>
    <t>1.2019 年度调查报告显示，我国户外品牌总数量达到 939个，其中国内品牌为492 个，同比增长4.08%；国外品牌为447 个，同比增长4.49%；</t>
    <phoneticPr fontId="1" type="noConversion"/>
  </si>
  <si>
    <r>
      <t>0.代工业务方面，随国内市场持续向好占比有所下降，持续</t>
    </r>
    <r>
      <rPr>
        <b/>
        <sz val="9"/>
        <color rgb="FFFF0000"/>
        <rFont val="宋体"/>
        <family val="3"/>
        <charset val="134"/>
        <scheme val="minor"/>
      </rPr>
      <t>深度绑定大客户迪卡侬，</t>
    </r>
    <r>
      <rPr>
        <sz val="9"/>
        <color theme="1"/>
        <rFont val="宋体"/>
        <family val="3"/>
        <charset val="134"/>
        <scheme val="minor"/>
      </rPr>
      <t>销售额占外销收入比重 2021 年达 51.36%；0-1.品牌 上，公司与山系文化 Mounster、理想汽车、小鹏汽车、劳斯莱斯等进行 品牌互动，通过</t>
    </r>
    <r>
      <rPr>
        <sz val="9"/>
        <color rgb="FFFF0000"/>
        <rFont val="宋体"/>
        <family val="3"/>
        <charset val="134"/>
        <scheme val="minor"/>
      </rPr>
      <t>多元化产品联名等合作形式</t>
    </r>
    <r>
      <rPr>
        <sz val="9"/>
        <color theme="1"/>
        <rFont val="宋体"/>
        <family val="3"/>
        <charset val="134"/>
        <scheme val="minor"/>
      </rPr>
      <t>快速触达新用户；1.2021 年各帐篷类型消费金额排序，公司产品在</t>
    </r>
    <r>
      <rPr>
        <sz val="9"/>
        <color rgb="FFFF0000"/>
        <rFont val="宋体"/>
        <family val="3"/>
        <charset val="134"/>
        <scheme val="minor"/>
      </rPr>
      <t>精致露营帐篷、徒步帐篷</t>
    </r>
    <r>
      <rPr>
        <sz val="9"/>
        <color theme="1"/>
        <rFont val="宋体"/>
        <family val="3"/>
        <charset val="134"/>
        <scheme val="minor"/>
      </rPr>
      <t>品牌榜中均处于排名前列；</t>
    </r>
    <phoneticPr fontId="1" type="noConversion"/>
  </si>
  <si>
    <t>SZ000017</t>
  </si>
  <si>
    <t>深中华A</t>
  </si>
  <si>
    <t>2155.03万</t>
  </si>
  <si>
    <t>6027.63万</t>
  </si>
  <si>
    <t>5.68亿</t>
  </si>
  <si>
    <t>1790.19万</t>
  </si>
  <si>
    <t>72.79万</t>
  </si>
  <si>
    <t>178.97万</t>
  </si>
  <si>
    <t>64.18万</t>
  </si>
  <si>
    <t>2769381亿</t>
  </si>
  <si>
    <t>2495.25万</t>
  </si>
  <si>
    <t>226531650亿</t>
  </si>
  <si>
    <t>347246330亿</t>
  </si>
  <si>
    <t>355.96万</t>
  </si>
  <si>
    <t>4293.19万</t>
  </si>
  <si>
    <t>-2919.62万</t>
  </si>
  <si>
    <t>1.65亿</t>
  </si>
  <si>
    <t>7602.27万</t>
  </si>
  <si>
    <t>-761.64万</t>
  </si>
  <si>
    <t>-198.67万</t>
  </si>
  <si>
    <t>378.58万</t>
  </si>
  <si>
    <t>-718.69万</t>
  </si>
  <si>
    <t>-159.20万</t>
  </si>
  <si>
    <t>284.87万</t>
  </si>
  <si>
    <t>饰品</t>
  </si>
  <si>
    <t>6411.71万</t>
  </si>
  <si>
    <t>4.19亿</t>
  </si>
  <si>
    <t>SZ000026</t>
  </si>
  <si>
    <t>飞亚达</t>
  </si>
  <si>
    <t>138.21万</t>
  </si>
  <si>
    <t>8.70亿</t>
  </si>
  <si>
    <t>34.04亿</t>
  </si>
  <si>
    <t>10.65亿</t>
  </si>
  <si>
    <t>45.70亿</t>
  </si>
  <si>
    <t>9.74亿</t>
  </si>
  <si>
    <t>6.78亿</t>
  </si>
  <si>
    <t>4546.70万</t>
  </si>
  <si>
    <t>34.04万</t>
  </si>
  <si>
    <t>69755956亿</t>
  </si>
  <si>
    <t>4.29亿</t>
  </si>
  <si>
    <t>354145990亿</t>
  </si>
  <si>
    <t>2059.40万</t>
  </si>
  <si>
    <t>3030540700亿</t>
  </si>
  <si>
    <t>1066.61万</t>
  </si>
  <si>
    <t>6.82亿</t>
  </si>
  <si>
    <t>-96.43万</t>
  </si>
  <si>
    <t>-1433.06万</t>
  </si>
  <si>
    <t>-6015.91万</t>
  </si>
  <si>
    <t>43.54亿</t>
  </si>
  <si>
    <t>52.44亿</t>
  </si>
  <si>
    <t>42.43亿</t>
  </si>
  <si>
    <t>37.04亿</t>
  </si>
  <si>
    <t>34.00亿</t>
  </si>
  <si>
    <t>2.67亿</t>
  </si>
  <si>
    <t>2.94亿</t>
  </si>
  <si>
    <t>12.00亿</t>
  </si>
  <si>
    <t>1301.16万</t>
  </si>
  <si>
    <t>7647.36万</t>
  </si>
  <si>
    <t>75.88万</t>
  </si>
  <si>
    <t>6.17亿</t>
  </si>
  <si>
    <t>12.99亿</t>
  </si>
  <si>
    <t>15.97亿</t>
  </si>
  <si>
    <t>8714.43万</t>
  </si>
  <si>
    <t>3.71亿</t>
  </si>
  <si>
    <t>7037.41万</t>
  </si>
  <si>
    <t>1804.23万</t>
  </si>
  <si>
    <t>411557亿</t>
  </si>
  <si>
    <t>4785.42万</t>
  </si>
  <si>
    <t>28501597亿</t>
  </si>
  <si>
    <t>134176761亿</t>
  </si>
  <si>
    <t>601.54万</t>
  </si>
  <si>
    <t>922554290亿</t>
  </si>
  <si>
    <t>2.61亿</t>
  </si>
  <si>
    <t>7264.90万</t>
  </si>
  <si>
    <t>-3002.36万</t>
  </si>
  <si>
    <t>-6032.94万</t>
  </si>
  <si>
    <t>-1986.10万</t>
  </si>
  <si>
    <t>3.48亿</t>
  </si>
  <si>
    <t>3059.73万</t>
  </si>
  <si>
    <t>485.94万</t>
  </si>
  <si>
    <t>4344.87万</t>
  </si>
  <si>
    <t>102.27万</t>
  </si>
  <si>
    <t>2.38亿</t>
  </si>
  <si>
    <t>9.25亿</t>
  </si>
  <si>
    <t>7.99亿</t>
  </si>
  <si>
    <t>6519.14万</t>
  </si>
  <si>
    <t>105.75万</t>
  </si>
  <si>
    <t>1174.57万</t>
  </si>
  <si>
    <t>653597亿</t>
  </si>
  <si>
    <t>25361019亿</t>
  </si>
  <si>
    <t>215906220亿</t>
  </si>
  <si>
    <t>864877410亿</t>
  </si>
  <si>
    <t>1150.62万</t>
  </si>
  <si>
    <t>8203.70万</t>
  </si>
  <si>
    <t>-695.97万</t>
  </si>
  <si>
    <t>-1.47亿</t>
  </si>
  <si>
    <t>8648.71万</t>
  </si>
  <si>
    <t>1387.09万</t>
  </si>
  <si>
    <t>587.56万</t>
  </si>
  <si>
    <t>4063.99万</t>
  </si>
  <si>
    <t>271.65万</t>
  </si>
  <si>
    <t>43.25亿</t>
  </si>
  <si>
    <t>66.83亿</t>
  </si>
  <si>
    <t>34.45亿</t>
  </si>
  <si>
    <t>5934.14万</t>
  </si>
  <si>
    <t>6408732亿</t>
  </si>
  <si>
    <t>169.79万</t>
  </si>
  <si>
    <t>60715456亿</t>
  </si>
  <si>
    <t>9.31亿</t>
  </si>
  <si>
    <t>421208060亿</t>
  </si>
  <si>
    <t>60.00万</t>
  </si>
  <si>
    <t>5741688600亿</t>
  </si>
  <si>
    <t>371.96万</t>
  </si>
  <si>
    <t>33.10亿</t>
  </si>
  <si>
    <t>6005.13万</t>
  </si>
  <si>
    <t>1.36亿</t>
  </si>
  <si>
    <t>-6.82亿</t>
  </si>
  <si>
    <t>9.09亿</t>
  </si>
  <si>
    <t>8897.43万</t>
  </si>
  <si>
    <t>10派1.2元(含税)</t>
  </si>
  <si>
    <t>1932.61万</t>
  </si>
  <si>
    <t>0270000000</t>
  </si>
  <si>
    <t>0810000000</t>
  </si>
  <si>
    <t>01620000000</t>
  </si>
  <si>
    <t>02700000000</t>
  </si>
  <si>
    <t>05400000000</t>
  </si>
  <si>
    <t>3431.19万</t>
  </si>
  <si>
    <t>47.28亿</t>
  </si>
  <si>
    <t>13.53亿</t>
  </si>
  <si>
    <t>52.54亿</t>
  </si>
  <si>
    <t>6.98亿</t>
  </si>
  <si>
    <t>4.36亿</t>
  </si>
  <si>
    <t>4.89亿</t>
  </si>
  <si>
    <t>8386.03万</t>
  </si>
  <si>
    <t>1364358亿</t>
  </si>
  <si>
    <t>67.84万</t>
  </si>
  <si>
    <t>234976740亿</t>
  </si>
  <si>
    <t>24.59亿</t>
  </si>
  <si>
    <t>702834720亿</t>
  </si>
  <si>
    <t>965.65万</t>
  </si>
  <si>
    <t>4579166600亿</t>
  </si>
  <si>
    <t>674.50万</t>
  </si>
  <si>
    <t>22.02亿</t>
  </si>
  <si>
    <t>4742.76万</t>
  </si>
  <si>
    <t>1752.46万</t>
  </si>
  <si>
    <t>4.69亿</t>
  </si>
  <si>
    <t>7822.23万</t>
  </si>
  <si>
    <t>12.90亿</t>
  </si>
  <si>
    <t>10派2.5元(含税)</t>
  </si>
  <si>
    <t>1221.78万</t>
  </si>
  <si>
    <t>9018.78万</t>
  </si>
  <si>
    <t>-6.25亿</t>
  </si>
  <si>
    <t>7962.45万</t>
  </si>
  <si>
    <t>665.82万</t>
  </si>
  <si>
    <t>1364.34万</t>
  </si>
  <si>
    <t>38.41万</t>
  </si>
  <si>
    <t>-30545293亿</t>
  </si>
  <si>
    <t>1610.74万</t>
  </si>
  <si>
    <t>257402660亿</t>
  </si>
  <si>
    <t>69.83万</t>
  </si>
  <si>
    <t>882028060亿</t>
  </si>
  <si>
    <t>100.00万</t>
  </si>
  <si>
    <t>130.14万</t>
  </si>
  <si>
    <t>19.87亿</t>
  </si>
  <si>
    <t>-145.47万</t>
  </si>
  <si>
    <t>-2.23万</t>
  </si>
  <si>
    <t>-8.31亿</t>
  </si>
  <si>
    <t>7087.77万</t>
  </si>
  <si>
    <t>-3183.51万</t>
  </si>
  <si>
    <t>6383.90万</t>
  </si>
  <si>
    <t>-9-1</t>
  </si>
  <si>
    <t>22.66亿</t>
  </si>
  <si>
    <t>13.56亿</t>
  </si>
  <si>
    <t>3174.58万</t>
  </si>
  <si>
    <t>5514.74万</t>
  </si>
  <si>
    <t>1160.92万</t>
  </si>
  <si>
    <t>24.42万</t>
  </si>
  <si>
    <t>7969027亿</t>
  </si>
  <si>
    <t>147843190亿</t>
  </si>
  <si>
    <t>1262967620亿</t>
  </si>
  <si>
    <t>3.49万</t>
  </si>
  <si>
    <t>6251.61万</t>
  </si>
  <si>
    <t>4.92亿</t>
  </si>
  <si>
    <t>3111.48万</t>
  </si>
  <si>
    <t>16.74亿</t>
  </si>
  <si>
    <t>-1.34亿</t>
  </si>
  <si>
    <t>4.00亿</t>
  </si>
  <si>
    <t>-1.50亿</t>
  </si>
  <si>
    <t>-8.18亿</t>
  </si>
  <si>
    <t>4383.52万</t>
  </si>
  <si>
    <t>23.68亿</t>
  </si>
  <si>
    <t>031745800</t>
  </si>
  <si>
    <t>095237400</t>
  </si>
  <si>
    <t>0190474800</t>
  </si>
  <si>
    <t>0317458000</t>
  </si>
  <si>
    <t>0634916000</t>
  </si>
  <si>
    <t>234.31万</t>
  </si>
  <si>
    <t>25.46亿</t>
  </si>
  <si>
    <t>43.57亿</t>
  </si>
  <si>
    <t>53.15亿</t>
  </si>
  <si>
    <t>9.77亿</t>
  </si>
  <si>
    <t>2.37亿</t>
  </si>
  <si>
    <t>709107亿</t>
  </si>
  <si>
    <t>507.14万</t>
  </si>
  <si>
    <t>86909973亿</t>
  </si>
  <si>
    <t>22.61亿</t>
  </si>
  <si>
    <t>319411680亿</t>
  </si>
  <si>
    <t>4160481500亿</t>
  </si>
  <si>
    <t>3.36亿</t>
  </si>
  <si>
    <t>6795.40万</t>
  </si>
  <si>
    <t>4.27亿</t>
  </si>
  <si>
    <t>20.32亿</t>
  </si>
  <si>
    <t>9627.36万</t>
  </si>
  <si>
    <t>-2268.59万</t>
  </si>
  <si>
    <t>12.40亿</t>
  </si>
  <si>
    <t>1380.08万</t>
  </si>
  <si>
    <t>6347.80万</t>
  </si>
  <si>
    <t>239.29万</t>
  </si>
  <si>
    <t>10.86亿</t>
  </si>
  <si>
    <t>39.82亿</t>
  </si>
  <si>
    <t>30.30亿</t>
  </si>
  <si>
    <t>5.19亿</t>
  </si>
  <si>
    <t>2437.02万</t>
  </si>
  <si>
    <t>3332982亿</t>
  </si>
  <si>
    <t>467.82万</t>
  </si>
  <si>
    <t>105040504亿</t>
  </si>
  <si>
    <t>222624170亿</t>
  </si>
  <si>
    <t>2921453000亿</t>
  </si>
  <si>
    <t>4014.03万</t>
  </si>
  <si>
    <t>8917.26万</t>
  </si>
  <si>
    <t>646.74万</t>
  </si>
  <si>
    <t>7347.98万</t>
  </si>
  <si>
    <t>-1.24亿</t>
  </si>
  <si>
    <t>6.20亿</t>
  </si>
  <si>
    <t>10派6.5元(含税)</t>
  </si>
  <si>
    <t>1856.26万</t>
  </si>
  <si>
    <t>SZ002345</t>
  </si>
  <si>
    <t>潮宏基</t>
  </si>
  <si>
    <t>618.34万</t>
  </si>
  <si>
    <t>19.20亿</t>
  </si>
  <si>
    <t>39.53亿</t>
  </si>
  <si>
    <t>59.00亿</t>
  </si>
  <si>
    <t>16.38亿</t>
  </si>
  <si>
    <t>13.49亿</t>
  </si>
  <si>
    <t>3225.91万</t>
  </si>
  <si>
    <t>-829033亿</t>
  </si>
  <si>
    <t>7.36万</t>
  </si>
  <si>
    <t>128611724亿</t>
  </si>
  <si>
    <t>385172180亿</t>
  </si>
  <si>
    <t>4466518200亿</t>
  </si>
  <si>
    <t>5.91万</t>
  </si>
  <si>
    <t>19.57亿</t>
  </si>
  <si>
    <t>-1.32亿</t>
  </si>
  <si>
    <t>-109.95万</t>
  </si>
  <si>
    <t>44.17亿</t>
  </si>
  <si>
    <t>46.36亿</t>
  </si>
  <si>
    <t>32.15亿</t>
  </si>
  <si>
    <t>35.43亿</t>
  </si>
  <si>
    <t>32.48亿</t>
  </si>
  <si>
    <t>8119.10万</t>
  </si>
  <si>
    <t>7104.49万</t>
  </si>
  <si>
    <t>15.24亿</t>
  </si>
  <si>
    <t>3507.70万</t>
  </si>
  <si>
    <t>774.38万</t>
  </si>
  <si>
    <t>14.69亿</t>
  </si>
  <si>
    <t>11.74亿</t>
  </si>
  <si>
    <t>4.09亿</t>
  </si>
  <si>
    <t>21.56亿</t>
  </si>
  <si>
    <t>2241.42万</t>
  </si>
  <si>
    <t>2801.77万</t>
  </si>
  <si>
    <t>-1310618亿</t>
  </si>
  <si>
    <t>153.45万</t>
  </si>
  <si>
    <t>5398730亿</t>
  </si>
  <si>
    <t>95738815亿</t>
  </si>
  <si>
    <t>404.04万</t>
  </si>
  <si>
    <t>1197227090亿</t>
  </si>
  <si>
    <t>8788.77万</t>
  </si>
  <si>
    <t>4.75亿</t>
  </si>
  <si>
    <t>292.62万</t>
  </si>
  <si>
    <t>-2326.71万</t>
  </si>
  <si>
    <t>-292.00万</t>
  </si>
  <si>
    <t>4.62亿</t>
  </si>
  <si>
    <t>1089.68万</t>
  </si>
  <si>
    <t>4236.71万</t>
  </si>
  <si>
    <t>022414200</t>
  </si>
  <si>
    <t>067242600</t>
  </si>
  <si>
    <t>0134485200</t>
  </si>
  <si>
    <t>0224142000</t>
  </si>
  <si>
    <t>0448284000</t>
  </si>
  <si>
    <t>703.96万</t>
  </si>
  <si>
    <t>12.15亿</t>
  </si>
  <si>
    <t>4.04亿</t>
  </si>
  <si>
    <t>-1300.14万</t>
  </si>
  <si>
    <t>1031.89万</t>
  </si>
  <si>
    <t>1091.15万</t>
  </si>
  <si>
    <t>1.87万</t>
  </si>
  <si>
    <t>12542661亿</t>
  </si>
  <si>
    <t>1.48亿</t>
  </si>
  <si>
    <t>32625613亿</t>
  </si>
  <si>
    <t>1069.40万</t>
  </si>
  <si>
    <t>626971390亿</t>
  </si>
  <si>
    <t>4765.63万</t>
  </si>
  <si>
    <t>6855.08万</t>
  </si>
  <si>
    <t>1367.56万</t>
  </si>
  <si>
    <t>221.95万</t>
  </si>
  <si>
    <t>-1048.60万</t>
  </si>
  <si>
    <t>-102.67万</t>
  </si>
  <si>
    <t>7589.25万</t>
  </si>
  <si>
    <t>-514.82万</t>
  </si>
  <si>
    <t>3479.82万</t>
  </si>
  <si>
    <t>-4-0</t>
  </si>
  <si>
    <t>802.00万</t>
  </si>
  <si>
    <t>64.48亿</t>
  </si>
  <si>
    <t>118.38亿</t>
  </si>
  <si>
    <t>31.39亿</t>
  </si>
  <si>
    <t>136.61亿</t>
  </si>
  <si>
    <t>11.22亿</t>
  </si>
  <si>
    <t>25.81亿</t>
  </si>
  <si>
    <t>16.75亿</t>
  </si>
  <si>
    <t>7.68亿</t>
  </si>
  <si>
    <t>14773亿</t>
  </si>
  <si>
    <t>29.99万</t>
  </si>
  <si>
    <t>337697750亿</t>
  </si>
  <si>
    <t>88.67亿</t>
  </si>
  <si>
    <t>1020628570亿</t>
  </si>
  <si>
    <t>13966767000亿</t>
  </si>
  <si>
    <t>1.28亿</t>
  </si>
  <si>
    <t>28.50亿</t>
  </si>
  <si>
    <t>14.52亿</t>
  </si>
  <si>
    <t>61.45亿</t>
  </si>
  <si>
    <t>-1586.94万</t>
  </si>
  <si>
    <t>-7.53亿</t>
  </si>
  <si>
    <t>5086.11万</t>
  </si>
  <si>
    <t>01122000000</t>
  </si>
  <si>
    <t>03366000000</t>
  </si>
  <si>
    <t>06732000000</t>
  </si>
  <si>
    <t>011220000000</t>
  </si>
  <si>
    <t>022440000000</t>
  </si>
  <si>
    <t>96.42万</t>
  </si>
  <si>
    <t>8476.11万</t>
  </si>
  <si>
    <t>3566.92万</t>
  </si>
  <si>
    <t>-6699.83万</t>
  </si>
  <si>
    <t>3445.91万</t>
  </si>
  <si>
    <t>2189.75万</t>
  </si>
  <si>
    <t>713.49万</t>
  </si>
  <si>
    <t>544.58万</t>
  </si>
  <si>
    <t>-602338亿</t>
  </si>
  <si>
    <t>-8010658亿</t>
  </si>
  <si>
    <t>2046.17万</t>
  </si>
  <si>
    <t>59296890亿</t>
  </si>
  <si>
    <t>591.11万</t>
  </si>
  <si>
    <t>136790480亿</t>
  </si>
  <si>
    <t>6278.11万</t>
  </si>
  <si>
    <t>-2157.62万</t>
  </si>
  <si>
    <t>-7092.36万</t>
  </si>
  <si>
    <t>4188.33万</t>
  </si>
  <si>
    <t>-205.31万</t>
  </si>
  <si>
    <t>517.27万</t>
  </si>
  <si>
    <t>6411.12万</t>
  </si>
  <si>
    <t>SZ002574</t>
  </si>
  <si>
    <t>明牌珠宝</t>
  </si>
  <si>
    <t>402.22万</t>
  </si>
  <si>
    <t>42.48亿</t>
  </si>
  <si>
    <t>31.47亿</t>
  </si>
  <si>
    <t>39.37亿</t>
  </si>
  <si>
    <t>12.17亿</t>
  </si>
  <si>
    <t>7477.88万</t>
  </si>
  <si>
    <t>3031.58万</t>
  </si>
  <si>
    <t>16592774亿</t>
  </si>
  <si>
    <t>894.10万</t>
  </si>
  <si>
    <t>11247337亿</t>
  </si>
  <si>
    <t>15.96亿</t>
  </si>
  <si>
    <t>458050660亿</t>
  </si>
  <si>
    <t>4572917400亿</t>
  </si>
  <si>
    <t>15.69亿</t>
  </si>
  <si>
    <t>3.25亿</t>
  </si>
  <si>
    <t>9.26亿</t>
  </si>
  <si>
    <t>132.46万</t>
  </si>
  <si>
    <t>13.00亿</t>
  </si>
  <si>
    <t>-1.67亿</t>
  </si>
  <si>
    <t>-5.56亿</t>
  </si>
  <si>
    <t>34.74亿</t>
  </si>
  <si>
    <t>35.82亿</t>
  </si>
  <si>
    <t>25.10亿</t>
  </si>
  <si>
    <t>34.29亿</t>
  </si>
  <si>
    <t>40.94亿</t>
  </si>
  <si>
    <t>-1.63亿</t>
  </si>
  <si>
    <t>-2.57亿</t>
  </si>
  <si>
    <t>5778.79万</t>
  </si>
  <si>
    <t>9143.35万</t>
  </si>
  <si>
    <t>12.30亿</t>
  </si>
  <si>
    <t>4576.20万</t>
  </si>
  <si>
    <t>2196.57万</t>
  </si>
  <si>
    <t>231.28万</t>
  </si>
  <si>
    <t>37.02亿</t>
  </si>
  <si>
    <t>37.66亿</t>
  </si>
  <si>
    <t>14.00亿</t>
  </si>
  <si>
    <t>51.45亿</t>
  </si>
  <si>
    <t>2.25亿</t>
  </si>
  <si>
    <t>12.92亿</t>
  </si>
  <si>
    <t>10975723亿</t>
  </si>
  <si>
    <t>39.61万</t>
  </si>
  <si>
    <t>78696980亿</t>
  </si>
  <si>
    <t>6.84亿</t>
  </si>
  <si>
    <t>207904150亿</t>
  </si>
  <si>
    <t>2176513700亿</t>
  </si>
  <si>
    <t>2653.83万</t>
  </si>
  <si>
    <t>8.30亿</t>
  </si>
  <si>
    <t>25.38亿</t>
  </si>
  <si>
    <t>-2552.20万</t>
  </si>
  <si>
    <t>7780.38万</t>
  </si>
  <si>
    <t>41.36亿</t>
  </si>
  <si>
    <t>2136.77万</t>
  </si>
  <si>
    <t>12.56亿</t>
  </si>
  <si>
    <t>7094.07万</t>
  </si>
  <si>
    <t>10派4.5元(含税)</t>
  </si>
  <si>
    <t>1355.21万</t>
  </si>
  <si>
    <t>1.05亿</t>
  </si>
  <si>
    <t>336.62万</t>
  </si>
  <si>
    <t>35.06亿</t>
  </si>
  <si>
    <t>13.81亿</t>
  </si>
  <si>
    <t>-8843.10万</t>
  </si>
  <si>
    <t>3.63亿</t>
  </si>
  <si>
    <t>1064.34万</t>
  </si>
  <si>
    <t>4463.37万</t>
  </si>
  <si>
    <t>4282569亿</t>
  </si>
  <si>
    <t>2.29万</t>
  </si>
  <si>
    <t>-32167618亿</t>
  </si>
  <si>
    <t>183372670亿</t>
  </si>
  <si>
    <t>2570526800亿</t>
  </si>
  <si>
    <t>8.47亿</t>
  </si>
  <si>
    <t>10.00亿</t>
  </si>
  <si>
    <t>130.63万</t>
  </si>
  <si>
    <t>31.03亿</t>
  </si>
  <si>
    <t>3.21亿</t>
  </si>
  <si>
    <t>-6.59亿</t>
  </si>
  <si>
    <t>-2.47亿</t>
  </si>
  <si>
    <t>7.35亿</t>
  </si>
  <si>
    <t>381.45万</t>
  </si>
  <si>
    <t>1556.03万</t>
  </si>
  <si>
    <t>9941.86万</t>
  </si>
  <si>
    <t>1207.11万</t>
  </si>
  <si>
    <t>6317.36万</t>
  </si>
  <si>
    <t>2.90亿</t>
  </si>
  <si>
    <t>-8905.05万</t>
  </si>
  <si>
    <t>7380.47万</t>
  </si>
  <si>
    <t>1702.73万</t>
  </si>
  <si>
    <t>3947.50万</t>
  </si>
  <si>
    <t>1467.11万</t>
  </si>
  <si>
    <t>67210亿</t>
  </si>
  <si>
    <t>9.27万</t>
  </si>
  <si>
    <t>-53481919亿</t>
  </si>
  <si>
    <t>32688460亿</t>
  </si>
  <si>
    <t>351548120亿</t>
  </si>
  <si>
    <t>25.22万</t>
  </si>
  <si>
    <t>2168.22万</t>
  </si>
  <si>
    <t>-175.74万</t>
  </si>
  <si>
    <t>-712.17万</t>
  </si>
  <si>
    <t>9049.17万</t>
  </si>
  <si>
    <t>-5355.16万</t>
  </si>
  <si>
    <t>4483.01万</t>
  </si>
  <si>
    <t>-7-1</t>
  </si>
  <si>
    <t>303.91万</t>
  </si>
  <si>
    <t>2.03亿</t>
  </si>
  <si>
    <t>2.18亿</t>
  </si>
  <si>
    <t>5064.63万</t>
  </si>
  <si>
    <t>2482.69万</t>
  </si>
  <si>
    <t>-547832亿</t>
  </si>
  <si>
    <t>24778942亿</t>
  </si>
  <si>
    <t>388137940亿</t>
  </si>
  <si>
    <t>433.15万</t>
  </si>
  <si>
    <t>1374005800亿</t>
  </si>
  <si>
    <t>1151.27万</t>
  </si>
  <si>
    <t>7170.00万</t>
  </si>
  <si>
    <t>51.76万</t>
  </si>
  <si>
    <t>-790.51万</t>
  </si>
  <si>
    <t>-4197.78万</t>
  </si>
  <si>
    <t>2923.91万</t>
  </si>
  <si>
    <t>10转0.1股派2元(含税)</t>
  </si>
  <si>
    <t>2075.00万</t>
  </si>
  <si>
    <t>SZ002721</t>
  </si>
  <si>
    <t>ST金一</t>
  </si>
  <si>
    <t>426.39万</t>
  </si>
  <si>
    <t>20.55亿</t>
  </si>
  <si>
    <t>15.06亿</t>
  </si>
  <si>
    <t>6.65亿</t>
  </si>
  <si>
    <t>1695.78万</t>
  </si>
  <si>
    <t>859.35万</t>
  </si>
  <si>
    <t>2284611亿</t>
  </si>
  <si>
    <t>11.48亿</t>
  </si>
  <si>
    <t>20048151亿</t>
  </si>
  <si>
    <t>2094850400亿</t>
  </si>
  <si>
    <t>262.01万</t>
  </si>
  <si>
    <t>36.24万</t>
  </si>
  <si>
    <t>-2302.69万</t>
  </si>
  <si>
    <t>-4.20亿</t>
  </si>
  <si>
    <t>-198.19万</t>
  </si>
  <si>
    <t>29.51亿</t>
  </si>
  <si>
    <t>38.96亿</t>
  </si>
  <si>
    <t>106.81亿</t>
  </si>
  <si>
    <t>147.57亿</t>
  </si>
  <si>
    <t>-36.60亿</t>
  </si>
  <si>
    <t>-13.16亿</t>
  </si>
  <si>
    <t>-31.63亿</t>
  </si>
  <si>
    <t>6196.44万</t>
  </si>
  <si>
    <t>-5458.19万</t>
  </si>
  <si>
    <t>1708.31万</t>
  </si>
  <si>
    <t>0665000000</t>
  </si>
  <si>
    <t>01995000000</t>
  </si>
  <si>
    <t>03990000000</t>
  </si>
  <si>
    <t>06650000000</t>
  </si>
  <si>
    <t>013300000000</t>
  </si>
  <si>
    <t>SZ002731</t>
  </si>
  <si>
    <t>萃华珠宝</t>
  </si>
  <si>
    <t>249.40万</t>
  </si>
  <si>
    <t>36.14亿</t>
  </si>
  <si>
    <t>16.92亿</t>
  </si>
  <si>
    <t>11.82亿</t>
  </si>
  <si>
    <t>45.65亿</t>
  </si>
  <si>
    <t>11.45亿</t>
  </si>
  <si>
    <t>10.89亿</t>
  </si>
  <si>
    <t>1739.96万</t>
  </si>
  <si>
    <t>1239.40万</t>
  </si>
  <si>
    <t>2749439亿</t>
  </si>
  <si>
    <t>1.52万</t>
  </si>
  <si>
    <t>58860474亿</t>
  </si>
  <si>
    <t>283502190亿</t>
  </si>
  <si>
    <t>843.67万</t>
  </si>
  <si>
    <t>3967039100亿</t>
  </si>
  <si>
    <t>1885.80万</t>
  </si>
  <si>
    <t>12.21亿</t>
  </si>
  <si>
    <t>3683.89万</t>
  </si>
  <si>
    <t>30.18亿</t>
  </si>
  <si>
    <t>6.53亿</t>
  </si>
  <si>
    <t>-4795.99万</t>
  </si>
  <si>
    <t>-6021.24万</t>
  </si>
  <si>
    <t>8446.40万</t>
  </si>
  <si>
    <t>42.06亿</t>
  </si>
  <si>
    <t>36.80亿</t>
  </si>
  <si>
    <t>21.09亿</t>
  </si>
  <si>
    <t>22.74亿</t>
  </si>
  <si>
    <t>26.93亿</t>
  </si>
  <si>
    <t>4708.53万</t>
  </si>
  <si>
    <t>3408.79万</t>
  </si>
  <si>
    <t>2881.08万</t>
  </si>
  <si>
    <t>3743.04万</t>
  </si>
  <si>
    <t>2961.21万</t>
  </si>
  <si>
    <t>17.90亿</t>
  </si>
  <si>
    <t>3642.45万</t>
  </si>
  <si>
    <t>10派0.71元(含税)</t>
  </si>
  <si>
    <t>1275.01万</t>
  </si>
  <si>
    <t>8351.71万</t>
  </si>
  <si>
    <t>270.45万</t>
  </si>
  <si>
    <t>5795.08万</t>
  </si>
  <si>
    <t>4350.25万</t>
  </si>
  <si>
    <t>-2349.48万</t>
  </si>
  <si>
    <t>4249.24万</t>
  </si>
  <si>
    <t>2036.14万</t>
  </si>
  <si>
    <t>1066.55万</t>
  </si>
  <si>
    <t>905.59万</t>
  </si>
  <si>
    <t>-56990亿</t>
  </si>
  <si>
    <t>1.76万</t>
  </si>
  <si>
    <t>496917亿</t>
  </si>
  <si>
    <t>8134.14万</t>
  </si>
  <si>
    <t>11427543亿</t>
  </si>
  <si>
    <t>351324670亿</t>
  </si>
  <si>
    <t>727.21万</t>
  </si>
  <si>
    <t>981.26万</t>
  </si>
  <si>
    <t>1811.90万</t>
  </si>
  <si>
    <t>5813.51万</t>
  </si>
  <si>
    <t>888.48万</t>
  </si>
  <si>
    <t>-91.49万</t>
  </si>
  <si>
    <t>-8815.09万</t>
  </si>
  <si>
    <t>5109.58万</t>
  </si>
  <si>
    <t>542.34万</t>
  </si>
  <si>
    <t>2012.14万</t>
  </si>
  <si>
    <t>277.45万</t>
  </si>
  <si>
    <t>29.29亿</t>
  </si>
  <si>
    <t>4052.50万</t>
  </si>
  <si>
    <t>68.41万</t>
  </si>
  <si>
    <t>93103448亿</t>
  </si>
  <si>
    <t>11.00亿</t>
  </si>
  <si>
    <t>265536970亿</t>
  </si>
  <si>
    <t>2141418700亿</t>
  </si>
  <si>
    <t>261.16万</t>
  </si>
  <si>
    <t>217.33万</t>
  </si>
  <si>
    <t>171.24万</t>
  </si>
  <si>
    <t>-519.56万</t>
  </si>
  <si>
    <t>-1543.35万</t>
  </si>
  <si>
    <t>1045.99万</t>
  </si>
  <si>
    <t>7276.78万</t>
  </si>
  <si>
    <t>199.63万</t>
  </si>
  <si>
    <t>7.05亿</t>
  </si>
  <si>
    <t>8.46亿</t>
  </si>
  <si>
    <t>3653.40万</t>
  </si>
  <si>
    <t>7356.26万</t>
  </si>
  <si>
    <t>6228.11万</t>
  </si>
  <si>
    <t>2185.64万</t>
  </si>
  <si>
    <t>3191527亿</t>
  </si>
  <si>
    <t>12.05万</t>
  </si>
  <si>
    <t>354061亿</t>
  </si>
  <si>
    <t>6579.78万</t>
  </si>
  <si>
    <t>29634720亿</t>
  </si>
  <si>
    <t>594131430亿</t>
  </si>
  <si>
    <t>3247.42万</t>
  </si>
  <si>
    <t>342.86万</t>
  </si>
  <si>
    <t>-2195.93万</t>
  </si>
  <si>
    <t>1421.84万</t>
  </si>
  <si>
    <t>-4796.30万</t>
  </si>
  <si>
    <t>-3293.99万</t>
  </si>
  <si>
    <t>829.65万</t>
  </si>
  <si>
    <t>972.25万</t>
  </si>
  <si>
    <t>8250.41万</t>
  </si>
  <si>
    <t>443.29万</t>
  </si>
  <si>
    <t>18.30亿</t>
  </si>
  <si>
    <t>52.61亿</t>
  </si>
  <si>
    <t>12.68亿</t>
  </si>
  <si>
    <t>35.36亿</t>
  </si>
  <si>
    <t>7736.69万</t>
  </si>
  <si>
    <t>6306507亿</t>
  </si>
  <si>
    <t>84.12万</t>
  </si>
  <si>
    <t>350791570亿</t>
  </si>
  <si>
    <t>32.26亿</t>
  </si>
  <si>
    <t>413833430亿</t>
  </si>
  <si>
    <t>4768303800亿</t>
  </si>
  <si>
    <t>2643.83万</t>
  </si>
  <si>
    <t>7060.77万</t>
  </si>
  <si>
    <t>15.73亿</t>
  </si>
  <si>
    <t>5.44亿</t>
  </si>
  <si>
    <t>-2.42亿</t>
  </si>
  <si>
    <t>-2535.77万</t>
  </si>
  <si>
    <t>10.79亿</t>
  </si>
  <si>
    <t>10派10元(含税)</t>
  </si>
  <si>
    <t>2318.29万</t>
  </si>
  <si>
    <t>SZ002867</t>
  </si>
  <si>
    <t>周大生</t>
  </si>
  <si>
    <t>1405.78万</t>
  </si>
  <si>
    <t>16.28亿</t>
  </si>
  <si>
    <t>67.25亿</t>
  </si>
  <si>
    <t>50.70亿</t>
  </si>
  <si>
    <t>162.90亿</t>
  </si>
  <si>
    <t>13.16亿</t>
  </si>
  <si>
    <t>46.11亿</t>
  </si>
  <si>
    <t>42.81亿</t>
  </si>
  <si>
    <t>2416.77万</t>
  </si>
  <si>
    <t>-11825094亿</t>
  </si>
  <si>
    <t>357.85万</t>
  </si>
  <si>
    <t>335805320亿</t>
  </si>
  <si>
    <t>18.72亿</t>
  </si>
  <si>
    <t>810461130亿</t>
  </si>
  <si>
    <t>90.00万</t>
  </si>
  <si>
    <t>7505445700亿</t>
  </si>
  <si>
    <t>7.34亿</t>
  </si>
  <si>
    <t>8.01亿</t>
  </si>
  <si>
    <t>4153.83万</t>
  </si>
  <si>
    <t>23.28亿</t>
  </si>
  <si>
    <t>1755.00万</t>
  </si>
  <si>
    <t>-8048.57万</t>
  </si>
  <si>
    <t>111.18亿</t>
  </si>
  <si>
    <t>91.55亿</t>
  </si>
  <si>
    <t>50.84亿</t>
  </si>
  <si>
    <t>54.39亿</t>
  </si>
  <si>
    <t>48.70亿</t>
  </si>
  <si>
    <t>10.91亿</t>
  </si>
  <si>
    <t>12.25亿</t>
  </si>
  <si>
    <t>10.13亿</t>
  </si>
  <si>
    <t>9.91亿</t>
  </si>
  <si>
    <t>41.22亿</t>
  </si>
  <si>
    <t>4111.75万</t>
  </si>
  <si>
    <t>598.90万</t>
  </si>
  <si>
    <t>8.36亿</t>
  </si>
  <si>
    <t>-9955.15万</t>
  </si>
  <si>
    <t>1.97亿</t>
  </si>
  <si>
    <t>9402.44万</t>
  </si>
  <si>
    <t>8559.80万</t>
  </si>
  <si>
    <t>1063.21万</t>
  </si>
  <si>
    <t>48.24万</t>
  </si>
  <si>
    <t>9613583亿</t>
  </si>
  <si>
    <t>7.21亿</t>
  </si>
  <si>
    <t>36403439亿</t>
  </si>
  <si>
    <t>1045477340亿</t>
  </si>
  <si>
    <t>210.66万</t>
  </si>
  <si>
    <t>7007.72万</t>
  </si>
  <si>
    <t>1141.16万</t>
  </si>
  <si>
    <t>5832.86万</t>
  </si>
  <si>
    <t>-2605.57万</t>
  </si>
  <si>
    <t>-253.82万</t>
  </si>
  <si>
    <t>-6818.39万</t>
  </si>
  <si>
    <t>-694.40万</t>
  </si>
  <si>
    <t>4342.79万</t>
  </si>
  <si>
    <t>371.11万</t>
  </si>
  <si>
    <t>8.15亿</t>
  </si>
  <si>
    <t>28.26亿</t>
  </si>
  <si>
    <t>1933.71万</t>
  </si>
  <si>
    <t>370015亿</t>
  </si>
  <si>
    <t>55.45万</t>
  </si>
  <si>
    <t>4607625亿</t>
  </si>
  <si>
    <t>154206670亿</t>
  </si>
  <si>
    <t>2097701400亿</t>
  </si>
  <si>
    <t>215.26万</t>
  </si>
  <si>
    <t>873.07万</t>
  </si>
  <si>
    <t>7410.16万</t>
  </si>
  <si>
    <t>-3235.48万</t>
  </si>
  <si>
    <t>-657.25万</t>
  </si>
  <si>
    <t>4896.28万</t>
  </si>
  <si>
    <t>10派2.3元(含税)</t>
  </si>
  <si>
    <t>790.08万</t>
  </si>
  <si>
    <t>5200.11万</t>
  </si>
  <si>
    <t>67.44万</t>
  </si>
  <si>
    <t>9.53亿</t>
  </si>
  <si>
    <t>235.83万</t>
  </si>
  <si>
    <t>800.37万</t>
  </si>
  <si>
    <t>17190771亿</t>
  </si>
  <si>
    <t>165873070亿</t>
  </si>
  <si>
    <t>699816690亿</t>
  </si>
  <si>
    <t>5.02亿</t>
  </si>
  <si>
    <t>1101.16万</t>
  </si>
  <si>
    <t>3183.33万</t>
  </si>
  <si>
    <t>9741.70万</t>
  </si>
  <si>
    <t>-994.49万</t>
  </si>
  <si>
    <t>-1.02亿</t>
  </si>
  <si>
    <t>4359.69万</t>
  </si>
  <si>
    <t>1281.53万</t>
  </si>
  <si>
    <t>455.00万</t>
  </si>
  <si>
    <t>4147.83万</t>
  </si>
  <si>
    <t>0106000000</t>
  </si>
  <si>
    <t>0318000000</t>
  </si>
  <si>
    <t>0636000000</t>
  </si>
  <si>
    <t>01060000000</t>
  </si>
  <si>
    <t>02120000000</t>
  </si>
  <si>
    <t>732.45万</t>
  </si>
  <si>
    <t>5.31亿</t>
  </si>
  <si>
    <t>20.13亿</t>
  </si>
  <si>
    <t>13.91亿</t>
  </si>
  <si>
    <t>7179.79万</t>
  </si>
  <si>
    <t>3.10亿</t>
  </si>
  <si>
    <t>2.01亿</t>
  </si>
  <si>
    <t>6708.46万</t>
  </si>
  <si>
    <t>4037.24万</t>
  </si>
  <si>
    <t>678301亿</t>
  </si>
  <si>
    <t>30.01万</t>
  </si>
  <si>
    <t>66891060亿</t>
  </si>
  <si>
    <t>7.81亿</t>
  </si>
  <si>
    <t>288787110亿</t>
  </si>
  <si>
    <t>152.20万</t>
  </si>
  <si>
    <t>1912142800亿</t>
  </si>
  <si>
    <t>517.00万</t>
  </si>
  <si>
    <t>2370.00万</t>
  </si>
  <si>
    <t>-6353.14万</t>
  </si>
  <si>
    <t>-395.18万</t>
  </si>
  <si>
    <t>6989.38万</t>
  </si>
  <si>
    <t>1841.34万</t>
  </si>
  <si>
    <t>10派0.24元(含税)</t>
  </si>
  <si>
    <t>4047.40万</t>
  </si>
  <si>
    <t>071797900</t>
  </si>
  <si>
    <t>0215393700</t>
  </si>
  <si>
    <t>0430787400</t>
  </si>
  <si>
    <t>0717979000</t>
  </si>
  <si>
    <t>01435958000</t>
  </si>
  <si>
    <t>529.27万</t>
  </si>
  <si>
    <t>6.18亿</t>
  </si>
  <si>
    <t>-7155.28万</t>
  </si>
  <si>
    <t>1225.67万</t>
  </si>
  <si>
    <t>850.73万</t>
  </si>
  <si>
    <t>-6450076亿</t>
  </si>
  <si>
    <t>366355210亿</t>
  </si>
  <si>
    <t>685974810亿</t>
  </si>
  <si>
    <t>-2762.76万</t>
  </si>
  <si>
    <t>-718.28万</t>
  </si>
  <si>
    <t>-153.92万</t>
  </si>
  <si>
    <t>8521.44万</t>
  </si>
  <si>
    <t>-888.94万</t>
  </si>
  <si>
    <t>3243.58万</t>
  </si>
  <si>
    <t>656.00万</t>
  </si>
  <si>
    <t>5.45亿</t>
  </si>
  <si>
    <t>12.93亿</t>
  </si>
  <si>
    <t>1428.00万</t>
  </si>
  <si>
    <t>1146.33万</t>
  </si>
  <si>
    <t>125989911亿</t>
  </si>
  <si>
    <t>15.23万</t>
  </si>
  <si>
    <t>24951252亿</t>
  </si>
  <si>
    <t>63103965亿</t>
  </si>
  <si>
    <t>272.00万</t>
  </si>
  <si>
    <t>774021010亿</t>
  </si>
  <si>
    <t>3051.97万</t>
  </si>
  <si>
    <t>1964.00万</t>
  </si>
  <si>
    <t>5803.02万</t>
  </si>
  <si>
    <t>182.54万</t>
  </si>
  <si>
    <t>3244.40万</t>
  </si>
  <si>
    <t>-1.74亿</t>
  </si>
  <si>
    <t>-5232.82万</t>
  </si>
  <si>
    <t>7.47亿</t>
  </si>
  <si>
    <t>3284.19万</t>
  </si>
  <si>
    <t>898.84万</t>
  </si>
  <si>
    <t>2.60亿</t>
  </si>
  <si>
    <t>7525.57万</t>
  </si>
  <si>
    <t>3862.66万</t>
  </si>
  <si>
    <t>7300.49万</t>
  </si>
  <si>
    <t>5849.83万</t>
  </si>
  <si>
    <t>202.66万</t>
  </si>
  <si>
    <t>1266.98万</t>
  </si>
  <si>
    <t>-982271亿</t>
  </si>
  <si>
    <t>-1226869亿</t>
  </si>
  <si>
    <t>257993760亿</t>
  </si>
  <si>
    <t>611786310亿</t>
  </si>
  <si>
    <t>365.61万</t>
  </si>
  <si>
    <t>225.19万</t>
  </si>
  <si>
    <t>2668.53万</t>
  </si>
  <si>
    <t>3545.19万</t>
  </si>
  <si>
    <t>62.96万</t>
  </si>
  <si>
    <t>-1459.94万</t>
  </si>
  <si>
    <t>-3153.53万</t>
  </si>
  <si>
    <t>-80.37万</t>
  </si>
  <si>
    <t>7372.24万</t>
  </si>
  <si>
    <t>3987.18万</t>
  </si>
  <si>
    <t>2134.56万</t>
  </si>
  <si>
    <t>-574.64万</t>
  </si>
  <si>
    <t>3232.39万</t>
  </si>
  <si>
    <t>开始亏损</t>
  </si>
  <si>
    <t>0115879800</t>
  </si>
  <si>
    <t>0231759600</t>
  </si>
  <si>
    <t>0386266000</t>
  </si>
  <si>
    <t>0772532000</t>
  </si>
  <si>
    <t>723.82万</t>
  </si>
  <si>
    <t>20.64亿</t>
  </si>
  <si>
    <t>342.73亿</t>
  </si>
  <si>
    <t>19.47亿</t>
  </si>
  <si>
    <t>2780.89万</t>
  </si>
  <si>
    <t>1729.45万</t>
  </si>
  <si>
    <t>303205亿</t>
  </si>
  <si>
    <t>8.97万</t>
  </si>
  <si>
    <t>31841969亿</t>
  </si>
  <si>
    <t>212902210亿</t>
  </si>
  <si>
    <t>1527503000亿</t>
  </si>
  <si>
    <t>8795.14万</t>
  </si>
  <si>
    <t>3.60亿</t>
  </si>
  <si>
    <t>-181.57万</t>
  </si>
  <si>
    <t>-1.00亿</t>
  </si>
  <si>
    <t>-173.92万</t>
  </si>
  <si>
    <t>16.00亿</t>
  </si>
  <si>
    <t>79.03亿</t>
  </si>
  <si>
    <t>3.41亿</t>
  </si>
  <si>
    <t>10派1.72元(含税)</t>
  </si>
  <si>
    <t>3966.97万</t>
  </si>
  <si>
    <t>SZ300945</t>
  </si>
  <si>
    <t>曼卡龙</t>
  </si>
  <si>
    <t>845.74万</t>
  </si>
  <si>
    <t>15.86亿</t>
  </si>
  <si>
    <t>5.00亿</t>
  </si>
  <si>
    <t>8728.63万</t>
  </si>
  <si>
    <t>4.60亿</t>
  </si>
  <si>
    <t>3199.84万</t>
  </si>
  <si>
    <t>1423.33万</t>
  </si>
  <si>
    <t>220877亿</t>
  </si>
  <si>
    <t>10.16万</t>
  </si>
  <si>
    <t>31787136亿</t>
  </si>
  <si>
    <t>9.98亿</t>
  </si>
  <si>
    <t>62418814亿</t>
  </si>
  <si>
    <t>1645474500亿</t>
  </si>
  <si>
    <t>5900.00万</t>
  </si>
  <si>
    <t>3692.43万</t>
  </si>
  <si>
    <t>569.78万</t>
  </si>
  <si>
    <t>2091.09万</t>
  </si>
  <si>
    <t>6334.65万</t>
  </si>
  <si>
    <t>585.41万</t>
  </si>
  <si>
    <t>16.10亿</t>
  </si>
  <si>
    <t>12.53亿</t>
  </si>
  <si>
    <t>8.09亿</t>
  </si>
  <si>
    <t>9.20亿</t>
  </si>
  <si>
    <t>5428.49万</t>
  </si>
  <si>
    <t>7028.79万</t>
  </si>
  <si>
    <t>6364.93万</t>
  </si>
  <si>
    <t>6491.21万</t>
  </si>
  <si>
    <t>5503.91万</t>
  </si>
  <si>
    <t>19.23亿</t>
  </si>
  <si>
    <t>8008.87万</t>
  </si>
  <si>
    <t>2785.73万</t>
  </si>
  <si>
    <t>10派1.22元(含税)</t>
  </si>
  <si>
    <t>3769.49万</t>
  </si>
  <si>
    <t>74.83万</t>
  </si>
  <si>
    <t>60.19亿</t>
  </si>
  <si>
    <t>4276.88万</t>
  </si>
  <si>
    <t>894.62万</t>
  </si>
  <si>
    <t>1296.96万</t>
  </si>
  <si>
    <t>413021亿</t>
  </si>
  <si>
    <t>19170431亿</t>
  </si>
  <si>
    <t>188597720亿</t>
  </si>
  <si>
    <t>206.00万</t>
  </si>
  <si>
    <t>804262990亿</t>
  </si>
  <si>
    <t>1181.89万</t>
  </si>
  <si>
    <t>222.30万</t>
  </si>
  <si>
    <t>-2403.64万</t>
  </si>
  <si>
    <t>5861.08万</t>
  </si>
  <si>
    <t>10.70亿</t>
  </si>
  <si>
    <t>1577.36万</t>
  </si>
  <si>
    <t>402.86万</t>
  </si>
  <si>
    <t>6849.52万</t>
  </si>
  <si>
    <t>62.55万</t>
  </si>
  <si>
    <t>9803.60万</t>
  </si>
  <si>
    <t>25.96亿</t>
  </si>
  <si>
    <t>2294.08万</t>
  </si>
  <si>
    <t>1196.77万</t>
  </si>
  <si>
    <t>5453976亿</t>
  </si>
  <si>
    <t>15952254亿</t>
  </si>
  <si>
    <t>3.72亿</t>
  </si>
  <si>
    <t>1951682000亿</t>
  </si>
  <si>
    <t>5345.37万</t>
  </si>
  <si>
    <t>3999.43万</t>
  </si>
  <si>
    <t>7149.71万</t>
  </si>
  <si>
    <t>4612.28万</t>
  </si>
  <si>
    <t>-90.00万</t>
  </si>
  <si>
    <t>8471.94万</t>
  </si>
  <si>
    <t>10派4.39元(含税)</t>
  </si>
  <si>
    <t>372.92万</t>
  </si>
  <si>
    <t>2515.49万</t>
  </si>
  <si>
    <t>账面净赚</t>
  </si>
  <si>
    <t>SZ301177</t>
  </si>
  <si>
    <t>迪阿股份</t>
  </si>
  <si>
    <t>97.25万</t>
  </si>
  <si>
    <t>64.99亿</t>
  </si>
  <si>
    <t>4.26亿</t>
  </si>
  <si>
    <t>638.90万</t>
  </si>
  <si>
    <t>3560.55万</t>
  </si>
  <si>
    <t>52011099亿</t>
  </si>
  <si>
    <t>63.56万</t>
  </si>
  <si>
    <t>-5916597亿</t>
  </si>
  <si>
    <t>69371375亿</t>
  </si>
  <si>
    <t>6161201800亿</t>
  </si>
  <si>
    <t>4587.24万</t>
  </si>
  <si>
    <t>3113.41万</t>
  </si>
  <si>
    <t>7.69亿</t>
  </si>
  <si>
    <t>8243.87万</t>
  </si>
  <si>
    <t>-2.14亿</t>
  </si>
  <si>
    <t>36.82亿</t>
  </si>
  <si>
    <t>46.23亿</t>
  </si>
  <si>
    <t>24.64亿</t>
  </si>
  <si>
    <t>16.65亿</t>
  </si>
  <si>
    <t>15.00亿</t>
  </si>
  <si>
    <t>5.63亿</t>
  </si>
  <si>
    <t>2.64亿</t>
  </si>
  <si>
    <t>21.80亿</t>
  </si>
  <si>
    <t>4920.47万</t>
  </si>
  <si>
    <t>6895.76万</t>
  </si>
  <si>
    <t>-335.46万</t>
  </si>
  <si>
    <t>519.23万</t>
  </si>
  <si>
    <t>3220.18万</t>
  </si>
  <si>
    <t>36.72万</t>
  </si>
  <si>
    <t>9459.53万</t>
  </si>
  <si>
    <t>2066.74万</t>
  </si>
  <si>
    <t>1925602亿</t>
  </si>
  <si>
    <t>6.80万</t>
  </si>
  <si>
    <t>44876407亿</t>
  </si>
  <si>
    <t>23062511亿</t>
  </si>
  <si>
    <t>1659119800亿</t>
  </si>
  <si>
    <t>3.68亿</t>
  </si>
  <si>
    <t>5516.65万</t>
  </si>
  <si>
    <t>-2473.75万</t>
  </si>
  <si>
    <t>-339.25万</t>
  </si>
  <si>
    <t>11.52亿</t>
  </si>
  <si>
    <t>4671.83万</t>
  </si>
  <si>
    <t>10派7.6元(含税)</t>
  </si>
  <si>
    <t>220.17万</t>
  </si>
  <si>
    <t>1401.26万</t>
  </si>
  <si>
    <t>359.40万</t>
  </si>
  <si>
    <t>40.05亿</t>
  </si>
  <si>
    <t>20137亿</t>
  </si>
  <si>
    <t>67.53万</t>
  </si>
  <si>
    <t>-14969860亿</t>
  </si>
  <si>
    <t>46653310亿</t>
  </si>
  <si>
    <t>857181160亿</t>
  </si>
  <si>
    <t>2278.08万</t>
  </si>
  <si>
    <t>1000.00万</t>
  </si>
  <si>
    <t>1764.25万</t>
  </si>
  <si>
    <t>3174.80万</t>
  </si>
  <si>
    <t>-4388.10万</t>
  </si>
  <si>
    <t>1133.90万</t>
  </si>
  <si>
    <t>-608.51万</t>
  </si>
  <si>
    <t>-1.39亿</t>
  </si>
  <si>
    <t>-5945.92万</t>
  </si>
  <si>
    <t>2640.65万</t>
  </si>
  <si>
    <t>1898.32万</t>
  </si>
  <si>
    <t>1.61亿</t>
  </si>
  <si>
    <t>89.03万</t>
  </si>
  <si>
    <t>7150.21万</t>
  </si>
  <si>
    <t>38304亿</t>
  </si>
  <si>
    <t>3729960亿</t>
  </si>
  <si>
    <t>4.01亿</t>
  </si>
  <si>
    <t>36075006亿</t>
  </si>
  <si>
    <t>546515710亿</t>
  </si>
  <si>
    <t>5245.95万</t>
  </si>
  <si>
    <t>7664.05万</t>
  </si>
  <si>
    <t>-214.65万</t>
  </si>
  <si>
    <t>-5070.85万</t>
  </si>
  <si>
    <t>16.58亿</t>
  </si>
  <si>
    <t>2262.52万</t>
  </si>
  <si>
    <t>-480.15万</t>
  </si>
  <si>
    <t>10派1.8元(含税)</t>
  </si>
  <si>
    <t>392.37万</t>
  </si>
  <si>
    <t>3197.18万</t>
  </si>
  <si>
    <t>1558.82万</t>
  </si>
  <si>
    <t>410.41亿</t>
  </si>
  <si>
    <t>405.20亿</t>
  </si>
  <si>
    <t>33.11亿</t>
  </si>
  <si>
    <t>54.04亿</t>
  </si>
  <si>
    <t>405.51万</t>
  </si>
  <si>
    <t>687550880亿</t>
  </si>
  <si>
    <t>1724.84万</t>
  </si>
  <si>
    <t>920370970亿</t>
  </si>
  <si>
    <t>144.41亿</t>
  </si>
  <si>
    <t>373348160亿</t>
  </si>
  <si>
    <t>32688107000亿</t>
  </si>
  <si>
    <t>6139.70万</t>
  </si>
  <si>
    <t>7.95亿</t>
  </si>
  <si>
    <t>1208.86万</t>
  </si>
  <si>
    <t>-2.76亿</t>
  </si>
  <si>
    <t>7.32亿</t>
  </si>
  <si>
    <t>50.73亿</t>
  </si>
  <si>
    <t>137.49亿</t>
  </si>
  <si>
    <t>12.46亿</t>
  </si>
  <si>
    <t>34.34亿</t>
  </si>
  <si>
    <t>-1170.51万</t>
  </si>
  <si>
    <t>8114.75万</t>
  </si>
  <si>
    <t>4.42亿</t>
  </si>
  <si>
    <t>04055100</t>
  </si>
  <si>
    <t>012165300</t>
  </si>
  <si>
    <t>024330600</t>
  </si>
  <si>
    <t>040551000</t>
  </si>
  <si>
    <t>081102000</t>
  </si>
  <si>
    <t>3445.63万</t>
  </si>
  <si>
    <t>176.75亿</t>
  </si>
  <si>
    <t>194.72亿</t>
  </si>
  <si>
    <t>61.77亿</t>
  </si>
  <si>
    <t>85.75亿</t>
  </si>
  <si>
    <t>48.05亿</t>
  </si>
  <si>
    <t>32.93亿</t>
  </si>
  <si>
    <t>9940178亿</t>
  </si>
  <si>
    <t>426.19万</t>
  </si>
  <si>
    <t>877156270亿</t>
  </si>
  <si>
    <t>130.23亿</t>
  </si>
  <si>
    <t>911901830亿</t>
  </si>
  <si>
    <t>25116946000亿</t>
  </si>
  <si>
    <t>9236.62万</t>
  </si>
  <si>
    <t>15.59亿</t>
  </si>
  <si>
    <t>78.44亿</t>
  </si>
  <si>
    <t>403.96万</t>
  </si>
  <si>
    <t>133.52亿</t>
  </si>
  <si>
    <t>-1.11亿</t>
  </si>
  <si>
    <t>-2.31亿</t>
  </si>
  <si>
    <t>215.28亿</t>
  </si>
  <si>
    <t>20.09亿</t>
  </si>
  <si>
    <t>29.52亿</t>
  </si>
  <si>
    <t>6022.30万</t>
  </si>
  <si>
    <t>10派5.6元(含税)</t>
  </si>
  <si>
    <t>0362000000</t>
  </si>
  <si>
    <t>01086000000</t>
  </si>
  <si>
    <t>02172000000</t>
  </si>
  <si>
    <t>03620000000</t>
  </si>
  <si>
    <t>07240000000</t>
  </si>
  <si>
    <t>-4-1</t>
  </si>
  <si>
    <t>1255.19万</t>
  </si>
  <si>
    <t>22.55亿</t>
  </si>
  <si>
    <t>30.55亿</t>
  </si>
  <si>
    <t>6.50亿</t>
  </si>
  <si>
    <t>58.14亿</t>
  </si>
  <si>
    <t>-4.81亿</t>
  </si>
  <si>
    <t>4500.85万</t>
  </si>
  <si>
    <t>13680193亿</t>
  </si>
  <si>
    <t>7.11万</t>
  </si>
  <si>
    <t>30280985亿</t>
  </si>
  <si>
    <t>12.71亿</t>
  </si>
  <si>
    <t>596186770亿</t>
  </si>
  <si>
    <t>3151.98万</t>
  </si>
  <si>
    <t>2260128300亿</t>
  </si>
  <si>
    <t>5.77亿</t>
  </si>
  <si>
    <t>7412.19万</t>
  </si>
  <si>
    <t>16.37亿</t>
  </si>
  <si>
    <t>3.06亿</t>
  </si>
  <si>
    <t>-1.07亿</t>
  </si>
  <si>
    <t>35.46万</t>
  </si>
  <si>
    <t>-4363.10万</t>
  </si>
  <si>
    <t>23.30亿</t>
  </si>
  <si>
    <t>3000.56万</t>
  </si>
  <si>
    <t>10派0.1元(含税)</t>
  </si>
  <si>
    <t>5087.98万</t>
  </si>
  <si>
    <t>3.34亿</t>
  </si>
  <si>
    <t>SH600439</t>
  </si>
  <si>
    <t>瑞贝卡</t>
  </si>
  <si>
    <t>812.36万</t>
  </si>
  <si>
    <t>25.33亿</t>
  </si>
  <si>
    <t>27.57亿</t>
  </si>
  <si>
    <t>4004.80万</t>
  </si>
  <si>
    <t>3444.57万</t>
  </si>
  <si>
    <t>1822.50万</t>
  </si>
  <si>
    <t>17.51万</t>
  </si>
  <si>
    <t>5234386亿</t>
  </si>
  <si>
    <t>227818490亿</t>
  </si>
  <si>
    <t>1510.57万</t>
  </si>
  <si>
    <t>4298653500亿</t>
  </si>
  <si>
    <t>1378.13万</t>
  </si>
  <si>
    <t>16.32亿</t>
  </si>
  <si>
    <t>5389.10万</t>
  </si>
  <si>
    <t>20.17亿</t>
  </si>
  <si>
    <t>7336.20万</t>
  </si>
  <si>
    <t>-144.97万</t>
  </si>
  <si>
    <t>12.58亿</t>
  </si>
  <si>
    <t>15.66亿</t>
  </si>
  <si>
    <t>13.30亿</t>
  </si>
  <si>
    <t>18.19亿</t>
  </si>
  <si>
    <t>18.81亿</t>
  </si>
  <si>
    <t>3393.75万</t>
  </si>
  <si>
    <t>6020.59万</t>
  </si>
  <si>
    <t>3814.15万</t>
  </si>
  <si>
    <t>1230.23万</t>
  </si>
  <si>
    <t>971.31万</t>
  </si>
  <si>
    <t>4247.39万</t>
  </si>
  <si>
    <t>040048000</t>
  </si>
  <si>
    <t>0120144000</t>
  </si>
  <si>
    <t>0240288000</t>
  </si>
  <si>
    <t>0400480000</t>
  </si>
  <si>
    <t>0800960000</t>
  </si>
  <si>
    <t>SH600612</t>
  </si>
  <si>
    <t>老凤祥</t>
  </si>
  <si>
    <t>153.71万</t>
  </si>
  <si>
    <t>105.99亿</t>
  </si>
  <si>
    <t>143.77亿</t>
  </si>
  <si>
    <t>256.30亿</t>
  </si>
  <si>
    <t>5700.07万</t>
  </si>
  <si>
    <t>241.14亿</t>
  </si>
  <si>
    <t>234.85亿</t>
  </si>
  <si>
    <t>-42286252亿</t>
  </si>
  <si>
    <t>142.64万</t>
  </si>
  <si>
    <t>834662350亿</t>
  </si>
  <si>
    <t>168.71亿</t>
  </si>
  <si>
    <t>1399640400亿</t>
  </si>
  <si>
    <t>140.00万</t>
  </si>
  <si>
    <t>31393652000亿</t>
  </si>
  <si>
    <t>9194.29万</t>
  </si>
  <si>
    <t>109.68亿</t>
  </si>
  <si>
    <t>68.60万</t>
  </si>
  <si>
    <t>179.01亿</t>
  </si>
  <si>
    <t>40.81亿</t>
  </si>
  <si>
    <t>36.20亿</t>
  </si>
  <si>
    <t>630.10亿</t>
  </si>
  <si>
    <t>586.91亿</t>
  </si>
  <si>
    <t>517.22亿</t>
  </si>
  <si>
    <t>496.29亿</t>
  </si>
  <si>
    <t>437.84亿</t>
  </si>
  <si>
    <t>17.00亿</t>
  </si>
  <si>
    <t>18.76亿</t>
  </si>
  <si>
    <t>14.08亿</t>
  </si>
  <si>
    <t>12.05亿</t>
  </si>
  <si>
    <t>714.36亿</t>
  </si>
  <si>
    <t>5.83亿</t>
  </si>
  <si>
    <t>22.14亿</t>
  </si>
  <si>
    <t>2379.08万</t>
  </si>
  <si>
    <t>10派19.5元(含税)</t>
  </si>
  <si>
    <t>1007.03万</t>
  </si>
  <si>
    <t>6617.24万</t>
  </si>
  <si>
    <t>057000700</t>
  </si>
  <si>
    <t>0171002100</t>
  </si>
  <si>
    <t>0342004200</t>
  </si>
  <si>
    <t>0570007000</t>
  </si>
  <si>
    <t>01140014000</t>
  </si>
  <si>
    <t>XD龙头股</t>
  </si>
  <si>
    <t>932.12万</t>
  </si>
  <si>
    <t>7.53亿</t>
  </si>
  <si>
    <t>4.63亿</t>
  </si>
  <si>
    <t>6.63亿</t>
  </si>
  <si>
    <t>1651.02万</t>
  </si>
  <si>
    <t>438.39万</t>
  </si>
  <si>
    <t>14354584亿</t>
  </si>
  <si>
    <t>4.35亿</t>
  </si>
  <si>
    <t>254311270亿</t>
  </si>
  <si>
    <t>160.00万</t>
  </si>
  <si>
    <t>1217265050亿</t>
  </si>
  <si>
    <t>41.77万</t>
  </si>
  <si>
    <t>1948.86万</t>
  </si>
  <si>
    <t>358.41万</t>
  </si>
  <si>
    <t>7.46亿</t>
  </si>
  <si>
    <t>5855.26万</t>
  </si>
  <si>
    <t>3971.54万</t>
  </si>
  <si>
    <t>9.63万</t>
  </si>
  <si>
    <t>-3888.49万</t>
  </si>
  <si>
    <t>1594.80万</t>
  </si>
  <si>
    <t>10派0.12元(含税)</t>
  </si>
  <si>
    <t>6261.08万</t>
  </si>
  <si>
    <t>6.68亿</t>
  </si>
  <si>
    <t>0663000000</t>
  </si>
  <si>
    <t>01989000000</t>
  </si>
  <si>
    <t>03978000000</t>
  </si>
  <si>
    <t>06630000000</t>
  </si>
  <si>
    <t>013260000000</t>
  </si>
  <si>
    <t>SH600735</t>
  </si>
  <si>
    <t>新华锦</t>
  </si>
  <si>
    <t>354.59万</t>
  </si>
  <si>
    <t>78.14亿</t>
  </si>
  <si>
    <t>2.02亿</t>
  </si>
  <si>
    <t>5264.68万</t>
  </si>
  <si>
    <t>2479.69万</t>
  </si>
  <si>
    <t>1727989亿</t>
  </si>
  <si>
    <t>6421788亿</t>
  </si>
  <si>
    <t>175809810亿</t>
  </si>
  <si>
    <t>1519144000亿</t>
  </si>
  <si>
    <t>44.71万</t>
  </si>
  <si>
    <t>14.69万</t>
  </si>
  <si>
    <t>7684.13万</t>
  </si>
  <si>
    <t>-2514.07万</t>
  </si>
  <si>
    <t>-6555.32万</t>
  </si>
  <si>
    <t>18.65亿</t>
  </si>
  <si>
    <t>15.74亿</t>
  </si>
  <si>
    <t>14.35亿</t>
  </si>
  <si>
    <t>13.65亿</t>
  </si>
  <si>
    <t>5174.30万</t>
  </si>
  <si>
    <t>6597.12万</t>
  </si>
  <si>
    <t>4473.19万</t>
  </si>
  <si>
    <t>7271.54万</t>
  </si>
  <si>
    <t>7644.32万</t>
  </si>
  <si>
    <t>23.71亿</t>
  </si>
  <si>
    <t>29.35亿</t>
  </si>
  <si>
    <t>5254.85万</t>
  </si>
  <si>
    <t>10派0.38元(含税)</t>
  </si>
  <si>
    <t>2055.72万</t>
  </si>
  <si>
    <t>SH600916</t>
  </si>
  <si>
    <t>中国黄金</t>
  </si>
  <si>
    <t>1663.82万</t>
  </si>
  <si>
    <t>56.39亿</t>
  </si>
  <si>
    <t>78.36亿</t>
  </si>
  <si>
    <t>182.51亿</t>
  </si>
  <si>
    <t>102.05亿</t>
  </si>
  <si>
    <t>177.09亿</t>
  </si>
  <si>
    <t>175.04亿</t>
  </si>
  <si>
    <t>3681.69万</t>
  </si>
  <si>
    <t>-22834953亿</t>
  </si>
  <si>
    <t>10.06万</t>
  </si>
  <si>
    <t>369110630亿</t>
  </si>
  <si>
    <t>71.59亿</t>
  </si>
  <si>
    <t>799282930亿</t>
  </si>
  <si>
    <t>12821049300亿</t>
  </si>
  <si>
    <t>54.68亿</t>
  </si>
  <si>
    <t>10.94亿</t>
  </si>
  <si>
    <t>-860.72万</t>
  </si>
  <si>
    <t>-2045.00万</t>
  </si>
  <si>
    <t>471.24亿</t>
  </si>
  <si>
    <t>507.58亿</t>
  </si>
  <si>
    <t>337.88亿</t>
  </si>
  <si>
    <t>382.74亿</t>
  </si>
  <si>
    <t>409.11亿</t>
  </si>
  <si>
    <t>7.65亿</t>
  </si>
  <si>
    <t>7.94亿</t>
  </si>
  <si>
    <t>563.64亿</t>
  </si>
  <si>
    <t>25.91亿</t>
  </si>
  <si>
    <t>9.73亿</t>
  </si>
  <si>
    <t>-5055.59万</t>
  </si>
  <si>
    <t>10派4.50元(含税)</t>
  </si>
  <si>
    <t>6315.39万</t>
  </si>
  <si>
    <t>0499000000</t>
  </si>
  <si>
    <t>01497000000</t>
  </si>
  <si>
    <t>02994000000</t>
  </si>
  <si>
    <t>04990000000</t>
  </si>
  <si>
    <t>09980000000</t>
  </si>
  <si>
    <t>116.04万</t>
  </si>
  <si>
    <t>19.01亿</t>
  </si>
  <si>
    <t>39.96亿</t>
  </si>
  <si>
    <t>114.63亿</t>
  </si>
  <si>
    <t>6.69亿</t>
  </si>
  <si>
    <t>3.29亿</t>
  </si>
  <si>
    <t>4520.67万</t>
  </si>
  <si>
    <t>302096亿</t>
  </si>
  <si>
    <t>120.66万</t>
  </si>
  <si>
    <t>199091480亿</t>
  </si>
  <si>
    <t>177226590亿</t>
  </si>
  <si>
    <t>6336.45万</t>
  </si>
  <si>
    <t>3192376400亿</t>
  </si>
  <si>
    <t>376.05万</t>
  </si>
  <si>
    <t>13.78亿</t>
  </si>
  <si>
    <t>1134.33万</t>
  </si>
  <si>
    <t>1977.72万</t>
  </si>
  <si>
    <t>-9325.70万</t>
  </si>
  <si>
    <t>22.48亿</t>
  </si>
  <si>
    <t>1.91亿</t>
  </si>
  <si>
    <t>799.94万</t>
  </si>
  <si>
    <t>5021.81万</t>
  </si>
  <si>
    <t>1254.68万</t>
  </si>
  <si>
    <t>93.96亿</t>
  </si>
  <si>
    <t>169.83亿</t>
  </si>
  <si>
    <t>1142.18亿</t>
  </si>
  <si>
    <t>26.07亿</t>
  </si>
  <si>
    <t>22.52亿</t>
  </si>
  <si>
    <t>9760.68万</t>
  </si>
  <si>
    <t>-2386893亿</t>
  </si>
  <si>
    <t>103.51万</t>
  </si>
  <si>
    <t>-4880630亿</t>
  </si>
  <si>
    <t>56.80亿</t>
  </si>
  <si>
    <t>3943702800亿</t>
  </si>
  <si>
    <t>4206.09万</t>
  </si>
  <si>
    <t>15697862000亿</t>
  </si>
  <si>
    <t>14.80亿</t>
  </si>
  <si>
    <t>6.13亿</t>
  </si>
  <si>
    <t>6.80亿</t>
  </si>
  <si>
    <t>33.64亿</t>
  </si>
  <si>
    <t>2255.81万</t>
  </si>
  <si>
    <t>71.88亿</t>
  </si>
  <si>
    <t>10.26亿</t>
  </si>
  <si>
    <t>-12.28亿</t>
  </si>
  <si>
    <t>-9600.99万</t>
  </si>
  <si>
    <t>115.61亿</t>
  </si>
  <si>
    <t>211.47亿</t>
  </si>
  <si>
    <t>3.67亿</t>
  </si>
  <si>
    <t>6.06亿</t>
  </si>
  <si>
    <t>奥康国际</t>
  </si>
  <si>
    <t>140.87万</t>
  </si>
  <si>
    <t>29.42亿</t>
  </si>
  <si>
    <t>22.40亿</t>
  </si>
  <si>
    <t>8663.46万</t>
  </si>
  <si>
    <t>7.62亿</t>
  </si>
  <si>
    <t>5898.96万</t>
  </si>
  <si>
    <t>-1205261亿</t>
  </si>
  <si>
    <t>135.12万</t>
  </si>
  <si>
    <t>6758049亿</t>
  </si>
  <si>
    <t>6.35亿</t>
  </si>
  <si>
    <t>946756240亿</t>
  </si>
  <si>
    <t>680.00万</t>
  </si>
  <si>
    <t>2534103000亿</t>
  </si>
  <si>
    <t>3182.15万</t>
  </si>
  <si>
    <t>300.00万</t>
  </si>
  <si>
    <t>276.64万</t>
  </si>
  <si>
    <t>10.40亿</t>
  </si>
  <si>
    <t>8450.90万</t>
  </si>
  <si>
    <t>-8897.05万</t>
  </si>
  <si>
    <t>-6696.40万</t>
  </si>
  <si>
    <t>-3.74亿</t>
  </si>
  <si>
    <t>-9327.89万</t>
  </si>
  <si>
    <t>1845.44万</t>
  </si>
  <si>
    <t>744.69万</t>
  </si>
  <si>
    <t>6155.68万</t>
  </si>
  <si>
    <t>086634600</t>
  </si>
  <si>
    <t>0259903800</t>
  </si>
  <si>
    <t>0519807600</t>
  </si>
  <si>
    <t>0866346000</t>
  </si>
  <si>
    <t>01732692000</t>
  </si>
  <si>
    <t>222.81万</t>
  </si>
  <si>
    <t>32.06亿</t>
  </si>
  <si>
    <t>-2.28亿</t>
  </si>
  <si>
    <t>5.76亿</t>
  </si>
  <si>
    <t>6101.96万</t>
  </si>
  <si>
    <t>-306400亿</t>
  </si>
  <si>
    <t>169.78万</t>
  </si>
  <si>
    <t>20136557亿</t>
  </si>
  <si>
    <t>17.89亿</t>
  </si>
  <si>
    <t>502669600亿</t>
  </si>
  <si>
    <t>2943367800亿</t>
  </si>
  <si>
    <t>6926.10万</t>
  </si>
  <si>
    <t>3.74亿</t>
  </si>
  <si>
    <t>11.78亿</t>
  </si>
  <si>
    <t>36.47万</t>
  </si>
  <si>
    <t>-6210.85万</t>
  </si>
  <si>
    <t>-3930.08万</t>
  </si>
  <si>
    <t>24.69亿</t>
  </si>
  <si>
    <t>5194.78万</t>
  </si>
  <si>
    <t>-14.07万</t>
  </si>
  <si>
    <t>1774.36万</t>
  </si>
  <si>
    <t>242.42万</t>
  </si>
  <si>
    <t>7.90亿</t>
  </si>
  <si>
    <t>58.97亿</t>
  </si>
  <si>
    <t>7655.65万</t>
  </si>
  <si>
    <t>8153.49万</t>
  </si>
  <si>
    <t>2688.14万</t>
  </si>
  <si>
    <t>91931亿</t>
  </si>
  <si>
    <t>36.38万</t>
  </si>
  <si>
    <t>-11827484亿</t>
  </si>
  <si>
    <t>5088.17万</t>
  </si>
  <si>
    <t>65008874亿</t>
  </si>
  <si>
    <t>502740680亿</t>
  </si>
  <si>
    <t>7005.20万</t>
  </si>
  <si>
    <t>7591.93万</t>
  </si>
  <si>
    <t>56.17万</t>
  </si>
  <si>
    <t>-645.70万</t>
  </si>
  <si>
    <t>-1731.46万</t>
  </si>
  <si>
    <t>-1281.43万</t>
  </si>
  <si>
    <t>11.87亿</t>
  </si>
  <si>
    <t>1707.67万</t>
  </si>
  <si>
    <t>9337.14万</t>
  </si>
  <si>
    <t>10派0.22元(含税)</t>
  </si>
  <si>
    <t>1076.50万</t>
  </si>
  <si>
    <t>6182.06万</t>
  </si>
  <si>
    <t>23.65万</t>
  </si>
  <si>
    <t>14.66亿</t>
  </si>
  <si>
    <t>24.12亿</t>
  </si>
  <si>
    <t>283.36万</t>
  </si>
  <si>
    <t>1163.09万</t>
  </si>
  <si>
    <t>2119844亿</t>
  </si>
  <si>
    <t>4.61万</t>
  </si>
  <si>
    <t>42780754亿</t>
  </si>
  <si>
    <t>8.08亿</t>
  </si>
  <si>
    <t>108422238亿</t>
  </si>
  <si>
    <t>1285825320亿</t>
  </si>
  <si>
    <t>3460.62万</t>
  </si>
  <si>
    <t>9707.56万</t>
  </si>
  <si>
    <t>6331.30万</t>
  </si>
  <si>
    <t>7230.61万</t>
  </si>
  <si>
    <t>56.28万</t>
  </si>
  <si>
    <t>4851.41万</t>
  </si>
  <si>
    <t>-8986.01万</t>
  </si>
  <si>
    <t>3243.42万</t>
  </si>
  <si>
    <t>8148.49万</t>
  </si>
  <si>
    <t>207.00万</t>
  </si>
  <si>
    <t>915.43万</t>
  </si>
  <si>
    <t>173.94万</t>
  </si>
  <si>
    <t>29.91亿</t>
  </si>
  <si>
    <t>48.42亿</t>
  </si>
  <si>
    <t>8.13亿</t>
  </si>
  <si>
    <t>5.36亿</t>
  </si>
  <si>
    <t>4401.48万</t>
  </si>
  <si>
    <t>554477亿</t>
  </si>
  <si>
    <t>650.30万</t>
  </si>
  <si>
    <t>84542016亿</t>
  </si>
  <si>
    <t>9.46亿</t>
  </si>
  <si>
    <t>314984980亿</t>
  </si>
  <si>
    <t>3060463500亿</t>
  </si>
  <si>
    <t>528.46万</t>
  </si>
  <si>
    <t>8051.92万</t>
  </si>
  <si>
    <t>-878.96万</t>
  </si>
  <si>
    <t>2057.93万</t>
  </si>
  <si>
    <t>42.11亿</t>
  </si>
  <si>
    <t>-1076.39万</t>
  </si>
  <si>
    <t>10派9元(含税)</t>
  </si>
  <si>
    <t>913.57万</t>
  </si>
  <si>
    <t>6661.68万</t>
  </si>
  <si>
    <t>163.81万</t>
  </si>
  <si>
    <t>46.60亿</t>
  </si>
  <si>
    <t>8.79亿</t>
  </si>
  <si>
    <t>77.95亿</t>
  </si>
  <si>
    <t>7.70亿</t>
  </si>
  <si>
    <t>3.81亿</t>
  </si>
  <si>
    <t>6378.58万</t>
  </si>
  <si>
    <t>11874295亿</t>
  </si>
  <si>
    <t>45.24万</t>
  </si>
  <si>
    <t>99188508亿</t>
  </si>
  <si>
    <t>178987060亿</t>
  </si>
  <si>
    <t>3680727800亿</t>
  </si>
  <si>
    <t>6.15亿</t>
  </si>
  <si>
    <t>-1073.04万</t>
  </si>
  <si>
    <t>-3704.88万</t>
  </si>
  <si>
    <t>34.28亿</t>
  </si>
  <si>
    <t>9790.67万</t>
  </si>
  <si>
    <t>10派7.5元(含税)</t>
  </si>
  <si>
    <t>940.55万</t>
  </si>
  <si>
    <t>3251.71万</t>
  </si>
  <si>
    <t>269.98万</t>
  </si>
  <si>
    <t>22.72亿</t>
  </si>
  <si>
    <t>35.10亿</t>
  </si>
  <si>
    <t>11.53亿</t>
  </si>
  <si>
    <t>10.03亿</t>
  </si>
  <si>
    <t>5159.13万</t>
  </si>
  <si>
    <t>149.23万</t>
  </si>
  <si>
    <t>115090309亿</t>
  </si>
  <si>
    <t>369520540亿</t>
  </si>
  <si>
    <t>1994382300亿</t>
  </si>
  <si>
    <t>300.51万</t>
  </si>
  <si>
    <t>5504.01万</t>
  </si>
  <si>
    <t>13.06亿</t>
  </si>
  <si>
    <t>-1035.89万</t>
  </si>
  <si>
    <t>-1.55亿</t>
  </si>
  <si>
    <t>45.45亿</t>
  </si>
  <si>
    <t>2.72亿</t>
  </si>
  <si>
    <t>2.98亿</t>
  </si>
  <si>
    <t>10派2.6元(含税)</t>
  </si>
  <si>
    <t>1694.95万</t>
  </si>
  <si>
    <t>0640000000</t>
  </si>
  <si>
    <t>01920000000</t>
  </si>
  <si>
    <t>03840000000</t>
  </si>
  <si>
    <t>06400000000</t>
  </si>
  <si>
    <t>012800000000</t>
  </si>
  <si>
    <t>131.73万</t>
  </si>
  <si>
    <t>5527.21万</t>
  </si>
  <si>
    <t>7128.48万</t>
  </si>
  <si>
    <t>8018.94万</t>
  </si>
  <si>
    <t>4263.39万</t>
  </si>
  <si>
    <t>1029.37万</t>
  </si>
  <si>
    <t>1373.73万</t>
  </si>
  <si>
    <t>26005亿</t>
  </si>
  <si>
    <t>15.56万</t>
  </si>
  <si>
    <t>-3942599亿</t>
  </si>
  <si>
    <t>616761660亿</t>
  </si>
  <si>
    <t>59.36万</t>
  </si>
  <si>
    <t>625.76万</t>
  </si>
  <si>
    <t>178.54万</t>
  </si>
  <si>
    <t>-17.50万</t>
  </si>
  <si>
    <t>7.72亿</t>
  </si>
  <si>
    <t>13.41亿</t>
  </si>
  <si>
    <t>13.29亿</t>
  </si>
  <si>
    <t>-4.80亿</t>
  </si>
  <si>
    <t>-2.00亿</t>
  </si>
  <si>
    <t>-3.93亿</t>
  </si>
  <si>
    <t>-6.56亿</t>
  </si>
  <si>
    <t>3877.52万</t>
  </si>
  <si>
    <t>940.60万</t>
  </si>
  <si>
    <t>8733.53万</t>
  </si>
  <si>
    <t>315.27万</t>
  </si>
  <si>
    <t>5.49亿</t>
  </si>
  <si>
    <t>1829.34万</t>
  </si>
  <si>
    <t>4231.53万</t>
  </si>
  <si>
    <t>-1264768亿</t>
  </si>
  <si>
    <t>14.32万</t>
  </si>
  <si>
    <t>80069018亿</t>
  </si>
  <si>
    <t>421313500亿</t>
  </si>
  <si>
    <t>1372407600亿</t>
  </si>
  <si>
    <t>7645.55万</t>
  </si>
  <si>
    <t>6.39亿</t>
  </si>
  <si>
    <t>2520.96万</t>
  </si>
  <si>
    <t>9317.17万</t>
  </si>
  <si>
    <t>749.48万</t>
  </si>
  <si>
    <t>8.77亿</t>
  </si>
  <si>
    <t>7619.62万</t>
  </si>
  <si>
    <t>-2659.46万</t>
  </si>
  <si>
    <t>-4539.51万</t>
  </si>
  <si>
    <t>4458.03万</t>
  </si>
  <si>
    <t>-2183.52万</t>
  </si>
  <si>
    <t>1547.49万</t>
  </si>
  <si>
    <t>-6-1</t>
  </si>
  <si>
    <t>99.90万</t>
  </si>
  <si>
    <t>8.84亿</t>
  </si>
  <si>
    <t>38.56亿</t>
  </si>
  <si>
    <t>105.80亿</t>
  </si>
  <si>
    <t>4941.14万</t>
  </si>
  <si>
    <t>641644亿</t>
  </si>
  <si>
    <t>73846243亿</t>
  </si>
  <si>
    <t>26.82亿</t>
  </si>
  <si>
    <t>68715620亿</t>
  </si>
  <si>
    <t>3866964200亿</t>
  </si>
  <si>
    <t>438.44万</t>
  </si>
  <si>
    <t>6086.37万</t>
  </si>
  <si>
    <t>7048.31万</t>
  </si>
  <si>
    <t>2052.25万</t>
  </si>
  <si>
    <t>26.49亿</t>
  </si>
  <si>
    <t>17.35亿</t>
  </si>
  <si>
    <t>10派8元(含税)</t>
  </si>
  <si>
    <t>1561.24万</t>
  </si>
  <si>
    <t>4230.57万</t>
  </si>
  <si>
    <t>*ST天创</t>
  </si>
  <si>
    <t>171.59万</t>
  </si>
  <si>
    <t>8.03亿</t>
  </si>
  <si>
    <t>12.18亿</t>
  </si>
  <si>
    <t>359.70亿</t>
  </si>
  <si>
    <t>-4.57亿</t>
  </si>
  <si>
    <t>2.84亿</t>
  </si>
  <si>
    <t>2584.02万</t>
  </si>
  <si>
    <t>603377亿</t>
  </si>
  <si>
    <t>53.53万</t>
  </si>
  <si>
    <t>-7320231亿</t>
  </si>
  <si>
    <t>111.13万</t>
  </si>
  <si>
    <t>1100102350亿</t>
  </si>
  <si>
    <t>33.96万</t>
  </si>
  <si>
    <t>9413.68万</t>
  </si>
  <si>
    <t>1567.26万</t>
  </si>
  <si>
    <t>-1.44亿</t>
  </si>
  <si>
    <t>-9930.40万</t>
  </si>
  <si>
    <t>-3015.73万</t>
  </si>
  <si>
    <t>1943.46万</t>
  </si>
  <si>
    <t>931.39万</t>
  </si>
  <si>
    <t>49.92万</t>
  </si>
  <si>
    <t>21.96亿</t>
  </si>
  <si>
    <t>-1005.64万</t>
  </si>
  <si>
    <t>3.12亿</t>
  </si>
  <si>
    <t>1319.78万</t>
  </si>
  <si>
    <t>4537.96万</t>
  </si>
  <si>
    <t>-1110982亿</t>
  </si>
  <si>
    <t>-31704054亿</t>
  </si>
  <si>
    <t>114282573亿</t>
  </si>
  <si>
    <t>1068218860亿</t>
  </si>
  <si>
    <t>18.63亿</t>
  </si>
  <si>
    <t>-2835.32万</t>
  </si>
  <si>
    <t>-8489.25万</t>
  </si>
  <si>
    <t>3042.84万</t>
  </si>
  <si>
    <t>15.63亿</t>
  </si>
  <si>
    <t>-2.20亿</t>
  </si>
  <si>
    <t>1136.94万</t>
  </si>
  <si>
    <t>819.27万</t>
  </si>
  <si>
    <t>4654.50万</t>
  </si>
  <si>
    <t>142.33万</t>
  </si>
  <si>
    <t>15.62亿</t>
  </si>
  <si>
    <t>31.11亿</t>
  </si>
  <si>
    <t>6.88亿</t>
  </si>
  <si>
    <t>3.50亿</t>
  </si>
  <si>
    <t>5894.36万</t>
  </si>
  <si>
    <t>6136756亿</t>
  </si>
  <si>
    <t>119.39万</t>
  </si>
  <si>
    <t>29642223亿</t>
  </si>
  <si>
    <t>305287960亿</t>
  </si>
  <si>
    <t>2011797400亿</t>
  </si>
  <si>
    <t>93.24万</t>
  </si>
  <si>
    <t>4647.09万</t>
  </si>
  <si>
    <t>-2264.74万</t>
  </si>
  <si>
    <t>-6502.47万</t>
  </si>
  <si>
    <t>29.15亿</t>
  </si>
  <si>
    <t>4331.69万</t>
  </si>
  <si>
    <t>10派2.4元(含税)</t>
  </si>
  <si>
    <t>870.12万</t>
  </si>
  <si>
    <t>6024.18万</t>
  </si>
  <si>
    <t>0182000000</t>
  </si>
  <si>
    <t>0546000000</t>
  </si>
  <si>
    <t>01092000000</t>
  </si>
  <si>
    <t>01820000000</t>
  </si>
  <si>
    <t>03640000000</t>
  </si>
  <si>
    <t>189.49万</t>
  </si>
  <si>
    <t>20.41亿</t>
  </si>
  <si>
    <t>19.06亿</t>
  </si>
  <si>
    <t>-5.32亿</t>
  </si>
  <si>
    <t>5.17亿</t>
  </si>
  <si>
    <t>5737.97万</t>
  </si>
  <si>
    <t>685630亿</t>
  </si>
  <si>
    <t>43.80万</t>
  </si>
  <si>
    <t>-18881266亿</t>
  </si>
  <si>
    <t>190809730亿</t>
  </si>
  <si>
    <t>1556288900亿</t>
  </si>
  <si>
    <t>431.79万</t>
  </si>
  <si>
    <t>250.72万</t>
  </si>
  <si>
    <t>62.74万</t>
  </si>
  <si>
    <t>21.70亿</t>
  </si>
  <si>
    <t>4676.91万</t>
  </si>
  <si>
    <t>-3185.65万</t>
  </si>
  <si>
    <t>10派1.15元(含税)</t>
  </si>
  <si>
    <t>924.66万</t>
  </si>
  <si>
    <t>1.39亿</t>
  </si>
  <si>
    <t>85.15万</t>
  </si>
  <si>
    <t>35.53亿</t>
  </si>
  <si>
    <t>46.91亿</t>
  </si>
  <si>
    <t>18.06亿</t>
  </si>
  <si>
    <t>35.16亿</t>
  </si>
  <si>
    <t>5468413亿</t>
  </si>
  <si>
    <t>128.35万</t>
  </si>
  <si>
    <t>108160197亿</t>
  </si>
  <si>
    <t>8.41亿</t>
  </si>
  <si>
    <t>430291400亿</t>
  </si>
  <si>
    <t>5136580700亿</t>
  </si>
  <si>
    <t>3716.97万</t>
  </si>
  <si>
    <t>1600.00万</t>
  </si>
  <si>
    <t>6.46亿</t>
  </si>
  <si>
    <t>18.38亿</t>
  </si>
  <si>
    <t>816.89万</t>
  </si>
  <si>
    <t>-6019.77万</t>
  </si>
  <si>
    <t>1.86亿</t>
  </si>
  <si>
    <t>77.92亿</t>
  </si>
  <si>
    <t>8.68亿</t>
  </si>
  <si>
    <t>4.22亿</t>
  </si>
  <si>
    <t>7262.95万</t>
  </si>
  <si>
    <t>10派6.0元(含税)</t>
  </si>
  <si>
    <t>645.35万</t>
  </si>
  <si>
    <t>5124.06万</t>
  </si>
  <si>
    <t>0352000000</t>
  </si>
  <si>
    <t>01056000000</t>
  </si>
  <si>
    <t>02112000000</t>
  </si>
  <si>
    <t>03520000000</t>
  </si>
  <si>
    <t>07040000000</t>
  </si>
  <si>
    <t>SH603900</t>
  </si>
  <si>
    <t>莱绅通灵</t>
  </si>
  <si>
    <t>2079.64万</t>
  </si>
  <si>
    <t>21.06亿</t>
  </si>
  <si>
    <t>31.46亿</t>
  </si>
  <si>
    <t>7106.30万</t>
  </si>
  <si>
    <t>8682.27万</t>
  </si>
  <si>
    <t>2611.64万</t>
  </si>
  <si>
    <t>269531亿</t>
  </si>
  <si>
    <t>74.18万</t>
  </si>
  <si>
    <t>-17363717亿</t>
  </si>
  <si>
    <t>82267594亿</t>
  </si>
  <si>
    <t>2197380000亿</t>
  </si>
  <si>
    <t>1601.73万</t>
  </si>
  <si>
    <t>6779.66万</t>
  </si>
  <si>
    <t>2.77亿</t>
  </si>
  <si>
    <t>368.86万</t>
  </si>
  <si>
    <t>13.24亿</t>
  </si>
  <si>
    <t>13.19亿</t>
  </si>
  <si>
    <t>16.63亿</t>
  </si>
  <si>
    <t>-3825.62万</t>
  </si>
  <si>
    <t>3844.78万</t>
  </si>
  <si>
    <t>7.33亿</t>
  </si>
  <si>
    <t>-7619.81万</t>
  </si>
  <si>
    <t>7431.43万</t>
  </si>
  <si>
    <t>10派1.0元(含税)</t>
  </si>
  <si>
    <t>6.28亿</t>
  </si>
  <si>
    <t>6.00亿</t>
  </si>
  <si>
    <t>39.46亿</t>
  </si>
  <si>
    <t>6592.40万</t>
  </si>
  <si>
    <t>1969.54万</t>
  </si>
  <si>
    <t>2812.14万</t>
  </si>
  <si>
    <t>4337亿</t>
  </si>
  <si>
    <t>6.46万</t>
  </si>
  <si>
    <t>29955819亿</t>
  </si>
  <si>
    <t>238995740亿</t>
  </si>
  <si>
    <t>1078985010亿</t>
  </si>
  <si>
    <t>7914.01万</t>
  </si>
  <si>
    <t>-7541.59万</t>
  </si>
  <si>
    <t>3262.15万</t>
  </si>
  <si>
    <t>8677.94万</t>
  </si>
  <si>
    <t>14.56亿</t>
  </si>
  <si>
    <t>691.53万</t>
  </si>
  <si>
    <t>10转4股派12元(含税)</t>
  </si>
  <si>
    <t>207.52万</t>
  </si>
  <si>
    <t>2037.44万</t>
  </si>
  <si>
    <t>201.53万</t>
  </si>
  <si>
    <t>1.58亿</t>
  </si>
  <si>
    <t>2.27亿</t>
  </si>
  <si>
    <t>20.69亿</t>
  </si>
  <si>
    <t>9399.19万</t>
  </si>
  <si>
    <t>994.77万</t>
  </si>
  <si>
    <t>301499亿</t>
  </si>
  <si>
    <t>3682306亿</t>
  </si>
  <si>
    <t>52602275亿</t>
  </si>
  <si>
    <t>789084370亿</t>
  </si>
  <si>
    <t>7001.27万</t>
  </si>
  <si>
    <t>1607.17万</t>
  </si>
  <si>
    <t>-1.46亿</t>
  </si>
  <si>
    <t>5.77万</t>
  </si>
  <si>
    <t>8.12亿</t>
  </si>
  <si>
    <t>4.78亿</t>
  </si>
  <si>
    <t>-533.08万</t>
  </si>
  <si>
    <t>6962.79万</t>
  </si>
  <si>
    <t>1234.95万</t>
  </si>
  <si>
    <t>8487.75万</t>
  </si>
  <si>
    <t>-10-1</t>
  </si>
  <si>
    <t>34.36万</t>
  </si>
  <si>
    <t>14.23亿</t>
  </si>
  <si>
    <t>16.66亿</t>
  </si>
  <si>
    <t>9209.43万</t>
  </si>
  <si>
    <t>7353.05万</t>
  </si>
  <si>
    <t>407.95万</t>
  </si>
  <si>
    <t>1149.74万</t>
  </si>
  <si>
    <t>-216600亿</t>
  </si>
  <si>
    <t>1.96万</t>
  </si>
  <si>
    <t>21317405亿</t>
  </si>
  <si>
    <t>7.15亿</t>
  </si>
  <si>
    <t>47190440亿</t>
  </si>
  <si>
    <t>870736180亿</t>
  </si>
  <si>
    <t>6398.39万</t>
  </si>
  <si>
    <t>5454.76万</t>
  </si>
  <si>
    <t>2715.54万</t>
  </si>
  <si>
    <t>2193.65万</t>
  </si>
  <si>
    <t>-3483.93万</t>
  </si>
  <si>
    <t>3775.88万</t>
  </si>
  <si>
    <t>259.84万</t>
  </si>
  <si>
    <t>2026.08万</t>
  </si>
  <si>
    <t>154.66万</t>
  </si>
  <si>
    <t>45.48亿</t>
  </si>
  <si>
    <t>27.71亿</t>
  </si>
  <si>
    <t>10.04亿</t>
  </si>
  <si>
    <t>9.95亿</t>
  </si>
  <si>
    <t>8.63亿</t>
  </si>
  <si>
    <t>1988.50万</t>
  </si>
  <si>
    <t>6222.48万</t>
  </si>
  <si>
    <t>5492044亿</t>
  </si>
  <si>
    <t>190.79万</t>
  </si>
  <si>
    <t>6240285亿</t>
  </si>
  <si>
    <t>503086570亿</t>
  </si>
  <si>
    <t>2772.70万</t>
  </si>
  <si>
    <t>2415368500亿</t>
  </si>
  <si>
    <t>19.58亿</t>
  </si>
  <si>
    <t>16.09亿</t>
  </si>
  <si>
    <t>-5364.28万</t>
  </si>
  <si>
    <t>-6640.92万</t>
  </si>
  <si>
    <t>46.51亿</t>
  </si>
  <si>
    <t>2.66亿</t>
  </si>
  <si>
    <t>2938.24万</t>
  </si>
  <si>
    <t>10派0.903元(含税)</t>
  </si>
  <si>
    <t>960.95万</t>
  </si>
  <si>
    <t>0121000000</t>
  </si>
  <si>
    <t>0363000000</t>
  </si>
  <si>
    <t>0726000000</t>
  </si>
  <si>
    <t>01210000000</t>
  </si>
  <si>
    <t>02420000000</t>
  </si>
  <si>
    <t>SH605599</t>
  </si>
  <si>
    <t>菜百股份</t>
  </si>
  <si>
    <t>250.77万</t>
  </si>
  <si>
    <t>25.66亿</t>
  </si>
  <si>
    <t>40.86亿</t>
  </si>
  <si>
    <t>63.16亿</t>
  </si>
  <si>
    <t>18.61亿</t>
  </si>
  <si>
    <t>59.75亿</t>
  </si>
  <si>
    <t>56.84亿</t>
  </si>
  <si>
    <t>3546.49万</t>
  </si>
  <si>
    <t>5911462亿</t>
  </si>
  <si>
    <t>41.02万</t>
  </si>
  <si>
    <t>251748250亿</t>
  </si>
  <si>
    <t>17.93亿</t>
  </si>
  <si>
    <t>244496520亿</t>
  </si>
  <si>
    <t>6453550900亿</t>
  </si>
  <si>
    <t>158.74万</t>
  </si>
  <si>
    <t>-5.39亿</t>
  </si>
  <si>
    <t>-2377.09万</t>
  </si>
  <si>
    <t>109.90亿</t>
  </si>
  <si>
    <t>104.06亿</t>
  </si>
  <si>
    <t>70.68亿</t>
  </si>
  <si>
    <t>83.99亿</t>
  </si>
  <si>
    <t>86.12亿</t>
  </si>
  <si>
    <t>165.52亿</t>
  </si>
  <si>
    <t>7.07亿</t>
  </si>
  <si>
    <t>2680.26万</t>
  </si>
  <si>
    <t>1078.95万</t>
  </si>
  <si>
    <t>8621.42万</t>
  </si>
  <si>
    <t>0240000000</t>
  </si>
  <si>
    <t>0720000000</t>
  </si>
  <si>
    <t>01440000000</t>
  </si>
  <si>
    <t>02400000000</t>
  </si>
  <si>
    <t>04800000000</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</si>
</sst>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1"/>
      <color theme="1"/>
      <name val="宋体"/>
      <family val="2"/>
      <charset val="134"/>
      <scheme val="minor"/>
    </font>
    <font>
      <sz val="9"/>
      <name val="宋体"/>
      <family val="2"/>
      <charset val="134"/>
      <scheme val="minor"/>
    </font>
    <font>
      <sz val="11"/>
      <color indexed="8"/>
      <name val="Calibri"/>
      <family val="2"/>
    </font>
    <font>
      <sz val="9"/>
      <color theme="1"/>
      <name val="宋体"/>
      <family val="3"/>
      <charset val="134"/>
      <scheme val="minor"/>
    </font>
    <font>
      <sz val="9"/>
      <color rgb="FFFF0000"/>
      <name val="宋体"/>
      <family val="3"/>
      <charset val="134"/>
      <scheme val="minor"/>
    </font>
    <font>
      <sz val="11"/>
      <name val="宋体"/>
      <family val="2"/>
      <charset val="134"/>
      <scheme val="minor"/>
    </font>
    <font>
      <sz val="11"/>
      <color rgb="FFFF0000"/>
      <name val="宋体"/>
      <family val="2"/>
      <charset val="134"/>
      <scheme val="minor"/>
    </font>
    <font>
      <sz val="11"/>
      <color rgb="FF000000"/>
      <name val="宋体"/>
      <family val="3"/>
      <charset val="134"/>
    </font>
    <font>
      <b/>
      <sz val="9"/>
      <color rgb="FFFF0000"/>
      <name val="宋体"/>
      <family val="3"/>
      <charset val="134"/>
      <scheme val="minor"/>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2" fillId="0" borderId="0" applyFill="0" applyProtection="0"/>
  </cellStyleXfs>
  <cellXfs count="15">
    <xf numFmtId="0" fontId="0" fillId="0" borderId="0" xfId="0">
      <alignment vertical="center"/>
    </xf>
    <xf numFmtId="0" fontId="0" fillId="0" borderId="0" xfId="0" applyFill="1">
      <alignment vertical="center"/>
    </xf>
    <xf numFmtId="0" fontId="0" fillId="2" borderId="0" xfId="0" applyFill="1">
      <alignment vertical="center"/>
    </xf>
    <xf numFmtId="10" fontId="0" fillId="0" borderId="0" xfId="0" applyNumberFormat="1">
      <alignment vertical="center"/>
    </xf>
    <xf numFmtId="0" fontId="0" fillId="0" borderId="1" xfId="0" applyNumberFormat="1" applyFill="1" applyBorder="1" applyAlignment="1">
      <alignment vertical="center" wrapText="1"/>
    </xf>
    <xf numFmtId="0" fontId="3" fillId="0" borderId="0" xfId="0" applyFont="1" applyAlignment="1">
      <alignment vertical="center" wrapText="1"/>
    </xf>
    <xf numFmtId="0" fontId="0" fillId="3" borderId="1" xfId="0" applyNumberFormat="1" applyFill="1" applyBorder="1" applyAlignment="1">
      <alignment vertical="center" wrapText="1"/>
    </xf>
    <xf numFmtId="9" fontId="0" fillId="0" borderId="0" xfId="0" applyNumberFormat="1">
      <alignment vertical="center"/>
    </xf>
    <xf numFmtId="0" fontId="0" fillId="4" borderId="0" xfId="0" applyFill="1">
      <alignment vertical="center"/>
    </xf>
    <xf numFmtId="0" fontId="0" fillId="5" borderId="0" xfId="0" applyFill="1">
      <alignment vertical="center"/>
    </xf>
    <xf numFmtId="0" fontId="5" fillId="0" borderId="0" xfId="0" applyFont="1">
      <alignment vertical="center"/>
    </xf>
    <xf numFmtId="0" fontId="5" fillId="0" borderId="0" xfId="0" applyFont="1" applyFill="1">
      <alignment vertical="center"/>
    </xf>
    <xf numFmtId="14" fontId="0" fillId="0" borderId="0" xfId="0" applyNumberFormat="1">
      <alignment vertical="center"/>
    </xf>
    <xf numFmtId="0" fontId="6" fillId="0" borderId="0" xfId="0" applyFont="1">
      <alignment vertical="center"/>
    </xf>
    <xf numFmtId="0" fontId="0" fillId="0" borderId="0" xfId="0" applyNumberFormat="1">
      <alignment vertical="center"/>
    </xf>
  </cellXfs>
  <cellStyles count="2">
    <cellStyle name="常规" xfId="0" builtinId="0"/>
    <cellStyle name="常规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304800</xdr:colOff>
          <xdr:row>0</xdr:row>
          <xdr:rowOff>76200</xdr:rowOff>
        </xdr:from>
        <xdr:to>
          <xdr:col>147</xdr:col>
          <xdr:colOff>1314450</xdr:colOff>
          <xdr:row>0</xdr:row>
          <xdr:rowOff>387350</xdr:rowOff>
        </xdr:to>
        <xdr:sp macro="" textlink="">
          <xdr:nvSpPr>
            <xdr:cNvPr id="2049" name="Button 1" descr="更新基本面按钮&#10;"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74"/>
  <sheetViews>
    <sheetView tabSelected="1" zoomScale="85" zoomScaleNormal="85" workbookViewId="0">
      <pane xSplit="5" ySplit="1" topLeftCell="F68" activePane="bottomRight" state="frozen"/>
      <selection pane="topRight" activeCell="F1" sqref="F1"/>
      <selection pane="bottomLeft" activeCell="A2" sqref="A2"/>
      <selection pane="bottomRight" activeCell="C4" sqref="C2:C4"/>
    </sheetView>
  </sheetViews>
  <sheetFormatPr defaultRowHeight="14" x14ac:dyDescent="0.25"/>
  <cols>
    <col min="1" max="1" width="40.1796875" style="5" customWidth="1"/>
    <col min="2" max="2" width="40.90625" style="5" customWidth="1"/>
    <col min="3" max="3" width="47.54296875" style="5" customWidth="1"/>
    <col min="148" max="148" width="23.36328125" customWidth="1"/>
  </cols>
  <sheetData>
    <row r="1" spans="1:146" ht="36.5" customHeight="1" x14ac:dyDescent="0.25">
      <c r="A1" s="4" t="s">
        <v>210</v>
      </c>
      <c r="B1" s="6" t="s">
        <v>211</v>
      </c>
      <c r="C1" s="4" t="s">
        <v>212</v>
      </c>
      <c r="D1" t="s">
        <v>40</v>
      </c>
      <c r="E1" t="s">
        <v>637</v>
      </c>
      <c r="F1" t="s">
        <v>3</v>
      </c>
      <c r="G1" t="s">
        <v>546</v>
      </c>
      <c r="H1" t="s">
        <v>707</v>
      </c>
      <c r="I1" t="s">
        <v>41</v>
      </c>
      <c r="J1" t="s">
        <v>42</v>
      </c>
      <c r="K1" t="s">
        <v>4</v>
      </c>
      <c r="L1" t="s">
        <v>43</v>
      </c>
      <c r="M1" t="s">
        <v>44</v>
      </c>
      <c r="N1" t="s">
        <v>45</v>
      </c>
      <c r="O1" t="s">
        <v>46</v>
      </c>
      <c r="P1" t="s">
        <v>708</v>
      </c>
      <c r="Q1" t="s">
        <v>709</v>
      </c>
      <c r="R1" t="s">
        <v>638</v>
      </c>
      <c r="S1" t="s">
        <v>47</v>
      </c>
      <c r="T1" t="s">
        <v>710</v>
      </c>
      <c r="U1" t="s">
        <v>547</v>
      </c>
      <c r="V1" t="s">
        <v>48</v>
      </c>
      <c r="W1" t="s">
        <v>711</v>
      </c>
      <c r="X1" t="s">
        <v>712</v>
      </c>
      <c r="Y1" t="s">
        <v>713</v>
      </c>
      <c r="Z1" t="s">
        <v>714</v>
      </c>
      <c r="AA1" t="s">
        <v>715</v>
      </c>
      <c r="AB1" t="s">
        <v>716</v>
      </c>
      <c r="AC1" t="s">
        <v>717</v>
      </c>
      <c r="AD1" t="s">
        <v>718</v>
      </c>
      <c r="AE1" t="s">
        <v>49</v>
      </c>
      <c r="AF1" t="s">
        <v>50</v>
      </c>
      <c r="AG1" t="s">
        <v>719</v>
      </c>
      <c r="AH1" t="s">
        <v>720</v>
      </c>
      <c r="AI1" t="s">
        <v>721</v>
      </c>
      <c r="AJ1" t="s">
        <v>51</v>
      </c>
      <c r="AK1" t="s">
        <v>722</v>
      </c>
      <c r="AL1" t="s">
        <v>266</v>
      </c>
      <c r="AM1" t="s">
        <v>723</v>
      </c>
      <c r="AN1" t="s">
        <v>724</v>
      </c>
      <c r="AO1" t="s">
        <v>725</v>
      </c>
      <c r="AP1" t="s">
        <v>726</v>
      </c>
      <c r="AQ1" t="s">
        <v>727</v>
      </c>
      <c r="AR1" t="s">
        <v>728</v>
      </c>
      <c r="AS1" t="s">
        <v>729</v>
      </c>
      <c r="AT1" t="s">
        <v>730</v>
      </c>
      <c r="AU1" t="s">
        <v>731</v>
      </c>
      <c r="AV1" t="s">
        <v>732</v>
      </c>
      <c r="AW1" t="s">
        <v>733</v>
      </c>
      <c r="AX1" t="s">
        <v>734</v>
      </c>
      <c r="AY1" t="s">
        <v>735</v>
      </c>
      <c r="AZ1" t="s">
        <v>267</v>
      </c>
      <c r="BA1" t="s">
        <v>268</v>
      </c>
      <c r="BB1" t="s">
        <v>269</v>
      </c>
      <c r="BC1" t="s">
        <v>639</v>
      </c>
      <c r="BD1" t="s">
        <v>548</v>
      </c>
      <c r="BE1" t="s">
        <v>270</v>
      </c>
      <c r="BF1" t="s">
        <v>271</v>
      </c>
      <c r="BG1" t="s">
        <v>272</v>
      </c>
      <c r="BH1" t="s">
        <v>736</v>
      </c>
      <c r="BI1" t="s">
        <v>737</v>
      </c>
      <c r="BJ1" t="s">
        <v>738</v>
      </c>
      <c r="BK1" t="s">
        <v>739</v>
      </c>
      <c r="BL1" t="s">
        <v>740</v>
      </c>
      <c r="BM1" t="s">
        <v>741</v>
      </c>
      <c r="BN1" t="s">
        <v>742</v>
      </c>
      <c r="BO1" t="s">
        <v>640</v>
      </c>
      <c r="BP1" t="s">
        <v>549</v>
      </c>
      <c r="BQ1" t="s">
        <v>743</v>
      </c>
      <c r="BR1" t="s">
        <v>641</v>
      </c>
      <c r="BS1" t="s">
        <v>550</v>
      </c>
      <c r="BT1" t="s">
        <v>744</v>
      </c>
      <c r="BU1" t="s">
        <v>642</v>
      </c>
      <c r="BV1" t="s">
        <v>745</v>
      </c>
      <c r="BW1" t="s">
        <v>746</v>
      </c>
      <c r="BX1" t="s">
        <v>508</v>
      </c>
      <c r="BY1" t="s">
        <v>747</v>
      </c>
      <c r="BZ1" t="s">
        <v>748</v>
      </c>
      <c r="CA1" t="s">
        <v>509</v>
      </c>
      <c r="CB1" t="s">
        <v>749</v>
      </c>
      <c r="CC1" t="s">
        <v>750</v>
      </c>
      <c r="CD1" t="s">
        <v>751</v>
      </c>
      <c r="CE1" t="s">
        <v>752</v>
      </c>
      <c r="CF1" s="1" t="s">
        <v>643</v>
      </c>
      <c r="CG1" s="1" t="s">
        <v>644</v>
      </c>
      <c r="CH1" s="1" t="s">
        <v>495</v>
      </c>
      <c r="CI1" s="1" t="s">
        <v>496</v>
      </c>
      <c r="CJ1" s="1" t="s">
        <v>497</v>
      </c>
      <c r="CK1" s="1" t="s">
        <v>498</v>
      </c>
      <c r="CL1" s="1" t="s">
        <v>499</v>
      </c>
      <c r="CM1" s="1" t="s">
        <v>500</v>
      </c>
      <c r="CN1" s="1" t="s">
        <v>501</v>
      </c>
      <c r="CO1" s="1" t="s">
        <v>502</v>
      </c>
      <c r="CP1" s="1" t="s">
        <v>503</v>
      </c>
      <c r="CQ1" s="1" t="s">
        <v>504</v>
      </c>
      <c r="CR1" s="1" t="s">
        <v>753</v>
      </c>
      <c r="CS1" s="1" t="s">
        <v>754</v>
      </c>
      <c r="CT1" s="1" t="s">
        <v>755</v>
      </c>
      <c r="CU1" s="1" t="s">
        <v>756</v>
      </c>
      <c r="CV1" s="1" t="s">
        <v>757</v>
      </c>
      <c r="CW1" s="1" t="s">
        <v>758</v>
      </c>
      <c r="CX1">
        <v>1</v>
      </c>
      <c r="CY1" t="s">
        <v>759</v>
      </c>
      <c r="CZ1" t="s">
        <v>760</v>
      </c>
      <c r="DA1">
        <v>3</v>
      </c>
      <c r="DB1" t="s">
        <v>761</v>
      </c>
      <c r="DC1" t="s">
        <v>762</v>
      </c>
      <c r="DD1">
        <v>6</v>
      </c>
      <c r="DE1" t="s">
        <v>763</v>
      </c>
      <c r="DF1" t="s">
        <v>764</v>
      </c>
      <c r="DG1">
        <v>10</v>
      </c>
      <c r="DH1" t="s">
        <v>765</v>
      </c>
      <c r="DI1" t="s">
        <v>766</v>
      </c>
      <c r="DJ1">
        <v>20</v>
      </c>
      <c r="DK1" t="s">
        <v>767</v>
      </c>
      <c r="DL1" t="s">
        <v>505</v>
      </c>
      <c r="DM1" t="s">
        <v>506</v>
      </c>
      <c r="DN1" s="2" t="s">
        <v>507</v>
      </c>
      <c r="DO1" t="s">
        <v>768</v>
      </c>
      <c r="DP1" t="s">
        <v>769</v>
      </c>
      <c r="DQ1" s="11" t="s">
        <v>770</v>
      </c>
      <c r="DR1" s="1" t="s">
        <v>771</v>
      </c>
      <c r="DS1" s="1" t="s">
        <v>772</v>
      </c>
      <c r="DT1" t="s">
        <v>773</v>
      </c>
      <c r="DU1" t="s">
        <v>774</v>
      </c>
      <c r="DV1" t="s">
        <v>775</v>
      </c>
      <c r="DW1" t="s">
        <v>776</v>
      </c>
      <c r="DX1" t="s">
        <v>777</v>
      </c>
      <c r="DY1" t="s">
        <v>778</v>
      </c>
      <c r="DZ1" t="s">
        <v>779</v>
      </c>
      <c r="EA1" t="s">
        <v>780</v>
      </c>
      <c r="EB1" t="s">
        <v>781</v>
      </c>
      <c r="EC1" t="s">
        <v>782</v>
      </c>
      <c r="ED1" t="s">
        <v>783</v>
      </c>
      <c r="EE1" t="s">
        <v>784</v>
      </c>
      <c r="EF1" t="s">
        <v>785</v>
      </c>
      <c r="EG1" t="s">
        <v>786</v>
      </c>
      <c r="EH1" t="s">
        <v>645</v>
      </c>
      <c r="EI1" t="s">
        <v>787</v>
      </c>
      <c r="EK1" s="12" t="s">
        <v>788</v>
      </c>
      <c r="EL1" t="s">
        <v>789</v>
      </c>
      <c r="EM1" t="s">
        <v>790</v>
      </c>
      <c r="EN1" t="s">
        <v>791</v>
      </c>
      <c r="EO1" t="s">
        <v>792</v>
      </c>
      <c r="EP1" t="s">
        <v>793</v>
      </c>
    </row>
    <row r="2" spans="1:146" ht="96" x14ac:dyDescent="0.25">
      <c r="A2"/>
      <c r="B2"/>
      <c r="C2" s="5" t="str">
        <f>""&amp;CHAR(10)&amp;Basic_Fundamental_Information_Constructure(F2)&amp;CHAR(10)&amp;Basic_Fundamental_Information_Concatenate("")</f>
        <v xml:space="preserve">
市值43.625406亿, 利润1790.19万; PE238.8; 平均PE7918.22; 平均PEG154.81, PB13.98; ROIC2.06%; ROE-10.86%; 股利率0%; 毛利6.8033%; 净利.13%; 上一年度营收增27.64%, 利润增335.04%; 当季营收增-25.66%, 利润增12.89%; 过往5年营收增51.15%, 利润增-59.91%
Income profile:
</v>
      </c>
      <c r="D2" t="s">
        <v>1006</v>
      </c>
      <c r="E2" t="s">
        <v>1007</v>
      </c>
      <c r="F2">
        <v>6.33</v>
      </c>
      <c r="G2">
        <v>10.09</v>
      </c>
      <c r="H2" t="s">
        <v>1008</v>
      </c>
      <c r="I2">
        <v>4362540600</v>
      </c>
      <c r="J2">
        <v>238.8</v>
      </c>
      <c r="K2">
        <v>13.98</v>
      </c>
      <c r="L2" t="s">
        <v>53</v>
      </c>
      <c r="M2" t="s">
        <v>1009</v>
      </c>
      <c r="N2" t="s">
        <v>340</v>
      </c>
      <c r="O2" t="s">
        <v>123</v>
      </c>
      <c r="P2" s="3">
        <v>-25.72</v>
      </c>
      <c r="Q2" t="s">
        <v>1010</v>
      </c>
      <c r="R2">
        <v>3215826</v>
      </c>
      <c r="S2">
        <v>0.12889999999999999</v>
      </c>
      <c r="T2" t="s">
        <v>1011</v>
      </c>
      <c r="U2">
        <v>302984970</v>
      </c>
      <c r="V2">
        <v>689184930</v>
      </c>
      <c r="W2">
        <v>1.1399999999999999</v>
      </c>
      <c r="X2">
        <v>0.31</v>
      </c>
      <c r="Y2">
        <v>2.82</v>
      </c>
      <c r="Z2" t="s">
        <v>159</v>
      </c>
      <c r="AA2" t="s">
        <v>203</v>
      </c>
      <c r="AB2" t="s">
        <v>1012</v>
      </c>
      <c r="AC2" t="s">
        <v>1013</v>
      </c>
      <c r="AD2" t="s">
        <v>54</v>
      </c>
      <c r="AE2">
        <v>-9958</v>
      </c>
      <c r="AF2" t="s">
        <v>97</v>
      </c>
      <c r="AG2" t="s">
        <v>1014</v>
      </c>
      <c r="AH2" t="s">
        <v>1015</v>
      </c>
      <c r="AI2" t="s">
        <v>1016</v>
      </c>
      <c r="AJ2" t="s">
        <v>1017</v>
      </c>
      <c r="AK2" t="s">
        <v>54</v>
      </c>
      <c r="AL2" t="s">
        <v>1018</v>
      </c>
      <c r="AM2" t="s">
        <v>54</v>
      </c>
      <c r="AN2">
        <v>0</v>
      </c>
      <c r="AO2" t="s">
        <v>54</v>
      </c>
      <c r="AP2" t="s">
        <v>54</v>
      </c>
      <c r="AQ2" t="s">
        <v>1019</v>
      </c>
      <c r="AR2" t="s">
        <v>54</v>
      </c>
      <c r="AS2" t="s">
        <v>1020</v>
      </c>
      <c r="AT2" t="s">
        <v>54</v>
      </c>
      <c r="AU2" t="s">
        <v>1021</v>
      </c>
      <c r="AV2" t="s">
        <v>54</v>
      </c>
      <c r="AW2" t="s">
        <v>54</v>
      </c>
      <c r="AX2" t="s">
        <v>468</v>
      </c>
      <c r="AY2" t="s">
        <v>1022</v>
      </c>
      <c r="AZ2" t="s">
        <v>226</v>
      </c>
      <c r="BA2" t="s">
        <v>1023</v>
      </c>
      <c r="BB2" t="s">
        <v>342</v>
      </c>
      <c r="BC2" t="s">
        <v>1024</v>
      </c>
      <c r="BD2" t="s">
        <v>1025</v>
      </c>
      <c r="BE2" t="s">
        <v>1026</v>
      </c>
      <c r="BF2" t="s">
        <v>1027</v>
      </c>
      <c r="BG2" t="s">
        <v>1028</v>
      </c>
      <c r="BH2" t="s">
        <v>1010</v>
      </c>
      <c r="BI2" t="s">
        <v>469</v>
      </c>
      <c r="BJ2" t="s">
        <v>468</v>
      </c>
      <c r="BK2" t="s">
        <v>1011</v>
      </c>
      <c r="BL2" t="s">
        <v>1029</v>
      </c>
      <c r="BM2" t="s">
        <v>1024</v>
      </c>
      <c r="BN2">
        <v>2.06</v>
      </c>
      <c r="BO2" t="s">
        <v>54</v>
      </c>
      <c r="BP2" t="s">
        <v>54</v>
      </c>
      <c r="BQ2">
        <v>1.76</v>
      </c>
      <c r="BR2">
        <v>-14.3</v>
      </c>
      <c r="BS2">
        <v>-20.04</v>
      </c>
      <c r="BT2" t="s">
        <v>700</v>
      </c>
      <c r="BU2" t="s">
        <v>1030</v>
      </c>
      <c r="BV2">
        <v>6.49</v>
      </c>
      <c r="BW2">
        <v>6.27</v>
      </c>
      <c r="BX2">
        <v>7.65</v>
      </c>
      <c r="BY2">
        <v>3.17</v>
      </c>
      <c r="BZ2">
        <v>-1.79</v>
      </c>
      <c r="CA2">
        <v>-0.99</v>
      </c>
      <c r="CB2">
        <v>6.39</v>
      </c>
      <c r="CC2" s="8">
        <v>-7.99</v>
      </c>
      <c r="CD2" s="9" t="s">
        <v>1031</v>
      </c>
      <c r="CE2" s="8" t="s">
        <v>1032</v>
      </c>
      <c r="CF2" s="8">
        <v>-0.25657894736842113</v>
      </c>
      <c r="CG2" s="8">
        <v>0.12887492540457052</v>
      </c>
      <c r="CH2" s="8">
        <v>0.27640450000762939</v>
      </c>
      <c r="CI2" s="8">
        <v>1.696969747543335</v>
      </c>
      <c r="CJ2" s="9">
        <v>0.39830508828163147</v>
      </c>
      <c r="CK2" s="9">
        <v>0.55216789245605469</v>
      </c>
      <c r="CL2" s="9">
        <v>-0.36647745966911316</v>
      </c>
      <c r="CM2" s="9">
        <v>3.3504412174224854</v>
      </c>
      <c r="CN2" s="9">
        <v>-2.8336939811706543</v>
      </c>
      <c r="CO2">
        <v>-1.524776816368103</v>
      </c>
      <c r="CP2">
        <v>1.526763916015625</v>
      </c>
      <c r="CQ2">
        <v>-3.5143845081329346</v>
      </c>
      <c r="CR2" s="8">
        <v>7918.215083038388</v>
      </c>
      <c r="CS2" s="9">
        <v>154.81169716244483</v>
      </c>
      <c r="CT2">
        <v>0</v>
      </c>
      <c r="CU2">
        <v>0.51147395372390747</v>
      </c>
      <c r="CV2">
        <v>-0.59913003444671631</v>
      </c>
      <c r="CW2">
        <v>0.06</v>
      </c>
      <c r="CX2">
        <v>161.00098923156949</v>
      </c>
      <c r="CY2">
        <v>25526656.200160392</v>
      </c>
      <c r="CZ2">
        <v>0.51147395372390747</v>
      </c>
      <c r="DA2">
        <v>37.503751825970035</v>
      </c>
      <c r="DB2">
        <v>109584153.58204497</v>
      </c>
      <c r="DC2">
        <v>0.48590025603771209</v>
      </c>
      <c r="DD2">
        <v>11.118466747905645</v>
      </c>
      <c r="DE2">
        <v>369638817.40026385</v>
      </c>
      <c r="DF2">
        <v>0.45009707927703857</v>
      </c>
      <c r="DG2">
        <v>3.5022660801922698</v>
      </c>
      <c r="DH2">
        <v>1173473632.7556176</v>
      </c>
      <c r="DI2">
        <v>0.40917916297912599</v>
      </c>
      <c r="DJ2">
        <v>0.35749123411528239</v>
      </c>
      <c r="DK2">
        <v>11496273216.799162</v>
      </c>
      <c r="DL2">
        <v>0.35803176760673522</v>
      </c>
      <c r="DM2">
        <v>17901900</v>
      </c>
      <c r="DN2">
        <v>0.51147395372390747</v>
      </c>
      <c r="DO2">
        <v>4109816900</v>
      </c>
      <c r="DP2">
        <v>304314430</v>
      </c>
      <c r="DQ2" s="10">
        <v>13</v>
      </c>
      <c r="DR2">
        <v>-0.7680529010923286</v>
      </c>
      <c r="DS2">
        <v>0.72800495985128677</v>
      </c>
      <c r="DT2">
        <v>0.17666666666666667</v>
      </c>
      <c r="DU2">
        <v>-1.7033333333333334</v>
      </c>
      <c r="DV2">
        <v>-1.5266666666666666</v>
      </c>
      <c r="DW2">
        <v>7.4443671766342145</v>
      </c>
      <c r="DX2">
        <v>0.65302410501193009</v>
      </c>
      <c r="DY2">
        <v>7.0679988895011299</v>
      </c>
      <c r="DZ2">
        <v>4039</v>
      </c>
      <c r="EA2">
        <v>7.014251822046127</v>
      </c>
      <c r="EB2" s="13">
        <v>7</v>
      </c>
      <c r="EC2" s="13">
        <v>9.3033229847321236E-2</v>
      </c>
      <c r="ED2">
        <v>0.60796454153459223</v>
      </c>
      <c r="EE2">
        <v>6.0214999999999996</v>
      </c>
      <c r="EF2">
        <v>6.0129099999999998</v>
      </c>
      <c r="EG2">
        <v>50.15302410501193</v>
      </c>
      <c r="EH2" s="12" t="s">
        <v>974</v>
      </c>
      <c r="EI2">
        <v>1</v>
      </c>
      <c r="EJ2">
        <v>0</v>
      </c>
      <c r="EK2">
        <v>45470</v>
      </c>
      <c r="EL2">
        <v>1.3</v>
      </c>
      <c r="EM2">
        <v>-4.97</v>
      </c>
      <c r="EN2" s="14">
        <v>1.52</v>
      </c>
      <c r="EO2" s="14">
        <v>1.5</v>
      </c>
      <c r="EP2" s="14">
        <v>-3.44</v>
      </c>
    </row>
    <row r="3" spans="1:146" ht="96" x14ac:dyDescent="0.25">
      <c r="A3"/>
      <c r="B3"/>
      <c r="C3" s="5" t="str">
        <f>""&amp;CHAR(10)&amp;Basic_Fundamental_Information_Constructure(F3)&amp;CHAR(10)&amp;Basic_Fundamental_Information_Concatenate("")</f>
        <v xml:space="preserve">
市值36.039852亿, 利润3.33亿; PE11.8; 平均PE12.86; 平均PEG1.83, PB1.08; ROIC9.3%; ROE10.0967%; 股利率4.5045%; 毛利36.95%; 净利6.9367%; 上一年度营收增4.96%, 利润增24.72%; 当季营收增-11.25%, 利润增-26.7%; 过往5年营收增7.01%, 利润增15.8%
Income profile:
</v>
      </c>
      <c r="D3" t="s">
        <v>1033</v>
      </c>
      <c r="E3" t="s">
        <v>1034</v>
      </c>
      <c r="F3">
        <v>8.8800000000000008</v>
      </c>
      <c r="G3">
        <v>0.91</v>
      </c>
      <c r="H3" t="s">
        <v>1035</v>
      </c>
      <c r="I3">
        <v>3603985200</v>
      </c>
      <c r="J3">
        <v>11.8</v>
      </c>
      <c r="K3">
        <v>1.08</v>
      </c>
      <c r="L3" t="s">
        <v>53</v>
      </c>
      <c r="M3" t="s">
        <v>1036</v>
      </c>
      <c r="N3" t="s">
        <v>1037</v>
      </c>
      <c r="O3" t="s">
        <v>1038</v>
      </c>
      <c r="P3" s="3">
        <v>-11.24</v>
      </c>
      <c r="Q3" t="s">
        <v>1039</v>
      </c>
      <c r="R3">
        <v>75499096</v>
      </c>
      <c r="S3">
        <v>-0.26829999999999998</v>
      </c>
      <c r="T3" t="s">
        <v>890</v>
      </c>
      <c r="U3">
        <v>362707350</v>
      </c>
      <c r="V3">
        <v>405854190</v>
      </c>
      <c r="W3">
        <v>1.22</v>
      </c>
      <c r="X3">
        <v>0.26</v>
      </c>
      <c r="Y3">
        <v>7.09</v>
      </c>
      <c r="Z3" t="s">
        <v>1040</v>
      </c>
      <c r="AA3" t="s">
        <v>1041</v>
      </c>
      <c r="AB3" t="s">
        <v>429</v>
      </c>
      <c r="AC3" t="s">
        <v>1042</v>
      </c>
      <c r="AD3" t="s">
        <v>54</v>
      </c>
      <c r="AE3">
        <v>4427338</v>
      </c>
      <c r="AF3" t="s">
        <v>97</v>
      </c>
      <c r="AG3" t="s">
        <v>1043</v>
      </c>
      <c r="AH3" t="s">
        <v>1044</v>
      </c>
      <c r="AI3" t="s">
        <v>1045</v>
      </c>
      <c r="AJ3" t="s">
        <v>1046</v>
      </c>
      <c r="AK3" t="s">
        <v>1047</v>
      </c>
      <c r="AL3" t="s">
        <v>1048</v>
      </c>
      <c r="AM3" t="s">
        <v>54</v>
      </c>
      <c r="AN3">
        <v>0</v>
      </c>
      <c r="AO3" t="s">
        <v>516</v>
      </c>
      <c r="AP3" t="s">
        <v>54</v>
      </c>
      <c r="AQ3" t="s">
        <v>263</v>
      </c>
      <c r="AR3" t="s">
        <v>1049</v>
      </c>
      <c r="AS3" t="s">
        <v>1050</v>
      </c>
      <c r="AT3" t="s">
        <v>54</v>
      </c>
      <c r="AU3" t="s">
        <v>1051</v>
      </c>
      <c r="AV3" t="s">
        <v>1052</v>
      </c>
      <c r="AW3" t="s">
        <v>1053</v>
      </c>
      <c r="AX3" t="s">
        <v>1054</v>
      </c>
      <c r="AY3" t="s">
        <v>1055</v>
      </c>
      <c r="AZ3" t="s">
        <v>1056</v>
      </c>
      <c r="BA3" t="s">
        <v>1057</v>
      </c>
      <c r="BB3" t="s">
        <v>1058</v>
      </c>
      <c r="BC3" t="s">
        <v>1059</v>
      </c>
      <c r="BD3" t="s">
        <v>402</v>
      </c>
      <c r="BE3" t="s">
        <v>1060</v>
      </c>
      <c r="BF3" t="s">
        <v>917</v>
      </c>
      <c r="BG3" t="s">
        <v>301</v>
      </c>
      <c r="BH3" t="s">
        <v>1039</v>
      </c>
      <c r="BI3" t="s">
        <v>1061</v>
      </c>
      <c r="BJ3" t="s">
        <v>1054</v>
      </c>
      <c r="BK3" t="s">
        <v>890</v>
      </c>
      <c r="BL3" t="s">
        <v>227</v>
      </c>
      <c r="BM3" t="s">
        <v>1059</v>
      </c>
      <c r="BN3">
        <v>7.82</v>
      </c>
      <c r="BO3">
        <v>8.07</v>
      </c>
      <c r="BP3">
        <v>12.01</v>
      </c>
      <c r="BQ3">
        <v>8.2200000000000006</v>
      </c>
      <c r="BR3">
        <v>8.68</v>
      </c>
      <c r="BS3">
        <v>13.39</v>
      </c>
      <c r="BT3" t="s">
        <v>797</v>
      </c>
      <c r="BU3" t="s">
        <v>1030</v>
      </c>
      <c r="BV3">
        <v>36.42</v>
      </c>
      <c r="BW3">
        <v>37.090000000000003</v>
      </c>
      <c r="BX3">
        <v>37.340000000000003</v>
      </c>
      <c r="BY3">
        <v>7.29</v>
      </c>
      <c r="BZ3">
        <v>6.12</v>
      </c>
      <c r="CA3">
        <v>7.4</v>
      </c>
      <c r="CB3">
        <v>0.79</v>
      </c>
      <c r="CC3" s="8">
        <v>-7.02</v>
      </c>
      <c r="CD3" s="9" t="s">
        <v>1062</v>
      </c>
      <c r="CE3" s="8" t="s">
        <v>1063</v>
      </c>
      <c r="CF3" s="8">
        <v>-0.1125</v>
      </c>
      <c r="CG3" s="8">
        <v>-0.26699906796116507</v>
      </c>
      <c r="CH3" s="8">
        <v>4.9609556794166565E-2</v>
      </c>
      <c r="CI3" s="8">
        <v>-0.16971783339977264</v>
      </c>
      <c r="CJ3" s="9">
        <v>0.23591803014278412</v>
      </c>
      <c r="CK3" s="9">
        <v>0.14551837742328644</v>
      </c>
      <c r="CL3" s="9">
        <v>8.9411765336990356E-2</v>
      </c>
      <c r="CM3" s="9">
        <v>0.24719101190567017</v>
      </c>
      <c r="CN3" s="9">
        <v>-0.31185567378997803</v>
      </c>
      <c r="CO3">
        <v>0.31972789764404297</v>
      </c>
      <c r="CP3">
        <v>0.3611111044883728</v>
      </c>
      <c r="CQ3">
        <v>0.17391304671764374</v>
      </c>
      <c r="CR3" s="8">
        <v>12.856070868014269</v>
      </c>
      <c r="CS3" s="9">
        <v>1.8327072288792772</v>
      </c>
      <c r="CT3">
        <v>4.5045045045045038</v>
      </c>
      <c r="CU3">
        <v>7.014797925949097E-2</v>
      </c>
      <c r="CV3">
        <v>0.15801747739315034</v>
      </c>
      <c r="CW3">
        <v>0.06</v>
      </c>
      <c r="CX3">
        <v>3.1826989920139006</v>
      </c>
      <c r="CY3">
        <v>336187997.25793445</v>
      </c>
      <c r="CZ3">
        <v>7.014797925949097E-2</v>
      </c>
      <c r="DA3">
        <v>1.0577478762667911</v>
      </c>
      <c r="DB3">
        <v>1011569225.5288655</v>
      </c>
      <c r="DC3">
        <v>6.6640580296516413E-2</v>
      </c>
      <c r="DD3">
        <v>0.53247779511028015</v>
      </c>
      <c r="DE3">
        <v>2009445670.4591746</v>
      </c>
      <c r="DF3">
        <v>6.1730221748352056E-2</v>
      </c>
      <c r="DG3">
        <v>0.32784787484858346</v>
      </c>
      <c r="DH3">
        <v>3263663674.7887192</v>
      </c>
      <c r="DI3">
        <v>5.611838340759278E-2</v>
      </c>
      <c r="DJ3">
        <v>0.17875229476285717</v>
      </c>
      <c r="DK3">
        <v>5985854343.4057865</v>
      </c>
      <c r="DL3">
        <v>4.9103585481643675E-2</v>
      </c>
      <c r="DM3">
        <v>333000000</v>
      </c>
      <c r="DN3">
        <v>7.014797925949097E-2</v>
      </c>
      <c r="DO3">
        <v>1069985200</v>
      </c>
      <c r="DP3">
        <v>2348540700</v>
      </c>
      <c r="DQ3" s="10">
        <v>19</v>
      </c>
      <c r="DR3">
        <v>-0.18264797925949097</v>
      </c>
      <c r="DS3">
        <v>-0.42501654535431543</v>
      </c>
      <c r="DT3">
        <v>-0.45666666666666672</v>
      </c>
      <c r="DU3">
        <v>0.14666666666666661</v>
      </c>
      <c r="DV3">
        <v>-0.31000000000000011</v>
      </c>
      <c r="DW3">
        <v>-2.0701999999999998</v>
      </c>
      <c r="DX3">
        <v>0.28014499121265379</v>
      </c>
      <c r="DY3">
        <v>-2.0119441783831284</v>
      </c>
      <c r="DZ3">
        <v>2488</v>
      </c>
      <c r="EA3">
        <v>-2.0061286958357267</v>
      </c>
      <c r="EB3" s="13">
        <v>2</v>
      </c>
      <c r="EC3" s="13">
        <v>3.2059789748628685E-2</v>
      </c>
      <c r="ED3">
        <v>0.18842629171821534</v>
      </c>
      <c r="EE3">
        <v>0.02</v>
      </c>
      <c r="EF3">
        <v>3.4099999999999968E-3</v>
      </c>
      <c r="EG3">
        <v>11.170144991212654</v>
      </c>
      <c r="EH3" s="12">
        <v>-1</v>
      </c>
      <c r="EI3">
        <v>0</v>
      </c>
      <c r="EJ3">
        <v>0</v>
      </c>
      <c r="EK3">
        <v>45470</v>
      </c>
      <c r="EL3">
        <v>0.78</v>
      </c>
      <c r="EM3">
        <v>-3.76</v>
      </c>
      <c r="EN3" s="14">
        <v>1.03</v>
      </c>
      <c r="EO3" s="14">
        <v>2.16</v>
      </c>
      <c r="EP3" s="14">
        <v>-2.34</v>
      </c>
    </row>
    <row r="4" spans="1:146" ht="96" x14ac:dyDescent="0.25">
      <c r="C4" s="5" t="str">
        <f>""&amp;CHAR(10)&amp;Basic_Fundamental_Information_Constructure(F4)&amp;CHAR(10)&amp;Basic_Fundamental_Information_Concatenate("")</f>
        <v xml:space="preserve">
市值17.689806亿, 利润8714.43万; PE14.59; 平均PE21.86; 平均PEG1.64, PB1.36; ROIC8.53%; ROE5.5433%; 股利率.7435%; 毛利37.3567%; 净利4.0733%; 上一年度营收增20.26%, 利润增681.54%; 当季营收增20.69%, 利润增111.47%; 过往5年营收增13.33%, 利润增119.21%
Income profile:
</v>
      </c>
      <c r="D4" t="s">
        <v>486</v>
      </c>
      <c r="E4" t="s">
        <v>487</v>
      </c>
      <c r="F4">
        <v>13.45</v>
      </c>
      <c r="G4">
        <v>1.28</v>
      </c>
      <c r="H4" t="s">
        <v>1064</v>
      </c>
      <c r="I4">
        <v>1768980600</v>
      </c>
      <c r="J4">
        <v>14.59</v>
      </c>
      <c r="K4">
        <v>1.36</v>
      </c>
      <c r="L4" t="s">
        <v>53</v>
      </c>
      <c r="M4" t="s">
        <v>1065</v>
      </c>
      <c r="N4" t="s">
        <v>1066</v>
      </c>
      <c r="O4" t="s">
        <v>354</v>
      </c>
      <c r="P4">
        <v>20.62</v>
      </c>
      <c r="Q4" t="s">
        <v>1067</v>
      </c>
      <c r="R4">
        <v>64704124</v>
      </c>
      <c r="S4" s="3">
        <v>1.115</v>
      </c>
      <c r="T4" t="s">
        <v>1068</v>
      </c>
      <c r="U4">
        <v>40287859</v>
      </c>
      <c r="V4">
        <v>131522720</v>
      </c>
      <c r="W4">
        <v>1.36</v>
      </c>
      <c r="X4">
        <v>0.23</v>
      </c>
      <c r="Y4">
        <v>15.39</v>
      </c>
      <c r="Z4" t="s">
        <v>1069</v>
      </c>
      <c r="AA4" t="s">
        <v>382</v>
      </c>
      <c r="AB4" t="s">
        <v>1070</v>
      </c>
      <c r="AC4" t="s">
        <v>1071</v>
      </c>
      <c r="AD4" t="s">
        <v>54</v>
      </c>
      <c r="AE4">
        <v>279800</v>
      </c>
      <c r="AF4" t="s">
        <v>1072</v>
      </c>
      <c r="AG4" t="s">
        <v>1073</v>
      </c>
      <c r="AH4" t="s">
        <v>1074</v>
      </c>
      <c r="AI4" t="s">
        <v>274</v>
      </c>
      <c r="AJ4" t="s">
        <v>1075</v>
      </c>
      <c r="AK4" t="s">
        <v>1076</v>
      </c>
      <c r="AL4" t="s">
        <v>1077</v>
      </c>
      <c r="AM4" t="s">
        <v>54</v>
      </c>
      <c r="AN4" t="s">
        <v>677</v>
      </c>
      <c r="AO4" t="s">
        <v>54</v>
      </c>
      <c r="AP4" t="s">
        <v>54</v>
      </c>
      <c r="AQ4" t="s">
        <v>1078</v>
      </c>
      <c r="AR4" t="s">
        <v>54</v>
      </c>
      <c r="AS4" t="s">
        <v>957</v>
      </c>
      <c r="AT4" t="s">
        <v>1079</v>
      </c>
      <c r="AU4" t="s">
        <v>1080</v>
      </c>
      <c r="AV4" t="s">
        <v>1081</v>
      </c>
      <c r="AW4" t="s">
        <v>1082</v>
      </c>
      <c r="AX4" t="s">
        <v>286</v>
      </c>
      <c r="AY4" t="s">
        <v>551</v>
      </c>
      <c r="AZ4" t="s">
        <v>488</v>
      </c>
      <c r="BA4" t="s">
        <v>348</v>
      </c>
      <c r="BB4" t="s">
        <v>490</v>
      </c>
      <c r="BC4" t="s">
        <v>794</v>
      </c>
      <c r="BD4" t="s">
        <v>245</v>
      </c>
      <c r="BE4" t="s">
        <v>489</v>
      </c>
      <c r="BF4" t="s">
        <v>491</v>
      </c>
      <c r="BG4" t="s">
        <v>492</v>
      </c>
      <c r="BH4" t="s">
        <v>1067</v>
      </c>
      <c r="BI4" t="s">
        <v>1083</v>
      </c>
      <c r="BJ4" t="s">
        <v>286</v>
      </c>
      <c r="BK4" t="s">
        <v>1068</v>
      </c>
      <c r="BL4" t="s">
        <v>1084</v>
      </c>
      <c r="BM4" t="s">
        <v>794</v>
      </c>
      <c r="BN4">
        <v>5.95</v>
      </c>
      <c r="BO4" t="s">
        <v>54</v>
      </c>
      <c r="BP4">
        <v>11.11</v>
      </c>
      <c r="BQ4">
        <v>6.12</v>
      </c>
      <c r="BR4">
        <v>-1.21</v>
      </c>
      <c r="BS4">
        <v>11.72</v>
      </c>
      <c r="BT4" t="s">
        <v>842</v>
      </c>
      <c r="BU4" t="s">
        <v>646</v>
      </c>
      <c r="BV4">
        <v>34.93</v>
      </c>
      <c r="BW4">
        <v>38.35</v>
      </c>
      <c r="BX4">
        <v>38.79</v>
      </c>
      <c r="BY4">
        <v>5.43</v>
      </c>
      <c r="BZ4">
        <v>-1.1499999999999999</v>
      </c>
      <c r="CA4">
        <v>7.94</v>
      </c>
      <c r="CB4">
        <v>-2.54</v>
      </c>
      <c r="CC4">
        <v>-11.45</v>
      </c>
      <c r="CD4" t="s">
        <v>1085</v>
      </c>
      <c r="CE4" t="s">
        <v>1086</v>
      </c>
      <c r="CF4" s="8">
        <v>0.20689655172413793</v>
      </c>
      <c r="CG4" s="9">
        <v>1.1147004474250997</v>
      </c>
      <c r="CH4" s="8">
        <v>0.2025601863861084</v>
      </c>
      <c r="CI4" s="8">
        <v>3.3463086932897568E-2</v>
      </c>
      <c r="CJ4" s="8">
        <v>0.13616256415843964</v>
      </c>
      <c r="CK4" s="8">
        <v>0.12202387303113937</v>
      </c>
      <c r="CL4" s="8">
        <v>0.17209301888942719</v>
      </c>
      <c r="CM4" s="9">
        <v>6.8153581619262695</v>
      </c>
      <c r="CN4" s="9">
        <v>-1.1469137668609619</v>
      </c>
      <c r="CO4" s="9">
        <v>-0.23880596458911896</v>
      </c>
      <c r="CP4" s="9">
        <v>0.46047288179397583</v>
      </c>
      <c r="CQ4" s="9">
        <v>7.0604182779788971E-2</v>
      </c>
      <c r="CR4">
        <v>21.856783574490258</v>
      </c>
      <c r="CS4">
        <v>1.6401541379124558</v>
      </c>
      <c r="CT4">
        <v>0.74349442379182162</v>
      </c>
      <c r="CU4" s="8">
        <v>0.13326054587960243</v>
      </c>
      <c r="CV4" s="9">
        <v>1.1921430990099906</v>
      </c>
      <c r="CW4">
        <v>0.06</v>
      </c>
      <c r="CX4">
        <v>11.666992089058104</v>
      </c>
      <c r="CY4">
        <v>93167166.970090389</v>
      </c>
      <c r="CZ4">
        <v>0.13326054587960243</v>
      </c>
      <c r="DA4">
        <v>3.6761936369106754</v>
      </c>
      <c r="DB4">
        <v>295680997.07431477</v>
      </c>
      <c r="DC4">
        <v>0.12659751858562229</v>
      </c>
      <c r="DD4">
        <v>1.7222552502382478</v>
      </c>
      <c r="DE4">
        <v>631137922.12253833</v>
      </c>
      <c r="DF4">
        <v>0.11726928037405014</v>
      </c>
      <c r="DG4">
        <v>0.97698108783946624</v>
      </c>
      <c r="DH4">
        <v>1112591240.024708</v>
      </c>
      <c r="DI4">
        <v>0.10660843670368195</v>
      </c>
      <c r="DJ4">
        <v>0.44370650236803194</v>
      </c>
      <c r="DK4">
        <v>2449773880.2538552</v>
      </c>
      <c r="DL4">
        <v>9.3282382115721693E-2</v>
      </c>
      <c r="DM4">
        <v>87144300</v>
      </c>
      <c r="DN4">
        <v>0.13326054587960243</v>
      </c>
      <c r="DO4">
        <v>1086980600</v>
      </c>
      <c r="DP4">
        <v>573554290</v>
      </c>
      <c r="DQ4">
        <v>435</v>
      </c>
      <c r="DR4">
        <v>7.3636005844535501E-2</v>
      </c>
      <c r="DS4">
        <v>-7.7442651584890942E-2</v>
      </c>
      <c r="DT4" s="10">
        <v>-0.17333333333333334</v>
      </c>
      <c r="DU4">
        <v>6.6666666666665977E-3</v>
      </c>
      <c r="DV4">
        <v>-0.16666666666666674</v>
      </c>
      <c r="DW4">
        <v>-8.2218340611353717</v>
      </c>
      <c r="DX4">
        <v>0.29184224154002464</v>
      </c>
      <c r="DY4">
        <v>-8.0248104186473057</v>
      </c>
      <c r="DZ4">
        <v>2115</v>
      </c>
      <c r="EA4">
        <v>-8.0145415271719536</v>
      </c>
      <c r="EB4">
        <v>8</v>
      </c>
      <c r="EC4">
        <v>3.69472285852969E-2</v>
      </c>
      <c r="ED4">
        <v>0.33035128835535033</v>
      </c>
      <c r="EE4" s="13">
        <v>-2.0489000000000002</v>
      </c>
      <c r="EF4">
        <v>-2.0446</v>
      </c>
      <c r="EG4">
        <v>18.111842241540025</v>
      </c>
      <c r="EH4" t="s">
        <v>649</v>
      </c>
      <c r="EI4">
        <v>0</v>
      </c>
      <c r="EJ4">
        <v>0</v>
      </c>
      <c r="EK4" s="12">
        <v>45470</v>
      </c>
      <c r="EL4" s="14">
        <v>-0.57999999999999996</v>
      </c>
      <c r="EM4" s="14">
        <v>-4.3099999999999996</v>
      </c>
      <c r="EN4" s="14">
        <v>2.21</v>
      </c>
      <c r="EO4" s="14">
        <v>3.58</v>
      </c>
      <c r="EP4" s="14">
        <v>-0.43</v>
      </c>
    </row>
    <row r="5" spans="1:146" ht="96" x14ac:dyDescent="0.25">
      <c r="C5" s="5" t="str">
        <f>""&amp;CHAR(10)&amp;Basic_Fundamental_Information_Constructure(F5)&amp;CHAR(10)&amp;Basic_Fundamental_Information_Concatenate("")</f>
        <v xml:space="preserve">
市值17.427261亿, 利润6519.14万; PE21.58; 平均PE20.35; 平均PEG9.43, PB1.84; ROIC12.7%; ROE12.6933%; 股利率3.1289%; 毛利20.8433%; 净利9.9333%; 上一年度营收增7.68%, 利润增-15.17%; 当季营收增26.29%, 利润增112.3%; 过往5年营收增2.16%, 利润增-6.94%
Income profile:
</v>
      </c>
      <c r="D5" t="s">
        <v>553</v>
      </c>
      <c r="E5" t="s">
        <v>554</v>
      </c>
      <c r="F5">
        <v>15.98</v>
      </c>
      <c r="G5">
        <v>0.31</v>
      </c>
      <c r="H5" t="s">
        <v>1087</v>
      </c>
      <c r="I5">
        <v>1742726100</v>
      </c>
      <c r="J5">
        <v>21.58</v>
      </c>
      <c r="K5">
        <v>1.84</v>
      </c>
      <c r="L5" t="s">
        <v>53</v>
      </c>
      <c r="M5" t="s">
        <v>1088</v>
      </c>
      <c r="N5" t="s">
        <v>1089</v>
      </c>
      <c r="O5" t="s">
        <v>662</v>
      </c>
      <c r="P5">
        <v>26.21</v>
      </c>
      <c r="Q5" t="s">
        <v>1090</v>
      </c>
      <c r="R5">
        <v>29447980</v>
      </c>
      <c r="S5" s="3">
        <v>1.123</v>
      </c>
      <c r="T5" t="s">
        <v>1091</v>
      </c>
      <c r="U5">
        <v>29066700</v>
      </c>
      <c r="V5">
        <v>109056700</v>
      </c>
      <c r="W5">
        <v>1.31</v>
      </c>
      <c r="X5">
        <v>0.21</v>
      </c>
      <c r="Y5">
        <v>12.03</v>
      </c>
      <c r="Z5" t="s">
        <v>917</v>
      </c>
      <c r="AA5" t="s">
        <v>233</v>
      </c>
      <c r="AB5" t="s">
        <v>1092</v>
      </c>
      <c r="AC5" t="s">
        <v>1093</v>
      </c>
      <c r="AD5" t="s">
        <v>54</v>
      </c>
      <c r="AE5">
        <v>-115387</v>
      </c>
      <c r="AF5" t="s">
        <v>1094</v>
      </c>
      <c r="AG5">
        <v>6864.08</v>
      </c>
      <c r="AH5" t="s">
        <v>1095</v>
      </c>
      <c r="AI5" t="s">
        <v>442</v>
      </c>
      <c r="AJ5" t="s">
        <v>1096</v>
      </c>
      <c r="AK5" t="s">
        <v>54</v>
      </c>
      <c r="AL5" t="s">
        <v>1097</v>
      </c>
      <c r="AM5" t="s">
        <v>54</v>
      </c>
      <c r="AN5" t="s">
        <v>1098</v>
      </c>
      <c r="AO5" t="s">
        <v>906</v>
      </c>
      <c r="AP5" t="s">
        <v>54</v>
      </c>
      <c r="AQ5" t="s">
        <v>1099</v>
      </c>
      <c r="AR5" t="s">
        <v>54</v>
      </c>
      <c r="AS5" t="s">
        <v>534</v>
      </c>
      <c r="AT5" t="s">
        <v>54</v>
      </c>
      <c r="AU5" t="s">
        <v>1100</v>
      </c>
      <c r="AV5" t="s">
        <v>1101</v>
      </c>
      <c r="AW5" t="s">
        <v>1102</v>
      </c>
      <c r="AX5" t="s">
        <v>798</v>
      </c>
      <c r="AY5" t="s">
        <v>555</v>
      </c>
      <c r="AZ5" t="s">
        <v>530</v>
      </c>
      <c r="BA5" t="s">
        <v>557</v>
      </c>
      <c r="BB5" t="s">
        <v>275</v>
      </c>
      <c r="BC5" t="s">
        <v>799</v>
      </c>
      <c r="BD5" t="s">
        <v>556</v>
      </c>
      <c r="BE5" t="s">
        <v>558</v>
      </c>
      <c r="BF5" t="s">
        <v>559</v>
      </c>
      <c r="BG5" t="s">
        <v>560</v>
      </c>
      <c r="BH5" t="s">
        <v>1090</v>
      </c>
      <c r="BI5" t="s">
        <v>315</v>
      </c>
      <c r="BJ5" t="s">
        <v>798</v>
      </c>
      <c r="BK5" t="s">
        <v>1091</v>
      </c>
      <c r="BL5" t="s">
        <v>1103</v>
      </c>
      <c r="BM5" t="s">
        <v>799</v>
      </c>
      <c r="BN5">
        <v>5.32</v>
      </c>
      <c r="BO5">
        <v>10.58</v>
      </c>
      <c r="BP5">
        <v>22.2</v>
      </c>
      <c r="BQ5">
        <v>5.96</v>
      </c>
      <c r="BR5">
        <v>9.1999999999999993</v>
      </c>
      <c r="BS5">
        <v>22.92</v>
      </c>
      <c r="BT5" t="s">
        <v>699</v>
      </c>
      <c r="BU5" t="s">
        <v>646</v>
      </c>
      <c r="BV5">
        <v>18.559999999999999</v>
      </c>
      <c r="BW5">
        <v>21.7</v>
      </c>
      <c r="BX5">
        <v>22.27</v>
      </c>
      <c r="BY5">
        <v>8.16</v>
      </c>
      <c r="BZ5">
        <v>10.36</v>
      </c>
      <c r="CA5">
        <v>11.28</v>
      </c>
      <c r="CB5">
        <v>-5.94</v>
      </c>
      <c r="CC5">
        <v>-10.73</v>
      </c>
      <c r="CD5" t="s">
        <v>1104</v>
      </c>
      <c r="CE5" t="s">
        <v>1105</v>
      </c>
      <c r="CF5" s="8">
        <v>0.26288659793814451</v>
      </c>
      <c r="CG5" s="9">
        <v>1.1230042751371576</v>
      </c>
      <c r="CH5" s="8">
        <v>7.681940495967865E-2</v>
      </c>
      <c r="CI5" s="8">
        <v>-0.14614500105381012</v>
      </c>
      <c r="CJ5" s="8">
        <v>0.25216138362884521</v>
      </c>
      <c r="CK5" s="8">
        <v>-0.12262958288192749</v>
      </c>
      <c r="CL5" s="8">
        <v>4.768211767077446E-2</v>
      </c>
      <c r="CM5" s="9">
        <v>-0.15166953206062317</v>
      </c>
      <c r="CN5" s="9">
        <v>-0.21626262366771698</v>
      </c>
      <c r="CO5" s="9">
        <v>0.19562150537967682</v>
      </c>
      <c r="CP5" s="9">
        <v>-0.11917180567979813</v>
      </c>
      <c r="CQ5" s="9">
        <v>-5.5460471659898758E-2</v>
      </c>
      <c r="CR5">
        <v>20.352054794520548</v>
      </c>
      <c r="CS5">
        <v>9.4320007745991497</v>
      </c>
      <c r="CT5">
        <v>3.1289111389236544</v>
      </c>
      <c r="CU5" s="8">
        <v>2.1577664464712144E-2</v>
      </c>
      <c r="CV5" s="9">
        <v>-6.9388585537672048E-2</v>
      </c>
      <c r="CW5">
        <v>0.06</v>
      </c>
      <c r="CX5">
        <v>16.803332723691781</v>
      </c>
      <c r="CY5">
        <v>62828375.618098892</v>
      </c>
      <c r="CZ5">
        <v>2.1577664464712144E-2</v>
      </c>
      <c r="DA5">
        <v>5.8212691422565994</v>
      </c>
      <c r="DB5">
        <v>181356689.44362718</v>
      </c>
      <c r="DC5">
        <v>2.0498781241476534E-2</v>
      </c>
      <c r="DD5">
        <v>3.0917355261795332</v>
      </c>
      <c r="DE5">
        <v>341467143.95864379</v>
      </c>
      <c r="DF5">
        <v>1.8988344728946685E-2</v>
      </c>
      <c r="DG5">
        <v>2.0166594550896493</v>
      </c>
      <c r="DH5">
        <v>523502417.49322444</v>
      </c>
      <c r="DI5">
        <v>1.7262131571769715E-2</v>
      </c>
      <c r="DJ5">
        <v>1.2366334300639166</v>
      </c>
      <c r="DK5">
        <v>853709817.58550215</v>
      </c>
      <c r="DL5">
        <v>1.5104365125298499E-2</v>
      </c>
      <c r="DM5">
        <v>65191400</v>
      </c>
      <c r="DN5">
        <v>2.1577664464712144E-2</v>
      </c>
      <c r="DO5">
        <v>1055726100</v>
      </c>
      <c r="DP5">
        <v>584877410</v>
      </c>
      <c r="DQ5">
        <v>454</v>
      </c>
      <c r="DR5">
        <v>0.24130893347343235</v>
      </c>
      <c r="DS5">
        <v>1.1923928606748297</v>
      </c>
      <c r="DT5" s="10">
        <v>-0.3066666666666667</v>
      </c>
      <c r="DU5">
        <v>3.666666666666666E-2</v>
      </c>
      <c r="DV5">
        <v>-0.27</v>
      </c>
      <c r="DW5">
        <v>-8.5535880708294503</v>
      </c>
      <c r="DX5">
        <v>0.3545771274043501</v>
      </c>
      <c r="DY5">
        <v>-8.080036173045837</v>
      </c>
      <c r="DZ5">
        <v>2359</v>
      </c>
      <c r="EA5">
        <v>-8.0430879671328963</v>
      </c>
      <c r="EB5">
        <v>8</v>
      </c>
      <c r="EC5">
        <v>5.3876561458397323E-2</v>
      </c>
      <c r="ED5">
        <v>0.37264927326794228</v>
      </c>
      <c r="EE5" s="13">
        <v>-2.0615999999999999</v>
      </c>
      <c r="EF5">
        <v>-2.0657999999999999</v>
      </c>
      <c r="EG5">
        <v>21.14457712740435</v>
      </c>
      <c r="EH5" t="s">
        <v>649</v>
      </c>
      <c r="EI5">
        <v>0</v>
      </c>
      <c r="EJ5">
        <v>0</v>
      </c>
      <c r="EK5" s="12">
        <v>45470</v>
      </c>
      <c r="EL5" s="14">
        <v>-1.57</v>
      </c>
      <c r="EM5" s="14">
        <v>-3.62</v>
      </c>
      <c r="EN5" s="14">
        <v>3.12</v>
      </c>
      <c r="EO5" s="14">
        <v>3.95</v>
      </c>
      <c r="EP5" s="14">
        <v>0.42</v>
      </c>
    </row>
    <row r="6" spans="1:146" ht="96" x14ac:dyDescent="0.25">
      <c r="C6" s="5" t="str">
        <f>""&amp;CHAR(10)&amp;Basic_Fundamental_Information_Constructure(F6)&amp;CHAR(10)&amp;Basic_Fundamental_Information_Concatenate("")</f>
        <v xml:space="preserve">
市值35.321679亿, 利润2.70亿; PE12.29; 平均PE13.64; 平均PEG70.72, PB.579; ROIC1.4933%; ROE3.31%; 股利率2.3952%; 毛利47.1067%; 净利7.7233%; 上一年度营收增6.72%, 利润增78.81%; 当季营收增-1.76%, 利润增19.48%; 过往5年营收增-.19%, 利润增3.04%
Income profile:
</v>
      </c>
      <c r="D6" t="s">
        <v>146</v>
      </c>
      <c r="E6" t="s">
        <v>32</v>
      </c>
      <c r="F6">
        <v>5.01</v>
      </c>
      <c r="G6">
        <v>0.8</v>
      </c>
      <c r="H6" t="s">
        <v>1106</v>
      </c>
      <c r="I6">
        <v>3532167900</v>
      </c>
      <c r="J6">
        <v>12.29</v>
      </c>
      <c r="K6">
        <v>0.57899999999999996</v>
      </c>
      <c r="L6" t="s">
        <v>53</v>
      </c>
      <c r="M6" t="s">
        <v>1107</v>
      </c>
      <c r="N6" t="s">
        <v>1108</v>
      </c>
      <c r="O6" t="s">
        <v>695</v>
      </c>
      <c r="P6">
        <v>-1.8</v>
      </c>
      <c r="Q6" t="s">
        <v>1109</v>
      </c>
      <c r="R6">
        <v>106309535</v>
      </c>
      <c r="S6" s="3">
        <v>0.1948</v>
      </c>
      <c r="T6" t="s">
        <v>796</v>
      </c>
      <c r="U6">
        <v>665405960</v>
      </c>
      <c r="V6">
        <v>705023540</v>
      </c>
      <c r="W6">
        <v>1.53</v>
      </c>
      <c r="X6">
        <v>0.08</v>
      </c>
      <c r="Y6">
        <v>13.74</v>
      </c>
      <c r="Z6" t="s">
        <v>801</v>
      </c>
      <c r="AA6" t="s">
        <v>599</v>
      </c>
      <c r="AB6" t="s">
        <v>894</v>
      </c>
      <c r="AC6" t="s">
        <v>1110</v>
      </c>
      <c r="AD6" t="s">
        <v>54</v>
      </c>
      <c r="AE6">
        <v>-35524120</v>
      </c>
      <c r="AF6" t="s">
        <v>1111</v>
      </c>
      <c r="AG6" t="s">
        <v>1112</v>
      </c>
      <c r="AH6" t="s">
        <v>1113</v>
      </c>
      <c r="AI6" t="s">
        <v>1114</v>
      </c>
      <c r="AJ6" t="s">
        <v>1115</v>
      </c>
      <c r="AK6" t="s">
        <v>1116</v>
      </c>
      <c r="AL6" t="s">
        <v>1117</v>
      </c>
      <c r="AM6" t="s">
        <v>54</v>
      </c>
      <c r="AN6">
        <v>0</v>
      </c>
      <c r="AO6" t="s">
        <v>595</v>
      </c>
      <c r="AP6" t="s">
        <v>682</v>
      </c>
      <c r="AQ6" t="s">
        <v>684</v>
      </c>
      <c r="AR6" t="s">
        <v>1118</v>
      </c>
      <c r="AS6" t="s">
        <v>1119</v>
      </c>
      <c r="AT6" t="s">
        <v>1120</v>
      </c>
      <c r="AU6" t="s">
        <v>1121</v>
      </c>
      <c r="AV6" t="s">
        <v>973</v>
      </c>
      <c r="AW6" t="s">
        <v>1122</v>
      </c>
      <c r="AX6" t="s">
        <v>800</v>
      </c>
      <c r="AY6" t="s">
        <v>561</v>
      </c>
      <c r="AZ6" t="s">
        <v>273</v>
      </c>
      <c r="BA6" t="s">
        <v>147</v>
      </c>
      <c r="BB6" t="s">
        <v>276</v>
      </c>
      <c r="BC6" t="s">
        <v>74</v>
      </c>
      <c r="BD6" t="s">
        <v>254</v>
      </c>
      <c r="BE6" t="s">
        <v>274</v>
      </c>
      <c r="BF6" t="s">
        <v>148</v>
      </c>
      <c r="BG6" t="s">
        <v>277</v>
      </c>
      <c r="BH6" t="s">
        <v>1109</v>
      </c>
      <c r="BI6" t="s">
        <v>1123</v>
      </c>
      <c r="BJ6" t="s">
        <v>800</v>
      </c>
      <c r="BK6" t="s">
        <v>796</v>
      </c>
      <c r="BL6" t="s">
        <v>1124</v>
      </c>
      <c r="BM6" t="s">
        <v>74</v>
      </c>
      <c r="BN6">
        <v>1.52</v>
      </c>
      <c r="BO6">
        <v>0.57999999999999996</v>
      </c>
      <c r="BP6">
        <v>2.38</v>
      </c>
      <c r="BQ6">
        <v>3.36</v>
      </c>
      <c r="BR6">
        <v>2.6</v>
      </c>
      <c r="BS6">
        <v>3.97</v>
      </c>
      <c r="BT6" t="s">
        <v>1125</v>
      </c>
      <c r="BU6" t="s">
        <v>646</v>
      </c>
      <c r="BV6">
        <v>49.92</v>
      </c>
      <c r="BW6">
        <v>45.23</v>
      </c>
      <c r="BX6">
        <v>46.17</v>
      </c>
      <c r="BY6">
        <v>9.42</v>
      </c>
      <c r="BZ6">
        <v>5.98</v>
      </c>
      <c r="CA6">
        <v>7.77</v>
      </c>
      <c r="CB6">
        <v>-0.6</v>
      </c>
      <c r="CC6">
        <v>-11.48</v>
      </c>
      <c r="CD6" t="s">
        <v>1126</v>
      </c>
      <c r="CE6" t="s">
        <v>694</v>
      </c>
      <c r="CF6" s="8">
        <v>-1.7601760176017601E-2</v>
      </c>
      <c r="CG6" s="9">
        <v>0.19483418245493361</v>
      </c>
      <c r="CH6" s="8">
        <v>6.7224264144897461E-2</v>
      </c>
      <c r="CI6" s="8">
        <v>-8.1388697028160095E-2</v>
      </c>
      <c r="CJ6" s="8">
        <v>5.5255256593227386E-2</v>
      </c>
      <c r="CK6" s="8">
        <v>-8.087226003408432E-2</v>
      </c>
      <c r="CL6" s="8">
        <v>3.0139360576868057E-2</v>
      </c>
      <c r="CM6" s="9">
        <v>0.78807944059371948</v>
      </c>
      <c r="CN6" s="9">
        <v>-0.34632036089897156</v>
      </c>
      <c r="CO6" s="9">
        <v>0.10526315867900848</v>
      </c>
      <c r="CP6" s="9">
        <v>-0.39769452810287476</v>
      </c>
      <c r="CQ6" s="9">
        <v>2.8901733458042145E-3</v>
      </c>
      <c r="CR6">
        <v>13.6377138996139</v>
      </c>
      <c r="CS6">
        <v>70.719802753579032</v>
      </c>
      <c r="CT6">
        <v>2.3952095808383236</v>
      </c>
      <c r="CU6" s="8">
        <v>-1.9284151494503021E-3</v>
      </c>
      <c r="CV6" s="9">
        <v>3.0443576723337175E-2</v>
      </c>
      <c r="CW6">
        <v>0.06</v>
      </c>
      <c r="CX6">
        <v>4.34877</v>
      </c>
      <c r="CY6" t="s">
        <v>1127</v>
      </c>
      <c r="CZ6">
        <v>-1.9284151494503021E-3</v>
      </c>
      <c r="DA6">
        <v>1.4495899999999999</v>
      </c>
      <c r="DB6" t="s">
        <v>1128</v>
      </c>
      <c r="DC6">
        <v>-1.831994391977787E-3</v>
      </c>
      <c r="DD6">
        <v>0.72479499999999997</v>
      </c>
      <c r="DE6" t="s">
        <v>1129</v>
      </c>
      <c r="DF6">
        <v>-1.697005331516266E-3</v>
      </c>
      <c r="DG6">
        <v>0.43487700000000001</v>
      </c>
      <c r="DH6" t="s">
        <v>1130</v>
      </c>
      <c r="DI6">
        <v>-1.5427321195602417E-3</v>
      </c>
      <c r="DJ6">
        <v>0.21743850000000001</v>
      </c>
      <c r="DK6" t="s">
        <v>1131</v>
      </c>
      <c r="DL6">
        <v>-1.3498906046152115E-3</v>
      </c>
      <c r="DM6">
        <v>270000000</v>
      </c>
      <c r="DN6">
        <v>-1.9284151494503021E-3</v>
      </c>
      <c r="DO6">
        <v>1174167900</v>
      </c>
      <c r="DP6">
        <v>2431688600</v>
      </c>
      <c r="DQ6">
        <v>547</v>
      </c>
      <c r="DR6">
        <v>-1.5673345026567299E-2</v>
      </c>
      <c r="DS6">
        <v>0.16439060573159645</v>
      </c>
      <c r="DT6" s="10">
        <v>-0.44</v>
      </c>
      <c r="DU6">
        <v>0.28666666666666668</v>
      </c>
      <c r="DV6">
        <v>-0.15333333333333332</v>
      </c>
      <c r="DW6">
        <v>-2.1147999999999998</v>
      </c>
      <c r="DX6">
        <v>0.33255446428571378</v>
      </c>
      <c r="DY6">
        <v>-2.0198092525</v>
      </c>
      <c r="DZ6">
        <v>2071</v>
      </c>
      <c r="EA6">
        <v>-2.0117808842167317</v>
      </c>
      <c r="EB6">
        <v>2</v>
      </c>
      <c r="EC6">
        <v>2.7411992513044315E-2</v>
      </c>
      <c r="ED6">
        <v>0.15885994388215749</v>
      </c>
      <c r="EE6" s="13">
        <v>6.8610000000000004E-2</v>
      </c>
      <c r="EF6">
        <v>8.8209999999999997E-2</v>
      </c>
      <c r="EG6">
        <v>16.172554464285714</v>
      </c>
      <c r="EH6">
        <v>-1</v>
      </c>
      <c r="EI6">
        <v>0</v>
      </c>
      <c r="EJ6">
        <v>0</v>
      </c>
      <c r="EK6" s="12">
        <v>45470</v>
      </c>
      <c r="EL6" s="14">
        <v>1</v>
      </c>
      <c r="EM6" s="14">
        <v>-2.97</v>
      </c>
      <c r="EN6" s="14">
        <v>1.63</v>
      </c>
      <c r="EO6" s="14">
        <v>2.61</v>
      </c>
      <c r="EP6" s="14">
        <v>-1.96</v>
      </c>
    </row>
    <row r="7" spans="1:146" ht="132" x14ac:dyDescent="0.25">
      <c r="A7" s="5" t="s">
        <v>545</v>
      </c>
      <c r="C7" s="5" t="str">
        <f>""&amp;CHAR(10)&amp;Basic_Fundamental_Information_Constructure(F7)&amp;CHAR(10)&amp;Basic_Fundamental_Information_Concatenate("上衣 4.11亿 20.82% 利润比例25.98% 毛利64.70%
衬衫 3.81亿 19.28% 利润比例28.74% 毛利77.28%
裤子 3.62亿 18.31% 利润比例21.44% 毛利60.71%
T恤 3.23亿 16.35% 利润比例23.02% 毛利73.01%")</f>
        <v xml:space="preserve">
市值69.756152亿, 利润6.98亿; PE10.07; 平均PE18.61; 平均PEG1.63, PB1.52; ROIC11.2767%; ROE12.7333%; 股利率5.2301%; 毛利63.79%; 净利11.8933%; 上一年度营收增21.82%, 利润增52.07%; 当季营收增4.88%, 利润增-2.25%; 过往5年营收增11.44%, 利润增91.43%
Income profile:
上衣 4.11亿 20.82% 利润比例25.98% 毛利64.70%
衬衫 3.81亿 19.28% 利润比例28.74% 毛利77.28%
裤子 3.62亿 18.31% 利润比例21.44% 毛利60.71%
T恤 3.23亿 16.35% 利润比例23.02% 毛利73.01%</v>
      </c>
      <c r="D7" t="s">
        <v>75</v>
      </c>
      <c r="E7" t="s">
        <v>11</v>
      </c>
      <c r="F7">
        <v>4.78</v>
      </c>
      <c r="G7">
        <v>-5.72</v>
      </c>
      <c r="H7" t="s">
        <v>1132</v>
      </c>
      <c r="I7">
        <v>6975615200</v>
      </c>
      <c r="J7">
        <v>10.07</v>
      </c>
      <c r="K7">
        <v>1.52</v>
      </c>
      <c r="L7" t="s">
        <v>53</v>
      </c>
      <c r="M7" t="s">
        <v>120</v>
      </c>
      <c r="N7" t="s">
        <v>1133</v>
      </c>
      <c r="O7" t="s">
        <v>1134</v>
      </c>
      <c r="P7">
        <v>4.84</v>
      </c>
      <c r="Q7" t="s">
        <v>1135</v>
      </c>
      <c r="R7">
        <v>250232450</v>
      </c>
      <c r="S7" s="3">
        <v>-2.0899999999999998E-2</v>
      </c>
      <c r="T7" t="s">
        <v>1136</v>
      </c>
      <c r="U7">
        <v>1176916190</v>
      </c>
      <c r="V7">
        <v>1459333700</v>
      </c>
      <c r="W7">
        <v>1.49</v>
      </c>
      <c r="X7">
        <v>0.19</v>
      </c>
      <c r="Y7">
        <v>19.04</v>
      </c>
      <c r="Z7" t="s">
        <v>362</v>
      </c>
      <c r="AA7" t="s">
        <v>1137</v>
      </c>
      <c r="AB7" t="s">
        <v>1138</v>
      </c>
      <c r="AC7" t="s">
        <v>1139</v>
      </c>
      <c r="AD7" t="s">
        <v>54</v>
      </c>
      <c r="AE7">
        <v>-10593352</v>
      </c>
      <c r="AF7" t="s">
        <v>1140</v>
      </c>
      <c r="AG7" t="s">
        <v>1141</v>
      </c>
      <c r="AH7" t="s">
        <v>1142</v>
      </c>
      <c r="AI7" t="s">
        <v>1143</v>
      </c>
      <c r="AJ7" t="s">
        <v>1144</v>
      </c>
      <c r="AK7" t="s">
        <v>1145</v>
      </c>
      <c r="AL7" t="s">
        <v>1146</v>
      </c>
      <c r="AM7" t="s">
        <v>54</v>
      </c>
      <c r="AN7" t="s">
        <v>685</v>
      </c>
      <c r="AO7" t="s">
        <v>893</v>
      </c>
      <c r="AP7" t="s">
        <v>182</v>
      </c>
      <c r="AQ7" t="s">
        <v>999</v>
      </c>
      <c r="AR7" t="s">
        <v>1147</v>
      </c>
      <c r="AS7" t="s">
        <v>1148</v>
      </c>
      <c r="AT7" t="s">
        <v>1149</v>
      </c>
      <c r="AU7" t="s">
        <v>1150</v>
      </c>
      <c r="AV7" t="s">
        <v>1151</v>
      </c>
      <c r="AW7" t="s">
        <v>1152</v>
      </c>
      <c r="AX7" t="s">
        <v>802</v>
      </c>
      <c r="AY7" t="s">
        <v>562</v>
      </c>
      <c r="AZ7" t="s">
        <v>279</v>
      </c>
      <c r="BA7" t="s">
        <v>76</v>
      </c>
      <c r="BB7" t="s">
        <v>281</v>
      </c>
      <c r="BC7" t="s">
        <v>661</v>
      </c>
      <c r="BD7" t="s">
        <v>563</v>
      </c>
      <c r="BE7" t="s">
        <v>280</v>
      </c>
      <c r="BF7" t="s">
        <v>77</v>
      </c>
      <c r="BG7" t="s">
        <v>283</v>
      </c>
      <c r="BH7" t="s">
        <v>1135</v>
      </c>
      <c r="BI7" t="s">
        <v>1153</v>
      </c>
      <c r="BJ7" t="s">
        <v>802</v>
      </c>
      <c r="BK7" t="s">
        <v>1136</v>
      </c>
      <c r="BL7" t="s">
        <v>943</v>
      </c>
      <c r="BM7" t="s">
        <v>661</v>
      </c>
      <c r="BN7">
        <v>11.64</v>
      </c>
      <c r="BO7">
        <v>10.1</v>
      </c>
      <c r="BP7">
        <v>12.09</v>
      </c>
      <c r="BQ7">
        <v>13.6</v>
      </c>
      <c r="BR7">
        <v>11.22</v>
      </c>
      <c r="BS7">
        <v>13.38</v>
      </c>
      <c r="BT7" t="s">
        <v>1154</v>
      </c>
      <c r="BU7" t="s">
        <v>646</v>
      </c>
      <c r="BV7">
        <v>64.709999999999994</v>
      </c>
      <c r="BW7">
        <v>62.74</v>
      </c>
      <c r="BX7">
        <v>63.92</v>
      </c>
      <c r="BY7">
        <v>13.87</v>
      </c>
      <c r="BZ7">
        <v>11.04</v>
      </c>
      <c r="CA7">
        <v>10.77</v>
      </c>
      <c r="CB7">
        <v>-12.13</v>
      </c>
      <c r="CC7">
        <v>-15.25</v>
      </c>
      <c r="CD7" t="s">
        <v>124</v>
      </c>
      <c r="CE7" t="s">
        <v>946</v>
      </c>
      <c r="CF7" s="8">
        <v>4.8837209302325581E-2</v>
      </c>
      <c r="CG7" s="9">
        <v>-2.25294921875E-2</v>
      </c>
      <c r="CH7" s="8">
        <v>0.21817764639854431</v>
      </c>
      <c r="CI7" s="8">
        <v>-3.1004240736365318E-2</v>
      </c>
      <c r="CJ7" s="8">
        <v>0.17502634227275848</v>
      </c>
      <c r="CK7" s="8">
        <v>0.15734802186489105</v>
      </c>
      <c r="CL7" s="8">
        <v>5.2411511540412903E-2</v>
      </c>
      <c r="CM7" s="9">
        <v>0.52069717645645142</v>
      </c>
      <c r="CN7" s="9">
        <v>-1.0775862261652946E-2</v>
      </c>
      <c r="CO7" s="9">
        <v>0.26775956153869629</v>
      </c>
      <c r="CP7" s="9">
        <v>0.74285715818405151</v>
      </c>
      <c r="CQ7" s="9">
        <v>3.0511212348937988</v>
      </c>
      <c r="CR7">
        <v>18.61125634911371</v>
      </c>
      <c r="CS7">
        <v>1.6269738909999811</v>
      </c>
      <c r="CT7">
        <v>5.2301255230125516</v>
      </c>
      <c r="CU7" s="8">
        <v>0.11439185626804829</v>
      </c>
      <c r="CV7" s="9">
        <v>0.914331853762269</v>
      </c>
      <c r="CW7">
        <v>0.06</v>
      </c>
      <c r="CX7">
        <v>6.5855905944949535</v>
      </c>
      <c r="CY7">
        <v>733816524.22179019</v>
      </c>
      <c r="CZ7">
        <v>0.11439185626804829</v>
      </c>
      <c r="DA7">
        <v>2.1082357825110543</v>
      </c>
      <c r="DB7">
        <v>2292255562.7264905</v>
      </c>
      <c r="DC7">
        <v>0.10867226345464587</v>
      </c>
      <c r="DD7">
        <v>1.0093832130527842</v>
      </c>
      <c r="DE7">
        <v>4787691272.7567673</v>
      </c>
      <c r="DF7">
        <v>0.1006648335158825</v>
      </c>
      <c r="DG7">
        <v>0.587235781158294</v>
      </c>
      <c r="DH7">
        <v>8229429055.6816912</v>
      </c>
      <c r="DI7">
        <v>9.1513485014438636E-2</v>
      </c>
      <c r="DJ7">
        <v>0.28262263193804932</v>
      </c>
      <c r="DK7">
        <v>17099179803.333323</v>
      </c>
      <c r="DL7">
        <v>8.0074299387633802E-2</v>
      </c>
      <c r="DM7">
        <v>698000000</v>
      </c>
      <c r="DN7">
        <v>0.11439185626804829</v>
      </c>
      <c r="DO7">
        <v>4832615200</v>
      </c>
      <c r="DP7">
        <v>2377166600</v>
      </c>
      <c r="DQ7">
        <v>664</v>
      </c>
      <c r="DR7">
        <v>-6.5554646965722718E-2</v>
      </c>
      <c r="DS7">
        <v>-0.936861345949769</v>
      </c>
      <c r="DT7" s="10">
        <v>-2.3333333333333355E-2</v>
      </c>
      <c r="DU7">
        <v>1.0866666666666667</v>
      </c>
      <c r="DV7">
        <v>1.0633333333333332</v>
      </c>
      <c r="DW7">
        <v>-9.7954098360655735</v>
      </c>
      <c r="DX7">
        <v>0.71365591397849726</v>
      </c>
      <c r="DY7">
        <v>-9.1778981138727307</v>
      </c>
      <c r="DZ7">
        <v>177</v>
      </c>
      <c r="EA7">
        <v>-9.1717360852708776</v>
      </c>
      <c r="EB7">
        <v>9</v>
      </c>
      <c r="EC7">
        <v>7.1265400093206921E-2</v>
      </c>
      <c r="ED7">
        <v>0.31863856772443483</v>
      </c>
      <c r="EE7" s="13">
        <v>4.0143000000000004</v>
      </c>
      <c r="EF7">
        <v>4.0285099999999998</v>
      </c>
      <c r="EG7">
        <v>49.223655913978497</v>
      </c>
      <c r="EH7" t="s">
        <v>947</v>
      </c>
      <c r="EI7">
        <v>0</v>
      </c>
      <c r="EJ7">
        <v>1</v>
      </c>
      <c r="EK7" s="12">
        <v>45470</v>
      </c>
      <c r="EL7" s="14">
        <v>-1.05</v>
      </c>
      <c r="EM7" s="14">
        <v>-2.29</v>
      </c>
      <c r="EN7" s="14">
        <v>0.54</v>
      </c>
      <c r="EO7" s="14">
        <v>0.54</v>
      </c>
      <c r="EP7" s="14">
        <v>-4.28</v>
      </c>
    </row>
    <row r="8" spans="1:146" ht="96" x14ac:dyDescent="0.25">
      <c r="C8" s="5" t="str">
        <f>""&amp;CHAR(10)&amp;Basic_Fundamental_Information_Constructure(F8)&amp;CHAR(10)&amp;Basic_Fundamental_Information_Concatenate("")</f>
        <v xml:space="preserve">
市值7.9038096亿, 利润-6.25亿; PE; 平均PE-3.64; 平均PEG-.17, PB.651; ROIC-.23%; ROE-2.78%; 股利率0%; 毛利17.5667%; 净利-106.07%; 上一年度营收增-35.14%, 利润增24.79%; 当季营收增27.24%, 利润增4.69%; 过往5年营收增-21.32%, 利润增-16782.98%
Income profile:
</v>
      </c>
      <c r="D8" t="s">
        <v>101</v>
      </c>
      <c r="E8" t="s">
        <v>102</v>
      </c>
      <c r="F8">
        <v>3.02</v>
      </c>
      <c r="G8">
        <v>0.67</v>
      </c>
      <c r="H8" t="s">
        <v>1155</v>
      </c>
      <c r="I8">
        <v>790380960</v>
      </c>
      <c r="K8">
        <v>0.65100000000000002</v>
      </c>
      <c r="L8" t="s">
        <v>53</v>
      </c>
      <c r="M8" t="s">
        <v>367</v>
      </c>
      <c r="N8" t="s">
        <v>667</v>
      </c>
      <c r="O8" t="s">
        <v>1156</v>
      </c>
      <c r="P8">
        <v>27.24</v>
      </c>
      <c r="Q8" t="s">
        <v>910</v>
      </c>
      <c r="R8">
        <v>-30343579</v>
      </c>
      <c r="S8" s="3">
        <v>4.6899999999999997E-2</v>
      </c>
      <c r="T8" t="s">
        <v>1157</v>
      </c>
      <c r="U8">
        <v>261714050</v>
      </c>
      <c r="V8">
        <v>261715550</v>
      </c>
      <c r="W8">
        <v>2.66</v>
      </c>
      <c r="X8">
        <v>0.03</v>
      </c>
      <c r="Y8">
        <v>-33.64</v>
      </c>
      <c r="Z8" t="s">
        <v>342</v>
      </c>
      <c r="AA8" t="s">
        <v>1158</v>
      </c>
      <c r="AB8" t="s">
        <v>1159</v>
      </c>
      <c r="AC8" t="s">
        <v>1160</v>
      </c>
      <c r="AD8" t="s">
        <v>54</v>
      </c>
      <c r="AE8">
        <v>9288223</v>
      </c>
      <c r="AF8" t="s">
        <v>97</v>
      </c>
      <c r="AG8" t="s">
        <v>1161</v>
      </c>
      <c r="AH8" t="s">
        <v>1162</v>
      </c>
      <c r="AI8" t="s">
        <v>1163</v>
      </c>
      <c r="AJ8" t="s">
        <v>1164</v>
      </c>
      <c r="AK8" t="s">
        <v>1165</v>
      </c>
      <c r="AL8" t="s">
        <v>1166</v>
      </c>
      <c r="AM8" t="s">
        <v>54</v>
      </c>
      <c r="AN8" t="s">
        <v>285</v>
      </c>
      <c r="AO8" t="s">
        <v>903</v>
      </c>
      <c r="AP8" t="s">
        <v>1167</v>
      </c>
      <c r="AQ8" t="s">
        <v>338</v>
      </c>
      <c r="AR8" t="s">
        <v>1168</v>
      </c>
      <c r="AS8" t="s">
        <v>1169</v>
      </c>
      <c r="AT8" t="s">
        <v>54</v>
      </c>
      <c r="AU8" t="s">
        <v>1170</v>
      </c>
      <c r="AV8" t="s">
        <v>54</v>
      </c>
      <c r="AW8" t="s">
        <v>1171</v>
      </c>
      <c r="AX8" t="s">
        <v>682</v>
      </c>
      <c r="AY8" t="s">
        <v>564</v>
      </c>
      <c r="AZ8" t="s">
        <v>234</v>
      </c>
      <c r="BA8" t="s">
        <v>103</v>
      </c>
      <c r="BB8" t="s">
        <v>286</v>
      </c>
      <c r="BC8" t="s">
        <v>1172</v>
      </c>
      <c r="BD8" t="s">
        <v>565</v>
      </c>
      <c r="BE8" t="s">
        <v>284</v>
      </c>
      <c r="BF8" t="s">
        <v>104</v>
      </c>
      <c r="BG8" t="s">
        <v>287</v>
      </c>
      <c r="BH8" t="s">
        <v>910</v>
      </c>
      <c r="BI8" t="s">
        <v>1173</v>
      </c>
      <c r="BJ8" t="s">
        <v>682</v>
      </c>
      <c r="BK8" t="s">
        <v>1157</v>
      </c>
      <c r="BL8" t="s">
        <v>1174</v>
      </c>
      <c r="BM8" t="s">
        <v>1172</v>
      </c>
      <c r="BN8" t="s">
        <v>54</v>
      </c>
      <c r="BO8" t="s">
        <v>54</v>
      </c>
      <c r="BP8">
        <v>-0.23</v>
      </c>
      <c r="BQ8">
        <v>-2.5</v>
      </c>
      <c r="BR8">
        <v>-5.88</v>
      </c>
      <c r="BS8">
        <v>0.04</v>
      </c>
      <c r="BT8" t="s">
        <v>700</v>
      </c>
      <c r="BU8" t="s">
        <v>646</v>
      </c>
      <c r="BV8">
        <v>7.9</v>
      </c>
      <c r="BW8">
        <v>16.350000000000001</v>
      </c>
      <c r="BX8">
        <v>28.45</v>
      </c>
      <c r="BY8">
        <v>-169.39</v>
      </c>
      <c r="BZ8">
        <v>-148.06</v>
      </c>
      <c r="CA8">
        <v>-0.76</v>
      </c>
      <c r="CB8">
        <v>8.6300000000000008</v>
      </c>
      <c r="CC8">
        <v>-18.600000000000001</v>
      </c>
      <c r="CD8" t="s">
        <v>1175</v>
      </c>
      <c r="CE8" t="s">
        <v>242</v>
      </c>
      <c r="CF8" s="8">
        <v>0.27244253128981327</v>
      </c>
      <c r="CG8" s="9">
        <v>4.685146269369355E-2</v>
      </c>
      <c r="CH8" s="8">
        <v>-0.35135135054588318</v>
      </c>
      <c r="CI8" s="8">
        <v>-0.14202898740768433</v>
      </c>
      <c r="CJ8" s="8">
        <v>-0.1221374049782753</v>
      </c>
      <c r="CK8" s="8">
        <v>-0.31652173399925232</v>
      </c>
      <c r="CL8" s="8">
        <v>-0.13403613865375519</v>
      </c>
      <c r="CM8" s="9">
        <v>0.24789410829544067</v>
      </c>
      <c r="CN8" s="9">
        <v>-837.184326171875</v>
      </c>
      <c r="CO8" s="9">
        <v>-0.80487710237503052</v>
      </c>
      <c r="CP8" s="9">
        <v>-0.89426505565643311</v>
      </c>
      <c r="CQ8" s="9">
        <v>-0.51349788904190063</v>
      </c>
      <c r="CR8">
        <v>-3.640263090263566</v>
      </c>
      <c r="CS8">
        <v>-0.17073193669599662</v>
      </c>
      <c r="CT8">
        <v>0</v>
      </c>
      <c r="CU8" s="8">
        <v>-0.21321512311697005</v>
      </c>
      <c r="CV8" s="9">
        <v>-167.8298144221306</v>
      </c>
      <c r="CW8">
        <v>0.06</v>
      </c>
      <c r="CX8" t="e">
        <v>#VALUE!</v>
      </c>
      <c r="CY8" t="s">
        <v>652</v>
      </c>
      <c r="CZ8">
        <v>-0.21321512311697005</v>
      </c>
      <c r="DA8" t="e">
        <v>#VALUE!</v>
      </c>
      <c r="DB8" t="s">
        <v>653</v>
      </c>
      <c r="DC8">
        <v>-0.20255436696112153</v>
      </c>
      <c r="DD8" t="e">
        <v>#VALUE!</v>
      </c>
      <c r="DE8" t="s">
        <v>653</v>
      </c>
      <c r="DF8">
        <v>-0.18762930834293365</v>
      </c>
      <c r="DG8" t="e">
        <v>#VALUE!</v>
      </c>
      <c r="DH8" t="s">
        <v>653</v>
      </c>
      <c r="DI8">
        <v>-0.17057209849357605</v>
      </c>
      <c r="DJ8" t="e">
        <v>#VALUE!</v>
      </c>
      <c r="DK8" t="s">
        <v>653</v>
      </c>
      <c r="DL8">
        <v>-0.14925058618187903</v>
      </c>
      <c r="DM8">
        <v>-625000000</v>
      </c>
      <c r="DN8">
        <v>-0.21321512311697005</v>
      </c>
      <c r="DO8">
        <v>1541380960</v>
      </c>
      <c r="DP8">
        <v>-1104971940</v>
      </c>
      <c r="DQ8">
        <v>703</v>
      </c>
      <c r="DR8">
        <v>0.48565765440678332</v>
      </c>
      <c r="DS8">
        <v>167.87666588482429</v>
      </c>
      <c r="DT8" s="10">
        <v>-0.72333333333333327</v>
      </c>
      <c r="DU8">
        <v>-1.5849999999999997</v>
      </c>
      <c r="DV8">
        <v>-2.3083333333333331</v>
      </c>
      <c r="DW8">
        <v>7.3169298567756149</v>
      </c>
      <c r="DX8">
        <v>0.49379752066115712</v>
      </c>
      <c r="DY8">
        <v>7.0836053104409027</v>
      </c>
      <c r="DZ8">
        <v>4584</v>
      </c>
      <c r="EA8">
        <v>7.0086059478066369</v>
      </c>
      <c r="EB8">
        <v>7</v>
      </c>
      <c r="EC8">
        <v>0.24392513169355048</v>
      </c>
      <c r="ED8">
        <v>0.92466802220960886</v>
      </c>
      <c r="EE8" s="13">
        <v>-9.0421099999999992</v>
      </c>
      <c r="EF8">
        <v>-9.06311</v>
      </c>
      <c r="EG8">
        <v>23.263797520661157</v>
      </c>
      <c r="EH8" t="s">
        <v>1176</v>
      </c>
      <c r="EI8">
        <v>1</v>
      </c>
      <c r="EJ8">
        <v>0</v>
      </c>
      <c r="EK8" s="12">
        <v>45470</v>
      </c>
      <c r="EL8" s="14">
        <v>-3.04</v>
      </c>
      <c r="EM8" s="14">
        <v>-6.62</v>
      </c>
      <c r="EN8" s="14">
        <v>2.61</v>
      </c>
      <c r="EO8" s="14">
        <v>4</v>
      </c>
      <c r="EP8" s="14">
        <v>-2.1</v>
      </c>
    </row>
    <row r="9" spans="1:146" ht="96" x14ac:dyDescent="0.25">
      <c r="C9" s="5" t="str">
        <f>""&amp;CHAR(10)&amp;Basic_Fundamental_Information_Constructure(F9)&amp;CHAR(10)&amp;Basic_Fundamental_Information_Concatenate("")</f>
        <v xml:space="preserve">
市值27.135亿, 利润3174.58万; PE48.44; 平均PE-5.75; 平均PEG-.2, PB5.2; ROIC6.96%; ROE-54.96%; 股利率0%; 毛利34.98%; 净利-24.1933%; 上一年度营收增-5.77%, 利润增103.88%; 当季营收增-31.45%, 利润增55.37%; 过往5年营收增-28.21%, 利润增-418.91%
Income profile:
</v>
      </c>
      <c r="D9" t="s">
        <v>194</v>
      </c>
      <c r="E9" t="s">
        <v>7</v>
      </c>
      <c r="F9">
        <v>1.08</v>
      </c>
      <c r="G9">
        <v>0.93</v>
      </c>
      <c r="H9" t="s">
        <v>231</v>
      </c>
      <c r="I9">
        <v>2713500000</v>
      </c>
      <c r="J9">
        <v>48.44</v>
      </c>
      <c r="K9">
        <v>5.2</v>
      </c>
      <c r="L9" t="s">
        <v>53</v>
      </c>
      <c r="M9" t="s">
        <v>1177</v>
      </c>
      <c r="N9" t="s">
        <v>955</v>
      </c>
      <c r="O9" t="s">
        <v>228</v>
      </c>
      <c r="P9">
        <v>-31.38</v>
      </c>
      <c r="Q9" t="s">
        <v>1178</v>
      </c>
      <c r="R9">
        <v>68105029</v>
      </c>
      <c r="S9" s="3">
        <v>0.55369999999999997</v>
      </c>
      <c r="T9" t="s">
        <v>1179</v>
      </c>
      <c r="U9">
        <v>2512500000</v>
      </c>
      <c r="V9">
        <v>2512500000</v>
      </c>
      <c r="W9">
        <v>4.7699999999999996</v>
      </c>
      <c r="X9">
        <v>0.11</v>
      </c>
      <c r="Y9">
        <v>24.4</v>
      </c>
      <c r="Z9" t="s">
        <v>940</v>
      </c>
      <c r="AA9" t="s">
        <v>202</v>
      </c>
      <c r="AB9" t="s">
        <v>1180</v>
      </c>
      <c r="AC9" t="s">
        <v>1181</v>
      </c>
      <c r="AD9" t="s">
        <v>54</v>
      </c>
      <c r="AE9">
        <v>8637980</v>
      </c>
      <c r="AF9" t="s">
        <v>97</v>
      </c>
      <c r="AG9" t="s">
        <v>1182</v>
      </c>
      <c r="AH9" t="s">
        <v>1183</v>
      </c>
      <c r="AI9" t="s">
        <v>96</v>
      </c>
      <c r="AJ9" t="s">
        <v>1184</v>
      </c>
      <c r="AK9" t="s">
        <v>54</v>
      </c>
      <c r="AL9" t="s">
        <v>1185</v>
      </c>
      <c r="AM9" t="s">
        <v>54</v>
      </c>
      <c r="AN9" t="s">
        <v>1186</v>
      </c>
      <c r="AO9" t="s">
        <v>260</v>
      </c>
      <c r="AP9" t="s">
        <v>1187</v>
      </c>
      <c r="AQ9" t="s">
        <v>1188</v>
      </c>
      <c r="AR9" t="s">
        <v>1189</v>
      </c>
      <c r="AS9" t="s">
        <v>1190</v>
      </c>
      <c r="AT9" t="s">
        <v>54</v>
      </c>
      <c r="AU9" t="s">
        <v>1191</v>
      </c>
      <c r="AV9" t="s">
        <v>1192</v>
      </c>
      <c r="AW9" t="s">
        <v>1193</v>
      </c>
      <c r="AX9" t="s">
        <v>804</v>
      </c>
      <c r="AY9" t="s">
        <v>566</v>
      </c>
      <c r="AZ9" t="s">
        <v>289</v>
      </c>
      <c r="BA9" t="s">
        <v>195</v>
      </c>
      <c r="BB9" t="s">
        <v>291</v>
      </c>
      <c r="BC9" t="s">
        <v>1194</v>
      </c>
      <c r="BD9" t="s">
        <v>806</v>
      </c>
      <c r="BE9" t="s">
        <v>290</v>
      </c>
      <c r="BF9" t="s">
        <v>196</v>
      </c>
      <c r="BG9" t="s">
        <v>292</v>
      </c>
      <c r="BH9" t="s">
        <v>1178</v>
      </c>
      <c r="BI9" t="s">
        <v>89</v>
      </c>
      <c r="BJ9" t="s">
        <v>804</v>
      </c>
      <c r="BK9" t="s">
        <v>1179</v>
      </c>
      <c r="BL9" t="s">
        <v>1195</v>
      </c>
      <c r="BM9" t="s">
        <v>1194</v>
      </c>
      <c r="BN9">
        <v>6.96</v>
      </c>
      <c r="BO9" t="s">
        <v>54</v>
      </c>
      <c r="BP9" t="s">
        <v>54</v>
      </c>
      <c r="BQ9">
        <v>15.54</v>
      </c>
      <c r="BR9">
        <v>-130.9</v>
      </c>
      <c r="BS9">
        <v>-49.52</v>
      </c>
      <c r="BT9" t="s">
        <v>700</v>
      </c>
      <c r="BU9" t="s">
        <v>646</v>
      </c>
      <c r="BV9">
        <v>39.28</v>
      </c>
      <c r="BW9">
        <v>32.1</v>
      </c>
      <c r="BX9">
        <v>33.56</v>
      </c>
      <c r="BY9">
        <v>2.34</v>
      </c>
      <c r="BZ9">
        <v>-57.17</v>
      </c>
      <c r="CA9">
        <v>-17.75</v>
      </c>
      <c r="CB9">
        <v>6.93</v>
      </c>
      <c r="CC9">
        <v>-27.52</v>
      </c>
      <c r="CD9" t="s">
        <v>980</v>
      </c>
      <c r="CE9" t="s">
        <v>1196</v>
      </c>
      <c r="CF9" s="8">
        <v>-0.31449631449631449</v>
      </c>
      <c r="CG9" s="9">
        <v>0.55366073383947123</v>
      </c>
      <c r="CH9" s="8">
        <v>-5.7678986340761185E-2</v>
      </c>
      <c r="CI9" s="8">
        <v>-0.45471769571304321</v>
      </c>
      <c r="CJ9" s="8">
        <v>-0.30898138880729675</v>
      </c>
      <c r="CK9" s="8">
        <v>-0.30093353986740112</v>
      </c>
      <c r="CL9" s="8">
        <v>-0.28839391469955444</v>
      </c>
      <c r="CM9" s="9">
        <v>1.038809061050415</v>
      </c>
      <c r="CN9" s="9">
        <v>-1.0348259210586548</v>
      </c>
      <c r="CO9" s="9">
        <v>0.53201395273208618</v>
      </c>
      <c r="CP9" s="9">
        <v>-4.1212122887372971E-2</v>
      </c>
      <c r="CQ9" s="9">
        <v>-21.440219879150391</v>
      </c>
      <c r="CR9">
        <v>-5.7491587075018309</v>
      </c>
      <c r="CS9">
        <v>-0.20376891576140024</v>
      </c>
      <c r="CT9">
        <v>0</v>
      </c>
      <c r="CU9" s="8">
        <v>-0.28214110508561135</v>
      </c>
      <c r="CV9" s="9">
        <v>-4.1890869818627836</v>
      </c>
      <c r="CW9">
        <v>0.06</v>
      </c>
      <c r="CX9">
        <v>140.41227500960758</v>
      </c>
      <c r="CY9" t="s">
        <v>1197</v>
      </c>
      <c r="CZ9">
        <v>-0.28214110508561135</v>
      </c>
      <c r="DA9">
        <v>46.804091669869187</v>
      </c>
      <c r="DB9" t="s">
        <v>1198</v>
      </c>
      <c r="DC9">
        <v>-0.26803404983133078</v>
      </c>
      <c r="DD9">
        <v>23.402045834934594</v>
      </c>
      <c r="DE9" t="s">
        <v>1199</v>
      </c>
      <c r="DF9">
        <v>-0.24828417247533799</v>
      </c>
      <c r="DG9">
        <v>14.041227500960757</v>
      </c>
      <c r="DH9" t="s">
        <v>1200</v>
      </c>
      <c r="DI9">
        <v>-0.22571288406848911</v>
      </c>
      <c r="DJ9">
        <v>7.0206137504803783</v>
      </c>
      <c r="DK9" t="s">
        <v>1201</v>
      </c>
      <c r="DL9">
        <v>-0.19749877355992793</v>
      </c>
      <c r="DM9">
        <v>31745800</v>
      </c>
      <c r="DN9">
        <v>-0.28214110508561135</v>
      </c>
      <c r="DO9">
        <v>4457500000</v>
      </c>
      <c r="DP9">
        <v>-411032379.99999976</v>
      </c>
      <c r="DQ9">
        <v>776</v>
      </c>
      <c r="DR9">
        <v>-3.2355209410703134E-2</v>
      </c>
      <c r="DS9">
        <v>4.7427477157022544</v>
      </c>
      <c r="DT9" s="10">
        <v>-0.94</v>
      </c>
      <c r="DU9">
        <v>-1.0999999999999999</v>
      </c>
      <c r="DV9">
        <v>-2.04</v>
      </c>
      <c r="DW9">
        <v>7.2011611030478955</v>
      </c>
      <c r="DX9">
        <v>0.49489864864864913</v>
      </c>
      <c r="DY9">
        <v>7.0613337484799752</v>
      </c>
      <c r="DZ9">
        <v>4409</v>
      </c>
      <c r="EA9">
        <v>7.0084138860439262</v>
      </c>
      <c r="EB9">
        <v>7</v>
      </c>
      <c r="EC9">
        <v>0.28736318407960199</v>
      </c>
      <c r="ED9">
        <v>0.94248756218905472</v>
      </c>
      <c r="EE9" s="13">
        <v>4.04671</v>
      </c>
      <c r="EF9">
        <v>4.0848100000000001</v>
      </c>
      <c r="EG9">
        <v>19.304898648648649</v>
      </c>
      <c r="EH9" t="s">
        <v>947</v>
      </c>
      <c r="EI9">
        <v>1</v>
      </c>
      <c r="EJ9">
        <v>0</v>
      </c>
      <c r="EK9" s="12">
        <v>45470</v>
      </c>
      <c r="EL9" s="14">
        <v>0</v>
      </c>
      <c r="EM9" s="14">
        <v>-5.36</v>
      </c>
      <c r="EN9" s="14">
        <v>-1.89</v>
      </c>
      <c r="EO9" s="14">
        <v>0.96</v>
      </c>
      <c r="EP9" s="14">
        <v>-3.81</v>
      </c>
    </row>
    <row r="10" spans="1:146" ht="96" x14ac:dyDescent="0.25">
      <c r="C10" s="5" t="str">
        <f>""&amp;CHAR(10)&amp;Basic_Fundamental_Information_Constructure(F10)&amp;CHAR(10)&amp;Basic_Fundamental_Information_Concatenate("")</f>
        <v xml:space="preserve">
市值66.341119亿, 利润5.72亿; PE13.68; 平均PE11.27; 平均PEG4.86, PB1.53; ROIC11.87%; ROE13.36%; 股利率5.0314%; 毛利46.0767%; 净利11.3367%; 上一年度营收增.02%, 利润增-1.55%; 当季营收增-12.26%, 利润增-49.44%; 过往5年营收增2.32%, 利润增2.2%
Income profile:
</v>
      </c>
      <c r="D10" t="s">
        <v>128</v>
      </c>
      <c r="E10" t="s">
        <v>30</v>
      </c>
      <c r="F10">
        <v>7.95</v>
      </c>
      <c r="G10">
        <v>0</v>
      </c>
      <c r="H10" t="s">
        <v>1202</v>
      </c>
      <c r="I10">
        <v>6634111900</v>
      </c>
      <c r="J10">
        <v>13.68</v>
      </c>
      <c r="K10">
        <v>1.53</v>
      </c>
      <c r="L10" t="s">
        <v>53</v>
      </c>
      <c r="M10" t="s">
        <v>1203</v>
      </c>
      <c r="N10" t="s">
        <v>1204</v>
      </c>
      <c r="O10" t="s">
        <v>336</v>
      </c>
      <c r="P10">
        <v>-12.26</v>
      </c>
      <c r="Q10" t="s">
        <v>1205</v>
      </c>
      <c r="R10">
        <v>89493457</v>
      </c>
      <c r="S10" s="3">
        <v>-0.49469999999999997</v>
      </c>
      <c r="T10" t="s">
        <v>475</v>
      </c>
      <c r="U10">
        <v>826763320</v>
      </c>
      <c r="V10">
        <v>834479480</v>
      </c>
      <c r="W10">
        <v>1.55</v>
      </c>
      <c r="X10">
        <v>0.16</v>
      </c>
      <c r="Y10">
        <v>8.23</v>
      </c>
      <c r="Z10" t="s">
        <v>1206</v>
      </c>
      <c r="AA10" t="s">
        <v>575</v>
      </c>
      <c r="AB10" t="s">
        <v>1207</v>
      </c>
      <c r="AC10" t="s">
        <v>826</v>
      </c>
      <c r="AD10" t="s">
        <v>54</v>
      </c>
      <c r="AE10">
        <v>-3204492</v>
      </c>
      <c r="AF10" t="s">
        <v>1208</v>
      </c>
      <c r="AG10" t="s">
        <v>1209</v>
      </c>
      <c r="AH10" t="s">
        <v>1210</v>
      </c>
      <c r="AI10" t="s">
        <v>1211</v>
      </c>
      <c r="AJ10" t="s">
        <v>1212</v>
      </c>
      <c r="AK10" t="s">
        <v>54</v>
      </c>
      <c r="AL10" t="s">
        <v>1213</v>
      </c>
      <c r="AM10" t="s">
        <v>54</v>
      </c>
      <c r="AN10" t="s">
        <v>1214</v>
      </c>
      <c r="AO10" t="s">
        <v>849</v>
      </c>
      <c r="AP10" t="s">
        <v>1215</v>
      </c>
      <c r="AQ10" t="s">
        <v>1216</v>
      </c>
      <c r="AR10" t="s">
        <v>54</v>
      </c>
      <c r="AS10" t="s">
        <v>1217</v>
      </c>
      <c r="AT10" t="s">
        <v>54</v>
      </c>
      <c r="AU10" t="s">
        <v>1218</v>
      </c>
      <c r="AV10" t="s">
        <v>1219</v>
      </c>
      <c r="AW10" t="s">
        <v>911</v>
      </c>
      <c r="AX10" t="s">
        <v>809</v>
      </c>
      <c r="AY10" t="s">
        <v>567</v>
      </c>
      <c r="AZ10" t="s">
        <v>295</v>
      </c>
      <c r="BA10" t="s">
        <v>129</v>
      </c>
      <c r="BB10" t="s">
        <v>297</v>
      </c>
      <c r="BC10" t="s">
        <v>485</v>
      </c>
      <c r="BD10" t="s">
        <v>473</v>
      </c>
      <c r="BE10" t="s">
        <v>225</v>
      </c>
      <c r="BF10" t="s">
        <v>130</v>
      </c>
      <c r="BG10" t="s">
        <v>62</v>
      </c>
      <c r="BH10" t="s">
        <v>1205</v>
      </c>
      <c r="BI10" t="s">
        <v>1220</v>
      </c>
      <c r="BJ10" t="s">
        <v>809</v>
      </c>
      <c r="BK10" t="s">
        <v>475</v>
      </c>
      <c r="BL10" t="s">
        <v>835</v>
      </c>
      <c r="BM10" t="s">
        <v>485</v>
      </c>
      <c r="BN10">
        <v>8.27</v>
      </c>
      <c r="BO10">
        <v>11.79</v>
      </c>
      <c r="BP10">
        <v>15.55</v>
      </c>
      <c r="BQ10">
        <v>9.8800000000000008</v>
      </c>
      <c r="BR10">
        <v>13.73</v>
      </c>
      <c r="BS10">
        <v>16.47</v>
      </c>
      <c r="BT10" t="s">
        <v>797</v>
      </c>
      <c r="BU10" t="s">
        <v>655</v>
      </c>
      <c r="BV10">
        <v>47.27</v>
      </c>
      <c r="BW10">
        <v>45.96</v>
      </c>
      <c r="BX10">
        <v>45</v>
      </c>
      <c r="BY10">
        <v>10.74</v>
      </c>
      <c r="BZ10">
        <v>10.79</v>
      </c>
      <c r="CA10">
        <v>12.48</v>
      </c>
      <c r="CB10">
        <v>-1.61</v>
      </c>
      <c r="CC10">
        <v>-7.77</v>
      </c>
      <c r="CD10" t="s">
        <v>1221</v>
      </c>
      <c r="CE10" t="s">
        <v>1222</v>
      </c>
      <c r="CF10" s="8">
        <v>-0.12258064516129032</v>
      </c>
      <c r="CG10" s="9">
        <v>-0.4943872485875706</v>
      </c>
      <c r="CH10" s="8">
        <v>1.881701173260808E-4</v>
      </c>
      <c r="CI10" s="8">
        <v>-7.7430576086044312E-2</v>
      </c>
      <c r="CJ10" s="8">
        <v>0.17287719249725342</v>
      </c>
      <c r="CK10" s="8">
        <v>1.0493787005543709E-2</v>
      </c>
      <c r="CL10" s="8">
        <v>9.7652319818735123E-3</v>
      </c>
      <c r="CM10" s="9">
        <v>-1.5490533784031868E-2</v>
      </c>
      <c r="CN10" s="9">
        <v>-0.18513323366641998</v>
      </c>
      <c r="CO10" s="9">
        <v>0.21880342066287994</v>
      </c>
      <c r="CP10" s="9">
        <v>7.1428574621677399E-2</v>
      </c>
      <c r="CQ10" s="9">
        <v>2.0560747012495995E-2</v>
      </c>
      <c r="CR10">
        <v>11.269725764439412</v>
      </c>
      <c r="CS10">
        <v>4.8620915131172264</v>
      </c>
      <c r="CT10">
        <v>5.0314465408805029</v>
      </c>
      <c r="CU10" s="8">
        <v>2.3178761103190483E-2</v>
      </c>
      <c r="CV10" s="9">
        <v>2.2033794969320297E-2</v>
      </c>
      <c r="CW10">
        <v>0.06</v>
      </c>
      <c r="CX10">
        <v>8.7354575560415935</v>
      </c>
      <c r="CY10">
        <v>552130425.80285358</v>
      </c>
      <c r="CZ10">
        <v>2.3178761103190483E-2</v>
      </c>
      <c r="DA10">
        <v>3.0221111360556678</v>
      </c>
      <c r="DB10">
        <v>1595941275.109731</v>
      </c>
      <c r="DC10">
        <v>2.2019823048030959E-2</v>
      </c>
      <c r="DD10">
        <v>1.6022865092173442</v>
      </c>
      <c r="DE10">
        <v>3010143237.3389363</v>
      </c>
      <c r="DF10">
        <v>2.0397309770807625E-2</v>
      </c>
      <c r="DG10">
        <v>1.0432284273025996</v>
      </c>
      <c r="DH10">
        <v>4623255821.8057499</v>
      </c>
      <c r="DI10">
        <v>1.8543008882552389E-2</v>
      </c>
      <c r="DJ10">
        <v>0.63745864252319262</v>
      </c>
      <c r="DK10">
        <v>7566156575.9138966</v>
      </c>
      <c r="DL10">
        <v>1.6225132772233336E-2</v>
      </c>
      <c r="DM10">
        <v>572000000</v>
      </c>
      <c r="DN10">
        <v>2.3178761103190483E-2</v>
      </c>
      <c r="DO10">
        <v>4823111900</v>
      </c>
      <c r="DP10">
        <v>2128481500</v>
      </c>
      <c r="DQ10">
        <v>800</v>
      </c>
      <c r="DR10">
        <v>-0.14575940626448081</v>
      </c>
      <c r="DS10">
        <v>-0.51642104355689089</v>
      </c>
      <c r="DT10" s="10">
        <v>-0.3066666666666667</v>
      </c>
      <c r="DU10">
        <v>-0.23666666666666666</v>
      </c>
      <c r="DV10">
        <v>-0.54333333333333333</v>
      </c>
      <c r="DW10">
        <v>-2.0777000000000001</v>
      </c>
      <c r="DX10">
        <v>0.41741075648256115</v>
      </c>
      <c r="DY10">
        <v>-2.0168928157786952</v>
      </c>
      <c r="DZ10">
        <v>2945</v>
      </c>
      <c r="EA10">
        <v>-2.0071571323211104</v>
      </c>
      <c r="EB10">
        <v>2</v>
      </c>
      <c r="EC10">
        <v>1.6538213737742238E-2</v>
      </c>
      <c r="ED10">
        <v>7.6068976555301274E-2</v>
      </c>
      <c r="EE10" s="13">
        <v>-1.0321100000000001</v>
      </c>
      <c r="EF10">
        <v>-1.0443100000000001</v>
      </c>
      <c r="EG10">
        <v>20.217410756482561</v>
      </c>
      <c r="EH10" t="s">
        <v>656</v>
      </c>
      <c r="EI10">
        <v>0</v>
      </c>
      <c r="EJ10">
        <v>0</v>
      </c>
      <c r="EK10" s="12">
        <v>45470</v>
      </c>
      <c r="EL10" s="14">
        <v>-0.12</v>
      </c>
      <c r="EM10" s="14">
        <v>-1.94</v>
      </c>
      <c r="EN10" s="14">
        <v>1.1200000000000001</v>
      </c>
      <c r="EO10" s="14">
        <v>0.12</v>
      </c>
      <c r="EP10" s="14">
        <v>-1.22</v>
      </c>
    </row>
    <row r="11" spans="1:146" ht="96" x14ac:dyDescent="0.25">
      <c r="C11" s="5" t="str">
        <f>""&amp;CHAR(10)&amp;Basic_Fundamental_Information_Constructure(F11)&amp;CHAR(10)&amp;Basic_Fundamental_Information_Concatenate("")</f>
        <v xml:space="preserve">
市值85.267342亿, 利润5.72亿; PE14.61; 平均PE15.89; 平均PEG17.65, PB2.14; ROIC12.5167%; ROE13.14%; 股利率6.3788%; 毛利53.6233%; 净利17.7933%; 上一年度营收增-1.62%, 利润增6.92%; 当季营收增5.16%, 利润增10.25%; 过往5年营收增.9%, 利润增1.17%
Income profile:
</v>
      </c>
      <c r="D11" t="s">
        <v>84</v>
      </c>
      <c r="E11" t="s">
        <v>34</v>
      </c>
      <c r="F11">
        <v>10.19</v>
      </c>
      <c r="G11">
        <v>0.99</v>
      </c>
      <c r="H11" t="s">
        <v>1223</v>
      </c>
      <c r="I11">
        <v>8526734200</v>
      </c>
      <c r="J11">
        <v>14.61</v>
      </c>
      <c r="K11">
        <v>2.14</v>
      </c>
      <c r="L11" t="s">
        <v>53</v>
      </c>
      <c r="M11" t="s">
        <v>1224</v>
      </c>
      <c r="N11" t="s">
        <v>1225</v>
      </c>
      <c r="O11" t="s">
        <v>510</v>
      </c>
      <c r="P11">
        <v>5.2</v>
      </c>
      <c r="Q11" t="s">
        <v>1226</v>
      </c>
      <c r="R11">
        <v>122373671</v>
      </c>
      <c r="S11" s="3">
        <v>0.1024</v>
      </c>
      <c r="T11" t="s">
        <v>475</v>
      </c>
      <c r="U11">
        <v>486795330</v>
      </c>
      <c r="V11">
        <v>836774700</v>
      </c>
      <c r="W11">
        <v>1.23</v>
      </c>
      <c r="X11">
        <v>0.13</v>
      </c>
      <c r="Y11">
        <v>18.77</v>
      </c>
      <c r="Z11" t="s">
        <v>1227</v>
      </c>
      <c r="AA11" t="s">
        <v>512</v>
      </c>
      <c r="AB11" t="s">
        <v>967</v>
      </c>
      <c r="AC11" t="s">
        <v>1228</v>
      </c>
      <c r="AD11" t="s">
        <v>54</v>
      </c>
      <c r="AE11">
        <v>-5544467</v>
      </c>
      <c r="AF11" t="s">
        <v>1229</v>
      </c>
      <c r="AG11" t="s">
        <v>1230</v>
      </c>
      <c r="AH11" t="s">
        <v>1231</v>
      </c>
      <c r="AI11" t="s">
        <v>400</v>
      </c>
      <c r="AJ11" t="s">
        <v>1232</v>
      </c>
      <c r="AK11" t="s">
        <v>54</v>
      </c>
      <c r="AL11" t="s">
        <v>1233</v>
      </c>
      <c r="AM11" t="s">
        <v>54</v>
      </c>
      <c r="AN11" t="s">
        <v>1234</v>
      </c>
      <c r="AO11" t="s">
        <v>54</v>
      </c>
      <c r="AP11" t="s">
        <v>1235</v>
      </c>
      <c r="AQ11" t="s">
        <v>662</v>
      </c>
      <c r="AR11" t="s">
        <v>1236</v>
      </c>
      <c r="AS11" t="s">
        <v>992</v>
      </c>
      <c r="AT11" t="s">
        <v>54</v>
      </c>
      <c r="AU11" t="s">
        <v>1237</v>
      </c>
      <c r="AV11" t="s">
        <v>1238</v>
      </c>
      <c r="AW11" t="s">
        <v>54</v>
      </c>
      <c r="AX11" t="s">
        <v>811</v>
      </c>
      <c r="AY11" t="s">
        <v>568</v>
      </c>
      <c r="AZ11" t="s">
        <v>299</v>
      </c>
      <c r="BA11" t="s">
        <v>85</v>
      </c>
      <c r="BB11" t="s">
        <v>302</v>
      </c>
      <c r="BC11" t="s">
        <v>62</v>
      </c>
      <c r="BD11" t="s">
        <v>130</v>
      </c>
      <c r="BE11" t="s">
        <v>300</v>
      </c>
      <c r="BF11" t="s">
        <v>86</v>
      </c>
      <c r="BG11" t="s">
        <v>78</v>
      </c>
      <c r="BH11" t="s">
        <v>1226</v>
      </c>
      <c r="BI11" t="s">
        <v>1239</v>
      </c>
      <c r="BJ11" t="s">
        <v>811</v>
      </c>
      <c r="BK11" t="s">
        <v>475</v>
      </c>
      <c r="BL11" t="s">
        <v>911</v>
      </c>
      <c r="BM11" t="s">
        <v>62</v>
      </c>
      <c r="BN11">
        <v>8.9600000000000009</v>
      </c>
      <c r="BO11">
        <v>13.73</v>
      </c>
      <c r="BP11">
        <v>14.86</v>
      </c>
      <c r="BQ11">
        <v>9.36</v>
      </c>
      <c r="BR11">
        <v>14.33</v>
      </c>
      <c r="BS11">
        <v>15.73</v>
      </c>
      <c r="BT11" t="s">
        <v>1240</v>
      </c>
      <c r="BU11" t="s">
        <v>655</v>
      </c>
      <c r="BV11">
        <v>55.63</v>
      </c>
      <c r="BW11">
        <v>53.1</v>
      </c>
      <c r="BX11">
        <v>52.14</v>
      </c>
      <c r="BY11">
        <v>18.88</v>
      </c>
      <c r="BZ11">
        <v>17.329999999999998</v>
      </c>
      <c r="CA11">
        <v>17.170000000000002</v>
      </c>
      <c r="CB11">
        <v>1.39</v>
      </c>
      <c r="CC11">
        <v>-3.04</v>
      </c>
      <c r="CD11" t="s">
        <v>1241</v>
      </c>
      <c r="CE11" t="s">
        <v>258</v>
      </c>
      <c r="CF11" s="8">
        <v>5.1612903225806452E-2</v>
      </c>
      <c r="CG11" s="9">
        <v>0.10246550450450435</v>
      </c>
      <c r="CH11" s="8">
        <v>-1.6233725473284721E-2</v>
      </c>
      <c r="CI11" s="8">
        <v>-3.1141888350248337E-2</v>
      </c>
      <c r="CJ11" s="8">
        <v>0.10612393915653229</v>
      </c>
      <c r="CK11" s="8">
        <v>3.0476851388812065E-2</v>
      </c>
      <c r="CL11" s="8">
        <v>-4.4208426028490067E-2</v>
      </c>
      <c r="CM11" s="9">
        <v>6.9158881902694702E-2</v>
      </c>
      <c r="CN11" s="9">
        <v>-2.0146520808339119E-2</v>
      </c>
      <c r="CO11" s="9">
        <v>5.8139536529779434E-2</v>
      </c>
      <c r="CP11" s="9">
        <v>1.7751479521393776E-2</v>
      </c>
      <c r="CQ11" s="9">
        <v>-6.6298343241214752E-2</v>
      </c>
      <c r="CR11">
        <v>15.893260391425908</v>
      </c>
      <c r="CS11">
        <v>17.652607248021415</v>
      </c>
      <c r="CT11">
        <v>6.3788027477919531</v>
      </c>
      <c r="CU11" s="8">
        <v>9.0033501386642453E-3</v>
      </c>
      <c r="CV11" s="9">
        <v>1.1721006780862808E-2</v>
      </c>
      <c r="CW11">
        <v>0.06</v>
      </c>
      <c r="CX11">
        <v>10.341469492843975</v>
      </c>
      <c r="CY11">
        <v>544481053.09369421</v>
      </c>
      <c r="CZ11">
        <v>9.0033501386642453E-3</v>
      </c>
      <c r="DA11">
        <v>3.6216260652999157</v>
      </c>
      <c r="DB11">
        <v>1554753058.0117209</v>
      </c>
      <c r="DC11">
        <v>8.5531826317310333E-3</v>
      </c>
      <c r="DD11">
        <v>1.94978408753045</v>
      </c>
      <c r="DE11">
        <v>2887875758.1470232</v>
      </c>
      <c r="DF11">
        <v>7.9229481220245354E-3</v>
      </c>
      <c r="DG11">
        <v>1.2898590499633702</v>
      </c>
      <c r="DH11">
        <v>4365387210.4552069</v>
      </c>
      <c r="DI11">
        <v>7.2026801109313964E-3</v>
      </c>
      <c r="DJ11">
        <v>0.81257178828923415</v>
      </c>
      <c r="DK11">
        <v>6929522143.3355322</v>
      </c>
      <c r="DL11">
        <v>6.3023450970649715E-3</v>
      </c>
      <c r="DM11">
        <v>572000000</v>
      </c>
      <c r="DN11">
        <v>9.0033501386642453E-3</v>
      </c>
      <c r="DO11">
        <v>5630734200</v>
      </c>
      <c r="DP11">
        <v>2137453000</v>
      </c>
      <c r="DQ11">
        <v>834</v>
      </c>
      <c r="DR11">
        <v>4.2609553087142205E-2</v>
      </c>
      <c r="DS11">
        <v>9.0744497723641543E-2</v>
      </c>
      <c r="DT11" s="10">
        <v>-0.44</v>
      </c>
      <c r="DU11">
        <v>0</v>
      </c>
      <c r="DV11">
        <v>-0.44</v>
      </c>
      <c r="DW11">
        <v>-1.0304</v>
      </c>
      <c r="DX11">
        <v>0.27072253521126777</v>
      </c>
      <c r="DY11">
        <v>-1.0039739650704225</v>
      </c>
      <c r="DZ11">
        <v>2754</v>
      </c>
      <c r="EA11">
        <v>-1.0018322234258152</v>
      </c>
      <c r="EB11">
        <v>1</v>
      </c>
      <c r="EC11">
        <v>2.2183510089394433E-2</v>
      </c>
      <c r="ED11">
        <v>0.1696992033817466</v>
      </c>
      <c r="EE11" s="13">
        <v>3.7100000000000001E-2</v>
      </c>
      <c r="EF11">
        <v>1.4000000000000002E-2</v>
      </c>
      <c r="EG11">
        <v>14.130722535211268</v>
      </c>
      <c r="EH11" t="s">
        <v>648</v>
      </c>
      <c r="EI11">
        <v>0</v>
      </c>
      <c r="EJ11">
        <v>0</v>
      </c>
      <c r="EK11" s="12">
        <v>45470</v>
      </c>
      <c r="EL11" s="14">
        <v>-0.39</v>
      </c>
      <c r="EM11" s="14">
        <v>-1.95</v>
      </c>
      <c r="EN11" s="14">
        <v>0.3</v>
      </c>
      <c r="EO11" s="14">
        <v>-1.19</v>
      </c>
      <c r="EP11" s="14">
        <v>-2.31</v>
      </c>
    </row>
    <row r="12" spans="1:146" ht="96" x14ac:dyDescent="0.25">
      <c r="A12"/>
      <c r="B12"/>
      <c r="C12" s="5" t="str">
        <f>""&amp;CHAR(10)&amp;Basic_Fundamental_Information_Constructure(F12)&amp;CHAR(10)&amp;Basic_Fundamental_Information_Concatenate("")</f>
        <v xml:space="preserve">
市值42.204354亿, 利润3.33亿; PE12.41; 平均PE21.55; 平均PEG1.48, PB1.12; ROIC6.4267%; ROE8.1333%; 股利率5.2632%; 毛利29.88%; 净利5.9667%; 上一年度营收增33.57%, 利润增67.34%; 当季营收增17.85%, 利润增5.51%; 过往5年营收增14.57%, 利润增52.29%
Income profile:
</v>
      </c>
      <c r="D12" t="s">
        <v>1242</v>
      </c>
      <c r="E12" t="s">
        <v>1243</v>
      </c>
      <c r="F12">
        <v>4.75</v>
      </c>
      <c r="G12">
        <v>2.15</v>
      </c>
      <c r="H12" t="s">
        <v>1244</v>
      </c>
      <c r="I12">
        <v>4220435400</v>
      </c>
      <c r="J12">
        <v>12.41</v>
      </c>
      <c r="K12">
        <v>1.1200000000000001</v>
      </c>
      <c r="L12" t="s">
        <v>53</v>
      </c>
      <c r="M12" t="s">
        <v>1245</v>
      </c>
      <c r="N12" t="s">
        <v>1246</v>
      </c>
      <c r="O12" t="s">
        <v>979</v>
      </c>
      <c r="P12" s="3">
        <v>17.87</v>
      </c>
      <c r="Q12" t="s">
        <v>1247</v>
      </c>
      <c r="R12">
        <v>130833823</v>
      </c>
      <c r="S12">
        <v>5.4699999999999999E-2</v>
      </c>
      <c r="T12" t="s">
        <v>890</v>
      </c>
      <c r="U12">
        <v>867341870</v>
      </c>
      <c r="V12">
        <v>888512710</v>
      </c>
      <c r="W12">
        <v>1.55</v>
      </c>
      <c r="X12">
        <v>0.3</v>
      </c>
      <c r="Y12">
        <v>7.35</v>
      </c>
      <c r="Z12" t="s">
        <v>1248</v>
      </c>
      <c r="AA12" t="s">
        <v>1249</v>
      </c>
      <c r="AB12" t="s">
        <v>882</v>
      </c>
      <c r="AC12" t="s">
        <v>1250</v>
      </c>
      <c r="AD12" t="s">
        <v>54</v>
      </c>
      <c r="AE12">
        <v>9147191</v>
      </c>
      <c r="AF12" t="s">
        <v>1251</v>
      </c>
      <c r="AG12" t="s">
        <v>1252</v>
      </c>
      <c r="AH12" t="s">
        <v>1253</v>
      </c>
      <c r="AI12" t="s">
        <v>950</v>
      </c>
      <c r="AJ12" t="s">
        <v>1254</v>
      </c>
      <c r="AK12" t="s">
        <v>54</v>
      </c>
      <c r="AL12" t="s">
        <v>1255</v>
      </c>
      <c r="AM12" t="s">
        <v>54</v>
      </c>
      <c r="AN12">
        <v>0</v>
      </c>
      <c r="AO12" t="s">
        <v>827</v>
      </c>
      <c r="AP12" t="s">
        <v>54</v>
      </c>
      <c r="AQ12" t="s">
        <v>678</v>
      </c>
      <c r="AR12" t="s">
        <v>1256</v>
      </c>
      <c r="AS12" t="s">
        <v>1257</v>
      </c>
      <c r="AT12" t="s">
        <v>240</v>
      </c>
      <c r="AU12" t="s">
        <v>216</v>
      </c>
      <c r="AV12" t="s">
        <v>1258</v>
      </c>
      <c r="AW12" t="s">
        <v>1259</v>
      </c>
      <c r="AX12" t="s">
        <v>1260</v>
      </c>
      <c r="AY12" t="s">
        <v>1261</v>
      </c>
      <c r="AZ12" t="s">
        <v>1262</v>
      </c>
      <c r="BA12" t="s">
        <v>1263</v>
      </c>
      <c r="BB12" t="s">
        <v>1264</v>
      </c>
      <c r="BC12" t="s">
        <v>956</v>
      </c>
      <c r="BD12" t="s">
        <v>122</v>
      </c>
      <c r="BE12" t="s">
        <v>218</v>
      </c>
      <c r="BF12" t="s">
        <v>1265</v>
      </c>
      <c r="BG12" t="s">
        <v>1266</v>
      </c>
      <c r="BH12" t="s">
        <v>1247</v>
      </c>
      <c r="BI12" t="s">
        <v>1267</v>
      </c>
      <c r="BJ12" t="s">
        <v>1260</v>
      </c>
      <c r="BK12" t="s">
        <v>890</v>
      </c>
      <c r="BL12" t="s">
        <v>216</v>
      </c>
      <c r="BM12" t="s">
        <v>956</v>
      </c>
      <c r="BN12">
        <v>6.76</v>
      </c>
      <c r="BO12">
        <v>4.58</v>
      </c>
      <c r="BP12">
        <v>7.94</v>
      </c>
      <c r="BQ12">
        <v>8.6199999999999992</v>
      </c>
      <c r="BR12">
        <v>5.66</v>
      </c>
      <c r="BS12">
        <v>10.119999999999999</v>
      </c>
      <c r="BT12" t="s">
        <v>1154</v>
      </c>
      <c r="BU12" t="s">
        <v>1030</v>
      </c>
      <c r="BV12">
        <v>26.07</v>
      </c>
      <c r="BW12">
        <v>30.18</v>
      </c>
      <c r="BX12">
        <v>33.39</v>
      </c>
      <c r="BY12">
        <v>5.59</v>
      </c>
      <c r="BZ12">
        <v>4.6399999999999997</v>
      </c>
      <c r="CA12">
        <v>7.67</v>
      </c>
      <c r="CB12">
        <v>0.64</v>
      </c>
      <c r="CC12" s="8">
        <v>-14.41</v>
      </c>
      <c r="CD12" s="9" t="s">
        <v>1268</v>
      </c>
      <c r="CE12" s="8" t="s">
        <v>257</v>
      </c>
      <c r="CF12" s="8">
        <v>0.17847769028871391</v>
      </c>
      <c r="CG12" s="8">
        <v>5.5111475806451614E-2</v>
      </c>
      <c r="CH12" s="8">
        <v>0.33574831485748291</v>
      </c>
      <c r="CI12" s="8">
        <v>-4.7239065170288086E-2</v>
      </c>
      <c r="CJ12" s="9">
        <v>0.44199073314666748</v>
      </c>
      <c r="CK12" s="9">
        <v>-9.257691353559494E-2</v>
      </c>
      <c r="CL12" s="9">
        <v>9.0825140476226807E-2</v>
      </c>
      <c r="CM12" s="9">
        <v>0.67336684465408325</v>
      </c>
      <c r="CN12" s="9">
        <v>-0.43304842710494995</v>
      </c>
      <c r="CO12">
        <v>1.5071429014205933</v>
      </c>
      <c r="CP12">
        <v>0.72432905435562134</v>
      </c>
      <c r="CQ12">
        <v>0.14281256496906281</v>
      </c>
      <c r="CR12" s="8">
        <v>21.546833618680299</v>
      </c>
      <c r="CS12" s="9">
        <v>1.4783455609000955</v>
      </c>
      <c r="CT12">
        <v>5.2631578947368425</v>
      </c>
      <c r="CU12">
        <v>0.14574964195489884</v>
      </c>
      <c r="CV12">
        <v>0.52292058765888216</v>
      </c>
      <c r="CW12">
        <v>0.06</v>
      </c>
      <c r="CX12">
        <v>6.0772504957533044</v>
      </c>
      <c r="CY12">
        <v>359938330.9160201</v>
      </c>
      <c r="CZ12">
        <v>0.14574964195489884</v>
      </c>
      <c r="DA12">
        <v>1.8949876798378282</v>
      </c>
      <c r="DB12">
        <v>1154326977.04251</v>
      </c>
      <c r="DC12">
        <v>0.1384621598571539</v>
      </c>
      <c r="DD12">
        <v>0.87501360402142625</v>
      </c>
      <c r="DE12">
        <v>2499887304.5480523</v>
      </c>
      <c r="DF12">
        <v>0.12825968492031098</v>
      </c>
      <c r="DG12">
        <v>0.4879779994174635</v>
      </c>
      <c r="DH12">
        <v>4482651682.2711439</v>
      </c>
      <c r="DI12">
        <v>0.11659971356391907</v>
      </c>
      <c r="DJ12">
        <v>0.21296269677320603</v>
      </c>
      <c r="DK12">
        <v>10271448629.942467</v>
      </c>
      <c r="DL12">
        <v>0.10202474936842919</v>
      </c>
      <c r="DM12">
        <v>333000000</v>
      </c>
      <c r="DN12">
        <v>0.14574964195489884</v>
      </c>
      <c r="DO12">
        <v>2187435400</v>
      </c>
      <c r="DP12">
        <v>2509518200</v>
      </c>
      <c r="DQ12" s="10">
        <v>852</v>
      </c>
      <c r="DR12">
        <v>3.2728048333815069E-2</v>
      </c>
      <c r="DS12">
        <v>-0.46780911185243057</v>
      </c>
      <c r="DT12">
        <v>-0.14000000000000001</v>
      </c>
      <c r="DU12">
        <v>0.68333333333333324</v>
      </c>
      <c r="DV12">
        <v>0.54333333333333322</v>
      </c>
      <c r="DW12">
        <v>-2.1440999999999999</v>
      </c>
      <c r="DX12">
        <v>0.34648638132295684</v>
      </c>
      <c r="DY12">
        <v>-2.0196676875486381</v>
      </c>
      <c r="DZ12">
        <v>653</v>
      </c>
      <c r="EA12">
        <v>-2.0171543803139493</v>
      </c>
      <c r="EB12" s="13">
        <v>2</v>
      </c>
      <c r="EC12" s="13">
        <v>3.947833227956863E-2</v>
      </c>
      <c r="ED12">
        <v>0.28924740986541425</v>
      </c>
      <c r="EE12">
        <v>4.0570000000000004</v>
      </c>
      <c r="EF12">
        <v>4.0225</v>
      </c>
      <c r="EG12">
        <v>21.136486381322957</v>
      </c>
      <c r="EH12" s="12" t="s">
        <v>691</v>
      </c>
      <c r="EI12">
        <v>0</v>
      </c>
      <c r="EJ12">
        <v>1</v>
      </c>
      <c r="EK12">
        <v>45470</v>
      </c>
      <c r="EL12">
        <v>0.4</v>
      </c>
      <c r="EM12">
        <v>-2.78</v>
      </c>
      <c r="EN12" s="14">
        <v>0.41</v>
      </c>
      <c r="EO12" s="14">
        <v>0.41</v>
      </c>
      <c r="EP12" s="14">
        <v>-3.45</v>
      </c>
    </row>
    <row r="13" spans="1:146" ht="96" x14ac:dyDescent="0.25">
      <c r="C13" s="5" t="str">
        <f>""&amp;CHAR(10)&amp;Basic_Fundamental_Information_Constructure(F13)&amp;CHAR(10)&amp;Basic_Fundamental_Information_Concatenate("")</f>
        <v xml:space="preserve">
市值14.432182亿, 利润2241.42万; PE70.98; 平均PE-23.6; 平均PEG-49.5, PB1.24; ROIC2.55%; ROE-13.0867%; 股利率0%; 毛利37.3567%; 净利-9.1333%; 上一年度营收增6.05%, 利润增105%; 当季营收增-11.47%, 利润增-19.11%; 过往5年营收增-.48%, 利润增-115.13%
Income profile:
</v>
      </c>
      <c r="D13" t="s">
        <v>125</v>
      </c>
      <c r="E13" t="s">
        <v>16</v>
      </c>
      <c r="F13">
        <v>1.93</v>
      </c>
      <c r="G13">
        <v>2.12</v>
      </c>
      <c r="H13" t="s">
        <v>1269</v>
      </c>
      <c r="I13">
        <v>1443218200</v>
      </c>
      <c r="J13">
        <v>70.98</v>
      </c>
      <c r="K13">
        <v>1.24</v>
      </c>
      <c r="L13" t="s">
        <v>53</v>
      </c>
      <c r="M13" t="s">
        <v>1270</v>
      </c>
      <c r="N13" t="s">
        <v>1271</v>
      </c>
      <c r="O13" t="s">
        <v>1272</v>
      </c>
      <c r="P13">
        <v>-11.63</v>
      </c>
      <c r="Q13" t="s">
        <v>1273</v>
      </c>
      <c r="R13">
        <v>8814231</v>
      </c>
      <c r="S13" s="3">
        <v>-0.19109999999999999</v>
      </c>
      <c r="T13" t="s">
        <v>1274</v>
      </c>
      <c r="U13">
        <v>587854150</v>
      </c>
      <c r="V13">
        <v>747781440</v>
      </c>
      <c r="W13">
        <v>2.3199999999999998</v>
      </c>
      <c r="X13">
        <v>0.15</v>
      </c>
      <c r="Y13">
        <v>2.0699999999999998</v>
      </c>
      <c r="Z13" t="s">
        <v>1192</v>
      </c>
      <c r="AA13" t="s">
        <v>242</v>
      </c>
      <c r="AB13" t="s">
        <v>203</v>
      </c>
      <c r="AC13" t="s">
        <v>1275</v>
      </c>
      <c r="AD13" t="s">
        <v>54</v>
      </c>
      <c r="AE13">
        <v>3777326</v>
      </c>
      <c r="AF13" t="s">
        <v>1276</v>
      </c>
      <c r="AG13" t="s">
        <v>1277</v>
      </c>
      <c r="AH13" t="s">
        <v>1278</v>
      </c>
      <c r="AI13" t="s">
        <v>1003</v>
      </c>
      <c r="AJ13" t="s">
        <v>1279</v>
      </c>
      <c r="AK13" t="s">
        <v>1280</v>
      </c>
      <c r="AL13" t="s">
        <v>1281</v>
      </c>
      <c r="AM13" t="s">
        <v>54</v>
      </c>
      <c r="AN13" t="s">
        <v>1282</v>
      </c>
      <c r="AO13" t="s">
        <v>1283</v>
      </c>
      <c r="AP13" t="s">
        <v>468</v>
      </c>
      <c r="AQ13" t="s">
        <v>889</v>
      </c>
      <c r="AR13" t="s">
        <v>54</v>
      </c>
      <c r="AS13" t="s">
        <v>173</v>
      </c>
      <c r="AT13" t="s">
        <v>815</v>
      </c>
      <c r="AU13" t="s">
        <v>1284</v>
      </c>
      <c r="AV13" t="s">
        <v>1285</v>
      </c>
      <c r="AW13" t="s">
        <v>1286</v>
      </c>
      <c r="AX13" t="s">
        <v>813</v>
      </c>
      <c r="AY13" t="s">
        <v>569</v>
      </c>
      <c r="AZ13" t="s">
        <v>304</v>
      </c>
      <c r="BA13" t="s">
        <v>126</v>
      </c>
      <c r="BB13" t="s">
        <v>307</v>
      </c>
      <c r="BC13" t="s">
        <v>814</v>
      </c>
      <c r="BD13" t="s">
        <v>570</v>
      </c>
      <c r="BE13" t="s">
        <v>305</v>
      </c>
      <c r="BF13" t="s">
        <v>127</v>
      </c>
      <c r="BG13" t="s">
        <v>308</v>
      </c>
      <c r="BH13" t="s">
        <v>1273</v>
      </c>
      <c r="BI13" t="s">
        <v>1287</v>
      </c>
      <c r="BJ13" t="s">
        <v>813</v>
      </c>
      <c r="BK13" t="s">
        <v>1274</v>
      </c>
      <c r="BL13" t="s">
        <v>1288</v>
      </c>
      <c r="BM13" t="s">
        <v>814</v>
      </c>
      <c r="BN13">
        <v>2.5499999999999998</v>
      </c>
      <c r="BO13" t="s">
        <v>54</v>
      </c>
      <c r="BP13" t="s">
        <v>54</v>
      </c>
      <c r="BQ13">
        <v>2.7</v>
      </c>
      <c r="BR13">
        <v>-32.770000000000003</v>
      </c>
      <c r="BS13">
        <v>-9.19</v>
      </c>
      <c r="BT13" t="s">
        <v>700</v>
      </c>
      <c r="BU13" t="s">
        <v>655</v>
      </c>
      <c r="BV13">
        <v>41.24</v>
      </c>
      <c r="BW13">
        <v>33.08</v>
      </c>
      <c r="BX13">
        <v>37.75</v>
      </c>
      <c r="BY13">
        <v>1.06</v>
      </c>
      <c r="BZ13">
        <v>-22.05</v>
      </c>
      <c r="CA13">
        <v>-6.41</v>
      </c>
      <c r="CB13">
        <v>0.52</v>
      </c>
      <c r="CC13">
        <v>-22.49</v>
      </c>
      <c r="CD13" t="s">
        <v>1289</v>
      </c>
      <c r="CE13" t="s">
        <v>795</v>
      </c>
      <c r="CF13" s="8">
        <v>-0.11471861471861472</v>
      </c>
      <c r="CG13" s="9">
        <v>-0.1911174840320094</v>
      </c>
      <c r="CH13" s="8">
        <v>6.0501754283905029E-2</v>
      </c>
      <c r="CI13" s="8">
        <v>-0.17458388209342957</v>
      </c>
      <c r="CJ13" s="8">
        <v>0.10945948958396912</v>
      </c>
      <c r="CK13" s="8">
        <v>-0.14746543765068054</v>
      </c>
      <c r="CL13" s="8">
        <v>0.12824957072734833</v>
      </c>
      <c r="CM13" s="9">
        <v>1.0500316619873047</v>
      </c>
      <c r="CN13" s="9">
        <v>-1.8717948198318481</v>
      </c>
      <c r="CO13" s="9">
        <v>-4.4728097915649414</v>
      </c>
      <c r="CP13" s="9">
        <v>-0.47393593192100525</v>
      </c>
      <c r="CQ13" s="9">
        <v>1.1932492256164551E-2</v>
      </c>
      <c r="CR13">
        <v>-23.601722681620341</v>
      </c>
      <c r="CS13">
        <v>-49.503361335393251</v>
      </c>
      <c r="CT13">
        <v>0</v>
      </c>
      <c r="CU13" s="8">
        <v>-4.7677010297775269E-3</v>
      </c>
      <c r="CV13" s="9">
        <v>-1.1513152778148652</v>
      </c>
      <c r="CW13">
        <v>0.06</v>
      </c>
      <c r="CX13">
        <v>77.549865710130192</v>
      </c>
      <c r="CY13" t="s">
        <v>1290</v>
      </c>
      <c r="CZ13">
        <v>-4.7677010297775269E-3</v>
      </c>
      <c r="DA13">
        <v>25.849955236710063</v>
      </c>
      <c r="DB13" t="s">
        <v>1291</v>
      </c>
      <c r="DC13">
        <v>-4.5293159782886505E-3</v>
      </c>
      <c r="DD13">
        <v>12.924977618355031</v>
      </c>
      <c r="DE13" t="s">
        <v>1292</v>
      </c>
      <c r="DF13">
        <v>-4.195576906204224E-3</v>
      </c>
      <c r="DG13">
        <v>7.7549865710130188</v>
      </c>
      <c r="DH13" t="s">
        <v>1293</v>
      </c>
      <c r="DI13">
        <v>-3.8141608238220215E-3</v>
      </c>
      <c r="DJ13">
        <v>3.8774932855065094</v>
      </c>
      <c r="DK13" t="s">
        <v>1294</v>
      </c>
      <c r="DL13">
        <v>-3.3373907208442688E-3</v>
      </c>
      <c r="DM13">
        <v>22414200</v>
      </c>
      <c r="DN13">
        <v>-4.7677010297775269E-3</v>
      </c>
      <c r="DO13">
        <v>1738218200</v>
      </c>
      <c r="DP13">
        <v>-313772910</v>
      </c>
      <c r="DQ13">
        <v>903</v>
      </c>
      <c r="DR13">
        <v>-0.10995091368883719</v>
      </c>
      <c r="DS13">
        <v>0.96019779378285586</v>
      </c>
      <c r="DT13" s="10">
        <v>-0.59</v>
      </c>
      <c r="DU13">
        <v>-1.6233333333333337</v>
      </c>
      <c r="DV13">
        <v>-2.2133333333333338</v>
      </c>
      <c r="DW13">
        <v>-3.0733988095238094</v>
      </c>
      <c r="DX13">
        <v>0.35492707006369284</v>
      </c>
      <c r="DY13">
        <v>-3.0099034863152108</v>
      </c>
      <c r="DZ13">
        <v>4539</v>
      </c>
      <c r="EA13">
        <v>-3.001106632228177</v>
      </c>
      <c r="EB13">
        <v>3</v>
      </c>
      <c r="EC13">
        <v>5.6657062790967369E-2</v>
      </c>
      <c r="ED13">
        <v>0.41990879046155516</v>
      </c>
      <c r="EE13" s="13">
        <v>-3.0685000000000002</v>
      </c>
      <c r="EF13">
        <v>-3.0434000000000001</v>
      </c>
      <c r="EG13">
        <v>22.134927070063693</v>
      </c>
      <c r="EH13" t="s">
        <v>672</v>
      </c>
      <c r="EI13">
        <v>0</v>
      </c>
      <c r="EJ13">
        <v>0</v>
      </c>
      <c r="EK13" s="12">
        <v>45470</v>
      </c>
      <c r="EL13" s="14">
        <v>-1.51</v>
      </c>
      <c r="EM13" s="14">
        <v>-5.0999999999999996</v>
      </c>
      <c r="EN13" s="14">
        <v>2.15</v>
      </c>
      <c r="EO13" s="14">
        <v>4.74</v>
      </c>
      <c r="EP13" s="14">
        <v>-2.5099999999999998</v>
      </c>
    </row>
    <row r="14" spans="1:146" ht="96" x14ac:dyDescent="0.25">
      <c r="C14" s="5" t="str">
        <f>""&amp;CHAR(10)&amp;Basic_Fundamental_Information_Constructure(F14)&amp;CHAR(10)&amp;Basic_Fundamental_Information_Concatenate("")</f>
        <v xml:space="preserve">
市值11.9230187亿, 利润-1300.14万; PE237.7; 平均PE-11.47; 平均PEG-7.67, PB.965; ROIC.93%; ROE-7.2233%; 股利率0%; 毛利13.3267%; 净利-33.66%; 上一年度营收增27.04%, 利润增95.89%; 当季营收增100.28%, 利润增349.96%; 过往5年营收增-1.5%, 利润增-772.25%
Income profile:
</v>
      </c>
      <c r="D14" t="s">
        <v>183</v>
      </c>
      <c r="E14" t="s">
        <v>9</v>
      </c>
      <c r="F14">
        <v>3.16</v>
      </c>
      <c r="G14">
        <v>2.27</v>
      </c>
      <c r="H14" t="s">
        <v>1295</v>
      </c>
      <c r="I14">
        <v>1192301870</v>
      </c>
      <c r="J14">
        <v>237.7</v>
      </c>
      <c r="K14">
        <v>0.96499999999999997</v>
      </c>
      <c r="L14" t="s">
        <v>53</v>
      </c>
      <c r="M14" t="s">
        <v>563</v>
      </c>
      <c r="N14" t="s">
        <v>1296</v>
      </c>
      <c r="O14" t="s">
        <v>469</v>
      </c>
      <c r="P14">
        <v>100.21</v>
      </c>
      <c r="Q14" t="s">
        <v>1297</v>
      </c>
      <c r="R14">
        <v>12868184</v>
      </c>
      <c r="S14" s="3">
        <v>3.5</v>
      </c>
      <c r="T14" t="s">
        <v>1298</v>
      </c>
      <c r="U14">
        <v>286770440</v>
      </c>
      <c r="V14">
        <v>377310720</v>
      </c>
      <c r="W14">
        <v>1.33</v>
      </c>
      <c r="X14">
        <v>0.09</v>
      </c>
      <c r="Y14">
        <v>8.4700000000000006</v>
      </c>
      <c r="Z14" t="s">
        <v>218</v>
      </c>
      <c r="AA14" t="s">
        <v>911</v>
      </c>
      <c r="AB14" t="s">
        <v>1299</v>
      </c>
      <c r="AC14" t="s">
        <v>1300</v>
      </c>
      <c r="AD14" t="s">
        <v>54</v>
      </c>
      <c r="AE14">
        <v>1406178</v>
      </c>
      <c r="AF14" t="s">
        <v>97</v>
      </c>
      <c r="AG14" t="s">
        <v>1301</v>
      </c>
      <c r="AH14" t="s">
        <v>1302</v>
      </c>
      <c r="AI14" t="s">
        <v>1303</v>
      </c>
      <c r="AJ14" t="s">
        <v>1304</v>
      </c>
      <c r="AK14" t="s">
        <v>1305</v>
      </c>
      <c r="AL14" t="s">
        <v>1306</v>
      </c>
      <c r="AM14" t="s">
        <v>54</v>
      </c>
      <c r="AN14" t="s">
        <v>1307</v>
      </c>
      <c r="AO14" t="s">
        <v>454</v>
      </c>
      <c r="AP14" t="s">
        <v>54</v>
      </c>
      <c r="AQ14" t="s">
        <v>1308</v>
      </c>
      <c r="AR14" t="s">
        <v>1309</v>
      </c>
      <c r="AS14" t="s">
        <v>80</v>
      </c>
      <c r="AT14" t="s">
        <v>54</v>
      </c>
      <c r="AU14" t="s">
        <v>1310</v>
      </c>
      <c r="AV14" t="s">
        <v>1311</v>
      </c>
      <c r="AW14" t="s">
        <v>1312</v>
      </c>
      <c r="AX14" t="s">
        <v>149</v>
      </c>
      <c r="AY14" t="s">
        <v>571</v>
      </c>
      <c r="AZ14" t="s">
        <v>309</v>
      </c>
      <c r="BA14" t="s">
        <v>184</v>
      </c>
      <c r="BB14" t="s">
        <v>311</v>
      </c>
      <c r="BC14" t="s">
        <v>693</v>
      </c>
      <c r="BD14" t="s">
        <v>572</v>
      </c>
      <c r="BE14" t="s">
        <v>310</v>
      </c>
      <c r="BF14" t="s">
        <v>185</v>
      </c>
      <c r="BG14" t="s">
        <v>312</v>
      </c>
      <c r="BH14" t="s">
        <v>1297</v>
      </c>
      <c r="BI14" t="s">
        <v>1313</v>
      </c>
      <c r="BJ14" t="s">
        <v>149</v>
      </c>
      <c r="BK14" t="s">
        <v>1298</v>
      </c>
      <c r="BL14" t="s">
        <v>1314</v>
      </c>
      <c r="BM14" t="s">
        <v>693</v>
      </c>
      <c r="BN14" t="s">
        <v>54</v>
      </c>
      <c r="BO14" t="s">
        <v>54</v>
      </c>
      <c r="BP14">
        <v>0.93</v>
      </c>
      <c r="BQ14">
        <v>-0.32</v>
      </c>
      <c r="BR14">
        <v>-22.47</v>
      </c>
      <c r="BS14">
        <v>1.1200000000000001</v>
      </c>
      <c r="BT14" t="s">
        <v>700</v>
      </c>
      <c r="BU14" t="s">
        <v>646</v>
      </c>
      <c r="BV14">
        <v>30.34</v>
      </c>
      <c r="BW14">
        <v>-18.23</v>
      </c>
      <c r="BX14">
        <v>27.87</v>
      </c>
      <c r="BY14">
        <v>-3.22</v>
      </c>
      <c r="BZ14">
        <v>-101.31</v>
      </c>
      <c r="CA14">
        <v>3.55</v>
      </c>
      <c r="CB14">
        <v>1.28</v>
      </c>
      <c r="CC14">
        <v>-16.18</v>
      </c>
      <c r="CD14" t="s">
        <v>1315</v>
      </c>
      <c r="CE14" t="s">
        <v>934</v>
      </c>
      <c r="CF14" s="8">
        <v>1.0028329545080212</v>
      </c>
      <c r="CG14" s="9">
        <v>3.4995501340274262</v>
      </c>
      <c r="CH14" s="8">
        <v>0.27044025063514709</v>
      </c>
      <c r="CI14" s="8">
        <v>-0.23373493552207947</v>
      </c>
      <c r="CJ14" s="8">
        <v>0.22781065106391907</v>
      </c>
      <c r="CK14" s="8">
        <v>-0.2914046049118042</v>
      </c>
      <c r="CL14" s="8">
        <v>-4.790419340133667E-2</v>
      </c>
      <c r="CM14" s="9">
        <v>0.95885628461837769</v>
      </c>
      <c r="CN14" s="9">
        <v>-19.137466430664063</v>
      </c>
      <c r="CO14" s="9">
        <v>1.05035400390625</v>
      </c>
      <c r="CP14" s="9">
        <v>-21.485736846923828</v>
      </c>
      <c r="CQ14" s="9">
        <v>1.4526868471875787E-3</v>
      </c>
      <c r="CR14">
        <v>-11.467679206852962</v>
      </c>
      <c r="CS14">
        <v>-7.6662956056918654</v>
      </c>
      <c r="CT14">
        <v>0</v>
      </c>
      <c r="CU14" s="8">
        <v>-1.4958566427230835E-2</v>
      </c>
      <c r="CV14" s="9">
        <v>-7.7225080604432152</v>
      </c>
      <c r="CW14">
        <v>0.06</v>
      </c>
      <c r="CX14" t="e">
        <v>#VALUE!</v>
      </c>
      <c r="CY14" t="s">
        <v>653</v>
      </c>
      <c r="CZ14">
        <v>-1.4958566427230835E-2</v>
      </c>
      <c r="DA14" t="e">
        <v>#VALUE!</v>
      </c>
      <c r="DB14" t="s">
        <v>653</v>
      </c>
      <c r="DC14">
        <v>-1.4210638105869294E-2</v>
      </c>
      <c r="DD14" t="e">
        <v>#VALUE!</v>
      </c>
      <c r="DE14" t="s">
        <v>653</v>
      </c>
      <c r="DF14">
        <v>-1.3163538455963136E-2</v>
      </c>
      <c r="DG14" t="e">
        <v>#VALUE!</v>
      </c>
      <c r="DH14" t="s">
        <v>653</v>
      </c>
      <c r="DI14">
        <v>-1.1966853141784669E-2</v>
      </c>
      <c r="DJ14" t="e">
        <v>#VALUE!</v>
      </c>
      <c r="DK14" t="s">
        <v>653</v>
      </c>
      <c r="DL14">
        <v>-1.0470996499061584E-2</v>
      </c>
      <c r="DM14">
        <v>-13001400.000000002</v>
      </c>
      <c r="DN14">
        <v>-1.4958566427230835E-2</v>
      </c>
      <c r="DO14">
        <v>441301870</v>
      </c>
      <c r="DP14">
        <v>241971390</v>
      </c>
      <c r="DQ14">
        <v>992</v>
      </c>
      <c r="DR14">
        <v>1.0177915209352522</v>
      </c>
      <c r="DS14">
        <v>11.222058194470641</v>
      </c>
      <c r="DT14" s="10">
        <v>-0.40666666666666668</v>
      </c>
      <c r="DU14">
        <v>-0.58333333333333337</v>
      </c>
      <c r="DV14">
        <v>-0.99</v>
      </c>
      <c r="DW14">
        <v>-3.0020357142857144</v>
      </c>
      <c r="DX14">
        <v>0.37984402985074794</v>
      </c>
      <c r="DY14">
        <v>-3.0002643253464818</v>
      </c>
      <c r="DZ14">
        <v>3557</v>
      </c>
      <c r="EA14">
        <v>-3.0000803321454179</v>
      </c>
      <c r="EB14">
        <v>3</v>
      </c>
      <c r="EC14">
        <v>9.2226905188381614E-2</v>
      </c>
      <c r="ED14">
        <v>0.71028991702117561</v>
      </c>
      <c r="EE14" s="13">
        <v>-4.1167999999999996</v>
      </c>
      <c r="EF14">
        <v>-4.0979999999999999</v>
      </c>
      <c r="EG14">
        <v>25.129844029850748</v>
      </c>
      <c r="EH14" t="s">
        <v>1316</v>
      </c>
      <c r="EI14">
        <v>0</v>
      </c>
      <c r="EJ14">
        <v>0</v>
      </c>
      <c r="EK14" s="12">
        <v>45470</v>
      </c>
      <c r="EL14" s="14">
        <v>-1.25</v>
      </c>
      <c r="EM14" s="14">
        <v>-4.13</v>
      </c>
      <c r="EN14" s="14">
        <v>1.66</v>
      </c>
      <c r="EO14" s="14">
        <v>4.2300000000000004</v>
      </c>
      <c r="EP14" s="14">
        <v>-1.88</v>
      </c>
    </row>
    <row r="15" spans="1:146" ht="96" x14ac:dyDescent="0.25">
      <c r="C15" s="5" t="str">
        <f>""&amp;CHAR(10)&amp;Basic_Fundamental_Information_Constructure(F15)&amp;CHAR(10)&amp;Basic_Fundamental_Information_Concatenate("")</f>
        <v xml:space="preserve">
市值147.90555亿, 利润11.22亿; PE12.78; 平均PE12.17; 平均PEG7.6, PB1.25; ROIC7.8733%; ROE8.6333%; 股利率5.4645%; 毛利42.6333%; 净利7.4667%; 上一年度营收增2.48%, 利润增76.14%; 当季营收增4.56%, 利润增11.4%; 过往5年营收增-1.6%, 利润增9.37%
Income profile:
</v>
      </c>
      <c r="D15" t="s">
        <v>150</v>
      </c>
      <c r="E15" t="s">
        <v>27</v>
      </c>
      <c r="F15">
        <v>5.49</v>
      </c>
      <c r="G15">
        <v>-0.36</v>
      </c>
      <c r="H15" t="s">
        <v>1317</v>
      </c>
      <c r="I15">
        <v>14790555000</v>
      </c>
      <c r="J15">
        <v>12.78</v>
      </c>
      <c r="K15">
        <v>1.25</v>
      </c>
      <c r="L15" t="s">
        <v>53</v>
      </c>
      <c r="M15" t="s">
        <v>1318</v>
      </c>
      <c r="N15" t="s">
        <v>1319</v>
      </c>
      <c r="O15" t="s">
        <v>1320</v>
      </c>
      <c r="P15">
        <v>4.58</v>
      </c>
      <c r="Q15" t="s">
        <v>1321</v>
      </c>
      <c r="R15">
        <v>346443880</v>
      </c>
      <c r="S15" s="3">
        <v>0.114</v>
      </c>
      <c r="T15" t="s">
        <v>1322</v>
      </c>
      <c r="U15">
        <v>2208442300</v>
      </c>
      <c r="V15">
        <v>2694090200</v>
      </c>
      <c r="W15">
        <v>1.53</v>
      </c>
      <c r="X15">
        <v>0.17</v>
      </c>
      <c r="Y15">
        <v>11</v>
      </c>
      <c r="Z15" t="s">
        <v>1323</v>
      </c>
      <c r="AA15" t="s">
        <v>1324</v>
      </c>
      <c r="AB15" t="s">
        <v>1325</v>
      </c>
      <c r="AC15" t="s">
        <v>428</v>
      </c>
      <c r="AD15" t="s">
        <v>54</v>
      </c>
      <c r="AE15">
        <v>-65035941</v>
      </c>
      <c r="AF15" t="s">
        <v>1326</v>
      </c>
      <c r="AG15" t="s">
        <v>1327</v>
      </c>
      <c r="AH15" t="s">
        <v>1328</v>
      </c>
      <c r="AI15" t="s">
        <v>1329</v>
      </c>
      <c r="AJ15" t="s">
        <v>1330</v>
      </c>
      <c r="AK15" t="s">
        <v>54</v>
      </c>
      <c r="AL15" t="s">
        <v>1331</v>
      </c>
      <c r="AM15" t="s">
        <v>54</v>
      </c>
      <c r="AN15" t="s">
        <v>1332</v>
      </c>
      <c r="AO15" t="s">
        <v>54</v>
      </c>
      <c r="AP15" t="s">
        <v>1333</v>
      </c>
      <c r="AQ15" t="s">
        <v>1334</v>
      </c>
      <c r="AR15" t="s">
        <v>54</v>
      </c>
      <c r="AS15" t="s">
        <v>1335</v>
      </c>
      <c r="AT15" t="s">
        <v>54</v>
      </c>
      <c r="AU15" t="s">
        <v>921</v>
      </c>
      <c r="AV15" t="s">
        <v>1336</v>
      </c>
      <c r="AW15" t="s">
        <v>1337</v>
      </c>
      <c r="AX15" t="s">
        <v>817</v>
      </c>
      <c r="AY15" t="s">
        <v>573</v>
      </c>
      <c r="AZ15" t="s">
        <v>316</v>
      </c>
      <c r="BA15" t="s">
        <v>151</v>
      </c>
      <c r="BB15" t="s">
        <v>319</v>
      </c>
      <c r="BC15" t="s">
        <v>818</v>
      </c>
      <c r="BD15" t="s">
        <v>511</v>
      </c>
      <c r="BE15" t="s">
        <v>72</v>
      </c>
      <c r="BF15" t="s">
        <v>152</v>
      </c>
      <c r="BG15" t="s">
        <v>320</v>
      </c>
      <c r="BH15" t="s">
        <v>1321</v>
      </c>
      <c r="BI15" t="s">
        <v>117</v>
      </c>
      <c r="BJ15" t="s">
        <v>817</v>
      </c>
      <c r="BK15" t="s">
        <v>1322</v>
      </c>
      <c r="BL15" t="s">
        <v>990</v>
      </c>
      <c r="BM15" t="s">
        <v>818</v>
      </c>
      <c r="BN15">
        <v>6.71</v>
      </c>
      <c r="BO15">
        <v>4.96</v>
      </c>
      <c r="BP15">
        <v>11.95</v>
      </c>
      <c r="BQ15">
        <v>7.5</v>
      </c>
      <c r="BR15">
        <v>5.7</v>
      </c>
      <c r="BS15">
        <v>12.7</v>
      </c>
      <c r="BT15" t="s">
        <v>703</v>
      </c>
      <c r="BU15" t="s">
        <v>646</v>
      </c>
      <c r="BV15">
        <v>44.02</v>
      </c>
      <c r="BW15">
        <v>41.3</v>
      </c>
      <c r="BX15">
        <v>42.58</v>
      </c>
      <c r="BY15">
        <v>8.1999999999999993</v>
      </c>
      <c r="BZ15">
        <v>4.57</v>
      </c>
      <c r="CA15">
        <v>9.6300000000000008</v>
      </c>
      <c r="CB15">
        <v>-5.51</v>
      </c>
      <c r="CC15">
        <v>-13.13</v>
      </c>
      <c r="CD15" t="s">
        <v>1338</v>
      </c>
      <c r="CE15" t="s">
        <v>200</v>
      </c>
      <c r="CF15" s="8">
        <v>4.563624250499667E-2</v>
      </c>
      <c r="CG15" s="9">
        <v>0.11396745980707396</v>
      </c>
      <c r="CH15" s="8">
        <v>2.475428394973278E-2</v>
      </c>
      <c r="CI15" s="8">
        <v>-0.13547340035438538</v>
      </c>
      <c r="CJ15" s="8">
        <v>1.4140089973807335E-2</v>
      </c>
      <c r="CK15" s="8">
        <v>-0.21368363499641418</v>
      </c>
      <c r="CL15" s="8">
        <v>0.23016737401485443</v>
      </c>
      <c r="CM15" s="9">
        <v>0.76138144731521606</v>
      </c>
      <c r="CN15" s="9">
        <v>-0.57133245468139648</v>
      </c>
      <c r="CO15" s="9">
        <v>0.84367245435714722</v>
      </c>
      <c r="CP15" s="9">
        <v>-0.47966426610946655</v>
      </c>
      <c r="CQ15" s="9">
        <v>-8.5596263408660889E-2</v>
      </c>
      <c r="CR15">
        <v>12.166620510008226</v>
      </c>
      <c r="CS15">
        <v>7.5950913612202617</v>
      </c>
      <c r="CT15">
        <v>5.4644808743169397</v>
      </c>
      <c r="CU15" s="8">
        <v>-1.6019057482481003E-2</v>
      </c>
      <c r="CV15" s="9">
        <v>9.3692183494567871E-2</v>
      </c>
      <c r="CW15">
        <v>0.06</v>
      </c>
      <c r="CX15">
        <v>8.3783912655971484</v>
      </c>
      <c r="CY15" t="s">
        <v>1339</v>
      </c>
      <c r="CZ15">
        <v>-1.6019057482481003E-2</v>
      </c>
      <c r="DA15">
        <v>2.7927970885323825</v>
      </c>
      <c r="DB15" t="s">
        <v>1340</v>
      </c>
      <c r="DC15">
        <v>-1.5218104608356951E-2</v>
      </c>
      <c r="DD15">
        <v>1.3963985442661913</v>
      </c>
      <c r="DE15" t="s">
        <v>1341</v>
      </c>
      <c r="DF15">
        <v>-1.4096770584583283E-2</v>
      </c>
      <c r="DG15">
        <v>0.83783912655971482</v>
      </c>
      <c r="DH15" t="s">
        <v>1342</v>
      </c>
      <c r="DI15">
        <v>-1.2815245985984804E-2</v>
      </c>
      <c r="DJ15">
        <v>0.41891956327985741</v>
      </c>
      <c r="DK15" t="s">
        <v>1343</v>
      </c>
      <c r="DL15">
        <v>-1.1213340237736701E-2</v>
      </c>
      <c r="DM15">
        <v>1122000000</v>
      </c>
      <c r="DN15">
        <v>-1.6019057482481003E-2</v>
      </c>
      <c r="DO15">
        <v>9400555000</v>
      </c>
      <c r="DP15">
        <v>7821767000</v>
      </c>
      <c r="DQ15">
        <v>1056</v>
      </c>
      <c r="DR15">
        <v>6.1655299987477673E-2</v>
      </c>
      <c r="DS15">
        <v>2.0275276312506085E-2</v>
      </c>
      <c r="DT15" s="10">
        <v>-0.45666666666666672</v>
      </c>
      <c r="DU15">
        <v>0.33333333333333331</v>
      </c>
      <c r="DV15">
        <v>-0.12333333333333341</v>
      </c>
      <c r="DW15">
        <v>-8.4196496572734194</v>
      </c>
      <c r="DX15">
        <v>0.32167437325905396</v>
      </c>
      <c r="DY15">
        <v>-8.0594536021825878</v>
      </c>
      <c r="DZ15">
        <v>2007</v>
      </c>
      <c r="EA15">
        <v>-8.0361026472744754</v>
      </c>
      <c r="EB15">
        <v>8</v>
      </c>
      <c r="EC15">
        <v>1.8878766568394777E-2</v>
      </c>
      <c r="ED15">
        <v>0.13325463267710932</v>
      </c>
      <c r="EE15" s="13">
        <v>2.1303100000000001</v>
      </c>
      <c r="EF15">
        <v>2.1421100000000002</v>
      </c>
      <c r="EG15">
        <v>18.141674373259054</v>
      </c>
      <c r="EH15" t="s">
        <v>674</v>
      </c>
      <c r="EI15">
        <v>0</v>
      </c>
      <c r="EJ15">
        <v>0</v>
      </c>
      <c r="EK15" s="12">
        <v>45470</v>
      </c>
      <c r="EL15" s="14">
        <v>-0.33</v>
      </c>
      <c r="EM15" s="14">
        <v>-1.68</v>
      </c>
      <c r="EN15" s="14">
        <v>-0.17</v>
      </c>
      <c r="EO15" s="14">
        <v>1.02</v>
      </c>
      <c r="EP15" s="14">
        <v>-1.18</v>
      </c>
    </row>
    <row r="16" spans="1:146" ht="96" x14ac:dyDescent="0.25">
      <c r="C16" s="5" t="str">
        <f>""&amp;CHAR(10)&amp;Basic_Fundamental_Information_Constructure(F16)&amp;CHAR(10)&amp;Basic_Fundamental_Information_Concatenate("")</f>
        <v xml:space="preserve">
市值9.043828亿, 利润-6699.83万; PE; 平均PE-13.34; 平均PEG-1.24, PB10.78; ROIC14.79%; ROE-13.43%; 股利率0%; 毛利41.9667%; 净利-29.0367%; 上一年度营收增4.35%, 利润增5.53%; 当季营收增-14.84%, 利润增-289.49%; 过往5年营收增-10.71%, 利润增-102.39%
Income profile:
</v>
      </c>
      <c r="D16" t="s">
        <v>197</v>
      </c>
      <c r="E16" t="s">
        <v>198</v>
      </c>
      <c r="F16">
        <v>6.28</v>
      </c>
      <c r="G16">
        <v>2.11</v>
      </c>
      <c r="H16" t="s">
        <v>1344</v>
      </c>
      <c r="I16">
        <v>904382800</v>
      </c>
      <c r="K16">
        <v>10.78</v>
      </c>
      <c r="L16" t="s">
        <v>53</v>
      </c>
      <c r="M16" t="s">
        <v>100</v>
      </c>
      <c r="N16" t="s">
        <v>1345</v>
      </c>
      <c r="O16" t="s">
        <v>1346</v>
      </c>
      <c r="P16">
        <v>-14.84</v>
      </c>
      <c r="Q16" t="s">
        <v>337</v>
      </c>
      <c r="R16">
        <v>-7996595</v>
      </c>
      <c r="S16" s="3">
        <v>-2.895</v>
      </c>
      <c r="T16" t="s">
        <v>1347</v>
      </c>
      <c r="U16">
        <v>139881430</v>
      </c>
      <c r="V16">
        <v>144010000</v>
      </c>
      <c r="W16">
        <v>2.69</v>
      </c>
      <c r="X16">
        <v>0.15</v>
      </c>
      <c r="Y16">
        <v>-24.15</v>
      </c>
      <c r="Z16" t="s">
        <v>1348</v>
      </c>
      <c r="AA16" t="s">
        <v>1349</v>
      </c>
      <c r="AB16" t="s">
        <v>1350</v>
      </c>
      <c r="AC16" t="s">
        <v>1351</v>
      </c>
      <c r="AD16" t="s">
        <v>54</v>
      </c>
      <c r="AE16">
        <v>-43352</v>
      </c>
      <c r="AF16" t="s">
        <v>1352</v>
      </c>
      <c r="AG16">
        <v>1882.14</v>
      </c>
      <c r="AH16" t="s">
        <v>1353</v>
      </c>
      <c r="AI16" t="s">
        <v>1354</v>
      </c>
      <c r="AJ16" t="s">
        <v>1355</v>
      </c>
      <c r="AK16" t="s">
        <v>1356</v>
      </c>
      <c r="AL16" t="s">
        <v>1357</v>
      </c>
      <c r="AM16" t="s">
        <v>54</v>
      </c>
      <c r="AN16">
        <v>0</v>
      </c>
      <c r="AO16" t="s">
        <v>54</v>
      </c>
      <c r="AP16" t="s">
        <v>54</v>
      </c>
      <c r="AQ16" t="s">
        <v>1358</v>
      </c>
      <c r="AR16" t="s">
        <v>54</v>
      </c>
      <c r="AS16" t="s">
        <v>231</v>
      </c>
      <c r="AT16" t="s">
        <v>54</v>
      </c>
      <c r="AU16" t="s">
        <v>1359</v>
      </c>
      <c r="AV16" t="s">
        <v>54</v>
      </c>
      <c r="AW16" t="s">
        <v>54</v>
      </c>
      <c r="AX16" t="s">
        <v>683</v>
      </c>
      <c r="AY16" t="s">
        <v>228</v>
      </c>
      <c r="AZ16" t="s">
        <v>224</v>
      </c>
      <c r="BA16" t="s">
        <v>200</v>
      </c>
      <c r="BB16" t="s">
        <v>322</v>
      </c>
      <c r="BC16" t="s">
        <v>1360</v>
      </c>
      <c r="BD16" t="s">
        <v>574</v>
      </c>
      <c r="BE16" t="s">
        <v>318</v>
      </c>
      <c r="BF16" t="s">
        <v>201</v>
      </c>
      <c r="BG16" t="s">
        <v>324</v>
      </c>
      <c r="BH16" t="s">
        <v>337</v>
      </c>
      <c r="BI16" t="s">
        <v>1361</v>
      </c>
      <c r="BJ16" t="s">
        <v>683</v>
      </c>
      <c r="BK16" t="s">
        <v>1347</v>
      </c>
      <c r="BL16" t="s">
        <v>1362</v>
      </c>
      <c r="BM16" t="s">
        <v>1360</v>
      </c>
      <c r="BN16" t="s">
        <v>54</v>
      </c>
      <c r="BO16" t="s">
        <v>54</v>
      </c>
      <c r="BP16">
        <v>14.79</v>
      </c>
      <c r="BQ16">
        <v>-22.3</v>
      </c>
      <c r="BR16">
        <v>-33.39</v>
      </c>
      <c r="BS16">
        <v>15.4</v>
      </c>
      <c r="BT16" t="s">
        <v>700</v>
      </c>
      <c r="BU16" t="s">
        <v>646</v>
      </c>
      <c r="BV16">
        <v>31.01</v>
      </c>
      <c r="BW16">
        <v>46.64</v>
      </c>
      <c r="BX16">
        <v>48.25</v>
      </c>
      <c r="BY16">
        <v>-47.84</v>
      </c>
      <c r="BZ16">
        <v>-50.79</v>
      </c>
      <c r="CA16">
        <v>11.52</v>
      </c>
      <c r="CB16">
        <v>2.95</v>
      </c>
      <c r="CC16">
        <v>8.84</v>
      </c>
      <c r="CD16" t="s">
        <v>1363</v>
      </c>
      <c r="CE16" t="s">
        <v>1364</v>
      </c>
      <c r="CF16" s="8">
        <v>-0.14836701024035834</v>
      </c>
      <c r="CG16" s="9">
        <v>-2.8948882178169599</v>
      </c>
      <c r="CH16" s="8">
        <v>4.3478261679410934E-2</v>
      </c>
      <c r="CI16" s="8">
        <v>-0.50537633895874023</v>
      </c>
      <c r="CJ16" s="8">
        <v>9.4117648899555206E-2</v>
      </c>
      <c r="CK16" s="8">
        <v>-0.28969359397888184</v>
      </c>
      <c r="CL16" s="8">
        <v>0.12187500298023224</v>
      </c>
      <c r="CM16" s="9">
        <v>5.5345471948385239E-2</v>
      </c>
      <c r="CN16" s="9">
        <v>-3.1784641742706299</v>
      </c>
      <c r="CO16" s="9">
        <v>1.2127889394760132</v>
      </c>
      <c r="CP16" s="9">
        <v>-4.4394230842590332</v>
      </c>
      <c r="CQ16" s="9">
        <v>1.2304880619049072</v>
      </c>
      <c r="CR16">
        <v>-13.336323888311325</v>
      </c>
      <c r="CS16">
        <v>-1.2449914400318047</v>
      </c>
      <c r="CT16">
        <v>0</v>
      </c>
      <c r="CU16" s="8">
        <v>-0.10711980387568473</v>
      </c>
      <c r="CV16" s="9">
        <v>-1.0238529570400714</v>
      </c>
      <c r="CW16">
        <v>0.06</v>
      </c>
      <c r="CX16" t="e">
        <v>#VALUE!</v>
      </c>
      <c r="CY16" t="s">
        <v>652</v>
      </c>
      <c r="CZ16">
        <v>-0.10711980387568473</v>
      </c>
      <c r="DA16" t="e">
        <v>#VALUE!</v>
      </c>
      <c r="DB16" t="s">
        <v>653</v>
      </c>
      <c r="DC16">
        <v>-0.10176381368190049</v>
      </c>
      <c r="DD16" t="e">
        <v>#VALUE!</v>
      </c>
      <c r="DE16" t="s">
        <v>653</v>
      </c>
      <c r="DF16">
        <v>-9.4265427410602565E-2</v>
      </c>
      <c r="DG16" t="e">
        <v>#VALUE!</v>
      </c>
      <c r="DH16" t="s">
        <v>653</v>
      </c>
      <c r="DI16">
        <v>-8.5695843100547786E-2</v>
      </c>
      <c r="DJ16" t="e">
        <v>#VALUE!</v>
      </c>
      <c r="DK16" t="s">
        <v>653</v>
      </c>
      <c r="DL16">
        <v>-7.4983862712979313E-2</v>
      </c>
      <c r="DM16">
        <v>-66998300</v>
      </c>
      <c r="DN16">
        <v>-0.10711980387568473</v>
      </c>
      <c r="DO16">
        <v>962621700</v>
      </c>
      <c r="DP16">
        <v>19790480</v>
      </c>
      <c r="DQ16">
        <v>1062</v>
      </c>
      <c r="DR16">
        <v>-4.1247206364673605E-2</v>
      </c>
      <c r="DS16">
        <v>-1.8710352607768885</v>
      </c>
      <c r="DT16" s="10">
        <v>-0.70666666666666667</v>
      </c>
      <c r="DU16">
        <v>-2.2150000000000003</v>
      </c>
      <c r="DV16">
        <v>-2.9216666666666669</v>
      </c>
      <c r="DW16">
        <v>8.3337104072398187</v>
      </c>
      <c r="DX16">
        <v>0.30068325035251076</v>
      </c>
      <c r="DY16">
        <v>8.026924840332569</v>
      </c>
      <c r="DZ16">
        <v>4881</v>
      </c>
      <c r="EA16">
        <v>8.0012066122184269</v>
      </c>
      <c r="EB16">
        <v>8</v>
      </c>
      <c r="EC16">
        <v>3.5919033400458301E-2</v>
      </c>
      <c r="ED16">
        <v>0.44518575098951463</v>
      </c>
      <c r="EE16" s="13">
        <v>1.0488999999999999</v>
      </c>
      <c r="EF16">
        <v>1.0014099999999999</v>
      </c>
      <c r="EG16">
        <v>22.080683250352511</v>
      </c>
      <c r="EH16" t="s">
        <v>647</v>
      </c>
      <c r="EI16">
        <v>0</v>
      </c>
      <c r="EJ16">
        <v>0</v>
      </c>
      <c r="EK16" s="12">
        <v>45470</v>
      </c>
      <c r="EL16" s="14">
        <v>0.16</v>
      </c>
      <c r="EM16" s="14">
        <v>-2.76</v>
      </c>
      <c r="EN16" s="14">
        <v>2.17</v>
      </c>
      <c r="EO16" s="14">
        <v>3.75</v>
      </c>
      <c r="EP16" s="14">
        <v>-5.03</v>
      </c>
    </row>
    <row r="17" spans="1:146" ht="96" x14ac:dyDescent="0.25">
      <c r="A17"/>
      <c r="B17"/>
      <c r="C17" s="5" t="str">
        <f>""&amp;CHAR(10)&amp;Basic_Fundamental_Information_Constructure(F17)&amp;CHAR(10)&amp;Basic_Fundamental_Information_Concatenate("")</f>
        <v xml:space="preserve">
市值22.5984亿, 利润1.59亿; PE16.88; 平均PE537.6; 平均PEG269.4, PB.724; ROIC3.535%; ROE.9367%; 股利率2.3364%; 毛利11.7733%; 净利1.0667%; 上一年度营收增13.33%, 利润增197.55%; 当季营收增10.24%, 利润增-55.14%; 过往5年营收增2%, 利润增-89.93%
Income profile:
</v>
      </c>
      <c r="D17" t="s">
        <v>1365</v>
      </c>
      <c r="E17" t="s">
        <v>1366</v>
      </c>
      <c r="F17">
        <v>4.28</v>
      </c>
      <c r="G17">
        <v>3.13</v>
      </c>
      <c r="H17" t="s">
        <v>1367</v>
      </c>
      <c r="I17">
        <v>2259840000</v>
      </c>
      <c r="J17">
        <v>16.88</v>
      </c>
      <c r="K17">
        <v>0.72399999999999998</v>
      </c>
      <c r="L17" t="s">
        <v>53</v>
      </c>
      <c r="M17" t="s">
        <v>1368</v>
      </c>
      <c r="N17" t="s">
        <v>1369</v>
      </c>
      <c r="O17" t="s">
        <v>1178</v>
      </c>
      <c r="P17" s="3">
        <v>10.24</v>
      </c>
      <c r="Q17" t="s">
        <v>1370</v>
      </c>
      <c r="R17">
        <v>20528611</v>
      </c>
      <c r="S17">
        <v>-0.5514</v>
      </c>
      <c r="T17" t="s">
        <v>221</v>
      </c>
      <c r="U17">
        <v>528000000</v>
      </c>
      <c r="V17">
        <v>528000000</v>
      </c>
      <c r="W17">
        <v>2.5</v>
      </c>
      <c r="X17">
        <v>0.18</v>
      </c>
      <c r="Y17">
        <v>1.5</v>
      </c>
      <c r="Z17" t="s">
        <v>907</v>
      </c>
      <c r="AA17" t="s">
        <v>1371</v>
      </c>
      <c r="AB17" t="s">
        <v>1372</v>
      </c>
      <c r="AC17" t="s">
        <v>1373</v>
      </c>
      <c r="AD17" t="s">
        <v>54</v>
      </c>
      <c r="AE17">
        <v>4870444</v>
      </c>
      <c r="AF17" t="s">
        <v>1374</v>
      </c>
      <c r="AG17" t="s">
        <v>1375</v>
      </c>
      <c r="AH17" t="s">
        <v>1376</v>
      </c>
      <c r="AI17" t="s">
        <v>1377</v>
      </c>
      <c r="AJ17" t="s">
        <v>1378</v>
      </c>
      <c r="AK17" t="s">
        <v>54</v>
      </c>
      <c r="AL17" t="s">
        <v>1379</v>
      </c>
      <c r="AM17" t="s">
        <v>54</v>
      </c>
      <c r="AN17" t="s">
        <v>1380</v>
      </c>
      <c r="AO17" t="s">
        <v>935</v>
      </c>
      <c r="AP17" t="s">
        <v>1381</v>
      </c>
      <c r="AQ17" t="s">
        <v>1382</v>
      </c>
      <c r="AR17" t="s">
        <v>1383</v>
      </c>
      <c r="AS17" t="s">
        <v>981</v>
      </c>
      <c r="AT17" t="s">
        <v>1384</v>
      </c>
      <c r="AU17" t="s">
        <v>1385</v>
      </c>
      <c r="AV17" t="s">
        <v>1386</v>
      </c>
      <c r="AW17" t="s">
        <v>1036</v>
      </c>
      <c r="AX17" t="s">
        <v>1387</v>
      </c>
      <c r="AY17" t="s">
        <v>1388</v>
      </c>
      <c r="AZ17" t="s">
        <v>1389</v>
      </c>
      <c r="BA17" t="s">
        <v>1390</v>
      </c>
      <c r="BB17" t="s">
        <v>1391</v>
      </c>
      <c r="BC17" t="s">
        <v>1392</v>
      </c>
      <c r="BD17" t="s">
        <v>428</v>
      </c>
      <c r="BE17" t="s">
        <v>1393</v>
      </c>
      <c r="BF17" t="s">
        <v>1394</v>
      </c>
      <c r="BG17" t="s">
        <v>1395</v>
      </c>
      <c r="BH17" t="s">
        <v>1370</v>
      </c>
      <c r="BI17" t="s">
        <v>1396</v>
      </c>
      <c r="BJ17" t="s">
        <v>1387</v>
      </c>
      <c r="BK17" t="s">
        <v>221</v>
      </c>
      <c r="BL17" t="s">
        <v>1397</v>
      </c>
      <c r="BM17" t="s">
        <v>1392</v>
      </c>
      <c r="BN17">
        <v>2.99</v>
      </c>
      <c r="BO17" t="s">
        <v>54</v>
      </c>
      <c r="BP17">
        <v>4.08</v>
      </c>
      <c r="BQ17">
        <v>3.68</v>
      </c>
      <c r="BR17">
        <v>-5.4</v>
      </c>
      <c r="BS17">
        <v>4.53</v>
      </c>
      <c r="BT17" t="s">
        <v>842</v>
      </c>
      <c r="BU17" t="s">
        <v>1030</v>
      </c>
      <c r="BV17">
        <v>12.48</v>
      </c>
      <c r="BW17">
        <v>11.26</v>
      </c>
      <c r="BX17">
        <v>11.58</v>
      </c>
      <c r="BY17">
        <v>4.03</v>
      </c>
      <c r="BZ17">
        <v>-4.68</v>
      </c>
      <c r="CA17">
        <v>3.85</v>
      </c>
      <c r="CB17">
        <v>2.39</v>
      </c>
      <c r="CC17" s="8">
        <v>-17.850000000000001</v>
      </c>
      <c r="CD17" s="9" t="s">
        <v>1398</v>
      </c>
      <c r="CE17" s="8" t="s">
        <v>222</v>
      </c>
      <c r="CF17" s="8">
        <v>0.1024390243902439</v>
      </c>
      <c r="CG17" s="8">
        <v>-0.55140485555701235</v>
      </c>
      <c r="CH17" s="8">
        <v>0.13327579200267792</v>
      </c>
      <c r="CI17" s="8">
        <v>-3.0150823295116425E-2</v>
      </c>
      <c r="CJ17" s="9">
        <v>0.42709159851074219</v>
      </c>
      <c r="CK17" s="9">
        <v>-0.26800811290740967</v>
      </c>
      <c r="CL17" s="9">
        <v>-0.16243286430835724</v>
      </c>
      <c r="CM17" s="9">
        <v>1.9754601716995239</v>
      </c>
      <c r="CN17" s="9">
        <v>-2.1897809505462646</v>
      </c>
      <c r="CO17">
        <v>1.533073902130127</v>
      </c>
      <c r="CP17">
        <v>-5.4472980499267578</v>
      </c>
      <c r="CQ17">
        <v>-0.36797893047332764</v>
      </c>
      <c r="CR17" s="8">
        <v>537.60060900663723</v>
      </c>
      <c r="CS17" s="9">
        <v>269.40487597866814</v>
      </c>
      <c r="CT17">
        <v>2.3364485981308412</v>
      </c>
      <c r="CU17">
        <v>1.9955118000507355E-2</v>
      </c>
      <c r="CV17">
        <v>-0.89930477142333987</v>
      </c>
      <c r="CW17">
        <v>0.06</v>
      </c>
      <c r="CX17">
        <v>21.967241111474927</v>
      </c>
      <c r="CY17">
        <v>152993267.70007607</v>
      </c>
      <c r="CZ17">
        <v>1.9955118000507355E-2</v>
      </c>
      <c r="DA17">
        <v>7.6208506703563774</v>
      </c>
      <c r="DB17">
        <v>441005885.74357086</v>
      </c>
      <c r="DC17">
        <v>1.8957362100481986E-2</v>
      </c>
      <c r="DD17">
        <v>4.0546395366386809</v>
      </c>
      <c r="DE17">
        <v>828887492.86605024</v>
      </c>
      <c r="DF17">
        <v>1.7560503840446474E-2</v>
      </c>
      <c r="DG17">
        <v>2.6496075217614847</v>
      </c>
      <c r="DH17">
        <v>1268429370.1603327</v>
      </c>
      <c r="DI17">
        <v>1.5964094400405884E-2</v>
      </c>
      <c r="DJ17">
        <v>1.6305573345182391</v>
      </c>
      <c r="DK17">
        <v>2061160272.5352716</v>
      </c>
      <c r="DL17">
        <v>1.3968582600355148E-2</v>
      </c>
      <c r="DM17">
        <v>159000000</v>
      </c>
      <c r="DN17">
        <v>1.9955118000507355E-2</v>
      </c>
      <c r="DO17">
        <v>3360840000</v>
      </c>
      <c r="DP17">
        <v>1476917400</v>
      </c>
      <c r="DQ17" s="10">
        <v>1067</v>
      </c>
      <c r="DR17">
        <v>8.2483906389736544E-2</v>
      </c>
      <c r="DS17">
        <v>0.34789991586632751</v>
      </c>
      <c r="DT17">
        <v>-0.52333333333333332</v>
      </c>
      <c r="DU17">
        <v>-1.34</v>
      </c>
      <c r="DV17">
        <v>-1.8633333333333333</v>
      </c>
      <c r="DW17">
        <v>-3.0209226190476191</v>
      </c>
      <c r="DX17">
        <v>0.35232349397590323</v>
      </c>
      <c r="DY17">
        <v>-3.0027685540555078</v>
      </c>
      <c r="DZ17">
        <v>4298</v>
      </c>
      <c r="EA17">
        <v>-3.0004399346170394</v>
      </c>
      <c r="EB17" s="13">
        <v>3</v>
      </c>
      <c r="EC17" s="13">
        <v>4.1601704545454546E-2</v>
      </c>
      <c r="ED17">
        <v>0.31439393939393939</v>
      </c>
      <c r="EE17">
        <v>3.0581999999999998</v>
      </c>
      <c r="EF17">
        <v>3.0326</v>
      </c>
      <c r="EG17">
        <v>22.132323493975903</v>
      </c>
      <c r="EH17" s="12" t="s">
        <v>808</v>
      </c>
      <c r="EI17">
        <v>0</v>
      </c>
      <c r="EJ17">
        <v>0</v>
      </c>
      <c r="EK17">
        <v>45470</v>
      </c>
      <c r="EL17">
        <v>0.23</v>
      </c>
      <c r="EM17">
        <v>-4.42</v>
      </c>
      <c r="EN17" s="14">
        <v>1.46</v>
      </c>
      <c r="EO17" s="14">
        <v>3.12</v>
      </c>
      <c r="EP17" s="14">
        <v>-2.56</v>
      </c>
    </row>
    <row r="18" spans="1:146" ht="96" x14ac:dyDescent="0.25">
      <c r="C18" s="5" t="str">
        <f>""&amp;CHAR(10)&amp;Basic_Fundamental_Information_Constructure(F18)&amp;CHAR(10)&amp;Basic_Fundamental_Information_Concatenate("")</f>
        <v xml:space="preserve">
市值59.862859亿, 利润2.25亿; PE25.33; 平均PE43.27; 平均PEG2.92, PB1.95; ROIC4.6733%; ROE4.5%; 股利率3.3259%; 毛利57.32%; 净利3.9833%; 上一年度营收增24.4%, 利润增952.99%; 当季营收增11.46%, 利润增15.83%; 过往5年营收增14.84%, 利润增191.35%
Income profile:
</v>
      </c>
      <c r="D18" t="s">
        <v>163</v>
      </c>
      <c r="E18" t="s">
        <v>25</v>
      </c>
      <c r="F18">
        <v>13.53</v>
      </c>
      <c r="G18">
        <v>0.74</v>
      </c>
      <c r="H18" t="s">
        <v>1399</v>
      </c>
      <c r="I18">
        <v>5986285900</v>
      </c>
      <c r="J18">
        <v>25.33</v>
      </c>
      <c r="K18">
        <v>1.95</v>
      </c>
      <c r="L18" t="s">
        <v>53</v>
      </c>
      <c r="M18" t="s">
        <v>1400</v>
      </c>
      <c r="N18" t="s">
        <v>1401</v>
      </c>
      <c r="O18" t="s">
        <v>1402</v>
      </c>
      <c r="P18">
        <v>11.42</v>
      </c>
      <c r="Q18" t="s">
        <v>1403</v>
      </c>
      <c r="R18">
        <v>82171700</v>
      </c>
      <c r="S18" s="3">
        <v>0.1583</v>
      </c>
      <c r="T18" t="s">
        <v>1404</v>
      </c>
      <c r="U18">
        <v>253539080</v>
      </c>
      <c r="V18">
        <v>442445380</v>
      </c>
      <c r="W18">
        <v>2.0299999999999998</v>
      </c>
      <c r="X18">
        <v>0.19</v>
      </c>
      <c r="Y18">
        <v>6.41</v>
      </c>
      <c r="Z18" t="s">
        <v>1405</v>
      </c>
      <c r="AA18" t="s">
        <v>673</v>
      </c>
      <c r="AB18" t="s">
        <v>915</v>
      </c>
      <c r="AC18" t="s">
        <v>687</v>
      </c>
      <c r="AD18" t="s">
        <v>54</v>
      </c>
      <c r="AE18">
        <v>18454419</v>
      </c>
      <c r="AF18" t="s">
        <v>1406</v>
      </c>
      <c r="AG18" t="s">
        <v>1407</v>
      </c>
      <c r="AH18" t="s">
        <v>1408</v>
      </c>
      <c r="AI18" t="s">
        <v>1409</v>
      </c>
      <c r="AJ18" t="s">
        <v>1410</v>
      </c>
      <c r="AK18" t="s">
        <v>54</v>
      </c>
      <c r="AL18" t="s">
        <v>1411</v>
      </c>
      <c r="AM18" t="s">
        <v>54</v>
      </c>
      <c r="AN18" t="s">
        <v>1412</v>
      </c>
      <c r="AO18" t="s">
        <v>1413</v>
      </c>
      <c r="AP18" t="s">
        <v>54</v>
      </c>
      <c r="AQ18" t="s">
        <v>1002</v>
      </c>
      <c r="AR18" t="s">
        <v>54</v>
      </c>
      <c r="AS18" t="s">
        <v>1414</v>
      </c>
      <c r="AT18" t="s">
        <v>469</v>
      </c>
      <c r="AU18" t="s">
        <v>898</v>
      </c>
      <c r="AV18" t="s">
        <v>1415</v>
      </c>
      <c r="AW18" t="s">
        <v>1416</v>
      </c>
      <c r="AX18" t="s">
        <v>1417</v>
      </c>
      <c r="AY18" t="s">
        <v>820</v>
      </c>
      <c r="AZ18" t="s">
        <v>325</v>
      </c>
      <c r="BA18" t="s">
        <v>164</v>
      </c>
      <c r="BB18" t="s">
        <v>326</v>
      </c>
      <c r="BC18" t="s">
        <v>1418</v>
      </c>
      <c r="BD18" t="s">
        <v>264</v>
      </c>
      <c r="BE18" t="s">
        <v>258</v>
      </c>
      <c r="BF18" t="s">
        <v>165</v>
      </c>
      <c r="BG18" t="s">
        <v>77</v>
      </c>
      <c r="BH18" t="s">
        <v>1403</v>
      </c>
      <c r="BI18" t="s">
        <v>1419</v>
      </c>
      <c r="BJ18" t="s">
        <v>1417</v>
      </c>
      <c r="BK18" t="s">
        <v>1404</v>
      </c>
      <c r="BL18" t="s">
        <v>1420</v>
      </c>
      <c r="BM18" t="s">
        <v>1418</v>
      </c>
      <c r="BN18">
        <v>5.38</v>
      </c>
      <c r="BO18">
        <v>2.0299999999999998</v>
      </c>
      <c r="BP18">
        <v>6.61</v>
      </c>
      <c r="BQ18">
        <v>6.63</v>
      </c>
      <c r="BR18">
        <v>0.56000000000000005</v>
      </c>
      <c r="BS18">
        <v>6.31</v>
      </c>
      <c r="BT18" t="s">
        <v>1421</v>
      </c>
      <c r="BU18" t="s">
        <v>646</v>
      </c>
      <c r="BV18">
        <v>57.44</v>
      </c>
      <c r="BW18">
        <v>57.51</v>
      </c>
      <c r="BX18">
        <v>57.01</v>
      </c>
      <c r="BY18">
        <v>4.9000000000000004</v>
      </c>
      <c r="BZ18">
        <v>0.89</v>
      </c>
      <c r="CA18">
        <v>6.16</v>
      </c>
      <c r="CB18">
        <v>-2.1</v>
      </c>
      <c r="CC18">
        <v>-19.7</v>
      </c>
      <c r="CD18" t="s">
        <v>1422</v>
      </c>
      <c r="CE18" t="s">
        <v>1423</v>
      </c>
      <c r="CF18" s="8">
        <v>0.11464968152866242</v>
      </c>
      <c r="CG18" s="9">
        <v>0.15831532533510381</v>
      </c>
      <c r="CH18" s="8">
        <v>0.24395549297332764</v>
      </c>
      <c r="CI18" s="8">
        <v>7.9050369560718536E-2</v>
      </c>
      <c r="CJ18" s="8">
        <v>0.33275380730628967</v>
      </c>
      <c r="CK18" s="8">
        <v>-4.3565034866333008E-2</v>
      </c>
      <c r="CL18" s="8">
        <v>0.12960177659988403</v>
      </c>
      <c r="CM18" s="9">
        <v>9.529911994934082</v>
      </c>
      <c r="CN18" s="9">
        <v>-0.87648731470108032</v>
      </c>
      <c r="CO18" s="9">
        <v>0.21830986440181732</v>
      </c>
      <c r="CP18" s="9">
        <v>1.4158411026000977</v>
      </c>
      <c r="CQ18" s="9">
        <v>-0.72010141611099243</v>
      </c>
      <c r="CR18">
        <v>43.266724278994644</v>
      </c>
      <c r="CS18">
        <v>2.9163476395898584</v>
      </c>
      <c r="CT18">
        <v>3.3259423503325944</v>
      </c>
      <c r="CU18" s="8">
        <v>0.14835928231477738</v>
      </c>
      <c r="CV18" s="9">
        <v>1.9134948462247849</v>
      </c>
      <c r="CW18">
        <v>0.06</v>
      </c>
      <c r="CX18">
        <v>24.296008519587019</v>
      </c>
      <c r="CY18">
        <v>243755508.03851408</v>
      </c>
      <c r="CZ18">
        <v>0.14835928231477738</v>
      </c>
      <c r="DA18">
        <v>7.5593978777772577</v>
      </c>
      <c r="DB18">
        <v>783433547.98270929</v>
      </c>
      <c r="DC18">
        <v>0.14094131819903852</v>
      </c>
      <c r="DD18">
        <v>3.4799815575110991</v>
      </c>
      <c r="DE18">
        <v>1701815311.9856329</v>
      </c>
      <c r="DF18">
        <v>0.1305561684370041</v>
      </c>
      <c r="DG18">
        <v>1.9337552464176766</v>
      </c>
      <c r="DH18">
        <v>3062582977.329299</v>
      </c>
      <c r="DI18">
        <v>0.1186874258518219</v>
      </c>
      <c r="DJ18">
        <v>0.83681001341487127</v>
      </c>
      <c r="DK18">
        <v>7077216817.509408</v>
      </c>
      <c r="DL18">
        <v>0.10385149762034417</v>
      </c>
      <c r="DM18">
        <v>225000000</v>
      </c>
      <c r="DN18">
        <v>0.14835928231477738</v>
      </c>
      <c r="DO18">
        <v>5922285900</v>
      </c>
      <c r="DP18">
        <v>-361486300</v>
      </c>
      <c r="DQ18">
        <v>1104</v>
      </c>
      <c r="DR18">
        <v>-3.3709600786114957E-2</v>
      </c>
      <c r="DS18">
        <v>-1.7551795208896812</v>
      </c>
      <c r="DT18" s="10">
        <v>-0.14000000000000001</v>
      </c>
      <c r="DU18">
        <v>0.38666666666666666</v>
      </c>
      <c r="DV18">
        <v>0.24666666666666665</v>
      </c>
      <c r="DW18">
        <v>-3.0418452380952381</v>
      </c>
      <c r="DX18">
        <v>0.32906761904761767</v>
      </c>
      <c r="DY18">
        <v>-3.0054008652494333</v>
      </c>
      <c r="DZ18">
        <v>1150</v>
      </c>
      <c r="EA18">
        <v>-3.0041854063381126</v>
      </c>
      <c r="EB18">
        <v>3</v>
      </c>
      <c r="EC18">
        <v>3.062999550362578E-2</v>
      </c>
      <c r="ED18">
        <v>0.23731742887675764</v>
      </c>
      <c r="EE18" s="13">
        <v>1.0341100000000001</v>
      </c>
      <c r="EF18">
        <v>1.0578099999999999</v>
      </c>
      <c r="EG18">
        <v>20.129067619047618</v>
      </c>
      <c r="EH18" t="s">
        <v>647</v>
      </c>
      <c r="EI18">
        <v>0</v>
      </c>
      <c r="EJ18">
        <v>1</v>
      </c>
      <c r="EK18" s="12">
        <v>45470</v>
      </c>
      <c r="EL18" s="14">
        <v>-1.17</v>
      </c>
      <c r="EM18" s="14">
        <v>-3.7</v>
      </c>
      <c r="EN18" s="14">
        <v>1.23</v>
      </c>
      <c r="EO18" s="14">
        <v>2.58</v>
      </c>
      <c r="EP18" s="14">
        <v>-2.37</v>
      </c>
    </row>
    <row r="19" spans="1:146" ht="96" x14ac:dyDescent="0.25">
      <c r="C19" s="5" t="str">
        <f>""&amp;CHAR(10)&amp;Basic_Fundamental_Information_Constructure(F19)&amp;CHAR(10)&amp;Basic_Fundamental_Information_Concatenate("")</f>
        <v xml:space="preserve">
市值16.971796亿, 利润-8843.10万; PE; 平均PE64.48; 平均PEG4.53, PB1.59; ROIC4.9133%; ROE5.65%; 股利率0%; 毛利19.2767%; 净利.46%; 上一年度营收增25.49%, 利润增-221.35%; 当季营收增278.22%, 利润增-843.96%; 过往5年营收增14.25%, 利润增-5.68%
Income profile:
</v>
      </c>
      <c r="D19" t="s">
        <v>52</v>
      </c>
      <c r="E19" t="s">
        <v>8</v>
      </c>
      <c r="F19">
        <v>3.58</v>
      </c>
      <c r="G19">
        <v>2.58</v>
      </c>
      <c r="H19" t="s">
        <v>1424</v>
      </c>
      <c r="I19">
        <v>1697179600</v>
      </c>
      <c r="K19">
        <v>1.59</v>
      </c>
      <c r="L19" t="s">
        <v>53</v>
      </c>
      <c r="M19" t="s">
        <v>1425</v>
      </c>
      <c r="N19" t="s">
        <v>1426</v>
      </c>
      <c r="O19" t="s">
        <v>235</v>
      </c>
      <c r="P19">
        <v>279.05</v>
      </c>
      <c r="Q19" t="s">
        <v>963</v>
      </c>
      <c r="R19">
        <v>-28378242</v>
      </c>
      <c r="S19" s="3">
        <v>-8.44</v>
      </c>
      <c r="T19" t="s">
        <v>1427</v>
      </c>
      <c r="U19">
        <v>446514540</v>
      </c>
      <c r="V19">
        <v>474072510</v>
      </c>
      <c r="W19">
        <v>4</v>
      </c>
      <c r="X19">
        <v>7.0000000000000007E-2</v>
      </c>
      <c r="Y19">
        <v>-11.55</v>
      </c>
      <c r="Z19" t="s">
        <v>958</v>
      </c>
      <c r="AA19" t="s">
        <v>1428</v>
      </c>
      <c r="AB19" t="s">
        <v>1429</v>
      </c>
      <c r="AC19" t="s">
        <v>1430</v>
      </c>
      <c r="AD19" t="s">
        <v>54</v>
      </c>
      <c r="AE19">
        <v>3126700</v>
      </c>
      <c r="AF19" t="s">
        <v>1431</v>
      </c>
      <c r="AG19" t="s">
        <v>1432</v>
      </c>
      <c r="AH19" t="s">
        <v>1433</v>
      </c>
      <c r="AI19" t="s">
        <v>938</v>
      </c>
      <c r="AJ19" t="s">
        <v>1434</v>
      </c>
      <c r="AK19" t="s">
        <v>159</v>
      </c>
      <c r="AL19" t="s">
        <v>1435</v>
      </c>
      <c r="AM19" t="s">
        <v>54</v>
      </c>
      <c r="AN19" t="s">
        <v>1066</v>
      </c>
      <c r="AO19" t="s">
        <v>1436</v>
      </c>
      <c r="AP19" t="s">
        <v>564</v>
      </c>
      <c r="AQ19" t="s">
        <v>1437</v>
      </c>
      <c r="AR19" t="s">
        <v>1438</v>
      </c>
      <c r="AS19" t="s">
        <v>1439</v>
      </c>
      <c r="AT19" t="s">
        <v>1440</v>
      </c>
      <c r="AU19" t="s">
        <v>1441</v>
      </c>
      <c r="AV19" t="s">
        <v>1442</v>
      </c>
      <c r="AW19" t="s">
        <v>1443</v>
      </c>
      <c r="AX19" t="s">
        <v>681</v>
      </c>
      <c r="AY19" t="s">
        <v>575</v>
      </c>
      <c r="AZ19" t="s">
        <v>327</v>
      </c>
      <c r="BA19" t="s">
        <v>55</v>
      </c>
      <c r="BB19" t="s">
        <v>329</v>
      </c>
      <c r="BC19" t="s">
        <v>822</v>
      </c>
      <c r="BD19" t="s">
        <v>576</v>
      </c>
      <c r="BE19" t="s">
        <v>328</v>
      </c>
      <c r="BF19" t="s">
        <v>56</v>
      </c>
      <c r="BG19" t="s">
        <v>330</v>
      </c>
      <c r="BH19" t="s">
        <v>963</v>
      </c>
      <c r="BI19" t="s">
        <v>826</v>
      </c>
      <c r="BJ19" t="s">
        <v>681</v>
      </c>
      <c r="BK19" t="s">
        <v>1427</v>
      </c>
      <c r="BL19" t="s">
        <v>1444</v>
      </c>
      <c r="BM19" t="s">
        <v>822</v>
      </c>
      <c r="BN19">
        <v>0.63</v>
      </c>
      <c r="BO19">
        <v>7.61</v>
      </c>
      <c r="BP19">
        <v>6.5</v>
      </c>
      <c r="BQ19">
        <v>1.5</v>
      </c>
      <c r="BR19">
        <v>8.3800000000000008</v>
      </c>
      <c r="BS19">
        <v>7.07</v>
      </c>
      <c r="BT19" t="s">
        <v>700</v>
      </c>
      <c r="BU19" t="s">
        <v>659</v>
      </c>
      <c r="BV19">
        <v>8.2799999999999994</v>
      </c>
      <c r="BW19">
        <v>25.62</v>
      </c>
      <c r="BX19">
        <v>23.93</v>
      </c>
      <c r="BY19">
        <v>-19.59</v>
      </c>
      <c r="BZ19">
        <v>11.94</v>
      </c>
      <c r="CA19">
        <v>9.0299999999999994</v>
      </c>
      <c r="CB19">
        <v>-0.28000000000000003</v>
      </c>
      <c r="CC19">
        <v>-21.49</v>
      </c>
      <c r="CD19" t="s">
        <v>1445</v>
      </c>
      <c r="CE19" t="s">
        <v>1446</v>
      </c>
      <c r="CF19" s="8">
        <v>2.782178217821782</v>
      </c>
      <c r="CG19" s="9">
        <v>-8.439570585922139</v>
      </c>
      <c r="CH19" s="8">
        <v>0.25493422150611877</v>
      </c>
      <c r="CI19" s="8">
        <v>-9.7719868645071983E-3</v>
      </c>
      <c r="CJ19" s="8">
        <v>-1.9169328734278679E-2</v>
      </c>
      <c r="CK19" s="8">
        <v>4.1597336530685425E-2</v>
      </c>
      <c r="CL19" s="8">
        <v>0.44471153616905212</v>
      </c>
      <c r="CM19" s="9">
        <v>-2.213508129119873</v>
      </c>
      <c r="CN19" s="9">
        <v>0.3102952241897583</v>
      </c>
      <c r="CO19" s="9">
        <v>-9.8088659346103668E-2</v>
      </c>
      <c r="CP19" s="9">
        <v>0.62038952112197876</v>
      </c>
      <c r="CQ19" s="9">
        <v>1.0970991849899292</v>
      </c>
      <c r="CR19">
        <v>64.482058445641528</v>
      </c>
      <c r="CS19">
        <v>4.5263159788635035</v>
      </c>
      <c r="CT19">
        <v>0</v>
      </c>
      <c r="CU19" s="8">
        <v>0.14246035572141408</v>
      </c>
      <c r="CV19" s="9">
        <v>-5.6762571632862094E-2</v>
      </c>
      <c r="CW19">
        <v>0.06</v>
      </c>
      <c r="CX19" t="e">
        <v>#VALUE!</v>
      </c>
      <c r="CY19" t="s">
        <v>652</v>
      </c>
      <c r="CZ19">
        <v>0.14246035572141408</v>
      </c>
      <c r="DA19" t="e">
        <v>#VALUE!</v>
      </c>
      <c r="DB19" t="s">
        <v>653</v>
      </c>
      <c r="DC19">
        <v>0.13533733793534336</v>
      </c>
      <c r="DD19" t="e">
        <v>#VALUE!</v>
      </c>
      <c r="DE19" t="s">
        <v>653</v>
      </c>
      <c r="DF19">
        <v>0.12536511303484438</v>
      </c>
      <c r="DG19" t="e">
        <v>#VALUE!</v>
      </c>
      <c r="DH19" t="s">
        <v>653</v>
      </c>
      <c r="DI19">
        <v>0.11396828457713126</v>
      </c>
      <c r="DJ19" t="e">
        <v>#VALUE!</v>
      </c>
      <c r="DK19" t="s">
        <v>653</v>
      </c>
      <c r="DL19">
        <v>9.9722249004989855E-2</v>
      </c>
      <c r="DM19">
        <v>-88431000</v>
      </c>
      <c r="DN19">
        <v>0.14246035572141408</v>
      </c>
      <c r="DO19">
        <v>3822179600</v>
      </c>
      <c r="DP19">
        <v>-532473200</v>
      </c>
      <c r="DQ19">
        <v>1124</v>
      </c>
      <c r="DR19">
        <v>2.6397178621003681</v>
      </c>
      <c r="DS19">
        <v>-8.3828080142892762</v>
      </c>
      <c r="DT19" s="10">
        <v>-0.17333333333333334</v>
      </c>
      <c r="DU19">
        <v>-1.0650000000000002</v>
      </c>
      <c r="DV19">
        <v>-1.2383333333333335</v>
      </c>
      <c r="DW19">
        <v>-3.0620892857142858</v>
      </c>
      <c r="DX19">
        <v>0.42651296638657188</v>
      </c>
      <c r="DY19">
        <v>-3.0097177782879663</v>
      </c>
      <c r="DZ19">
        <v>3807</v>
      </c>
      <c r="EA19">
        <v>-3.0024779383775382</v>
      </c>
      <c r="EB19">
        <v>3</v>
      </c>
      <c r="EC19">
        <v>3.2822616101490468E-2</v>
      </c>
      <c r="ED19">
        <v>0.2097118012601068</v>
      </c>
      <c r="EE19" s="13">
        <v>-1.0739099999999999</v>
      </c>
      <c r="EF19">
        <v>-1.0847100000000001</v>
      </c>
      <c r="EG19">
        <v>27.156512966386572</v>
      </c>
      <c r="EH19" t="s">
        <v>656</v>
      </c>
      <c r="EI19">
        <v>0</v>
      </c>
      <c r="EJ19">
        <v>0</v>
      </c>
      <c r="EK19" s="12">
        <v>45470</v>
      </c>
      <c r="EL19" s="14">
        <v>0</v>
      </c>
      <c r="EM19" s="14">
        <v>-4.74</v>
      </c>
      <c r="EN19" s="14">
        <v>0.28000000000000003</v>
      </c>
      <c r="EO19" s="14">
        <v>2.48</v>
      </c>
      <c r="EP19" s="14">
        <v>-1.08</v>
      </c>
    </row>
    <row r="20" spans="1:146" ht="96" x14ac:dyDescent="0.25">
      <c r="C20" s="5" t="str">
        <f>""&amp;CHAR(10)&amp;Basic_Fundamental_Information_Constructure(F20)&amp;CHAR(10)&amp;Basic_Fundamental_Information_Concatenate("")</f>
        <v xml:space="preserve">
市值7.1251984亿, 利润-8905.05万; PE; 平均PE-2.66; 平均PEG-.12, PB2.23; ROIC-3.95%; ROE-7.2533%; 股利率0%; 毛利65.3533%; 净利-19.6767%; 上一年度营收增26.09%, 利润增-115.09%; 当季营收增-30.19%, 利润增-.31%; 过往5年营收增-22.83%, 利润增-1284.05%
Income profile:
</v>
      </c>
      <c r="D20" t="s">
        <v>177</v>
      </c>
      <c r="E20" t="s">
        <v>178</v>
      </c>
      <c r="F20">
        <v>1</v>
      </c>
      <c r="G20">
        <v>-2.91</v>
      </c>
      <c r="H20" t="s">
        <v>1447</v>
      </c>
      <c r="I20">
        <v>712519840</v>
      </c>
      <c r="K20">
        <v>2.23</v>
      </c>
      <c r="L20" t="s">
        <v>53</v>
      </c>
      <c r="M20" t="s">
        <v>518</v>
      </c>
      <c r="N20" t="s">
        <v>322</v>
      </c>
      <c r="O20" t="s">
        <v>1448</v>
      </c>
      <c r="P20">
        <v>-30.19</v>
      </c>
      <c r="Q20" t="s">
        <v>1449</v>
      </c>
      <c r="R20">
        <v>-53718014</v>
      </c>
      <c r="S20" s="3">
        <v>-3.1099999999999999E-3</v>
      </c>
      <c r="T20" t="s">
        <v>1450</v>
      </c>
      <c r="U20">
        <v>609457560</v>
      </c>
      <c r="V20">
        <v>712519840</v>
      </c>
      <c r="W20">
        <v>1.64</v>
      </c>
      <c r="X20">
        <v>0.11</v>
      </c>
      <c r="Y20">
        <v>-85.04</v>
      </c>
      <c r="Z20" t="s">
        <v>1451</v>
      </c>
      <c r="AA20" t="s">
        <v>1452</v>
      </c>
      <c r="AB20" t="s">
        <v>1453</v>
      </c>
      <c r="AC20" t="s">
        <v>1454</v>
      </c>
      <c r="AD20" t="s">
        <v>54</v>
      </c>
      <c r="AE20">
        <v>1702095</v>
      </c>
      <c r="AF20" t="s">
        <v>1455</v>
      </c>
      <c r="AG20" t="s">
        <v>1456</v>
      </c>
      <c r="AH20" t="s">
        <v>1457</v>
      </c>
      <c r="AI20" t="s">
        <v>898</v>
      </c>
      <c r="AJ20" t="s">
        <v>1458</v>
      </c>
      <c r="AK20" t="s">
        <v>54</v>
      </c>
      <c r="AL20" t="s">
        <v>1459</v>
      </c>
      <c r="AM20" t="s">
        <v>54</v>
      </c>
      <c r="AN20" t="s">
        <v>1460</v>
      </c>
      <c r="AO20" t="s">
        <v>54</v>
      </c>
      <c r="AP20" t="s">
        <v>54</v>
      </c>
      <c r="AQ20" t="s">
        <v>1461</v>
      </c>
      <c r="AR20" t="s">
        <v>54</v>
      </c>
      <c r="AS20" t="s">
        <v>442</v>
      </c>
      <c r="AT20" t="s">
        <v>54</v>
      </c>
      <c r="AU20" t="s">
        <v>1462</v>
      </c>
      <c r="AV20" t="s">
        <v>911</v>
      </c>
      <c r="AW20" t="s">
        <v>1463</v>
      </c>
      <c r="AX20" t="s">
        <v>894</v>
      </c>
      <c r="AY20" t="s">
        <v>80</v>
      </c>
      <c r="AZ20" t="s">
        <v>331</v>
      </c>
      <c r="BA20" t="s">
        <v>179</v>
      </c>
      <c r="BB20" t="s">
        <v>333</v>
      </c>
      <c r="BC20" t="s">
        <v>926</v>
      </c>
      <c r="BD20" t="s">
        <v>928</v>
      </c>
      <c r="BE20" t="s">
        <v>332</v>
      </c>
      <c r="BF20" t="s">
        <v>180</v>
      </c>
      <c r="BG20" t="s">
        <v>335</v>
      </c>
      <c r="BH20" t="s">
        <v>1449</v>
      </c>
      <c r="BI20" t="s">
        <v>1464</v>
      </c>
      <c r="BJ20" t="s">
        <v>894</v>
      </c>
      <c r="BK20" t="s">
        <v>1450</v>
      </c>
      <c r="BL20" t="s">
        <v>1465</v>
      </c>
      <c r="BM20" t="s">
        <v>926</v>
      </c>
      <c r="BN20" t="s">
        <v>54</v>
      </c>
      <c r="BO20" t="s">
        <v>54</v>
      </c>
      <c r="BP20">
        <v>-3.95</v>
      </c>
      <c r="BQ20">
        <v>-11.53</v>
      </c>
      <c r="BR20">
        <v>-7.5</v>
      </c>
      <c r="BS20">
        <v>-2.73</v>
      </c>
      <c r="BT20" t="s">
        <v>700</v>
      </c>
      <c r="BU20" t="s">
        <v>646</v>
      </c>
      <c r="BV20">
        <v>70.25</v>
      </c>
      <c r="BW20">
        <v>67.62</v>
      </c>
      <c r="BX20">
        <v>58.19</v>
      </c>
      <c r="BY20">
        <v>-30.76</v>
      </c>
      <c r="BZ20">
        <v>-18.02</v>
      </c>
      <c r="CA20">
        <v>-10.25</v>
      </c>
      <c r="CB20">
        <v>17.649999999999999</v>
      </c>
      <c r="CC20">
        <v>-13.04</v>
      </c>
      <c r="CD20" t="s">
        <v>1466</v>
      </c>
      <c r="CE20" t="s">
        <v>469</v>
      </c>
      <c r="CF20" s="8">
        <v>-0.30188514526746651</v>
      </c>
      <c r="CG20" s="9">
        <v>-3.1075448726088483E-3</v>
      </c>
      <c r="CH20" s="8">
        <v>0.26086956262588501</v>
      </c>
      <c r="CI20" s="8">
        <v>-0.40259739756584167</v>
      </c>
      <c r="CJ20" s="8">
        <v>-0.248046875</v>
      </c>
      <c r="CK20" s="8">
        <v>-0.62682217359542847</v>
      </c>
      <c r="CL20" s="8">
        <v>-0.125</v>
      </c>
      <c r="CM20" s="9">
        <v>-1.1509158611297607</v>
      </c>
      <c r="CN20" s="9">
        <v>-4.8577621579170227E-2</v>
      </c>
      <c r="CO20" s="9">
        <v>-6.3957223892211914</v>
      </c>
      <c r="CP20" s="9">
        <v>1.0049846172332764</v>
      </c>
      <c r="CQ20" s="9">
        <v>-57.612434387207031</v>
      </c>
      <c r="CR20">
        <v>-2.6641456179576983</v>
      </c>
      <c r="CS20">
        <v>-0.11668504252162844</v>
      </c>
      <c r="CT20">
        <v>0</v>
      </c>
      <c r="CU20" s="8">
        <v>-0.22831937670707703</v>
      </c>
      <c r="CV20" s="9">
        <v>-12.840533128380775</v>
      </c>
      <c r="CW20">
        <v>0.06</v>
      </c>
      <c r="CX20" t="e">
        <v>#VALUE!</v>
      </c>
      <c r="CY20" t="s">
        <v>652</v>
      </c>
      <c r="CZ20">
        <v>-0.22831937670707703</v>
      </c>
      <c r="DA20" t="e">
        <v>#VALUE!</v>
      </c>
      <c r="DB20" t="s">
        <v>653</v>
      </c>
      <c r="DC20">
        <v>-0.21690340787172316</v>
      </c>
      <c r="DD20" t="e">
        <v>#VALUE!</v>
      </c>
      <c r="DE20" t="s">
        <v>653</v>
      </c>
      <c r="DF20">
        <v>-0.20092105150222778</v>
      </c>
      <c r="DG20" t="e">
        <v>#VALUE!</v>
      </c>
      <c r="DH20" t="s">
        <v>653</v>
      </c>
      <c r="DI20">
        <v>-0.18265550136566164</v>
      </c>
      <c r="DJ20" t="e">
        <v>#VALUE!</v>
      </c>
      <c r="DK20" t="s">
        <v>653</v>
      </c>
      <c r="DL20">
        <v>-0.1598235636949539</v>
      </c>
      <c r="DM20">
        <v>-89050500</v>
      </c>
      <c r="DN20">
        <v>-0.22831937670707703</v>
      </c>
      <c r="DO20">
        <v>616519840</v>
      </c>
      <c r="DP20">
        <v>216548120</v>
      </c>
      <c r="DQ20">
        <v>1146</v>
      </c>
      <c r="DR20">
        <v>-7.3565768560389488E-2</v>
      </c>
      <c r="DS20">
        <v>12.837425583508166</v>
      </c>
      <c r="DT20" s="10">
        <v>-0.79</v>
      </c>
      <c r="DU20">
        <v>-3.1316666666666673</v>
      </c>
      <c r="DV20">
        <v>-3.9216666666666673</v>
      </c>
      <c r="DW20">
        <v>5.7388101983002837</v>
      </c>
      <c r="DX20">
        <v>0.65493486842105197</v>
      </c>
      <c r="DY20">
        <v>5.2179008886238263</v>
      </c>
      <c r="DZ20">
        <v>5064</v>
      </c>
      <c r="EA20">
        <v>5.0019615344181405</v>
      </c>
      <c r="EB20">
        <v>5</v>
      </c>
      <c r="EC20">
        <v>6.2917686614873763E-2</v>
      </c>
      <c r="ED20">
        <v>0.21332739310108192</v>
      </c>
      <c r="EE20" s="13">
        <v>-7.0451100000000002</v>
      </c>
      <c r="EF20">
        <v>-7.0983099999999997</v>
      </c>
      <c r="EG20">
        <v>36.294934868421052</v>
      </c>
      <c r="EH20" t="s">
        <v>1467</v>
      </c>
      <c r="EI20">
        <v>1</v>
      </c>
      <c r="EJ20">
        <v>0</v>
      </c>
      <c r="EK20" s="12">
        <v>45470</v>
      </c>
      <c r="EL20" s="14">
        <v>-5.41</v>
      </c>
      <c r="EM20" s="14">
        <v>-0.95</v>
      </c>
      <c r="EN20" s="14">
        <v>-4.8099999999999996</v>
      </c>
      <c r="EO20" s="14">
        <v>-5.05</v>
      </c>
      <c r="EP20" s="14">
        <v>-5.32</v>
      </c>
    </row>
    <row r="21" spans="1:146" ht="96" x14ac:dyDescent="0.25">
      <c r="C21" s="5" t="str">
        <f>""&amp;CHAR(10)&amp;Basic_Fundamental_Information_Constructure(F21)&amp;CHAR(10)&amp;Basic_Fundamental_Information_Concatenate("")</f>
        <v xml:space="preserve">
市值21.101696亿, 利润2.03亿; PE10.74; 平均PE13.9; 平均PEG1.61, PB1.4; ROIC10.23%; ROE11%; 股利率4.7847%; 毛利49.69%; 净利12.7833%; 上一年度营收增16.65%, 利润增67.77%; 当季营收增2.03%, 利润增-22.6%; 过往5年营收增8.64%, 利润增17.92%
Income profile:
</v>
      </c>
      <c r="D21" t="s">
        <v>98</v>
      </c>
      <c r="E21" t="s">
        <v>24</v>
      </c>
      <c r="F21">
        <v>4.18</v>
      </c>
      <c r="G21">
        <v>1.46</v>
      </c>
      <c r="H21" t="s">
        <v>1468</v>
      </c>
      <c r="I21">
        <v>2110169600</v>
      </c>
      <c r="J21">
        <v>10.74</v>
      </c>
      <c r="K21">
        <v>1.4</v>
      </c>
      <c r="L21" t="s">
        <v>53</v>
      </c>
      <c r="M21" t="s">
        <v>248</v>
      </c>
      <c r="N21" t="s">
        <v>455</v>
      </c>
      <c r="O21" t="s">
        <v>517</v>
      </c>
      <c r="P21">
        <v>1.68</v>
      </c>
      <c r="Q21" t="s">
        <v>595</v>
      </c>
      <c r="R21">
        <v>22631438</v>
      </c>
      <c r="S21" s="3">
        <v>-0.22600000000000001</v>
      </c>
      <c r="T21" t="s">
        <v>1469</v>
      </c>
      <c r="U21">
        <v>406074180</v>
      </c>
      <c r="V21">
        <v>504825260</v>
      </c>
      <c r="W21">
        <v>1.29</v>
      </c>
      <c r="X21">
        <v>0.12</v>
      </c>
      <c r="Y21">
        <v>9.09</v>
      </c>
      <c r="Z21" t="s">
        <v>1470</v>
      </c>
      <c r="AA21" t="s">
        <v>263</v>
      </c>
      <c r="AB21" t="s">
        <v>1471</v>
      </c>
      <c r="AC21" t="s">
        <v>1472</v>
      </c>
      <c r="AD21" t="s">
        <v>54</v>
      </c>
      <c r="AE21">
        <v>-3627535</v>
      </c>
      <c r="AF21" t="s">
        <v>1473</v>
      </c>
      <c r="AG21">
        <v>6510</v>
      </c>
      <c r="AH21" t="s">
        <v>1474</v>
      </c>
      <c r="AI21" t="s">
        <v>575</v>
      </c>
      <c r="AJ21" t="s">
        <v>1475</v>
      </c>
      <c r="AK21" t="s">
        <v>1476</v>
      </c>
      <c r="AL21" t="s">
        <v>1477</v>
      </c>
      <c r="AM21" t="s">
        <v>54</v>
      </c>
      <c r="AN21" t="s">
        <v>1478</v>
      </c>
      <c r="AO21" t="s">
        <v>942</v>
      </c>
      <c r="AP21" t="s">
        <v>1479</v>
      </c>
      <c r="AQ21" t="s">
        <v>1423</v>
      </c>
      <c r="AR21" t="s">
        <v>1480</v>
      </c>
      <c r="AS21" t="s">
        <v>520</v>
      </c>
      <c r="AT21" t="s">
        <v>54</v>
      </c>
      <c r="AU21" t="s">
        <v>978</v>
      </c>
      <c r="AV21" t="s">
        <v>1481</v>
      </c>
      <c r="AW21" t="s">
        <v>1482</v>
      </c>
      <c r="AX21" t="s">
        <v>823</v>
      </c>
      <c r="AY21" t="s">
        <v>578</v>
      </c>
      <c r="AZ21" t="s">
        <v>336</v>
      </c>
      <c r="BA21" t="s">
        <v>99</v>
      </c>
      <c r="BB21" t="s">
        <v>181</v>
      </c>
      <c r="BC21" t="s">
        <v>351</v>
      </c>
      <c r="BD21" t="s">
        <v>514</v>
      </c>
      <c r="BE21" t="s">
        <v>337</v>
      </c>
      <c r="BF21" t="s">
        <v>100</v>
      </c>
      <c r="BG21" t="s">
        <v>123</v>
      </c>
      <c r="BH21" t="s">
        <v>595</v>
      </c>
      <c r="BI21" t="s">
        <v>515</v>
      </c>
      <c r="BJ21" t="s">
        <v>823</v>
      </c>
      <c r="BK21" t="s">
        <v>1469</v>
      </c>
      <c r="BL21" t="s">
        <v>1483</v>
      </c>
      <c r="BM21" t="s">
        <v>351</v>
      </c>
      <c r="BN21">
        <v>8.1</v>
      </c>
      <c r="BO21">
        <v>8.6999999999999993</v>
      </c>
      <c r="BP21">
        <v>13.89</v>
      </c>
      <c r="BQ21">
        <v>9</v>
      </c>
      <c r="BR21">
        <v>9</v>
      </c>
      <c r="BS21">
        <v>15</v>
      </c>
      <c r="BT21" t="s">
        <v>1484</v>
      </c>
      <c r="BU21" t="s">
        <v>646</v>
      </c>
      <c r="BV21">
        <v>49.86</v>
      </c>
      <c r="BW21">
        <v>46.97</v>
      </c>
      <c r="BX21">
        <v>52.24</v>
      </c>
      <c r="BY21">
        <v>13.84</v>
      </c>
      <c r="BZ21">
        <v>9.93</v>
      </c>
      <c r="CA21">
        <v>14.58</v>
      </c>
      <c r="CB21">
        <v>-0.48</v>
      </c>
      <c r="CC21">
        <v>-9.1300000000000008</v>
      </c>
      <c r="CD21" t="s">
        <v>1485</v>
      </c>
      <c r="CE21" t="s">
        <v>222</v>
      </c>
      <c r="CF21" s="8">
        <v>2.0325203252032398E-2</v>
      </c>
      <c r="CG21" s="9">
        <v>-0.22598718838815149</v>
      </c>
      <c r="CH21" s="8">
        <v>0.16653630137443542</v>
      </c>
      <c r="CI21" s="8">
        <v>-1.9171729683876038E-2</v>
      </c>
      <c r="CJ21" s="8">
        <v>0.19852940738201141</v>
      </c>
      <c r="CK21" s="8">
        <v>-2.9437946155667305E-2</v>
      </c>
      <c r="CL21" s="8">
        <v>0.11542282253503799</v>
      </c>
      <c r="CM21" s="9">
        <v>0.67768597602844238</v>
      </c>
      <c r="CN21" s="9">
        <v>-0.35294118523597717</v>
      </c>
      <c r="CO21" s="9">
        <v>0.2986111044883728</v>
      </c>
      <c r="CP21" s="9">
        <v>6.9930069148540497E-3</v>
      </c>
      <c r="CQ21" s="9">
        <v>0.26548671722412109</v>
      </c>
      <c r="CR21">
        <v>13.897933699231613</v>
      </c>
      <c r="CS21">
        <v>1.609008350812644</v>
      </c>
      <c r="CT21">
        <v>4.7846889952153111</v>
      </c>
      <c r="CU21" s="8">
        <v>8.6375771090388298E-2</v>
      </c>
      <c r="CV21" s="9">
        <v>0.17916712388396264</v>
      </c>
      <c r="CW21">
        <v>0.06</v>
      </c>
      <c r="CX21">
        <v>5.6100111393526495</v>
      </c>
      <c r="CY21">
        <v>208051208.99183849</v>
      </c>
      <c r="CZ21">
        <v>8.6375771090388298E-2</v>
      </c>
      <c r="DA21">
        <v>1.8389365363329717</v>
      </c>
      <c r="DB21">
        <v>634698140.44124436</v>
      </c>
      <c r="DC21">
        <v>8.2056982535868878E-2</v>
      </c>
      <c r="DD21">
        <v>0.90898526162982562</v>
      </c>
      <c r="DE21">
        <v>1284035780.6321805</v>
      </c>
      <c r="DF21">
        <v>7.6010678559541703E-2</v>
      </c>
      <c r="DG21">
        <v>0.54838691136844275</v>
      </c>
      <c r="DH21">
        <v>2128368813.7039032</v>
      </c>
      <c r="DI21">
        <v>6.9100616872310644E-2</v>
      </c>
      <c r="DJ21">
        <v>0.28616400596633906</v>
      </c>
      <c r="DK21">
        <v>4078673682.4521952</v>
      </c>
      <c r="DL21">
        <v>6.0463039763271803E-2</v>
      </c>
      <c r="DM21">
        <v>202999999.99999997</v>
      </c>
      <c r="DN21">
        <v>8.6375771090388298E-2</v>
      </c>
      <c r="DO21">
        <v>1167169600</v>
      </c>
      <c r="DP21">
        <v>963005800</v>
      </c>
      <c r="DQ21">
        <v>1175</v>
      </c>
      <c r="DR21">
        <v>-6.6050567838355903E-2</v>
      </c>
      <c r="DS21">
        <v>-0.40515431227211413</v>
      </c>
      <c r="DT21" s="10">
        <v>-0.14000000000000001</v>
      </c>
      <c r="DU21">
        <v>0.19666666666666666</v>
      </c>
      <c r="DV21">
        <v>5.6666666666666643E-2</v>
      </c>
      <c r="DW21">
        <v>-2.0912999999999999</v>
      </c>
      <c r="DX21">
        <v>0.29500000000000004</v>
      </c>
      <c r="DY21">
        <v>-2.0114125</v>
      </c>
      <c r="DZ21">
        <v>1585</v>
      </c>
      <c r="EA21">
        <v>-2.0078726149706458</v>
      </c>
      <c r="EB21">
        <v>2</v>
      </c>
      <c r="EC21">
        <v>4.1103331477509664E-2</v>
      </c>
      <c r="ED21">
        <v>0.32882665182007731</v>
      </c>
      <c r="EE21" s="13">
        <v>-2.0457000000000001</v>
      </c>
      <c r="EF21">
        <v>-2.0362</v>
      </c>
      <c r="EG21">
        <v>17.125</v>
      </c>
      <c r="EH21" t="s">
        <v>649</v>
      </c>
      <c r="EI21">
        <v>0</v>
      </c>
      <c r="EJ21">
        <v>0</v>
      </c>
      <c r="EK21" s="12">
        <v>45470</v>
      </c>
      <c r="EL21" s="14">
        <v>0</v>
      </c>
      <c r="EM21" s="14">
        <v>-2.13</v>
      </c>
      <c r="EN21" s="14">
        <v>1.21</v>
      </c>
      <c r="EO21" s="14">
        <v>1.2</v>
      </c>
      <c r="EP21" s="14">
        <v>-0.95</v>
      </c>
    </row>
    <row r="22" spans="1:146" ht="96" x14ac:dyDescent="0.25">
      <c r="A22"/>
      <c r="B22"/>
      <c r="C22" s="5" t="str">
        <f>""&amp;CHAR(10)&amp;Basic_Fundamental_Information_Constructure(F22)&amp;CHAR(10)&amp;Basic_Fundamental_Information_Concatenate("")</f>
        <v xml:space="preserve">
市值60.865202亿, 利润6.65亿; PE7.31; 平均PE-4.89; 平均PEG-.14, PB2.96; ROIC0%; ROE-72.29%; 股利率0%; 毛利11.0467%; 净利-69.9033%; 上一年度营收增-17.39%, 利润增118.17%; 当季营收增-77.66%, 利润增101.61%; 过往5年营收增-34.2%, 利润增-998.51%
Income profile:
</v>
      </c>
      <c r="D22" t="s">
        <v>1486</v>
      </c>
      <c r="E22" t="s">
        <v>1487</v>
      </c>
      <c r="F22">
        <v>2.2799999999999998</v>
      </c>
      <c r="G22">
        <v>3.17</v>
      </c>
      <c r="H22" t="s">
        <v>1488</v>
      </c>
      <c r="I22">
        <v>6086520200</v>
      </c>
      <c r="J22">
        <v>7.31</v>
      </c>
      <c r="K22">
        <v>2.96</v>
      </c>
      <c r="L22" t="s">
        <v>53</v>
      </c>
      <c r="M22" t="s">
        <v>454</v>
      </c>
      <c r="N22" t="s">
        <v>1489</v>
      </c>
      <c r="O22" t="s">
        <v>263</v>
      </c>
      <c r="P22" s="3">
        <v>-77.739999999999995</v>
      </c>
      <c r="Q22" t="s">
        <v>1490</v>
      </c>
      <c r="R22">
        <v>2640626</v>
      </c>
      <c r="S22">
        <v>1.016</v>
      </c>
      <c r="T22" t="s">
        <v>1491</v>
      </c>
      <c r="U22">
        <v>2669526400</v>
      </c>
      <c r="V22">
        <v>2669526400</v>
      </c>
      <c r="W22">
        <v>1.06</v>
      </c>
      <c r="X22">
        <v>0.06</v>
      </c>
      <c r="Y22">
        <v>2.1</v>
      </c>
      <c r="Z22" t="s">
        <v>216</v>
      </c>
      <c r="AA22" t="s">
        <v>261</v>
      </c>
      <c r="AB22" t="s">
        <v>1492</v>
      </c>
      <c r="AC22" t="s">
        <v>1493</v>
      </c>
      <c r="AD22" t="s">
        <v>54</v>
      </c>
      <c r="AE22">
        <v>-5806368</v>
      </c>
      <c r="AF22" t="s">
        <v>97</v>
      </c>
      <c r="AG22">
        <v>400.04</v>
      </c>
      <c r="AH22" t="s">
        <v>1494</v>
      </c>
      <c r="AI22" t="s">
        <v>1495</v>
      </c>
      <c r="AJ22" t="s">
        <v>1496</v>
      </c>
      <c r="AK22" t="s">
        <v>54</v>
      </c>
      <c r="AL22" t="s">
        <v>1497</v>
      </c>
      <c r="AM22" t="s">
        <v>54</v>
      </c>
      <c r="AN22">
        <v>0</v>
      </c>
      <c r="AO22" t="s">
        <v>54</v>
      </c>
      <c r="AP22" t="s">
        <v>54</v>
      </c>
      <c r="AQ22" t="s">
        <v>1498</v>
      </c>
      <c r="AR22" t="s">
        <v>1499</v>
      </c>
      <c r="AS22" t="s">
        <v>687</v>
      </c>
      <c r="AT22" t="s">
        <v>54</v>
      </c>
      <c r="AU22" t="s">
        <v>1500</v>
      </c>
      <c r="AV22" t="s">
        <v>1501</v>
      </c>
      <c r="AW22" t="s">
        <v>1502</v>
      </c>
      <c r="AX22" t="s">
        <v>982</v>
      </c>
      <c r="AY22" t="s">
        <v>1503</v>
      </c>
      <c r="AZ22" t="s">
        <v>1504</v>
      </c>
      <c r="BA22" t="s">
        <v>1505</v>
      </c>
      <c r="BB22" t="s">
        <v>1506</v>
      </c>
      <c r="BC22" t="s">
        <v>1507</v>
      </c>
      <c r="BD22" t="s">
        <v>1508</v>
      </c>
      <c r="BE22" t="s">
        <v>1509</v>
      </c>
      <c r="BF22" t="s">
        <v>1510</v>
      </c>
      <c r="BG22" t="s">
        <v>1511</v>
      </c>
      <c r="BH22" t="s">
        <v>1490</v>
      </c>
      <c r="BI22" t="s">
        <v>939</v>
      </c>
      <c r="BJ22" t="s">
        <v>982</v>
      </c>
      <c r="BK22" t="s">
        <v>1491</v>
      </c>
      <c r="BL22" t="s">
        <v>925</v>
      </c>
      <c r="BM22" t="s">
        <v>1507</v>
      </c>
      <c r="BN22" t="s">
        <v>54</v>
      </c>
      <c r="BO22" t="s">
        <v>54</v>
      </c>
      <c r="BP22" t="s">
        <v>54</v>
      </c>
      <c r="BQ22" t="s">
        <v>54</v>
      </c>
      <c r="BR22" t="s">
        <v>54</v>
      </c>
      <c r="BS22">
        <v>-72.290000000000006</v>
      </c>
      <c r="BT22" t="s">
        <v>700</v>
      </c>
      <c r="BU22" t="s">
        <v>1030</v>
      </c>
      <c r="BV22">
        <v>11.39</v>
      </c>
      <c r="BW22">
        <v>11.87</v>
      </c>
      <c r="BX22">
        <v>9.8800000000000008</v>
      </c>
      <c r="BY22">
        <v>42.57</v>
      </c>
      <c r="BZ22">
        <v>-203.85</v>
      </c>
      <c r="CA22">
        <v>-48.43</v>
      </c>
      <c r="CB22">
        <v>0.44</v>
      </c>
      <c r="CC22" s="8">
        <v>-18.86</v>
      </c>
      <c r="CD22" s="9" t="s">
        <v>1512</v>
      </c>
      <c r="CE22" s="8" t="s">
        <v>350</v>
      </c>
      <c r="CF22" s="8">
        <v>-0.77659574468085102</v>
      </c>
      <c r="CG22" s="8">
        <v>1.0161013780487804</v>
      </c>
      <c r="CH22" s="8">
        <v>-0.17388921976089478</v>
      </c>
      <c r="CI22" s="8">
        <v>-0.38224330544471741</v>
      </c>
      <c r="CJ22" s="9">
        <v>-0.24255645275115967</v>
      </c>
      <c r="CK22" s="9">
        <v>-0.63524013757705688</v>
      </c>
      <c r="CL22" s="9">
        <v>-0.27620792388916016</v>
      </c>
      <c r="CM22" s="9">
        <v>1.1816940307617187</v>
      </c>
      <c r="CN22" s="9">
        <v>-1.781154990196228</v>
      </c>
      <c r="CO22">
        <v>0.5839393138885498</v>
      </c>
      <c r="CP22">
        <v>-52.045436859130859</v>
      </c>
      <c r="CQ22">
        <v>2.1352555751800537</v>
      </c>
      <c r="CR22" s="8">
        <v>-4.8909859384118715</v>
      </c>
      <c r="CS22" s="9">
        <v>-0.14299982474100792</v>
      </c>
      <c r="CT22">
        <v>0</v>
      </c>
      <c r="CU22">
        <v>-0.34202740788459779</v>
      </c>
      <c r="CV22">
        <v>-9.9851405858993534</v>
      </c>
      <c r="CW22">
        <v>0.06</v>
      </c>
      <c r="CX22">
        <v>6.2744664661654133</v>
      </c>
      <c r="CY22" t="s">
        <v>1513</v>
      </c>
      <c r="CZ22">
        <v>-0.34202740788459779</v>
      </c>
      <c r="DA22">
        <v>2.0914888220551378</v>
      </c>
      <c r="DB22" t="s">
        <v>1514</v>
      </c>
      <c r="DC22">
        <v>-0.32492603749036786</v>
      </c>
      <c r="DD22">
        <v>1.0457444110275689</v>
      </c>
      <c r="DE22" t="s">
        <v>1515</v>
      </c>
      <c r="DF22">
        <v>-0.30098411893844607</v>
      </c>
      <c r="DG22">
        <v>0.62744664661654137</v>
      </c>
      <c r="DH22" t="s">
        <v>1516</v>
      </c>
      <c r="DI22">
        <v>-0.27362192630767823</v>
      </c>
      <c r="DJ22">
        <v>0.31372332330827069</v>
      </c>
      <c r="DK22" t="s">
        <v>1517</v>
      </c>
      <c r="DL22">
        <v>-0.23941918551921842</v>
      </c>
      <c r="DM22">
        <v>665000000</v>
      </c>
      <c r="DN22">
        <v>-0.34202740788459779</v>
      </c>
      <c r="DO22">
        <v>4172520200</v>
      </c>
      <c r="DP22">
        <v>1980850400</v>
      </c>
      <c r="DQ22" s="10">
        <v>1204</v>
      </c>
      <c r="DR22">
        <v>-0.43456833679625323</v>
      </c>
      <c r="DS22">
        <v>11.001241963948134</v>
      </c>
      <c r="DT22">
        <v>-1.2233333333333332</v>
      </c>
      <c r="DU22">
        <v>-1.3883333333333336</v>
      </c>
      <c r="DV22">
        <v>-2.6116666666666668</v>
      </c>
      <c r="DW22">
        <v>-3.032345238095238</v>
      </c>
      <c r="DX22">
        <v>0.4189744791666658</v>
      </c>
      <c r="DY22">
        <v>-3.0028779007130457</v>
      </c>
      <c r="DZ22">
        <v>4742</v>
      </c>
      <c r="EA22">
        <v>-3.0002072539065363</v>
      </c>
      <c r="EB22" s="13">
        <v>3</v>
      </c>
      <c r="EC22" s="13">
        <v>6.3992998907971095E-3</v>
      </c>
      <c r="ED22">
        <v>7.1922869914303897E-2</v>
      </c>
      <c r="EE22">
        <v>-1.0885</v>
      </c>
      <c r="EF22">
        <v>-1.0841000000000001</v>
      </c>
      <c r="EG22">
        <v>33.088974479166666</v>
      </c>
      <c r="EH22" s="12" t="s">
        <v>651</v>
      </c>
      <c r="EI22">
        <v>0</v>
      </c>
      <c r="EJ22">
        <v>0</v>
      </c>
      <c r="EK22">
        <v>45470</v>
      </c>
      <c r="EL22">
        <v>4.87</v>
      </c>
      <c r="EM22">
        <v>-3.8</v>
      </c>
      <c r="EN22" s="14">
        <v>-3.07</v>
      </c>
      <c r="EO22" s="14">
        <v>3.17</v>
      </c>
      <c r="EP22" s="14">
        <v>-0.44</v>
      </c>
    </row>
    <row r="23" spans="1:146" ht="96" x14ac:dyDescent="0.25">
      <c r="A23"/>
      <c r="B23"/>
      <c r="C23" s="5" t="str">
        <f>""&amp;CHAR(10)&amp;Basic_Fundamental_Information_Constructure(F23)&amp;CHAR(10)&amp;Basic_Fundamental_Information_Concatenate("")</f>
        <v xml:space="preserve">
市值21.107254亿, 利润1.73亿; PE10.74; 平均PE36.18; 平均PEG2.43, PB1.34; ROIC3.5033%; ROE4.3333%; 股利率.8617%; 毛利7.0367%; 净利1.3567%; 上一年度营收增8.54%, 利润增267.42%; 当季营收增-33.97%, 利润增65.28%; 过往5年营收增14.9%, 利润增65.45%
Income profile:
</v>
      </c>
      <c r="D23" t="s">
        <v>1518</v>
      </c>
      <c r="E23" t="s">
        <v>1519</v>
      </c>
      <c r="F23">
        <v>8.24</v>
      </c>
      <c r="G23">
        <v>2.11</v>
      </c>
      <c r="H23" t="s">
        <v>1520</v>
      </c>
      <c r="I23">
        <v>2110725400</v>
      </c>
      <c r="J23">
        <v>10.74</v>
      </c>
      <c r="K23">
        <v>1.34</v>
      </c>
      <c r="L23" t="s">
        <v>53</v>
      </c>
      <c r="M23" t="s">
        <v>1521</v>
      </c>
      <c r="N23" t="s">
        <v>1522</v>
      </c>
      <c r="O23" t="s">
        <v>1523</v>
      </c>
      <c r="P23" s="3">
        <v>-33.950000000000003</v>
      </c>
      <c r="Q23" t="s">
        <v>1524</v>
      </c>
      <c r="R23">
        <v>60200897</v>
      </c>
      <c r="S23">
        <v>0.65280000000000005</v>
      </c>
      <c r="T23" t="s">
        <v>264</v>
      </c>
      <c r="U23">
        <v>217203120</v>
      </c>
      <c r="V23">
        <v>256156000</v>
      </c>
      <c r="W23">
        <v>3.23</v>
      </c>
      <c r="X23">
        <v>0.22</v>
      </c>
      <c r="Y23">
        <v>5.83</v>
      </c>
      <c r="Z23" t="s">
        <v>1525</v>
      </c>
      <c r="AA23" t="s">
        <v>1526</v>
      </c>
      <c r="AB23" t="s">
        <v>1527</v>
      </c>
      <c r="AC23" t="s">
        <v>1528</v>
      </c>
      <c r="AD23" t="s">
        <v>54</v>
      </c>
      <c r="AE23">
        <v>21329945</v>
      </c>
      <c r="AF23" t="s">
        <v>1529</v>
      </c>
      <c r="AG23" t="s">
        <v>1530</v>
      </c>
      <c r="AH23" t="s">
        <v>1531</v>
      </c>
      <c r="AI23" t="s">
        <v>1003</v>
      </c>
      <c r="AJ23" t="s">
        <v>1532</v>
      </c>
      <c r="AK23" t="s">
        <v>1533</v>
      </c>
      <c r="AL23" t="s">
        <v>1534</v>
      </c>
      <c r="AM23" t="s">
        <v>54</v>
      </c>
      <c r="AN23" t="s">
        <v>1535</v>
      </c>
      <c r="AO23" t="s">
        <v>1536</v>
      </c>
      <c r="AP23" t="s">
        <v>1537</v>
      </c>
      <c r="AQ23" t="s">
        <v>469</v>
      </c>
      <c r="AR23" t="s">
        <v>54</v>
      </c>
      <c r="AS23" t="s">
        <v>1538</v>
      </c>
      <c r="AT23" t="s">
        <v>1539</v>
      </c>
      <c r="AU23" t="s">
        <v>1540</v>
      </c>
      <c r="AV23" t="s">
        <v>1541</v>
      </c>
      <c r="AW23" t="s">
        <v>1542</v>
      </c>
      <c r="AX23" t="s">
        <v>1543</v>
      </c>
      <c r="AY23" t="s">
        <v>1544</v>
      </c>
      <c r="AZ23" t="s">
        <v>1545</v>
      </c>
      <c r="BA23" t="s">
        <v>1546</v>
      </c>
      <c r="BB23" t="s">
        <v>1547</v>
      </c>
      <c r="BC23" t="s">
        <v>1548</v>
      </c>
      <c r="BD23" t="s">
        <v>1549</v>
      </c>
      <c r="BE23" t="s">
        <v>1550</v>
      </c>
      <c r="BF23" t="s">
        <v>1551</v>
      </c>
      <c r="BG23" t="s">
        <v>1552</v>
      </c>
      <c r="BH23" t="s">
        <v>1524</v>
      </c>
      <c r="BI23" t="s">
        <v>1553</v>
      </c>
      <c r="BJ23" t="s">
        <v>1543</v>
      </c>
      <c r="BK23" t="s">
        <v>264</v>
      </c>
      <c r="BL23" t="s">
        <v>1554</v>
      </c>
      <c r="BM23" t="s">
        <v>1548</v>
      </c>
      <c r="BN23">
        <v>3.88</v>
      </c>
      <c r="BO23">
        <v>3.77</v>
      </c>
      <c r="BP23">
        <v>2.86</v>
      </c>
      <c r="BQ23">
        <v>6.69</v>
      </c>
      <c r="BR23">
        <v>3.64</v>
      </c>
      <c r="BS23">
        <v>2.67</v>
      </c>
      <c r="BT23" t="s">
        <v>1555</v>
      </c>
      <c r="BU23" t="s">
        <v>1030</v>
      </c>
      <c r="BV23">
        <v>8.49</v>
      </c>
      <c r="BW23">
        <v>5.57</v>
      </c>
      <c r="BX23">
        <v>7.05</v>
      </c>
      <c r="BY23">
        <v>2.04</v>
      </c>
      <c r="BZ23">
        <v>1.1200000000000001</v>
      </c>
      <c r="CA23">
        <v>0.91</v>
      </c>
      <c r="CB23">
        <v>-1.79</v>
      </c>
      <c r="CC23" s="8">
        <v>-13.81</v>
      </c>
      <c r="CD23" s="9" t="s">
        <v>1556</v>
      </c>
      <c r="CE23" s="8" t="s">
        <v>1557</v>
      </c>
      <c r="CF23" s="8">
        <v>-0.33966480446927366</v>
      </c>
      <c r="CG23" s="8">
        <v>0.65275836318961133</v>
      </c>
      <c r="CH23" s="8">
        <v>8.5354268550872803E-2</v>
      </c>
      <c r="CI23" s="8">
        <v>0.14293481409549713</v>
      </c>
      <c r="CJ23" s="9">
        <v>0.7449028491973877</v>
      </c>
      <c r="CK23" s="9">
        <v>-7.2559341788291931E-2</v>
      </c>
      <c r="CL23" s="9">
        <v>-0.15558859705924988</v>
      </c>
      <c r="CM23" s="9">
        <v>2.6741828918457031</v>
      </c>
      <c r="CN23" s="9">
        <v>0.3812907338142395</v>
      </c>
      <c r="CO23">
        <v>0.18316395580768585</v>
      </c>
      <c r="CP23">
        <v>-0.23028340935707092</v>
      </c>
      <c r="CQ23">
        <v>0.26402384042739868</v>
      </c>
      <c r="CR23" s="8">
        <v>36.181124571996691</v>
      </c>
      <c r="CS23" s="9">
        <v>2.4281200111749954</v>
      </c>
      <c r="CT23">
        <v>0.86165048543689315</v>
      </c>
      <c r="CU23">
        <v>0.14900879859924315</v>
      </c>
      <c r="CV23">
        <v>0.65447560250759129</v>
      </c>
      <c r="CW23">
        <v>0.06</v>
      </c>
      <c r="CX23">
        <v>21.504782697847816</v>
      </c>
      <c r="CY23">
        <v>187526907.69591421</v>
      </c>
      <c r="CZ23">
        <v>0.14900879859924315</v>
      </c>
      <c r="DA23">
        <v>6.6873142075581535</v>
      </c>
      <c r="DB23">
        <v>603041112.59526622</v>
      </c>
      <c r="DC23">
        <v>0.14155835866928099</v>
      </c>
      <c r="DD23">
        <v>3.076189174825315</v>
      </c>
      <c r="DE23">
        <v>1310948440.0383155</v>
      </c>
      <c r="DF23">
        <v>0.13112774276733397</v>
      </c>
      <c r="DG23">
        <v>1.7078447050126271</v>
      </c>
      <c r="DH23">
        <v>2361295138.9337144</v>
      </c>
      <c r="DI23">
        <v>0.11920703887939453</v>
      </c>
      <c r="DJ23">
        <v>0.73748820957208538</v>
      </c>
      <c r="DK23">
        <v>5468189657.3504791</v>
      </c>
      <c r="DL23">
        <v>0.1043061590194702</v>
      </c>
      <c r="DM23">
        <v>173000000</v>
      </c>
      <c r="DN23">
        <v>0.14900879859924315</v>
      </c>
      <c r="DO23">
        <v>4032725400</v>
      </c>
      <c r="DP23">
        <v>949039100</v>
      </c>
      <c r="DQ23" s="10">
        <v>1214</v>
      </c>
      <c r="DR23">
        <v>-0.48867360306851682</v>
      </c>
      <c r="DS23">
        <v>-1.7172393179799572E-3</v>
      </c>
      <c r="DT23">
        <v>-0.27333333333333337</v>
      </c>
      <c r="DU23">
        <v>1.0066666666666666</v>
      </c>
      <c r="DV23">
        <v>0.73333333333333317</v>
      </c>
      <c r="DW23">
        <v>-2.1381000000000001</v>
      </c>
      <c r="DX23">
        <v>0.39266455145902213</v>
      </c>
      <c r="DY23">
        <v>-2.0210829745564909</v>
      </c>
      <c r="DZ23">
        <v>424</v>
      </c>
      <c r="EA23">
        <v>-2.019333624025776</v>
      </c>
      <c r="EB23" s="13">
        <v>2</v>
      </c>
      <c r="EC23" s="13">
        <v>4.9774746638766999E-2</v>
      </c>
      <c r="ED23">
        <v>0.32603999125532873</v>
      </c>
      <c r="EE23">
        <v>-2.0407999999999999</v>
      </c>
      <c r="EF23">
        <v>-2.0291000000000001</v>
      </c>
      <c r="EG23">
        <v>24.152664551459022</v>
      </c>
      <c r="EH23" s="12" t="s">
        <v>649</v>
      </c>
      <c r="EI23">
        <v>0</v>
      </c>
      <c r="EJ23">
        <v>1</v>
      </c>
      <c r="EK23">
        <v>45470</v>
      </c>
      <c r="EL23">
        <v>0.35</v>
      </c>
      <c r="EM23">
        <v>-4.55</v>
      </c>
      <c r="EN23" s="14">
        <v>1.96</v>
      </c>
      <c r="EO23" s="14">
        <v>2.2799999999999998</v>
      </c>
      <c r="EP23" s="14">
        <v>-1.17</v>
      </c>
    </row>
    <row r="24" spans="1:146" ht="96" x14ac:dyDescent="0.25">
      <c r="C24" s="5" t="str">
        <f>""&amp;CHAR(10)&amp;Basic_Fundamental_Information_Constructure(F24)&amp;CHAR(10)&amp;Basic_Fundamental_Information_Concatenate("")</f>
        <v xml:space="preserve">
市值17.913665亿, 利润-2349.48万; PE; 平均PE509.92; 平均PEG35.74, PB2.15; ROIC.59%; ROE-2.54%; 股利率.9881%; 毛利53.7833%; 净利-14.33%; 上一年度营收增-16.73%, 利润增73.35%; 当季营收增-14.86%, 利润增-91.01%; 过往5年营收增-14.27%, 利润增-145.03%
Income profile:
</v>
      </c>
      <c r="D24" t="s">
        <v>153</v>
      </c>
      <c r="E24" t="s">
        <v>17</v>
      </c>
      <c r="F24">
        <v>5.0599999999999996</v>
      </c>
      <c r="G24">
        <v>1.2</v>
      </c>
      <c r="H24" t="s">
        <v>1558</v>
      </c>
      <c r="I24">
        <v>1791366500</v>
      </c>
      <c r="K24">
        <v>2.15</v>
      </c>
      <c r="L24" t="s">
        <v>53</v>
      </c>
      <c r="M24" t="s">
        <v>1559</v>
      </c>
      <c r="N24" t="s">
        <v>921</v>
      </c>
      <c r="O24" t="s">
        <v>1560</v>
      </c>
      <c r="P24">
        <v>-14.86</v>
      </c>
      <c r="Q24" t="s">
        <v>352</v>
      </c>
      <c r="R24">
        <v>487509</v>
      </c>
      <c r="S24" s="3">
        <v>-0.91010000000000002</v>
      </c>
      <c r="T24" t="s">
        <v>1561</v>
      </c>
      <c r="U24">
        <v>208138660</v>
      </c>
      <c r="V24">
        <v>354025000</v>
      </c>
      <c r="W24">
        <v>1.08</v>
      </c>
      <c r="X24">
        <v>0.05</v>
      </c>
      <c r="Y24">
        <v>1.0900000000000001</v>
      </c>
      <c r="Z24" t="s">
        <v>1562</v>
      </c>
      <c r="AA24" t="s">
        <v>1563</v>
      </c>
      <c r="AB24" t="s">
        <v>1564</v>
      </c>
      <c r="AC24" t="s">
        <v>1565</v>
      </c>
      <c r="AD24" t="s">
        <v>54</v>
      </c>
      <c r="AE24">
        <v>-114346</v>
      </c>
      <c r="AF24" t="s">
        <v>1566</v>
      </c>
      <c r="AG24" t="s">
        <v>1567</v>
      </c>
      <c r="AH24" t="s">
        <v>1568</v>
      </c>
      <c r="AI24" t="s">
        <v>1569</v>
      </c>
      <c r="AJ24" t="s">
        <v>1570</v>
      </c>
      <c r="AK24" t="s">
        <v>54</v>
      </c>
      <c r="AL24" t="s">
        <v>1571</v>
      </c>
      <c r="AM24" t="s">
        <v>54</v>
      </c>
      <c r="AN24" t="s">
        <v>1572</v>
      </c>
      <c r="AO24" t="s">
        <v>54</v>
      </c>
      <c r="AP24" t="s">
        <v>1573</v>
      </c>
      <c r="AQ24" t="s">
        <v>1574</v>
      </c>
      <c r="AR24" t="s">
        <v>54</v>
      </c>
      <c r="AS24" t="s">
        <v>1575</v>
      </c>
      <c r="AT24" t="s">
        <v>54</v>
      </c>
      <c r="AU24" t="s">
        <v>1576</v>
      </c>
      <c r="AV24" t="s">
        <v>1193</v>
      </c>
      <c r="AW24" t="s">
        <v>1577</v>
      </c>
      <c r="AX24" t="s">
        <v>662</v>
      </c>
      <c r="AY24" t="s">
        <v>512</v>
      </c>
      <c r="AZ24" t="s">
        <v>340</v>
      </c>
      <c r="BA24" t="s">
        <v>154</v>
      </c>
      <c r="BB24" t="s">
        <v>343</v>
      </c>
      <c r="BC24" t="s">
        <v>1578</v>
      </c>
      <c r="BD24" t="s">
        <v>580</v>
      </c>
      <c r="BE24" t="s">
        <v>341</v>
      </c>
      <c r="BF24" t="s">
        <v>155</v>
      </c>
      <c r="BG24" t="s">
        <v>344</v>
      </c>
      <c r="BH24" t="s">
        <v>352</v>
      </c>
      <c r="BI24" t="s">
        <v>1579</v>
      </c>
      <c r="BJ24" t="s">
        <v>662</v>
      </c>
      <c r="BK24" t="s">
        <v>1561</v>
      </c>
      <c r="BL24" t="s">
        <v>1580</v>
      </c>
      <c r="BM24" t="s">
        <v>1578</v>
      </c>
      <c r="BN24">
        <v>0.19</v>
      </c>
      <c r="BO24" t="s">
        <v>54</v>
      </c>
      <c r="BP24">
        <v>0.99</v>
      </c>
      <c r="BQ24">
        <v>0.48</v>
      </c>
      <c r="BR24">
        <v>-9.52</v>
      </c>
      <c r="BS24">
        <v>1.42</v>
      </c>
      <c r="BT24" t="s">
        <v>702</v>
      </c>
      <c r="BU24" t="s">
        <v>646</v>
      </c>
      <c r="BV24">
        <v>54.16</v>
      </c>
      <c r="BW24">
        <v>52.39</v>
      </c>
      <c r="BX24">
        <v>54.8</v>
      </c>
      <c r="BY24">
        <v>-11.54</v>
      </c>
      <c r="BZ24">
        <v>-36.07</v>
      </c>
      <c r="CA24">
        <v>4.62</v>
      </c>
      <c r="CB24">
        <v>0.8</v>
      </c>
      <c r="CC24">
        <v>-18.260000000000002</v>
      </c>
      <c r="CD24" t="s">
        <v>1581</v>
      </c>
      <c r="CE24" t="s">
        <v>230</v>
      </c>
      <c r="CF24" s="8">
        <v>-0.14860908332974529</v>
      </c>
      <c r="CG24" s="9">
        <v>-0.910110078548512</v>
      </c>
      <c r="CH24" s="8">
        <v>-0.16734693944454193</v>
      </c>
      <c r="CI24" s="8">
        <v>-0.18060201406478882</v>
      </c>
      <c r="CJ24" s="8">
        <v>-4.4728435575962067E-2</v>
      </c>
      <c r="CK24" s="8">
        <v>-0.28538814187049866</v>
      </c>
      <c r="CL24" s="8">
        <v>-3.5242289304733276E-2</v>
      </c>
      <c r="CM24" s="9">
        <v>0.73347067832946777</v>
      </c>
      <c r="CN24" s="9">
        <v>-7.2935256958007812</v>
      </c>
      <c r="CO24" s="9">
        <v>-0.57036286592483521</v>
      </c>
      <c r="CP24" s="9">
        <v>-0.30046027898788452</v>
      </c>
      <c r="CQ24" s="9">
        <v>0.17945323884487152</v>
      </c>
      <c r="CR24">
        <v>509.92015447239328</v>
      </c>
      <c r="CS24">
        <v>35.743345298398154</v>
      </c>
      <c r="CT24">
        <v>0.98814229249011865</v>
      </c>
      <c r="CU24" s="8">
        <v>-0.14266156405210495</v>
      </c>
      <c r="CV24" s="9">
        <v>-1.4502849847078323</v>
      </c>
      <c r="CW24">
        <v>0.06</v>
      </c>
      <c r="CX24" t="e">
        <v>#VALUE!</v>
      </c>
      <c r="CY24" t="s">
        <v>653</v>
      </c>
      <c r="CZ24">
        <v>-0.14266156405210495</v>
      </c>
      <c r="DA24" t="e">
        <v>#VALUE!</v>
      </c>
      <c r="DB24" t="s">
        <v>653</v>
      </c>
      <c r="DC24">
        <v>-0.1355284858494997</v>
      </c>
      <c r="DD24" t="e">
        <v>#VALUE!</v>
      </c>
      <c r="DE24" t="s">
        <v>653</v>
      </c>
      <c r="DF24">
        <v>-0.12554217636585235</v>
      </c>
      <c r="DG24" t="e">
        <v>#VALUE!</v>
      </c>
      <c r="DH24" t="s">
        <v>653</v>
      </c>
      <c r="DI24">
        <v>-0.11412925124168397</v>
      </c>
      <c r="DJ24" t="e">
        <v>#VALUE!</v>
      </c>
      <c r="DK24" t="s">
        <v>653</v>
      </c>
      <c r="DL24">
        <v>-9.9863094836473459E-2</v>
      </c>
      <c r="DM24">
        <v>-23494800</v>
      </c>
      <c r="DN24">
        <v>-0.14266156405210495</v>
      </c>
      <c r="DO24">
        <v>1015317300</v>
      </c>
      <c r="DP24">
        <v>293189570</v>
      </c>
      <c r="DQ24">
        <v>1241</v>
      </c>
      <c r="DR24">
        <v>-5.9475192776403396E-3</v>
      </c>
      <c r="DS24">
        <v>0.54017490615932029</v>
      </c>
      <c r="DT24" s="10">
        <v>-0.87333333333333341</v>
      </c>
      <c r="DU24">
        <v>-1.39</v>
      </c>
      <c r="DV24">
        <v>-2.2633333333333332</v>
      </c>
      <c r="DW24">
        <v>-3.0255595238095236</v>
      </c>
      <c r="DX24">
        <v>0.31358861788617853</v>
      </c>
      <c r="DY24">
        <v>-3.004181247173829</v>
      </c>
      <c r="DZ24">
        <v>4557</v>
      </c>
      <c r="EA24">
        <v>-3.0004524911325103</v>
      </c>
      <c r="EB24">
        <v>3</v>
      </c>
      <c r="EC24">
        <v>5.6836099145540567E-2</v>
      </c>
      <c r="ED24">
        <v>0.34743309088341218</v>
      </c>
      <c r="EE24" s="13">
        <v>-2.0514000000000001</v>
      </c>
      <c r="EF24">
        <v>-2.0339</v>
      </c>
      <c r="EG24">
        <v>15.163588617886179</v>
      </c>
      <c r="EH24" t="s">
        <v>649</v>
      </c>
      <c r="EI24">
        <v>0</v>
      </c>
      <c r="EJ24">
        <v>0</v>
      </c>
      <c r="EK24" s="12">
        <v>45470</v>
      </c>
      <c r="EL24" s="14">
        <v>-1.1499999999999999</v>
      </c>
      <c r="EM24" s="14">
        <v>-4.08</v>
      </c>
      <c r="EN24" s="14">
        <v>1.42</v>
      </c>
      <c r="EO24" s="14">
        <v>2.59</v>
      </c>
      <c r="EP24" s="14">
        <v>-1.75</v>
      </c>
    </row>
    <row r="25" spans="1:146" ht="96" x14ac:dyDescent="0.25">
      <c r="C25" s="5" t="str">
        <f>""&amp;CHAR(10)&amp;Basic_Fundamental_Information_Constructure(F25)&amp;CHAR(10)&amp;Basic_Fundamental_Information_Concatenate("")</f>
        <v xml:space="preserve">
市值27.423916亿, 利润1.82亿; PE15.81; 平均PE14.28; 平均PEG2.76, PB1.3; ROIC10.8967%; ROE10.4333%; 股利率5.9791%; 毛利66.6267%; 净利8.4167%; 上一年度营收增19.31%, 利润增34.81%; 当季营收增4.22%, 利润增-7.9%; 过往5年营收增5.17%, 利润增8.02%
Income profile:
</v>
      </c>
      <c r="D25" t="s">
        <v>119</v>
      </c>
      <c r="E25" t="s">
        <v>23</v>
      </c>
      <c r="F25">
        <v>6.69</v>
      </c>
      <c r="G25">
        <v>1.36</v>
      </c>
      <c r="H25" t="s">
        <v>1582</v>
      </c>
      <c r="I25">
        <v>2742391600</v>
      </c>
      <c r="J25">
        <v>15.81</v>
      </c>
      <c r="K25">
        <v>1.3</v>
      </c>
      <c r="L25" t="s">
        <v>53</v>
      </c>
      <c r="M25" t="s">
        <v>985</v>
      </c>
      <c r="N25" t="s">
        <v>867</v>
      </c>
      <c r="O25" t="s">
        <v>863</v>
      </c>
      <c r="P25">
        <v>4.1500000000000004</v>
      </c>
      <c r="Q25" t="s">
        <v>1583</v>
      </c>
      <c r="R25">
        <v>95781414</v>
      </c>
      <c r="S25" s="3">
        <v>-8.09E-2</v>
      </c>
      <c r="T25" t="s">
        <v>121</v>
      </c>
      <c r="U25">
        <v>303557950</v>
      </c>
      <c r="V25">
        <v>409924000</v>
      </c>
      <c r="W25">
        <v>1.27</v>
      </c>
      <c r="X25">
        <v>0.27</v>
      </c>
      <c r="Y25">
        <v>14.21</v>
      </c>
      <c r="Z25" t="s">
        <v>575</v>
      </c>
      <c r="AA25" t="s">
        <v>1207</v>
      </c>
      <c r="AB25" t="s">
        <v>340</v>
      </c>
      <c r="AC25" t="s">
        <v>1584</v>
      </c>
      <c r="AD25" t="s">
        <v>54</v>
      </c>
      <c r="AE25">
        <v>-2485405</v>
      </c>
      <c r="AF25" t="s">
        <v>97</v>
      </c>
      <c r="AG25" t="s">
        <v>1585</v>
      </c>
      <c r="AH25" t="s">
        <v>1586</v>
      </c>
      <c r="AI25" t="s">
        <v>1587</v>
      </c>
      <c r="AJ25" t="s">
        <v>1588</v>
      </c>
      <c r="AK25" t="s">
        <v>54</v>
      </c>
      <c r="AL25" t="s">
        <v>1589</v>
      </c>
      <c r="AM25" t="s">
        <v>54</v>
      </c>
      <c r="AN25" t="s">
        <v>1590</v>
      </c>
      <c r="AO25" t="s">
        <v>54</v>
      </c>
      <c r="AP25" t="s">
        <v>54</v>
      </c>
      <c r="AQ25" t="s">
        <v>244</v>
      </c>
      <c r="AR25" t="s">
        <v>1591</v>
      </c>
      <c r="AS25" t="s">
        <v>300</v>
      </c>
      <c r="AT25" t="s">
        <v>54</v>
      </c>
      <c r="AU25" t="s">
        <v>1592</v>
      </c>
      <c r="AV25" t="s">
        <v>1593</v>
      </c>
      <c r="AW25" t="s">
        <v>1594</v>
      </c>
      <c r="AX25" t="s">
        <v>825</v>
      </c>
      <c r="AY25" t="s">
        <v>419</v>
      </c>
      <c r="AZ25" t="s">
        <v>345</v>
      </c>
      <c r="BA25" t="s">
        <v>120</v>
      </c>
      <c r="BB25" t="s">
        <v>346</v>
      </c>
      <c r="BC25" t="s">
        <v>442</v>
      </c>
      <c r="BD25" t="s">
        <v>380</v>
      </c>
      <c r="BE25" t="s">
        <v>262</v>
      </c>
      <c r="BF25" t="s">
        <v>121</v>
      </c>
      <c r="BG25" t="s">
        <v>222</v>
      </c>
      <c r="BH25" t="s">
        <v>1583</v>
      </c>
      <c r="BI25" t="s">
        <v>1443</v>
      </c>
      <c r="BJ25" t="s">
        <v>825</v>
      </c>
      <c r="BK25" t="s">
        <v>121</v>
      </c>
      <c r="BL25" t="s">
        <v>124</v>
      </c>
      <c r="BM25" t="s">
        <v>442</v>
      </c>
      <c r="BN25">
        <v>10.52</v>
      </c>
      <c r="BO25">
        <v>7.22</v>
      </c>
      <c r="BP25">
        <v>14.95</v>
      </c>
      <c r="BQ25">
        <v>10.18</v>
      </c>
      <c r="BR25">
        <v>6.87</v>
      </c>
      <c r="BS25">
        <v>14.25</v>
      </c>
      <c r="BT25" t="s">
        <v>797</v>
      </c>
      <c r="BU25" t="s">
        <v>659</v>
      </c>
      <c r="BV25">
        <v>67.739999999999995</v>
      </c>
      <c r="BW25">
        <v>65.760000000000005</v>
      </c>
      <c r="BX25">
        <v>66.38</v>
      </c>
      <c r="BY25">
        <v>7.21</v>
      </c>
      <c r="BZ25">
        <v>6.49</v>
      </c>
      <c r="CA25">
        <v>11.55</v>
      </c>
      <c r="CB25">
        <v>0.9</v>
      </c>
      <c r="CC25">
        <v>-9.23</v>
      </c>
      <c r="CD25" t="s">
        <v>1595</v>
      </c>
      <c r="CE25" t="s">
        <v>1596</v>
      </c>
      <c r="CF25" s="8">
        <v>4.2176870748299317E-2</v>
      </c>
      <c r="CG25" s="9">
        <v>-7.9024865384615381E-2</v>
      </c>
      <c r="CH25" s="8">
        <v>0.19307529926300049</v>
      </c>
      <c r="CI25" s="8">
        <v>-0.10171967744827271</v>
      </c>
      <c r="CJ25" s="8">
        <v>0.15170671045780182</v>
      </c>
      <c r="CK25" s="8">
        <v>-8.2011610269546509E-2</v>
      </c>
      <c r="CL25" s="8">
        <v>9.7664482891559601E-2</v>
      </c>
      <c r="CM25" s="9">
        <v>0.34814813733100891</v>
      </c>
      <c r="CN25" s="9">
        <v>-0.51086956262588501</v>
      </c>
      <c r="CO25" s="9">
        <v>0.30805686116218567</v>
      </c>
      <c r="CP25" s="9">
        <v>0.15934066474437714</v>
      </c>
      <c r="CQ25" s="9">
        <v>9.6385538578033447E-2</v>
      </c>
      <c r="CR25">
        <v>14.283289583333334</v>
      </c>
      <c r="CS25">
        <v>2.7604271633658866</v>
      </c>
      <c r="CT25">
        <v>5.9790732436472345</v>
      </c>
      <c r="CU25" s="8">
        <v>5.1743040978908542E-2</v>
      </c>
      <c r="CV25" s="9">
        <v>8.0212327837944034E-2</v>
      </c>
      <c r="CW25">
        <v>0.06</v>
      </c>
      <c r="CX25">
        <v>6.6473382412462652</v>
      </c>
      <c r="CY25">
        <v>180582295.71524656</v>
      </c>
      <c r="CZ25">
        <v>5.1743040978908542E-2</v>
      </c>
      <c r="DA25">
        <v>2.2441231346825359</v>
      </c>
      <c r="DB25">
        <v>534904516.35570031</v>
      </c>
      <c r="DC25">
        <v>4.9155888929963115E-2</v>
      </c>
      <c r="DD25">
        <v>1.1531023940856897</v>
      </c>
      <c r="DE25">
        <v>1041010413.4349722</v>
      </c>
      <c r="DF25">
        <v>4.5533876061439514E-2</v>
      </c>
      <c r="DG25">
        <v>0.72608641102489924</v>
      </c>
      <c r="DH25">
        <v>1653235182.1673684</v>
      </c>
      <c r="DI25">
        <v>4.1394432783126836E-2</v>
      </c>
      <c r="DJ25">
        <v>0.41493140196683659</v>
      </c>
      <c r="DK25">
        <v>2892988080.2223334</v>
      </c>
      <c r="DL25">
        <v>3.6220128685235976E-2</v>
      </c>
      <c r="DM25">
        <v>182000000</v>
      </c>
      <c r="DN25">
        <v>5.1743040978908542E-2</v>
      </c>
      <c r="DO25">
        <v>1200391600</v>
      </c>
      <c r="DP25">
        <v>1625418700</v>
      </c>
      <c r="DQ25">
        <v>1242</v>
      </c>
      <c r="DR25">
        <v>-9.566170230609225E-3</v>
      </c>
      <c r="DS25">
        <v>-0.15923719322255941</v>
      </c>
      <c r="DT25" s="10">
        <v>-0.14000000000000001</v>
      </c>
      <c r="DU25">
        <v>0.26666666666666666</v>
      </c>
      <c r="DV25">
        <v>0.12666666666666665</v>
      </c>
      <c r="DW25">
        <v>-2.0922999999999998</v>
      </c>
      <c r="DX25">
        <v>0.50374352392129451</v>
      </c>
      <c r="DY25">
        <v>-2.0132675272579355</v>
      </c>
      <c r="DZ25">
        <v>1417</v>
      </c>
      <c r="EA25">
        <v>-2.0095884497384651</v>
      </c>
      <c r="EB25">
        <v>2</v>
      </c>
      <c r="EC25">
        <v>2.551668114089441E-2</v>
      </c>
      <c r="ED25">
        <v>0.17751534430772534</v>
      </c>
      <c r="EE25" s="13">
        <v>-1.0196000000000001</v>
      </c>
      <c r="EF25">
        <v>-1.0011099999999999</v>
      </c>
      <c r="EG25">
        <v>36.143743523921295</v>
      </c>
      <c r="EH25" t="s">
        <v>656</v>
      </c>
      <c r="EI25">
        <v>0</v>
      </c>
      <c r="EJ25">
        <v>1</v>
      </c>
      <c r="EK25" s="12">
        <v>45470</v>
      </c>
      <c r="EL25" s="14">
        <v>0.15</v>
      </c>
      <c r="EM25" s="14">
        <v>-2.08</v>
      </c>
      <c r="EN25" s="14">
        <v>0.91</v>
      </c>
      <c r="EO25" s="14">
        <v>1.8</v>
      </c>
      <c r="EP25" s="14">
        <v>-2.0699999999999998</v>
      </c>
    </row>
    <row r="26" spans="1:146" ht="96" x14ac:dyDescent="0.25">
      <c r="C26" s="5" t="str">
        <f>""&amp;CHAR(10)&amp;Basic_Fundamental_Information_Constructure(F26)&amp;CHAR(10)&amp;Basic_Fundamental_Information_Concatenate("")</f>
        <v xml:space="preserve">
市值13.899216亿, 利润3653.40万; PE48.47; 平均PE-73.97; 平均PEG-4.48, PB2.02; ROIC1.41%; ROE-2.64%; 股利率0%; 毛利52.1867%; 净利-2.91%; 上一年度营收增50.53%, 利润增210.91%; 当季营收增-10.11%, 利润增-94.74%; 过往5年营收增16.51%, 利润增-113.27%
Income profile:
</v>
      </c>
      <c r="D26" t="s">
        <v>207</v>
      </c>
      <c r="E26" t="s">
        <v>5</v>
      </c>
      <c r="F26">
        <v>8.82</v>
      </c>
      <c r="G26">
        <v>1.1499999999999999</v>
      </c>
      <c r="H26" t="s">
        <v>1597</v>
      </c>
      <c r="I26">
        <v>1389921600</v>
      </c>
      <c r="J26">
        <v>48.47</v>
      </c>
      <c r="K26">
        <v>2.02</v>
      </c>
      <c r="L26" t="s">
        <v>53</v>
      </c>
      <c r="M26" t="s">
        <v>968</v>
      </c>
      <c r="N26" t="s">
        <v>1598</v>
      </c>
      <c r="O26" t="s">
        <v>244</v>
      </c>
      <c r="P26">
        <v>-9.93</v>
      </c>
      <c r="Q26" t="s">
        <v>1599</v>
      </c>
      <c r="R26">
        <v>436078</v>
      </c>
      <c r="S26" s="7">
        <v>-0.94740000000000002</v>
      </c>
      <c r="T26" t="s">
        <v>1600</v>
      </c>
      <c r="U26">
        <v>130652734</v>
      </c>
      <c r="V26">
        <v>157587490</v>
      </c>
      <c r="W26">
        <v>1.5</v>
      </c>
      <c r="X26">
        <v>0.16</v>
      </c>
      <c r="Y26">
        <v>-1.18</v>
      </c>
      <c r="Z26" t="s">
        <v>237</v>
      </c>
      <c r="AA26" t="s">
        <v>1601</v>
      </c>
      <c r="AB26" t="s">
        <v>1602</v>
      </c>
      <c r="AC26" t="s">
        <v>1603</v>
      </c>
      <c r="AD26" t="s">
        <v>54</v>
      </c>
      <c r="AE26">
        <v>3862222</v>
      </c>
      <c r="AF26" t="s">
        <v>1604</v>
      </c>
      <c r="AG26" t="s">
        <v>1605</v>
      </c>
      <c r="AH26" t="s">
        <v>1606</v>
      </c>
      <c r="AI26" t="s">
        <v>1607</v>
      </c>
      <c r="AJ26" t="s">
        <v>1608</v>
      </c>
      <c r="AK26" t="s">
        <v>54</v>
      </c>
      <c r="AL26" t="s">
        <v>1609</v>
      </c>
      <c r="AM26" t="s">
        <v>54</v>
      </c>
      <c r="AN26">
        <v>0</v>
      </c>
      <c r="AO26" t="s">
        <v>337</v>
      </c>
      <c r="AP26" t="s">
        <v>54</v>
      </c>
      <c r="AQ26" t="s">
        <v>1610</v>
      </c>
      <c r="AR26" t="s">
        <v>54</v>
      </c>
      <c r="AS26" t="s">
        <v>588</v>
      </c>
      <c r="AT26" t="s">
        <v>1611</v>
      </c>
      <c r="AU26" t="s">
        <v>1612</v>
      </c>
      <c r="AV26" t="s">
        <v>1613</v>
      </c>
      <c r="AW26" t="s">
        <v>1614</v>
      </c>
      <c r="AX26" t="s">
        <v>692</v>
      </c>
      <c r="AY26" t="s">
        <v>360</v>
      </c>
      <c r="AZ26" t="s">
        <v>260</v>
      </c>
      <c r="BA26" t="s">
        <v>208</v>
      </c>
      <c r="BB26" t="s">
        <v>354</v>
      </c>
      <c r="BC26" t="s">
        <v>1615</v>
      </c>
      <c r="BD26" t="s">
        <v>583</v>
      </c>
      <c r="BE26" t="s">
        <v>353</v>
      </c>
      <c r="BF26" t="s">
        <v>209</v>
      </c>
      <c r="BG26" t="s">
        <v>355</v>
      </c>
      <c r="BH26" t="s">
        <v>1599</v>
      </c>
      <c r="BI26" t="s">
        <v>239</v>
      </c>
      <c r="BJ26" t="s">
        <v>692</v>
      </c>
      <c r="BK26" t="s">
        <v>1600</v>
      </c>
      <c r="BL26" t="s">
        <v>1616</v>
      </c>
      <c r="BM26" t="s">
        <v>1615</v>
      </c>
      <c r="BN26">
        <v>1.41</v>
      </c>
      <c r="BO26" t="s">
        <v>54</v>
      </c>
      <c r="BP26" t="s">
        <v>54</v>
      </c>
      <c r="BQ26">
        <v>1.83</v>
      </c>
      <c r="BR26">
        <v>-4.96</v>
      </c>
      <c r="BS26">
        <v>-4.79</v>
      </c>
      <c r="BT26" t="s">
        <v>700</v>
      </c>
      <c r="BU26" t="s">
        <v>646</v>
      </c>
      <c r="BV26">
        <v>53.59</v>
      </c>
      <c r="BW26">
        <v>52.67</v>
      </c>
      <c r="BX26">
        <v>50.3</v>
      </c>
      <c r="BY26">
        <v>2.69</v>
      </c>
      <c r="BZ26">
        <v>-6.88</v>
      </c>
      <c r="CA26">
        <v>-4.54</v>
      </c>
      <c r="CB26">
        <v>-2.33</v>
      </c>
      <c r="CC26">
        <v>-16.87</v>
      </c>
      <c r="CD26" t="s">
        <v>1617</v>
      </c>
      <c r="CE26" t="s">
        <v>1618</v>
      </c>
      <c r="CF26" s="8">
        <v>-0.10106382978723404</v>
      </c>
      <c r="CG26" s="9">
        <v>-0.94743831736274331</v>
      </c>
      <c r="CH26" s="8">
        <v>0.50533807277679443</v>
      </c>
      <c r="CI26" s="8">
        <v>1.0791366919875145E-2</v>
      </c>
      <c r="CJ26" s="8">
        <v>0.1905781626701355</v>
      </c>
      <c r="CK26" s="8">
        <v>0.16169154644012451</v>
      </c>
      <c r="CL26" s="8">
        <v>-4.285714402794838E-2</v>
      </c>
      <c r="CM26" s="9">
        <v>2.1091110706329346</v>
      </c>
      <c r="CN26" s="9">
        <v>-0.25873744487762451</v>
      </c>
      <c r="CO26" s="9">
        <v>0.60018885135650635</v>
      </c>
      <c r="CP26" s="9">
        <v>-1.2012315988540649</v>
      </c>
      <c r="CQ26" s="9">
        <v>-6.9130392074584961</v>
      </c>
      <c r="CR26">
        <v>-73.974955315364866</v>
      </c>
      <c r="CS26">
        <v>-4.4803871206511081</v>
      </c>
      <c r="CT26">
        <v>0</v>
      </c>
      <c r="CU26" s="8">
        <v>0.16510840095579624</v>
      </c>
      <c r="CV26" s="9">
        <v>-1.132741665840149</v>
      </c>
      <c r="CW26">
        <v>0.06</v>
      </c>
      <c r="CX26">
        <v>26.967415299472783</v>
      </c>
      <c r="CY26">
        <v>40156670.113697223</v>
      </c>
      <c r="CZ26">
        <v>0.16510840095579624</v>
      </c>
      <c r="DA26">
        <v>8.2742366115876855</v>
      </c>
      <c r="DB26">
        <v>130878732.4843259</v>
      </c>
      <c r="DC26">
        <v>0.15685298090800642</v>
      </c>
      <c r="DD26">
        <v>3.7352626840960208</v>
      </c>
      <c r="DE26">
        <v>289918458.64304459</v>
      </c>
      <c r="DF26">
        <v>0.14529539284110068</v>
      </c>
      <c r="DG26">
        <v>2.0277615162890088</v>
      </c>
      <c r="DH26">
        <v>534047811.4910903</v>
      </c>
      <c r="DI26">
        <v>0.13208672076463698</v>
      </c>
      <c r="DJ26">
        <v>0.83013330988757239</v>
      </c>
      <c r="DK26">
        <v>1304515295.4369023</v>
      </c>
      <c r="DL26">
        <v>0.11557588066905736</v>
      </c>
      <c r="DM26">
        <v>36534000</v>
      </c>
      <c r="DN26">
        <v>0.16510840095579624</v>
      </c>
      <c r="DO26">
        <v>1082921600</v>
      </c>
      <c r="DP26">
        <v>307131430</v>
      </c>
      <c r="DQ26">
        <v>1256</v>
      </c>
      <c r="DR26">
        <v>-0.26617223074303026</v>
      </c>
      <c r="DS26">
        <v>0.1853033484774057</v>
      </c>
      <c r="DT26" s="10">
        <v>-2.3333333333333355E-2</v>
      </c>
      <c r="DU26">
        <v>-2.1233333333333335</v>
      </c>
      <c r="DV26">
        <v>-2.1466666666666669</v>
      </c>
      <c r="DW26">
        <v>-3.0098392857142859</v>
      </c>
      <c r="DX26">
        <v>0.3678426341402492</v>
      </c>
      <c r="DY26">
        <v>-3.0011594873466301</v>
      </c>
      <c r="DZ26">
        <v>4500</v>
      </c>
      <c r="EA26">
        <v>-3.0001384123838442</v>
      </c>
      <c r="EB26">
        <v>3</v>
      </c>
      <c r="EC26">
        <v>6.1695887154494304E-2</v>
      </c>
      <c r="ED26">
        <v>0.52354473061281703</v>
      </c>
      <c r="EE26" s="13">
        <v>1.0905100000000001</v>
      </c>
      <c r="EF26">
        <v>1.09931</v>
      </c>
      <c r="EG26">
        <v>25.117842634140249</v>
      </c>
      <c r="EH26" t="s">
        <v>647</v>
      </c>
      <c r="EI26">
        <v>0</v>
      </c>
      <c r="EJ26">
        <v>0</v>
      </c>
      <c r="EK26" s="12">
        <v>45470</v>
      </c>
      <c r="EL26" s="14">
        <v>0</v>
      </c>
      <c r="EM26" s="14">
        <v>-3.97</v>
      </c>
      <c r="EN26" s="14">
        <v>1.95</v>
      </c>
      <c r="EO26" s="14">
        <v>2.59</v>
      </c>
      <c r="EP26" s="14">
        <v>-0.88</v>
      </c>
    </row>
    <row r="27" spans="1:146" ht="96" x14ac:dyDescent="0.25">
      <c r="C27" s="5" t="str">
        <f>""&amp;CHAR(10)&amp;Basic_Fundamental_Information_Constructure(F27)&amp;CHAR(10)&amp;Basic_Fundamental_Information_Concatenate("")</f>
        <v xml:space="preserve">
市值135.42879亿, 利润9.11亿; PE13.93; 平均PE23.47; 平均PEG1.22, PB2.57; ROIC17.6%; ROE19.38%; 股利率4.2141%; 毛利77.5667%; 净利24.6467%; 上一年度营收增22.56%, 利润增25.14%; 当季营收增17.52%, 利润增20.29%; 过往5年营收增19.31%, 利润增25.77%
Income profile:
</v>
      </c>
      <c r="D27" t="s">
        <v>87</v>
      </c>
      <c r="E27" t="s">
        <v>21</v>
      </c>
      <c r="F27">
        <v>23.73</v>
      </c>
      <c r="G27">
        <v>1.93</v>
      </c>
      <c r="H27" t="s">
        <v>1619</v>
      </c>
      <c r="I27">
        <v>13542879000</v>
      </c>
      <c r="J27">
        <v>13.93</v>
      </c>
      <c r="K27">
        <v>2.57</v>
      </c>
      <c r="L27" t="s">
        <v>53</v>
      </c>
      <c r="M27" t="s">
        <v>1620</v>
      </c>
      <c r="N27" t="s">
        <v>1621</v>
      </c>
      <c r="O27" t="s">
        <v>1622</v>
      </c>
      <c r="P27">
        <v>17.55</v>
      </c>
      <c r="Q27" t="s">
        <v>1623</v>
      </c>
      <c r="R27">
        <v>362078900</v>
      </c>
      <c r="S27" s="3">
        <v>0.20430000000000001</v>
      </c>
      <c r="T27" t="s">
        <v>951</v>
      </c>
      <c r="U27">
        <v>389418280</v>
      </c>
      <c r="V27">
        <v>570707080</v>
      </c>
      <c r="W27">
        <v>1.35</v>
      </c>
      <c r="X27">
        <v>0.18</v>
      </c>
      <c r="Y27">
        <v>28.55</v>
      </c>
      <c r="Z27" t="s">
        <v>914</v>
      </c>
      <c r="AA27" t="s">
        <v>199</v>
      </c>
      <c r="AB27" t="s">
        <v>1032</v>
      </c>
      <c r="AC27" t="s">
        <v>1624</v>
      </c>
      <c r="AD27" t="s">
        <v>54</v>
      </c>
      <c r="AE27">
        <v>-12455376</v>
      </c>
      <c r="AF27" t="s">
        <v>1625</v>
      </c>
      <c r="AG27" t="s">
        <v>1626</v>
      </c>
      <c r="AH27" t="s">
        <v>1627</v>
      </c>
      <c r="AI27" t="s">
        <v>1628</v>
      </c>
      <c r="AJ27" t="s">
        <v>1629</v>
      </c>
      <c r="AK27" t="s">
        <v>54</v>
      </c>
      <c r="AL27" t="s">
        <v>1630</v>
      </c>
      <c r="AM27" t="s">
        <v>54</v>
      </c>
      <c r="AN27" t="s">
        <v>1631</v>
      </c>
      <c r="AO27" t="s">
        <v>54</v>
      </c>
      <c r="AP27" t="s">
        <v>1632</v>
      </c>
      <c r="AQ27" t="s">
        <v>90</v>
      </c>
      <c r="AR27" t="s">
        <v>54</v>
      </c>
      <c r="AS27" t="s">
        <v>1633</v>
      </c>
      <c r="AT27" t="s">
        <v>54</v>
      </c>
      <c r="AU27" t="s">
        <v>1634</v>
      </c>
      <c r="AV27" t="s">
        <v>1635</v>
      </c>
      <c r="AW27" t="s">
        <v>1636</v>
      </c>
      <c r="AX27" t="s">
        <v>828</v>
      </c>
      <c r="AY27" t="s">
        <v>584</v>
      </c>
      <c r="AZ27" t="s">
        <v>582</v>
      </c>
      <c r="BA27" t="s">
        <v>88</v>
      </c>
      <c r="BB27" t="s">
        <v>356</v>
      </c>
      <c r="BC27" t="s">
        <v>829</v>
      </c>
      <c r="BD27" t="s">
        <v>391</v>
      </c>
      <c r="BE27" t="s">
        <v>294</v>
      </c>
      <c r="BF27" t="s">
        <v>89</v>
      </c>
      <c r="BG27" t="s">
        <v>317</v>
      </c>
      <c r="BH27" t="s">
        <v>1623</v>
      </c>
      <c r="BI27" t="s">
        <v>1637</v>
      </c>
      <c r="BJ27" t="s">
        <v>828</v>
      </c>
      <c r="BK27" t="s">
        <v>951</v>
      </c>
      <c r="BL27" t="s">
        <v>665</v>
      </c>
      <c r="BM27" t="s">
        <v>829</v>
      </c>
      <c r="BN27">
        <v>15.96</v>
      </c>
      <c r="BO27">
        <v>17.87</v>
      </c>
      <c r="BP27">
        <v>18.97</v>
      </c>
      <c r="BQ27">
        <v>17.059999999999999</v>
      </c>
      <c r="BR27">
        <v>19.350000000000001</v>
      </c>
      <c r="BS27">
        <v>21.73</v>
      </c>
      <c r="BT27" t="s">
        <v>1638</v>
      </c>
      <c r="BU27" t="s">
        <v>646</v>
      </c>
      <c r="BV27">
        <v>78.61</v>
      </c>
      <c r="BW27">
        <v>77.400000000000006</v>
      </c>
      <c r="BX27">
        <v>76.69</v>
      </c>
      <c r="BY27">
        <v>25.76</v>
      </c>
      <c r="BZ27">
        <v>25.22</v>
      </c>
      <c r="CA27">
        <v>22.96</v>
      </c>
      <c r="CB27">
        <v>-1.82</v>
      </c>
      <c r="CC27">
        <v>-24.19</v>
      </c>
      <c r="CD27" t="s">
        <v>1639</v>
      </c>
      <c r="CE27" t="s">
        <v>1332</v>
      </c>
      <c r="CF27" s="8">
        <v>0.17516218721037999</v>
      </c>
      <c r="CG27" s="9">
        <v>0.20291993355481727</v>
      </c>
      <c r="CH27" s="8">
        <v>0.22564993798732758</v>
      </c>
      <c r="CI27" s="8">
        <v>6.0661740601062775E-2</v>
      </c>
      <c r="CJ27" s="8">
        <v>0.18106813728809357</v>
      </c>
      <c r="CK27" s="8">
        <v>0.26122677326202393</v>
      </c>
      <c r="CL27" s="8">
        <v>0.23712737858295441</v>
      </c>
      <c r="CM27" s="9">
        <v>0.25137361884117126</v>
      </c>
      <c r="CN27" s="9">
        <v>0.1648000031709671</v>
      </c>
      <c r="CO27" s="9">
        <v>0.25250500440597534</v>
      </c>
      <c r="CP27" s="9">
        <v>0.22604422271251678</v>
      </c>
      <c r="CQ27" s="9">
        <v>0.39383560419082642</v>
      </c>
      <c r="CR27">
        <v>23.471194107452341</v>
      </c>
      <c r="CS27">
        <v>1.2151997802681578</v>
      </c>
      <c r="CT27">
        <v>4.2140750105351872</v>
      </c>
      <c r="CU27" s="8">
        <v>0.19314679354429246</v>
      </c>
      <c r="CV27" s="9">
        <v>0.25771169066429139</v>
      </c>
      <c r="CW27">
        <v>0.06</v>
      </c>
      <c r="CX27">
        <v>9.8611025212211789</v>
      </c>
      <c r="CY27">
        <v>1025430876.3385381</v>
      </c>
      <c r="CZ27">
        <v>0.19314679354429246</v>
      </c>
      <c r="DA27">
        <v>2.9560990221044032</v>
      </c>
      <c r="DB27">
        <v>3420683449.5014658</v>
      </c>
      <c r="DC27">
        <v>0.18348945386707782</v>
      </c>
      <c r="DD27">
        <v>1.2911295011023594</v>
      </c>
      <c r="DE27">
        <v>7831808498.9666281</v>
      </c>
      <c r="DF27">
        <v>0.16996917831897737</v>
      </c>
      <c r="DG27">
        <v>0.67344598986913795</v>
      </c>
      <c r="DH27">
        <v>15015129872.500853</v>
      </c>
      <c r="DI27">
        <v>0.15451743483543398</v>
      </c>
      <c r="DJ27">
        <v>0.2502191414706732</v>
      </c>
      <c r="DK27">
        <v>40412092138.782906</v>
      </c>
      <c r="DL27">
        <v>0.13520275548100472</v>
      </c>
      <c r="DM27">
        <v>911000000</v>
      </c>
      <c r="DN27">
        <v>0.19314679354429246</v>
      </c>
      <c r="DO27">
        <v>10111879000</v>
      </c>
      <c r="DP27">
        <v>3195303800</v>
      </c>
      <c r="DQ27">
        <v>1303</v>
      </c>
      <c r="DR27">
        <v>-1.7984606333912467E-2</v>
      </c>
      <c r="DS27">
        <v>-5.4791757109474121E-2</v>
      </c>
      <c r="DT27" s="10">
        <v>7.6666666666666591E-2</v>
      </c>
      <c r="DU27">
        <v>0.8866666666666666</v>
      </c>
      <c r="DV27">
        <v>0.96333333333333315</v>
      </c>
      <c r="DW27">
        <v>-3.092625</v>
      </c>
      <c r="DX27">
        <v>0.41111640624999835</v>
      </c>
      <c r="DY27">
        <v>-3.0167759071289062</v>
      </c>
      <c r="DZ27">
        <v>228</v>
      </c>
      <c r="EA27">
        <v>-3.0160273930730566</v>
      </c>
      <c r="EB27">
        <v>3</v>
      </c>
      <c r="EC27">
        <v>4.0621363940324694E-2</v>
      </c>
      <c r="ED27">
        <v>0.22428318218866322</v>
      </c>
      <c r="EE27" s="13">
        <v>-1.1023099999999999</v>
      </c>
      <c r="EF27">
        <v>-2.0036100000000001</v>
      </c>
      <c r="EG27">
        <v>23.181116406249998</v>
      </c>
      <c r="EH27" t="s">
        <v>654</v>
      </c>
      <c r="EI27">
        <v>0</v>
      </c>
      <c r="EJ27">
        <v>1</v>
      </c>
      <c r="EK27" s="12">
        <v>45470</v>
      </c>
      <c r="EL27" s="14">
        <v>-0.56000000000000005</v>
      </c>
      <c r="EM27" s="14">
        <v>-5.32</v>
      </c>
      <c r="EN27" s="14">
        <v>1</v>
      </c>
      <c r="EO27" s="14">
        <v>-0.83</v>
      </c>
      <c r="EP27" s="14">
        <v>-5.13</v>
      </c>
    </row>
    <row r="28" spans="1:146" ht="96" x14ac:dyDescent="0.25">
      <c r="A28"/>
      <c r="B28"/>
      <c r="C28" s="5" t="str">
        <f>""&amp;CHAR(10)&amp;Basic_Fundamental_Information_Constructure(F28)&amp;CHAR(10)&amp;Basic_Fundamental_Information_Concatenate("")</f>
        <v xml:space="preserve">
市值152.11457亿, 利润13.16亿; PE11.77; 平均PE14.17; 平均PEG.46, PB2.26; ROIC18.0467%; ROE18.9967%; 股利率4.683%; 毛利22.0767%; 净利10.3967%; 上一年度营收增46.52%, 利润增20.62%; 当季营收增23%, 利润增-6.5%; 过往5年营收增30.64%, 利润增11.16%
Income profile:
</v>
      </c>
      <c r="D28" t="s">
        <v>1640</v>
      </c>
      <c r="E28" t="s">
        <v>1641</v>
      </c>
      <c r="F28">
        <v>13.88</v>
      </c>
      <c r="G28">
        <v>5.07</v>
      </c>
      <c r="H28" t="s">
        <v>1642</v>
      </c>
      <c r="I28">
        <v>15211457000</v>
      </c>
      <c r="J28">
        <v>11.77</v>
      </c>
      <c r="K28">
        <v>2.2599999999999998</v>
      </c>
      <c r="L28" t="s">
        <v>53</v>
      </c>
      <c r="M28" t="s">
        <v>1643</v>
      </c>
      <c r="N28" t="s">
        <v>1644</v>
      </c>
      <c r="O28" t="s">
        <v>1645</v>
      </c>
      <c r="P28" s="3">
        <v>23.01</v>
      </c>
      <c r="Q28" t="s">
        <v>1646</v>
      </c>
      <c r="R28">
        <v>341259180</v>
      </c>
      <c r="S28">
        <v>-6.6100000000000006E-2</v>
      </c>
      <c r="T28" t="s">
        <v>1647</v>
      </c>
      <c r="U28">
        <v>1082609920</v>
      </c>
      <c r="V28">
        <v>1095926270</v>
      </c>
      <c r="W28">
        <v>1.35</v>
      </c>
      <c r="X28">
        <v>0.59</v>
      </c>
      <c r="Y28">
        <v>6.72</v>
      </c>
      <c r="Z28" t="s">
        <v>1648</v>
      </c>
      <c r="AA28" t="s">
        <v>1649</v>
      </c>
      <c r="AB28" t="s">
        <v>552</v>
      </c>
      <c r="AC28" t="s">
        <v>1650</v>
      </c>
      <c r="AD28" t="s">
        <v>54</v>
      </c>
      <c r="AE28">
        <v>11014437</v>
      </c>
      <c r="AF28" t="s">
        <v>1651</v>
      </c>
      <c r="AG28" t="s">
        <v>1652</v>
      </c>
      <c r="AH28" t="s">
        <v>1653</v>
      </c>
      <c r="AI28" t="s">
        <v>1654</v>
      </c>
      <c r="AJ28" t="s">
        <v>1655</v>
      </c>
      <c r="AK28" t="s">
        <v>1656</v>
      </c>
      <c r="AL28" t="s">
        <v>1657</v>
      </c>
      <c r="AM28" t="s">
        <v>54</v>
      </c>
      <c r="AN28" t="s">
        <v>1658</v>
      </c>
      <c r="AO28" t="s">
        <v>1659</v>
      </c>
      <c r="AP28" t="s">
        <v>54</v>
      </c>
      <c r="AQ28" t="s">
        <v>469</v>
      </c>
      <c r="AR28" t="s">
        <v>1660</v>
      </c>
      <c r="AS28" t="s">
        <v>1661</v>
      </c>
      <c r="AT28" t="s">
        <v>1662</v>
      </c>
      <c r="AU28" t="s">
        <v>208</v>
      </c>
      <c r="AV28" t="s">
        <v>1663</v>
      </c>
      <c r="AW28" t="s">
        <v>837</v>
      </c>
      <c r="AX28" t="s">
        <v>1664</v>
      </c>
      <c r="AY28" t="s">
        <v>1665</v>
      </c>
      <c r="AZ28" t="s">
        <v>1666</v>
      </c>
      <c r="BA28" t="s">
        <v>1667</v>
      </c>
      <c r="BB28" t="s">
        <v>1668</v>
      </c>
      <c r="BC28" t="s">
        <v>1669</v>
      </c>
      <c r="BD28" t="s">
        <v>1670</v>
      </c>
      <c r="BE28" t="s">
        <v>1671</v>
      </c>
      <c r="BF28" t="s">
        <v>1672</v>
      </c>
      <c r="BG28" t="s">
        <v>72</v>
      </c>
      <c r="BH28" t="s">
        <v>1646</v>
      </c>
      <c r="BI28" t="s">
        <v>1673</v>
      </c>
      <c r="BJ28" t="s">
        <v>1664</v>
      </c>
      <c r="BK28" t="s">
        <v>1647</v>
      </c>
      <c r="BL28" t="s">
        <v>215</v>
      </c>
      <c r="BM28" t="s">
        <v>1669</v>
      </c>
      <c r="BN28">
        <v>15.9</v>
      </c>
      <c r="BO28">
        <v>17.190000000000001</v>
      </c>
      <c r="BP28">
        <v>21.05</v>
      </c>
      <c r="BQ28">
        <v>17.38</v>
      </c>
      <c r="BR28">
        <v>18.28</v>
      </c>
      <c r="BS28">
        <v>21.33</v>
      </c>
      <c r="BT28" t="s">
        <v>1240</v>
      </c>
      <c r="BU28" t="s">
        <v>1030</v>
      </c>
      <c r="BV28">
        <v>18.14</v>
      </c>
      <c r="BW28">
        <v>20.78</v>
      </c>
      <c r="BX28">
        <v>27.31</v>
      </c>
      <c r="BY28">
        <v>8.06</v>
      </c>
      <c r="BZ28">
        <v>9.7799999999999994</v>
      </c>
      <c r="CA28">
        <v>13.35</v>
      </c>
      <c r="CB28">
        <v>6.28</v>
      </c>
      <c r="CC28" s="8">
        <v>-19.86</v>
      </c>
      <c r="CD28" s="9" t="s">
        <v>1674</v>
      </c>
      <c r="CE28" s="8" t="s">
        <v>810</v>
      </c>
      <c r="CF28" s="8">
        <v>0.22998544395924309</v>
      </c>
      <c r="CG28" s="8">
        <v>-6.5043342465753426E-2</v>
      </c>
      <c r="CH28" s="8">
        <v>0.4651915431022644</v>
      </c>
      <c r="CI28" s="8">
        <v>0.21441832184791565</v>
      </c>
      <c r="CJ28" s="9">
        <v>0.80074739456176758</v>
      </c>
      <c r="CK28" s="9">
        <v>-6.5269313752651215E-2</v>
      </c>
      <c r="CL28" s="9">
        <v>0.1168377697467804</v>
      </c>
      <c r="CM28" s="9">
        <v>0.20623274147510529</v>
      </c>
      <c r="CN28" s="9">
        <v>-0.10938765853643417</v>
      </c>
      <c r="CO28">
        <v>0.20927929878234863</v>
      </c>
      <c r="CP28">
        <v>2.2199798375368118E-2</v>
      </c>
      <c r="CQ28">
        <v>0.22952853143215179</v>
      </c>
      <c r="CR28" s="8">
        <v>14.167764979819932</v>
      </c>
      <c r="CS28" s="9">
        <v>0.46241684033417912</v>
      </c>
      <c r="CT28">
        <v>4.6829971181556189</v>
      </c>
      <c r="CU28">
        <v>0.30638514310121534</v>
      </c>
      <c r="CV28">
        <v>0.11157054230570793</v>
      </c>
      <c r="CW28">
        <v>0.06</v>
      </c>
      <c r="CX28">
        <v>6.2362183906741242</v>
      </c>
      <c r="CY28">
        <v>1621889479.5483012</v>
      </c>
      <c r="CZ28">
        <v>0.30638514310121534</v>
      </c>
      <c r="DA28">
        <v>1.704782351765938</v>
      </c>
      <c r="DB28">
        <v>5932990208.1181841</v>
      </c>
      <c r="DC28">
        <v>0.29106588594615457</v>
      </c>
      <c r="DD28">
        <v>0.64987482942101404</v>
      </c>
      <c r="DE28">
        <v>15563700180.5581</v>
      </c>
      <c r="DF28">
        <v>0.2696189259290695</v>
      </c>
      <c r="DG28">
        <v>0.28562263009857675</v>
      </c>
      <c r="DH28">
        <v>35411959467.319534</v>
      </c>
      <c r="DI28">
        <v>0.24510811448097228</v>
      </c>
      <c r="DJ28">
        <v>6.8880881437231603E-2</v>
      </c>
      <c r="DK28">
        <v>146839831154.2645</v>
      </c>
      <c r="DL28">
        <v>0.21446960017085073</v>
      </c>
      <c r="DM28">
        <v>1316000000</v>
      </c>
      <c r="DN28">
        <v>0.30638514310121534</v>
      </c>
      <c r="DO28">
        <v>10114457000</v>
      </c>
      <c r="DP28">
        <v>5177445700</v>
      </c>
      <c r="DQ28" s="10">
        <v>1335</v>
      </c>
      <c r="DR28">
        <v>-7.6399699141972255E-2</v>
      </c>
      <c r="DS28">
        <v>-0.17661388477146134</v>
      </c>
      <c r="DT28">
        <v>0.14333333333333331</v>
      </c>
      <c r="DU28">
        <v>0.39999999999999997</v>
      </c>
      <c r="DV28">
        <v>0.54333333333333322</v>
      </c>
      <c r="DW28">
        <v>7.2402448355011479</v>
      </c>
      <c r="DX28">
        <v>0.69948156682027673</v>
      </c>
      <c r="DY28">
        <v>7.0455219678512373</v>
      </c>
      <c r="DZ28">
        <v>654</v>
      </c>
      <c r="EA28">
        <v>7.0396958686389652</v>
      </c>
      <c r="EB28" s="13">
        <v>7</v>
      </c>
      <c r="EC28" s="13">
        <v>3.7518491093383496E-2</v>
      </c>
      <c r="ED28">
        <v>0.19800602097073555</v>
      </c>
      <c r="EE28">
        <v>8.8609999999999994E-2</v>
      </c>
      <c r="EF28">
        <v>0.11230999999999999</v>
      </c>
      <c r="EG28">
        <v>51.189481566820277</v>
      </c>
      <c r="EH28" s="12">
        <v>-1</v>
      </c>
      <c r="EI28">
        <v>1</v>
      </c>
      <c r="EJ28">
        <v>1</v>
      </c>
      <c r="EK28">
        <v>45470</v>
      </c>
      <c r="EL28">
        <v>-1.44</v>
      </c>
      <c r="EM28">
        <v>-2.62</v>
      </c>
      <c r="EN28" s="14">
        <v>0.15</v>
      </c>
      <c r="EO28" s="14">
        <v>1.05</v>
      </c>
      <c r="EP28" s="14">
        <v>-2.37</v>
      </c>
    </row>
    <row r="29" spans="1:146" ht="288" x14ac:dyDescent="0.25">
      <c r="A29" s="5" t="s">
        <v>698</v>
      </c>
      <c r="C29" s="5" t="str">
        <f>"公司是一家主营中高端童装业务的自有品牌服装企业，旗下拥有“Annil安奈儿”童装品牌，主要从事童装产品价值链中自主研发设计、供应链管理、品牌运营推广及直营与加盟销售等核心业务环节。"&amp;CHAR(10)&amp;Basic_Fundamental_Information_Constructure(F29)&amp;CHAR(10)&amp;Basic_Fundamental_Information_Concatenate("大童装 3.95亿 80.42% 81.14% 53.70%
小童装 9422.17万 19.21% 18.49% 51.24%
其他业务收入 183.74万 0.37% 0.37% 52.56%")</f>
        <v>公司是一家主营中高端童装业务的自有品牌服装企业，旗下拥有“Annil安奈儿”童装品牌，主要从事童装产品价值链中自主研发设计、供应链管理、品牌运营推广及直营与加盟销售等核心业务环节。
市值21.683896亿, 利润-9955.15万; PE; 平均PE-49.87; 平均PEG-6.83, PB2.6; ROIC0%; ROE-10.61%; 股利率0%; 毛利51.88%; 净利-12.7367%; 上一年度营收增-14.07%, 利润增58%; 当季营收增-9.59%, 利润增273.9%; 过往5年营收增-7.3%, 利润增-1566.44%
Income profile:
大童装 3.95亿 80.42% 81.14% 53.70%
小童装 9422.17万 19.21% 18.49% 51.24%
其他业务收入 183.74万 0.37% 0.37% 52.56%</v>
      </c>
      <c r="D29" t="s">
        <v>174</v>
      </c>
      <c r="E29" t="s">
        <v>20</v>
      </c>
      <c r="F29">
        <v>10.18</v>
      </c>
      <c r="G29">
        <v>0.69</v>
      </c>
      <c r="H29" t="s">
        <v>1675</v>
      </c>
      <c r="I29">
        <v>2168389600</v>
      </c>
      <c r="K29">
        <v>2.6</v>
      </c>
      <c r="L29" t="s">
        <v>53</v>
      </c>
      <c r="M29" t="s">
        <v>673</v>
      </c>
      <c r="N29" t="s">
        <v>1676</v>
      </c>
      <c r="O29" t="s">
        <v>441</v>
      </c>
      <c r="P29">
        <v>-9.9600000000000009</v>
      </c>
      <c r="Q29" t="s">
        <v>72</v>
      </c>
      <c r="R29">
        <v>12075644</v>
      </c>
      <c r="S29" s="3">
        <v>2.7389999999999999</v>
      </c>
      <c r="T29" t="s">
        <v>1677</v>
      </c>
      <c r="U29">
        <v>172993460</v>
      </c>
      <c r="V29">
        <v>213004870</v>
      </c>
      <c r="W29">
        <v>1.54</v>
      </c>
      <c r="X29">
        <v>0.15</v>
      </c>
      <c r="Y29">
        <v>5.99</v>
      </c>
      <c r="Z29" t="s">
        <v>1678</v>
      </c>
      <c r="AA29" t="s">
        <v>1679</v>
      </c>
      <c r="AB29" t="s">
        <v>1680</v>
      </c>
      <c r="AC29" t="s">
        <v>1681</v>
      </c>
      <c r="AD29" t="s">
        <v>54</v>
      </c>
      <c r="AE29">
        <v>-282845</v>
      </c>
      <c r="AF29" t="s">
        <v>97</v>
      </c>
      <c r="AG29" t="s">
        <v>1682</v>
      </c>
      <c r="AH29" t="s">
        <v>1683</v>
      </c>
      <c r="AI29" t="s">
        <v>1684</v>
      </c>
      <c r="AJ29" t="s">
        <v>1685</v>
      </c>
      <c r="AK29" t="s">
        <v>54</v>
      </c>
      <c r="AL29" t="s">
        <v>1686</v>
      </c>
      <c r="AM29" t="s">
        <v>54</v>
      </c>
      <c r="AN29" t="s">
        <v>1687</v>
      </c>
      <c r="AO29" t="s">
        <v>1688</v>
      </c>
      <c r="AP29" t="s">
        <v>1689</v>
      </c>
      <c r="AQ29" t="s">
        <v>1690</v>
      </c>
      <c r="AR29" t="s">
        <v>54</v>
      </c>
      <c r="AS29" t="s">
        <v>77</v>
      </c>
      <c r="AT29" t="s">
        <v>696</v>
      </c>
      <c r="AU29" t="s">
        <v>1691</v>
      </c>
      <c r="AV29" t="s">
        <v>1692</v>
      </c>
      <c r="AW29" t="s">
        <v>1693</v>
      </c>
      <c r="AX29" t="s">
        <v>830</v>
      </c>
      <c r="AY29" t="s">
        <v>585</v>
      </c>
      <c r="AZ29" t="s">
        <v>358</v>
      </c>
      <c r="BA29" t="s">
        <v>175</v>
      </c>
      <c r="BB29" t="s">
        <v>361</v>
      </c>
      <c r="BC29" t="s">
        <v>831</v>
      </c>
      <c r="BD29" t="s">
        <v>586</v>
      </c>
      <c r="BE29" t="s">
        <v>359</v>
      </c>
      <c r="BF29" t="s">
        <v>176</v>
      </c>
      <c r="BG29" t="s">
        <v>363</v>
      </c>
      <c r="BH29" t="s">
        <v>72</v>
      </c>
      <c r="BI29" t="s">
        <v>675</v>
      </c>
      <c r="BJ29" t="s">
        <v>830</v>
      </c>
      <c r="BK29" t="s">
        <v>1677</v>
      </c>
      <c r="BL29" t="s">
        <v>1694</v>
      </c>
      <c r="BM29" t="s">
        <v>831</v>
      </c>
      <c r="BN29" t="s">
        <v>54</v>
      </c>
      <c r="BO29" t="s">
        <v>54</v>
      </c>
      <c r="BP29" t="s">
        <v>54</v>
      </c>
      <c r="BQ29">
        <v>-8.4700000000000006</v>
      </c>
      <c r="BR29">
        <v>-23</v>
      </c>
      <c r="BS29">
        <v>-0.36</v>
      </c>
      <c r="BT29" t="s">
        <v>700</v>
      </c>
      <c r="BU29" t="s">
        <v>646</v>
      </c>
      <c r="BV29">
        <v>51.79</v>
      </c>
      <c r="BW29">
        <v>47.15</v>
      </c>
      <c r="BX29">
        <v>56.7</v>
      </c>
      <c r="BY29">
        <v>-12.63</v>
      </c>
      <c r="BZ29">
        <v>-25.32</v>
      </c>
      <c r="CA29">
        <v>-0.26</v>
      </c>
      <c r="CB29">
        <v>-7.71</v>
      </c>
      <c r="CC29">
        <v>-4.05</v>
      </c>
      <c r="CD29" t="s">
        <v>1695</v>
      </c>
      <c r="CE29" t="s">
        <v>821</v>
      </c>
      <c r="CF29" s="8">
        <v>-9.5890410958904104E-2</v>
      </c>
      <c r="CG29" s="9">
        <v>2.7390040322580647</v>
      </c>
      <c r="CH29" s="8">
        <v>-0.14072494208812714</v>
      </c>
      <c r="CI29" s="8">
        <v>-0.20910623669624329</v>
      </c>
      <c r="CJ29" s="8">
        <v>-5.6483644992113113E-2</v>
      </c>
      <c r="CK29" s="8">
        <v>-5.2750658243894577E-2</v>
      </c>
      <c r="CL29" s="8">
        <v>9.3981973826885223E-2</v>
      </c>
      <c r="CM29" s="9">
        <v>0.57995146512985229</v>
      </c>
      <c r="CN29" s="9">
        <v>-77.230728149414063</v>
      </c>
      <c r="CO29" s="9">
        <v>0.93528908491134644</v>
      </c>
      <c r="CP29" s="9">
        <v>-2.1115598678588867</v>
      </c>
      <c r="CQ29" s="9">
        <v>-0.49491587281227112</v>
      </c>
      <c r="CR29">
        <v>-49.868500062669398</v>
      </c>
      <c r="CS29">
        <v>-6.829738805435067</v>
      </c>
      <c r="CT29">
        <v>0</v>
      </c>
      <c r="CU29" s="8">
        <v>-7.3016701638698583E-2</v>
      </c>
      <c r="CV29" s="9">
        <v>-15.664392668008805</v>
      </c>
      <c r="CW29">
        <v>0.06</v>
      </c>
      <c r="CX29" t="e">
        <v>#VALUE!</v>
      </c>
      <c r="CY29" t="s">
        <v>653</v>
      </c>
      <c r="CZ29">
        <v>-7.3016701638698583E-2</v>
      </c>
      <c r="DA29" t="e">
        <v>#VALUE!</v>
      </c>
      <c r="DB29" t="s">
        <v>653</v>
      </c>
      <c r="DC29">
        <v>-6.9365866556763647E-2</v>
      </c>
      <c r="DD29" t="e">
        <v>#VALUE!</v>
      </c>
      <c r="DE29" t="s">
        <v>653</v>
      </c>
      <c r="DF29">
        <v>-6.4254697442054753E-2</v>
      </c>
      <c r="DG29" t="e">
        <v>#VALUE!</v>
      </c>
      <c r="DH29" t="s">
        <v>653</v>
      </c>
      <c r="DI29">
        <v>-5.8413361310958867E-2</v>
      </c>
      <c r="DJ29" t="e">
        <v>#VALUE!</v>
      </c>
      <c r="DK29" t="s">
        <v>653</v>
      </c>
      <c r="DL29">
        <v>-5.1111691147089008E-2</v>
      </c>
      <c r="DM29">
        <v>-99551500</v>
      </c>
      <c r="DN29">
        <v>-7.3016701638698583E-2</v>
      </c>
      <c r="DO29">
        <v>1898389600</v>
      </c>
      <c r="DP29">
        <v>835477340</v>
      </c>
      <c r="DQ29">
        <v>1342</v>
      </c>
      <c r="DR29">
        <v>-2.2873709320205521E-2</v>
      </c>
      <c r="DS29">
        <v>18.403396700266871</v>
      </c>
      <c r="DT29" s="10">
        <v>-0.59</v>
      </c>
      <c r="DU29">
        <v>-1.4266666666666667</v>
      </c>
      <c r="DV29">
        <v>-2.0166666666666666</v>
      </c>
      <c r="DW29">
        <v>-5.5252918287937742</v>
      </c>
      <c r="DX29">
        <v>0.28403672839506167</v>
      </c>
      <c r="DY29">
        <v>-5.0704083981841768</v>
      </c>
      <c r="DZ29">
        <v>4397</v>
      </c>
      <c r="EA29">
        <v>-5.0098241072221761</v>
      </c>
      <c r="EB29">
        <v>5</v>
      </c>
      <c r="EC29">
        <v>0.20388219292826498</v>
      </c>
      <c r="ED29">
        <v>1.5210919825448121</v>
      </c>
      <c r="EE29" s="13">
        <v>-1.1394</v>
      </c>
      <c r="EF29">
        <v>-1.075</v>
      </c>
      <c r="EG29">
        <v>15.134036728395062</v>
      </c>
      <c r="EH29" t="s">
        <v>651</v>
      </c>
      <c r="EI29">
        <v>0</v>
      </c>
      <c r="EJ29">
        <v>0</v>
      </c>
      <c r="EK29" s="12">
        <v>45470</v>
      </c>
      <c r="EL29" s="14">
        <v>3.84</v>
      </c>
      <c r="EM29" s="14">
        <v>5.82</v>
      </c>
      <c r="EN29" s="14">
        <v>-1.57</v>
      </c>
      <c r="EO29" s="14">
        <v>3.37</v>
      </c>
      <c r="EP29" s="14">
        <v>-6.44</v>
      </c>
    </row>
    <row r="30" spans="1:146" ht="96" x14ac:dyDescent="0.25">
      <c r="C30" s="5" t="str">
        <f>""&amp;CHAR(10)&amp;Basic_Fundamental_Information_Constructure(F30)&amp;CHAR(10)&amp;Basic_Fundamental_Information_Concatenate("")</f>
        <v xml:space="preserve">
市值26.478433亿, 利润1.00亿; PE46.61; 平均PE13.9; 平均PEG20.18, PB.937; ROIC5.38%; ROE6.07%; 股利率3.7338%; 毛利70.0933%; 净利8.92%; 上一年度营收增.92%, 利润增-22.48%; 当季营收增-19.07%, 利润增-88.49%; 过往5年营收增.69%, 利润增-4.97%
Income profile:
</v>
      </c>
      <c r="D30" t="s">
        <v>364</v>
      </c>
      <c r="E30" t="s">
        <v>365</v>
      </c>
      <c r="F30">
        <v>6.16</v>
      </c>
      <c r="G30">
        <v>3.18</v>
      </c>
      <c r="H30" t="s">
        <v>1696</v>
      </c>
      <c r="I30">
        <v>2647843300</v>
      </c>
      <c r="J30">
        <v>46.61</v>
      </c>
      <c r="K30">
        <v>0.93700000000000006</v>
      </c>
      <c r="L30" t="s">
        <v>53</v>
      </c>
      <c r="M30" t="s">
        <v>1697</v>
      </c>
      <c r="N30" t="s">
        <v>1698</v>
      </c>
      <c r="O30" t="s">
        <v>215</v>
      </c>
      <c r="P30">
        <v>-19.059999999999999</v>
      </c>
      <c r="Q30" t="s">
        <v>916</v>
      </c>
      <c r="R30">
        <v>5636939</v>
      </c>
      <c r="S30" s="3">
        <v>-0.88490000000000002</v>
      </c>
      <c r="T30" t="s">
        <v>261</v>
      </c>
      <c r="U30">
        <v>427815140</v>
      </c>
      <c r="V30">
        <v>429844700</v>
      </c>
      <c r="W30">
        <v>1.23</v>
      </c>
      <c r="X30">
        <v>0.1</v>
      </c>
      <c r="Y30">
        <v>1.55</v>
      </c>
      <c r="Z30" t="s">
        <v>853</v>
      </c>
      <c r="AA30" t="s">
        <v>123</v>
      </c>
      <c r="AB30" t="s">
        <v>73</v>
      </c>
      <c r="AC30" t="s">
        <v>1699</v>
      </c>
      <c r="AD30" t="s">
        <v>54</v>
      </c>
      <c r="AE30">
        <v>-3854011</v>
      </c>
      <c r="AF30" t="s">
        <v>1700</v>
      </c>
      <c r="AG30" t="s">
        <v>1701</v>
      </c>
      <c r="AH30" t="s">
        <v>1702</v>
      </c>
      <c r="AI30" t="s">
        <v>1659</v>
      </c>
      <c r="AJ30" t="s">
        <v>1703</v>
      </c>
      <c r="AK30" t="s">
        <v>54</v>
      </c>
      <c r="AL30" t="s">
        <v>1704</v>
      </c>
      <c r="AM30" t="s">
        <v>54</v>
      </c>
      <c r="AN30" t="s">
        <v>1705</v>
      </c>
      <c r="AO30" t="s">
        <v>261</v>
      </c>
      <c r="AP30" t="s">
        <v>1706</v>
      </c>
      <c r="AQ30" t="s">
        <v>1707</v>
      </c>
      <c r="AR30">
        <v>9162.4599999999991</v>
      </c>
      <c r="AS30" t="s">
        <v>975</v>
      </c>
      <c r="AT30" t="s">
        <v>263</v>
      </c>
      <c r="AU30" t="s">
        <v>1708</v>
      </c>
      <c r="AV30" t="s">
        <v>182</v>
      </c>
      <c r="AW30" t="s">
        <v>1709</v>
      </c>
      <c r="AX30" t="s">
        <v>832</v>
      </c>
      <c r="AY30" t="s">
        <v>587</v>
      </c>
      <c r="AZ30" t="s">
        <v>366</v>
      </c>
      <c r="BA30" t="s">
        <v>367</v>
      </c>
      <c r="BB30" t="s">
        <v>368</v>
      </c>
      <c r="BC30" t="s">
        <v>79</v>
      </c>
      <c r="BD30" t="s">
        <v>677</v>
      </c>
      <c r="BE30" t="s">
        <v>241</v>
      </c>
      <c r="BF30" t="s">
        <v>242</v>
      </c>
      <c r="BG30" t="s">
        <v>369</v>
      </c>
      <c r="BH30" t="s">
        <v>916</v>
      </c>
      <c r="BI30" t="s">
        <v>969</v>
      </c>
      <c r="BJ30" t="s">
        <v>832</v>
      </c>
      <c r="BK30" t="s">
        <v>261</v>
      </c>
      <c r="BL30" t="s">
        <v>1710</v>
      </c>
      <c r="BM30" t="s">
        <v>79</v>
      </c>
      <c r="BN30">
        <v>3.57</v>
      </c>
      <c r="BO30">
        <v>3.74</v>
      </c>
      <c r="BP30">
        <v>8.83</v>
      </c>
      <c r="BQ30">
        <v>4.0999999999999996</v>
      </c>
      <c r="BR30">
        <v>4.43</v>
      </c>
      <c r="BS30">
        <v>9.68</v>
      </c>
      <c r="BT30" t="s">
        <v>1711</v>
      </c>
      <c r="BU30" t="s">
        <v>646</v>
      </c>
      <c r="BV30">
        <v>69.430000000000007</v>
      </c>
      <c r="BW30">
        <v>69.36</v>
      </c>
      <c r="BX30">
        <v>71.489999999999995</v>
      </c>
      <c r="BY30">
        <v>5.69</v>
      </c>
      <c r="BZ30">
        <v>7.41</v>
      </c>
      <c r="CA30">
        <v>13.66</v>
      </c>
      <c r="CB30">
        <v>-1.6</v>
      </c>
      <c r="CC30">
        <v>-9.14</v>
      </c>
      <c r="CD30" t="s">
        <v>1712</v>
      </c>
      <c r="CE30" t="s">
        <v>1713</v>
      </c>
      <c r="CF30" s="8">
        <v>-0.19068736141906872</v>
      </c>
      <c r="CG30" s="9">
        <v>-0.88487302605243168</v>
      </c>
      <c r="CH30" s="8">
        <v>9.1795753687620163E-3</v>
      </c>
      <c r="CI30" s="8">
        <v>-0.1707896888256073</v>
      </c>
      <c r="CJ30" s="8">
        <v>0.14675399661064148</v>
      </c>
      <c r="CK30" s="8">
        <v>-6.7175574600696564E-2</v>
      </c>
      <c r="CL30" s="8">
        <v>0.11647723615169525</v>
      </c>
      <c r="CM30" s="9">
        <v>-0.22480620443820953</v>
      </c>
      <c r="CN30" s="9">
        <v>-0.55208331346511841</v>
      </c>
      <c r="CO30" s="9">
        <v>0.61797749996185303</v>
      </c>
      <c r="CP30" s="9">
        <v>-0.26446279883384705</v>
      </c>
      <c r="CQ30" s="9">
        <v>0.17475728690624237</v>
      </c>
      <c r="CR30">
        <v>13.899439895013124</v>
      </c>
      <c r="CS30">
        <v>20.175961817608151</v>
      </c>
      <c r="CT30">
        <v>3.7337662337662332</v>
      </c>
      <c r="CU30" s="8">
        <v>6.8891089409589771E-3</v>
      </c>
      <c r="CV30" s="9">
        <v>-4.9723505973815918E-2</v>
      </c>
      <c r="CW30">
        <v>0.06</v>
      </c>
      <c r="CX30">
        <v>6.7043519689076625</v>
      </c>
      <c r="CY30">
        <v>94989538.579335749</v>
      </c>
      <c r="CZ30">
        <v>6.8891089409589771E-3</v>
      </c>
      <c r="DA30">
        <v>2.3521739219432547</v>
      </c>
      <c r="DB30">
        <v>270746688.43954796</v>
      </c>
      <c r="DC30">
        <v>6.5446534939110276E-3</v>
      </c>
      <c r="DD30">
        <v>1.2692251468890605</v>
      </c>
      <c r="DE30">
        <v>501757549.92007321</v>
      </c>
      <c r="DF30">
        <v>6.0624158680438996E-3</v>
      </c>
      <c r="DG30">
        <v>0.84160653159045307</v>
      </c>
      <c r="DH30">
        <v>756699569.33022475</v>
      </c>
      <c r="DI30">
        <v>5.5112871527671818E-3</v>
      </c>
      <c r="DJ30">
        <v>0.53252079204086389</v>
      </c>
      <c r="DK30">
        <v>1195903163.8169928</v>
      </c>
      <c r="DL30">
        <v>4.8223762586712838E-3</v>
      </c>
      <c r="DM30">
        <v>100000000</v>
      </c>
      <c r="DN30">
        <v>6.8891089409589771E-3</v>
      </c>
      <c r="DO30">
        <v>636843300</v>
      </c>
      <c r="DP30">
        <v>1579701400</v>
      </c>
      <c r="DQ30">
        <v>1472</v>
      </c>
      <c r="DR30">
        <v>-0.19757647036002771</v>
      </c>
      <c r="DS30">
        <v>-0.83514952007861576</v>
      </c>
      <c r="DT30" s="10">
        <v>-0.59</v>
      </c>
      <c r="DU30">
        <v>-0.50666666666666671</v>
      </c>
      <c r="DV30">
        <v>-1.0966666666666667</v>
      </c>
      <c r="DW30">
        <v>-2.0914000000000001</v>
      </c>
      <c r="DX30">
        <v>1.0319352475236103</v>
      </c>
      <c r="DY30">
        <v>-2.0138868816236579</v>
      </c>
      <c r="DZ30">
        <v>3661</v>
      </c>
      <c r="EA30">
        <v>-2.0039377869809551</v>
      </c>
      <c r="EB30">
        <v>2</v>
      </c>
      <c r="EC30">
        <v>1.8380591874228063E-2</v>
      </c>
      <c r="ED30">
        <v>0.12097648290184804</v>
      </c>
      <c r="EE30" s="13">
        <v>-2.0236999999999998</v>
      </c>
      <c r="EF30">
        <v>-2.0082</v>
      </c>
      <c r="EG30">
        <v>88.15193524752361</v>
      </c>
      <c r="EH30" t="s">
        <v>649</v>
      </c>
      <c r="EI30">
        <v>0</v>
      </c>
      <c r="EJ30">
        <v>0</v>
      </c>
      <c r="EK30" s="12">
        <v>45470</v>
      </c>
      <c r="EL30" s="14">
        <v>0</v>
      </c>
      <c r="EM30" s="14">
        <v>-1.26</v>
      </c>
      <c r="EN30" s="14">
        <v>-1.59</v>
      </c>
      <c r="EO30" s="14">
        <v>4.54</v>
      </c>
      <c r="EP30" s="14">
        <v>-1.55</v>
      </c>
    </row>
    <row r="31" spans="1:146" ht="96" x14ac:dyDescent="0.25">
      <c r="C31" s="5" t="str">
        <f>""&amp;CHAR(10)&amp;Basic_Fundamental_Information_Constructure(F31)&amp;CHAR(10)&amp;Basic_Fundamental_Information_Concatenate("")</f>
        <v xml:space="preserve">
市值17.6112亿, 利润1.06亿; PE14.74; 平均PE16.11; 平均PEG12.91, PB1.3; ROIC8.9433%; ROE10.07%; 股利率3.2706%; 毛利21.82%; 净利12.83%; 上一年度营收增-2.66%, 利润增-31.61%; 当季营收增-3.61%, 利润增105.56%; 过往5年营收增-1.25%, 利润增16.43%
Income profile:
</v>
      </c>
      <c r="D31" t="s">
        <v>370</v>
      </c>
      <c r="E31" t="s">
        <v>371</v>
      </c>
      <c r="F31">
        <v>12.23</v>
      </c>
      <c r="G31">
        <v>-0.16</v>
      </c>
      <c r="H31" t="s">
        <v>1714</v>
      </c>
      <c r="I31">
        <v>1761120000</v>
      </c>
      <c r="J31">
        <v>14.74</v>
      </c>
      <c r="K31">
        <v>1.3</v>
      </c>
      <c r="L31" t="s">
        <v>53</v>
      </c>
      <c r="M31" t="s">
        <v>1697</v>
      </c>
      <c r="N31" t="s">
        <v>1178</v>
      </c>
      <c r="O31" t="s">
        <v>288</v>
      </c>
      <c r="P31">
        <v>-3.6</v>
      </c>
      <c r="Q31" t="s">
        <v>1715</v>
      </c>
      <c r="R31">
        <v>26343303</v>
      </c>
      <c r="S31" s="3">
        <v>1.056</v>
      </c>
      <c r="T31" t="s">
        <v>219</v>
      </c>
      <c r="U31">
        <v>144000000</v>
      </c>
      <c r="V31">
        <v>144000000</v>
      </c>
      <c r="W31">
        <v>1.58</v>
      </c>
      <c r="X31">
        <v>7.0000000000000007E-2</v>
      </c>
      <c r="Y31">
        <v>16.510000000000002</v>
      </c>
      <c r="Z31" t="s">
        <v>337</v>
      </c>
      <c r="AA31" t="s">
        <v>249</v>
      </c>
      <c r="AB31" t="s">
        <v>1716</v>
      </c>
      <c r="AC31" t="s">
        <v>1717</v>
      </c>
      <c r="AD31" t="s">
        <v>54</v>
      </c>
      <c r="AE31">
        <v>-2713381</v>
      </c>
      <c r="AF31" t="s">
        <v>97</v>
      </c>
      <c r="AG31" t="s">
        <v>54</v>
      </c>
      <c r="AH31" t="s">
        <v>1718</v>
      </c>
      <c r="AI31" t="s">
        <v>1059</v>
      </c>
      <c r="AJ31" t="s">
        <v>1719</v>
      </c>
      <c r="AK31" t="s">
        <v>54</v>
      </c>
      <c r="AL31" t="s">
        <v>1720</v>
      </c>
      <c r="AM31" t="s">
        <v>54</v>
      </c>
      <c r="AN31" t="s">
        <v>1721</v>
      </c>
      <c r="AO31" t="s">
        <v>1722</v>
      </c>
      <c r="AP31" t="s">
        <v>1723</v>
      </c>
      <c r="AQ31" t="s">
        <v>1724</v>
      </c>
      <c r="AR31" t="s">
        <v>54</v>
      </c>
      <c r="AS31" t="s">
        <v>148</v>
      </c>
      <c r="AT31" t="s">
        <v>909</v>
      </c>
      <c r="AU31" t="s">
        <v>1725</v>
      </c>
      <c r="AV31" t="s">
        <v>1726</v>
      </c>
      <c r="AW31" t="s">
        <v>1727</v>
      </c>
      <c r="AX31" t="s">
        <v>833</v>
      </c>
      <c r="AY31" t="s">
        <v>589</v>
      </c>
      <c r="AZ31" t="s">
        <v>372</v>
      </c>
      <c r="BA31" t="s">
        <v>373</v>
      </c>
      <c r="BB31" t="s">
        <v>374</v>
      </c>
      <c r="BC31" t="s">
        <v>834</v>
      </c>
      <c r="BD31" t="s">
        <v>253</v>
      </c>
      <c r="BE31" t="s">
        <v>249</v>
      </c>
      <c r="BF31" t="s">
        <v>245</v>
      </c>
      <c r="BG31" t="s">
        <v>375</v>
      </c>
      <c r="BH31" t="s">
        <v>1715</v>
      </c>
      <c r="BI31" t="s">
        <v>222</v>
      </c>
      <c r="BJ31" t="s">
        <v>833</v>
      </c>
      <c r="BK31" t="s">
        <v>219</v>
      </c>
      <c r="BL31" t="s">
        <v>1728</v>
      </c>
      <c r="BM31" t="s">
        <v>834</v>
      </c>
      <c r="BN31">
        <v>4.78</v>
      </c>
      <c r="BO31">
        <v>11.08</v>
      </c>
      <c r="BP31">
        <v>10.97</v>
      </c>
      <c r="BQ31">
        <v>6.4</v>
      </c>
      <c r="BR31">
        <v>12.89</v>
      </c>
      <c r="BS31">
        <v>10.92</v>
      </c>
      <c r="BT31" t="s">
        <v>797</v>
      </c>
      <c r="BU31" t="s">
        <v>655</v>
      </c>
      <c r="BV31">
        <v>22.1</v>
      </c>
      <c r="BW31">
        <v>21.17</v>
      </c>
      <c r="BX31">
        <v>22.19</v>
      </c>
      <c r="BY31">
        <v>11.12</v>
      </c>
      <c r="BZ31">
        <v>15.84</v>
      </c>
      <c r="CA31">
        <v>11.53</v>
      </c>
      <c r="CB31">
        <v>0.16</v>
      </c>
      <c r="CC31">
        <v>-6.28</v>
      </c>
      <c r="CD31" t="s">
        <v>1729</v>
      </c>
      <c r="CE31" t="s">
        <v>1730</v>
      </c>
      <c r="CF31" s="8">
        <v>-3.614457831325301E-2</v>
      </c>
      <c r="CG31" s="9">
        <v>1.0556134464273172</v>
      </c>
      <c r="CH31" s="8">
        <v>-2.6557711884379387E-2</v>
      </c>
      <c r="CI31" s="8">
        <v>4.9303323030471802E-2</v>
      </c>
      <c r="CJ31" s="8">
        <v>4.7138046473264694E-2</v>
      </c>
      <c r="CK31" s="8">
        <v>-0.11077844351530075</v>
      </c>
      <c r="CL31" s="8">
        <v>-2.1484375E-2</v>
      </c>
      <c r="CM31" s="9">
        <v>-0.31612902879714966</v>
      </c>
      <c r="CN31" s="9">
        <v>0.43518519401550293</v>
      </c>
      <c r="CO31" s="9">
        <v>-0.1147540956735611</v>
      </c>
      <c r="CP31" s="9">
        <v>0.19607843458652496</v>
      </c>
      <c r="CQ31" s="9">
        <v>0.62091809511184692</v>
      </c>
      <c r="CR31">
        <v>16.109590193913256</v>
      </c>
      <c r="CS31">
        <v>12.912637780416842</v>
      </c>
      <c r="CT31">
        <v>3.2706459525756335</v>
      </c>
      <c r="CU31" s="8">
        <v>-1.2475832179188729E-2</v>
      </c>
      <c r="CV31" s="9">
        <v>0.1642597198486328</v>
      </c>
      <c r="CW31">
        <v>0.06</v>
      </c>
      <c r="CX31">
        <v>11.510566037735849</v>
      </c>
      <c r="CY31" t="s">
        <v>1731</v>
      </c>
      <c r="CZ31">
        <v>-1.2475832179188729E-2</v>
      </c>
      <c r="DA31">
        <v>3.8368553459119497</v>
      </c>
      <c r="DB31" t="s">
        <v>1732</v>
      </c>
      <c r="DC31">
        <v>-1.1852040570229292E-2</v>
      </c>
      <c r="DD31">
        <v>1.9184276729559748</v>
      </c>
      <c r="DE31" t="s">
        <v>1733</v>
      </c>
      <c r="DF31">
        <v>-1.0978732317686082E-2</v>
      </c>
      <c r="DG31">
        <v>1.151056603773585</v>
      </c>
      <c r="DH31" t="s">
        <v>1734</v>
      </c>
      <c r="DI31">
        <v>-9.9806657433509846E-3</v>
      </c>
      <c r="DJ31">
        <v>0.57552830188679249</v>
      </c>
      <c r="DK31" t="s">
        <v>1735</v>
      </c>
      <c r="DL31">
        <v>-8.7330825254321089E-3</v>
      </c>
      <c r="DM31">
        <v>106000000</v>
      </c>
      <c r="DN31">
        <v>-1.2475832179188729E-2</v>
      </c>
      <c r="DO31">
        <v>1220120000</v>
      </c>
      <c r="DP31">
        <v>352816690</v>
      </c>
      <c r="DQ31">
        <v>1495</v>
      </c>
      <c r="DR31">
        <v>-2.3668746134064281E-2</v>
      </c>
      <c r="DS31">
        <v>0.89135372657868439</v>
      </c>
      <c r="DT31" s="10">
        <v>-0.44</v>
      </c>
      <c r="DU31">
        <v>0.51999999999999991</v>
      </c>
      <c r="DV31">
        <v>7.9999999999999905E-2</v>
      </c>
      <c r="DW31">
        <v>-2.0628000000000002</v>
      </c>
      <c r="DX31">
        <v>0.27969591328477794</v>
      </c>
      <c r="DY31">
        <v>-2.0068889033542838</v>
      </c>
      <c r="DZ31">
        <v>1519</v>
      </c>
      <c r="EA31">
        <v>-2.0048411060558187</v>
      </c>
      <c r="EB31">
        <v>2</v>
      </c>
      <c r="EC31">
        <v>3.1597222222222221E-2</v>
      </c>
      <c r="ED31">
        <v>0.28804374999999999</v>
      </c>
      <c r="EE31" s="13">
        <v>-5.0030099999999997</v>
      </c>
      <c r="EF31">
        <v>-5.0096100000000003</v>
      </c>
      <c r="EG31">
        <v>17.109695913284778</v>
      </c>
      <c r="EH31" t="s">
        <v>913</v>
      </c>
      <c r="EI31">
        <v>0</v>
      </c>
      <c r="EJ31">
        <v>0</v>
      </c>
      <c r="EK31" s="12">
        <v>45470</v>
      </c>
      <c r="EL31" s="14">
        <v>0.56999999999999995</v>
      </c>
      <c r="EM31" s="14">
        <v>-4.3600000000000003</v>
      </c>
      <c r="EN31" s="14">
        <v>2.2000000000000002</v>
      </c>
      <c r="EO31" s="14">
        <v>0.83</v>
      </c>
      <c r="EP31" s="14">
        <v>-0.66</v>
      </c>
    </row>
    <row r="32" spans="1:146" ht="96" x14ac:dyDescent="0.25">
      <c r="C32" s="5" t="str">
        <f>""&amp;CHAR(10)&amp;Basic_Fundamental_Information_Constructure(F32)&amp;CHAR(10)&amp;Basic_Fundamental_Information_Concatenate("")</f>
        <v xml:space="preserve">
市值43.036296亿, 利润7179.79万; PE34.55; 平均PE-174.66; 平均PEG-63.57, PB2.07; ROIC1.86%; ROE2.6867%; 股利率.4928%; 毛利46.77%; 净利4.0433%; 上一年度营收增22.12%, 利润增2.72%; 当季营收增57.2%, 利润增286.55%; 过往5年营收增-2.75%, 利润增-6.08%
Income profile:
</v>
      </c>
      <c r="D32" t="s">
        <v>172</v>
      </c>
      <c r="E32" t="s">
        <v>38</v>
      </c>
      <c r="F32">
        <v>4.87</v>
      </c>
      <c r="G32">
        <v>0.62</v>
      </c>
      <c r="H32" t="s">
        <v>1736</v>
      </c>
      <c r="I32">
        <v>4303629600</v>
      </c>
      <c r="J32">
        <v>34.549999999999997</v>
      </c>
      <c r="K32">
        <v>2.0699999999999998</v>
      </c>
      <c r="L32" t="s">
        <v>53</v>
      </c>
      <c r="M32" t="s">
        <v>1737</v>
      </c>
      <c r="N32" t="s">
        <v>1738</v>
      </c>
      <c r="O32" t="s">
        <v>235</v>
      </c>
      <c r="P32">
        <v>57.7</v>
      </c>
      <c r="Q32" t="s">
        <v>1739</v>
      </c>
      <c r="R32">
        <v>71177670</v>
      </c>
      <c r="S32" s="3">
        <v>2.8660000000000001</v>
      </c>
      <c r="T32" t="s">
        <v>1740</v>
      </c>
      <c r="U32">
        <v>883702190</v>
      </c>
      <c r="V32">
        <v>883702190</v>
      </c>
      <c r="W32">
        <v>1.33</v>
      </c>
      <c r="X32">
        <v>0.14000000000000001</v>
      </c>
      <c r="Y32">
        <v>17.53</v>
      </c>
      <c r="Z32" t="s">
        <v>1741</v>
      </c>
      <c r="AA32" t="s">
        <v>1742</v>
      </c>
      <c r="AB32" t="s">
        <v>1743</v>
      </c>
      <c r="AC32" t="s">
        <v>1744</v>
      </c>
      <c r="AD32" t="s">
        <v>54</v>
      </c>
      <c r="AE32">
        <v>-12279025</v>
      </c>
      <c r="AF32" t="s">
        <v>1745</v>
      </c>
      <c r="AG32" t="s">
        <v>1746</v>
      </c>
      <c r="AH32" t="s">
        <v>1747</v>
      </c>
      <c r="AI32" t="s">
        <v>1748</v>
      </c>
      <c r="AJ32" t="s">
        <v>1749</v>
      </c>
      <c r="AK32" t="s">
        <v>1750</v>
      </c>
      <c r="AL32" t="s">
        <v>1751</v>
      </c>
      <c r="AM32" t="s">
        <v>54</v>
      </c>
      <c r="AN32">
        <v>0</v>
      </c>
      <c r="AO32" t="s">
        <v>1752</v>
      </c>
      <c r="AP32" t="s">
        <v>1753</v>
      </c>
      <c r="AQ32" t="s">
        <v>686</v>
      </c>
      <c r="AR32" t="s">
        <v>54</v>
      </c>
      <c r="AS32" t="s">
        <v>885</v>
      </c>
      <c r="AT32" t="s">
        <v>182</v>
      </c>
      <c r="AU32" t="s">
        <v>1754</v>
      </c>
      <c r="AV32" t="s">
        <v>262</v>
      </c>
      <c r="AW32" t="s">
        <v>1755</v>
      </c>
      <c r="AX32" t="s">
        <v>836</v>
      </c>
      <c r="AY32" t="s">
        <v>590</v>
      </c>
      <c r="AZ32" t="s">
        <v>376</v>
      </c>
      <c r="BA32" t="s">
        <v>173</v>
      </c>
      <c r="BB32" t="s">
        <v>378</v>
      </c>
      <c r="BC32" t="s">
        <v>1756</v>
      </c>
      <c r="BD32" t="s">
        <v>591</v>
      </c>
      <c r="BE32" t="s">
        <v>377</v>
      </c>
      <c r="BF32" t="s">
        <v>123</v>
      </c>
      <c r="BG32" t="s">
        <v>379</v>
      </c>
      <c r="BH32" t="s">
        <v>1739</v>
      </c>
      <c r="BI32" t="s">
        <v>686</v>
      </c>
      <c r="BJ32" t="s">
        <v>836</v>
      </c>
      <c r="BK32" t="s">
        <v>1740</v>
      </c>
      <c r="BL32" t="s">
        <v>1757</v>
      </c>
      <c r="BM32" t="s">
        <v>1756</v>
      </c>
      <c r="BN32">
        <v>1.05</v>
      </c>
      <c r="BO32">
        <v>2.21</v>
      </c>
      <c r="BP32">
        <v>2.3199999999999998</v>
      </c>
      <c r="BQ32">
        <v>2.2000000000000002</v>
      </c>
      <c r="BR32">
        <v>3.31</v>
      </c>
      <c r="BS32">
        <v>2.5499999999999998</v>
      </c>
      <c r="BT32" t="s">
        <v>1758</v>
      </c>
      <c r="BU32" t="s">
        <v>646</v>
      </c>
      <c r="BV32">
        <v>48.23</v>
      </c>
      <c r="BW32">
        <v>51.69</v>
      </c>
      <c r="BX32">
        <v>40.39</v>
      </c>
      <c r="BY32">
        <v>3.08</v>
      </c>
      <c r="BZ32">
        <v>4.72</v>
      </c>
      <c r="CA32">
        <v>4.33</v>
      </c>
      <c r="CB32">
        <v>-2.33</v>
      </c>
      <c r="CC32">
        <v>-18.23</v>
      </c>
      <c r="CD32" t="s">
        <v>1759</v>
      </c>
      <c r="CE32" t="s">
        <v>228</v>
      </c>
      <c r="CF32" s="8">
        <v>0.57201646090534963</v>
      </c>
      <c r="CG32" s="9">
        <v>2.8655365114536151</v>
      </c>
      <c r="CH32" s="8">
        <v>0.22124668955802917</v>
      </c>
      <c r="CI32" s="8">
        <v>-8.3668537437915802E-2</v>
      </c>
      <c r="CJ32" s="8">
        <v>0.36293867230415344</v>
      </c>
      <c r="CK32" s="8">
        <v>-0.39642623066902161</v>
      </c>
      <c r="CL32" s="8">
        <v>-0.24146583676338196</v>
      </c>
      <c r="CM32" s="9">
        <v>2.7242816984653473E-2</v>
      </c>
      <c r="CN32" s="9">
        <v>0.28327447175979614</v>
      </c>
      <c r="CO32" s="9">
        <v>1.1980553865432739</v>
      </c>
      <c r="CP32" s="9">
        <v>-3.4336283206939697</v>
      </c>
      <c r="CQ32" s="9">
        <v>1.6208791732788086</v>
      </c>
      <c r="CR32">
        <v>-174.65662990021178</v>
      </c>
      <c r="CS32">
        <v>-63.569179597326297</v>
      </c>
      <c r="CT32">
        <v>0.49281314168377821</v>
      </c>
      <c r="CU32" s="8">
        <v>-2.7475048601627351E-2</v>
      </c>
      <c r="CV32" s="9">
        <v>-6.0835294425487518E-2</v>
      </c>
      <c r="CW32">
        <v>0.06</v>
      </c>
      <c r="CX32">
        <v>39.299611827086864</v>
      </c>
      <c r="CY32" t="s">
        <v>1760</v>
      </c>
      <c r="CZ32">
        <v>-2.7475048601627351E-2</v>
      </c>
      <c r="DA32">
        <v>13.099870609028955</v>
      </c>
      <c r="DB32" t="s">
        <v>1761</v>
      </c>
      <c r="DC32">
        <v>-2.6101296171545982E-2</v>
      </c>
      <c r="DD32">
        <v>6.5499353045144773</v>
      </c>
      <c r="DE32" t="s">
        <v>1762</v>
      </c>
      <c r="DF32">
        <v>-2.4178042769432067E-2</v>
      </c>
      <c r="DG32">
        <v>3.9299611827086864</v>
      </c>
      <c r="DH32" t="s">
        <v>1763</v>
      </c>
      <c r="DI32">
        <v>-2.1980038881301883E-2</v>
      </c>
      <c r="DJ32">
        <v>1.9649805913543432</v>
      </c>
      <c r="DK32" t="s">
        <v>1764</v>
      </c>
      <c r="DL32">
        <v>-1.9232534021139145E-2</v>
      </c>
      <c r="DM32">
        <v>71797900</v>
      </c>
      <c r="DN32">
        <v>-2.7475048601627351E-2</v>
      </c>
      <c r="DO32">
        <v>2821629600</v>
      </c>
      <c r="DP32">
        <v>1438142800</v>
      </c>
      <c r="DQ32">
        <v>1503</v>
      </c>
      <c r="DR32">
        <v>0.59949150950697694</v>
      </c>
      <c r="DS32">
        <v>2.9263718058791026</v>
      </c>
      <c r="DT32" s="10">
        <v>-0.35666666666666663</v>
      </c>
      <c r="DU32">
        <v>0.56666666666666665</v>
      </c>
      <c r="DV32">
        <v>0.21000000000000002</v>
      </c>
      <c r="DW32">
        <v>-3.0252202380952382</v>
      </c>
      <c r="DX32">
        <v>0.36506810035842219</v>
      </c>
      <c r="DY32">
        <v>-3.0036586520310635</v>
      </c>
      <c r="DZ32">
        <v>1242</v>
      </c>
      <c r="EA32">
        <v>-3.0027694062732198</v>
      </c>
      <c r="EB32">
        <v>3</v>
      </c>
      <c r="EC32">
        <v>4.5800497563551361E-2</v>
      </c>
      <c r="ED32">
        <v>0.31571722143180386</v>
      </c>
      <c r="EE32" s="13">
        <v>-3.0071099999999999</v>
      </c>
      <c r="EF32">
        <v>-3.0390100000000002</v>
      </c>
      <c r="EG32">
        <v>22.145068100358422</v>
      </c>
      <c r="EH32" t="s">
        <v>929</v>
      </c>
      <c r="EI32">
        <v>0</v>
      </c>
      <c r="EJ32">
        <v>1</v>
      </c>
      <c r="EK32" s="12">
        <v>45470</v>
      </c>
      <c r="EL32" s="14">
        <v>1.73</v>
      </c>
      <c r="EM32" s="14">
        <v>-4.72</v>
      </c>
      <c r="EN32" s="14">
        <v>1.98</v>
      </c>
      <c r="EO32" s="14">
        <v>3.5</v>
      </c>
      <c r="EP32" s="14">
        <v>-3.19</v>
      </c>
    </row>
    <row r="33" spans="1:146" ht="96" x14ac:dyDescent="0.25">
      <c r="C33" s="5" t="str">
        <f>""&amp;CHAR(10)&amp;Basic_Fundamental_Information_Constructure(F33)&amp;CHAR(10)&amp;Basic_Fundamental_Information_Concatenate("")</f>
        <v xml:space="preserve">
市值12.8192914亿, 利润-7155.28万; PE; 平均PE-15.42; 平均PEG-4.48, PB2.65; ROIC1.76%; ROE-22.3933%; 股利率0%; 毛利15.44%; 净利-32.2633%; 上一年度营收增29.83%, 利润增66.41%; 当季营收增46.69%, 利润增31.87%; 过往5年营收增3.45%, 利润增-145.45%
Income profile:
</v>
      </c>
      <c r="D33" t="s">
        <v>191</v>
      </c>
      <c r="E33" t="s">
        <v>14</v>
      </c>
      <c r="F33">
        <v>3.16</v>
      </c>
      <c r="G33">
        <v>2.6</v>
      </c>
      <c r="H33" t="s">
        <v>1765</v>
      </c>
      <c r="I33">
        <v>1281929140</v>
      </c>
      <c r="K33">
        <v>2.65</v>
      </c>
      <c r="L33" t="s">
        <v>53</v>
      </c>
      <c r="M33" t="s">
        <v>931</v>
      </c>
      <c r="N33" t="s">
        <v>311</v>
      </c>
      <c r="O33" t="s">
        <v>251</v>
      </c>
      <c r="P33">
        <v>46.6</v>
      </c>
      <c r="Q33" t="s">
        <v>1766</v>
      </c>
      <c r="R33">
        <v>-6055994</v>
      </c>
      <c r="S33" s="3">
        <v>0.31869999999999998</v>
      </c>
      <c r="T33" t="s">
        <v>1767</v>
      </c>
      <c r="U33">
        <v>332409650</v>
      </c>
      <c r="V33">
        <v>405673780</v>
      </c>
      <c r="W33">
        <v>2.0099999999999998</v>
      </c>
      <c r="X33">
        <v>0.12</v>
      </c>
      <c r="Y33">
        <v>-4.4800000000000004</v>
      </c>
      <c r="Z33" t="s">
        <v>246</v>
      </c>
      <c r="AA33" t="s">
        <v>826</v>
      </c>
      <c r="AB33" t="s">
        <v>1768</v>
      </c>
      <c r="AC33" t="s">
        <v>1769</v>
      </c>
      <c r="AD33" t="s">
        <v>54</v>
      </c>
      <c r="AE33">
        <v>3239245</v>
      </c>
      <c r="AF33" t="s">
        <v>97</v>
      </c>
      <c r="AG33">
        <v>5172.75</v>
      </c>
      <c r="AH33" t="s">
        <v>1770</v>
      </c>
      <c r="AI33" t="s">
        <v>123</v>
      </c>
      <c r="AJ33" t="s">
        <v>1771</v>
      </c>
      <c r="AK33" t="s">
        <v>54</v>
      </c>
      <c r="AL33" t="s">
        <v>1772</v>
      </c>
      <c r="AM33" t="s">
        <v>54</v>
      </c>
      <c r="AN33">
        <v>0</v>
      </c>
      <c r="AO33" t="s">
        <v>241</v>
      </c>
      <c r="AP33" t="s">
        <v>54</v>
      </c>
      <c r="AQ33" t="s">
        <v>224</v>
      </c>
      <c r="AR33" t="s">
        <v>54</v>
      </c>
      <c r="AS33" t="s">
        <v>972</v>
      </c>
      <c r="AT33" t="s">
        <v>54</v>
      </c>
      <c r="AU33" t="s">
        <v>1773</v>
      </c>
      <c r="AV33" t="s">
        <v>1774</v>
      </c>
      <c r="AW33" t="s">
        <v>1775</v>
      </c>
      <c r="AX33" t="s">
        <v>838</v>
      </c>
      <c r="AY33" t="s">
        <v>400</v>
      </c>
      <c r="AZ33" t="s">
        <v>323</v>
      </c>
      <c r="BA33" t="s">
        <v>192</v>
      </c>
      <c r="BB33" t="s">
        <v>383</v>
      </c>
      <c r="BC33" t="s">
        <v>839</v>
      </c>
      <c r="BD33" t="s">
        <v>432</v>
      </c>
      <c r="BE33" t="s">
        <v>381</v>
      </c>
      <c r="BF33" t="s">
        <v>193</v>
      </c>
      <c r="BG33" t="s">
        <v>384</v>
      </c>
      <c r="BH33" t="s">
        <v>1766</v>
      </c>
      <c r="BI33" t="s">
        <v>1776</v>
      </c>
      <c r="BJ33" t="s">
        <v>838</v>
      </c>
      <c r="BK33" t="s">
        <v>1767</v>
      </c>
      <c r="BL33" t="s">
        <v>1777</v>
      </c>
      <c r="BM33" t="s">
        <v>839</v>
      </c>
      <c r="BN33">
        <v>1.76</v>
      </c>
      <c r="BO33" t="s">
        <v>54</v>
      </c>
      <c r="BP33" t="s">
        <v>54</v>
      </c>
      <c r="BQ33">
        <v>1.1399999999999999</v>
      </c>
      <c r="BR33">
        <v>-37.450000000000003</v>
      </c>
      <c r="BS33">
        <v>-30.87</v>
      </c>
      <c r="BT33" t="s">
        <v>700</v>
      </c>
      <c r="BU33" t="s">
        <v>659</v>
      </c>
      <c r="BV33">
        <v>18.12</v>
      </c>
      <c r="BW33">
        <v>13.61</v>
      </c>
      <c r="BX33">
        <v>14.59</v>
      </c>
      <c r="BY33">
        <v>-12.29</v>
      </c>
      <c r="BZ33">
        <v>-45.61</v>
      </c>
      <c r="CA33">
        <v>-38.89</v>
      </c>
      <c r="CB33">
        <v>1.28</v>
      </c>
      <c r="CC33">
        <v>-17.059999999999999</v>
      </c>
      <c r="CD33" t="s">
        <v>1778</v>
      </c>
      <c r="CE33" t="s">
        <v>357</v>
      </c>
      <c r="CF33" s="8">
        <v>0.4668882254642408</v>
      </c>
      <c r="CG33" s="9">
        <v>0.3187398474587711</v>
      </c>
      <c r="CH33" s="8">
        <v>0.29831933975219727</v>
      </c>
      <c r="CI33" s="8">
        <v>0.40412980318069458</v>
      </c>
      <c r="CJ33" s="8">
        <v>-1.4534884132444859E-2</v>
      </c>
      <c r="CK33" s="8">
        <v>-0.49112427234649658</v>
      </c>
      <c r="CL33" s="8">
        <v>-2.4531025439500809E-2</v>
      </c>
      <c r="CM33" s="9">
        <v>0.66407138109207153</v>
      </c>
      <c r="CN33" s="9">
        <v>-0.62595421075820923</v>
      </c>
      <c r="CO33" s="9">
        <v>9.6551723778247833E-2</v>
      </c>
      <c r="CP33" s="9">
        <v>-7.041968822479248</v>
      </c>
      <c r="CQ33" s="9">
        <v>-0.36506575345993042</v>
      </c>
      <c r="CR33">
        <v>-15.421496773877925</v>
      </c>
      <c r="CS33">
        <v>-4.4762538572911517</v>
      </c>
      <c r="CT33">
        <v>0</v>
      </c>
      <c r="CU33" s="8">
        <v>3.4451792202889922E-2</v>
      </c>
      <c r="CV33" s="9">
        <v>-1.4544731363654138</v>
      </c>
      <c r="CW33">
        <v>0.06</v>
      </c>
      <c r="CX33" t="e">
        <v>#VALUE!</v>
      </c>
      <c r="CY33" t="s">
        <v>652</v>
      </c>
      <c r="CZ33">
        <v>3.4451792202889922E-2</v>
      </c>
      <c r="DA33" t="e">
        <v>#VALUE!</v>
      </c>
      <c r="DB33" t="s">
        <v>653</v>
      </c>
      <c r="DC33">
        <v>3.2729202592745421E-2</v>
      </c>
      <c r="DD33" t="e">
        <v>#VALUE!</v>
      </c>
      <c r="DE33" t="s">
        <v>653</v>
      </c>
      <c r="DF33">
        <v>3.031757713854313E-2</v>
      </c>
      <c r="DG33" t="e">
        <v>#VALUE!</v>
      </c>
      <c r="DH33" t="s">
        <v>653</v>
      </c>
      <c r="DI33">
        <v>2.7561433762311939E-2</v>
      </c>
      <c r="DJ33" t="e">
        <v>#VALUE!</v>
      </c>
      <c r="DK33" t="s">
        <v>653</v>
      </c>
      <c r="DL33">
        <v>2.4116254542022944E-2</v>
      </c>
      <c r="DM33">
        <v>-71552800</v>
      </c>
      <c r="DN33">
        <v>3.4451792202889922E-2</v>
      </c>
      <c r="DO33">
        <v>1278929140</v>
      </c>
      <c r="DP33">
        <v>202974810</v>
      </c>
      <c r="DQ33">
        <v>2058</v>
      </c>
      <c r="DR33">
        <v>0.43243643326135089</v>
      </c>
      <c r="DS33">
        <v>1.7732129838241848</v>
      </c>
      <c r="DT33" s="10">
        <v>-0.24</v>
      </c>
      <c r="DU33">
        <v>-1.9850000000000001</v>
      </c>
      <c r="DV33">
        <v>-2.2250000000000001</v>
      </c>
      <c r="DW33">
        <v>-3.0119880952380953</v>
      </c>
      <c r="DX33">
        <v>0.37019888888888858</v>
      </c>
      <c r="DY33">
        <v>-3.0021602414417989</v>
      </c>
      <c r="DZ33">
        <v>4544</v>
      </c>
      <c r="EA33">
        <v>-3.0002392752751583</v>
      </c>
      <c r="EB33">
        <v>3</v>
      </c>
      <c r="EC33">
        <v>7.9955376953373722E-2</v>
      </c>
      <c r="ED33">
        <v>0.44370627059012785</v>
      </c>
      <c r="EE33" s="13">
        <v>1.0949</v>
      </c>
      <c r="EF33">
        <v>1.0761000000000001</v>
      </c>
      <c r="EG33">
        <v>19.180198888888889</v>
      </c>
      <c r="EH33" t="s">
        <v>663</v>
      </c>
      <c r="EI33">
        <v>0</v>
      </c>
      <c r="EJ33">
        <v>0</v>
      </c>
      <c r="EK33" s="12">
        <v>45470</v>
      </c>
      <c r="EL33" s="14">
        <v>-0.31</v>
      </c>
      <c r="EM33" s="14">
        <v>-4.3899999999999997</v>
      </c>
      <c r="EN33" s="14">
        <v>1.31</v>
      </c>
      <c r="EO33" s="14">
        <v>3.56</v>
      </c>
      <c r="EP33" s="14">
        <v>-1.88</v>
      </c>
    </row>
    <row r="34" spans="1:146" ht="96" x14ac:dyDescent="0.25">
      <c r="C34" s="5" t="str">
        <f>""&amp;CHAR(10)&amp;Basic_Fundamental_Information_Constructure(F34)&amp;CHAR(10)&amp;Basic_Fundamental_Information_Concatenate("")</f>
        <v xml:space="preserve">
市值21.096亿, 利润5.09亿; PE10.72; 平均PE15.15; 平均PEG.47, PB1.62; ROIC6.4867%; ROE7.62%; 股利率.5688%; 毛利39.4367%; 净利12.8167%; 上一年度营收增156.01%, 利润增496.53%; 当季营收增-39.57%, 利润增8.83%; 过往5年营收增32.43%, 利润增108.35%
Income profile:
</v>
      </c>
      <c r="D34" t="s">
        <v>60</v>
      </c>
      <c r="E34" t="s">
        <v>61</v>
      </c>
      <c r="F34">
        <v>8.7899999999999991</v>
      </c>
      <c r="G34">
        <v>1.1499999999999999</v>
      </c>
      <c r="H34" t="s">
        <v>1779</v>
      </c>
      <c r="I34">
        <v>2109600000</v>
      </c>
      <c r="J34">
        <v>10.72</v>
      </c>
      <c r="K34">
        <v>1.62</v>
      </c>
      <c r="L34" t="s">
        <v>53</v>
      </c>
      <c r="M34" t="s">
        <v>1780</v>
      </c>
      <c r="N34" t="s">
        <v>1781</v>
      </c>
      <c r="O34" t="s">
        <v>701</v>
      </c>
      <c r="P34">
        <v>1.8</v>
      </c>
      <c r="Q34" t="s">
        <v>455</v>
      </c>
      <c r="R34">
        <v>114271230</v>
      </c>
      <c r="S34" s="3">
        <v>2.9159999999999999</v>
      </c>
      <c r="T34" t="s">
        <v>952</v>
      </c>
      <c r="U34">
        <v>177085140</v>
      </c>
      <c r="V34">
        <v>240000000</v>
      </c>
      <c r="W34">
        <v>1.38</v>
      </c>
      <c r="X34">
        <v>0.1</v>
      </c>
      <c r="Y34">
        <v>67.599999999999994</v>
      </c>
      <c r="Z34" t="s">
        <v>428</v>
      </c>
      <c r="AA34" t="s">
        <v>245</v>
      </c>
      <c r="AB34" t="s">
        <v>1782</v>
      </c>
      <c r="AC34" t="s">
        <v>1783</v>
      </c>
      <c r="AD34" t="s">
        <v>54</v>
      </c>
      <c r="AE34">
        <v>-877651</v>
      </c>
      <c r="AF34" t="s">
        <v>1784</v>
      </c>
      <c r="AG34" t="s">
        <v>1785</v>
      </c>
      <c r="AH34" t="s">
        <v>1786</v>
      </c>
      <c r="AI34" t="s">
        <v>298</v>
      </c>
      <c r="AJ34" t="s">
        <v>1787</v>
      </c>
      <c r="AK34" t="s">
        <v>1788</v>
      </c>
      <c r="AL34" t="s">
        <v>1789</v>
      </c>
      <c r="AM34" t="s">
        <v>54</v>
      </c>
      <c r="AN34" t="s">
        <v>1790</v>
      </c>
      <c r="AO34" t="s">
        <v>894</v>
      </c>
      <c r="AP34" t="s">
        <v>1791</v>
      </c>
      <c r="AQ34" t="s">
        <v>1792</v>
      </c>
      <c r="AR34" t="s">
        <v>1793</v>
      </c>
      <c r="AS34" t="s">
        <v>347</v>
      </c>
      <c r="AT34" t="s">
        <v>54</v>
      </c>
      <c r="AU34" t="s">
        <v>1794</v>
      </c>
      <c r="AV34" t="s">
        <v>1795</v>
      </c>
      <c r="AW34" t="s">
        <v>1796</v>
      </c>
      <c r="AX34" t="s">
        <v>679</v>
      </c>
      <c r="AY34" t="s">
        <v>592</v>
      </c>
      <c r="AZ34" t="s">
        <v>327</v>
      </c>
      <c r="BA34" t="s">
        <v>62</v>
      </c>
      <c r="BB34" t="s">
        <v>386</v>
      </c>
      <c r="BC34" t="s">
        <v>840</v>
      </c>
      <c r="BD34" t="s">
        <v>593</v>
      </c>
      <c r="BE34" t="s">
        <v>385</v>
      </c>
      <c r="BF34" t="s">
        <v>63</v>
      </c>
      <c r="BG34" t="s">
        <v>388</v>
      </c>
      <c r="BH34" t="s">
        <v>1797</v>
      </c>
      <c r="BI34" t="s">
        <v>704</v>
      </c>
      <c r="BJ34" t="s">
        <v>679</v>
      </c>
      <c r="BK34" t="s">
        <v>694</v>
      </c>
      <c r="BL34" t="s">
        <v>1423</v>
      </c>
      <c r="BM34" t="s">
        <v>840</v>
      </c>
      <c r="BN34">
        <v>6.5</v>
      </c>
      <c r="BO34">
        <v>7.14</v>
      </c>
      <c r="BP34">
        <v>5.82</v>
      </c>
      <c r="BQ34">
        <v>8.3800000000000008</v>
      </c>
      <c r="BR34">
        <v>8.18</v>
      </c>
      <c r="BS34">
        <v>6.3</v>
      </c>
      <c r="BT34" t="s">
        <v>702</v>
      </c>
      <c r="BU34" t="s">
        <v>646</v>
      </c>
      <c r="BV34">
        <v>41.59</v>
      </c>
      <c r="BW34">
        <v>40.35</v>
      </c>
      <c r="BX34">
        <v>36.369999999999997</v>
      </c>
      <c r="BY34">
        <v>14.37</v>
      </c>
      <c r="BZ34">
        <v>13.73</v>
      </c>
      <c r="CA34">
        <v>10.35</v>
      </c>
      <c r="CB34">
        <v>-4.97</v>
      </c>
      <c r="CC34">
        <v>-29.57</v>
      </c>
      <c r="CD34" t="s">
        <v>1798</v>
      </c>
      <c r="CE34" t="s">
        <v>240</v>
      </c>
      <c r="CF34" s="8">
        <v>-0.39568345323741005</v>
      </c>
      <c r="CG34" s="9">
        <v>8.8297428571428568E-2</v>
      </c>
      <c r="CH34" s="8">
        <v>1.5600647926330566</v>
      </c>
      <c r="CI34" s="8">
        <v>3.8785833865404129E-2</v>
      </c>
      <c r="CJ34" s="8">
        <v>-5.2715655416250229E-2</v>
      </c>
      <c r="CK34" s="8">
        <v>0.17009346187114716</v>
      </c>
      <c r="CL34" s="8">
        <v>-9.4754651188850403E-2</v>
      </c>
      <c r="CM34" s="9">
        <v>4.9652862548828125</v>
      </c>
      <c r="CN34" s="9">
        <v>0.39007541537284851</v>
      </c>
      <c r="CO34" s="9">
        <v>0.28906053304672241</v>
      </c>
      <c r="CP34" s="9">
        <v>-0.30660423636436462</v>
      </c>
      <c r="CQ34" s="9">
        <v>7.9847536981105804E-2</v>
      </c>
      <c r="CR34">
        <v>15.147939417816302</v>
      </c>
      <c r="CS34">
        <v>0.46710405028356772</v>
      </c>
      <c r="CT34">
        <v>0.56882821387940852</v>
      </c>
      <c r="CU34" s="8">
        <v>0.32429475635290145</v>
      </c>
      <c r="CV34" s="9">
        <v>1.0835331007838249</v>
      </c>
      <c r="CW34">
        <v>0.06</v>
      </c>
      <c r="CX34">
        <v>2.1411789552632983</v>
      </c>
      <c r="CY34">
        <v>635911349.98455358</v>
      </c>
      <c r="CZ34">
        <v>0.32429475635290145</v>
      </c>
      <c r="DA34">
        <v>0.57699917150765101</v>
      </c>
      <c r="DB34">
        <v>2359795416.0700994</v>
      </c>
      <c r="DC34">
        <v>0.30808001853525635</v>
      </c>
      <c r="DD34">
        <v>0.21521203523424648</v>
      </c>
      <c r="DE34">
        <v>6326783715.9663172</v>
      </c>
      <c r="DF34">
        <v>0.28537938559055326</v>
      </c>
      <c r="DG34">
        <v>9.1955086038581643E-2</v>
      </c>
      <c r="DH34">
        <v>14807228818.520302</v>
      </c>
      <c r="DI34">
        <v>0.25943580508232117</v>
      </c>
      <c r="DJ34">
        <v>2.0621741268242445E-2</v>
      </c>
      <c r="DK34">
        <v>66027401968.080589</v>
      </c>
      <c r="DL34">
        <v>0.227006329447031</v>
      </c>
      <c r="DM34">
        <v>509000000</v>
      </c>
      <c r="DN34">
        <v>0.32429475635290145</v>
      </c>
      <c r="DO34">
        <v>1361600000</v>
      </c>
      <c r="DP34">
        <v>356021010</v>
      </c>
      <c r="DQ34">
        <v>2297</v>
      </c>
      <c r="DR34">
        <v>-0.71997820959031156</v>
      </c>
      <c r="DS34">
        <v>-0.99523567221239639</v>
      </c>
      <c r="DT34" s="10">
        <v>1.0000000000000011E-2</v>
      </c>
      <c r="DU34">
        <v>0.46666666666666662</v>
      </c>
      <c r="DV34">
        <v>0.47666666666666663</v>
      </c>
      <c r="DW34">
        <v>-8.1680757524518093</v>
      </c>
      <c r="DX34">
        <v>0.40756071428571317</v>
      </c>
      <c r="DY34">
        <v>-8.0281628931349349</v>
      </c>
      <c r="DZ34">
        <v>3929</v>
      </c>
      <c r="EA34">
        <v>-8.0065088799985045</v>
      </c>
      <c r="EB34">
        <v>8</v>
      </c>
      <c r="EC34">
        <v>0.13684125</v>
      </c>
      <c r="ED34">
        <v>0.81666666666666665</v>
      </c>
      <c r="EE34" s="13">
        <v>4.9599999999999998E-2</v>
      </c>
      <c r="EF34">
        <v>1.9799999999999998E-2</v>
      </c>
      <c r="EG34">
        <v>24.167560714285713</v>
      </c>
      <c r="EH34" t="s">
        <v>648</v>
      </c>
      <c r="EI34">
        <v>0</v>
      </c>
      <c r="EJ34">
        <v>0</v>
      </c>
      <c r="EK34" s="12">
        <v>45470</v>
      </c>
      <c r="EL34" s="14">
        <v>-1.65</v>
      </c>
      <c r="EM34" s="14">
        <v>-3.92</v>
      </c>
      <c r="EN34" s="14">
        <v>5.63</v>
      </c>
      <c r="EO34" s="14">
        <v>4.96</v>
      </c>
      <c r="EP34" s="14">
        <v>-2.98</v>
      </c>
    </row>
    <row r="35" spans="1:146" ht="96" x14ac:dyDescent="0.25">
      <c r="C35" s="5" t="str">
        <f>""&amp;CHAR(10)&amp;Basic_Fundamental_Information_Constructure(F35)&amp;CHAR(10)&amp;Basic_Fundamental_Information_Concatenate("")</f>
        <v xml:space="preserve">
市值22.032亿, 利润3862.66万; PE189.3; 平均PE27.46; 平均PEG3.25, PB2.15; ROIC4.5933%; ROE5.5633%; 股利率1.634%; 毛利18.3133%; 净利9.4233%; 上一年度营收增-34.79%, 利润增-47.61%; 当季营收增88.74%, 利润增58.3%; 过往5年营收增-8.45%, 利润增-10.4%
Income profile:
</v>
      </c>
      <c r="D35" t="s">
        <v>389</v>
      </c>
      <c r="E35" t="s">
        <v>390</v>
      </c>
      <c r="F35">
        <v>9.18</v>
      </c>
      <c r="G35">
        <v>4.32</v>
      </c>
      <c r="H35" t="s">
        <v>1799</v>
      </c>
      <c r="I35">
        <v>2203200000</v>
      </c>
      <c r="J35">
        <v>189.3</v>
      </c>
      <c r="K35">
        <v>2.15</v>
      </c>
      <c r="L35" t="s">
        <v>53</v>
      </c>
      <c r="M35" t="s">
        <v>1800</v>
      </c>
      <c r="N35" t="s">
        <v>987</v>
      </c>
      <c r="O35" t="s">
        <v>1801</v>
      </c>
      <c r="P35">
        <v>-26.27</v>
      </c>
      <c r="Q35" t="s">
        <v>664</v>
      </c>
      <c r="R35">
        <v>-2396228</v>
      </c>
      <c r="S35" s="3">
        <v>-1.3280000000000001</v>
      </c>
      <c r="T35" t="s">
        <v>1802</v>
      </c>
      <c r="U35">
        <v>240000000</v>
      </c>
      <c r="V35">
        <v>240000000</v>
      </c>
      <c r="W35">
        <v>1.1599999999999999</v>
      </c>
      <c r="X35">
        <v>0.06</v>
      </c>
      <c r="Y35">
        <v>-5.2</v>
      </c>
      <c r="Z35" t="s">
        <v>1803</v>
      </c>
      <c r="AA35" t="s">
        <v>1804</v>
      </c>
      <c r="AB35" t="s">
        <v>1805</v>
      </c>
      <c r="AC35" t="s">
        <v>1806</v>
      </c>
      <c r="AD35" t="s">
        <v>54</v>
      </c>
      <c r="AE35">
        <v>-2351504</v>
      </c>
      <c r="AF35" t="s">
        <v>1807</v>
      </c>
      <c r="AG35">
        <v>7747.6</v>
      </c>
      <c r="AH35" t="s">
        <v>1808</v>
      </c>
      <c r="AI35" t="s">
        <v>405</v>
      </c>
      <c r="AJ35" t="s">
        <v>1809</v>
      </c>
      <c r="AK35" t="s">
        <v>54</v>
      </c>
      <c r="AL35" t="s">
        <v>1810</v>
      </c>
      <c r="AM35" t="s">
        <v>54</v>
      </c>
      <c r="AN35" t="s">
        <v>1811</v>
      </c>
      <c r="AO35" t="s">
        <v>1812</v>
      </c>
      <c r="AP35" t="s">
        <v>1813</v>
      </c>
      <c r="AQ35" t="s">
        <v>1814</v>
      </c>
      <c r="AR35" t="s">
        <v>1815</v>
      </c>
      <c r="AS35" t="s">
        <v>253</v>
      </c>
      <c r="AT35" t="s">
        <v>54</v>
      </c>
      <c r="AU35" t="s">
        <v>1816</v>
      </c>
      <c r="AV35" t="s">
        <v>1817</v>
      </c>
      <c r="AW35" t="s">
        <v>1818</v>
      </c>
      <c r="AX35" t="s">
        <v>475</v>
      </c>
      <c r="AY35" t="s">
        <v>485</v>
      </c>
      <c r="AZ35" t="s">
        <v>255</v>
      </c>
      <c r="BA35" t="s">
        <v>137</v>
      </c>
      <c r="BB35" t="s">
        <v>391</v>
      </c>
      <c r="BC35" t="s">
        <v>1819</v>
      </c>
      <c r="BD35" t="s">
        <v>594</v>
      </c>
      <c r="BE35" t="s">
        <v>124</v>
      </c>
      <c r="BF35" t="s">
        <v>159</v>
      </c>
      <c r="BG35" t="s">
        <v>393</v>
      </c>
      <c r="BH35" t="s">
        <v>680</v>
      </c>
      <c r="BI35" t="s">
        <v>1820</v>
      </c>
      <c r="BJ35" t="s">
        <v>475</v>
      </c>
      <c r="BK35" t="s">
        <v>1821</v>
      </c>
      <c r="BL35" t="s">
        <v>1822</v>
      </c>
      <c r="BM35" t="s">
        <v>1819</v>
      </c>
      <c r="BN35">
        <v>1.18</v>
      </c>
      <c r="BO35">
        <v>5.72</v>
      </c>
      <c r="BP35">
        <v>6.88</v>
      </c>
      <c r="BQ35">
        <v>2.41</v>
      </c>
      <c r="BR35">
        <v>7.08</v>
      </c>
      <c r="BS35">
        <v>7.2</v>
      </c>
      <c r="BT35" t="s">
        <v>705</v>
      </c>
      <c r="BU35" t="s">
        <v>659</v>
      </c>
      <c r="BV35">
        <v>17.420000000000002</v>
      </c>
      <c r="BW35">
        <v>18.579999999999998</v>
      </c>
      <c r="BX35">
        <v>18.940000000000001</v>
      </c>
      <c r="BY35">
        <v>3.32</v>
      </c>
      <c r="BZ35">
        <v>12.8</v>
      </c>
      <c r="CA35">
        <v>12.15</v>
      </c>
      <c r="CB35">
        <v>8.9</v>
      </c>
      <c r="CC35">
        <v>4.91</v>
      </c>
      <c r="CD35" t="s">
        <v>1823</v>
      </c>
      <c r="CE35" t="s">
        <v>860</v>
      </c>
      <c r="CF35" s="8">
        <v>0.88744175081135035</v>
      </c>
      <c r="CG35" s="9">
        <v>0.58300361965752467</v>
      </c>
      <c r="CH35" s="8">
        <v>-0.3479020893573761</v>
      </c>
      <c r="CI35" s="8">
        <v>-1.5490533784031868E-2</v>
      </c>
      <c r="CJ35" s="8">
        <v>-3.0050083994865417E-2</v>
      </c>
      <c r="CK35" s="8">
        <v>-0.12682215869426727</v>
      </c>
      <c r="CL35" s="8">
        <v>9.7599998116493225E-2</v>
      </c>
      <c r="CM35" s="9">
        <v>-0.47605341672897339</v>
      </c>
      <c r="CN35" s="9">
        <v>3.8955327123403549E-2</v>
      </c>
      <c r="CO35" s="9">
        <v>-0.31770962476730347</v>
      </c>
      <c r="CP35" s="9">
        <v>-4.5871559530496597E-2</v>
      </c>
      <c r="CQ35" s="9">
        <v>0.28076323866844177</v>
      </c>
      <c r="CR35">
        <v>27.459184188535119</v>
      </c>
      <c r="CS35">
        <v>3.2483400308436021</v>
      </c>
      <c r="CT35">
        <v>1.6339869281045751</v>
      </c>
      <c r="CU35" s="8">
        <v>-8.4532973542809489E-2</v>
      </c>
      <c r="CV35" s="9">
        <v>-0.10398320704698563</v>
      </c>
      <c r="CW35">
        <v>0.06</v>
      </c>
      <c r="CX35" t="e">
        <v>#VALUE!</v>
      </c>
      <c r="CY35" t="s">
        <v>1824</v>
      </c>
      <c r="CZ35">
        <v>-8.4532973542809489E-2</v>
      </c>
      <c r="DA35">
        <v>12.393877103688478</v>
      </c>
      <c r="DB35" t="s">
        <v>1825</v>
      </c>
      <c r="DC35">
        <v>-8.0306324865669007E-2</v>
      </c>
      <c r="DD35">
        <v>6.196938551844239</v>
      </c>
      <c r="DE35" t="s">
        <v>1826</v>
      </c>
      <c r="DF35">
        <v>-7.4389016717672354E-2</v>
      </c>
      <c r="DG35">
        <v>3.7181631311065431</v>
      </c>
      <c r="DH35" t="s">
        <v>1827</v>
      </c>
      <c r="DI35">
        <v>-6.7626378834247589E-2</v>
      </c>
      <c r="DJ35">
        <v>1.8590815655532715</v>
      </c>
      <c r="DK35" t="s">
        <v>1828</v>
      </c>
      <c r="DL35">
        <v>-5.9173081479966638E-2</v>
      </c>
      <c r="DM35">
        <v>38626600</v>
      </c>
      <c r="DN35">
        <v>-8.4532973542809489E-2</v>
      </c>
      <c r="DO35">
        <v>1436200000</v>
      </c>
      <c r="DP35">
        <v>503786310</v>
      </c>
      <c r="DQ35">
        <v>2357</v>
      </c>
      <c r="DR35">
        <v>0.97197472435415988</v>
      </c>
      <c r="DS35">
        <v>0.68698682670451028</v>
      </c>
      <c r="DT35" s="10">
        <v>-0.60666666666666669</v>
      </c>
      <c r="DU35">
        <v>-0.65833333333333333</v>
      </c>
      <c r="DV35">
        <v>-1.2650000000000001</v>
      </c>
      <c r="DW35">
        <v>5.5516853932584267</v>
      </c>
      <c r="DX35">
        <v>0.53034372093023052</v>
      </c>
      <c r="DY35">
        <v>5.0829424348053305</v>
      </c>
      <c r="DZ35">
        <v>996</v>
      </c>
      <c r="EA35">
        <v>5.0667759641466006</v>
      </c>
      <c r="EB35">
        <v>5</v>
      </c>
      <c r="EC35">
        <v>0.13468291666666668</v>
      </c>
      <c r="ED35">
        <v>0.89583333333333337</v>
      </c>
      <c r="EE35" s="13">
        <v>6.0167000000000002</v>
      </c>
      <c r="EF35">
        <v>6.0228099999999998</v>
      </c>
      <c r="EG35">
        <v>38.150343720930231</v>
      </c>
      <c r="EH35" t="s">
        <v>974</v>
      </c>
      <c r="EI35">
        <v>1</v>
      </c>
      <c r="EJ35">
        <v>1</v>
      </c>
      <c r="EK35" s="12">
        <v>45470</v>
      </c>
      <c r="EL35" s="14">
        <v>1.62</v>
      </c>
      <c r="EM35" s="14">
        <v>-2.97</v>
      </c>
      <c r="EN35" s="14">
        <v>1.98</v>
      </c>
      <c r="EO35" s="14">
        <v>1.1299999999999999</v>
      </c>
      <c r="EP35" s="14">
        <v>-3.95</v>
      </c>
    </row>
    <row r="36" spans="1:146" ht="96" x14ac:dyDescent="0.25">
      <c r="C36" s="5" t="str">
        <f>""&amp;CHAR(10)&amp;Basic_Fundamental_Information_Constructure(F36)&amp;CHAR(10)&amp;Basic_Fundamental_Information_Concatenate("")</f>
        <v xml:space="preserve">
市值30.567539亿, 利润19.47亿; PE14.73; 平均PE7.01; 平均PEG.02, PB1.59; ROIC7.1233%; ROE8.86%; 股利率2.0259%; 毛利34.1167%; 净利11.43%; 上一年度营收增1997.49%, 利润增941.18%; 当季营收增-95.46%, 利润增-89.15%; 过往5年营收增396.45%, 利润增202.09%
Income profile:
</v>
      </c>
      <c r="D36" t="s">
        <v>394</v>
      </c>
      <c r="E36" t="s">
        <v>395</v>
      </c>
      <c r="F36">
        <v>8.49</v>
      </c>
      <c r="G36">
        <v>-1.1599999999999999</v>
      </c>
      <c r="H36" t="s">
        <v>1829</v>
      </c>
      <c r="I36">
        <v>3056753900</v>
      </c>
      <c r="J36">
        <v>14.73</v>
      </c>
      <c r="K36">
        <v>1.59</v>
      </c>
      <c r="L36" t="s">
        <v>53</v>
      </c>
      <c r="M36" t="s">
        <v>976</v>
      </c>
      <c r="N36" t="s">
        <v>1830</v>
      </c>
      <c r="O36" t="s">
        <v>200</v>
      </c>
      <c r="P36">
        <v>10.35</v>
      </c>
      <c r="Q36" t="s">
        <v>1831</v>
      </c>
      <c r="R36">
        <v>36983919</v>
      </c>
      <c r="S36" s="3">
        <v>0.1537</v>
      </c>
      <c r="T36" t="s">
        <v>1832</v>
      </c>
      <c r="U36">
        <v>360040450</v>
      </c>
      <c r="V36">
        <v>360041690</v>
      </c>
      <c r="W36">
        <v>1.78</v>
      </c>
      <c r="X36">
        <v>0.1</v>
      </c>
      <c r="Y36">
        <v>10.27</v>
      </c>
      <c r="Z36" t="s">
        <v>795</v>
      </c>
      <c r="AA36" t="s">
        <v>918</v>
      </c>
      <c r="AB36" t="s">
        <v>1833</v>
      </c>
      <c r="AC36" t="s">
        <v>1834</v>
      </c>
      <c r="AD36" t="s">
        <v>54</v>
      </c>
      <c r="AE36">
        <v>8392481</v>
      </c>
      <c r="AF36" t="s">
        <v>1835</v>
      </c>
      <c r="AG36" t="s">
        <v>1836</v>
      </c>
      <c r="AH36" t="s">
        <v>1837</v>
      </c>
      <c r="AI36" t="s">
        <v>680</v>
      </c>
      <c r="AJ36" t="s">
        <v>1838</v>
      </c>
      <c r="AK36" t="s">
        <v>54</v>
      </c>
      <c r="AL36" t="s">
        <v>1839</v>
      </c>
      <c r="AM36" t="s">
        <v>54</v>
      </c>
      <c r="AN36" t="s">
        <v>632</v>
      </c>
      <c r="AO36" t="s">
        <v>685</v>
      </c>
      <c r="AP36" t="s">
        <v>1840</v>
      </c>
      <c r="AQ36" t="s">
        <v>1841</v>
      </c>
      <c r="AR36" t="s">
        <v>54</v>
      </c>
      <c r="AS36" t="s">
        <v>930</v>
      </c>
      <c r="AT36" t="s">
        <v>54</v>
      </c>
      <c r="AU36" t="s">
        <v>1842</v>
      </c>
      <c r="AV36" t="s">
        <v>1843</v>
      </c>
      <c r="AW36" t="s">
        <v>1844</v>
      </c>
      <c r="AX36" t="s">
        <v>296</v>
      </c>
      <c r="AY36" t="s">
        <v>595</v>
      </c>
      <c r="AZ36" t="s">
        <v>396</v>
      </c>
      <c r="BA36" t="s">
        <v>398</v>
      </c>
      <c r="BB36" t="s">
        <v>217</v>
      </c>
      <c r="BC36" t="s">
        <v>514</v>
      </c>
      <c r="BD36" t="s">
        <v>469</v>
      </c>
      <c r="BE36" t="s">
        <v>397</v>
      </c>
      <c r="BF36" t="s">
        <v>249</v>
      </c>
      <c r="BG36" t="s">
        <v>351</v>
      </c>
      <c r="BH36" t="s">
        <v>1845</v>
      </c>
      <c r="BI36" t="s">
        <v>1846</v>
      </c>
      <c r="BJ36" t="s">
        <v>296</v>
      </c>
      <c r="BK36" t="s">
        <v>1469</v>
      </c>
      <c r="BL36" t="s">
        <v>1847</v>
      </c>
      <c r="BM36" t="s">
        <v>514</v>
      </c>
      <c r="BN36">
        <v>4.68</v>
      </c>
      <c r="BO36">
        <v>8.7100000000000009</v>
      </c>
      <c r="BP36">
        <v>7.98</v>
      </c>
      <c r="BQ36">
        <v>6.25</v>
      </c>
      <c r="BR36">
        <v>10.79</v>
      </c>
      <c r="BS36">
        <v>9.5399999999999991</v>
      </c>
      <c r="BT36" t="s">
        <v>1848</v>
      </c>
      <c r="BU36" t="s">
        <v>646</v>
      </c>
      <c r="BV36">
        <v>34.65</v>
      </c>
      <c r="BW36">
        <v>33.53</v>
      </c>
      <c r="BX36">
        <v>34.17</v>
      </c>
      <c r="BY36">
        <v>12.65</v>
      </c>
      <c r="BZ36">
        <v>11.43</v>
      </c>
      <c r="CA36">
        <v>10.210000000000001</v>
      </c>
      <c r="CB36">
        <v>-11.01</v>
      </c>
      <c r="CC36">
        <v>-6.68</v>
      </c>
      <c r="CD36" t="s">
        <v>1849</v>
      </c>
      <c r="CE36" t="s">
        <v>961</v>
      </c>
      <c r="CF36" s="8">
        <v>-0.95457421232443374</v>
      </c>
      <c r="CG36" s="9">
        <v>-0.89154275953079176</v>
      </c>
      <c r="CH36" s="8">
        <v>19.974906921386719</v>
      </c>
      <c r="CI36" s="8">
        <v>9.5174260437488556E-2</v>
      </c>
      <c r="CJ36" s="8">
        <v>9.867452085018158E-2</v>
      </c>
      <c r="CK36" s="8">
        <v>-0.23320160806179047</v>
      </c>
      <c r="CL36" s="8">
        <v>-0.11316969245672226</v>
      </c>
      <c r="CM36" s="9">
        <v>9.4117650985717773</v>
      </c>
      <c r="CN36" s="9">
        <v>0.23026315867900848</v>
      </c>
      <c r="CO36" s="9">
        <v>0.73698407411575317</v>
      </c>
      <c r="CP36" s="9">
        <v>-0.28272131085395813</v>
      </c>
      <c r="CQ36" s="9">
        <v>8.2644624635577202E-3</v>
      </c>
      <c r="CR36">
        <v>7.0095422601421431</v>
      </c>
      <c r="CS36">
        <v>1.7680875614993593E-2</v>
      </c>
      <c r="CT36">
        <v>2.0259128386336864</v>
      </c>
      <c r="CU36" s="8">
        <v>3.9644768804311754</v>
      </c>
      <c r="CV36" s="9">
        <v>2.0209110965952277</v>
      </c>
      <c r="CW36">
        <v>0.06</v>
      </c>
      <c r="CX36">
        <v>0.28992618879919263</v>
      </c>
      <c r="CY36">
        <v>9118713666.2259407</v>
      </c>
      <c r="CZ36">
        <v>3.9644768804311754</v>
      </c>
      <c r="DA36">
        <v>1.1743647147549772E-2</v>
      </c>
      <c r="DB36">
        <v>225122048268.59094</v>
      </c>
      <c r="DC36">
        <v>3.7662530364096165</v>
      </c>
      <c r="DD36">
        <v>1.7989917646891632E-4</v>
      </c>
      <c r="DE36">
        <v>14695753209614.043</v>
      </c>
      <c r="DF36">
        <v>3.4887396547794345</v>
      </c>
      <c r="DG36">
        <v>1.1365468155102496E-6</v>
      </c>
      <c r="DH36">
        <v>2326128465560034</v>
      </c>
      <c r="DI36">
        <v>3.1715815043449407</v>
      </c>
      <c r="DJ36">
        <v>9.0611695295075442E-12</v>
      </c>
      <c r="DK36">
        <v>2.9176740280497573E+20</v>
      </c>
      <c r="DL36">
        <v>2.7751338163018224</v>
      </c>
      <c r="DM36">
        <v>1947000000</v>
      </c>
      <c r="DN36">
        <v>3.9644768804311754</v>
      </c>
      <c r="DO36">
        <v>2643753900</v>
      </c>
      <c r="DP36">
        <v>563503000</v>
      </c>
      <c r="DQ36">
        <v>2373</v>
      </c>
      <c r="DR36">
        <v>-4.919051092755609</v>
      </c>
      <c r="DS36">
        <v>-2.9124538561260196</v>
      </c>
      <c r="DT36" s="10">
        <v>-0.25666666666666665</v>
      </c>
      <c r="DU36">
        <v>0.16</v>
      </c>
      <c r="DV36">
        <v>-9.6666666666666651E-2</v>
      </c>
      <c r="DW36">
        <v>-5.6067211625794728</v>
      </c>
      <c r="DX36">
        <v>0.31605254237288105</v>
      </c>
      <c r="DY36">
        <v>-5.0582771101771886</v>
      </c>
      <c r="DZ36">
        <v>798</v>
      </c>
      <c r="EA36">
        <v>-5.0491763011906139</v>
      </c>
      <c r="EB36">
        <v>5</v>
      </c>
      <c r="EC36">
        <v>0.11018085155638505</v>
      </c>
      <c r="ED36">
        <v>1.1470893828989637</v>
      </c>
      <c r="EE36" s="13">
        <v>6.1174099999999996</v>
      </c>
      <c r="EF36">
        <v>6.1345099999999997</v>
      </c>
      <c r="EG36">
        <v>22.096052542372881</v>
      </c>
      <c r="EH36" t="s">
        <v>974</v>
      </c>
      <c r="EI36">
        <v>0</v>
      </c>
      <c r="EJ36">
        <v>1</v>
      </c>
      <c r="EK36" s="12">
        <v>45470</v>
      </c>
      <c r="EL36" s="14">
        <v>1.94</v>
      </c>
      <c r="EM36" s="14">
        <v>-5.31</v>
      </c>
      <c r="EN36" s="14">
        <v>2.9</v>
      </c>
      <c r="EO36" s="14">
        <v>-0.5</v>
      </c>
      <c r="EP36" s="14">
        <v>-1.71</v>
      </c>
    </row>
    <row r="37" spans="1:146" ht="96" x14ac:dyDescent="0.25">
      <c r="A37"/>
      <c r="B37"/>
      <c r="C37" s="5" t="str">
        <f>""&amp;CHAR(10)&amp;Basic_Fundamental_Information_Constructure(F37)&amp;CHAR(10)&amp;Basic_Fundamental_Information_Concatenate("")</f>
        <v xml:space="preserve">
市值23.627983亿, 利润8728.63万; PE27.57; 平均PE35.85; 平均PEG37.91, PB1.49; ROIC7.49%; ROE7.9633%; 股利率1.3525%; 毛利17.0767%; 净利4.36%; 上一年度营收增-66.34%, 利润增60.79%; 当季营收增257.14%, 利润增15.65%; 过往5年营收增.95%, 利润增12.89%
Income profile:
</v>
      </c>
      <c r="D37" t="s">
        <v>1850</v>
      </c>
      <c r="E37" t="s">
        <v>1851</v>
      </c>
      <c r="F37">
        <v>9.02</v>
      </c>
      <c r="G37">
        <v>1.81</v>
      </c>
      <c r="H37" t="s">
        <v>1852</v>
      </c>
      <c r="I37">
        <v>2362798300</v>
      </c>
      <c r="J37">
        <v>27.57</v>
      </c>
      <c r="K37">
        <v>1.49</v>
      </c>
      <c r="L37" t="s">
        <v>53</v>
      </c>
      <c r="M37" t="s">
        <v>428</v>
      </c>
      <c r="N37" t="s">
        <v>1853</v>
      </c>
      <c r="O37" t="s">
        <v>1854</v>
      </c>
      <c r="P37" s="3">
        <v>45.12</v>
      </c>
      <c r="Q37" t="s">
        <v>994</v>
      </c>
      <c r="R37">
        <v>32216120</v>
      </c>
      <c r="S37">
        <v>0.2107</v>
      </c>
      <c r="T37" t="s">
        <v>1855</v>
      </c>
      <c r="U37">
        <v>238189520</v>
      </c>
      <c r="V37">
        <v>261951030</v>
      </c>
      <c r="W37">
        <v>1.1000000000000001</v>
      </c>
      <c r="X37">
        <v>0.28999999999999998</v>
      </c>
      <c r="Y37">
        <v>6.44</v>
      </c>
      <c r="Z37" t="s">
        <v>1856</v>
      </c>
      <c r="AA37" t="s">
        <v>954</v>
      </c>
      <c r="AB37" t="s">
        <v>1857</v>
      </c>
      <c r="AC37" t="s">
        <v>1858</v>
      </c>
      <c r="AD37" t="s">
        <v>54</v>
      </c>
      <c r="AE37">
        <v>-4190038</v>
      </c>
      <c r="AF37" t="s">
        <v>1859</v>
      </c>
      <c r="AG37" t="s">
        <v>1860</v>
      </c>
      <c r="AH37" t="s">
        <v>1861</v>
      </c>
      <c r="AI37" t="s">
        <v>1862</v>
      </c>
      <c r="AJ37" t="s">
        <v>1863</v>
      </c>
      <c r="AK37" t="s">
        <v>54</v>
      </c>
      <c r="AL37" t="s">
        <v>1864</v>
      </c>
      <c r="AM37" t="s">
        <v>54</v>
      </c>
      <c r="AN37">
        <v>0</v>
      </c>
      <c r="AO37" t="s">
        <v>1865</v>
      </c>
      <c r="AP37" t="s">
        <v>54</v>
      </c>
      <c r="AQ37" t="s">
        <v>1866</v>
      </c>
      <c r="AR37" t="s">
        <v>1867</v>
      </c>
      <c r="AS37" t="s">
        <v>678</v>
      </c>
      <c r="AT37" t="s">
        <v>54</v>
      </c>
      <c r="AU37" t="s">
        <v>1868</v>
      </c>
      <c r="AV37" t="s">
        <v>1869</v>
      </c>
      <c r="AW37" t="s">
        <v>1870</v>
      </c>
      <c r="AX37" t="s">
        <v>1871</v>
      </c>
      <c r="AY37" t="s">
        <v>1872</v>
      </c>
      <c r="AZ37" t="s">
        <v>1873</v>
      </c>
      <c r="BA37" t="s">
        <v>669</v>
      </c>
      <c r="BB37" t="s">
        <v>1874</v>
      </c>
      <c r="BC37" t="s">
        <v>1875</v>
      </c>
      <c r="BD37" t="s">
        <v>1876</v>
      </c>
      <c r="BE37" t="s">
        <v>1877</v>
      </c>
      <c r="BF37" t="s">
        <v>1878</v>
      </c>
      <c r="BG37" t="s">
        <v>1879</v>
      </c>
      <c r="BH37" t="s">
        <v>1880</v>
      </c>
      <c r="BI37" t="s">
        <v>218</v>
      </c>
      <c r="BJ37" t="s">
        <v>1871</v>
      </c>
      <c r="BK37" t="s">
        <v>1881</v>
      </c>
      <c r="BL37" t="s">
        <v>1882</v>
      </c>
      <c r="BM37" t="s">
        <v>1875</v>
      </c>
      <c r="BN37">
        <v>5.51</v>
      </c>
      <c r="BO37">
        <v>6.56</v>
      </c>
      <c r="BP37">
        <v>10.4</v>
      </c>
      <c r="BQ37">
        <v>6.95</v>
      </c>
      <c r="BR37">
        <v>6.95</v>
      </c>
      <c r="BS37">
        <v>9.99</v>
      </c>
      <c r="BT37" t="s">
        <v>1883</v>
      </c>
      <c r="BU37" t="s">
        <v>1030</v>
      </c>
      <c r="BV37">
        <v>14.64</v>
      </c>
      <c r="BW37">
        <v>16.59</v>
      </c>
      <c r="BX37">
        <v>20</v>
      </c>
      <c r="BY37">
        <v>4.1500000000000004</v>
      </c>
      <c r="BZ37">
        <v>3.32</v>
      </c>
      <c r="CA37">
        <v>5.61</v>
      </c>
      <c r="CB37">
        <v>1.23</v>
      </c>
      <c r="CC37" s="8">
        <v>-15.76</v>
      </c>
      <c r="CD37" s="9" t="s">
        <v>1884</v>
      </c>
      <c r="CE37" s="8" t="s">
        <v>677</v>
      </c>
      <c r="CF37" s="8">
        <v>2.5714285714285716</v>
      </c>
      <c r="CG37" s="8">
        <v>0.15646957888955498</v>
      </c>
      <c r="CH37" s="8">
        <v>-0.66335403919219971</v>
      </c>
      <c r="CI37" s="8">
        <v>0.28491625189781189</v>
      </c>
      <c r="CJ37" s="9">
        <v>0.54882562160491943</v>
      </c>
      <c r="CK37" s="9">
        <v>-9.8104797303676605E-2</v>
      </c>
      <c r="CL37" s="9">
        <v>-2.500000037252903E-2</v>
      </c>
      <c r="CM37" s="9">
        <v>0.60792958736419678</v>
      </c>
      <c r="CN37" s="9">
        <v>-0.22767792642116547</v>
      </c>
      <c r="CO37">
        <v>0.10429971665143967</v>
      </c>
      <c r="CP37">
        <v>-1.9454000517725945E-2</v>
      </c>
      <c r="CQ37">
        <v>0.17938156425952911</v>
      </c>
      <c r="CR37" s="8">
        <v>35.848895310671431</v>
      </c>
      <c r="CS37" s="9">
        <v>37.908833550515098</v>
      </c>
      <c r="CT37">
        <v>1.352549889135255</v>
      </c>
      <c r="CU37">
        <v>9.4566073268651969E-3</v>
      </c>
      <c r="CV37">
        <v>0.12889578826725484</v>
      </c>
      <c r="CW37">
        <v>0.06</v>
      </c>
      <c r="CX37">
        <v>10.993158040481408</v>
      </c>
      <c r="CY37">
        <v>83124275.720863134</v>
      </c>
      <c r="CZ37">
        <v>9.4566073268651969E-3</v>
      </c>
      <c r="DA37">
        <v>3.8483470606832677</v>
      </c>
      <c r="DB37">
        <v>237452154.28614607</v>
      </c>
      <c r="DC37">
        <v>8.9837769605219369E-3</v>
      </c>
      <c r="DD37">
        <v>2.0708349695435255</v>
      </c>
      <c r="DE37">
        <v>441270460.19578695</v>
      </c>
      <c r="DF37">
        <v>8.3218144476413739E-3</v>
      </c>
      <c r="DG37">
        <v>1.3692511509438074</v>
      </c>
      <c r="DH37">
        <v>667370846.7362839</v>
      </c>
      <c r="DI37">
        <v>7.5652858614921577E-3</v>
      </c>
      <c r="DJ37">
        <v>0.86176979825289468</v>
      </c>
      <c r="DK37">
        <v>1060374013.8637779</v>
      </c>
      <c r="DL37">
        <v>6.6196251288056377E-3</v>
      </c>
      <c r="DM37">
        <v>87286299.999999985</v>
      </c>
      <c r="DN37">
        <v>9.4566073268651969E-3</v>
      </c>
      <c r="DO37">
        <v>913798300</v>
      </c>
      <c r="DP37">
        <v>1491474500</v>
      </c>
      <c r="DQ37" s="10">
        <v>2397</v>
      </c>
      <c r="DR37">
        <v>2.5619719641017062</v>
      </c>
      <c r="DS37">
        <v>2.7573790622300143E-2</v>
      </c>
      <c r="DT37">
        <v>-0.49</v>
      </c>
      <c r="DU37">
        <v>0.5033333333333333</v>
      </c>
      <c r="DV37">
        <v>1.3333333333333308E-2</v>
      </c>
      <c r="DW37">
        <v>-2.1576</v>
      </c>
      <c r="DX37">
        <v>0.41088506944444592</v>
      </c>
      <c r="DY37">
        <v>-2.0206274869444445</v>
      </c>
      <c r="DZ37">
        <v>3438</v>
      </c>
      <c r="EA37">
        <v>-2.0067493460217438</v>
      </c>
      <c r="EB37" s="13">
        <v>2</v>
      </c>
      <c r="EC37" s="13">
        <v>0.14390056034519125</v>
      </c>
      <c r="ED37">
        <v>1.0994421361885847</v>
      </c>
      <c r="EE37">
        <v>2.0427</v>
      </c>
      <c r="EF37">
        <v>2.0352000000000001</v>
      </c>
      <c r="EG37">
        <v>28.130885069444446</v>
      </c>
      <c r="EH37" s="12" t="s">
        <v>657</v>
      </c>
      <c r="EI37">
        <v>0</v>
      </c>
      <c r="EJ37">
        <v>0</v>
      </c>
      <c r="EK37">
        <v>45470</v>
      </c>
      <c r="EL37">
        <v>-2.21</v>
      </c>
      <c r="EM37">
        <v>-6.12</v>
      </c>
      <c r="EN37" s="14">
        <v>1.81</v>
      </c>
      <c r="EO37" s="14">
        <v>5.0199999999999996</v>
      </c>
      <c r="EP37" s="14">
        <v>-0.75</v>
      </c>
    </row>
    <row r="38" spans="1:146" ht="96" x14ac:dyDescent="0.25">
      <c r="C38" s="5" t="str">
        <f>""&amp;CHAR(10)&amp;Basic_Fundamental_Information_Constructure(F38)&amp;CHAR(10)&amp;Basic_Fundamental_Information_Concatenate("")</f>
        <v xml:space="preserve">
市值24.38373亿, 利润4276.88万; PE21.11; 平均PE27.5; 平均PEG.22, PB2.14; ROIC10.5433%; ROE10.8967%; 股利率1.4925%; 毛利24.3833%; 净利11.9033%; 上一年度营收增574.02%, 利润增-64.94%; 当季营收增-77.76%, 利润增41.6%; 过往5年营收增127.66%, 利润增-.32%
Income profile:
</v>
      </c>
      <c r="D38" t="s">
        <v>522</v>
      </c>
      <c r="E38" t="s">
        <v>523</v>
      </c>
      <c r="F38">
        <v>16.75</v>
      </c>
      <c r="G38">
        <v>1.82</v>
      </c>
      <c r="H38" t="s">
        <v>1885</v>
      </c>
      <c r="I38">
        <v>2438373000</v>
      </c>
      <c r="J38">
        <v>21.11</v>
      </c>
      <c r="K38">
        <v>2.14</v>
      </c>
      <c r="L38" t="s">
        <v>53</v>
      </c>
      <c r="M38" t="s">
        <v>812</v>
      </c>
      <c r="N38" t="s">
        <v>1536</v>
      </c>
      <c r="O38" t="s">
        <v>1088</v>
      </c>
      <c r="P38">
        <v>27.69</v>
      </c>
      <c r="Q38" t="s">
        <v>1886</v>
      </c>
      <c r="R38">
        <v>22336199</v>
      </c>
      <c r="S38" s="3">
        <v>0.76339999999999997</v>
      </c>
      <c r="T38" t="s">
        <v>1887</v>
      </c>
      <c r="U38">
        <v>54852653</v>
      </c>
      <c r="V38">
        <v>145574510</v>
      </c>
      <c r="W38">
        <v>1.56</v>
      </c>
      <c r="X38">
        <v>0.13</v>
      </c>
      <c r="Y38">
        <v>10.36</v>
      </c>
      <c r="Z38" t="s">
        <v>860</v>
      </c>
      <c r="AA38" t="s">
        <v>301</v>
      </c>
      <c r="AB38" t="s">
        <v>1888</v>
      </c>
      <c r="AC38" t="s">
        <v>1889</v>
      </c>
      <c r="AD38" t="s">
        <v>54</v>
      </c>
      <c r="AE38">
        <v>-1104476</v>
      </c>
      <c r="AF38" t="s">
        <v>1890</v>
      </c>
      <c r="AG38">
        <v>9362.57</v>
      </c>
      <c r="AH38" t="s">
        <v>1891</v>
      </c>
      <c r="AI38" t="s">
        <v>369</v>
      </c>
      <c r="AJ38" t="s">
        <v>1892</v>
      </c>
      <c r="AK38" t="s">
        <v>1893</v>
      </c>
      <c r="AL38" t="s">
        <v>1894</v>
      </c>
      <c r="AM38" t="s">
        <v>54</v>
      </c>
      <c r="AN38" t="s">
        <v>79</v>
      </c>
      <c r="AO38" t="s">
        <v>834</v>
      </c>
      <c r="AP38" t="s">
        <v>1895</v>
      </c>
      <c r="AQ38" t="s">
        <v>636</v>
      </c>
      <c r="AR38" t="s">
        <v>54</v>
      </c>
      <c r="AS38" t="s">
        <v>238</v>
      </c>
      <c r="AT38" t="s">
        <v>237</v>
      </c>
      <c r="AU38" t="s">
        <v>1896</v>
      </c>
      <c r="AV38" t="s">
        <v>1897</v>
      </c>
      <c r="AW38" t="s">
        <v>1898</v>
      </c>
      <c r="AX38" t="s">
        <v>695</v>
      </c>
      <c r="AY38" t="s">
        <v>596</v>
      </c>
      <c r="AZ38" t="s">
        <v>524</v>
      </c>
      <c r="BA38" t="s">
        <v>494</v>
      </c>
      <c r="BB38" t="s">
        <v>303</v>
      </c>
      <c r="BC38" t="s">
        <v>249</v>
      </c>
      <c r="BD38" t="s">
        <v>597</v>
      </c>
      <c r="BE38" t="s">
        <v>219</v>
      </c>
      <c r="BF38" t="s">
        <v>525</v>
      </c>
      <c r="BG38" t="s">
        <v>526</v>
      </c>
      <c r="BH38" t="s">
        <v>1206</v>
      </c>
      <c r="BI38" t="s">
        <v>1899</v>
      </c>
      <c r="BJ38" t="s">
        <v>695</v>
      </c>
      <c r="BK38" t="s">
        <v>219</v>
      </c>
      <c r="BL38" t="s">
        <v>1900</v>
      </c>
      <c r="BM38" t="s">
        <v>249</v>
      </c>
      <c r="BN38">
        <v>7.77</v>
      </c>
      <c r="BO38">
        <v>11.67</v>
      </c>
      <c r="BP38">
        <v>12.19</v>
      </c>
      <c r="BQ38">
        <v>8.68</v>
      </c>
      <c r="BR38">
        <v>12.44</v>
      </c>
      <c r="BS38">
        <v>11.57</v>
      </c>
      <c r="BT38" t="s">
        <v>1154</v>
      </c>
      <c r="BU38" t="s">
        <v>659</v>
      </c>
      <c r="BV38">
        <v>25.13</v>
      </c>
      <c r="BW38">
        <v>25.05</v>
      </c>
      <c r="BX38">
        <v>22.97</v>
      </c>
      <c r="BY38">
        <v>11.36</v>
      </c>
      <c r="BZ38">
        <v>14.08</v>
      </c>
      <c r="CA38">
        <v>10.27</v>
      </c>
      <c r="CB38">
        <v>-3.4</v>
      </c>
      <c r="CC38">
        <v>-14.76</v>
      </c>
      <c r="CD38" t="s">
        <v>1901</v>
      </c>
      <c r="CE38" t="s">
        <v>1902</v>
      </c>
      <c r="CF38" s="8">
        <v>-0.77757009345794392</v>
      </c>
      <c r="CG38" s="9">
        <v>0.41604953846934134</v>
      </c>
      <c r="CH38" s="8">
        <v>5.7402009963989258</v>
      </c>
      <c r="CI38" s="8">
        <v>-5.9999998658895493E-2</v>
      </c>
      <c r="CJ38" s="8">
        <v>0.14595898985862732</v>
      </c>
      <c r="CK38" s="8">
        <v>0.38860970735549927</v>
      </c>
      <c r="CL38" s="8">
        <v>0.16829745471477509</v>
      </c>
      <c r="CM38" s="9">
        <v>-0.64943605661392212</v>
      </c>
      <c r="CN38" s="9">
        <v>0.31804823875427246</v>
      </c>
      <c r="CO38" s="9">
        <v>-0.12678204476833344</v>
      </c>
      <c r="CP38" s="9">
        <v>9.4488471746444702E-2</v>
      </c>
      <c r="CQ38" s="9">
        <v>0.34770485758781433</v>
      </c>
      <c r="CR38">
        <v>27.498333304826755</v>
      </c>
      <c r="CS38">
        <v>0.21540062684639782</v>
      </c>
      <c r="CT38">
        <v>1.4925373134328359</v>
      </c>
      <c r="CU38" s="8">
        <v>1.2766134299337863</v>
      </c>
      <c r="CV38" s="9">
        <v>-3.1953066587448119E-3</v>
      </c>
      <c r="CW38">
        <v>0.06</v>
      </c>
      <c r="CX38">
        <v>20.829994150578365</v>
      </c>
      <c r="CY38">
        <v>91856626.851086915</v>
      </c>
      <c r="CZ38">
        <v>1.2766134299337863</v>
      </c>
      <c r="DA38">
        <v>2.8784355976037004</v>
      </c>
      <c r="DB38">
        <v>664726701.40436161</v>
      </c>
      <c r="DC38">
        <v>1.2127827584370969</v>
      </c>
      <c r="DD38">
        <v>0.3521555492924649</v>
      </c>
      <c r="DE38">
        <v>5433317759.2807016</v>
      </c>
      <c r="DF38">
        <v>1.1234198183417321</v>
      </c>
      <c r="DG38">
        <v>3.3523787498646151E-2</v>
      </c>
      <c r="DH38">
        <v>57075084373.365364</v>
      </c>
      <c r="DI38">
        <v>1.0212907439470291</v>
      </c>
      <c r="DJ38">
        <v>1.797099489573417E-4</v>
      </c>
      <c r="DK38">
        <v>10647006529695.154</v>
      </c>
      <c r="DL38">
        <v>0.8936294009536504</v>
      </c>
      <c r="DM38">
        <v>42768800</v>
      </c>
      <c r="DN38">
        <v>1.2766134299337863</v>
      </c>
      <c r="DO38">
        <v>1913373000</v>
      </c>
      <c r="DP38">
        <v>355262990</v>
      </c>
      <c r="DQ38">
        <v>2404</v>
      </c>
      <c r="DR38">
        <v>-2.05418352339173</v>
      </c>
      <c r="DS38">
        <v>0.41924484512808613</v>
      </c>
      <c r="DT38" s="10">
        <v>7.6666666666666591E-2</v>
      </c>
      <c r="DU38">
        <v>-8.3333333333333329E-2</v>
      </c>
      <c r="DV38">
        <v>-6.6666666666667374E-3</v>
      </c>
      <c r="DW38">
        <v>-8.2303523035230359</v>
      </c>
      <c r="DX38">
        <v>0.27881580023125818</v>
      </c>
      <c r="DY38">
        <v>-8.0135483550668205</v>
      </c>
      <c r="DZ38">
        <v>981</v>
      </c>
      <c r="EA38">
        <v>-8.0109473890549712</v>
      </c>
      <c r="EB38">
        <v>8</v>
      </c>
      <c r="EC38">
        <v>2.7673800859779642E-2</v>
      </c>
      <c r="ED38">
        <v>0.47051643862651504</v>
      </c>
      <c r="EE38" s="13">
        <v>2.0335999999999999</v>
      </c>
      <c r="EF38">
        <v>2.0855999999999999</v>
      </c>
      <c r="EG38">
        <v>22.058815800231258</v>
      </c>
      <c r="EH38" t="s">
        <v>657</v>
      </c>
      <c r="EI38">
        <v>0</v>
      </c>
      <c r="EJ38">
        <v>1</v>
      </c>
      <c r="EK38" s="12">
        <v>45470</v>
      </c>
      <c r="EL38" s="14">
        <v>0.17</v>
      </c>
      <c r="EM38" s="14">
        <v>-7.22</v>
      </c>
      <c r="EN38" s="14">
        <v>-3.06</v>
      </c>
      <c r="EO38" s="14">
        <v>9.2100000000000009</v>
      </c>
      <c r="EP38" s="14">
        <v>5.2</v>
      </c>
    </row>
    <row r="39" spans="1:146" ht="96" x14ac:dyDescent="0.25">
      <c r="C39" s="5" t="str">
        <f>""&amp;CHAR(10)&amp;Basic_Fundamental_Information_Constructure(F39)&amp;CHAR(10)&amp;Basic_Fundamental_Information_Concatenate("")</f>
        <v xml:space="preserve">
市值24.8064亿, 利润2.43亿; PE33.35; 平均PE15.75; 平均PEG3.82, PB.956; ROIC6.4167%; ROE8.95%; 股利率4.0349%; 毛利41.7533%; 净利15.7667%; 上一年度营收增-11.91%, 利润增45.51%; 当季营收增-67.33%, 利润增-91.45%; 过往5年营收增4.12%, 利润增21.17%
Income profile:
</v>
      </c>
      <c r="D39" t="s">
        <v>527</v>
      </c>
      <c r="E39" t="s">
        <v>528</v>
      </c>
      <c r="F39">
        <v>10.88</v>
      </c>
      <c r="G39">
        <v>1.4</v>
      </c>
      <c r="H39" t="s">
        <v>1903</v>
      </c>
      <c r="I39">
        <v>2480640000</v>
      </c>
      <c r="J39">
        <v>33.35</v>
      </c>
      <c r="K39">
        <v>0.95599999999999996</v>
      </c>
      <c r="L39" t="s">
        <v>53</v>
      </c>
      <c r="M39" t="s">
        <v>1904</v>
      </c>
      <c r="N39" t="s">
        <v>1905</v>
      </c>
      <c r="O39" t="s">
        <v>357</v>
      </c>
      <c r="P39">
        <v>-12.86</v>
      </c>
      <c r="Q39" t="s">
        <v>1676</v>
      </c>
      <c r="R39">
        <v>25999608</v>
      </c>
      <c r="S39" s="3">
        <v>-0.28460000000000002</v>
      </c>
      <c r="T39" t="s">
        <v>686</v>
      </c>
      <c r="U39">
        <v>57750000</v>
      </c>
      <c r="V39">
        <v>228000000</v>
      </c>
      <c r="W39">
        <v>1.03</v>
      </c>
      <c r="X39">
        <v>7.0000000000000007E-2</v>
      </c>
      <c r="Y39">
        <v>14.42</v>
      </c>
      <c r="Z39" t="s">
        <v>100</v>
      </c>
      <c r="AA39" t="s">
        <v>245</v>
      </c>
      <c r="AB39" t="s">
        <v>1906</v>
      </c>
      <c r="AC39" t="s">
        <v>1907</v>
      </c>
      <c r="AD39" t="s">
        <v>54</v>
      </c>
      <c r="AE39">
        <v>102192</v>
      </c>
      <c r="AF39" t="s">
        <v>1908</v>
      </c>
      <c r="AG39">
        <v>404</v>
      </c>
      <c r="AH39" t="s">
        <v>1909</v>
      </c>
      <c r="AI39" t="s">
        <v>1910</v>
      </c>
      <c r="AJ39" t="s">
        <v>97</v>
      </c>
      <c r="AK39" t="s">
        <v>54</v>
      </c>
      <c r="AL39" t="s">
        <v>1911</v>
      </c>
      <c r="AM39" t="s">
        <v>54</v>
      </c>
      <c r="AN39" t="s">
        <v>1912</v>
      </c>
      <c r="AO39" t="s">
        <v>54</v>
      </c>
      <c r="AP39" t="s">
        <v>54</v>
      </c>
      <c r="AQ39" t="s">
        <v>1913</v>
      </c>
      <c r="AR39" t="s">
        <v>54</v>
      </c>
      <c r="AS39" t="s">
        <v>1914</v>
      </c>
      <c r="AT39" t="s">
        <v>54</v>
      </c>
      <c r="AU39" t="s">
        <v>1915</v>
      </c>
      <c r="AV39" t="s">
        <v>306</v>
      </c>
      <c r="AW39" t="s">
        <v>1916</v>
      </c>
      <c r="AX39" t="s">
        <v>436</v>
      </c>
      <c r="AY39" t="s">
        <v>598</v>
      </c>
      <c r="AZ39" t="s">
        <v>529</v>
      </c>
      <c r="BA39" t="s">
        <v>530</v>
      </c>
      <c r="BB39" t="s">
        <v>531</v>
      </c>
      <c r="BC39" t="s">
        <v>237</v>
      </c>
      <c r="BD39" t="s">
        <v>577</v>
      </c>
      <c r="BE39" t="s">
        <v>220</v>
      </c>
      <c r="BF39" t="s">
        <v>232</v>
      </c>
      <c r="BG39" t="s">
        <v>261</v>
      </c>
      <c r="BH39" t="s">
        <v>399</v>
      </c>
      <c r="BI39" t="s">
        <v>478</v>
      </c>
      <c r="BJ39" t="s">
        <v>436</v>
      </c>
      <c r="BK39" t="s">
        <v>1917</v>
      </c>
      <c r="BL39" t="s">
        <v>199</v>
      </c>
      <c r="BM39" t="s">
        <v>237</v>
      </c>
      <c r="BN39">
        <v>2.27</v>
      </c>
      <c r="BO39">
        <v>6.27</v>
      </c>
      <c r="BP39">
        <v>10.71</v>
      </c>
      <c r="BQ39">
        <v>2.4500000000000002</v>
      </c>
      <c r="BR39">
        <v>6.66</v>
      </c>
      <c r="BS39">
        <v>17.739999999999998</v>
      </c>
      <c r="BT39" t="s">
        <v>1918</v>
      </c>
      <c r="BU39" t="s">
        <v>646</v>
      </c>
      <c r="BV39">
        <v>39.18</v>
      </c>
      <c r="BW39">
        <v>40.520000000000003</v>
      </c>
      <c r="BX39">
        <v>45.56</v>
      </c>
      <c r="BY39">
        <v>11.04</v>
      </c>
      <c r="BZ39">
        <v>17.61</v>
      </c>
      <c r="CA39">
        <v>18.649999999999999</v>
      </c>
      <c r="CB39">
        <v>-2.86</v>
      </c>
      <c r="CC39">
        <v>-11.04</v>
      </c>
      <c r="CD39" t="s">
        <v>1919</v>
      </c>
      <c r="CE39" t="s">
        <v>1920</v>
      </c>
      <c r="CF39" s="8">
        <v>-0.67332123411978217</v>
      </c>
      <c r="CG39" s="9">
        <v>-0.91447497368421049</v>
      </c>
      <c r="CH39" s="8">
        <v>-0.11907270550727844</v>
      </c>
      <c r="CI39" s="8">
        <v>8.8302753865718842E-2</v>
      </c>
      <c r="CJ39" s="8">
        <v>2.4676850065588951E-2</v>
      </c>
      <c r="CK39" s="8">
        <v>0.22622478008270264</v>
      </c>
      <c r="CL39" s="8">
        <v>-1.4204545877873898E-2</v>
      </c>
      <c r="CM39" s="9">
        <v>0.45508980751037598</v>
      </c>
      <c r="CN39" s="9">
        <v>2.4539876729249954E-2</v>
      </c>
      <c r="CO39" s="9">
        <v>6.1728395521640778E-3</v>
      </c>
      <c r="CP39" s="9">
        <v>0.47272726893424988</v>
      </c>
      <c r="CQ39" s="9">
        <v>0.10000000149011612</v>
      </c>
      <c r="CR39">
        <v>15.750095238095238</v>
      </c>
      <c r="CS39">
        <v>3.8241913625052972</v>
      </c>
      <c r="CT39">
        <v>4.0349264705882346</v>
      </c>
      <c r="CU39" s="8">
        <v>4.1185426525771618E-2</v>
      </c>
      <c r="CV39" s="9">
        <v>0.21170595884323121</v>
      </c>
      <c r="CW39">
        <v>0.06</v>
      </c>
      <c r="CX39" t="s">
        <v>1921</v>
      </c>
      <c r="CY39">
        <v>238686847.77902123</v>
      </c>
      <c r="CZ39">
        <v>4.1185426525771618E-2</v>
      </c>
      <c r="DA39" t="s">
        <v>1921</v>
      </c>
      <c r="DB39">
        <v>700663690.49411309</v>
      </c>
      <c r="DC39">
        <v>3.9126155199483037E-2</v>
      </c>
      <c r="DD39" t="s">
        <v>1921</v>
      </c>
      <c r="DE39">
        <v>1347808671.7759855</v>
      </c>
      <c r="DF39">
        <v>3.6243175342679027E-2</v>
      </c>
      <c r="DG39" t="s">
        <v>1921</v>
      </c>
      <c r="DH39">
        <v>2113746556.3300724</v>
      </c>
      <c r="DI39">
        <v>3.2948341220617294E-2</v>
      </c>
      <c r="DJ39" t="s">
        <v>1921</v>
      </c>
      <c r="DK39">
        <v>3605327485.6358356</v>
      </c>
      <c r="DL39">
        <v>2.8829798568040129E-2</v>
      </c>
      <c r="DM39">
        <v>243000000.00000003</v>
      </c>
      <c r="DN39">
        <v>4.1185426525771618E-2</v>
      </c>
      <c r="DO39">
        <v>-17324000</v>
      </c>
      <c r="DP39">
        <v>1880184900</v>
      </c>
      <c r="DQ39">
        <v>2531</v>
      </c>
      <c r="DR39">
        <v>-0.71450666064555379</v>
      </c>
      <c r="DS39">
        <v>-1.1261809325274417</v>
      </c>
      <c r="DT39" s="10">
        <v>-0.32333333333333336</v>
      </c>
      <c r="DU39">
        <v>-0.1566666666666667</v>
      </c>
      <c r="DV39">
        <v>-0.48000000000000009</v>
      </c>
      <c r="DW39">
        <v>-8.2590579710144922</v>
      </c>
      <c r="DX39">
        <v>0.34824944642991867</v>
      </c>
      <c r="DY39">
        <v>-8.0384052007961575</v>
      </c>
      <c r="DZ39">
        <v>1433</v>
      </c>
      <c r="EA39">
        <v>-8.0276352100445152</v>
      </c>
      <c r="EB39">
        <v>8</v>
      </c>
      <c r="EC39">
        <v>1.6356140350877194E-2</v>
      </c>
      <c r="ED39">
        <v>0.1103285087719298</v>
      </c>
      <c r="EE39" s="13">
        <v>-1.0318099999999999</v>
      </c>
      <c r="EF39">
        <v>-1.05901</v>
      </c>
      <c r="EG39">
        <v>20.148249446429919</v>
      </c>
      <c r="EH39" t="s">
        <v>656</v>
      </c>
      <c r="EI39">
        <v>0</v>
      </c>
      <c r="EJ39">
        <v>1</v>
      </c>
      <c r="EK39" s="12">
        <v>45470</v>
      </c>
      <c r="EL39" s="14">
        <v>-1.97</v>
      </c>
      <c r="EM39" s="14">
        <v>-3.55</v>
      </c>
      <c r="EN39" s="14">
        <v>0.25</v>
      </c>
      <c r="EO39" s="14">
        <v>6.95</v>
      </c>
      <c r="EP39" s="14">
        <v>-2.72</v>
      </c>
    </row>
    <row r="40" spans="1:146" ht="96" x14ac:dyDescent="0.25">
      <c r="A40"/>
      <c r="B40"/>
      <c r="C40" s="5" t="str">
        <f>""&amp;CHAR(10)&amp;Basic_Fundamental_Information_Constructure(F40)&amp;CHAR(10)&amp;Basic_Fundamental_Information_Concatenate("")</f>
        <v xml:space="preserve">
市值75.241881亿, 利润638.90万; PE; 平均PE14.39; 平均PEG1.92, PB1.16; ROIC14.3267%; ROE14.8%; 股利率2.6582%; 毛利69.5867%; 净利17.0433%; 上一年度营收增-88.86%, 利润增-99.12%; 当季营收增765.77%, 利润增978.19%; 过往5年营收增7.48%, 利润增19.62%
Income profile:
</v>
      </c>
      <c r="D40" t="s">
        <v>1922</v>
      </c>
      <c r="E40" t="s">
        <v>1923</v>
      </c>
      <c r="F40">
        <v>18.809999999999999</v>
      </c>
      <c r="G40">
        <v>2.56</v>
      </c>
      <c r="H40" t="s">
        <v>1924</v>
      </c>
      <c r="I40">
        <v>7524188100</v>
      </c>
      <c r="K40">
        <v>1.1599999999999999</v>
      </c>
      <c r="L40" t="s">
        <v>53</v>
      </c>
      <c r="M40" t="s">
        <v>966</v>
      </c>
      <c r="N40" t="s">
        <v>1925</v>
      </c>
      <c r="O40" t="s">
        <v>1926</v>
      </c>
      <c r="P40" s="3">
        <v>-39.520000000000003</v>
      </c>
      <c r="Q40" t="s">
        <v>941</v>
      </c>
      <c r="R40">
        <v>29459842</v>
      </c>
      <c r="S40">
        <v>-0.70809999999999995</v>
      </c>
      <c r="T40" t="s">
        <v>1927</v>
      </c>
      <c r="U40">
        <v>40010000</v>
      </c>
      <c r="V40">
        <v>400010000</v>
      </c>
      <c r="W40">
        <v>1.1299999999999999</v>
      </c>
      <c r="X40">
        <v>0.06</v>
      </c>
      <c r="Y40">
        <v>6.91</v>
      </c>
      <c r="Z40" t="s">
        <v>468</v>
      </c>
      <c r="AA40" t="s">
        <v>937</v>
      </c>
      <c r="AB40" t="s">
        <v>689</v>
      </c>
      <c r="AC40" t="s">
        <v>1928</v>
      </c>
      <c r="AD40" t="s">
        <v>54</v>
      </c>
      <c r="AE40">
        <v>3935639</v>
      </c>
      <c r="AF40" t="s">
        <v>1929</v>
      </c>
      <c r="AG40" t="s">
        <v>1930</v>
      </c>
      <c r="AH40" t="s">
        <v>1931</v>
      </c>
      <c r="AI40" t="s">
        <v>599</v>
      </c>
      <c r="AJ40" t="s">
        <v>1932</v>
      </c>
      <c r="AK40" t="s">
        <v>54</v>
      </c>
      <c r="AL40" t="s">
        <v>1933</v>
      </c>
      <c r="AM40" t="s">
        <v>54</v>
      </c>
      <c r="AN40">
        <v>0</v>
      </c>
      <c r="AO40" t="s">
        <v>515</v>
      </c>
      <c r="AP40" t="s">
        <v>1934</v>
      </c>
      <c r="AQ40" t="s">
        <v>1935</v>
      </c>
      <c r="AR40" t="s">
        <v>54</v>
      </c>
      <c r="AS40" t="s">
        <v>1936</v>
      </c>
      <c r="AT40" t="s">
        <v>54</v>
      </c>
      <c r="AU40" t="s">
        <v>1937</v>
      </c>
      <c r="AV40" t="s">
        <v>973</v>
      </c>
      <c r="AW40" t="s">
        <v>1938</v>
      </c>
      <c r="AX40" t="s">
        <v>1939</v>
      </c>
      <c r="AY40" t="s">
        <v>1940</v>
      </c>
      <c r="AZ40" t="s">
        <v>1941</v>
      </c>
      <c r="BA40" t="s">
        <v>1942</v>
      </c>
      <c r="BB40" t="s">
        <v>1943</v>
      </c>
      <c r="BC40" t="s">
        <v>408</v>
      </c>
      <c r="BD40" t="s">
        <v>959</v>
      </c>
      <c r="BE40" t="s">
        <v>1944</v>
      </c>
      <c r="BF40" t="s">
        <v>1945</v>
      </c>
      <c r="BG40" t="s">
        <v>136</v>
      </c>
      <c r="BH40" t="s">
        <v>1946</v>
      </c>
      <c r="BI40" t="s">
        <v>1947</v>
      </c>
      <c r="BJ40" t="s">
        <v>1939</v>
      </c>
      <c r="BK40" t="s">
        <v>1948</v>
      </c>
      <c r="BL40" t="s">
        <v>1949</v>
      </c>
      <c r="BM40" t="s">
        <v>408</v>
      </c>
      <c r="BN40">
        <v>1.18</v>
      </c>
      <c r="BO40">
        <v>9.9600000000000009</v>
      </c>
      <c r="BP40">
        <v>31.84</v>
      </c>
      <c r="BQ40">
        <v>1.1100000000000001</v>
      </c>
      <c r="BR40">
        <v>10.68</v>
      </c>
      <c r="BS40">
        <v>32.61</v>
      </c>
      <c r="BT40" t="s">
        <v>699</v>
      </c>
      <c r="BU40" t="s">
        <v>1030</v>
      </c>
      <c r="BV40">
        <v>68.83</v>
      </c>
      <c r="BW40">
        <v>69.790000000000006</v>
      </c>
      <c r="BX40">
        <v>70.14</v>
      </c>
      <c r="BY40">
        <v>3.16</v>
      </c>
      <c r="BZ40">
        <v>19.809999999999999</v>
      </c>
      <c r="CA40">
        <v>28.16</v>
      </c>
      <c r="CB40">
        <v>1.1299999999999999</v>
      </c>
      <c r="CC40" s="8">
        <v>-18.5</v>
      </c>
      <c r="CD40" s="9" t="s">
        <v>1950</v>
      </c>
      <c r="CE40" s="8" t="s">
        <v>1951</v>
      </c>
      <c r="CF40" s="8">
        <v>7.6577095277483656</v>
      </c>
      <c r="CG40" s="8">
        <v>9.781923925356228</v>
      </c>
      <c r="CH40" s="8">
        <v>-0.88864749670028687</v>
      </c>
      <c r="CI40" s="8">
        <v>-0.20354752242565155</v>
      </c>
      <c r="CJ40" s="9">
        <v>0.8762175440788269</v>
      </c>
      <c r="CK40" s="9">
        <v>0.4798799455165863</v>
      </c>
      <c r="CL40" s="9">
        <v>0.10999995470046997</v>
      </c>
      <c r="CM40" s="9">
        <v>-0.99123597145080566</v>
      </c>
      <c r="CN40" s="9">
        <v>-0.44009217619895935</v>
      </c>
      <c r="CO40">
        <v>1.3126109838485718</v>
      </c>
      <c r="CP40">
        <v>1.1325757503509521</v>
      </c>
      <c r="CQ40">
        <v>-3.2967034727334976E-2</v>
      </c>
      <c r="CR40" s="8">
        <v>14.389394684560951</v>
      </c>
      <c r="CS40" s="9">
        <v>1.9242178862601298</v>
      </c>
      <c r="CT40">
        <v>2.6581605528973951</v>
      </c>
      <c r="CU40">
        <v>7.4780485033988958E-2</v>
      </c>
      <c r="CV40">
        <v>0.1961783103644848</v>
      </c>
      <c r="CW40">
        <v>0.06</v>
      </c>
      <c r="CX40">
        <v>321.42019848930408</v>
      </c>
      <c r="CY40">
        <v>6478087.2819642974</v>
      </c>
      <c r="CZ40">
        <v>7.4780485033988958E-2</v>
      </c>
      <c r="DA40">
        <v>106.40191308579166</v>
      </c>
      <c r="DB40">
        <v>19569085.175387181</v>
      </c>
      <c r="DC40">
        <v>7.1041460782289512E-2</v>
      </c>
      <c r="DD40">
        <v>53.285949037341197</v>
      </c>
      <c r="DE40">
        <v>39075743.936565079</v>
      </c>
      <c r="DF40">
        <v>6.5806826829910278E-2</v>
      </c>
      <c r="DG40">
        <v>32.619911781173393</v>
      </c>
      <c r="DH40">
        <v>63831812.727394849</v>
      </c>
      <c r="DI40">
        <v>5.9824388027191172E-2</v>
      </c>
      <c r="DJ40">
        <v>17.568038610162407</v>
      </c>
      <c r="DK40">
        <v>118521375.44799899</v>
      </c>
      <c r="DL40">
        <v>5.2346339523792265E-2</v>
      </c>
      <c r="DM40">
        <v>6389000</v>
      </c>
      <c r="DN40">
        <v>7.4780485033988958E-2</v>
      </c>
      <c r="DO40">
        <v>2082188100.000001</v>
      </c>
      <c r="DP40">
        <v>5392201800</v>
      </c>
      <c r="DQ40" s="10">
        <v>2604</v>
      </c>
      <c r="DR40">
        <v>7.582929042714377</v>
      </c>
      <c r="DS40">
        <v>9.5857456149917439</v>
      </c>
      <c r="DT40">
        <v>-0.54</v>
      </c>
      <c r="DU40">
        <v>0.23666666666666669</v>
      </c>
      <c r="DV40">
        <v>-0.30333333333333334</v>
      </c>
      <c r="DW40">
        <v>-3.0282738095238093</v>
      </c>
      <c r="DX40">
        <v>0.39124253923693741</v>
      </c>
      <c r="DY40">
        <v>-3.0045589408415205</v>
      </c>
      <c r="DZ40">
        <v>3346</v>
      </c>
      <c r="EA40">
        <v>-3.0015737713589905</v>
      </c>
      <c r="EB40" s="13">
        <v>3</v>
      </c>
      <c r="EC40" s="13">
        <v>1.2980425489362766E-2</v>
      </c>
      <c r="ED40">
        <v>8.050248743781406E-2</v>
      </c>
      <c r="EE40">
        <v>2.0264000000000002</v>
      </c>
      <c r="EF40">
        <v>1.00031</v>
      </c>
      <c r="EG40">
        <v>23.161242539236937</v>
      </c>
      <c r="EH40" s="12" t="s">
        <v>647</v>
      </c>
      <c r="EI40">
        <v>0</v>
      </c>
      <c r="EJ40">
        <v>0</v>
      </c>
      <c r="EK40">
        <v>45470</v>
      </c>
      <c r="EL40">
        <v>-7.42</v>
      </c>
      <c r="EM40">
        <v>3.16</v>
      </c>
      <c r="EN40" s="14">
        <v>2.15</v>
      </c>
      <c r="EO40" s="14">
        <v>3.29</v>
      </c>
      <c r="EP40" s="14">
        <v>-17.670000000000002</v>
      </c>
    </row>
    <row r="41" spans="1:146" ht="96" x14ac:dyDescent="0.25">
      <c r="C41" s="5" t="str">
        <f>""&amp;CHAR(10)&amp;Basic_Fundamental_Information_Constructure(F41)&amp;CHAR(10)&amp;Basic_Fundamental_Information_Concatenate("")</f>
        <v xml:space="preserve">
市值22.734亿, 利润1.59亿; PE13.48; 平均PE17.09; 平均PEG12.52, PB1.1; ROIC16.41%; ROE17.75%; 股利率3.6105%; 毛利59.5833%; 净利15.39%; 上一年度营收增-43.04%, 利润增-4.22%; 当季营收增66.47%, 利润增13.77%; 过往5年营收增1.36%, 利润增21.18%
Income profile:
</v>
      </c>
      <c r="D41" t="s">
        <v>666</v>
      </c>
      <c r="E41" t="s">
        <v>688</v>
      </c>
      <c r="F41">
        <v>21.05</v>
      </c>
      <c r="G41">
        <v>-0.05</v>
      </c>
      <c r="H41" t="s">
        <v>1952</v>
      </c>
      <c r="I41">
        <v>2273400000</v>
      </c>
      <c r="J41">
        <v>13.48</v>
      </c>
      <c r="K41">
        <v>1.1000000000000001</v>
      </c>
      <c r="L41" t="s">
        <v>53</v>
      </c>
      <c r="M41" t="s">
        <v>841</v>
      </c>
      <c r="N41" t="s">
        <v>1830</v>
      </c>
      <c r="O41" t="s">
        <v>677</v>
      </c>
      <c r="P41">
        <v>-2.1800000000000002</v>
      </c>
      <c r="Q41" t="s">
        <v>533</v>
      </c>
      <c r="R41">
        <v>53153456</v>
      </c>
      <c r="S41">
        <v>-0.17510000000000001</v>
      </c>
      <c r="T41" t="s">
        <v>221</v>
      </c>
      <c r="U41">
        <v>38741730</v>
      </c>
      <c r="V41">
        <v>108000000</v>
      </c>
      <c r="W41">
        <v>1.19</v>
      </c>
      <c r="X41">
        <v>0.12</v>
      </c>
      <c r="Y41">
        <v>18.48</v>
      </c>
      <c r="Z41" t="s">
        <v>919</v>
      </c>
      <c r="AA41" t="s">
        <v>253</v>
      </c>
      <c r="AB41" t="s">
        <v>1953</v>
      </c>
      <c r="AC41" t="s">
        <v>1954</v>
      </c>
      <c r="AD41" t="s">
        <v>54</v>
      </c>
      <c r="AE41">
        <v>-1334966</v>
      </c>
      <c r="AF41" t="s">
        <v>1955</v>
      </c>
      <c r="AG41" t="s">
        <v>1956</v>
      </c>
      <c r="AH41" t="s">
        <v>1957</v>
      </c>
      <c r="AI41" t="s">
        <v>342</v>
      </c>
      <c r="AJ41" t="s">
        <v>1958</v>
      </c>
      <c r="AK41" t="s">
        <v>54</v>
      </c>
      <c r="AL41" t="s">
        <v>1959</v>
      </c>
      <c r="AM41" t="s">
        <v>54</v>
      </c>
      <c r="AN41">
        <v>0</v>
      </c>
      <c r="AO41" t="s">
        <v>54</v>
      </c>
      <c r="AP41" t="s">
        <v>922</v>
      </c>
      <c r="AQ41" t="s">
        <v>226</v>
      </c>
      <c r="AR41" t="s">
        <v>54</v>
      </c>
      <c r="AS41" t="s">
        <v>1960</v>
      </c>
      <c r="AT41" t="s">
        <v>54</v>
      </c>
      <c r="AU41" t="s">
        <v>1961</v>
      </c>
      <c r="AV41" t="s">
        <v>1962</v>
      </c>
      <c r="AW41" t="s">
        <v>1963</v>
      </c>
      <c r="AX41" t="s">
        <v>845</v>
      </c>
      <c r="AY41" t="s">
        <v>667</v>
      </c>
      <c r="AZ41" t="s">
        <v>668</v>
      </c>
      <c r="BA41" t="s">
        <v>669</v>
      </c>
      <c r="BB41" t="s">
        <v>408</v>
      </c>
      <c r="BC41" t="s">
        <v>222</v>
      </c>
      <c r="BD41" t="s">
        <v>202</v>
      </c>
      <c r="BE41" t="s">
        <v>247</v>
      </c>
      <c r="BF41" t="s">
        <v>670</v>
      </c>
      <c r="BG41" t="s">
        <v>671</v>
      </c>
      <c r="BH41" t="s">
        <v>1964</v>
      </c>
      <c r="BI41" t="s">
        <v>264</v>
      </c>
      <c r="BJ41" t="s">
        <v>845</v>
      </c>
      <c r="BK41" t="s">
        <v>357</v>
      </c>
      <c r="BL41" t="s">
        <v>1965</v>
      </c>
      <c r="BM41" t="s">
        <v>222</v>
      </c>
      <c r="BN41">
        <v>6.52</v>
      </c>
      <c r="BO41">
        <v>12.56</v>
      </c>
      <c r="BP41">
        <v>30.15</v>
      </c>
      <c r="BQ41">
        <v>6.66</v>
      </c>
      <c r="BR41">
        <v>16</v>
      </c>
      <c r="BS41">
        <v>30.59</v>
      </c>
      <c r="BT41" t="s">
        <v>1966</v>
      </c>
      <c r="BU41" t="s">
        <v>646</v>
      </c>
      <c r="BV41">
        <v>59.76</v>
      </c>
      <c r="BW41">
        <v>59.74</v>
      </c>
      <c r="BX41">
        <v>59.25</v>
      </c>
      <c r="BY41">
        <v>15.62</v>
      </c>
      <c r="BZ41">
        <v>14.52</v>
      </c>
      <c r="CA41">
        <v>16.03</v>
      </c>
      <c r="CB41">
        <v>0.43</v>
      </c>
      <c r="CC41">
        <v>-9.19</v>
      </c>
      <c r="CD41" t="s">
        <v>1967</v>
      </c>
      <c r="CE41" t="s">
        <v>1968</v>
      </c>
      <c r="CF41" s="8">
        <v>0.66473988439306353</v>
      </c>
      <c r="CG41" s="9">
        <v>0.13774379632820544</v>
      </c>
      <c r="CH41" s="8">
        <v>-0.43044623732566833</v>
      </c>
      <c r="CI41" s="8">
        <v>-5.8484297245740891E-2</v>
      </c>
      <c r="CJ41" s="8">
        <v>0.16395014524459839</v>
      </c>
      <c r="CK41" s="8">
        <v>0.162764772772789</v>
      </c>
      <c r="CL41" s="8">
        <v>0.23045267164707184</v>
      </c>
      <c r="CM41" s="9">
        <v>-4.2168673127889633E-2</v>
      </c>
      <c r="CN41" s="9">
        <v>-0.14871795475482941</v>
      </c>
      <c r="CO41" s="9">
        <v>0.63865548372268677</v>
      </c>
      <c r="CP41" s="9">
        <v>0.32984966039657593</v>
      </c>
      <c r="CQ41" s="9">
        <v>0.28161361813545227</v>
      </c>
      <c r="CR41">
        <v>17.086702450817672</v>
      </c>
      <c r="CS41">
        <v>12.52010540865059</v>
      </c>
      <c r="CT41">
        <v>3.6104513064133013</v>
      </c>
      <c r="CU41" s="8">
        <v>1.3647411018610001E-2</v>
      </c>
      <c r="CV41" s="9">
        <v>0.2118464268743992</v>
      </c>
      <c r="CW41">
        <v>0.06</v>
      </c>
      <c r="CX41">
        <v>4.481505716175767</v>
      </c>
      <c r="CY41">
        <v>152047111.65279147</v>
      </c>
      <c r="CZ41">
        <v>1.3647411018610001E-2</v>
      </c>
      <c r="DA41">
        <v>1.5631778851884695</v>
      </c>
      <c r="DB41">
        <v>435906883.31535912</v>
      </c>
      <c r="DC41">
        <v>1.29650404676795E-2</v>
      </c>
      <c r="DD41">
        <v>0.8373736396103465</v>
      </c>
      <c r="DE41">
        <v>813734715.02766025</v>
      </c>
      <c r="DF41">
        <v>1.2009721696376801E-2</v>
      </c>
      <c r="DG41">
        <v>0.55110036096000492</v>
      </c>
      <c r="DH41">
        <v>1236435408.6305006</v>
      </c>
      <c r="DI41">
        <v>1.0917928814888001E-2</v>
      </c>
      <c r="DJ41">
        <v>0.34379329636798434</v>
      </c>
      <c r="DK41">
        <v>1982004905.8509076</v>
      </c>
      <c r="DL41">
        <v>9.5531877130269997E-3</v>
      </c>
      <c r="DM41">
        <v>159000000</v>
      </c>
      <c r="DN41">
        <v>1.3647411018610001E-2</v>
      </c>
      <c r="DO41">
        <v>681400000</v>
      </c>
      <c r="DP41">
        <v>1291119800</v>
      </c>
      <c r="DQ41">
        <v>2683</v>
      </c>
      <c r="DR41">
        <v>0.65109247337445353</v>
      </c>
      <c r="DS41">
        <v>-7.410263054619376E-2</v>
      </c>
      <c r="DT41" s="10">
        <v>-0.25666666666666677</v>
      </c>
      <c r="DU41">
        <v>0.48333333333333334</v>
      </c>
      <c r="DV41">
        <v>0.22666666666666657</v>
      </c>
      <c r="DW41">
        <v>-2.0918999999999999</v>
      </c>
      <c r="DX41">
        <v>0.3571228751266709</v>
      </c>
      <c r="DY41">
        <v>-2.0144395922241412</v>
      </c>
      <c r="DZ41">
        <v>3670</v>
      </c>
      <c r="EA41">
        <v>-2.004069082740267</v>
      </c>
      <c r="EB41">
        <v>2</v>
      </c>
      <c r="EC41">
        <v>2.0386111111111112E-2</v>
      </c>
      <c r="ED41">
        <v>0.1297462962962963</v>
      </c>
      <c r="EE41" s="13">
        <v>3.0122</v>
      </c>
      <c r="EF41">
        <v>3.0173999999999999</v>
      </c>
      <c r="EG41">
        <v>20.157122875126671</v>
      </c>
      <c r="EH41" t="s">
        <v>808</v>
      </c>
      <c r="EI41">
        <v>0</v>
      </c>
      <c r="EJ41">
        <v>0</v>
      </c>
      <c r="EK41" s="12">
        <v>45470</v>
      </c>
      <c r="EL41" s="14">
        <v>-1.56</v>
      </c>
      <c r="EM41" s="14">
        <v>-6.88</v>
      </c>
      <c r="EN41" s="14">
        <v>4.9000000000000004</v>
      </c>
      <c r="EO41" s="14">
        <v>6.36</v>
      </c>
      <c r="EP41" s="14">
        <v>0.52</v>
      </c>
    </row>
    <row r="42" spans="1:146" ht="84" x14ac:dyDescent="0.25">
      <c r="C42" s="5" t="str">
        <f>""&amp;CHAR(10)&amp;Basic_Fundamental_Information_Constructure(F42)&amp;CHAR(10)&amp;Basic_Fundamental_Information_Concatenate("")</f>
        <v xml:space="preserve">
市值11.268亿, 利润1.04亿; PE; 平均PE-64.39; 平均PEG-.24, PB2.06; ROIC.78%; ROE-5.3467%; 股利率0%; 毛利37.25%; 净利-12.0067%; 上一年度营收增831.4%, 利润增174.82%; 当季营收增-79.07%, 利润增-151.32%; 过往5年营收增271.39%, 利润增174.82%
Income profile:
</v>
      </c>
      <c r="D42" t="s">
        <v>186</v>
      </c>
      <c r="E42" t="s">
        <v>39</v>
      </c>
      <c r="F42">
        <v>3.13</v>
      </c>
      <c r="G42">
        <v>2.29</v>
      </c>
      <c r="H42" t="s">
        <v>1969</v>
      </c>
      <c r="I42">
        <v>1126800000</v>
      </c>
      <c r="K42">
        <v>2.06</v>
      </c>
      <c r="L42" t="s">
        <v>53</v>
      </c>
      <c r="M42" t="s">
        <v>661</v>
      </c>
      <c r="N42" t="s">
        <v>905</v>
      </c>
      <c r="O42" t="s">
        <v>236</v>
      </c>
      <c r="P42">
        <v>6.83</v>
      </c>
      <c r="Q42" t="s">
        <v>1970</v>
      </c>
      <c r="R42">
        <v>-13551576</v>
      </c>
      <c r="S42" s="3">
        <v>-1.837</v>
      </c>
      <c r="T42" t="s">
        <v>124</v>
      </c>
      <c r="U42">
        <v>360000000</v>
      </c>
      <c r="V42">
        <v>360000000</v>
      </c>
      <c r="W42">
        <v>1.79</v>
      </c>
      <c r="X42" t="s">
        <v>54</v>
      </c>
      <c r="Y42">
        <v>-10.36</v>
      </c>
      <c r="Z42" t="s">
        <v>54</v>
      </c>
      <c r="AA42" t="s">
        <v>54</v>
      </c>
      <c r="AB42" t="s">
        <v>54</v>
      </c>
      <c r="AC42" t="s">
        <v>54</v>
      </c>
      <c r="AD42" t="s">
        <v>54</v>
      </c>
      <c r="AE42">
        <v>2447291</v>
      </c>
      <c r="AF42" t="s">
        <v>1971</v>
      </c>
      <c r="AG42" t="s">
        <v>1972</v>
      </c>
      <c r="AH42" t="s">
        <v>1973</v>
      </c>
      <c r="AI42" t="s">
        <v>1121</v>
      </c>
      <c r="AJ42" t="s">
        <v>1974</v>
      </c>
      <c r="AK42" t="s">
        <v>54</v>
      </c>
      <c r="AL42" t="s">
        <v>1975</v>
      </c>
      <c r="AM42" t="s">
        <v>54</v>
      </c>
      <c r="AN42" t="s">
        <v>1976</v>
      </c>
      <c r="AO42" t="s">
        <v>54</v>
      </c>
      <c r="AP42" t="s">
        <v>1977</v>
      </c>
      <c r="AQ42" t="s">
        <v>1978</v>
      </c>
      <c r="AR42" t="s">
        <v>1979</v>
      </c>
      <c r="AS42" t="s">
        <v>54</v>
      </c>
      <c r="AT42" t="s">
        <v>54</v>
      </c>
      <c r="AU42" t="s">
        <v>1980</v>
      </c>
      <c r="AV42" t="s">
        <v>1981</v>
      </c>
      <c r="AW42" t="s">
        <v>1982</v>
      </c>
      <c r="AX42" t="s">
        <v>265</v>
      </c>
      <c r="AY42" t="s">
        <v>54</v>
      </c>
      <c r="AZ42" t="s">
        <v>400</v>
      </c>
      <c r="BA42" t="s">
        <v>187</v>
      </c>
      <c r="BB42" t="s">
        <v>347</v>
      </c>
      <c r="BC42" t="s">
        <v>1983</v>
      </c>
      <c r="BD42" t="s">
        <v>54</v>
      </c>
      <c r="BE42" t="s">
        <v>54</v>
      </c>
      <c r="BF42" t="s">
        <v>54</v>
      </c>
      <c r="BG42" t="s">
        <v>54</v>
      </c>
      <c r="BH42" t="s">
        <v>343</v>
      </c>
      <c r="BI42" t="s">
        <v>392</v>
      </c>
      <c r="BJ42" t="s">
        <v>265</v>
      </c>
      <c r="BK42" t="s">
        <v>1984</v>
      </c>
      <c r="BL42" t="s">
        <v>1985</v>
      </c>
      <c r="BM42" t="s">
        <v>1983</v>
      </c>
      <c r="BN42">
        <v>-1.79</v>
      </c>
      <c r="BO42" t="s">
        <v>54</v>
      </c>
      <c r="BP42">
        <v>3.35</v>
      </c>
      <c r="BQ42">
        <v>-1.89</v>
      </c>
      <c r="BR42">
        <v>-17.21</v>
      </c>
      <c r="BS42">
        <v>3.06</v>
      </c>
      <c r="BT42" t="s">
        <v>700</v>
      </c>
      <c r="BU42" t="s">
        <v>646</v>
      </c>
      <c r="BV42">
        <v>36.49</v>
      </c>
      <c r="BW42">
        <v>38.19</v>
      </c>
      <c r="BX42">
        <v>37.07</v>
      </c>
      <c r="BY42">
        <v>-12.72</v>
      </c>
      <c r="BZ42">
        <v>-27.66</v>
      </c>
      <c r="CA42">
        <v>4.3600000000000003</v>
      </c>
      <c r="CB42">
        <v>-2.19</v>
      </c>
      <c r="CC42">
        <v>-28.54</v>
      </c>
      <c r="CD42" t="s">
        <v>1986</v>
      </c>
      <c r="CE42" t="s">
        <v>1987</v>
      </c>
      <c r="CF42" s="8">
        <v>-0.7906602254428341</v>
      </c>
      <c r="CG42" s="9">
        <v>-1.513190918902543</v>
      </c>
      <c r="CH42" s="8">
        <v>8.3139533996582031</v>
      </c>
      <c r="CI42" s="8" t="s">
        <v>54</v>
      </c>
      <c r="CJ42" s="8" t="s">
        <v>54</v>
      </c>
      <c r="CK42" s="8">
        <v>-0.24161073565483093</v>
      </c>
      <c r="CL42" s="8">
        <v>6.9377988576889038E-2</v>
      </c>
      <c r="CM42" s="9">
        <v>1.7482014894485474</v>
      </c>
      <c r="CN42" s="9" t="s">
        <v>54</v>
      </c>
      <c r="CO42" s="9" t="s">
        <v>54</v>
      </c>
      <c r="CP42" s="9" t="s">
        <v>54</v>
      </c>
      <c r="CQ42" s="9" t="s">
        <v>54</v>
      </c>
      <c r="CR42">
        <v>-64.388571428571424</v>
      </c>
      <c r="CS42">
        <v>-0.23725416595384724</v>
      </c>
      <c r="CT42">
        <v>0</v>
      </c>
      <c r="CU42" s="8">
        <v>2.7139068841934204</v>
      </c>
      <c r="CV42" s="9">
        <v>1.7482014894485474</v>
      </c>
      <c r="CW42">
        <v>0.06</v>
      </c>
      <c r="CX42">
        <v>2.7630244119176357</v>
      </c>
      <c r="CY42">
        <v>364383316.93973184</v>
      </c>
      <c r="CZ42">
        <v>2.7139068841934204</v>
      </c>
      <c r="DA42">
        <v>0.18184243259565969</v>
      </c>
      <c r="DB42">
        <v>5536661524.093749</v>
      </c>
      <c r="DC42">
        <v>2.5782115399837493</v>
      </c>
      <c r="DD42">
        <v>6.2425551838307626E-3</v>
      </c>
      <c r="DE42">
        <v>161280112125.84494</v>
      </c>
      <c r="DF42">
        <v>2.3882380580902098</v>
      </c>
      <c r="DG42">
        <v>1.1223864012596235E-4</v>
      </c>
      <c r="DH42">
        <v>8970172828805.623</v>
      </c>
      <c r="DI42">
        <v>2.1711255073547364</v>
      </c>
      <c r="DJ42">
        <v>1.1149578495390993E-8</v>
      </c>
      <c r="DK42">
        <v>9.0299377722322912E+16</v>
      </c>
      <c r="DL42">
        <v>1.8997348189353942</v>
      </c>
      <c r="DM42">
        <v>104000000</v>
      </c>
      <c r="DN42">
        <v>2.7139068841934204</v>
      </c>
      <c r="DO42">
        <v>1006800000</v>
      </c>
      <c r="DP42">
        <v>857181160</v>
      </c>
      <c r="DQ42">
        <v>2924</v>
      </c>
      <c r="DR42">
        <v>-3.5045671096362545</v>
      </c>
      <c r="DS42">
        <v>-3.2613924083510906</v>
      </c>
      <c r="DT42" s="10">
        <v>-0.21000000000000008</v>
      </c>
      <c r="DU42">
        <v>-1.6950000000000001</v>
      </c>
      <c r="DV42">
        <v>-1.9050000000000002</v>
      </c>
      <c r="DW42">
        <v>-3.1418214285714283</v>
      </c>
      <c r="DX42">
        <v>0.34790807453416006</v>
      </c>
      <c r="DY42">
        <v>-3.0167218915705414</v>
      </c>
      <c r="DZ42">
        <v>3968</v>
      </c>
      <c r="EA42">
        <v>-3.0037370646132207</v>
      </c>
      <c r="EB42">
        <v>3</v>
      </c>
      <c r="EC42">
        <v>5.2731111111111111E-2</v>
      </c>
      <c r="ED42">
        <v>0.44722222222222224</v>
      </c>
      <c r="EE42" s="13">
        <v>1.0741099999999999</v>
      </c>
      <c r="EF42">
        <v>1.12731</v>
      </c>
      <c r="EG42">
        <v>23.11790807453416</v>
      </c>
      <c r="EH42" t="s">
        <v>647</v>
      </c>
      <c r="EI42">
        <v>0</v>
      </c>
      <c r="EJ42">
        <v>0</v>
      </c>
      <c r="EK42" s="12">
        <v>45470</v>
      </c>
      <c r="EL42" s="14">
        <v>1.8</v>
      </c>
      <c r="EM42" s="14">
        <v>-0.79</v>
      </c>
      <c r="EN42" s="14">
        <v>-9.9</v>
      </c>
      <c r="EO42" s="14">
        <v>3.3</v>
      </c>
      <c r="EP42" s="14">
        <v>-5.32</v>
      </c>
    </row>
    <row r="43" spans="1:146" ht="96" x14ac:dyDescent="0.25">
      <c r="C43" s="5" t="str">
        <f>""&amp;CHAR(10)&amp;Basic_Fundamental_Information_Constructure(F43)&amp;CHAR(10)&amp;Basic_Fundamental_Information_Concatenate("")</f>
        <v xml:space="preserve">
市值11.4133448亿, 利润1.94亿; PE46.61; 平均PE10.8; 平均PEG.01, PB2.11; ROIC2.5567%; ROE3.0967%; 股利率1.5332%; 毛利17.0067%; 净利5.3767%; 上一年度营收增2846.48%, 利润增1022.91%; 当季营收增-95.69%, 利润增198.81%; 过往5年营收增945.54%, 利润增1022.91%
Income profile:
</v>
      </c>
      <c r="D43" t="s">
        <v>95</v>
      </c>
      <c r="E43" t="s">
        <v>13</v>
      </c>
      <c r="F43">
        <v>11.74</v>
      </c>
      <c r="G43">
        <v>1.21</v>
      </c>
      <c r="H43" t="s">
        <v>1988</v>
      </c>
      <c r="I43">
        <v>1141334480</v>
      </c>
      <c r="J43">
        <v>46.61</v>
      </c>
      <c r="K43">
        <v>2.11</v>
      </c>
      <c r="L43" t="s">
        <v>53</v>
      </c>
      <c r="M43" t="s">
        <v>922</v>
      </c>
      <c r="N43" t="s">
        <v>869</v>
      </c>
      <c r="O43" t="s">
        <v>1989</v>
      </c>
      <c r="P43">
        <v>13.88</v>
      </c>
      <c r="Q43" t="s">
        <v>404</v>
      </c>
      <c r="R43">
        <v>4744286</v>
      </c>
      <c r="S43" s="3">
        <v>0.64690000000000003</v>
      </c>
      <c r="T43" t="s">
        <v>315</v>
      </c>
      <c r="U43">
        <v>97217588</v>
      </c>
      <c r="V43">
        <v>97217588</v>
      </c>
      <c r="W43">
        <v>1.27</v>
      </c>
      <c r="X43" t="s">
        <v>54</v>
      </c>
      <c r="Y43">
        <v>6.64</v>
      </c>
      <c r="Z43" t="s">
        <v>54</v>
      </c>
      <c r="AA43" t="s">
        <v>54</v>
      </c>
      <c r="AB43" t="s">
        <v>54</v>
      </c>
      <c r="AC43" t="s">
        <v>54</v>
      </c>
      <c r="AD43" t="s">
        <v>54</v>
      </c>
      <c r="AE43">
        <v>-1640122</v>
      </c>
      <c r="AF43" t="s">
        <v>1990</v>
      </c>
      <c r="AG43">
        <v>1.05</v>
      </c>
      <c r="AH43" t="s">
        <v>1991</v>
      </c>
      <c r="AI43" t="s">
        <v>1992</v>
      </c>
      <c r="AJ43" t="s">
        <v>1993</v>
      </c>
      <c r="AK43" t="s">
        <v>54</v>
      </c>
      <c r="AL43" t="s">
        <v>1994</v>
      </c>
      <c r="AM43" t="s">
        <v>54</v>
      </c>
      <c r="AN43">
        <v>0</v>
      </c>
      <c r="AO43" t="s">
        <v>54</v>
      </c>
      <c r="AP43" t="s">
        <v>1995</v>
      </c>
      <c r="AQ43" t="s">
        <v>1996</v>
      </c>
      <c r="AR43" t="s">
        <v>54</v>
      </c>
      <c r="AS43" t="s">
        <v>54</v>
      </c>
      <c r="AT43" t="s">
        <v>54</v>
      </c>
      <c r="AU43" t="s">
        <v>1997</v>
      </c>
      <c r="AV43" t="s">
        <v>1998</v>
      </c>
      <c r="AW43" t="s">
        <v>54</v>
      </c>
      <c r="AX43" t="s">
        <v>617</v>
      </c>
      <c r="AY43" t="s">
        <v>54</v>
      </c>
      <c r="AZ43" t="s">
        <v>148</v>
      </c>
      <c r="BA43" t="s">
        <v>96</v>
      </c>
      <c r="BB43" t="s">
        <v>402</v>
      </c>
      <c r="BC43" t="s">
        <v>847</v>
      </c>
      <c r="BD43" t="s">
        <v>54</v>
      </c>
      <c r="BE43" t="s">
        <v>54</v>
      </c>
      <c r="BF43" t="s">
        <v>54</v>
      </c>
      <c r="BG43" t="s">
        <v>54</v>
      </c>
      <c r="BH43" t="s">
        <v>402</v>
      </c>
      <c r="BI43" t="s">
        <v>1999</v>
      </c>
      <c r="BJ43" t="s">
        <v>617</v>
      </c>
      <c r="BK43" t="s">
        <v>2000</v>
      </c>
      <c r="BL43" t="s">
        <v>2001</v>
      </c>
      <c r="BM43" t="s">
        <v>847</v>
      </c>
      <c r="BN43">
        <v>1.81</v>
      </c>
      <c r="BO43">
        <v>2.62</v>
      </c>
      <c r="BP43">
        <v>3.24</v>
      </c>
      <c r="BQ43">
        <v>2.11</v>
      </c>
      <c r="BR43">
        <v>3.29</v>
      </c>
      <c r="BS43">
        <v>3.89</v>
      </c>
      <c r="BT43" t="s">
        <v>2002</v>
      </c>
      <c r="BU43" t="s">
        <v>659</v>
      </c>
      <c r="BV43">
        <v>18.04</v>
      </c>
      <c r="BW43">
        <v>17.5</v>
      </c>
      <c r="BX43">
        <v>15.48</v>
      </c>
      <c r="BY43">
        <v>5.83</v>
      </c>
      <c r="BZ43">
        <v>5.29</v>
      </c>
      <c r="CA43">
        <v>5.01</v>
      </c>
      <c r="CB43">
        <v>-1.1000000000000001</v>
      </c>
      <c r="CC43">
        <v>-12.39</v>
      </c>
      <c r="CD43" t="s">
        <v>2003</v>
      </c>
      <c r="CE43" t="s">
        <v>2004</v>
      </c>
      <c r="CF43" s="8">
        <v>-0.95687448733413749</v>
      </c>
      <c r="CG43" s="9">
        <v>1.9880841403728002</v>
      </c>
      <c r="CH43" s="8">
        <v>28.464832305908203</v>
      </c>
      <c r="CI43" s="8" t="s">
        <v>54</v>
      </c>
      <c r="CJ43" s="8" t="s">
        <v>54</v>
      </c>
      <c r="CK43" s="8">
        <v>4.8338368535041809E-2</v>
      </c>
      <c r="CL43" s="8">
        <v>-0.14690721035003662</v>
      </c>
      <c r="CM43" s="9">
        <v>10.229061126708984</v>
      </c>
      <c r="CN43" s="9" t="s">
        <v>54</v>
      </c>
      <c r="CO43" s="9" t="s">
        <v>54</v>
      </c>
      <c r="CP43" s="9" t="s">
        <v>54</v>
      </c>
      <c r="CQ43" s="9" t="s">
        <v>54</v>
      </c>
      <c r="CR43">
        <v>10.804173107670229</v>
      </c>
      <c r="CS43">
        <v>1.1426432446430365E-2</v>
      </c>
      <c r="CT43">
        <v>1.5332197614991483</v>
      </c>
      <c r="CU43" s="8">
        <v>9.4554211546977367</v>
      </c>
      <c r="CV43" s="9">
        <v>10.229061126708984</v>
      </c>
      <c r="CW43">
        <v>0.06</v>
      </c>
      <c r="CX43">
        <v>0.40413827009332537</v>
      </c>
      <c r="CY43">
        <v>1913539343.406944</v>
      </c>
      <c r="CZ43">
        <v>9.4554211546977367</v>
      </c>
      <c r="DA43">
        <v>4.2708465899406285E-3</v>
      </c>
      <c r="DB43">
        <v>181072877171.81866</v>
      </c>
      <c r="DC43">
        <v>8.9826500969628498</v>
      </c>
      <c r="DD43">
        <v>7.6429249895887125E-6</v>
      </c>
      <c r="DE43">
        <v>101183052437835.75</v>
      </c>
      <c r="DF43">
        <v>8.3207706161340091</v>
      </c>
      <c r="DG43">
        <v>2.9464931443858342E-9</v>
      </c>
      <c r="DH43">
        <v>2.6245928366522419E+17</v>
      </c>
      <c r="DI43">
        <v>7.5643369237581899</v>
      </c>
      <c r="DJ43">
        <v>2.5345167922862139E-17</v>
      </c>
      <c r="DK43">
        <v>3.0512107173787077E+25</v>
      </c>
      <c r="DL43">
        <v>6.6187948082884152</v>
      </c>
      <c r="DM43">
        <v>194000000</v>
      </c>
      <c r="DN43">
        <v>9.4554211546977367</v>
      </c>
      <c r="DO43">
        <v>773334480</v>
      </c>
      <c r="DP43">
        <v>546515710</v>
      </c>
      <c r="DQ43">
        <v>2951</v>
      </c>
      <c r="DR43">
        <v>-10.412295642031875</v>
      </c>
      <c r="DS43">
        <v>-8.2409769863361841</v>
      </c>
      <c r="DT43" s="10">
        <v>-0.21000000000000008</v>
      </c>
      <c r="DU43">
        <v>2.6999999999999997</v>
      </c>
      <c r="DV43">
        <v>2.4899999999999998</v>
      </c>
      <c r="DW43">
        <v>-2.1238999999999999</v>
      </c>
      <c r="DX43">
        <v>0.41272377532700671</v>
      </c>
      <c r="DY43">
        <v>-2.015205475763016</v>
      </c>
      <c r="DZ43">
        <v>4948</v>
      </c>
      <c r="EA43">
        <v>-2.0004820522648941</v>
      </c>
      <c r="EB43">
        <v>2</v>
      </c>
      <c r="EC43">
        <v>4.0359980953240684E-2</v>
      </c>
      <c r="ED43">
        <v>0.32886847593873653</v>
      </c>
      <c r="EE43" s="13">
        <v>-1.0438099999999999</v>
      </c>
      <c r="EF43">
        <v>-1.08131</v>
      </c>
      <c r="EG43">
        <v>29.122723775327007</v>
      </c>
      <c r="EH43" t="s">
        <v>656</v>
      </c>
      <c r="EI43">
        <v>0</v>
      </c>
      <c r="EJ43">
        <v>0</v>
      </c>
      <c r="EK43" s="12">
        <v>45470</v>
      </c>
      <c r="EL43" s="14">
        <v>0</v>
      </c>
      <c r="EM43" s="14">
        <v>-4.1900000000000004</v>
      </c>
      <c r="EN43" s="14">
        <v>0</v>
      </c>
      <c r="EO43" s="14">
        <v>0</v>
      </c>
      <c r="EP43" s="14">
        <v>-3.75</v>
      </c>
    </row>
    <row r="44" spans="1:146" ht="144" x14ac:dyDescent="0.25">
      <c r="A44" s="5" t="s">
        <v>214</v>
      </c>
      <c r="B44" s="5" t="s">
        <v>213</v>
      </c>
      <c r="C44" s="5" t="str">
        <f>"公司主营业务是品牌服装、地产开发和投资业务。其主要产品包括品牌衬衫、品牌西服、品牌裤子、品牌上衣、地产开发。"&amp;CHAR(10)&amp;Basic_Fundamental_Information_Constructure(F44)&amp;CHAR(10)&amp;Basic_Fundamental_Information_Concatenate("房地产/康旅板块 62.79亿 65.75% 60.16% 51.62%
服装板块 28.43亿 29.77% 38.85% 73.61%
纺织板块 5.45亿 5.71% 1.15% 11.41%
投资板块 46.73万 0.0049% ")</f>
        <v xml:space="preserve">公司主营业务是品牌服装、地产开发和投资业务。其主要产品包括品牌衬衫、品牌西服、品牌裤子、品牌上衣、地产开发。
市值325.86773亿, 利润405.51万; PE9.33; 平均PE12.84; 平均PEG.91, PB.81; ROIC7.95%; ROE12.4467%; 股利率7.1023%; 毛利52.42%; 净利32.4833%; 上一年度营收增-63.54%, 利润增-99.92%; 当季营收增165.73%, 利润增8019.39%; 过往5年营收增-14.08%, 利润增-99.92%
Income profile:
房地产/康旅板块 62.79亿 65.75% 60.16% 51.62%
服装板块 28.43亿 29.77% 38.85% 73.61%
纺织板块 5.45亿 5.71% 1.15% 11.41%
投资板块 46.73万 0.0049% </v>
      </c>
      <c r="D44" t="s">
        <v>67</v>
      </c>
      <c r="E44" t="s">
        <v>37</v>
      </c>
      <c r="F44">
        <v>7.04</v>
      </c>
      <c r="G44">
        <v>-0.56000000000000005</v>
      </c>
      <c r="H44" t="s">
        <v>2005</v>
      </c>
      <c r="I44">
        <v>32586773000</v>
      </c>
      <c r="J44">
        <v>9.33</v>
      </c>
      <c r="K44">
        <v>0.81</v>
      </c>
      <c r="L44" t="s">
        <v>53</v>
      </c>
      <c r="M44" t="s">
        <v>2006</v>
      </c>
      <c r="N44" t="s">
        <v>2007</v>
      </c>
      <c r="O44" t="s">
        <v>2008</v>
      </c>
      <c r="P44">
        <v>1.4</v>
      </c>
      <c r="Q44" t="s">
        <v>2009</v>
      </c>
      <c r="R44">
        <v>926972850</v>
      </c>
      <c r="S44" s="3">
        <v>6.8599999999999994E-2</v>
      </c>
      <c r="T44" t="s">
        <v>2010</v>
      </c>
      <c r="U44">
        <v>4628803000</v>
      </c>
      <c r="V44">
        <v>4628803000</v>
      </c>
      <c r="W44">
        <v>2</v>
      </c>
      <c r="X44" t="s">
        <v>54</v>
      </c>
      <c r="Y44">
        <v>28.27</v>
      </c>
      <c r="Z44" t="s">
        <v>54</v>
      </c>
      <c r="AA44" t="s">
        <v>54</v>
      </c>
      <c r="AB44" t="s">
        <v>54</v>
      </c>
      <c r="AC44" t="s">
        <v>54</v>
      </c>
      <c r="AD44" t="s">
        <v>54</v>
      </c>
      <c r="AE44">
        <v>154467270</v>
      </c>
      <c r="AF44" t="s">
        <v>2011</v>
      </c>
      <c r="AG44" t="s">
        <v>2012</v>
      </c>
      <c r="AH44" t="s">
        <v>2013</v>
      </c>
      <c r="AI44" t="s">
        <v>2014</v>
      </c>
      <c r="AJ44" t="s">
        <v>2015</v>
      </c>
      <c r="AK44" t="s">
        <v>54</v>
      </c>
      <c r="AL44" t="s">
        <v>2016</v>
      </c>
      <c r="AM44" t="s">
        <v>54</v>
      </c>
      <c r="AN44" t="s">
        <v>218</v>
      </c>
      <c r="AO44" t="s">
        <v>54</v>
      </c>
      <c r="AP44" t="s">
        <v>2017</v>
      </c>
      <c r="AQ44" t="s">
        <v>2018</v>
      </c>
      <c r="AR44" t="s">
        <v>2019</v>
      </c>
      <c r="AS44" t="s">
        <v>54</v>
      </c>
      <c r="AT44" t="s">
        <v>54</v>
      </c>
      <c r="AU44" t="s">
        <v>2020</v>
      </c>
      <c r="AV44" t="s">
        <v>2021</v>
      </c>
      <c r="AW44" t="s">
        <v>983</v>
      </c>
      <c r="AX44" t="s">
        <v>848</v>
      </c>
      <c r="AY44" t="s">
        <v>54</v>
      </c>
      <c r="AZ44" t="s">
        <v>403</v>
      </c>
      <c r="BA44" t="s">
        <v>68</v>
      </c>
      <c r="BB44" t="s">
        <v>404</v>
      </c>
      <c r="BC44" t="s">
        <v>2022</v>
      </c>
      <c r="BD44" t="s">
        <v>54</v>
      </c>
      <c r="BE44" t="s">
        <v>54</v>
      </c>
      <c r="BF44" t="s">
        <v>54</v>
      </c>
      <c r="BG44" t="s">
        <v>54</v>
      </c>
      <c r="BH44" t="s">
        <v>2023</v>
      </c>
      <c r="BI44" t="s">
        <v>2024</v>
      </c>
      <c r="BJ44" t="s">
        <v>848</v>
      </c>
      <c r="BK44" t="s">
        <v>2025</v>
      </c>
      <c r="BL44" t="s">
        <v>2026</v>
      </c>
      <c r="BM44" t="s">
        <v>2022</v>
      </c>
      <c r="BN44">
        <v>4.8499999999999996</v>
      </c>
      <c r="BO44">
        <v>9.23</v>
      </c>
      <c r="BP44">
        <v>9.77</v>
      </c>
      <c r="BQ44">
        <v>7.1</v>
      </c>
      <c r="BR44">
        <v>14.07</v>
      </c>
      <c r="BS44">
        <v>16.170000000000002</v>
      </c>
      <c r="BT44" t="s">
        <v>699</v>
      </c>
      <c r="BU44" t="s">
        <v>646</v>
      </c>
      <c r="BV44">
        <v>44.05</v>
      </c>
      <c r="BW44">
        <v>55.22</v>
      </c>
      <c r="BX44">
        <v>57.99</v>
      </c>
      <c r="BY44">
        <v>25.53</v>
      </c>
      <c r="BZ44">
        <v>34.18</v>
      </c>
      <c r="CA44">
        <v>37.74</v>
      </c>
      <c r="CB44">
        <v>-1.1200000000000001</v>
      </c>
      <c r="CC44">
        <v>-5.63</v>
      </c>
      <c r="CD44" t="s">
        <v>2027</v>
      </c>
      <c r="CE44" t="s">
        <v>2028</v>
      </c>
      <c r="CF44" s="8">
        <v>1.6573033707865168</v>
      </c>
      <c r="CG44" s="9">
        <v>80.193928287669479</v>
      </c>
      <c r="CH44" s="8">
        <v>-0.63538223505020142</v>
      </c>
      <c r="CI44" s="8" t="s">
        <v>54</v>
      </c>
      <c r="CJ44" s="8" t="s">
        <v>54</v>
      </c>
      <c r="CK44" s="8">
        <v>-7.6080866158008575E-2</v>
      </c>
      <c r="CL44" s="8">
        <v>0.28915411233901978</v>
      </c>
      <c r="CM44" s="9">
        <v>-0.99920064210891724</v>
      </c>
      <c r="CN44" s="9" t="s">
        <v>54</v>
      </c>
      <c r="CO44" s="9" t="s">
        <v>54</v>
      </c>
      <c r="CP44" s="9" t="s">
        <v>54</v>
      </c>
      <c r="CQ44" s="9" t="s">
        <v>54</v>
      </c>
      <c r="CR44">
        <v>12.836879788836642</v>
      </c>
      <c r="CS44">
        <v>0.91190669347648101</v>
      </c>
      <c r="CT44">
        <v>7.1022727272727275</v>
      </c>
      <c r="CU44" s="8">
        <v>-0.14076966295639673</v>
      </c>
      <c r="CV44" s="9">
        <v>-0.99920064210891724</v>
      </c>
      <c r="CW44">
        <v>0.06</v>
      </c>
      <c r="CX44">
        <v>8164.4775714532316</v>
      </c>
      <c r="CY44" t="s">
        <v>2029</v>
      </c>
      <c r="CZ44">
        <v>-0.14076966295639673</v>
      </c>
      <c r="DA44">
        <v>2721.4925238177439</v>
      </c>
      <c r="DB44" t="s">
        <v>2030</v>
      </c>
      <c r="DC44">
        <v>-0.13373117980857688</v>
      </c>
      <c r="DD44">
        <v>1360.7462619088719</v>
      </c>
      <c r="DE44" t="s">
        <v>2031</v>
      </c>
      <c r="DF44">
        <v>-0.12387730340162913</v>
      </c>
      <c r="DG44">
        <v>816.44775714532318</v>
      </c>
      <c r="DH44" t="s">
        <v>2032</v>
      </c>
      <c r="DI44">
        <v>-0.11261573036511739</v>
      </c>
      <c r="DJ44">
        <v>408.22387857266159</v>
      </c>
      <c r="DK44" t="s">
        <v>2033</v>
      </c>
      <c r="DL44">
        <v>-9.8538764069477702E-2</v>
      </c>
      <c r="DM44">
        <v>4055100</v>
      </c>
      <c r="DN44">
        <v>-0.14076966295639673</v>
      </c>
      <c r="DO44">
        <v>33107773000</v>
      </c>
      <c r="DP44">
        <v>32688107000</v>
      </c>
      <c r="DQ44">
        <v>2980</v>
      </c>
      <c r="DR44">
        <v>1.7980730337429136</v>
      </c>
      <c r="DS44">
        <v>81.193128929778396</v>
      </c>
      <c r="DT44" s="10">
        <v>-1.1599999999999999</v>
      </c>
      <c r="DU44">
        <v>-2.3199999999999998</v>
      </c>
      <c r="DV44">
        <v>-3.4799999999999995</v>
      </c>
      <c r="DW44">
        <v>-1.0563</v>
      </c>
      <c r="DX44">
        <v>0.41359163800904808</v>
      </c>
      <c r="DY44">
        <v>-1.0103362092199095</v>
      </c>
      <c r="DZ44">
        <v>3177</v>
      </c>
      <c r="EA44">
        <v>-1.0039099593780989</v>
      </c>
      <c r="EB44">
        <v>1</v>
      </c>
      <c r="EC44">
        <v>1.7530990193361004E-2</v>
      </c>
      <c r="ED44">
        <v>9.5489049760812891E-2</v>
      </c>
      <c r="EE44" s="13">
        <v>2.6110000000000001E-2</v>
      </c>
      <c r="EF44">
        <v>3.1510000000000003E-2</v>
      </c>
      <c r="EG44">
        <v>23.183591638009048</v>
      </c>
      <c r="EH44">
        <v>-1</v>
      </c>
      <c r="EI44">
        <v>0</v>
      </c>
      <c r="EJ44">
        <v>0</v>
      </c>
      <c r="EK44" s="12">
        <v>45470</v>
      </c>
      <c r="EL44" s="14">
        <v>1.22</v>
      </c>
      <c r="EM44" s="14">
        <v>-0.47</v>
      </c>
      <c r="EN44" s="14">
        <v>1.96</v>
      </c>
      <c r="EO44" s="14">
        <v>2.57</v>
      </c>
      <c r="EP44" s="14">
        <v>-0.54</v>
      </c>
    </row>
    <row r="45" spans="1:146" ht="96" x14ac:dyDescent="0.25">
      <c r="C45" s="5" t="str">
        <f>""&amp;CHAR(10)&amp;Basic_Fundamental_Information_Constructure(F45)&amp;CHAR(10)&amp;Basic_Fundamental_Information_Concatenate("")</f>
        <v xml:space="preserve">
市值412.55797亿, 利润3.62亿; PE13.59; 平均PE18.39; 平均PEG1.75, PB2.12; ROIC12.5867%; ROE15.8367%; 股利率6.5192%; 毛利42.6667%; 净利12.1867%; 上一年度营收增-53.8%, 利润增-83.2%; 当季营收增207.47%, 利润增1372.52%; 过往5年营收增-10.52%, 利润增-21.72%
Income profile:
</v>
      </c>
      <c r="D45" t="s">
        <v>131</v>
      </c>
      <c r="E45" t="s">
        <v>36</v>
      </c>
      <c r="F45">
        <v>8.59</v>
      </c>
      <c r="G45">
        <v>-1.6</v>
      </c>
      <c r="H45" t="s">
        <v>2034</v>
      </c>
      <c r="I45">
        <v>41255797000</v>
      </c>
      <c r="J45">
        <v>13.59</v>
      </c>
      <c r="K45">
        <v>2.12</v>
      </c>
      <c r="L45" t="s">
        <v>53</v>
      </c>
      <c r="M45" t="s">
        <v>2035</v>
      </c>
      <c r="N45" t="s">
        <v>2036</v>
      </c>
      <c r="O45" t="s">
        <v>2037</v>
      </c>
      <c r="P45">
        <v>8.7200000000000006</v>
      </c>
      <c r="Q45" t="s">
        <v>2038</v>
      </c>
      <c r="R45">
        <v>886796520</v>
      </c>
      <c r="S45" s="3">
        <v>0.1041</v>
      </c>
      <c r="T45" t="s">
        <v>932</v>
      </c>
      <c r="U45">
        <v>4802770300</v>
      </c>
      <c r="V45">
        <v>4802770300</v>
      </c>
      <c r="W45">
        <v>1.74</v>
      </c>
      <c r="X45">
        <v>0.18</v>
      </c>
      <c r="Y45">
        <v>14.35</v>
      </c>
      <c r="Z45" t="s">
        <v>2039</v>
      </c>
      <c r="AA45" t="s">
        <v>2040</v>
      </c>
      <c r="AB45" t="s">
        <v>920</v>
      </c>
      <c r="AC45" t="s">
        <v>821</v>
      </c>
      <c r="AD45" t="s">
        <v>54</v>
      </c>
      <c r="AE45">
        <v>-62851186</v>
      </c>
      <c r="AF45" t="s">
        <v>2041</v>
      </c>
      <c r="AG45" t="s">
        <v>2042</v>
      </c>
      <c r="AH45" t="s">
        <v>2043</v>
      </c>
      <c r="AI45" t="s">
        <v>2044</v>
      </c>
      <c r="AJ45" t="s">
        <v>2045</v>
      </c>
      <c r="AK45" t="s">
        <v>54</v>
      </c>
      <c r="AL45" t="s">
        <v>2046</v>
      </c>
      <c r="AM45" t="s">
        <v>54</v>
      </c>
      <c r="AN45" t="s">
        <v>2047</v>
      </c>
      <c r="AO45" t="s">
        <v>54</v>
      </c>
      <c r="AP45" t="s">
        <v>2048</v>
      </c>
      <c r="AQ45" t="s">
        <v>2049</v>
      </c>
      <c r="AR45" t="s">
        <v>2050</v>
      </c>
      <c r="AS45" t="s">
        <v>2051</v>
      </c>
      <c r="AT45" t="s">
        <v>54</v>
      </c>
      <c r="AU45" t="s">
        <v>1426</v>
      </c>
      <c r="AV45" t="s">
        <v>2052</v>
      </c>
      <c r="AW45" t="s">
        <v>2053</v>
      </c>
      <c r="AX45" t="s">
        <v>850</v>
      </c>
      <c r="AY45" t="s">
        <v>600</v>
      </c>
      <c r="AZ45" t="s">
        <v>406</v>
      </c>
      <c r="BA45" t="s">
        <v>132</v>
      </c>
      <c r="BB45" t="s">
        <v>409</v>
      </c>
      <c r="BC45" t="s">
        <v>851</v>
      </c>
      <c r="BD45" t="s">
        <v>601</v>
      </c>
      <c r="BE45" t="s">
        <v>407</v>
      </c>
      <c r="BF45" t="s">
        <v>133</v>
      </c>
      <c r="BG45" t="s">
        <v>410</v>
      </c>
      <c r="BH45" t="s">
        <v>2054</v>
      </c>
      <c r="BI45" t="s">
        <v>2055</v>
      </c>
      <c r="BJ45" t="s">
        <v>850</v>
      </c>
      <c r="BK45" t="s">
        <v>2056</v>
      </c>
      <c r="BL45" t="s">
        <v>2057</v>
      </c>
      <c r="BM45" t="s">
        <v>851</v>
      </c>
      <c r="BN45">
        <v>13.28</v>
      </c>
      <c r="BO45">
        <v>11.04</v>
      </c>
      <c r="BP45">
        <v>13.44</v>
      </c>
      <c r="BQ45">
        <v>16.12</v>
      </c>
      <c r="BR45">
        <v>13.89</v>
      </c>
      <c r="BS45">
        <v>17.5</v>
      </c>
      <c r="BT45" t="s">
        <v>2058</v>
      </c>
      <c r="BU45" t="s">
        <v>646</v>
      </c>
      <c r="BV45">
        <v>44.47</v>
      </c>
      <c r="BW45">
        <v>42.89</v>
      </c>
      <c r="BX45">
        <v>40.64</v>
      </c>
      <c r="BY45">
        <v>13.56</v>
      </c>
      <c r="BZ45">
        <v>11.11</v>
      </c>
      <c r="CA45">
        <v>11.89</v>
      </c>
      <c r="CB45">
        <v>-7.03</v>
      </c>
      <c r="CC45">
        <v>-0.35</v>
      </c>
      <c r="CD45" t="s">
        <v>258</v>
      </c>
      <c r="CE45" t="s">
        <v>391</v>
      </c>
      <c r="CF45" s="8">
        <v>2.0746640119462421</v>
      </c>
      <c r="CG45" s="9">
        <v>13.725213290603257</v>
      </c>
      <c r="CH45" s="8">
        <v>-0.53803467750549316</v>
      </c>
      <c r="CI45" s="8">
        <v>-8.0542862415313721E-2</v>
      </c>
      <c r="CJ45" s="8">
        <v>0.12411605566740036</v>
      </c>
      <c r="CK45" s="8">
        <v>-0.18256713449954987</v>
      </c>
      <c r="CL45" s="8">
        <v>0.15086433291435242</v>
      </c>
      <c r="CM45" s="9">
        <v>-0.83201855421066284</v>
      </c>
      <c r="CN45" s="9">
        <v>-0.13488557934761047</v>
      </c>
      <c r="CO45" s="9">
        <v>0.39551818370819092</v>
      </c>
      <c r="CP45" s="9">
        <v>-0.44409841299057007</v>
      </c>
      <c r="CQ45" s="9">
        <v>-7.0622287690639496E-2</v>
      </c>
      <c r="CR45">
        <v>18.391766253064866</v>
      </c>
      <c r="CS45">
        <v>1.7477208875695498</v>
      </c>
      <c r="CT45">
        <v>6.5192083818393476</v>
      </c>
      <c r="CU45" s="8">
        <v>-0.10523285716772079</v>
      </c>
      <c r="CV45" s="9">
        <v>-0.21722133010625838</v>
      </c>
      <c r="CW45">
        <v>0.06</v>
      </c>
      <c r="CX45">
        <v>109.00220165745857</v>
      </c>
      <c r="CY45" t="s">
        <v>2059</v>
      </c>
      <c r="CZ45">
        <v>-0.10523285716772079</v>
      </c>
      <c r="DA45">
        <v>36.334067219152857</v>
      </c>
      <c r="DB45" t="s">
        <v>2060</v>
      </c>
      <c r="DC45">
        <v>-9.9971214309334755E-2</v>
      </c>
      <c r="DD45">
        <v>18.167033609576428</v>
      </c>
      <c r="DE45" t="s">
        <v>2061</v>
      </c>
      <c r="DF45">
        <v>-9.2604914307594294E-2</v>
      </c>
      <c r="DG45">
        <v>10.900220165745857</v>
      </c>
      <c r="DH45" t="s">
        <v>2062</v>
      </c>
      <c r="DI45">
        <v>-8.4186285734176636E-2</v>
      </c>
      <c r="DJ45">
        <v>5.4501100828729285</v>
      </c>
      <c r="DK45" t="s">
        <v>2063</v>
      </c>
      <c r="DL45">
        <v>-7.3663000017404556E-2</v>
      </c>
      <c r="DM45">
        <v>362000000</v>
      </c>
      <c r="DN45">
        <v>-0.10523285716772079</v>
      </c>
      <c r="DO45">
        <v>39458797000</v>
      </c>
      <c r="DP45">
        <v>11764945999.999998</v>
      </c>
      <c r="DQ45">
        <v>3157</v>
      </c>
      <c r="DR45">
        <v>2.1798968691139629</v>
      </c>
      <c r="DS45">
        <v>13.942434620709516</v>
      </c>
      <c r="DT45" s="10">
        <v>-0.62333333333333341</v>
      </c>
      <c r="DU45">
        <v>-0.53666666666666663</v>
      </c>
      <c r="DV45">
        <v>-1.1600000000000001</v>
      </c>
      <c r="DW45">
        <v>-5.0497866287339974</v>
      </c>
      <c r="DX45">
        <v>0.54720000000000346</v>
      </c>
      <c r="DY45">
        <v>-5.0113115220483637</v>
      </c>
      <c r="DZ45">
        <v>4950</v>
      </c>
      <c r="EA45">
        <v>-5.0003541768156046</v>
      </c>
      <c r="EB45">
        <v>5</v>
      </c>
      <c r="EC45">
        <v>2.9566269284208743E-2</v>
      </c>
      <c r="ED45">
        <v>0.13013322748331313</v>
      </c>
      <c r="EE45" s="13">
        <v>-4.0080999999999998</v>
      </c>
      <c r="EF45">
        <v>-4.0191100000000004</v>
      </c>
      <c r="EG45">
        <v>32.227200000000003</v>
      </c>
      <c r="EH45" t="s">
        <v>2064</v>
      </c>
      <c r="EI45">
        <v>0</v>
      </c>
      <c r="EJ45">
        <v>0</v>
      </c>
      <c r="EK45" s="12">
        <v>45470</v>
      </c>
      <c r="EL45" s="14">
        <v>-1.61</v>
      </c>
      <c r="EM45" s="14">
        <v>-2.73</v>
      </c>
      <c r="EN45" s="14">
        <v>0.56000000000000005</v>
      </c>
      <c r="EO45" s="14">
        <v>2.79</v>
      </c>
      <c r="EP45" s="14">
        <v>-2.72</v>
      </c>
    </row>
    <row r="46" spans="1:146" ht="96" x14ac:dyDescent="0.25">
      <c r="C46" s="5" t="str">
        <f>""&amp;CHAR(10)&amp;Basic_Fundamental_Information_Constructure(F46)&amp;CHAR(10)&amp;Basic_Fundamental_Information_Concatenate("")</f>
        <v xml:space="preserve">
市值50.065266亿, 利润-4.81亿; PE125.9; 平均PE225.84; 平均PEG7.91, PB1.67; ROIC1.5033%; ROE1.37%; 股利率.4587%; 毛利33.78%; 净利1.8133%; 上一年度营收增148.36%, 利润增-3298.27%; 当季营收增-67.56%, 利润增-86.91%; 过往5年营收增28.54%, 利润增-691.64%
Income profile:
</v>
      </c>
      <c r="D46" t="s">
        <v>69</v>
      </c>
      <c r="E46" t="s">
        <v>15</v>
      </c>
      <c r="F46">
        <v>2.1800000000000002</v>
      </c>
      <c r="G46">
        <v>1.4</v>
      </c>
      <c r="H46" t="s">
        <v>2065</v>
      </c>
      <c r="I46">
        <v>5006526600</v>
      </c>
      <c r="J46">
        <v>125.9</v>
      </c>
      <c r="K46">
        <v>1.67</v>
      </c>
      <c r="L46" t="s">
        <v>53</v>
      </c>
      <c r="M46" t="s">
        <v>2066</v>
      </c>
      <c r="N46" t="s">
        <v>2067</v>
      </c>
      <c r="O46" t="s">
        <v>2068</v>
      </c>
      <c r="P46">
        <v>-0.73</v>
      </c>
      <c r="Q46" t="s">
        <v>2069</v>
      </c>
      <c r="R46">
        <v>41233807</v>
      </c>
      <c r="S46" s="3">
        <v>0.31080000000000002</v>
      </c>
      <c r="T46" t="s">
        <v>2070</v>
      </c>
      <c r="U46">
        <v>2291371900</v>
      </c>
      <c r="V46">
        <v>2296571900</v>
      </c>
      <c r="W46">
        <v>1.67</v>
      </c>
      <c r="X46">
        <v>0.13</v>
      </c>
      <c r="Y46">
        <v>6.45</v>
      </c>
      <c r="Z46" t="s">
        <v>457</v>
      </c>
      <c r="AA46" t="s">
        <v>80</v>
      </c>
      <c r="AB46" t="s">
        <v>241</v>
      </c>
      <c r="AC46" t="s">
        <v>2071</v>
      </c>
      <c r="AD46" t="s">
        <v>54</v>
      </c>
      <c r="AE46">
        <v>10326376</v>
      </c>
      <c r="AF46" t="s">
        <v>2072</v>
      </c>
      <c r="AG46" t="s">
        <v>2073</v>
      </c>
      <c r="AH46" t="s">
        <v>2074</v>
      </c>
      <c r="AI46" t="s">
        <v>2075</v>
      </c>
      <c r="AJ46" t="s">
        <v>2076</v>
      </c>
      <c r="AK46" t="s">
        <v>2077</v>
      </c>
      <c r="AL46" t="s">
        <v>2078</v>
      </c>
      <c r="AM46" t="s">
        <v>54</v>
      </c>
      <c r="AN46">
        <v>0</v>
      </c>
      <c r="AO46" t="s">
        <v>2079</v>
      </c>
      <c r="AP46" t="s">
        <v>2080</v>
      </c>
      <c r="AQ46" t="s">
        <v>944</v>
      </c>
      <c r="AR46" t="s">
        <v>54</v>
      </c>
      <c r="AS46" t="s">
        <v>2081</v>
      </c>
      <c r="AT46" t="s">
        <v>2082</v>
      </c>
      <c r="AU46" t="s">
        <v>2083</v>
      </c>
      <c r="AV46" t="s">
        <v>2084</v>
      </c>
      <c r="AW46" t="s">
        <v>2085</v>
      </c>
      <c r="AX46" t="s">
        <v>855</v>
      </c>
      <c r="AY46" t="s">
        <v>602</v>
      </c>
      <c r="AZ46" t="s">
        <v>411</v>
      </c>
      <c r="BA46" t="s">
        <v>70</v>
      </c>
      <c r="BB46" t="s">
        <v>412</v>
      </c>
      <c r="BC46" t="s">
        <v>856</v>
      </c>
      <c r="BD46" t="s">
        <v>603</v>
      </c>
      <c r="BE46" t="s">
        <v>243</v>
      </c>
      <c r="BF46" t="s">
        <v>71</v>
      </c>
      <c r="BG46" t="s">
        <v>171</v>
      </c>
      <c r="BH46" t="s">
        <v>2086</v>
      </c>
      <c r="BI46" t="s">
        <v>948</v>
      </c>
      <c r="BJ46" t="s">
        <v>855</v>
      </c>
      <c r="BK46" t="s">
        <v>2087</v>
      </c>
      <c r="BL46" t="s">
        <v>521</v>
      </c>
      <c r="BM46" t="s">
        <v>856</v>
      </c>
      <c r="BN46">
        <v>1.29</v>
      </c>
      <c r="BO46">
        <v>0.89</v>
      </c>
      <c r="BP46">
        <v>2.33</v>
      </c>
      <c r="BQ46">
        <v>1.3</v>
      </c>
      <c r="BR46">
        <v>0.47</v>
      </c>
      <c r="BS46">
        <v>2.34</v>
      </c>
      <c r="BT46" t="s">
        <v>2088</v>
      </c>
      <c r="BU46" t="s">
        <v>646</v>
      </c>
      <c r="BV46">
        <v>36.33</v>
      </c>
      <c r="BW46">
        <v>34.07</v>
      </c>
      <c r="BX46">
        <v>30.94</v>
      </c>
      <c r="BY46">
        <v>1.34</v>
      </c>
      <c r="BZ46">
        <v>0.69</v>
      </c>
      <c r="CA46">
        <v>3.41</v>
      </c>
      <c r="CB46">
        <v>0.46</v>
      </c>
      <c r="CC46">
        <v>-13.83</v>
      </c>
      <c r="CD46" t="s">
        <v>2089</v>
      </c>
      <c r="CE46" t="s">
        <v>2090</v>
      </c>
      <c r="CF46" s="8">
        <v>-0.67564870259481036</v>
      </c>
      <c r="CG46" s="9">
        <v>-0.86909902539682538</v>
      </c>
      <c r="CH46" s="8">
        <v>1.4835541248321533</v>
      </c>
      <c r="CI46" s="8">
        <v>-8.5366109851747751E-4</v>
      </c>
      <c r="CJ46" s="8">
        <v>-1.7197959125041962E-2</v>
      </c>
      <c r="CK46" s="8">
        <v>-6.1417322605848312E-2</v>
      </c>
      <c r="CL46" s="8">
        <v>2.2956075146794319E-2</v>
      </c>
      <c r="CM46" s="9">
        <v>-32.982658386230469</v>
      </c>
      <c r="CN46" s="9">
        <v>-0.8046148419380188</v>
      </c>
      <c r="CO46" s="9">
        <v>-0.46915102005004883</v>
      </c>
      <c r="CP46" s="9">
        <v>-0.14705882966518402</v>
      </c>
      <c r="CQ46" s="9">
        <v>-0.17874395847320557</v>
      </c>
      <c r="CR46">
        <v>225.83711756413859</v>
      </c>
      <c r="CS46">
        <v>7.9127746458865369</v>
      </c>
      <c r="CT46">
        <v>0.4587155963302752</v>
      </c>
      <c r="CU46" s="8">
        <v>0.285408251429908</v>
      </c>
      <c r="CV46" s="9">
        <v>-6.916445407271385</v>
      </c>
      <c r="CW46">
        <v>0.06</v>
      </c>
      <c r="CX46" t="e">
        <v>#VALUE!</v>
      </c>
      <c r="CY46" t="s">
        <v>653</v>
      </c>
      <c r="CZ46">
        <v>0.285408251429908</v>
      </c>
      <c r="DA46" t="e">
        <v>#VALUE!</v>
      </c>
      <c r="DB46" t="s">
        <v>653</v>
      </c>
      <c r="DC46">
        <v>0.27113783885841258</v>
      </c>
      <c r="DD46" t="e">
        <v>#VALUE!</v>
      </c>
      <c r="DE46" t="s">
        <v>653</v>
      </c>
      <c r="DF46">
        <v>0.25115926125831906</v>
      </c>
      <c r="DG46" t="e">
        <v>#VALUE!</v>
      </c>
      <c r="DH46" t="s">
        <v>653</v>
      </c>
      <c r="DI46">
        <v>0.22832660114392642</v>
      </c>
      <c r="DJ46" t="e">
        <v>#VALUE!</v>
      </c>
      <c r="DK46" t="s">
        <v>653</v>
      </c>
      <c r="DL46">
        <v>0.19978577600093558</v>
      </c>
      <c r="DM46">
        <v>-480999999.99999994</v>
      </c>
      <c r="DN46">
        <v>0.285408251429908</v>
      </c>
      <c r="DO46">
        <v>4206526600</v>
      </c>
      <c r="DP46">
        <v>623128300</v>
      </c>
      <c r="DQ46">
        <v>3159</v>
      </c>
      <c r="DR46">
        <v>-0.96105695402471836</v>
      </c>
      <c r="DS46">
        <v>6.0473463818745596</v>
      </c>
      <c r="DT46" s="10">
        <v>-0.10666666666666669</v>
      </c>
      <c r="DU46">
        <v>-1.7233333333333334</v>
      </c>
      <c r="DV46">
        <v>-1.83</v>
      </c>
      <c r="DW46">
        <v>-2.1383000000000001</v>
      </c>
      <c r="DX46">
        <v>0.47233473053892511</v>
      </c>
      <c r="DY46">
        <v>-2.0210678932335329</v>
      </c>
      <c r="DZ46">
        <v>1448</v>
      </c>
      <c r="EA46">
        <v>-2.015097969671467</v>
      </c>
      <c r="EB46">
        <v>2</v>
      </c>
      <c r="EC46">
        <v>2.2154673232743113E-2</v>
      </c>
      <c r="ED46">
        <v>0.14543415775486934</v>
      </c>
      <c r="EE46" s="13">
        <v>-3.0886</v>
      </c>
      <c r="EF46">
        <v>-3.0573000000000001</v>
      </c>
      <c r="EG46">
        <v>32.152334730538925</v>
      </c>
      <c r="EH46" t="s">
        <v>672</v>
      </c>
      <c r="EI46">
        <v>0</v>
      </c>
      <c r="EJ46">
        <v>1</v>
      </c>
      <c r="EK46" s="12">
        <v>45470</v>
      </c>
      <c r="EL46" s="14">
        <v>-0.35</v>
      </c>
      <c r="EM46" s="14">
        <v>-2.12</v>
      </c>
      <c r="EN46" s="14">
        <v>0.36</v>
      </c>
      <c r="EO46" s="14">
        <v>3.6</v>
      </c>
      <c r="EP46" s="14">
        <v>-3.13</v>
      </c>
    </row>
    <row r="47" spans="1:146" ht="96" x14ac:dyDescent="0.25">
      <c r="A47"/>
      <c r="B47"/>
      <c r="C47" s="5" t="str">
        <f>""&amp;CHAR(10)&amp;Basic_Fundamental_Information_Constructure(F47)&amp;CHAR(10)&amp;Basic_Fundamental_Information_Concatenate("")</f>
        <v xml:space="preserve">
市值24.337687亿, 利润4004.80万; PE177.5; 平均PE23.62; 平均PEG1.64, PB.884; ROIC1.8833%; ROE1.3%; 股利率.4651%; 毛利28.9533%; 净利2.5433%; 上一年度营收增-39.98%, 利润增18.01%; 当季营收增112.4%, 利润增-44.78%; 过往5年营收增-14.42%, 利润增-11.84%
Income profile:
</v>
      </c>
      <c r="D47" t="s">
        <v>2091</v>
      </c>
      <c r="E47" t="s">
        <v>2092</v>
      </c>
      <c r="F47">
        <v>2.15</v>
      </c>
      <c r="G47">
        <v>1.42</v>
      </c>
      <c r="H47" t="s">
        <v>2093</v>
      </c>
      <c r="I47">
        <v>2433768700</v>
      </c>
      <c r="J47">
        <v>177.5</v>
      </c>
      <c r="K47">
        <v>0.88400000000000001</v>
      </c>
      <c r="L47" t="s">
        <v>53</v>
      </c>
      <c r="M47" t="s">
        <v>2094</v>
      </c>
      <c r="N47" t="s">
        <v>2095</v>
      </c>
      <c r="O47" t="s">
        <v>1001</v>
      </c>
      <c r="P47" s="3">
        <v>-9.3000000000000007</v>
      </c>
      <c r="Q47" t="s">
        <v>275</v>
      </c>
      <c r="R47">
        <v>5363699</v>
      </c>
      <c r="S47">
        <v>0.35549999999999998</v>
      </c>
      <c r="T47" t="s">
        <v>2096</v>
      </c>
      <c r="U47">
        <v>1131985440</v>
      </c>
      <c r="V47">
        <v>1131985440</v>
      </c>
      <c r="W47">
        <v>1.86</v>
      </c>
      <c r="X47">
        <v>0.05</v>
      </c>
      <c r="Y47">
        <v>1.9</v>
      </c>
      <c r="Z47" t="s">
        <v>90</v>
      </c>
      <c r="AA47" t="s">
        <v>73</v>
      </c>
      <c r="AB47" t="s">
        <v>2097</v>
      </c>
      <c r="AC47" t="s">
        <v>2098</v>
      </c>
      <c r="AD47" t="s">
        <v>54</v>
      </c>
      <c r="AE47">
        <v>22501382</v>
      </c>
      <c r="AF47" t="s">
        <v>97</v>
      </c>
      <c r="AG47" t="s">
        <v>2099</v>
      </c>
      <c r="AH47" t="s">
        <v>2100</v>
      </c>
      <c r="AI47" t="s">
        <v>2018</v>
      </c>
      <c r="AJ47" t="s">
        <v>2101</v>
      </c>
      <c r="AK47" t="s">
        <v>2102</v>
      </c>
      <c r="AL47" t="s">
        <v>2103</v>
      </c>
      <c r="AM47" t="s">
        <v>54</v>
      </c>
      <c r="AN47" t="s">
        <v>2104</v>
      </c>
      <c r="AO47" t="s">
        <v>2105</v>
      </c>
      <c r="AP47" t="s">
        <v>54</v>
      </c>
      <c r="AQ47" t="s">
        <v>2106</v>
      </c>
      <c r="AR47" t="s">
        <v>54</v>
      </c>
      <c r="AS47" t="s">
        <v>2107</v>
      </c>
      <c r="AT47" t="s">
        <v>957</v>
      </c>
      <c r="AU47" t="s">
        <v>2108</v>
      </c>
      <c r="AV47" t="s">
        <v>2109</v>
      </c>
      <c r="AW47" t="s">
        <v>997</v>
      </c>
      <c r="AX47" t="s">
        <v>2110</v>
      </c>
      <c r="AY47" t="s">
        <v>2111</v>
      </c>
      <c r="AZ47" t="s">
        <v>2112</v>
      </c>
      <c r="BA47" t="s">
        <v>2113</v>
      </c>
      <c r="BB47" t="s">
        <v>2114</v>
      </c>
      <c r="BC47" t="s">
        <v>2115</v>
      </c>
      <c r="BD47" t="s">
        <v>2116</v>
      </c>
      <c r="BE47" t="s">
        <v>2117</v>
      </c>
      <c r="BF47" t="s">
        <v>816</v>
      </c>
      <c r="BG47" t="s">
        <v>689</v>
      </c>
      <c r="BH47" t="s">
        <v>962</v>
      </c>
      <c r="BI47" t="s">
        <v>79</v>
      </c>
      <c r="BJ47" t="s">
        <v>2110</v>
      </c>
      <c r="BK47" t="s">
        <v>2118</v>
      </c>
      <c r="BL47" t="s">
        <v>2119</v>
      </c>
      <c r="BM47" t="s">
        <v>2115</v>
      </c>
      <c r="BN47">
        <v>0.95</v>
      </c>
      <c r="BO47">
        <v>2.06</v>
      </c>
      <c r="BP47">
        <v>2.64</v>
      </c>
      <c r="BQ47">
        <v>0.54</v>
      </c>
      <c r="BR47">
        <v>1.21</v>
      </c>
      <c r="BS47">
        <v>2.15</v>
      </c>
      <c r="BT47" t="s">
        <v>2088</v>
      </c>
      <c r="BU47" t="s">
        <v>1030</v>
      </c>
      <c r="BV47">
        <v>30.54</v>
      </c>
      <c r="BW47">
        <v>26.67</v>
      </c>
      <c r="BX47">
        <v>29.65</v>
      </c>
      <c r="BY47">
        <v>1.03</v>
      </c>
      <c r="BZ47">
        <v>2.76</v>
      </c>
      <c r="CA47">
        <v>3.84</v>
      </c>
      <c r="CB47">
        <v>0</v>
      </c>
      <c r="CC47" s="8">
        <v>-8.9</v>
      </c>
      <c r="CD47" s="9" t="s">
        <v>2120</v>
      </c>
      <c r="CE47" s="8" t="s">
        <v>323</v>
      </c>
      <c r="CF47" s="8">
        <v>1.124031007751938</v>
      </c>
      <c r="CG47" s="8">
        <v>-0.44778711225046586</v>
      </c>
      <c r="CH47" s="8">
        <v>-0.39984101057052612</v>
      </c>
      <c r="CI47" s="8">
        <v>-0.19667944312095642</v>
      </c>
      <c r="CJ47" s="9">
        <v>0.17744360864162445</v>
      </c>
      <c r="CK47" s="9">
        <v>-0.26882904767990112</v>
      </c>
      <c r="CL47" s="9">
        <v>-3.2961122691631317E-2</v>
      </c>
      <c r="CM47" s="9">
        <v>0.18005156517028809</v>
      </c>
      <c r="CN47" s="9">
        <v>-0.43630939722061157</v>
      </c>
      <c r="CO47">
        <v>0.57848799228668213</v>
      </c>
      <c r="CP47">
        <v>-0.8200872540473938</v>
      </c>
      <c r="CQ47">
        <v>-9.4017095863819122E-2</v>
      </c>
      <c r="CR47" s="8">
        <v>23.616100970852433</v>
      </c>
      <c r="CS47" s="9">
        <v>1.6380345102242877</v>
      </c>
      <c r="CT47">
        <v>0.46511627906976749</v>
      </c>
      <c r="CU47">
        <v>-0.14417340308427812</v>
      </c>
      <c r="CV47">
        <v>-0.11837483793497086</v>
      </c>
      <c r="CW47">
        <v>0.06</v>
      </c>
      <c r="CX47">
        <v>55.17800389532561</v>
      </c>
      <c r="CY47" t="s">
        <v>2121</v>
      </c>
      <c r="CZ47">
        <v>-0.14417340308427812</v>
      </c>
      <c r="DA47">
        <v>18.392667965108537</v>
      </c>
      <c r="DB47" t="s">
        <v>2122</v>
      </c>
      <c r="DC47">
        <v>-0.1369647329300642</v>
      </c>
      <c r="DD47">
        <v>9.1963339825542683</v>
      </c>
      <c r="DE47" t="s">
        <v>2123</v>
      </c>
      <c r="DF47">
        <v>-0.12687259471416473</v>
      </c>
      <c r="DG47">
        <v>5.5178003895325611</v>
      </c>
      <c r="DH47" t="s">
        <v>2124</v>
      </c>
      <c r="DI47">
        <v>-0.11533872246742249</v>
      </c>
      <c r="DJ47">
        <v>2.7589001947662806</v>
      </c>
      <c r="DK47" t="s">
        <v>2125</v>
      </c>
      <c r="DL47">
        <v>-0.10092138215899468</v>
      </c>
      <c r="DM47">
        <v>40048000</v>
      </c>
      <c r="DN47">
        <v>-0.14417340308427812</v>
      </c>
      <c r="DO47">
        <v>2209768700</v>
      </c>
      <c r="DP47">
        <v>2281653500</v>
      </c>
      <c r="DQ47" s="10">
        <v>3182</v>
      </c>
      <c r="DR47">
        <v>1.268204410836216</v>
      </c>
      <c r="DS47">
        <v>-0.32941227431549502</v>
      </c>
      <c r="DT47">
        <v>-0.73999999999999988</v>
      </c>
      <c r="DU47">
        <v>-0.30333333333333334</v>
      </c>
      <c r="DV47">
        <v>-1.0433333333333332</v>
      </c>
      <c r="DW47">
        <v>-2.089</v>
      </c>
      <c r="DX47">
        <v>0.353470639534883</v>
      </c>
      <c r="DY47">
        <v>-2.0109888869186046</v>
      </c>
      <c r="DZ47">
        <v>1800</v>
      </c>
      <c r="EA47">
        <v>-2.0071180461253584</v>
      </c>
      <c r="EB47" s="13">
        <v>2</v>
      </c>
      <c r="EC47" s="13">
        <v>3.7521595684128231E-2</v>
      </c>
      <c r="ED47">
        <v>0.30389083449695253</v>
      </c>
      <c r="EE47">
        <v>-4.0842099999999997</v>
      </c>
      <c r="EF47">
        <v>-4.1063099999999997</v>
      </c>
      <c r="EG47">
        <v>23.123470639534883</v>
      </c>
      <c r="EH47" s="12" t="s">
        <v>2064</v>
      </c>
      <c r="EI47">
        <v>0</v>
      </c>
      <c r="EJ47">
        <v>0</v>
      </c>
      <c r="EK47">
        <v>45470</v>
      </c>
      <c r="EL47">
        <v>2.95</v>
      </c>
      <c r="EM47">
        <v>-2.68</v>
      </c>
      <c r="EN47" s="14">
        <v>-3.29</v>
      </c>
      <c r="EO47" s="14">
        <v>1.02</v>
      </c>
      <c r="EP47" s="14">
        <v>-2.21</v>
      </c>
    </row>
    <row r="48" spans="1:146" ht="96" x14ac:dyDescent="0.25">
      <c r="A48"/>
      <c r="B48"/>
      <c r="C48" s="5" t="str">
        <f>""&amp;CHAR(10)&amp;Basic_Fundamental_Information_Constructure(F48)&amp;CHAR(10)&amp;Basic_Fundamental_Information_Concatenate("")</f>
        <v xml:space="preserve">
市值314.70765亿, 利润5700.07万; PE13.68; 平均PE24.11; 平均PEG2.08, PB2.54; ROIC12.18%; ROE19.1933%; 股利率3.2414%; 毛利7.8833%; 净利3.98%; 上一年度营收增-96.28%, 利润增-96.65%; 当季营收增4296.23%, 利润增3270.61%; 过往5年营收增-11.58%, 利润增-11.65%
Income profile:
</v>
      </c>
      <c r="D48" t="s">
        <v>2126</v>
      </c>
      <c r="E48" t="s">
        <v>2127</v>
      </c>
      <c r="F48">
        <v>60.16</v>
      </c>
      <c r="G48">
        <v>0.91</v>
      </c>
      <c r="H48" t="s">
        <v>2128</v>
      </c>
      <c r="I48">
        <v>31470765000</v>
      </c>
      <c r="J48">
        <v>13.68</v>
      </c>
      <c r="K48">
        <v>2.54</v>
      </c>
      <c r="L48" t="s">
        <v>53</v>
      </c>
      <c r="M48" t="s">
        <v>2129</v>
      </c>
      <c r="N48" t="s">
        <v>2130</v>
      </c>
      <c r="O48" t="s">
        <v>2131</v>
      </c>
      <c r="P48" s="3">
        <v>4.3600000000000003</v>
      </c>
      <c r="Q48" t="s">
        <v>855</v>
      </c>
      <c r="R48">
        <v>801894480</v>
      </c>
      <c r="S48">
        <v>0.12</v>
      </c>
      <c r="T48" t="s">
        <v>2132</v>
      </c>
      <c r="U48">
        <v>317109630</v>
      </c>
      <c r="V48">
        <v>523117760</v>
      </c>
      <c r="W48">
        <v>2.27</v>
      </c>
      <c r="X48">
        <v>0.9</v>
      </c>
      <c r="Y48">
        <v>4.1100000000000003</v>
      </c>
      <c r="Z48" t="s">
        <v>2133</v>
      </c>
      <c r="AA48" t="s">
        <v>2134</v>
      </c>
      <c r="AB48" t="s">
        <v>1440</v>
      </c>
      <c r="AC48" t="s">
        <v>263</v>
      </c>
      <c r="AD48" t="s">
        <v>54</v>
      </c>
      <c r="AE48">
        <v>59436055</v>
      </c>
      <c r="AF48" t="s">
        <v>2135</v>
      </c>
      <c r="AG48" t="s">
        <v>2136</v>
      </c>
      <c r="AH48" t="s">
        <v>2137</v>
      </c>
      <c r="AI48" t="s">
        <v>2138</v>
      </c>
      <c r="AJ48" t="s">
        <v>2139</v>
      </c>
      <c r="AK48" t="s">
        <v>2140</v>
      </c>
      <c r="AL48" t="s">
        <v>2141</v>
      </c>
      <c r="AM48" t="s">
        <v>54</v>
      </c>
      <c r="AN48" t="s">
        <v>2142</v>
      </c>
      <c r="AO48" t="s">
        <v>2143</v>
      </c>
      <c r="AP48" t="s">
        <v>54</v>
      </c>
      <c r="AQ48" t="s">
        <v>632</v>
      </c>
      <c r="AR48" t="s">
        <v>2144</v>
      </c>
      <c r="AS48" t="s">
        <v>2145</v>
      </c>
      <c r="AT48" t="s">
        <v>261</v>
      </c>
      <c r="AU48" t="s">
        <v>2146</v>
      </c>
      <c r="AV48" t="s">
        <v>1101</v>
      </c>
      <c r="AW48" t="s">
        <v>2147</v>
      </c>
      <c r="AX48" t="s">
        <v>2148</v>
      </c>
      <c r="AY48" t="s">
        <v>2149</v>
      </c>
      <c r="AZ48" t="s">
        <v>2150</v>
      </c>
      <c r="BA48" t="s">
        <v>2151</v>
      </c>
      <c r="BB48" t="s">
        <v>2152</v>
      </c>
      <c r="BC48" t="s">
        <v>2153</v>
      </c>
      <c r="BD48" t="s">
        <v>2154</v>
      </c>
      <c r="BE48" t="s">
        <v>1853</v>
      </c>
      <c r="BF48" t="s">
        <v>2155</v>
      </c>
      <c r="BG48" t="s">
        <v>2156</v>
      </c>
      <c r="BH48" t="s">
        <v>2157</v>
      </c>
      <c r="BI48" t="s">
        <v>2158</v>
      </c>
      <c r="BJ48" t="s">
        <v>2148</v>
      </c>
      <c r="BK48" t="s">
        <v>2159</v>
      </c>
      <c r="BL48" t="s">
        <v>2160</v>
      </c>
      <c r="BM48" t="s">
        <v>2153</v>
      </c>
      <c r="BN48">
        <v>11.46</v>
      </c>
      <c r="BO48">
        <v>11.1</v>
      </c>
      <c r="BP48">
        <v>13.98</v>
      </c>
      <c r="BQ48">
        <v>18.239999999999998</v>
      </c>
      <c r="BR48">
        <v>17.600000000000001</v>
      </c>
      <c r="BS48">
        <v>21.74</v>
      </c>
      <c r="BT48" t="s">
        <v>2161</v>
      </c>
      <c r="BU48" t="s">
        <v>1030</v>
      </c>
      <c r="BV48">
        <v>8.3000000000000007</v>
      </c>
      <c r="BW48">
        <v>7.58</v>
      </c>
      <c r="BX48">
        <v>7.77</v>
      </c>
      <c r="BY48">
        <v>4.17</v>
      </c>
      <c r="BZ48">
        <v>3.6</v>
      </c>
      <c r="CA48">
        <v>4.17</v>
      </c>
      <c r="CB48">
        <v>3.39</v>
      </c>
      <c r="CC48" s="8">
        <v>-19.96</v>
      </c>
      <c r="CD48" s="9" t="s">
        <v>2162</v>
      </c>
      <c r="CE48" s="8" t="s">
        <v>2163</v>
      </c>
      <c r="CF48" s="8">
        <v>42.962264150943398</v>
      </c>
      <c r="CG48" s="8">
        <v>32.706074617078869</v>
      </c>
      <c r="CH48" s="8">
        <v>-0.96284717321395874</v>
      </c>
      <c r="CI48" s="8">
        <v>7.3588840663433075E-2</v>
      </c>
      <c r="CJ48" s="9">
        <v>0.13473957777023315</v>
      </c>
      <c r="CK48" s="9">
        <v>4.2172897607088089E-2</v>
      </c>
      <c r="CL48" s="9">
        <v>0.13349625468254089</v>
      </c>
      <c r="CM48" s="9">
        <v>-0.96647018194198608</v>
      </c>
      <c r="CN48" s="9">
        <v>-9.381663054227829E-2</v>
      </c>
      <c r="CO48">
        <v>0.1828499436378479</v>
      </c>
      <c r="CP48">
        <v>0.12642045319080353</v>
      </c>
      <c r="CQ48">
        <v>0.16846479475498199</v>
      </c>
      <c r="CR48" s="8">
        <v>24.109368376333265</v>
      </c>
      <c r="CS48" s="9">
        <v>2.0825243960258342</v>
      </c>
      <c r="CT48">
        <v>3.2413563829787235</v>
      </c>
      <c r="CU48">
        <v>-0.1157699204981327</v>
      </c>
      <c r="CV48">
        <v>-0.11651032418012619</v>
      </c>
      <c r="CW48">
        <v>0.06</v>
      </c>
      <c r="CX48">
        <v>485.83201609804792</v>
      </c>
      <c r="CY48" t="s">
        <v>2164</v>
      </c>
      <c r="CZ48">
        <v>-0.1157699204981327</v>
      </c>
      <c r="DA48">
        <v>161.94400536601597</v>
      </c>
      <c r="DB48" t="s">
        <v>2165</v>
      </c>
      <c r="DC48">
        <v>-0.10998142447322606</v>
      </c>
      <c r="DD48">
        <v>80.972002683007986</v>
      </c>
      <c r="DE48" t="s">
        <v>2166</v>
      </c>
      <c r="DF48">
        <v>-0.10187753003835677</v>
      </c>
      <c r="DG48">
        <v>48.583201609804789</v>
      </c>
      <c r="DH48" t="s">
        <v>2167</v>
      </c>
      <c r="DI48">
        <v>-9.2615936398506168E-2</v>
      </c>
      <c r="DJ48">
        <v>24.291600804902394</v>
      </c>
      <c r="DK48" t="s">
        <v>2168</v>
      </c>
      <c r="DL48">
        <v>-8.1038944348692882E-2</v>
      </c>
      <c r="DM48">
        <v>57000700</v>
      </c>
      <c r="DN48">
        <v>-0.1157699204981327</v>
      </c>
      <c r="DO48">
        <v>27692765000</v>
      </c>
      <c r="DP48">
        <v>13492652000</v>
      </c>
      <c r="DQ48" s="10">
        <v>3318</v>
      </c>
      <c r="DR48">
        <v>43.078034071441529</v>
      </c>
      <c r="DS48">
        <v>32.822584941258995</v>
      </c>
      <c r="DT48">
        <v>-0.77333333333333332</v>
      </c>
      <c r="DU48">
        <v>-0.10000000000000002</v>
      </c>
      <c r="DV48">
        <v>-0.87333333333333329</v>
      </c>
      <c r="DW48">
        <v>6.1451820128479655</v>
      </c>
      <c r="DX48">
        <v>0.33218278315430566</v>
      </c>
      <c r="DY48">
        <v>6.0220942027791473</v>
      </c>
      <c r="DZ48">
        <v>3884</v>
      </c>
      <c r="EA48">
        <v>6.0053008791794982</v>
      </c>
      <c r="EB48" s="13">
        <v>6</v>
      </c>
      <c r="EC48" s="13">
        <v>1.9250541216570435E-2</v>
      </c>
      <c r="ED48">
        <v>0.12649618319209807</v>
      </c>
      <c r="EE48">
        <v>1.022</v>
      </c>
      <c r="EF48">
        <v>1.0184</v>
      </c>
      <c r="EG48">
        <v>18.152182783154306</v>
      </c>
      <c r="EH48" s="12" t="s">
        <v>663</v>
      </c>
      <c r="EI48">
        <v>0</v>
      </c>
      <c r="EJ48">
        <v>0</v>
      </c>
      <c r="EK48">
        <v>45470</v>
      </c>
      <c r="EL48">
        <v>3.9</v>
      </c>
      <c r="EM48">
        <v>-4.4400000000000004</v>
      </c>
      <c r="EN48" s="14">
        <v>0.36</v>
      </c>
      <c r="EO48" s="14">
        <v>0</v>
      </c>
      <c r="EP48" s="14">
        <v>-0.36</v>
      </c>
    </row>
    <row r="49" spans="1:146" ht="96" x14ac:dyDescent="0.25">
      <c r="C49" s="5" t="str">
        <f>""&amp;CHAR(10)&amp;Basic_Fundamental_Information_Constructure(F49)&amp;CHAR(10)&amp;Basic_Fundamental_Information_Concatenate("")</f>
        <v xml:space="preserve">
市值33.351635亿, 利润6.63亿; PE150.9; 平均PE-49.88; 平均PEG-11.69, PB4.56; ROIC-.29%; ROE-25.6667%; 股利率.1529%; 毛利25.1267%; 净利-11.0533%; 上一年度营收增40.29%, 利润增227.01%; 当季营收增-49.89%, 利润增-93.09%; 过往5年营收增-4.27%, 利润增-306.46%
Income profile:
</v>
      </c>
      <c r="D49" t="s">
        <v>204</v>
      </c>
      <c r="E49" t="s">
        <v>2169</v>
      </c>
      <c r="F49">
        <v>7.85</v>
      </c>
      <c r="G49">
        <v>0.51</v>
      </c>
      <c r="H49" t="s">
        <v>2170</v>
      </c>
      <c r="I49">
        <v>3335163500</v>
      </c>
      <c r="J49">
        <v>150.9</v>
      </c>
      <c r="K49">
        <v>4.5599999999999996</v>
      </c>
      <c r="L49" t="s">
        <v>53</v>
      </c>
      <c r="M49" t="s">
        <v>626</v>
      </c>
      <c r="N49" t="s">
        <v>2171</v>
      </c>
      <c r="O49" t="s">
        <v>2172</v>
      </c>
      <c r="P49">
        <v>2.21</v>
      </c>
      <c r="Q49" t="s">
        <v>628</v>
      </c>
      <c r="R49">
        <v>18724475</v>
      </c>
      <c r="S49" s="3">
        <v>0.48870000000000002</v>
      </c>
      <c r="T49" t="s">
        <v>2173</v>
      </c>
      <c r="U49">
        <v>424861600</v>
      </c>
      <c r="V49">
        <v>424861600</v>
      </c>
      <c r="W49">
        <v>2.21</v>
      </c>
      <c r="X49">
        <v>0.27</v>
      </c>
      <c r="Y49">
        <v>4.1900000000000004</v>
      </c>
      <c r="Z49" t="s">
        <v>844</v>
      </c>
      <c r="AA49" t="s">
        <v>278</v>
      </c>
      <c r="AB49" t="s">
        <v>261</v>
      </c>
      <c r="AC49" t="s">
        <v>2174</v>
      </c>
      <c r="AD49" t="s">
        <v>54</v>
      </c>
      <c r="AE49">
        <v>1512731</v>
      </c>
      <c r="AF49" t="s">
        <v>97</v>
      </c>
      <c r="AG49" t="s">
        <v>2175</v>
      </c>
      <c r="AH49" t="s">
        <v>2176</v>
      </c>
      <c r="AI49" t="s">
        <v>2177</v>
      </c>
      <c r="AJ49" t="s">
        <v>2178</v>
      </c>
      <c r="AK49" t="s">
        <v>2179</v>
      </c>
      <c r="AL49" t="s">
        <v>2180</v>
      </c>
      <c r="AM49" t="s">
        <v>54</v>
      </c>
      <c r="AN49" t="s">
        <v>2181</v>
      </c>
      <c r="AO49" t="s">
        <v>357</v>
      </c>
      <c r="AP49" t="s">
        <v>2182</v>
      </c>
      <c r="AQ49" t="s">
        <v>967</v>
      </c>
      <c r="AR49" t="s">
        <v>2183</v>
      </c>
      <c r="AS49" t="s">
        <v>2184</v>
      </c>
      <c r="AT49" t="s">
        <v>2185</v>
      </c>
      <c r="AU49" t="s">
        <v>2186</v>
      </c>
      <c r="AV49" t="s">
        <v>2187</v>
      </c>
      <c r="AW49" t="s">
        <v>2188</v>
      </c>
      <c r="AX49" t="s">
        <v>858</v>
      </c>
      <c r="AY49" t="s">
        <v>604</v>
      </c>
      <c r="AZ49" t="s">
        <v>229</v>
      </c>
      <c r="BA49" t="s">
        <v>205</v>
      </c>
      <c r="BB49" t="s">
        <v>416</v>
      </c>
      <c r="BC49" t="s">
        <v>859</v>
      </c>
      <c r="BD49" t="s">
        <v>293</v>
      </c>
      <c r="BE49" t="s">
        <v>415</v>
      </c>
      <c r="BF49" t="s">
        <v>206</v>
      </c>
      <c r="BG49" t="s">
        <v>417</v>
      </c>
      <c r="BH49" t="s">
        <v>971</v>
      </c>
      <c r="BI49" t="s">
        <v>852</v>
      </c>
      <c r="BJ49" t="s">
        <v>858</v>
      </c>
      <c r="BK49" t="s">
        <v>2189</v>
      </c>
      <c r="BL49" t="s">
        <v>685</v>
      </c>
      <c r="BM49" t="s">
        <v>859</v>
      </c>
      <c r="BN49">
        <v>-0.28999999999999998</v>
      </c>
      <c r="BO49" t="s">
        <v>54</v>
      </c>
      <c r="BP49" t="s">
        <v>54</v>
      </c>
      <c r="BQ49">
        <v>-0.33</v>
      </c>
      <c r="BR49">
        <v>-54.51</v>
      </c>
      <c r="BS49">
        <v>-22.16</v>
      </c>
      <c r="BT49" t="s">
        <v>2190</v>
      </c>
      <c r="BU49" t="s">
        <v>646</v>
      </c>
      <c r="BV49">
        <v>34.909999999999997</v>
      </c>
      <c r="BW49">
        <v>19.72</v>
      </c>
      <c r="BX49">
        <v>20.75</v>
      </c>
      <c r="BY49">
        <v>0.91</v>
      </c>
      <c r="BZ49">
        <v>-23.79</v>
      </c>
      <c r="CA49">
        <v>-10.28</v>
      </c>
      <c r="CB49">
        <v>-2.7</v>
      </c>
      <c r="CC49">
        <v>-15.93</v>
      </c>
      <c r="CD49" t="s">
        <v>2191</v>
      </c>
      <c r="CE49" t="s">
        <v>2192</v>
      </c>
      <c r="CF49" s="8">
        <v>-0.49891774891774893</v>
      </c>
      <c r="CG49" s="9">
        <v>-0.93090599630996307</v>
      </c>
      <c r="CH49" s="8">
        <v>0.40291717648506165</v>
      </c>
      <c r="CI49" s="8">
        <v>-0.25601902604103088</v>
      </c>
      <c r="CJ49" s="8">
        <v>-9.3730844557285309E-2</v>
      </c>
      <c r="CK49" s="8">
        <v>-0.2053723931312561</v>
      </c>
      <c r="CL49" s="8">
        <v>-6.1210412532091141E-2</v>
      </c>
      <c r="CM49" s="9">
        <v>2.2701148986816406</v>
      </c>
      <c r="CN49" s="9">
        <v>-0.7114754319190979</v>
      </c>
      <c r="CO49" s="9">
        <v>-3.7414964288473129E-2</v>
      </c>
      <c r="CP49" s="9">
        <v>-16.352720260620117</v>
      </c>
      <c r="CQ49" s="9">
        <v>-0.49168500304222107</v>
      </c>
      <c r="CR49">
        <v>-49.880628868924319</v>
      </c>
      <c r="CS49">
        <v>-11.686271362937125</v>
      </c>
      <c r="CT49">
        <v>0.15286624203821655</v>
      </c>
      <c r="CU49" s="8">
        <v>-4.268309995532036E-2</v>
      </c>
      <c r="CV49" s="9">
        <v>-3.0646361522376537</v>
      </c>
      <c r="CW49">
        <v>0.06</v>
      </c>
      <c r="CX49">
        <v>5.4240776772247363</v>
      </c>
      <c r="CY49" t="s">
        <v>2193</v>
      </c>
      <c r="CZ49">
        <v>-4.268309995532036E-2</v>
      </c>
      <c r="DA49">
        <v>1.8080258924082453</v>
      </c>
      <c r="DB49" t="s">
        <v>2194</v>
      </c>
      <c r="DC49">
        <v>-4.0548944957554338E-2</v>
      </c>
      <c r="DD49">
        <v>0.90401294620412265</v>
      </c>
      <c r="DE49" t="s">
        <v>2195</v>
      </c>
      <c r="DF49">
        <v>-3.7561127960681916E-2</v>
      </c>
      <c r="DG49">
        <v>0.54240776772247357</v>
      </c>
      <c r="DH49" t="s">
        <v>2196</v>
      </c>
      <c r="DI49">
        <v>-3.4146479964256286E-2</v>
      </c>
      <c r="DJ49">
        <v>0.27120388386123678</v>
      </c>
      <c r="DK49" t="s">
        <v>2197</v>
      </c>
      <c r="DL49">
        <v>-2.987816996872425E-2</v>
      </c>
      <c r="DM49">
        <v>663000000</v>
      </c>
      <c r="DN49">
        <v>-4.268309995532036E-2</v>
      </c>
      <c r="DO49">
        <v>3596163500</v>
      </c>
      <c r="DP49">
        <v>471265050</v>
      </c>
      <c r="DQ49">
        <v>3333</v>
      </c>
      <c r="DR49">
        <v>-0.45623464896242855</v>
      </c>
      <c r="DS49">
        <v>2.1337301559276907</v>
      </c>
      <c r="DT49" s="10">
        <v>-0.54</v>
      </c>
      <c r="DU49">
        <v>-2.0233333333333334</v>
      </c>
      <c r="DV49">
        <v>-2.5633333333333335</v>
      </c>
      <c r="DW49">
        <v>-8.1694915254237284</v>
      </c>
      <c r="DX49">
        <v>0.26372874251496914</v>
      </c>
      <c r="DY49">
        <v>-8.015886227544911</v>
      </c>
      <c r="DZ49">
        <v>1527</v>
      </c>
      <c r="EA49">
        <v>-8.0111390123861863</v>
      </c>
      <c r="EB49">
        <v>8</v>
      </c>
      <c r="EC49">
        <v>0.14736751921096189</v>
      </c>
      <c r="ED49">
        <v>1.5722767131696533</v>
      </c>
      <c r="EE49" s="13">
        <v>-1.0149999999999999</v>
      </c>
      <c r="EF49">
        <v>-1.0053099999999999</v>
      </c>
      <c r="EG49">
        <v>17.093728742514969</v>
      </c>
      <c r="EH49" t="s">
        <v>656</v>
      </c>
      <c r="EI49">
        <v>0</v>
      </c>
      <c r="EJ49">
        <v>0</v>
      </c>
      <c r="EK49" s="12">
        <v>45470</v>
      </c>
      <c r="EL49" s="14">
        <v>1.81</v>
      </c>
      <c r="EM49" s="14">
        <v>-3.56</v>
      </c>
      <c r="EN49" s="14">
        <v>0.23</v>
      </c>
      <c r="EO49" s="14">
        <v>1.84</v>
      </c>
      <c r="EP49" s="14">
        <v>-2.0299999999999998</v>
      </c>
    </row>
    <row r="50" spans="1:146" ht="96" x14ac:dyDescent="0.25">
      <c r="A50"/>
      <c r="B50"/>
      <c r="C50" s="5" t="str">
        <f>""&amp;CHAR(10)&amp;Basic_Fundamental_Information_Constructure(F50)&amp;CHAR(10)&amp;Basic_Fundamental_Information_Concatenate("")</f>
        <v xml:space="preserve">
市值16.379328亿, 利润2.02亿; PE33.02; 平均PE19.13; 平均PEG.27, PB1.22; ROIC8.18%; ROE5.1033%; 股利率.9948%; 毛利22.36%; 净利6.1433%; 上一年度营收增318.98%, 利润增290.39%; 当季营收增-83.99%, 利润增-92.79%; 过往5年营收增71.17%, 利润增54.59%
Income profile:
</v>
      </c>
      <c r="D50" t="s">
        <v>2198</v>
      </c>
      <c r="E50" t="s">
        <v>2199</v>
      </c>
      <c r="F50">
        <v>3.82</v>
      </c>
      <c r="G50">
        <v>1.6</v>
      </c>
      <c r="H50" t="s">
        <v>2200</v>
      </c>
      <c r="I50">
        <v>1637932800</v>
      </c>
      <c r="J50">
        <v>33.020000000000003</v>
      </c>
      <c r="K50">
        <v>1.22</v>
      </c>
      <c r="L50" t="s">
        <v>53</v>
      </c>
      <c r="M50" t="s">
        <v>1797</v>
      </c>
      <c r="N50" t="s">
        <v>112</v>
      </c>
      <c r="O50" t="s">
        <v>807</v>
      </c>
      <c r="P50" s="3">
        <v>-16.28</v>
      </c>
      <c r="Q50" t="s">
        <v>2201</v>
      </c>
      <c r="R50">
        <v>7355009</v>
      </c>
      <c r="S50">
        <v>-0.28639999999999999</v>
      </c>
      <c r="T50" t="s">
        <v>2202</v>
      </c>
      <c r="U50">
        <v>425451830</v>
      </c>
      <c r="V50">
        <v>428778220</v>
      </c>
      <c r="W50">
        <v>1.45</v>
      </c>
      <c r="X50">
        <v>0.21</v>
      </c>
      <c r="Y50">
        <v>4.07</v>
      </c>
      <c r="Z50" t="s">
        <v>468</v>
      </c>
      <c r="AA50" t="s">
        <v>909</v>
      </c>
      <c r="AB50" t="s">
        <v>2203</v>
      </c>
      <c r="AC50" t="s">
        <v>2204</v>
      </c>
      <c r="AD50" t="s">
        <v>54</v>
      </c>
      <c r="AE50">
        <v>3320230</v>
      </c>
      <c r="AF50" t="s">
        <v>2205</v>
      </c>
      <c r="AG50">
        <v>7084.15</v>
      </c>
      <c r="AH50" t="s">
        <v>2206</v>
      </c>
      <c r="AI50" t="s">
        <v>1010</v>
      </c>
      <c r="AJ50" t="s">
        <v>2207</v>
      </c>
      <c r="AK50" t="s">
        <v>54</v>
      </c>
      <c r="AL50" t="s">
        <v>2208</v>
      </c>
      <c r="AM50" t="s">
        <v>54</v>
      </c>
      <c r="AN50" t="s">
        <v>2209</v>
      </c>
      <c r="AO50" t="s">
        <v>202</v>
      </c>
      <c r="AP50" t="s">
        <v>54</v>
      </c>
      <c r="AQ50" t="s">
        <v>1022</v>
      </c>
      <c r="AR50" t="s">
        <v>2210</v>
      </c>
      <c r="AS50" t="s">
        <v>924</v>
      </c>
      <c r="AT50" t="s">
        <v>54</v>
      </c>
      <c r="AU50" t="s">
        <v>2211</v>
      </c>
      <c r="AV50" t="s">
        <v>2212</v>
      </c>
      <c r="AW50" t="s">
        <v>2213</v>
      </c>
      <c r="AX50" t="s">
        <v>2214</v>
      </c>
      <c r="AY50" t="s">
        <v>2215</v>
      </c>
      <c r="AZ50" t="s">
        <v>590</v>
      </c>
      <c r="BA50" t="s">
        <v>2216</v>
      </c>
      <c r="BB50" t="s">
        <v>2217</v>
      </c>
      <c r="BC50" t="s">
        <v>2218</v>
      </c>
      <c r="BD50" t="s">
        <v>2219</v>
      </c>
      <c r="BE50" t="s">
        <v>2220</v>
      </c>
      <c r="BF50" t="s">
        <v>2221</v>
      </c>
      <c r="BG50" t="s">
        <v>2222</v>
      </c>
      <c r="BH50" t="s">
        <v>2223</v>
      </c>
      <c r="BI50" t="s">
        <v>2224</v>
      </c>
      <c r="BJ50" t="s">
        <v>2214</v>
      </c>
      <c r="BK50" t="s">
        <v>2225</v>
      </c>
      <c r="BL50" t="s">
        <v>245</v>
      </c>
      <c r="BM50" t="s">
        <v>2218</v>
      </c>
      <c r="BN50">
        <v>6.48</v>
      </c>
      <c r="BO50">
        <v>7.69</v>
      </c>
      <c r="BP50">
        <v>10.37</v>
      </c>
      <c r="BQ50">
        <v>4.37</v>
      </c>
      <c r="BR50">
        <v>4.07</v>
      </c>
      <c r="BS50">
        <v>6.87</v>
      </c>
      <c r="BT50" t="s">
        <v>2226</v>
      </c>
      <c r="BU50" t="s">
        <v>1030</v>
      </c>
      <c r="BV50">
        <v>21.5</v>
      </c>
      <c r="BW50">
        <v>23.67</v>
      </c>
      <c r="BX50">
        <v>21.91</v>
      </c>
      <c r="BY50">
        <v>5.24</v>
      </c>
      <c r="BZ50">
        <v>5.8</v>
      </c>
      <c r="CA50">
        <v>7.39</v>
      </c>
      <c r="CB50">
        <v>-0.26</v>
      </c>
      <c r="CC50" s="8">
        <v>-18.239999999999998</v>
      </c>
      <c r="CD50" s="9" t="s">
        <v>2227</v>
      </c>
      <c r="CE50" s="8" t="s">
        <v>816</v>
      </c>
      <c r="CF50" s="8">
        <v>-0.83986371379897784</v>
      </c>
      <c r="CG50" s="8">
        <v>-0.92789206862745099</v>
      </c>
      <c r="CH50" s="8">
        <v>3.1898126602172852</v>
      </c>
      <c r="CI50" s="8">
        <v>0.18487924337387085</v>
      </c>
      <c r="CJ50" s="9">
        <v>0.26629117131233215</v>
      </c>
      <c r="CK50" s="9">
        <v>-0.13379789888858795</v>
      </c>
      <c r="CL50" s="9">
        <v>5.1282148808240891E-2</v>
      </c>
      <c r="CM50" s="9">
        <v>2.90390944480896</v>
      </c>
      <c r="CN50" s="9">
        <v>-0.21567289531230927</v>
      </c>
      <c r="CO50">
        <v>0.47481328248977661</v>
      </c>
      <c r="CP50">
        <v>-0.38483595848083496</v>
      </c>
      <c r="CQ50">
        <v>-4.8765618354082108E-2</v>
      </c>
      <c r="CR50" s="8">
        <v>19.134553869931487</v>
      </c>
      <c r="CS50" s="9">
        <v>0.26885948532466136</v>
      </c>
      <c r="CT50">
        <v>0.99476439790575921</v>
      </c>
      <c r="CU50">
        <v>0.71169346496462826</v>
      </c>
      <c r="CV50">
        <v>0.54588965103030207</v>
      </c>
      <c r="CW50">
        <v>0.06</v>
      </c>
      <c r="CX50">
        <v>2.6424203839930906</v>
      </c>
      <c r="CY50">
        <v>326190641.43665558</v>
      </c>
      <c r="CZ50">
        <v>0.71169346496462826</v>
      </c>
      <c r="DA50">
        <v>0.53104402782969318</v>
      </c>
      <c r="DB50">
        <v>1623091033.5676036</v>
      </c>
      <c r="DC50">
        <v>0.67610879171639682</v>
      </c>
      <c r="DD50">
        <v>0.12338283238979107</v>
      </c>
      <c r="DE50">
        <v>6985840601.2027807</v>
      </c>
      <c r="DF50">
        <v>0.62629024916887288</v>
      </c>
      <c r="DG50">
        <v>2.7921414234897888E-2</v>
      </c>
      <c r="DH50">
        <v>30869954965.343544</v>
      </c>
      <c r="DI50">
        <v>0.56935477197170259</v>
      </c>
      <c r="DJ50">
        <v>1.2343823115895977E-3</v>
      </c>
      <c r="DK50">
        <v>698270537342.70605</v>
      </c>
      <c r="DL50">
        <v>0.49818542547523975</v>
      </c>
      <c r="DM50">
        <v>202000000</v>
      </c>
      <c r="DN50">
        <v>0.71169346496462826</v>
      </c>
      <c r="DO50">
        <v>861932800</v>
      </c>
      <c r="DP50">
        <v>877144000</v>
      </c>
      <c r="DQ50" s="10">
        <v>3419</v>
      </c>
      <c r="DR50">
        <v>-1.551557178763606</v>
      </c>
      <c r="DS50">
        <v>-1.4737817196577532</v>
      </c>
      <c r="DT50">
        <v>0.14333333333333331</v>
      </c>
      <c r="DU50">
        <v>-0.27333333333333337</v>
      </c>
      <c r="DV50">
        <v>-0.13000000000000006</v>
      </c>
      <c r="DW50">
        <v>-3.0253333333333332</v>
      </c>
      <c r="DX50">
        <v>0.2969679245283004</v>
      </c>
      <c r="DY50">
        <v>-3.0024565207547171</v>
      </c>
      <c r="DZ50">
        <v>4806</v>
      </c>
      <c r="EA50">
        <v>-3.0001461413521398</v>
      </c>
      <c r="EB50" s="13">
        <v>3</v>
      </c>
      <c r="EC50" s="13">
        <v>4.794366654164476E-2</v>
      </c>
      <c r="ED50">
        <v>0.49442809851675767</v>
      </c>
      <c r="EE50">
        <v>6.9809999999999997E-2</v>
      </c>
      <c r="EF50">
        <v>0.11040999999999999</v>
      </c>
      <c r="EG50">
        <v>20.0969679245283</v>
      </c>
      <c r="EH50" s="12">
        <v>-1</v>
      </c>
      <c r="EI50">
        <v>0</v>
      </c>
      <c r="EJ50">
        <v>0</v>
      </c>
      <c r="EK50">
        <v>45470</v>
      </c>
      <c r="EL50">
        <v>1.43</v>
      </c>
      <c r="EM50">
        <v>-5.63</v>
      </c>
      <c r="EN50" s="14">
        <v>-1.49</v>
      </c>
      <c r="EO50" s="14">
        <v>2.65</v>
      </c>
      <c r="EP50" s="14">
        <v>-4.0599999999999996</v>
      </c>
    </row>
    <row r="51" spans="1:146" ht="96" x14ac:dyDescent="0.25">
      <c r="A51"/>
      <c r="B51"/>
      <c r="C51" s="5" t="str">
        <f>""&amp;CHAR(10)&amp;Basic_Fundamental_Information_Constructure(F51)&amp;CHAR(10)&amp;Basic_Fundamental_Information_Concatenate("")</f>
        <v xml:space="preserve">
市值162.96亿, 利润4.99亿; PE15.72; 平均PE29.01; 平均PEG2.71, PB2.1; ROIC7.8967%; ROE11.5567%; 股利率4.6392%; 毛利3.7067%; 净利1.6433%; 上一年度营收增-78.34%, 利润增-34.77%; 当季营收增604.4%, 利润增818.52%; 过往5年营收增-10.69%, 利润增11.17%
Income profile:
</v>
      </c>
      <c r="D51" t="s">
        <v>2228</v>
      </c>
      <c r="E51" t="s">
        <v>2229</v>
      </c>
      <c r="F51">
        <v>9.6999999999999993</v>
      </c>
      <c r="G51">
        <v>2.54</v>
      </c>
      <c r="H51" t="s">
        <v>2230</v>
      </c>
      <c r="I51">
        <v>16296000000</v>
      </c>
      <c r="J51">
        <v>15.72</v>
      </c>
      <c r="K51">
        <v>2.1</v>
      </c>
      <c r="L51" t="s">
        <v>53</v>
      </c>
      <c r="M51" t="s">
        <v>2231</v>
      </c>
      <c r="N51" t="s">
        <v>2232</v>
      </c>
      <c r="O51" t="s">
        <v>2233</v>
      </c>
      <c r="P51" s="3">
        <v>13.08</v>
      </c>
      <c r="Q51" t="s">
        <v>2234</v>
      </c>
      <c r="R51">
        <v>363255250</v>
      </c>
      <c r="S51">
        <v>0.2109</v>
      </c>
      <c r="T51" t="s">
        <v>294</v>
      </c>
      <c r="U51">
        <v>1680000000</v>
      </c>
      <c r="V51">
        <v>1680000000</v>
      </c>
      <c r="W51">
        <v>1.73</v>
      </c>
      <c r="X51">
        <v>1.37</v>
      </c>
      <c r="Y51">
        <v>2</v>
      </c>
      <c r="Z51" t="s">
        <v>2235</v>
      </c>
      <c r="AA51" t="s">
        <v>2236</v>
      </c>
      <c r="AB51" t="s">
        <v>1332</v>
      </c>
      <c r="AC51" t="s">
        <v>2237</v>
      </c>
      <c r="AD51" t="s">
        <v>54</v>
      </c>
      <c r="AE51">
        <v>12368393</v>
      </c>
      <c r="AF51" t="s">
        <v>2238</v>
      </c>
      <c r="AG51" t="s">
        <v>2239</v>
      </c>
      <c r="AH51" t="s">
        <v>2240</v>
      </c>
      <c r="AI51" t="s">
        <v>2241</v>
      </c>
      <c r="AJ51" t="s">
        <v>2242</v>
      </c>
      <c r="AK51" t="s">
        <v>54</v>
      </c>
      <c r="AL51" t="s">
        <v>2243</v>
      </c>
      <c r="AM51" t="s">
        <v>54</v>
      </c>
      <c r="AN51">
        <v>0</v>
      </c>
      <c r="AO51" t="s">
        <v>54</v>
      </c>
      <c r="AP51" t="s">
        <v>54</v>
      </c>
      <c r="AQ51" t="s">
        <v>1078</v>
      </c>
      <c r="AR51" t="s">
        <v>54</v>
      </c>
      <c r="AS51" t="s">
        <v>2244</v>
      </c>
      <c r="AT51" t="s">
        <v>54</v>
      </c>
      <c r="AU51" t="s">
        <v>2245</v>
      </c>
      <c r="AV51" t="s">
        <v>2246</v>
      </c>
      <c r="AW51" t="s">
        <v>2247</v>
      </c>
      <c r="AX51" t="s">
        <v>2248</v>
      </c>
      <c r="AY51" t="s">
        <v>2249</v>
      </c>
      <c r="AZ51" t="s">
        <v>2250</v>
      </c>
      <c r="BA51" t="s">
        <v>2251</v>
      </c>
      <c r="BB51" t="s">
        <v>2252</v>
      </c>
      <c r="BC51" t="s">
        <v>2253</v>
      </c>
      <c r="BD51" t="s">
        <v>2254</v>
      </c>
      <c r="BE51" t="s">
        <v>1854</v>
      </c>
      <c r="BF51" t="s">
        <v>969</v>
      </c>
      <c r="BG51" t="s">
        <v>932</v>
      </c>
      <c r="BH51" t="s">
        <v>2255</v>
      </c>
      <c r="BI51" t="s">
        <v>2256</v>
      </c>
      <c r="BJ51" t="s">
        <v>2248</v>
      </c>
      <c r="BK51" t="s">
        <v>2257</v>
      </c>
      <c r="BL51" t="s">
        <v>2258</v>
      </c>
      <c r="BM51" t="s">
        <v>2253</v>
      </c>
      <c r="BN51">
        <v>6.9</v>
      </c>
      <c r="BO51">
        <v>7.64</v>
      </c>
      <c r="BP51">
        <v>9.15</v>
      </c>
      <c r="BQ51">
        <v>10.4</v>
      </c>
      <c r="BR51">
        <v>11.36</v>
      </c>
      <c r="BS51">
        <v>12.91</v>
      </c>
      <c r="BT51" t="s">
        <v>2259</v>
      </c>
      <c r="BU51" t="s">
        <v>1030</v>
      </c>
      <c r="BV51">
        <v>4.13</v>
      </c>
      <c r="BW51">
        <v>3.9</v>
      </c>
      <c r="BX51">
        <v>3.09</v>
      </c>
      <c r="BY51">
        <v>1.73</v>
      </c>
      <c r="BZ51">
        <v>1.63</v>
      </c>
      <c r="CA51">
        <v>1.57</v>
      </c>
      <c r="CB51">
        <v>0.83</v>
      </c>
      <c r="CC51" s="8">
        <v>-7.62</v>
      </c>
      <c r="CD51" s="9" t="s">
        <v>2260</v>
      </c>
      <c r="CE51" s="8" t="s">
        <v>298</v>
      </c>
      <c r="CF51" s="8">
        <v>6.0439984561945197</v>
      </c>
      <c r="CG51" s="8">
        <v>8.1852197270743865</v>
      </c>
      <c r="CH51" s="8">
        <v>-0.78344368934631348</v>
      </c>
      <c r="CI51" s="8">
        <v>-7.159462571144104E-2</v>
      </c>
      <c r="CJ51" s="9">
        <v>0.50224930047988892</v>
      </c>
      <c r="CK51" s="9">
        <v>-0.11720746755599976</v>
      </c>
      <c r="CL51" s="9">
        <v>-6.4457006752490997E-2</v>
      </c>
      <c r="CM51" s="9">
        <v>-0.34771242737770081</v>
      </c>
      <c r="CN51" s="9">
        <v>-3.6523930728435516E-2</v>
      </c>
      <c r="CO51">
        <v>0.58799999952316284</v>
      </c>
      <c r="CP51">
        <v>0.10864745080471039</v>
      </c>
      <c r="CQ51">
        <v>0.24585635960102081</v>
      </c>
      <c r="CR51" s="8">
        <v>29.005043013942448</v>
      </c>
      <c r="CS51" s="9">
        <v>2.713523591583284</v>
      </c>
      <c r="CT51">
        <v>4.6391752577319592</v>
      </c>
      <c r="CU51">
        <v>-0.10689069777727127</v>
      </c>
      <c r="CV51">
        <v>0.11165349036455155</v>
      </c>
      <c r="CW51">
        <v>0.06</v>
      </c>
      <c r="CX51">
        <v>28.254509018036071</v>
      </c>
      <c r="CY51" t="s">
        <v>2261</v>
      </c>
      <c r="CZ51">
        <v>-0.10689069777727127</v>
      </c>
      <c r="DA51">
        <v>9.4181696726786903</v>
      </c>
      <c r="DB51" t="s">
        <v>2262</v>
      </c>
      <c r="DC51">
        <v>-0.1015461628884077</v>
      </c>
      <c r="DD51">
        <v>4.7090848363393452</v>
      </c>
      <c r="DE51" t="s">
        <v>2263</v>
      </c>
      <c r="DF51">
        <v>-9.4063814043998717E-2</v>
      </c>
      <c r="DG51">
        <v>2.8254509018036074</v>
      </c>
      <c r="DH51" t="s">
        <v>2264</v>
      </c>
      <c r="DI51">
        <v>-8.5512558221817025E-2</v>
      </c>
      <c r="DJ51">
        <v>1.4127254509018037</v>
      </c>
      <c r="DK51" t="s">
        <v>2265</v>
      </c>
      <c r="DL51">
        <v>-7.4823488444089883E-2</v>
      </c>
      <c r="DM51">
        <v>499000000</v>
      </c>
      <c r="DN51">
        <v>-0.10689069777727127</v>
      </c>
      <c r="DO51">
        <v>14099000000</v>
      </c>
      <c r="DP51">
        <v>7353049300</v>
      </c>
      <c r="DQ51" s="10">
        <v>3566</v>
      </c>
      <c r="DR51">
        <v>6.1508891539717911</v>
      </c>
      <c r="DS51">
        <v>8.0735662367098353</v>
      </c>
      <c r="DT51">
        <v>-0.64</v>
      </c>
      <c r="DU51">
        <v>6.6666666666666652E-2</v>
      </c>
      <c r="DV51">
        <v>-0.57333333333333336</v>
      </c>
      <c r="DW51">
        <v>-2.0762</v>
      </c>
      <c r="DX51">
        <v>0.49755584112149476</v>
      </c>
      <c r="DY51">
        <v>-2.0112437550934579</v>
      </c>
      <c r="DZ51">
        <v>2313</v>
      </c>
      <c r="EA51">
        <v>-2.0061543606646577</v>
      </c>
      <c r="EB51" s="13">
        <v>2</v>
      </c>
      <c r="EC51" s="13">
        <v>3.7591607142857142E-2</v>
      </c>
      <c r="ED51">
        <v>0.25476190476190474</v>
      </c>
      <c r="EE51">
        <v>-1.0041</v>
      </c>
      <c r="EF51">
        <v>-1.00491</v>
      </c>
      <c r="EG51">
        <v>35.147555841121495</v>
      </c>
      <c r="EH51" s="12" t="s">
        <v>656</v>
      </c>
      <c r="EI51">
        <v>0</v>
      </c>
      <c r="EJ51">
        <v>0</v>
      </c>
      <c r="EK51">
        <v>45470</v>
      </c>
      <c r="EL51">
        <v>0.9</v>
      </c>
      <c r="EM51">
        <v>-1.1200000000000001</v>
      </c>
      <c r="EN51" s="14">
        <v>-0.9</v>
      </c>
      <c r="EO51" s="14">
        <v>0.91</v>
      </c>
      <c r="EP51" s="14">
        <v>-0.9</v>
      </c>
    </row>
    <row r="52" spans="1:146" ht="96" x14ac:dyDescent="0.25">
      <c r="C52" s="5" t="str">
        <f>""&amp;CHAR(10)&amp;Basic_Fundamental_Information_Constructure(F52)&amp;CHAR(10)&amp;Basic_Fundamental_Information_Concatenate("")</f>
        <v xml:space="preserve">
市值48.499375亿, 利润19.04亿; PE23.99; 平均PE8.88; 平均PEG.13, PB1.2; ROIC3.1%; ROE1.6233%; 股利率3.5545%; 毛利61.0267%; 净利2.71%; 上一年度营收增337.52%, 利润增2141.67%; 当季营收增-58.19%, 利润增-59.93%; 过往5年营收增67.13%, 利润增383.14%
Income profile:
</v>
      </c>
      <c r="D52" t="s">
        <v>143</v>
      </c>
      <c r="E52" t="s">
        <v>29</v>
      </c>
      <c r="F52">
        <v>8.44</v>
      </c>
      <c r="G52">
        <v>1.93</v>
      </c>
      <c r="H52" t="s">
        <v>2266</v>
      </c>
      <c r="I52">
        <v>4849937500</v>
      </c>
      <c r="J52">
        <v>23.99</v>
      </c>
      <c r="K52">
        <v>1.2</v>
      </c>
      <c r="L52" t="s">
        <v>53</v>
      </c>
      <c r="M52" t="s">
        <v>2267</v>
      </c>
      <c r="N52" t="s">
        <v>2268</v>
      </c>
      <c r="O52" t="s">
        <v>984</v>
      </c>
      <c r="P52">
        <v>21.7</v>
      </c>
      <c r="Q52" t="s">
        <v>2269</v>
      </c>
      <c r="R52">
        <v>108181205</v>
      </c>
      <c r="S52" s="3">
        <v>0.1128</v>
      </c>
      <c r="T52" t="s">
        <v>923</v>
      </c>
      <c r="U52">
        <v>574637150</v>
      </c>
      <c r="V52">
        <v>574637150</v>
      </c>
      <c r="W52">
        <v>1.43</v>
      </c>
      <c r="X52">
        <v>0.16</v>
      </c>
      <c r="Y52">
        <v>11.74</v>
      </c>
      <c r="Z52" t="s">
        <v>2270</v>
      </c>
      <c r="AA52" t="s">
        <v>2271</v>
      </c>
      <c r="AB52" t="s">
        <v>796</v>
      </c>
      <c r="AC52" t="s">
        <v>2272</v>
      </c>
      <c r="AD52" t="s">
        <v>54</v>
      </c>
      <c r="AE52">
        <v>174542</v>
      </c>
      <c r="AF52" t="s">
        <v>2273</v>
      </c>
      <c r="AG52" t="s">
        <v>2274</v>
      </c>
      <c r="AH52" t="s">
        <v>2275</v>
      </c>
      <c r="AI52" t="s">
        <v>868</v>
      </c>
      <c r="AJ52" t="s">
        <v>2276</v>
      </c>
      <c r="AK52" t="s">
        <v>2277</v>
      </c>
      <c r="AL52" t="s">
        <v>2278</v>
      </c>
      <c r="AM52" t="s">
        <v>54</v>
      </c>
      <c r="AN52" t="s">
        <v>964</v>
      </c>
      <c r="AO52" t="s">
        <v>861</v>
      </c>
      <c r="AP52" t="s">
        <v>889</v>
      </c>
      <c r="AQ52" t="s">
        <v>632</v>
      </c>
      <c r="AR52" t="s">
        <v>2279</v>
      </c>
      <c r="AS52" t="s">
        <v>2280</v>
      </c>
      <c r="AT52" t="s">
        <v>387</v>
      </c>
      <c r="AU52" t="s">
        <v>219</v>
      </c>
      <c r="AV52" t="s">
        <v>2281</v>
      </c>
      <c r="AW52" t="s">
        <v>2282</v>
      </c>
      <c r="AX52" t="s">
        <v>862</v>
      </c>
      <c r="AY52" t="s">
        <v>605</v>
      </c>
      <c r="AZ52" t="s">
        <v>418</v>
      </c>
      <c r="BA52" t="s">
        <v>144</v>
      </c>
      <c r="BB52" t="s">
        <v>419</v>
      </c>
      <c r="BC52" t="s">
        <v>2283</v>
      </c>
      <c r="BD52" t="s">
        <v>202</v>
      </c>
      <c r="BE52" t="s">
        <v>314</v>
      </c>
      <c r="BF52" t="s">
        <v>145</v>
      </c>
      <c r="BG52" t="s">
        <v>420</v>
      </c>
      <c r="BH52" t="s">
        <v>2067</v>
      </c>
      <c r="BI52" t="s">
        <v>2284</v>
      </c>
      <c r="BJ52" t="s">
        <v>862</v>
      </c>
      <c r="BK52" t="s">
        <v>2285</v>
      </c>
      <c r="BL52" t="s">
        <v>796</v>
      </c>
      <c r="BM52" t="s">
        <v>2283</v>
      </c>
      <c r="BN52">
        <v>2.0099999999999998</v>
      </c>
      <c r="BO52" t="s">
        <v>54</v>
      </c>
      <c r="BP52">
        <v>4.1900000000000004</v>
      </c>
      <c r="BQ52">
        <v>2.5299999999999998</v>
      </c>
      <c r="BR52">
        <v>-2.4</v>
      </c>
      <c r="BS52">
        <v>4.74</v>
      </c>
      <c r="BT52" t="s">
        <v>703</v>
      </c>
      <c r="BU52" t="s">
        <v>646</v>
      </c>
      <c r="BV52">
        <v>63.56</v>
      </c>
      <c r="BW52">
        <v>59.46</v>
      </c>
      <c r="BX52">
        <v>60.06</v>
      </c>
      <c r="BY52">
        <v>6.16</v>
      </c>
      <c r="BZ52">
        <v>-4.0199999999999996</v>
      </c>
      <c r="CA52">
        <v>5.99</v>
      </c>
      <c r="CB52">
        <v>0.24</v>
      </c>
      <c r="CC52">
        <v>-15.43</v>
      </c>
      <c r="CD52" t="s">
        <v>2286</v>
      </c>
      <c r="CE52" t="s">
        <v>2287</v>
      </c>
      <c r="CF52" s="8">
        <v>-0.58185053380782914</v>
      </c>
      <c r="CG52" s="9">
        <v>-0.59932887037037041</v>
      </c>
      <c r="CH52" s="8">
        <v>3.3751907348632813</v>
      </c>
      <c r="CI52" s="8">
        <v>-0.14098356664180756</v>
      </c>
      <c r="CJ52" s="8">
        <v>0.14146701991558075</v>
      </c>
      <c r="CK52" s="8">
        <v>-6.4753219485282898E-2</v>
      </c>
      <c r="CL52" s="8">
        <v>4.5371387153863907E-2</v>
      </c>
      <c r="CM52" s="9">
        <v>21.416698455810547</v>
      </c>
      <c r="CN52" s="9">
        <v>-1.478240966796875</v>
      </c>
      <c r="CO52" s="9">
        <v>-0.47154471278190613</v>
      </c>
      <c r="CP52" s="9">
        <v>-2.7027027681469917E-3</v>
      </c>
      <c r="CQ52" s="9">
        <v>-0.30711609125137329</v>
      </c>
      <c r="CR52">
        <v>8.875238162917924</v>
      </c>
      <c r="CS52">
        <v>0.13221789436140369</v>
      </c>
      <c r="CT52">
        <v>3.5545023696682465</v>
      </c>
      <c r="CU52" s="8">
        <v>0.67125847116112713</v>
      </c>
      <c r="CV52" s="9">
        <v>3.8314187964424491</v>
      </c>
      <c r="CW52">
        <v>0.06</v>
      </c>
      <c r="CX52">
        <v>0.91771335176521951</v>
      </c>
      <c r="CY52">
        <v>3001958612.3497977</v>
      </c>
      <c r="CZ52">
        <v>0.67125847116112713</v>
      </c>
      <c r="DA52">
        <v>0.18988635019312372</v>
      </c>
      <c r="DB52">
        <v>14508349321.571001</v>
      </c>
      <c r="DC52">
        <v>0.63769554760307079</v>
      </c>
      <c r="DD52">
        <v>4.6323083487612556E-2</v>
      </c>
      <c r="DE52">
        <v>59472239164.23243</v>
      </c>
      <c r="DF52">
        <v>0.59070745462179186</v>
      </c>
      <c r="DG52">
        <v>1.1201995902121583E-2</v>
      </c>
      <c r="DH52">
        <v>245932735922.37552</v>
      </c>
      <c r="DI52">
        <v>0.53700677692890175</v>
      </c>
      <c r="DJ52">
        <v>5.8468701421919794E-4</v>
      </c>
      <c r="DK52">
        <v>4711815780069.9502</v>
      </c>
      <c r="DL52">
        <v>0.46988092981278895</v>
      </c>
      <c r="DM52">
        <v>1904000000</v>
      </c>
      <c r="DN52">
        <v>0.67125847116112713</v>
      </c>
      <c r="DO52">
        <v>2754937500</v>
      </c>
      <c r="DP52">
        <v>1814376400</v>
      </c>
      <c r="DQ52">
        <v>3735</v>
      </c>
      <c r="DR52">
        <v>-1.2531090049689562</v>
      </c>
      <c r="DS52">
        <v>-4.4307476668128194</v>
      </c>
      <c r="DT52" s="10">
        <v>-0.14000000000000004</v>
      </c>
      <c r="DU52">
        <v>-0.87000000000000011</v>
      </c>
      <c r="DV52">
        <v>-1.0100000000000002</v>
      </c>
      <c r="DW52">
        <v>-2.1543000000000001</v>
      </c>
      <c r="DX52">
        <v>0.31929316322202428</v>
      </c>
      <c r="DY52">
        <v>-2.0245789350851586</v>
      </c>
      <c r="DZ52">
        <v>566</v>
      </c>
      <c r="EA52">
        <v>-2.0218564933516556</v>
      </c>
      <c r="EB52">
        <v>2</v>
      </c>
      <c r="EC52">
        <v>1.3920784620346946E-2</v>
      </c>
      <c r="ED52">
        <v>8.7390973590899937E-2</v>
      </c>
      <c r="EE52" s="13">
        <v>1.07311</v>
      </c>
      <c r="EF52">
        <v>1.0878099999999999</v>
      </c>
      <c r="EG52">
        <v>16.159293163222024</v>
      </c>
      <c r="EH52" t="s">
        <v>647</v>
      </c>
      <c r="EI52">
        <v>0</v>
      </c>
      <c r="EJ52">
        <v>1</v>
      </c>
      <c r="EK52" s="12">
        <v>45470</v>
      </c>
      <c r="EL52" s="14">
        <v>0.48</v>
      </c>
      <c r="EM52" s="14">
        <v>-1.59</v>
      </c>
      <c r="EN52" s="14">
        <v>-1.94</v>
      </c>
      <c r="EO52" s="14">
        <v>0.83</v>
      </c>
      <c r="EP52" s="14">
        <v>-1.47</v>
      </c>
    </row>
    <row r="53" spans="1:146" ht="96" x14ac:dyDescent="0.25">
      <c r="C53" s="5" t="str">
        <f>""&amp;CHAR(10)&amp;Basic_Fundamental_Information_Constructure(F53)&amp;CHAR(10)&amp;Basic_Fundamental_Information_Concatenate("")</f>
        <v xml:space="preserve">
市值109.351572亿, 利润2.85亿; PE82.84; 平均PE-148.65; 平均PEG-1.22, PB.64; ROIC.795%; ROE.3267%; 股利率1.2048%; 毛利11.6733%; 净利.3333%; 上一年度营收增639.95%, 利润增28.96%; 当季营收增-87.69%, 利润增-107.19%; 过往5年营收增121.43%, 利润增-161.35%
Income profile:
</v>
      </c>
      <c r="D53" t="s">
        <v>64</v>
      </c>
      <c r="E53" t="s">
        <v>10</v>
      </c>
      <c r="F53">
        <v>2.4900000000000002</v>
      </c>
      <c r="G53">
        <v>1.22</v>
      </c>
      <c r="H53" t="s">
        <v>2288</v>
      </c>
      <c r="I53">
        <v>10935157200</v>
      </c>
      <c r="J53">
        <v>82.84</v>
      </c>
      <c r="K53">
        <v>0.64</v>
      </c>
      <c r="L53" t="s">
        <v>53</v>
      </c>
      <c r="M53" t="s">
        <v>2289</v>
      </c>
      <c r="N53" t="s">
        <v>2290</v>
      </c>
      <c r="O53" t="s">
        <v>126</v>
      </c>
      <c r="P53">
        <v>-5.23</v>
      </c>
      <c r="Q53" t="s">
        <v>2291</v>
      </c>
      <c r="R53">
        <v>-26395575</v>
      </c>
      <c r="S53" s="3">
        <v>-2.1019999999999999</v>
      </c>
      <c r="T53" t="s">
        <v>139</v>
      </c>
      <c r="U53">
        <v>4391629400</v>
      </c>
      <c r="V53">
        <v>4391629400</v>
      </c>
      <c r="W53">
        <v>1.55</v>
      </c>
      <c r="X53">
        <v>0.1</v>
      </c>
      <c r="Y53">
        <v>-2.17</v>
      </c>
      <c r="Z53" t="s">
        <v>2292</v>
      </c>
      <c r="AA53" t="s">
        <v>2293</v>
      </c>
      <c r="AB53" t="s">
        <v>2294</v>
      </c>
      <c r="AC53" t="s">
        <v>701</v>
      </c>
      <c r="AD53" t="s">
        <v>54</v>
      </c>
      <c r="AE53">
        <v>-14118329</v>
      </c>
      <c r="AF53" t="s">
        <v>2295</v>
      </c>
      <c r="AG53" t="s">
        <v>2296</v>
      </c>
      <c r="AH53" t="s">
        <v>2297</v>
      </c>
      <c r="AI53" t="s">
        <v>2298</v>
      </c>
      <c r="AJ53" t="s">
        <v>2299</v>
      </c>
      <c r="AK53" t="s">
        <v>2300</v>
      </c>
      <c r="AL53" t="s">
        <v>2301</v>
      </c>
      <c r="AM53" t="s">
        <v>54</v>
      </c>
      <c r="AN53" t="s">
        <v>2302</v>
      </c>
      <c r="AO53" t="s">
        <v>2303</v>
      </c>
      <c r="AP53" t="s">
        <v>2304</v>
      </c>
      <c r="AQ53" t="s">
        <v>2305</v>
      </c>
      <c r="AR53" t="s">
        <v>2306</v>
      </c>
      <c r="AS53" t="s">
        <v>2307</v>
      </c>
      <c r="AT53" t="s">
        <v>2308</v>
      </c>
      <c r="AU53" t="s">
        <v>2309</v>
      </c>
      <c r="AV53" t="s">
        <v>2310</v>
      </c>
      <c r="AW53" t="s">
        <v>882</v>
      </c>
      <c r="AX53" t="s">
        <v>864</v>
      </c>
      <c r="AY53" t="s">
        <v>606</v>
      </c>
      <c r="AZ53" t="s">
        <v>422</v>
      </c>
      <c r="BA53" t="s">
        <v>65</v>
      </c>
      <c r="BB53" t="s">
        <v>424</v>
      </c>
      <c r="BC53" t="s">
        <v>579</v>
      </c>
      <c r="BD53" t="s">
        <v>607</v>
      </c>
      <c r="BE53" t="s">
        <v>423</v>
      </c>
      <c r="BF53" t="s">
        <v>66</v>
      </c>
      <c r="BG53" t="s">
        <v>425</v>
      </c>
      <c r="BH53" t="s">
        <v>2311</v>
      </c>
      <c r="BI53" t="s">
        <v>2312</v>
      </c>
      <c r="BJ53" t="s">
        <v>864</v>
      </c>
      <c r="BK53" t="s">
        <v>121</v>
      </c>
      <c r="BL53" t="s">
        <v>2313</v>
      </c>
      <c r="BM53" t="s">
        <v>579</v>
      </c>
      <c r="BN53">
        <v>0.46</v>
      </c>
      <c r="BO53">
        <v>1.1299999999999999</v>
      </c>
      <c r="BP53" t="s">
        <v>54</v>
      </c>
      <c r="BQ53">
        <v>0.64</v>
      </c>
      <c r="BR53">
        <v>1.31</v>
      </c>
      <c r="BS53">
        <v>-0.97</v>
      </c>
      <c r="BT53" t="s">
        <v>857</v>
      </c>
      <c r="BU53" t="s">
        <v>646</v>
      </c>
      <c r="BV53">
        <v>13.99</v>
      </c>
      <c r="BW53">
        <v>11.84</v>
      </c>
      <c r="BX53">
        <v>9.19</v>
      </c>
      <c r="BY53">
        <v>1.63</v>
      </c>
      <c r="BZ53">
        <v>1.47</v>
      </c>
      <c r="CA53">
        <v>-2.1</v>
      </c>
      <c r="CB53">
        <v>0.4</v>
      </c>
      <c r="CC53">
        <v>-7.78</v>
      </c>
      <c r="CD53" t="s">
        <v>826</v>
      </c>
      <c r="CE53" t="s">
        <v>2314</v>
      </c>
      <c r="CF53" s="8">
        <v>-0.8768619662363456</v>
      </c>
      <c r="CG53" s="9">
        <v>-1.0719225476839238</v>
      </c>
      <c r="CH53" s="8">
        <v>6.3994560241699219</v>
      </c>
      <c r="CI53" s="8">
        <v>-3.7433432880789042E-3</v>
      </c>
      <c r="CJ53" s="8">
        <v>3.6110688000917435E-2</v>
      </c>
      <c r="CK53" s="8">
        <v>-0.29308879375457764</v>
      </c>
      <c r="CL53" s="8">
        <v>-6.7160524427890778E-2</v>
      </c>
      <c r="CM53" s="9">
        <v>0.28959277272224426</v>
      </c>
      <c r="CN53" s="9">
        <v>2.3313252925872803</v>
      </c>
      <c r="CO53" s="9">
        <v>0.78608244657516479</v>
      </c>
      <c r="CP53" s="9">
        <v>-13.395710945129395</v>
      </c>
      <c r="CQ53" s="9">
        <v>1.9210433959960938</v>
      </c>
      <c r="CR53">
        <v>-148.65407396028607</v>
      </c>
      <c r="CS53">
        <v>-1.2241806878987203</v>
      </c>
      <c r="CT53">
        <v>1.2048192771084336</v>
      </c>
      <c r="CU53" s="8">
        <v>1.2143148101400585</v>
      </c>
      <c r="CV53" s="9">
        <v>-1.6135334074497223</v>
      </c>
      <c r="CW53">
        <v>0.06</v>
      </c>
      <c r="CX53">
        <v>5.6237690968667353</v>
      </c>
      <c r="CY53">
        <v>595358227.25463831</v>
      </c>
      <c r="CZ53">
        <v>1.2143148101400585</v>
      </c>
      <c r="DA53">
        <v>0.80764377459036252</v>
      </c>
      <c r="DB53">
        <v>4145586588.2185321</v>
      </c>
      <c r="DC53">
        <v>1.1535990696330556</v>
      </c>
      <c r="DD53">
        <v>0.10561295218625091</v>
      </c>
      <c r="DE53">
        <v>31702145718.788776</v>
      </c>
      <c r="DF53">
        <v>1.0685970329232515</v>
      </c>
      <c r="DG53">
        <v>1.0989635739726443E-2</v>
      </c>
      <c r="DH53">
        <v>304664984290.3111</v>
      </c>
      <c r="DI53">
        <v>0.97145184811204688</v>
      </c>
      <c r="DJ53">
        <v>7.2948469784722185E-5</v>
      </c>
      <c r="DK53">
        <v>45897565910302.516</v>
      </c>
      <c r="DL53">
        <v>0.85002036709804085</v>
      </c>
      <c r="DM53">
        <v>285000000</v>
      </c>
      <c r="DN53">
        <v>1.2143148101400585</v>
      </c>
      <c r="DO53">
        <v>3348157199.9999981</v>
      </c>
      <c r="DP53">
        <v>8509862000</v>
      </c>
      <c r="DQ53">
        <v>3774</v>
      </c>
      <c r="DR53">
        <v>-2.091176776376404</v>
      </c>
      <c r="DS53">
        <v>0.54161085976579848</v>
      </c>
      <c r="DT53" s="10">
        <v>-0.25666666666666665</v>
      </c>
      <c r="DU53">
        <v>-0.7266666666666669</v>
      </c>
      <c r="DV53">
        <v>-0.98333333333333361</v>
      </c>
      <c r="DW53">
        <v>-2.0777999999999999</v>
      </c>
      <c r="DX53">
        <v>0.30666666666666609</v>
      </c>
      <c r="DY53">
        <v>-2.0129666666666668</v>
      </c>
      <c r="DZ53">
        <v>791</v>
      </c>
      <c r="EA53">
        <v>-2.010959497716895</v>
      </c>
      <c r="EB53">
        <v>2</v>
      </c>
      <c r="EC53">
        <v>2.2998297625022732E-2</v>
      </c>
      <c r="ED53">
        <v>0.13798978575013637</v>
      </c>
      <c r="EE53" s="13">
        <v>3.0251999999999999</v>
      </c>
      <c r="EF53">
        <v>3.0163000000000002</v>
      </c>
      <c r="EG53">
        <v>14.166666666666666</v>
      </c>
      <c r="EH53" t="s">
        <v>808</v>
      </c>
      <c r="EI53">
        <v>0</v>
      </c>
      <c r="EJ53">
        <v>1</v>
      </c>
      <c r="EK53" s="12">
        <v>45470</v>
      </c>
      <c r="EL53" s="14">
        <v>0.2</v>
      </c>
      <c r="EM53" s="14">
        <v>-0.39</v>
      </c>
      <c r="EN53" s="14">
        <v>0.26</v>
      </c>
      <c r="EO53" s="14">
        <v>0.48</v>
      </c>
      <c r="EP53" s="14">
        <v>-0.89</v>
      </c>
    </row>
    <row r="54" spans="1:146" ht="96" x14ac:dyDescent="0.25">
      <c r="C54" s="5" t="str">
        <f>""&amp;CHAR(10)&amp;Basic_Fundamental_Information_Constructure(F54)&amp;CHAR(10)&amp;Basic_Fundamental_Information_Concatenate("")</f>
        <v xml:space="preserve">
市值17.763414亿, 利润8663.46万; PE; 平均PE-161.79; 平均PEG-29.42, PB.606; ROIC.8%; ROE-4.59%; 股利率0%; 毛利42.37%; 净利-5.1333%; 上一年度营收增-18.66%, 利润增123.16%; 当季营收增39.52%, 利润增22.46%; 过往5年营收增-5.5%, 利润增-222.53%
Income profile:
</v>
      </c>
      <c r="D54" t="s">
        <v>160</v>
      </c>
      <c r="E54" t="s">
        <v>2315</v>
      </c>
      <c r="F54">
        <v>4.43</v>
      </c>
      <c r="G54">
        <v>0.45</v>
      </c>
      <c r="H54" t="s">
        <v>2316</v>
      </c>
      <c r="I54">
        <v>1776341400</v>
      </c>
      <c r="K54">
        <v>0.60599999999999998</v>
      </c>
      <c r="L54" t="s">
        <v>53</v>
      </c>
      <c r="M54" t="s">
        <v>1322</v>
      </c>
      <c r="N54" t="s">
        <v>2317</v>
      </c>
      <c r="O54" t="s">
        <v>989</v>
      </c>
      <c r="P54">
        <v>-15.34</v>
      </c>
      <c r="Q54" t="s">
        <v>2318</v>
      </c>
      <c r="R54">
        <v>22599429</v>
      </c>
      <c r="S54" s="3">
        <v>-0.4466</v>
      </c>
      <c r="T54" t="s">
        <v>2319</v>
      </c>
      <c r="U54">
        <v>400980000</v>
      </c>
      <c r="V54">
        <v>400980000</v>
      </c>
      <c r="W54">
        <v>1.39</v>
      </c>
      <c r="X54">
        <v>0.19</v>
      </c>
      <c r="Y54">
        <v>2.92</v>
      </c>
      <c r="Z54" t="s">
        <v>2320</v>
      </c>
      <c r="AA54" t="s">
        <v>571</v>
      </c>
      <c r="AB54" t="s">
        <v>796</v>
      </c>
      <c r="AC54" t="s">
        <v>2321</v>
      </c>
      <c r="AD54" t="s">
        <v>54</v>
      </c>
      <c r="AE54">
        <v>3404144</v>
      </c>
      <c r="AF54" t="s">
        <v>2322</v>
      </c>
      <c r="AG54" t="s">
        <v>2323</v>
      </c>
      <c r="AH54" t="s">
        <v>2324</v>
      </c>
      <c r="AI54" t="s">
        <v>2325</v>
      </c>
      <c r="AJ54" t="s">
        <v>2326</v>
      </c>
      <c r="AK54" t="s">
        <v>2327</v>
      </c>
      <c r="AL54" t="s">
        <v>2328</v>
      </c>
      <c r="AM54" t="s">
        <v>54</v>
      </c>
      <c r="AN54" t="s">
        <v>2329</v>
      </c>
      <c r="AO54" t="s">
        <v>2330</v>
      </c>
      <c r="AP54" t="s">
        <v>940</v>
      </c>
      <c r="AQ54" t="s">
        <v>958</v>
      </c>
      <c r="AR54" t="s">
        <v>2331</v>
      </c>
      <c r="AS54" t="s">
        <v>2332</v>
      </c>
      <c r="AT54" t="s">
        <v>54</v>
      </c>
      <c r="AU54" t="s">
        <v>2333</v>
      </c>
      <c r="AV54" t="s">
        <v>2334</v>
      </c>
      <c r="AW54" t="s">
        <v>2335</v>
      </c>
      <c r="AX54" t="s">
        <v>866</v>
      </c>
      <c r="AY54" t="s">
        <v>608</v>
      </c>
      <c r="AZ54" t="s">
        <v>321</v>
      </c>
      <c r="BA54" t="s">
        <v>161</v>
      </c>
      <c r="BB54" t="s">
        <v>427</v>
      </c>
      <c r="BC54" t="s">
        <v>2336</v>
      </c>
      <c r="BD54" t="s">
        <v>609</v>
      </c>
      <c r="BE54" t="s">
        <v>426</v>
      </c>
      <c r="BF54" t="s">
        <v>162</v>
      </c>
      <c r="BG54" t="s">
        <v>428</v>
      </c>
      <c r="BH54" t="s">
        <v>449</v>
      </c>
      <c r="BI54" t="s">
        <v>1634</v>
      </c>
      <c r="BJ54" t="s">
        <v>866</v>
      </c>
      <c r="BK54" t="s">
        <v>2337</v>
      </c>
      <c r="BL54" t="s">
        <v>2338</v>
      </c>
      <c r="BM54" t="s">
        <v>2336</v>
      </c>
      <c r="BN54" t="s">
        <v>54</v>
      </c>
      <c r="BO54" t="s">
        <v>54</v>
      </c>
      <c r="BP54">
        <v>0.8</v>
      </c>
      <c r="BQ54">
        <v>-3.1</v>
      </c>
      <c r="BR54">
        <v>-11.64</v>
      </c>
      <c r="BS54">
        <v>0.97</v>
      </c>
      <c r="BT54" t="s">
        <v>700</v>
      </c>
      <c r="BU54" t="s">
        <v>659</v>
      </c>
      <c r="BV54">
        <v>43.73</v>
      </c>
      <c r="BW54">
        <v>41.92</v>
      </c>
      <c r="BX54">
        <v>41.46</v>
      </c>
      <c r="BY54">
        <v>-3.06</v>
      </c>
      <c r="BZ54">
        <v>-13.5</v>
      </c>
      <c r="CA54">
        <v>1.1599999999999999</v>
      </c>
      <c r="CB54">
        <v>-2.85</v>
      </c>
      <c r="CC54">
        <v>-14.48</v>
      </c>
      <c r="CD54" t="s">
        <v>2339</v>
      </c>
      <c r="CE54" t="s">
        <v>2340</v>
      </c>
      <c r="CF54" s="8">
        <v>0.3952205882352941</v>
      </c>
      <c r="CG54" s="9">
        <v>0.22460925307785676</v>
      </c>
      <c r="CH54" s="8">
        <v>-0.18663758039474487</v>
      </c>
      <c r="CI54" s="8">
        <v>-6.9280222058296204E-2</v>
      </c>
      <c r="CJ54" s="8">
        <v>8.0715924501419067E-2</v>
      </c>
      <c r="CK54" s="8">
        <v>4.4019599445164204E-3</v>
      </c>
      <c r="CL54" s="8">
        <v>-0.10417348891496658</v>
      </c>
      <c r="CM54" s="9">
        <v>1.2316433191299438</v>
      </c>
      <c r="CN54" s="9">
        <v>-11.983169555664063</v>
      </c>
      <c r="CO54" s="9">
        <v>0.21873624622821808</v>
      </c>
      <c r="CP54" s="9">
        <v>0.24195455014705658</v>
      </c>
      <c r="CQ54" s="9">
        <v>-0.83578687906265259</v>
      </c>
      <c r="CR54">
        <v>-161.79053245814833</v>
      </c>
      <c r="CS54">
        <v>-29.419305355590257</v>
      </c>
      <c r="CT54">
        <v>0</v>
      </c>
      <c r="CU54" s="8">
        <v>-5.4994681384414434E-2</v>
      </c>
      <c r="CV54" s="9">
        <v>-2.2253244638442995</v>
      </c>
      <c r="CW54">
        <v>0.06</v>
      </c>
      <c r="CX54" t="s">
        <v>1921</v>
      </c>
      <c r="CY54" t="s">
        <v>2341</v>
      </c>
      <c r="CZ54">
        <v>-5.4994681384414434E-2</v>
      </c>
      <c r="DA54" t="s">
        <v>1921</v>
      </c>
      <c r="DB54" t="s">
        <v>2342</v>
      </c>
      <c r="DC54">
        <v>-5.2244947315193711E-2</v>
      </c>
      <c r="DD54" t="s">
        <v>1921</v>
      </c>
      <c r="DE54" t="s">
        <v>2343</v>
      </c>
      <c r="DF54">
        <v>-4.83953196182847E-2</v>
      </c>
      <c r="DG54" t="s">
        <v>1921</v>
      </c>
      <c r="DH54" t="s">
        <v>2344</v>
      </c>
      <c r="DI54">
        <v>-4.3995745107531549E-2</v>
      </c>
      <c r="DJ54" t="s">
        <v>1921</v>
      </c>
      <c r="DK54" t="s">
        <v>2345</v>
      </c>
      <c r="DL54">
        <v>-3.8496276969090103E-2</v>
      </c>
      <c r="DM54">
        <v>86634599.999999985</v>
      </c>
      <c r="DN54">
        <v>-5.4994681384414434E-2</v>
      </c>
      <c r="DO54">
        <v>-43658600</v>
      </c>
      <c r="DP54">
        <v>1494103000</v>
      </c>
      <c r="DQ54">
        <v>3845</v>
      </c>
      <c r="DR54">
        <v>0.45021526961970854</v>
      </c>
      <c r="DS54">
        <v>2.4499337169221564</v>
      </c>
      <c r="DT54" s="10">
        <v>-0.60666666666666669</v>
      </c>
      <c r="DU54">
        <v>-0.77333333333333332</v>
      </c>
      <c r="DV54">
        <v>-1.38</v>
      </c>
      <c r="DW54">
        <v>-8.1968232044198892</v>
      </c>
      <c r="DX54">
        <v>0.35097607412990994</v>
      </c>
      <c r="DY54">
        <v>-8.0238108985683869</v>
      </c>
      <c r="DZ54">
        <v>3532</v>
      </c>
      <c r="EA54">
        <v>-8.0073529545872635</v>
      </c>
      <c r="EB54">
        <v>8</v>
      </c>
      <c r="EC54">
        <v>1.8571749214424661E-2</v>
      </c>
      <c r="ED54">
        <v>0.15351588607910618</v>
      </c>
      <c r="EE54" s="13">
        <v>4.0843999999999996</v>
      </c>
      <c r="EF54">
        <v>4.0640999999999998</v>
      </c>
      <c r="EG54">
        <v>23.12097607412991</v>
      </c>
      <c r="EH54" t="s">
        <v>691</v>
      </c>
      <c r="EI54">
        <v>0</v>
      </c>
      <c r="EJ54">
        <v>0</v>
      </c>
      <c r="EK54" s="12">
        <v>45470</v>
      </c>
      <c r="EL54" s="14">
        <v>0.1</v>
      </c>
      <c r="EM54" s="14">
        <v>-4.13</v>
      </c>
      <c r="EN54" s="14">
        <v>-1.08</v>
      </c>
      <c r="EO54" s="14">
        <v>7.31</v>
      </c>
      <c r="EP54" s="14">
        <v>-2.0299999999999998</v>
      </c>
    </row>
    <row r="55" spans="1:146" ht="96" x14ac:dyDescent="0.25">
      <c r="C55" s="5" t="str">
        <f>""&amp;CHAR(10)&amp;Basic_Fundamental_Information_Constructure(F55)&amp;CHAR(10)&amp;Basic_Fundamental_Information_Concatenate("")</f>
        <v xml:space="preserve">
市值25.179975亿, 利润-2.28亿; PE48.06; 平均PE93.94; 平均PEG4.22, PB.828; ROIC.86%; ROE.3367%; 股利率4.5767%; 毛利35.0733%; 净利1.1333%; 上一年度营收增-82.76%, 利润增-480.14%; 当季营收增384.68%, 利润增15452.61%; 过往5年营收增-22.26%, 利润增-179.82%
Income profile:
</v>
      </c>
      <c r="D55" t="s">
        <v>140</v>
      </c>
      <c r="E55" t="s">
        <v>33</v>
      </c>
      <c r="F55">
        <v>4.37</v>
      </c>
      <c r="G55">
        <v>0.69</v>
      </c>
      <c r="H55" t="s">
        <v>2346</v>
      </c>
      <c r="I55">
        <v>2517997500</v>
      </c>
      <c r="J55">
        <v>48.06</v>
      </c>
      <c r="K55">
        <v>0.82799999999999996</v>
      </c>
      <c r="L55" t="s">
        <v>53</v>
      </c>
      <c r="M55" t="s">
        <v>998</v>
      </c>
      <c r="N55" t="s">
        <v>2347</v>
      </c>
      <c r="O55" t="s">
        <v>55</v>
      </c>
      <c r="P55">
        <v>-0.61</v>
      </c>
      <c r="Q55" t="s">
        <v>402</v>
      </c>
      <c r="R55">
        <v>21601122</v>
      </c>
      <c r="S55" s="3">
        <v>2.0899999999999998E-2</v>
      </c>
      <c r="T55" t="s">
        <v>2348</v>
      </c>
      <c r="U55">
        <v>576200800</v>
      </c>
      <c r="V55">
        <v>576200800</v>
      </c>
      <c r="W55">
        <v>1.38</v>
      </c>
      <c r="X55">
        <v>0.14000000000000001</v>
      </c>
      <c r="Y55">
        <v>3.35</v>
      </c>
      <c r="Z55" t="s">
        <v>2349</v>
      </c>
      <c r="AA55" t="s">
        <v>684</v>
      </c>
      <c r="AB55" t="s">
        <v>683</v>
      </c>
      <c r="AC55" t="s">
        <v>2350</v>
      </c>
      <c r="AD55" t="s">
        <v>54</v>
      </c>
      <c r="AE55">
        <v>-9848339</v>
      </c>
      <c r="AF55" t="s">
        <v>2351</v>
      </c>
      <c r="AG55" t="s">
        <v>2352</v>
      </c>
      <c r="AH55" t="s">
        <v>2353</v>
      </c>
      <c r="AI55" t="s">
        <v>2354</v>
      </c>
      <c r="AJ55" t="s">
        <v>2355</v>
      </c>
      <c r="AK55" t="s">
        <v>54</v>
      </c>
      <c r="AL55" t="s">
        <v>2356</v>
      </c>
      <c r="AM55" t="s">
        <v>54</v>
      </c>
      <c r="AN55" t="s">
        <v>2357</v>
      </c>
      <c r="AO55" t="s">
        <v>2358</v>
      </c>
      <c r="AP55" t="s">
        <v>469</v>
      </c>
      <c r="AQ55" t="s">
        <v>223</v>
      </c>
      <c r="AR55" t="s">
        <v>1717</v>
      </c>
      <c r="AS55" t="s">
        <v>2359</v>
      </c>
      <c r="AT55" t="s">
        <v>54</v>
      </c>
      <c r="AU55" t="s">
        <v>2360</v>
      </c>
      <c r="AV55" t="s">
        <v>2361</v>
      </c>
      <c r="AW55" t="s">
        <v>264</v>
      </c>
      <c r="AX55" t="s">
        <v>867</v>
      </c>
      <c r="AY55" t="s">
        <v>610</v>
      </c>
      <c r="AZ55" t="s">
        <v>430</v>
      </c>
      <c r="BA55" t="s">
        <v>141</v>
      </c>
      <c r="BB55" t="s">
        <v>413</v>
      </c>
      <c r="BC55" t="s">
        <v>2362</v>
      </c>
      <c r="BD55" t="s">
        <v>611</v>
      </c>
      <c r="BE55" t="s">
        <v>431</v>
      </c>
      <c r="BF55" t="s">
        <v>142</v>
      </c>
      <c r="BG55" t="s">
        <v>240</v>
      </c>
      <c r="BH55" t="s">
        <v>2363</v>
      </c>
      <c r="BI55" t="s">
        <v>216</v>
      </c>
      <c r="BJ55" t="s">
        <v>867</v>
      </c>
      <c r="BK55" t="s">
        <v>2364</v>
      </c>
      <c r="BL55" t="s">
        <v>2365</v>
      </c>
      <c r="BM55" t="s">
        <v>2362</v>
      </c>
      <c r="BN55">
        <v>0.75</v>
      </c>
      <c r="BO55" t="s">
        <v>54</v>
      </c>
      <c r="BP55">
        <v>0.97</v>
      </c>
      <c r="BQ55">
        <v>1.53</v>
      </c>
      <c r="BR55">
        <v>-1.17</v>
      </c>
      <c r="BS55">
        <v>0.65</v>
      </c>
      <c r="BT55" t="s">
        <v>803</v>
      </c>
      <c r="BU55" t="s">
        <v>659</v>
      </c>
      <c r="BV55">
        <v>36.86</v>
      </c>
      <c r="BW55">
        <v>34.950000000000003</v>
      </c>
      <c r="BX55">
        <v>33.409999999999997</v>
      </c>
      <c r="BY55">
        <v>2.9</v>
      </c>
      <c r="BZ55">
        <v>-1.42</v>
      </c>
      <c r="CA55">
        <v>1.92</v>
      </c>
      <c r="CB55">
        <v>1.63</v>
      </c>
      <c r="CC55">
        <v>-9.34</v>
      </c>
      <c r="CD55" t="s">
        <v>2366</v>
      </c>
      <c r="CE55" t="s">
        <v>911</v>
      </c>
      <c r="CF55" s="8">
        <v>3.846774193548387</v>
      </c>
      <c r="CG55" s="9">
        <v>154.52609808102346</v>
      </c>
      <c r="CH55" s="8">
        <v>-0.82763218879699707</v>
      </c>
      <c r="CI55" s="8">
        <v>-0.10354439914226532</v>
      </c>
      <c r="CJ55" s="8">
        <v>-3.124997578561306E-2</v>
      </c>
      <c r="CK55" s="8">
        <v>-0.12727269530296326</v>
      </c>
      <c r="CL55" s="8">
        <v>-2.3347605019807816E-2</v>
      </c>
      <c r="CM55" s="9">
        <v>-4.8014087677001953</v>
      </c>
      <c r="CN55" s="9">
        <v>-2.7447326183319092</v>
      </c>
      <c r="CO55" s="9">
        <v>-0.71344864368438721</v>
      </c>
      <c r="CP55" s="9">
        <v>-0.39993435144424438</v>
      </c>
      <c r="CQ55" s="9">
        <v>-0.33163264393806458</v>
      </c>
      <c r="CR55">
        <v>93.935735905273262</v>
      </c>
      <c r="CS55">
        <v>4.2197565502171042</v>
      </c>
      <c r="CT55">
        <v>4.5766590389016013</v>
      </c>
      <c r="CU55" s="8">
        <v>-0.2226093728095293</v>
      </c>
      <c r="CV55" s="9">
        <v>-1.7982314050197601</v>
      </c>
      <c r="CW55">
        <v>0.06</v>
      </c>
      <c r="CX55" t="e">
        <v>#VALUE!</v>
      </c>
      <c r="CY55" t="s">
        <v>653</v>
      </c>
      <c r="CZ55">
        <v>-0.2226093728095293</v>
      </c>
      <c r="DA55" t="e">
        <v>#VALUE!</v>
      </c>
      <c r="DB55" t="s">
        <v>653</v>
      </c>
      <c r="DC55">
        <v>-0.21147890416905282</v>
      </c>
      <c r="DD55" t="e">
        <v>#VALUE!</v>
      </c>
      <c r="DE55" t="s">
        <v>653</v>
      </c>
      <c r="DF55">
        <v>-0.19589624807238579</v>
      </c>
      <c r="DG55" t="e">
        <v>#VALUE!</v>
      </c>
      <c r="DH55" t="s">
        <v>653</v>
      </c>
      <c r="DI55">
        <v>-0.17808749824762346</v>
      </c>
      <c r="DJ55" t="e">
        <v>#VALUE!</v>
      </c>
      <c r="DK55" t="s">
        <v>653</v>
      </c>
      <c r="DL55">
        <v>-0.1558265609666705</v>
      </c>
      <c r="DM55">
        <v>-227999999.99999997</v>
      </c>
      <c r="DN55">
        <v>-0.2226093728095293</v>
      </c>
      <c r="DO55">
        <v>469997500</v>
      </c>
      <c r="DP55">
        <v>1765367800</v>
      </c>
      <c r="DQ55">
        <v>3943</v>
      </c>
      <c r="DR55">
        <v>4.0693835663579163</v>
      </c>
      <c r="DS55">
        <v>156.32432948604321</v>
      </c>
      <c r="DT55" s="10">
        <v>-0.77333333333333332</v>
      </c>
      <c r="DU55">
        <v>-2.39</v>
      </c>
      <c r="DV55">
        <v>-3.1633333333333336</v>
      </c>
      <c r="DW55">
        <v>-2.0933999999999999</v>
      </c>
      <c r="DX55">
        <v>0.29985225225225187</v>
      </c>
      <c r="DY55">
        <v>-2.0149302003603604</v>
      </c>
      <c r="DZ55">
        <v>2470</v>
      </c>
      <c r="EA55">
        <v>-2.0077134498926323</v>
      </c>
      <c r="EB55">
        <v>2</v>
      </c>
      <c r="EC55">
        <v>3.0794125936652639E-2</v>
      </c>
      <c r="ED55">
        <v>0.19264117647875534</v>
      </c>
      <c r="EE55" s="13">
        <v>-4.0271999999999997</v>
      </c>
      <c r="EF55">
        <v>-4.0185000000000004</v>
      </c>
      <c r="EG55">
        <v>14.159852252252252</v>
      </c>
      <c r="EH55" t="s">
        <v>1316</v>
      </c>
      <c r="EI55">
        <v>0</v>
      </c>
      <c r="EJ55">
        <v>0</v>
      </c>
      <c r="EK55" s="12">
        <v>45470</v>
      </c>
      <c r="EL55" s="14">
        <v>-1.52</v>
      </c>
      <c r="EM55" s="14">
        <v>-4.09</v>
      </c>
      <c r="EN55" s="14">
        <v>0.28000000000000003</v>
      </c>
      <c r="EO55" s="14">
        <v>2.68</v>
      </c>
      <c r="EP55" s="14">
        <v>-0.87</v>
      </c>
    </row>
    <row r="56" spans="1:146" ht="96" x14ac:dyDescent="0.25">
      <c r="C56" s="5" t="str">
        <f>""&amp;CHAR(10)&amp;Basic_Fundamental_Information_Constructure(F56)&amp;CHAR(10)&amp;Basic_Fundamental_Information_Concatenate("")</f>
        <v xml:space="preserve">
市值16.731514亿, 利润3.79亿; PE; 平均PE21.07; 平均PEG.21, PB2.12; ROIC4.69%; ROE4.7633%; 股利率.3138%; 毛利56.6267%; 净利3.7767%; 上一年度营收增519.43%, 利润增2186.92%; 当季营收增-82.98%, 利润增-108.48%; 过往5年营收增101.83%, 利润增332.4%
Income profile:
</v>
      </c>
      <c r="D56" t="s">
        <v>188</v>
      </c>
      <c r="E56" t="s">
        <v>12</v>
      </c>
      <c r="F56">
        <v>7.01</v>
      </c>
      <c r="G56">
        <v>3.09</v>
      </c>
      <c r="H56" t="s">
        <v>2367</v>
      </c>
      <c r="I56">
        <v>1673151400</v>
      </c>
      <c r="K56">
        <v>2.12</v>
      </c>
      <c r="L56" t="s">
        <v>53</v>
      </c>
      <c r="M56" t="s">
        <v>932</v>
      </c>
      <c r="N56" t="s">
        <v>2368</v>
      </c>
      <c r="O56" t="s">
        <v>2202</v>
      </c>
      <c r="P56">
        <v>-18.52</v>
      </c>
      <c r="Q56" t="s">
        <v>2369</v>
      </c>
      <c r="R56">
        <v>-7922490</v>
      </c>
      <c r="S56" s="3">
        <v>-1.65</v>
      </c>
      <c r="T56" t="s">
        <v>843</v>
      </c>
      <c r="U56">
        <v>237847310</v>
      </c>
      <c r="V56">
        <v>238680650</v>
      </c>
      <c r="W56">
        <v>1.37</v>
      </c>
      <c r="X56">
        <v>0.18</v>
      </c>
      <c r="Y56">
        <v>-3.95</v>
      </c>
      <c r="Z56" t="s">
        <v>202</v>
      </c>
      <c r="AA56" t="s">
        <v>2370</v>
      </c>
      <c r="AB56" t="s">
        <v>2371</v>
      </c>
      <c r="AC56" t="s">
        <v>2372</v>
      </c>
      <c r="AD56" t="s">
        <v>54</v>
      </c>
      <c r="AE56">
        <v>1860010</v>
      </c>
      <c r="AF56" t="s">
        <v>2373</v>
      </c>
      <c r="AG56" t="s">
        <v>2374</v>
      </c>
      <c r="AH56" t="s">
        <v>2375</v>
      </c>
      <c r="AI56" t="s">
        <v>2376</v>
      </c>
      <c r="AJ56" t="s">
        <v>2377</v>
      </c>
      <c r="AK56" t="s">
        <v>54</v>
      </c>
      <c r="AL56" t="s">
        <v>2378</v>
      </c>
      <c r="AM56" t="s">
        <v>54</v>
      </c>
      <c r="AN56" t="s">
        <v>231</v>
      </c>
      <c r="AO56" t="s">
        <v>2379</v>
      </c>
      <c r="AP56" t="s">
        <v>54</v>
      </c>
      <c r="AQ56" t="s">
        <v>2380</v>
      </c>
      <c r="AR56" t="s">
        <v>2381</v>
      </c>
      <c r="AS56" t="s">
        <v>1078</v>
      </c>
      <c r="AT56" t="s">
        <v>54</v>
      </c>
      <c r="AU56" t="s">
        <v>2382</v>
      </c>
      <c r="AV56" t="s">
        <v>2383</v>
      </c>
      <c r="AW56" t="s">
        <v>2384</v>
      </c>
      <c r="AX56" t="s">
        <v>805</v>
      </c>
      <c r="AY56" t="s">
        <v>612</v>
      </c>
      <c r="AZ56" t="s">
        <v>433</v>
      </c>
      <c r="BA56" t="s">
        <v>189</v>
      </c>
      <c r="BB56" t="s">
        <v>435</v>
      </c>
      <c r="BC56" t="s">
        <v>870</v>
      </c>
      <c r="BD56" t="s">
        <v>613</v>
      </c>
      <c r="BE56" t="s">
        <v>434</v>
      </c>
      <c r="BF56" t="s">
        <v>190</v>
      </c>
      <c r="BG56" t="s">
        <v>437</v>
      </c>
      <c r="BH56" t="s">
        <v>987</v>
      </c>
      <c r="BI56" t="s">
        <v>2385</v>
      </c>
      <c r="BJ56" t="s">
        <v>805</v>
      </c>
      <c r="BK56" t="s">
        <v>2386</v>
      </c>
      <c r="BL56" t="s">
        <v>2387</v>
      </c>
      <c r="BM56" t="s">
        <v>870</v>
      </c>
      <c r="BN56">
        <v>2.4700000000000002</v>
      </c>
      <c r="BO56">
        <v>2.1800000000000002</v>
      </c>
      <c r="BP56">
        <v>9.42</v>
      </c>
      <c r="BQ56">
        <v>2.6</v>
      </c>
      <c r="BR56">
        <v>1.96</v>
      </c>
      <c r="BS56">
        <v>9.73</v>
      </c>
      <c r="BT56" t="s">
        <v>2388</v>
      </c>
      <c r="BU56" t="s">
        <v>646</v>
      </c>
      <c r="BV56">
        <v>56.56</v>
      </c>
      <c r="BW56">
        <v>55.69</v>
      </c>
      <c r="BX56">
        <v>57.63</v>
      </c>
      <c r="BY56">
        <v>1.66</v>
      </c>
      <c r="BZ56">
        <v>1.74</v>
      </c>
      <c r="CA56">
        <v>7.93</v>
      </c>
      <c r="CB56">
        <v>-0.71</v>
      </c>
      <c r="CC56">
        <v>-21.75</v>
      </c>
      <c r="CD56" t="s">
        <v>2389</v>
      </c>
      <c r="CE56" t="s">
        <v>2390</v>
      </c>
      <c r="CF56" s="8">
        <v>-0.82982308340353839</v>
      </c>
      <c r="CG56" s="9">
        <v>-1.0848492150701392</v>
      </c>
      <c r="CH56" s="8">
        <v>5.1943278312683105</v>
      </c>
      <c r="CI56" s="8">
        <v>-7.1219511330127716E-2</v>
      </c>
      <c r="CJ56" s="8">
        <v>0.24544349312782288</v>
      </c>
      <c r="CK56" s="8">
        <v>-0.26122081279754639</v>
      </c>
      <c r="CL56" s="8">
        <v>-1.5901060774922371E-2</v>
      </c>
      <c r="CM56" s="9">
        <v>21.869211196899414</v>
      </c>
      <c r="CN56" s="9">
        <v>-0.79599159955978394</v>
      </c>
      <c r="CO56" s="9">
        <v>2.7094025611877441</v>
      </c>
      <c r="CP56" s="9">
        <v>-6.3922114372253418</v>
      </c>
      <c r="CQ56" s="9">
        <v>-0.77027863264083862</v>
      </c>
      <c r="CR56">
        <v>21.069684856427223</v>
      </c>
      <c r="CS56">
        <v>0.20691323564125388</v>
      </c>
      <c r="CT56">
        <v>0.31383737517831672</v>
      </c>
      <c r="CU56" s="8">
        <v>1.0182859878987074</v>
      </c>
      <c r="CV56" s="9">
        <v>3.3240264177322389</v>
      </c>
      <c r="CW56">
        <v>0.06</v>
      </c>
      <c r="CX56">
        <v>1.7254648295667729</v>
      </c>
      <c r="CY56">
        <v>721632442.84302843</v>
      </c>
      <c r="CZ56">
        <v>1.0182859878987074</v>
      </c>
      <c r="DA56">
        <v>0.28093609059613533</v>
      </c>
      <c r="DB56">
        <v>4432151801.350399</v>
      </c>
      <c r="DC56">
        <v>0.96737168850377198</v>
      </c>
      <c r="DD56">
        <v>4.5616383913325759E-2</v>
      </c>
      <c r="DE56">
        <v>27296144349.492336</v>
      </c>
      <c r="DF56">
        <v>0.89609166935086249</v>
      </c>
      <c r="DG56">
        <v>6.3492554301839196E-3</v>
      </c>
      <c r="DH56">
        <v>196109829521.21231</v>
      </c>
      <c r="DI56">
        <v>0.81462879031896596</v>
      </c>
      <c r="DJ56">
        <v>8.5049010885990858E-5</v>
      </c>
      <c r="DK56">
        <v>14640398365939.133</v>
      </c>
      <c r="DL56">
        <v>0.71280019152909513</v>
      </c>
      <c r="DM56">
        <v>379000000</v>
      </c>
      <c r="DN56">
        <v>1.0182859878987074</v>
      </c>
      <c r="DO56">
        <v>1245151400</v>
      </c>
      <c r="DP56">
        <v>241740680</v>
      </c>
      <c r="DQ56">
        <v>4001</v>
      </c>
      <c r="DR56">
        <v>-1.8481090713022459</v>
      </c>
      <c r="DS56">
        <v>-4.4088756328023777</v>
      </c>
      <c r="DT56" s="10">
        <v>-0.12333333333333336</v>
      </c>
      <c r="DU56">
        <v>-1.3783333333333332</v>
      </c>
      <c r="DV56">
        <v>-1.5016666666666665</v>
      </c>
      <c r="DW56">
        <v>-3.065029761904762</v>
      </c>
      <c r="DX56">
        <v>0.46413289421325471</v>
      </c>
      <c r="DY56">
        <v>-3.0113238206504751</v>
      </c>
      <c r="DZ56">
        <v>1017</v>
      </c>
      <c r="EA56">
        <v>-3.0090701365797248</v>
      </c>
      <c r="EB56">
        <v>3</v>
      </c>
      <c r="EC56">
        <v>4.5102106098672011E-2</v>
      </c>
      <c r="ED56">
        <v>0.25900968511691252</v>
      </c>
      <c r="EE56" s="13">
        <v>2.0220099999999999</v>
      </c>
      <c r="EF56">
        <v>2.0375100000000002</v>
      </c>
      <c r="EG56">
        <v>29.174132894213255</v>
      </c>
      <c r="EH56" t="s">
        <v>674</v>
      </c>
      <c r="EI56">
        <v>0</v>
      </c>
      <c r="EJ56">
        <v>1</v>
      </c>
      <c r="EK56" s="12">
        <v>45470</v>
      </c>
      <c r="EL56" s="14">
        <v>-1.07</v>
      </c>
      <c r="EM56" s="14">
        <v>-0.25</v>
      </c>
      <c r="EN56" s="14">
        <v>1.2</v>
      </c>
      <c r="EO56" s="14">
        <v>-1.02</v>
      </c>
      <c r="EP56" s="14">
        <v>-1.55</v>
      </c>
    </row>
    <row r="57" spans="1:146" ht="96" x14ac:dyDescent="0.25">
      <c r="A57"/>
      <c r="B57"/>
      <c r="C57" s="5" t="str">
        <f>""&amp;CHAR(10)&amp;Basic_Fundamental_Information_Constructure(F57)&amp;CHAR(10)&amp;Basic_Fundamental_Information_Concatenate("")</f>
        <v xml:space="preserve">
市值22.0095亿, 利润3.03亿; PE10.42; 平均PE15.58; 平均PEG.37, PB1.6; ROIC26.1467%; ROE29.8%; 股利率3.0441%; 毛利27.03%; 净利20.5167%; 上一年度营收增113.83%, 利润增26.78%; 当季营收增-63.76%, 利润增-48.35%; 过往5年营收增42.15%, 利润增47.47%
Income profile:
</v>
      </c>
      <c r="D57" t="s">
        <v>871</v>
      </c>
      <c r="E57" t="s">
        <v>872</v>
      </c>
      <c r="F57">
        <v>32.85</v>
      </c>
      <c r="G57">
        <v>0.46</v>
      </c>
      <c r="H57" t="s">
        <v>2391</v>
      </c>
      <c r="I57">
        <v>2200950000</v>
      </c>
      <c r="J57">
        <v>10.42</v>
      </c>
      <c r="K57">
        <v>1.6</v>
      </c>
      <c r="L57" t="s">
        <v>53</v>
      </c>
      <c r="M57" t="s">
        <v>322</v>
      </c>
      <c r="N57" t="s">
        <v>2392</v>
      </c>
      <c r="O57" t="s">
        <v>516</v>
      </c>
      <c r="P57" s="3">
        <v>-18.96</v>
      </c>
      <c r="Q57" t="s">
        <v>2393</v>
      </c>
      <c r="R57">
        <v>42087657</v>
      </c>
      <c r="S57">
        <v>-0.2838</v>
      </c>
      <c r="T57" t="s">
        <v>107</v>
      </c>
      <c r="U57">
        <v>17000000</v>
      </c>
      <c r="V57">
        <v>67000000</v>
      </c>
      <c r="W57">
        <v>1.22</v>
      </c>
      <c r="X57">
        <v>0.12</v>
      </c>
      <c r="Y57">
        <v>21.21</v>
      </c>
      <c r="Z57" t="s">
        <v>701</v>
      </c>
      <c r="AA57" t="s">
        <v>469</v>
      </c>
      <c r="AB57" t="s">
        <v>2394</v>
      </c>
      <c r="AC57" t="s">
        <v>2395</v>
      </c>
      <c r="AD57" t="s">
        <v>54</v>
      </c>
      <c r="AE57">
        <v>-7819552</v>
      </c>
      <c r="AF57" t="s">
        <v>2396</v>
      </c>
      <c r="AG57" t="s">
        <v>2397</v>
      </c>
      <c r="AH57" t="s">
        <v>2398</v>
      </c>
      <c r="AI57" t="s">
        <v>2399</v>
      </c>
      <c r="AJ57" t="s">
        <v>2400</v>
      </c>
      <c r="AK57" t="s">
        <v>54</v>
      </c>
      <c r="AL57" t="s">
        <v>2401</v>
      </c>
      <c r="AM57" t="s">
        <v>54</v>
      </c>
      <c r="AN57" t="s">
        <v>2402</v>
      </c>
      <c r="AO57" t="s">
        <v>2403</v>
      </c>
      <c r="AP57" t="s">
        <v>2404</v>
      </c>
      <c r="AQ57" t="s">
        <v>2405</v>
      </c>
      <c r="AR57" t="s">
        <v>2406</v>
      </c>
      <c r="AS57" t="s">
        <v>464</v>
      </c>
      <c r="AT57" t="s">
        <v>54</v>
      </c>
      <c r="AU57" t="s">
        <v>2407</v>
      </c>
      <c r="AV57" t="s">
        <v>2408</v>
      </c>
      <c r="AW57" t="s">
        <v>2409</v>
      </c>
      <c r="AX57" t="s">
        <v>873</v>
      </c>
      <c r="AY57" t="s">
        <v>874</v>
      </c>
      <c r="AZ57" t="s">
        <v>494</v>
      </c>
      <c r="BA57" t="s">
        <v>875</v>
      </c>
      <c r="BB57" t="s">
        <v>680</v>
      </c>
      <c r="BC57" t="s">
        <v>636</v>
      </c>
      <c r="BD57" t="s">
        <v>826</v>
      </c>
      <c r="BE57" t="s">
        <v>876</v>
      </c>
      <c r="BF57" t="s">
        <v>877</v>
      </c>
      <c r="BG57" t="s">
        <v>878</v>
      </c>
      <c r="BH57" t="s">
        <v>1599</v>
      </c>
      <c r="BI57" t="s">
        <v>893</v>
      </c>
      <c r="BJ57" t="s">
        <v>873</v>
      </c>
      <c r="BK57" t="s">
        <v>908</v>
      </c>
      <c r="BL57" t="s">
        <v>2410</v>
      </c>
      <c r="BM57" t="s">
        <v>636</v>
      </c>
      <c r="BN57">
        <v>14.66</v>
      </c>
      <c r="BO57">
        <v>40.03</v>
      </c>
      <c r="BP57">
        <v>23.75</v>
      </c>
      <c r="BQ57">
        <v>19.22</v>
      </c>
      <c r="BR57">
        <v>40.380000000000003</v>
      </c>
      <c r="BS57" t="s">
        <v>54</v>
      </c>
      <c r="BT57" t="s">
        <v>1638</v>
      </c>
      <c r="BU57" t="s">
        <v>659</v>
      </c>
      <c r="BV57">
        <v>32.5</v>
      </c>
      <c r="BW57">
        <v>27.38</v>
      </c>
      <c r="BX57">
        <v>21.21</v>
      </c>
      <c r="BY57">
        <v>27.29</v>
      </c>
      <c r="BZ57">
        <v>21.23</v>
      </c>
      <c r="CA57">
        <v>13.03</v>
      </c>
      <c r="CB57">
        <v>4.4800000000000004</v>
      </c>
      <c r="CC57" s="8">
        <v>-8.34</v>
      </c>
      <c r="CD57" s="9" t="s">
        <v>2411</v>
      </c>
      <c r="CE57" s="8" t="s">
        <v>2412</v>
      </c>
      <c r="CF57" s="8">
        <v>-0.63756177924217461</v>
      </c>
      <c r="CG57" s="8">
        <v>-0.48349133397721539</v>
      </c>
      <c r="CH57" s="8">
        <v>1.1382979154586792</v>
      </c>
      <c r="CI57" s="8">
        <v>0.45360824465751648</v>
      </c>
      <c r="CJ57" s="9">
        <v>0.29983249306678772</v>
      </c>
      <c r="CK57" s="9">
        <v>1.6778523568063974E-3</v>
      </c>
      <c r="CL57" s="9">
        <v>0.21384929120540619</v>
      </c>
      <c r="CM57" s="9">
        <v>0.26778241991996765</v>
      </c>
      <c r="CN57" s="9">
        <v>1.3663365840911865</v>
      </c>
      <c r="CO57">
        <v>0.6969456672668457</v>
      </c>
      <c r="CP57">
        <v>-0.2806704044342041</v>
      </c>
      <c r="CQ57">
        <v>0.32322260737419128</v>
      </c>
      <c r="CR57" s="8">
        <v>15.576594803059997</v>
      </c>
      <c r="CS57" s="9">
        <v>0.36959255038256267</v>
      </c>
      <c r="CT57">
        <v>3.0441400304414001</v>
      </c>
      <c r="CU57">
        <v>0.42145315934903921</v>
      </c>
      <c r="CV57">
        <v>0.47472337484359739</v>
      </c>
      <c r="CW57">
        <v>0.06</v>
      </c>
      <c r="CX57">
        <v>2.5963459535352968</v>
      </c>
      <c r="CY57">
        <v>406321044.60637629</v>
      </c>
      <c r="CZ57">
        <v>0.42145315934903921</v>
      </c>
      <c r="DA57">
        <v>0.64808666187422148</v>
      </c>
      <c r="DB57">
        <v>1627791562.5499191</v>
      </c>
      <c r="DC57">
        <v>0.40038050138158721</v>
      </c>
      <c r="DD57">
        <v>0.21460693059079075</v>
      </c>
      <c r="DE57">
        <v>4915731272.4981966</v>
      </c>
      <c r="DF57">
        <v>0.37087878022715448</v>
      </c>
      <c r="DG57">
        <v>7.8405888933738579E-2</v>
      </c>
      <c r="DH57">
        <v>13454984240.935606</v>
      </c>
      <c r="DI57">
        <v>0.33716252747923137</v>
      </c>
      <c r="DJ57">
        <v>1.1727535874125646E-2</v>
      </c>
      <c r="DK57">
        <v>89954958255.768494</v>
      </c>
      <c r="DL57">
        <v>0.29501721154432742</v>
      </c>
      <c r="DM57">
        <v>303000000</v>
      </c>
      <c r="DN57">
        <v>0.42145315934903921</v>
      </c>
      <c r="DO57">
        <v>1054950000</v>
      </c>
      <c r="DP57">
        <v>1004825320</v>
      </c>
      <c r="DQ57" s="10">
        <v>4075</v>
      </c>
      <c r="DR57">
        <v>-1.0590149385912138</v>
      </c>
      <c r="DS57">
        <v>-0.95821470882081283</v>
      </c>
      <c r="DT57">
        <v>0.27666666666666662</v>
      </c>
      <c r="DU57">
        <v>0.49666666666666665</v>
      </c>
      <c r="DV57">
        <v>0.77333333333333321</v>
      </c>
      <c r="DW57">
        <v>6.3494539781591266</v>
      </c>
      <c r="DX57">
        <v>0.3461232426291464</v>
      </c>
      <c r="DY57">
        <v>6.0790196666909964</v>
      </c>
      <c r="DZ57">
        <v>1471</v>
      </c>
      <c r="EA57">
        <v>6.05627251802124</v>
      </c>
      <c r="EB57" s="13">
        <v>6</v>
      </c>
      <c r="EC57" s="13">
        <v>3.0895522388059701E-2</v>
      </c>
      <c r="ED57">
        <v>0.13663134328358209</v>
      </c>
      <c r="EE57">
        <v>3.0097</v>
      </c>
      <c r="EF57">
        <v>3.01891</v>
      </c>
      <c r="EG57">
        <v>12.226123242629146</v>
      </c>
      <c r="EH57" s="12" t="s">
        <v>1000</v>
      </c>
      <c r="EI57" s="14">
        <v>0</v>
      </c>
      <c r="EJ57" s="14">
        <v>1</v>
      </c>
      <c r="EK57" s="14">
        <v>45470</v>
      </c>
      <c r="EL57" s="14">
        <v>0.41</v>
      </c>
      <c r="EM57" s="14">
        <v>-2.38</v>
      </c>
      <c r="EN57" s="14">
        <v>1.69</v>
      </c>
      <c r="EO57" s="14">
        <v>2.75</v>
      </c>
      <c r="EP57" s="14">
        <v>-2.86</v>
      </c>
    </row>
    <row r="58" spans="1:146" ht="96" x14ac:dyDescent="0.25">
      <c r="C58" s="5" t="str">
        <f>""&amp;CHAR(10)&amp;Basic_Fundamental_Information_Constructure(F58)&amp;CHAR(10)&amp;Basic_Fundamental_Information_Concatenate("")</f>
        <v xml:space="preserve">
市值41.038973亿, 利润2.09亿; PE10.56; 平均PE14.08; 平均PEG1.08, PB1.37; ROIC11.0267%; ROE11.61%; 股利率5.7618%; 毛利38.8967%; 净利8.9167%; 上一年度营收增32.15%, 利润增-24.82%; 当季营收增4.93%, 利润增966.99%; 过往5年营收增13.06%, 利润增-2.91%
Income profile:
</v>
      </c>
      <c r="D58" t="s">
        <v>116</v>
      </c>
      <c r="E58" t="s">
        <v>532</v>
      </c>
      <c r="F58">
        <v>15.62</v>
      </c>
      <c r="G58">
        <v>1.36</v>
      </c>
      <c r="H58" t="s">
        <v>2413</v>
      </c>
      <c r="I58">
        <v>4103897300</v>
      </c>
      <c r="J58">
        <v>10.56</v>
      </c>
      <c r="K58">
        <v>1.37</v>
      </c>
      <c r="L58" t="s">
        <v>53</v>
      </c>
      <c r="M58" t="s">
        <v>339</v>
      </c>
      <c r="N58" t="s">
        <v>2414</v>
      </c>
      <c r="O58" t="s">
        <v>933</v>
      </c>
      <c r="P58">
        <v>11.84</v>
      </c>
      <c r="Q58" t="s">
        <v>2415</v>
      </c>
      <c r="R58">
        <v>93321485</v>
      </c>
      <c r="S58" s="3">
        <v>0.11550000000000001</v>
      </c>
      <c r="T58" t="s">
        <v>274</v>
      </c>
      <c r="U58">
        <v>258063500</v>
      </c>
      <c r="V58">
        <v>262733500</v>
      </c>
      <c r="W58">
        <v>1.24</v>
      </c>
      <c r="X58">
        <v>0.25</v>
      </c>
      <c r="Y58">
        <v>10.199999999999999</v>
      </c>
      <c r="Z58" t="s">
        <v>2416</v>
      </c>
      <c r="AA58" t="s">
        <v>2417</v>
      </c>
      <c r="AB58" t="s">
        <v>313</v>
      </c>
      <c r="AC58" t="s">
        <v>2418</v>
      </c>
      <c r="AD58" t="s">
        <v>54</v>
      </c>
      <c r="AE58">
        <v>-3461572</v>
      </c>
      <c r="AF58" t="s">
        <v>2419</v>
      </c>
      <c r="AG58" t="s">
        <v>2420</v>
      </c>
      <c r="AH58" t="s">
        <v>2421</v>
      </c>
      <c r="AI58" t="s">
        <v>2422</v>
      </c>
      <c r="AJ58" t="s">
        <v>2423</v>
      </c>
      <c r="AK58" t="s">
        <v>54</v>
      </c>
      <c r="AL58" t="s">
        <v>2424</v>
      </c>
      <c r="AM58" t="s">
        <v>54</v>
      </c>
      <c r="AN58" t="s">
        <v>2425</v>
      </c>
      <c r="AO58" t="s">
        <v>2426</v>
      </c>
      <c r="AP58" t="s">
        <v>54</v>
      </c>
      <c r="AQ58" t="s">
        <v>380</v>
      </c>
      <c r="AR58" t="s">
        <v>54</v>
      </c>
      <c r="AS58" t="s">
        <v>865</v>
      </c>
      <c r="AT58" t="s">
        <v>54</v>
      </c>
      <c r="AU58" t="s">
        <v>2427</v>
      </c>
      <c r="AV58" t="s">
        <v>995</v>
      </c>
      <c r="AW58" t="s">
        <v>2428</v>
      </c>
      <c r="AX58" t="s">
        <v>879</v>
      </c>
      <c r="AY58" t="s">
        <v>614</v>
      </c>
      <c r="AZ58" t="s">
        <v>439</v>
      </c>
      <c r="BA58" t="s">
        <v>117</v>
      </c>
      <c r="BB58" t="s">
        <v>440</v>
      </c>
      <c r="BC58" t="s">
        <v>704</v>
      </c>
      <c r="BD58" t="s">
        <v>493</v>
      </c>
      <c r="BE58" t="s">
        <v>382</v>
      </c>
      <c r="BF58" t="s">
        <v>118</v>
      </c>
      <c r="BG58" t="s">
        <v>139</v>
      </c>
      <c r="BH58" t="s">
        <v>2429</v>
      </c>
      <c r="BI58" t="s">
        <v>598</v>
      </c>
      <c r="BJ58" t="s">
        <v>879</v>
      </c>
      <c r="BK58" t="s">
        <v>843</v>
      </c>
      <c r="BL58" t="s">
        <v>2430</v>
      </c>
      <c r="BM58" t="s">
        <v>704</v>
      </c>
      <c r="BN58">
        <v>8.4</v>
      </c>
      <c r="BO58">
        <v>9.7200000000000006</v>
      </c>
      <c r="BP58">
        <v>14.96</v>
      </c>
      <c r="BQ58">
        <v>9</v>
      </c>
      <c r="BR58">
        <v>10.32</v>
      </c>
      <c r="BS58">
        <v>15.51</v>
      </c>
      <c r="BT58" t="s">
        <v>2431</v>
      </c>
      <c r="BU58" t="s">
        <v>655</v>
      </c>
      <c r="BV58">
        <v>40.04</v>
      </c>
      <c r="BW58">
        <v>38.700000000000003</v>
      </c>
      <c r="BX58">
        <v>37.950000000000003</v>
      </c>
      <c r="BY58">
        <v>9</v>
      </c>
      <c r="BZ58">
        <v>7.59</v>
      </c>
      <c r="CA58">
        <v>10.16</v>
      </c>
      <c r="CB58">
        <v>-0.19</v>
      </c>
      <c r="CC58">
        <v>-11.5</v>
      </c>
      <c r="CD58" t="s">
        <v>2432</v>
      </c>
      <c r="CE58" t="s">
        <v>2433</v>
      </c>
      <c r="CF58" s="8">
        <v>4.9311926605504444E-2</v>
      </c>
      <c r="CG58" s="9">
        <v>9.6698580440175022</v>
      </c>
      <c r="CH58" s="8">
        <v>0.32150653004646301</v>
      </c>
      <c r="CI58" s="8">
        <v>-3.5535681992769241E-2</v>
      </c>
      <c r="CJ58" s="8">
        <v>0.251729816198349</v>
      </c>
      <c r="CK58" s="8">
        <v>1.0992735624313354E-2</v>
      </c>
      <c r="CL58" s="8">
        <v>0.10408230870962143</v>
      </c>
      <c r="CM58" s="9">
        <v>-0.24820144474506378</v>
      </c>
      <c r="CN58" s="9">
        <v>-0.27979275584220886</v>
      </c>
      <c r="CO58" s="9">
        <v>0.40363636612892151</v>
      </c>
      <c r="CP58" s="9">
        <v>-0.12974683940410614</v>
      </c>
      <c r="CQ58" s="9">
        <v>0.10877192765474319</v>
      </c>
      <c r="CR58">
        <v>14.078549914236707</v>
      </c>
      <c r="CS58">
        <v>1.0783604329221459</v>
      </c>
      <c r="CT58">
        <v>5.7618437900128043</v>
      </c>
      <c r="CU58" s="8">
        <v>0.13055514171719551</v>
      </c>
      <c r="CV58" s="9">
        <v>-2.9066549241542818E-2</v>
      </c>
      <c r="CW58">
        <v>0.06</v>
      </c>
      <c r="CX58">
        <v>8.1417897698473105</v>
      </c>
      <c r="CY58">
        <v>222911343.98008856</v>
      </c>
      <c r="CZ58">
        <v>0.13055514171719551</v>
      </c>
      <c r="DA58">
        <v>2.5712520499874714</v>
      </c>
      <c r="DB58">
        <v>705841848.53011322</v>
      </c>
      <c r="DC58">
        <v>0.12402738463133572</v>
      </c>
      <c r="DD58">
        <v>1.2083757188236008</v>
      </c>
      <c r="DE58">
        <v>1501931288.1980703</v>
      </c>
      <c r="DF58">
        <v>0.11488852471113205</v>
      </c>
      <c r="DG58">
        <v>0.68798582582831769</v>
      </c>
      <c r="DH58">
        <v>2637986469.8737202</v>
      </c>
      <c r="DI58">
        <v>0.10444411337375642</v>
      </c>
      <c r="DJ58">
        <v>0.31511738400626677</v>
      </c>
      <c r="DK58">
        <v>5759432491.2392235</v>
      </c>
      <c r="DL58">
        <v>9.1388599202036847E-2</v>
      </c>
      <c r="DM58">
        <v>209000000</v>
      </c>
      <c r="DN58">
        <v>0.13055514171719551</v>
      </c>
      <c r="DO58">
        <v>1814897300</v>
      </c>
      <c r="DP58">
        <v>2404463500</v>
      </c>
      <c r="DQ58">
        <v>4119</v>
      </c>
      <c r="DR58">
        <v>-8.1243215111691067E-2</v>
      </c>
      <c r="DS58">
        <v>9.6989245932590453</v>
      </c>
      <c r="DT58" s="10">
        <v>-0.14000000000000001</v>
      </c>
      <c r="DU58">
        <v>-0.18333333333333335</v>
      </c>
      <c r="DV58">
        <v>-0.32333333333333336</v>
      </c>
      <c r="DW58">
        <v>-2.1150000000000002</v>
      </c>
      <c r="DX58">
        <v>0.36713807928330366</v>
      </c>
      <c r="DY58">
        <v>-2.0157708791175799</v>
      </c>
      <c r="DZ58">
        <v>2861</v>
      </c>
      <c r="EA58">
        <v>-2.0069410385783635</v>
      </c>
      <c r="EB58">
        <v>2</v>
      </c>
      <c r="EC58">
        <v>3.477173637925883E-2</v>
      </c>
      <c r="ED58">
        <v>0.25355274451107301</v>
      </c>
      <c r="EE58" s="13">
        <v>-2.0962000000000001</v>
      </c>
      <c r="EF58">
        <v>-2.0743</v>
      </c>
      <c r="EG58">
        <v>23.137138079283304</v>
      </c>
      <c r="EH58" t="s">
        <v>649</v>
      </c>
      <c r="EI58">
        <v>0</v>
      </c>
      <c r="EJ58">
        <v>0</v>
      </c>
      <c r="EK58" s="12">
        <v>45470</v>
      </c>
      <c r="EL58" s="14">
        <v>-1.1000000000000001</v>
      </c>
      <c r="EM58" s="14">
        <v>-3.88</v>
      </c>
      <c r="EN58" s="14">
        <v>1.1499999999999999</v>
      </c>
      <c r="EO58" s="14">
        <v>3.99</v>
      </c>
      <c r="EP58" s="14">
        <v>-2.19</v>
      </c>
    </row>
    <row r="59" spans="1:146" ht="96" x14ac:dyDescent="0.25">
      <c r="C59" s="5" t="str">
        <f>""&amp;CHAR(10)&amp;Basic_Fundamental_Information_Constructure(F59)&amp;CHAR(10)&amp;Basic_Fundamental_Information_Concatenate("")</f>
        <v xml:space="preserve">
市值47.42366亿, 利润9.24亿; PE16.61; 平均PE10.53; 平均PEG.37, PB1.02; ROIC6.14%; ROE6.0967%; 股利率6.4544%; 毛利66.6967%; 净利8.3433%; 上一年度营收增136.21%, 利润增350.73%; 当季营收增-41.52%, 利润增9.6%; 过往5年营收增28.47%, 利润增59%
Income profile:
</v>
      </c>
      <c r="D59" t="s">
        <v>443</v>
      </c>
      <c r="E59" t="s">
        <v>615</v>
      </c>
      <c r="F59">
        <v>11.62</v>
      </c>
      <c r="G59">
        <v>2.74</v>
      </c>
      <c r="H59" t="s">
        <v>2434</v>
      </c>
      <c r="I59">
        <v>4742366000</v>
      </c>
      <c r="J59">
        <v>16.61</v>
      </c>
      <c r="K59">
        <v>1.02</v>
      </c>
      <c r="L59" t="s">
        <v>53</v>
      </c>
      <c r="M59" t="s">
        <v>986</v>
      </c>
      <c r="N59" t="s">
        <v>2435</v>
      </c>
      <c r="O59" t="s">
        <v>2436</v>
      </c>
      <c r="P59">
        <v>-4.6900000000000004</v>
      </c>
      <c r="Q59" t="s">
        <v>2437</v>
      </c>
      <c r="R59">
        <v>107300975</v>
      </c>
      <c r="S59" s="3">
        <v>-0.1578</v>
      </c>
      <c r="T59" t="s">
        <v>852</v>
      </c>
      <c r="U59">
        <v>400010000</v>
      </c>
      <c r="V59">
        <v>408121000</v>
      </c>
      <c r="W59">
        <v>1.1499999999999999</v>
      </c>
      <c r="X59">
        <v>0.16</v>
      </c>
      <c r="Y59">
        <v>12.19</v>
      </c>
      <c r="Z59" t="s">
        <v>2438</v>
      </c>
      <c r="AA59" t="s">
        <v>534</v>
      </c>
      <c r="AB59" t="s">
        <v>2439</v>
      </c>
      <c r="AC59" t="s">
        <v>2440</v>
      </c>
      <c r="AD59" t="s">
        <v>54</v>
      </c>
      <c r="AE59">
        <v>2852079</v>
      </c>
      <c r="AF59" t="s">
        <v>2441</v>
      </c>
      <c r="AG59" t="s">
        <v>2442</v>
      </c>
      <c r="AH59" t="s">
        <v>2443</v>
      </c>
      <c r="AI59" t="s">
        <v>992</v>
      </c>
      <c r="AJ59" t="s">
        <v>2444</v>
      </c>
      <c r="AK59" t="s">
        <v>54</v>
      </c>
      <c r="AL59" t="s">
        <v>2445</v>
      </c>
      <c r="AM59" t="s">
        <v>54</v>
      </c>
      <c r="AN59" t="s">
        <v>2271</v>
      </c>
      <c r="AO59" t="s">
        <v>54</v>
      </c>
      <c r="AP59" t="s">
        <v>54</v>
      </c>
      <c r="AQ59" t="s">
        <v>261</v>
      </c>
      <c r="AR59" t="s">
        <v>54</v>
      </c>
      <c r="AS59" t="s">
        <v>2446</v>
      </c>
      <c r="AT59" t="s">
        <v>54</v>
      </c>
      <c r="AU59" t="s">
        <v>906</v>
      </c>
      <c r="AV59" t="s">
        <v>2447</v>
      </c>
      <c r="AW59" t="s">
        <v>2448</v>
      </c>
      <c r="AX59" t="s">
        <v>881</v>
      </c>
      <c r="AY59" t="s">
        <v>616</v>
      </c>
      <c r="AZ59" t="s">
        <v>444</v>
      </c>
      <c r="BA59" t="s">
        <v>445</v>
      </c>
      <c r="BB59" t="s">
        <v>446</v>
      </c>
      <c r="BC59" t="s">
        <v>882</v>
      </c>
      <c r="BD59" t="s">
        <v>519</v>
      </c>
      <c r="BE59" t="s">
        <v>401</v>
      </c>
      <c r="BF59" t="s">
        <v>259</v>
      </c>
      <c r="BG59" t="s">
        <v>238</v>
      </c>
      <c r="BH59" t="s">
        <v>2449</v>
      </c>
      <c r="BI59" t="s">
        <v>991</v>
      </c>
      <c r="BJ59" t="s">
        <v>881</v>
      </c>
      <c r="BK59" t="s">
        <v>2082</v>
      </c>
      <c r="BL59" t="s">
        <v>2450</v>
      </c>
      <c r="BM59" t="s">
        <v>882</v>
      </c>
      <c r="BN59">
        <v>5.04</v>
      </c>
      <c r="BO59">
        <v>4.54</v>
      </c>
      <c r="BP59">
        <v>8.84</v>
      </c>
      <c r="BQ59">
        <v>5.08</v>
      </c>
      <c r="BR59">
        <v>4.63</v>
      </c>
      <c r="BS59">
        <v>8.58</v>
      </c>
      <c r="BT59" t="s">
        <v>2451</v>
      </c>
      <c r="BU59" t="s">
        <v>659</v>
      </c>
      <c r="BV59">
        <v>66.28</v>
      </c>
      <c r="BW59">
        <v>66.260000000000005</v>
      </c>
      <c r="BX59">
        <v>67.55</v>
      </c>
      <c r="BY59">
        <v>9.01</v>
      </c>
      <c r="BZ59">
        <v>6.2</v>
      </c>
      <c r="CA59">
        <v>9.82</v>
      </c>
      <c r="CB59">
        <v>0.78</v>
      </c>
      <c r="CC59">
        <v>-10.89</v>
      </c>
      <c r="CD59" t="s">
        <v>2452</v>
      </c>
      <c r="CE59" t="s">
        <v>2453</v>
      </c>
      <c r="CF59" s="8">
        <v>-0.4151696606786428</v>
      </c>
      <c r="CG59" s="9">
        <v>9.5951298532174004E-2</v>
      </c>
      <c r="CH59" s="8">
        <v>1.3621211051940918</v>
      </c>
      <c r="CI59" s="8">
        <v>-6.2233604490756989E-2</v>
      </c>
      <c r="CJ59" s="8">
        <v>4.6698451042175293E-2</v>
      </c>
      <c r="CK59" s="8">
        <v>1.3260923326015472E-2</v>
      </c>
      <c r="CL59" s="8">
        <v>6.3802517950534821E-2</v>
      </c>
      <c r="CM59" s="9">
        <v>3.507317066192627</v>
      </c>
      <c r="CN59" s="9">
        <v>-0.40579709410667419</v>
      </c>
      <c r="CO59" s="9">
        <v>-0.22297297418117523</v>
      </c>
      <c r="CP59" s="9">
        <v>0.32537314295768738</v>
      </c>
      <c r="CQ59" s="9">
        <v>-0.25389754772186279</v>
      </c>
      <c r="CR59">
        <v>10.53079052553664</v>
      </c>
      <c r="CS59">
        <v>0.36985196555952377</v>
      </c>
      <c r="CT59">
        <v>6.4543889845094666</v>
      </c>
      <c r="CU59" s="8">
        <v>0.28472987860441207</v>
      </c>
      <c r="CV59" s="9">
        <v>0.59000451862812042</v>
      </c>
      <c r="CW59">
        <v>0.06</v>
      </c>
      <c r="CX59">
        <v>0.77271954515783936</v>
      </c>
      <c r="CY59">
        <v>1119896611.1608272</v>
      </c>
      <c r="CZ59">
        <v>0.28472987860441207</v>
      </c>
      <c r="DA59">
        <v>0.21494960447994932</v>
      </c>
      <c r="DB59">
        <v>4025901801.9301453</v>
      </c>
      <c r="DC59">
        <v>0.27049338467419143</v>
      </c>
      <c r="DD59">
        <v>8.4122353670929864E-2</v>
      </c>
      <c r="DE59">
        <v>10286992246.854408</v>
      </c>
      <c r="DF59">
        <v>0.25056229317188261</v>
      </c>
      <c r="DG59">
        <v>3.824177922766573E-2</v>
      </c>
      <c r="DH59">
        <v>22628811145.218822</v>
      </c>
      <c r="DI59">
        <v>0.22778390288352968</v>
      </c>
      <c r="DJ59">
        <v>1.0056854512188778E-2</v>
      </c>
      <c r="DK59">
        <v>86047381808.217224</v>
      </c>
      <c r="DL59">
        <v>0.19931091502308843</v>
      </c>
      <c r="DM59">
        <v>924000000</v>
      </c>
      <c r="DN59">
        <v>0.28472987860441207</v>
      </c>
      <c r="DO59">
        <v>865366000</v>
      </c>
      <c r="DP59">
        <v>3065727800</v>
      </c>
      <c r="DQ59">
        <v>4164</v>
      </c>
      <c r="DR59">
        <v>-0.69989953928305493</v>
      </c>
      <c r="DS59">
        <v>-0.49405322009594643</v>
      </c>
      <c r="DT59" s="10">
        <v>-0.10666666666666669</v>
      </c>
      <c r="DU59">
        <v>3.3333333333333305E-2</v>
      </c>
      <c r="DV59">
        <v>-7.3333333333333389E-2</v>
      </c>
      <c r="DW59">
        <v>-2.1089000000000002</v>
      </c>
      <c r="DX59">
        <v>0.49924781115167161</v>
      </c>
      <c r="DY59">
        <v>-2.0314990866344171</v>
      </c>
      <c r="DZ59">
        <v>2722</v>
      </c>
      <c r="EA59">
        <v>-2.0147201211121306</v>
      </c>
      <c r="EB59">
        <v>2</v>
      </c>
      <c r="EC59">
        <v>2.3045861398947862E-2</v>
      </c>
      <c r="ED59">
        <v>7.9675145361302158E-2</v>
      </c>
      <c r="EE59" s="13">
        <v>-1.0133099999999999</v>
      </c>
      <c r="EF59">
        <v>-1.04061</v>
      </c>
      <c r="EG59">
        <v>21.289247811151672</v>
      </c>
      <c r="EH59" t="s">
        <v>656</v>
      </c>
      <c r="EI59">
        <v>0</v>
      </c>
      <c r="EJ59">
        <v>0</v>
      </c>
      <c r="EK59" s="12">
        <v>45470</v>
      </c>
      <c r="EL59" s="14">
        <v>-0.56000000000000005</v>
      </c>
      <c r="EM59" s="14">
        <v>-1.69</v>
      </c>
      <c r="EN59">
        <v>0.4</v>
      </c>
      <c r="EO59">
        <v>2.16</v>
      </c>
      <c r="EP59">
        <v>-2.73</v>
      </c>
    </row>
    <row r="60" spans="1:146" ht="96" x14ac:dyDescent="0.25">
      <c r="C60" s="5" t="str">
        <f>""&amp;CHAR(10)&amp;Basic_Fundamental_Information_Constructure(F60)&amp;CHAR(10)&amp;Basic_Fundamental_Information_Concatenate("")</f>
        <v xml:space="preserve">
市值29.542138亿, 利润6.40亿; PE9.49; 平均PE25.56; 平均PEG3.97, PB.851; ROIC7.0433%; ROE6.06%; 股利率3.0552%; 毛利69.34%; 净利4.52%; 上一年度营收增-60.91%, 利润增796.18%; 当季营收增323.9%, 利润增-52.21%; 过往5年营收增-6.45%, 利润增26.28%
Income profile:
</v>
      </c>
      <c r="D60" t="s">
        <v>156</v>
      </c>
      <c r="E60" t="s">
        <v>157</v>
      </c>
      <c r="F60">
        <v>8.51</v>
      </c>
      <c r="G60">
        <v>1.19</v>
      </c>
      <c r="H60" t="s">
        <v>2454</v>
      </c>
      <c r="I60">
        <v>2954213800</v>
      </c>
      <c r="J60">
        <v>9.49</v>
      </c>
      <c r="K60">
        <v>0.85099999999999998</v>
      </c>
      <c r="L60" t="s">
        <v>53</v>
      </c>
      <c r="M60" t="s">
        <v>2455</v>
      </c>
      <c r="N60" t="s">
        <v>2456</v>
      </c>
      <c r="O60" t="s">
        <v>2457</v>
      </c>
      <c r="P60">
        <v>-1.24</v>
      </c>
      <c r="Q60" t="s">
        <v>1267</v>
      </c>
      <c r="R60">
        <v>116119650</v>
      </c>
      <c r="S60" s="3">
        <v>0.13189999999999999</v>
      </c>
      <c r="T60" t="s">
        <v>854</v>
      </c>
      <c r="U60">
        <v>343534650</v>
      </c>
      <c r="V60">
        <v>347146150</v>
      </c>
      <c r="W60">
        <v>1.59</v>
      </c>
      <c r="X60">
        <v>0.2</v>
      </c>
      <c r="Y60">
        <v>10.07</v>
      </c>
      <c r="Z60" t="s">
        <v>2458</v>
      </c>
      <c r="AA60" t="s">
        <v>323</v>
      </c>
      <c r="AB60" t="s">
        <v>944</v>
      </c>
      <c r="AC60" t="s">
        <v>2459</v>
      </c>
      <c r="AD60" t="s">
        <v>54</v>
      </c>
      <c r="AE60">
        <v>16492249</v>
      </c>
      <c r="AF60" t="s">
        <v>97</v>
      </c>
      <c r="AG60" t="s">
        <v>2460</v>
      </c>
      <c r="AH60" t="s">
        <v>2461</v>
      </c>
      <c r="AI60" t="s">
        <v>993</v>
      </c>
      <c r="AJ60" t="s">
        <v>2462</v>
      </c>
      <c r="AK60" t="s">
        <v>54</v>
      </c>
      <c r="AL60" t="s">
        <v>2463</v>
      </c>
      <c r="AM60" t="s">
        <v>54</v>
      </c>
      <c r="AN60" t="s">
        <v>2464</v>
      </c>
      <c r="AO60" t="s">
        <v>2465</v>
      </c>
      <c r="AP60" t="s">
        <v>54</v>
      </c>
      <c r="AQ60" t="s">
        <v>1847</v>
      </c>
      <c r="AR60" t="s">
        <v>54</v>
      </c>
      <c r="AS60" t="s">
        <v>2466</v>
      </c>
      <c r="AT60" t="s">
        <v>265</v>
      </c>
      <c r="AU60" t="s">
        <v>934</v>
      </c>
      <c r="AV60" t="s">
        <v>2467</v>
      </c>
      <c r="AW60" t="s">
        <v>2468</v>
      </c>
      <c r="AX60" t="s">
        <v>883</v>
      </c>
      <c r="AY60" t="s">
        <v>618</v>
      </c>
      <c r="AZ60" t="s">
        <v>447</v>
      </c>
      <c r="BA60" t="s">
        <v>158</v>
      </c>
      <c r="BB60" t="s">
        <v>449</v>
      </c>
      <c r="BC60" t="s">
        <v>884</v>
      </c>
      <c r="BD60" t="s">
        <v>518</v>
      </c>
      <c r="BE60" t="s">
        <v>448</v>
      </c>
      <c r="BF60" t="s">
        <v>159</v>
      </c>
      <c r="BG60" t="s">
        <v>136</v>
      </c>
      <c r="BH60" t="s">
        <v>2469</v>
      </c>
      <c r="BI60" t="s">
        <v>2470</v>
      </c>
      <c r="BJ60" t="s">
        <v>883</v>
      </c>
      <c r="BK60" t="s">
        <v>2471</v>
      </c>
      <c r="BL60" t="s">
        <v>686</v>
      </c>
      <c r="BM60" t="s">
        <v>884</v>
      </c>
      <c r="BN60">
        <v>4.88</v>
      </c>
      <c r="BO60">
        <v>8.5500000000000007</v>
      </c>
      <c r="BP60">
        <v>7.7</v>
      </c>
      <c r="BQ60">
        <v>5.97</v>
      </c>
      <c r="BR60">
        <v>2.4300000000000002</v>
      </c>
      <c r="BS60">
        <v>9.7799999999999994</v>
      </c>
      <c r="BT60" t="s">
        <v>2472</v>
      </c>
      <c r="BU60" t="s">
        <v>646</v>
      </c>
      <c r="BV60">
        <v>69.2</v>
      </c>
      <c r="BW60">
        <v>69.2</v>
      </c>
      <c r="BX60">
        <v>69.62</v>
      </c>
      <c r="BY60">
        <v>6.55</v>
      </c>
      <c r="BZ60">
        <v>1.83</v>
      </c>
      <c r="CA60">
        <v>5.18</v>
      </c>
      <c r="CB60">
        <v>-3.3</v>
      </c>
      <c r="CC60">
        <v>-14.3</v>
      </c>
      <c r="CD60" t="s">
        <v>2473</v>
      </c>
      <c r="CE60" t="s">
        <v>456</v>
      </c>
      <c r="CF60" s="8">
        <v>3.2389705882352939</v>
      </c>
      <c r="CG60" s="9">
        <v>-0.52214135802469142</v>
      </c>
      <c r="CH60" s="8">
        <v>-0.60913056135177612</v>
      </c>
      <c r="CI60" s="8">
        <v>-9.8288550972938538E-2</v>
      </c>
      <c r="CJ60" s="8">
        <v>0.29461070895195007</v>
      </c>
      <c r="CK60" s="8">
        <v>0.14658430218696594</v>
      </c>
      <c r="CL60" s="8">
        <v>-5.6059684604406357E-2</v>
      </c>
      <c r="CM60" s="9">
        <v>7.9618029594421387</v>
      </c>
      <c r="CN60" s="9">
        <v>-0.68118655681610107</v>
      </c>
      <c r="CO60" s="9">
        <v>1.3589743375778198</v>
      </c>
      <c r="CP60" s="9">
        <v>-6.7247705459594727</v>
      </c>
      <c r="CQ60" s="9">
        <v>-0.60073262453079224</v>
      </c>
      <c r="CR60">
        <v>25.562330278208897</v>
      </c>
      <c r="CS60">
        <v>3.9658107862194845</v>
      </c>
      <c r="CT60">
        <v>3.0552291421856643</v>
      </c>
      <c r="CU60" s="8">
        <v>-6.4456757158041E-2</v>
      </c>
      <c r="CV60" s="9">
        <v>0.26281751394271852</v>
      </c>
      <c r="CW60">
        <v>0.06</v>
      </c>
      <c r="CX60">
        <v>2.6815840624999998</v>
      </c>
      <c r="CY60" t="s">
        <v>2474</v>
      </c>
      <c r="CZ60">
        <v>-6.4456757158041E-2</v>
      </c>
      <c r="DA60">
        <v>0.89386135416666668</v>
      </c>
      <c r="DB60" t="s">
        <v>2475</v>
      </c>
      <c r="DC60">
        <v>-6.1233919300138946E-2</v>
      </c>
      <c r="DD60">
        <v>0.44693067708333334</v>
      </c>
      <c r="DE60" t="s">
        <v>2476</v>
      </c>
      <c r="DF60">
        <v>-5.6721946299076079E-2</v>
      </c>
      <c r="DG60">
        <v>0.26815840624999998</v>
      </c>
      <c r="DH60" t="s">
        <v>2477</v>
      </c>
      <c r="DI60">
        <v>-5.1565405726432804E-2</v>
      </c>
      <c r="DJ60">
        <v>0.13407920312499999</v>
      </c>
      <c r="DK60" t="s">
        <v>2478</v>
      </c>
      <c r="DL60">
        <v>-4.5119730010628696E-2</v>
      </c>
      <c r="DM60">
        <v>640000000</v>
      </c>
      <c r="DN60">
        <v>-6.4456757158041E-2</v>
      </c>
      <c r="DO60">
        <v>1716213800</v>
      </c>
      <c r="DP60">
        <v>688382300</v>
      </c>
      <c r="DQ60">
        <v>4168</v>
      </c>
      <c r="DR60">
        <v>3.3034273453933349</v>
      </c>
      <c r="DS60">
        <v>-0.78495887196740988</v>
      </c>
      <c r="DT60" s="10">
        <v>-0.64</v>
      </c>
      <c r="DU60">
        <v>-0.80333333333333334</v>
      </c>
      <c r="DV60">
        <v>-1.4433333333333334</v>
      </c>
      <c r="DW60">
        <v>-8.2307692307692299</v>
      </c>
      <c r="DX60">
        <v>0.30840530303030206</v>
      </c>
      <c r="DY60">
        <v>-8.0296319930069924</v>
      </c>
      <c r="DZ60">
        <v>2392</v>
      </c>
      <c r="EA60">
        <v>-8.0157612048909996</v>
      </c>
      <c r="EB60">
        <v>8</v>
      </c>
      <c r="EC60">
        <v>4.8825257027911732E-2</v>
      </c>
      <c r="ED60">
        <v>0.38024330674558826</v>
      </c>
      <c r="EE60" s="13">
        <v>0.12539999999999998</v>
      </c>
      <c r="EF60">
        <v>5.9600000000000014E-2</v>
      </c>
      <c r="EG60">
        <v>18.128405303030302</v>
      </c>
      <c r="EH60" t="s">
        <v>648</v>
      </c>
      <c r="EI60">
        <v>0</v>
      </c>
      <c r="EJ60">
        <v>0</v>
      </c>
      <c r="EK60" s="12">
        <v>45470</v>
      </c>
      <c r="EL60" s="14">
        <v>2.5</v>
      </c>
      <c r="EM60" s="14">
        <v>-0.63</v>
      </c>
      <c r="EN60">
        <v>-0.71</v>
      </c>
      <c r="EO60">
        <v>7.34</v>
      </c>
      <c r="EP60">
        <v>-6.58</v>
      </c>
    </row>
    <row r="61" spans="1:146" ht="96" x14ac:dyDescent="0.25">
      <c r="C61" s="5" t="str">
        <f>""&amp;CHAR(10)&amp;Basic_Fundamental_Information_Constructure(F61)&amp;CHAR(10)&amp;Basic_Fundamental_Information_Concatenate("")</f>
        <v xml:space="preserve">
市值10.1901608亿, 利润2.70亿; PE; 平均PE-12.79; 平均PEG-.13, PB39.87; ROIC0%; ROE-40.7567%; 股利率0%; 毛利34.0033%; 净利-134.1833%; 上一年度营收增549.86%, 利润增156.25%; 当季营收增-85.66%, 利润增-109.39%; 过往5年营收增95.55%, 利润增-65.6%
Income profile:
</v>
      </c>
      <c r="D61" t="s">
        <v>111</v>
      </c>
      <c r="E61" t="s">
        <v>451</v>
      </c>
      <c r="F61">
        <v>1.89</v>
      </c>
      <c r="G61">
        <v>0</v>
      </c>
      <c r="H61" t="s">
        <v>2479</v>
      </c>
      <c r="I61">
        <v>1019016080</v>
      </c>
      <c r="K61">
        <v>39.869999999999997</v>
      </c>
      <c r="L61" t="s">
        <v>53</v>
      </c>
      <c r="M61" t="s">
        <v>480</v>
      </c>
      <c r="N61" t="s">
        <v>2480</v>
      </c>
      <c r="O61" t="s">
        <v>2481</v>
      </c>
      <c r="P61">
        <v>-14.89</v>
      </c>
      <c r="Q61" t="s">
        <v>996</v>
      </c>
      <c r="R61">
        <v>-3642246</v>
      </c>
      <c r="S61" s="3">
        <v>0.88700000000000001</v>
      </c>
      <c r="T61" t="s">
        <v>796</v>
      </c>
      <c r="U61">
        <v>539161950</v>
      </c>
      <c r="V61">
        <v>539161950</v>
      </c>
      <c r="W61">
        <v>17.010000000000002</v>
      </c>
      <c r="X61">
        <v>0.08</v>
      </c>
      <c r="Y61">
        <v>-5.17</v>
      </c>
      <c r="Z61" t="s">
        <v>2482</v>
      </c>
      <c r="AA61" t="s">
        <v>2483</v>
      </c>
      <c r="AB61" t="s">
        <v>2484</v>
      </c>
      <c r="AC61" t="s">
        <v>2485</v>
      </c>
      <c r="AD61" t="s">
        <v>54</v>
      </c>
      <c r="AE61">
        <v>8649034</v>
      </c>
      <c r="AF61" t="s">
        <v>2486</v>
      </c>
      <c r="AG61" t="s">
        <v>2487</v>
      </c>
      <c r="AH61" t="s">
        <v>2488</v>
      </c>
      <c r="AI61" t="s">
        <v>288</v>
      </c>
      <c r="AJ61" t="s">
        <v>54</v>
      </c>
      <c r="AK61" t="s">
        <v>54</v>
      </c>
      <c r="AL61" t="s">
        <v>2489</v>
      </c>
      <c r="AM61" t="s">
        <v>54</v>
      </c>
      <c r="AN61" t="s">
        <v>2490</v>
      </c>
      <c r="AO61" t="s">
        <v>148</v>
      </c>
      <c r="AP61" t="s">
        <v>54</v>
      </c>
      <c r="AQ61" t="s">
        <v>256</v>
      </c>
      <c r="AR61" t="s">
        <v>2491</v>
      </c>
      <c r="AS61" t="s">
        <v>339</v>
      </c>
      <c r="AT61" t="s">
        <v>54</v>
      </c>
      <c r="AU61" t="s">
        <v>2492</v>
      </c>
      <c r="AV61" t="s">
        <v>54</v>
      </c>
      <c r="AW61" t="s">
        <v>2493</v>
      </c>
      <c r="AX61" t="s">
        <v>122</v>
      </c>
      <c r="AY61" t="s">
        <v>349</v>
      </c>
      <c r="AZ61" t="s">
        <v>2494</v>
      </c>
      <c r="BA61" t="s">
        <v>2495</v>
      </c>
      <c r="BB61" t="s">
        <v>2496</v>
      </c>
      <c r="BC61" t="s">
        <v>2497</v>
      </c>
      <c r="BD61" t="s">
        <v>2498</v>
      </c>
      <c r="BE61" t="s">
        <v>2499</v>
      </c>
      <c r="BF61" t="s">
        <v>337</v>
      </c>
      <c r="BG61" t="s">
        <v>306</v>
      </c>
      <c r="BH61" t="s">
        <v>934</v>
      </c>
      <c r="BI61" t="s">
        <v>660</v>
      </c>
      <c r="BJ61" t="s">
        <v>122</v>
      </c>
      <c r="BK61" t="s">
        <v>2500</v>
      </c>
      <c r="BL61" t="s">
        <v>2501</v>
      </c>
      <c r="BM61" t="s">
        <v>2497</v>
      </c>
      <c r="BN61" t="s">
        <v>54</v>
      </c>
      <c r="BO61" t="s">
        <v>54</v>
      </c>
      <c r="BP61" t="s">
        <v>54</v>
      </c>
      <c r="BQ61">
        <v>-47.38</v>
      </c>
      <c r="BR61">
        <v>-59.67</v>
      </c>
      <c r="BS61">
        <v>-15.22</v>
      </c>
      <c r="BT61" t="s">
        <v>700</v>
      </c>
      <c r="BU61" t="s">
        <v>659</v>
      </c>
      <c r="BV61">
        <v>37.51</v>
      </c>
      <c r="BW61">
        <v>33.659999999999997</v>
      </c>
      <c r="BX61">
        <v>30.84</v>
      </c>
      <c r="BY61">
        <v>-245.65</v>
      </c>
      <c r="BZ61">
        <v>-137.41</v>
      </c>
      <c r="CA61">
        <v>-19.489999999999998</v>
      </c>
      <c r="CB61">
        <v>1.07</v>
      </c>
      <c r="CC61">
        <v>-5.03</v>
      </c>
      <c r="CD61" t="s">
        <v>2502</v>
      </c>
      <c r="CE61" t="s">
        <v>2503</v>
      </c>
      <c r="CF61" s="8">
        <v>-0.85656981891348094</v>
      </c>
      <c r="CG61" s="9">
        <v>-1.0939323588272916</v>
      </c>
      <c r="CH61" s="8">
        <v>5.4985752105712891</v>
      </c>
      <c r="CI61" s="8">
        <v>-0.66571426391601563</v>
      </c>
      <c r="CJ61" s="8">
        <v>0.36010363698005676</v>
      </c>
      <c r="CK61" s="8">
        <v>-0.42431017756462097</v>
      </c>
      <c r="CL61" s="8">
        <v>9.0293455868959427E-3</v>
      </c>
      <c r="CM61" s="9">
        <v>1.5625</v>
      </c>
      <c r="CN61" s="9">
        <v>-1.3999999761581421</v>
      </c>
      <c r="CO61" s="9">
        <v>0.49109414219856262</v>
      </c>
      <c r="CP61" s="9">
        <v>-3.7291667461395264</v>
      </c>
      <c r="CQ61" s="9">
        <v>-0.20441989600658417</v>
      </c>
      <c r="CR61">
        <v>-12.790996820083681</v>
      </c>
      <c r="CS61">
        <v>-0.13386190343433549</v>
      </c>
      <c r="CT61">
        <v>0</v>
      </c>
      <c r="CU61" s="8">
        <v>0.95553675033152108</v>
      </c>
      <c r="CV61" s="9">
        <v>-0.65599849522113796</v>
      </c>
      <c r="CW61">
        <v>0.06</v>
      </c>
      <c r="CX61">
        <v>3.7255824528625476</v>
      </c>
      <c r="CY61">
        <v>498108417.53727418</v>
      </c>
      <c r="CZ61">
        <v>0.95553675033152108</v>
      </c>
      <c r="DA61">
        <v>0.63237460582892835</v>
      </c>
      <c r="DB61">
        <v>2934564359.3127155</v>
      </c>
      <c r="DC61">
        <v>0.90775991281494495</v>
      </c>
      <c r="DD61">
        <v>0.1102882891551703</v>
      </c>
      <c r="DE61">
        <v>16826301271.108284</v>
      </c>
      <c r="DF61">
        <v>0.84087234029173852</v>
      </c>
      <c r="DG61">
        <v>1.690717144803518E-2</v>
      </c>
      <c r="DH61">
        <v>109760759551.27669</v>
      </c>
      <c r="DI61">
        <v>0.76442940026521689</v>
      </c>
      <c r="DJ61">
        <v>2.8638212474861905E-4</v>
      </c>
      <c r="DK61">
        <v>6479957440182.1963</v>
      </c>
      <c r="DL61">
        <v>0.66887572523206473</v>
      </c>
      <c r="DM61">
        <v>270000000</v>
      </c>
      <c r="DN61">
        <v>0.95553675033152108</v>
      </c>
      <c r="DO61">
        <v>1855743980</v>
      </c>
      <c r="DP61">
        <v>-85238340</v>
      </c>
      <c r="DQ61">
        <v>4181</v>
      </c>
      <c r="DR61">
        <v>-1.812106569245002</v>
      </c>
      <c r="DS61">
        <v>-0.43793386360615361</v>
      </c>
      <c r="DT61" s="10">
        <v>-0.42333333333333334</v>
      </c>
      <c r="DU61">
        <v>-2.3149999999999999</v>
      </c>
      <c r="DV61">
        <v>-2.7383333333333333</v>
      </c>
      <c r="DW61">
        <v>-1.0503</v>
      </c>
      <c r="DX61">
        <v>0.26769986970674597</v>
      </c>
      <c r="DY61">
        <v>-1.0054173034462492</v>
      </c>
      <c r="DZ61">
        <v>2753</v>
      </c>
      <c r="EA61">
        <v>-1.0024987444663032</v>
      </c>
      <c r="EB61">
        <v>1</v>
      </c>
      <c r="EC61">
        <v>1.7445593109825349E-2</v>
      </c>
      <c r="ED61">
        <v>0.16198342631559962</v>
      </c>
      <c r="EE61" s="13">
        <v>2.281E-2</v>
      </c>
      <c r="EF61">
        <v>5.9710000000000006E-2</v>
      </c>
      <c r="EG61">
        <v>16.107699869706746</v>
      </c>
      <c r="EH61">
        <v>-1</v>
      </c>
      <c r="EI61">
        <v>0</v>
      </c>
      <c r="EJ61">
        <v>0</v>
      </c>
      <c r="EK61" s="12">
        <v>45470</v>
      </c>
      <c r="EL61" s="14">
        <v>0</v>
      </c>
      <c r="EM61" s="14">
        <v>-1.56</v>
      </c>
      <c r="EN61">
        <v>1.49</v>
      </c>
      <c r="EO61">
        <v>0.49</v>
      </c>
      <c r="EP61">
        <v>-3.69</v>
      </c>
    </row>
    <row r="62" spans="1:146" ht="96" x14ac:dyDescent="0.25">
      <c r="C62" s="5" t="str">
        <f>""&amp;CHAR(10)&amp;Basic_Fundamental_Information_Constructure(F62)&amp;CHAR(10)&amp;Basic_Fundamental_Information_Concatenate("")</f>
        <v xml:space="preserve">
市值35.727036亿, 利润-2.42亿; PE11.38; 平均PE155.33; 平均PEG19.08, PB1.45; ROIC6.72%; ROE8.6933%; 股利率2.5826%; 毛利26.17%; 净利10.3667%; 上一年度营收增-86.87%, 利润增-192.37%; 当季营收增1131.49%, 利润增476.57%; 过往5年营收增-8.14%, 利润增-52.95%
Income profile:
</v>
      </c>
      <c r="D62" t="s">
        <v>134</v>
      </c>
      <c r="E62" t="s">
        <v>26</v>
      </c>
      <c r="F62">
        <v>9.68</v>
      </c>
      <c r="G62">
        <v>1.1499999999999999</v>
      </c>
      <c r="H62" t="s">
        <v>2504</v>
      </c>
      <c r="I62">
        <v>3572703600</v>
      </c>
      <c r="J62">
        <v>11.38</v>
      </c>
      <c r="K62">
        <v>1.45</v>
      </c>
      <c r="L62" t="s">
        <v>53</v>
      </c>
      <c r="M62" t="s">
        <v>970</v>
      </c>
      <c r="N62" t="s">
        <v>569</v>
      </c>
      <c r="O62" t="s">
        <v>2505</v>
      </c>
      <c r="P62">
        <v>10.42</v>
      </c>
      <c r="Q62" t="s">
        <v>912</v>
      </c>
      <c r="R62">
        <v>82224878</v>
      </c>
      <c r="S62" s="3">
        <v>1.121</v>
      </c>
      <c r="T62" t="s">
        <v>1635</v>
      </c>
      <c r="U62">
        <v>369080950</v>
      </c>
      <c r="V62">
        <v>369080950</v>
      </c>
      <c r="W62">
        <v>1.39</v>
      </c>
      <c r="X62">
        <v>0.16</v>
      </c>
      <c r="Y62">
        <v>14.99</v>
      </c>
      <c r="Z62" t="s">
        <v>1856</v>
      </c>
      <c r="AA62" t="s">
        <v>402</v>
      </c>
      <c r="AB62" t="s">
        <v>2506</v>
      </c>
      <c r="AC62" t="s">
        <v>2507</v>
      </c>
      <c r="AD62" t="s">
        <v>54</v>
      </c>
      <c r="AE62">
        <v>-3534146</v>
      </c>
      <c r="AF62" t="s">
        <v>2508</v>
      </c>
      <c r="AG62" t="s">
        <v>2509</v>
      </c>
      <c r="AH62" t="s">
        <v>2510</v>
      </c>
      <c r="AI62" t="s">
        <v>2090</v>
      </c>
      <c r="AJ62" t="s">
        <v>2511</v>
      </c>
      <c r="AK62" t="s">
        <v>54</v>
      </c>
      <c r="AL62" t="s">
        <v>2512</v>
      </c>
      <c r="AM62" t="s">
        <v>54</v>
      </c>
      <c r="AN62" t="s">
        <v>2513</v>
      </c>
      <c r="AO62" t="s">
        <v>2514</v>
      </c>
      <c r="AP62" t="s">
        <v>2515</v>
      </c>
      <c r="AQ62" t="s">
        <v>2516</v>
      </c>
      <c r="AR62" t="s">
        <v>2517</v>
      </c>
      <c r="AS62" t="s">
        <v>2518</v>
      </c>
      <c r="AT62" t="s">
        <v>2519</v>
      </c>
      <c r="AU62" t="s">
        <v>182</v>
      </c>
      <c r="AV62" t="s">
        <v>2520</v>
      </c>
      <c r="AW62" t="s">
        <v>2521</v>
      </c>
      <c r="AX62" t="s">
        <v>697</v>
      </c>
      <c r="AY62" t="s">
        <v>462</v>
      </c>
      <c r="AZ62" t="s">
        <v>452</v>
      </c>
      <c r="BA62" t="s">
        <v>135</v>
      </c>
      <c r="BB62" t="s">
        <v>455</v>
      </c>
      <c r="BC62" t="s">
        <v>650</v>
      </c>
      <c r="BD62" t="s">
        <v>237</v>
      </c>
      <c r="BE62" t="s">
        <v>453</v>
      </c>
      <c r="BF62" t="s">
        <v>136</v>
      </c>
      <c r="BG62" t="s">
        <v>369</v>
      </c>
      <c r="BH62" t="s">
        <v>996</v>
      </c>
      <c r="BI62" t="s">
        <v>2522</v>
      </c>
      <c r="BJ62" t="s">
        <v>697</v>
      </c>
      <c r="BK62" t="s">
        <v>796</v>
      </c>
      <c r="BL62" t="s">
        <v>2523</v>
      </c>
      <c r="BM62" t="s">
        <v>650</v>
      </c>
      <c r="BN62">
        <v>5.99</v>
      </c>
      <c r="BO62">
        <v>8.32</v>
      </c>
      <c r="BP62">
        <v>5.85</v>
      </c>
      <c r="BQ62">
        <v>8.06</v>
      </c>
      <c r="BR62">
        <v>10.9</v>
      </c>
      <c r="BS62">
        <v>7.12</v>
      </c>
      <c r="BT62" t="s">
        <v>1154</v>
      </c>
      <c r="BU62" t="s">
        <v>659</v>
      </c>
      <c r="BV62">
        <v>25.97</v>
      </c>
      <c r="BW62">
        <v>25.78</v>
      </c>
      <c r="BX62">
        <v>26.76</v>
      </c>
      <c r="BY62">
        <v>11.85</v>
      </c>
      <c r="BZ62">
        <v>11.11</v>
      </c>
      <c r="CA62">
        <v>8.14</v>
      </c>
      <c r="CB62">
        <v>-2.71</v>
      </c>
      <c r="CC62">
        <v>-12.32</v>
      </c>
      <c r="CD62" t="s">
        <v>2524</v>
      </c>
      <c r="CE62" t="s">
        <v>231</v>
      </c>
      <c r="CF62" s="8">
        <v>11.314856562203484</v>
      </c>
      <c r="CG62" s="9">
        <v>4.7657029933318675</v>
      </c>
      <c r="CH62" s="8">
        <v>-0.86873406171798706</v>
      </c>
      <c r="CI62" s="8">
        <v>0.14717341959476471</v>
      </c>
      <c r="CJ62" s="8">
        <v>0.29709228873252869</v>
      </c>
      <c r="CK62" s="8">
        <v>-0.11123595386743546</v>
      </c>
      <c r="CL62" s="8">
        <v>0.12872546911239624</v>
      </c>
      <c r="CM62" s="9">
        <v>-1.9236640930175781</v>
      </c>
      <c r="CN62" s="9">
        <v>0.56886225938796997</v>
      </c>
      <c r="CO62" s="9">
        <v>1.3162878751754761</v>
      </c>
      <c r="CP62" s="9">
        <v>-2.9340658187866211</v>
      </c>
      <c r="CQ62" s="9">
        <v>0.32524272799491882</v>
      </c>
      <c r="CR62">
        <v>155.33493913043478</v>
      </c>
      <c r="CS62">
        <v>19.083908617726667</v>
      </c>
      <c r="CT62">
        <v>2.5826446280991737</v>
      </c>
      <c r="CU62" s="8">
        <v>-8.1395767629146576E-2</v>
      </c>
      <c r="CV62" s="9">
        <v>-0.52946740984916685</v>
      </c>
      <c r="CW62">
        <v>0.06</v>
      </c>
      <c r="CX62" t="e">
        <v>#VALUE!</v>
      </c>
      <c r="CY62" t="s">
        <v>653</v>
      </c>
      <c r="CZ62">
        <v>-8.1395767629146576E-2</v>
      </c>
      <c r="DA62" t="e">
        <v>#VALUE!</v>
      </c>
      <c r="DB62" t="s">
        <v>653</v>
      </c>
      <c r="DC62">
        <v>-7.7325979247689247E-2</v>
      </c>
      <c r="DD62" t="e">
        <v>#VALUE!</v>
      </c>
      <c r="DE62" t="s">
        <v>653</v>
      </c>
      <c r="DF62">
        <v>-7.162827551364899E-2</v>
      </c>
      <c r="DG62" t="e">
        <v>#VALUE!</v>
      </c>
      <c r="DH62" t="s">
        <v>653</v>
      </c>
      <c r="DI62">
        <v>-6.5116614103317261E-2</v>
      </c>
      <c r="DJ62" t="e">
        <v>#VALUE!</v>
      </c>
      <c r="DK62" t="s">
        <v>653</v>
      </c>
      <c r="DL62">
        <v>-5.6977037340402596E-2</v>
      </c>
      <c r="DM62">
        <v>-242000000</v>
      </c>
      <c r="DN62">
        <v>-8.1395767629146576E-2</v>
      </c>
      <c r="DO62">
        <v>2156703600</v>
      </c>
      <c r="DP62">
        <v>495407600</v>
      </c>
      <c r="DQ62">
        <v>4182</v>
      </c>
      <c r="DR62">
        <v>11.396252329832631</v>
      </c>
      <c r="DS62">
        <v>5.295170403181034</v>
      </c>
      <c r="DT62" s="10">
        <v>-0.64</v>
      </c>
      <c r="DU62">
        <v>-1.1033333333333333</v>
      </c>
      <c r="DV62">
        <v>-1.7433333333333332</v>
      </c>
      <c r="DW62">
        <v>-8.2199675324675319</v>
      </c>
      <c r="DX62">
        <v>0.38226410256410404</v>
      </c>
      <c r="DY62">
        <v>-8.0290938082750589</v>
      </c>
      <c r="DZ62">
        <v>4985</v>
      </c>
      <c r="EA62">
        <v>-8.0007116880693516</v>
      </c>
      <c r="EB62">
        <v>8</v>
      </c>
      <c r="EC62">
        <v>4.1928200304025443E-2</v>
      </c>
      <c r="ED62">
        <v>0.31700362752398897</v>
      </c>
      <c r="EE62" s="13">
        <v>-6.0411099999999998</v>
      </c>
      <c r="EF62">
        <v>-6.0592100000000002</v>
      </c>
      <c r="EG62">
        <v>25.132264102564104</v>
      </c>
      <c r="EH62" t="s">
        <v>2525</v>
      </c>
      <c r="EI62">
        <v>0</v>
      </c>
      <c r="EJ62">
        <v>0</v>
      </c>
      <c r="EK62" s="12">
        <v>45470</v>
      </c>
      <c r="EL62" s="14">
        <v>5.12</v>
      </c>
      <c r="EM62" s="14">
        <v>-0.97</v>
      </c>
      <c r="EN62">
        <v>-4.91</v>
      </c>
      <c r="EO62">
        <v>-0.26</v>
      </c>
      <c r="EP62">
        <v>-1.81</v>
      </c>
    </row>
    <row r="63" spans="1:146" ht="96" x14ac:dyDescent="0.25">
      <c r="C63" s="5" t="str">
        <f>""&amp;CHAR(10)&amp;Basic_Fundamental_Information_Constructure(F63)&amp;CHAR(10)&amp;Basic_Fundamental_Information_Concatenate("")</f>
        <v xml:space="preserve">
市值53.22857亿, 利润5.05亿; PE12.12; 平均PE9.37; 平均PEG.13, PB1.38; ROIC12.4533%; ROE13.4%; 股利率7.1749%; 毛利75.47%; 净利19.4867%; 上一年度营收增340.83%, 利润增31.17%; 当季营收增-69.05%, 利润增-46.55%; 过往5年营收增71.55%, 利润增1.22%
Income profile:
</v>
      </c>
      <c r="D63" t="s">
        <v>113</v>
      </c>
      <c r="E63" t="s">
        <v>28</v>
      </c>
      <c r="F63">
        <v>11.15</v>
      </c>
      <c r="G63">
        <v>0.63</v>
      </c>
      <c r="H63" t="s">
        <v>2526</v>
      </c>
      <c r="I63">
        <v>5322857000</v>
      </c>
      <c r="J63">
        <v>12.12</v>
      </c>
      <c r="K63">
        <v>1.38</v>
      </c>
      <c r="L63" t="s">
        <v>53</v>
      </c>
      <c r="M63" t="s">
        <v>2527</v>
      </c>
      <c r="N63" t="s">
        <v>2528</v>
      </c>
      <c r="O63" t="s">
        <v>904</v>
      </c>
      <c r="P63">
        <v>-11.98</v>
      </c>
      <c r="Q63" t="s">
        <v>2529</v>
      </c>
      <c r="R63">
        <v>110104700</v>
      </c>
      <c r="S63" s="3">
        <v>-0.33029999999999998</v>
      </c>
      <c r="T63" t="s">
        <v>1003</v>
      </c>
      <c r="U63">
        <v>471430290</v>
      </c>
      <c r="V63">
        <v>477386280</v>
      </c>
      <c r="W63">
        <v>1.22</v>
      </c>
      <c r="X63">
        <v>0.12</v>
      </c>
      <c r="Y63">
        <v>20.49</v>
      </c>
      <c r="Z63" t="s">
        <v>1032</v>
      </c>
      <c r="AA63" t="s">
        <v>142</v>
      </c>
      <c r="AB63" t="s">
        <v>518</v>
      </c>
      <c r="AC63" t="s">
        <v>2530</v>
      </c>
      <c r="AD63" t="s">
        <v>54</v>
      </c>
      <c r="AE63">
        <v>-10465538</v>
      </c>
      <c r="AF63" t="s">
        <v>2531</v>
      </c>
      <c r="AG63">
        <v>8794.7000000000007</v>
      </c>
      <c r="AH63" t="s">
        <v>2532</v>
      </c>
      <c r="AI63" t="s">
        <v>2533</v>
      </c>
      <c r="AJ63" t="s">
        <v>2534</v>
      </c>
      <c r="AK63" t="s">
        <v>54</v>
      </c>
      <c r="AL63" t="s">
        <v>2535</v>
      </c>
      <c r="AM63" t="s">
        <v>54</v>
      </c>
      <c r="AN63" t="s">
        <v>2536</v>
      </c>
      <c r="AO63" t="s">
        <v>54</v>
      </c>
      <c r="AP63" t="s">
        <v>819</v>
      </c>
      <c r="AQ63" t="s">
        <v>2537</v>
      </c>
      <c r="AR63" t="s">
        <v>54</v>
      </c>
      <c r="AS63" t="s">
        <v>949</v>
      </c>
      <c r="AT63" t="s">
        <v>54</v>
      </c>
      <c r="AU63" t="s">
        <v>2538</v>
      </c>
      <c r="AV63" t="s">
        <v>687</v>
      </c>
      <c r="AW63" t="s">
        <v>2539</v>
      </c>
      <c r="AX63" t="s">
        <v>886</v>
      </c>
      <c r="AY63" t="s">
        <v>620</v>
      </c>
      <c r="AZ63" t="s">
        <v>450</v>
      </c>
      <c r="BA63" t="s">
        <v>114</v>
      </c>
      <c r="BB63" t="s">
        <v>458</v>
      </c>
      <c r="BC63" t="s">
        <v>80</v>
      </c>
      <c r="BD63" t="s">
        <v>621</v>
      </c>
      <c r="BE63" t="s">
        <v>457</v>
      </c>
      <c r="BF63" t="s">
        <v>115</v>
      </c>
      <c r="BG63" t="s">
        <v>138</v>
      </c>
      <c r="BH63" t="s">
        <v>2540</v>
      </c>
      <c r="BI63" t="s">
        <v>2541</v>
      </c>
      <c r="BJ63" t="s">
        <v>886</v>
      </c>
      <c r="BK63" t="s">
        <v>421</v>
      </c>
      <c r="BL63" t="s">
        <v>369</v>
      </c>
      <c r="BM63" t="s">
        <v>80</v>
      </c>
      <c r="BN63">
        <v>10.1</v>
      </c>
      <c r="BO63">
        <v>9.2200000000000006</v>
      </c>
      <c r="BP63">
        <v>18.04</v>
      </c>
      <c r="BQ63">
        <v>10.92</v>
      </c>
      <c r="BR63">
        <v>10.28</v>
      </c>
      <c r="BS63">
        <v>19</v>
      </c>
      <c r="BT63" t="s">
        <v>2542</v>
      </c>
      <c r="BU63" t="s">
        <v>646</v>
      </c>
      <c r="BV63">
        <v>74.459999999999994</v>
      </c>
      <c r="BW63">
        <v>75.36</v>
      </c>
      <c r="BX63">
        <v>76.59</v>
      </c>
      <c r="BY63">
        <v>18.64</v>
      </c>
      <c r="BZ63">
        <v>16.02</v>
      </c>
      <c r="CA63">
        <v>23.8</v>
      </c>
      <c r="CB63">
        <v>-2.87</v>
      </c>
      <c r="CC63">
        <v>-8.23</v>
      </c>
      <c r="CD63" t="s">
        <v>2543</v>
      </c>
      <c r="CE63" t="s">
        <v>2544</v>
      </c>
      <c r="CF63" s="8">
        <v>-0.6904899135446686</v>
      </c>
      <c r="CG63" s="9">
        <v>-0.46551116504854367</v>
      </c>
      <c r="CH63" s="8">
        <v>3.4083333015441895</v>
      </c>
      <c r="CI63" s="8">
        <v>-0.17184261977672577</v>
      </c>
      <c r="CJ63" s="8">
        <v>0.13026516139507294</v>
      </c>
      <c r="CK63" s="8">
        <v>7.8217044472694397E-2</v>
      </c>
      <c r="CL63" s="8">
        <v>0.1323808878660202</v>
      </c>
      <c r="CM63" s="9">
        <v>0.31168830394744873</v>
      </c>
      <c r="CN63" s="9">
        <v>-0.44121915102005005</v>
      </c>
      <c r="CO63" s="9">
        <v>9.3650795519351959E-2</v>
      </c>
      <c r="CP63" s="9">
        <v>9.6153849735856056E-3</v>
      </c>
      <c r="CQ63" s="9">
        <v>8.7108016014099121E-2</v>
      </c>
      <c r="CR63">
        <v>9.3739776929850294</v>
      </c>
      <c r="CS63">
        <v>0.13101832082111542</v>
      </c>
      <c r="CT63">
        <v>7.174887892376681</v>
      </c>
      <c r="CU63" s="8">
        <v>0.71547075510025027</v>
      </c>
      <c r="CV63" s="9">
        <v>1.2168669886887074E-2</v>
      </c>
      <c r="CW63">
        <v>0.06</v>
      </c>
      <c r="CX63">
        <v>2.8764536522358357</v>
      </c>
      <c r="CY63">
        <v>817276161.62794936</v>
      </c>
      <c r="CZ63">
        <v>0.71547075510025027</v>
      </c>
      <c r="DA63">
        <v>0.5765153915287563</v>
      </c>
      <c r="DB63">
        <v>4077700326.0332565</v>
      </c>
      <c r="DC63">
        <v>0.67969721734523769</v>
      </c>
      <c r="DD63">
        <v>0.13334080795999204</v>
      </c>
      <c r="DE63">
        <v>17630439142.871834</v>
      </c>
      <c r="DF63">
        <v>0.62961426448822022</v>
      </c>
      <c r="DG63">
        <v>2.9989034003816792E-2</v>
      </c>
      <c r="DH63">
        <v>78390554350.660294</v>
      </c>
      <c r="DI63">
        <v>0.57237660408020019</v>
      </c>
      <c r="DJ63">
        <v>1.3055051652212382E-3</v>
      </c>
      <c r="DK63">
        <v>1800725927883.7175</v>
      </c>
      <c r="DL63">
        <v>0.50082952857017515</v>
      </c>
      <c r="DM63">
        <v>505000000</v>
      </c>
      <c r="DN63">
        <v>0.71547075510025027</v>
      </c>
      <c r="DO63">
        <v>2350857000</v>
      </c>
      <c r="DP63">
        <v>3130964200</v>
      </c>
      <c r="DQ63">
        <v>4196</v>
      </c>
      <c r="DR63">
        <v>-1.4059606686449189</v>
      </c>
      <c r="DS63">
        <v>-0.47767983493543076</v>
      </c>
      <c r="DT63" s="10">
        <v>-0.29000000000000004</v>
      </c>
      <c r="DU63">
        <v>-0.20333333333333334</v>
      </c>
      <c r="DV63">
        <v>-0.4933333333333334</v>
      </c>
      <c r="DW63">
        <v>-8.3487241798298903</v>
      </c>
      <c r="DX63">
        <v>0.42903774195912131</v>
      </c>
      <c r="DY63">
        <v>-8.1286923838909697</v>
      </c>
      <c r="DZ63">
        <v>1430</v>
      </c>
      <c r="EA63">
        <v>-8.0926786639371375</v>
      </c>
      <c r="EB63">
        <v>8</v>
      </c>
      <c r="EC63">
        <v>3.2703914322799559E-2</v>
      </c>
      <c r="ED63">
        <v>8.8619429950940354E-2</v>
      </c>
      <c r="EE63" s="13">
        <v>8.301E-2</v>
      </c>
      <c r="EF63">
        <v>0.10911</v>
      </c>
      <c r="EG63">
        <v>6.3690377419591213</v>
      </c>
      <c r="EH63">
        <v>-1</v>
      </c>
      <c r="EI63">
        <v>0</v>
      </c>
      <c r="EJ63">
        <v>1</v>
      </c>
      <c r="EK63" s="12">
        <v>45470</v>
      </c>
      <c r="EL63" s="14">
        <v>1.97</v>
      </c>
      <c r="EM63" s="14">
        <v>-2.83</v>
      </c>
      <c r="EN63">
        <v>1.23</v>
      </c>
      <c r="EO63">
        <v>0</v>
      </c>
      <c r="EP63">
        <v>-2.61</v>
      </c>
    </row>
    <row r="64" spans="1:146" ht="96" x14ac:dyDescent="0.25">
      <c r="C64" s="5" t="str">
        <f>""&amp;CHAR(10)&amp;Basic_Fundamental_Information_Constructure(F64)&amp;CHAR(10)&amp;Basic_Fundamental_Information_Concatenate("")</f>
        <v xml:space="preserve">
市值9.8632251亿, 利润-4.57亿; PE; 平均PE-8.29; 平均PEG-.02, PB.905; ROIC0%; ROE-5.94%; 股利率0%; 毛利58.96%; 净利-6.51%; 上一年度营收增2725.61%, 利润增-155.31%; 当季营收增-96.37%, 利润增-123.82%; 过往5年营收增537.19%, 利润增-116.8%
Income profile:
</v>
      </c>
      <c r="D64" t="s">
        <v>169</v>
      </c>
      <c r="E64" t="s">
        <v>2545</v>
      </c>
      <c r="F64">
        <v>2.35</v>
      </c>
      <c r="G64">
        <v>0.86</v>
      </c>
      <c r="H64" t="s">
        <v>2546</v>
      </c>
      <c r="I64">
        <v>986322510</v>
      </c>
      <c r="K64">
        <v>0.90500000000000003</v>
      </c>
      <c r="L64" t="s">
        <v>53</v>
      </c>
      <c r="M64" t="s">
        <v>2547</v>
      </c>
      <c r="N64" t="s">
        <v>2548</v>
      </c>
      <c r="O64" t="s">
        <v>139</v>
      </c>
      <c r="P64">
        <v>-11.24</v>
      </c>
      <c r="Q64" t="s">
        <v>2549</v>
      </c>
      <c r="R64">
        <v>-4628470</v>
      </c>
      <c r="S64" s="3">
        <v>0.65590000000000004</v>
      </c>
      <c r="T64" t="s">
        <v>2550</v>
      </c>
      <c r="U64">
        <v>419711710</v>
      </c>
      <c r="V64">
        <v>419711710</v>
      </c>
      <c r="W64">
        <v>1.64</v>
      </c>
      <c r="X64">
        <v>0.14000000000000001</v>
      </c>
      <c r="Y64">
        <v>-1.47</v>
      </c>
      <c r="Z64" t="s">
        <v>2551</v>
      </c>
      <c r="AA64" t="s">
        <v>232</v>
      </c>
      <c r="AB64" t="s">
        <v>246</v>
      </c>
      <c r="AC64" t="s">
        <v>2552</v>
      </c>
      <c r="AD64" t="s">
        <v>54</v>
      </c>
      <c r="AE64">
        <v>4569605</v>
      </c>
      <c r="AF64" t="s">
        <v>2553</v>
      </c>
      <c r="AG64" t="s">
        <v>2554</v>
      </c>
      <c r="AH64" t="s">
        <v>2555</v>
      </c>
      <c r="AI64" t="s">
        <v>969</v>
      </c>
      <c r="AJ64" t="s">
        <v>54</v>
      </c>
      <c r="AK64" t="s">
        <v>2556</v>
      </c>
      <c r="AL64" t="s">
        <v>2557</v>
      </c>
      <c r="AM64" t="s">
        <v>54</v>
      </c>
      <c r="AN64" t="s">
        <v>2558</v>
      </c>
      <c r="AO64" t="s">
        <v>54</v>
      </c>
      <c r="AP64" t="s">
        <v>54</v>
      </c>
      <c r="AQ64" t="s">
        <v>2559</v>
      </c>
      <c r="AR64" t="s">
        <v>54</v>
      </c>
      <c r="AS64" t="s">
        <v>313</v>
      </c>
      <c r="AT64" t="s">
        <v>54</v>
      </c>
      <c r="AU64" t="s">
        <v>2560</v>
      </c>
      <c r="AV64" t="s">
        <v>2561</v>
      </c>
      <c r="AW64" t="s">
        <v>2562</v>
      </c>
      <c r="AX64" t="s">
        <v>887</v>
      </c>
      <c r="AY64" t="s">
        <v>624</v>
      </c>
      <c r="AZ64" t="s">
        <v>460</v>
      </c>
      <c r="BA64" t="s">
        <v>170</v>
      </c>
      <c r="BB64" t="s">
        <v>462</v>
      </c>
      <c r="BC64" t="s">
        <v>888</v>
      </c>
      <c r="BD64" t="s">
        <v>625</v>
      </c>
      <c r="BE64" t="s">
        <v>461</v>
      </c>
      <c r="BF64" t="s">
        <v>171</v>
      </c>
      <c r="BG64" t="s">
        <v>242</v>
      </c>
      <c r="BH64" t="s">
        <v>936</v>
      </c>
      <c r="BI64" t="s">
        <v>2049</v>
      </c>
      <c r="BJ64" t="s">
        <v>887</v>
      </c>
      <c r="BK64" t="s">
        <v>2563</v>
      </c>
      <c r="BL64" t="s">
        <v>2564</v>
      </c>
      <c r="BM64" t="s">
        <v>888</v>
      </c>
      <c r="BN64" t="s">
        <v>54</v>
      </c>
      <c r="BO64" t="s">
        <v>54</v>
      </c>
      <c r="BP64" t="s">
        <v>54</v>
      </c>
      <c r="BQ64">
        <v>-1.42</v>
      </c>
      <c r="BR64">
        <v>-12.46</v>
      </c>
      <c r="BS64">
        <v>-3.94</v>
      </c>
      <c r="BT64" t="s">
        <v>700</v>
      </c>
      <c r="BU64" t="s">
        <v>659</v>
      </c>
      <c r="BV64">
        <v>62.09</v>
      </c>
      <c r="BW64">
        <v>58.37</v>
      </c>
      <c r="BX64">
        <v>56.42</v>
      </c>
      <c r="BY64">
        <v>-2.2000000000000002</v>
      </c>
      <c r="BZ64">
        <v>-14.05</v>
      </c>
      <c r="CA64">
        <v>-3.28</v>
      </c>
      <c r="CB64">
        <v>0</v>
      </c>
      <c r="CC64">
        <v>-14.55</v>
      </c>
      <c r="CD64" t="s">
        <v>2565</v>
      </c>
      <c r="CE64" t="s">
        <v>658</v>
      </c>
      <c r="CF64" s="8">
        <v>-0.96366649668536464</v>
      </c>
      <c r="CG64" s="9">
        <v>-1.2381561750692065</v>
      </c>
      <c r="CH64" s="8">
        <v>27.256088256835938</v>
      </c>
      <c r="CI64" s="8">
        <v>-0.33870130777359009</v>
      </c>
      <c r="CJ64" s="8">
        <v>2.5026589632034302E-2</v>
      </c>
      <c r="CK64" s="8">
        <v>-0.10100524127483368</v>
      </c>
      <c r="CL64" s="8">
        <v>1.8031157553195953E-2</v>
      </c>
      <c r="CM64" s="9">
        <v>-1.5530725717544556</v>
      </c>
      <c r="CN64" s="9">
        <v>-1.7704004049301147</v>
      </c>
      <c r="CO64" s="9">
        <v>0.86014807224273682</v>
      </c>
      <c r="CP64" s="9">
        <v>-3.2318840026855469</v>
      </c>
      <c r="CQ64" s="9">
        <v>-0.14462809264659882</v>
      </c>
      <c r="CR64">
        <v>-8.2929356249253789</v>
      </c>
      <c r="CS64">
        <v>-1.5437655798490666E-2</v>
      </c>
      <c r="CT64">
        <v>0</v>
      </c>
      <c r="CU64" s="8">
        <v>5.3718878909945484</v>
      </c>
      <c r="CV64" s="9">
        <v>-1.1679673999547959</v>
      </c>
      <c r="CW64">
        <v>0.06</v>
      </c>
      <c r="CX64" t="e">
        <v>#VALUE!</v>
      </c>
      <c r="CY64" t="s">
        <v>652</v>
      </c>
      <c r="CZ64">
        <v>5.3718878909945484</v>
      </c>
      <c r="DA64" t="e">
        <v>#VALUE!</v>
      </c>
      <c r="DB64" t="s">
        <v>653</v>
      </c>
      <c r="DC64">
        <v>5.1032934964448211</v>
      </c>
      <c r="DD64" t="e">
        <v>#VALUE!</v>
      </c>
      <c r="DE64" t="s">
        <v>653</v>
      </c>
      <c r="DF64">
        <v>4.7272613440752025</v>
      </c>
      <c r="DG64" t="e">
        <v>#VALUE!</v>
      </c>
      <c r="DH64" t="s">
        <v>653</v>
      </c>
      <c r="DI64">
        <v>4.2975103127956391</v>
      </c>
      <c r="DJ64" t="e">
        <v>#VALUE!</v>
      </c>
      <c r="DK64" t="s">
        <v>653</v>
      </c>
      <c r="DL64">
        <v>3.7603215236961836</v>
      </c>
      <c r="DM64">
        <v>-457000000</v>
      </c>
      <c r="DN64">
        <v>5.3718878909945484</v>
      </c>
      <c r="DO64">
        <v>571322510</v>
      </c>
      <c r="DP64">
        <v>887102350</v>
      </c>
      <c r="DQ64">
        <v>4210</v>
      </c>
      <c r="DR64">
        <v>-6.3355543876799132</v>
      </c>
      <c r="DS64">
        <v>-7.0188775114410573E-2</v>
      </c>
      <c r="DT64" s="10">
        <v>-0.29000000000000004</v>
      </c>
      <c r="DU64">
        <v>-3.1650000000000005</v>
      </c>
      <c r="DV64">
        <v>-3.4550000000000005</v>
      </c>
      <c r="DW64">
        <v>-2.1455000000000002</v>
      </c>
      <c r="DX64">
        <v>0.30029224137931121</v>
      </c>
      <c r="DY64">
        <v>-2.0116825211206897</v>
      </c>
      <c r="DZ64">
        <v>4116</v>
      </c>
      <c r="EA64">
        <v>-2.0022724904097782</v>
      </c>
      <c r="EB64">
        <v>2</v>
      </c>
      <c r="EC64">
        <v>2.2191184515676247E-2</v>
      </c>
      <c r="ED64">
        <v>0.27638018486546395</v>
      </c>
      <c r="EE64" s="13">
        <v>-1.0597099999999999</v>
      </c>
      <c r="EF64">
        <v>-1.0581100000000001</v>
      </c>
      <c r="EG64">
        <v>22.080292241379311</v>
      </c>
      <c r="EH64" t="s">
        <v>656</v>
      </c>
      <c r="EI64">
        <v>0</v>
      </c>
      <c r="EJ64">
        <v>0</v>
      </c>
      <c r="EK64" s="12">
        <v>45470</v>
      </c>
      <c r="EL64" s="14">
        <v>2.14</v>
      </c>
      <c r="EM64" s="14">
        <v>-3.06</v>
      </c>
      <c r="EN64">
        <v>1.83</v>
      </c>
      <c r="EO64">
        <v>4.25</v>
      </c>
      <c r="EP64">
        <v>0.16</v>
      </c>
    </row>
    <row r="65" spans="1:146" ht="96" x14ac:dyDescent="0.25">
      <c r="C65" s="5" t="str">
        <f>""&amp;CHAR(10)&amp;Basic_Fundamental_Information_Constructure(F65)&amp;CHAR(10)&amp;Basic_Fundamental_Information_Concatenate("")</f>
        <v xml:space="preserve">
市值33.741164亿, 利润-1005.64万; PE; 平均PE79.27; 平均PEG699.8, PB3.09; ROIC11.66%; ROE.7%; 股利率0%; 毛利24.1033%; 净利-10.7767%; 上一年度营收增-45.56%, 利润增-104.81%; 当季营收增78%, 利润增-668%; 过往5年营收增.11%, 利润增-31.26%
Income profile:
</v>
      </c>
      <c r="D65" t="s">
        <v>108</v>
      </c>
      <c r="E65" t="s">
        <v>19</v>
      </c>
      <c r="F65">
        <v>20.82</v>
      </c>
      <c r="G65">
        <v>0.14000000000000001</v>
      </c>
      <c r="H65" t="s">
        <v>2566</v>
      </c>
      <c r="I65">
        <v>3374116400</v>
      </c>
      <c r="K65">
        <v>3.09</v>
      </c>
      <c r="L65" t="s">
        <v>53</v>
      </c>
      <c r="M65" t="s">
        <v>2567</v>
      </c>
      <c r="N65" t="s">
        <v>551</v>
      </c>
      <c r="O65" t="s">
        <v>1059</v>
      </c>
      <c r="P65">
        <v>-24.35</v>
      </c>
      <c r="Q65" t="s">
        <v>945</v>
      </c>
      <c r="R65">
        <v>-64578547</v>
      </c>
      <c r="S65" s="3">
        <v>-1.7250000000000001</v>
      </c>
      <c r="T65" t="s">
        <v>2568</v>
      </c>
      <c r="U65">
        <v>160167710</v>
      </c>
      <c r="V65">
        <v>162061310</v>
      </c>
      <c r="W65">
        <v>2.75</v>
      </c>
      <c r="X65">
        <v>0.08</v>
      </c>
      <c r="Y65">
        <v>-25.73</v>
      </c>
      <c r="Z65" t="s">
        <v>2569</v>
      </c>
      <c r="AA65" t="s">
        <v>274</v>
      </c>
      <c r="AB65" t="s">
        <v>2570</v>
      </c>
      <c r="AC65" t="s">
        <v>2571</v>
      </c>
      <c r="AD65" t="s">
        <v>54</v>
      </c>
      <c r="AE65">
        <v>31397581</v>
      </c>
      <c r="AF65" t="s">
        <v>2572</v>
      </c>
      <c r="AG65">
        <v>2728.42</v>
      </c>
      <c r="AH65" t="s">
        <v>2573</v>
      </c>
      <c r="AI65" t="s">
        <v>223</v>
      </c>
      <c r="AJ65" t="s">
        <v>2574</v>
      </c>
      <c r="AK65" t="s">
        <v>54</v>
      </c>
      <c r="AL65" t="s">
        <v>2575</v>
      </c>
      <c r="AM65" t="s">
        <v>54</v>
      </c>
      <c r="AN65" t="s">
        <v>2285</v>
      </c>
      <c r="AO65" t="s">
        <v>1437</v>
      </c>
      <c r="AP65" t="s">
        <v>231</v>
      </c>
      <c r="AQ65" t="s">
        <v>853</v>
      </c>
      <c r="AR65" t="s">
        <v>54</v>
      </c>
      <c r="AS65" t="s">
        <v>2576</v>
      </c>
      <c r="AT65" t="s">
        <v>581</v>
      </c>
      <c r="AU65" t="s">
        <v>2577</v>
      </c>
      <c r="AV65" t="s">
        <v>2578</v>
      </c>
      <c r="AW65" t="s">
        <v>2579</v>
      </c>
      <c r="AX65" t="s">
        <v>690</v>
      </c>
      <c r="AY65" t="s">
        <v>619</v>
      </c>
      <c r="AZ65" t="s">
        <v>626</v>
      </c>
      <c r="BA65" t="s">
        <v>109</v>
      </c>
      <c r="BB65" t="s">
        <v>465</v>
      </c>
      <c r="BC65" t="s">
        <v>274</v>
      </c>
      <c r="BD65" t="s">
        <v>622</v>
      </c>
      <c r="BE65" t="s">
        <v>463</v>
      </c>
      <c r="BF65" t="s">
        <v>110</v>
      </c>
      <c r="BG65" t="s">
        <v>466</v>
      </c>
      <c r="BH65" t="s">
        <v>2580</v>
      </c>
      <c r="BI65" t="s">
        <v>182</v>
      </c>
      <c r="BJ65" t="s">
        <v>690</v>
      </c>
      <c r="BK65" t="s">
        <v>2581</v>
      </c>
      <c r="BL65" t="s">
        <v>2582</v>
      </c>
      <c r="BM65" t="s">
        <v>274</v>
      </c>
      <c r="BN65" t="s">
        <v>54</v>
      </c>
      <c r="BO65">
        <v>11.66</v>
      </c>
      <c r="BP65" t="s">
        <v>54</v>
      </c>
      <c r="BQ65">
        <v>-2.25</v>
      </c>
      <c r="BR65">
        <v>19.809999999999999</v>
      </c>
      <c r="BS65">
        <v>-15.46</v>
      </c>
      <c r="BT65" t="s">
        <v>700</v>
      </c>
      <c r="BU65" t="s">
        <v>659</v>
      </c>
      <c r="BV65">
        <v>18.37</v>
      </c>
      <c r="BW65">
        <v>31.19</v>
      </c>
      <c r="BX65">
        <v>22.75</v>
      </c>
      <c r="BY65">
        <v>-18.760000000000002</v>
      </c>
      <c r="BZ65">
        <v>17.62</v>
      </c>
      <c r="CA65">
        <v>-31.19</v>
      </c>
      <c r="CB65">
        <v>1.56</v>
      </c>
      <c r="CC65">
        <v>1.1200000000000001</v>
      </c>
      <c r="CD65" t="s">
        <v>2583</v>
      </c>
      <c r="CE65" t="s">
        <v>2584</v>
      </c>
      <c r="CF65" s="8">
        <v>0.78</v>
      </c>
      <c r="CG65" s="9">
        <v>-6.6800312241631046</v>
      </c>
      <c r="CH65" s="8">
        <v>-0.45560407638549805</v>
      </c>
      <c r="CI65" s="8">
        <v>0.30484330654144287</v>
      </c>
      <c r="CJ65" s="8">
        <v>3.8461539894342422E-2</v>
      </c>
      <c r="CK65" s="8">
        <v>2.7355622500181198E-2</v>
      </c>
      <c r="CL65" s="8">
        <v>9.0607732534408569E-2</v>
      </c>
      <c r="CM65" s="9">
        <v>-1.0481168031692505</v>
      </c>
      <c r="CN65" s="9">
        <v>2.3571429252624512</v>
      </c>
      <c r="CO65" s="9">
        <v>-3.0052788257598877</v>
      </c>
      <c r="CP65" s="9">
        <v>0.53393954038619995</v>
      </c>
      <c r="CQ65" s="9">
        <v>-0.40089508891105652</v>
      </c>
      <c r="CR65">
        <v>79.274921849700036</v>
      </c>
      <c r="CS65">
        <v>699.79847427240679</v>
      </c>
      <c r="CT65">
        <v>0</v>
      </c>
      <c r="CU65" s="8">
        <v>1.1328250169754029E-3</v>
      </c>
      <c r="CV65" s="9">
        <v>-0.31264165043830872</v>
      </c>
      <c r="CW65">
        <v>0.06</v>
      </c>
      <c r="CX65" t="e">
        <v>#VALUE!</v>
      </c>
      <c r="CY65" t="s">
        <v>652</v>
      </c>
      <c r="CZ65">
        <v>1.1328250169754029E-3</v>
      </c>
      <c r="DA65" t="e">
        <v>#VALUE!</v>
      </c>
      <c r="DB65" t="s">
        <v>653</v>
      </c>
      <c r="DC65">
        <v>1.0761837661266327E-3</v>
      </c>
      <c r="DD65" t="e">
        <v>#VALUE!</v>
      </c>
      <c r="DE65" t="s">
        <v>653</v>
      </c>
      <c r="DF65">
        <v>9.9688601493835459E-4</v>
      </c>
      <c r="DG65" t="e">
        <v>#VALUE!</v>
      </c>
      <c r="DH65" t="s">
        <v>653</v>
      </c>
      <c r="DI65">
        <v>9.062600135803224E-4</v>
      </c>
      <c r="DJ65" t="e">
        <v>#VALUE!</v>
      </c>
      <c r="DK65" t="s">
        <v>653</v>
      </c>
      <c r="DL65">
        <v>7.9297751188278198E-4</v>
      </c>
      <c r="DM65">
        <v>-10056400</v>
      </c>
      <c r="DN65">
        <v>1.1328250169754029E-3</v>
      </c>
      <c r="DO65">
        <v>4285116400</v>
      </c>
      <c r="DP65">
        <v>-794781140</v>
      </c>
      <c r="DQ65">
        <v>4241</v>
      </c>
      <c r="DR65">
        <v>0.7788671749830246</v>
      </c>
      <c r="DS65">
        <v>-6.3673895737247959</v>
      </c>
      <c r="DT65" s="10">
        <v>-0.45666666666666672</v>
      </c>
      <c r="DU65">
        <v>-2.0400000000000005</v>
      </c>
      <c r="DV65">
        <v>-2.496666666666667</v>
      </c>
      <c r="DW65">
        <v>1.1200000000000002E-2</v>
      </c>
      <c r="DX65">
        <v>0.23601675797615179</v>
      </c>
      <c r="DY65">
        <v>1.9713876893329039E-3</v>
      </c>
      <c r="DZ65">
        <v>4088</v>
      </c>
      <c r="EA65">
        <v>3.9427753786658082E-4</v>
      </c>
      <c r="EB65">
        <v>0</v>
      </c>
      <c r="EC65">
        <v>5.0553090062026525E-2</v>
      </c>
      <c r="ED65">
        <v>0.28720611970864607</v>
      </c>
      <c r="EE65" s="13">
        <v>-3.0047000000000001</v>
      </c>
      <c r="EF65">
        <v>-3.0136099999999999</v>
      </c>
      <c r="EG65">
        <v>6.1760167579761518</v>
      </c>
      <c r="EH65" t="s">
        <v>929</v>
      </c>
      <c r="EI65">
        <v>0</v>
      </c>
      <c r="EJ65">
        <v>0</v>
      </c>
      <c r="EK65" s="12">
        <v>45470</v>
      </c>
      <c r="EL65" s="14">
        <v>-6.36</v>
      </c>
      <c r="EM65" s="14">
        <v>-6.36</v>
      </c>
      <c r="EN65">
        <v>-0.46</v>
      </c>
      <c r="EO65">
        <v>4.83</v>
      </c>
      <c r="EP65">
        <v>-1.83</v>
      </c>
    </row>
    <row r="66" spans="1:146" ht="96" x14ac:dyDescent="0.25">
      <c r="C66" s="5" t="str">
        <f>""&amp;CHAR(10)&amp;Basic_Fundamental_Information_Constructure(F66)&amp;CHAR(10)&amp;Basic_Fundamental_Information_Concatenate("")</f>
        <v xml:space="preserve">
市值23.179033亿, 利润1.82亿; PE26.47; 平均PE8.31; 平均PEG2.85, PB.791; ROIC6.3167%; ROE5.9433%; 股利率3.8217%; 毛利66.2067%; 净利7.32%; 上一年度营收增-18.75%, 利润增789.9%; 当季营收增97.63%, 利润增-32.6%; 过往5年营收增-2.92%, 利润增137.48%
Income profile:
</v>
      </c>
      <c r="D66" t="s">
        <v>57</v>
      </c>
      <c r="E66" t="s">
        <v>31</v>
      </c>
      <c r="F66">
        <v>6.28</v>
      </c>
      <c r="G66">
        <v>1.1299999999999999</v>
      </c>
      <c r="H66" t="s">
        <v>2585</v>
      </c>
      <c r="I66">
        <v>2317903300</v>
      </c>
      <c r="J66">
        <v>26.47</v>
      </c>
      <c r="K66">
        <v>0.79100000000000004</v>
      </c>
      <c r="L66" t="s">
        <v>53</v>
      </c>
      <c r="M66" t="s">
        <v>2586</v>
      </c>
      <c r="N66" t="s">
        <v>2587</v>
      </c>
      <c r="O66" t="s">
        <v>988</v>
      </c>
      <c r="P66">
        <v>12.47</v>
      </c>
      <c r="Q66" t="s">
        <v>459</v>
      </c>
      <c r="R66">
        <v>29194964</v>
      </c>
      <c r="S66" s="3">
        <v>-0.38250000000000001</v>
      </c>
      <c r="T66" t="s">
        <v>121</v>
      </c>
      <c r="U66">
        <v>369092880</v>
      </c>
      <c r="V66">
        <v>369092880</v>
      </c>
      <c r="W66">
        <v>1.45</v>
      </c>
      <c r="X66">
        <v>0.16</v>
      </c>
      <c r="Y66">
        <v>5.95</v>
      </c>
      <c r="Z66" t="s">
        <v>2588</v>
      </c>
      <c r="AA66" t="s">
        <v>662</v>
      </c>
      <c r="AB66" t="s">
        <v>2589</v>
      </c>
      <c r="AC66" t="s">
        <v>2590</v>
      </c>
      <c r="AD66" t="s">
        <v>54</v>
      </c>
      <c r="AE66">
        <v>11897002</v>
      </c>
      <c r="AF66" t="s">
        <v>2591</v>
      </c>
      <c r="AG66" t="s">
        <v>2592</v>
      </c>
      <c r="AH66" t="s">
        <v>2593</v>
      </c>
      <c r="AI66" t="s">
        <v>681</v>
      </c>
      <c r="AJ66" t="s">
        <v>2594</v>
      </c>
      <c r="AK66" t="s">
        <v>54</v>
      </c>
      <c r="AL66" t="s">
        <v>2595</v>
      </c>
      <c r="AM66" t="s">
        <v>54</v>
      </c>
      <c r="AN66" t="s">
        <v>2596</v>
      </c>
      <c r="AO66" t="s">
        <v>54</v>
      </c>
      <c r="AP66" t="s">
        <v>54</v>
      </c>
      <c r="AQ66" t="s">
        <v>1678</v>
      </c>
      <c r="AR66" t="s">
        <v>54</v>
      </c>
      <c r="AS66" t="s">
        <v>1436</v>
      </c>
      <c r="AT66" t="s">
        <v>2597</v>
      </c>
      <c r="AU66" t="s">
        <v>159</v>
      </c>
      <c r="AV66" t="s">
        <v>2598</v>
      </c>
      <c r="AW66" t="s">
        <v>2599</v>
      </c>
      <c r="AX66" t="s">
        <v>891</v>
      </c>
      <c r="AY66" t="s">
        <v>627</v>
      </c>
      <c r="AZ66" t="s">
        <v>467</v>
      </c>
      <c r="BA66" t="s">
        <v>58</v>
      </c>
      <c r="BB66" t="s">
        <v>438</v>
      </c>
      <c r="BC66" t="s">
        <v>892</v>
      </c>
      <c r="BD66" t="s">
        <v>199</v>
      </c>
      <c r="BE66" t="s">
        <v>468</v>
      </c>
      <c r="BF66" t="s">
        <v>59</v>
      </c>
      <c r="BG66" t="s">
        <v>215</v>
      </c>
      <c r="BH66" t="s">
        <v>2600</v>
      </c>
      <c r="BI66" t="s">
        <v>843</v>
      </c>
      <c r="BJ66" t="s">
        <v>891</v>
      </c>
      <c r="BK66" t="s">
        <v>219</v>
      </c>
      <c r="BL66" t="s">
        <v>2601</v>
      </c>
      <c r="BM66" t="s">
        <v>892</v>
      </c>
      <c r="BN66">
        <v>6.03</v>
      </c>
      <c r="BO66">
        <v>1.99</v>
      </c>
      <c r="BP66">
        <v>10.93</v>
      </c>
      <c r="BQ66">
        <v>4.79</v>
      </c>
      <c r="BR66">
        <v>0.74</v>
      </c>
      <c r="BS66">
        <v>12.3</v>
      </c>
      <c r="BT66" t="s">
        <v>2602</v>
      </c>
      <c r="BU66" t="s">
        <v>646</v>
      </c>
      <c r="BV66">
        <v>67.790000000000006</v>
      </c>
      <c r="BW66">
        <v>63.81</v>
      </c>
      <c r="BX66">
        <v>67.02</v>
      </c>
      <c r="BY66">
        <v>5.56</v>
      </c>
      <c r="BZ66">
        <v>2.3199999999999998</v>
      </c>
      <c r="CA66">
        <v>14.08</v>
      </c>
      <c r="CB66">
        <v>-0.79</v>
      </c>
      <c r="CC66">
        <v>-15.59</v>
      </c>
      <c r="CD66" t="s">
        <v>2603</v>
      </c>
      <c r="CE66" t="s">
        <v>2604</v>
      </c>
      <c r="CF66" s="8">
        <v>0.9762532981530343</v>
      </c>
      <c r="CG66" s="9">
        <v>-0.32601446548575719</v>
      </c>
      <c r="CH66" s="8">
        <v>-0.18747392296791077</v>
      </c>
      <c r="CI66" s="8">
        <v>1.3542107306420803E-2</v>
      </c>
      <c r="CJ66" s="8">
        <v>0.20438331365585327</v>
      </c>
      <c r="CK66" s="8">
        <v>-0.24913890659809113</v>
      </c>
      <c r="CL66" s="8">
        <v>7.2660073637962341E-2</v>
      </c>
      <c r="CM66" s="9">
        <v>7.8989720344543457</v>
      </c>
      <c r="CN66" s="9">
        <v>-0.93272429704666138</v>
      </c>
      <c r="CO66" s="9">
        <v>-0.31685394048690796</v>
      </c>
      <c r="CP66" s="9">
        <v>0.24649859964847565</v>
      </c>
      <c r="CQ66" s="9">
        <v>-2.1917808800935745E-2</v>
      </c>
      <c r="CR66">
        <v>8.310618686477854</v>
      </c>
      <c r="CS66">
        <v>2.8455695258789007</v>
      </c>
      <c r="CT66">
        <v>3.8216560509554136</v>
      </c>
      <c r="CU66" s="8">
        <v>-2.9205466993153094E-2</v>
      </c>
      <c r="CV66" s="9">
        <v>1.3747949175536633</v>
      </c>
      <c r="CW66">
        <v>0.06</v>
      </c>
      <c r="CX66">
        <v>4.2247434065934062</v>
      </c>
      <c r="CY66" t="s">
        <v>2605</v>
      </c>
      <c r="CZ66">
        <v>-2.9205466993153094E-2</v>
      </c>
      <c r="DA66">
        <v>1.4082478021978022</v>
      </c>
      <c r="DB66" t="s">
        <v>2606</v>
      </c>
      <c r="DC66">
        <v>-2.7745193643495439E-2</v>
      </c>
      <c r="DD66">
        <v>0.70412390109890111</v>
      </c>
      <c r="DE66" t="s">
        <v>2607</v>
      </c>
      <c r="DF66">
        <v>-2.5700810953974723E-2</v>
      </c>
      <c r="DG66">
        <v>0.42247434065934064</v>
      </c>
      <c r="DH66" t="s">
        <v>2608</v>
      </c>
      <c r="DI66">
        <v>-2.3364373594522477E-2</v>
      </c>
      <c r="DJ66">
        <v>0.21123717032967032</v>
      </c>
      <c r="DK66" t="s">
        <v>2609</v>
      </c>
      <c r="DL66">
        <v>-2.0443826895207164E-2</v>
      </c>
      <c r="DM66">
        <v>182000000</v>
      </c>
      <c r="DN66">
        <v>-2.9205466993153094E-2</v>
      </c>
      <c r="DO66">
        <v>768903300</v>
      </c>
      <c r="DP66">
        <v>1164797400</v>
      </c>
      <c r="DQ66">
        <v>4315</v>
      </c>
      <c r="DR66">
        <v>1.0054587651461875</v>
      </c>
      <c r="DS66">
        <v>-1.7008093830394206</v>
      </c>
      <c r="DT66" s="10">
        <v>-0.59</v>
      </c>
      <c r="DU66">
        <v>-0.23666666666666669</v>
      </c>
      <c r="DV66">
        <v>-0.82666666666666666</v>
      </c>
      <c r="DW66">
        <v>-2.1558999999999999</v>
      </c>
      <c r="DX66">
        <v>0.33443791520173832</v>
      </c>
      <c r="DY66">
        <v>-2.0225178709799509</v>
      </c>
      <c r="DZ66">
        <v>1232</v>
      </c>
      <c r="EA66">
        <v>-2.0170889048258807</v>
      </c>
      <c r="EB66">
        <v>2</v>
      </c>
      <c r="EC66">
        <v>2.3574553917160363E-2</v>
      </c>
      <c r="ED66">
        <v>0.16321582795094827</v>
      </c>
      <c r="EE66" s="13">
        <v>1.0680000000000001</v>
      </c>
      <c r="EF66">
        <v>1.0387999999999999</v>
      </c>
      <c r="EG66">
        <v>19.144437915201738</v>
      </c>
      <c r="EH66" t="s">
        <v>663</v>
      </c>
      <c r="EI66">
        <v>0</v>
      </c>
      <c r="EJ66">
        <v>1</v>
      </c>
      <c r="EK66" s="12">
        <v>45470</v>
      </c>
      <c r="EL66" s="14">
        <v>1.98</v>
      </c>
      <c r="EM66" s="14">
        <v>-2.66</v>
      </c>
      <c r="EN66">
        <v>1.1200000000000001</v>
      </c>
      <c r="EO66">
        <v>1.1100000000000001</v>
      </c>
      <c r="EP66">
        <v>-2.92</v>
      </c>
    </row>
    <row r="67" spans="1:146" ht="96" x14ac:dyDescent="0.25">
      <c r="C67" s="5" t="str">
        <f>""&amp;CHAR(10)&amp;Basic_Fundamental_Information_Constructure(F67)&amp;CHAR(10)&amp;Basic_Fundamental_Information_Concatenate("")</f>
        <v xml:space="preserve">
市值17.166123亿, 利润-5.32亿; PE303.9; 平均PE-292.02; 平均PEG-37.78, PB.849; ROIC1.735%; ROE-3.6667%; 股利率2.6744%; 毛利48.21%; 净利-4.44%; 上一年度营收增-15.78%, 利润增-49.86%; 当季营收增79.23%, 利润增56.95%; 过往5年营收增7.73%, 利润增-150.11%
Income profile:
</v>
      </c>
      <c r="D67" t="s">
        <v>105</v>
      </c>
      <c r="E67" t="s">
        <v>35</v>
      </c>
      <c r="F67">
        <v>4.3</v>
      </c>
      <c r="G67">
        <v>1.65</v>
      </c>
      <c r="H67" t="s">
        <v>2610</v>
      </c>
      <c r="I67">
        <v>1716612300</v>
      </c>
      <c r="J67">
        <v>303.89999999999998</v>
      </c>
      <c r="K67">
        <v>0.84899999999999998</v>
      </c>
      <c r="L67" t="s">
        <v>53</v>
      </c>
      <c r="M67" t="s">
        <v>1491</v>
      </c>
      <c r="N67" t="s">
        <v>2611</v>
      </c>
      <c r="O67" t="s">
        <v>952</v>
      </c>
      <c r="P67">
        <v>-15.66</v>
      </c>
      <c r="Q67" t="s">
        <v>2612</v>
      </c>
      <c r="R67">
        <v>-13714460</v>
      </c>
      <c r="S67" s="3">
        <v>-1.5</v>
      </c>
      <c r="T67" t="s">
        <v>2613</v>
      </c>
      <c r="U67">
        <v>399212160</v>
      </c>
      <c r="V67">
        <v>399212160</v>
      </c>
      <c r="W67">
        <v>1.35</v>
      </c>
      <c r="X67">
        <v>0.19</v>
      </c>
      <c r="Y67">
        <v>-2.75</v>
      </c>
      <c r="Z67" t="s">
        <v>2614</v>
      </c>
      <c r="AA67" t="s">
        <v>1078</v>
      </c>
      <c r="AB67" t="s">
        <v>967</v>
      </c>
      <c r="AC67" t="s">
        <v>2615</v>
      </c>
      <c r="AD67" t="s">
        <v>54</v>
      </c>
      <c r="AE67">
        <v>6844160</v>
      </c>
      <c r="AF67" t="s">
        <v>2616</v>
      </c>
      <c r="AG67" t="s">
        <v>2617</v>
      </c>
      <c r="AH67" t="s">
        <v>2618</v>
      </c>
      <c r="AI67" t="s">
        <v>303</v>
      </c>
      <c r="AJ67" t="s">
        <v>2619</v>
      </c>
      <c r="AK67" t="s">
        <v>54</v>
      </c>
      <c r="AL67" t="s">
        <v>2620</v>
      </c>
      <c r="AM67" t="s">
        <v>54</v>
      </c>
      <c r="AN67">
        <v>0</v>
      </c>
      <c r="AO67" t="s">
        <v>441</v>
      </c>
      <c r="AP67" t="s">
        <v>54</v>
      </c>
      <c r="AQ67" t="s">
        <v>159</v>
      </c>
      <c r="AR67" t="s">
        <v>2621</v>
      </c>
      <c r="AS67" t="s">
        <v>476</v>
      </c>
      <c r="AT67" t="s">
        <v>54</v>
      </c>
      <c r="AU67" t="s">
        <v>2622</v>
      </c>
      <c r="AV67" t="s">
        <v>2623</v>
      </c>
      <c r="AW67" t="s">
        <v>236</v>
      </c>
      <c r="AX67" t="s">
        <v>895</v>
      </c>
      <c r="AY67" t="s">
        <v>628</v>
      </c>
      <c r="AZ67" t="s">
        <v>470</v>
      </c>
      <c r="BA67" t="s">
        <v>106</v>
      </c>
      <c r="BB67" t="s">
        <v>471</v>
      </c>
      <c r="BC67" t="s">
        <v>896</v>
      </c>
      <c r="BD67" t="s">
        <v>629</v>
      </c>
      <c r="BE67" t="s">
        <v>441</v>
      </c>
      <c r="BF67" t="s">
        <v>107</v>
      </c>
      <c r="BG67" t="s">
        <v>464</v>
      </c>
      <c r="BH67" t="s">
        <v>2624</v>
      </c>
      <c r="BI67" t="s">
        <v>2551</v>
      </c>
      <c r="BJ67" t="s">
        <v>895</v>
      </c>
      <c r="BK67" t="s">
        <v>2625</v>
      </c>
      <c r="BL67" t="s">
        <v>2626</v>
      </c>
      <c r="BM67" t="s">
        <v>896</v>
      </c>
      <c r="BN67">
        <v>1.33</v>
      </c>
      <c r="BO67" t="s">
        <v>54</v>
      </c>
      <c r="BP67">
        <v>2.14</v>
      </c>
      <c r="BQ67">
        <v>1.47</v>
      </c>
      <c r="BR67">
        <v>-15.06</v>
      </c>
      <c r="BS67">
        <v>2.59</v>
      </c>
      <c r="BT67" t="s">
        <v>2627</v>
      </c>
      <c r="BU67" t="s">
        <v>646</v>
      </c>
      <c r="BV67">
        <v>50.4</v>
      </c>
      <c r="BW67">
        <v>47.12</v>
      </c>
      <c r="BX67">
        <v>47.11</v>
      </c>
      <c r="BY67">
        <v>1.38</v>
      </c>
      <c r="BZ67">
        <v>-17.100000000000001</v>
      </c>
      <c r="CA67">
        <v>2.4</v>
      </c>
      <c r="CB67">
        <v>-1.6</v>
      </c>
      <c r="CC67">
        <v>-28.63</v>
      </c>
      <c r="CD67" t="s">
        <v>2628</v>
      </c>
      <c r="CE67" t="s">
        <v>2629</v>
      </c>
      <c r="CF67" s="8">
        <v>0.79225352112676062</v>
      </c>
      <c r="CG67" s="9">
        <v>0.56949256823568184</v>
      </c>
      <c r="CH67" s="8">
        <v>-0.15775521099567413</v>
      </c>
      <c r="CI67" s="8">
        <v>-0.26478233933448792</v>
      </c>
      <c r="CJ67" s="8">
        <v>-0.14357255399227142</v>
      </c>
      <c r="CK67" s="8">
        <v>0.47415900230407715</v>
      </c>
      <c r="CL67" s="8">
        <v>0.47847193479537964</v>
      </c>
      <c r="CM67" s="9">
        <v>-0.49859154224395752</v>
      </c>
      <c r="CN67" s="9">
        <v>-6.0910654067993164</v>
      </c>
      <c r="CO67" s="9">
        <v>-0.64782828092575073</v>
      </c>
      <c r="CP67" s="9">
        <v>-0.34653463959693909</v>
      </c>
      <c r="CQ67" s="9">
        <v>7.8291818499565125E-2</v>
      </c>
      <c r="CR67">
        <v>-292.02364048766657</v>
      </c>
      <c r="CS67">
        <v>-37.775925089156786</v>
      </c>
      <c r="CT67">
        <v>2.6744186046511627</v>
      </c>
      <c r="CU67" s="8">
        <v>7.730416655540466E-2</v>
      </c>
      <c r="CV67" s="9">
        <v>-1.5011456102132796</v>
      </c>
      <c r="CW67">
        <v>0.06</v>
      </c>
      <c r="CX67" t="e">
        <v>#VALUE!</v>
      </c>
      <c r="CY67" t="s">
        <v>652</v>
      </c>
      <c r="CZ67">
        <v>7.730416655540466E-2</v>
      </c>
      <c r="DA67" t="e">
        <v>#VALUE!</v>
      </c>
      <c r="DB67" t="s">
        <v>653</v>
      </c>
      <c r="DC67">
        <v>7.3438958227634424E-2</v>
      </c>
      <c r="DD67" t="e">
        <v>#VALUE!</v>
      </c>
      <c r="DE67" t="s">
        <v>653</v>
      </c>
      <c r="DF67">
        <v>6.8027666568756098E-2</v>
      </c>
      <c r="DG67" t="e">
        <v>#VALUE!</v>
      </c>
      <c r="DH67" t="s">
        <v>653</v>
      </c>
      <c r="DI67">
        <v>6.1843333244323728E-2</v>
      </c>
      <c r="DJ67" t="e">
        <v>#VALUE!</v>
      </c>
      <c r="DK67" t="s">
        <v>653</v>
      </c>
      <c r="DL67">
        <v>5.4112916588783262E-2</v>
      </c>
      <c r="DM67">
        <v>-532000000</v>
      </c>
      <c r="DN67">
        <v>7.730416655540466E-2</v>
      </c>
      <c r="DO67">
        <v>340612300</v>
      </c>
      <c r="DP67">
        <v>913288900</v>
      </c>
      <c r="DQ67">
        <v>4334</v>
      </c>
      <c r="DR67">
        <v>0.714949354571356</v>
      </c>
      <c r="DS67">
        <v>2.0706381784489616</v>
      </c>
      <c r="DT67" s="10">
        <v>-0.54</v>
      </c>
      <c r="DU67">
        <v>-1.7016666666666664</v>
      </c>
      <c r="DV67">
        <v>-2.2416666666666663</v>
      </c>
      <c r="DW67">
        <v>-3.1428392857142855</v>
      </c>
      <c r="DX67">
        <v>0.31652230215827259</v>
      </c>
      <c r="DY67">
        <v>-3.0095019981243576</v>
      </c>
      <c r="DZ67">
        <v>4211</v>
      </c>
      <c r="EA67">
        <v>-3.0016716822531895</v>
      </c>
      <c r="EB67">
        <v>3</v>
      </c>
      <c r="EC67">
        <v>2.3162120111772145E-2</v>
      </c>
      <c r="ED67">
        <v>0.34818578672553463</v>
      </c>
      <c r="EE67" s="13">
        <v>1.03461</v>
      </c>
      <c r="EF67">
        <v>1.08081</v>
      </c>
      <c r="EG67">
        <v>25.066522302158273</v>
      </c>
      <c r="EH67" t="s">
        <v>647</v>
      </c>
      <c r="EI67">
        <v>0</v>
      </c>
      <c r="EJ67">
        <v>0</v>
      </c>
      <c r="EK67" s="12">
        <v>45470</v>
      </c>
      <c r="EL67" s="14">
        <v>9.84</v>
      </c>
      <c r="EM67" s="14">
        <v>-5.0199999999999996</v>
      </c>
      <c r="EN67">
        <v>1.51</v>
      </c>
      <c r="EO67">
        <v>-3.35</v>
      </c>
      <c r="EP67">
        <v>-4.62</v>
      </c>
    </row>
    <row r="68" spans="1:146" ht="168" x14ac:dyDescent="0.25">
      <c r="C68" s="5" t="str">
        <f>""&amp;CHAR(10)&amp;Basic_Fundamental_Information_Constructure(F68)&amp;CHAR(10)&amp;Basic_Fundamental_Information_Concatenate("厚外套 25.67亿 27.34% 利润比例27.04% 毛利51.91%
裤类 16.84亿 17.94% 利润比例19.24% 毛利56.31%
薄外套 14.49亿 15.43% 利润比例15.70% 毛利53.39%
裙装类 10.07亿 10.73% 利润比例11.02% 毛利53.93%
T恤 9.91亿 10.56% 利润比例11.17% 毛利55.56%
毛线衫 8.36亿 8.90% 利润比例9.29% 毛利54.80%
衬衫 4.32亿 4.60% 利润比例5.08% 毛利57.98%")</f>
        <v xml:space="preserve">
市值63.966363亿, 利润3.52亿; PE17.6; 平均PE12.58; 平均PEG1.47, PB1.39; ROIC7.66%; ROE8.75%; 股利率4.4444%; 毛利51.76%; 净利4.58%; 上一年度营收增-59.13%, 利润增89.25%; 当季营收增108.06%, 利润增118.6%; 过往5年营收增-8.56%, 利润增7.47%
Income profile:
厚外套 25.67亿 27.34% 利润比例27.04% 毛利51.91%
裤类 16.84亿 17.94% 利润比例19.24% 毛利56.31%
薄外套 14.49亿 15.43% 利润比例15.70% 毛利53.39%
裙装类 10.07亿 10.73% 利润比例11.02% 毛利53.93%
T恤 9.91亿 10.56% 利润比例11.17% 毛利55.56%
毛线衫 8.36亿 8.90% 利润比例9.29% 毛利54.80%
衬衫 4.32亿 4.60% 利润比例5.08% 毛利57.98%</v>
      </c>
      <c r="D68" t="s">
        <v>92</v>
      </c>
      <c r="E68" t="s">
        <v>22</v>
      </c>
      <c r="F68">
        <v>13.5</v>
      </c>
      <c r="G68">
        <v>1.2</v>
      </c>
      <c r="H68" t="s">
        <v>2630</v>
      </c>
      <c r="I68">
        <v>6396636300</v>
      </c>
      <c r="J68">
        <v>17.600000000000001</v>
      </c>
      <c r="K68">
        <v>1.39</v>
      </c>
      <c r="L68" t="s">
        <v>53</v>
      </c>
      <c r="M68" t="s">
        <v>2631</v>
      </c>
      <c r="N68" t="s">
        <v>2632</v>
      </c>
      <c r="O68" t="s">
        <v>2633</v>
      </c>
      <c r="P68">
        <v>-12.92</v>
      </c>
      <c r="Q68" t="s">
        <v>2634</v>
      </c>
      <c r="R68">
        <v>158764890</v>
      </c>
      <c r="S68" s="3">
        <v>-0.26919999999999999</v>
      </c>
      <c r="T68" t="s">
        <v>965</v>
      </c>
      <c r="U68">
        <v>472675910</v>
      </c>
      <c r="V68">
        <v>473824910</v>
      </c>
      <c r="W68">
        <v>1.63</v>
      </c>
      <c r="X68">
        <v>0.23</v>
      </c>
      <c r="Y68">
        <v>8.77</v>
      </c>
      <c r="Z68" t="s">
        <v>1248</v>
      </c>
      <c r="AA68" t="s">
        <v>2399</v>
      </c>
      <c r="AB68" t="s">
        <v>977</v>
      </c>
      <c r="AC68" t="s">
        <v>249</v>
      </c>
      <c r="AD68" t="s">
        <v>54</v>
      </c>
      <c r="AE68">
        <v>12525517</v>
      </c>
      <c r="AF68" t="s">
        <v>2635</v>
      </c>
      <c r="AG68" t="s">
        <v>2636</v>
      </c>
      <c r="AH68" t="s">
        <v>2637</v>
      </c>
      <c r="AI68" t="s">
        <v>2638</v>
      </c>
      <c r="AJ68" t="s">
        <v>2639</v>
      </c>
      <c r="AK68" t="s">
        <v>54</v>
      </c>
      <c r="AL68" t="s">
        <v>2640</v>
      </c>
      <c r="AM68" t="s">
        <v>54</v>
      </c>
      <c r="AN68" t="s">
        <v>2641</v>
      </c>
      <c r="AO68" t="s">
        <v>54</v>
      </c>
      <c r="AP68" t="s">
        <v>2642</v>
      </c>
      <c r="AQ68" t="s">
        <v>2643</v>
      </c>
      <c r="AR68" t="s">
        <v>54</v>
      </c>
      <c r="AS68" t="s">
        <v>2644</v>
      </c>
      <c r="AT68" t="s">
        <v>54</v>
      </c>
      <c r="AU68" t="s">
        <v>2645</v>
      </c>
      <c r="AV68" t="s">
        <v>2646</v>
      </c>
      <c r="AW68" t="s">
        <v>2052</v>
      </c>
      <c r="AX68" t="s">
        <v>897</v>
      </c>
      <c r="AY68" t="s">
        <v>630</v>
      </c>
      <c r="AZ68" t="s">
        <v>472</v>
      </c>
      <c r="BA68" t="s">
        <v>93</v>
      </c>
      <c r="BB68" t="s">
        <v>474</v>
      </c>
      <c r="BC68" t="s">
        <v>2647</v>
      </c>
      <c r="BD68" t="s">
        <v>631</v>
      </c>
      <c r="BE68" t="s">
        <v>473</v>
      </c>
      <c r="BF68" t="s">
        <v>94</v>
      </c>
      <c r="BG68" t="s">
        <v>475</v>
      </c>
      <c r="BH68" t="s">
        <v>2648</v>
      </c>
      <c r="BI68" t="s">
        <v>2649</v>
      </c>
      <c r="BJ68" t="s">
        <v>897</v>
      </c>
      <c r="BK68" t="s">
        <v>2650</v>
      </c>
      <c r="BL68" t="s">
        <v>2651</v>
      </c>
      <c r="BM68" t="s">
        <v>2647</v>
      </c>
      <c r="BN68">
        <v>4.46</v>
      </c>
      <c r="BO68">
        <v>4.16</v>
      </c>
      <c r="BP68">
        <v>14.36</v>
      </c>
      <c r="BQ68">
        <v>4.95</v>
      </c>
      <c r="BR68">
        <v>4.42</v>
      </c>
      <c r="BS68">
        <v>16.88</v>
      </c>
      <c r="BT68" t="s">
        <v>2652</v>
      </c>
      <c r="BU68" t="s">
        <v>646</v>
      </c>
      <c r="BV68">
        <v>54.13</v>
      </c>
      <c r="BW68">
        <v>48.22</v>
      </c>
      <c r="BX68">
        <v>52.93</v>
      </c>
      <c r="BY68">
        <v>5.4</v>
      </c>
      <c r="BZ68">
        <v>2.14</v>
      </c>
      <c r="CA68">
        <v>6.2</v>
      </c>
      <c r="CB68">
        <v>-1.68</v>
      </c>
      <c r="CC68">
        <v>-14.29</v>
      </c>
      <c r="CD68" t="s">
        <v>2653</v>
      </c>
      <c r="CE68" t="s">
        <v>2654</v>
      </c>
      <c r="CF68" s="8">
        <v>1.0806451612903223</v>
      </c>
      <c r="CG68" s="9">
        <v>1.1859559820734</v>
      </c>
      <c r="CH68" s="8">
        <v>-0.59125781059265137</v>
      </c>
      <c r="CI68" s="8">
        <v>-0.21234315633773804</v>
      </c>
      <c r="CJ68" s="8">
        <v>0.1634175032377243</v>
      </c>
      <c r="CK68" s="8">
        <v>0.18403126299381256</v>
      </c>
      <c r="CL68" s="8">
        <v>2.8008298948407173E-2</v>
      </c>
      <c r="CM68" s="9">
        <v>0.89247310161590576</v>
      </c>
      <c r="CN68" s="9">
        <v>-0.725258469581604</v>
      </c>
      <c r="CO68" s="9">
        <v>-5.0490882247686386E-2</v>
      </c>
      <c r="CP68" s="9">
        <v>0.2916666567325592</v>
      </c>
      <c r="CQ68" s="9">
        <v>-3.4965034574270248E-2</v>
      </c>
      <c r="CR68">
        <v>12.575300720838793</v>
      </c>
      <c r="CS68">
        <v>1.4685834213012603</v>
      </c>
      <c r="CT68">
        <v>4.4444444444444446</v>
      </c>
      <c r="CU68" s="8">
        <v>-8.562878035008907E-2</v>
      </c>
      <c r="CV68" s="9">
        <v>7.4685074388980865E-2</v>
      </c>
      <c r="CW68">
        <v>0.06</v>
      </c>
      <c r="CX68">
        <v>14.939307670454545</v>
      </c>
      <c r="CY68" t="s">
        <v>2655</v>
      </c>
      <c r="CZ68">
        <v>-8.562878035008907E-2</v>
      </c>
      <c r="DA68">
        <v>4.9797692234848485</v>
      </c>
      <c r="DB68" t="s">
        <v>2656</v>
      </c>
      <c r="DC68">
        <v>-8.1347341332584616E-2</v>
      </c>
      <c r="DD68">
        <v>2.4898846117424243</v>
      </c>
      <c r="DE68" t="s">
        <v>2657</v>
      </c>
      <c r="DF68">
        <v>-7.5353326708078386E-2</v>
      </c>
      <c r="DG68">
        <v>1.4939307670454545</v>
      </c>
      <c r="DH68" t="s">
        <v>2658</v>
      </c>
      <c r="DI68">
        <v>-6.8503024280071254E-2</v>
      </c>
      <c r="DJ68">
        <v>0.74696538352272723</v>
      </c>
      <c r="DK68" t="s">
        <v>2659</v>
      </c>
      <c r="DL68">
        <v>-5.9940146245062345E-2</v>
      </c>
      <c r="DM68">
        <v>352000000</v>
      </c>
      <c r="DN68">
        <v>-8.562878035008907E-2</v>
      </c>
      <c r="DO68">
        <v>5258636300</v>
      </c>
      <c r="DP68">
        <v>3298580700</v>
      </c>
      <c r="DQ68">
        <v>4350</v>
      </c>
      <c r="DR68">
        <v>1.1662739416404113</v>
      </c>
      <c r="DS68">
        <v>1.1112709076844192</v>
      </c>
      <c r="DT68" s="10">
        <v>-0.50666666666666671</v>
      </c>
      <c r="DU68">
        <v>0.59</v>
      </c>
      <c r="DV68">
        <v>8.3333333333333259E-2</v>
      </c>
      <c r="DW68">
        <v>-2.1429</v>
      </c>
      <c r="DX68">
        <v>0.27594505138503467</v>
      </c>
      <c r="DY68">
        <v>-2.0179975478429215</v>
      </c>
      <c r="DZ68">
        <v>1347</v>
      </c>
      <c r="EA68">
        <v>-2.0132533801434271</v>
      </c>
      <c r="EB68">
        <v>2</v>
      </c>
      <c r="EC68">
        <v>1.3620009973726371E-2</v>
      </c>
      <c r="ED68">
        <v>0.10814247819938383</v>
      </c>
      <c r="EE68" s="13">
        <v>6.1510000000000002E-2</v>
      </c>
      <c r="EF68">
        <v>7.621E-2</v>
      </c>
      <c r="EG68">
        <v>15.125945051385035</v>
      </c>
      <c r="EH68">
        <v>-1</v>
      </c>
      <c r="EI68">
        <v>0</v>
      </c>
      <c r="EJ68">
        <v>1</v>
      </c>
      <c r="EK68" s="12">
        <v>45470</v>
      </c>
      <c r="EL68" s="14">
        <v>-0.57999999999999996</v>
      </c>
      <c r="EM68" s="14">
        <v>-4.21</v>
      </c>
      <c r="EN68">
        <v>1.21</v>
      </c>
      <c r="EO68">
        <v>2.1</v>
      </c>
      <c r="EP68">
        <v>-1.47</v>
      </c>
    </row>
    <row r="69" spans="1:146" ht="96" x14ac:dyDescent="0.25">
      <c r="A69"/>
      <c r="B69"/>
      <c r="C69" s="5" t="str">
        <f>""&amp;CHAR(10)&amp;Basic_Fundamental_Information_Constructure(F69)&amp;CHAR(10)&amp;Basic_Fundamental_Information_Concatenate("")</f>
        <v xml:space="preserve">
市值17.160192亿, 利润7106.30万; PE; 平均PE19.16; 平均PEG.49, PB.819; ROIC1.56%; ROE-.3267%; 股利率2%; 毛利55.3533%; 净利-3.9867%; 上一年度营收增244.96%, 利润增285.76%; 当季营收增-67.65%, 利润增-125.24%; 过往5年营收增38.82%, 利润增-7.2%
Income profile:
</v>
      </c>
      <c r="D69" t="s">
        <v>2660</v>
      </c>
      <c r="E69" t="s">
        <v>2661</v>
      </c>
      <c r="F69">
        <v>5</v>
      </c>
      <c r="G69">
        <v>-1.77</v>
      </c>
      <c r="H69" t="s">
        <v>2662</v>
      </c>
      <c r="I69">
        <v>1716019200</v>
      </c>
      <c r="K69">
        <v>0.81899999999999995</v>
      </c>
      <c r="L69" t="s">
        <v>53</v>
      </c>
      <c r="M69" t="s">
        <v>704</v>
      </c>
      <c r="N69" t="s">
        <v>2663</v>
      </c>
      <c r="O69" t="s">
        <v>242</v>
      </c>
      <c r="P69" s="3">
        <v>-3.08</v>
      </c>
      <c r="Q69" t="s">
        <v>2664</v>
      </c>
      <c r="R69">
        <v>-18760264</v>
      </c>
      <c r="S69">
        <v>-2.1859999999999999</v>
      </c>
      <c r="T69" t="s">
        <v>2665</v>
      </c>
      <c r="U69">
        <v>340473840</v>
      </c>
      <c r="V69">
        <v>343203840</v>
      </c>
      <c r="W69">
        <v>1.1499999999999999</v>
      </c>
      <c r="X69">
        <v>0.1</v>
      </c>
      <c r="Y69">
        <v>-7.78</v>
      </c>
      <c r="Z69" t="s">
        <v>1945</v>
      </c>
      <c r="AA69" t="s">
        <v>258</v>
      </c>
      <c r="AB69" t="s">
        <v>2666</v>
      </c>
      <c r="AC69" t="s">
        <v>2667</v>
      </c>
      <c r="AD69" t="s">
        <v>54</v>
      </c>
      <c r="AE69">
        <v>780004</v>
      </c>
      <c r="AF69" t="s">
        <v>2668</v>
      </c>
      <c r="AG69" t="s">
        <v>2669</v>
      </c>
      <c r="AH69" t="s">
        <v>2670</v>
      </c>
      <c r="AI69" t="s">
        <v>224</v>
      </c>
      <c r="AJ69" t="s">
        <v>2671</v>
      </c>
      <c r="AK69" t="s">
        <v>54</v>
      </c>
      <c r="AL69" t="s">
        <v>2672</v>
      </c>
      <c r="AM69" t="s">
        <v>54</v>
      </c>
      <c r="AN69">
        <v>0</v>
      </c>
      <c r="AO69" t="s">
        <v>2673</v>
      </c>
      <c r="AP69" t="s">
        <v>54</v>
      </c>
      <c r="AQ69" t="s">
        <v>2674</v>
      </c>
      <c r="AR69" t="s">
        <v>54</v>
      </c>
      <c r="AS69" t="s">
        <v>2675</v>
      </c>
      <c r="AT69" t="s">
        <v>54</v>
      </c>
      <c r="AU69" t="s">
        <v>2468</v>
      </c>
      <c r="AV69" t="s">
        <v>900</v>
      </c>
      <c r="AW69" t="s">
        <v>2676</v>
      </c>
      <c r="AX69" t="s">
        <v>376</v>
      </c>
      <c r="AY69" t="s">
        <v>2677</v>
      </c>
      <c r="AZ69" t="s">
        <v>983</v>
      </c>
      <c r="BA69" t="s">
        <v>2678</v>
      </c>
      <c r="BB69" t="s">
        <v>2679</v>
      </c>
      <c r="BC69" t="s">
        <v>2680</v>
      </c>
      <c r="BD69" t="s">
        <v>2681</v>
      </c>
      <c r="BE69" t="s">
        <v>124</v>
      </c>
      <c r="BF69" t="s">
        <v>469</v>
      </c>
      <c r="BG69" t="s">
        <v>77</v>
      </c>
      <c r="BH69" t="s">
        <v>2682</v>
      </c>
      <c r="BI69" t="s">
        <v>945</v>
      </c>
      <c r="BJ69" t="s">
        <v>376</v>
      </c>
      <c r="BK69" t="s">
        <v>2683</v>
      </c>
      <c r="BL69" t="s">
        <v>2684</v>
      </c>
      <c r="BM69" t="s">
        <v>2680</v>
      </c>
      <c r="BN69" t="s">
        <v>54</v>
      </c>
      <c r="BO69" t="s">
        <v>54</v>
      </c>
      <c r="BP69">
        <v>1.56</v>
      </c>
      <c r="BQ69">
        <v>-0.88</v>
      </c>
      <c r="BR69">
        <v>-1.78</v>
      </c>
      <c r="BS69">
        <v>1.68</v>
      </c>
      <c r="BT69" t="s">
        <v>2685</v>
      </c>
      <c r="BU69" t="s">
        <v>1030</v>
      </c>
      <c r="BV69">
        <v>54.19</v>
      </c>
      <c r="BW69">
        <v>55.43</v>
      </c>
      <c r="BX69">
        <v>56.44</v>
      </c>
      <c r="BY69">
        <v>-10.46</v>
      </c>
      <c r="BZ69">
        <v>-4.38</v>
      </c>
      <c r="CA69">
        <v>2.88</v>
      </c>
      <c r="CB69">
        <v>-9.42</v>
      </c>
      <c r="CC69" s="8">
        <v>-17.760000000000002</v>
      </c>
      <c r="CD69" s="9" t="s">
        <v>1423</v>
      </c>
      <c r="CE69" s="8" t="s">
        <v>2686</v>
      </c>
      <c r="CF69" s="8">
        <v>-0.67647058823529416</v>
      </c>
      <c r="CG69" s="8">
        <v>-1.2524448726557338</v>
      </c>
      <c r="CH69" s="8">
        <v>2.4495613574981689</v>
      </c>
      <c r="CI69" s="8">
        <v>-0.31117823719978333</v>
      </c>
      <c r="CJ69" s="9">
        <v>7.9054549336433411E-2</v>
      </c>
      <c r="CK69" s="9">
        <v>-6.9749809801578522E-2</v>
      </c>
      <c r="CL69" s="9">
        <v>-0.20685507357120514</v>
      </c>
      <c r="CM69" s="9">
        <v>2.8575551509857178</v>
      </c>
      <c r="CN69" s="9">
        <v>-1.9950165748596191</v>
      </c>
      <c r="CO69">
        <v>-0.63030964136123657</v>
      </c>
      <c r="CP69">
        <v>-0.31578946113586426</v>
      </c>
      <c r="CQ69">
        <v>-0.27619048953056335</v>
      </c>
      <c r="CR69" s="8">
        <v>19.16431278578164</v>
      </c>
      <c r="CS69" s="9">
        <v>0.49371365017723456</v>
      </c>
      <c r="CT69">
        <v>2</v>
      </c>
      <c r="CU69">
        <v>0.38816655725240706</v>
      </c>
      <c r="CV69">
        <v>-7.1950203180313116E-2</v>
      </c>
      <c r="CW69">
        <v>0.06</v>
      </c>
      <c r="CX69" t="s">
        <v>1921</v>
      </c>
      <c r="CY69">
        <v>93063471.752856404</v>
      </c>
      <c r="CZ69">
        <v>0.38816655725240706</v>
      </c>
      <c r="DA69" t="s">
        <v>1921</v>
      </c>
      <c r="DB69">
        <v>363258500.41699642</v>
      </c>
      <c r="DC69">
        <v>0.3687582293897867</v>
      </c>
      <c r="DD69" t="s">
        <v>1921</v>
      </c>
      <c r="DE69">
        <v>1053069921.3100312</v>
      </c>
      <c r="DF69">
        <v>0.3415865703821182</v>
      </c>
      <c r="DG69" t="s">
        <v>1921</v>
      </c>
      <c r="DH69">
        <v>2730315451.1287603</v>
      </c>
      <c r="DI69">
        <v>0.31053324580192565</v>
      </c>
      <c r="DJ69" t="s">
        <v>1921</v>
      </c>
      <c r="DK69">
        <v>15864921842.903419</v>
      </c>
      <c r="DL69">
        <v>0.27171659007668492</v>
      </c>
      <c r="DM69">
        <v>71063000</v>
      </c>
      <c r="DN69">
        <v>0.38816655725240706</v>
      </c>
      <c r="DO69">
        <v>-111980799.99999976</v>
      </c>
      <c r="DP69">
        <v>1920380000</v>
      </c>
      <c r="DQ69" s="10">
        <v>4369</v>
      </c>
      <c r="DR69">
        <v>-1.0646371454877013</v>
      </c>
      <c r="DS69">
        <v>-1.1804946694754206</v>
      </c>
      <c r="DT69">
        <v>-0.39000000000000007</v>
      </c>
      <c r="DU69">
        <v>-1.7983333333333336</v>
      </c>
      <c r="DV69">
        <v>-2.1883333333333335</v>
      </c>
      <c r="DW69">
        <v>-9.5304054054054053</v>
      </c>
      <c r="DX69">
        <v>0.40719745222929915</v>
      </c>
      <c r="DY69">
        <v>-9.0886824324324316</v>
      </c>
      <c r="DZ69">
        <v>2673</v>
      </c>
      <c r="EA69">
        <v>-9.0422933635690477</v>
      </c>
      <c r="EB69" s="13">
        <v>9</v>
      </c>
      <c r="EC69" s="13">
        <v>0.30594063283208023</v>
      </c>
      <c r="ED69">
        <v>1.8298163563671082</v>
      </c>
      <c r="EE69">
        <v>-2.0246</v>
      </c>
      <c r="EF69">
        <v>-2.0017</v>
      </c>
      <c r="EG69">
        <v>24.167197452229299</v>
      </c>
      <c r="EH69" s="12" t="s">
        <v>649</v>
      </c>
      <c r="EI69">
        <v>0</v>
      </c>
      <c r="EJ69">
        <v>0</v>
      </c>
      <c r="EK69">
        <v>45470</v>
      </c>
      <c r="EL69">
        <v>-0.4</v>
      </c>
      <c r="EM69">
        <v>-3.9</v>
      </c>
      <c r="EN69">
        <v>1.4</v>
      </c>
      <c r="EO69">
        <v>2.48</v>
      </c>
      <c r="EP69">
        <v>-2.29</v>
      </c>
    </row>
    <row r="70" spans="1:146" ht="168" x14ac:dyDescent="0.25">
      <c r="A70" s="5" t="s">
        <v>1005</v>
      </c>
      <c r="B70" s="5" t="s">
        <v>1004</v>
      </c>
      <c r="C70" s="5" t="str">
        <f>"公司主要从事品牌运营业务(自有品牌牧高笛MOBIGARDEN)与露营帐篷OEM/ODM业务。公司的主要产品包括帐篷、睡袋、自充垫等户外装备，以及冲锋衣、羽绒服、登山鞋、运动背包等户外服装、鞋及配饰。"&amp;CHAR(10)&amp;Basic_Fundamental_Information_Constructure(F70)&amp;CHAR(10)&amp;Basic_Fundamental_Information_Concatenate("(海外40%，代工部分66%）
帐篷及装备 12.54亿 87.35% 3.50亿 85.92% 27.87%
配件及其他 9317.08万 6.49% 3181.86万 7.82% 34.15%
服装及鞋子 7452.82万 5.19% 2622.13万 6.45% 35.18%")</f>
        <v>公司主要从事品牌运营业务(自有品牌牧高笛MOBIGARDEN)与露营帐篷OEM/ODM业务。公司的主要产品包括帐篷、睡袋、自充垫等户外装备，以及冲锋衣、羽绒服、登山鞋、运动背包等户外服装、鞋及配饰。
市值18.719883亿, 利润6592.40万; PE17.1; 平均PE27.16; 平均PEG.47, PB3.12; ROIC13.48%; ROE21.77%; 股利率5.985%; 毛利27.16%; 净利8.5467%; 上一年度营收增174.79%, 利润增-53.25%; 当季营收增23.61%, 利润增356.35%; 过往5年营收增58.29%, 利润增21.77%
Income profile:
(海外40%，代工部分66%）
帐篷及装备 12.54亿 87.35% 3.50亿 85.92% 27.87%
配件及其他 9317.08万 6.49% 3181.86万 7.82% 34.15%
服装及鞋子 7452.82万 5.19% 2622.13万 6.45% 35.18%</v>
      </c>
      <c r="D70" t="s">
        <v>81</v>
      </c>
      <c r="E70" t="s">
        <v>18</v>
      </c>
      <c r="F70">
        <v>20.05</v>
      </c>
      <c r="G70">
        <v>0.86</v>
      </c>
      <c r="H70" t="s">
        <v>1952</v>
      </c>
      <c r="I70">
        <v>1871988300</v>
      </c>
      <c r="J70">
        <v>17.100000000000001</v>
      </c>
      <c r="K70">
        <v>3.12</v>
      </c>
      <c r="L70" t="s">
        <v>53</v>
      </c>
      <c r="M70" t="s">
        <v>953</v>
      </c>
      <c r="N70" t="s">
        <v>2687</v>
      </c>
      <c r="O70" t="s">
        <v>827</v>
      </c>
      <c r="P70">
        <v>3.75</v>
      </c>
      <c r="Q70" t="s">
        <v>2688</v>
      </c>
      <c r="R70">
        <v>31558117</v>
      </c>
      <c r="S70" s="3">
        <v>9.2799999999999994E-2</v>
      </c>
      <c r="T70" t="s">
        <v>2689</v>
      </c>
      <c r="U70">
        <v>93366000</v>
      </c>
      <c r="V70">
        <v>93366000</v>
      </c>
      <c r="W70">
        <v>2.1800000000000002</v>
      </c>
      <c r="X70">
        <v>0.28000000000000003</v>
      </c>
      <c r="Y70">
        <v>8.86</v>
      </c>
      <c r="Z70" t="s">
        <v>118</v>
      </c>
      <c r="AA70" t="s">
        <v>257</v>
      </c>
      <c r="AB70" t="s">
        <v>2690</v>
      </c>
      <c r="AC70" t="s">
        <v>2691</v>
      </c>
      <c r="AD70" t="s">
        <v>54</v>
      </c>
      <c r="AE70">
        <v>3352089</v>
      </c>
      <c r="AF70" t="s">
        <v>2692</v>
      </c>
      <c r="AG70" t="s">
        <v>2693</v>
      </c>
      <c r="AH70" t="s">
        <v>2694</v>
      </c>
      <c r="AI70" t="s">
        <v>240</v>
      </c>
      <c r="AJ70" t="s">
        <v>2695</v>
      </c>
      <c r="AK70" t="s">
        <v>54</v>
      </c>
      <c r="AL70" t="s">
        <v>2696</v>
      </c>
      <c r="AM70" t="s">
        <v>54</v>
      </c>
      <c r="AN70">
        <v>0</v>
      </c>
      <c r="AO70" t="s">
        <v>387</v>
      </c>
      <c r="AP70" t="s">
        <v>2697</v>
      </c>
      <c r="AQ70" t="s">
        <v>689</v>
      </c>
      <c r="AR70" t="s">
        <v>54</v>
      </c>
      <c r="AS70" t="s">
        <v>1409</v>
      </c>
      <c r="AT70" t="s">
        <v>54</v>
      </c>
      <c r="AU70" t="s">
        <v>2698</v>
      </c>
      <c r="AV70" t="s">
        <v>2699</v>
      </c>
      <c r="AW70" t="s">
        <v>2700</v>
      </c>
      <c r="AX70" t="s">
        <v>899</v>
      </c>
      <c r="AY70" t="s">
        <v>334</v>
      </c>
      <c r="AZ70" t="s">
        <v>476</v>
      </c>
      <c r="BA70" t="s">
        <v>82</v>
      </c>
      <c r="BB70" t="s">
        <v>478</v>
      </c>
      <c r="BC70" t="s">
        <v>454</v>
      </c>
      <c r="BD70" t="s">
        <v>633</v>
      </c>
      <c r="BE70" t="s">
        <v>477</v>
      </c>
      <c r="BF70" t="s">
        <v>83</v>
      </c>
      <c r="BG70" t="s">
        <v>479</v>
      </c>
      <c r="BH70" t="s">
        <v>2701</v>
      </c>
      <c r="BI70" t="s">
        <v>677</v>
      </c>
      <c r="BJ70" t="s">
        <v>899</v>
      </c>
      <c r="BK70" t="s">
        <v>203</v>
      </c>
      <c r="BL70" t="s">
        <v>2702</v>
      </c>
      <c r="BM70" t="s">
        <v>454</v>
      </c>
      <c r="BN70">
        <v>12.8</v>
      </c>
      <c r="BO70">
        <v>16.829999999999998</v>
      </c>
      <c r="BP70">
        <v>10.81</v>
      </c>
      <c r="BQ70">
        <v>19.87</v>
      </c>
      <c r="BR70">
        <v>27.97</v>
      </c>
      <c r="BS70">
        <v>17.47</v>
      </c>
      <c r="BT70" t="s">
        <v>2703</v>
      </c>
      <c r="BU70" t="s">
        <v>659</v>
      </c>
      <c r="BV70">
        <v>28.32</v>
      </c>
      <c r="BW70">
        <v>28.33</v>
      </c>
      <c r="BX70">
        <v>24.83</v>
      </c>
      <c r="BY70">
        <v>7.34</v>
      </c>
      <c r="BZ70">
        <v>9.7899999999999991</v>
      </c>
      <c r="CA70">
        <v>8.51</v>
      </c>
      <c r="CB70">
        <v>-0.05</v>
      </c>
      <c r="CC70">
        <v>-12.14</v>
      </c>
      <c r="CD70" t="s">
        <v>2704</v>
      </c>
      <c r="CE70" t="s">
        <v>2705</v>
      </c>
      <c r="CF70" s="8">
        <v>0.2361111111111111</v>
      </c>
      <c r="CG70" s="9">
        <v>3.563521033071595</v>
      </c>
      <c r="CH70" s="8">
        <v>1.747910737991333</v>
      </c>
      <c r="CI70" s="8">
        <v>0.55579632520675659</v>
      </c>
      <c r="CJ70" s="8">
        <v>0.43545877933502197</v>
      </c>
      <c r="CK70" s="8">
        <v>0.21550095081329346</v>
      </c>
      <c r="CL70" s="8">
        <v>-3.9927404373884201E-2</v>
      </c>
      <c r="CM70" s="9">
        <v>-0.53245389461517334</v>
      </c>
      <c r="CN70" s="9">
        <v>0.79357367753982544</v>
      </c>
      <c r="CO70" s="9">
        <v>0.70994049310684204</v>
      </c>
      <c r="CP70" s="9">
        <v>0.12720385193824768</v>
      </c>
      <c r="CQ70" s="9">
        <v>-9.8417410627007484E-3</v>
      </c>
      <c r="CR70">
        <v>27.163655517615737</v>
      </c>
      <c r="CS70">
        <v>0.46597057048025209</v>
      </c>
      <c r="CT70">
        <v>5.9850374064837899</v>
      </c>
      <c r="CU70" s="8">
        <v>0.58294787779450419</v>
      </c>
      <c r="CV70" s="9">
        <v>0.21768447738140823</v>
      </c>
      <c r="CW70">
        <v>0.06</v>
      </c>
      <c r="CX70">
        <v>19.878514586629169</v>
      </c>
      <c r="CY70">
        <v>98447411.222381964</v>
      </c>
      <c r="CZ70">
        <v>0.58294787779450419</v>
      </c>
      <c r="DA70">
        <v>4.3885857513734736</v>
      </c>
      <c r="DB70">
        <v>445926868.21432877</v>
      </c>
      <c r="DC70">
        <v>0.55380048390477898</v>
      </c>
      <c r="DD70">
        <v>1.1919764929794219</v>
      </c>
      <c r="DE70">
        <v>1641801085.4462254</v>
      </c>
      <c r="DF70">
        <v>0.5129941324591637</v>
      </c>
      <c r="DG70">
        <v>0.33352734462809347</v>
      </c>
      <c r="DH70">
        <v>5867549787.2061434</v>
      </c>
      <c r="DI70">
        <v>0.46635830223560337</v>
      </c>
      <c r="DJ70">
        <v>2.5161698484356298E-2</v>
      </c>
      <c r="DK70">
        <v>77776478452.62561</v>
      </c>
      <c r="DL70">
        <v>0.40806351445615291</v>
      </c>
      <c r="DM70">
        <v>65924000</v>
      </c>
      <c r="DN70">
        <v>0.58294787779450419</v>
      </c>
      <c r="DO70">
        <v>1956988300</v>
      </c>
      <c r="DP70">
        <v>394985010</v>
      </c>
      <c r="DQ70">
        <v>4373</v>
      </c>
      <c r="DR70">
        <v>-0.34683676668339308</v>
      </c>
      <c r="DS70">
        <v>3.3458365556901866</v>
      </c>
      <c r="DT70" s="10">
        <v>0.29333333333333339</v>
      </c>
      <c r="DU70">
        <v>0.62</v>
      </c>
      <c r="DV70">
        <v>0.91333333333333333</v>
      </c>
      <c r="DW70">
        <v>-2.1214</v>
      </c>
      <c r="DX70">
        <v>0.31185330610962847</v>
      </c>
      <c r="DY70">
        <v>-2.012364991361709</v>
      </c>
      <c r="DZ70">
        <v>1028</v>
      </c>
      <c r="EA70">
        <v>-2.009877474508512</v>
      </c>
      <c r="EB70">
        <v>2</v>
      </c>
      <c r="EC70">
        <v>2.2226506437032754E-2</v>
      </c>
      <c r="ED70">
        <v>0.21822076558918665</v>
      </c>
      <c r="EE70" s="13">
        <v>3.0491999999999999</v>
      </c>
      <c r="EF70">
        <v>3.0278</v>
      </c>
      <c r="EG70">
        <v>21.101853306109629</v>
      </c>
      <c r="EH70" t="s">
        <v>808</v>
      </c>
      <c r="EI70">
        <v>0</v>
      </c>
      <c r="EJ70">
        <v>1</v>
      </c>
      <c r="EK70" s="12">
        <v>45470</v>
      </c>
      <c r="EL70" s="14">
        <v>1.99</v>
      </c>
      <c r="EM70" s="14">
        <v>-6.42</v>
      </c>
      <c r="EN70">
        <v>0.25</v>
      </c>
      <c r="EO70">
        <v>3.06</v>
      </c>
      <c r="EP70">
        <v>-2.14</v>
      </c>
    </row>
    <row r="71" spans="1:146" ht="84" x14ac:dyDescent="0.25">
      <c r="C71" s="5" t="str">
        <f>""&amp;CHAR(10)&amp;Basic_Fundamental_Information_Constructure(F71)&amp;CHAR(10)&amp;Basic_Fundamental_Information_Concatenate("")</f>
        <v xml:space="preserve">
市值17.482992亿, 利润-1.18亿; PE148.5; 平均PE-26.86; 平均PEG-1.1, PB2.18; ROIC.2%; ROE-6.6367%; 股利率0%; 毛利52.5933%; 净利-7.42%; 上一年度营收增170.1%, 利润增24.36%; 当季营收增-52.51%, 利润增-92.92%; 过往5年营收增24.46%, 利润增-208.6%
Income profile:
</v>
      </c>
      <c r="D71" t="s">
        <v>166</v>
      </c>
      <c r="E71" t="s">
        <v>6</v>
      </c>
      <c r="F71">
        <v>7.97</v>
      </c>
      <c r="G71">
        <v>1.1399999999999999</v>
      </c>
      <c r="H71" t="s">
        <v>2706</v>
      </c>
      <c r="I71">
        <v>1748299200</v>
      </c>
      <c r="J71">
        <v>148.5</v>
      </c>
      <c r="K71">
        <v>2.1800000000000002</v>
      </c>
      <c r="L71" t="s">
        <v>53</v>
      </c>
      <c r="M71" t="s">
        <v>2707</v>
      </c>
      <c r="N71" t="s">
        <v>433</v>
      </c>
      <c r="O71" t="s">
        <v>2708</v>
      </c>
      <c r="P71">
        <v>23.36</v>
      </c>
      <c r="Q71" t="s">
        <v>2709</v>
      </c>
      <c r="R71">
        <v>4929273</v>
      </c>
      <c r="S71" s="7">
        <v>1.405</v>
      </c>
      <c r="T71" t="s">
        <v>846</v>
      </c>
      <c r="U71">
        <v>219360000</v>
      </c>
      <c r="V71">
        <v>219360000</v>
      </c>
      <c r="W71">
        <v>1.1599999999999999</v>
      </c>
      <c r="X71">
        <v>0.23</v>
      </c>
      <c r="Y71">
        <v>3.76</v>
      </c>
      <c r="Z71" t="s">
        <v>860</v>
      </c>
      <c r="AA71" t="s">
        <v>159</v>
      </c>
      <c r="AB71" t="s">
        <v>2710</v>
      </c>
      <c r="AC71" t="s">
        <v>2711</v>
      </c>
      <c r="AD71" t="s">
        <v>54</v>
      </c>
      <c r="AE71">
        <v>-165793</v>
      </c>
      <c r="AF71" t="s">
        <v>2712</v>
      </c>
      <c r="AG71">
        <v>2455.11</v>
      </c>
      <c r="AH71" t="s">
        <v>2713</v>
      </c>
      <c r="AI71" t="s">
        <v>908</v>
      </c>
      <c r="AJ71" t="s">
        <v>2714</v>
      </c>
      <c r="AK71" t="s">
        <v>54</v>
      </c>
      <c r="AL71" t="s">
        <v>2715</v>
      </c>
      <c r="AM71" t="s">
        <v>54</v>
      </c>
      <c r="AN71">
        <v>0</v>
      </c>
      <c r="AO71" t="s">
        <v>54</v>
      </c>
      <c r="AP71" t="s">
        <v>54</v>
      </c>
      <c r="AQ71" t="s">
        <v>2716</v>
      </c>
      <c r="AR71" t="s">
        <v>54</v>
      </c>
      <c r="AS71" t="s">
        <v>456</v>
      </c>
      <c r="AT71" t="s">
        <v>54</v>
      </c>
      <c r="AU71" t="s">
        <v>2717</v>
      </c>
      <c r="AV71" t="s">
        <v>2718</v>
      </c>
      <c r="AW71" t="s">
        <v>2719</v>
      </c>
      <c r="AX71" t="s">
        <v>863</v>
      </c>
      <c r="AY71" t="s">
        <v>623</v>
      </c>
      <c r="AZ71" t="s">
        <v>480</v>
      </c>
      <c r="BA71" t="s">
        <v>167</v>
      </c>
      <c r="BB71" t="s">
        <v>483</v>
      </c>
      <c r="BC71" t="s">
        <v>570</v>
      </c>
      <c r="BD71" t="s">
        <v>634</v>
      </c>
      <c r="BE71" t="s">
        <v>481</v>
      </c>
      <c r="BF71" t="s">
        <v>168</v>
      </c>
      <c r="BG71" t="s">
        <v>484</v>
      </c>
      <c r="BH71" t="s">
        <v>2720</v>
      </c>
      <c r="BI71" t="s">
        <v>2721</v>
      </c>
      <c r="BJ71" t="s">
        <v>863</v>
      </c>
      <c r="BK71" t="s">
        <v>2722</v>
      </c>
      <c r="BL71" t="s">
        <v>2723</v>
      </c>
      <c r="BM71" t="s">
        <v>570</v>
      </c>
      <c r="BN71">
        <v>0.2</v>
      </c>
      <c r="BO71" t="s">
        <v>54</v>
      </c>
      <c r="BP71" t="s">
        <v>54</v>
      </c>
      <c r="BQ71">
        <v>-0.06</v>
      </c>
      <c r="BR71">
        <v>-17.77</v>
      </c>
      <c r="BS71">
        <v>-2.08</v>
      </c>
      <c r="BT71" t="s">
        <v>700</v>
      </c>
      <c r="BU71" t="s">
        <v>659</v>
      </c>
      <c r="BV71">
        <v>55</v>
      </c>
      <c r="BW71">
        <v>48.97</v>
      </c>
      <c r="BX71">
        <v>53.81</v>
      </c>
      <c r="BY71">
        <v>0.19</v>
      </c>
      <c r="BZ71">
        <v>-20.420000000000002</v>
      </c>
      <c r="CA71">
        <v>-2.0299999999999998</v>
      </c>
      <c r="CB71">
        <v>-2.4500000000000002</v>
      </c>
      <c r="CC71">
        <v>-18.170000000000002</v>
      </c>
      <c r="CD71" t="s">
        <v>2724</v>
      </c>
      <c r="CE71" t="s">
        <v>2725</v>
      </c>
      <c r="CF71" s="8">
        <v>-0.52510460251046021</v>
      </c>
      <c r="CG71" s="9">
        <v>-0.92920549090235383</v>
      </c>
      <c r="CH71" s="8">
        <v>1.7010444402694702</v>
      </c>
      <c r="CI71" s="8">
        <v>-0.22626262903213501</v>
      </c>
      <c r="CJ71" s="8">
        <v>0.1098654717206955</v>
      </c>
      <c r="CK71" s="8">
        <v>-0.2783171534538269</v>
      </c>
      <c r="CL71" s="8">
        <v>-8.3086051046848297E-2</v>
      </c>
      <c r="CM71" s="9">
        <v>0.24358974397182465</v>
      </c>
      <c r="CN71" s="9">
        <v>-6.7629709243774414</v>
      </c>
      <c r="CO71" s="9">
        <v>0.53838592767715454</v>
      </c>
      <c r="CP71" s="9">
        <v>-5.6008625030517578</v>
      </c>
      <c r="CQ71" s="9">
        <v>1.1516963243484497</v>
      </c>
      <c r="CR71">
        <v>-26.859692876844498</v>
      </c>
      <c r="CS71">
        <v>-1.0978877130849269</v>
      </c>
      <c r="CT71">
        <v>0</v>
      </c>
      <c r="CU71" s="8">
        <v>0.24464881569147109</v>
      </c>
      <c r="CV71" s="9">
        <v>-2.0860322862863541</v>
      </c>
      <c r="CW71">
        <v>0.06</v>
      </c>
      <c r="CX71" t="e">
        <v>#VALUE!</v>
      </c>
      <c r="CY71" t="s">
        <v>653</v>
      </c>
      <c r="CZ71">
        <v>0.24464881569147109</v>
      </c>
      <c r="DA71" t="e">
        <v>#VALUE!</v>
      </c>
      <c r="DB71" t="s">
        <v>653</v>
      </c>
      <c r="DC71">
        <v>0.23241637490689754</v>
      </c>
      <c r="DD71" t="e">
        <v>#VALUE!</v>
      </c>
      <c r="DE71" t="s">
        <v>653</v>
      </c>
      <c r="DF71">
        <v>0.21529095780849455</v>
      </c>
      <c r="DG71" t="e">
        <v>#VALUE!</v>
      </c>
      <c r="DH71" t="s">
        <v>653</v>
      </c>
      <c r="DI71">
        <v>0.1957190525531769</v>
      </c>
      <c r="DJ71" t="e">
        <v>#VALUE!</v>
      </c>
      <c r="DK71" t="s">
        <v>653</v>
      </c>
      <c r="DL71">
        <v>0.17125417098402976</v>
      </c>
      <c r="DM71">
        <v>-118000000</v>
      </c>
      <c r="DN71">
        <v>0.24464881569147109</v>
      </c>
      <c r="DO71">
        <v>1083299200</v>
      </c>
      <c r="DP71">
        <v>657084370</v>
      </c>
      <c r="DQ71">
        <v>4398</v>
      </c>
      <c r="DR71">
        <v>-0.76975341820193133</v>
      </c>
      <c r="DS71">
        <v>1.1568267953840001</v>
      </c>
      <c r="DT71" s="10">
        <v>-0.37333333333333335</v>
      </c>
      <c r="DU71">
        <v>-2.14</v>
      </c>
      <c r="DV71">
        <v>-2.5133333333333336</v>
      </c>
      <c r="DW71">
        <v>-3.0245416666666669</v>
      </c>
      <c r="DX71">
        <v>0.33549791662111034</v>
      </c>
      <c r="DY71">
        <v>-3.0035707613704097</v>
      </c>
      <c r="DZ71">
        <v>4688</v>
      </c>
      <c r="EA71">
        <v>-3.0002948847941906</v>
      </c>
      <c r="EB71">
        <v>3</v>
      </c>
      <c r="EC71">
        <v>5.6297866520787748E-2</v>
      </c>
      <c r="ED71">
        <v>0.3869324398249453</v>
      </c>
      <c r="EE71" s="13">
        <v>-10.06691</v>
      </c>
      <c r="EF71">
        <v>-10.105409999999999</v>
      </c>
      <c r="EG71">
        <v>19.14549791662111</v>
      </c>
      <c r="EH71" t="s">
        <v>2726</v>
      </c>
      <c r="EI71">
        <v>0</v>
      </c>
      <c r="EJ71">
        <v>0</v>
      </c>
      <c r="EK71" s="12">
        <v>45470</v>
      </c>
      <c r="EL71" s="14">
        <v>3.59</v>
      </c>
      <c r="EM71" s="14">
        <v>-5.2</v>
      </c>
      <c r="EN71">
        <v>-3.05</v>
      </c>
      <c r="EO71">
        <v>-1.89</v>
      </c>
      <c r="EP71">
        <v>-3.85</v>
      </c>
    </row>
    <row r="72" spans="1:146" ht="96" x14ac:dyDescent="0.25">
      <c r="C72" s="5" t="str">
        <f>""&amp;CHAR(10)&amp;Basic_Fundamental_Information_Constructure(F72)&amp;CHAR(10)&amp;Basic_Fundamental_Information_Concatenate("")</f>
        <v xml:space="preserve">
市值17.479亿, 利润2.25亿; PE5.46; 平均PE12.84; 平均PEG.21, PB1.23; ROIC7.9033%; ROE9.1567%; 股利率2.5802%; 毛利35.6567%; 净利38.27%; 上一年度营收增299.52%, 利润增147.77%; 当季营收增-62.78%, 利润增-37.85%; 过往5年营收增61.08%, 利润增33.09%
Income profile:
</v>
      </c>
      <c r="D72" t="s">
        <v>535</v>
      </c>
      <c r="E72" t="s">
        <v>536</v>
      </c>
      <c r="F72">
        <v>15.89</v>
      </c>
      <c r="G72">
        <v>0.82</v>
      </c>
      <c r="H72" t="s">
        <v>2727</v>
      </c>
      <c r="I72">
        <v>1747900000</v>
      </c>
      <c r="J72">
        <v>5.46</v>
      </c>
      <c r="K72">
        <v>1.23</v>
      </c>
      <c r="L72" t="s">
        <v>53</v>
      </c>
      <c r="M72" t="s">
        <v>250</v>
      </c>
      <c r="N72" t="s">
        <v>2728</v>
      </c>
      <c r="O72" t="s">
        <v>927</v>
      </c>
      <c r="P72">
        <v>9.68</v>
      </c>
      <c r="Q72" t="s">
        <v>2729</v>
      </c>
      <c r="R72">
        <v>23465305</v>
      </c>
      <c r="S72" s="3">
        <v>0.3548</v>
      </c>
      <c r="T72" t="s">
        <v>1404</v>
      </c>
      <c r="U72">
        <v>110000000</v>
      </c>
      <c r="V72">
        <v>110000000</v>
      </c>
      <c r="W72">
        <v>1.1100000000000001</v>
      </c>
      <c r="X72">
        <v>7.0000000000000007E-2</v>
      </c>
      <c r="Y72">
        <v>20.38</v>
      </c>
      <c r="Z72" t="s">
        <v>2730</v>
      </c>
      <c r="AA72" t="s">
        <v>2731</v>
      </c>
      <c r="AB72" t="s">
        <v>2732</v>
      </c>
      <c r="AC72" t="s">
        <v>2733</v>
      </c>
      <c r="AD72" t="s">
        <v>54</v>
      </c>
      <c r="AE72">
        <v>-4631851</v>
      </c>
      <c r="AF72" t="s">
        <v>2734</v>
      </c>
      <c r="AG72" t="s">
        <v>2735</v>
      </c>
      <c r="AH72" t="s">
        <v>2736</v>
      </c>
      <c r="AI72" t="s">
        <v>2737</v>
      </c>
      <c r="AJ72" t="s">
        <v>2738</v>
      </c>
      <c r="AK72" t="s">
        <v>54</v>
      </c>
      <c r="AL72" t="s">
        <v>2739</v>
      </c>
      <c r="AM72" t="s">
        <v>54</v>
      </c>
      <c r="AN72" t="s">
        <v>2740</v>
      </c>
      <c r="AO72" t="s">
        <v>54</v>
      </c>
      <c r="AP72" t="s">
        <v>2741</v>
      </c>
      <c r="AQ72" t="s">
        <v>2742</v>
      </c>
      <c r="AR72" t="s">
        <v>54</v>
      </c>
      <c r="AS72" t="s">
        <v>428</v>
      </c>
      <c r="AT72" t="s">
        <v>54</v>
      </c>
      <c r="AU72" t="s">
        <v>2743</v>
      </c>
      <c r="AV72" t="s">
        <v>2744</v>
      </c>
      <c r="AW72" t="s">
        <v>54</v>
      </c>
      <c r="AX72" t="s">
        <v>676</v>
      </c>
      <c r="AY72" t="s">
        <v>252</v>
      </c>
      <c r="AZ72" t="s">
        <v>513</v>
      </c>
      <c r="BA72" t="s">
        <v>537</v>
      </c>
      <c r="BB72" t="s">
        <v>538</v>
      </c>
      <c r="BC72" t="s">
        <v>901</v>
      </c>
      <c r="BD72" t="s">
        <v>91</v>
      </c>
      <c r="BE72" t="s">
        <v>218</v>
      </c>
      <c r="BF72" t="s">
        <v>216</v>
      </c>
      <c r="BG72" t="s">
        <v>539</v>
      </c>
      <c r="BH72" t="s">
        <v>1287</v>
      </c>
      <c r="BI72" t="s">
        <v>912</v>
      </c>
      <c r="BJ72" t="s">
        <v>676</v>
      </c>
      <c r="BK72" t="s">
        <v>795</v>
      </c>
      <c r="BL72" t="s">
        <v>2745</v>
      </c>
      <c r="BM72" t="s">
        <v>901</v>
      </c>
      <c r="BN72">
        <v>3.57</v>
      </c>
      <c r="BO72">
        <v>6.24</v>
      </c>
      <c r="BP72">
        <v>13.9</v>
      </c>
      <c r="BQ72">
        <v>4.97</v>
      </c>
      <c r="BR72">
        <v>8.2200000000000006</v>
      </c>
      <c r="BS72">
        <v>14.28</v>
      </c>
      <c r="BT72" t="s">
        <v>706</v>
      </c>
      <c r="BU72" t="s">
        <v>655</v>
      </c>
      <c r="BV72">
        <v>35.14</v>
      </c>
      <c r="BW72">
        <v>35</v>
      </c>
      <c r="BX72">
        <v>36.83</v>
      </c>
      <c r="BY72">
        <v>67.94</v>
      </c>
      <c r="BZ72">
        <v>21.8</v>
      </c>
      <c r="CA72">
        <v>25.07</v>
      </c>
      <c r="CB72">
        <v>-1</v>
      </c>
      <c r="CC72">
        <v>-3.11</v>
      </c>
      <c r="CD72" t="s">
        <v>2746</v>
      </c>
      <c r="CE72" t="s">
        <v>2747</v>
      </c>
      <c r="CF72" s="8">
        <v>-0.62783171521035597</v>
      </c>
      <c r="CG72" s="9">
        <v>-0.37854738498045487</v>
      </c>
      <c r="CH72" s="8">
        <v>2.9952037334442139</v>
      </c>
      <c r="CI72" s="8">
        <v>-0.2896081805229187</v>
      </c>
      <c r="CJ72" s="8">
        <v>0.1858585923910141</v>
      </c>
      <c r="CK72" s="8">
        <v>1.4344261959195137E-2</v>
      </c>
      <c r="CL72" s="8">
        <v>0.14823529124259949</v>
      </c>
      <c r="CM72" s="9">
        <v>1.477703332901001</v>
      </c>
      <c r="CN72" s="9">
        <v>-0.38224554061889648</v>
      </c>
      <c r="CO72" s="9">
        <v>5.000000074505806E-2</v>
      </c>
      <c r="CP72" s="9">
        <v>0.12903225421905518</v>
      </c>
      <c r="CQ72" s="9">
        <v>0.38010716438293457</v>
      </c>
      <c r="CR72">
        <v>12.841850566577442</v>
      </c>
      <c r="CS72">
        <v>0.21024408756238447</v>
      </c>
      <c r="CT72">
        <v>2.5802391441157959</v>
      </c>
      <c r="CU72" s="8">
        <v>0.61080673970282073</v>
      </c>
      <c r="CV72" s="9">
        <v>0.33091944232583048</v>
      </c>
      <c r="CW72">
        <v>0.06</v>
      </c>
      <c r="CX72">
        <v>1.491299667642773</v>
      </c>
      <c r="CY72">
        <v>341916524.93691951</v>
      </c>
      <c r="CZ72">
        <v>0.61080673970282073</v>
      </c>
      <c r="DA72">
        <v>0.32251358653827578</v>
      </c>
      <c r="DB72">
        <v>1581018664.8973477</v>
      </c>
      <c r="DC72">
        <v>0.58026640271767971</v>
      </c>
      <c r="DD72">
        <v>8.4669789475748269E-2</v>
      </c>
      <c r="DE72">
        <v>6022218823.9413214</v>
      </c>
      <c r="DF72">
        <v>0.53750993093848221</v>
      </c>
      <c r="DG72">
        <v>2.2623361069237163E-2</v>
      </c>
      <c r="DH72">
        <v>22538649250.192661</v>
      </c>
      <c r="DI72">
        <v>0.48864539176225663</v>
      </c>
      <c r="DJ72">
        <v>1.5183444931268471E-3</v>
      </c>
      <c r="DK72">
        <v>335826291271.9646</v>
      </c>
      <c r="DL72">
        <v>0.42756471779197447</v>
      </c>
      <c r="DM72">
        <v>225000000</v>
      </c>
      <c r="DN72">
        <v>0.61080673970282073</v>
      </c>
      <c r="DO72">
        <v>509900000</v>
      </c>
      <c r="DP72">
        <v>733736180</v>
      </c>
      <c r="DQ72">
        <v>4428</v>
      </c>
      <c r="DR72">
        <v>-1.2386384549131768</v>
      </c>
      <c r="DS72">
        <v>-0.70946682730628541</v>
      </c>
      <c r="DT72" s="10">
        <v>-0.1566666666666667</v>
      </c>
      <c r="DU72">
        <v>6.3333333333333311E-2</v>
      </c>
      <c r="DV72">
        <v>-9.3333333333333393E-2</v>
      </c>
      <c r="DW72">
        <v>-1.0310999999999999</v>
      </c>
      <c r="DX72">
        <v>0.27824765063571066</v>
      </c>
      <c r="DY72">
        <v>-1.0039885019347705</v>
      </c>
      <c r="DZ72">
        <v>1271</v>
      </c>
      <c r="EA72">
        <v>-1.0029964498879813</v>
      </c>
      <c r="EB72">
        <v>1</v>
      </c>
      <c r="EC72">
        <v>2.3621818181818178E-2</v>
      </c>
      <c r="ED72">
        <v>0.18418909090909091</v>
      </c>
      <c r="EE72" s="13">
        <v>-1.0483</v>
      </c>
      <c r="EF72">
        <v>-1.0140100000000001</v>
      </c>
      <c r="EG72">
        <v>15.128247650635711</v>
      </c>
      <c r="EH72" t="s">
        <v>656</v>
      </c>
      <c r="EI72">
        <v>0</v>
      </c>
      <c r="EJ72">
        <v>1</v>
      </c>
      <c r="EK72" s="12">
        <v>45470</v>
      </c>
      <c r="EL72" s="14">
        <v>1.2</v>
      </c>
      <c r="EM72" s="14">
        <v>-3.82</v>
      </c>
      <c r="EN72">
        <v>-0.13</v>
      </c>
      <c r="EO72">
        <v>5.81</v>
      </c>
      <c r="EP72">
        <v>-6.23</v>
      </c>
    </row>
    <row r="73" spans="1:146" ht="96" x14ac:dyDescent="0.25">
      <c r="C73" s="5" t="str">
        <f>""&amp;CHAR(10)&amp;Basic_Fundamental_Information_Constructure(F73)&amp;CHAR(10)&amp;Basic_Fundamental_Information_Concatenate("")</f>
        <v xml:space="preserve">
市值27.500335亿, 利润1.21亿; PE50.28; 平均PE10.41; 平均PEG.82, PB1.09; ROIC7.5433%; ROE13.2233%; 股利率1.8242%; 毛利16.84%; 净利4.7867%; 上一年度营收增-78.61%, 利润增-67.82%; 当季营收增277.44%, 利润增-76.9%; 过往5年营收增-12.71%, 利润增-3.18%
Income profile:
</v>
      </c>
      <c r="D73" t="s">
        <v>540</v>
      </c>
      <c r="E73" t="s">
        <v>541</v>
      </c>
      <c r="F73">
        <v>4.95</v>
      </c>
      <c r="G73">
        <v>1.85</v>
      </c>
      <c r="H73" t="s">
        <v>2748</v>
      </c>
      <c r="I73">
        <v>2750033500</v>
      </c>
      <c r="J73">
        <v>50.28</v>
      </c>
      <c r="K73">
        <v>1.0900000000000001</v>
      </c>
      <c r="L73" t="s">
        <v>53</v>
      </c>
      <c r="M73" t="s">
        <v>2749</v>
      </c>
      <c r="N73" t="s">
        <v>2750</v>
      </c>
      <c r="O73" t="s">
        <v>2751</v>
      </c>
      <c r="P73">
        <v>-23.32</v>
      </c>
      <c r="Q73" t="s">
        <v>960</v>
      </c>
      <c r="R73">
        <v>6788170</v>
      </c>
      <c r="S73" s="3">
        <v>-0.87980000000000003</v>
      </c>
      <c r="T73" t="s">
        <v>351</v>
      </c>
      <c r="U73">
        <v>297323820</v>
      </c>
      <c r="V73">
        <v>555562320</v>
      </c>
      <c r="W73">
        <v>2.59</v>
      </c>
      <c r="X73">
        <v>0.14000000000000001</v>
      </c>
      <c r="Y73">
        <v>0.38</v>
      </c>
      <c r="Z73" t="s">
        <v>2752</v>
      </c>
      <c r="AA73" t="s">
        <v>2753</v>
      </c>
      <c r="AB73" t="s">
        <v>2754</v>
      </c>
      <c r="AC73" t="s">
        <v>2755</v>
      </c>
      <c r="AD73" t="s">
        <v>54</v>
      </c>
      <c r="AE73">
        <v>38047133</v>
      </c>
      <c r="AF73" t="s">
        <v>2756</v>
      </c>
      <c r="AG73" t="s">
        <v>2757</v>
      </c>
      <c r="AH73" t="s">
        <v>2758</v>
      </c>
      <c r="AI73" t="s">
        <v>946</v>
      </c>
      <c r="AJ73" t="s">
        <v>2759</v>
      </c>
      <c r="AK73" t="s">
        <v>2760</v>
      </c>
      <c r="AL73" t="s">
        <v>2761</v>
      </c>
      <c r="AM73" t="s">
        <v>54</v>
      </c>
      <c r="AN73" t="s">
        <v>1449</v>
      </c>
      <c r="AO73" t="s">
        <v>1153</v>
      </c>
      <c r="AP73" t="s">
        <v>54</v>
      </c>
      <c r="AQ73" t="s">
        <v>2313</v>
      </c>
      <c r="AR73" t="s">
        <v>54</v>
      </c>
      <c r="AS73" t="s">
        <v>2762</v>
      </c>
      <c r="AT73" t="s">
        <v>2763</v>
      </c>
      <c r="AU73" t="s">
        <v>658</v>
      </c>
      <c r="AV73" t="s">
        <v>2764</v>
      </c>
      <c r="AW73" t="s">
        <v>2765</v>
      </c>
      <c r="AX73" t="s">
        <v>902</v>
      </c>
      <c r="AY73" t="s">
        <v>635</v>
      </c>
      <c r="AZ73" t="s">
        <v>542</v>
      </c>
      <c r="BA73" t="s">
        <v>543</v>
      </c>
      <c r="BB73" t="s">
        <v>544</v>
      </c>
      <c r="BC73" t="s">
        <v>684</v>
      </c>
      <c r="BD73" t="s">
        <v>387</v>
      </c>
      <c r="BE73" t="s">
        <v>338</v>
      </c>
      <c r="BF73" t="s">
        <v>90</v>
      </c>
      <c r="BG73" t="s">
        <v>482</v>
      </c>
      <c r="BH73" t="s">
        <v>2766</v>
      </c>
      <c r="BI73" t="s">
        <v>2767</v>
      </c>
      <c r="BJ73" t="s">
        <v>902</v>
      </c>
      <c r="BK73" t="s">
        <v>124</v>
      </c>
      <c r="BL73" t="s">
        <v>2768</v>
      </c>
      <c r="BM73" t="s">
        <v>684</v>
      </c>
      <c r="BN73">
        <v>4.04</v>
      </c>
      <c r="BO73">
        <v>9.4600000000000009</v>
      </c>
      <c r="BP73">
        <v>9.1300000000000008</v>
      </c>
      <c r="BQ73">
        <v>4.8600000000000003</v>
      </c>
      <c r="BR73">
        <v>16.8</v>
      </c>
      <c r="BS73">
        <v>18.010000000000002</v>
      </c>
      <c r="BT73" t="s">
        <v>2769</v>
      </c>
      <c r="BU73" t="s">
        <v>646</v>
      </c>
      <c r="BV73">
        <v>16.239999999999998</v>
      </c>
      <c r="BW73">
        <v>18.41</v>
      </c>
      <c r="BX73">
        <v>15.87</v>
      </c>
      <c r="BY73">
        <v>2.09</v>
      </c>
      <c r="BZ73">
        <v>6.44</v>
      </c>
      <c r="CA73">
        <v>5.83</v>
      </c>
      <c r="CB73">
        <v>-1.2</v>
      </c>
      <c r="CC73">
        <v>-14.5</v>
      </c>
      <c r="CD73" t="s">
        <v>2770</v>
      </c>
      <c r="CE73" t="s">
        <v>231</v>
      </c>
      <c r="CF73" s="8">
        <v>2.7744360902255636</v>
      </c>
      <c r="CG73" s="9">
        <v>-0.76897156120670873</v>
      </c>
      <c r="CH73" s="8">
        <v>-0.78612130880355835</v>
      </c>
      <c r="CI73" s="8">
        <v>0.15687413513660431</v>
      </c>
      <c r="CJ73" s="8">
        <v>9.6767343580722809E-2</v>
      </c>
      <c r="CK73" s="8">
        <v>-0.15583479404449463</v>
      </c>
      <c r="CL73" s="8">
        <v>5.2930057048797607E-2</v>
      </c>
      <c r="CM73" s="9">
        <v>-0.67819148302078247</v>
      </c>
      <c r="CN73" s="9">
        <v>0.29209622740745544</v>
      </c>
      <c r="CO73" s="9">
        <v>-6.8259383551776409E-3</v>
      </c>
      <c r="CP73" s="9">
        <v>8.9219331741333008E-2</v>
      </c>
      <c r="CQ73" s="9">
        <v>0.14468085765838623</v>
      </c>
      <c r="CR73">
        <v>10.410221451104102</v>
      </c>
      <c r="CS73">
        <v>0.81920635080217308</v>
      </c>
      <c r="CT73">
        <v>1.8242424242424242</v>
      </c>
      <c r="CU73" s="8">
        <v>-0.12707691341638566</v>
      </c>
      <c r="CV73" s="9">
        <v>-3.1804200913757089E-2</v>
      </c>
      <c r="CW73">
        <v>0.06</v>
      </c>
      <c r="CX73">
        <v>37.413499999999999</v>
      </c>
      <c r="CY73" t="s">
        <v>2771</v>
      </c>
      <c r="CZ73">
        <v>-0.12707691341638566</v>
      </c>
      <c r="DA73">
        <v>12.471166666666667</v>
      </c>
      <c r="DB73" t="s">
        <v>2772</v>
      </c>
      <c r="DC73">
        <v>-0.12072306774556638</v>
      </c>
      <c r="DD73">
        <v>6.2355833333333335</v>
      </c>
      <c r="DE73" t="s">
        <v>2773</v>
      </c>
      <c r="DF73">
        <v>-0.11182768380641939</v>
      </c>
      <c r="DG73">
        <v>3.7413500000000002</v>
      </c>
      <c r="DH73" t="s">
        <v>2774</v>
      </c>
      <c r="DI73">
        <v>-0.10166153073310853</v>
      </c>
      <c r="DJ73">
        <v>1.8706750000000001</v>
      </c>
      <c r="DK73" t="s">
        <v>2775</v>
      </c>
      <c r="DL73">
        <v>-8.895383939146996E-2</v>
      </c>
      <c r="DM73">
        <v>121000000</v>
      </c>
      <c r="DN73">
        <v>-0.12707691341638566</v>
      </c>
      <c r="DO73">
        <v>4527033500</v>
      </c>
      <c r="DP73">
        <v>457368500.00000024</v>
      </c>
      <c r="DQ73">
        <v>4468</v>
      </c>
      <c r="DR73">
        <v>2.9015130036419494</v>
      </c>
      <c r="DS73">
        <v>-0.7371673602929516</v>
      </c>
      <c r="DT73" s="10">
        <v>-0.73999999999999988</v>
      </c>
      <c r="DU73">
        <v>-0.62333333333333341</v>
      </c>
      <c r="DV73">
        <v>-1.3633333333333333</v>
      </c>
      <c r="DW73">
        <v>-2.145</v>
      </c>
      <c r="DX73">
        <v>0.2721324786324773</v>
      </c>
      <c r="DY73">
        <v>-2.0119092094017095</v>
      </c>
      <c r="DZ73">
        <v>2900</v>
      </c>
      <c r="EA73">
        <v>-2.0051505582735376</v>
      </c>
      <c r="EB73">
        <v>2</v>
      </c>
      <c r="EC73">
        <v>1.7296889393074749E-2</v>
      </c>
      <c r="ED73">
        <v>0.21059743576562212</v>
      </c>
      <c r="EE73" s="13">
        <v>2.4209999999999999E-2</v>
      </c>
      <c r="EF73">
        <v>4.691E-2</v>
      </c>
      <c r="EG73">
        <v>19.082132478632477</v>
      </c>
      <c r="EH73">
        <v>-1</v>
      </c>
      <c r="EI73">
        <v>0</v>
      </c>
      <c r="EJ73">
        <v>0</v>
      </c>
      <c r="EK73" s="12">
        <v>45470</v>
      </c>
      <c r="EL73" s="14">
        <v>1.19</v>
      </c>
      <c r="EM73" s="14">
        <v>-4.0599999999999996</v>
      </c>
      <c r="EN73">
        <v>1.39</v>
      </c>
      <c r="EO73">
        <v>2.81</v>
      </c>
      <c r="EP73">
        <v>-2.27</v>
      </c>
    </row>
    <row r="74" spans="1:146" ht="96" x14ac:dyDescent="0.25">
      <c r="A74"/>
      <c r="B74"/>
      <c r="C74" s="5" t="str">
        <f>""&amp;CHAR(10)&amp;Basic_Fundamental_Information_Constructure(F74)&amp;CHAR(10)&amp;Basic_Fundamental_Information_Concatenate("")</f>
        <v xml:space="preserve">
市值99.16667亿, 利润2.40亿; PE13.32; 平均PE27.06; 平均PEG2.79, PB2.43; ROIC10.4233%; ROE15.0133%; 股利率5.4902%; 毛利11.08%; 净利3.9933%; 上一年度营收增-83.07%, 利润增-47.83%; 当季营收增1659.33%, 利润增916.56%; 过往5年营收增-9.71%, 利润增-4.5%
Income profile:
</v>
      </c>
      <c r="D74" t="s">
        <v>2776</v>
      </c>
      <c r="E74" t="s">
        <v>2777</v>
      </c>
      <c r="F74">
        <v>12.75</v>
      </c>
      <c r="G74">
        <v>1.92</v>
      </c>
      <c r="H74" t="s">
        <v>2778</v>
      </c>
      <c r="I74">
        <v>9916667000</v>
      </c>
      <c r="J74">
        <v>13.32</v>
      </c>
      <c r="K74">
        <v>2.4300000000000002</v>
      </c>
      <c r="L74" t="s">
        <v>53</v>
      </c>
      <c r="M74" t="s">
        <v>2779</v>
      </c>
      <c r="N74" t="s">
        <v>2780</v>
      </c>
      <c r="O74" t="s">
        <v>2781</v>
      </c>
      <c r="P74" s="3">
        <v>25.01</v>
      </c>
      <c r="Q74" t="s">
        <v>2782</v>
      </c>
      <c r="R74">
        <v>272464190</v>
      </c>
      <c r="S74">
        <v>0.1615</v>
      </c>
      <c r="T74" t="s">
        <v>824</v>
      </c>
      <c r="U74">
        <v>586677800</v>
      </c>
      <c r="V74">
        <v>777777800</v>
      </c>
      <c r="W74">
        <v>1.67</v>
      </c>
      <c r="X74">
        <v>0.96</v>
      </c>
      <c r="Y74">
        <v>4.33</v>
      </c>
      <c r="Z74" t="s">
        <v>2783</v>
      </c>
      <c r="AA74" t="s">
        <v>2784</v>
      </c>
      <c r="AB74" t="s">
        <v>258</v>
      </c>
      <c r="AC74" t="s">
        <v>2785</v>
      </c>
      <c r="AD74" t="s">
        <v>54</v>
      </c>
      <c r="AE74">
        <v>14860478</v>
      </c>
      <c r="AF74" t="s">
        <v>2786</v>
      </c>
      <c r="AG74" t="s">
        <v>2787</v>
      </c>
      <c r="AH74" t="s">
        <v>2788</v>
      </c>
      <c r="AI74" t="s">
        <v>2789</v>
      </c>
      <c r="AJ74" t="s">
        <v>2790</v>
      </c>
      <c r="AK74" t="s">
        <v>54</v>
      </c>
      <c r="AL74" t="s">
        <v>2791</v>
      </c>
      <c r="AM74" t="s">
        <v>54</v>
      </c>
      <c r="AN74">
        <v>0</v>
      </c>
      <c r="AO74" t="s">
        <v>54</v>
      </c>
      <c r="AP74" t="s">
        <v>54</v>
      </c>
      <c r="AQ74" t="s">
        <v>1332</v>
      </c>
      <c r="AR74" t="s">
        <v>2792</v>
      </c>
      <c r="AS74" t="s">
        <v>282</v>
      </c>
      <c r="AT74" t="s">
        <v>54</v>
      </c>
      <c r="AU74" t="s">
        <v>414</v>
      </c>
      <c r="AV74" t="s">
        <v>2793</v>
      </c>
      <c r="AW74" t="s">
        <v>2794</v>
      </c>
      <c r="AX74" t="s">
        <v>2795</v>
      </c>
      <c r="AY74" t="s">
        <v>2796</v>
      </c>
      <c r="AZ74" t="s">
        <v>2797</v>
      </c>
      <c r="BA74" t="s">
        <v>2798</v>
      </c>
      <c r="BB74" t="s">
        <v>2799</v>
      </c>
      <c r="BC74" t="s">
        <v>1856</v>
      </c>
      <c r="BD74" t="s">
        <v>909</v>
      </c>
      <c r="BE74" t="s">
        <v>932</v>
      </c>
      <c r="BF74" t="s">
        <v>208</v>
      </c>
      <c r="BG74" t="s">
        <v>1069</v>
      </c>
      <c r="BH74" t="s">
        <v>2800</v>
      </c>
      <c r="BI74" t="s">
        <v>200</v>
      </c>
      <c r="BJ74" t="s">
        <v>2795</v>
      </c>
      <c r="BK74" t="s">
        <v>2801</v>
      </c>
      <c r="BL74" t="s">
        <v>2802</v>
      </c>
      <c r="BM74" t="s">
        <v>1856</v>
      </c>
      <c r="BN74">
        <v>11.79</v>
      </c>
      <c r="BO74">
        <v>9.84</v>
      </c>
      <c r="BP74">
        <v>9.64</v>
      </c>
      <c r="BQ74">
        <v>16.670000000000002</v>
      </c>
      <c r="BR74">
        <v>14.11</v>
      </c>
      <c r="BS74">
        <v>14.26</v>
      </c>
      <c r="BT74" t="s">
        <v>880</v>
      </c>
      <c r="BU74" t="s">
        <v>1030</v>
      </c>
      <c r="BV74">
        <v>10.68</v>
      </c>
      <c r="BW74">
        <v>11.22</v>
      </c>
      <c r="BX74">
        <v>11.34</v>
      </c>
      <c r="BY74">
        <v>4.29</v>
      </c>
      <c r="BZ74">
        <v>4.1900000000000004</v>
      </c>
      <c r="CA74">
        <v>3.5</v>
      </c>
      <c r="CB74">
        <v>0.16</v>
      </c>
      <c r="CC74" s="8">
        <v>-7</v>
      </c>
      <c r="CD74" s="9" t="s">
        <v>2803</v>
      </c>
      <c r="CE74" s="8" t="s">
        <v>2804</v>
      </c>
      <c r="CF74" s="8">
        <v>16.593314763231199</v>
      </c>
      <c r="CG74" s="8">
        <v>9.1655880399662699</v>
      </c>
      <c r="CH74" s="8">
        <v>-0.83066421747207642</v>
      </c>
      <c r="CI74" s="8">
        <v>5.6121520698070526E-2</v>
      </c>
      <c r="CJ74" s="9">
        <v>0.47226926684379578</v>
      </c>
      <c r="CK74" s="9">
        <v>-0.15847122669219971</v>
      </c>
      <c r="CL74" s="9">
        <v>-2.4732895195484161E-2</v>
      </c>
      <c r="CM74" s="9">
        <v>-0.47826087474822998</v>
      </c>
      <c r="CN74" s="9">
        <v>0.26373627781867981</v>
      </c>
      <c r="CO74">
        <v>5.5248620919883251E-3</v>
      </c>
      <c r="CP74">
        <v>-9.9502488970756531E-2</v>
      </c>
      <c r="CQ74">
        <v>8.3557948470115662E-2</v>
      </c>
      <c r="CR74" s="8">
        <v>27.057754433833562</v>
      </c>
      <c r="CS74" s="9">
        <v>2.7867153004824323</v>
      </c>
      <c r="CT74">
        <v>5.4901960784313726</v>
      </c>
      <c r="CU74">
        <v>-9.7095510363578802E-2</v>
      </c>
      <c r="CV74">
        <v>-4.498885506764054E-2</v>
      </c>
      <c r="CW74">
        <v>0.06</v>
      </c>
      <c r="CX74">
        <v>34.986112499999997</v>
      </c>
      <c r="CY74" t="s">
        <v>2805</v>
      </c>
      <c r="CZ74">
        <v>-9.7095510363578802E-2</v>
      </c>
      <c r="DA74">
        <v>11.6620375</v>
      </c>
      <c r="DB74" t="s">
        <v>2806</v>
      </c>
      <c r="DC74">
        <v>-9.2240734845399852E-2</v>
      </c>
      <c r="DD74">
        <v>5.8310187500000001</v>
      </c>
      <c r="DE74" t="s">
        <v>2807</v>
      </c>
      <c r="DF74">
        <v>-8.544404911994935E-2</v>
      </c>
      <c r="DG74">
        <v>3.4986112500000002</v>
      </c>
      <c r="DH74" t="s">
        <v>2808</v>
      </c>
      <c r="DI74">
        <v>-7.7676408290863044E-2</v>
      </c>
      <c r="DJ74">
        <v>1.7493056250000001</v>
      </c>
      <c r="DK74" t="s">
        <v>2809</v>
      </c>
      <c r="DL74">
        <v>-6.7966857254505159E-2</v>
      </c>
      <c r="DM74">
        <v>240000000</v>
      </c>
      <c r="DN74">
        <v>-9.7095510363578802E-2</v>
      </c>
      <c r="DO74">
        <v>8396667000</v>
      </c>
      <c r="DP74">
        <v>3852550900</v>
      </c>
      <c r="DQ74" s="10">
        <v>4539</v>
      </c>
      <c r="DR74">
        <v>16.690410273594779</v>
      </c>
      <c r="DS74">
        <v>9.2105768950339098</v>
      </c>
      <c r="DT74">
        <v>-0.75666666666666671</v>
      </c>
      <c r="DU74">
        <v>-1.6666666666666663E-2</v>
      </c>
      <c r="DV74">
        <v>-0.77333333333333343</v>
      </c>
      <c r="DW74">
        <v>-2.0699999999999998</v>
      </c>
      <c r="DX74">
        <v>0.42514759749554115</v>
      </c>
      <c r="DY74">
        <v>-2.0087603318246878</v>
      </c>
      <c r="DZ74">
        <v>3735</v>
      </c>
      <c r="EA74">
        <v>-2.0023572321446079</v>
      </c>
      <c r="EB74" s="13">
        <v>2</v>
      </c>
      <c r="EC74" s="13">
        <v>1.3872213889365317E-2</v>
      </c>
      <c r="ED74">
        <v>0.11084682540437642</v>
      </c>
      <c r="EE74">
        <v>1.07111</v>
      </c>
      <c r="EF74">
        <v>1.0777099999999999</v>
      </c>
      <c r="EG74">
        <v>30.125147597495541</v>
      </c>
      <c r="EH74" s="12" t="s">
        <v>647</v>
      </c>
      <c r="EI74">
        <v>0</v>
      </c>
      <c r="EJ74">
        <v>0</v>
      </c>
      <c r="EK74">
        <v>45470</v>
      </c>
      <c r="EL74">
        <v>-0.48</v>
      </c>
      <c r="EM74">
        <v>-2.52</v>
      </c>
      <c r="EN74">
        <v>-1.54</v>
      </c>
      <c r="EO74">
        <v>4.6500000000000004</v>
      </c>
      <c r="EP74">
        <v>-0.66</v>
      </c>
    </row>
  </sheetData>
  <autoFilter ref="BU1:BU73"/>
  <phoneticPr fontId="1" type="noConversion"/>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asic_Fundamental_Tabel_Update_Buttom &quot;服装家纺&quot;,&quot;&quot;'" altText="更新基本面按钮_x000a_">
                <anchor moveWithCells="1" sizeWithCells="1">
                  <from>
                    <xdr:col>147</xdr:col>
                    <xdr:colOff>304800</xdr:colOff>
                    <xdr:row>0</xdr:row>
                    <xdr:rowOff>76200</xdr:rowOff>
                  </from>
                  <to>
                    <xdr:col>147</xdr:col>
                    <xdr:colOff>1314450</xdr:colOff>
                    <xdr:row>0</xdr:row>
                    <xdr:rowOff>387350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6"/>
  <sheetViews>
    <sheetView workbookViewId="0">
      <selection activeCell="A3" sqref="A3"/>
    </sheetView>
  </sheetViews>
  <sheetFormatPr defaultRowHeight="14" x14ac:dyDescent="0.25"/>
  <sheetData>
    <row r="1" spans="1:30" x14ac:dyDescent="0.25">
      <c r="A1">
        <v>1</v>
      </c>
      <c r="B1">
        <f>A1+A1*$A$2</f>
        <v>1.1499999999999999</v>
      </c>
      <c r="C1">
        <f t="shared" ref="C1:AD1" si="0">B1+B1*$A$2</f>
        <v>1.3224999999999998</v>
      </c>
      <c r="D1">
        <f t="shared" si="0"/>
        <v>1.5208749999999998</v>
      </c>
      <c r="E1">
        <f t="shared" si="0"/>
        <v>1.7490062499999997</v>
      </c>
      <c r="F1">
        <f t="shared" si="0"/>
        <v>2.0113571874999998</v>
      </c>
      <c r="G1">
        <f t="shared" si="0"/>
        <v>2.313060765625</v>
      </c>
      <c r="H1">
        <f t="shared" si="0"/>
        <v>2.66001988046875</v>
      </c>
      <c r="I1">
        <f t="shared" si="0"/>
        <v>3.0590228625390625</v>
      </c>
      <c r="J1">
        <f t="shared" si="0"/>
        <v>3.5178762919199218</v>
      </c>
      <c r="K1">
        <f t="shared" si="0"/>
        <v>4.0455577357079102</v>
      </c>
      <c r="L1">
        <f t="shared" si="0"/>
        <v>4.6523913960640968</v>
      </c>
      <c r="M1">
        <f t="shared" si="0"/>
        <v>5.3502501054737115</v>
      </c>
      <c r="N1">
        <f t="shared" si="0"/>
        <v>6.1527876212947685</v>
      </c>
      <c r="O1">
        <f t="shared" si="0"/>
        <v>7.0757057644889834</v>
      </c>
      <c r="P1">
        <f t="shared" si="0"/>
        <v>8.1370616291623303</v>
      </c>
      <c r="Q1">
        <f t="shared" si="0"/>
        <v>9.3576208735366802</v>
      </c>
      <c r="R1">
        <f t="shared" si="0"/>
        <v>10.761264004567183</v>
      </c>
      <c r="S1">
        <f t="shared" si="0"/>
        <v>12.375453605252261</v>
      </c>
      <c r="T1">
        <f t="shared" si="0"/>
        <v>14.2317716460401</v>
      </c>
      <c r="U1">
        <f t="shared" si="0"/>
        <v>16.366537392946114</v>
      </c>
      <c r="V1">
        <f t="shared" si="0"/>
        <v>18.82151800188803</v>
      </c>
      <c r="W1">
        <f t="shared" si="0"/>
        <v>21.644745702171235</v>
      </c>
      <c r="X1">
        <f t="shared" si="0"/>
        <v>24.891457557496921</v>
      </c>
      <c r="Y1">
        <f t="shared" si="0"/>
        <v>28.625176191121458</v>
      </c>
      <c r="Z1">
        <f t="shared" si="0"/>
        <v>32.918952619789678</v>
      </c>
      <c r="AA1">
        <f t="shared" si="0"/>
        <v>37.856795512758133</v>
      </c>
      <c r="AB1">
        <f t="shared" si="0"/>
        <v>43.535314839671855</v>
      </c>
      <c r="AC1">
        <f t="shared" si="0"/>
        <v>50.065612065622631</v>
      </c>
      <c r="AD1">
        <f t="shared" si="0"/>
        <v>57.575453875466025</v>
      </c>
    </row>
    <row r="2" spans="1:30" x14ac:dyDescent="0.25">
      <c r="A2">
        <v>0.15</v>
      </c>
      <c r="B2" t="s">
        <v>2</v>
      </c>
    </row>
    <row r="3" spans="1:30" s="2" customFormat="1" x14ac:dyDescent="0.25">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x14ac:dyDescent="0.25">
      <c r="A4">
        <v>0.5</v>
      </c>
      <c r="B4" t="s">
        <v>0</v>
      </c>
    </row>
    <row r="5" spans="1:30" x14ac:dyDescent="0.25">
      <c r="A5" s="1">
        <v>1</v>
      </c>
      <c r="B5" s="1">
        <f>A5*$A$4+A5</f>
        <v>1.5</v>
      </c>
      <c r="C5" s="1">
        <f t="shared" ref="C5:AD5" si="1">B5*$A$4+B5</f>
        <v>2.25</v>
      </c>
      <c r="D5" s="1">
        <f t="shared" si="1"/>
        <v>3.375</v>
      </c>
      <c r="E5" s="1">
        <f t="shared" si="1"/>
        <v>5.0625</v>
      </c>
      <c r="F5" s="1">
        <f t="shared" si="1"/>
        <v>7.59375</v>
      </c>
      <c r="G5" s="1">
        <f t="shared" si="1"/>
        <v>11.390625</v>
      </c>
      <c r="H5" s="1">
        <f t="shared" si="1"/>
        <v>17.0859375</v>
      </c>
      <c r="I5" s="1">
        <f t="shared" si="1"/>
        <v>25.62890625</v>
      </c>
      <c r="J5" s="1">
        <f t="shared" si="1"/>
        <v>38.443359375</v>
      </c>
      <c r="K5" s="1">
        <f t="shared" si="1"/>
        <v>57.6650390625</v>
      </c>
      <c r="L5" s="1">
        <f t="shared" si="1"/>
        <v>86.49755859375</v>
      </c>
      <c r="M5" s="1">
        <f t="shared" si="1"/>
        <v>129.746337890625</v>
      </c>
      <c r="N5" s="1">
        <f t="shared" si="1"/>
        <v>194.6195068359375</v>
      </c>
      <c r="O5" s="1">
        <f t="shared" si="1"/>
        <v>291.92926025390625</v>
      </c>
      <c r="P5">
        <f t="shared" si="1"/>
        <v>437.89389038085937</v>
      </c>
      <c r="Q5">
        <f t="shared" si="1"/>
        <v>656.84083557128906</v>
      </c>
      <c r="R5">
        <f t="shared" si="1"/>
        <v>985.26125335693359</v>
      </c>
      <c r="S5" s="1">
        <f t="shared" si="1"/>
        <v>1477.8918800354004</v>
      </c>
      <c r="T5">
        <f t="shared" si="1"/>
        <v>2216.8378200531006</v>
      </c>
      <c r="U5">
        <f t="shared" si="1"/>
        <v>3325.2567300796509</v>
      </c>
      <c r="V5">
        <f t="shared" si="1"/>
        <v>4987.8850951194763</v>
      </c>
      <c r="W5">
        <f t="shared" si="1"/>
        <v>7481.8276426792145</v>
      </c>
      <c r="X5">
        <f t="shared" si="1"/>
        <v>11222.741464018822</v>
      </c>
      <c r="Y5">
        <f t="shared" si="1"/>
        <v>16834.112196028233</v>
      </c>
      <c r="Z5">
        <f t="shared" si="1"/>
        <v>25251.168294042349</v>
      </c>
      <c r="AA5">
        <f t="shared" si="1"/>
        <v>37876.752441063523</v>
      </c>
      <c r="AB5">
        <f t="shared" si="1"/>
        <v>56815.128661595285</v>
      </c>
      <c r="AC5">
        <f t="shared" si="1"/>
        <v>85222.692992392927</v>
      </c>
      <c r="AD5">
        <f t="shared" si="1"/>
        <v>127834.03948858939</v>
      </c>
    </row>
    <row r="6" spans="1:30" x14ac:dyDescent="0.25">
      <c r="A6">
        <v>15</v>
      </c>
      <c r="B6" t="s">
        <v>1</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服装家纺</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2024-07-09T15:20:52Z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