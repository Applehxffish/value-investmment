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001Xiaofeng\value-investment-backup\估值分析\SW1L交通运输\"/>
    </mc:Choice>
  </mc:AlternateContent>
  <bookViews>
    <workbookView xWindow="-110" yWindow="-110" windowWidth="23260" windowHeight="13180"/>
  </bookViews>
  <sheets>
    <sheet name="机场航运" sheetId="7" r:id="rId1"/>
    <sheet name="估值-增速与年化收益" sheetId="14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" i="14" l="1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B1" i="14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C14" i="7"/>
  <c r="C13" i="7"/>
  <c r="C12" i="7"/>
  <c r="C11" i="7"/>
  <c r="C10" i="7"/>
  <c r="C9" i="7"/>
  <c r="C8" i="7"/>
  <c r="C7" i="7"/>
  <c r="C6" i="7"/>
  <c r="C5" i="7"/>
  <c r="C4" i="7"/>
  <c r="C3" i="7"/>
  <c r="C2" i="7"/>
</calcChain>
</file>

<file path=xl/sharedStrings.xml><?xml version="1.0" encoding="utf-8"?>
<sst xmlns="http://schemas.openxmlformats.org/spreadsheetml/2006/main" count="931" uniqueCount="689">
  <si>
    <t>&lt;-增速</t>
    <phoneticPr fontId="1" type="noConversion"/>
  </si>
  <si>
    <t>&lt;-估值</t>
    <phoneticPr fontId="1" type="noConversion"/>
  </si>
  <si>
    <t>&lt;-折合年化收益</t>
    <phoneticPr fontId="1" type="noConversion"/>
  </si>
  <si>
    <t>现价</t>
  </si>
  <si>
    <t>市净率</t>
  </si>
  <si>
    <t>中信海直</t>
  </si>
  <si>
    <t>华夏航空</t>
  </si>
  <si>
    <t>上海机场</t>
  </si>
  <si>
    <t>深圳机场</t>
  </si>
  <si>
    <t>白云机场</t>
  </si>
  <si>
    <t>南方航空</t>
  </si>
  <si>
    <t>春秋航空</t>
  </si>
  <si>
    <t>中国国航</t>
  </si>
  <si>
    <t>厦门空港</t>
  </si>
  <si>
    <t>吉祥航空</t>
  </si>
  <si>
    <t>--</t>
  </si>
  <si>
    <t>总市值</t>
  </si>
  <si>
    <t>TTM市盈率</t>
  </si>
  <si>
    <t>所属行业</t>
  </si>
  <si>
    <t>SH600004</t>
  </si>
  <si>
    <t>机场航运</t>
  </si>
  <si>
    <t>SH600115</t>
  </si>
  <si>
    <t>SZ000089</t>
  </si>
  <si>
    <t>SH600029</t>
  </si>
  <si>
    <t>SH600009</t>
  </si>
  <si>
    <t>SH603885</t>
  </si>
  <si>
    <t>SH601021</t>
  </si>
  <si>
    <t>SZ000099</t>
  </si>
  <si>
    <t>SH601111</t>
  </si>
  <si>
    <t>SZ002928</t>
  </si>
  <si>
    <t>SH600897</t>
  </si>
  <si>
    <t>SH600221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</si>
  <si>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</si>
  <si>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</si>
  <si>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</si>
  <si>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</si>
  <si>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</si>
  <si>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</si>
  <si>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</si>
  <si>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</si>
  <si>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</si>
  <si>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</si>
  <si>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</si>
  <si>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38.07亿</t>
  </si>
  <si>
    <t>5.94亿</t>
  </si>
  <si>
    <t>15.67亿</t>
  </si>
  <si>
    <t>2.11亿</t>
  </si>
  <si>
    <t>54.07亿</t>
  </si>
  <si>
    <t>5.02亿</t>
  </si>
  <si>
    <t>0亿</t>
  </si>
  <si>
    <t>109.45亿</t>
  </si>
  <si>
    <t>1543.22亿</t>
  </si>
  <si>
    <t>1208.60亿</t>
  </si>
  <si>
    <t>723.89亿</t>
  </si>
  <si>
    <t>17.85亿</t>
  </si>
  <si>
    <t>5.18亿</t>
  </si>
  <si>
    <t>148.04亿</t>
  </si>
  <si>
    <t>18.41亿</t>
  </si>
  <si>
    <t>1361.81亿</t>
  </si>
  <si>
    <t>64.09亿</t>
  </si>
  <si>
    <t>167.49亿</t>
  </si>
  <si>
    <t>9.94亿</t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</si>
  <si>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</si>
  <si>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</si>
  <si>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</si>
  <si>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</si>
  <si>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</si>
  <si>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</si>
  <si>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</si>
  <si>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</si>
  <si>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</si>
  <si>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投入资本回报率roic%[20191231]</t>
  </si>
  <si>
    <t>净资产收益率%[20191231]</t>
  </si>
  <si>
    <t>销售毛利率%[20191231]</t>
  </si>
  <si>
    <t>销售净利率%[20191231]</t>
  </si>
  <si>
    <t>29.97亿</t>
  </si>
  <si>
    <t>2807.24万</t>
  </si>
  <si>
    <t>35.99亿</t>
  </si>
  <si>
    <t>6.68亿</t>
  </si>
  <si>
    <t>15.58亿</t>
  </si>
  <si>
    <t>2.18亿</t>
  </si>
  <si>
    <t>14.26亿</t>
  </si>
  <si>
    <t>1.50亿</t>
  </si>
  <si>
    <t>42.60亿</t>
  </si>
  <si>
    <t>2.47亿</t>
  </si>
  <si>
    <t>52.25亿</t>
  </si>
  <si>
    <t>12.25亿</t>
  </si>
  <si>
    <t>82.39亿</t>
  </si>
  <si>
    <t>77.47亿</t>
  </si>
  <si>
    <t>67.62亿</t>
  </si>
  <si>
    <t>43.03亿</t>
  </si>
  <si>
    <t>93.13亿</t>
  </si>
  <si>
    <t>925.61亿</t>
  </si>
  <si>
    <t>1436.23亿</t>
  </si>
  <si>
    <t>586.39亿</t>
  </si>
  <si>
    <t>1149.30亿</t>
  </si>
  <si>
    <t>294.01亿</t>
  </si>
  <si>
    <t>677.64亿</t>
  </si>
  <si>
    <t>1.71亿</t>
  </si>
  <si>
    <t>17.77亿</t>
  </si>
  <si>
    <t>5.06亿</t>
  </si>
  <si>
    <t>93.73亿</t>
  </si>
  <si>
    <t>-5.88亿</t>
  </si>
  <si>
    <t>131.14亿</t>
  </si>
  <si>
    <t>15.03亿</t>
  </si>
  <si>
    <t>695.04亿</t>
  </si>
  <si>
    <t>-144.09亿</t>
  </si>
  <si>
    <t>1367.74亿</t>
  </si>
  <si>
    <t>73.36亿</t>
  </si>
  <si>
    <t>101.02亿</t>
  </si>
  <si>
    <t>-4.74亿</t>
  </si>
  <si>
    <t>143.66亿</t>
  </si>
  <si>
    <t>12.33亿</t>
  </si>
  <si>
    <t>中国东航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</si>
  <si>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</si>
  <si>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</si>
  <si>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</si>
  <si>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</si>
  <si>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</si>
  <si>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</si>
  <si>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</si>
  <si>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</si>
  <si>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</si>
  <si>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</si>
  <si>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</si>
  <si>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</si>
  <si>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</si>
  <si>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销售毛利率%[20201231]</t>
  </si>
  <si>
    <t>销售净利率%[20201231]</t>
  </si>
  <si>
    <t>代码</t>
  </si>
  <si>
    <t>流通股本</t>
  </si>
  <si>
    <t>净利润[20201231]</t>
  </si>
  <si>
    <t>投入资本回报率roic%[20201231]</t>
  </si>
  <si>
    <t>净资产收益率%[20201231]</t>
  </si>
  <si>
    <t>33.06亿</t>
  </si>
  <si>
    <t>-3443.91万</t>
  </si>
  <si>
    <t>16.81亿</t>
  </si>
  <si>
    <t>2.46亿</t>
  </si>
  <si>
    <t>1.63亿</t>
  </si>
  <si>
    <t>SH600515</t>
  </si>
  <si>
    <t>45.25亿</t>
  </si>
  <si>
    <t>4.63亿</t>
  </si>
  <si>
    <t>63.19亿</t>
  </si>
  <si>
    <t>115.30亿</t>
  </si>
  <si>
    <t>124.33亿</t>
  </si>
  <si>
    <t>-77.65亿</t>
  </si>
  <si>
    <t>-15.15亿</t>
  </si>
  <si>
    <t>17.35亿</t>
  </si>
  <si>
    <t>12.47亿</t>
  </si>
  <si>
    <t>1.42亿</t>
  </si>
  <si>
    <t>108.58亿</t>
  </si>
  <si>
    <t>3911.19万</t>
  </si>
  <si>
    <t>745.32亿</t>
  </si>
  <si>
    <t>-166.42亿</t>
  </si>
  <si>
    <t>117.67亿</t>
  </si>
  <si>
    <t xml:space="preserve">    名称</t>
  </si>
  <si>
    <t>LY营业总收入[20211231]</t>
  </si>
  <si>
    <t>净利润?</t>
  </si>
  <si>
    <t>权益乘数[20220630]</t>
  </si>
  <si>
    <t>总资产周转率[20220630]</t>
  </si>
  <si>
    <t>净利润／营业总收入%[20220630]</t>
  </si>
  <si>
    <t>营业总成本[20220630]</t>
  </si>
  <si>
    <t>营业成本[20220630]</t>
  </si>
  <si>
    <t>管理费用[20220630]</t>
  </si>
  <si>
    <t>研发费用总额[20220630]</t>
  </si>
  <si>
    <t>扣非净利润</t>
  </si>
  <si>
    <t>营业总收入[20201231]</t>
  </si>
  <si>
    <t>投入资本回报率roic%[20211231]</t>
  </si>
  <si>
    <t>净资产收益率%[20211231]</t>
  </si>
  <si>
    <t>细分行业</t>
  </si>
  <si>
    <t>单季营收增速</t>
  </si>
  <si>
    <t>单季利润增速</t>
  </si>
  <si>
    <t>市销率</t>
    <phoneticPr fontId="1" type="noConversion"/>
  </si>
  <si>
    <t>扣非对比净利润</t>
    <phoneticPr fontId="1" type="noConversion"/>
  </si>
  <si>
    <t>过往营收增速均值</t>
    <phoneticPr fontId="1" type="noConversion"/>
  </si>
  <si>
    <t>过往利润增速均值</t>
    <phoneticPr fontId="1" type="noConversion"/>
  </si>
  <si>
    <t>1年自由现金流折现</t>
    <phoneticPr fontId="1" type="noConversion"/>
  </si>
  <si>
    <t>1增速</t>
    <phoneticPr fontId="1" type="noConversion"/>
  </si>
  <si>
    <t>3增速</t>
    <phoneticPr fontId="1" type="noConversion"/>
  </si>
  <si>
    <t>6年自由现金流折现</t>
    <phoneticPr fontId="1" type="noConversion"/>
  </si>
  <si>
    <t>6增速</t>
    <phoneticPr fontId="1" type="noConversion"/>
  </si>
  <si>
    <t>20年自由现金流折现</t>
    <phoneticPr fontId="1" type="noConversion"/>
  </si>
  <si>
    <t>营收成长策略</t>
    <phoneticPr fontId="1" type="noConversion"/>
  </si>
  <si>
    <t>利润成长策略</t>
    <phoneticPr fontId="1" type="noConversion"/>
  </si>
  <si>
    <t>营收和利润加权</t>
    <phoneticPr fontId="1" type="noConversion"/>
  </si>
  <si>
    <t>价格变动策略</t>
    <phoneticPr fontId="1" type="noConversion"/>
  </si>
  <si>
    <t>量价齐升策略</t>
    <phoneticPr fontId="1" type="noConversion"/>
  </si>
  <si>
    <t>综合策略</t>
    <phoneticPr fontId="1" type="noConversion"/>
  </si>
  <si>
    <t>机会区域号</t>
    <phoneticPr fontId="1" type="noConversion"/>
  </si>
  <si>
    <t>5日成交换手率</t>
    <phoneticPr fontId="1" type="noConversion"/>
  </si>
  <si>
    <t>30日成交换手率</t>
    <phoneticPr fontId="1" type="noConversion"/>
  </si>
  <si>
    <t>今日价格累积指数</t>
    <phoneticPr fontId="1" type="noConversion"/>
  </si>
  <si>
    <t>成交量异动策略</t>
    <phoneticPr fontId="1" type="noConversion"/>
  </si>
  <si>
    <t>价格右侧初期策略</t>
    <phoneticPr fontId="1" type="noConversion"/>
  </si>
  <si>
    <t>N-4</t>
    <phoneticPr fontId="1" type="noConversion"/>
  </si>
  <si>
    <t>N-2</t>
    <phoneticPr fontId="1" type="noConversion"/>
  </si>
  <si>
    <t>N</t>
    <phoneticPr fontId="1" type="noConversion"/>
  </si>
  <si>
    <t>机场</t>
  </si>
  <si>
    <t>扭亏</t>
  </si>
  <si>
    <t>航空运输</t>
  </si>
  <si>
    <t>1-0</t>
  </si>
  <si>
    <t>涨幅</t>
  </si>
  <si>
    <t>成交量[20221212]</t>
  </si>
  <si>
    <t>营业收入(同比增长率) %[20220930]</t>
  </si>
  <si>
    <t>LY净利润[20211231]</t>
  </si>
  <si>
    <t>销售费用[20220930]</t>
  </si>
  <si>
    <t>其他收入[20220930]</t>
  </si>
  <si>
    <t>货币资金[20220930]</t>
  </si>
  <si>
    <t>应收票据[20220930]</t>
  </si>
  <si>
    <t>固定资产[20220930]</t>
  </si>
  <si>
    <t>在建工程[20220930]</t>
  </si>
  <si>
    <t>短期借款[20220930]</t>
  </si>
  <si>
    <t>应付票据[20220930]</t>
  </si>
  <si>
    <t>应付账款[20220930]</t>
  </si>
  <si>
    <t>预收款项[20220930]</t>
  </si>
  <si>
    <t>流动负债[20220930]</t>
  </si>
  <si>
    <t>长期借款[20220930]</t>
  </si>
  <si>
    <t>经营活动产生的现金流量净额[20220930]</t>
  </si>
  <si>
    <t>投资活动产生的现金流量净额[20220930]</t>
  </si>
  <si>
    <t>筹资活动产生的现金流量净额[20220930]</t>
  </si>
  <si>
    <t>CYLQ营业收入[20220630]</t>
  </si>
  <si>
    <t>LYCQ营业收入[20210930]</t>
  </si>
  <si>
    <t>LYLQ营业收入[20210630]</t>
  </si>
  <si>
    <t>CYLQ净利润[20220630]</t>
  </si>
  <si>
    <t>LYCQ净利润[20210930]</t>
  </si>
  <si>
    <t>LYLQ净利润[20210630]</t>
  </si>
  <si>
    <t>分红明细[20211231]</t>
  </si>
  <si>
    <t>销售毛利率%[20220630]</t>
  </si>
  <si>
    <t>销售净利率%[20220630]</t>
  </si>
  <si>
    <t>区间涨跌幅:前复权%[20221206-20221212]</t>
  </si>
  <si>
    <t>指数@区间涨跌幅:不复权%[20221101-20221212]</t>
  </si>
  <si>
    <t>指数@区间成交量[20221206-20221212]</t>
  </si>
  <si>
    <t>指数@区间成交量[20221101-20221212]</t>
  </si>
  <si>
    <t>股利率</t>
    <phoneticPr fontId="1" type="noConversion"/>
  </si>
  <si>
    <t>折现率</t>
    <phoneticPr fontId="1" type="noConversion"/>
  </si>
  <si>
    <t>3年自由现金流折现</t>
    <phoneticPr fontId="1" type="noConversion"/>
  </si>
  <si>
    <t>10年自由现金流折现</t>
    <phoneticPr fontId="1" type="noConversion"/>
  </si>
  <si>
    <t>10增速</t>
    <phoneticPr fontId="1" type="noConversion"/>
  </si>
  <si>
    <t>承担负债现期溢价</t>
    <phoneticPr fontId="1" type="noConversion"/>
  </si>
  <si>
    <t>清算价格</t>
    <phoneticPr fontId="1" type="noConversion"/>
  </si>
  <si>
    <t>原始顺序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</si>
  <si>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</si>
  <si>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</si>
  <si>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成交量综合策略</t>
    <phoneticPr fontId="1" type="noConversion"/>
  </si>
  <si>
    <t>基本面排序</t>
    <phoneticPr fontId="1" type="noConversion"/>
  </si>
  <si>
    <t>昨日价格累计指数</t>
    <phoneticPr fontId="1" type="noConversion"/>
  </si>
  <si>
    <t>价格箱体形态过滤</t>
    <phoneticPr fontId="1" type="noConversion"/>
  </si>
  <si>
    <t>N日期</t>
    <phoneticPr fontId="1" type="noConversion"/>
  </si>
  <si>
    <t>N-3</t>
    <phoneticPr fontId="1" type="noConversion"/>
  </si>
  <si>
    <t>N-1</t>
    <phoneticPr fontId="1" type="noConversion"/>
  </si>
  <si>
    <t>6.76亿</t>
  </si>
  <si>
    <t>4.16亿</t>
  </si>
  <si>
    <t>39.71亿</t>
  </si>
  <si>
    <t>51.65亿</t>
  </si>
  <si>
    <t>16.95亿</t>
  </si>
  <si>
    <t>不分配不转增</t>
  </si>
  <si>
    <t>1.60亿</t>
  </si>
  <si>
    <t>-1-0</t>
  </si>
  <si>
    <t>海航控股</t>
  </si>
  <si>
    <t>海南机场</t>
  </si>
  <si>
    <t>1.35亿</t>
  </si>
  <si>
    <t>27.13亿</t>
  </si>
  <si>
    <t>656.62万</t>
  </si>
  <si>
    <t>130.54亿</t>
  </si>
  <si>
    <t>112.14亿</t>
  </si>
  <si>
    <t>11.28亿</t>
  </si>
  <si>
    <t>41.65亿</t>
  </si>
  <si>
    <t>3.97亿</t>
  </si>
  <si>
    <t>10.36亿</t>
  </si>
  <si>
    <t>8.93亿</t>
  </si>
  <si>
    <t>351.57万</t>
  </si>
  <si>
    <t>3110.88万</t>
  </si>
  <si>
    <t>28387737亿</t>
  </si>
  <si>
    <t>15.13万</t>
  </si>
  <si>
    <t>70384477亿</t>
  </si>
  <si>
    <t>5.80亿</t>
  </si>
  <si>
    <t>916546090亿</t>
  </si>
  <si>
    <t>3703129200亿</t>
  </si>
  <si>
    <t>7077.72万</t>
  </si>
  <si>
    <t>2417.04万</t>
  </si>
  <si>
    <t>240.76万</t>
  </si>
  <si>
    <t>28.81亿</t>
  </si>
  <si>
    <t>38.40亿</t>
  </si>
  <si>
    <t>5.92亿</t>
  </si>
  <si>
    <t>-3.77亿</t>
  </si>
  <si>
    <t>-2.69亿</t>
  </si>
  <si>
    <t>26.71亿</t>
  </si>
  <si>
    <t>-11.24亿</t>
  </si>
  <si>
    <t>9.07亿</t>
  </si>
  <si>
    <t>-1.08亿</t>
  </si>
  <si>
    <t>10派1元(含税)</t>
  </si>
  <si>
    <t>5704.40万</t>
  </si>
  <si>
    <t>3.96亿</t>
  </si>
  <si>
    <t/>
  </si>
  <si>
    <t>2061.52万</t>
  </si>
  <si>
    <t>10.70亿</t>
  </si>
  <si>
    <t>53.14亿</t>
  </si>
  <si>
    <t>4.57亿</t>
  </si>
  <si>
    <t>19.70亿</t>
  </si>
  <si>
    <t>2.39亿</t>
  </si>
  <si>
    <t>4.05亿</t>
  </si>
  <si>
    <t>3.68亿</t>
  </si>
  <si>
    <t>198.50万</t>
  </si>
  <si>
    <t>2848.71万</t>
  </si>
  <si>
    <t>5.87万</t>
  </si>
  <si>
    <t>83403602亿</t>
  </si>
  <si>
    <t>15.34亿</t>
  </si>
  <si>
    <t>677291050亿</t>
  </si>
  <si>
    <t>2848992000亿</t>
  </si>
  <si>
    <t>9834.17万</t>
  </si>
  <si>
    <t>1.41亿</t>
  </si>
  <si>
    <t>5.38亿</t>
  </si>
  <si>
    <t>100.19万</t>
  </si>
  <si>
    <t>4.24亿</t>
  </si>
  <si>
    <t>-3947.25万</t>
  </si>
  <si>
    <t>-8574.39万</t>
  </si>
  <si>
    <t>17.98亿</t>
  </si>
  <si>
    <t>1.94亿</t>
  </si>
  <si>
    <t>6865.41万</t>
  </si>
  <si>
    <t>10派0.817元(含税)</t>
  </si>
  <si>
    <t>1.29亿</t>
  </si>
  <si>
    <t>16.58亿</t>
  </si>
  <si>
    <t>5-0</t>
  </si>
  <si>
    <t>1202.49万</t>
  </si>
  <si>
    <t>150.92亿</t>
  </si>
  <si>
    <t>31.12亿</t>
  </si>
  <si>
    <t>16.16亿</t>
  </si>
  <si>
    <t>51.51亿</t>
  </si>
  <si>
    <t>-9.65亿</t>
  </si>
  <si>
    <t>18.51亿</t>
  </si>
  <si>
    <t>15.53亿</t>
  </si>
  <si>
    <t>6601.93万</t>
  </si>
  <si>
    <t>5832.59万</t>
  </si>
  <si>
    <t>82364亿</t>
  </si>
  <si>
    <t>81.11万</t>
  </si>
  <si>
    <t>15207730亿</t>
  </si>
  <si>
    <t>13.75亿</t>
  </si>
  <si>
    <t>1050599980亿</t>
  </si>
  <si>
    <t>303.15万</t>
  </si>
  <si>
    <t>3876648200亿</t>
  </si>
  <si>
    <t>12.07亿</t>
  </si>
  <si>
    <t>22.28亿</t>
  </si>
  <si>
    <t>693.63万</t>
  </si>
  <si>
    <t>59.47亿</t>
  </si>
  <si>
    <t>18.22亿</t>
  </si>
  <si>
    <t>4.12亿</t>
  </si>
  <si>
    <t>-2.43亿</t>
  </si>
  <si>
    <t>-6.86亿</t>
  </si>
  <si>
    <t>26.43亿</t>
  </si>
  <si>
    <t>39.65亿</t>
  </si>
  <si>
    <t>47.32亿</t>
  </si>
  <si>
    <t>-19.74亿</t>
  </si>
  <si>
    <t>-1.13亿</t>
  </si>
  <si>
    <t>6.29亿</t>
  </si>
  <si>
    <t>10.45亿</t>
  </si>
  <si>
    <t>-2.76亿</t>
  </si>
  <si>
    <t>5770.83万</t>
  </si>
  <si>
    <t>4.98亿</t>
  </si>
  <si>
    <t>854.49万</t>
  </si>
  <si>
    <t>83.84亿</t>
  </si>
  <si>
    <t>179.91亿</t>
  </si>
  <si>
    <t>16.63亿</t>
  </si>
  <si>
    <t>120.70亿</t>
  </si>
  <si>
    <t>2.00亿</t>
  </si>
  <si>
    <t>27094428亿</t>
  </si>
  <si>
    <t>30.45万</t>
  </si>
  <si>
    <t>186161490亿</t>
  </si>
  <si>
    <t>31.78亿</t>
  </si>
  <si>
    <t>1146388440亿</t>
  </si>
  <si>
    <t>4786396800亿</t>
  </si>
  <si>
    <t>11.71亿</t>
  </si>
  <si>
    <t>7.92亿</t>
  </si>
  <si>
    <t>5759.59万</t>
  </si>
  <si>
    <t>10.87亿</t>
  </si>
  <si>
    <t>-2.24亿</t>
  </si>
  <si>
    <t>-2.14亿</t>
  </si>
  <si>
    <t>-10.71亿</t>
  </si>
  <si>
    <t>64.31亿</t>
  </si>
  <si>
    <t>26.37亿</t>
  </si>
  <si>
    <t>4.42亿</t>
  </si>
  <si>
    <t>9563.31万</t>
  </si>
  <si>
    <t>10派0.747元(含税)</t>
  </si>
  <si>
    <t>6051.20万</t>
  </si>
  <si>
    <t>3.70亿</t>
  </si>
  <si>
    <t>703.53万</t>
  </si>
  <si>
    <t>274.54亿</t>
  </si>
  <si>
    <t>424.87亿</t>
  </si>
  <si>
    <t>30.29亿</t>
  </si>
  <si>
    <t>705.65亿</t>
  </si>
  <si>
    <t>5.15亿</t>
  </si>
  <si>
    <t>123307356亿</t>
  </si>
  <si>
    <t>32.82万</t>
  </si>
  <si>
    <t>382416940亿</t>
  </si>
  <si>
    <t>159.36亿</t>
  </si>
  <si>
    <t>3132888000亿</t>
  </si>
  <si>
    <t>19187069000亿</t>
  </si>
  <si>
    <t>21.64亿</t>
  </si>
  <si>
    <t>2.26亿</t>
  </si>
  <si>
    <t>9.92亿</t>
  </si>
  <si>
    <t>2.50亿</t>
  </si>
  <si>
    <t>4.90亿</t>
  </si>
  <si>
    <t>-6.87亿</t>
  </si>
  <si>
    <t>15.17亿</t>
  </si>
  <si>
    <t>54.80亿</t>
  </si>
  <si>
    <t>-29.95亿</t>
  </si>
  <si>
    <t>110.47亿</t>
  </si>
  <si>
    <t>171.50亿</t>
  </si>
  <si>
    <t>9.34亿</t>
  </si>
  <si>
    <t>2.91亿</t>
  </si>
  <si>
    <t>10派1.2元(含税)</t>
  </si>
  <si>
    <t>4363.69万</t>
  </si>
  <si>
    <t>2.22亿</t>
  </si>
  <si>
    <t>3954.47万</t>
  </si>
  <si>
    <t>2572.29亿</t>
  </si>
  <si>
    <t>532.53亿</t>
  </si>
  <si>
    <t>446.01亿</t>
  </si>
  <si>
    <t>600.68亿</t>
  </si>
  <si>
    <t>197.21亿</t>
  </si>
  <si>
    <t>146000000亿</t>
  </si>
  <si>
    <t>8300.00万</t>
  </si>
  <si>
    <t>546000000亿</t>
  </si>
  <si>
    <t>104.62亿</t>
  </si>
  <si>
    <t>4406000000亿</t>
  </si>
  <si>
    <t>30045000000亿</t>
  </si>
  <si>
    <t>354.89亿</t>
  </si>
  <si>
    <t>2.02亿</t>
  </si>
  <si>
    <t>222.19亿</t>
  </si>
  <si>
    <t>58.87亿</t>
  </si>
  <si>
    <t>97.77亿</t>
  </si>
  <si>
    <t>-36.49亿</t>
  </si>
  <si>
    <t>-59.71亿</t>
  </si>
  <si>
    <t>870.59亿</t>
  </si>
  <si>
    <t>-326.82亿</t>
  </si>
  <si>
    <t>1599.29亿</t>
  </si>
  <si>
    <t>153.48亿</t>
  </si>
  <si>
    <t>-42.09亿</t>
  </si>
  <si>
    <t>54.17亿</t>
  </si>
  <si>
    <t>10.59亿</t>
  </si>
  <si>
    <t>019721000000</t>
  </si>
  <si>
    <t>059163000000</t>
  </si>
  <si>
    <t>0118326000000</t>
  </si>
  <si>
    <t>0197210000000</t>
  </si>
  <si>
    <t>0394420000000</t>
  </si>
  <si>
    <t>5395.68万</t>
  </si>
  <si>
    <t>2412.53亿</t>
  </si>
  <si>
    <t>401.82亿</t>
  </si>
  <si>
    <t>331.89亿</t>
  </si>
  <si>
    <t>111.77亿</t>
  </si>
  <si>
    <t>5.16亿</t>
  </si>
  <si>
    <t>16000000亿</t>
  </si>
  <si>
    <t>1.17亿</t>
  </si>
  <si>
    <t>-971000000亿</t>
  </si>
  <si>
    <t>2644000000亿</t>
  </si>
  <si>
    <t>18905000000亿</t>
  </si>
  <si>
    <t>177.91亿</t>
  </si>
  <si>
    <t>4.65亿</t>
  </si>
  <si>
    <t>147.33亿</t>
  </si>
  <si>
    <t>2500.00万</t>
  </si>
  <si>
    <t>47.38亿</t>
  </si>
  <si>
    <t>-36.74亿</t>
  </si>
  <si>
    <t>-80.75亿</t>
  </si>
  <si>
    <t>463.05亿</t>
  </si>
  <si>
    <t>-373.56亿</t>
  </si>
  <si>
    <t>1137.41亿</t>
  </si>
  <si>
    <t>29.44亿</t>
  </si>
  <si>
    <t>-81.68亿</t>
  </si>
  <si>
    <t>-3840.18万</t>
  </si>
  <si>
    <t>1.98亿</t>
  </si>
  <si>
    <t>11.92亿</t>
  </si>
  <si>
    <t>开始亏损</t>
  </si>
  <si>
    <t>01548000000</t>
  </si>
  <si>
    <t>03096000000</t>
  </si>
  <si>
    <t>05160000000</t>
  </si>
  <si>
    <t>010320000000</t>
  </si>
  <si>
    <t>4-0</t>
  </si>
  <si>
    <t>1.69亿</t>
  </si>
  <si>
    <t>1324.58亿</t>
  </si>
  <si>
    <t>20.74亿</t>
  </si>
  <si>
    <t>175.50亿</t>
  </si>
  <si>
    <t>20.70亿</t>
  </si>
  <si>
    <t>4355.67万</t>
  </si>
  <si>
    <t>-374000亿</t>
  </si>
  <si>
    <t>3127.30万</t>
  </si>
  <si>
    <t>614150000亿</t>
  </si>
  <si>
    <t>93.75亿</t>
  </si>
  <si>
    <t>3433470000亿</t>
  </si>
  <si>
    <t>29182417000亿</t>
  </si>
  <si>
    <t>43.65亿</t>
  </si>
  <si>
    <t>45.61亿</t>
  </si>
  <si>
    <t>89.62亿</t>
  </si>
  <si>
    <t>40.31亿</t>
  </si>
  <si>
    <t>-25.00亿</t>
  </si>
  <si>
    <t>228.64亿</t>
  </si>
  <si>
    <t>-202.47亿</t>
  </si>
  <si>
    <t>586.41亿</t>
  </si>
  <si>
    <t>5.60亿</t>
  </si>
  <si>
    <t>3.11亿</t>
  </si>
  <si>
    <t>368.26万</t>
  </si>
  <si>
    <t>15.77亿</t>
  </si>
  <si>
    <t>49.46亿</t>
  </si>
  <si>
    <t>043556700</t>
  </si>
  <si>
    <t>0130670100</t>
  </si>
  <si>
    <t>0261340200</t>
  </si>
  <si>
    <t>0435567000</t>
  </si>
  <si>
    <t>0871134000</t>
  </si>
  <si>
    <t>-8-1</t>
  </si>
  <si>
    <t>2188.68万</t>
  </si>
  <si>
    <t>310.16亿</t>
  </si>
  <si>
    <t>251.16亿</t>
  </si>
  <si>
    <t>11.93亿</t>
  </si>
  <si>
    <t>51.32亿</t>
  </si>
  <si>
    <t>9.74亿</t>
  </si>
  <si>
    <t>6.44亿</t>
  </si>
  <si>
    <t>3306.36万</t>
  </si>
  <si>
    <t>1.65亿</t>
  </si>
  <si>
    <t>17552944亿</t>
  </si>
  <si>
    <t>181.18万</t>
  </si>
  <si>
    <t>118753992亿</t>
  </si>
  <si>
    <t>55.51亿</t>
  </si>
  <si>
    <t>1552089300亿</t>
  </si>
  <si>
    <t>52.49万</t>
  </si>
  <si>
    <t>21437105000亿</t>
  </si>
  <si>
    <t>8.86亿</t>
  </si>
  <si>
    <t>1.10亿</t>
  </si>
  <si>
    <t>34.85亿</t>
  </si>
  <si>
    <t>5873.03万</t>
  </si>
  <si>
    <t>89.53亿</t>
  </si>
  <si>
    <t>184.27亿</t>
  </si>
  <si>
    <t>-4.91亿</t>
  </si>
  <si>
    <t>-2.56亿</t>
  </si>
  <si>
    <t>-4071.51万</t>
  </si>
  <si>
    <t>47.01亿</t>
  </si>
  <si>
    <t>18.52亿</t>
  </si>
  <si>
    <t>13.46亿</t>
  </si>
  <si>
    <t>9.53亿</t>
  </si>
  <si>
    <t>2.21亿</t>
  </si>
  <si>
    <t>1.49亿</t>
  </si>
  <si>
    <t>8.54亿</t>
  </si>
  <si>
    <t>0416000000</t>
  </si>
  <si>
    <t>01248000000</t>
  </si>
  <si>
    <t>02496000000</t>
  </si>
  <si>
    <t>04160000000</t>
  </si>
  <si>
    <t>08320000000</t>
  </si>
  <si>
    <t>-3-1</t>
  </si>
  <si>
    <t>125.89万</t>
  </si>
  <si>
    <t>10.26亿</t>
  </si>
  <si>
    <t>45.35亿</t>
  </si>
  <si>
    <t>4.56亿</t>
  </si>
  <si>
    <t>3907.26万</t>
  </si>
  <si>
    <t>-1.12亿</t>
  </si>
  <si>
    <t>3.29亿</t>
  </si>
  <si>
    <t>2.98亿</t>
  </si>
  <si>
    <t>1806.95万</t>
  </si>
  <si>
    <t>5208512亿</t>
  </si>
  <si>
    <t>124.17万</t>
  </si>
  <si>
    <t>95821402亿</t>
  </si>
  <si>
    <t>248414560亿</t>
  </si>
  <si>
    <t>2792621500亿</t>
  </si>
  <si>
    <t>548.02万</t>
  </si>
  <si>
    <t>7613.82万</t>
  </si>
  <si>
    <t>2.79亿</t>
  </si>
  <si>
    <t>489.18万</t>
  </si>
  <si>
    <t>8.21亿</t>
  </si>
  <si>
    <t>1.13亿</t>
  </si>
  <si>
    <t>-9517.56万</t>
  </si>
  <si>
    <t>-1522.66万</t>
  </si>
  <si>
    <t>10.06亿</t>
  </si>
  <si>
    <t>2809.90万</t>
  </si>
  <si>
    <t>1181.27万</t>
  </si>
  <si>
    <t>3.54亿</t>
  </si>
  <si>
    <t>-1628.91万</t>
  </si>
  <si>
    <t>10派2.6元(含税)</t>
  </si>
  <si>
    <t>911.82万</t>
  </si>
  <si>
    <t>5438.36万</t>
  </si>
  <si>
    <t>-2-1</t>
  </si>
  <si>
    <t>456.80万</t>
  </si>
  <si>
    <t>284.88亿</t>
  </si>
  <si>
    <t>165.42亿</t>
  </si>
  <si>
    <t>51.68亿</t>
  </si>
  <si>
    <t>44.69亿</t>
  </si>
  <si>
    <t>5.04亿</t>
  </si>
  <si>
    <t>44.80亿</t>
  </si>
  <si>
    <t>42.58亿</t>
  </si>
  <si>
    <t>6149.71万</t>
  </si>
  <si>
    <t>6445.30万</t>
  </si>
  <si>
    <t>-3794691亿</t>
  </si>
  <si>
    <t>143.34万</t>
  </si>
  <si>
    <t>809934890亿</t>
  </si>
  <si>
    <t>105.56亿</t>
  </si>
  <si>
    <t>169748860亿</t>
  </si>
  <si>
    <t>12032875400亿</t>
  </si>
  <si>
    <t>52.19亿</t>
  </si>
  <si>
    <t>9.42亿</t>
  </si>
  <si>
    <t>99.18亿</t>
  </si>
  <si>
    <t>128.16亿</t>
  </si>
  <si>
    <t>10.25亿</t>
  </si>
  <si>
    <t>-20.86亿</t>
  </si>
  <si>
    <t>1491.86万</t>
  </si>
  <si>
    <t>83.69亿</t>
  </si>
  <si>
    <t>-30.36亿</t>
  </si>
  <si>
    <t>179.38亿</t>
  </si>
  <si>
    <t>11.18亿</t>
  </si>
  <si>
    <t>22.57亿</t>
  </si>
  <si>
    <t>1.57亿</t>
  </si>
  <si>
    <t>10派7.0元(含税)</t>
  </si>
  <si>
    <t>1808.25万</t>
  </si>
  <si>
    <t>8837.31万</t>
  </si>
  <si>
    <t>0504000000</t>
  </si>
  <si>
    <t>01512000000</t>
  </si>
  <si>
    <t>03024000000</t>
  </si>
  <si>
    <t>05040000000</t>
  </si>
  <si>
    <t>010080000000</t>
  </si>
  <si>
    <t>2-1</t>
  </si>
  <si>
    <t>3488.49万</t>
  </si>
  <si>
    <t>3000.15亿</t>
  </si>
  <si>
    <t>350.40亿</t>
  </si>
  <si>
    <t>400.66亿</t>
  </si>
  <si>
    <t>87.18亿</t>
  </si>
  <si>
    <t>436.14亿</t>
  </si>
  <si>
    <t>387.29亿</t>
  </si>
  <si>
    <t>17.41亿</t>
  </si>
  <si>
    <t>12.90亿</t>
  </si>
  <si>
    <t>621078000亿</t>
  </si>
  <si>
    <t>3177.90万</t>
  </si>
  <si>
    <t>-1713176000亿</t>
  </si>
  <si>
    <t>224.67亿</t>
  </si>
  <si>
    <t>4333047000亿</t>
  </si>
  <si>
    <t>42.00万</t>
  </si>
  <si>
    <t>40633024000亿</t>
  </si>
  <si>
    <t>362.11亿</t>
  </si>
  <si>
    <t>223.12亿</t>
  </si>
  <si>
    <t>220.45亿</t>
  </si>
  <si>
    <t>1231.13亿</t>
  </si>
  <si>
    <t>820.76亿</t>
  </si>
  <si>
    <t>94.07亿</t>
  </si>
  <si>
    <t>-25.10亿</t>
  </si>
  <si>
    <t>3129.30万</t>
  </si>
  <si>
    <t>528.98亿</t>
  </si>
  <si>
    <t>-386.19亿</t>
  </si>
  <si>
    <t>1411.00亿</t>
  </si>
  <si>
    <t>17.87亿</t>
  </si>
  <si>
    <t>-10.46亿</t>
  </si>
  <si>
    <t>497.90万</t>
  </si>
  <si>
    <t>1.72亿</t>
  </si>
  <si>
    <t>11.85亿</t>
  </si>
  <si>
    <t>0480000000</t>
  </si>
  <si>
    <t>0960000000</t>
  </si>
  <si>
    <t>01600000000</t>
  </si>
  <si>
    <t>03200000000</t>
  </si>
  <si>
    <t>-1-1</t>
  </si>
  <si>
    <t>1035.25万</t>
  </si>
  <si>
    <t>364.71亿</t>
  </si>
  <si>
    <t>82.88亿</t>
  </si>
  <si>
    <t>57.19亿</t>
  </si>
  <si>
    <t>26.59亿</t>
  </si>
  <si>
    <t>2.76亿</t>
  </si>
  <si>
    <t>54.14亿</t>
  </si>
  <si>
    <t>47.14亿</t>
  </si>
  <si>
    <t>1.92亿</t>
  </si>
  <si>
    <t>-724471亿</t>
  </si>
  <si>
    <t>51.33万</t>
  </si>
  <si>
    <t>372686910亿</t>
  </si>
  <si>
    <t>10.61亿</t>
  </si>
  <si>
    <t>520261230亿</t>
  </si>
  <si>
    <t>3803194900亿</t>
  </si>
  <si>
    <t>50.77亿</t>
  </si>
  <si>
    <t>97.56亿</t>
  </si>
  <si>
    <t>7632.31万</t>
  </si>
  <si>
    <t>12.84亿</t>
  </si>
  <si>
    <t>179.51亿</t>
  </si>
  <si>
    <t>38.53亿</t>
  </si>
  <si>
    <t>12.08亿</t>
  </si>
  <si>
    <t>-10.63亿</t>
  </si>
  <si>
    <t>-4.51亿</t>
  </si>
  <si>
    <t>82.10亿</t>
  </si>
  <si>
    <t>-41.48亿</t>
  </si>
  <si>
    <t>-4.77亿</t>
  </si>
  <si>
    <t>200.96亿</t>
  </si>
  <si>
    <t>4.48亿</t>
  </si>
  <si>
    <t>7.51亿</t>
  </si>
  <si>
    <t>-880.95万</t>
  </si>
  <si>
    <t>10派0.69元(含税)</t>
  </si>
  <si>
    <t>6253.84万</t>
  </si>
  <si>
    <t>3.57亿</t>
  </si>
  <si>
    <t>0276000000</t>
  </si>
  <si>
    <t>0828000000</t>
  </si>
  <si>
    <t>01656000000</t>
  </si>
  <si>
    <t>02760000000</t>
  </si>
  <si>
    <t>05520000000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</si>
</sst>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9"/>
      <color theme="1"/>
      <name val="宋体"/>
      <family val="2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0" borderId="1" xfId="0" applyNumberFormat="1" applyFill="1" applyBorder="1" applyAlignment="1">
      <alignment vertical="center" wrapText="1"/>
    </xf>
    <xf numFmtId="0" fontId="0" fillId="3" borderId="1" xfId="0" applyNumberFormat="1" applyFill="1" applyBorder="1" applyAlignment="1">
      <alignment vertical="center" wrapText="1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3" fillId="0" borderId="0" xfId="0" applyFont="1" applyFill="1">
      <alignment vertical="center"/>
    </xf>
    <xf numFmtId="14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0" fillId="0" borderId="0" xfId="0" applyNumberFormat="1">
      <alignment vertical="center"/>
    </xf>
    <xf numFmtId="0" fontId="5" fillId="0" borderId="0" xfId="0" applyFont="1" applyAlignment="1">
      <alignment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266700</xdr:colOff>
          <xdr:row>0</xdr:row>
          <xdr:rowOff>101600</xdr:rowOff>
        </xdr:from>
        <xdr:to>
          <xdr:col>147</xdr:col>
          <xdr:colOff>1416050</xdr:colOff>
          <xdr:row>0</xdr:row>
          <xdr:rowOff>412750</xdr:rowOff>
        </xdr:to>
        <xdr:sp macro="" textlink="">
          <xdr:nvSpPr>
            <xdr:cNvPr id="2049" name="Button 1" descr="更新基本面按钮&#10;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P15"/>
  <sheetViews>
    <sheetView tabSelected="1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D14" sqref="D14:EP14"/>
    </sheetView>
  </sheetViews>
  <sheetFormatPr defaultRowHeight="14"/>
  <cols>
    <col min="1" max="1" width="24" customWidth="1"/>
    <col min="2" max="2" width="29.08984375" customWidth="1"/>
    <col min="3" max="3" width="41.36328125" customWidth="1"/>
    <col min="148" max="148" width="24.81640625" customWidth="1"/>
  </cols>
  <sheetData>
    <row r="1" spans="1:146" ht="40" customHeight="1">
      <c r="A1" s="3" t="s">
        <v>32</v>
      </c>
      <c r="B1" s="4" t="s">
        <v>33</v>
      </c>
      <c r="C1" s="3" t="s">
        <v>34</v>
      </c>
      <c r="D1" t="s">
        <v>129</v>
      </c>
      <c r="E1" t="s">
        <v>155</v>
      </c>
      <c r="F1" t="s">
        <v>3</v>
      </c>
      <c r="G1" t="s">
        <v>201</v>
      </c>
      <c r="H1" t="s">
        <v>202</v>
      </c>
      <c r="I1" t="s">
        <v>16</v>
      </c>
      <c r="J1" t="s">
        <v>17</v>
      </c>
      <c r="K1" t="s">
        <v>4</v>
      </c>
      <c r="L1" t="s">
        <v>18</v>
      </c>
      <c r="M1" t="s">
        <v>35</v>
      </c>
      <c r="N1" t="s">
        <v>36</v>
      </c>
      <c r="O1" t="s">
        <v>37</v>
      </c>
      <c r="P1" t="s">
        <v>203</v>
      </c>
      <c r="Q1" t="s">
        <v>156</v>
      </c>
      <c r="R1" t="s">
        <v>157</v>
      </c>
      <c r="S1" t="s">
        <v>38</v>
      </c>
      <c r="T1" t="s">
        <v>204</v>
      </c>
      <c r="U1" t="s">
        <v>130</v>
      </c>
      <c r="V1" t="s">
        <v>39</v>
      </c>
      <c r="W1" t="s">
        <v>158</v>
      </c>
      <c r="X1" t="s">
        <v>159</v>
      </c>
      <c r="Y1" t="s">
        <v>160</v>
      </c>
      <c r="Z1" t="s">
        <v>161</v>
      </c>
      <c r="AA1" t="s">
        <v>162</v>
      </c>
      <c r="AB1" t="s">
        <v>205</v>
      </c>
      <c r="AC1" t="s">
        <v>163</v>
      </c>
      <c r="AD1" t="s">
        <v>164</v>
      </c>
      <c r="AE1" t="s">
        <v>40</v>
      </c>
      <c r="AF1" t="s">
        <v>41</v>
      </c>
      <c r="AG1" t="s">
        <v>206</v>
      </c>
      <c r="AH1" t="s">
        <v>165</v>
      </c>
      <c r="AI1" t="s">
        <v>207</v>
      </c>
      <c r="AJ1" t="s">
        <v>42</v>
      </c>
      <c r="AK1" t="s">
        <v>208</v>
      </c>
      <c r="AL1" t="s">
        <v>62</v>
      </c>
      <c r="AM1" t="s">
        <v>209</v>
      </c>
      <c r="AN1" t="s">
        <v>210</v>
      </c>
      <c r="AO1" t="s">
        <v>211</v>
      </c>
      <c r="AP1" t="s">
        <v>212</v>
      </c>
      <c r="AQ1" t="s">
        <v>213</v>
      </c>
      <c r="AR1" t="s">
        <v>214</v>
      </c>
      <c r="AS1" t="s">
        <v>215</v>
      </c>
      <c r="AT1" t="s">
        <v>216</v>
      </c>
      <c r="AU1" t="s">
        <v>217</v>
      </c>
      <c r="AV1" t="s">
        <v>218</v>
      </c>
      <c r="AW1" t="s">
        <v>219</v>
      </c>
      <c r="AX1" t="s">
        <v>166</v>
      </c>
      <c r="AY1" t="s">
        <v>63</v>
      </c>
      <c r="AZ1" t="s">
        <v>64</v>
      </c>
      <c r="BA1" t="s">
        <v>65</v>
      </c>
      <c r="BB1" t="s">
        <v>66</v>
      </c>
      <c r="BC1" t="s">
        <v>131</v>
      </c>
      <c r="BD1" t="s">
        <v>67</v>
      </c>
      <c r="BE1" t="s">
        <v>68</v>
      </c>
      <c r="BF1" t="s">
        <v>69</v>
      </c>
      <c r="BG1" t="s">
        <v>70</v>
      </c>
      <c r="BH1" t="s">
        <v>220</v>
      </c>
      <c r="BI1" t="s">
        <v>221</v>
      </c>
      <c r="BJ1" t="s">
        <v>222</v>
      </c>
      <c r="BK1" t="s">
        <v>223</v>
      </c>
      <c r="BL1" t="s">
        <v>224</v>
      </c>
      <c r="BM1" t="s">
        <v>225</v>
      </c>
      <c r="BN1" t="s">
        <v>167</v>
      </c>
      <c r="BO1" t="s">
        <v>132</v>
      </c>
      <c r="BP1" t="s">
        <v>71</v>
      </c>
      <c r="BQ1" t="s">
        <v>168</v>
      </c>
      <c r="BR1" t="s">
        <v>133</v>
      </c>
      <c r="BS1" t="s">
        <v>72</v>
      </c>
      <c r="BT1" t="s">
        <v>226</v>
      </c>
      <c r="BU1" t="s">
        <v>169</v>
      </c>
      <c r="BV1" t="s">
        <v>227</v>
      </c>
      <c r="BW1" t="s">
        <v>127</v>
      </c>
      <c r="BX1" t="s">
        <v>73</v>
      </c>
      <c r="BY1" t="s">
        <v>228</v>
      </c>
      <c r="BZ1" t="s">
        <v>128</v>
      </c>
      <c r="CA1" t="s">
        <v>74</v>
      </c>
      <c r="CB1" t="s">
        <v>229</v>
      </c>
      <c r="CC1" t="s">
        <v>230</v>
      </c>
      <c r="CD1" t="s">
        <v>231</v>
      </c>
      <c r="CE1" t="s">
        <v>232</v>
      </c>
      <c r="CF1" s="1" t="s">
        <v>170</v>
      </c>
      <c r="CG1" s="1" t="s">
        <v>171</v>
      </c>
      <c r="CH1" s="1" t="s">
        <v>114</v>
      </c>
      <c r="CI1" s="1" t="s">
        <v>115</v>
      </c>
      <c r="CJ1" s="1" t="s">
        <v>116</v>
      </c>
      <c r="CK1" s="1" t="s">
        <v>117</v>
      </c>
      <c r="CL1" s="1" t="s">
        <v>118</v>
      </c>
      <c r="CM1" s="1" t="s">
        <v>119</v>
      </c>
      <c r="CN1" s="1" t="s">
        <v>120</v>
      </c>
      <c r="CO1" s="1" t="s">
        <v>121</v>
      </c>
      <c r="CP1" s="1" t="s">
        <v>122</v>
      </c>
      <c r="CQ1" s="1" t="s">
        <v>123</v>
      </c>
      <c r="CR1" s="1" t="s">
        <v>172</v>
      </c>
      <c r="CS1" s="1" t="s">
        <v>173</v>
      </c>
      <c r="CT1" s="1" t="s">
        <v>233</v>
      </c>
      <c r="CU1" s="1" t="s">
        <v>174</v>
      </c>
      <c r="CV1" s="1" t="s">
        <v>175</v>
      </c>
      <c r="CW1" s="1" t="s">
        <v>234</v>
      </c>
      <c r="CX1">
        <v>1</v>
      </c>
      <c r="CY1" t="s">
        <v>176</v>
      </c>
      <c r="CZ1" t="s">
        <v>177</v>
      </c>
      <c r="DA1">
        <v>3</v>
      </c>
      <c r="DB1" t="s">
        <v>235</v>
      </c>
      <c r="DC1" t="s">
        <v>178</v>
      </c>
      <c r="DD1">
        <v>6</v>
      </c>
      <c r="DE1" t="s">
        <v>179</v>
      </c>
      <c r="DF1" t="s">
        <v>180</v>
      </c>
      <c r="DG1">
        <v>10</v>
      </c>
      <c r="DH1" t="s">
        <v>236</v>
      </c>
      <c r="DI1" t="s">
        <v>237</v>
      </c>
      <c r="DJ1">
        <v>20</v>
      </c>
      <c r="DK1" t="s">
        <v>181</v>
      </c>
      <c r="DL1" t="s">
        <v>124</v>
      </c>
      <c r="DM1" t="s">
        <v>125</v>
      </c>
      <c r="DN1" s="2" t="s">
        <v>126</v>
      </c>
      <c r="DO1" t="s">
        <v>238</v>
      </c>
      <c r="DP1" t="s">
        <v>239</v>
      </c>
      <c r="DQ1" s="7" t="s">
        <v>240</v>
      </c>
      <c r="DR1" s="1" t="s">
        <v>241</v>
      </c>
      <c r="DS1" s="1" t="s">
        <v>242</v>
      </c>
      <c r="DT1" t="s">
        <v>182</v>
      </c>
      <c r="DU1" t="s">
        <v>183</v>
      </c>
      <c r="DV1" t="s">
        <v>184</v>
      </c>
      <c r="DW1" t="s">
        <v>185</v>
      </c>
      <c r="DX1" t="s">
        <v>243</v>
      </c>
      <c r="DY1" t="s">
        <v>186</v>
      </c>
      <c r="DZ1" t="s">
        <v>244</v>
      </c>
      <c r="EA1" t="s">
        <v>187</v>
      </c>
      <c r="EB1" t="s">
        <v>188</v>
      </c>
      <c r="EC1" t="s">
        <v>189</v>
      </c>
      <c r="ED1" t="s">
        <v>190</v>
      </c>
      <c r="EE1" t="s">
        <v>245</v>
      </c>
      <c r="EF1" t="s">
        <v>191</v>
      </c>
      <c r="EG1" t="s">
        <v>192</v>
      </c>
      <c r="EH1" t="s">
        <v>246</v>
      </c>
      <c r="EI1" t="s">
        <v>193</v>
      </c>
      <c r="EK1" s="8" t="s">
        <v>247</v>
      </c>
      <c r="EL1" t="s">
        <v>194</v>
      </c>
      <c r="EM1" t="s">
        <v>248</v>
      </c>
      <c r="EN1" t="s">
        <v>195</v>
      </c>
      <c r="EO1" t="s">
        <v>249</v>
      </c>
      <c r="EP1" t="s">
        <v>196</v>
      </c>
    </row>
    <row r="2" spans="1:146" ht="96">
      <c r="A2" s="14"/>
      <c r="B2" s="14"/>
      <c r="C2" s="14" t="str">
        <f>""&amp;CHAR(10)&amp;Basic_Fundamental_Information_Constructure(F2)&amp;CHAR(10)&amp;Basic_Fundamental_Information_Concatenate("")</f>
        <v xml:space="preserve">
市值131.454326亿, 利润3.97亿; PE21.94; 平均PE149.2; 平均PEG23.65, PB1.17; ROIC2.51%; ROE-2.9633%; 股利率1.5601%; 毛利-5.3767%; 净利-11.0867%; 上一年度营收增55.93%, 利润增135.32%; 当季营收增24.37%, 利润增187.57%; 过往5年营收增6.31%, 利润增-671.49%
Income profile:
</v>
      </c>
      <c r="D2" t="s">
        <v>22</v>
      </c>
      <c r="E2" t="s">
        <v>8</v>
      </c>
      <c r="F2">
        <v>6.41</v>
      </c>
      <c r="G2">
        <v>0.31</v>
      </c>
      <c r="H2" t="s">
        <v>262</v>
      </c>
      <c r="I2">
        <v>13145432600</v>
      </c>
      <c r="J2">
        <v>21.94</v>
      </c>
      <c r="K2">
        <v>1.17</v>
      </c>
      <c r="L2" t="s">
        <v>20</v>
      </c>
      <c r="M2" t="s">
        <v>263</v>
      </c>
      <c r="N2" t="s">
        <v>264</v>
      </c>
      <c r="O2" t="s">
        <v>265</v>
      </c>
      <c r="P2">
        <v>24.45</v>
      </c>
      <c r="Q2" t="s">
        <v>266</v>
      </c>
      <c r="R2">
        <v>94577797</v>
      </c>
      <c r="S2" s="5">
        <v>1.877</v>
      </c>
      <c r="T2" t="s">
        <v>267</v>
      </c>
      <c r="U2">
        <v>2050742400</v>
      </c>
      <c r="V2">
        <v>2050769500</v>
      </c>
      <c r="W2">
        <v>2.14</v>
      </c>
      <c r="X2">
        <v>0.05</v>
      </c>
      <c r="Y2">
        <v>8.3800000000000008</v>
      </c>
      <c r="Z2" t="s">
        <v>268</v>
      </c>
      <c r="AA2" t="s">
        <v>269</v>
      </c>
      <c r="AB2" t="s">
        <v>270</v>
      </c>
      <c r="AC2" t="s">
        <v>271</v>
      </c>
      <c r="AD2" t="s">
        <v>15</v>
      </c>
      <c r="AE2">
        <v>90167157</v>
      </c>
      <c r="AF2" t="s">
        <v>272</v>
      </c>
      <c r="AG2" t="s">
        <v>273</v>
      </c>
      <c r="AH2" t="s">
        <v>274</v>
      </c>
      <c r="AI2" t="s">
        <v>275</v>
      </c>
      <c r="AJ2" t="s">
        <v>276</v>
      </c>
      <c r="AK2" t="s">
        <v>15</v>
      </c>
      <c r="AL2" t="s">
        <v>277</v>
      </c>
      <c r="AM2" t="s">
        <v>15</v>
      </c>
      <c r="AN2" t="s">
        <v>278</v>
      </c>
      <c r="AO2" t="s">
        <v>15</v>
      </c>
      <c r="AP2" t="s">
        <v>15</v>
      </c>
      <c r="AQ2" t="s">
        <v>279</v>
      </c>
      <c r="AR2" t="s">
        <v>280</v>
      </c>
      <c r="AS2" t="s">
        <v>281</v>
      </c>
      <c r="AT2" t="s">
        <v>282</v>
      </c>
      <c r="AU2" t="s">
        <v>283</v>
      </c>
      <c r="AV2" t="s">
        <v>284</v>
      </c>
      <c r="AW2" t="s">
        <v>285</v>
      </c>
      <c r="AX2" t="s">
        <v>286</v>
      </c>
      <c r="AY2" t="s">
        <v>134</v>
      </c>
      <c r="AZ2" t="s">
        <v>75</v>
      </c>
      <c r="BA2" t="s">
        <v>43</v>
      </c>
      <c r="BB2" t="s">
        <v>77</v>
      </c>
      <c r="BC2" t="s">
        <v>287</v>
      </c>
      <c r="BD2" t="s">
        <v>135</v>
      </c>
      <c r="BE2" t="s">
        <v>76</v>
      </c>
      <c r="BF2" t="s">
        <v>44</v>
      </c>
      <c r="BG2" t="s">
        <v>78</v>
      </c>
      <c r="BH2" t="s">
        <v>266</v>
      </c>
      <c r="BI2" t="s">
        <v>288</v>
      </c>
      <c r="BJ2" t="s">
        <v>286</v>
      </c>
      <c r="BK2" t="s">
        <v>267</v>
      </c>
      <c r="BL2" t="s">
        <v>289</v>
      </c>
      <c r="BM2" t="s">
        <v>287</v>
      </c>
      <c r="BN2">
        <v>2.5099999999999998</v>
      </c>
      <c r="BO2" t="s">
        <v>15</v>
      </c>
      <c r="BP2" t="s">
        <v>15</v>
      </c>
      <c r="BQ2">
        <v>1.52</v>
      </c>
      <c r="BR2">
        <v>-10.119999999999999</v>
      </c>
      <c r="BS2">
        <v>-0.28999999999999998</v>
      </c>
      <c r="BT2" t="s">
        <v>290</v>
      </c>
      <c r="BU2" t="s">
        <v>197</v>
      </c>
      <c r="BV2">
        <v>10.72</v>
      </c>
      <c r="BW2">
        <v>-35.18</v>
      </c>
      <c r="BX2">
        <v>8.33</v>
      </c>
      <c r="BY2">
        <v>9.59</v>
      </c>
      <c r="BZ2">
        <v>-42.24</v>
      </c>
      <c r="CA2">
        <v>-0.61</v>
      </c>
      <c r="CB2">
        <v>0.31</v>
      </c>
      <c r="CC2">
        <v>-8.82</v>
      </c>
      <c r="CD2" t="s">
        <v>291</v>
      </c>
      <c r="CE2" t="s">
        <v>292</v>
      </c>
      <c r="CF2" s="9">
        <v>0.24366041896361632</v>
      </c>
      <c r="CG2" s="10">
        <v>1.8757203425925926</v>
      </c>
      <c r="CH2" s="9">
        <v>0.55934101343154907</v>
      </c>
      <c r="CI2" s="9">
        <v>-0.1920749694108963</v>
      </c>
      <c r="CJ2" s="9">
        <v>0.10310308635234833</v>
      </c>
      <c r="CK2" s="9">
        <v>-0.21276599168777466</v>
      </c>
      <c r="CL2" s="9">
        <v>5.7793829590082169E-2</v>
      </c>
      <c r="CM2" s="10">
        <v>1.3532028198242187</v>
      </c>
      <c r="CN2" s="10">
        <v>-31.637323379516602</v>
      </c>
      <c r="CO2" s="10">
        <v>-2.2267956733703613</v>
      </c>
      <c r="CP2" s="10">
        <v>-0.95274007320404053</v>
      </c>
      <c r="CQ2" s="10">
        <v>-0.11077844351530075</v>
      </c>
      <c r="CR2">
        <v>149.20095953092627</v>
      </c>
      <c r="CS2">
        <v>23.652884228216394</v>
      </c>
      <c r="CT2">
        <v>1.5600624024960998</v>
      </c>
      <c r="CU2" s="9">
        <v>6.3079393655061725E-2</v>
      </c>
      <c r="CV2" s="10">
        <v>-6.7148869499564174</v>
      </c>
      <c r="CW2">
        <v>0.06</v>
      </c>
      <c r="CX2">
        <v>37.637341808732941</v>
      </c>
      <c r="CY2">
        <v>398153320.07647121</v>
      </c>
      <c r="CZ2">
        <v>6.3079393655061725E-2</v>
      </c>
      <c r="DA2">
        <v>12.583997808846982</v>
      </c>
      <c r="DB2">
        <v>1190832422.8620515</v>
      </c>
      <c r="DC2">
        <v>5.9925423972308635E-2</v>
      </c>
      <c r="DD2">
        <v>6.3851132257174781</v>
      </c>
      <c r="DE2">
        <v>2346932947.0373058</v>
      </c>
      <c r="DF2">
        <v>5.550986641645432E-2</v>
      </c>
      <c r="DG2">
        <v>3.9656956296689247</v>
      </c>
      <c r="DH2">
        <v>3778765190.1190047</v>
      </c>
      <c r="DI2">
        <v>5.046351492404938E-2</v>
      </c>
      <c r="DJ2">
        <v>2.2023647029184139</v>
      </c>
      <c r="DK2">
        <v>6804246626.4294882</v>
      </c>
      <c r="DL2">
        <v>4.4155575558543207E-2</v>
      </c>
      <c r="DM2">
        <v>397000000</v>
      </c>
      <c r="DN2">
        <v>6.3079393655061725E-2</v>
      </c>
      <c r="DO2">
        <v>14985432600</v>
      </c>
      <c r="DP2">
        <v>822129200</v>
      </c>
      <c r="DQ2">
        <v>52</v>
      </c>
      <c r="DR2">
        <v>0.18058102530855458</v>
      </c>
      <c r="DS2">
        <v>8.5906072925490093</v>
      </c>
      <c r="DT2" s="11">
        <v>-0.54</v>
      </c>
      <c r="DU2">
        <v>-1.7400000000000002</v>
      </c>
      <c r="DV2">
        <v>-2.2800000000000002</v>
      </c>
      <c r="DW2">
        <v>-2.0882000000000001</v>
      </c>
      <c r="DX2">
        <v>0.27405050505050454</v>
      </c>
      <c r="DY2">
        <v>-2.0127052545454545</v>
      </c>
      <c r="DZ2">
        <v>4564</v>
      </c>
      <c r="EA2">
        <v>-2.0013575477459526</v>
      </c>
      <c r="EB2">
        <v>2</v>
      </c>
      <c r="EC2">
        <v>2.7815900324244143E-2</v>
      </c>
      <c r="ED2">
        <v>0.19309824921815932</v>
      </c>
      <c r="EE2" s="12">
        <v>5.11E-2</v>
      </c>
      <c r="EF2">
        <v>4.4900000000000002E-2</v>
      </c>
      <c r="EG2">
        <v>13.144050505050505</v>
      </c>
      <c r="EH2" t="s">
        <v>293</v>
      </c>
      <c r="EI2">
        <v>0</v>
      </c>
      <c r="EJ2">
        <v>0</v>
      </c>
      <c r="EK2" s="8">
        <v>45470</v>
      </c>
      <c r="EL2" s="13">
        <v>0</v>
      </c>
      <c r="EM2" s="13">
        <v>-1.85</v>
      </c>
      <c r="EN2" s="13">
        <v>0.63</v>
      </c>
      <c r="EO2" s="13">
        <v>0.62</v>
      </c>
      <c r="EP2" s="13">
        <v>-0.62</v>
      </c>
    </row>
    <row r="3" spans="1:146" ht="96">
      <c r="A3" s="14"/>
      <c r="B3" s="14"/>
      <c r="C3" s="14" t="str">
        <f>""&amp;CHAR(10)&amp;Basic_Fundamental_Information_Constructure(F3)&amp;CHAR(10)&amp;Basic_Fundamental_Information_Concatenate("")</f>
        <v xml:space="preserve">
市值119.934063亿, 利润2.39亿; PE47.22; 平均PE57.2; 平均PEG8.48, PB2.31; ROIC4.27%; ROE4.7333%; 股利率.5285%; 毛利22.6433%; 净利12.1033%; 上一年度营收增9.57%, 利润增23.2%; 当季营收增12.84%, 利润增21.69%; 过往5年营收增6.75%, 利润增11.78%
Income profile:
</v>
      </c>
      <c r="D3" t="s">
        <v>27</v>
      </c>
      <c r="E3" t="s">
        <v>5</v>
      </c>
      <c r="F3">
        <v>15.46</v>
      </c>
      <c r="G3">
        <v>0.06</v>
      </c>
      <c r="H3" t="s">
        <v>294</v>
      </c>
      <c r="I3">
        <v>11993406300</v>
      </c>
      <c r="J3">
        <v>47.22</v>
      </c>
      <c r="K3">
        <v>2.31</v>
      </c>
      <c r="L3" t="s">
        <v>20</v>
      </c>
      <c r="M3" t="s">
        <v>295</v>
      </c>
      <c r="N3" t="s">
        <v>296</v>
      </c>
      <c r="O3" t="s">
        <v>297</v>
      </c>
      <c r="P3">
        <v>12.96</v>
      </c>
      <c r="Q3" t="s">
        <v>298</v>
      </c>
      <c r="R3">
        <v>83542174</v>
      </c>
      <c r="S3" s="5">
        <v>0.21690000000000001</v>
      </c>
      <c r="T3" t="s">
        <v>299</v>
      </c>
      <c r="U3">
        <v>710215140</v>
      </c>
      <c r="V3">
        <v>775770140</v>
      </c>
      <c r="W3">
        <v>1.21</v>
      </c>
      <c r="X3">
        <v>7.0000000000000007E-2</v>
      </c>
      <c r="Y3">
        <v>18.420000000000002</v>
      </c>
      <c r="Z3" t="s">
        <v>300</v>
      </c>
      <c r="AA3" t="s">
        <v>301</v>
      </c>
      <c r="AB3" t="s">
        <v>302</v>
      </c>
      <c r="AC3" t="s">
        <v>303</v>
      </c>
      <c r="AD3" t="s">
        <v>15</v>
      </c>
      <c r="AE3">
        <v>4194319</v>
      </c>
      <c r="AF3" t="s">
        <v>49</v>
      </c>
      <c r="AG3" t="s">
        <v>304</v>
      </c>
      <c r="AH3" t="s">
        <v>305</v>
      </c>
      <c r="AI3" t="s">
        <v>306</v>
      </c>
      <c r="AJ3" t="s">
        <v>307</v>
      </c>
      <c r="AK3" t="s">
        <v>15</v>
      </c>
      <c r="AL3" t="s">
        <v>308</v>
      </c>
      <c r="AM3" t="s">
        <v>15</v>
      </c>
      <c r="AN3" t="s">
        <v>309</v>
      </c>
      <c r="AO3" t="s">
        <v>15</v>
      </c>
      <c r="AP3" t="s">
        <v>15</v>
      </c>
      <c r="AQ3" t="s">
        <v>310</v>
      </c>
      <c r="AR3" t="s">
        <v>15</v>
      </c>
      <c r="AS3" t="s">
        <v>311</v>
      </c>
      <c r="AT3" t="s">
        <v>312</v>
      </c>
      <c r="AU3" t="s">
        <v>313</v>
      </c>
      <c r="AV3" t="s">
        <v>314</v>
      </c>
      <c r="AW3" t="s">
        <v>315</v>
      </c>
      <c r="AX3" t="s">
        <v>316</v>
      </c>
      <c r="AY3" t="s">
        <v>136</v>
      </c>
      <c r="AZ3" t="s">
        <v>79</v>
      </c>
      <c r="BA3" t="s">
        <v>45</v>
      </c>
      <c r="BB3" t="s">
        <v>81</v>
      </c>
      <c r="BC3" t="s">
        <v>317</v>
      </c>
      <c r="BD3" t="s">
        <v>137</v>
      </c>
      <c r="BE3" t="s">
        <v>80</v>
      </c>
      <c r="BF3" t="s">
        <v>46</v>
      </c>
      <c r="BG3" t="s">
        <v>82</v>
      </c>
      <c r="BH3" t="s">
        <v>298</v>
      </c>
      <c r="BI3" t="s">
        <v>300</v>
      </c>
      <c r="BJ3" t="s">
        <v>316</v>
      </c>
      <c r="BK3" t="s">
        <v>299</v>
      </c>
      <c r="BL3" t="s">
        <v>318</v>
      </c>
      <c r="BM3" t="s">
        <v>317</v>
      </c>
      <c r="BN3">
        <v>3.69</v>
      </c>
      <c r="BO3">
        <v>3.45</v>
      </c>
      <c r="BP3">
        <v>5.67</v>
      </c>
      <c r="BQ3">
        <v>3.88</v>
      </c>
      <c r="BR3">
        <v>4.03</v>
      </c>
      <c r="BS3">
        <v>6.29</v>
      </c>
      <c r="BT3" t="s">
        <v>319</v>
      </c>
      <c r="BU3" t="s">
        <v>199</v>
      </c>
      <c r="BV3">
        <v>21.16</v>
      </c>
      <c r="BW3">
        <v>20.25</v>
      </c>
      <c r="BX3">
        <v>26.52</v>
      </c>
      <c r="BY3">
        <v>12.06</v>
      </c>
      <c r="BZ3">
        <v>9.4499999999999993</v>
      </c>
      <c r="CA3">
        <v>14.8</v>
      </c>
      <c r="CB3">
        <v>-4.8</v>
      </c>
      <c r="CC3">
        <v>-27.04</v>
      </c>
      <c r="CD3" t="s">
        <v>320</v>
      </c>
      <c r="CE3" t="s">
        <v>321</v>
      </c>
      <c r="CF3" s="9">
        <v>0.12839506172839507</v>
      </c>
      <c r="CG3" s="10">
        <v>0.21685629845850429</v>
      </c>
      <c r="CH3" s="9">
        <v>9.5661848783493042E-2</v>
      </c>
      <c r="CI3" s="9">
        <v>6.9601468741893768E-2</v>
      </c>
      <c r="CJ3" s="9">
        <v>7.894732803106308E-2</v>
      </c>
      <c r="CK3" s="9">
        <v>-5.7434993796050549E-3</v>
      </c>
      <c r="CL3" s="9">
        <v>9.8878026008605957E-2</v>
      </c>
      <c r="CM3" s="10">
        <v>0.23195876181125641</v>
      </c>
      <c r="CN3" s="10">
        <v>-0.21138212084770203</v>
      </c>
      <c r="CO3" s="10">
        <v>0.12844036519527435</v>
      </c>
      <c r="CP3" s="10">
        <v>3.3175356686115265E-2</v>
      </c>
      <c r="CQ3" s="10">
        <v>0.40666666626930237</v>
      </c>
      <c r="CR3">
        <v>57.202255802861686</v>
      </c>
      <c r="CS3">
        <v>8.4782976783517672</v>
      </c>
      <c r="CT3">
        <v>0.52846054333764547</v>
      </c>
      <c r="CU3" s="9">
        <v>6.7469034437090153E-2</v>
      </c>
      <c r="CV3" s="10">
        <v>0.11777180582284927</v>
      </c>
      <c r="CW3">
        <v>0.06</v>
      </c>
      <c r="CX3">
        <v>32.197422765447456</v>
      </c>
      <c r="CY3">
        <v>240684055.87779674</v>
      </c>
      <c r="CZ3">
        <v>6.7469034437090153E-2</v>
      </c>
      <c r="DA3">
        <v>10.725006716283056</v>
      </c>
      <c r="DB3">
        <v>722554913.48407245</v>
      </c>
      <c r="DC3">
        <v>6.4095582715235647E-2</v>
      </c>
      <c r="DD3">
        <v>5.4152535411290295</v>
      </c>
      <c r="DE3">
        <v>1431032959.2405975</v>
      </c>
      <c r="DF3">
        <v>5.9372750304639337E-2</v>
      </c>
      <c r="DG3">
        <v>3.3452406721362138</v>
      </c>
      <c r="DH3">
        <v>2316546718.0127764</v>
      </c>
      <c r="DI3">
        <v>5.3975227549672128E-2</v>
      </c>
      <c r="DJ3">
        <v>1.8367803099285658</v>
      </c>
      <c r="DK3">
        <v>4219016426.7937856</v>
      </c>
      <c r="DL3">
        <v>4.7228324105963101E-2</v>
      </c>
      <c r="DM3">
        <v>239000000</v>
      </c>
      <c r="DN3">
        <v>6.7469034437090153E-2</v>
      </c>
      <c r="DO3">
        <v>7749406300</v>
      </c>
      <c r="DP3">
        <v>2310992000</v>
      </c>
      <c r="DQ3">
        <v>55</v>
      </c>
      <c r="DR3">
        <v>6.0926027291304918E-2</v>
      </c>
      <c r="DS3">
        <v>9.9084492635655025E-2</v>
      </c>
      <c r="DT3" s="11">
        <v>-0.44</v>
      </c>
      <c r="DU3">
        <v>0.33666666666666667</v>
      </c>
      <c r="DV3">
        <v>-0.10333333333333333</v>
      </c>
      <c r="DW3">
        <v>-8.1775147928994087</v>
      </c>
      <c r="DX3">
        <v>0.26780458383594535</v>
      </c>
      <c r="DY3">
        <v>-8.0138114645862633</v>
      </c>
      <c r="DZ3">
        <v>1944</v>
      </c>
      <c r="EA3">
        <v>-8.0085571618160678</v>
      </c>
      <c r="EB3">
        <v>8</v>
      </c>
      <c r="EC3">
        <v>0.1662863693103733</v>
      </c>
      <c r="ED3">
        <v>2.1372310102061931</v>
      </c>
      <c r="EE3" s="12">
        <v>5.0980999999999996</v>
      </c>
      <c r="EF3">
        <v>5.0590000000000002</v>
      </c>
      <c r="EG3">
        <v>19.077804583835945</v>
      </c>
      <c r="EH3" t="s">
        <v>322</v>
      </c>
      <c r="EI3">
        <v>0</v>
      </c>
      <c r="EJ3">
        <v>0</v>
      </c>
      <c r="EK3" s="8">
        <v>45470</v>
      </c>
      <c r="EL3" s="13">
        <v>0.53</v>
      </c>
      <c r="EM3" s="13">
        <v>-4.2699999999999996</v>
      </c>
      <c r="EN3" s="13">
        <v>-1.65</v>
      </c>
      <c r="EO3" s="13">
        <v>1.68</v>
      </c>
      <c r="EP3" s="13">
        <v>-3.91</v>
      </c>
    </row>
    <row r="4" spans="1:146" ht="96">
      <c r="A4" s="14"/>
      <c r="B4" s="14"/>
      <c r="C4" s="14" t="str">
        <f>""&amp;CHAR(10)&amp;Basic_Fundamental_Information_Constructure(F4)&amp;CHAR(10)&amp;Basic_Fundamental_Information_Concatenate("")</f>
        <v xml:space="preserve">
市值78.739679亿, 利润-9.65亿; PE; 平均PE-28.22; 平均PEG-2.36, PB2.53; ROIC0%; ROE-30.3967%; 股利率0%; 毛利-16.6633%; 净利-32.0867%; 上一年度营收增94.89%, 利润增51.11%; 当季营收增54.64%, 利润增108.94%; 过往5年营收增11.96%, 利润增-317.04%
Income profile:
</v>
      </c>
      <c r="D4" t="s">
        <v>29</v>
      </c>
      <c r="E4" t="s">
        <v>6</v>
      </c>
      <c r="F4">
        <v>6.16</v>
      </c>
      <c r="G4">
        <v>2.33</v>
      </c>
      <c r="H4" t="s">
        <v>323</v>
      </c>
      <c r="I4">
        <v>7873967900</v>
      </c>
      <c r="K4">
        <v>2.5299999999999998</v>
      </c>
      <c r="L4" t="s">
        <v>20</v>
      </c>
      <c r="M4" t="s">
        <v>324</v>
      </c>
      <c r="N4" t="s">
        <v>325</v>
      </c>
      <c r="O4" t="s">
        <v>326</v>
      </c>
      <c r="P4">
        <v>54.67</v>
      </c>
      <c r="Q4" t="s">
        <v>327</v>
      </c>
      <c r="R4">
        <v>24668457</v>
      </c>
      <c r="S4" s="6">
        <v>1.089</v>
      </c>
      <c r="T4" t="s">
        <v>328</v>
      </c>
      <c r="U4">
        <v>1278241550</v>
      </c>
      <c r="V4">
        <v>1278241550</v>
      </c>
      <c r="W4">
        <v>6.13</v>
      </c>
      <c r="X4">
        <v>0.09</v>
      </c>
      <c r="Y4">
        <v>1.53</v>
      </c>
      <c r="Z4" t="s">
        <v>329</v>
      </c>
      <c r="AA4" t="s">
        <v>330</v>
      </c>
      <c r="AB4" t="s">
        <v>331</v>
      </c>
      <c r="AC4" t="s">
        <v>332</v>
      </c>
      <c r="AD4" t="s">
        <v>15</v>
      </c>
      <c r="AE4">
        <v>168451330</v>
      </c>
      <c r="AF4" t="s">
        <v>333</v>
      </c>
      <c r="AG4" t="s">
        <v>334</v>
      </c>
      <c r="AH4" t="s">
        <v>335</v>
      </c>
      <c r="AI4" t="s">
        <v>336</v>
      </c>
      <c r="AJ4" t="s">
        <v>337</v>
      </c>
      <c r="AK4" t="s">
        <v>338</v>
      </c>
      <c r="AL4" t="s">
        <v>339</v>
      </c>
      <c r="AM4" t="s">
        <v>15</v>
      </c>
      <c r="AN4" t="s">
        <v>340</v>
      </c>
      <c r="AO4" t="s">
        <v>341</v>
      </c>
      <c r="AP4" t="s">
        <v>342</v>
      </c>
      <c r="AQ4" t="s">
        <v>250</v>
      </c>
      <c r="AR4" t="s">
        <v>15</v>
      </c>
      <c r="AS4" t="s">
        <v>343</v>
      </c>
      <c r="AT4" t="s">
        <v>344</v>
      </c>
      <c r="AU4" t="s">
        <v>345</v>
      </c>
      <c r="AV4" t="s">
        <v>346</v>
      </c>
      <c r="AW4" t="s">
        <v>347</v>
      </c>
      <c r="AX4" t="s">
        <v>348</v>
      </c>
      <c r="AY4" t="s">
        <v>349</v>
      </c>
      <c r="AZ4" t="s">
        <v>350</v>
      </c>
      <c r="BA4" t="s">
        <v>47</v>
      </c>
      <c r="BB4" t="s">
        <v>83</v>
      </c>
      <c r="BC4" t="s">
        <v>351</v>
      </c>
      <c r="BD4" t="s">
        <v>352</v>
      </c>
      <c r="BE4" t="s">
        <v>353</v>
      </c>
      <c r="BF4" t="s">
        <v>48</v>
      </c>
      <c r="BG4" t="s">
        <v>84</v>
      </c>
      <c r="BH4" t="s">
        <v>327</v>
      </c>
      <c r="BI4" t="s">
        <v>354</v>
      </c>
      <c r="BJ4" t="s">
        <v>348</v>
      </c>
      <c r="BK4" t="s">
        <v>328</v>
      </c>
      <c r="BL4" t="s">
        <v>355</v>
      </c>
      <c r="BM4" t="s">
        <v>351</v>
      </c>
      <c r="BN4" t="s">
        <v>15</v>
      </c>
      <c r="BO4" t="s">
        <v>15</v>
      </c>
      <c r="BP4" t="s">
        <v>15</v>
      </c>
      <c r="BQ4">
        <v>-18.829999999999998</v>
      </c>
      <c r="BR4">
        <v>-69.72</v>
      </c>
      <c r="BS4">
        <v>-2.64</v>
      </c>
      <c r="BT4" t="s">
        <v>255</v>
      </c>
      <c r="BU4" t="s">
        <v>199</v>
      </c>
      <c r="BV4">
        <v>-7.02</v>
      </c>
      <c r="BW4">
        <v>-47.48</v>
      </c>
      <c r="BX4">
        <v>4.51</v>
      </c>
      <c r="BY4">
        <v>-18.73</v>
      </c>
      <c r="BZ4">
        <v>-74.69</v>
      </c>
      <c r="CA4">
        <v>-2.84</v>
      </c>
      <c r="CB4">
        <v>-2.84</v>
      </c>
      <c r="CC4">
        <v>-17.43</v>
      </c>
      <c r="CD4" t="s">
        <v>356</v>
      </c>
      <c r="CE4" t="s">
        <v>357</v>
      </c>
      <c r="CF4" s="9">
        <v>0.54641148325358868</v>
      </c>
      <c r="CG4" s="10">
        <v>1.0893784673913043</v>
      </c>
      <c r="CH4" s="9">
        <v>0.94892168045043945</v>
      </c>
      <c r="CI4" s="9">
        <v>-0.3334173858165741</v>
      </c>
      <c r="CJ4" s="9">
        <v>-0.16208797693252563</v>
      </c>
      <c r="CK4" s="9">
        <v>-0.12483813613653183</v>
      </c>
      <c r="CL4" s="9">
        <v>0.2692488431930542</v>
      </c>
      <c r="CM4" s="10">
        <v>0.51114487648010254</v>
      </c>
      <c r="CN4" s="10">
        <v>-16.469026565551758</v>
      </c>
      <c r="CO4" s="10">
        <v>-1.1796501874923706</v>
      </c>
      <c r="CP4" s="10">
        <v>0.25298804044723511</v>
      </c>
      <c r="CQ4" s="10">
        <v>1.0323886871337891</v>
      </c>
      <c r="CR4">
        <v>-28.222107168458788</v>
      </c>
      <c r="CS4">
        <v>-2.3603907150140619</v>
      </c>
      <c r="CT4">
        <v>0</v>
      </c>
      <c r="CU4" s="9">
        <v>0.11956540495157242</v>
      </c>
      <c r="CV4" s="10">
        <v>-3.1704310297966005</v>
      </c>
      <c r="CW4">
        <v>0.06</v>
      </c>
      <c r="CX4" t="e">
        <v>#VALUE!</v>
      </c>
      <c r="CY4" t="s">
        <v>198</v>
      </c>
      <c r="CZ4">
        <v>0.11956540495157242</v>
      </c>
      <c r="DA4" t="e">
        <v>#VALUE!</v>
      </c>
      <c r="DB4" t="s">
        <v>198</v>
      </c>
      <c r="DC4">
        <v>0.11358713470399379</v>
      </c>
      <c r="DD4" t="e">
        <v>#VALUE!</v>
      </c>
      <c r="DE4" t="s">
        <v>198</v>
      </c>
      <c r="DF4">
        <v>0.10521755635738372</v>
      </c>
      <c r="DG4" t="e">
        <v>#VALUE!</v>
      </c>
      <c r="DH4" t="s">
        <v>198</v>
      </c>
      <c r="DI4">
        <v>9.5652323961257946E-2</v>
      </c>
      <c r="DJ4" t="e">
        <v>#VALUE!</v>
      </c>
      <c r="DK4" t="s">
        <v>198</v>
      </c>
      <c r="DL4">
        <v>8.3695783466100682E-2</v>
      </c>
      <c r="DM4">
        <v>-965000000</v>
      </c>
      <c r="DN4">
        <v>0.11956540495157242</v>
      </c>
      <c r="DO4">
        <v>19853967900</v>
      </c>
      <c r="DP4">
        <v>-2070351800</v>
      </c>
      <c r="DQ4">
        <v>1391</v>
      </c>
      <c r="DR4">
        <v>0.42684607830201626</v>
      </c>
      <c r="DS4">
        <v>4.2598094971879048</v>
      </c>
      <c r="DT4" s="11">
        <v>-0.29000000000000004</v>
      </c>
      <c r="DU4">
        <v>-0.89333333333333342</v>
      </c>
      <c r="DV4">
        <v>-1.1833333333333336</v>
      </c>
      <c r="DW4">
        <v>-8.1629374641422832</v>
      </c>
      <c r="DX4">
        <v>0.37588012048192909</v>
      </c>
      <c r="DY4">
        <v>-8.0188812129758276</v>
      </c>
      <c r="DZ4">
        <v>3745</v>
      </c>
      <c r="EA4">
        <v>-8.0050436116853234</v>
      </c>
      <c r="EB4">
        <v>8</v>
      </c>
      <c r="EC4">
        <v>4.5146631323320696E-2</v>
      </c>
      <c r="ED4">
        <v>0.38959772509350837</v>
      </c>
      <c r="EE4" s="12">
        <v>7.7509999999999996E-2</v>
      </c>
      <c r="EF4">
        <v>0.11510999999999999</v>
      </c>
      <c r="EG4">
        <v>26.115880120481929</v>
      </c>
      <c r="EH4">
        <v>-1</v>
      </c>
      <c r="EI4">
        <v>0</v>
      </c>
      <c r="EJ4">
        <v>0</v>
      </c>
      <c r="EK4" s="8">
        <v>45470</v>
      </c>
      <c r="EL4" s="13">
        <v>0.16</v>
      </c>
      <c r="EM4" s="13">
        <v>-2.1800000000000002</v>
      </c>
      <c r="EN4" s="13">
        <v>0.48</v>
      </c>
      <c r="EO4" s="13">
        <v>5.56</v>
      </c>
      <c r="EP4" s="13">
        <v>-3.76</v>
      </c>
    </row>
    <row r="5" spans="1:146" ht="96">
      <c r="A5" s="14"/>
      <c r="B5" s="14"/>
      <c r="C5" s="14" t="str">
        <f>""&amp;CHAR(10)&amp;Basic_Fundamental_Information_Constructure(F5)&amp;CHAR(10)&amp;Basic_Fundamental_Information_Concatenate("")</f>
        <v xml:space="preserve">
市值222.23485亿, 利润2.00亿; PE38; 平均PE-51.03; 平均PEG-.88, PB1.25; ROIC1.95%; ROE-2.21%; 股利率.7955%; 毛利-1.3033%; 净利-9.15%; 上一年度营收增203.95%, 利润增118.67%; 当季营收增-36.94%, 利润增96.17%; 过往5年营收增57.91%, 利润增118.67%
Income profile:
</v>
      </c>
      <c r="D5" t="s">
        <v>19</v>
      </c>
      <c r="E5" t="s">
        <v>9</v>
      </c>
      <c r="F5">
        <v>9.39</v>
      </c>
      <c r="G5">
        <v>-0.32</v>
      </c>
      <c r="H5" t="s">
        <v>358</v>
      </c>
      <c r="I5">
        <v>22223485000</v>
      </c>
      <c r="J5">
        <v>38</v>
      </c>
      <c r="K5">
        <v>1.25</v>
      </c>
      <c r="L5" t="s">
        <v>20</v>
      </c>
      <c r="M5" t="s">
        <v>359</v>
      </c>
      <c r="N5" t="s">
        <v>360</v>
      </c>
      <c r="O5" t="s">
        <v>361</v>
      </c>
      <c r="P5">
        <v>22.36</v>
      </c>
      <c r="Q5" t="s">
        <v>362</v>
      </c>
      <c r="R5">
        <v>187599320</v>
      </c>
      <c r="S5" s="5">
        <v>3.194</v>
      </c>
      <c r="T5" t="s">
        <v>363</v>
      </c>
      <c r="U5">
        <v>2366718300</v>
      </c>
      <c r="V5">
        <v>2366718300</v>
      </c>
      <c r="W5">
        <v>1.48</v>
      </c>
      <c r="X5" t="s">
        <v>15</v>
      </c>
      <c r="Y5">
        <v>11.96</v>
      </c>
      <c r="Z5" t="s">
        <v>15</v>
      </c>
      <c r="AA5" t="s">
        <v>15</v>
      </c>
      <c r="AB5" t="s">
        <v>15</v>
      </c>
      <c r="AC5" t="s">
        <v>15</v>
      </c>
      <c r="AD5" t="s">
        <v>15</v>
      </c>
      <c r="AE5">
        <v>18344959</v>
      </c>
      <c r="AF5" t="s">
        <v>364</v>
      </c>
      <c r="AG5" t="s">
        <v>365</v>
      </c>
      <c r="AH5" t="s">
        <v>366</v>
      </c>
      <c r="AI5" t="s">
        <v>367</v>
      </c>
      <c r="AJ5" t="s">
        <v>368</v>
      </c>
      <c r="AK5" t="s">
        <v>15</v>
      </c>
      <c r="AL5" t="s">
        <v>369</v>
      </c>
      <c r="AM5" t="s">
        <v>15</v>
      </c>
      <c r="AN5" t="s">
        <v>370</v>
      </c>
      <c r="AO5" t="s">
        <v>15</v>
      </c>
      <c r="AP5" t="s">
        <v>15</v>
      </c>
      <c r="AQ5" t="s">
        <v>371</v>
      </c>
      <c r="AR5" t="s">
        <v>372</v>
      </c>
      <c r="AS5" t="s">
        <v>15</v>
      </c>
      <c r="AT5" t="s">
        <v>15</v>
      </c>
      <c r="AU5" t="s">
        <v>373</v>
      </c>
      <c r="AV5" t="s">
        <v>374</v>
      </c>
      <c r="AW5" t="s">
        <v>375</v>
      </c>
      <c r="AX5" t="s">
        <v>252</v>
      </c>
      <c r="AY5" t="s">
        <v>15</v>
      </c>
      <c r="AZ5" t="s">
        <v>85</v>
      </c>
      <c r="BA5" t="s">
        <v>87</v>
      </c>
      <c r="BB5" t="s">
        <v>88</v>
      </c>
      <c r="BC5" t="s">
        <v>376</v>
      </c>
      <c r="BD5" t="s">
        <v>15</v>
      </c>
      <c r="BE5" t="s">
        <v>15</v>
      </c>
      <c r="BF5" t="s">
        <v>15</v>
      </c>
      <c r="BG5" t="s">
        <v>15</v>
      </c>
      <c r="BH5" t="s">
        <v>377</v>
      </c>
      <c r="BI5" t="s">
        <v>378</v>
      </c>
      <c r="BJ5" t="s">
        <v>252</v>
      </c>
      <c r="BK5" t="s">
        <v>379</v>
      </c>
      <c r="BL5" t="s">
        <v>380</v>
      </c>
      <c r="BM5" t="s">
        <v>376</v>
      </c>
      <c r="BN5">
        <v>1.95</v>
      </c>
      <c r="BO5" t="s">
        <v>15</v>
      </c>
      <c r="BP5" t="s">
        <v>15</v>
      </c>
      <c r="BQ5">
        <v>1.58</v>
      </c>
      <c r="BR5">
        <v>-6.03</v>
      </c>
      <c r="BS5">
        <v>-2.1800000000000002</v>
      </c>
      <c r="BT5" t="s">
        <v>381</v>
      </c>
      <c r="BU5" t="s">
        <v>197</v>
      </c>
      <c r="BV5">
        <v>21.13</v>
      </c>
      <c r="BW5">
        <v>-24.12</v>
      </c>
      <c r="BX5">
        <v>-0.92</v>
      </c>
      <c r="BY5">
        <v>7.48</v>
      </c>
      <c r="BZ5">
        <v>-27.49</v>
      </c>
      <c r="CA5">
        <v>-7.44</v>
      </c>
      <c r="CB5">
        <v>-0.95</v>
      </c>
      <c r="CC5">
        <v>-8.66</v>
      </c>
      <c r="CD5" t="s">
        <v>382</v>
      </c>
      <c r="CE5" t="s">
        <v>383</v>
      </c>
      <c r="CF5" s="9">
        <v>-0.36935912021236256</v>
      </c>
      <c r="CG5" s="10">
        <v>0.96165679037906326</v>
      </c>
      <c r="CH5" s="9">
        <v>2.0395364761352539</v>
      </c>
      <c r="CI5" s="9" t="s">
        <v>15</v>
      </c>
      <c r="CJ5" s="9" t="s">
        <v>15</v>
      </c>
      <c r="CK5" s="9">
        <v>-0.36582109332084656</v>
      </c>
      <c r="CL5" s="9">
        <v>6.3508488237857819E-2</v>
      </c>
      <c r="CM5" s="10">
        <v>1.1867414712905884</v>
      </c>
      <c r="CN5" s="10" t="s">
        <v>15</v>
      </c>
      <c r="CO5" s="10" t="s">
        <v>15</v>
      </c>
      <c r="CP5" s="10" t="s">
        <v>15</v>
      </c>
      <c r="CQ5" s="10" t="s">
        <v>15</v>
      </c>
      <c r="CR5">
        <v>-51.029816303099878</v>
      </c>
      <c r="CS5">
        <v>-0.8812304013331963</v>
      </c>
      <c r="CT5">
        <v>0.79552715654952066</v>
      </c>
      <c r="CU5" s="9">
        <v>0.57907462368408835</v>
      </c>
      <c r="CV5" s="10">
        <v>1.1867414712905884</v>
      </c>
      <c r="CW5">
        <v>0.06</v>
      </c>
      <c r="CX5">
        <v>42.345921780437386</v>
      </c>
      <c r="CY5">
        <v>297938608.24228078</v>
      </c>
      <c r="CZ5">
        <v>0.57907462368408835</v>
      </c>
      <c r="DA5">
        <v>9.3756895725874649</v>
      </c>
      <c r="DB5">
        <v>1345659420.816143</v>
      </c>
      <c r="DC5">
        <v>0.55012089249988394</v>
      </c>
      <c r="DD5">
        <v>2.5585969275313092</v>
      </c>
      <c r="DE5">
        <v>4931017021.1816664</v>
      </c>
      <c r="DF5">
        <v>0.50958566884199774</v>
      </c>
      <c r="DG5">
        <v>0.7205315957727938</v>
      </c>
      <c r="DH5">
        <v>17509967743.285992</v>
      </c>
      <c r="DI5">
        <v>0.4632596989472707</v>
      </c>
      <c r="DJ5">
        <v>5.5251507754445872E-2</v>
      </c>
      <c r="DK5">
        <v>228346438183.577</v>
      </c>
      <c r="DL5">
        <v>0.40535223657886182</v>
      </c>
      <c r="DM5">
        <v>200000000</v>
      </c>
      <c r="DN5">
        <v>0.57907462368408835</v>
      </c>
      <c r="DO5">
        <v>12616485000</v>
      </c>
      <c r="DP5">
        <v>4786396800</v>
      </c>
      <c r="DQ5">
        <v>2847</v>
      </c>
      <c r="DR5">
        <v>-0.94843374389645096</v>
      </c>
      <c r="DS5">
        <v>-0.22508468091152511</v>
      </c>
      <c r="DT5" s="11">
        <v>-0.21000000000000008</v>
      </c>
      <c r="DU5">
        <v>2.3199999999999998</v>
      </c>
      <c r="DV5">
        <v>2.11</v>
      </c>
      <c r="DW5">
        <v>-2.0865999999999998</v>
      </c>
      <c r="DX5">
        <v>0.32354594594594477</v>
      </c>
      <c r="DY5">
        <v>-2.0141630789189189</v>
      </c>
      <c r="DZ5">
        <v>2644</v>
      </c>
      <c r="EA5">
        <v>-2.0068348635252553</v>
      </c>
      <c r="EB5">
        <v>2</v>
      </c>
      <c r="EC5">
        <v>2.5567892892026906E-2</v>
      </c>
      <c r="ED5">
        <v>0.15633461743207885</v>
      </c>
      <c r="EE5" s="12">
        <v>1.0963000000000001</v>
      </c>
      <c r="EF5">
        <v>1.0974999999999999</v>
      </c>
      <c r="EG5">
        <v>16.163545945945945</v>
      </c>
      <c r="EH5" t="s">
        <v>200</v>
      </c>
      <c r="EI5">
        <v>0</v>
      </c>
      <c r="EJ5">
        <v>0</v>
      </c>
      <c r="EK5" s="8">
        <v>45470</v>
      </c>
      <c r="EL5" s="13">
        <v>-0.37</v>
      </c>
      <c r="EM5" s="13">
        <v>-0.24</v>
      </c>
      <c r="EN5" s="13">
        <v>0.61</v>
      </c>
      <c r="EO5" s="13">
        <v>0.12</v>
      </c>
      <c r="EP5" s="13">
        <v>0.12</v>
      </c>
    </row>
    <row r="6" spans="1:146" ht="96">
      <c r="A6" s="14"/>
      <c r="B6" s="14"/>
      <c r="C6" s="14" t="str">
        <f>""&amp;CHAR(10)&amp;Basic_Fundamental_Information_Constructure(F6)&amp;CHAR(10)&amp;Basic_Fundamental_Information_Concatenate("")</f>
        <v xml:space="preserve">
市值819.20806亿, 利润5.15亿; PE57.72; 平均PE-66.07; 平均PEG-.17, PB2; ROIC2.03%; ROE-4.34%; 股利率.3645%; 毛利-36.3067%; 净利-27.89%; 上一年度营收增1187.68%, 利润增117.2%; 当季营收增-82.34%, 利润增32.56%; 过往5年营收增381.51%, 利润增117.2%
Income profile:
</v>
      </c>
      <c r="D6" t="s">
        <v>24</v>
      </c>
      <c r="E6" t="s">
        <v>7</v>
      </c>
      <c r="F6">
        <v>32.92</v>
      </c>
      <c r="G6">
        <v>-0.24</v>
      </c>
      <c r="H6" t="s">
        <v>384</v>
      </c>
      <c r="I6">
        <v>81920806000</v>
      </c>
      <c r="J6">
        <v>57.72</v>
      </c>
      <c r="K6">
        <v>2</v>
      </c>
      <c r="L6" t="s">
        <v>20</v>
      </c>
      <c r="M6" t="s">
        <v>385</v>
      </c>
      <c r="N6" t="s">
        <v>386</v>
      </c>
      <c r="O6" t="s">
        <v>387</v>
      </c>
      <c r="P6">
        <v>40.61</v>
      </c>
      <c r="Q6" t="s">
        <v>388</v>
      </c>
      <c r="R6">
        <v>385764040</v>
      </c>
      <c r="S6" s="5">
        <v>4.883</v>
      </c>
      <c r="T6" t="s">
        <v>389</v>
      </c>
      <c r="U6">
        <v>1926958400</v>
      </c>
      <c r="V6">
        <v>2488481300</v>
      </c>
      <c r="W6">
        <v>1.66</v>
      </c>
      <c r="X6" t="s">
        <v>15</v>
      </c>
      <c r="Y6">
        <v>15.21</v>
      </c>
      <c r="Z6" t="s">
        <v>15</v>
      </c>
      <c r="AA6" t="s">
        <v>15</v>
      </c>
      <c r="AB6" t="s">
        <v>15</v>
      </c>
      <c r="AC6" t="s">
        <v>15</v>
      </c>
      <c r="AD6" t="s">
        <v>15</v>
      </c>
      <c r="AE6">
        <v>90813168</v>
      </c>
      <c r="AF6" t="s">
        <v>390</v>
      </c>
      <c r="AG6" t="s">
        <v>391</v>
      </c>
      <c r="AH6" t="s">
        <v>392</v>
      </c>
      <c r="AI6" t="s">
        <v>393</v>
      </c>
      <c r="AJ6" t="s">
        <v>394</v>
      </c>
      <c r="AK6" t="s">
        <v>15</v>
      </c>
      <c r="AL6" t="s">
        <v>395</v>
      </c>
      <c r="AM6" t="s">
        <v>15</v>
      </c>
      <c r="AN6" t="s">
        <v>396</v>
      </c>
      <c r="AO6" t="s">
        <v>15</v>
      </c>
      <c r="AP6" t="s">
        <v>397</v>
      </c>
      <c r="AQ6" t="s">
        <v>398</v>
      </c>
      <c r="AR6" t="s">
        <v>399</v>
      </c>
      <c r="AS6" t="s">
        <v>15</v>
      </c>
      <c r="AT6" t="s">
        <v>15</v>
      </c>
      <c r="AU6" t="s">
        <v>400</v>
      </c>
      <c r="AV6" t="s">
        <v>401</v>
      </c>
      <c r="AW6" t="s">
        <v>402</v>
      </c>
      <c r="AX6" t="s">
        <v>403</v>
      </c>
      <c r="AY6" t="s">
        <v>15</v>
      </c>
      <c r="AZ6" t="s">
        <v>90</v>
      </c>
      <c r="BA6" t="s">
        <v>50</v>
      </c>
      <c r="BB6" t="s">
        <v>91</v>
      </c>
      <c r="BC6" t="s">
        <v>404</v>
      </c>
      <c r="BD6" t="s">
        <v>15</v>
      </c>
      <c r="BE6" t="s">
        <v>15</v>
      </c>
      <c r="BF6" t="s">
        <v>15</v>
      </c>
      <c r="BG6" t="s">
        <v>15</v>
      </c>
      <c r="BH6" t="s">
        <v>405</v>
      </c>
      <c r="BI6" t="s">
        <v>406</v>
      </c>
      <c r="BJ6" t="s">
        <v>403</v>
      </c>
      <c r="BK6" t="s">
        <v>407</v>
      </c>
      <c r="BL6" t="s">
        <v>408</v>
      </c>
      <c r="BM6" t="s">
        <v>404</v>
      </c>
      <c r="BN6">
        <v>2.0299999999999998</v>
      </c>
      <c r="BO6" t="s">
        <v>15</v>
      </c>
      <c r="BP6" t="s">
        <v>15</v>
      </c>
      <c r="BQ6">
        <v>1.25</v>
      </c>
      <c r="BR6">
        <v>-8.24</v>
      </c>
      <c r="BS6">
        <v>-6.03</v>
      </c>
      <c r="BT6" t="s">
        <v>409</v>
      </c>
      <c r="BU6" t="s">
        <v>197</v>
      </c>
      <c r="BV6">
        <v>16.510000000000002</v>
      </c>
      <c r="BW6">
        <v>-62.41</v>
      </c>
      <c r="BX6">
        <v>-63.02</v>
      </c>
      <c r="BY6">
        <v>10.76</v>
      </c>
      <c r="BZ6">
        <v>-50.91</v>
      </c>
      <c r="CA6">
        <v>-43.52</v>
      </c>
      <c r="CB6">
        <v>2.08</v>
      </c>
      <c r="CC6">
        <v>-8.02</v>
      </c>
      <c r="CD6" t="s">
        <v>410</v>
      </c>
      <c r="CE6" t="s">
        <v>411</v>
      </c>
      <c r="CF6" s="9">
        <v>-0.82338192419825074</v>
      </c>
      <c r="CG6" s="10">
        <v>0.32564962199312714</v>
      </c>
      <c r="CH6" s="9">
        <v>11.876825332641602</v>
      </c>
      <c r="CI6" s="9" t="s">
        <v>15</v>
      </c>
      <c r="CJ6" s="9" t="s">
        <v>15</v>
      </c>
      <c r="CK6" s="9">
        <v>-0.60685247182846069</v>
      </c>
      <c r="CL6" s="9">
        <v>0.17523890733718872</v>
      </c>
      <c r="CM6" s="10">
        <v>1.1719533205032349</v>
      </c>
      <c r="CN6" s="10" t="s">
        <v>15</v>
      </c>
      <c r="CO6" s="10" t="s">
        <v>15</v>
      </c>
      <c r="CP6" s="10" t="s">
        <v>15</v>
      </c>
      <c r="CQ6" s="10" t="s">
        <v>15</v>
      </c>
      <c r="CR6">
        <v>-66.065166129032264</v>
      </c>
      <c r="CS6">
        <v>-0.17316892199289322</v>
      </c>
      <c r="CT6">
        <v>0.36452004860267312</v>
      </c>
      <c r="CU6" s="9">
        <v>3.8150705893834433</v>
      </c>
      <c r="CV6" s="10">
        <v>1.1719533205032349</v>
      </c>
      <c r="CW6">
        <v>0.06</v>
      </c>
      <c r="CX6">
        <v>28.591894239742022</v>
      </c>
      <c r="CY6">
        <v>2339397503.3325219</v>
      </c>
      <c r="CZ6">
        <v>3.8150705893834433</v>
      </c>
      <c r="DA6">
        <v>1.2204097820749771</v>
      </c>
      <c r="DB6">
        <v>54807661313.788689</v>
      </c>
      <c r="DC6">
        <v>3.6243170599142709</v>
      </c>
      <c r="DD6">
        <v>2.037617257750236E-2</v>
      </c>
      <c r="DE6">
        <v>3282648188495.019</v>
      </c>
      <c r="DF6">
        <v>3.3572621186574301</v>
      </c>
      <c r="DG6">
        <v>1.4392572644763118E-4</v>
      </c>
      <c r="DH6">
        <v>464738359506129</v>
      </c>
      <c r="DI6">
        <v>3.0520564715067549</v>
      </c>
      <c r="DJ6">
        <v>1.5032678611757503E-9</v>
      </c>
      <c r="DK6">
        <v>4.4494935152598196E+19</v>
      </c>
      <c r="DL6">
        <v>2.6705494125684104</v>
      </c>
      <c r="DM6">
        <v>515000000.00000006</v>
      </c>
      <c r="DN6">
        <v>3.8150705893834433</v>
      </c>
      <c r="DO6">
        <v>66887806000</v>
      </c>
      <c r="DP6">
        <v>19187069000</v>
      </c>
      <c r="DQ6">
        <v>2851</v>
      </c>
      <c r="DR6">
        <v>-4.6384525135816936</v>
      </c>
      <c r="DS6">
        <v>-0.84630369851010778</v>
      </c>
      <c r="DT6" s="11">
        <v>-0.21000000000000008</v>
      </c>
      <c r="DU6">
        <v>1.66</v>
      </c>
      <c r="DV6">
        <v>1.4499999999999997</v>
      </c>
      <c r="DW6">
        <v>-2.0802</v>
      </c>
      <c r="DX6">
        <v>0.38656261261261321</v>
      </c>
      <c r="DY6">
        <v>-2.0157643215315315</v>
      </c>
      <c r="DZ6">
        <v>1178</v>
      </c>
      <c r="EA6">
        <v>-2.0121301980943214</v>
      </c>
      <c r="EB6">
        <v>2</v>
      </c>
      <c r="EC6">
        <v>1.7535554717650476E-2</v>
      </c>
      <c r="ED6">
        <v>8.9211038073703841E-2</v>
      </c>
      <c r="EE6" s="12">
        <v>1.0476000000000001</v>
      </c>
      <c r="EF6">
        <v>1.0402</v>
      </c>
      <c r="EG6">
        <v>19.196562612612613</v>
      </c>
      <c r="EH6" t="s">
        <v>200</v>
      </c>
      <c r="EI6">
        <v>0</v>
      </c>
      <c r="EJ6">
        <v>1</v>
      </c>
      <c r="EK6" s="8">
        <v>45470</v>
      </c>
      <c r="EL6" s="13">
        <v>0.74</v>
      </c>
      <c r="EM6" s="13">
        <v>-2.2000000000000002</v>
      </c>
      <c r="EN6" s="13">
        <v>0.37</v>
      </c>
      <c r="EO6" s="13">
        <v>0.75</v>
      </c>
      <c r="EP6" s="13">
        <v>-0.74</v>
      </c>
    </row>
    <row r="7" spans="1:146" ht="96">
      <c r="A7" s="14"/>
      <c r="B7" s="14"/>
      <c r="C7" s="14" t="str">
        <f>""&amp;CHAR(10)&amp;Basic_Fundamental_Information_Constructure(F7)&amp;CHAR(10)&amp;Basic_Fundamental_Information_Concatenate("")</f>
        <v xml:space="preserve">
市值1052.82478亿, 利润197.21亿; PE; 平均PE-16.25; 平均PEG-.77, PB2.8; ROIC3.53%; ROE-25.5333%; 股利率0%; 毛利-5.4733%; 净利-17.1567%; 上一年度营收增-31%, 利润增160.34%; 当季营收增190.6%, 利润增-86.04%; 过往5年营收增-21.19%, 利润增160.34%
Income profile:
</v>
      </c>
      <c r="D7" t="s">
        <v>23</v>
      </c>
      <c r="E7" t="s">
        <v>10</v>
      </c>
      <c r="F7">
        <v>5.81</v>
      </c>
      <c r="G7">
        <v>0.52</v>
      </c>
      <c r="H7" t="s">
        <v>412</v>
      </c>
      <c r="I7">
        <v>105282478000</v>
      </c>
      <c r="K7">
        <v>2.8</v>
      </c>
      <c r="L7" t="s">
        <v>20</v>
      </c>
      <c r="M7" t="s">
        <v>413</v>
      </c>
      <c r="N7" t="s">
        <v>414</v>
      </c>
      <c r="O7" t="s">
        <v>415</v>
      </c>
      <c r="P7">
        <v>30.97</v>
      </c>
      <c r="Q7" t="s">
        <v>416</v>
      </c>
      <c r="R7">
        <v>756000000</v>
      </c>
      <c r="S7" s="5">
        <v>1.3979999999999999</v>
      </c>
      <c r="T7" t="s">
        <v>417</v>
      </c>
      <c r="U7">
        <v>12673339700</v>
      </c>
      <c r="V7">
        <v>18120908000</v>
      </c>
      <c r="W7">
        <v>5.89</v>
      </c>
      <c r="X7" t="s">
        <v>15</v>
      </c>
      <c r="Y7">
        <v>2.82</v>
      </c>
      <c r="Z7" t="s">
        <v>15</v>
      </c>
      <c r="AA7" t="s">
        <v>15</v>
      </c>
      <c r="AB7" t="s">
        <v>15</v>
      </c>
      <c r="AC7" t="s">
        <v>15</v>
      </c>
      <c r="AD7" t="s">
        <v>15</v>
      </c>
      <c r="AE7">
        <v>1539000000</v>
      </c>
      <c r="AF7" t="s">
        <v>418</v>
      </c>
      <c r="AG7" t="s">
        <v>419</v>
      </c>
      <c r="AH7" t="s">
        <v>420</v>
      </c>
      <c r="AI7" t="s">
        <v>421</v>
      </c>
      <c r="AJ7" t="s">
        <v>422</v>
      </c>
      <c r="AK7" t="s">
        <v>15</v>
      </c>
      <c r="AL7" t="s">
        <v>423</v>
      </c>
      <c r="AM7" t="s">
        <v>15</v>
      </c>
      <c r="AN7" t="s">
        <v>424</v>
      </c>
      <c r="AO7" t="s">
        <v>15</v>
      </c>
      <c r="AP7" t="s">
        <v>425</v>
      </c>
      <c r="AQ7" t="s">
        <v>426</v>
      </c>
      <c r="AR7" t="s">
        <v>427</v>
      </c>
      <c r="AS7" t="s">
        <v>15</v>
      </c>
      <c r="AT7" t="s">
        <v>15</v>
      </c>
      <c r="AU7" t="s">
        <v>428</v>
      </c>
      <c r="AV7" t="s">
        <v>429</v>
      </c>
      <c r="AW7" t="s">
        <v>430</v>
      </c>
      <c r="AX7" t="s">
        <v>431</v>
      </c>
      <c r="AY7" t="s">
        <v>15</v>
      </c>
      <c r="AZ7" t="s">
        <v>92</v>
      </c>
      <c r="BA7" t="s">
        <v>51</v>
      </c>
      <c r="BB7" t="s">
        <v>93</v>
      </c>
      <c r="BC7" t="s">
        <v>432</v>
      </c>
      <c r="BD7" t="s">
        <v>15</v>
      </c>
      <c r="BE7" t="s">
        <v>15</v>
      </c>
      <c r="BF7" t="s">
        <v>15</v>
      </c>
      <c r="BG7" t="s">
        <v>15</v>
      </c>
      <c r="BH7" t="s">
        <v>433</v>
      </c>
      <c r="BI7" t="s">
        <v>434</v>
      </c>
      <c r="BJ7" t="s">
        <v>431</v>
      </c>
      <c r="BK7" t="s">
        <v>435</v>
      </c>
      <c r="BL7" t="s">
        <v>436</v>
      </c>
      <c r="BM7" t="s">
        <v>432</v>
      </c>
      <c r="BN7">
        <v>3.53</v>
      </c>
      <c r="BO7" t="s">
        <v>15</v>
      </c>
      <c r="BP7" t="s">
        <v>15</v>
      </c>
      <c r="BQ7">
        <v>3.16</v>
      </c>
      <c r="BR7">
        <v>-62.19</v>
      </c>
      <c r="BS7">
        <v>-17.57</v>
      </c>
      <c r="BT7" t="s">
        <v>255</v>
      </c>
      <c r="BU7" t="s">
        <v>199</v>
      </c>
      <c r="BV7">
        <v>7.72</v>
      </c>
      <c r="BW7">
        <v>-21.6</v>
      </c>
      <c r="BX7">
        <v>-2.54</v>
      </c>
      <c r="BY7">
        <v>-1.93</v>
      </c>
      <c r="BZ7">
        <v>-38.71</v>
      </c>
      <c r="CA7">
        <v>-10.83</v>
      </c>
      <c r="CB7">
        <v>-1.36</v>
      </c>
      <c r="CC7">
        <v>-3.17</v>
      </c>
      <c r="CD7" t="s">
        <v>149</v>
      </c>
      <c r="CE7" t="s">
        <v>437</v>
      </c>
      <c r="CF7" s="9">
        <v>1.9059812353401098</v>
      </c>
      <c r="CG7" s="10">
        <v>-0.86043935757799517</v>
      </c>
      <c r="CH7" s="9">
        <v>-0.31003111600875854</v>
      </c>
      <c r="CI7" s="9" t="s">
        <v>15</v>
      </c>
      <c r="CJ7" s="9" t="s">
        <v>15</v>
      </c>
      <c r="CK7" s="9">
        <v>-0.40020865201950073</v>
      </c>
      <c r="CL7" s="9">
        <v>7.4493624269962311E-2</v>
      </c>
      <c r="CM7" s="10">
        <v>1.6034209728240967</v>
      </c>
      <c r="CN7" s="10" t="s">
        <v>15</v>
      </c>
      <c r="CO7" s="10" t="s">
        <v>15</v>
      </c>
      <c r="CP7" s="10" t="s">
        <v>15</v>
      </c>
      <c r="CQ7" s="10" t="s">
        <v>15</v>
      </c>
      <c r="CR7">
        <v>-16.2460424349973</v>
      </c>
      <c r="CS7">
        <v>-0.76662875242734541</v>
      </c>
      <c r="CT7">
        <v>0</v>
      </c>
      <c r="CU7" s="9">
        <v>-0.21191538125276566</v>
      </c>
      <c r="CV7" s="10">
        <v>1.6034209728240967</v>
      </c>
      <c r="CW7">
        <v>0.06</v>
      </c>
      <c r="CX7">
        <v>15.681683383195578</v>
      </c>
      <c r="CY7" t="s">
        <v>438</v>
      </c>
      <c r="CZ7">
        <v>-0.21191538125276566</v>
      </c>
      <c r="DA7">
        <v>5.2272277943985257</v>
      </c>
      <c r="DB7" t="s">
        <v>439</v>
      </c>
      <c r="DC7">
        <v>-0.20131961219012737</v>
      </c>
      <c r="DD7">
        <v>2.6136138971992628</v>
      </c>
      <c r="DE7" t="s">
        <v>440</v>
      </c>
      <c r="DF7">
        <v>-0.18648553550243377</v>
      </c>
      <c r="DG7">
        <v>1.5681683383195579</v>
      </c>
      <c r="DH7" t="s">
        <v>441</v>
      </c>
      <c r="DI7">
        <v>-0.16953230500221253</v>
      </c>
      <c r="DJ7">
        <v>0.78408416915977897</v>
      </c>
      <c r="DK7" t="s">
        <v>442</v>
      </c>
      <c r="DL7">
        <v>-0.14834076687693595</v>
      </c>
      <c r="DM7">
        <v>19721000000</v>
      </c>
      <c r="DN7">
        <v>-0.21191538125276566</v>
      </c>
      <c r="DO7">
        <v>309258478000</v>
      </c>
      <c r="DP7">
        <v>30045000000</v>
      </c>
      <c r="DQ7">
        <v>2868</v>
      </c>
      <c r="DR7">
        <v>2.1178966165928754</v>
      </c>
      <c r="DS7">
        <v>-2.4638603304020918</v>
      </c>
      <c r="DT7" s="11">
        <v>-0.91</v>
      </c>
      <c r="DU7">
        <v>-0.32000000000000006</v>
      </c>
      <c r="DV7">
        <v>-1.23</v>
      </c>
      <c r="DW7">
        <v>-1.0317000000000001</v>
      </c>
      <c r="DX7">
        <v>0.51408876298395001</v>
      </c>
      <c r="DY7">
        <v>-1.0042506137865912</v>
      </c>
      <c r="DZ7">
        <v>1993</v>
      </c>
      <c r="EA7">
        <v>-1.0025927912275547</v>
      </c>
      <c r="EB7">
        <v>1</v>
      </c>
      <c r="EC7">
        <v>7.8362519140873065E-3</v>
      </c>
      <c r="ED7">
        <v>5.8440780119848296E-2</v>
      </c>
      <c r="EE7" s="12">
        <v>-1.0003</v>
      </c>
      <c r="EF7">
        <v>-1.0019</v>
      </c>
      <c r="EG7">
        <v>38.13408876298395</v>
      </c>
      <c r="EH7" t="s">
        <v>257</v>
      </c>
      <c r="EI7">
        <v>0</v>
      </c>
      <c r="EJ7">
        <v>0</v>
      </c>
      <c r="EK7" s="8">
        <v>45470</v>
      </c>
      <c r="EL7" s="13">
        <v>-0.49</v>
      </c>
      <c r="EM7" s="13">
        <v>-0.16</v>
      </c>
      <c r="EN7" s="13">
        <v>-0.33</v>
      </c>
      <c r="EO7" s="13">
        <v>0.65</v>
      </c>
      <c r="EP7" s="13">
        <v>0.16</v>
      </c>
    </row>
    <row r="8" spans="1:146" ht="96">
      <c r="A8" s="14"/>
      <c r="B8" s="14"/>
      <c r="C8" s="14" t="str">
        <f>""&amp;CHAR(10)&amp;Basic_Fundamental_Information_Constructure(F8)&amp;CHAR(10)&amp;Basic_Fundamental_Information_Concatenate("")</f>
        <v xml:space="preserve">
市值851.52753亿, 利润5.16亿; PE; 平均PE-4.62; 平均PEG-.11, PB4.37; ROIC0%; ROE-49.53%; 股利率0%; 毛利-26.63%; 净利-37.9633%; 上一年度营收增-75.86%, 利润增101.38%; 当季营收增1027.34%, 利润增-1991.05%; 过往5年营收增-40.73%, 利润增101.38%
Income profile:
</v>
      </c>
      <c r="D8" t="s">
        <v>21</v>
      </c>
      <c r="E8" t="s">
        <v>113</v>
      </c>
      <c r="F8">
        <v>3.82</v>
      </c>
      <c r="G8">
        <v>-0.52</v>
      </c>
      <c r="H8" t="s">
        <v>443</v>
      </c>
      <c r="I8">
        <v>85152753000</v>
      </c>
      <c r="K8">
        <v>4.37</v>
      </c>
      <c r="L8" t="s">
        <v>20</v>
      </c>
      <c r="M8" t="s">
        <v>444</v>
      </c>
      <c r="N8" t="s">
        <v>445</v>
      </c>
      <c r="O8" t="s">
        <v>446</v>
      </c>
      <c r="P8">
        <v>48.96</v>
      </c>
      <c r="Q8" t="s">
        <v>447</v>
      </c>
      <c r="R8">
        <v>-803000000</v>
      </c>
      <c r="S8" s="5">
        <v>0.79090000000000005</v>
      </c>
      <c r="T8" t="s">
        <v>448</v>
      </c>
      <c r="U8">
        <v>13480636000</v>
      </c>
      <c r="V8">
        <v>22291297000</v>
      </c>
      <c r="W8">
        <v>6.8</v>
      </c>
      <c r="X8" t="s">
        <v>15</v>
      </c>
      <c r="Y8">
        <v>-2.81</v>
      </c>
      <c r="Z8" t="s">
        <v>15</v>
      </c>
      <c r="AA8" t="s">
        <v>15</v>
      </c>
      <c r="AB8" t="s">
        <v>15</v>
      </c>
      <c r="AC8" t="s">
        <v>15</v>
      </c>
      <c r="AD8" t="s">
        <v>15</v>
      </c>
      <c r="AE8">
        <v>1416000000</v>
      </c>
      <c r="AF8" t="s">
        <v>449</v>
      </c>
      <c r="AG8" t="s">
        <v>450</v>
      </c>
      <c r="AH8" t="s">
        <v>451</v>
      </c>
      <c r="AI8" t="s">
        <v>253</v>
      </c>
      <c r="AJ8" t="s">
        <v>452</v>
      </c>
      <c r="AK8" t="s">
        <v>15</v>
      </c>
      <c r="AL8" t="s">
        <v>453</v>
      </c>
      <c r="AM8" t="s">
        <v>15</v>
      </c>
      <c r="AN8" t="s">
        <v>454</v>
      </c>
      <c r="AO8" t="s">
        <v>15</v>
      </c>
      <c r="AP8" t="s">
        <v>455</v>
      </c>
      <c r="AQ8" t="s">
        <v>456</v>
      </c>
      <c r="AR8" t="s">
        <v>457</v>
      </c>
      <c r="AS8" t="s">
        <v>15</v>
      </c>
      <c r="AT8" t="s">
        <v>15</v>
      </c>
      <c r="AU8" t="s">
        <v>458</v>
      </c>
      <c r="AV8" t="s">
        <v>459</v>
      </c>
      <c r="AW8" t="s">
        <v>460</v>
      </c>
      <c r="AX8" t="s">
        <v>461</v>
      </c>
      <c r="AY8" t="s">
        <v>15</v>
      </c>
      <c r="AZ8" t="s">
        <v>94</v>
      </c>
      <c r="BA8" t="s">
        <v>52</v>
      </c>
      <c r="BB8" t="s">
        <v>95</v>
      </c>
      <c r="BC8" t="s">
        <v>462</v>
      </c>
      <c r="BD8" t="s">
        <v>15</v>
      </c>
      <c r="BE8" t="s">
        <v>15</v>
      </c>
      <c r="BF8" t="s">
        <v>15</v>
      </c>
      <c r="BG8" t="s">
        <v>15</v>
      </c>
      <c r="BH8" t="s">
        <v>463</v>
      </c>
      <c r="BI8" t="s">
        <v>464</v>
      </c>
      <c r="BJ8" t="s">
        <v>461</v>
      </c>
      <c r="BK8" t="s">
        <v>465</v>
      </c>
      <c r="BL8" t="s">
        <v>466</v>
      </c>
      <c r="BM8" t="s">
        <v>462</v>
      </c>
      <c r="BN8" t="s">
        <v>15</v>
      </c>
      <c r="BO8" t="s">
        <v>15</v>
      </c>
      <c r="BP8" t="s">
        <v>15</v>
      </c>
      <c r="BQ8">
        <v>-9.4</v>
      </c>
      <c r="BR8">
        <v>-114.16</v>
      </c>
      <c r="BS8">
        <v>-25.03</v>
      </c>
      <c r="BT8" t="s">
        <v>255</v>
      </c>
      <c r="BU8" t="s">
        <v>199</v>
      </c>
      <c r="BV8">
        <v>1.1299999999999999</v>
      </c>
      <c r="BW8">
        <v>-61.78</v>
      </c>
      <c r="BX8">
        <v>-19.239999999999998</v>
      </c>
      <c r="BY8">
        <v>-7.57</v>
      </c>
      <c r="BZ8">
        <v>-86.53</v>
      </c>
      <c r="CA8">
        <v>-19.79</v>
      </c>
      <c r="CB8">
        <v>-4.74</v>
      </c>
      <c r="CC8">
        <v>-3.54</v>
      </c>
      <c r="CD8" t="s">
        <v>467</v>
      </c>
      <c r="CE8" t="s">
        <v>468</v>
      </c>
      <c r="CF8" s="9">
        <v>10.2734375</v>
      </c>
      <c r="CG8" s="10">
        <v>-19.910478154669832</v>
      </c>
      <c r="CH8" s="9">
        <v>-0.75862216949462891</v>
      </c>
      <c r="CI8" s="9" t="s">
        <v>15</v>
      </c>
      <c r="CJ8" s="9" t="s">
        <v>15</v>
      </c>
      <c r="CK8" s="9">
        <v>-0.51481878757476807</v>
      </c>
      <c r="CL8" s="9">
        <v>5.159662663936615E-2</v>
      </c>
      <c r="CM8" s="10">
        <v>1.0138131380081177</v>
      </c>
      <c r="CN8" s="10" t="s">
        <v>15</v>
      </c>
      <c r="CO8" s="10" t="s">
        <v>15</v>
      </c>
      <c r="CP8" s="10" t="s">
        <v>15</v>
      </c>
      <c r="CQ8" s="10" t="s">
        <v>15</v>
      </c>
      <c r="CR8">
        <v>-4.6228421824104231</v>
      </c>
      <c r="CS8">
        <v>-0.11350485656671346</v>
      </c>
      <c r="CT8">
        <v>0</v>
      </c>
      <c r="CU8" s="9">
        <v>-0.40728144347667694</v>
      </c>
      <c r="CV8" s="10">
        <v>1.0138131380081177</v>
      </c>
      <c r="CW8">
        <v>0.06</v>
      </c>
      <c r="CX8" t="e">
        <v>#VALUE!</v>
      </c>
      <c r="CY8" t="s">
        <v>469</v>
      </c>
      <c r="CZ8">
        <v>-0.40728144347667694</v>
      </c>
      <c r="DA8">
        <v>184.89906524547803</v>
      </c>
      <c r="DB8" t="s">
        <v>470</v>
      </c>
      <c r="DC8">
        <v>-0.38691737130284309</v>
      </c>
      <c r="DD8">
        <v>92.449532622739014</v>
      </c>
      <c r="DE8" t="s">
        <v>471</v>
      </c>
      <c r="DF8">
        <v>-0.35840767025947573</v>
      </c>
      <c r="DG8">
        <v>55.46971957364341</v>
      </c>
      <c r="DH8" t="s">
        <v>472</v>
      </c>
      <c r="DI8">
        <v>-0.32582515478134155</v>
      </c>
      <c r="DJ8">
        <v>27.734859786821705</v>
      </c>
      <c r="DK8" t="s">
        <v>473</v>
      </c>
      <c r="DL8">
        <v>-0.28509701043367386</v>
      </c>
      <c r="DM8">
        <v>516000000</v>
      </c>
      <c r="DN8">
        <v>-0.40728144347667694</v>
      </c>
      <c r="DO8">
        <v>286223753000</v>
      </c>
      <c r="DP8">
        <v>18905000000</v>
      </c>
      <c r="DQ8">
        <v>2932</v>
      </c>
      <c r="DR8">
        <v>10.680718943476677</v>
      </c>
      <c r="DS8">
        <v>-20.92429129267795</v>
      </c>
      <c r="DT8" s="11">
        <v>-1.1599999999999999</v>
      </c>
      <c r="DU8">
        <v>-1.6950000000000001</v>
      </c>
      <c r="DV8">
        <v>-2.855</v>
      </c>
      <c r="DW8">
        <v>-4.7468354430379742</v>
      </c>
      <c r="DX8">
        <v>0.53610738255033652</v>
      </c>
      <c r="DY8">
        <v>-4.1240548806388579</v>
      </c>
      <c r="DZ8">
        <v>1365</v>
      </c>
      <c r="EA8">
        <v>-4.0909169330709441</v>
      </c>
      <c r="EB8">
        <v>4</v>
      </c>
      <c r="EC8">
        <v>8.8823902889096137E-3</v>
      </c>
      <c r="ED8">
        <v>5.3473783961516461E-2</v>
      </c>
      <c r="EE8" s="12">
        <v>4.0824999999999996</v>
      </c>
      <c r="EF8">
        <v>4.0396000000000001</v>
      </c>
      <c r="EG8">
        <v>37.166107382550337</v>
      </c>
      <c r="EH8" t="s">
        <v>474</v>
      </c>
      <c r="EI8">
        <v>0</v>
      </c>
      <c r="EJ8">
        <v>1</v>
      </c>
      <c r="EK8" s="8">
        <v>45470</v>
      </c>
      <c r="EL8" s="13">
        <v>0.56000000000000005</v>
      </c>
      <c r="EM8" s="13">
        <v>-4.45</v>
      </c>
      <c r="EN8" s="13">
        <v>-2.25</v>
      </c>
      <c r="EO8" s="13">
        <v>5.8</v>
      </c>
      <c r="EP8" s="13">
        <v>-4.29</v>
      </c>
    </row>
    <row r="9" spans="1:146" ht="96">
      <c r="A9" s="14"/>
      <c r="B9" s="14"/>
      <c r="C9" s="14" t="str">
        <f>""&amp;CHAR(10)&amp;Basic_Fundamental_Information_Constructure(F9)&amp;CHAR(10)&amp;Basic_Fundamental_Information_Concatenate("")</f>
        <v xml:space="preserve">
市值479.69352亿, 利润4355.67万; PE57.15; 平均PE-4.75; 平均PEG-.1, PB17.37; ROIC8.535%; ROE1018.64%; 股利率0%; 毛利-22.2633%; 净利-27.1167%; 上一年度营收增-90.95%, 利润增100.22%; 当季营收增3033.93%, 利润增18542.48%; 过往5年营收增-47.84%, 利润增100.22%
Income profile:
</v>
      </c>
      <c r="D9" t="s">
        <v>31</v>
      </c>
      <c r="E9" t="s">
        <v>258</v>
      </c>
      <c r="F9">
        <v>1.1100000000000001</v>
      </c>
      <c r="G9">
        <v>0.91</v>
      </c>
      <c r="H9" t="s">
        <v>475</v>
      </c>
      <c r="I9">
        <v>47969352000</v>
      </c>
      <c r="J9">
        <v>57.15</v>
      </c>
      <c r="K9">
        <v>17.37</v>
      </c>
      <c r="L9" t="s">
        <v>20</v>
      </c>
      <c r="M9" t="s">
        <v>476</v>
      </c>
      <c r="N9" t="s">
        <v>477</v>
      </c>
      <c r="O9" t="s">
        <v>478</v>
      </c>
      <c r="P9">
        <v>33.479999999999997</v>
      </c>
      <c r="Q9" t="s">
        <v>479</v>
      </c>
      <c r="R9">
        <v>686528000</v>
      </c>
      <c r="S9" s="6">
        <v>3.3450000000000002</v>
      </c>
      <c r="T9" t="s">
        <v>480</v>
      </c>
      <c r="U9">
        <v>32872677000</v>
      </c>
      <c r="V9">
        <v>43215633000</v>
      </c>
      <c r="W9">
        <v>64.98</v>
      </c>
      <c r="X9" t="s">
        <v>15</v>
      </c>
      <c r="Y9">
        <v>3.97</v>
      </c>
      <c r="Z9" t="s">
        <v>15</v>
      </c>
      <c r="AA9" t="s">
        <v>15</v>
      </c>
      <c r="AB9" t="s">
        <v>15</v>
      </c>
      <c r="AC9" t="s">
        <v>15</v>
      </c>
      <c r="AD9" t="s">
        <v>15</v>
      </c>
      <c r="AE9">
        <v>1200888000</v>
      </c>
      <c r="AF9" t="s">
        <v>481</v>
      </c>
      <c r="AG9" t="s">
        <v>482</v>
      </c>
      <c r="AH9" t="s">
        <v>483</v>
      </c>
      <c r="AI9" t="s">
        <v>484</v>
      </c>
      <c r="AJ9" t="s">
        <v>485</v>
      </c>
      <c r="AK9" t="s">
        <v>15</v>
      </c>
      <c r="AL9" t="s">
        <v>486</v>
      </c>
      <c r="AM9" t="s">
        <v>15</v>
      </c>
      <c r="AN9" t="s">
        <v>487</v>
      </c>
      <c r="AO9" t="s">
        <v>15</v>
      </c>
      <c r="AP9" t="s">
        <v>488</v>
      </c>
      <c r="AQ9" t="s">
        <v>489</v>
      </c>
      <c r="AR9" t="s">
        <v>15</v>
      </c>
      <c r="AS9" t="s">
        <v>15</v>
      </c>
      <c r="AT9" t="s">
        <v>15</v>
      </c>
      <c r="AU9" t="s">
        <v>490</v>
      </c>
      <c r="AV9" t="s">
        <v>138</v>
      </c>
      <c r="AW9" t="s">
        <v>491</v>
      </c>
      <c r="AX9" t="s">
        <v>492</v>
      </c>
      <c r="AY9" t="s">
        <v>15</v>
      </c>
      <c r="AZ9" t="s">
        <v>96</v>
      </c>
      <c r="BA9" t="s">
        <v>53</v>
      </c>
      <c r="BB9" t="s">
        <v>97</v>
      </c>
      <c r="BC9" t="s">
        <v>493</v>
      </c>
      <c r="BD9" t="s">
        <v>15</v>
      </c>
      <c r="BE9" t="s">
        <v>15</v>
      </c>
      <c r="BF9" t="s">
        <v>15</v>
      </c>
      <c r="BG9" t="s">
        <v>15</v>
      </c>
      <c r="BH9" t="s">
        <v>494</v>
      </c>
      <c r="BI9" t="s">
        <v>495</v>
      </c>
      <c r="BJ9" t="s">
        <v>492</v>
      </c>
      <c r="BK9" t="s">
        <v>496</v>
      </c>
      <c r="BL9" t="s">
        <v>497</v>
      </c>
      <c r="BM9" t="s">
        <v>493</v>
      </c>
      <c r="BN9">
        <v>9.68</v>
      </c>
      <c r="BO9" t="s">
        <v>15</v>
      </c>
      <c r="BP9">
        <v>7.39</v>
      </c>
      <c r="BQ9">
        <v>33.71</v>
      </c>
      <c r="BR9">
        <v>3039.37</v>
      </c>
      <c r="BS9">
        <v>-17.16</v>
      </c>
      <c r="BT9" t="s">
        <v>255</v>
      </c>
      <c r="BU9" t="s">
        <v>199</v>
      </c>
      <c r="BV9">
        <v>10.48</v>
      </c>
      <c r="BW9">
        <v>-51.43</v>
      </c>
      <c r="BX9">
        <v>-25.84</v>
      </c>
      <c r="BY9">
        <v>0.39</v>
      </c>
      <c r="BZ9">
        <v>-93.64</v>
      </c>
      <c r="CA9">
        <v>11.9</v>
      </c>
      <c r="CB9">
        <v>8.82</v>
      </c>
      <c r="CC9">
        <v>-20.14</v>
      </c>
      <c r="CD9" t="s">
        <v>498</v>
      </c>
      <c r="CE9" t="s">
        <v>499</v>
      </c>
      <c r="CF9" s="9">
        <v>30.339285714285715</v>
      </c>
      <c r="CG9" s="10">
        <v>185.42480855917015</v>
      </c>
      <c r="CH9" s="9">
        <v>-0.90946465730667114</v>
      </c>
      <c r="CI9" s="9" t="s">
        <v>15</v>
      </c>
      <c r="CJ9" s="9" t="s">
        <v>15</v>
      </c>
      <c r="CK9" s="9">
        <v>-0.59384715557098389</v>
      </c>
      <c r="CL9" s="9">
        <v>6.8251617252826691E-2</v>
      </c>
      <c r="CM9" s="10">
        <v>1.0021512508392334</v>
      </c>
      <c r="CN9" s="10" t="s">
        <v>15</v>
      </c>
      <c r="CO9" s="10" t="s">
        <v>15</v>
      </c>
      <c r="CP9" s="10" t="s">
        <v>15</v>
      </c>
      <c r="CQ9" s="10" t="s">
        <v>15</v>
      </c>
      <c r="CR9">
        <v>-4.7486313385006014</v>
      </c>
      <c r="CS9">
        <v>-9.927035854617311E-2</v>
      </c>
      <c r="CT9">
        <v>0</v>
      </c>
      <c r="CU9" s="9">
        <v>-0.47835339854160946</v>
      </c>
      <c r="CV9" s="10">
        <v>1.0021512508392334</v>
      </c>
      <c r="CW9">
        <v>0.06</v>
      </c>
      <c r="CX9">
        <v>4094.7397759701721</v>
      </c>
      <c r="CY9" t="s">
        <v>500</v>
      </c>
      <c r="CZ9">
        <v>-0.47835339854160946</v>
      </c>
      <c r="DA9">
        <v>1364.9132586567241</v>
      </c>
      <c r="DB9" t="s">
        <v>501</v>
      </c>
      <c r="DC9">
        <v>-0.45443572861452897</v>
      </c>
      <c r="DD9">
        <v>682.45662932836206</v>
      </c>
      <c r="DE9" t="s">
        <v>502</v>
      </c>
      <c r="DF9">
        <v>-0.42095099071661635</v>
      </c>
      <c r="DG9">
        <v>409.47397759701721</v>
      </c>
      <c r="DH9" t="s">
        <v>503</v>
      </c>
      <c r="DI9">
        <v>-0.38268271883328758</v>
      </c>
      <c r="DJ9">
        <v>204.73698879850861</v>
      </c>
      <c r="DK9" t="s">
        <v>504</v>
      </c>
      <c r="DL9">
        <v>-0.33484737897912659</v>
      </c>
      <c r="DM9">
        <v>43556700</v>
      </c>
      <c r="DN9">
        <v>-0.47835339854160946</v>
      </c>
      <c r="DO9">
        <v>178353352000</v>
      </c>
      <c r="DP9">
        <v>29182417000</v>
      </c>
      <c r="DQ9">
        <v>3018</v>
      </c>
      <c r="DR9">
        <v>30.817639112827326</v>
      </c>
      <c r="DS9">
        <v>184.42265730833091</v>
      </c>
      <c r="DT9" s="11">
        <v>-1.1599999999999999</v>
      </c>
      <c r="DU9">
        <v>2.8</v>
      </c>
      <c r="DV9">
        <v>1.64</v>
      </c>
      <c r="DW9">
        <v>7.3045580110497239</v>
      </c>
      <c r="DX9">
        <v>0.43884350521875681</v>
      </c>
      <c r="DY9">
        <v>7.0971063437855468</v>
      </c>
      <c r="DZ9">
        <v>4540</v>
      </c>
      <c r="EA9">
        <v>7.010831823083711</v>
      </c>
      <c r="EB9">
        <v>7</v>
      </c>
      <c r="EC9">
        <v>3.6491424295462711E-2</v>
      </c>
      <c r="ED9">
        <v>0.11444932439147658</v>
      </c>
      <c r="EE9" s="12">
        <v>-8.1315100000000005</v>
      </c>
      <c r="EF9">
        <v>-8.1315100000000005</v>
      </c>
      <c r="EG9">
        <v>12.318843505218757</v>
      </c>
      <c r="EH9" t="s">
        <v>505</v>
      </c>
      <c r="EI9">
        <v>1</v>
      </c>
      <c r="EJ9">
        <v>0</v>
      </c>
      <c r="EK9" s="8">
        <v>45470</v>
      </c>
      <c r="EL9" s="13">
        <v>0</v>
      </c>
      <c r="EM9" s="13">
        <v>0</v>
      </c>
      <c r="EN9" s="13">
        <v>0</v>
      </c>
      <c r="EO9" s="13">
        <v>0</v>
      </c>
      <c r="EP9" s="13">
        <v>0</v>
      </c>
    </row>
    <row r="10" spans="1:146" ht="96">
      <c r="A10" s="14"/>
      <c r="B10" s="14"/>
      <c r="C10" s="14" t="str">
        <f>""&amp;CHAR(10)&amp;Basic_Fundamental_Information_Constructure(F10)&amp;CHAR(10)&amp;Basic_Fundamental_Information_Concatenate("")</f>
        <v xml:space="preserve">
市值367.89497亿, 利润4.16亿; PE39.18; 平均PE-45.85; 平均PEG-3.38, PB1.57; ROIC3.3833%; ROE6.0767%; 股利率0%; 毛利39.5933%; 净利22.2167%; 上一年度营收增9.17%, 利润增-77.54%; 当季营收增-11.37%, 利润增-1.04%; 过往5年营收增-13.56%, 利润增-54.29%
Income profile:
</v>
      </c>
      <c r="D10" t="s">
        <v>139</v>
      </c>
      <c r="E10" t="s">
        <v>259</v>
      </c>
      <c r="F10">
        <v>3.22</v>
      </c>
      <c r="G10">
        <v>0.31</v>
      </c>
      <c r="H10" t="s">
        <v>506</v>
      </c>
      <c r="I10">
        <v>36789497000</v>
      </c>
      <c r="J10">
        <v>39.18</v>
      </c>
      <c r="K10">
        <v>1.57</v>
      </c>
      <c r="L10" t="s">
        <v>20</v>
      </c>
      <c r="M10" t="s">
        <v>507</v>
      </c>
      <c r="N10" t="s">
        <v>508</v>
      </c>
      <c r="O10" t="s">
        <v>509</v>
      </c>
      <c r="P10">
        <v>-5.28</v>
      </c>
      <c r="Q10" t="s">
        <v>510</v>
      </c>
      <c r="R10">
        <v>218693350</v>
      </c>
      <c r="S10" s="5">
        <v>-5.9700000000000003E-2</v>
      </c>
      <c r="T10" t="s">
        <v>251</v>
      </c>
      <c r="U10">
        <v>9176012500</v>
      </c>
      <c r="V10">
        <v>11425309600</v>
      </c>
      <c r="W10">
        <v>2.21</v>
      </c>
      <c r="X10">
        <v>0.02</v>
      </c>
      <c r="Y10">
        <v>20.81</v>
      </c>
      <c r="Z10" t="s">
        <v>511</v>
      </c>
      <c r="AA10" t="s">
        <v>512</v>
      </c>
      <c r="AB10" t="s">
        <v>513</v>
      </c>
      <c r="AC10" t="s">
        <v>514</v>
      </c>
      <c r="AD10" t="s">
        <v>15</v>
      </c>
      <c r="AE10">
        <v>54167475</v>
      </c>
      <c r="AF10" t="s">
        <v>515</v>
      </c>
      <c r="AG10" t="s">
        <v>516</v>
      </c>
      <c r="AH10" t="s">
        <v>517</v>
      </c>
      <c r="AI10" t="s">
        <v>518</v>
      </c>
      <c r="AJ10" t="s">
        <v>519</v>
      </c>
      <c r="AK10" t="s">
        <v>520</v>
      </c>
      <c r="AL10" t="s">
        <v>521</v>
      </c>
      <c r="AM10" t="s">
        <v>15</v>
      </c>
      <c r="AN10" t="s">
        <v>522</v>
      </c>
      <c r="AO10" t="s">
        <v>15</v>
      </c>
      <c r="AP10" t="s">
        <v>523</v>
      </c>
      <c r="AQ10" t="s">
        <v>524</v>
      </c>
      <c r="AR10" t="s">
        <v>525</v>
      </c>
      <c r="AS10" t="s">
        <v>526</v>
      </c>
      <c r="AT10" t="s">
        <v>527</v>
      </c>
      <c r="AU10" t="s">
        <v>528</v>
      </c>
      <c r="AV10" t="s">
        <v>529</v>
      </c>
      <c r="AW10" t="s">
        <v>530</v>
      </c>
      <c r="AX10" t="s">
        <v>531</v>
      </c>
      <c r="AY10" t="s">
        <v>140</v>
      </c>
      <c r="AZ10" t="s">
        <v>142</v>
      </c>
      <c r="BA10" t="s">
        <v>143</v>
      </c>
      <c r="BB10" t="s">
        <v>144</v>
      </c>
      <c r="BC10" t="s">
        <v>532</v>
      </c>
      <c r="BD10" t="s">
        <v>141</v>
      </c>
      <c r="BE10" t="s">
        <v>145</v>
      </c>
      <c r="BF10" t="s">
        <v>146</v>
      </c>
      <c r="BG10" t="s">
        <v>147</v>
      </c>
      <c r="BH10" t="s">
        <v>89</v>
      </c>
      <c r="BI10" t="s">
        <v>533</v>
      </c>
      <c r="BJ10" t="s">
        <v>531</v>
      </c>
      <c r="BK10" t="s">
        <v>534</v>
      </c>
      <c r="BL10" t="s">
        <v>535</v>
      </c>
      <c r="BM10" t="s">
        <v>532</v>
      </c>
      <c r="BN10">
        <v>2.73</v>
      </c>
      <c r="BO10">
        <v>5.77</v>
      </c>
      <c r="BP10">
        <v>1.65</v>
      </c>
      <c r="BQ10">
        <v>3.47</v>
      </c>
      <c r="BR10">
        <v>8.7100000000000009</v>
      </c>
      <c r="BS10">
        <v>6.05</v>
      </c>
      <c r="BT10" t="s">
        <v>255</v>
      </c>
      <c r="BU10" t="s">
        <v>197</v>
      </c>
      <c r="BV10">
        <v>48.91</v>
      </c>
      <c r="BW10">
        <v>34.93</v>
      </c>
      <c r="BX10">
        <v>34.94</v>
      </c>
      <c r="BY10">
        <v>14.72</v>
      </c>
      <c r="BZ10">
        <v>42.01</v>
      </c>
      <c r="CA10">
        <v>9.92</v>
      </c>
      <c r="CB10">
        <v>2.5499999999999998</v>
      </c>
      <c r="CC10">
        <v>-8.26</v>
      </c>
      <c r="CD10" t="s">
        <v>536</v>
      </c>
      <c r="CE10" t="s">
        <v>537</v>
      </c>
      <c r="CF10" s="9">
        <v>-0.11367013372956909</v>
      </c>
      <c r="CG10" s="10">
        <v>-1.0437330316742082E-2</v>
      </c>
      <c r="CH10" s="9">
        <v>9.168262779712677E-2</v>
      </c>
      <c r="CI10" s="9">
        <v>3.8895025849342346E-2</v>
      </c>
      <c r="CJ10" s="9">
        <v>-0.28390565514564514</v>
      </c>
      <c r="CK10" s="9">
        <v>-0.45195144414901733</v>
      </c>
      <c r="CL10" s="9">
        <v>-7.2629295289516449E-2</v>
      </c>
      <c r="CM10" s="10">
        <v>-0.77537798881530762</v>
      </c>
      <c r="CN10" s="10">
        <v>2.9999997615814209</v>
      </c>
      <c r="CO10" s="10">
        <v>1.059626579284668</v>
      </c>
      <c r="CP10" s="10">
        <v>-4.1254124641418457</v>
      </c>
      <c r="CQ10" s="10">
        <v>-1.8731988668441772</v>
      </c>
      <c r="CR10">
        <v>-45.853132945575396</v>
      </c>
      <c r="CS10">
        <v>-3.3819546921721022</v>
      </c>
      <c r="CT10">
        <v>0</v>
      </c>
      <c r="CU10" s="9">
        <v>-0.13558174818754196</v>
      </c>
      <c r="CV10" s="10">
        <v>-0.54287259578704838</v>
      </c>
      <c r="CW10">
        <v>0.06</v>
      </c>
      <c r="CX10">
        <v>102.61898317307693</v>
      </c>
      <c r="CY10" t="s">
        <v>538</v>
      </c>
      <c r="CZ10">
        <v>-0.13558174818754196</v>
      </c>
      <c r="DA10">
        <v>34.206327724358971</v>
      </c>
      <c r="DB10" t="s">
        <v>539</v>
      </c>
      <c r="DC10">
        <v>-0.12880266077816485</v>
      </c>
      <c r="DD10">
        <v>17.103163862179485</v>
      </c>
      <c r="DE10" t="s">
        <v>540</v>
      </c>
      <c r="DF10">
        <v>-0.11931193840503693</v>
      </c>
      <c r="DG10">
        <v>10.261898317307692</v>
      </c>
      <c r="DH10" t="s">
        <v>541</v>
      </c>
      <c r="DI10">
        <v>-0.10846539855003356</v>
      </c>
      <c r="DJ10">
        <v>5.1309491586538458</v>
      </c>
      <c r="DK10" t="s">
        <v>542</v>
      </c>
      <c r="DL10">
        <v>-9.4907223731279369E-2</v>
      </c>
      <c r="DM10">
        <v>416000000</v>
      </c>
      <c r="DN10">
        <v>-0.13558174818754196</v>
      </c>
      <c r="DO10">
        <v>42689497000</v>
      </c>
      <c r="DP10">
        <v>12484105000</v>
      </c>
      <c r="DQ10">
        <v>3234</v>
      </c>
      <c r="DR10">
        <v>2.1911614457972864E-2</v>
      </c>
      <c r="DS10">
        <v>0.53243526547030628</v>
      </c>
      <c r="DT10" s="11">
        <v>-0.69</v>
      </c>
      <c r="DU10">
        <v>-1.2366666666666668</v>
      </c>
      <c r="DV10">
        <v>-1.9266666666666667</v>
      </c>
      <c r="DW10">
        <v>6.2358926919518964</v>
      </c>
      <c r="DX10">
        <v>0.34447306791569166</v>
      </c>
      <c r="DY10">
        <v>6.0411569216637382</v>
      </c>
      <c r="DZ10">
        <v>968</v>
      </c>
      <c r="EA10">
        <v>6.0333604637047369</v>
      </c>
      <c r="EB10">
        <v>6</v>
      </c>
      <c r="EC10">
        <v>1.3041222095198191E-2</v>
      </c>
      <c r="ED10">
        <v>7.4746333351001698E-2</v>
      </c>
      <c r="EE10" s="12">
        <v>-3.0089100000000002</v>
      </c>
      <c r="EF10">
        <v>-3.0247099999999998</v>
      </c>
      <c r="EG10">
        <v>17.174473067915692</v>
      </c>
      <c r="EH10" t="s">
        <v>543</v>
      </c>
      <c r="EI10">
        <v>0</v>
      </c>
      <c r="EJ10">
        <v>1</v>
      </c>
      <c r="EK10" s="8">
        <v>45470</v>
      </c>
      <c r="EL10" s="13">
        <v>0.61</v>
      </c>
      <c r="EM10" s="13">
        <v>-3.65</v>
      </c>
      <c r="EN10" s="13">
        <v>0.76</v>
      </c>
      <c r="EO10" s="13">
        <v>3.01</v>
      </c>
      <c r="EP10" s="13">
        <v>-1.58</v>
      </c>
    </row>
    <row r="11" spans="1:146" ht="96">
      <c r="A11" s="14"/>
      <c r="B11" s="14"/>
      <c r="C11" s="14" t="str">
        <f>""&amp;CHAR(10)&amp;Basic_Fundamental_Information_Constructure(F11)&amp;CHAR(10)&amp;Basic_Fundamental_Information_Concatenate("")</f>
        <v xml:space="preserve">
市值52.867231亿, 利润-1.12亿; PE13.17; 平均PE25.31; 平均PEG.88, PB1.24; ROIC3.97%; ROE3.7533%; 股利率2.0505%; 毛利16.6433%; 净利13.18%; 上一年度营收增-96.12%, 利润增-498.59%; 当季营收增3760.25%, 利润增844.46%; 过往5年营收增-28.91%, 利润增-132.08%
Income profile:
</v>
      </c>
      <c r="D11" t="s">
        <v>30</v>
      </c>
      <c r="E11" t="s">
        <v>13</v>
      </c>
      <c r="F11">
        <v>12.68</v>
      </c>
      <c r="G11">
        <v>0.63</v>
      </c>
      <c r="H11" t="s">
        <v>544</v>
      </c>
      <c r="I11">
        <v>5286723100</v>
      </c>
      <c r="J11">
        <v>13.17</v>
      </c>
      <c r="K11">
        <v>1.24</v>
      </c>
      <c r="L11" t="s">
        <v>20</v>
      </c>
      <c r="M11" t="s">
        <v>545</v>
      </c>
      <c r="N11" t="s">
        <v>546</v>
      </c>
      <c r="O11" t="s">
        <v>547</v>
      </c>
      <c r="P11">
        <v>20.32</v>
      </c>
      <c r="Q11" t="s">
        <v>548</v>
      </c>
      <c r="R11">
        <v>121265752</v>
      </c>
      <c r="S11" s="5">
        <v>0.64039999999999997</v>
      </c>
      <c r="T11" t="s">
        <v>549</v>
      </c>
      <c r="U11">
        <v>416934000</v>
      </c>
      <c r="V11">
        <v>416934000</v>
      </c>
      <c r="W11">
        <v>1.21</v>
      </c>
      <c r="X11">
        <v>0.08</v>
      </c>
      <c r="Y11">
        <v>28.28</v>
      </c>
      <c r="Z11" t="s">
        <v>550</v>
      </c>
      <c r="AA11" t="s">
        <v>551</v>
      </c>
      <c r="AB11" t="s">
        <v>15</v>
      </c>
      <c r="AC11" t="s">
        <v>552</v>
      </c>
      <c r="AD11" t="s">
        <v>15</v>
      </c>
      <c r="AE11">
        <v>1470628</v>
      </c>
      <c r="AF11" t="s">
        <v>553</v>
      </c>
      <c r="AG11" t="s">
        <v>554</v>
      </c>
      <c r="AH11" t="s">
        <v>555</v>
      </c>
      <c r="AI11" t="s">
        <v>149</v>
      </c>
      <c r="AJ11" t="s">
        <v>556</v>
      </c>
      <c r="AK11" t="s">
        <v>15</v>
      </c>
      <c r="AL11" t="s">
        <v>557</v>
      </c>
      <c r="AM11" t="s">
        <v>15</v>
      </c>
      <c r="AN11" t="s">
        <v>558</v>
      </c>
      <c r="AO11" t="s">
        <v>15</v>
      </c>
      <c r="AP11" t="s">
        <v>559</v>
      </c>
      <c r="AQ11" t="s">
        <v>560</v>
      </c>
      <c r="AR11" t="s">
        <v>561</v>
      </c>
      <c r="AS11" t="s">
        <v>562</v>
      </c>
      <c r="AT11" t="s">
        <v>15</v>
      </c>
      <c r="AU11" t="s">
        <v>563</v>
      </c>
      <c r="AV11" t="s">
        <v>564</v>
      </c>
      <c r="AW11" t="s">
        <v>565</v>
      </c>
      <c r="AX11" t="s">
        <v>566</v>
      </c>
      <c r="AY11" t="s">
        <v>148</v>
      </c>
      <c r="AZ11" t="s">
        <v>86</v>
      </c>
      <c r="BA11" t="s">
        <v>54</v>
      </c>
      <c r="BB11" t="s">
        <v>99</v>
      </c>
      <c r="BC11" t="s">
        <v>567</v>
      </c>
      <c r="BD11" t="s">
        <v>149</v>
      </c>
      <c r="BE11" t="s">
        <v>98</v>
      </c>
      <c r="BF11" t="s">
        <v>55</v>
      </c>
      <c r="BG11" t="s">
        <v>100</v>
      </c>
      <c r="BH11" t="s">
        <v>254</v>
      </c>
      <c r="BI11" t="s">
        <v>568</v>
      </c>
      <c r="BJ11" t="s">
        <v>566</v>
      </c>
      <c r="BK11" t="s">
        <v>569</v>
      </c>
      <c r="BL11" t="s">
        <v>570</v>
      </c>
      <c r="BM11" t="s">
        <v>567</v>
      </c>
      <c r="BN11">
        <v>6.8</v>
      </c>
      <c r="BO11">
        <v>1.08</v>
      </c>
      <c r="BP11">
        <v>4.03</v>
      </c>
      <c r="BQ11">
        <v>6.8</v>
      </c>
      <c r="BR11">
        <v>0.73</v>
      </c>
      <c r="BS11">
        <v>3.73</v>
      </c>
      <c r="BT11" t="s">
        <v>571</v>
      </c>
      <c r="BU11" t="s">
        <v>197</v>
      </c>
      <c r="BV11">
        <v>32.51</v>
      </c>
      <c r="BW11">
        <v>1.23</v>
      </c>
      <c r="BX11">
        <v>16.190000000000001</v>
      </c>
      <c r="BY11">
        <v>22.35</v>
      </c>
      <c r="BZ11">
        <v>4.03</v>
      </c>
      <c r="CA11">
        <v>13.16</v>
      </c>
      <c r="CB11">
        <v>0.56000000000000005</v>
      </c>
      <c r="CC11">
        <v>-7.65</v>
      </c>
      <c r="CD11" t="s">
        <v>572</v>
      </c>
      <c r="CE11" t="s">
        <v>573</v>
      </c>
      <c r="CF11" s="9">
        <v>37.602521015517191</v>
      </c>
      <c r="CG11" s="10">
        <v>8.4445949745535351</v>
      </c>
      <c r="CH11" s="9">
        <v>-0.96116048097610474</v>
      </c>
      <c r="CI11" s="9">
        <v>-0.19326387345790863</v>
      </c>
      <c r="CJ11" s="9">
        <v>1.7959289252758026E-2</v>
      </c>
      <c r="CK11" s="9">
        <v>-0.31372556090354919</v>
      </c>
      <c r="CL11" s="9">
        <v>4.5020417310297489E-3</v>
      </c>
      <c r="CM11" s="10">
        <v>-4.9859070777893066</v>
      </c>
      <c r="CN11" s="10">
        <v>-0.80211973190307617</v>
      </c>
      <c r="CO11" s="10">
        <v>-0.16959063708782196</v>
      </c>
      <c r="CP11" s="10">
        <v>-0.66988414525985718</v>
      </c>
      <c r="CQ11" s="10">
        <v>2.3715414106845856E-2</v>
      </c>
      <c r="CR11">
        <v>25.313513617040631</v>
      </c>
      <c r="CS11">
        <v>0.87548293218196138</v>
      </c>
      <c r="CT11">
        <v>2.0504731861198739</v>
      </c>
      <c r="CU11" s="9">
        <v>-0.28913771687075496</v>
      </c>
      <c r="CV11" s="10">
        <v>-1.3207572355866433</v>
      </c>
      <c r="CW11">
        <v>0.06</v>
      </c>
      <c r="CX11" t="e">
        <v>#VALUE!</v>
      </c>
      <c r="CY11" t="s">
        <v>198</v>
      </c>
      <c r="CZ11">
        <v>-0.28913771687075496</v>
      </c>
      <c r="DA11" t="e">
        <v>#VALUE!</v>
      </c>
      <c r="DB11" t="s">
        <v>198</v>
      </c>
      <c r="DC11">
        <v>-0.27468083102721719</v>
      </c>
      <c r="DD11" t="e">
        <v>#VALUE!</v>
      </c>
      <c r="DE11" t="s">
        <v>198</v>
      </c>
      <c r="DF11">
        <v>-0.25444119084626438</v>
      </c>
      <c r="DG11" t="e">
        <v>#VALUE!</v>
      </c>
      <c r="DH11" t="s">
        <v>198</v>
      </c>
      <c r="DI11">
        <v>-0.23131017349660399</v>
      </c>
      <c r="DJ11" t="e">
        <v>#VALUE!</v>
      </c>
      <c r="DK11" t="s">
        <v>198</v>
      </c>
      <c r="DL11">
        <v>-0.20239640180952845</v>
      </c>
      <c r="DM11">
        <v>-112000000.00000001</v>
      </c>
      <c r="DN11">
        <v>-0.28913771687075496</v>
      </c>
      <c r="DO11">
        <v>1777723100</v>
      </c>
      <c r="DP11">
        <v>1971621500</v>
      </c>
      <c r="DQ11">
        <v>3557</v>
      </c>
      <c r="DR11">
        <v>37.891658732387945</v>
      </c>
      <c r="DS11">
        <v>9.7653522101401791</v>
      </c>
      <c r="DT11" s="11">
        <v>-1.04</v>
      </c>
      <c r="DU11">
        <v>-0.81666666666666676</v>
      </c>
      <c r="DV11">
        <v>-1.8566666666666669</v>
      </c>
      <c r="DW11">
        <v>-2.0764999999999998</v>
      </c>
      <c r="DX11">
        <v>0.3276645165086548</v>
      </c>
      <c r="DY11">
        <v>-2.0128263355129121</v>
      </c>
      <c r="DZ11">
        <v>1531</v>
      </c>
      <c r="EA11">
        <v>-2.0089834549512156</v>
      </c>
      <c r="EB11">
        <v>2</v>
      </c>
      <c r="EC11">
        <v>2.1869648433565026E-2</v>
      </c>
      <c r="ED11">
        <v>0.1304369516518202</v>
      </c>
      <c r="EE11" s="12">
        <v>-2.01641</v>
      </c>
      <c r="EF11">
        <v>-2.0319099999999999</v>
      </c>
      <c r="EG11">
        <v>16.167664516508655</v>
      </c>
      <c r="EH11" t="s">
        <v>574</v>
      </c>
      <c r="EI11">
        <v>0</v>
      </c>
      <c r="EJ11">
        <v>0</v>
      </c>
      <c r="EK11" s="8">
        <v>45470</v>
      </c>
      <c r="EL11" s="13">
        <v>-2.34</v>
      </c>
      <c r="EM11" s="13">
        <v>-3.83</v>
      </c>
      <c r="EN11" s="13">
        <v>-3.45</v>
      </c>
      <c r="EO11" s="13">
        <v>2.75</v>
      </c>
      <c r="EP11" s="13">
        <v>-1.55</v>
      </c>
    </row>
    <row r="12" spans="1:146" ht="96">
      <c r="A12" s="14"/>
      <c r="B12" s="14"/>
      <c r="C12" s="14" t="str">
        <f>""&amp;CHAR(10)&amp;Basic_Fundamental_Information_Constructure(F12)&amp;CHAR(10)&amp;Basic_Fundamental_Information_Concatenate("")</f>
        <v xml:space="preserve">
市值523.03434亿, 利润5.04亿; PE19.29; 平均PE1192.73; 平均PEG76.97, PB3.16; ROIC5.12%; ROE-2.0733%; 股利率1.3096%; 毛利-9.7833%; 净利-7.7833%; 上一年度营收增-46.6%, 利润增116.6%; 当季营收增362.25%, 利润增415.87%; 过往5年营收增-15.5%, 利润增-1549.71%
Income profile:
</v>
      </c>
      <c r="D12" t="s">
        <v>26</v>
      </c>
      <c r="E12" t="s">
        <v>11</v>
      </c>
      <c r="F12">
        <v>53.45</v>
      </c>
      <c r="G12">
        <v>-1.38</v>
      </c>
      <c r="H12" t="s">
        <v>575</v>
      </c>
      <c r="I12">
        <v>52303434000</v>
      </c>
      <c r="J12">
        <v>19.29</v>
      </c>
      <c r="K12">
        <v>3.16</v>
      </c>
      <c r="L12" t="s">
        <v>20</v>
      </c>
      <c r="M12" t="s">
        <v>576</v>
      </c>
      <c r="N12" t="s">
        <v>577</v>
      </c>
      <c r="O12" t="s">
        <v>578</v>
      </c>
      <c r="P12">
        <v>33.79</v>
      </c>
      <c r="Q12" t="s">
        <v>579</v>
      </c>
      <c r="R12">
        <v>809908770</v>
      </c>
      <c r="S12" s="6">
        <v>1.278</v>
      </c>
      <c r="T12" t="s">
        <v>580</v>
      </c>
      <c r="U12">
        <v>978548810</v>
      </c>
      <c r="V12">
        <v>978548810</v>
      </c>
      <c r="W12">
        <v>2.62</v>
      </c>
      <c r="X12">
        <v>0.12</v>
      </c>
      <c r="Y12">
        <v>15.67</v>
      </c>
      <c r="Z12" t="s">
        <v>581</v>
      </c>
      <c r="AA12" t="s">
        <v>582</v>
      </c>
      <c r="AB12" t="s">
        <v>583</v>
      </c>
      <c r="AC12" t="s">
        <v>584</v>
      </c>
      <c r="AD12" t="s">
        <v>15</v>
      </c>
      <c r="AE12">
        <v>47630503</v>
      </c>
      <c r="AF12" t="s">
        <v>585</v>
      </c>
      <c r="AG12" t="s">
        <v>586</v>
      </c>
      <c r="AH12" t="s">
        <v>587</v>
      </c>
      <c r="AI12" t="s">
        <v>588</v>
      </c>
      <c r="AJ12" t="s">
        <v>589</v>
      </c>
      <c r="AK12" t="s">
        <v>15</v>
      </c>
      <c r="AL12" t="s">
        <v>590</v>
      </c>
      <c r="AM12" t="s">
        <v>15</v>
      </c>
      <c r="AN12" t="s">
        <v>591</v>
      </c>
      <c r="AO12" t="s">
        <v>261</v>
      </c>
      <c r="AP12" t="s">
        <v>15</v>
      </c>
      <c r="AQ12" t="s">
        <v>592</v>
      </c>
      <c r="AR12" t="s">
        <v>15</v>
      </c>
      <c r="AS12" t="s">
        <v>593</v>
      </c>
      <c r="AT12" t="s">
        <v>594</v>
      </c>
      <c r="AU12" t="s">
        <v>595</v>
      </c>
      <c r="AV12" t="s">
        <v>596</v>
      </c>
      <c r="AW12" t="s">
        <v>597</v>
      </c>
      <c r="AX12" t="s">
        <v>598</v>
      </c>
      <c r="AY12" t="s">
        <v>150</v>
      </c>
      <c r="AZ12" t="s">
        <v>101</v>
      </c>
      <c r="BA12" t="s">
        <v>56</v>
      </c>
      <c r="BB12" t="s">
        <v>103</v>
      </c>
      <c r="BC12" t="s">
        <v>599</v>
      </c>
      <c r="BD12" t="s">
        <v>151</v>
      </c>
      <c r="BE12" t="s">
        <v>102</v>
      </c>
      <c r="BF12" t="s">
        <v>57</v>
      </c>
      <c r="BG12" t="s">
        <v>104</v>
      </c>
      <c r="BH12" t="s">
        <v>600</v>
      </c>
      <c r="BI12" t="s">
        <v>601</v>
      </c>
      <c r="BJ12" t="s">
        <v>598</v>
      </c>
      <c r="BK12" t="s">
        <v>602</v>
      </c>
      <c r="BL12" t="s">
        <v>603</v>
      </c>
      <c r="BM12" t="s">
        <v>599</v>
      </c>
      <c r="BN12">
        <v>7.48</v>
      </c>
      <c r="BO12" t="s">
        <v>15</v>
      </c>
      <c r="BP12">
        <v>2.76</v>
      </c>
      <c r="BQ12">
        <v>17.899999999999999</v>
      </c>
      <c r="BR12">
        <v>-24.41</v>
      </c>
      <c r="BS12">
        <v>0.28999999999999998</v>
      </c>
      <c r="BT12" t="s">
        <v>604</v>
      </c>
      <c r="BU12" t="s">
        <v>199</v>
      </c>
      <c r="BV12">
        <v>13.49</v>
      </c>
      <c r="BW12">
        <v>-38.49</v>
      </c>
      <c r="BX12">
        <v>-4.3499999999999996</v>
      </c>
      <c r="BY12">
        <v>12.58</v>
      </c>
      <c r="BZ12">
        <v>-36.270000000000003</v>
      </c>
      <c r="CA12">
        <v>0.34</v>
      </c>
      <c r="CB12">
        <v>-5.1100000000000003</v>
      </c>
      <c r="CC12">
        <v>-6.85</v>
      </c>
      <c r="CD12" t="s">
        <v>605</v>
      </c>
      <c r="CE12" t="s">
        <v>606</v>
      </c>
      <c r="CF12" s="9">
        <v>3.6225402504472273</v>
      </c>
      <c r="CG12" s="10">
        <v>4.1586545859872608</v>
      </c>
      <c r="CH12" s="9">
        <v>-0.46600547432899475</v>
      </c>
      <c r="CI12" s="9">
        <v>-0.22923193871974945</v>
      </c>
      <c r="CJ12" s="9">
        <v>0.15843388438224792</v>
      </c>
      <c r="CK12" s="9">
        <v>-0.36686033010482788</v>
      </c>
      <c r="CL12" s="9">
        <v>0.12886986136436462</v>
      </c>
      <c r="CM12" s="10">
        <v>1.1660078763961792</v>
      </c>
      <c r="CN12" s="10">
        <v>-78.623435974121094</v>
      </c>
      <c r="CO12" s="10">
        <v>1.0665167570114136</v>
      </c>
      <c r="CP12" s="10">
        <v>-1.3193916082382202</v>
      </c>
      <c r="CQ12" s="10">
        <v>0.22488346695899963</v>
      </c>
      <c r="CR12">
        <v>1192.7267599831098</v>
      </c>
      <c r="CS12">
        <v>76.970573079738998</v>
      </c>
      <c r="CT12">
        <v>1.3096351730589335</v>
      </c>
      <c r="CU12" s="9">
        <v>-0.15495879948139191</v>
      </c>
      <c r="CV12" s="10">
        <v>-15.497083896398545</v>
      </c>
      <c r="CW12">
        <v>0.06</v>
      </c>
      <c r="CX12">
        <v>127.47903571428571</v>
      </c>
      <c r="CY12" t="s">
        <v>607</v>
      </c>
      <c r="CZ12">
        <v>-0.15495879948139191</v>
      </c>
      <c r="DA12">
        <v>42.493011904761907</v>
      </c>
      <c r="DB12" t="s">
        <v>608</v>
      </c>
      <c r="DC12">
        <v>-0.14721085950732229</v>
      </c>
      <c r="DD12">
        <v>21.246505952380954</v>
      </c>
      <c r="DE12" t="s">
        <v>609</v>
      </c>
      <c r="DF12">
        <v>-0.13636374354362488</v>
      </c>
      <c r="DG12">
        <v>12.747903571428571</v>
      </c>
      <c r="DH12" t="s">
        <v>610</v>
      </c>
      <c r="DI12">
        <v>-0.12396703958511353</v>
      </c>
      <c r="DJ12">
        <v>6.3739517857142856</v>
      </c>
      <c r="DK12" t="s">
        <v>611</v>
      </c>
      <c r="DL12">
        <v>-0.10847115963697433</v>
      </c>
      <c r="DM12">
        <v>504000000</v>
      </c>
      <c r="DN12">
        <v>-0.15495879948139191</v>
      </c>
      <c r="DO12">
        <v>64249434000</v>
      </c>
      <c r="DP12">
        <v>2114875400</v>
      </c>
      <c r="DQ12">
        <v>3636</v>
      </c>
      <c r="DR12">
        <v>3.7774990499286192</v>
      </c>
      <c r="DS12">
        <v>19.655738482385807</v>
      </c>
      <c r="DT12" s="11">
        <v>-0.73999999999999988</v>
      </c>
      <c r="DU12">
        <v>-6.6666666666666541E-2</v>
      </c>
      <c r="DV12">
        <v>-0.80666666666666642</v>
      </c>
      <c r="DW12">
        <v>-8.7459854014598548</v>
      </c>
      <c r="DX12">
        <v>0.53461542235746329</v>
      </c>
      <c r="DY12">
        <v>-8.1526401179922097</v>
      </c>
      <c r="DZ12">
        <v>2810</v>
      </c>
      <c r="EA12">
        <v>-8.0687029885287824</v>
      </c>
      <c r="EB12">
        <v>8</v>
      </c>
      <c r="EC12">
        <v>1.847889427201899E-2</v>
      </c>
      <c r="ED12">
        <v>9.0310364794169026E-2</v>
      </c>
      <c r="EE12" s="12">
        <v>2.0501100000000001</v>
      </c>
      <c r="EF12">
        <v>2.0747100000000001</v>
      </c>
      <c r="EG12">
        <v>33.204615422357463</v>
      </c>
      <c r="EH12" t="s">
        <v>612</v>
      </c>
      <c r="EI12">
        <v>0</v>
      </c>
      <c r="EJ12">
        <v>0</v>
      </c>
      <c r="EK12" s="8">
        <v>45470</v>
      </c>
      <c r="EL12" s="13">
        <v>-0.92</v>
      </c>
      <c r="EM12" s="13">
        <v>-5.63</v>
      </c>
      <c r="EN12" s="13">
        <v>1.63</v>
      </c>
      <c r="EO12" s="13">
        <v>1.29</v>
      </c>
      <c r="EP12" s="13">
        <v>-2.46</v>
      </c>
    </row>
    <row r="13" spans="1:146" ht="96">
      <c r="A13" s="14"/>
      <c r="B13" s="14"/>
      <c r="C13" s="14" t="str">
        <f>""&amp;CHAR(10)&amp;Basic_Fundamental_Information_Constructure(F13)&amp;CHAR(10)&amp;Basic_Fundamental_Information_Concatenate("")</f>
        <v xml:space="preserve">
市值1184.79162亿, 利润1.60亿; PE576.3; 平均PE-12.75; 平均PEG-.41, PB3.17; ROIC4.6%; ROE-37.5867%; 股利率0%; 毛利-22.2367%; 净利-37.2567%; 上一年度营收增-83.52%, 利润增100.41%; 当季营收增2142.08%, 利润增-33730.37%; 过往5年营收增-30.94%, 利润增-76.92%
Income profile:
</v>
      </c>
      <c r="D13" t="s">
        <v>28</v>
      </c>
      <c r="E13" t="s">
        <v>12</v>
      </c>
      <c r="F13">
        <v>7.14</v>
      </c>
      <c r="G13">
        <v>-0.14000000000000001</v>
      </c>
      <c r="H13" t="s">
        <v>613</v>
      </c>
      <c r="I13">
        <v>118479162000</v>
      </c>
      <c r="J13">
        <v>576.29999999999995</v>
      </c>
      <c r="K13">
        <v>3.17</v>
      </c>
      <c r="L13" t="s">
        <v>20</v>
      </c>
      <c r="M13" t="s">
        <v>614</v>
      </c>
      <c r="N13" t="s">
        <v>615</v>
      </c>
      <c r="O13" t="s">
        <v>616</v>
      </c>
      <c r="P13">
        <v>59.83</v>
      </c>
      <c r="Q13" t="s">
        <v>617</v>
      </c>
      <c r="R13">
        <v>-1674456000</v>
      </c>
      <c r="S13" s="5">
        <v>0.42780000000000001</v>
      </c>
      <c r="T13" t="s">
        <v>256</v>
      </c>
      <c r="U13">
        <v>11023584300</v>
      </c>
      <c r="V13">
        <v>16593720000</v>
      </c>
      <c r="W13">
        <v>9.74</v>
      </c>
      <c r="X13">
        <v>0.12</v>
      </c>
      <c r="Y13">
        <v>-5</v>
      </c>
      <c r="Z13" t="s">
        <v>618</v>
      </c>
      <c r="AA13" t="s">
        <v>619</v>
      </c>
      <c r="AB13" t="s">
        <v>620</v>
      </c>
      <c r="AC13" t="s">
        <v>621</v>
      </c>
      <c r="AD13" t="s">
        <v>15</v>
      </c>
      <c r="AE13">
        <v>1704804000</v>
      </c>
      <c r="AF13" t="s">
        <v>622</v>
      </c>
      <c r="AG13" t="s">
        <v>623</v>
      </c>
      <c r="AH13" t="s">
        <v>624</v>
      </c>
      <c r="AI13" t="s">
        <v>625</v>
      </c>
      <c r="AJ13" t="s">
        <v>626</v>
      </c>
      <c r="AK13" t="s">
        <v>627</v>
      </c>
      <c r="AL13" t="s">
        <v>628</v>
      </c>
      <c r="AM13" t="s">
        <v>15</v>
      </c>
      <c r="AN13" t="s">
        <v>629</v>
      </c>
      <c r="AO13" t="s">
        <v>630</v>
      </c>
      <c r="AP13" t="s">
        <v>563</v>
      </c>
      <c r="AQ13" t="s">
        <v>631</v>
      </c>
      <c r="AR13" t="s">
        <v>15</v>
      </c>
      <c r="AS13" t="s">
        <v>632</v>
      </c>
      <c r="AT13" t="s">
        <v>633</v>
      </c>
      <c r="AU13" t="s">
        <v>634</v>
      </c>
      <c r="AV13" t="s">
        <v>635</v>
      </c>
      <c r="AW13" t="s">
        <v>636</v>
      </c>
      <c r="AX13" t="s">
        <v>637</v>
      </c>
      <c r="AY13" t="s">
        <v>152</v>
      </c>
      <c r="AZ13" t="s">
        <v>105</v>
      </c>
      <c r="BA13" t="s">
        <v>58</v>
      </c>
      <c r="BB13" t="s">
        <v>107</v>
      </c>
      <c r="BC13" t="s">
        <v>638</v>
      </c>
      <c r="BD13" t="s">
        <v>153</v>
      </c>
      <c r="BE13" t="s">
        <v>106</v>
      </c>
      <c r="BF13" t="s">
        <v>59</v>
      </c>
      <c r="BG13" t="s">
        <v>108</v>
      </c>
      <c r="BH13" t="s">
        <v>639</v>
      </c>
      <c r="BI13" t="s">
        <v>640</v>
      </c>
      <c r="BJ13" t="s">
        <v>637</v>
      </c>
      <c r="BK13" t="s">
        <v>641</v>
      </c>
      <c r="BL13" t="s">
        <v>642</v>
      </c>
      <c r="BM13" t="s">
        <v>638</v>
      </c>
      <c r="BN13">
        <v>4.5999999999999996</v>
      </c>
      <c r="BO13" t="s">
        <v>15</v>
      </c>
      <c r="BP13" t="s">
        <v>15</v>
      </c>
      <c r="BQ13">
        <v>2.0499999999999998</v>
      </c>
      <c r="BR13">
        <v>-90.86</v>
      </c>
      <c r="BS13">
        <v>-23.95</v>
      </c>
      <c r="BT13" t="s">
        <v>255</v>
      </c>
      <c r="BU13" t="s">
        <v>199</v>
      </c>
      <c r="BV13">
        <v>5.0199999999999996</v>
      </c>
      <c r="BW13">
        <v>-56.55</v>
      </c>
      <c r="BX13">
        <v>-15.18</v>
      </c>
      <c r="BY13">
        <v>-1.1100000000000001</v>
      </c>
      <c r="BZ13">
        <v>-85.4</v>
      </c>
      <c r="CA13">
        <v>-25.26</v>
      </c>
      <c r="CB13">
        <v>-3.25</v>
      </c>
      <c r="CC13">
        <v>-6.67</v>
      </c>
      <c r="CD13" t="s">
        <v>643</v>
      </c>
      <c r="CE13" t="s">
        <v>644</v>
      </c>
      <c r="CF13" s="9">
        <v>21.420817011751538</v>
      </c>
      <c r="CG13" s="10">
        <v>-337.30367543683468</v>
      </c>
      <c r="CH13" s="9">
        <v>-0.83519226312637329</v>
      </c>
      <c r="CI13" s="9">
        <v>-0.29026460647583008</v>
      </c>
      <c r="CJ13" s="9">
        <v>7.2341218590736389E-2</v>
      </c>
      <c r="CK13" s="9">
        <v>-0.48962041735649109</v>
      </c>
      <c r="CL13" s="9">
        <v>-4.3356376700103283E-3</v>
      </c>
      <c r="CM13" s="10">
        <v>1.0041431188583374</v>
      </c>
      <c r="CN13" s="10">
        <v>-1.3205745220184326</v>
      </c>
      <c r="CO13" s="10">
        <v>-0.15497258305549622</v>
      </c>
      <c r="CP13" s="10">
        <v>-3.2482447624206543</v>
      </c>
      <c r="CQ13" s="10">
        <v>-0.12636314332485199</v>
      </c>
      <c r="CR13">
        <v>-12.74769070205326</v>
      </c>
      <c r="CS13">
        <v>-0.41199417752587364</v>
      </c>
      <c r="CT13">
        <v>0</v>
      </c>
      <c r="CU13" s="9">
        <v>-0.3094143412075937</v>
      </c>
      <c r="CV13" s="10">
        <v>-0.7692023783922195</v>
      </c>
      <c r="CW13">
        <v>0.06</v>
      </c>
      <c r="CX13" t="e">
        <v>#VALUE!</v>
      </c>
      <c r="CY13" t="s">
        <v>469</v>
      </c>
      <c r="CZ13">
        <v>-0.3094143412075937</v>
      </c>
      <c r="DA13">
        <v>798.86283749999996</v>
      </c>
      <c r="DB13" t="s">
        <v>645</v>
      </c>
      <c r="DC13">
        <v>-0.29394362414721398</v>
      </c>
      <c r="DD13">
        <v>399.43141874999998</v>
      </c>
      <c r="DE13" t="s">
        <v>646</v>
      </c>
      <c r="DF13">
        <v>-0.27228462026268246</v>
      </c>
      <c r="DG13">
        <v>239.65885125</v>
      </c>
      <c r="DH13" t="s">
        <v>647</v>
      </c>
      <c r="DI13">
        <v>-0.24753147296607497</v>
      </c>
      <c r="DJ13">
        <v>119.829425625</v>
      </c>
      <c r="DK13" t="s">
        <v>648</v>
      </c>
      <c r="DL13">
        <v>-0.21659003884531558</v>
      </c>
      <c r="DM13">
        <v>160000000</v>
      </c>
      <c r="DN13">
        <v>-0.3094143412075937</v>
      </c>
      <c r="DO13">
        <v>383454162000</v>
      </c>
      <c r="DP13">
        <v>-82479976000.000015</v>
      </c>
      <c r="DQ13">
        <v>3661</v>
      </c>
      <c r="DR13">
        <v>21.73023135295913</v>
      </c>
      <c r="DS13">
        <v>-336.53447305844247</v>
      </c>
      <c r="DT13" s="11">
        <v>-1.04</v>
      </c>
      <c r="DU13">
        <v>-2.4816666666666669</v>
      </c>
      <c r="DV13">
        <v>-3.5216666666666669</v>
      </c>
      <c r="DW13">
        <v>-8.4872563718140928</v>
      </c>
      <c r="DX13">
        <v>0.39514768716409421</v>
      </c>
      <c r="DY13">
        <v>-8.0707241354247845</v>
      </c>
      <c r="DZ13">
        <v>1423</v>
      </c>
      <c r="EA13">
        <v>-8.0510293321548296</v>
      </c>
      <c r="EB13">
        <v>8</v>
      </c>
      <c r="EC13">
        <v>1.036536713889351E-2</v>
      </c>
      <c r="ED13">
        <v>7.1412558485981451E-2</v>
      </c>
      <c r="EE13" s="12">
        <v>-1.02641</v>
      </c>
      <c r="EF13">
        <v>-1.04251</v>
      </c>
      <c r="EG13">
        <v>25.145147687164094</v>
      </c>
      <c r="EH13" t="s">
        <v>649</v>
      </c>
      <c r="EI13">
        <v>0</v>
      </c>
      <c r="EJ13">
        <v>1</v>
      </c>
      <c r="EK13" s="8">
        <v>45470</v>
      </c>
      <c r="EL13" s="13">
        <v>0.44</v>
      </c>
      <c r="EM13" s="13">
        <v>-2.0299999999999998</v>
      </c>
      <c r="EN13" s="13">
        <v>-0.59</v>
      </c>
      <c r="EO13" s="13">
        <v>1.34</v>
      </c>
      <c r="EP13" s="13">
        <v>-1.61</v>
      </c>
    </row>
    <row r="14" spans="1:146" ht="96">
      <c r="A14" s="14"/>
      <c r="B14" s="14"/>
      <c r="C14" s="14" t="str">
        <f>""&amp;CHAR(10)&amp;Basic_Fundamental_Information_Constructure(F14)&amp;CHAR(10)&amp;Basic_Fundamental_Information_Concatenate("")</f>
        <v xml:space="preserve">
市值236.01296亿, 利润2.76亿; PE24.66; 平均PE-54.55; 平均PEG-2.61, PB2.84; ROIC7.03%; ROE-12.3433%; 股利率.6473%; 毛利-7.2467%; 净利-17.0767%; 上一年度营收增-67.61%, 利润增106.65%; 当季营收增1176.56%, 利润增4310.5%; 过往5年营收增-20.89%, 利润增-166.13%
Income profile:
</v>
      </c>
      <c r="D14" t="s">
        <v>25</v>
      </c>
      <c r="E14" t="s">
        <v>14</v>
      </c>
      <c r="F14">
        <v>10.66</v>
      </c>
      <c r="G14">
        <v>-0.19</v>
      </c>
      <c r="H14" t="s">
        <v>650</v>
      </c>
      <c r="I14">
        <v>23601296000</v>
      </c>
      <c r="J14">
        <v>24.66</v>
      </c>
      <c r="K14">
        <v>2.84</v>
      </c>
      <c r="L14" t="s">
        <v>20</v>
      </c>
      <c r="M14" t="s">
        <v>651</v>
      </c>
      <c r="N14" t="s">
        <v>652</v>
      </c>
      <c r="O14" t="s">
        <v>653</v>
      </c>
      <c r="P14">
        <v>28.77</v>
      </c>
      <c r="Q14" t="s">
        <v>654</v>
      </c>
      <c r="R14">
        <v>370924080</v>
      </c>
      <c r="S14" s="6">
        <v>1.246</v>
      </c>
      <c r="T14" t="s">
        <v>655</v>
      </c>
      <c r="U14">
        <v>2214005300</v>
      </c>
      <c r="V14">
        <v>2214005300</v>
      </c>
      <c r="W14">
        <v>5.42</v>
      </c>
      <c r="X14">
        <v>0.13</v>
      </c>
      <c r="Y14">
        <v>6.48</v>
      </c>
      <c r="Z14" t="s">
        <v>656</v>
      </c>
      <c r="AA14" t="s">
        <v>657</v>
      </c>
      <c r="AB14" t="s">
        <v>658</v>
      </c>
      <c r="AC14" t="s">
        <v>260</v>
      </c>
      <c r="AD14" t="s">
        <v>15</v>
      </c>
      <c r="AE14">
        <v>355335210</v>
      </c>
      <c r="AF14" t="s">
        <v>659</v>
      </c>
      <c r="AG14" t="s">
        <v>660</v>
      </c>
      <c r="AH14" t="s">
        <v>661</v>
      </c>
      <c r="AI14" t="s">
        <v>662</v>
      </c>
      <c r="AJ14" t="s">
        <v>663</v>
      </c>
      <c r="AK14" t="s">
        <v>15</v>
      </c>
      <c r="AL14" t="s">
        <v>664</v>
      </c>
      <c r="AM14" t="s">
        <v>15</v>
      </c>
      <c r="AN14" t="s">
        <v>665</v>
      </c>
      <c r="AO14" t="s">
        <v>666</v>
      </c>
      <c r="AP14" t="s">
        <v>667</v>
      </c>
      <c r="AQ14" t="s">
        <v>668</v>
      </c>
      <c r="AR14" t="s">
        <v>15</v>
      </c>
      <c r="AS14" t="s">
        <v>669</v>
      </c>
      <c r="AT14" t="s">
        <v>670</v>
      </c>
      <c r="AU14" t="s">
        <v>671</v>
      </c>
      <c r="AV14" t="s">
        <v>672</v>
      </c>
      <c r="AW14" t="s">
        <v>673</v>
      </c>
      <c r="AX14" t="s">
        <v>674</v>
      </c>
      <c r="AY14" t="s">
        <v>154</v>
      </c>
      <c r="AZ14" t="s">
        <v>109</v>
      </c>
      <c r="BA14" t="s">
        <v>60</v>
      </c>
      <c r="BB14" t="s">
        <v>111</v>
      </c>
      <c r="BC14" t="s">
        <v>675</v>
      </c>
      <c r="BD14" t="s">
        <v>676</v>
      </c>
      <c r="BE14" t="s">
        <v>110</v>
      </c>
      <c r="BF14" t="s">
        <v>61</v>
      </c>
      <c r="BG14" t="s">
        <v>112</v>
      </c>
      <c r="BH14" t="s">
        <v>677</v>
      </c>
      <c r="BI14" t="s">
        <v>678</v>
      </c>
      <c r="BJ14" t="s">
        <v>674</v>
      </c>
      <c r="BK14" t="s">
        <v>679</v>
      </c>
      <c r="BL14" t="s">
        <v>680</v>
      </c>
      <c r="BM14" t="s">
        <v>675</v>
      </c>
      <c r="BN14">
        <v>7.03</v>
      </c>
      <c r="BO14" t="s">
        <v>15</v>
      </c>
      <c r="BP14" t="s">
        <v>15</v>
      </c>
      <c r="BQ14">
        <v>11.91</v>
      </c>
      <c r="BR14">
        <v>-44.11</v>
      </c>
      <c r="BS14">
        <v>-4.83</v>
      </c>
      <c r="BT14" t="s">
        <v>681</v>
      </c>
      <c r="BU14" t="s">
        <v>199</v>
      </c>
      <c r="BV14">
        <v>14.35</v>
      </c>
      <c r="BW14">
        <v>-35.979999999999997</v>
      </c>
      <c r="BX14">
        <v>-0.11</v>
      </c>
      <c r="BY14">
        <v>3.78</v>
      </c>
      <c r="BZ14">
        <v>-50.78</v>
      </c>
      <c r="CA14">
        <v>-4.2300000000000004</v>
      </c>
      <c r="CB14">
        <v>-3</v>
      </c>
      <c r="CC14">
        <v>-16.920000000000002</v>
      </c>
      <c r="CD14" t="s">
        <v>682</v>
      </c>
      <c r="CE14" t="s">
        <v>683</v>
      </c>
      <c r="CF14" s="9">
        <v>11.765624999999998</v>
      </c>
      <c r="CG14" s="10">
        <v>43.105009364890172</v>
      </c>
      <c r="CH14" s="9">
        <v>-0.67612665891647339</v>
      </c>
      <c r="CI14" s="9">
        <v>-0.3022860586643219</v>
      </c>
      <c r="CJ14" s="9">
        <v>0.1648188978433609</v>
      </c>
      <c r="CK14" s="9">
        <v>-0.39685952663421631</v>
      </c>
      <c r="CL14" s="9">
        <v>0.16587772965431213</v>
      </c>
      <c r="CM14" s="10">
        <v>1.0665380954742432</v>
      </c>
      <c r="CN14" s="10">
        <v>-7.696016788482666</v>
      </c>
      <c r="CO14" s="10">
        <v>-6.3291140832006931E-3</v>
      </c>
      <c r="CP14" s="10">
        <v>-1.4768611192703247</v>
      </c>
      <c r="CQ14" s="10">
        <v>-0.19383612275123596</v>
      </c>
      <c r="CR14">
        <v>-54.548449922958419</v>
      </c>
      <c r="CS14">
        <v>-2.6110340433936816</v>
      </c>
      <c r="CT14">
        <v>0.64727954971857404</v>
      </c>
      <c r="CU14" s="9">
        <v>-0.20891512334346771</v>
      </c>
      <c r="CV14" s="10">
        <v>-1.6613010098226368</v>
      </c>
      <c r="CW14">
        <v>0.06</v>
      </c>
      <c r="CX14">
        <v>187.62426086956521</v>
      </c>
      <c r="CY14" t="s">
        <v>684</v>
      </c>
      <c r="CZ14">
        <v>-0.20891512334346771</v>
      </c>
      <c r="DA14">
        <v>62.541420289855076</v>
      </c>
      <c r="DB14" t="s">
        <v>685</v>
      </c>
      <c r="DC14">
        <v>-0.19846936717629432</v>
      </c>
      <c r="DD14">
        <v>31.270710144927538</v>
      </c>
      <c r="DE14" t="s">
        <v>686</v>
      </c>
      <c r="DF14">
        <v>-0.18384530854225159</v>
      </c>
      <c r="DG14">
        <v>18.762426086956523</v>
      </c>
      <c r="DH14" t="s">
        <v>687</v>
      </c>
      <c r="DI14">
        <v>-0.16713209867477419</v>
      </c>
      <c r="DJ14">
        <v>9.3812130434782617</v>
      </c>
      <c r="DK14" t="s">
        <v>688</v>
      </c>
      <c r="DL14">
        <v>-0.14624058634042739</v>
      </c>
      <c r="DM14">
        <v>276000000</v>
      </c>
      <c r="DN14">
        <v>-0.20891512334346771</v>
      </c>
      <c r="DO14">
        <v>51784296000</v>
      </c>
      <c r="DP14">
        <v>-14147805100</v>
      </c>
      <c r="DQ14">
        <v>4357</v>
      </c>
      <c r="DR14">
        <v>11.974540123343466</v>
      </c>
      <c r="DS14">
        <v>44.766310374712809</v>
      </c>
      <c r="DT14" s="11">
        <v>-0.80666666666666664</v>
      </c>
      <c r="DU14">
        <v>-1.9900000000000002</v>
      </c>
      <c r="DV14">
        <v>-2.7966666666666669</v>
      </c>
      <c r="DW14">
        <v>-8.1773049645390063</v>
      </c>
      <c r="DX14">
        <v>0.36517759103641595</v>
      </c>
      <c r="DY14">
        <v>-8.0310598565667402</v>
      </c>
      <c r="DZ14">
        <v>3490</v>
      </c>
      <c r="EA14">
        <v>-8.0098467647041325</v>
      </c>
      <c r="EB14">
        <v>8</v>
      </c>
      <c r="EC14">
        <v>2.824672551596873E-2</v>
      </c>
      <c r="ED14">
        <v>0.16124622646567288</v>
      </c>
      <c r="EE14" s="12">
        <v>8.7000000000000133E-3</v>
      </c>
      <c r="EF14">
        <v>6.9999999999999923E-4</v>
      </c>
      <c r="EG14">
        <v>19.175177591036416</v>
      </c>
      <c r="EH14" t="s">
        <v>293</v>
      </c>
      <c r="EI14">
        <v>0</v>
      </c>
      <c r="EJ14">
        <v>0</v>
      </c>
      <c r="EK14" s="8">
        <v>45470</v>
      </c>
      <c r="EL14" s="13">
        <v>0.47</v>
      </c>
      <c r="EM14" s="13">
        <v>-1.89</v>
      </c>
      <c r="EN14" s="13">
        <v>0.96</v>
      </c>
      <c r="EO14" s="13">
        <v>1.84</v>
      </c>
      <c r="EP14" s="13">
        <v>-0.8</v>
      </c>
    </row>
    <row r="15" spans="1:146">
      <c r="A15" s="14"/>
      <c r="B15" s="14"/>
      <c r="C15" s="14"/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'Basic_Fundamental_Tabel_Update_Buttom &quot;机场航运&quot;,&quot;&quot;'" altText="更新基本面按钮_x000a_">
                <anchor moveWithCells="1" sizeWithCells="1">
                  <from>
                    <xdr:col>147</xdr:col>
                    <xdr:colOff>266700</xdr:colOff>
                    <xdr:row>0</xdr:row>
                    <xdr:rowOff>101600</xdr:rowOff>
                  </from>
                  <to>
                    <xdr:col>147</xdr:col>
                    <xdr:colOff>1416050</xdr:colOff>
                    <xdr:row>0</xdr:row>
                    <xdr:rowOff>412750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6"/>
  <sheetViews>
    <sheetView workbookViewId="0">
      <selection activeCell="A5" sqref="A5:K5"/>
    </sheetView>
  </sheetViews>
  <sheetFormatPr defaultRowHeight="14"/>
  <sheetData>
    <row r="1" spans="1:30">
      <c r="A1">
        <v>1</v>
      </c>
      <c r="B1">
        <f>A1+A1*$A$2</f>
        <v>1.1499999999999999</v>
      </c>
      <c r="C1">
        <f t="shared" ref="C1:AD1" si="0">B1+B1*$A$2</f>
        <v>1.3224999999999998</v>
      </c>
      <c r="D1">
        <f t="shared" si="0"/>
        <v>1.5208749999999998</v>
      </c>
      <c r="E1">
        <f t="shared" si="0"/>
        <v>1.7490062499999997</v>
      </c>
      <c r="F1">
        <f t="shared" si="0"/>
        <v>2.0113571874999998</v>
      </c>
      <c r="G1">
        <f t="shared" si="0"/>
        <v>2.313060765625</v>
      </c>
      <c r="H1">
        <f t="shared" si="0"/>
        <v>2.66001988046875</v>
      </c>
      <c r="I1">
        <f t="shared" si="0"/>
        <v>3.0590228625390625</v>
      </c>
      <c r="J1">
        <f t="shared" si="0"/>
        <v>3.5178762919199218</v>
      </c>
      <c r="K1">
        <f t="shared" si="0"/>
        <v>4.0455577357079102</v>
      </c>
      <c r="L1">
        <f t="shared" si="0"/>
        <v>4.6523913960640968</v>
      </c>
      <c r="M1">
        <f t="shared" si="0"/>
        <v>5.3502501054737115</v>
      </c>
      <c r="N1">
        <f t="shared" si="0"/>
        <v>6.1527876212947685</v>
      </c>
      <c r="O1">
        <f t="shared" si="0"/>
        <v>7.0757057644889834</v>
      </c>
      <c r="P1">
        <f t="shared" si="0"/>
        <v>8.1370616291623303</v>
      </c>
      <c r="Q1">
        <f t="shared" si="0"/>
        <v>9.3576208735366802</v>
      </c>
      <c r="R1">
        <f t="shared" si="0"/>
        <v>10.761264004567183</v>
      </c>
      <c r="S1">
        <f t="shared" si="0"/>
        <v>12.375453605252261</v>
      </c>
      <c r="T1">
        <f t="shared" si="0"/>
        <v>14.2317716460401</v>
      </c>
      <c r="U1">
        <f t="shared" si="0"/>
        <v>16.366537392946114</v>
      </c>
      <c r="V1">
        <f t="shared" si="0"/>
        <v>18.82151800188803</v>
      </c>
      <c r="W1">
        <f t="shared" si="0"/>
        <v>21.644745702171235</v>
      </c>
      <c r="X1">
        <f t="shared" si="0"/>
        <v>24.891457557496921</v>
      </c>
      <c r="Y1">
        <f t="shared" si="0"/>
        <v>28.625176191121458</v>
      </c>
      <c r="Z1">
        <f t="shared" si="0"/>
        <v>32.918952619789678</v>
      </c>
      <c r="AA1">
        <f t="shared" si="0"/>
        <v>37.856795512758133</v>
      </c>
      <c r="AB1">
        <f t="shared" si="0"/>
        <v>43.535314839671855</v>
      </c>
      <c r="AC1">
        <f t="shared" si="0"/>
        <v>50.065612065622631</v>
      </c>
      <c r="AD1">
        <f t="shared" si="0"/>
        <v>57.575453875466025</v>
      </c>
    </row>
    <row r="2" spans="1:30">
      <c r="A2">
        <v>0.15</v>
      </c>
      <c r="B2" t="s">
        <v>2</v>
      </c>
    </row>
    <row r="3" spans="1:30" s="2" customFormat="1">
      <c r="A3" s="2">
        <v>1</v>
      </c>
      <c r="B3" s="2">
        <v>2</v>
      </c>
      <c r="C3" s="2">
        <v>3</v>
      </c>
      <c r="D3" s="2">
        <v>4</v>
      </c>
      <c r="E3" s="2">
        <v>5</v>
      </c>
      <c r="F3" s="2">
        <v>6</v>
      </c>
      <c r="G3" s="2">
        <v>7</v>
      </c>
      <c r="H3" s="2">
        <v>8</v>
      </c>
      <c r="I3" s="2">
        <v>9</v>
      </c>
      <c r="J3" s="2">
        <v>10</v>
      </c>
      <c r="K3" s="2">
        <v>11</v>
      </c>
      <c r="L3" s="2">
        <v>12</v>
      </c>
      <c r="M3" s="2">
        <v>13</v>
      </c>
      <c r="N3" s="2">
        <v>14</v>
      </c>
      <c r="O3" s="2">
        <v>15</v>
      </c>
      <c r="P3" s="2">
        <v>16</v>
      </c>
      <c r="Q3" s="2">
        <v>17</v>
      </c>
      <c r="R3" s="2">
        <v>18</v>
      </c>
      <c r="S3" s="2">
        <v>19</v>
      </c>
      <c r="T3" s="2">
        <v>20</v>
      </c>
      <c r="U3" s="2">
        <v>21</v>
      </c>
      <c r="V3" s="2">
        <v>22</v>
      </c>
      <c r="W3" s="2">
        <v>23</v>
      </c>
      <c r="X3" s="2">
        <v>24</v>
      </c>
      <c r="Y3" s="2">
        <v>25</v>
      </c>
      <c r="Z3" s="2">
        <v>26</v>
      </c>
      <c r="AA3" s="2">
        <v>27</v>
      </c>
      <c r="AB3" s="2">
        <v>28</v>
      </c>
      <c r="AC3" s="2">
        <v>29</v>
      </c>
      <c r="AD3" s="2">
        <v>30</v>
      </c>
    </row>
    <row r="4" spans="1:30">
      <c r="A4">
        <v>0.15</v>
      </c>
      <c r="B4" t="s">
        <v>0</v>
      </c>
    </row>
    <row r="5" spans="1:30">
      <c r="A5" s="1">
        <v>1</v>
      </c>
      <c r="B5" s="1">
        <f>A5*$A$4+A5</f>
        <v>1.1499999999999999</v>
      </c>
      <c r="C5" s="1">
        <f t="shared" ref="C5:AD5" si="1">B5*$A$4+B5</f>
        <v>1.3224999999999998</v>
      </c>
      <c r="D5" s="1">
        <f t="shared" si="1"/>
        <v>1.5208749999999998</v>
      </c>
      <c r="E5" s="1">
        <f t="shared" si="1"/>
        <v>1.7490062499999997</v>
      </c>
      <c r="F5" s="1">
        <f t="shared" si="1"/>
        <v>2.0113571874999998</v>
      </c>
      <c r="G5" s="1">
        <f t="shared" si="1"/>
        <v>2.313060765625</v>
      </c>
      <c r="H5" s="1">
        <f t="shared" si="1"/>
        <v>2.66001988046875</v>
      </c>
      <c r="I5" s="1">
        <f t="shared" si="1"/>
        <v>3.0590228625390625</v>
      </c>
      <c r="J5" s="1">
        <f t="shared" si="1"/>
        <v>3.5178762919199218</v>
      </c>
      <c r="K5" s="1">
        <f t="shared" si="1"/>
        <v>4.0455577357079102</v>
      </c>
      <c r="L5" s="1">
        <f t="shared" si="1"/>
        <v>4.6523913960640968</v>
      </c>
      <c r="M5" s="1">
        <f t="shared" si="1"/>
        <v>5.3502501054737115</v>
      </c>
      <c r="N5" s="1">
        <f t="shared" si="1"/>
        <v>6.1527876212947685</v>
      </c>
      <c r="O5" s="1">
        <f t="shared" si="1"/>
        <v>7.0757057644889834</v>
      </c>
      <c r="P5">
        <f t="shared" si="1"/>
        <v>8.1370616291623303</v>
      </c>
      <c r="Q5">
        <f t="shared" si="1"/>
        <v>9.3576208735366802</v>
      </c>
      <c r="R5">
        <f t="shared" si="1"/>
        <v>10.761264004567183</v>
      </c>
      <c r="S5" s="1">
        <f t="shared" si="1"/>
        <v>12.375453605252261</v>
      </c>
      <c r="T5">
        <f t="shared" si="1"/>
        <v>14.2317716460401</v>
      </c>
      <c r="U5">
        <f t="shared" si="1"/>
        <v>16.366537392946114</v>
      </c>
      <c r="V5">
        <f t="shared" si="1"/>
        <v>18.82151800188803</v>
      </c>
      <c r="W5">
        <f t="shared" si="1"/>
        <v>21.644745702171235</v>
      </c>
      <c r="X5">
        <f t="shared" si="1"/>
        <v>24.891457557496921</v>
      </c>
      <c r="Y5">
        <f t="shared" si="1"/>
        <v>28.625176191121458</v>
      </c>
      <c r="Z5">
        <f t="shared" si="1"/>
        <v>32.918952619789678</v>
      </c>
      <c r="AA5">
        <f t="shared" si="1"/>
        <v>37.856795512758133</v>
      </c>
      <c r="AB5">
        <f t="shared" si="1"/>
        <v>43.535314839671855</v>
      </c>
      <c r="AC5">
        <f t="shared" si="1"/>
        <v>50.065612065622631</v>
      </c>
      <c r="AD5">
        <f t="shared" si="1"/>
        <v>57.575453875466025</v>
      </c>
    </row>
    <row r="6" spans="1:30">
      <c r="A6">
        <v>25</v>
      </c>
      <c r="B6" t="s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机场航运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2024-07-09T17:02:26Z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