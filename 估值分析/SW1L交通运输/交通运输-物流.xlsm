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交通运输\"/>
    </mc:Choice>
  </mc:AlternateContent>
  <bookViews>
    <workbookView xWindow="0" yWindow="0" windowWidth="3800" windowHeight="2960"/>
  </bookViews>
  <sheets>
    <sheet name="物流" sheetId="7" r:id="rId1"/>
    <sheet name="估值-增速与年化收益" sheetId="14"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1" i="7"/>
  <c r="C25" i="7"/>
  <c r="C26" i="7"/>
  <c r="C32" i="7"/>
  <c r="C43" i="7"/>
  <c r="C27" i="7"/>
  <c r="C34" i="7"/>
  <c r="C17" i="7"/>
  <c r="C13" i="7"/>
  <c r="C9" i="7"/>
  <c r="C39" i="7"/>
  <c r="C30" i="7"/>
  <c r="C16" i="7"/>
  <c r="C36" i="7"/>
  <c r="C31" i="7"/>
  <c r="C37" i="7"/>
  <c r="C21" i="7"/>
  <c r="C44" i="7"/>
  <c r="C28" i="7"/>
  <c r="C23" i="7"/>
  <c r="C12" i="7"/>
  <c r="C47" i="7"/>
  <c r="C18" i="7"/>
  <c r="C10" i="7"/>
  <c r="C19" i="7"/>
  <c r="C33" i="7"/>
  <c r="C20" i="7"/>
  <c r="C40" i="7"/>
  <c r="C24" i="7"/>
  <c r="C35" i="7"/>
  <c r="C46" i="7"/>
  <c r="C22" i="7"/>
  <c r="C15" i="7"/>
  <c r="C11" i="7"/>
  <c r="C45" i="7"/>
  <c r="C29" i="7"/>
  <c r="C42" i="7"/>
  <c r="C38" i="7"/>
  <c r="C14" i="7"/>
  <c r="C8" i="7"/>
  <c r="C7" i="7"/>
  <c r="C6" i="7"/>
  <c r="C5" i="7"/>
  <c r="C4" i="7"/>
  <c r="C3" i="7"/>
  <c r="C2" i="7"/>
</calcChain>
</file>

<file path=xl/sharedStrings.xml><?xml version="1.0" encoding="utf-8"?>
<sst xmlns="http://schemas.openxmlformats.org/spreadsheetml/2006/main" count="2738" uniqueCount="1993">
  <si>
    <t>&lt;-增速</t>
    <phoneticPr fontId="1" type="noConversion"/>
  </si>
  <si>
    <t>&lt;-估值</t>
    <phoneticPr fontId="1" type="noConversion"/>
  </si>
  <si>
    <t>&lt;-折合年化收益</t>
    <phoneticPr fontId="1" type="noConversion"/>
  </si>
  <si>
    <t>现价</t>
  </si>
  <si>
    <t>市净率</t>
  </si>
  <si>
    <t>飞力达</t>
  </si>
  <si>
    <t>中储股份</t>
  </si>
  <si>
    <t>保税科技</t>
  </si>
  <si>
    <t>宏川智慧</t>
  </si>
  <si>
    <t>传化智联</t>
  </si>
  <si>
    <t>顺丰控股</t>
  </si>
  <si>
    <t>密尔克卫</t>
  </si>
  <si>
    <t>恒基达鑫</t>
  </si>
  <si>
    <t>上海雅仕</t>
  </si>
  <si>
    <t>普路通</t>
  </si>
  <si>
    <t>原尚股份</t>
  </si>
  <si>
    <t>德邦股份</t>
  </si>
  <si>
    <t>长久物流</t>
  </si>
  <si>
    <t>东方嘉盛</t>
  </si>
  <si>
    <t>畅联股份</t>
  </si>
  <si>
    <t>音飞储存</t>
  </si>
  <si>
    <t>韵达股份</t>
  </si>
  <si>
    <t>圆通速递</t>
  </si>
  <si>
    <t>龙洲股份</t>
  </si>
  <si>
    <t>嘉诚国际</t>
  </si>
  <si>
    <t>华贸物流</t>
  </si>
  <si>
    <t>申通快递</t>
  </si>
  <si>
    <t>瑞茂通</t>
  </si>
  <si>
    <t>嘉友国际</t>
  </si>
  <si>
    <t>建发股份</t>
  </si>
  <si>
    <t>厦门象屿</t>
  </si>
  <si>
    <t>--</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</si>
  <si>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</si>
  <si>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</si>
  <si>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</si>
  <si>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</si>
  <si>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</si>
  <si>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</si>
  <si>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</si>
  <si>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</si>
  <si>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</si>
  <si>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</si>
  <si>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</si>
  <si>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</si>
  <si>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</si>
  <si>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</si>
  <si>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SZ002010</t>
  </si>
  <si>
    <t>物流</t>
  </si>
  <si>
    <t>16.02亿</t>
  </si>
  <si>
    <t>4.43亿</t>
  </si>
  <si>
    <t>SZ002120</t>
  </si>
  <si>
    <t>344.04亿</t>
  </si>
  <si>
    <t>26.47亿</t>
  </si>
  <si>
    <t>1.02亿</t>
  </si>
  <si>
    <t>1.98亿</t>
  </si>
  <si>
    <t>1.57亿</t>
  </si>
  <si>
    <t>1.18亿</t>
  </si>
  <si>
    <t>1.67亿</t>
  </si>
  <si>
    <t>SZ002352</t>
  </si>
  <si>
    <t>1121.93亿</t>
  </si>
  <si>
    <t>57.97亿</t>
  </si>
  <si>
    <t>10.57亿</t>
  </si>
  <si>
    <t>SZ002468</t>
  </si>
  <si>
    <t>230.89亿</t>
  </si>
  <si>
    <t>14.08亿</t>
  </si>
  <si>
    <t>6.65亿</t>
  </si>
  <si>
    <t>SZ002492</t>
  </si>
  <si>
    <t>3.23亿</t>
  </si>
  <si>
    <t>2.75亿</t>
  </si>
  <si>
    <t>5268.44万</t>
  </si>
  <si>
    <t>1.20亿</t>
  </si>
  <si>
    <t>SZ002682</t>
  </si>
  <si>
    <t>60.63亿</t>
  </si>
  <si>
    <t>1.01亿</t>
  </si>
  <si>
    <t>11.16亿</t>
  </si>
  <si>
    <t>SZ002769</t>
  </si>
  <si>
    <t>65.12亿</t>
  </si>
  <si>
    <t>6294.28万</t>
  </si>
  <si>
    <t>1.32亿</t>
  </si>
  <si>
    <t>SZ002800</t>
  </si>
  <si>
    <t>12.00亿</t>
  </si>
  <si>
    <t>1982.66万</t>
  </si>
  <si>
    <t>SZ002889</t>
  </si>
  <si>
    <t>141.24亿</t>
  </si>
  <si>
    <t>1.51亿</t>
  </si>
  <si>
    <t>SZ002930</t>
  </si>
  <si>
    <t>4.86亿</t>
  </si>
  <si>
    <t>1.46亿</t>
  </si>
  <si>
    <t>4.78亿</t>
  </si>
  <si>
    <t>1.96亿</t>
  </si>
  <si>
    <t>SZ300013</t>
  </si>
  <si>
    <t>8.99亿</t>
  </si>
  <si>
    <t>3.94亿</t>
  </si>
  <si>
    <t>SZ300240</t>
  </si>
  <si>
    <t>32.37亿</t>
  </si>
  <si>
    <t>3126.91万</t>
  </si>
  <si>
    <t>3.06亿</t>
  </si>
  <si>
    <t>SZ300873</t>
  </si>
  <si>
    <t>海晨股份</t>
  </si>
  <si>
    <t>9.20亿</t>
  </si>
  <si>
    <t>1.28亿</t>
  </si>
  <si>
    <t>1.04亿</t>
  </si>
  <si>
    <t>SH600057</t>
  </si>
  <si>
    <t>2724.12亿</t>
  </si>
  <si>
    <t>SH600119</t>
  </si>
  <si>
    <t>8.00亿</t>
  </si>
  <si>
    <t>SH600153</t>
  </si>
  <si>
    <t>3372.39亿</t>
  </si>
  <si>
    <t>2.70亿</t>
  </si>
  <si>
    <t>SH600180</t>
  </si>
  <si>
    <t>402.57亿</t>
  </si>
  <si>
    <t>4.13亿</t>
  </si>
  <si>
    <t>1.97亿</t>
  </si>
  <si>
    <t>SH600233</t>
  </si>
  <si>
    <t>311.51亿</t>
  </si>
  <si>
    <t>1.53亿</t>
  </si>
  <si>
    <t>8.19亿</t>
  </si>
  <si>
    <t>1.11亿</t>
  </si>
  <si>
    <t>SH600704</t>
  </si>
  <si>
    <t>27.34亿</t>
  </si>
  <si>
    <t>SH600787</t>
  </si>
  <si>
    <t>2.80亿</t>
  </si>
  <si>
    <t>SH600794</t>
  </si>
  <si>
    <t>18.77亿</t>
  </si>
  <si>
    <t>SH601598</t>
  </si>
  <si>
    <t>中国外运</t>
  </si>
  <si>
    <t>5.19亿</t>
  </si>
  <si>
    <t>SH603056</t>
  </si>
  <si>
    <t>259.22亿</t>
  </si>
  <si>
    <t>SH603066</t>
  </si>
  <si>
    <t>7.01亿</t>
  </si>
  <si>
    <t>7812.60万</t>
  </si>
  <si>
    <t>2.28亿</t>
  </si>
  <si>
    <t>SH603117</t>
  </si>
  <si>
    <t>9.41亿</t>
  </si>
  <si>
    <t>7344.77万</t>
  </si>
  <si>
    <t>2.13亿</t>
  </si>
  <si>
    <t>SH603128</t>
  </si>
  <si>
    <t>102.52亿</t>
  </si>
  <si>
    <t>3.51亿</t>
  </si>
  <si>
    <t>SH603329</t>
  </si>
  <si>
    <t>17.55亿</t>
  </si>
  <si>
    <t>-9880.74万</t>
  </si>
  <si>
    <t>SH603535</t>
  </si>
  <si>
    <t>11.94亿</t>
  </si>
  <si>
    <t>SH603569</t>
  </si>
  <si>
    <t>47.85亿</t>
  </si>
  <si>
    <t>SH603648</t>
  </si>
  <si>
    <t>12.95亿</t>
  </si>
  <si>
    <t>SH603713</t>
  </si>
  <si>
    <t>24.19亿</t>
  </si>
  <si>
    <t>1.23亿</t>
  </si>
  <si>
    <t>SH603813</t>
  </si>
  <si>
    <t>10.33亿</t>
  </si>
  <si>
    <t>6909.00万</t>
  </si>
  <si>
    <t>1.91亿</t>
  </si>
  <si>
    <t>SH603871</t>
  </si>
  <si>
    <t>41.71亿</t>
  </si>
  <si>
    <t>3.43亿</t>
  </si>
  <si>
    <t>SH603967</t>
  </si>
  <si>
    <t>中创物流</t>
  </si>
  <si>
    <t>45.13亿</t>
  </si>
  <si>
    <t>流动资产</t>
  </si>
  <si>
    <t>营业收入[20191231]</t>
  </si>
  <si>
    <t>营业收入[20181231]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</si>
  <si>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</si>
  <si>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</si>
  <si>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</si>
  <si>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</si>
  <si>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</si>
  <si>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</si>
  <si>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</si>
  <si>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</si>
  <si>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</si>
  <si>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SZ000927</t>
  </si>
  <si>
    <t>中国铁物</t>
  </si>
  <si>
    <t>444.67亿</t>
  </si>
  <si>
    <t>9.38亿</t>
  </si>
  <si>
    <t>1.03亿</t>
  </si>
  <si>
    <t>3.80亿</t>
  </si>
  <si>
    <t>477.66亿</t>
  </si>
  <si>
    <t>11.25亿</t>
  </si>
  <si>
    <t>3730.85万</t>
  </si>
  <si>
    <t>1.62亿</t>
  </si>
  <si>
    <t>SZ001202</t>
  </si>
  <si>
    <t>炬申股份</t>
  </si>
  <si>
    <t>9.76亿</t>
  </si>
  <si>
    <t>9026.29万</t>
  </si>
  <si>
    <t>7.97亿</t>
  </si>
  <si>
    <t>2.25亿</t>
  </si>
  <si>
    <t>1.43亿</t>
  </si>
  <si>
    <t>7753.76万</t>
  </si>
  <si>
    <t>3918.12万</t>
  </si>
  <si>
    <t>15.21亿</t>
  </si>
  <si>
    <t>201.43亿</t>
  </si>
  <si>
    <t>201.48亿</t>
  </si>
  <si>
    <t>6.81亿</t>
  </si>
  <si>
    <t>335.00亿</t>
  </si>
  <si>
    <t>14.04亿</t>
  </si>
  <si>
    <t>138.56亿</t>
  </si>
  <si>
    <t>26.98亿</t>
  </si>
  <si>
    <t>2.00亿</t>
  </si>
  <si>
    <t>1539.87亿</t>
  </si>
  <si>
    <t>73.26亿</t>
  </si>
  <si>
    <t>909.43亿</t>
  </si>
  <si>
    <t>45.56亿</t>
  </si>
  <si>
    <t>215.66亿</t>
  </si>
  <si>
    <t>3632.73万</t>
  </si>
  <si>
    <t>3.69亿</t>
  </si>
  <si>
    <t>19.30亿</t>
  </si>
  <si>
    <t>170.13亿</t>
  </si>
  <si>
    <t>20.49亿</t>
  </si>
  <si>
    <t>2.55亿</t>
  </si>
  <si>
    <t>5758.34万</t>
  </si>
  <si>
    <t>36.00亿</t>
  </si>
  <si>
    <t>68.39亿</t>
  </si>
  <si>
    <t>32.55亿</t>
  </si>
  <si>
    <t>6769.24万</t>
  </si>
  <si>
    <t>1.35亿</t>
  </si>
  <si>
    <t>57.72亿</t>
  </si>
  <si>
    <t>1.71亿</t>
  </si>
  <si>
    <t>4.99亿</t>
  </si>
  <si>
    <t>11.31亿</t>
  </si>
  <si>
    <t>2929.91万</t>
  </si>
  <si>
    <t>9.49亿</t>
  </si>
  <si>
    <t>580.95万</t>
  </si>
  <si>
    <t>128.96亿</t>
  </si>
  <si>
    <t>8.48亿</t>
  </si>
  <si>
    <t>3.98亿</t>
  </si>
  <si>
    <t>1.44亿</t>
  </si>
  <si>
    <t>37.09亿</t>
  </si>
  <si>
    <t>-824.62万</t>
  </si>
  <si>
    <t>31.98亿</t>
  </si>
  <si>
    <t>1478.40万</t>
  </si>
  <si>
    <t>10.74亿</t>
  </si>
  <si>
    <t>1.95亿</t>
  </si>
  <si>
    <t>8.08亿</t>
  </si>
  <si>
    <t>7951.86万</t>
  </si>
  <si>
    <t>3602.15亿</t>
  </si>
  <si>
    <t>2.88亿</t>
  </si>
  <si>
    <t>2340.08亿</t>
  </si>
  <si>
    <t>10.26亿</t>
  </si>
  <si>
    <t>4329.49亿</t>
  </si>
  <si>
    <t>2803.82亿</t>
  </si>
  <si>
    <t>46.72亿</t>
  </si>
  <si>
    <t>14.68亿</t>
  </si>
  <si>
    <t>366.65亿</t>
  </si>
  <si>
    <t>380.96亿</t>
  </si>
  <si>
    <t>349.07亿</t>
  </si>
  <si>
    <t>274.65亿</t>
  </si>
  <si>
    <t>1.39亿</t>
  </si>
  <si>
    <t>27.46亿</t>
  </si>
  <si>
    <t>3585.06亿</t>
  </si>
  <si>
    <t>3001.25亿</t>
  </si>
  <si>
    <t>23.97亿</t>
  </si>
  <si>
    <t>403.58亿</t>
  </si>
  <si>
    <t>340.15亿</t>
  </si>
  <si>
    <t>20.64亿</t>
  </si>
  <si>
    <t>13.64亿</t>
  </si>
  <si>
    <t>3550.54万</t>
  </si>
  <si>
    <t>1.87亿</t>
  </si>
  <si>
    <t>845.37亿</t>
  </si>
  <si>
    <t>27.54亿</t>
  </si>
  <si>
    <t>776.55亿</t>
  </si>
  <si>
    <t>773.12亿</t>
  </si>
  <si>
    <t>28.04亿</t>
  </si>
  <si>
    <t>27.04亿</t>
  </si>
  <si>
    <t>275.03亿</t>
  </si>
  <si>
    <t>230.26亿</t>
  </si>
  <si>
    <t>9463.68万</t>
  </si>
  <si>
    <t>6.89亿</t>
  </si>
  <si>
    <t>4.90亿</t>
  </si>
  <si>
    <t>9260.10万</t>
  </si>
  <si>
    <t>7.21亿</t>
  </si>
  <si>
    <t>4794.33万</t>
  </si>
  <si>
    <t>9.42亿</t>
  </si>
  <si>
    <t>9829.27万</t>
  </si>
  <si>
    <t>140.95亿</t>
  </si>
  <si>
    <t>5.30亿</t>
  </si>
  <si>
    <t>94.45亿</t>
  </si>
  <si>
    <t>2.79亿</t>
  </si>
  <si>
    <t>2.24亿</t>
  </si>
  <si>
    <t>17.34亿</t>
  </si>
  <si>
    <t>6425.98万</t>
  </si>
  <si>
    <t>4.03亿</t>
  </si>
  <si>
    <t>17.50亿</t>
  </si>
  <si>
    <t>17.00亿</t>
  </si>
  <si>
    <t>4498.88万</t>
  </si>
  <si>
    <t>11.51亿</t>
  </si>
  <si>
    <t>1.38亿</t>
  </si>
  <si>
    <t>40.77亿</t>
  </si>
  <si>
    <t>54.83亿</t>
  </si>
  <si>
    <t>15.17亿</t>
  </si>
  <si>
    <t>12.33亿</t>
  </si>
  <si>
    <t>34.27亿</t>
  </si>
  <si>
    <t>17.84亿</t>
  </si>
  <si>
    <t>4.60亿</t>
  </si>
  <si>
    <t>-1.64亿</t>
  </si>
  <si>
    <t>8.14亿</t>
  </si>
  <si>
    <t>5562.36万</t>
  </si>
  <si>
    <t>SH603836</t>
  </si>
  <si>
    <t>海程邦达</t>
  </si>
  <si>
    <t>54.28亿</t>
  </si>
  <si>
    <t>1.85亿</t>
  </si>
  <si>
    <t>34.13亿</t>
  </si>
  <si>
    <t>24.31亿</t>
  </si>
  <si>
    <t>7396.76万</t>
  </si>
  <si>
    <t>32.81亿</t>
  </si>
  <si>
    <t>3.60亿</t>
  </si>
  <si>
    <t>41.01亿</t>
  </si>
  <si>
    <t>51.54亿</t>
  </si>
  <si>
    <t>1.76亿</t>
  </si>
  <si>
    <t>45.09亿</t>
  </si>
  <si>
    <t>SH605050</t>
  </si>
  <si>
    <t>66.89亿</t>
  </si>
  <si>
    <t>3.07亿</t>
  </si>
  <si>
    <t>54.81亿</t>
  </si>
  <si>
    <t>56.13亿</t>
  </si>
  <si>
    <t>2.95亿</t>
  </si>
  <si>
    <t>2.87亿</t>
  </si>
  <si>
    <t>SZ000906</t>
  </si>
  <si>
    <t>浙商中拓</t>
  </si>
  <si>
    <t>1089.77亿</t>
  </si>
  <si>
    <t>5.55亿</t>
  </si>
  <si>
    <t>734.64亿</t>
  </si>
  <si>
    <t>632.94亿</t>
  </si>
  <si>
    <t>5.36亿</t>
  </si>
  <si>
    <t>长江投资</t>
  </si>
  <si>
    <t>SH601156</t>
  </si>
  <si>
    <t>东航物流</t>
  </si>
  <si>
    <t>151.11亿</t>
  </si>
  <si>
    <t>23.69亿</t>
  </si>
  <si>
    <t>112.96亿</t>
  </si>
  <si>
    <t>108.86亿</t>
  </si>
  <si>
    <t>7.88亿</t>
  </si>
  <si>
    <t>10.01亿</t>
  </si>
  <si>
    <t>福然德</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</si>
  <si>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</si>
  <si>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</si>
  <si>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</si>
  <si>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</si>
  <si>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</si>
  <si>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</si>
  <si>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</si>
  <si>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</si>
  <si>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</si>
  <si>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</si>
  <si>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</si>
  <si>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</si>
  <si>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</si>
  <si>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</si>
  <si>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</si>
  <si>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</si>
  <si>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</si>
  <si>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1.14亿</t>
  </si>
  <si>
    <t>4.12亿</t>
  </si>
  <si>
    <t>1.68亿</t>
  </si>
  <si>
    <t>5.06亿</t>
  </si>
  <si>
    <t>1.37亿</t>
  </si>
  <si>
    <t>SH600753</t>
  </si>
  <si>
    <t>20.40亿</t>
  </si>
  <si>
    <t>1938.92万</t>
  </si>
  <si>
    <t>2093.06万</t>
  </si>
  <si>
    <t>SH600755</t>
  </si>
  <si>
    <t>厦门国贸</t>
  </si>
  <si>
    <t>3510.89亿</t>
  </si>
  <si>
    <t>26.12亿</t>
  </si>
  <si>
    <t>2180.47亿</t>
  </si>
  <si>
    <t>2065.98亿</t>
  </si>
  <si>
    <t>23.09亿</t>
  </si>
  <si>
    <t>21.92亿</t>
  </si>
  <si>
    <t>10.88亿</t>
  </si>
  <si>
    <t>8.27亿</t>
  </si>
  <si>
    <t>1.06亿</t>
  </si>
  <si>
    <t>12.69亿</t>
  </si>
  <si>
    <t>1. 2020年5月到2020年8月价格翻倍，随后下跌40%，目前基本又涨了30%，，差20%就又回到2020年8月的高点；</t>
    <phoneticPr fontId="1" type="noConversion"/>
  </si>
  <si>
    <t>代码</t>
  </si>
  <si>
    <t>流通股本</t>
  </si>
  <si>
    <t>投入资本回报率roic%[20201231]</t>
  </si>
  <si>
    <t>净资产收益率%[20201231]</t>
  </si>
  <si>
    <t>营业收入[20171231]</t>
  </si>
  <si>
    <t>净利润[20201231]</t>
  </si>
  <si>
    <t>4.62亿</t>
  </si>
  <si>
    <t>1782.70亿</t>
  </si>
  <si>
    <t>1.17亿</t>
  </si>
  <si>
    <t>591.45亿</t>
  </si>
  <si>
    <t>9.77亿</t>
  </si>
  <si>
    <t>7.47亿</t>
  </si>
  <si>
    <t>4661.90万</t>
  </si>
  <si>
    <t>SZ001228</t>
  </si>
  <si>
    <t>21.45亿</t>
  </si>
  <si>
    <t>9.52亿</t>
  </si>
  <si>
    <t>6.68亿</t>
  </si>
  <si>
    <t>7420.87万</t>
  </si>
  <si>
    <t>6355.03万</t>
  </si>
  <si>
    <t>SZ001317</t>
  </si>
  <si>
    <t>三羊马</t>
  </si>
  <si>
    <t>5.80亿</t>
  </si>
  <si>
    <t>9.23亿</t>
  </si>
  <si>
    <t>4752.99万</t>
  </si>
  <si>
    <t>8.67亿</t>
  </si>
  <si>
    <t>8.29亿</t>
  </si>
  <si>
    <t>6362.57万</t>
  </si>
  <si>
    <t>6741.20万</t>
  </si>
  <si>
    <t>4522.92万</t>
  </si>
  <si>
    <t>22.49亿</t>
  </si>
  <si>
    <t>1.82亿</t>
  </si>
  <si>
    <t>2071.87亿</t>
  </si>
  <si>
    <t>42.69亿</t>
  </si>
  <si>
    <t>252.55亿</t>
  </si>
  <si>
    <t>-9.09亿</t>
  </si>
  <si>
    <t>1.08亿</t>
  </si>
  <si>
    <t>49.68亿</t>
  </si>
  <si>
    <t>1318.19万</t>
  </si>
  <si>
    <t>-9.23亿</t>
  </si>
  <si>
    <t>25.72亿</t>
  </si>
  <si>
    <t>3670.45万</t>
  </si>
  <si>
    <t>13.02亿</t>
  </si>
  <si>
    <t>4011.02万</t>
  </si>
  <si>
    <t>2.37亿</t>
  </si>
  <si>
    <t>2.72亿</t>
  </si>
  <si>
    <t>69.55亿</t>
  </si>
  <si>
    <t>3.09亿</t>
  </si>
  <si>
    <t>5625.38亿</t>
  </si>
  <si>
    <t>39.85亿</t>
  </si>
  <si>
    <t>16.12亿</t>
  </si>
  <si>
    <t>4647.56亿</t>
  </si>
  <si>
    <t>5.78亿</t>
  </si>
  <si>
    <t>18.71亿</t>
  </si>
  <si>
    <t>222.27亿</t>
  </si>
  <si>
    <t>36.27亿</t>
  </si>
  <si>
    <t>313.59亿</t>
  </si>
  <si>
    <t>10.09亿</t>
  </si>
  <si>
    <t>1.26亿</t>
  </si>
  <si>
    <t>-2.83亿</t>
  </si>
  <si>
    <t>246.68亿</t>
  </si>
  <si>
    <t>25.93亿</t>
  </si>
  <si>
    <t>15.93亿</t>
  </si>
  <si>
    <t>86.45亿</t>
  </si>
  <si>
    <t>4.32亿</t>
  </si>
  <si>
    <t>3081.57万</t>
  </si>
  <si>
    <t>119.13亿</t>
  </si>
  <si>
    <t>4.79亿</t>
  </si>
  <si>
    <t>38.88亿</t>
  </si>
  <si>
    <t>124.14亿</t>
  </si>
  <si>
    <t>2.08亿</t>
  </si>
  <si>
    <t>99.53亿</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</si>
  <si>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</si>
  <si>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</si>
  <si>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</si>
  <si>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</si>
  <si>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</si>
  <si>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</si>
  <si>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</si>
  <si>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</si>
  <si>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</si>
  <si>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</si>
  <si>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</si>
  <si>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</si>
  <si>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</si>
  <si>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</si>
  <si>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</si>
  <si>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扣非对比净利润</t>
    <phoneticPr fontId="1" type="noConversion"/>
  </si>
  <si>
    <t>1增速</t>
    <phoneticPr fontId="1" type="noConversion"/>
  </si>
  <si>
    <t>N-1</t>
    <phoneticPr fontId="1" type="noConversion"/>
  </si>
  <si>
    <t>亏损</t>
  </si>
  <si>
    <t>扭亏</t>
  </si>
  <si>
    <t>永泰运</t>
  </si>
  <si>
    <t>5235.22万</t>
  </si>
  <si>
    <t>1.21亿</t>
  </si>
  <si>
    <t/>
  </si>
  <si>
    <t>1.78亿</t>
  </si>
  <si>
    <t>4.46亿</t>
  </si>
  <si>
    <t>-1-0</t>
  </si>
  <si>
    <t>5.03亿</t>
  </si>
  <si>
    <t>SH603071</t>
  </si>
  <si>
    <t>物产环能</t>
  </si>
  <si>
    <t>598.81亿</t>
  </si>
  <si>
    <t>10.10亿</t>
  </si>
  <si>
    <t>300.64亿</t>
  </si>
  <si>
    <t>323.25亿</t>
  </si>
  <si>
    <t>355.11亿</t>
  </si>
  <si>
    <t>ST万林</t>
  </si>
  <si>
    <t>1.05亿</t>
  </si>
  <si>
    <t>1.34亿</t>
  </si>
  <si>
    <t>1.83亿</t>
  </si>
  <si>
    <t>1.41亿</t>
  </si>
  <si>
    <t>1.49亿</t>
  </si>
  <si>
    <t>6.05亿</t>
  </si>
  <si>
    <t>2.44亿</t>
  </si>
  <si>
    <t>36.37亿</t>
  </si>
  <si>
    <t>2.35亿</t>
  </si>
  <si>
    <t>2.17亿</t>
  </si>
  <si>
    <t>1.48亿</t>
  </si>
  <si>
    <t>14.83亿</t>
  </si>
  <si>
    <t>1.63亿</t>
  </si>
  <si>
    <t>；</t>
    <phoneticPr fontId="1" type="noConversion"/>
  </si>
  <si>
    <t>1-1</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</si>
  <si>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</si>
  <si>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</si>
  <si>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</si>
  <si>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</si>
  <si>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</si>
  <si>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</si>
  <si>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</si>
  <si>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</si>
  <si>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</si>
  <si>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</si>
  <si>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</si>
  <si>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</si>
  <si>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</si>
  <si>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</si>
  <si>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</si>
  <si>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</si>
  <si>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</si>
  <si>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</si>
  <si>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</si>
  <si>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</si>
  <si>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</si>
  <si>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</si>
  <si>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</si>
  <si>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</si>
  <si>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</si>
  <si>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</si>
  <si>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</si>
  <si>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</si>
  <si>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</si>
  <si>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</si>
  <si>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</si>
  <si>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</si>
  <si>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市销率</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</si>
  <si>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</si>
  <si>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</si>
  <si>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</si>
  <si>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</si>
  <si>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</si>
  <si>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</si>
  <si>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</si>
  <si>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</si>
  <si>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</si>
  <si>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</si>
  <si>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</si>
  <si>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</si>
  <si>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</si>
  <si>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</si>
  <si>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</si>
  <si>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</si>
  <si>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</si>
  <si>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</si>
  <si>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</si>
  <si>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</si>
  <si>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</si>
  <si>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</si>
  <si>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</si>
  <si>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</si>
  <si>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</si>
  <si>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</si>
  <si>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</si>
  <si>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</si>
  <si>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</si>
  <si>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</si>
  <si>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</si>
  <si>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</si>
  <si>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</si>
  <si>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</si>
  <si>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</si>
  <si>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</si>
  <si>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</si>
  <si>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t>
    <phoneticPr fontId="1" type="noConversion"/>
  </si>
  <si>
    <t>不分配不转增</t>
  </si>
  <si>
    <t>10派1元(含税)</t>
  </si>
  <si>
    <t>10派0.2元(含税)</t>
  </si>
  <si>
    <t>10派3元(含税)</t>
  </si>
  <si>
    <t>10转4股派5元(含税)</t>
  </si>
  <si>
    <t>1.公司是一家主要通过公铁联运方式为汽车行业和啤酒、饮料、洗涤用品等非汽车行业提供综合服务的第三方物流企业。</t>
    <phoneticPr fontId="1" type="noConversion"/>
  </si>
  <si>
    <t>1.重庆还是全国车辆制造生产重要基地之一，区域内有长安汽车、长安福特、上汽通用五菱、长城汽车、赛力斯、华晨鑫源等汽车制造企业。区域内集聚了优质的整车制造产业资源，为公司提供了具备竞争力的区域优势</t>
    <phoneticPr fontId="1" type="noConversion"/>
  </si>
  <si>
    <t>-1-1</t>
  </si>
  <si>
    <r>
      <t>1.数字农业发展:未来会通过不断加码的科技投入，提高农业全产业链信息化水平，从而对</t>
    </r>
    <r>
      <rPr>
        <sz val="9"/>
        <color rgb="FFFF0000"/>
        <rFont val="宋体"/>
        <family val="3"/>
        <charset val="134"/>
        <scheme val="minor"/>
      </rPr>
      <t>农业全产业链各环节实现有效地运营和管理</t>
    </r>
    <r>
      <rPr>
        <sz val="9"/>
        <color theme="1"/>
        <rFont val="宋体"/>
        <family val="2"/>
        <charset val="134"/>
        <scheme val="minor"/>
      </rPr>
      <t>，赚取集约化、专业化、规模化的收益。2.2022年前三季度，公司玉米等粮食经营货量突破1,000万吨，同比增长超50%，但</t>
    </r>
    <r>
      <rPr>
        <sz val="9"/>
        <color rgb="FFFF0000"/>
        <rFont val="宋体"/>
        <family val="3"/>
        <charset val="134"/>
        <scheme val="minor"/>
      </rPr>
      <t>市场占有率仅3.77%</t>
    </r>
    <r>
      <rPr>
        <sz val="9"/>
        <color theme="1"/>
        <rFont val="宋体"/>
        <family val="2"/>
        <charset val="134"/>
        <scheme val="minor"/>
      </rPr>
      <t>，跟整体用量近2.6亿吨的饲用和工业用玉米市场流通规模相比，还有很广阔的成长空间。3.公司是</t>
    </r>
    <r>
      <rPr>
        <b/>
        <sz val="9"/>
        <color rgb="FFFF0000"/>
        <rFont val="宋体"/>
        <family val="3"/>
        <charset val="134"/>
        <scheme val="minor"/>
      </rPr>
      <t>全国仓储企业百强（居第 3 位）</t>
    </r>
    <r>
      <rPr>
        <sz val="9"/>
        <color theme="1"/>
        <rFont val="宋体"/>
        <family val="2"/>
        <charset val="134"/>
        <scheme val="minor"/>
      </rPr>
      <t>、国家 5A 级物流企业，在业内率先构建以“公、铁、水、仓”为核心的网络化物流服务体系，培育了三大物流运营主体（象屿速传、象道物流、象屿
农产）</t>
    </r>
    <phoneticPr fontId="1" type="noConversion"/>
  </si>
  <si>
    <t>1.现已形成“铁矿—钢铁”“纺织原料—服装”“橡胶—轮胎”“林—浆—纸”“农牧产品”“有色矿产—有色金属”等垂直产业链。</t>
    <phoneticPr fontId="1" type="noConversion"/>
  </si>
  <si>
    <r>
      <t>1.2020年以来，</t>
    </r>
    <r>
      <rPr>
        <sz val="9"/>
        <color rgb="FFFF0000"/>
        <rFont val="宋体"/>
        <family val="3"/>
        <charset val="134"/>
        <scheme val="minor"/>
      </rPr>
      <t>空运运力供给短缺</t>
    </r>
    <r>
      <rPr>
        <sz val="9"/>
        <color theme="1"/>
        <rFont val="宋体"/>
        <family val="2"/>
        <charset val="134"/>
        <scheme val="minor"/>
      </rPr>
      <t>、运价较大幅度增长，进而带来了公司空运相关业务收入、利润的大幅增长。(疫情影响）2.问：今年</t>
    </r>
    <r>
      <rPr>
        <sz val="9"/>
        <color rgb="FFFF0000"/>
        <rFont val="宋体"/>
        <family val="3"/>
        <charset val="134"/>
        <scheme val="minor"/>
      </rPr>
      <t>前三季度公司海运、空运业务量下降</t>
    </r>
    <r>
      <rPr>
        <sz val="9"/>
        <color theme="1"/>
        <rFont val="宋体"/>
        <family val="2"/>
        <charset val="134"/>
        <scheme val="minor"/>
      </rPr>
      <t>的原因分别是什么？答：今年前三季度，公司海运代理业务量同比下降4.9%，主要原因是公司自身主动优化业务结构，减少部分低利润率业务，另外二季度国内疫情对上海口岸业务量也产生了一定影响。空运业务量同比下降7.3%，主要原因一是国际局势导致公司个别包机航线停飞、绕飞，运力供给减少，同时也影响了部分客户的发货意愿，二是欧洲税改对跨境电商业务量需求有一定影响。</t>
    </r>
    <phoneticPr fontId="1" type="noConversion"/>
  </si>
  <si>
    <r>
      <t>1.在全球经济形势的不确定性中，稳定的空运运力仍是市场稀缺资源.2.航空速运方面，</t>
    </r>
    <r>
      <rPr>
        <sz val="9"/>
        <color rgb="FFFF0000"/>
        <rFont val="宋体"/>
        <family val="3"/>
        <charset val="134"/>
        <scheme val="minor"/>
      </rPr>
      <t>公司加大运力投入，提升全货机和客机货运业务的运营效率</t>
    </r>
    <r>
      <rPr>
        <sz val="9"/>
        <color theme="1"/>
        <rFont val="宋体"/>
        <family val="2"/>
        <charset val="134"/>
        <scheme val="minor"/>
      </rPr>
      <t>，航空速运板块实现收入 124.31 亿元，同比增长58.98%；2.中国民航局于今年出台了航空物流发展专项规划，这是历史上首次发布，体现了国家对于大力发展航空物流的重视，规划里面提出预计“十四五”时期航空货邮运输量保持快速增长，年均增速达7.0%，2025年达950万吨。3.对于亚太的布局，我们也关注到中国一些产业链转移到东南亚国家以后带来的机会。</t>
    </r>
    <phoneticPr fontId="1" type="noConversion"/>
  </si>
  <si>
    <r>
      <t>1.不过，在全货机机队规模上，相比于国货航和南航，</t>
    </r>
    <r>
      <rPr>
        <sz val="9"/>
        <color rgb="FFFF0000"/>
        <rFont val="宋体"/>
        <family val="3"/>
        <charset val="134"/>
        <scheme val="minor"/>
      </rPr>
      <t>东航物流还较小</t>
    </r>
    <r>
      <rPr>
        <sz val="9"/>
        <color theme="1"/>
        <rFont val="宋体"/>
        <family val="2"/>
        <charset val="134"/>
        <scheme val="minor"/>
      </rPr>
      <t>，目前只有10架。东航物流表示，根据公司“十四五”全货机机队发展规划，“十四五”末预计公司运营的全货机机队规模将达到15-20架。2.</t>
    </r>
    <r>
      <rPr>
        <sz val="9"/>
        <color rgb="FFFF0000"/>
        <rFont val="宋体"/>
        <family val="3"/>
        <charset val="134"/>
        <scheme val="minor"/>
      </rPr>
      <t>国货航</t>
    </r>
    <r>
      <rPr>
        <sz val="9"/>
        <color theme="1"/>
        <rFont val="宋体"/>
        <family val="2"/>
        <charset val="134"/>
        <scheme val="minor"/>
      </rPr>
      <t>拥有全货机15架，且基本为宽体大型飞机；同时，国货航还是国航集团客机货运业务的独家运营者，客机腹舱资源非常丰富；3.，顺丰、京东、菜鸟等在航空货运市场的拓展如火如荼，顺丰航空、圆通航空等迅速崛起；天津货航、中原龙浩、西北货航等进一步明确货运航空承运人的定位；纵腾集团、嘉诚国际、空港宏远等跨境物流企业在加速布局航空货运市场；FedEx、DHL、UPS等国际物流巨头也在不断深耕中国市场;4.从影响航空物流业利润变化的因素来看，主要包括</t>
    </r>
    <r>
      <rPr>
        <b/>
        <sz val="9"/>
        <color rgb="FFFF0000"/>
        <rFont val="宋体"/>
        <family val="3"/>
        <charset val="134"/>
        <scheme val="minor"/>
      </rPr>
      <t>上游航油与航材价格波动和下游航空运输需求波动</t>
    </r>
    <r>
      <rPr>
        <sz val="9"/>
        <color theme="1"/>
        <rFont val="宋体"/>
        <family val="2"/>
        <charset val="134"/>
        <scheme val="minor"/>
      </rPr>
      <t>。从供给端看，首先，航油价格水平的波动会直接导致航空公司利润水平波动；其次，航空公司的航材采购主要分为新购飞机的航材采购和维修飞机所需的航材采购两大类型，航材的价格变动也会影响公司的营运成本，进而对利润水平产生影响；从需求端看，市场供求关系是决定航空运输行业利润水平的重要因素。近年来我国航空运输行业供求关系总体趋于平衡，但若未来出现产能过剩或需求不足，可能会使得行业利润水平出现下降。5.大股东联想</t>
    </r>
    <r>
      <rPr>
        <b/>
        <sz val="9"/>
        <color rgb="FFFF0000"/>
        <rFont val="宋体"/>
        <family val="3"/>
        <charset val="134"/>
        <scheme val="minor"/>
      </rPr>
      <t>2023.2.6~2023.8.5计划减持6%</t>
    </r>
    <r>
      <rPr>
        <sz val="9"/>
        <color theme="1"/>
        <rFont val="宋体"/>
        <family val="2"/>
        <charset val="134"/>
        <scheme val="minor"/>
      </rPr>
      <t>，大宗交易时间为2023.1.12~2023.7.11（之前在2022.7.6~12.13完成减持，价格为15.19~19.61，占比2.8%）; 6.大股东普东物流计划</t>
    </r>
    <r>
      <rPr>
        <b/>
        <sz val="9"/>
        <color rgb="FFFF0000"/>
        <rFont val="宋体"/>
        <family val="3"/>
        <charset val="134"/>
        <scheme val="minor"/>
      </rPr>
      <t>2023.3.6~6.15 减持3%</t>
    </r>
    <r>
      <rPr>
        <sz val="9"/>
        <color theme="1"/>
        <rFont val="宋体"/>
        <family val="2"/>
        <charset val="134"/>
        <scheme val="minor"/>
      </rPr>
      <t>，之前</t>
    </r>
    <r>
      <rPr>
        <sz val="9"/>
        <color rgb="FFFF0000"/>
        <rFont val="宋体"/>
        <family val="3"/>
        <charset val="134"/>
        <scheme val="minor"/>
      </rPr>
      <t>2022.11.23~2023.2.22减持3</t>
    </r>
    <r>
      <rPr>
        <sz val="9"/>
        <color theme="1"/>
        <rFont val="宋体"/>
        <family val="2"/>
        <charset val="134"/>
        <scheme val="minor"/>
      </rPr>
      <t>%（实际减持1.63%，价格14.14~17.17）；7.2017年6月，联想控股、珠海普东物流向公司增资的价格为</t>
    </r>
    <r>
      <rPr>
        <b/>
        <sz val="9"/>
        <color rgb="FFFF0000"/>
        <rFont val="宋体"/>
        <family val="3"/>
        <charset val="134"/>
        <scheme val="minor"/>
      </rPr>
      <t>2.87元/注册</t>
    </r>
    <r>
      <rPr>
        <sz val="9"/>
        <color theme="1"/>
        <rFont val="宋体"/>
        <family val="2"/>
        <charset val="134"/>
        <scheme val="minor"/>
      </rPr>
      <t>资本。</t>
    </r>
    <r>
      <rPr>
        <sz val="9"/>
        <color theme="1"/>
        <rFont val="宋体"/>
        <family val="3"/>
        <charset val="134"/>
        <scheme val="minor"/>
      </rPr>
      <t>7.需</t>
    </r>
    <r>
      <rPr>
        <sz val="9"/>
        <color rgb="FFFF0000"/>
        <rFont val="宋体"/>
        <family val="3"/>
        <charset val="134"/>
        <scheme val="minor"/>
      </rPr>
      <t>扣除疫情航运涨价</t>
    </r>
    <r>
      <rPr>
        <sz val="9"/>
        <color theme="1"/>
        <rFont val="宋体"/>
        <family val="3"/>
        <charset val="134"/>
        <scheme val="minor"/>
      </rPr>
      <t>因素。</t>
    </r>
    <phoneticPr fontId="1" type="noConversion"/>
  </si>
  <si>
    <r>
      <t>1.美国物流咨询机构Armstrong &amp; Associates联手Transport Topics发布的“2022年度全球货代50强榜单”，</t>
    </r>
    <r>
      <rPr>
        <sz val="9"/>
        <color rgb="FFFF0000"/>
        <rFont val="宋体"/>
        <family val="3"/>
        <charset val="134"/>
        <scheme val="minor"/>
      </rPr>
      <t>嘉里物流位列海运榜第九、空运榜第十二</t>
    </r>
    <r>
      <rPr>
        <sz val="9"/>
        <color theme="1"/>
        <rFont val="宋体"/>
        <family val="2"/>
        <charset val="134"/>
        <scheme val="minor"/>
      </rPr>
      <t>。2.</t>
    </r>
    <r>
      <rPr>
        <sz val="9"/>
        <color rgb="FFFF0000"/>
        <rFont val="宋体"/>
        <family val="3"/>
        <charset val="134"/>
        <scheme val="minor"/>
      </rPr>
      <t>鄂州花湖机场</t>
    </r>
    <r>
      <rPr>
        <sz val="9"/>
        <color theme="1"/>
        <rFont val="宋体"/>
        <family val="2"/>
        <charset val="134"/>
        <scheme val="minor"/>
      </rPr>
      <t>于2022年7月投运，货运首期开通鄂州至深圳、上海2条航线。预计2023年第三季度枢纽转运中心陆续投运，公司逐步搭建覆盖广、成本低、效率高的轴辐式航空网络，实现公司全链路网络模式调优与布局变革，带来更多时效业务增量。</t>
    </r>
    <phoneticPr fontId="1" type="noConversion"/>
  </si>
  <si>
    <r>
      <t>1.营收在增加，但是毛利逐年开始下降，导致利润率也下降，所以</t>
    </r>
    <r>
      <rPr>
        <sz val="9"/>
        <color rgb="FFFF0000"/>
        <rFont val="宋体"/>
        <family val="3"/>
        <charset val="134"/>
        <scheme val="minor"/>
      </rPr>
      <t>利润增速明显低于营收增速</t>
    </r>
    <r>
      <rPr>
        <sz val="9"/>
        <color theme="1"/>
        <rFont val="宋体"/>
        <family val="2"/>
        <charset val="134"/>
        <scheme val="minor"/>
      </rPr>
      <t>。</t>
    </r>
    <phoneticPr fontId="1" type="noConversion"/>
  </si>
  <si>
    <t>-2-0</t>
  </si>
  <si>
    <r>
      <t>1.问：卡萨项目与迪洛洛项目的异同？答：卡萨项目与迪洛洛项目均为公司在非洲刚果（金）投资的道路和陆港PPP模式，他们的不同在于卡萨项目的萨卡尼亚陆港只是公路货物监管区，而迪洛洛项目的迪洛洛陆港是由公路货物监管区和铁路货物监管区两部分构成。(</t>
    </r>
    <r>
      <rPr>
        <b/>
        <sz val="9"/>
        <color rgb="FFFF0000"/>
        <rFont val="宋体"/>
        <family val="3"/>
        <charset val="134"/>
        <scheme val="minor"/>
      </rPr>
      <t>典型的一路一带物流外延</t>
    </r>
    <r>
      <rPr>
        <sz val="9"/>
        <color theme="1"/>
        <rFont val="宋体"/>
        <family val="2"/>
        <charset val="134"/>
        <scheme val="minor"/>
      </rPr>
      <t>）</t>
    </r>
    <phoneticPr fontId="1" type="noConversion"/>
  </si>
  <si>
    <t>2.18亿</t>
  </si>
  <si>
    <t>3.88亿</t>
  </si>
  <si>
    <t>1.33亿</t>
  </si>
  <si>
    <t>1.50亿</t>
  </si>
  <si>
    <t>10.85亿</t>
  </si>
  <si>
    <t>30.12亿</t>
  </si>
  <si>
    <t>2.94亿</t>
  </si>
  <si>
    <t>8.05亿</t>
  </si>
  <si>
    <t>7.45亿</t>
  </si>
  <si>
    <t>353.92亿</t>
  </si>
  <si>
    <t>214.97亿</t>
  </si>
  <si>
    <t>474.34亿</t>
  </si>
  <si>
    <t>3.45亿</t>
  </si>
  <si>
    <t>417.36亿</t>
  </si>
  <si>
    <t>14.59亿</t>
  </si>
  <si>
    <t>2674.90亿</t>
  </si>
  <si>
    <t>61.74亿</t>
  </si>
  <si>
    <t>10派2.5元(含税)</t>
  </si>
  <si>
    <t>336.71亿</t>
  </si>
  <si>
    <t>4.02亿</t>
  </si>
  <si>
    <t>1.72亿</t>
  </si>
  <si>
    <t>49.93亿</t>
  </si>
  <si>
    <t>15.00亿</t>
  </si>
  <si>
    <t>12.41亿</t>
  </si>
  <si>
    <t>349.09万</t>
  </si>
  <si>
    <t>1-0</t>
  </si>
  <si>
    <t>1.55亿</t>
  </si>
  <si>
    <t>6.09亿</t>
  </si>
  <si>
    <t>27.57亿</t>
  </si>
  <si>
    <t>26.93亿</t>
  </si>
  <si>
    <t>12.63亿</t>
  </si>
  <si>
    <t>2.21亿</t>
  </si>
  <si>
    <t>6.66亿</t>
  </si>
  <si>
    <t>-159.79万</t>
  </si>
  <si>
    <t>2.10亿</t>
  </si>
  <si>
    <t>67.72亿</t>
  </si>
  <si>
    <t>1.16亿</t>
  </si>
  <si>
    <t>18.00亿</t>
  </si>
  <si>
    <t>3.58亿</t>
  </si>
  <si>
    <t>10派3.5元(含税)</t>
  </si>
  <si>
    <t>5381.48亿</t>
  </si>
  <si>
    <t>26.37亿</t>
  </si>
  <si>
    <t>3.83亿</t>
  </si>
  <si>
    <t>1.79亿</t>
  </si>
  <si>
    <t>12.72亿</t>
  </si>
  <si>
    <t>-1420.97万</t>
  </si>
  <si>
    <t>558.74亿</t>
  </si>
  <si>
    <t>535.39亿</t>
  </si>
  <si>
    <t>39.20亿</t>
  </si>
  <si>
    <t>5765.49亿</t>
  </si>
  <si>
    <t>4035.70亿</t>
  </si>
  <si>
    <t>庚星股份</t>
  </si>
  <si>
    <t>18.48亿</t>
  </si>
  <si>
    <t>1422.69万</t>
  </si>
  <si>
    <t>26.94亿</t>
  </si>
  <si>
    <t>-5018.89万</t>
  </si>
  <si>
    <t>2128.15万</t>
  </si>
  <si>
    <t>3.41亿</t>
  </si>
  <si>
    <t>34.38亿</t>
  </si>
  <si>
    <t>6.40亿</t>
  </si>
  <si>
    <t>752.33亿</t>
  </si>
  <si>
    <t>488.16亿</t>
  </si>
  <si>
    <t>13.41亿</t>
  </si>
  <si>
    <t>234.70亿</t>
  </si>
  <si>
    <t>1243.48亿</t>
  </si>
  <si>
    <t>37.14亿</t>
  </si>
  <si>
    <t>313.92亿</t>
  </si>
  <si>
    <t>6.51亿</t>
  </si>
  <si>
    <t>3.49亿</t>
  </si>
  <si>
    <t>15.41亿</t>
  </si>
  <si>
    <t>552.00亿</t>
  </si>
  <si>
    <t>10.62亿</t>
  </si>
  <si>
    <t>220.70亿</t>
  </si>
  <si>
    <t>8.88亿</t>
  </si>
  <si>
    <t>1.15亿</t>
  </si>
  <si>
    <t>8.45亿</t>
  </si>
  <si>
    <t>2.52亿</t>
  </si>
  <si>
    <t>30.88亿</t>
  </si>
  <si>
    <t>12.78亿</t>
  </si>
  <si>
    <t>10派0.85元(含税)</t>
  </si>
  <si>
    <t>39.58亿</t>
  </si>
  <si>
    <t>1796.71万</t>
  </si>
  <si>
    <t>45.03亿</t>
  </si>
  <si>
    <t>8615.23万</t>
  </si>
  <si>
    <t>16.38亿</t>
  </si>
  <si>
    <t>115.76亿</t>
  </si>
  <si>
    <t>3765.49万</t>
  </si>
  <si>
    <t>122.79亿</t>
  </si>
  <si>
    <t>48.29亿</t>
  </si>
  <si>
    <t>118.58亿</t>
  </si>
  <si>
    <t>103.42亿</t>
  </si>
  <si>
    <t>3.05亿</t>
  </si>
  <si>
    <t>3.39亿</t>
  </si>
  <si>
    <t>1936.05亿</t>
  </si>
  <si>
    <t>10派5元(含税)</t>
  </si>
  <si>
    <t>5.23亿</t>
  </si>
  <si>
    <t>4.56亿</t>
  </si>
  <si>
    <t>-2-1</t>
  </si>
  <si>
    <t>8.06亿</t>
  </si>
  <si>
    <t>2.91亿</t>
  </si>
  <si>
    <t>7.46亿</t>
  </si>
  <si>
    <t>7.09亿</t>
  </si>
  <si>
    <t>6.03亿</t>
  </si>
  <si>
    <t>2.02亿</t>
  </si>
  <si>
    <t>3.76亿</t>
  </si>
  <si>
    <t>1.09亿</t>
  </si>
  <si>
    <t>6.52亿</t>
  </si>
  <si>
    <t>1.45亿</t>
  </si>
  <si>
    <t>3.89亿</t>
  </si>
  <si>
    <t>1.84亿</t>
  </si>
  <si>
    <t>8.80亿</t>
  </si>
  <si>
    <t>9.40亿</t>
  </si>
  <si>
    <t>-1.75亿</t>
  </si>
  <si>
    <t>-4.27亿</t>
  </si>
  <si>
    <t>-2.62亿</t>
  </si>
  <si>
    <t>-4.58亿</t>
  </si>
  <si>
    <t>-3-0</t>
  </si>
  <si>
    <t>1.81亿</t>
  </si>
  <si>
    <t>4.23亿</t>
  </si>
  <si>
    <t>2.90亿</t>
  </si>
  <si>
    <t>9.80亿</t>
  </si>
  <si>
    <t>1.07亿</t>
  </si>
  <si>
    <t>9.03亿</t>
  </si>
  <si>
    <t>3.37亿</t>
  </si>
  <si>
    <t>7.06亿</t>
  </si>
  <si>
    <t>4.01亿</t>
  </si>
  <si>
    <t>2.53亿</t>
  </si>
  <si>
    <t>2.40亿</t>
  </si>
  <si>
    <t>2.12亿</t>
  </si>
  <si>
    <t>2.23亿</t>
  </si>
  <si>
    <t>2-1</t>
  </si>
  <si>
    <r>
      <t>1.预计年报业绩：净利润3.000亿元至3.400亿元，增长幅度为79.06%至102.93%;2.从社会物流总额构成看，</t>
    </r>
    <r>
      <rPr>
        <sz val="9"/>
        <color rgb="FFFF0000"/>
        <rFont val="宋体"/>
        <family val="3"/>
        <charset val="134"/>
        <scheme val="minor"/>
      </rPr>
      <t>全国工业品物流总额在社会物流总额当中占比最大，各年占比普遍高达90%以上</t>
    </r>
    <r>
      <rPr>
        <sz val="9"/>
        <color theme="1"/>
        <rFont val="宋体"/>
        <family val="2"/>
        <charset val="134"/>
        <scheme val="minor"/>
      </rPr>
      <t>。</t>
    </r>
    <r>
      <rPr>
        <sz val="9"/>
        <color theme="1"/>
        <rFont val="宋体"/>
        <family val="3"/>
        <charset val="134"/>
        <scheme val="minor"/>
      </rPr>
      <t>3.到 2022 年我国化工物流行业市场规模将达到 1.8 万亿元，其中第三方化工物流市场规模将达到 6,300 亿元，第三方化工物流的渗透率将</t>
    </r>
    <r>
      <rPr>
        <sz val="9"/>
        <color rgb="FFFF0000"/>
        <rFont val="宋体"/>
        <family val="3"/>
        <charset val="134"/>
        <scheme val="minor"/>
      </rPr>
      <t>上升至 35%.</t>
    </r>
    <r>
      <rPr>
        <sz val="9"/>
        <rFont val="宋体"/>
        <family val="3"/>
        <charset val="134"/>
        <scheme val="minor"/>
      </rPr>
      <t>4.2023H1，公司</t>
    </r>
    <r>
      <rPr>
        <b/>
        <sz val="9"/>
        <color rgb="FFFF0000"/>
        <rFont val="宋体"/>
        <family val="3"/>
        <charset val="134"/>
        <scheme val="minor"/>
      </rPr>
      <t>跨境化工业务收入占比 是 65%</t>
    </r>
    <r>
      <rPr>
        <sz val="9"/>
        <rFont val="宋体"/>
        <family val="3"/>
        <charset val="134"/>
        <scheme val="minor"/>
      </rPr>
      <t>；5.公司客户以中小企业为主，议价权较高，毛利率好于密尔克卫；</t>
    </r>
    <phoneticPr fontId="1" type="noConversion"/>
  </si>
  <si>
    <t>-4-1</t>
  </si>
  <si>
    <t>1.13亿</t>
  </si>
  <si>
    <t>1.42亿</t>
  </si>
  <si>
    <t>4.17亿</t>
  </si>
  <si>
    <t>1.61亿</t>
  </si>
  <si>
    <r>
      <t>0.物流业务为主导，贸易打开第二曲线;1.以营收口径计算，</t>
    </r>
    <r>
      <rPr>
        <sz val="9"/>
        <color rgb="FFFF0000"/>
        <rFont val="宋体"/>
        <family val="3"/>
        <charset val="134"/>
        <scheme val="minor"/>
      </rPr>
      <t>收入排名居首的君正物流</t>
    </r>
    <r>
      <rPr>
        <sz val="9"/>
        <color rgb="FFFF0000"/>
        <rFont val="宋体"/>
        <family val="2"/>
        <charset val="134"/>
        <scheme val="minor"/>
      </rPr>
      <t>(也是上海企业）</t>
    </r>
    <r>
      <rPr>
        <sz val="9"/>
        <color theme="1"/>
        <rFont val="宋体"/>
        <family val="2"/>
        <charset val="134"/>
        <scheme val="minor"/>
      </rPr>
      <t>份额仅 1.1%。密尔克卫即便近 4 年营收复合增速高达 52%，份额占比仍不高，约为 0.9%。2</t>
    </r>
    <r>
      <rPr>
        <sz val="9"/>
        <rFont val="宋体"/>
        <family val="3"/>
        <charset val="134"/>
        <scheme val="minor"/>
      </rPr>
      <t>.5年内同业务保持25-30%左右的增速并不算太难（公司目前</t>
    </r>
    <r>
      <rPr>
        <sz val="9"/>
        <color rgb="FFFF0000"/>
        <rFont val="宋体"/>
        <family val="3"/>
        <charset val="134"/>
        <scheme val="minor"/>
      </rPr>
      <t>内部的目标都是在40%以上</t>
    </r>
    <r>
      <rPr>
        <sz val="9"/>
        <rFont val="宋体"/>
        <family val="3"/>
        <charset val="134"/>
        <scheme val="minor"/>
      </rPr>
      <t xml:space="preserve">）；3.全国统计在册可以从事危化品运输的企业约为 </t>
    </r>
    <r>
      <rPr>
        <sz val="9"/>
        <color rgb="FFFF0000"/>
        <rFont val="宋体"/>
        <family val="3"/>
        <charset val="134"/>
        <scheme val="minor"/>
      </rPr>
      <t>13000 家</t>
    </r>
    <r>
      <rPr>
        <sz val="9"/>
        <rFont val="宋体"/>
        <family val="3"/>
        <charset val="134"/>
        <scheme val="minor"/>
      </rPr>
      <t>，总车辆保有 率约为 57.5 万辆，平均每家企业车辆运力为 44 辆。目前公司自有运输车辆 1283 辆，远高于行业平均运力；4.</t>
    </r>
    <r>
      <rPr>
        <sz val="9"/>
        <color rgb="FFFF0000"/>
        <rFont val="宋体"/>
        <family val="3"/>
        <charset val="134"/>
        <scheme val="minor"/>
      </rPr>
      <t>密尔克卫是陆运为主的企业，而永泰运主要是海运</t>
    </r>
    <r>
      <rPr>
        <sz val="9"/>
        <rFont val="宋体"/>
        <family val="3"/>
        <charset val="134"/>
        <scheme val="minor"/>
      </rPr>
      <t>。这是二者的第一个不同；5.2024Q1营业总收入28.96亿元 同比增长23.26%, 净利润1.51亿元同比增长40.62%; 但2023年净利润4.31亿元，同比去年增长</t>
    </r>
    <r>
      <rPr>
        <b/>
        <sz val="9"/>
        <color rgb="FFFF0000"/>
        <rFont val="宋体"/>
        <family val="3"/>
        <charset val="134"/>
        <scheme val="minor"/>
      </rPr>
      <t>-28.72%</t>
    </r>
    <r>
      <rPr>
        <sz val="9"/>
        <rFont val="宋体"/>
        <family val="3"/>
        <charset val="134"/>
        <scheme val="minor"/>
      </rPr>
      <t>；</t>
    </r>
    <phoneticPr fontId="1" type="noConversion"/>
  </si>
  <si>
    <r>
      <t>1.</t>
    </r>
    <r>
      <rPr>
        <sz val="9"/>
        <color rgb="FFFF0000"/>
        <rFont val="宋体"/>
        <family val="3"/>
        <charset val="134"/>
        <scheme val="minor"/>
      </rPr>
      <t>核心能力还是仓库、配送、物流</t>
    </r>
    <r>
      <rPr>
        <sz val="9"/>
        <color theme="1"/>
        <rFont val="宋体"/>
        <family val="2"/>
        <charset val="134"/>
        <scheme val="minor"/>
      </rPr>
      <t>。贸易只是锦上添花。危险品仓是自建的，租的都是铺货仓；2. 机构认为密尔克卫的潜在成长空间约10倍，也就是说市占率可能能达到10%以上；3.行业的</t>
    </r>
    <r>
      <rPr>
        <b/>
        <sz val="9"/>
        <color rgb="FFFF0000"/>
        <rFont val="宋体"/>
        <family val="3"/>
        <charset val="134"/>
        <scheme val="minor"/>
      </rPr>
      <t>核心竞争力是安全管控</t>
    </r>
    <r>
      <rPr>
        <sz val="9"/>
        <color theme="1"/>
        <rFont val="宋体"/>
        <family val="2"/>
        <charset val="134"/>
        <scheme val="minor"/>
      </rPr>
      <t>，密尔克卫是全行业第一，仓储已经几乎不可能出现安全问题了，在道路上还会有一些小风险，但是只要不是恶意破坏，基本上也不会出问题。无人机的监控正在铺开；4.第三季度已经在新加坡和美国两个地区完成了团队建设和业务启动,未来会逐步完善管理体系与资源配置。5.问：公司如何弱化行业周期对业绩的影响？答：公司逐步拓展了新的目标客户群体，包括</t>
    </r>
    <r>
      <rPr>
        <sz val="9"/>
        <color rgb="FFFF0000"/>
        <rFont val="宋体"/>
        <family val="3"/>
        <charset val="134"/>
        <scheme val="minor"/>
      </rPr>
      <t>新能源、日化、快消、芯片半导体、智能制造</t>
    </r>
    <r>
      <rPr>
        <sz val="9"/>
        <color theme="1"/>
        <rFont val="宋体"/>
        <family val="2"/>
        <charset val="134"/>
        <scheme val="minor"/>
      </rPr>
      <t>等行业，它们对物流和仓储都有一定要求，与公司提供的服务比较契合。公司通过调整客户行业结构以平滑大的行业波动的影响。6.问：公司今年是否有新的仓库投产？答：公司在2023年共有6个仓库投产，今年预计会有1-2个仓库的投放;</t>
    </r>
    <phoneticPr fontId="1" type="noConversion"/>
  </si>
  <si>
    <t>250.32亿</t>
  </si>
  <si>
    <t>446.06亿</t>
  </si>
  <si>
    <t>2030.65亿</t>
  </si>
  <si>
    <t>7.11亿</t>
  </si>
  <si>
    <t>4.85亿</t>
  </si>
  <si>
    <t>53032848亿</t>
  </si>
  <si>
    <t>18618850亿</t>
  </si>
  <si>
    <t>7042550000亿</t>
  </si>
  <si>
    <t>44012659000亿</t>
  </si>
  <si>
    <t>184.30万</t>
  </si>
  <si>
    <t>10.02亿</t>
  </si>
  <si>
    <t>432.73亿</t>
  </si>
  <si>
    <t>2.65亿</t>
  </si>
  <si>
    <t>150.10亿</t>
  </si>
  <si>
    <t>97.98亿</t>
  </si>
  <si>
    <t>450.68亿</t>
  </si>
  <si>
    <t>5.71亿</t>
  </si>
  <si>
    <t>343408亿</t>
  </si>
  <si>
    <t>158418860亿</t>
  </si>
  <si>
    <t>7267146200亿</t>
  </si>
  <si>
    <t>21075214000亿</t>
  </si>
  <si>
    <t>552.02亿</t>
  </si>
  <si>
    <t>107.26亿</t>
  </si>
  <si>
    <t>10派0.1元(含税)</t>
  </si>
  <si>
    <t>5.48亿</t>
  </si>
  <si>
    <t>9.94亿</t>
  </si>
  <si>
    <t>6218.72万</t>
  </si>
  <si>
    <t>9.16亿</t>
  </si>
  <si>
    <t>262500亿</t>
  </si>
  <si>
    <t>12470203亿</t>
  </si>
  <si>
    <t>107254488亿</t>
  </si>
  <si>
    <t>285796890亿</t>
  </si>
  <si>
    <t>1.22亿</t>
  </si>
  <si>
    <t>4029.80万</t>
  </si>
  <si>
    <t>2.39亿</t>
  </si>
  <si>
    <t>1061.27万</t>
  </si>
  <si>
    <t>-5-1</t>
  </si>
  <si>
    <t>6.71亿</t>
  </si>
  <si>
    <t>21.99亿</t>
  </si>
  <si>
    <t>1985539亿</t>
  </si>
  <si>
    <t>31545917亿</t>
  </si>
  <si>
    <t>499246710亿</t>
  </si>
  <si>
    <t>2908613000亿</t>
  </si>
  <si>
    <t>4.97亿</t>
  </si>
  <si>
    <t>3805.18万</t>
  </si>
  <si>
    <t>10派6元(含税)</t>
  </si>
  <si>
    <t>2.68亿</t>
  </si>
  <si>
    <t>2011.57万</t>
  </si>
  <si>
    <t>275137亿</t>
  </si>
  <si>
    <t>5275317亿</t>
  </si>
  <si>
    <t>379742130亿</t>
  </si>
  <si>
    <t>876061720亿</t>
  </si>
  <si>
    <t>1559.36万</t>
  </si>
  <si>
    <t>786.37万</t>
  </si>
  <si>
    <t>10派1.2元(含税)</t>
  </si>
  <si>
    <t>229.44亿</t>
  </si>
  <si>
    <t>63.95亿</t>
  </si>
  <si>
    <t>335.78亿</t>
  </si>
  <si>
    <t>5.91亿</t>
  </si>
  <si>
    <t>86629554亿</t>
  </si>
  <si>
    <t>155697260亿</t>
  </si>
  <si>
    <t>2032324300亿</t>
  </si>
  <si>
    <t>13593808000亿</t>
  </si>
  <si>
    <t>369.01亿</t>
  </si>
  <si>
    <t>82.13亿</t>
  </si>
  <si>
    <t>187.73亿</t>
  </si>
  <si>
    <t>111.56亿</t>
  </si>
  <si>
    <t>449.83亿</t>
  </si>
  <si>
    <t>16.25亿</t>
  </si>
  <si>
    <t>29040234亿</t>
  </si>
  <si>
    <t>384913500亿</t>
  </si>
  <si>
    <t>1256372660亿</t>
  </si>
  <si>
    <t>13611730000亿</t>
  </si>
  <si>
    <t>8.74亿</t>
  </si>
  <si>
    <t>104.75亿</t>
  </si>
  <si>
    <t>3.59亿</t>
  </si>
  <si>
    <t>10派1.7元(含税)</t>
  </si>
  <si>
    <t>2.96亿</t>
  </si>
  <si>
    <t>6.54亿</t>
  </si>
  <si>
    <t>1182.07亿</t>
  </si>
  <si>
    <t>1032.84亿</t>
  </si>
  <si>
    <t>653.41亿</t>
  </si>
  <si>
    <t>2584.09亿</t>
  </si>
  <si>
    <t>82.34亿</t>
  </si>
  <si>
    <t>2505.51亿</t>
  </si>
  <si>
    <t>2252.74亿</t>
  </si>
  <si>
    <t>29.92亿</t>
  </si>
  <si>
    <t>176.33亿</t>
  </si>
  <si>
    <t>33.63亿</t>
  </si>
  <si>
    <t>200701000亿</t>
  </si>
  <si>
    <t>1656846000亿</t>
  </si>
  <si>
    <t>419.75亿</t>
  </si>
  <si>
    <t>24607942000亿</t>
  </si>
  <si>
    <t>2.27亿</t>
  </si>
  <si>
    <t>95228727000亿</t>
  </si>
  <si>
    <t>40.33亿</t>
  </si>
  <si>
    <t>182.22亿</t>
  </si>
  <si>
    <t>6816.50万</t>
  </si>
  <si>
    <t>248.46亿</t>
  </si>
  <si>
    <t>4071.40万</t>
  </si>
  <si>
    <t>739.90亿</t>
  </si>
  <si>
    <t>113.55亿</t>
  </si>
  <si>
    <t>265.70亿</t>
  </si>
  <si>
    <t>-135.06亿</t>
  </si>
  <si>
    <t>-129.95亿</t>
  </si>
  <si>
    <t>610.48亿</t>
  </si>
  <si>
    <t>17.20亿</t>
  </si>
  <si>
    <t>139.31亿</t>
  </si>
  <si>
    <t>101.32亿</t>
  </si>
  <si>
    <t>409.24亿</t>
  </si>
  <si>
    <t>3326394亿</t>
  </si>
  <si>
    <t>186406590亿</t>
  </si>
  <si>
    <t>24.33亿</t>
  </si>
  <si>
    <t>645131420亿</t>
  </si>
  <si>
    <t>7093059000亿</t>
  </si>
  <si>
    <t>2.62亿</t>
  </si>
  <si>
    <t>87.44亿</t>
  </si>
  <si>
    <t>3.72亿</t>
  </si>
  <si>
    <t>9348.65万</t>
  </si>
  <si>
    <t>3645326亿</t>
  </si>
  <si>
    <t>22123176亿</t>
  </si>
  <si>
    <t>358256660亿</t>
  </si>
  <si>
    <t>997613230亿</t>
  </si>
  <si>
    <t>9821.97万</t>
  </si>
  <si>
    <t>2570.53万</t>
  </si>
  <si>
    <t>49.94亿</t>
  </si>
  <si>
    <t>37.16亿</t>
  </si>
  <si>
    <t>-3.52亿</t>
  </si>
  <si>
    <t>35.94亿</t>
  </si>
  <si>
    <t>9939268亿</t>
  </si>
  <si>
    <t>-2651276亿</t>
  </si>
  <si>
    <t>539909670亿</t>
  </si>
  <si>
    <t>3009140600亿</t>
  </si>
  <si>
    <t>18.28亿</t>
  </si>
  <si>
    <t>3.57亿</t>
  </si>
  <si>
    <t>-2.28亿</t>
  </si>
  <si>
    <t>-7922.69万</t>
  </si>
  <si>
    <t>-3874.53万</t>
  </si>
  <si>
    <t>-4-0</t>
  </si>
  <si>
    <t>48.60亿</t>
  </si>
  <si>
    <t>6.16亿</t>
  </si>
  <si>
    <t>-1.00亿</t>
  </si>
  <si>
    <t>3187027亿</t>
  </si>
  <si>
    <t>-22002966亿</t>
  </si>
  <si>
    <t>224094940亿</t>
  </si>
  <si>
    <t>6377633200亿</t>
  </si>
  <si>
    <t>-1.10亿</t>
  </si>
  <si>
    <t>-8286.61万</t>
  </si>
  <si>
    <t>-1194.89万</t>
  </si>
  <si>
    <t>3.02亿</t>
  </si>
  <si>
    <t>9.50亿</t>
  </si>
  <si>
    <t>-4336.21万</t>
  </si>
  <si>
    <t>755322亿</t>
  </si>
  <si>
    <t>3434039亿</t>
  </si>
  <si>
    <t>241955890亿</t>
  </si>
  <si>
    <t>675318920亿</t>
  </si>
  <si>
    <t>3.18亿</t>
  </si>
  <si>
    <t>60.14万</t>
  </si>
  <si>
    <t>10转4股</t>
  </si>
  <si>
    <t>24.34亿</t>
  </si>
  <si>
    <t>26.92亿</t>
  </si>
  <si>
    <t>1.59亿</t>
  </si>
  <si>
    <t>3638934亿</t>
  </si>
  <si>
    <t>42410608亿</t>
  </si>
  <si>
    <t>422176230亿</t>
  </si>
  <si>
    <t>3537934200亿</t>
  </si>
  <si>
    <t>23.92亿</t>
  </si>
  <si>
    <t>263.60万</t>
  </si>
  <si>
    <t>28.27亿</t>
  </si>
  <si>
    <t>5985.86万</t>
  </si>
  <si>
    <t>10转4股派0.85元(含税)</t>
  </si>
  <si>
    <t>0159000000</t>
  </si>
  <si>
    <t>0477000000</t>
  </si>
  <si>
    <t>0954000000</t>
  </si>
  <si>
    <t>01590000000</t>
  </si>
  <si>
    <t>03180000000</t>
  </si>
  <si>
    <t>64.70亿</t>
  </si>
  <si>
    <t>15.47亿</t>
  </si>
  <si>
    <t>8989433亿</t>
  </si>
  <si>
    <t>57536852亿</t>
  </si>
  <si>
    <t>226995330亿</t>
  </si>
  <si>
    <t>1633375500亿</t>
  </si>
  <si>
    <t>1.80亿</t>
  </si>
  <si>
    <t>6881.44万</t>
  </si>
  <si>
    <t>*ST新宁</t>
  </si>
  <si>
    <t>6.74亿</t>
  </si>
  <si>
    <t>-1.56亿</t>
  </si>
  <si>
    <t>3.66亿</t>
  </si>
  <si>
    <t>5657756亿</t>
  </si>
  <si>
    <t>-6595357亿</t>
  </si>
  <si>
    <t>135912450亿</t>
  </si>
  <si>
    <t>231264320亿</t>
  </si>
  <si>
    <t>-923.68万</t>
  </si>
  <si>
    <t>20.98亿</t>
  </si>
  <si>
    <t>50.24亿</t>
  </si>
  <si>
    <t>2180.44万</t>
  </si>
  <si>
    <t>347818亿</t>
  </si>
  <si>
    <t>-5671712亿</t>
  </si>
  <si>
    <t>1164993190亿</t>
  </si>
  <si>
    <t>2285195500亿</t>
  </si>
  <si>
    <t>10.72亿</t>
  </si>
  <si>
    <t>-1375.72万</t>
  </si>
  <si>
    <t>10派0.15元(含税)</t>
  </si>
  <si>
    <t>-3-1</t>
  </si>
  <si>
    <t>12.66亿</t>
  </si>
  <si>
    <t>2.81亿</t>
  </si>
  <si>
    <t>10705亿</t>
  </si>
  <si>
    <t>47537095亿</t>
  </si>
  <si>
    <t>585538420亿</t>
  </si>
  <si>
    <t>2216931100亿</t>
  </si>
  <si>
    <t>10派4元(含税)</t>
  </si>
  <si>
    <t>925.13亿</t>
  </si>
  <si>
    <t>1045.68亿</t>
  </si>
  <si>
    <t>4590.35亿</t>
  </si>
  <si>
    <t>15.74亿</t>
  </si>
  <si>
    <t>19.43亿</t>
  </si>
  <si>
    <t>81663108亿</t>
  </si>
  <si>
    <t>-10262600亿</t>
  </si>
  <si>
    <t>19417120000亿</t>
  </si>
  <si>
    <t>115228904000亿</t>
  </si>
  <si>
    <t>8.63亿</t>
  </si>
  <si>
    <t>890.18万</t>
  </si>
  <si>
    <t>3623789亿</t>
  </si>
  <si>
    <t>-3924366亿</t>
  </si>
  <si>
    <t>334844190亿</t>
  </si>
  <si>
    <t>637330610亿</t>
  </si>
  <si>
    <t>5962.13亿</t>
  </si>
  <si>
    <t>1313.37亿</t>
  </si>
  <si>
    <t>7636.78亿</t>
  </si>
  <si>
    <t>131.04亿</t>
  </si>
  <si>
    <t>237598350亿</t>
  </si>
  <si>
    <t>281703400亿</t>
  </si>
  <si>
    <t>24018967000亿</t>
  </si>
  <si>
    <t>700528030000亿</t>
  </si>
  <si>
    <t>8328.30亿</t>
  </si>
  <si>
    <t>62.75亿</t>
  </si>
  <si>
    <t>7.94亿</t>
  </si>
  <si>
    <t>10派7元(含税)</t>
  </si>
  <si>
    <t>224.14亿</t>
  </si>
  <si>
    <t>69.71亿</t>
  </si>
  <si>
    <t>400.94亿</t>
  </si>
  <si>
    <t>2.60亿</t>
  </si>
  <si>
    <t>37764276亿</t>
  </si>
  <si>
    <t>127940491亿</t>
  </si>
  <si>
    <t>11331940500亿</t>
  </si>
  <si>
    <t>5.44亿</t>
  </si>
  <si>
    <t>17559967000亿</t>
  </si>
  <si>
    <t>2000.00万</t>
  </si>
  <si>
    <t>4.59亿</t>
  </si>
  <si>
    <t>2.04亿</t>
  </si>
  <si>
    <t>10派0.9元(含税)</t>
  </si>
  <si>
    <t>140.20亿</t>
  </si>
  <si>
    <t>154.27亿</t>
  </si>
  <si>
    <t>576.84亿</t>
  </si>
  <si>
    <t>37.23亿</t>
  </si>
  <si>
    <t>-31801629亿</t>
  </si>
  <si>
    <t>903171900亿</t>
  </si>
  <si>
    <t>1716582700亿</t>
  </si>
  <si>
    <t>14102346000亿</t>
  </si>
  <si>
    <t>1147.92亿</t>
  </si>
  <si>
    <t>1329.38亿</t>
  </si>
  <si>
    <t>5801.61亿</t>
  </si>
  <si>
    <t>36.17亿</t>
  </si>
  <si>
    <t>539758950亿</t>
  </si>
  <si>
    <t>779140010亿</t>
  </si>
  <si>
    <t>15895004000亿</t>
  </si>
  <si>
    <t>146895370000亿</t>
  </si>
  <si>
    <t>39.25亿</t>
  </si>
  <si>
    <t>10派2.1元(含税)</t>
  </si>
  <si>
    <t>8.18亿</t>
  </si>
  <si>
    <t>-5149.53万</t>
  </si>
  <si>
    <t>-1116006亿</t>
  </si>
  <si>
    <t>-19292113亿</t>
  </si>
  <si>
    <t>136122720亿</t>
  </si>
  <si>
    <t>229675630亿</t>
  </si>
  <si>
    <t>1.64亿</t>
  </si>
  <si>
    <t>745.03亿</t>
  </si>
  <si>
    <t>968.80亿</t>
  </si>
  <si>
    <t>4682.47亿</t>
  </si>
  <si>
    <t>19.15亿</t>
  </si>
  <si>
    <t>362185770亿</t>
  </si>
  <si>
    <t>-77272152亿</t>
  </si>
  <si>
    <t>12418963100亿</t>
  </si>
  <si>
    <t>121209727000亿</t>
  </si>
  <si>
    <t>5219.45亿</t>
  </si>
  <si>
    <t>81.96亿</t>
  </si>
  <si>
    <t>139.29亿</t>
  </si>
  <si>
    <t>672.66亿</t>
  </si>
  <si>
    <t>7.87亿</t>
  </si>
  <si>
    <t>-14124019亿</t>
  </si>
  <si>
    <t>61661445亿</t>
  </si>
  <si>
    <t>1228726280亿</t>
  </si>
  <si>
    <t>10944743700亿</t>
  </si>
  <si>
    <t>6.15亿</t>
  </si>
  <si>
    <t>767.75亿</t>
  </si>
  <si>
    <t>10派1.28元(含税)</t>
  </si>
  <si>
    <t>12.22亿</t>
  </si>
  <si>
    <t>2.86亿</t>
  </si>
  <si>
    <t>14.99亿</t>
  </si>
  <si>
    <t>12477390亿</t>
  </si>
  <si>
    <t>67358027亿</t>
  </si>
  <si>
    <t>5.52亿</t>
  </si>
  <si>
    <t>12802933亿</t>
  </si>
  <si>
    <t>2343005000亿</t>
  </si>
  <si>
    <t>3.10亿</t>
  </si>
  <si>
    <t>117.69亿</t>
  </si>
  <si>
    <t>52.24亿</t>
  </si>
  <si>
    <t>206.21亿</t>
  </si>
  <si>
    <t>24.88亿</t>
  </si>
  <si>
    <t>-318601亿</t>
  </si>
  <si>
    <t>527257140亿</t>
  </si>
  <si>
    <t>2122997500亿</t>
  </si>
  <si>
    <t>11648520000亿</t>
  </si>
  <si>
    <t>357.67亿</t>
  </si>
  <si>
    <t>242.87亿</t>
  </si>
  <si>
    <t>1017.05亿</t>
  </si>
  <si>
    <t>42.22亿</t>
  </si>
  <si>
    <t>478269830亿</t>
  </si>
  <si>
    <t>731381240亿</t>
  </si>
  <si>
    <t>16679483000亿</t>
  </si>
  <si>
    <t>38043248000亿</t>
  </si>
  <si>
    <t>1092.94亿</t>
  </si>
  <si>
    <t>40.79亿</t>
  </si>
  <si>
    <t>10派1.45元(含税)</t>
  </si>
  <si>
    <t>98.13亿</t>
  </si>
  <si>
    <t>92.95亿</t>
  </si>
  <si>
    <t>362.79亿</t>
  </si>
  <si>
    <t>-5625838亿</t>
  </si>
  <si>
    <t>15582902亿</t>
  </si>
  <si>
    <t>3202920800亿</t>
  </si>
  <si>
    <t>9454131800亿</t>
  </si>
  <si>
    <t>6.58亿</t>
  </si>
  <si>
    <t>10派0.79元(含税)</t>
  </si>
  <si>
    <t>15.73亿</t>
  </si>
  <si>
    <t>12.25亿</t>
  </si>
  <si>
    <t>-1311070亿</t>
  </si>
  <si>
    <t>27923465亿</t>
  </si>
  <si>
    <t>778956170亿</t>
  </si>
  <si>
    <t>2187137900亿</t>
  </si>
  <si>
    <t>4.42万</t>
  </si>
  <si>
    <t>42.42亿</t>
  </si>
  <si>
    <t>104.62亿</t>
  </si>
  <si>
    <t>443.27亿</t>
  </si>
  <si>
    <t>10.59亿</t>
  </si>
  <si>
    <t>23442910亿</t>
  </si>
  <si>
    <t>234525510亿</t>
  </si>
  <si>
    <t>1171389710亿</t>
  </si>
  <si>
    <t>6998105800亿</t>
  </si>
  <si>
    <t>13.25亿</t>
  </si>
  <si>
    <t>6862.28万</t>
  </si>
  <si>
    <t>1555800亿</t>
  </si>
  <si>
    <t>3497034亿</t>
  </si>
  <si>
    <t>266974450亿</t>
  </si>
  <si>
    <t>-5.97亿</t>
  </si>
  <si>
    <t>36.83亿</t>
  </si>
  <si>
    <t>38.83亿</t>
  </si>
  <si>
    <t>146.08亿</t>
  </si>
  <si>
    <t>6.17亿</t>
  </si>
  <si>
    <t>6823191亿</t>
  </si>
  <si>
    <t>164567240亿</t>
  </si>
  <si>
    <t>2873159600亿</t>
  </si>
  <si>
    <t>6189852000亿</t>
  </si>
  <si>
    <t>4.00亿</t>
  </si>
  <si>
    <t>10派2元(含税)</t>
  </si>
  <si>
    <t>10.18亿</t>
  </si>
  <si>
    <t>5.08亿</t>
  </si>
  <si>
    <t>25.20亿</t>
  </si>
  <si>
    <t>977.80万</t>
  </si>
  <si>
    <t>234827亿</t>
  </si>
  <si>
    <t>3340561亿</t>
  </si>
  <si>
    <t>166491920亿</t>
  </si>
  <si>
    <t>930634660亿</t>
  </si>
  <si>
    <t>30.32万</t>
  </si>
  <si>
    <t>19.20亿</t>
  </si>
  <si>
    <t>569265亿</t>
  </si>
  <si>
    <t>65916561亿</t>
  </si>
  <si>
    <t>518884030亿</t>
  </si>
  <si>
    <t>1194841550亿</t>
  </si>
  <si>
    <t>24.46亿</t>
  </si>
  <si>
    <t>37.83亿</t>
  </si>
  <si>
    <t>7039.33万</t>
  </si>
  <si>
    <t>4395095亿</t>
  </si>
  <si>
    <t>16584797亿</t>
  </si>
  <si>
    <t>1224900360亿</t>
  </si>
  <si>
    <t>2459257600亿</t>
  </si>
  <si>
    <t>10派0.7元(含税)</t>
  </si>
  <si>
    <t>16.32亿</t>
  </si>
  <si>
    <t>4208125亿</t>
  </si>
  <si>
    <t>36688235亿</t>
  </si>
  <si>
    <t>254995620亿</t>
  </si>
  <si>
    <t>661491650亿</t>
  </si>
  <si>
    <t>67.57亿</t>
  </si>
  <si>
    <t>28.96亿</t>
  </si>
  <si>
    <t>97.53亿</t>
  </si>
  <si>
    <t>4.31亿</t>
  </si>
  <si>
    <t>2877829亿</t>
  </si>
  <si>
    <t>140179890亿</t>
  </si>
  <si>
    <t>2476435100亿</t>
  </si>
  <si>
    <t>6011340400亿</t>
  </si>
  <si>
    <t>10派5.3元(含税)</t>
  </si>
  <si>
    <t>5.76亿</t>
  </si>
  <si>
    <t>7815.15万</t>
  </si>
  <si>
    <t>-791.27万</t>
  </si>
  <si>
    <t>280862亿</t>
  </si>
  <si>
    <t>-9122835亿</t>
  </si>
  <si>
    <t>70042350亿</t>
  </si>
  <si>
    <t>271558050亿</t>
  </si>
  <si>
    <t>19.88亿</t>
  </si>
  <si>
    <t>19.68亿</t>
  </si>
  <si>
    <t>63.31亿</t>
  </si>
  <si>
    <t>5885374亿</t>
  </si>
  <si>
    <t>28947000亿</t>
  </si>
  <si>
    <t>1407436800亿</t>
  </si>
  <si>
    <t>3111800000亿</t>
  </si>
  <si>
    <t>14.70亿</t>
  </si>
  <si>
    <t>19.95亿</t>
  </si>
  <si>
    <t>69.95亿</t>
  </si>
  <si>
    <t>10.39亿</t>
  </si>
  <si>
    <t>803135亿</t>
  </si>
  <si>
    <t>305764710亿</t>
  </si>
  <si>
    <t>285400070亿</t>
  </si>
  <si>
    <t>3829680000亿</t>
  </si>
  <si>
    <t>14.25亿</t>
  </si>
  <si>
    <t>4-0</t>
  </si>
  <si>
    <t>13.76亿</t>
  </si>
  <si>
    <t>23.79亿</t>
  </si>
  <si>
    <t>73.99亿</t>
  </si>
  <si>
    <t>4243470亿</t>
  </si>
  <si>
    <t>62280286亿</t>
  </si>
  <si>
    <t>1413996000亿</t>
  </si>
  <si>
    <t>2378742000亿</t>
  </si>
  <si>
    <t>25.96亿</t>
  </si>
  <si>
    <t>97.62亿</t>
  </si>
  <si>
    <t>-7495492亿</t>
  </si>
  <si>
    <t>75252456亿</t>
  </si>
  <si>
    <t>1398304600亿</t>
  </si>
  <si>
    <t>6262928800亿</t>
  </si>
  <si>
    <t>990.89万</t>
  </si>
  <si>
    <t>10派4.3元(含税)</t>
  </si>
  <si>
    <t>1559.27万</t>
  </si>
  <si>
    <t>6.26亿</t>
  </si>
  <si>
    <t>4.93亿</t>
  </si>
  <si>
    <t>SZ300350</t>
  </si>
  <si>
    <t>华鹏飞</t>
  </si>
  <si>
    <t>6396.53万</t>
  </si>
  <si>
    <t>3.62亿</t>
  </si>
  <si>
    <t>9878.76万</t>
  </si>
  <si>
    <t>2.89亿</t>
  </si>
  <si>
    <t>1818777亿</t>
  </si>
  <si>
    <t>-6047209亿</t>
  </si>
  <si>
    <t>214062040亿</t>
  </si>
  <si>
    <t>620994450亿</t>
  </si>
  <si>
    <t>26.27万</t>
  </si>
  <si>
    <t>5.15亿</t>
  </si>
  <si>
    <t>5.41亿</t>
  </si>
  <si>
    <t>9.54亿</t>
  </si>
  <si>
    <t>-6782.62万</t>
  </si>
  <si>
    <t>4880.52万</t>
  </si>
  <si>
    <t>5107.18万</t>
  </si>
  <si>
    <t>-5.29亿</t>
  </si>
  <si>
    <t>-6.02亿</t>
  </si>
  <si>
    <t>9674.95万</t>
  </si>
  <si>
    <t>-102.47万</t>
  </si>
  <si>
    <t>098787600</t>
  </si>
  <si>
    <t>0296362800</t>
  </si>
  <si>
    <t>0592725600</t>
  </si>
  <si>
    <t>0987876000</t>
  </si>
  <si>
    <t>01975752000</t>
  </si>
  <si>
    <t>5.69亿</t>
  </si>
  <si>
    <t>3.38亿</t>
  </si>
  <si>
    <t>1.99亿</t>
  </si>
  <si>
    <t>1.29亿</t>
  </si>
  <si>
    <r>
      <t>1.A 股上市公司中与公司业务性质相对可比的上市公司包括：畅联股份（股票代码：603648）、密尔克卫（股票代码：603713）、万林物流（股票代码：603117）、长久物流（股票代码：603569）和海程邦达（股票代码：603836），非上市公司：上海君正，上港，山东京博，镇海石化物流，中外运化工。2.</t>
    </r>
    <r>
      <rPr>
        <sz val="9"/>
        <color rgb="FFFF0000"/>
        <rFont val="宋体"/>
        <family val="3"/>
        <charset val="134"/>
        <scheme val="minor"/>
      </rPr>
      <t>密尔克卫是陆运为主的企业，而永泰运主要是海运</t>
    </r>
    <r>
      <rPr>
        <sz val="9"/>
        <color theme="1"/>
        <rFont val="宋体"/>
        <family val="2"/>
        <charset val="134"/>
        <scheme val="minor"/>
      </rPr>
      <t>。这是二者的第一个不同。3.化工物流综合服务商：密尔克卫，上海君正物流有限公司，上港集团物流有限公司，山东京博物流股份有限公司，镇海石化物流有限责任公司，中外运化工国际物流有限公司，永泰运，中远海运物流供应链有限公司化工物流事业部，大连中化物流有限公司，新建美克顺捷供应链服务股份有限公司。4.</t>
    </r>
    <r>
      <rPr>
        <b/>
        <sz val="9"/>
        <color rgb="FFFF0000"/>
        <rFont val="宋体"/>
        <family val="3"/>
        <charset val="134"/>
        <scheme val="minor"/>
      </rPr>
      <t>收到深交所对2023年年报的各项问询，公司延期到2024/6/4前回复</t>
    </r>
    <r>
      <rPr>
        <sz val="9"/>
        <color theme="1"/>
        <rFont val="宋体"/>
        <family val="2"/>
        <charset val="134"/>
        <scheme val="minor"/>
      </rPr>
      <t>，关注此回复函；</t>
    </r>
    <phoneticPr fontId="1" type="noConversion"/>
  </si>
  <si>
    <t>298.50万</t>
  </si>
  <si>
    <t>98.32亿</t>
  </si>
  <si>
    <t>443.78亿</t>
  </si>
  <si>
    <t>438.36亿</t>
  </si>
  <si>
    <t>1.27亿</t>
  </si>
  <si>
    <t>483.96万</t>
  </si>
  <si>
    <t>56.78亿</t>
  </si>
  <si>
    <t>1.10亿</t>
  </si>
  <si>
    <t>6917.39万</t>
  </si>
  <si>
    <t>130.44亿</t>
  </si>
  <si>
    <t>71.49亿</t>
  </si>
  <si>
    <t>44.39亿</t>
  </si>
  <si>
    <t>366.71亿</t>
  </si>
  <si>
    <t>-76.64亿</t>
  </si>
  <si>
    <t>1750.45万</t>
  </si>
  <si>
    <t>67.42亿</t>
  </si>
  <si>
    <t>2031.96万</t>
  </si>
  <si>
    <t>1728.66万</t>
  </si>
  <si>
    <t>101.61亿</t>
  </si>
  <si>
    <t>96.85亿</t>
  </si>
  <si>
    <t>93.49亿</t>
  </si>
  <si>
    <t>1.89亿</t>
  </si>
  <si>
    <t>459.25万</t>
  </si>
  <si>
    <t>56.24亿</t>
  </si>
  <si>
    <t>6412.69万</t>
  </si>
  <si>
    <t>16.00亿</t>
  </si>
  <si>
    <t>74.32亿</t>
  </si>
  <si>
    <t>148.67亿</t>
  </si>
  <si>
    <t>2.30亿</t>
  </si>
  <si>
    <t>8.09亿</t>
  </si>
  <si>
    <t>2758.65万</t>
  </si>
  <si>
    <t>-2.34亿</t>
  </si>
  <si>
    <t>9151.80万</t>
  </si>
  <si>
    <t>5.87亿</t>
  </si>
  <si>
    <t>70.82万</t>
  </si>
  <si>
    <t>7.23亿</t>
  </si>
  <si>
    <t>1.92亿</t>
  </si>
  <si>
    <t>408.97万</t>
  </si>
  <si>
    <t>754.31万</t>
  </si>
  <si>
    <t>338.05万</t>
  </si>
  <si>
    <t>200.00万</t>
  </si>
  <si>
    <t>2260.80万</t>
  </si>
  <si>
    <t>7315.11万</t>
  </si>
  <si>
    <t>3057.38万</t>
  </si>
  <si>
    <t>39.14万</t>
  </si>
  <si>
    <t>2021.69万</t>
  </si>
  <si>
    <t>-3073.71万</t>
  </si>
  <si>
    <t>361.83万</t>
  </si>
  <si>
    <t>3822.10万</t>
  </si>
  <si>
    <t>-6-0</t>
  </si>
  <si>
    <t>79.14万</t>
  </si>
  <si>
    <t>18.86亿</t>
  </si>
  <si>
    <t>6.28亿</t>
  </si>
  <si>
    <t>5.86亿</t>
  </si>
  <si>
    <t>1492.76万</t>
  </si>
  <si>
    <t>2294.95万</t>
  </si>
  <si>
    <t>42.24万</t>
  </si>
  <si>
    <t>6027.07万</t>
  </si>
  <si>
    <t>13.61亿</t>
  </si>
  <si>
    <t>28.48万</t>
  </si>
  <si>
    <t>23.90亿</t>
  </si>
  <si>
    <t>5873.20万</t>
  </si>
  <si>
    <t>-3.56亿</t>
  </si>
  <si>
    <t>-3528.85万</t>
  </si>
  <si>
    <t>5576.70万</t>
  </si>
  <si>
    <t>451.65万</t>
  </si>
  <si>
    <t>2880.72万</t>
  </si>
  <si>
    <t>75.70万</t>
  </si>
  <si>
    <t>8.62亿</t>
  </si>
  <si>
    <t>99.21万</t>
  </si>
  <si>
    <t>1159.70万</t>
  </si>
  <si>
    <t>9.18万</t>
  </si>
  <si>
    <t>4.25亿</t>
  </si>
  <si>
    <t>1.30亿</t>
  </si>
  <si>
    <t>5932.61万</t>
  </si>
  <si>
    <t>1.94亿</t>
  </si>
  <si>
    <t>132.01万</t>
  </si>
  <si>
    <t>4.44亿</t>
  </si>
  <si>
    <t>-7629.06万</t>
  </si>
  <si>
    <t>-2.98亿</t>
  </si>
  <si>
    <t>9404.71万</t>
  </si>
  <si>
    <t>436.23万</t>
  </si>
  <si>
    <t>2918.84万</t>
  </si>
  <si>
    <t>1174.64万</t>
  </si>
  <si>
    <t>190.84亿</t>
  </si>
  <si>
    <t>62.69亿</t>
  </si>
  <si>
    <t>55.58亿</t>
  </si>
  <si>
    <t>1.88亿</t>
  </si>
  <si>
    <t>62.71万</t>
  </si>
  <si>
    <t>43.23亿</t>
  </si>
  <si>
    <t>4055.58万</t>
  </si>
  <si>
    <t>8.24亿</t>
  </si>
  <si>
    <t>48.55亿</t>
  </si>
  <si>
    <t>11.14亿</t>
  </si>
  <si>
    <t>127.53亿</t>
  </si>
  <si>
    <t>66.23亿</t>
  </si>
  <si>
    <t>-3.41亿</t>
  </si>
  <si>
    <t>-2.65亿</t>
  </si>
  <si>
    <t>5619.03万</t>
  </si>
  <si>
    <t>1213.51万</t>
  </si>
  <si>
    <t>197.25亿</t>
  </si>
  <si>
    <t>105.71亿</t>
  </si>
  <si>
    <t>100.04亿</t>
  </si>
  <si>
    <t>7011.29万</t>
  </si>
  <si>
    <t>879.87万</t>
  </si>
  <si>
    <t>47.68亿</t>
  </si>
  <si>
    <t>39.91万</t>
  </si>
  <si>
    <t>23.53亿</t>
  </si>
  <si>
    <t>19.79亿</t>
  </si>
  <si>
    <t>27.56亿</t>
  </si>
  <si>
    <t>847.70万</t>
  </si>
  <si>
    <t>96.34亿</t>
  </si>
  <si>
    <t>6.99亿</t>
  </si>
  <si>
    <t>5.11亿</t>
  </si>
  <si>
    <t>7721.81万</t>
  </si>
  <si>
    <t>-3.07亿</t>
  </si>
  <si>
    <t>8372.19万</t>
  </si>
  <si>
    <t>7.00亿</t>
  </si>
  <si>
    <t>621.31万</t>
  </si>
  <si>
    <t>90.03亿</t>
  </si>
  <si>
    <t>99.06亿</t>
  </si>
  <si>
    <t>95.36亿</t>
  </si>
  <si>
    <t>3565.21万</t>
  </si>
  <si>
    <t>367.17万</t>
  </si>
  <si>
    <t>26.45亿</t>
  </si>
  <si>
    <t>43.71亿</t>
  </si>
  <si>
    <t>28.65亿</t>
  </si>
  <si>
    <t>2347.40万</t>
  </si>
  <si>
    <t>108.94亿</t>
  </si>
  <si>
    <t>14.39亿</t>
  </si>
  <si>
    <t>-14.13亿</t>
  </si>
  <si>
    <t>10.61亿</t>
  </si>
  <si>
    <t>4369.53万</t>
  </si>
  <si>
    <t>3.28亿</t>
  </si>
  <si>
    <t>247.97万</t>
  </si>
  <si>
    <t>17.16亿</t>
  </si>
  <si>
    <t>6581.75万</t>
  </si>
  <si>
    <t>4753.36万</t>
  </si>
  <si>
    <t>1183.23万</t>
  </si>
  <si>
    <t>3.57万</t>
  </si>
  <si>
    <t>164.84万</t>
  </si>
  <si>
    <t>2655.29万</t>
  </si>
  <si>
    <t>3648.21万</t>
  </si>
  <si>
    <t>89.89万</t>
  </si>
  <si>
    <t>5025.82万</t>
  </si>
  <si>
    <t>2.11亿</t>
  </si>
  <si>
    <t>-425.32万</t>
  </si>
  <si>
    <t>-3299.88万</t>
  </si>
  <si>
    <t>1654.39万</t>
  </si>
  <si>
    <t>897.81万</t>
  </si>
  <si>
    <t>17.04亿</t>
  </si>
  <si>
    <t>6.75亿</t>
  </si>
  <si>
    <t>5.81亿</t>
  </si>
  <si>
    <t>797.35万</t>
  </si>
  <si>
    <t>4342.62万</t>
  </si>
  <si>
    <t>184.40万</t>
  </si>
  <si>
    <t>4.35亿</t>
  </si>
  <si>
    <t>3515.94万</t>
  </si>
  <si>
    <t>17.41亿</t>
  </si>
  <si>
    <t>30.24亿</t>
  </si>
  <si>
    <t>13.03亿</t>
  </si>
  <si>
    <t>1129.27万</t>
  </si>
  <si>
    <t>-2208.44万</t>
  </si>
  <si>
    <t>-4179.56万</t>
  </si>
  <si>
    <t>5775.94万</t>
  </si>
  <si>
    <t>4.20亿</t>
  </si>
  <si>
    <t>1271.68万</t>
  </si>
  <si>
    <t>12.08亿</t>
  </si>
  <si>
    <t>8332.98万</t>
  </si>
  <si>
    <t>469.99万</t>
  </si>
  <si>
    <t>2049.31万</t>
  </si>
  <si>
    <t>5.77万</t>
  </si>
  <si>
    <t>14.37亿</t>
  </si>
  <si>
    <t>582.04万</t>
  </si>
  <si>
    <t>2695.90万</t>
  </si>
  <si>
    <t>7.62亿</t>
  </si>
  <si>
    <t>56.44亿</t>
  </si>
  <si>
    <t>1530.87万</t>
  </si>
  <si>
    <t>-2.02亿</t>
  </si>
  <si>
    <t>-2098.66万</t>
  </si>
  <si>
    <t>-6935.49万</t>
  </si>
  <si>
    <t>6621.51万</t>
  </si>
  <si>
    <t>3.03亿</t>
  </si>
  <si>
    <t>天顺股份</t>
  </si>
  <si>
    <t>310.60万</t>
  </si>
  <si>
    <t>1.58亿</t>
  </si>
  <si>
    <t>251.98万</t>
  </si>
  <si>
    <t>469.49万</t>
  </si>
  <si>
    <t>6.26万</t>
  </si>
  <si>
    <t>4243.73万</t>
  </si>
  <si>
    <t>3100.00万</t>
  </si>
  <si>
    <t>3831.11万</t>
  </si>
  <si>
    <t>218.98万</t>
  </si>
  <si>
    <t>517.61万</t>
  </si>
  <si>
    <t>-84.72万</t>
  </si>
  <si>
    <t>264.04万</t>
  </si>
  <si>
    <t>1718.59万</t>
  </si>
  <si>
    <t>6045.55万</t>
  </si>
  <si>
    <t>624.08万</t>
  </si>
  <si>
    <t>23.34亿</t>
  </si>
  <si>
    <t>7.72亿</t>
  </si>
  <si>
    <t>7.36亿</t>
  </si>
  <si>
    <t>1930.21万</t>
  </si>
  <si>
    <t>2155.99万</t>
  </si>
  <si>
    <t>20.74万</t>
  </si>
  <si>
    <t>18.97亿</t>
  </si>
  <si>
    <t>22.58亿</t>
  </si>
  <si>
    <t>-372.82万</t>
  </si>
  <si>
    <t>119.24万</t>
  </si>
  <si>
    <t>4593.67万</t>
  </si>
  <si>
    <t>5.02亿</t>
  </si>
  <si>
    <t>157.69万</t>
  </si>
  <si>
    <t>30.77亿</t>
  </si>
  <si>
    <t>1016.53万</t>
  </si>
  <si>
    <t>3911.29万</t>
  </si>
  <si>
    <t>13.86万</t>
  </si>
  <si>
    <t>11.26亿</t>
  </si>
  <si>
    <t>240.65万</t>
  </si>
  <si>
    <t>1.73万</t>
  </si>
  <si>
    <t>16.19亿</t>
  </si>
  <si>
    <t>45.33亿</t>
  </si>
  <si>
    <t>-2.45亿</t>
  </si>
  <si>
    <t>8.22亿</t>
  </si>
  <si>
    <t>559.29万</t>
  </si>
  <si>
    <t>4623.41万</t>
  </si>
  <si>
    <t>741.49万</t>
  </si>
  <si>
    <t>-1.17亿</t>
  </si>
  <si>
    <t>9604.53万</t>
  </si>
  <si>
    <t>605.92万</t>
  </si>
  <si>
    <t>2433.40万</t>
  </si>
  <si>
    <t>132.48万</t>
  </si>
  <si>
    <t>6323.68万</t>
  </si>
  <si>
    <t>2.51亿</t>
  </si>
  <si>
    <t>8801.21万</t>
  </si>
  <si>
    <t>6.20亿</t>
  </si>
  <si>
    <t>-808.07万</t>
  </si>
  <si>
    <t>752.58万</t>
  </si>
  <si>
    <t>1951.82万</t>
  </si>
  <si>
    <t>3819.80万</t>
  </si>
  <si>
    <t>3.27亿</t>
  </si>
  <si>
    <t>-7-1</t>
  </si>
  <si>
    <t>857.51万</t>
  </si>
  <si>
    <t>17.06亿</t>
  </si>
  <si>
    <t>14.44亿</t>
  </si>
  <si>
    <t>2105.24万</t>
  </si>
  <si>
    <t>6240.23万</t>
  </si>
  <si>
    <t>30.22万</t>
  </si>
  <si>
    <t>5.72亿</t>
  </si>
  <si>
    <t>8846.46万</t>
  </si>
  <si>
    <t>1912.43万</t>
  </si>
  <si>
    <t>9.89亿</t>
  </si>
  <si>
    <t>5.35亿</t>
  </si>
  <si>
    <t>18.42亿</t>
  </si>
  <si>
    <t>-4014.41万</t>
  </si>
  <si>
    <t>-4911.37万</t>
  </si>
  <si>
    <t>7348.07万</t>
  </si>
  <si>
    <t>3.15亿</t>
  </si>
  <si>
    <t>898.95万</t>
  </si>
  <si>
    <t>9.37亿</t>
  </si>
  <si>
    <t>7113.02万</t>
  </si>
  <si>
    <t>5442.50万</t>
  </si>
  <si>
    <t>157.78万</t>
  </si>
  <si>
    <t>1135.23万</t>
  </si>
  <si>
    <t>4652.38万</t>
  </si>
  <si>
    <t>2347.14万</t>
  </si>
  <si>
    <t>8076.22万</t>
  </si>
  <si>
    <t>6228.11万</t>
  </si>
  <si>
    <t>24.34万</t>
  </si>
  <si>
    <t>2000.67万</t>
  </si>
  <si>
    <t>2967.34万</t>
  </si>
  <si>
    <t>-305.82万</t>
  </si>
  <si>
    <t>6512.73万</t>
  </si>
  <si>
    <t>4.71亿</t>
  </si>
  <si>
    <t>143.65万</t>
  </si>
  <si>
    <t>30.89亿</t>
  </si>
  <si>
    <t>2.93亿</t>
  </si>
  <si>
    <t>-6790.42万</t>
  </si>
  <si>
    <t>3.11亿</t>
  </si>
  <si>
    <t>1021.89万</t>
  </si>
  <si>
    <t>2308.84万</t>
  </si>
  <si>
    <t>44.07万</t>
  </si>
  <si>
    <t>14.77亿</t>
  </si>
  <si>
    <t>311.20万</t>
  </si>
  <si>
    <t>10000.00万</t>
  </si>
  <si>
    <t>516.28万</t>
  </si>
  <si>
    <t>9.55亿</t>
  </si>
  <si>
    <t>8963.00万</t>
  </si>
  <si>
    <t>4885.72万</t>
  </si>
  <si>
    <t>247.46万</t>
  </si>
  <si>
    <t>790.11万</t>
  </si>
  <si>
    <t>8533.50万</t>
  </si>
  <si>
    <t>1090.87万</t>
  </si>
  <si>
    <t>387.52亿</t>
  </si>
  <si>
    <t>789.96亿</t>
  </si>
  <si>
    <t>2503.77万</t>
  </si>
  <si>
    <t>207.30亿</t>
  </si>
  <si>
    <t>212.77亿</t>
  </si>
  <si>
    <t>113.02亿</t>
  </si>
  <si>
    <t>3778.34万</t>
  </si>
  <si>
    <t>-113.58亿</t>
  </si>
  <si>
    <t>116.39亿</t>
  </si>
  <si>
    <t>180.12亿</t>
  </si>
  <si>
    <t>3476.24万</t>
  </si>
  <si>
    <t>5086.87万</t>
  </si>
  <si>
    <t>0199000000</t>
  </si>
  <si>
    <t>0597000000</t>
  </si>
  <si>
    <t>01194000000</t>
  </si>
  <si>
    <t>01990000000</t>
  </si>
  <si>
    <t>03980000000</t>
  </si>
  <si>
    <t>757.56万</t>
  </si>
  <si>
    <t>154.54亿</t>
  </si>
  <si>
    <t>329.90万</t>
  </si>
  <si>
    <t>-2894.52万</t>
  </si>
  <si>
    <t>2816.06万</t>
  </si>
  <si>
    <t>-1171.09万</t>
  </si>
  <si>
    <t>21.57亿</t>
  </si>
  <si>
    <t>8086.26万</t>
  </si>
  <si>
    <t>4.45亿</t>
  </si>
  <si>
    <t>2168.12万</t>
  </si>
  <si>
    <t>2277.64亿</t>
  </si>
  <si>
    <t>30.04亿</t>
  </si>
  <si>
    <t>5520.36万</t>
  </si>
  <si>
    <t>999.89亿</t>
  </si>
  <si>
    <t>1.77亿</t>
  </si>
  <si>
    <t>326.86亿</t>
  </si>
  <si>
    <t>616.11亿</t>
  </si>
  <si>
    <t>6.34亿</t>
  </si>
  <si>
    <t>-465.15亿</t>
  </si>
  <si>
    <t>-52.54亿</t>
  </si>
  <si>
    <t>485.82亿</t>
  </si>
  <si>
    <t>7.42亿</t>
  </si>
  <si>
    <t>5.95亿</t>
  </si>
  <si>
    <t>0462000000</t>
  </si>
  <si>
    <t>01386000000</t>
  </si>
  <si>
    <t>02772000000</t>
  </si>
  <si>
    <t>04620000000</t>
  </si>
  <si>
    <t>09240000000</t>
  </si>
  <si>
    <t>426.30万</t>
  </si>
  <si>
    <t>80.49亿</t>
  </si>
  <si>
    <t>41.64亿</t>
  </si>
  <si>
    <t>167.62万</t>
  </si>
  <si>
    <t>36.68亿</t>
  </si>
  <si>
    <t>46.33亿</t>
  </si>
  <si>
    <t>-3.09亿</t>
  </si>
  <si>
    <t>-2.01亿</t>
  </si>
  <si>
    <t>9.57亿</t>
  </si>
  <si>
    <t>2667.92万</t>
  </si>
  <si>
    <t>2648.04万</t>
  </si>
  <si>
    <t>0183000000</t>
  </si>
  <si>
    <t>0549000000</t>
  </si>
  <si>
    <t>01098000000</t>
  </si>
  <si>
    <t>01830000000</t>
  </si>
  <si>
    <t>03660000000</t>
  </si>
  <si>
    <t>989.95万</t>
  </si>
  <si>
    <t>302.82亿</t>
  </si>
  <si>
    <t>7010.24万</t>
  </si>
  <si>
    <t>-1.71亿</t>
  </si>
  <si>
    <t>2989.06万</t>
  </si>
  <si>
    <t>65.28亿</t>
  </si>
  <si>
    <t>25.03亿</t>
  </si>
  <si>
    <t>45.05亿</t>
  </si>
  <si>
    <t>-32.23亿</t>
  </si>
  <si>
    <t>5151.06万</t>
  </si>
  <si>
    <t>1146.37万</t>
  </si>
  <si>
    <t>-502.17万</t>
  </si>
  <si>
    <t>5229.01万</t>
  </si>
  <si>
    <t>XD物产中</t>
  </si>
  <si>
    <t>3090.29万</t>
  </si>
  <si>
    <t>530.82亿</t>
  </si>
  <si>
    <t>111.38亿</t>
  </si>
  <si>
    <t>1317.95亿</t>
  </si>
  <si>
    <t>1294.19亿</t>
  </si>
  <si>
    <t>6.85亿</t>
  </si>
  <si>
    <t>8.11亿</t>
  </si>
  <si>
    <t>1502.83万</t>
  </si>
  <si>
    <t>261.17亿</t>
  </si>
  <si>
    <t>9.95亿</t>
  </si>
  <si>
    <t>368.99亿</t>
  </si>
  <si>
    <t>245.90亿</t>
  </si>
  <si>
    <t>147.18亿</t>
  </si>
  <si>
    <t>1333.08亿</t>
  </si>
  <si>
    <t>39.89亿</t>
  </si>
  <si>
    <t>-140.29亿</t>
  </si>
  <si>
    <t>-11.26亿</t>
  </si>
  <si>
    <t>155.05亿</t>
  </si>
  <si>
    <t>22.91亿</t>
  </si>
  <si>
    <t>0290000000</t>
  </si>
  <si>
    <t>0870000000</t>
  </si>
  <si>
    <t>01740000000</t>
  </si>
  <si>
    <t>02900000000</t>
  </si>
  <si>
    <t>05800000000</t>
  </si>
  <si>
    <t>234.50万</t>
  </si>
  <si>
    <t>146.49亿</t>
  </si>
  <si>
    <t>614.45万</t>
  </si>
  <si>
    <t>1163.65万</t>
  </si>
  <si>
    <t>2204.09万</t>
  </si>
  <si>
    <t>650.00万</t>
  </si>
  <si>
    <t>755.33万</t>
  </si>
  <si>
    <t>850.25万</t>
  </si>
  <si>
    <t>6522.72万</t>
  </si>
  <si>
    <t>249.19万</t>
  </si>
  <si>
    <t>-779.59万</t>
  </si>
  <si>
    <t>-606.61万</t>
  </si>
  <si>
    <t>-263.10万</t>
  </si>
  <si>
    <t>30.03亿</t>
  </si>
  <si>
    <t>982.96万</t>
  </si>
  <si>
    <t>7660.55万</t>
  </si>
  <si>
    <t>1082.83万</t>
  </si>
  <si>
    <t>414.45亿</t>
  </si>
  <si>
    <t>25.53亿</t>
  </si>
  <si>
    <t>9098.87万</t>
  </si>
  <si>
    <t>965.09亿</t>
  </si>
  <si>
    <t>952.43亿</t>
  </si>
  <si>
    <t>1844.24万</t>
  </si>
  <si>
    <t>210.46亿</t>
  </si>
  <si>
    <t>7881.00万</t>
  </si>
  <si>
    <t>307.80亿</t>
  </si>
  <si>
    <t>216.53亿</t>
  </si>
  <si>
    <t>64.12亿</t>
  </si>
  <si>
    <t>2047.89万</t>
  </si>
  <si>
    <t>983.86亿</t>
  </si>
  <si>
    <t>57.34亿</t>
  </si>
  <si>
    <t>-216.75亿</t>
  </si>
  <si>
    <t>-34.18亿</t>
  </si>
  <si>
    <t>318.42亿</t>
  </si>
  <si>
    <t>4.40亿</t>
  </si>
  <si>
    <t>439.91万</t>
  </si>
  <si>
    <t>6537.68万</t>
  </si>
  <si>
    <t>996.22万</t>
  </si>
  <si>
    <t>148.87亿</t>
  </si>
  <si>
    <t>61.47亿</t>
  </si>
  <si>
    <t>2.46亿</t>
  </si>
  <si>
    <t>138.24亿</t>
  </si>
  <si>
    <t>135.36亿</t>
  </si>
  <si>
    <t>6546.65万</t>
  </si>
  <si>
    <t>55.18万</t>
  </si>
  <si>
    <t>37.66亿</t>
  </si>
  <si>
    <t>2.03亿</t>
  </si>
  <si>
    <t>14.50亿</t>
  </si>
  <si>
    <t>6.88亿</t>
  </si>
  <si>
    <t>6444.57万</t>
  </si>
  <si>
    <t>66.52亿</t>
  </si>
  <si>
    <t>8.95亿</t>
  </si>
  <si>
    <t>-5.42亿</t>
  </si>
  <si>
    <t>2.19亿</t>
  </si>
  <si>
    <t>16.70亿</t>
  </si>
  <si>
    <t>4568.86万</t>
  </si>
  <si>
    <t>5128.88万</t>
  </si>
  <si>
    <t>799.13万</t>
  </si>
  <si>
    <t>28.80亿</t>
  </si>
  <si>
    <t>1809.99亿</t>
  </si>
  <si>
    <t>56.09亿</t>
  </si>
  <si>
    <t>445.51万</t>
  </si>
  <si>
    <t>2189.87万</t>
  </si>
  <si>
    <t>19.01万</t>
  </si>
  <si>
    <t>6.87亿</t>
  </si>
  <si>
    <t>112.80万</t>
  </si>
  <si>
    <t>6614.27万</t>
  </si>
  <si>
    <t>8940.40万</t>
  </si>
  <si>
    <t>826.65万</t>
  </si>
  <si>
    <t>11.83亿</t>
  </si>
  <si>
    <t>-1287.67万</t>
  </si>
  <si>
    <t>4123.61万</t>
  </si>
  <si>
    <t>9605.72万</t>
  </si>
  <si>
    <t>456.13亿</t>
  </si>
  <si>
    <t>9.46亿</t>
  </si>
  <si>
    <t>4393.90万</t>
  </si>
  <si>
    <t>940.54万</t>
  </si>
  <si>
    <t>176.46亿</t>
  </si>
  <si>
    <t>72.54亿</t>
  </si>
  <si>
    <t>10.89亿</t>
  </si>
  <si>
    <t>46.18亿</t>
  </si>
  <si>
    <t>43.97亿</t>
  </si>
  <si>
    <t>6001.14万</t>
  </si>
  <si>
    <t>7633.35万</t>
  </si>
  <si>
    <t>17.44万</t>
  </si>
  <si>
    <t>88.50亿</t>
  </si>
  <si>
    <t>3.64亿</t>
  </si>
  <si>
    <t>789.13万</t>
  </si>
  <si>
    <t>46.11亿</t>
  </si>
  <si>
    <t>-1.11亿</t>
  </si>
  <si>
    <t>-6.49亿</t>
  </si>
  <si>
    <t>16.62亿</t>
  </si>
  <si>
    <t>5883.51万</t>
  </si>
  <si>
    <t>2.67亿</t>
  </si>
  <si>
    <t>1457.36万</t>
  </si>
  <si>
    <t>410.26亿</t>
  </si>
  <si>
    <t>28.66亿</t>
  </si>
  <si>
    <t>241.61亿</t>
  </si>
  <si>
    <t>230.36亿</t>
  </si>
  <si>
    <t>6.94亿</t>
  </si>
  <si>
    <t>770.45万</t>
  </si>
  <si>
    <t>108.50亿</t>
  </si>
  <si>
    <t>7885.79万</t>
  </si>
  <si>
    <t>9617.74万</t>
  </si>
  <si>
    <t>146.23亿</t>
  </si>
  <si>
    <t>306.30亿</t>
  </si>
  <si>
    <t>26.63亿</t>
  </si>
  <si>
    <t>-27.10亿</t>
  </si>
  <si>
    <t>-3.48亿</t>
  </si>
  <si>
    <t>-1625.15万</t>
  </si>
  <si>
    <t>3452.93万</t>
  </si>
  <si>
    <t>7309.72万</t>
  </si>
  <si>
    <t>0101000000</t>
  </si>
  <si>
    <t>0303000000</t>
  </si>
  <si>
    <t>0606000000</t>
  </si>
  <si>
    <t>01010000000</t>
  </si>
  <si>
    <t>02020000000</t>
  </si>
  <si>
    <t>3-1</t>
  </si>
  <si>
    <t>371.07万</t>
  </si>
  <si>
    <t>77.94亿</t>
  </si>
  <si>
    <t>35.50亿</t>
  </si>
  <si>
    <t>3.32亿</t>
  </si>
  <si>
    <t>92.87亿</t>
  </si>
  <si>
    <t>86.98亿</t>
  </si>
  <si>
    <t>1390.51万</t>
  </si>
  <si>
    <t>33.59亿</t>
  </si>
  <si>
    <t>8846.41万</t>
  </si>
  <si>
    <t>16.01亿</t>
  </si>
  <si>
    <t>7427.70万</t>
  </si>
  <si>
    <t>30.64亿</t>
  </si>
  <si>
    <t>2062.74万</t>
  </si>
  <si>
    <t>79.20亿</t>
  </si>
  <si>
    <t>10.46亿</t>
  </si>
  <si>
    <t>-1.90亿</t>
  </si>
  <si>
    <t>-3.51亿</t>
  </si>
  <si>
    <t>7.55亿</t>
  </si>
  <si>
    <t>4464.69万</t>
  </si>
  <si>
    <t>2444.65万</t>
  </si>
  <si>
    <t>0332000000</t>
  </si>
  <si>
    <t>0996000000</t>
  </si>
  <si>
    <t>01992000000</t>
  </si>
  <si>
    <t>03320000000</t>
  </si>
  <si>
    <t>06640000000</t>
  </si>
  <si>
    <t>5-1</t>
  </si>
  <si>
    <t>179.83万</t>
  </si>
  <si>
    <t>14.11亿</t>
  </si>
  <si>
    <t>36.99亿</t>
  </si>
  <si>
    <t>3.71亿</t>
  </si>
  <si>
    <t>1229.65万</t>
  </si>
  <si>
    <t>1066.90万</t>
  </si>
  <si>
    <t>15.06万</t>
  </si>
  <si>
    <t>2.16亿</t>
  </si>
  <si>
    <t>3002.50万</t>
  </si>
  <si>
    <t>4.38亿</t>
  </si>
  <si>
    <t>15.15亿</t>
  </si>
  <si>
    <t>-1188.75万</t>
  </si>
  <si>
    <t>-1438.51万</t>
  </si>
  <si>
    <t>-1714.92万</t>
  </si>
  <si>
    <t>8.50亿</t>
  </si>
  <si>
    <t>1322.03万</t>
  </si>
  <si>
    <t>132.22万</t>
  </si>
  <si>
    <t>64.10亿</t>
  </si>
  <si>
    <t>98.78亿</t>
  </si>
  <si>
    <t>97.36亿</t>
  </si>
  <si>
    <t>3238.44万</t>
  </si>
  <si>
    <t>5078.97万</t>
  </si>
  <si>
    <t>8.34万</t>
  </si>
  <si>
    <t>8.89亿</t>
  </si>
  <si>
    <t>17.69亿</t>
  </si>
  <si>
    <t>13.82亿</t>
  </si>
  <si>
    <t>51.32亿</t>
  </si>
  <si>
    <t>-9.96亿</t>
  </si>
  <si>
    <t>-758.59万</t>
  </si>
  <si>
    <t>11.92亿</t>
  </si>
  <si>
    <t>1774.52万</t>
  </si>
  <si>
    <t>678.14万</t>
  </si>
  <si>
    <t>5663.28万</t>
  </si>
  <si>
    <t>0104000000</t>
  </si>
  <si>
    <t>0312000000</t>
  </si>
  <si>
    <t>0624000000</t>
  </si>
  <si>
    <t>01040000000</t>
  </si>
  <si>
    <t>02080000000</t>
  </si>
  <si>
    <t>660.36万</t>
  </si>
  <si>
    <t>11.59亿</t>
  </si>
  <si>
    <t>85.30亿</t>
  </si>
  <si>
    <t>6471.61万</t>
  </si>
  <si>
    <t>6524.44万</t>
  </si>
  <si>
    <t>4683.85万</t>
  </si>
  <si>
    <t>48.91万</t>
  </si>
  <si>
    <t>1450.06万</t>
  </si>
  <si>
    <t>1931.81万</t>
  </si>
  <si>
    <t>1116.19万</t>
  </si>
  <si>
    <t>425.08万</t>
  </si>
  <si>
    <t>3786.97万</t>
  </si>
  <si>
    <t>3554.38万</t>
  </si>
  <si>
    <t>1512.31万</t>
  </si>
  <si>
    <t>1288.90万</t>
  </si>
  <si>
    <t>178.96万</t>
  </si>
  <si>
    <t>-2469.54万</t>
  </si>
  <si>
    <t>21.23亿</t>
  </si>
  <si>
    <t>7642.88万</t>
  </si>
  <si>
    <t>4711.92万</t>
  </si>
  <si>
    <t>794.37万</t>
  </si>
  <si>
    <t>61.22亿</t>
  </si>
  <si>
    <t>121.10亿</t>
  </si>
  <si>
    <t>10.08亿</t>
  </si>
  <si>
    <t>33.60亿</t>
  </si>
  <si>
    <t>111.38万</t>
  </si>
  <si>
    <t>16.53亿</t>
  </si>
  <si>
    <t>2.31亿</t>
  </si>
  <si>
    <t>9.26万</t>
  </si>
  <si>
    <t>3.86亿</t>
  </si>
  <si>
    <t>12.74亿</t>
  </si>
  <si>
    <t>28.90亿</t>
  </si>
  <si>
    <t>3457.63万</t>
  </si>
  <si>
    <t>-1.65亿</t>
  </si>
  <si>
    <t>-2275.98万</t>
  </si>
  <si>
    <t>28.79亿</t>
  </si>
  <si>
    <t>4721.49万</t>
  </si>
  <si>
    <t>100.22万</t>
  </si>
  <si>
    <t>-9420.87万</t>
  </si>
  <si>
    <t>5.07亿</t>
  </si>
  <si>
    <t>4.57亿</t>
  </si>
  <si>
    <t>1623.01万</t>
  </si>
  <si>
    <t>2513.69万</t>
  </si>
  <si>
    <t>41.99万</t>
  </si>
  <si>
    <t>4243.37万</t>
  </si>
  <si>
    <t>8964.65万</t>
  </si>
  <si>
    <t>8597.46万</t>
  </si>
  <si>
    <t>4.50亿</t>
  </si>
  <si>
    <t>-1.34亿</t>
  </si>
  <si>
    <t>-6747.28万</t>
  </si>
  <si>
    <t>2172.73万</t>
  </si>
  <si>
    <t>344.35万</t>
  </si>
  <si>
    <t>570.88万</t>
  </si>
  <si>
    <t>4732.69万</t>
  </si>
  <si>
    <t>89.36万</t>
  </si>
  <si>
    <t>25.18亿</t>
  </si>
  <si>
    <t>19.97亿</t>
  </si>
  <si>
    <t>751.59万</t>
  </si>
  <si>
    <t>1.75亿</t>
  </si>
  <si>
    <t>561.29万</t>
  </si>
  <si>
    <t>1863.34万</t>
  </si>
  <si>
    <t>2.18万</t>
  </si>
  <si>
    <t>1299.82万</t>
  </si>
  <si>
    <t>2996.90万</t>
  </si>
  <si>
    <t>-6853.46万</t>
  </si>
  <si>
    <t>4675.95万</t>
  </si>
  <si>
    <t>-1654.40万</t>
  </si>
  <si>
    <t>10转4.8股派1元(含税)</t>
  </si>
  <si>
    <t>534.85万</t>
  </si>
  <si>
    <t>4508.89万</t>
  </si>
  <si>
    <t>364.43万</t>
  </si>
  <si>
    <t>32.35亿</t>
  </si>
  <si>
    <t>40.94亿</t>
  </si>
  <si>
    <t>2617.28万</t>
  </si>
  <si>
    <t>9.00亿</t>
  </si>
  <si>
    <t>2245.20万</t>
  </si>
  <si>
    <t>5701.63万</t>
  </si>
  <si>
    <t>495.90万</t>
  </si>
  <si>
    <t>3253.48万</t>
  </si>
  <si>
    <t>5638.69万</t>
  </si>
  <si>
    <t>7.74亿</t>
  </si>
  <si>
    <t>3596.05万</t>
  </si>
  <si>
    <t>5.60亿</t>
  </si>
  <si>
    <t>483.17万</t>
  </si>
  <si>
    <t>9437.61万</t>
  </si>
  <si>
    <t>4150.59万</t>
  </si>
  <si>
    <t>168.51万</t>
  </si>
  <si>
    <t>-3138.13万</t>
  </si>
  <si>
    <t>8.71亿</t>
  </si>
  <si>
    <t>501.68万</t>
  </si>
  <si>
    <t>2040.43万</t>
  </si>
  <si>
    <t>026172800</t>
  </si>
  <si>
    <t>078518400</t>
  </si>
  <si>
    <t>0157036800</t>
  </si>
  <si>
    <t>0261728000</t>
  </si>
  <si>
    <t>0523456000</t>
  </si>
  <si>
    <t>250.87万</t>
  </si>
  <si>
    <t>19.03亿</t>
  </si>
  <si>
    <t>29.44亿</t>
  </si>
  <si>
    <t>4.07亿</t>
  </si>
  <si>
    <t>3.79亿</t>
  </si>
  <si>
    <t>340.82万</t>
  </si>
  <si>
    <t>2557.68万</t>
  </si>
  <si>
    <t>18.06万</t>
  </si>
  <si>
    <t>671.13万</t>
  </si>
  <si>
    <t>264.92万</t>
  </si>
  <si>
    <t>3.17亿</t>
  </si>
  <si>
    <t>8301.88万</t>
  </si>
  <si>
    <t>-1206.86万</t>
  </si>
  <si>
    <t>-4876.31万</t>
  </si>
  <si>
    <t>8284.01万</t>
  </si>
  <si>
    <t>1474.38万</t>
  </si>
  <si>
    <t>97.43万</t>
  </si>
  <si>
    <t>45.11亿</t>
  </si>
  <si>
    <t>20.06亿</t>
  </si>
  <si>
    <t>-1.59亿</t>
  </si>
  <si>
    <t>27.01亿</t>
  </si>
  <si>
    <t>25.59亿</t>
  </si>
  <si>
    <t>3218.35万</t>
  </si>
  <si>
    <t>5645.65万</t>
  </si>
  <si>
    <t>1709.65万</t>
  </si>
  <si>
    <t>12.35亿</t>
  </si>
  <si>
    <t>8.81亿</t>
  </si>
  <si>
    <t>2096.66万</t>
  </si>
  <si>
    <t>9.07亿</t>
  </si>
  <si>
    <t>-1.22亿</t>
  </si>
  <si>
    <t>-5859.55万</t>
  </si>
  <si>
    <t>-1490.78万</t>
  </si>
  <si>
    <t>515.08万</t>
  </si>
  <si>
    <t>4866.66万</t>
  </si>
  <si>
    <t>2-0</t>
  </si>
  <si>
    <t>71.89万</t>
  </si>
  <si>
    <t>48.13亿</t>
  </si>
  <si>
    <t>1.74亿</t>
  </si>
  <si>
    <t>8749.47万</t>
  </si>
  <si>
    <t>6375.10万</t>
  </si>
  <si>
    <t>218.64万</t>
  </si>
  <si>
    <t>1196.67万</t>
  </si>
  <si>
    <t>72.33万</t>
  </si>
  <si>
    <t>6545.29万</t>
  </si>
  <si>
    <t>643.19万</t>
  </si>
  <si>
    <t>3359.69万</t>
  </si>
  <si>
    <t>4716.42万</t>
  </si>
  <si>
    <t>75.88万</t>
  </si>
  <si>
    <t>9.04亿</t>
  </si>
  <si>
    <t>3599.43万</t>
  </si>
  <si>
    <t>413.78万</t>
  </si>
  <si>
    <t>4318.73万</t>
  </si>
  <si>
    <t>127.59万</t>
  </si>
  <si>
    <t>18.45亿</t>
  </si>
  <si>
    <t>1.86亿</t>
  </si>
  <si>
    <t>-3736.31万</t>
  </si>
  <si>
    <t>18.38亿</t>
  </si>
  <si>
    <t>3874.75万</t>
  </si>
  <si>
    <t>5854.65万</t>
  </si>
  <si>
    <t>70.09万</t>
  </si>
  <si>
    <t>12.90亿</t>
  </si>
  <si>
    <t>324.49万</t>
  </si>
  <si>
    <t>9509.65万</t>
  </si>
  <si>
    <t>7.17亿</t>
  </si>
  <si>
    <t>13.89亿</t>
  </si>
  <si>
    <t>2.69亿</t>
  </si>
  <si>
    <t>-8038.43万</t>
  </si>
  <si>
    <t>-2992.91万</t>
  </si>
  <si>
    <t>3607.01万</t>
  </si>
  <si>
    <t>-895.11万</t>
  </si>
  <si>
    <t>915.79万</t>
  </si>
  <si>
    <t>648.41万</t>
  </si>
  <si>
    <t>53.24亿</t>
  </si>
  <si>
    <t>190.64亿</t>
  </si>
  <si>
    <t>16.43亿</t>
  </si>
  <si>
    <t>15.96亿</t>
  </si>
  <si>
    <t>342.83万</t>
  </si>
  <si>
    <t>2877.01万</t>
  </si>
  <si>
    <t>2.36万</t>
  </si>
  <si>
    <t>717.88万</t>
  </si>
  <si>
    <t>6.60亿</t>
  </si>
  <si>
    <t>14.84亿</t>
  </si>
  <si>
    <t>-2.38亿</t>
  </si>
  <si>
    <t>7165.49万</t>
  </si>
  <si>
    <t>3775.68万</t>
  </si>
  <si>
    <t>268.53万</t>
  </si>
  <si>
    <t>25.09亿</t>
  </si>
  <si>
    <t>30.08亿</t>
  </si>
  <si>
    <t>3270.37万</t>
  </si>
  <si>
    <t>22.98亿</t>
  </si>
  <si>
    <t>22.35亿</t>
  </si>
  <si>
    <t>3422.59万</t>
  </si>
  <si>
    <t>1494.33万</t>
  </si>
  <si>
    <t>20.27万</t>
  </si>
  <si>
    <t>5.24亿</t>
  </si>
  <si>
    <t>1526.24万</t>
  </si>
  <si>
    <t>3.75亿</t>
  </si>
  <si>
    <t>313.84万</t>
  </si>
  <si>
    <t>13.75亿</t>
  </si>
  <si>
    <t>914.97万</t>
  </si>
  <si>
    <t>-9409.09万</t>
  </si>
  <si>
    <t>4897.87万</t>
  </si>
  <si>
    <t>1744.96万</t>
  </si>
  <si>
    <t>111.30万</t>
  </si>
  <si>
    <t>44.31亿</t>
  </si>
  <si>
    <t>3719.10万</t>
  </si>
  <si>
    <t>22.78亿</t>
  </si>
  <si>
    <t>22.47亿</t>
  </si>
  <si>
    <t>896.48万</t>
  </si>
  <si>
    <t>1527.30万</t>
  </si>
  <si>
    <t>17.62万</t>
  </si>
  <si>
    <t>4.36亿</t>
  </si>
  <si>
    <t>6.07亿</t>
  </si>
  <si>
    <t>18.44亿</t>
  </si>
  <si>
    <t>30.95亿</t>
  </si>
  <si>
    <t>-4.14亿</t>
  </si>
  <si>
    <t>-1.97亿</t>
  </si>
  <si>
    <t>2.98亿</t>
  </si>
  <si>
    <t>-978.42万</t>
  </si>
  <si>
    <t>632.54万</t>
  </si>
  <si>
    <t>5515.89万</t>
  </si>
  <si>
    <t>037191000</t>
  </si>
  <si>
    <t>0111573000</t>
  </si>
  <si>
    <t>0223146000</t>
  </si>
  <si>
    <t>0371910000</t>
  </si>
  <si>
    <t>0743820000</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</si>
</sst>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9"/>
      <color theme="1"/>
      <name val="宋体"/>
      <family val="2"/>
      <charset val="134"/>
      <scheme val="minor"/>
    </font>
    <font>
      <sz val="9"/>
      <color rgb="FFFF0000"/>
      <name val="宋体"/>
      <family val="3"/>
      <charset val="134"/>
      <scheme val="minor"/>
    </font>
    <font>
      <sz val="9"/>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b/>
      <sz val="9"/>
      <color rgb="FFFF0000"/>
      <name val="宋体"/>
      <family val="3"/>
      <charset val="134"/>
      <scheme val="minor"/>
    </font>
    <font>
      <sz val="9"/>
      <color theme="1"/>
      <name val="宋体"/>
      <family val="3"/>
      <charset val="134"/>
      <scheme val="minor"/>
    </font>
    <font>
      <sz val="9"/>
      <color rgb="FFFF0000"/>
      <name val="宋体"/>
      <family val="2"/>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2" fillId="0" borderId="0" xfId="0" applyFont="1" applyAlignment="1">
      <alignment vertical="center" wrapText="1"/>
    </xf>
    <xf numFmtId="0" fontId="6"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0" fontId="0" fillId="0" borderId="0" xfId="0" applyNumberFormat="1">
      <alignment vertical="center"/>
    </xf>
    <xf numFmtId="0" fontId="4" fillId="0" borderId="0" xfId="0" applyFont="1" applyAlignment="1">
      <alignment vertical="center" wrapText="1"/>
    </xf>
    <xf numFmtId="9"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222250</xdr:colOff>
          <xdr:row>0</xdr:row>
          <xdr:rowOff>101600</xdr:rowOff>
        </xdr:from>
        <xdr:to>
          <xdr:col>147</xdr:col>
          <xdr:colOff>1663700</xdr:colOff>
          <xdr:row>0</xdr:row>
          <xdr:rowOff>412750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47"/>
  <sheetViews>
    <sheetView tabSelected="1" zoomScale="85" zoomScaleNormal="85" workbookViewId="0">
      <pane xSplit="5" ySplit="1" topLeftCell="F2" activePane="bottomRight" state="frozen"/>
      <selection pane="topRight" activeCell="F1" sqref="F1"/>
      <selection pane="bottomLeft" activeCell="A2" sqref="A2"/>
      <selection pane="bottomRight" activeCell="D47" sqref="D47:EP47"/>
    </sheetView>
  </sheetViews>
  <sheetFormatPr defaultRowHeight="14" x14ac:dyDescent="0.25"/>
  <cols>
    <col min="1" max="1" width="34.1796875" customWidth="1"/>
    <col min="2" max="2" width="47" customWidth="1"/>
    <col min="3" max="3" width="43.6328125" customWidth="1"/>
    <col min="148" max="148" width="27.81640625" customWidth="1"/>
  </cols>
  <sheetData>
    <row r="1" spans="1:146" ht="40.5" customHeight="1" x14ac:dyDescent="0.25">
      <c r="A1" s="3" t="s">
        <v>32</v>
      </c>
      <c r="B1" s="4" t="s">
        <v>33</v>
      </c>
      <c r="C1" s="3" t="s">
        <v>34</v>
      </c>
      <c r="D1" t="s">
        <v>376</v>
      </c>
      <c r="E1" t="s">
        <v>447</v>
      </c>
      <c r="F1" t="s">
        <v>3</v>
      </c>
      <c r="G1" t="s">
        <v>498</v>
      </c>
      <c r="H1" t="s">
        <v>499</v>
      </c>
      <c r="I1" t="s">
        <v>35</v>
      </c>
      <c r="J1" t="s">
        <v>36</v>
      </c>
      <c r="K1" t="s">
        <v>4</v>
      </c>
      <c r="L1" t="s">
        <v>37</v>
      </c>
      <c r="M1" t="s">
        <v>38</v>
      </c>
      <c r="N1" t="s">
        <v>39</v>
      </c>
      <c r="O1" t="s">
        <v>40</v>
      </c>
      <c r="P1" t="s">
        <v>500</v>
      </c>
      <c r="Q1" t="s">
        <v>448</v>
      </c>
      <c r="R1" t="s">
        <v>449</v>
      </c>
      <c r="S1" t="s">
        <v>41</v>
      </c>
      <c r="T1" t="s">
        <v>501</v>
      </c>
      <c r="U1" t="s">
        <v>377</v>
      </c>
      <c r="V1" t="s">
        <v>42</v>
      </c>
      <c r="W1" t="s">
        <v>450</v>
      </c>
      <c r="X1" t="s">
        <v>451</v>
      </c>
      <c r="Y1" t="s">
        <v>452</v>
      </c>
      <c r="Z1" t="s">
        <v>453</v>
      </c>
      <c r="AA1" t="s">
        <v>454</v>
      </c>
      <c r="AB1" t="s">
        <v>502</v>
      </c>
      <c r="AC1" t="s">
        <v>455</v>
      </c>
      <c r="AD1" t="s">
        <v>456</v>
      </c>
      <c r="AE1" t="s">
        <v>43</v>
      </c>
      <c r="AF1" t="s">
        <v>44</v>
      </c>
      <c r="AG1" t="s">
        <v>503</v>
      </c>
      <c r="AH1" t="s">
        <v>457</v>
      </c>
      <c r="AI1" t="s">
        <v>504</v>
      </c>
      <c r="AJ1" t="s">
        <v>45</v>
      </c>
      <c r="AK1" t="s">
        <v>505</v>
      </c>
      <c r="AL1" t="s">
        <v>162</v>
      </c>
      <c r="AM1" t="s">
        <v>506</v>
      </c>
      <c r="AN1" t="s">
        <v>507</v>
      </c>
      <c r="AO1" t="s">
        <v>508</v>
      </c>
      <c r="AP1" t="s">
        <v>509</v>
      </c>
      <c r="AQ1" t="s">
        <v>510</v>
      </c>
      <c r="AR1" t="s">
        <v>511</v>
      </c>
      <c r="AS1" t="s">
        <v>512</v>
      </c>
      <c r="AT1" t="s">
        <v>513</v>
      </c>
      <c r="AU1" t="s">
        <v>514</v>
      </c>
      <c r="AV1" t="s">
        <v>515</v>
      </c>
      <c r="AW1" t="s">
        <v>516</v>
      </c>
      <c r="AX1" t="s">
        <v>458</v>
      </c>
      <c r="AY1" t="s">
        <v>163</v>
      </c>
      <c r="AZ1" t="s">
        <v>164</v>
      </c>
      <c r="BA1" t="s">
        <v>380</v>
      </c>
      <c r="BB1" t="s">
        <v>165</v>
      </c>
      <c r="BC1" t="s">
        <v>381</v>
      </c>
      <c r="BD1" t="s">
        <v>166</v>
      </c>
      <c r="BE1" t="s">
        <v>167</v>
      </c>
      <c r="BF1" t="s">
        <v>168</v>
      </c>
      <c r="BG1" t="s">
        <v>169</v>
      </c>
      <c r="BH1" t="s">
        <v>517</v>
      </c>
      <c r="BI1" t="s">
        <v>518</v>
      </c>
      <c r="BJ1" t="s">
        <v>519</v>
      </c>
      <c r="BK1" t="s">
        <v>520</v>
      </c>
      <c r="BL1" t="s">
        <v>521</v>
      </c>
      <c r="BM1" t="s">
        <v>522</v>
      </c>
      <c r="BN1" t="s">
        <v>459</v>
      </c>
      <c r="BO1" t="s">
        <v>378</v>
      </c>
      <c r="BP1" t="s">
        <v>170</v>
      </c>
      <c r="BQ1" t="s">
        <v>460</v>
      </c>
      <c r="BR1" t="s">
        <v>379</v>
      </c>
      <c r="BS1" t="s">
        <v>171</v>
      </c>
      <c r="BT1" t="s">
        <v>523</v>
      </c>
      <c r="BU1" t="s">
        <v>461</v>
      </c>
      <c r="BV1" t="s">
        <v>524</v>
      </c>
      <c r="BW1" t="s">
        <v>352</v>
      </c>
      <c r="BX1" t="s">
        <v>172</v>
      </c>
      <c r="BY1" t="s">
        <v>525</v>
      </c>
      <c r="BZ1" t="s">
        <v>353</v>
      </c>
      <c r="CA1" t="s">
        <v>173</v>
      </c>
      <c r="CB1" t="s">
        <v>526</v>
      </c>
      <c r="CC1" t="s">
        <v>527</v>
      </c>
      <c r="CD1" t="s">
        <v>528</v>
      </c>
      <c r="CE1" t="s">
        <v>529</v>
      </c>
      <c r="CF1" s="1" t="s">
        <v>337</v>
      </c>
      <c r="CG1" s="1" t="s">
        <v>338</v>
      </c>
      <c r="CH1" s="1" t="s">
        <v>339</v>
      </c>
      <c r="CI1" s="1" t="s">
        <v>340</v>
      </c>
      <c r="CJ1" s="1" t="s">
        <v>341</v>
      </c>
      <c r="CK1" s="1" t="s">
        <v>342</v>
      </c>
      <c r="CL1" s="1" t="s">
        <v>343</v>
      </c>
      <c r="CM1" s="1" t="s">
        <v>344</v>
      </c>
      <c r="CN1" s="1" t="s">
        <v>345</v>
      </c>
      <c r="CO1" s="1" t="s">
        <v>346</v>
      </c>
      <c r="CP1" s="1" t="s">
        <v>347</v>
      </c>
      <c r="CQ1" s="1" t="s">
        <v>348</v>
      </c>
      <c r="CR1" s="1" t="s">
        <v>530</v>
      </c>
      <c r="CS1" s="1" t="s">
        <v>462</v>
      </c>
      <c r="CT1" s="1" t="s">
        <v>531</v>
      </c>
      <c r="CU1" s="1" t="s">
        <v>532</v>
      </c>
      <c r="CV1" s="1" t="s">
        <v>533</v>
      </c>
      <c r="CW1" s="1" t="s">
        <v>534</v>
      </c>
      <c r="CX1">
        <v>1</v>
      </c>
      <c r="CY1" t="s">
        <v>535</v>
      </c>
      <c r="CZ1" t="s">
        <v>463</v>
      </c>
      <c r="DA1">
        <v>3</v>
      </c>
      <c r="DB1" t="s">
        <v>536</v>
      </c>
      <c r="DC1" t="s">
        <v>537</v>
      </c>
      <c r="DD1">
        <v>6</v>
      </c>
      <c r="DE1" t="s">
        <v>538</v>
      </c>
      <c r="DF1" t="s">
        <v>539</v>
      </c>
      <c r="DG1">
        <v>10</v>
      </c>
      <c r="DH1" t="s">
        <v>540</v>
      </c>
      <c r="DI1" t="s">
        <v>541</v>
      </c>
      <c r="DJ1">
        <v>20</v>
      </c>
      <c r="DK1" t="s">
        <v>542</v>
      </c>
      <c r="DL1" t="s">
        <v>349</v>
      </c>
      <c r="DM1" t="s">
        <v>350</v>
      </c>
      <c r="DN1" s="2" t="s">
        <v>351</v>
      </c>
      <c r="DO1" t="s">
        <v>543</v>
      </c>
      <c r="DP1" t="s">
        <v>544</v>
      </c>
      <c r="DQ1" s="7" t="s">
        <v>545</v>
      </c>
      <c r="DR1" s="1" t="s">
        <v>546</v>
      </c>
      <c r="DS1" s="1" t="s">
        <v>547</v>
      </c>
      <c r="DT1" t="s">
        <v>548</v>
      </c>
      <c r="DU1" t="s">
        <v>549</v>
      </c>
      <c r="DV1" t="s">
        <v>550</v>
      </c>
      <c r="DW1" t="s">
        <v>551</v>
      </c>
      <c r="DX1" t="s">
        <v>552</v>
      </c>
      <c r="DY1" t="s">
        <v>553</v>
      </c>
      <c r="DZ1" t="s">
        <v>554</v>
      </c>
      <c r="EA1" t="s">
        <v>555</v>
      </c>
      <c r="EB1" t="s">
        <v>556</v>
      </c>
      <c r="EC1" t="s">
        <v>557</v>
      </c>
      <c r="ED1" t="s">
        <v>558</v>
      </c>
      <c r="EE1" t="s">
        <v>559</v>
      </c>
      <c r="EF1" t="s">
        <v>560</v>
      </c>
      <c r="EG1" t="s">
        <v>561</v>
      </c>
      <c r="EH1" t="s">
        <v>562</v>
      </c>
      <c r="EI1" t="s">
        <v>563</v>
      </c>
      <c r="EK1" s="8" t="s">
        <v>564</v>
      </c>
      <c r="EL1" t="s">
        <v>565</v>
      </c>
      <c r="EM1" t="s">
        <v>566</v>
      </c>
      <c r="EN1" t="s">
        <v>567</v>
      </c>
      <c r="EO1" t="s">
        <v>464</v>
      </c>
      <c r="EP1" t="s">
        <v>568</v>
      </c>
    </row>
    <row r="2" spans="1:146" ht="180" x14ac:dyDescent="0.25">
      <c r="A2" s="6"/>
      <c r="B2" s="6"/>
      <c r="C2" s="6" t="str">
        <f>"公司的主营业务为供应链集成服务。公司的主要产品类涵盖黑色、有色、能源化工等生产资料产业链上几十个细分品种，同时在再生资源以及新能源方面开展多品种布局。"&amp;CHAR(10)&amp;Basic_Fundamental_Information_Constructure(F2)&amp;CHAR(10)&amp;Basic_Fundamental_Information_Concatenate("黑色金属 637.81亿 74.02% 利润占比73.94% 毛利1.44%
再生资源 117.02亿 13.58% 利润占比10.69% 毛利1.13%
能源化工 50.76亿 5.89% 利润占比5.85% 毛利1.43%
有色金属 22.01亿 2.55% 利润占比0.73% 毛利0.41%
新能源 19.31亿 2.24% 利润占比3.88% 毛利2.50%
其他 15.64亿 1.82% 利润占比5.67% 毛利4.50%")</f>
        <v>公司的主营业务为供应链集成服务。公司的主要产品类涵盖黑色、有色、能源化工等生产资料产业链上几十个细分品种，同时在再生资源以及新能源方面开展多品种布局。
市值47.119352亿, 利润7.11亿; PE6.83; 平均PE7.2; 平均PEG.25, PB.949; ROIC11.3767%; ROE20.06%; 股利率5.2632%; 毛利1.53%; 净利.5967%; 上一年度营收增4.89%, 利润增-29.04%; 当季营收增3.08%, 利润增-7.79%; 过往5年营收增28.3%, 利润增23.92%
Income profile:
黑色金属 637.81亿 74.02% 利润占比73.94% 毛利1.44%
再生资源 117.02亿 13.58% 利润占比10.69% 毛利1.13%
能源化工 50.76亿 5.89% 利润占比5.85% 毛利1.43%
有色金属 22.01亿 2.55% 利润占比0.73% 毛利0.41%
新能源 19.31亿 2.24% 利润占比3.88% 毛利2.50%
其他 15.64亿 1.82% 利润占比5.67% 毛利4.50%</v>
      </c>
      <c r="D2" t="s">
        <v>320</v>
      </c>
      <c r="E2" t="s">
        <v>321</v>
      </c>
      <c r="F2">
        <v>6.65</v>
      </c>
      <c r="G2">
        <v>0.91</v>
      </c>
      <c r="H2" t="s">
        <v>1198</v>
      </c>
      <c r="I2">
        <v>4711935200</v>
      </c>
      <c r="J2">
        <v>6.83</v>
      </c>
      <c r="K2">
        <v>0.94899999999999995</v>
      </c>
      <c r="L2" t="s">
        <v>47</v>
      </c>
      <c r="M2" t="s">
        <v>725</v>
      </c>
      <c r="N2" t="s">
        <v>1199</v>
      </c>
      <c r="O2" t="s">
        <v>726</v>
      </c>
      <c r="P2">
        <v>3.08</v>
      </c>
      <c r="Q2" t="s">
        <v>727</v>
      </c>
      <c r="R2">
        <v>244364040</v>
      </c>
      <c r="S2" s="5">
        <v>-7.8299999999999995E-2</v>
      </c>
      <c r="T2" t="s">
        <v>728</v>
      </c>
      <c r="U2">
        <v>702020760</v>
      </c>
      <c r="V2">
        <v>708561680</v>
      </c>
      <c r="W2">
        <v>4.7699999999999996</v>
      </c>
      <c r="X2">
        <v>1.1000000000000001</v>
      </c>
      <c r="Y2">
        <v>0.74</v>
      </c>
      <c r="Z2" t="s">
        <v>1200</v>
      </c>
      <c r="AA2" t="s">
        <v>1201</v>
      </c>
      <c r="AB2" t="s">
        <v>1202</v>
      </c>
      <c r="AC2" t="s">
        <v>484</v>
      </c>
      <c r="AD2" t="s">
        <v>31</v>
      </c>
      <c r="AE2">
        <v>203430620</v>
      </c>
      <c r="AF2" t="s">
        <v>730</v>
      </c>
      <c r="AG2" t="s">
        <v>1203</v>
      </c>
      <c r="AH2" t="s">
        <v>731</v>
      </c>
      <c r="AI2" t="s">
        <v>1204</v>
      </c>
      <c r="AJ2" t="s">
        <v>732</v>
      </c>
      <c r="AK2" t="s">
        <v>1205</v>
      </c>
      <c r="AL2" t="s">
        <v>733</v>
      </c>
      <c r="AM2" t="s">
        <v>31</v>
      </c>
      <c r="AN2" t="s">
        <v>1206</v>
      </c>
      <c r="AO2" t="s">
        <v>1207</v>
      </c>
      <c r="AP2" t="s">
        <v>1208</v>
      </c>
      <c r="AQ2" t="s">
        <v>1209</v>
      </c>
      <c r="AR2" t="s">
        <v>31</v>
      </c>
      <c r="AS2" t="s">
        <v>1210</v>
      </c>
      <c r="AT2" t="s">
        <v>734</v>
      </c>
      <c r="AU2" t="s">
        <v>1211</v>
      </c>
      <c r="AV2" t="s">
        <v>1212</v>
      </c>
      <c r="AW2" t="s">
        <v>1213</v>
      </c>
      <c r="AX2" t="s">
        <v>679</v>
      </c>
      <c r="AY2" t="s">
        <v>383</v>
      </c>
      <c r="AZ2" t="s">
        <v>322</v>
      </c>
      <c r="BA2" t="s">
        <v>324</v>
      </c>
      <c r="BB2" t="s">
        <v>325</v>
      </c>
      <c r="BC2" t="s">
        <v>735</v>
      </c>
      <c r="BD2" t="s">
        <v>116</v>
      </c>
      <c r="BE2" t="s">
        <v>323</v>
      </c>
      <c r="BF2" t="s">
        <v>326</v>
      </c>
      <c r="BG2" t="s">
        <v>96</v>
      </c>
      <c r="BH2" t="s">
        <v>727</v>
      </c>
      <c r="BI2" t="s">
        <v>736</v>
      </c>
      <c r="BJ2" t="s">
        <v>679</v>
      </c>
      <c r="BK2" t="s">
        <v>728</v>
      </c>
      <c r="BL2" t="s">
        <v>737</v>
      </c>
      <c r="BM2" t="s">
        <v>735</v>
      </c>
      <c r="BN2">
        <v>6.74</v>
      </c>
      <c r="BO2">
        <v>11.78</v>
      </c>
      <c r="BP2">
        <v>15.61</v>
      </c>
      <c r="BQ2">
        <v>11.01</v>
      </c>
      <c r="BR2">
        <v>24.48</v>
      </c>
      <c r="BS2">
        <v>24.69</v>
      </c>
      <c r="BT2" t="s">
        <v>625</v>
      </c>
      <c r="BU2" t="s">
        <v>47</v>
      </c>
      <c r="BV2">
        <v>1.59</v>
      </c>
      <c r="BW2">
        <v>1.42</v>
      </c>
      <c r="BX2">
        <v>1.58</v>
      </c>
      <c r="BY2">
        <v>0.56999999999999995</v>
      </c>
      <c r="BZ2">
        <v>0.66</v>
      </c>
      <c r="CA2">
        <v>0.56000000000000005</v>
      </c>
      <c r="CB2">
        <v>-1.34</v>
      </c>
      <c r="CC2">
        <v>-12.15</v>
      </c>
      <c r="CD2" t="s">
        <v>1214</v>
      </c>
      <c r="CE2" t="s">
        <v>693</v>
      </c>
      <c r="CF2" s="9">
        <v>3.0804427703186744E-2</v>
      </c>
      <c r="CG2" s="10">
        <v>-7.7871547169811317E-2</v>
      </c>
      <c r="CH2" s="9">
        <v>4.8862412571907043E-2</v>
      </c>
      <c r="CI2" s="9">
        <v>8.6021192371845245E-2</v>
      </c>
      <c r="CJ2" s="9">
        <v>0.63584977388381958</v>
      </c>
      <c r="CK2" s="9">
        <v>0.48340687155723572</v>
      </c>
      <c r="CL2" s="9">
        <v>0.16067865490913391</v>
      </c>
      <c r="CM2" s="10">
        <v>-0.29041916131973267</v>
      </c>
      <c r="CN2" s="10">
        <v>0.22344322502613068</v>
      </c>
      <c r="CO2" s="10">
        <v>0.47567567229270935</v>
      </c>
      <c r="CP2" s="10">
        <v>3.5447761416435242E-2</v>
      </c>
      <c r="CQ2" s="10">
        <v>0.75163400173187256</v>
      </c>
      <c r="CR2">
        <v>7.1956251463476706</v>
      </c>
      <c r="CS2">
        <v>0.25429491786628039</v>
      </c>
      <c r="CT2">
        <v>5.2631578947368416</v>
      </c>
      <c r="CU2" s="9">
        <v>0.28296378105878828</v>
      </c>
      <c r="CV2" s="10">
        <v>0.23915629982948303</v>
      </c>
      <c r="CW2">
        <v>0.06</v>
      </c>
      <c r="CX2">
        <v>23.138507308205146</v>
      </c>
      <c r="CY2">
        <v>860554007.86113071</v>
      </c>
      <c r="CZ2">
        <v>0.28296378105878828</v>
      </c>
      <c r="DA2">
        <v>6.4456859750784927</v>
      </c>
      <c r="DB2">
        <v>3089187912.1923127</v>
      </c>
      <c r="DC2">
        <v>0.26881559200584887</v>
      </c>
      <c r="DD2">
        <v>2.5279754594896562</v>
      </c>
      <c r="DE2">
        <v>7876633107.8307981</v>
      </c>
      <c r="DF2">
        <v>0.24900812733173369</v>
      </c>
      <c r="DG2">
        <v>1.1523582241645973</v>
      </c>
      <c r="DH2">
        <v>17279292829.653877</v>
      </c>
      <c r="DI2">
        <v>0.22637102484703064</v>
      </c>
      <c r="DJ2">
        <v>0.30517615181934121</v>
      </c>
      <c r="DK2">
        <v>65247350034.702278</v>
      </c>
      <c r="DL2">
        <v>0.19807464674115177</v>
      </c>
      <c r="DM2">
        <v>711000000</v>
      </c>
      <c r="DN2">
        <v>0.28296378105878828</v>
      </c>
      <c r="DO2">
        <v>19911935200</v>
      </c>
      <c r="DP2">
        <v>7341659000</v>
      </c>
      <c r="DQ2">
        <v>360</v>
      </c>
      <c r="DR2">
        <v>-0.25215935335560152</v>
      </c>
      <c r="DS2">
        <v>-0.31702784699929432</v>
      </c>
      <c r="DT2" s="11">
        <v>4.33333333333333E-2</v>
      </c>
      <c r="DU2">
        <v>0.31666666666666665</v>
      </c>
      <c r="DV2">
        <v>0.35999999999999993</v>
      </c>
      <c r="DW2">
        <v>-2.1215000000000002</v>
      </c>
      <c r="DX2">
        <v>0.31013517241379251</v>
      </c>
      <c r="DY2">
        <v>-2.017026423448276</v>
      </c>
      <c r="DZ2">
        <v>938</v>
      </c>
      <c r="EA2">
        <v>-2.0139010251714691</v>
      </c>
      <c r="EB2">
        <v>2</v>
      </c>
      <c r="EC2">
        <v>2.8677249382156822E-2</v>
      </c>
      <c r="ED2">
        <v>0.20463991222330849</v>
      </c>
      <c r="EE2" s="12">
        <v>4.2799999999999998E-2</v>
      </c>
      <c r="EF2">
        <v>3.39E-2</v>
      </c>
      <c r="EG2">
        <v>17.140135172413792</v>
      </c>
      <c r="EH2" t="s">
        <v>470</v>
      </c>
      <c r="EI2">
        <v>0</v>
      </c>
      <c r="EJ2">
        <v>1</v>
      </c>
      <c r="EK2" s="8">
        <v>45470</v>
      </c>
      <c r="EL2" s="13">
        <v>0.3</v>
      </c>
      <c r="EM2" s="13">
        <v>-2.5299999999999998</v>
      </c>
      <c r="EN2" s="13">
        <v>0.91</v>
      </c>
      <c r="EO2" s="13">
        <v>1.96</v>
      </c>
      <c r="EP2" s="13">
        <v>-0.89</v>
      </c>
    </row>
    <row r="3" spans="1:146" ht="215" customHeight="1" x14ac:dyDescent="0.25">
      <c r="A3" s="6"/>
      <c r="B3" s="6"/>
      <c r="C3" s="6" t="str">
        <f>"公司主营业务是以面向轨道交通产业为主的物资供应链管理及轨道运维技术服务和工程建设物资生产制造及集成服务。公司主要产品及服务包括油品供应链管理、钢轨供应链管理及运维技术服务、铁路移动装备物资供应、工程建设物资生产制造、工程建设物资集成服务、大宗商品贸易。"&amp;CHAR(10)&amp;Basic_Fundamental_Information_Constructure(F3)&amp;CHAR(10)&amp;Basic_Fundamental_Information_Concatenate("轨道交通物资供应链管理及轨道运维技术服务 161.48亿 56.28% 33.43% 2.72%
工程建设物资生产制造及集成服务 88.15亿 30.72% 56.83% 8.46%
大宗物资供应链集成服务 37.28亿 12.99% 9.73% 3.42%")</f>
        <v>公司主营业务是以面向轨道交通产业为主的物资供应链管理及轨道运维技术服务和工程建设物资生产制造及集成服务。公司主要产品及服务包括油品供应链管理、钢轨供应链管理及运维技术服务、铁路移动装备物资供应、工程建设物资生产制造、工程建设物资集成服务、大宗商品贸易。
市值143.39338亿, 利润5.71亿; PE25.91; 平均PE20.06; 平均PEG.02, PB1.58; ROIC6.8767%; ROE9.46%; 股利率.4219%; 毛利4.7267%; 净利1.5333%; 上一年度营收增-18.36%, 利润增-19.46%; 当季营收增-8.65%, 利润增-9.85%; 过往5年营收增829.39%, 利润增535.83%
Income profile:
轨道交通物资供应链管理及轨道运维技术服务 161.48亿 56.28% 33.43% 2.72%
工程建设物资生产制造及集成服务 88.15亿 30.72% 56.83% 8.46%
大宗物资供应链集成服务 37.28亿 12.99% 9.73% 3.42%</v>
      </c>
      <c r="D3" t="s">
        <v>174</v>
      </c>
      <c r="E3" t="s">
        <v>175</v>
      </c>
      <c r="F3">
        <v>2.37</v>
      </c>
      <c r="G3">
        <v>0.85</v>
      </c>
      <c r="H3" t="s">
        <v>1215</v>
      </c>
      <c r="I3">
        <v>14339338000</v>
      </c>
      <c r="J3">
        <v>25.91</v>
      </c>
      <c r="K3">
        <v>1.58</v>
      </c>
      <c r="L3" t="s">
        <v>47</v>
      </c>
      <c r="M3" t="s">
        <v>738</v>
      </c>
      <c r="N3" t="s">
        <v>1216</v>
      </c>
      <c r="O3" t="s">
        <v>739</v>
      </c>
      <c r="P3">
        <v>-8.65</v>
      </c>
      <c r="Q3" t="s">
        <v>740</v>
      </c>
      <c r="R3">
        <v>160459930</v>
      </c>
      <c r="S3" s="5">
        <v>-9.8500000000000004E-2</v>
      </c>
      <c r="T3" t="s">
        <v>741</v>
      </c>
      <c r="U3">
        <v>6050350600</v>
      </c>
      <c r="V3">
        <v>6050353600</v>
      </c>
      <c r="W3">
        <v>2.57</v>
      </c>
      <c r="X3">
        <v>0.38</v>
      </c>
      <c r="Y3">
        <v>1.9</v>
      </c>
      <c r="Z3" t="s">
        <v>1217</v>
      </c>
      <c r="AA3" t="s">
        <v>1218</v>
      </c>
      <c r="AB3" t="s">
        <v>100</v>
      </c>
      <c r="AC3" t="s">
        <v>1219</v>
      </c>
      <c r="AD3" t="s">
        <v>31</v>
      </c>
      <c r="AE3">
        <v>-8288077</v>
      </c>
      <c r="AF3" t="s">
        <v>742</v>
      </c>
      <c r="AG3" t="s">
        <v>1220</v>
      </c>
      <c r="AH3" t="s">
        <v>743</v>
      </c>
      <c r="AI3" t="s">
        <v>1221</v>
      </c>
      <c r="AJ3" t="s">
        <v>744</v>
      </c>
      <c r="AK3" t="s">
        <v>1026</v>
      </c>
      <c r="AL3" t="s">
        <v>745</v>
      </c>
      <c r="AM3" t="s">
        <v>31</v>
      </c>
      <c r="AN3" t="s">
        <v>1222</v>
      </c>
      <c r="AO3" t="s">
        <v>1223</v>
      </c>
      <c r="AP3" t="s">
        <v>1224</v>
      </c>
      <c r="AQ3" t="s">
        <v>837</v>
      </c>
      <c r="AR3" t="s">
        <v>31</v>
      </c>
      <c r="AS3" t="s">
        <v>1225</v>
      </c>
      <c r="AT3" t="s">
        <v>1226</v>
      </c>
      <c r="AU3" t="s">
        <v>1227</v>
      </c>
      <c r="AV3" t="s">
        <v>1228</v>
      </c>
      <c r="AW3" t="s">
        <v>1229</v>
      </c>
      <c r="AX3" t="s">
        <v>746</v>
      </c>
      <c r="AY3" t="s">
        <v>385</v>
      </c>
      <c r="AZ3" t="s">
        <v>176</v>
      </c>
      <c r="BA3" t="s">
        <v>180</v>
      </c>
      <c r="BB3" t="s">
        <v>181</v>
      </c>
      <c r="BC3" t="s">
        <v>687</v>
      </c>
      <c r="BD3" t="s">
        <v>386</v>
      </c>
      <c r="BE3" t="s">
        <v>177</v>
      </c>
      <c r="BF3" t="s">
        <v>61</v>
      </c>
      <c r="BG3" t="s">
        <v>182</v>
      </c>
      <c r="BH3" t="s">
        <v>740</v>
      </c>
      <c r="BI3" t="s">
        <v>747</v>
      </c>
      <c r="BJ3" t="s">
        <v>746</v>
      </c>
      <c r="BK3" t="s">
        <v>741</v>
      </c>
      <c r="BL3" t="s">
        <v>471</v>
      </c>
      <c r="BM3" t="s">
        <v>687</v>
      </c>
      <c r="BN3">
        <v>4.8600000000000003</v>
      </c>
      <c r="BO3">
        <v>6.13</v>
      </c>
      <c r="BP3">
        <v>9.64</v>
      </c>
      <c r="BQ3">
        <v>6.09</v>
      </c>
      <c r="BR3">
        <v>8.6300000000000008</v>
      </c>
      <c r="BS3">
        <v>13.66</v>
      </c>
      <c r="BT3" t="s">
        <v>748</v>
      </c>
      <c r="BU3" t="s">
        <v>47</v>
      </c>
      <c r="BV3">
        <v>4.87</v>
      </c>
      <c r="BW3">
        <v>4.58</v>
      </c>
      <c r="BX3">
        <v>4.7300000000000004</v>
      </c>
      <c r="BY3">
        <v>1.41</v>
      </c>
      <c r="BZ3">
        <v>1.39</v>
      </c>
      <c r="CA3">
        <v>1.8</v>
      </c>
      <c r="CB3">
        <v>-0.42</v>
      </c>
      <c r="CC3">
        <v>-8.85</v>
      </c>
      <c r="CD3" t="s">
        <v>1230</v>
      </c>
      <c r="CE3" t="s">
        <v>1231</v>
      </c>
      <c r="CF3" s="9">
        <v>-8.6518739511467463E-2</v>
      </c>
      <c r="CG3" s="10">
        <v>-9.8539719101123593E-2</v>
      </c>
      <c r="CH3" s="9">
        <v>-0.18358029425144196</v>
      </c>
      <c r="CI3" s="9">
        <v>-6.6666632890701294E-2</v>
      </c>
      <c r="CJ3" s="9">
        <v>0.33008748292922974</v>
      </c>
      <c r="CK3" s="9">
        <v>-6.9065868854522705E-2</v>
      </c>
      <c r="CL3" s="9">
        <v>41.458667755126953</v>
      </c>
      <c r="CM3" s="10">
        <v>-0.19464033842086792</v>
      </c>
      <c r="CN3" s="10">
        <v>-0.27430909872055054</v>
      </c>
      <c r="CO3" s="10">
        <v>4.1577823460102081E-2</v>
      </c>
      <c r="CP3" s="10">
        <v>-0.11258278042078018</v>
      </c>
      <c r="CQ3" s="10">
        <v>27.33134651184082</v>
      </c>
      <c r="CR3">
        <v>20.058251347507412</v>
      </c>
      <c r="CS3">
        <v>2.4184375489895361E-2</v>
      </c>
      <c r="CT3">
        <v>0.4219409282700422</v>
      </c>
      <c r="CU3" s="9">
        <v>8.2938884884119037</v>
      </c>
      <c r="CV3" s="10">
        <v>5.3582784235477448</v>
      </c>
      <c r="CW3">
        <v>0.06</v>
      </c>
      <c r="CX3">
        <v>3.8327426508845859</v>
      </c>
      <c r="CY3">
        <v>5006424836.6822615</v>
      </c>
      <c r="CZ3">
        <v>8.2938884884119037</v>
      </c>
      <c r="DA3">
        <v>5.0434319926035545E-2</v>
      </c>
      <c r="DB3">
        <v>380461916174.15796</v>
      </c>
      <c r="DC3">
        <v>7.8791940639913083</v>
      </c>
      <c r="DD3">
        <v>1.27307030006282E-4</v>
      </c>
      <c r="DE3">
        <v>150724889262228.06</v>
      </c>
      <c r="DF3">
        <v>7.2986218698024752</v>
      </c>
      <c r="DG3">
        <v>7.6982888734133354E-8</v>
      </c>
      <c r="DH3">
        <v>2.4925458521397501E+17</v>
      </c>
      <c r="DI3">
        <v>6.6351107907295237</v>
      </c>
      <c r="DJ3">
        <v>2.0021883650395048E-15</v>
      </c>
      <c r="DK3">
        <v>9.5836827019127136E+24</v>
      </c>
      <c r="DL3">
        <v>5.8057219418883319</v>
      </c>
      <c r="DM3">
        <v>571000000</v>
      </c>
      <c r="DN3">
        <v>8.2938884884119037</v>
      </c>
      <c r="DO3">
        <v>19188338000</v>
      </c>
      <c r="DP3">
        <v>6208214000.0000019</v>
      </c>
      <c r="DQ3">
        <v>376</v>
      </c>
      <c r="DR3">
        <v>-8.3804072279233708</v>
      </c>
      <c r="DS3">
        <v>-5.456818142648868</v>
      </c>
      <c r="DT3" s="11">
        <v>2.3333333333333355E-2</v>
      </c>
      <c r="DU3">
        <v>0.15166666666666662</v>
      </c>
      <c r="DV3">
        <v>0.17499999999999996</v>
      </c>
      <c r="DW3">
        <v>-2.0884999999999998</v>
      </c>
      <c r="DX3">
        <v>0.38590800681431103</v>
      </c>
      <c r="DY3">
        <v>-2.0137978586030663</v>
      </c>
      <c r="DZ3">
        <v>1313</v>
      </c>
      <c r="EA3">
        <v>-2.0102525379874447</v>
      </c>
      <c r="EB3">
        <v>2</v>
      </c>
      <c r="EC3">
        <v>1.5126058086919086E-2</v>
      </c>
      <c r="ED3">
        <v>9.7019122981506403E-2</v>
      </c>
      <c r="EE3" s="12">
        <v>1.0377099999999999</v>
      </c>
      <c r="EF3">
        <v>1.0585100000000001</v>
      </c>
      <c r="EG3">
        <v>23.155908006814311</v>
      </c>
      <c r="EH3" t="s">
        <v>497</v>
      </c>
      <c r="EI3">
        <v>0</v>
      </c>
      <c r="EJ3">
        <v>1</v>
      </c>
      <c r="EK3" s="8">
        <v>45470</v>
      </c>
      <c r="EL3" s="13">
        <v>-0.41</v>
      </c>
      <c r="EM3" s="13">
        <v>-3.73</v>
      </c>
      <c r="EN3" s="13">
        <v>1.29</v>
      </c>
      <c r="EO3" s="13">
        <v>2.13</v>
      </c>
      <c r="EP3" s="13">
        <v>-2.08</v>
      </c>
    </row>
    <row r="4" spans="1:146" ht="96" x14ac:dyDescent="0.25">
      <c r="A4" s="6"/>
      <c r="B4" s="6"/>
      <c r="C4" s="6" t="str">
        <f>""&amp;CHAR(10)&amp;Basic_Fundamental_Information_Constructure(F4)&amp;CHAR(10)&amp;Basic_Fundamental_Information_Concatenate("")</f>
        <v xml:space="preserve">
市值14.24528亿, 利润6218.72万; PE21.47; 平均PE24; 平均PEG1.04, PB1.97; ROIC6.1267%; ROE6.9067%; 股利率2.7125%; 毛利12.9767%; 净利5.3733%; 上一年度营收增-8.39%, 利润增54.32%; 当季营收增-11.3%, 利润增39.19%; 过往5年营收增23.15%, 利润增21.34%
Income profile:
</v>
      </c>
      <c r="D4" t="s">
        <v>184</v>
      </c>
      <c r="E4" t="s">
        <v>185</v>
      </c>
      <c r="F4">
        <v>11.06</v>
      </c>
      <c r="G4">
        <v>1</v>
      </c>
      <c r="H4" t="s">
        <v>1232</v>
      </c>
      <c r="I4">
        <v>1424528000</v>
      </c>
      <c r="J4">
        <v>21.47</v>
      </c>
      <c r="K4">
        <v>1.97</v>
      </c>
      <c r="L4" t="s">
        <v>47</v>
      </c>
      <c r="M4" t="s">
        <v>749</v>
      </c>
      <c r="N4" t="s">
        <v>1233</v>
      </c>
      <c r="O4" t="s">
        <v>714</v>
      </c>
      <c r="P4">
        <v>-11.39</v>
      </c>
      <c r="Q4" t="s">
        <v>750</v>
      </c>
      <c r="R4">
        <v>14771669</v>
      </c>
      <c r="S4" s="5">
        <v>0.39190000000000003</v>
      </c>
      <c r="T4" t="s">
        <v>751</v>
      </c>
      <c r="U4">
        <v>90440650</v>
      </c>
      <c r="V4">
        <v>128800000</v>
      </c>
      <c r="W4">
        <v>1.65</v>
      </c>
      <c r="X4">
        <v>0.17</v>
      </c>
      <c r="Y4">
        <v>6.98</v>
      </c>
      <c r="Z4" t="s">
        <v>1234</v>
      </c>
      <c r="AA4" t="s">
        <v>311</v>
      </c>
      <c r="AB4" t="s">
        <v>1235</v>
      </c>
      <c r="AC4" t="s">
        <v>1236</v>
      </c>
      <c r="AD4" t="s">
        <v>31</v>
      </c>
      <c r="AE4">
        <v>2391307</v>
      </c>
      <c r="AF4" t="s">
        <v>753</v>
      </c>
      <c r="AG4" t="s">
        <v>1237</v>
      </c>
      <c r="AH4" t="s">
        <v>754</v>
      </c>
      <c r="AI4" t="s">
        <v>660</v>
      </c>
      <c r="AJ4" t="s">
        <v>755</v>
      </c>
      <c r="AK4" t="s">
        <v>1238</v>
      </c>
      <c r="AL4" t="s">
        <v>756</v>
      </c>
      <c r="AM4" t="s">
        <v>31</v>
      </c>
      <c r="AN4" t="s">
        <v>1239</v>
      </c>
      <c r="AO4" t="s">
        <v>1240</v>
      </c>
      <c r="AP4" t="s">
        <v>31</v>
      </c>
      <c r="AQ4" t="s">
        <v>1241</v>
      </c>
      <c r="AR4" t="s">
        <v>1242</v>
      </c>
      <c r="AS4" t="s">
        <v>260</v>
      </c>
      <c r="AT4" t="s">
        <v>100</v>
      </c>
      <c r="AU4" t="s">
        <v>1243</v>
      </c>
      <c r="AV4" t="s">
        <v>1244</v>
      </c>
      <c r="AW4" t="s">
        <v>871</v>
      </c>
      <c r="AX4" t="s">
        <v>590</v>
      </c>
      <c r="AY4" t="s">
        <v>387</v>
      </c>
      <c r="AZ4" t="s">
        <v>186</v>
      </c>
      <c r="BA4" t="s">
        <v>188</v>
      </c>
      <c r="BB4" t="s">
        <v>49</v>
      </c>
      <c r="BC4" t="s">
        <v>758</v>
      </c>
      <c r="BD4" t="s">
        <v>388</v>
      </c>
      <c r="BE4" t="s">
        <v>187</v>
      </c>
      <c r="BF4" t="s">
        <v>191</v>
      </c>
      <c r="BG4" t="s">
        <v>192</v>
      </c>
      <c r="BH4" t="s">
        <v>750</v>
      </c>
      <c r="BI4" t="s">
        <v>759</v>
      </c>
      <c r="BJ4" t="s">
        <v>590</v>
      </c>
      <c r="BK4" t="s">
        <v>751</v>
      </c>
      <c r="BL4" t="s">
        <v>760</v>
      </c>
      <c r="BM4" t="s">
        <v>758</v>
      </c>
      <c r="BN4">
        <v>5.61</v>
      </c>
      <c r="BO4">
        <v>4.6900000000000004</v>
      </c>
      <c r="BP4">
        <v>8.08</v>
      </c>
      <c r="BQ4">
        <v>6.9</v>
      </c>
      <c r="BR4">
        <v>5.57</v>
      </c>
      <c r="BS4">
        <v>8.25</v>
      </c>
      <c r="BT4" t="s">
        <v>572</v>
      </c>
      <c r="BU4" t="s">
        <v>47</v>
      </c>
      <c r="BV4">
        <v>14.81</v>
      </c>
      <c r="BW4">
        <v>9.77</v>
      </c>
      <c r="BX4">
        <v>14.35</v>
      </c>
      <c r="BY4">
        <v>6.25</v>
      </c>
      <c r="BZ4">
        <v>3.63</v>
      </c>
      <c r="CA4">
        <v>6.24</v>
      </c>
      <c r="CB4">
        <v>-2.38</v>
      </c>
      <c r="CC4">
        <v>-15.44</v>
      </c>
      <c r="CD4" t="s">
        <v>1245</v>
      </c>
      <c r="CE4" t="s">
        <v>1246</v>
      </c>
      <c r="CF4" s="9">
        <v>-0.11297071129707113</v>
      </c>
      <c r="CG4" s="10">
        <v>0.39188604219472895</v>
      </c>
      <c r="CH4" s="9">
        <v>-8.3870910108089447E-2</v>
      </c>
      <c r="CI4" s="9">
        <v>0.45247650146484375</v>
      </c>
      <c r="CJ4" s="9">
        <v>-0.23463115096092224</v>
      </c>
      <c r="CK4" s="9">
        <v>0.22459222376346588</v>
      </c>
      <c r="CL4" s="9">
        <v>0.79909706115722656</v>
      </c>
      <c r="CM4" s="10">
        <v>0.54318326711654663</v>
      </c>
      <c r="CN4" s="10">
        <v>-0.13558849692344666</v>
      </c>
      <c r="CO4" s="10">
        <v>-0.48351982235908508</v>
      </c>
      <c r="CP4" s="10">
        <v>0.16411784291267395</v>
      </c>
      <c r="CQ4" s="10">
        <v>0.97894906997680664</v>
      </c>
      <c r="CR4">
        <v>24.003107115446021</v>
      </c>
      <c r="CS4">
        <v>1.0367046401528721</v>
      </c>
      <c r="CT4">
        <v>2.7124773960216997</v>
      </c>
      <c r="CU4" s="9">
        <v>0.2315327450633049</v>
      </c>
      <c r="CV4" s="10">
        <v>0.21342837214469909</v>
      </c>
      <c r="CW4">
        <v>0.06</v>
      </c>
      <c r="CX4">
        <v>17.294375767860917</v>
      </c>
      <c r="CY4">
        <v>72250540.6828309</v>
      </c>
      <c r="CZ4">
        <v>0.2315327450633049</v>
      </c>
      <c r="DA4">
        <v>5.023335481294092</v>
      </c>
      <c r="DB4">
        <v>248744684.61304149</v>
      </c>
      <c r="DC4">
        <v>0.21995610781013963</v>
      </c>
      <c r="DD4">
        <v>2.0960248524932115</v>
      </c>
      <c r="DE4">
        <v>596141786.44575346</v>
      </c>
      <c r="DF4">
        <v>0.20374881565570832</v>
      </c>
      <c r="DG4">
        <v>1.0332669024124856</v>
      </c>
      <c r="DH4">
        <v>1209298388.5214798</v>
      </c>
      <c r="DI4">
        <v>0.18522619605064394</v>
      </c>
      <c r="DJ4">
        <v>0.33372271676466614</v>
      </c>
      <c r="DK4">
        <v>3744210199.754365</v>
      </c>
      <c r="DL4">
        <v>0.16207292154431341</v>
      </c>
      <c r="DM4">
        <v>62187200</v>
      </c>
      <c r="DN4">
        <v>0.2315327450633049</v>
      </c>
      <c r="DO4">
        <v>1249528000</v>
      </c>
      <c r="DP4">
        <v>98796890</v>
      </c>
      <c r="DQ4">
        <v>429</v>
      </c>
      <c r="DR4">
        <v>-0.34450345636037605</v>
      </c>
      <c r="DS4">
        <v>0.17845767005002985</v>
      </c>
      <c r="DT4" s="11">
        <v>-0.10666666666666669</v>
      </c>
      <c r="DU4">
        <v>0.56999999999999995</v>
      </c>
      <c r="DV4">
        <v>0.46333333333333326</v>
      </c>
      <c r="DW4">
        <v>-2.1543999999999999</v>
      </c>
      <c r="DX4">
        <v>0.33466785275110467</v>
      </c>
      <c r="DY4">
        <v>-2.0146167164647708</v>
      </c>
      <c r="DZ4">
        <v>758</v>
      </c>
      <c r="EA4">
        <v>-2.0124485225155935</v>
      </c>
      <c r="EB4">
        <v>2</v>
      </c>
      <c r="EC4">
        <v>2.8092391304347826E-2</v>
      </c>
      <c r="ED4">
        <v>0.2967468944099379</v>
      </c>
      <c r="EE4" s="12">
        <v>-6.0453999999999999</v>
      </c>
      <c r="EF4">
        <v>-6.0453999999999999</v>
      </c>
      <c r="EG4">
        <v>24.094667852751105</v>
      </c>
      <c r="EH4" t="s">
        <v>1247</v>
      </c>
      <c r="EI4">
        <v>0</v>
      </c>
      <c r="EJ4">
        <v>1</v>
      </c>
      <c r="EK4" s="8">
        <v>45470</v>
      </c>
      <c r="EL4" s="13">
        <v>-0.62</v>
      </c>
      <c r="EM4" s="13">
        <v>-3.3</v>
      </c>
      <c r="EN4" s="13">
        <v>1.94</v>
      </c>
      <c r="EO4" s="13">
        <v>4.08</v>
      </c>
      <c r="EP4" s="13">
        <v>0</v>
      </c>
    </row>
    <row r="5" spans="1:146" ht="192" x14ac:dyDescent="0.25">
      <c r="A5" s="6" t="s">
        <v>717</v>
      </c>
      <c r="B5" s="6" t="s">
        <v>1197</v>
      </c>
      <c r="C5" s="6" t="str">
        <f>"公司是一家主营跨境化工物流供应链服务的现代服务企业。公司通过“运化工”平台，不断整合线下自有的国际化工物流服务团队、危化品仓库、危化品运输车队、园区化综合物流服务基地等内部服务资源和国际海运、关务服务、第三方仓储及车队等外部合作资源，专业、安全、高效的为客户提供包括物流方案设计、询价订舱、理货服务、境内运输、仓储堆存、报关报检、单证服务、港区服务、国际海运、物流信息监控等全链条一站式、可视化跨境化工物流服务"&amp;CHAR(10)&amp;Basic_Fundamental_Information_Constructure(F5)&amp;CHAR(10)&amp;Basic_Fundamental_Information_Concatenate("跨境化工物流供应链服务 15.55亿 93.99% 85.68% 14.18%
仓储堆存服务 5775.51万 3.49% 14.32% 63.87%")</f>
        <v>公司是一家主营跨境化工物流供应链服务的现代服务企业。公司通过“运化工”平台，不断整合线下自有的国际化工物流服务团队、危化品仓库、危化品运输车队、园区化综合物流服务基地等内部服务资源和国际海运、关务服务、第三方仓储及车队等外部合作资源，专业、安全、高效的为客户提供包括物流方案设计、询价订舱、理货服务、境内运输、仓储堆存、报关报检、单证服务、港区服务、国际海运、物流信息监控等全链条一站式、可视化跨境化工物流服务
市值21.032583亿, 利润1.50亿; PE14.36; 平均PE15.73; 平均PEG.44, PB1.2; ROIC16.7033%; ROE19.24%; 股利率2.963%; 毛利16.18%; 净利8.4233%; 上一年度营收增-26.99%, 利润增-48.98%; 当季营收增35.01%, 利润增-9.21%; 过往5年营收增35.53%, 利润增38.11%
Income profile:
跨境化工物流供应链服务 15.55亿 93.99% 85.68% 14.18%
仓储堆存服务 5775.51万 3.49% 14.32% 63.87%</v>
      </c>
      <c r="D5" t="s">
        <v>389</v>
      </c>
      <c r="E5" t="s">
        <v>467</v>
      </c>
      <c r="F5">
        <v>20.25</v>
      </c>
      <c r="G5">
        <v>1.96</v>
      </c>
      <c r="H5" t="s">
        <v>1248</v>
      </c>
      <c r="I5">
        <v>2103258300</v>
      </c>
      <c r="J5">
        <v>14.36</v>
      </c>
      <c r="K5">
        <v>1.2</v>
      </c>
      <c r="L5" t="s">
        <v>47</v>
      </c>
      <c r="M5" t="s">
        <v>360</v>
      </c>
      <c r="N5" t="s">
        <v>1249</v>
      </c>
      <c r="O5" t="s">
        <v>762</v>
      </c>
      <c r="P5">
        <v>35.03</v>
      </c>
      <c r="Q5" t="s">
        <v>763</v>
      </c>
      <c r="R5">
        <v>34546141</v>
      </c>
      <c r="S5" s="5">
        <v>-9.2100000000000001E-2</v>
      </c>
      <c r="T5" t="s">
        <v>589</v>
      </c>
      <c r="U5">
        <v>54864609</v>
      </c>
      <c r="V5">
        <v>103864609</v>
      </c>
      <c r="W5">
        <v>2.36</v>
      </c>
      <c r="X5">
        <v>0.16</v>
      </c>
      <c r="Y5">
        <v>5.36</v>
      </c>
      <c r="Z5" t="s">
        <v>1250</v>
      </c>
      <c r="AA5" t="s">
        <v>1251</v>
      </c>
      <c r="AB5" t="s">
        <v>1252</v>
      </c>
      <c r="AC5" t="s">
        <v>1253</v>
      </c>
      <c r="AD5" t="s">
        <v>31</v>
      </c>
      <c r="AE5">
        <v>-364847</v>
      </c>
      <c r="AF5" t="s">
        <v>764</v>
      </c>
      <c r="AG5" t="s">
        <v>1254</v>
      </c>
      <c r="AH5" t="s">
        <v>765</v>
      </c>
      <c r="AI5" t="s">
        <v>798</v>
      </c>
      <c r="AJ5" t="s">
        <v>766</v>
      </c>
      <c r="AK5" t="s">
        <v>31</v>
      </c>
      <c r="AL5" t="s">
        <v>767</v>
      </c>
      <c r="AM5" t="s">
        <v>31</v>
      </c>
      <c r="AN5" t="s">
        <v>1255</v>
      </c>
      <c r="AO5" t="s">
        <v>711</v>
      </c>
      <c r="AP5" t="s">
        <v>1256</v>
      </c>
      <c r="AQ5" t="s">
        <v>715</v>
      </c>
      <c r="AR5" t="s">
        <v>1257</v>
      </c>
      <c r="AS5" t="s">
        <v>1258</v>
      </c>
      <c r="AT5" t="s">
        <v>1259</v>
      </c>
      <c r="AU5" t="s">
        <v>1260</v>
      </c>
      <c r="AV5" t="s">
        <v>1261</v>
      </c>
      <c r="AW5" t="s">
        <v>1262</v>
      </c>
      <c r="AX5" t="s">
        <v>591</v>
      </c>
      <c r="AY5" t="s">
        <v>390</v>
      </c>
      <c r="AZ5" t="s">
        <v>391</v>
      </c>
      <c r="BA5" t="s">
        <v>372</v>
      </c>
      <c r="BB5" t="s">
        <v>392</v>
      </c>
      <c r="BC5" t="s">
        <v>592</v>
      </c>
      <c r="BD5" t="s">
        <v>356</v>
      </c>
      <c r="BE5" t="s">
        <v>393</v>
      </c>
      <c r="BF5" t="s">
        <v>394</v>
      </c>
      <c r="BG5" t="s">
        <v>468</v>
      </c>
      <c r="BH5" t="s">
        <v>763</v>
      </c>
      <c r="BI5" t="s">
        <v>768</v>
      </c>
      <c r="BJ5" t="s">
        <v>591</v>
      </c>
      <c r="BK5" t="s">
        <v>589</v>
      </c>
      <c r="BL5" t="s">
        <v>769</v>
      </c>
      <c r="BM5" t="s">
        <v>592</v>
      </c>
      <c r="BN5">
        <v>6.45</v>
      </c>
      <c r="BO5">
        <v>22.1</v>
      </c>
      <c r="BP5">
        <v>21.56</v>
      </c>
      <c r="BQ5">
        <v>8.32</v>
      </c>
      <c r="BR5">
        <v>22.67</v>
      </c>
      <c r="BS5">
        <v>26.73</v>
      </c>
      <c r="BT5" t="s">
        <v>770</v>
      </c>
      <c r="BU5" t="s">
        <v>47</v>
      </c>
      <c r="BV5">
        <v>15.21</v>
      </c>
      <c r="BW5">
        <v>16.989999999999998</v>
      </c>
      <c r="BX5">
        <v>16.34</v>
      </c>
      <c r="BY5">
        <v>6.93</v>
      </c>
      <c r="BZ5">
        <v>10.18</v>
      </c>
      <c r="CA5">
        <v>8.16</v>
      </c>
      <c r="CB5">
        <v>-3.94</v>
      </c>
      <c r="CC5">
        <v>-25.3</v>
      </c>
      <c r="CD5" t="s">
        <v>1263</v>
      </c>
      <c r="CE5" t="s">
        <v>1264</v>
      </c>
      <c r="CF5" s="9">
        <v>0.3501006036217304</v>
      </c>
      <c r="CG5" s="10">
        <v>-9.2128598384307703E-2</v>
      </c>
      <c r="CH5" s="9">
        <v>-0.26992028951644897</v>
      </c>
      <c r="CI5" s="9">
        <v>0.40419584512710571</v>
      </c>
      <c r="CJ5" s="9">
        <v>1.2531511783599854</v>
      </c>
      <c r="CK5" s="9">
        <v>0.15114873647689819</v>
      </c>
      <c r="CL5" s="9">
        <v>0.23802395164966583</v>
      </c>
      <c r="CM5" s="10">
        <v>-0.48979592323303223</v>
      </c>
      <c r="CN5" s="10">
        <v>0.75</v>
      </c>
      <c r="CO5" s="10">
        <v>1.2638853788375854</v>
      </c>
      <c r="CP5" s="10">
        <v>0.16771602630615234</v>
      </c>
      <c r="CQ5" s="10">
        <v>0.21389931440353394</v>
      </c>
      <c r="CR5">
        <v>15.73291807918902</v>
      </c>
      <c r="CS5">
        <v>0.44278180786012317</v>
      </c>
      <c r="CT5">
        <v>2.9629629629629628</v>
      </c>
      <c r="CU5" s="9">
        <v>0.35531988441944123</v>
      </c>
      <c r="CV5" s="10">
        <v>0.38114095926284791</v>
      </c>
      <c r="CW5">
        <v>0.06</v>
      </c>
      <c r="CX5">
        <v>11.769392724212478</v>
      </c>
      <c r="CY5">
        <v>191790549.68199638</v>
      </c>
      <c r="CZ5">
        <v>0.35531988441944123</v>
      </c>
      <c r="DA5">
        <v>3.0943007496462895</v>
      </c>
      <c r="DB5">
        <v>729488980.7521224</v>
      </c>
      <c r="DC5">
        <v>0.33755389019846915</v>
      </c>
      <c r="DD5">
        <v>1.111214358256436</v>
      </c>
      <c r="DE5">
        <v>2031343712.60445</v>
      </c>
      <c r="DF5">
        <v>0.3126814982891083</v>
      </c>
      <c r="DG5">
        <v>0.45190058551280726</v>
      </c>
      <c r="DH5">
        <v>4995032917.336256</v>
      </c>
      <c r="DI5">
        <v>0.28425590753555302</v>
      </c>
      <c r="DJ5">
        <v>8.9196180417740689E-2</v>
      </c>
      <c r="DK5">
        <v>25306669965.332306</v>
      </c>
      <c r="DL5">
        <v>0.24872391909360886</v>
      </c>
      <c r="DM5">
        <v>150000000</v>
      </c>
      <c r="DN5">
        <v>0.35531988441944123</v>
      </c>
      <c r="DO5">
        <v>2257258300</v>
      </c>
      <c r="DP5">
        <v>518613000</v>
      </c>
      <c r="DQ5">
        <v>450</v>
      </c>
      <c r="DR5">
        <v>-5.2192807977108346E-3</v>
      </c>
      <c r="DS5">
        <v>-0.47326955764715561</v>
      </c>
      <c r="DT5" s="11">
        <v>2.6666666666666616E-2</v>
      </c>
      <c r="DU5">
        <v>0.6166666666666667</v>
      </c>
      <c r="DV5">
        <v>0.64333333333333331</v>
      </c>
      <c r="DW5">
        <v>-8.1557312252964422</v>
      </c>
      <c r="DX5">
        <v>0.36678372073648102</v>
      </c>
      <c r="DY5">
        <v>-8.0244161209368272</v>
      </c>
      <c r="DZ5">
        <v>528</v>
      </c>
      <c r="EA5">
        <v>-8.0218932810435497</v>
      </c>
      <c r="EB5">
        <v>8</v>
      </c>
      <c r="EC5">
        <v>4.3484494318945542E-2</v>
      </c>
      <c r="ED5">
        <v>0.27735337645183833</v>
      </c>
      <c r="EE5" s="12">
        <v>-2.0436000000000001</v>
      </c>
      <c r="EF5">
        <v>-2.0356000000000001</v>
      </c>
      <c r="EG5">
        <v>21.156783720736481</v>
      </c>
      <c r="EH5" t="s">
        <v>584</v>
      </c>
      <c r="EI5">
        <v>0</v>
      </c>
      <c r="EJ5">
        <v>1</v>
      </c>
      <c r="EK5" s="8">
        <v>45470</v>
      </c>
      <c r="EL5" s="13">
        <v>-0.76</v>
      </c>
      <c r="EM5" s="13">
        <v>-5.8</v>
      </c>
      <c r="EN5" s="13">
        <v>-1.05</v>
      </c>
      <c r="EO5" s="13">
        <v>1.88</v>
      </c>
      <c r="EP5" s="13">
        <v>-0.8</v>
      </c>
    </row>
    <row r="6" spans="1:146" ht="156" x14ac:dyDescent="0.25">
      <c r="A6" s="6" t="s">
        <v>574</v>
      </c>
      <c r="B6" s="6" t="s">
        <v>575</v>
      </c>
      <c r="C6" s="6" t="str">
        <f>"公司从事汽车整车综合运输服务业务、非汽车商品综合运输服务业务、仓储服务。公司的主要服务有汽车整车综合物流服务、非汽车商品综合物流服务、仓储服务。"&amp;CHAR(10)&amp;Basic_Fundamental_Information_Constructure(F6)&amp;CHAR(10)&amp;Basic_Fundamental_Information_Concatenate("汽车整车综合物流服务 3.58亿 85.44% 75.57% 8.20%
非汽车商品综合物流服务 4611.87万 11.00% 5.66% 4.77%
仓储服务 750.98万 1.79% 12.63% 65.32%
其他业务 738.04万 1.76% 6.14% 32.35%")</f>
        <v>公司从事汽车整车综合运输服务业务、非汽车商品综合运输服务业务、仓储服务。公司的主要服务有汽车整车综合物流服务、非汽车商品综合物流服务、仓储服务。
市值18.153932亿, 利润2011.57万; PE97.78; 平均PE41.97; 平均PEG10.17, PB2.23; ROIC3.44%; ROE4.3433%; 股利率.5291%; 毛利8.6767%; 净利3.0467%; 上一年度营收增21.74%, 利润增29%; 当季营收增21.27%, 利润增-19.7%; 过往5年营收增4.13%, 利润增-4.01%
Income profile:
汽车整车综合物流服务 3.58亿 85.44% 75.57% 8.20%
非汽车商品综合物流服务 4611.87万 11.00% 5.66% 4.77%
仓储服务 750.98万 1.79% 12.63% 65.32%
其他业务 738.04万 1.76% 6.14% 32.35%</v>
      </c>
      <c r="D6" t="s">
        <v>395</v>
      </c>
      <c r="E6" t="s">
        <v>396</v>
      </c>
      <c r="F6">
        <v>22.68</v>
      </c>
      <c r="G6">
        <v>1.61</v>
      </c>
      <c r="H6" t="s">
        <v>1265</v>
      </c>
      <c r="I6">
        <v>1815393200</v>
      </c>
      <c r="J6">
        <v>97.78</v>
      </c>
      <c r="K6">
        <v>2.23</v>
      </c>
      <c r="L6" t="s">
        <v>47</v>
      </c>
      <c r="M6" t="s">
        <v>710</v>
      </c>
      <c r="N6" t="s">
        <v>1266</v>
      </c>
      <c r="O6" t="s">
        <v>771</v>
      </c>
      <c r="P6">
        <v>21.32</v>
      </c>
      <c r="Q6" t="s">
        <v>706</v>
      </c>
      <c r="R6">
        <v>6314198</v>
      </c>
      <c r="S6" s="5">
        <v>-0.19700000000000001</v>
      </c>
      <c r="T6" t="s">
        <v>772</v>
      </c>
      <c r="U6">
        <v>29383074</v>
      </c>
      <c r="V6">
        <v>80043792</v>
      </c>
      <c r="W6">
        <v>1.91</v>
      </c>
      <c r="X6">
        <v>0.17</v>
      </c>
      <c r="Y6">
        <v>2.36</v>
      </c>
      <c r="Z6" t="s">
        <v>840</v>
      </c>
      <c r="AA6" t="s">
        <v>489</v>
      </c>
      <c r="AB6" t="s">
        <v>1267</v>
      </c>
      <c r="AC6" t="s">
        <v>1268</v>
      </c>
      <c r="AD6" t="s">
        <v>31</v>
      </c>
      <c r="AE6">
        <v>4206147</v>
      </c>
      <c r="AF6" t="s">
        <v>773</v>
      </c>
      <c r="AG6" t="s">
        <v>1269</v>
      </c>
      <c r="AH6" t="s">
        <v>774</v>
      </c>
      <c r="AI6" t="s">
        <v>720</v>
      </c>
      <c r="AJ6" t="s">
        <v>775</v>
      </c>
      <c r="AK6" t="s">
        <v>31</v>
      </c>
      <c r="AL6" t="s">
        <v>776</v>
      </c>
      <c r="AM6" t="s">
        <v>31</v>
      </c>
      <c r="AN6" t="s">
        <v>1270</v>
      </c>
      <c r="AO6" t="s">
        <v>1271</v>
      </c>
      <c r="AP6" t="s">
        <v>1272</v>
      </c>
      <c r="AQ6" t="s">
        <v>1273</v>
      </c>
      <c r="AR6" t="s">
        <v>1274</v>
      </c>
      <c r="AS6" t="s">
        <v>1275</v>
      </c>
      <c r="AT6" t="s">
        <v>218</v>
      </c>
      <c r="AU6" t="s">
        <v>1276</v>
      </c>
      <c r="AV6" t="s">
        <v>1277</v>
      </c>
      <c r="AW6" t="s">
        <v>1278</v>
      </c>
      <c r="AX6" t="s">
        <v>593</v>
      </c>
      <c r="AY6" t="s">
        <v>398</v>
      </c>
      <c r="AZ6" t="s">
        <v>400</v>
      </c>
      <c r="BA6" t="s">
        <v>99</v>
      </c>
      <c r="BB6" t="s">
        <v>401</v>
      </c>
      <c r="BC6" t="s">
        <v>777</v>
      </c>
      <c r="BD6" t="s">
        <v>399</v>
      </c>
      <c r="BE6" t="s">
        <v>402</v>
      </c>
      <c r="BF6" t="s">
        <v>403</v>
      </c>
      <c r="BG6" t="s">
        <v>404</v>
      </c>
      <c r="BH6" t="s">
        <v>706</v>
      </c>
      <c r="BI6" t="s">
        <v>617</v>
      </c>
      <c r="BJ6" t="s">
        <v>593</v>
      </c>
      <c r="BK6" t="s">
        <v>772</v>
      </c>
      <c r="BL6" t="s">
        <v>778</v>
      </c>
      <c r="BM6" t="s">
        <v>777</v>
      </c>
      <c r="BN6">
        <v>1.92</v>
      </c>
      <c r="BO6">
        <v>1.98</v>
      </c>
      <c r="BP6">
        <v>6.42</v>
      </c>
      <c r="BQ6">
        <v>2.21</v>
      </c>
      <c r="BR6">
        <v>1.97</v>
      </c>
      <c r="BS6">
        <v>8.85</v>
      </c>
      <c r="BT6" t="s">
        <v>779</v>
      </c>
      <c r="BU6" t="s">
        <v>47</v>
      </c>
      <c r="BV6">
        <v>7.15</v>
      </c>
      <c r="BW6">
        <v>7.5</v>
      </c>
      <c r="BX6">
        <v>11.38</v>
      </c>
      <c r="BY6">
        <v>2.04</v>
      </c>
      <c r="BZ6">
        <v>1.95</v>
      </c>
      <c r="CA6">
        <v>5.15</v>
      </c>
      <c r="CB6">
        <v>-3.45</v>
      </c>
      <c r="CC6">
        <v>-15.06</v>
      </c>
      <c r="CD6" t="s">
        <v>1279</v>
      </c>
      <c r="CE6" t="s">
        <v>1280</v>
      </c>
      <c r="CF6" s="9">
        <v>0.21266968325791868</v>
      </c>
      <c r="CG6" s="10">
        <v>-0.19704490252680035</v>
      </c>
      <c r="CH6" s="9">
        <v>0.21739129722118378</v>
      </c>
      <c r="CI6" s="9">
        <v>-0.12784399092197418</v>
      </c>
      <c r="CJ6" s="9">
        <v>6.4590543508529663E-2</v>
      </c>
      <c r="CK6" s="9">
        <v>-5.7608693838119507E-2</v>
      </c>
      <c r="CL6" s="9">
        <v>0.10977080464363098</v>
      </c>
      <c r="CM6" s="10">
        <v>0.28999719023704529</v>
      </c>
      <c r="CN6" s="10">
        <v>-0.67192018032073975</v>
      </c>
      <c r="CO6" s="10">
        <v>-0.25297638773918152</v>
      </c>
      <c r="CP6" s="10">
        <v>-5.6166559457778931E-2</v>
      </c>
      <c r="CQ6" s="10">
        <v>0.49045306444168091</v>
      </c>
      <c r="CR6">
        <v>41.973422590066285</v>
      </c>
      <c r="CS6">
        <v>10.172910955798388</v>
      </c>
      <c r="CT6">
        <v>0.52910052910052907</v>
      </c>
      <c r="CU6" s="9">
        <v>4.1259992122650149E-2</v>
      </c>
      <c r="CV6" s="10">
        <v>-4.0122574567794798E-2</v>
      </c>
      <c r="CW6">
        <v>0.06</v>
      </c>
      <c r="CX6">
        <v>83.977093485455882</v>
      </c>
      <c r="CY6">
        <v>19760069.456171315</v>
      </c>
      <c r="CZ6">
        <v>4.1259992122650149E-2</v>
      </c>
      <c r="DA6">
        <v>28.605661780574327</v>
      </c>
      <c r="DB6">
        <v>58009257.493454285</v>
      </c>
      <c r="DC6">
        <v>3.9196992516517641E-2</v>
      </c>
      <c r="DD6">
        <v>14.869547373837808</v>
      </c>
      <c r="DE6">
        <v>111596752.6301181</v>
      </c>
      <c r="DF6">
        <v>3.6308793067932131E-2</v>
      </c>
      <c r="DG6">
        <v>9.4805801765025635</v>
      </c>
      <c r="DH6">
        <v>175030764.90115809</v>
      </c>
      <c r="DI6">
        <v>3.3007993698120124E-2</v>
      </c>
      <c r="DJ6">
        <v>5.5573287098107693</v>
      </c>
      <c r="DK6">
        <v>298595473.94966012</v>
      </c>
      <c r="DL6">
        <v>2.8881994485855104E-2</v>
      </c>
      <c r="DM6">
        <v>20115700</v>
      </c>
      <c r="DN6">
        <v>4.1259992122650149E-2</v>
      </c>
      <c r="DO6">
        <v>1659393200</v>
      </c>
      <c r="DP6">
        <v>432061719.99999994</v>
      </c>
      <c r="DQ6">
        <v>487</v>
      </c>
      <c r="DR6">
        <v>0.17140969113526855</v>
      </c>
      <c r="DS6">
        <v>-0.15692232795900554</v>
      </c>
      <c r="DT6" s="11">
        <v>-0.27333333333333337</v>
      </c>
      <c r="DU6">
        <v>-0.38666666666666666</v>
      </c>
      <c r="DV6">
        <v>-0.66</v>
      </c>
      <c r="DW6">
        <v>-8.2290836653386457</v>
      </c>
      <c r="DX6">
        <v>0.34945320743857239</v>
      </c>
      <c r="DY6">
        <v>-8.0342372885566444</v>
      </c>
      <c r="DZ6">
        <v>3133</v>
      </c>
      <c r="EA6">
        <v>-8.0132460116392341</v>
      </c>
      <c r="EB6">
        <v>8</v>
      </c>
      <c r="EC6">
        <v>5.449891729267399E-2</v>
      </c>
      <c r="ED6">
        <v>0.36465538764080541</v>
      </c>
      <c r="EE6" s="12">
        <v>-2.0116999999999998</v>
      </c>
      <c r="EF6">
        <v>-2.0057999999999998</v>
      </c>
      <c r="EG6">
        <v>20.149453207438572</v>
      </c>
      <c r="EH6" t="s">
        <v>584</v>
      </c>
      <c r="EI6">
        <v>0</v>
      </c>
      <c r="EJ6">
        <v>0</v>
      </c>
      <c r="EK6" s="8">
        <v>45470</v>
      </c>
      <c r="EL6" s="13">
        <v>-0.17</v>
      </c>
      <c r="EM6" s="13">
        <v>-5.53</v>
      </c>
      <c r="EN6" s="13">
        <v>1.88</v>
      </c>
      <c r="EO6" s="13">
        <v>3.6</v>
      </c>
      <c r="EP6" s="13">
        <v>-0.59</v>
      </c>
    </row>
    <row r="7" spans="1:146" ht="96" x14ac:dyDescent="0.25">
      <c r="A7" s="6"/>
      <c r="B7" s="6"/>
      <c r="C7" s="6" t="str">
        <f>""&amp;CHAR(10)&amp;Basic_Fundamental_Information_Constructure(F7)&amp;CHAR(10)&amp;Basic_Fundamental_Information_Concatenate("")</f>
        <v xml:space="preserve">
市值106.221676亿, 利润5.91亿; PE18.16; 平均PE8.47; 平均PEG.64, PB.603; ROIC4.7867%; ROE7.1267%; 股利率2.6247%; 毛利9.8%; 净利3.5767%; 上一年度营收增-9.01%, 利润增-20.67%; 当季营收增-22.14%, 利润增-3.33%; 过往5年营收增13.32%, 利润增10.17%
Income profile:
</v>
      </c>
      <c r="D7" t="s">
        <v>46</v>
      </c>
      <c r="E7" t="s">
        <v>9</v>
      </c>
      <c r="F7">
        <v>3.81</v>
      </c>
      <c r="G7">
        <v>0.79</v>
      </c>
      <c r="H7" t="s">
        <v>1281</v>
      </c>
      <c r="I7">
        <v>10622167600</v>
      </c>
      <c r="J7">
        <v>18.16</v>
      </c>
      <c r="K7">
        <v>0.60299999999999998</v>
      </c>
      <c r="L7" t="s">
        <v>47</v>
      </c>
      <c r="M7" t="s">
        <v>780</v>
      </c>
      <c r="N7" t="s">
        <v>1282</v>
      </c>
      <c r="O7" t="s">
        <v>781</v>
      </c>
      <c r="P7">
        <v>-22.14</v>
      </c>
      <c r="Q7" t="s">
        <v>782</v>
      </c>
      <c r="R7">
        <v>170145720</v>
      </c>
      <c r="S7" s="5">
        <v>-3.4799999999999998E-2</v>
      </c>
      <c r="T7" t="s">
        <v>783</v>
      </c>
      <c r="U7">
        <v>2781279600</v>
      </c>
      <c r="V7">
        <v>2787970500</v>
      </c>
      <c r="W7">
        <v>2.17</v>
      </c>
      <c r="X7">
        <v>0.15</v>
      </c>
      <c r="Y7">
        <v>3.25</v>
      </c>
      <c r="Z7" t="s">
        <v>1283</v>
      </c>
      <c r="AA7" t="s">
        <v>1284</v>
      </c>
      <c r="AB7" t="s">
        <v>1285</v>
      </c>
      <c r="AC7" t="s">
        <v>586</v>
      </c>
      <c r="AD7" t="s">
        <v>31</v>
      </c>
      <c r="AE7">
        <v>114760148</v>
      </c>
      <c r="AF7" t="s">
        <v>784</v>
      </c>
      <c r="AG7" t="s">
        <v>1286</v>
      </c>
      <c r="AH7" t="s">
        <v>785</v>
      </c>
      <c r="AI7" t="s">
        <v>1287</v>
      </c>
      <c r="AJ7" t="s">
        <v>786</v>
      </c>
      <c r="AK7" t="s">
        <v>1288</v>
      </c>
      <c r="AL7" t="s">
        <v>787</v>
      </c>
      <c r="AM7" t="s">
        <v>31</v>
      </c>
      <c r="AN7" t="s">
        <v>1289</v>
      </c>
      <c r="AO7" t="s">
        <v>1290</v>
      </c>
      <c r="AP7" t="s">
        <v>334</v>
      </c>
      <c r="AQ7" t="s">
        <v>1291</v>
      </c>
      <c r="AR7" t="s">
        <v>662</v>
      </c>
      <c r="AS7" t="s">
        <v>1292</v>
      </c>
      <c r="AT7" t="s">
        <v>1293</v>
      </c>
      <c r="AU7" t="s">
        <v>1294</v>
      </c>
      <c r="AV7" t="s">
        <v>911</v>
      </c>
      <c r="AW7" t="s">
        <v>1295</v>
      </c>
      <c r="AX7" t="s">
        <v>788</v>
      </c>
      <c r="AY7" t="s">
        <v>595</v>
      </c>
      <c r="AZ7" t="s">
        <v>596</v>
      </c>
      <c r="BA7" t="s">
        <v>194</v>
      </c>
      <c r="BB7" t="s">
        <v>195</v>
      </c>
      <c r="BC7" t="s">
        <v>594</v>
      </c>
      <c r="BD7" t="s">
        <v>405</v>
      </c>
      <c r="BE7" t="s">
        <v>193</v>
      </c>
      <c r="BF7" t="s">
        <v>48</v>
      </c>
      <c r="BG7" t="s">
        <v>116</v>
      </c>
      <c r="BH7" t="s">
        <v>782</v>
      </c>
      <c r="BI7" t="s">
        <v>789</v>
      </c>
      <c r="BJ7" t="s">
        <v>788</v>
      </c>
      <c r="BK7" t="s">
        <v>783</v>
      </c>
      <c r="BL7" t="s">
        <v>311</v>
      </c>
      <c r="BM7" t="s">
        <v>594</v>
      </c>
      <c r="BN7">
        <v>2.4700000000000002</v>
      </c>
      <c r="BO7">
        <v>3.39</v>
      </c>
      <c r="BP7">
        <v>8.5</v>
      </c>
      <c r="BQ7">
        <v>2.86</v>
      </c>
      <c r="BR7">
        <v>4.3499999999999996</v>
      </c>
      <c r="BS7">
        <v>14.17</v>
      </c>
      <c r="BT7" t="s">
        <v>570</v>
      </c>
      <c r="BU7" t="s">
        <v>47</v>
      </c>
      <c r="BV7">
        <v>10.56</v>
      </c>
      <c r="BW7">
        <v>8.9700000000000006</v>
      </c>
      <c r="BX7">
        <v>9.8699999999999992</v>
      </c>
      <c r="BY7">
        <v>2.0699999999999998</v>
      </c>
      <c r="BZ7">
        <v>2.21</v>
      </c>
      <c r="CA7">
        <v>6.45</v>
      </c>
      <c r="CB7">
        <v>-0.78</v>
      </c>
      <c r="CC7">
        <v>-13.41</v>
      </c>
      <c r="CD7" t="s">
        <v>1296</v>
      </c>
      <c r="CE7" t="s">
        <v>970</v>
      </c>
      <c r="CF7" s="9">
        <v>-0.22135638621697309</v>
      </c>
      <c r="CG7" s="10">
        <v>-3.3262954545454547E-2</v>
      </c>
      <c r="CH7" s="9">
        <v>-9.0051725506782532E-2</v>
      </c>
      <c r="CI7" s="9">
        <v>4.2636729776859283E-2</v>
      </c>
      <c r="CJ7" s="9">
        <v>0.64636927843093872</v>
      </c>
      <c r="CK7" s="9">
        <v>6.721939891576767E-2</v>
      </c>
      <c r="CL7" s="9">
        <v>-2.482239215169102E-4</v>
      </c>
      <c r="CM7" s="10">
        <v>-0.20671141147613525</v>
      </c>
      <c r="CN7" s="10">
        <v>-0.66874170303344727</v>
      </c>
      <c r="CO7" s="10">
        <v>0.47863250970840454</v>
      </c>
      <c r="CP7" s="10">
        <v>-5.056183785200119E-2</v>
      </c>
      <c r="CQ7" s="10">
        <v>0.95604395866394043</v>
      </c>
      <c r="CR7">
        <v>8.4672519728975679</v>
      </c>
      <c r="CS7">
        <v>0.63575073418895045</v>
      </c>
      <c r="CT7">
        <v>2.6246719160104988</v>
      </c>
      <c r="CU7" s="9">
        <v>0.13318509153905325</v>
      </c>
      <c r="CV7" s="10">
        <v>0.10173230320215225</v>
      </c>
      <c r="CW7">
        <v>0.06</v>
      </c>
      <c r="CX7">
        <v>22.921925748811891</v>
      </c>
      <c r="CY7">
        <v>631804140.65998149</v>
      </c>
      <c r="CZ7">
        <v>0.13318509153905325</v>
      </c>
      <c r="DA7">
        <v>7.223007210632777</v>
      </c>
      <c r="DB7">
        <v>2005005280.7203662</v>
      </c>
      <c r="DC7">
        <v>0.1265258369621006</v>
      </c>
      <c r="DD7">
        <v>3.3841927398254215</v>
      </c>
      <c r="DE7">
        <v>4279356618.6620574</v>
      </c>
      <c r="DF7">
        <v>0.11720288055436687</v>
      </c>
      <c r="DG7">
        <v>1.9199420263200566</v>
      </c>
      <c r="DH7">
        <v>7543023383.7622166</v>
      </c>
      <c r="DI7">
        <v>0.1065480732312426</v>
      </c>
      <c r="DJ7">
        <v>0.8721693073029394</v>
      </c>
      <c r="DK7">
        <v>16604766389.663563</v>
      </c>
      <c r="DL7">
        <v>9.3229564077337276E-2</v>
      </c>
      <c r="DM7">
        <v>591000000</v>
      </c>
      <c r="DN7">
        <v>0.13318509153905325</v>
      </c>
      <c r="DO7">
        <v>14482167600</v>
      </c>
      <c r="DP7">
        <v>840808000</v>
      </c>
      <c r="DQ7">
        <v>530</v>
      </c>
      <c r="DR7">
        <v>-0.35454147775602635</v>
      </c>
      <c r="DS7">
        <v>-0.13499525774760679</v>
      </c>
      <c r="DT7" s="11">
        <v>-0.17333333333333334</v>
      </c>
      <c r="DU7">
        <v>-0.13333333333333333</v>
      </c>
      <c r="DV7">
        <v>-0.30666666666666664</v>
      </c>
      <c r="DW7">
        <v>-2.1341000000000001</v>
      </c>
      <c r="DX7">
        <v>0.36329099264705733</v>
      </c>
      <c r="DY7">
        <v>-2.0138513221139704</v>
      </c>
      <c r="DZ7">
        <v>2458</v>
      </c>
      <c r="EA7">
        <v>-2.0071885922204009</v>
      </c>
      <c r="EB7">
        <v>2</v>
      </c>
      <c r="EC7">
        <v>2.0154553285266111E-2</v>
      </c>
      <c r="ED7">
        <v>0.19512401583876157</v>
      </c>
      <c r="EE7" s="12">
        <v>-2.01091</v>
      </c>
      <c r="EF7">
        <v>-2.0388099999999998</v>
      </c>
      <c r="EG7">
        <v>26.103290992647057</v>
      </c>
      <c r="EH7" t="s">
        <v>683</v>
      </c>
      <c r="EI7">
        <v>0</v>
      </c>
      <c r="EJ7">
        <v>0</v>
      </c>
      <c r="EK7" s="8">
        <v>45470</v>
      </c>
      <c r="EL7" s="13">
        <v>-0.5</v>
      </c>
      <c r="EM7" s="13">
        <v>-2.57</v>
      </c>
      <c r="EN7" s="13">
        <v>0.79</v>
      </c>
      <c r="EO7" s="13">
        <v>3.14</v>
      </c>
      <c r="EP7" s="13">
        <v>-2.79</v>
      </c>
    </row>
    <row r="8" spans="1:146" ht="132" x14ac:dyDescent="0.25">
      <c r="A8" s="6"/>
      <c r="B8" s="6"/>
      <c r="C8" s="6" t="str">
        <f>"公司主营业务为快递物流综合服务。公司主要产品服务为快递物流综合服务。 "&amp;CHAR(10)&amp;Basic_Fundamental_Information_Constructure(F8)&amp;CHAR(10)&amp;Basic_Fundamental_Information_Concatenate("快递服务收入 394.32亿 94.50% 85.47% 8.19%
其他收入 21.80亿 5.22% 13.12% 22.75%
物料销售收入 1.17亿 0.28% 1.41% 45.29%")</f>
        <v>公司主营业务为快递物流综合服务。公司主要产品服务为快递物流综合服务。 
市值209.90169亿, 利润16.25亿; PE12.5; 平均PE11.13; 平均PEG.31, PB1.09; ROIC6.16%; ROE8.4633%; 股利率2.3481%; 毛利9.2433%; 净利3.4767%; 上一年度营收增-5.17%, 利润增9.58%; 当季营收增6.5%, 利润增14.9%; 过往5年营收增35.75%, 利润增-6.74%
Income profile:
快递服务收入 394.32亿 94.50% 85.47% 8.19%
其他收入 21.80亿 5.22% 13.12% 22.75%
物料销售收入 1.17亿 0.28% 1.41% 45.29%</v>
      </c>
      <c r="D8" t="s">
        <v>50</v>
      </c>
      <c r="E8" t="s">
        <v>21</v>
      </c>
      <c r="F8">
        <v>7.24</v>
      </c>
      <c r="G8">
        <v>0</v>
      </c>
      <c r="H8" t="s">
        <v>1297</v>
      </c>
      <c r="I8">
        <v>20990169000</v>
      </c>
      <c r="J8">
        <v>12.5</v>
      </c>
      <c r="K8">
        <v>1.0900000000000001</v>
      </c>
      <c r="L8" t="s">
        <v>47</v>
      </c>
      <c r="M8" t="s">
        <v>790</v>
      </c>
      <c r="N8" t="s">
        <v>1298</v>
      </c>
      <c r="O8" t="s">
        <v>791</v>
      </c>
      <c r="P8">
        <v>6.5</v>
      </c>
      <c r="Q8" t="s">
        <v>792</v>
      </c>
      <c r="R8">
        <v>412474420</v>
      </c>
      <c r="S8" s="5">
        <v>0.1502</v>
      </c>
      <c r="T8" t="s">
        <v>793</v>
      </c>
      <c r="U8">
        <v>2815123300</v>
      </c>
      <c r="V8">
        <v>2899194700</v>
      </c>
      <c r="W8">
        <v>1.91</v>
      </c>
      <c r="X8">
        <v>0.28999999999999998</v>
      </c>
      <c r="Y8">
        <v>3.76</v>
      </c>
      <c r="Z8" t="s">
        <v>1299</v>
      </c>
      <c r="AA8" t="s">
        <v>1300</v>
      </c>
      <c r="AB8" t="s">
        <v>1301</v>
      </c>
      <c r="AC8" t="s">
        <v>881</v>
      </c>
      <c r="AD8" t="s">
        <v>31</v>
      </c>
      <c r="AE8">
        <v>66336006</v>
      </c>
      <c r="AF8" t="s">
        <v>794</v>
      </c>
      <c r="AG8" t="s">
        <v>1302</v>
      </c>
      <c r="AH8" t="s">
        <v>795</v>
      </c>
      <c r="AI8" t="s">
        <v>1303</v>
      </c>
      <c r="AJ8" t="s">
        <v>796</v>
      </c>
      <c r="AK8" t="s">
        <v>1304</v>
      </c>
      <c r="AL8" t="s">
        <v>797</v>
      </c>
      <c r="AM8" t="s">
        <v>31</v>
      </c>
      <c r="AN8" t="s">
        <v>1305</v>
      </c>
      <c r="AO8" t="s">
        <v>1306</v>
      </c>
      <c r="AP8" t="s">
        <v>483</v>
      </c>
      <c r="AQ8" t="s">
        <v>1307</v>
      </c>
      <c r="AR8" t="s">
        <v>1308</v>
      </c>
      <c r="AS8" t="s">
        <v>1309</v>
      </c>
      <c r="AT8" t="s">
        <v>1310</v>
      </c>
      <c r="AU8" t="s">
        <v>1311</v>
      </c>
      <c r="AV8" t="s">
        <v>1312</v>
      </c>
      <c r="AW8" t="s">
        <v>1313</v>
      </c>
      <c r="AX8" t="s">
        <v>597</v>
      </c>
      <c r="AY8" t="s">
        <v>599</v>
      </c>
      <c r="AZ8" t="s">
        <v>197</v>
      </c>
      <c r="BA8" t="s">
        <v>51</v>
      </c>
      <c r="BB8" t="s">
        <v>199</v>
      </c>
      <c r="BC8" t="s">
        <v>494</v>
      </c>
      <c r="BD8" t="s">
        <v>600</v>
      </c>
      <c r="BE8" t="s">
        <v>198</v>
      </c>
      <c r="BF8" t="s">
        <v>52</v>
      </c>
      <c r="BG8" t="s">
        <v>200</v>
      </c>
      <c r="BH8" t="s">
        <v>792</v>
      </c>
      <c r="BI8" t="s">
        <v>799</v>
      </c>
      <c r="BJ8" t="s">
        <v>597</v>
      </c>
      <c r="BK8" t="s">
        <v>793</v>
      </c>
      <c r="BL8" t="s">
        <v>800</v>
      </c>
      <c r="BM8" t="s">
        <v>494</v>
      </c>
      <c r="BN8">
        <v>4.75</v>
      </c>
      <c r="BO8">
        <v>6.56</v>
      </c>
      <c r="BP8">
        <v>7.17</v>
      </c>
      <c r="BQ8">
        <v>6.58</v>
      </c>
      <c r="BR8">
        <v>9.0299999999999994</v>
      </c>
      <c r="BS8">
        <v>9.7799999999999994</v>
      </c>
      <c r="BT8" t="s">
        <v>801</v>
      </c>
      <c r="BU8" t="s">
        <v>47</v>
      </c>
      <c r="BV8">
        <v>9.5500000000000007</v>
      </c>
      <c r="BW8">
        <v>9.1300000000000008</v>
      </c>
      <c r="BX8">
        <v>9.0500000000000007</v>
      </c>
      <c r="BY8">
        <v>3.67</v>
      </c>
      <c r="BZ8">
        <v>3.17</v>
      </c>
      <c r="CA8">
        <v>3.59</v>
      </c>
      <c r="CB8">
        <v>-6.46</v>
      </c>
      <c r="CC8">
        <v>-21.05</v>
      </c>
      <c r="CD8" t="s">
        <v>1314</v>
      </c>
      <c r="CE8" t="s">
        <v>1315</v>
      </c>
      <c r="CF8" s="9">
        <v>6.5011933174224337E-2</v>
      </c>
      <c r="CG8" s="10">
        <v>0.14895381615598885</v>
      </c>
      <c r="CH8" s="9">
        <v>-5.1671739667654037E-2</v>
      </c>
      <c r="CI8" s="9">
        <v>0.13652479648590088</v>
      </c>
      <c r="CJ8" s="9">
        <v>0.24585072696208954</v>
      </c>
      <c r="CK8" s="9">
        <v>-2.6275999844074249E-2</v>
      </c>
      <c r="CL8" s="9">
        <v>1.4829676151275635</v>
      </c>
      <c r="CM8" s="10">
        <v>9.5751762390136719E-2</v>
      </c>
      <c r="CN8" s="10">
        <v>1.6449622809886932E-2</v>
      </c>
      <c r="CO8" s="10">
        <v>3.9173834025859833E-2</v>
      </c>
      <c r="CP8" s="10">
        <v>-0.46958822011947632</v>
      </c>
      <c r="CQ8" s="10">
        <v>-1.8902821466326714E-2</v>
      </c>
      <c r="CR8">
        <v>11.129463944856839</v>
      </c>
      <c r="CS8">
        <v>0.3113318953010078</v>
      </c>
      <c r="CT8">
        <v>2.3480662983425411</v>
      </c>
      <c r="CU8" s="9">
        <v>0.35747907981276511</v>
      </c>
      <c r="CV8" s="10">
        <v>-6.7423164471983904E-2</v>
      </c>
      <c r="CW8">
        <v>0.06</v>
      </c>
      <c r="CX8">
        <v>9.6289158137629691</v>
      </c>
      <c r="CY8">
        <v>2081041042.1657956</v>
      </c>
      <c r="CZ8">
        <v>0.35747907981276511</v>
      </c>
      <c r="DA8">
        <v>2.5272230309897177</v>
      </c>
      <c r="DB8">
        <v>7928927820.8867073</v>
      </c>
      <c r="DC8">
        <v>0.33960512582212682</v>
      </c>
      <c r="DD8">
        <v>0.90517292576254804</v>
      </c>
      <c r="DE8">
        <v>22137393231.37529</v>
      </c>
      <c r="DF8">
        <v>0.3145815902352333</v>
      </c>
      <c r="DG8">
        <v>0.36683667276076942</v>
      </c>
      <c r="DH8">
        <v>54624225133.204674</v>
      </c>
      <c r="DI8">
        <v>0.28598326385021211</v>
      </c>
      <c r="DJ8">
        <v>7.1760593545453305E-2</v>
      </c>
      <c r="DK8">
        <v>279236388803.10797</v>
      </c>
      <c r="DL8">
        <v>0.25023535586893558</v>
      </c>
      <c r="DM8">
        <v>1625000000</v>
      </c>
      <c r="DN8">
        <v>0.35747907981276511</v>
      </c>
      <c r="DO8">
        <v>20038169000</v>
      </c>
      <c r="DP8">
        <v>3977730000</v>
      </c>
      <c r="DQ8">
        <v>632</v>
      </c>
      <c r="DR8">
        <v>-0.29246714663854079</v>
      </c>
      <c r="DS8">
        <v>0.21637698062797275</v>
      </c>
      <c r="DT8" s="11">
        <v>-0.10666666666666669</v>
      </c>
      <c r="DU8">
        <v>-0.11666666666666665</v>
      </c>
      <c r="DV8">
        <v>-0.22333333333333333</v>
      </c>
      <c r="DW8">
        <v>-9.3068883610451305</v>
      </c>
      <c r="DX8">
        <v>0.27960271999999964</v>
      </c>
      <c r="DY8">
        <v>-9.036704682717339</v>
      </c>
      <c r="DZ8">
        <v>2247</v>
      </c>
      <c r="EA8">
        <v>-9.0205646783991664</v>
      </c>
      <c r="EB8">
        <v>9</v>
      </c>
      <c r="EC8">
        <v>2.8877639711468842E-2</v>
      </c>
      <c r="ED8">
        <v>0.24144635750058455</v>
      </c>
      <c r="EE8" s="12">
        <v>2.0188999999999999</v>
      </c>
      <c r="EF8">
        <v>2.01641</v>
      </c>
      <c r="EG8">
        <v>16.11960272</v>
      </c>
      <c r="EH8" t="s">
        <v>716</v>
      </c>
      <c r="EI8">
        <v>0</v>
      </c>
      <c r="EJ8">
        <v>0</v>
      </c>
      <c r="EK8" s="8">
        <v>45470</v>
      </c>
      <c r="EL8" s="13">
        <v>-0.13</v>
      </c>
      <c r="EM8" s="13">
        <v>-0.26</v>
      </c>
      <c r="EN8" s="13">
        <v>2.77</v>
      </c>
      <c r="EO8" s="13">
        <v>1.79</v>
      </c>
      <c r="EP8" s="13">
        <v>-3.53</v>
      </c>
    </row>
    <row r="9" spans="1:146" ht="120" x14ac:dyDescent="0.25">
      <c r="A9" s="6" t="s">
        <v>582</v>
      </c>
      <c r="B9" s="6" t="s">
        <v>583</v>
      </c>
      <c r="C9" s="6" t="str">
        <f>"公司现主营业务为综合性快递物流服务。"&amp;CHAR(10)&amp;Basic_Fundamental_Information_Constructure(F9)&amp;CHAR(10)&amp;Basic_Fundamental_Information_Concatenate("物流及货运代理 2620.80亿 97.98% 97.46% 12.43%
销售商品 39.00亿 1.46% 1.42% 12.13%
其他业务 15.11亿 0.56% 1.12% 24.77%")</f>
        <v>公司现主营业务为综合性快递物流服务。
市值1885.632亿, 利润82.34亿; PE22.38; 平均PE31.12; 平均PEG1.29, PB2.07; ROIC4.2133%; ROE6.29%; 股利率1.5576%; 毛利12.6167%; 净利2.56%; 上一年度营收增-3.39%, 利润增33.37%; 当季营收增7.03%, 利润增11.14%; 过往5年营收增24.18%, 利润增17.98%
Income profile:
物流及货运代理 2620.80亿 97.98% 97.46% 12.43%
销售商品 39.00亿 1.46% 1.42% 12.13%
其他业务 15.11亿 0.56% 1.12% 24.77%</v>
      </c>
      <c r="D9" t="s">
        <v>58</v>
      </c>
      <c r="E9" t="s">
        <v>10</v>
      </c>
      <c r="F9">
        <v>38.520000000000003</v>
      </c>
      <c r="G9">
        <v>0</v>
      </c>
      <c r="H9" t="s">
        <v>1164</v>
      </c>
      <c r="I9">
        <v>188563200000</v>
      </c>
      <c r="J9">
        <v>22.38</v>
      </c>
      <c r="K9">
        <v>2.0699999999999998</v>
      </c>
      <c r="L9" t="s">
        <v>47</v>
      </c>
      <c r="M9" t="s">
        <v>804</v>
      </c>
      <c r="N9" t="s">
        <v>805</v>
      </c>
      <c r="O9" t="s">
        <v>806</v>
      </c>
      <c r="P9">
        <v>-3.39</v>
      </c>
      <c r="Q9" t="s">
        <v>807</v>
      </c>
      <c r="R9">
        <v>1911636000</v>
      </c>
      <c r="S9" s="5">
        <v>0.1114</v>
      </c>
      <c r="T9" t="s">
        <v>808</v>
      </c>
      <c r="U9">
        <v>4867816300</v>
      </c>
      <c r="V9">
        <v>4895202400</v>
      </c>
      <c r="W9">
        <v>2.14</v>
      </c>
      <c r="X9">
        <v>1.18</v>
      </c>
      <c r="Y9">
        <v>3.06</v>
      </c>
      <c r="Z9" t="s">
        <v>809</v>
      </c>
      <c r="AA9" t="s">
        <v>810</v>
      </c>
      <c r="AB9" t="s">
        <v>811</v>
      </c>
      <c r="AC9" t="s">
        <v>812</v>
      </c>
      <c r="AD9" t="s">
        <v>813</v>
      </c>
      <c r="AE9">
        <v>439726000</v>
      </c>
      <c r="AF9" t="s">
        <v>814</v>
      </c>
      <c r="AG9" t="s">
        <v>422</v>
      </c>
      <c r="AH9" t="s">
        <v>815</v>
      </c>
      <c r="AI9" t="s">
        <v>816</v>
      </c>
      <c r="AJ9" t="s">
        <v>817</v>
      </c>
      <c r="AK9" t="s">
        <v>818</v>
      </c>
      <c r="AL9" t="s">
        <v>819</v>
      </c>
      <c r="AM9" t="s">
        <v>31</v>
      </c>
      <c r="AN9" t="s">
        <v>820</v>
      </c>
      <c r="AO9" t="s">
        <v>821</v>
      </c>
      <c r="AP9" t="s">
        <v>822</v>
      </c>
      <c r="AQ9" t="s">
        <v>823</v>
      </c>
      <c r="AR9" t="s">
        <v>824</v>
      </c>
      <c r="AS9" t="s">
        <v>825</v>
      </c>
      <c r="AT9" t="s">
        <v>826</v>
      </c>
      <c r="AU9" t="s">
        <v>827</v>
      </c>
      <c r="AV9" t="s">
        <v>828</v>
      </c>
      <c r="AW9" t="s">
        <v>829</v>
      </c>
      <c r="AX9" t="s">
        <v>601</v>
      </c>
      <c r="AY9" t="s">
        <v>407</v>
      </c>
      <c r="AZ9" t="s">
        <v>202</v>
      </c>
      <c r="BA9" t="s">
        <v>59</v>
      </c>
      <c r="BB9" t="s">
        <v>204</v>
      </c>
      <c r="BC9" t="s">
        <v>602</v>
      </c>
      <c r="BD9" t="s">
        <v>408</v>
      </c>
      <c r="BE9" t="s">
        <v>203</v>
      </c>
      <c r="BF9" t="s">
        <v>60</v>
      </c>
      <c r="BG9" t="s">
        <v>205</v>
      </c>
      <c r="BH9" t="s">
        <v>807</v>
      </c>
      <c r="BI9" t="s">
        <v>830</v>
      </c>
      <c r="BJ9" t="s">
        <v>601</v>
      </c>
      <c r="BK9" t="s">
        <v>808</v>
      </c>
      <c r="BL9" t="s">
        <v>831</v>
      </c>
      <c r="BM9" t="s">
        <v>602</v>
      </c>
      <c r="BN9">
        <v>2.91</v>
      </c>
      <c r="BO9">
        <v>5.52</v>
      </c>
      <c r="BP9">
        <v>4.21</v>
      </c>
      <c r="BQ9">
        <v>4.72</v>
      </c>
      <c r="BR9">
        <v>7.34</v>
      </c>
      <c r="BS9">
        <v>6.81</v>
      </c>
      <c r="BT9" t="s">
        <v>770</v>
      </c>
      <c r="BU9" t="s">
        <v>47</v>
      </c>
      <c r="BV9">
        <v>12.99</v>
      </c>
      <c r="BW9">
        <v>12.49</v>
      </c>
      <c r="BX9">
        <v>12.37</v>
      </c>
      <c r="BY9">
        <v>3.17</v>
      </c>
      <c r="BZ9">
        <v>2.62</v>
      </c>
      <c r="CA9">
        <v>1.89</v>
      </c>
      <c r="CB9">
        <v>5.88</v>
      </c>
      <c r="CC9">
        <v>12.5</v>
      </c>
      <c r="CD9" t="s">
        <v>469</v>
      </c>
      <c r="CE9" t="s">
        <v>1165</v>
      </c>
      <c r="CF9" s="9">
        <v>7.0321714061066701E-2</v>
      </c>
      <c r="CG9" s="10">
        <v>0.11141627906976745</v>
      </c>
      <c r="CH9" s="9">
        <v>-3.394891694188118E-2</v>
      </c>
      <c r="CI9" s="9">
        <v>0.29105588793754578</v>
      </c>
      <c r="CJ9" s="9">
        <v>0.34548366069793701</v>
      </c>
      <c r="CK9" s="9">
        <v>0.37251880764961243</v>
      </c>
      <c r="CL9" s="9">
        <v>0.2336629331111908</v>
      </c>
      <c r="CM9" s="10">
        <v>0.33365723490715027</v>
      </c>
      <c r="CN9" s="10">
        <v>0.44624039530754089</v>
      </c>
      <c r="CO9" s="10">
        <v>-0.41728094220161438</v>
      </c>
      <c r="CP9" s="10">
        <v>0.26375710964202881</v>
      </c>
      <c r="CQ9" s="10">
        <v>0.2723880410194397</v>
      </c>
      <c r="CR9">
        <v>31.119463087248324</v>
      </c>
      <c r="CS9">
        <v>1.2872342136700414</v>
      </c>
      <c r="CT9">
        <v>1.557632398753894</v>
      </c>
      <c r="CU9" s="9">
        <v>0.24175447449088097</v>
      </c>
      <c r="CV9" s="10">
        <v>0.17975236773490905</v>
      </c>
      <c r="CW9">
        <v>0.06</v>
      </c>
      <c r="CX9">
        <v>21.095714080822077</v>
      </c>
      <c r="CY9">
        <v>9645855040.5263348</v>
      </c>
      <c r="CZ9">
        <v>0.24175447449088097</v>
      </c>
      <c r="DA9">
        <v>6.0765107906244777</v>
      </c>
      <c r="DB9">
        <v>33487342820.811134</v>
      </c>
      <c r="DC9">
        <v>0.22966675076633691</v>
      </c>
      <c r="DD9">
        <v>2.5045960603640265</v>
      </c>
      <c r="DE9">
        <v>81245117015.166367</v>
      </c>
      <c r="DF9">
        <v>0.21274393755197527</v>
      </c>
      <c r="DG9">
        <v>1.215888868302611</v>
      </c>
      <c r="DH9">
        <v>167355919858.09369</v>
      </c>
      <c r="DI9">
        <v>0.19340357959270479</v>
      </c>
      <c r="DJ9">
        <v>0.37785068600334215</v>
      </c>
      <c r="DK9">
        <v>538536007840.40955</v>
      </c>
      <c r="DL9">
        <v>0.16922813214361668</v>
      </c>
      <c r="DM9">
        <v>8234000000</v>
      </c>
      <c r="DN9">
        <v>0.24175447449088097</v>
      </c>
      <c r="DO9">
        <v>203486200000</v>
      </c>
      <c r="DP9">
        <v>21238727000</v>
      </c>
      <c r="DQ9">
        <v>862</v>
      </c>
      <c r="DR9">
        <v>-0.17143276042981426</v>
      </c>
      <c r="DS9">
        <v>-6.8336088665141598E-2</v>
      </c>
      <c r="DT9" s="11">
        <v>5.9999999999999908E-2</v>
      </c>
      <c r="DU9">
        <v>0.39999999999999997</v>
      </c>
      <c r="DV9">
        <v>0.45999999999999985</v>
      </c>
      <c r="DW9">
        <v>8.4703999999999997</v>
      </c>
      <c r="DX9">
        <v>0.33329073482428073</v>
      </c>
      <c r="DY9">
        <v>8.0909239616613426</v>
      </c>
      <c r="DZ9">
        <v>770</v>
      </c>
      <c r="EA9">
        <v>8.0772364835617854</v>
      </c>
      <c r="EB9">
        <v>8</v>
      </c>
      <c r="EC9">
        <v>2.4718079072685535E-2</v>
      </c>
      <c r="ED9">
        <v>0.1278803099132326</v>
      </c>
      <c r="EE9" s="12">
        <v>-2.0339100000000001</v>
      </c>
      <c r="EF9">
        <v>-2.0339100000000001</v>
      </c>
      <c r="EG9">
        <v>14.193290734824281</v>
      </c>
      <c r="EH9" t="s">
        <v>683</v>
      </c>
      <c r="EI9">
        <v>0</v>
      </c>
      <c r="EJ9">
        <v>1</v>
      </c>
      <c r="EK9" s="8">
        <v>45435</v>
      </c>
      <c r="EL9" s="13">
        <v>4.34</v>
      </c>
      <c r="EM9" s="13">
        <v>0.87</v>
      </c>
      <c r="EN9" s="13">
        <v>2.0099999999999998</v>
      </c>
      <c r="EO9" s="13">
        <v>-1.38</v>
      </c>
      <c r="EP9" s="13">
        <v>0</v>
      </c>
    </row>
    <row r="10" spans="1:146" ht="96" x14ac:dyDescent="0.25">
      <c r="A10" s="6"/>
      <c r="B10" s="6"/>
      <c r="C10" s="6" t="str">
        <f>""&amp;CHAR(10)&amp;Basic_Fundamental_Information_Constructure(F10)&amp;CHAR(10)&amp;Basic_Fundamental_Information_Concatenate("")</f>
        <v xml:space="preserve">
市值122.311093亿, 利润3.41亿; PE30.72; 平均PE22.84; 平均PEG1.13, PB1.36; ROIC2.525%; ROE-1.56%; 股利率.2503%; 毛利3.63%; 净利-.6633%; 上一年度营收增21.54%, 利润增18.4%; 当季营收增15.87%, 利润增43.07%; 过往5年营收增20.22%, 利润增-516.17%
Income profile:
</v>
      </c>
      <c r="D10" t="s">
        <v>62</v>
      </c>
      <c r="E10" t="s">
        <v>26</v>
      </c>
      <c r="F10">
        <v>7.99</v>
      </c>
      <c r="G10">
        <v>0.13</v>
      </c>
      <c r="H10" t="s">
        <v>1316</v>
      </c>
      <c r="I10">
        <v>12231109300</v>
      </c>
      <c r="J10">
        <v>30.72</v>
      </c>
      <c r="K10">
        <v>1.36</v>
      </c>
      <c r="L10" t="s">
        <v>47</v>
      </c>
      <c r="M10" t="s">
        <v>832</v>
      </c>
      <c r="N10" t="s">
        <v>1317</v>
      </c>
      <c r="O10" t="s">
        <v>833</v>
      </c>
      <c r="P10">
        <v>15.87</v>
      </c>
      <c r="Q10" t="s">
        <v>834</v>
      </c>
      <c r="R10">
        <v>190286500</v>
      </c>
      <c r="S10" s="5">
        <v>0.432</v>
      </c>
      <c r="T10" t="s">
        <v>643</v>
      </c>
      <c r="U10">
        <v>1492045700</v>
      </c>
      <c r="V10">
        <v>1530802200</v>
      </c>
      <c r="W10">
        <v>2.64</v>
      </c>
      <c r="X10">
        <v>0.44</v>
      </c>
      <c r="Y10">
        <v>1.85</v>
      </c>
      <c r="Z10" t="s">
        <v>1318</v>
      </c>
      <c r="AA10" t="s">
        <v>1319</v>
      </c>
      <c r="AB10" t="s">
        <v>1320</v>
      </c>
      <c r="AC10" t="s">
        <v>492</v>
      </c>
      <c r="AD10" t="s">
        <v>31</v>
      </c>
      <c r="AE10">
        <v>55028512</v>
      </c>
      <c r="AF10" t="s">
        <v>835</v>
      </c>
      <c r="AG10" t="s">
        <v>1321</v>
      </c>
      <c r="AH10" t="s">
        <v>836</v>
      </c>
      <c r="AI10" t="s">
        <v>1322</v>
      </c>
      <c r="AJ10" t="s">
        <v>838</v>
      </c>
      <c r="AK10" t="s">
        <v>31</v>
      </c>
      <c r="AL10" t="s">
        <v>839</v>
      </c>
      <c r="AM10" t="s">
        <v>31</v>
      </c>
      <c r="AN10" t="s">
        <v>689</v>
      </c>
      <c r="AO10" t="s">
        <v>1323</v>
      </c>
      <c r="AP10" t="s">
        <v>31</v>
      </c>
      <c r="AQ10" t="s">
        <v>1324</v>
      </c>
      <c r="AR10" t="s">
        <v>1325</v>
      </c>
      <c r="AS10" t="s">
        <v>1326</v>
      </c>
      <c r="AT10" t="s">
        <v>1327</v>
      </c>
      <c r="AU10" t="s">
        <v>1193</v>
      </c>
      <c r="AV10" t="s">
        <v>1328</v>
      </c>
      <c r="AW10" t="s">
        <v>1329</v>
      </c>
      <c r="AX10" t="s">
        <v>604</v>
      </c>
      <c r="AY10" t="s">
        <v>409</v>
      </c>
      <c r="AZ10" t="s">
        <v>206</v>
      </c>
      <c r="BA10" t="s">
        <v>63</v>
      </c>
      <c r="BB10" t="s">
        <v>210</v>
      </c>
      <c r="BC10" t="s">
        <v>239</v>
      </c>
      <c r="BD10" t="s">
        <v>410</v>
      </c>
      <c r="BE10" t="s">
        <v>207</v>
      </c>
      <c r="BF10" t="s">
        <v>64</v>
      </c>
      <c r="BG10" t="s">
        <v>211</v>
      </c>
      <c r="BH10" t="s">
        <v>834</v>
      </c>
      <c r="BI10" t="s">
        <v>841</v>
      </c>
      <c r="BJ10" t="s">
        <v>604</v>
      </c>
      <c r="BK10" t="s">
        <v>643</v>
      </c>
      <c r="BL10" t="s">
        <v>588</v>
      </c>
      <c r="BM10" t="s">
        <v>239</v>
      </c>
      <c r="BN10">
        <v>2.39</v>
      </c>
      <c r="BO10">
        <v>2.66</v>
      </c>
      <c r="BP10" t="s">
        <v>31</v>
      </c>
      <c r="BQ10">
        <v>2.68</v>
      </c>
      <c r="BR10">
        <v>3.6</v>
      </c>
      <c r="BS10">
        <v>-10.96</v>
      </c>
      <c r="BT10" t="s">
        <v>571</v>
      </c>
      <c r="BU10" t="s">
        <v>47</v>
      </c>
      <c r="BV10">
        <v>4.18</v>
      </c>
      <c r="BW10">
        <v>4.38</v>
      </c>
      <c r="BX10">
        <v>2.33</v>
      </c>
      <c r="BY10">
        <v>0.81</v>
      </c>
      <c r="BZ10">
        <v>0.81</v>
      </c>
      <c r="CA10">
        <v>-3.61</v>
      </c>
      <c r="CB10">
        <v>-4.88</v>
      </c>
      <c r="CC10">
        <v>-18.55</v>
      </c>
      <c r="CD10" t="s">
        <v>1330</v>
      </c>
      <c r="CE10" t="s">
        <v>1331</v>
      </c>
      <c r="CF10" s="9">
        <v>0.15873741994510521</v>
      </c>
      <c r="CG10" s="10">
        <v>0.43072556390977446</v>
      </c>
      <c r="CH10" s="9">
        <v>0.21540792286396027</v>
      </c>
      <c r="CI10" s="9">
        <v>0.33324095606803894</v>
      </c>
      <c r="CJ10" s="9">
        <v>0.1710563451051712</v>
      </c>
      <c r="CK10" s="9">
        <v>-6.5962202847003937E-2</v>
      </c>
      <c r="CL10" s="9">
        <v>0.35713866353034973</v>
      </c>
      <c r="CM10" s="10">
        <v>0.1840277761220932</v>
      </c>
      <c r="CN10" s="10">
        <v>1.3168315887451172</v>
      </c>
      <c r="CO10" s="10">
        <v>-26.022502899169922</v>
      </c>
      <c r="CP10" s="10">
        <v>-0.97419935464859009</v>
      </c>
      <c r="CQ10" s="10">
        <v>-0.31283551454544067</v>
      </c>
      <c r="CR10">
        <v>22.838213772994738</v>
      </c>
      <c r="CS10">
        <v>1.1296185358877553</v>
      </c>
      <c r="CT10">
        <v>0.25031289111389238</v>
      </c>
      <c r="CU10" s="9">
        <v>0.20217633694410325</v>
      </c>
      <c r="CV10" s="10">
        <v>-5.1617356806993486</v>
      </c>
      <c r="CW10">
        <v>0.06</v>
      </c>
      <c r="CX10">
        <v>44.368837665354093</v>
      </c>
      <c r="CY10">
        <v>386737859.33767843</v>
      </c>
      <c r="CZ10">
        <v>0.20217633694410325</v>
      </c>
      <c r="DA10">
        <v>13.201870458754682</v>
      </c>
      <c r="DB10">
        <v>1299748346.5398736</v>
      </c>
      <c r="DC10">
        <v>0.19206752009689809</v>
      </c>
      <c r="DD10">
        <v>5.7047727308583065</v>
      </c>
      <c r="DE10">
        <v>3007851514.7821393</v>
      </c>
      <c r="DF10">
        <v>0.17791517651081087</v>
      </c>
      <c r="DG10">
        <v>2.9368253996935998</v>
      </c>
      <c r="DH10">
        <v>5842740702.8658285</v>
      </c>
      <c r="DI10">
        <v>0.16174106955528261</v>
      </c>
      <c r="DJ10">
        <v>1.0565624709464772</v>
      </c>
      <c r="DK10">
        <v>16240506143.123493</v>
      </c>
      <c r="DL10">
        <v>0.14152343586087227</v>
      </c>
      <c r="DM10">
        <v>341000000</v>
      </c>
      <c r="DN10">
        <v>0.20217633694410325</v>
      </c>
      <c r="DO10">
        <v>17159109300</v>
      </c>
      <c r="DP10">
        <v>-3800941000</v>
      </c>
      <c r="DQ10">
        <v>968</v>
      </c>
      <c r="DR10">
        <v>-4.3438916998998045E-2</v>
      </c>
      <c r="DS10">
        <v>5.5924612446091233</v>
      </c>
      <c r="DT10" s="11">
        <v>0.10999999999999995</v>
      </c>
      <c r="DU10">
        <v>-0.10999999999999995</v>
      </c>
      <c r="DV10">
        <v>0</v>
      </c>
      <c r="DW10">
        <v>-8.2630727762803229</v>
      </c>
      <c r="DX10">
        <v>0.29321737804878001</v>
      </c>
      <c r="DY10">
        <v>-8.0350458654920782</v>
      </c>
      <c r="DZ10">
        <v>1708</v>
      </c>
      <c r="EA10">
        <v>-8.0233319049714389</v>
      </c>
      <c r="EB10">
        <v>8</v>
      </c>
      <c r="EC10">
        <v>2.8544053568775901E-2</v>
      </c>
      <c r="ED10">
        <v>0.21426674197358744</v>
      </c>
      <c r="EE10" s="12">
        <v>-1.0579000000000001</v>
      </c>
      <c r="EF10">
        <v>-1.0358000000000001</v>
      </c>
      <c r="EG10">
        <v>16.13321737804878</v>
      </c>
      <c r="EH10" t="s">
        <v>473</v>
      </c>
      <c r="EI10">
        <v>0</v>
      </c>
      <c r="EJ10">
        <v>0</v>
      </c>
      <c r="EK10" s="8">
        <v>45470</v>
      </c>
      <c r="EL10" s="13">
        <v>-0.23</v>
      </c>
      <c r="EM10" s="13">
        <v>-2.56</v>
      </c>
      <c r="EN10" s="13">
        <v>1.07</v>
      </c>
      <c r="EO10" s="13">
        <v>1.18</v>
      </c>
      <c r="EP10" s="13">
        <v>-2.21</v>
      </c>
    </row>
    <row r="11" spans="1:146" ht="96" x14ac:dyDescent="0.25">
      <c r="A11" s="6"/>
      <c r="B11" s="6"/>
      <c r="C11" s="6" t="str">
        <f>""&amp;CHAR(10)&amp;Basic_Fundamental_Information_Constructure(F11)&amp;CHAR(10)&amp;Basic_Fundamental_Information_Concatenate("")</f>
        <v xml:space="preserve">
市值18.2655亿, 利润1.16亿; PE15.97; 平均PE19.22; 平均PEG1.95, PB1.08; ROIC6.4733%; ROE7.2533%; 股利率2.6608%; 毛利48.8967%; 净利30.2933%; 上一年度营收增-1.99%, 利润增-7.94%; 当季营收增-4.82%, 利润增-4.59%; 过往5年营收增9.85%, 利润增19.76%
Income profile:
</v>
      </c>
      <c r="D11" t="s">
        <v>66</v>
      </c>
      <c r="E11" t="s">
        <v>12</v>
      </c>
      <c r="F11">
        <v>4.51</v>
      </c>
      <c r="G11">
        <v>0.22</v>
      </c>
      <c r="H11" t="s">
        <v>1332</v>
      </c>
      <c r="I11">
        <v>1826550000</v>
      </c>
      <c r="J11">
        <v>15.97</v>
      </c>
      <c r="K11">
        <v>1.08</v>
      </c>
      <c r="L11" t="s">
        <v>47</v>
      </c>
      <c r="M11" t="s">
        <v>842</v>
      </c>
      <c r="N11" t="s">
        <v>1333</v>
      </c>
      <c r="O11" t="s">
        <v>843</v>
      </c>
      <c r="P11">
        <v>-4.82</v>
      </c>
      <c r="Q11" t="s">
        <v>92</v>
      </c>
      <c r="R11">
        <v>24525475</v>
      </c>
      <c r="S11" s="5">
        <v>-4.5900000000000003E-2</v>
      </c>
      <c r="T11" t="s">
        <v>622</v>
      </c>
      <c r="U11">
        <v>398137500</v>
      </c>
      <c r="V11">
        <v>405000000</v>
      </c>
      <c r="W11">
        <v>1.2</v>
      </c>
      <c r="X11">
        <v>0.05</v>
      </c>
      <c r="Y11">
        <v>26.04</v>
      </c>
      <c r="Z11" t="s">
        <v>1334</v>
      </c>
      <c r="AA11" t="s">
        <v>1335</v>
      </c>
      <c r="AB11" t="s">
        <v>31</v>
      </c>
      <c r="AC11" t="s">
        <v>1336</v>
      </c>
      <c r="AD11" t="s">
        <v>31</v>
      </c>
      <c r="AE11">
        <v>2056394</v>
      </c>
      <c r="AF11" t="s">
        <v>844</v>
      </c>
      <c r="AG11" t="s">
        <v>1337</v>
      </c>
      <c r="AH11" t="s">
        <v>845</v>
      </c>
      <c r="AI11" t="s">
        <v>587</v>
      </c>
      <c r="AJ11" t="s">
        <v>846</v>
      </c>
      <c r="AK11" t="s">
        <v>1338</v>
      </c>
      <c r="AL11" t="s">
        <v>847</v>
      </c>
      <c r="AM11" t="s">
        <v>31</v>
      </c>
      <c r="AN11" t="s">
        <v>1339</v>
      </c>
      <c r="AO11" t="s">
        <v>907</v>
      </c>
      <c r="AP11" t="s">
        <v>31</v>
      </c>
      <c r="AQ11" t="s">
        <v>1340</v>
      </c>
      <c r="AR11" t="s">
        <v>1341</v>
      </c>
      <c r="AS11" t="s">
        <v>712</v>
      </c>
      <c r="AT11" t="s">
        <v>1342</v>
      </c>
      <c r="AU11" t="s">
        <v>1343</v>
      </c>
      <c r="AV11" t="s">
        <v>1344</v>
      </c>
      <c r="AW11" t="s">
        <v>1345</v>
      </c>
      <c r="AX11" t="s">
        <v>605</v>
      </c>
      <c r="AY11" t="s">
        <v>355</v>
      </c>
      <c r="AZ11" t="s">
        <v>208</v>
      </c>
      <c r="BA11" t="s">
        <v>68</v>
      </c>
      <c r="BB11" t="s">
        <v>212</v>
      </c>
      <c r="BC11" t="s">
        <v>433</v>
      </c>
      <c r="BD11" t="s">
        <v>384</v>
      </c>
      <c r="BE11" t="s">
        <v>73</v>
      </c>
      <c r="BF11" t="s">
        <v>69</v>
      </c>
      <c r="BG11" t="s">
        <v>213</v>
      </c>
      <c r="BH11" t="s">
        <v>92</v>
      </c>
      <c r="BI11" t="s">
        <v>848</v>
      </c>
      <c r="BJ11" t="s">
        <v>605</v>
      </c>
      <c r="BK11" t="s">
        <v>622</v>
      </c>
      <c r="BL11" t="s">
        <v>849</v>
      </c>
      <c r="BM11" t="s">
        <v>433</v>
      </c>
      <c r="BN11">
        <v>4.91</v>
      </c>
      <c r="BO11">
        <v>7.39</v>
      </c>
      <c r="BP11">
        <v>7.12</v>
      </c>
      <c r="BQ11">
        <v>5.26</v>
      </c>
      <c r="BR11">
        <v>8.27</v>
      </c>
      <c r="BS11">
        <v>8.23</v>
      </c>
      <c r="BT11" t="s">
        <v>779</v>
      </c>
      <c r="BU11" t="s">
        <v>47</v>
      </c>
      <c r="BV11">
        <v>46.84</v>
      </c>
      <c r="BW11">
        <v>51.92</v>
      </c>
      <c r="BX11">
        <v>47.93</v>
      </c>
      <c r="BY11">
        <v>29.99</v>
      </c>
      <c r="BZ11">
        <v>32.08</v>
      </c>
      <c r="CA11">
        <v>28.81</v>
      </c>
      <c r="CB11">
        <v>-1.96</v>
      </c>
      <c r="CC11">
        <v>-5.25</v>
      </c>
      <c r="CD11" t="s">
        <v>1346</v>
      </c>
      <c r="CE11" t="s">
        <v>606</v>
      </c>
      <c r="CF11" s="9">
        <v>-4.8189925239030457E-2</v>
      </c>
      <c r="CG11" s="10">
        <v>-4.5898122177138706E-2</v>
      </c>
      <c r="CH11" s="9">
        <v>-1.9900497049093246E-2</v>
      </c>
      <c r="CI11" s="9">
        <v>-2.4271843954920769E-2</v>
      </c>
      <c r="CJ11" s="9">
        <v>0.11653116345405579</v>
      </c>
      <c r="CK11" s="9">
        <v>0.3418181836605072</v>
      </c>
      <c r="CL11" s="9">
        <v>7.8431375324726105E-2</v>
      </c>
      <c r="CM11" s="10">
        <v>-7.9365082085132599E-2</v>
      </c>
      <c r="CN11" s="10">
        <v>7.6923079788684845E-2</v>
      </c>
      <c r="CO11" s="10">
        <v>0.15841583907604218</v>
      </c>
      <c r="CP11" s="10">
        <v>0.91707605123519897</v>
      </c>
      <c r="CQ11" s="10">
        <v>-8.5076600313186646E-2</v>
      </c>
      <c r="CR11">
        <v>19.217813104650133</v>
      </c>
      <c r="CS11">
        <v>1.9506177552903863</v>
      </c>
      <c r="CT11">
        <v>2.6607538802660753</v>
      </c>
      <c r="CU11" s="9">
        <v>9.8521676287055021E-2</v>
      </c>
      <c r="CV11" s="10">
        <v>0.19759465754032135</v>
      </c>
      <c r="CW11">
        <v>0.06</v>
      </c>
      <c r="CX11">
        <v>4.014038790380142</v>
      </c>
      <c r="CY11">
        <v>120215579.6691494</v>
      </c>
      <c r="CZ11">
        <v>9.8521676287055021E-2</v>
      </c>
      <c r="DA11">
        <v>1.3023279970021393</v>
      </c>
      <c r="DB11">
        <v>370528777.01377356</v>
      </c>
      <c r="DC11">
        <v>9.3595592472702271E-2</v>
      </c>
      <c r="DD11">
        <v>0.63493493581703264</v>
      </c>
      <c r="DE11">
        <v>759999131.8465662</v>
      </c>
      <c r="DF11">
        <v>8.6699075132608425E-2</v>
      </c>
      <c r="DG11">
        <v>0.3771364242485824</v>
      </c>
      <c r="DH11">
        <v>1279510460.8669043</v>
      </c>
      <c r="DI11">
        <v>7.8817341029644022E-2</v>
      </c>
      <c r="DJ11">
        <v>0.19016761421841297</v>
      </c>
      <c r="DK11">
        <v>2537498311.5988269</v>
      </c>
      <c r="DL11">
        <v>6.8965173400938509E-2</v>
      </c>
      <c r="DM11">
        <v>115999999.99999999</v>
      </c>
      <c r="DN11">
        <v>9.8521676287055021E-2</v>
      </c>
      <c r="DO11">
        <v>482550000</v>
      </c>
      <c r="DP11">
        <v>744613230</v>
      </c>
      <c r="DQ11">
        <v>990</v>
      </c>
      <c r="DR11">
        <v>-0.14671160152608548</v>
      </c>
      <c r="DS11">
        <v>-0.24349277971746006</v>
      </c>
      <c r="DT11" s="11">
        <v>-0.32333333333333336</v>
      </c>
      <c r="DU11">
        <v>0.3666666666666667</v>
      </c>
      <c r="DV11">
        <v>4.3333333333333335E-2</v>
      </c>
      <c r="DW11">
        <v>-1.0525</v>
      </c>
      <c r="DX11">
        <v>0.26618546511627816</v>
      </c>
      <c r="DY11">
        <v>-1.0050497369186047</v>
      </c>
      <c r="DZ11">
        <v>1603</v>
      </c>
      <c r="EA11">
        <v>-1.0034656413646863</v>
      </c>
      <c r="EB11">
        <v>1</v>
      </c>
      <c r="EC11">
        <v>4.0849135802469141E-2</v>
      </c>
      <c r="ED11">
        <v>0.42469135802469138</v>
      </c>
      <c r="EE11" s="12">
        <v>-5.0091099999999997</v>
      </c>
      <c r="EF11">
        <v>-5.0221099999999996</v>
      </c>
      <c r="EG11">
        <v>17.096185465116278</v>
      </c>
      <c r="EH11" t="s">
        <v>761</v>
      </c>
      <c r="EI11">
        <v>0</v>
      </c>
      <c r="EJ11">
        <v>0</v>
      </c>
      <c r="EK11" s="8">
        <v>45470</v>
      </c>
      <c r="EL11" s="13">
        <v>-2.14</v>
      </c>
      <c r="EM11" s="13">
        <v>-4.37</v>
      </c>
      <c r="EN11" s="13">
        <v>2.2799999999999998</v>
      </c>
      <c r="EO11" s="13">
        <v>2.9</v>
      </c>
      <c r="EP11" s="13">
        <v>-1.3</v>
      </c>
    </row>
    <row r="12" spans="1:146" ht="96" x14ac:dyDescent="0.25">
      <c r="A12" s="6"/>
      <c r="B12" s="6"/>
      <c r="C12" s="6" t="str">
        <f>""&amp;CHAR(10)&amp;Basic_Fundamental_Information_Constructure(F12)&amp;CHAR(10)&amp;Basic_Fundamental_Information_Concatenate("")</f>
        <v xml:space="preserve">
市值20.076559亿, 利润-3.52亿; PE; 平均PE-11.28; 平均PEG-1.44, PB1.33; ROIC0%; ROE-3.5167%; 股利率0%; 毛利5.4067%; 净利-4.9933%; 上一年度营收增-25.58%, 利润增-344.29%; 当季营收增-16.37%, 利润增110.73%; 过往5年营收增-7.81%, 利润增-390.24%
Income profile:
</v>
      </c>
      <c r="D12" t="s">
        <v>71</v>
      </c>
      <c r="E12" t="s">
        <v>23</v>
      </c>
      <c r="F12">
        <v>3.57</v>
      </c>
      <c r="G12">
        <v>1.71</v>
      </c>
      <c r="H12" t="s">
        <v>1347</v>
      </c>
      <c r="I12">
        <v>2007655900</v>
      </c>
      <c r="K12">
        <v>1.33</v>
      </c>
      <c r="L12" t="s">
        <v>47</v>
      </c>
      <c r="M12" t="s">
        <v>850</v>
      </c>
      <c r="N12" t="s">
        <v>1348</v>
      </c>
      <c r="O12" t="s">
        <v>688</v>
      </c>
      <c r="P12">
        <v>-16.309999999999999</v>
      </c>
      <c r="Q12" t="s">
        <v>851</v>
      </c>
      <c r="R12">
        <v>4157947</v>
      </c>
      <c r="S12" s="5">
        <v>1.107</v>
      </c>
      <c r="T12" t="s">
        <v>852</v>
      </c>
      <c r="U12">
        <v>562360190</v>
      </c>
      <c r="V12">
        <v>562368590</v>
      </c>
      <c r="W12">
        <v>3.86</v>
      </c>
      <c r="X12">
        <v>0.09</v>
      </c>
      <c r="Y12">
        <v>-0.08</v>
      </c>
      <c r="Z12" t="s">
        <v>1349</v>
      </c>
      <c r="AA12" t="s">
        <v>1350</v>
      </c>
      <c r="AB12" t="s">
        <v>1351</v>
      </c>
      <c r="AC12" t="s">
        <v>1352</v>
      </c>
      <c r="AD12" t="s">
        <v>31</v>
      </c>
      <c r="AE12">
        <v>30938631</v>
      </c>
      <c r="AF12" t="s">
        <v>854</v>
      </c>
      <c r="AG12" t="s">
        <v>1353</v>
      </c>
      <c r="AH12" t="s">
        <v>855</v>
      </c>
      <c r="AI12" t="s">
        <v>1354</v>
      </c>
      <c r="AJ12" t="s">
        <v>856</v>
      </c>
      <c r="AK12" t="s">
        <v>1355</v>
      </c>
      <c r="AL12" t="s">
        <v>857</v>
      </c>
      <c r="AM12" t="s">
        <v>31</v>
      </c>
      <c r="AN12" t="s">
        <v>495</v>
      </c>
      <c r="AO12" t="s">
        <v>1356</v>
      </c>
      <c r="AP12" t="s">
        <v>720</v>
      </c>
      <c r="AQ12" t="s">
        <v>1029</v>
      </c>
      <c r="AR12" t="s">
        <v>31</v>
      </c>
      <c r="AS12" t="s">
        <v>1357</v>
      </c>
      <c r="AT12" t="s">
        <v>1358</v>
      </c>
      <c r="AU12" t="s">
        <v>1359</v>
      </c>
      <c r="AV12" t="s">
        <v>1360</v>
      </c>
      <c r="AW12" t="s">
        <v>1361</v>
      </c>
      <c r="AX12" t="s">
        <v>607</v>
      </c>
      <c r="AY12" t="s">
        <v>412</v>
      </c>
      <c r="AZ12" t="s">
        <v>214</v>
      </c>
      <c r="BA12" t="s">
        <v>72</v>
      </c>
      <c r="BB12" t="s">
        <v>215</v>
      </c>
      <c r="BC12" t="s">
        <v>861</v>
      </c>
      <c r="BD12" t="s">
        <v>413</v>
      </c>
      <c r="BE12" t="s">
        <v>414</v>
      </c>
      <c r="BF12" t="s">
        <v>373</v>
      </c>
      <c r="BG12" t="s">
        <v>57</v>
      </c>
      <c r="BH12" t="s">
        <v>851</v>
      </c>
      <c r="BI12" t="s">
        <v>273</v>
      </c>
      <c r="BJ12" t="s">
        <v>607</v>
      </c>
      <c r="BK12" t="s">
        <v>852</v>
      </c>
      <c r="BL12" t="s">
        <v>862</v>
      </c>
      <c r="BM12" t="s">
        <v>861</v>
      </c>
      <c r="BN12" t="s">
        <v>31</v>
      </c>
      <c r="BO12" t="s">
        <v>31</v>
      </c>
      <c r="BP12" t="s">
        <v>31</v>
      </c>
      <c r="BQ12">
        <v>-6.53</v>
      </c>
      <c r="BR12">
        <v>-4.55</v>
      </c>
      <c r="BS12">
        <v>0.53</v>
      </c>
      <c r="BT12" t="s">
        <v>569</v>
      </c>
      <c r="BU12" t="s">
        <v>47</v>
      </c>
      <c r="BV12">
        <v>3.3</v>
      </c>
      <c r="BW12">
        <v>5.71</v>
      </c>
      <c r="BX12">
        <v>7.21</v>
      </c>
      <c r="BY12">
        <v>-12.06</v>
      </c>
      <c r="BZ12">
        <v>-2.48</v>
      </c>
      <c r="CA12">
        <v>-0.44</v>
      </c>
      <c r="CB12">
        <v>0.28000000000000003</v>
      </c>
      <c r="CC12">
        <v>-15</v>
      </c>
      <c r="CD12" t="s">
        <v>1362</v>
      </c>
      <c r="CE12" t="s">
        <v>1363</v>
      </c>
      <c r="CF12" s="9">
        <v>-0.1636615811373093</v>
      </c>
      <c r="CG12" s="10">
        <v>1.1073148743202401</v>
      </c>
      <c r="CH12" s="9">
        <v>-0.25575804710388184</v>
      </c>
      <c r="CI12" s="9">
        <v>5.0321933813393116E-3</v>
      </c>
      <c r="CJ12" s="9">
        <v>0.37999999523162842</v>
      </c>
      <c r="CK12" s="9">
        <v>-0.40623453259468079</v>
      </c>
      <c r="CL12" s="9">
        <v>-0.11346688121557236</v>
      </c>
      <c r="CM12" s="10">
        <v>-3.4429359436035156</v>
      </c>
      <c r="CN12" s="10">
        <v>-7.0102791786193848</v>
      </c>
      <c r="CO12" s="10">
        <v>1.0142815113067627</v>
      </c>
      <c r="CP12" s="10">
        <v>-9.7075471878051758</v>
      </c>
      <c r="CQ12" s="10">
        <v>-0.36526945233345032</v>
      </c>
      <c r="CR12">
        <v>-11.278490513040181</v>
      </c>
      <c r="CS12">
        <v>-1.4443779050788483</v>
      </c>
      <c r="CT12">
        <v>0</v>
      </c>
      <c r="CU12" s="9">
        <v>-7.8085454460233447E-2</v>
      </c>
      <c r="CV12" s="10">
        <v>-3.9023500502109529</v>
      </c>
      <c r="CW12">
        <v>0.06</v>
      </c>
      <c r="CX12" t="e">
        <v>#VALUE!</v>
      </c>
      <c r="CY12" t="s">
        <v>466</v>
      </c>
      <c r="CZ12">
        <v>-7.8085454460233447E-2</v>
      </c>
      <c r="DA12" t="e">
        <v>#VALUE!</v>
      </c>
      <c r="DB12" t="s">
        <v>466</v>
      </c>
      <c r="DC12">
        <v>-7.4181181737221769E-2</v>
      </c>
      <c r="DD12" t="e">
        <v>#VALUE!</v>
      </c>
      <c r="DE12" t="s">
        <v>466</v>
      </c>
      <c r="DF12">
        <v>-6.8715199925005438E-2</v>
      </c>
      <c r="DG12" t="e">
        <v>#VALUE!</v>
      </c>
      <c r="DH12" t="s">
        <v>466</v>
      </c>
      <c r="DI12">
        <v>-6.2468363568186761E-2</v>
      </c>
      <c r="DJ12" t="e">
        <v>#VALUE!</v>
      </c>
      <c r="DK12" t="s">
        <v>466</v>
      </c>
      <c r="DL12">
        <v>-5.465981812216341E-2</v>
      </c>
      <c r="DM12">
        <v>-352000000</v>
      </c>
      <c r="DN12">
        <v>-7.8085454460233447E-2</v>
      </c>
      <c r="DO12">
        <v>5297655900</v>
      </c>
      <c r="DP12">
        <v>-14859400</v>
      </c>
      <c r="DQ12">
        <v>1171</v>
      </c>
      <c r="DR12">
        <v>-8.5576126677075856E-2</v>
      </c>
      <c r="DS12">
        <v>5.0096649245311928</v>
      </c>
      <c r="DT12" s="11">
        <v>-0.59</v>
      </c>
      <c r="DU12">
        <v>-1.5099999999999998</v>
      </c>
      <c r="DV12">
        <v>-2.0999999999999996</v>
      </c>
      <c r="DW12">
        <v>-2.15</v>
      </c>
      <c r="DX12">
        <v>0.31752238095237956</v>
      </c>
      <c r="DY12">
        <v>-2.0206283571428569</v>
      </c>
      <c r="DZ12">
        <v>4459</v>
      </c>
      <c r="EA12">
        <v>-2.002627996183953</v>
      </c>
      <c r="EB12">
        <v>2</v>
      </c>
      <c r="EC12">
        <v>0.1027073720457965</v>
      </c>
      <c r="ED12">
        <v>0.74684114203462182</v>
      </c>
      <c r="EE12" s="12">
        <v>-4.0646100000000001</v>
      </c>
      <c r="EF12">
        <v>-4.0757099999999999</v>
      </c>
      <c r="EG12">
        <v>18.13752238095238</v>
      </c>
      <c r="EH12" t="s">
        <v>718</v>
      </c>
      <c r="EI12">
        <v>0</v>
      </c>
      <c r="EJ12">
        <v>0</v>
      </c>
      <c r="EK12" s="8">
        <v>45470</v>
      </c>
      <c r="EL12" s="13">
        <v>-0.55000000000000004</v>
      </c>
      <c r="EM12" s="13">
        <v>-4.4400000000000004</v>
      </c>
      <c r="EN12" s="13">
        <v>2.0299999999999998</v>
      </c>
      <c r="EO12" s="13">
        <v>2.2799999999999998</v>
      </c>
      <c r="EP12" s="13">
        <v>-1.1100000000000001</v>
      </c>
    </row>
    <row r="13" spans="1:146" ht="96" x14ac:dyDescent="0.25">
      <c r="A13" s="6"/>
      <c r="B13" s="6"/>
      <c r="C13" s="6" t="str">
        <f>""&amp;CHAR(10)&amp;Basic_Fundamental_Information_Constructure(F13)&amp;CHAR(10)&amp;Basic_Fundamental_Information_Concatenate("")</f>
        <v xml:space="preserve">
市值20.196507亿, 利润-1.00亿; PE; 平均PE140.13; 平均PEG4.41, PB1.65; ROIC2.2%; ROE-2.67%; 股利率0%; 毛利18.2433%; 净利-8.0367%; 上一年度营收增-58.93%, 利润增-20.68%; 当季营收增-15.23%, 利润增-83.88%; 过往5年营收增-31.76%, 利润增-84.59%
Income profile:
</v>
      </c>
      <c r="D13" t="s">
        <v>75</v>
      </c>
      <c r="E13" t="s">
        <v>14</v>
      </c>
      <c r="F13">
        <v>5.41</v>
      </c>
      <c r="G13">
        <v>0</v>
      </c>
      <c r="H13" t="s">
        <v>1364</v>
      </c>
      <c r="I13">
        <v>2019650700</v>
      </c>
      <c r="K13">
        <v>1.65</v>
      </c>
      <c r="L13" t="s">
        <v>47</v>
      </c>
      <c r="M13" t="s">
        <v>864</v>
      </c>
      <c r="N13" t="s">
        <v>1365</v>
      </c>
      <c r="O13" t="s">
        <v>100</v>
      </c>
      <c r="P13">
        <v>-14.95</v>
      </c>
      <c r="Q13" t="s">
        <v>865</v>
      </c>
      <c r="R13">
        <v>-21971978</v>
      </c>
      <c r="S13" s="5">
        <v>-0.83879999999999999</v>
      </c>
      <c r="T13" t="s">
        <v>866</v>
      </c>
      <c r="U13">
        <v>332398250</v>
      </c>
      <c r="V13">
        <v>373318050</v>
      </c>
      <c r="W13">
        <v>5.71</v>
      </c>
      <c r="X13">
        <v>0.02</v>
      </c>
      <c r="Y13">
        <v>-22.23</v>
      </c>
      <c r="Z13" t="s">
        <v>311</v>
      </c>
      <c r="AA13" t="s">
        <v>1366</v>
      </c>
      <c r="AB13" t="s">
        <v>1367</v>
      </c>
      <c r="AC13" t="s">
        <v>1368</v>
      </c>
      <c r="AD13" t="s">
        <v>31</v>
      </c>
      <c r="AE13">
        <v>62464716</v>
      </c>
      <c r="AF13" t="s">
        <v>867</v>
      </c>
      <c r="AG13" t="s">
        <v>1369</v>
      </c>
      <c r="AH13" t="s">
        <v>868</v>
      </c>
      <c r="AI13" t="s">
        <v>1370</v>
      </c>
      <c r="AJ13" t="s">
        <v>869</v>
      </c>
      <c r="AK13" t="s">
        <v>1371</v>
      </c>
      <c r="AL13" t="s">
        <v>870</v>
      </c>
      <c r="AM13" t="s">
        <v>31</v>
      </c>
      <c r="AN13" t="s">
        <v>1372</v>
      </c>
      <c r="AO13" t="s">
        <v>1373</v>
      </c>
      <c r="AP13" t="s">
        <v>31</v>
      </c>
      <c r="AQ13" t="s">
        <v>1202</v>
      </c>
      <c r="AR13">
        <v>26.93</v>
      </c>
      <c r="AS13" t="s">
        <v>1374</v>
      </c>
      <c r="AT13" t="s">
        <v>1375</v>
      </c>
      <c r="AU13" t="s">
        <v>1376</v>
      </c>
      <c r="AV13" t="s">
        <v>1377</v>
      </c>
      <c r="AW13" t="s">
        <v>1378</v>
      </c>
      <c r="AX13" t="s">
        <v>608</v>
      </c>
      <c r="AY13" t="s">
        <v>415</v>
      </c>
      <c r="AZ13" t="s">
        <v>216</v>
      </c>
      <c r="BA13" t="s">
        <v>76</v>
      </c>
      <c r="BB13" t="s">
        <v>219</v>
      </c>
      <c r="BC13" t="s">
        <v>872</v>
      </c>
      <c r="BD13" t="s">
        <v>416</v>
      </c>
      <c r="BE13" t="s">
        <v>217</v>
      </c>
      <c r="BF13" t="s">
        <v>77</v>
      </c>
      <c r="BG13" t="s">
        <v>53</v>
      </c>
      <c r="BH13" t="s">
        <v>865</v>
      </c>
      <c r="BI13" t="s">
        <v>84</v>
      </c>
      <c r="BJ13" t="s">
        <v>608</v>
      </c>
      <c r="BK13" t="s">
        <v>866</v>
      </c>
      <c r="BL13" t="s">
        <v>873</v>
      </c>
      <c r="BM13" t="s">
        <v>872</v>
      </c>
      <c r="BN13" t="s">
        <v>31</v>
      </c>
      <c r="BO13" t="s">
        <v>31</v>
      </c>
      <c r="BP13">
        <v>2.2000000000000002</v>
      </c>
      <c r="BQ13">
        <v>-4.7</v>
      </c>
      <c r="BR13">
        <v>-5.82</v>
      </c>
      <c r="BS13">
        <v>2.5099999999999998</v>
      </c>
      <c r="BT13" t="s">
        <v>569</v>
      </c>
      <c r="BU13" t="s">
        <v>47</v>
      </c>
      <c r="BV13">
        <v>20.99</v>
      </c>
      <c r="BW13">
        <v>19.420000000000002</v>
      </c>
      <c r="BX13">
        <v>14.32</v>
      </c>
      <c r="BY13">
        <v>-19.899999999999999</v>
      </c>
      <c r="BZ13">
        <v>-5.64</v>
      </c>
      <c r="CA13">
        <v>1.43</v>
      </c>
      <c r="CB13">
        <v>3.44</v>
      </c>
      <c r="CC13">
        <v>-9.3800000000000008</v>
      </c>
      <c r="CD13" t="s">
        <v>1379</v>
      </c>
      <c r="CE13" t="s">
        <v>1380</v>
      </c>
      <c r="CF13" s="9">
        <v>-0.15231788079470199</v>
      </c>
      <c r="CG13" s="10">
        <v>-0.83882851141109194</v>
      </c>
      <c r="CH13" s="9">
        <v>-0.58933335542678833</v>
      </c>
      <c r="CI13" s="9">
        <v>-0.41679626703262329</v>
      </c>
      <c r="CJ13" s="9">
        <v>-0.20983104407787323</v>
      </c>
      <c r="CK13" s="9">
        <v>-0.50015354156494141</v>
      </c>
      <c r="CL13" s="9">
        <v>0.1282050758600235</v>
      </c>
      <c r="CM13" s="10">
        <v>-0.20676615834236145</v>
      </c>
      <c r="CN13" s="10">
        <v>-3.2576549053192139</v>
      </c>
      <c r="CO13" s="10">
        <v>-0.45777517557144165</v>
      </c>
      <c r="CP13" s="10">
        <v>7.5458988547325134E-2</v>
      </c>
      <c r="CQ13" s="10">
        <v>-0.382913738489151</v>
      </c>
      <c r="CR13">
        <v>140.13414730044778</v>
      </c>
      <c r="CS13">
        <v>4.4125367269149631</v>
      </c>
      <c r="CT13">
        <v>0</v>
      </c>
      <c r="CU13" s="9">
        <v>-0.31758182644844057</v>
      </c>
      <c r="CV13" s="10">
        <v>-0.84593019783496859</v>
      </c>
      <c r="CW13">
        <v>0.06</v>
      </c>
      <c r="CX13" t="e">
        <v>#VALUE!</v>
      </c>
      <c r="CY13" t="s">
        <v>465</v>
      </c>
      <c r="CZ13">
        <v>-0.31758182644844057</v>
      </c>
      <c r="DA13" t="e">
        <v>#VALUE!</v>
      </c>
      <c r="DB13" t="s">
        <v>466</v>
      </c>
      <c r="DC13">
        <v>-0.30170273512601853</v>
      </c>
      <c r="DD13" t="e">
        <v>#VALUE!</v>
      </c>
      <c r="DE13" t="s">
        <v>466</v>
      </c>
      <c r="DF13">
        <v>-0.27947200727462773</v>
      </c>
      <c r="DG13" t="e">
        <v>#VALUE!</v>
      </c>
      <c r="DH13" t="s">
        <v>466</v>
      </c>
      <c r="DI13">
        <v>-0.25406546115875245</v>
      </c>
      <c r="DJ13" t="e">
        <v>#VALUE!</v>
      </c>
      <c r="DK13" t="s">
        <v>466</v>
      </c>
      <c r="DL13">
        <v>-0.22230727851390839</v>
      </c>
      <c r="DM13">
        <v>-100000000</v>
      </c>
      <c r="DN13">
        <v>-0.31758182644844057</v>
      </c>
      <c r="DO13">
        <v>5671650700</v>
      </c>
      <c r="DP13">
        <v>733633200</v>
      </c>
      <c r="DQ13">
        <v>1247</v>
      </c>
      <c r="DR13">
        <v>0.16526394565373859</v>
      </c>
      <c r="DS13">
        <v>7.1016864238766519E-3</v>
      </c>
      <c r="DT13" s="11">
        <v>-1.0066666666666666</v>
      </c>
      <c r="DU13">
        <v>-1.9916666666666665</v>
      </c>
      <c r="DV13">
        <v>-2.9983333333333331</v>
      </c>
      <c r="DW13">
        <v>6.2683307332293294</v>
      </c>
      <c r="DX13">
        <v>0.44853168316831526</v>
      </c>
      <c r="DY13">
        <v>6.0586387667783939</v>
      </c>
      <c r="DZ13">
        <v>4907</v>
      </c>
      <c r="EA13">
        <v>6.0023294852555802</v>
      </c>
      <c r="EB13">
        <v>6</v>
      </c>
      <c r="EC13">
        <v>0.177369136049007</v>
      </c>
      <c r="ED13">
        <v>0.81164036938476458</v>
      </c>
      <c r="EE13" s="12">
        <v>8.6309999999999998E-2</v>
      </c>
      <c r="EF13">
        <v>0.10550999999999999</v>
      </c>
      <c r="EG13">
        <v>23.218531683168315</v>
      </c>
      <c r="EH13">
        <v>-1</v>
      </c>
      <c r="EI13">
        <v>0</v>
      </c>
      <c r="EJ13">
        <v>0</v>
      </c>
      <c r="EK13" s="8">
        <v>45470</v>
      </c>
      <c r="EL13" s="13">
        <v>-0.37</v>
      </c>
      <c r="EM13" s="13">
        <v>-4.13</v>
      </c>
      <c r="EN13" s="13">
        <v>-1.96</v>
      </c>
      <c r="EO13" s="13">
        <v>4.1900000000000004</v>
      </c>
      <c r="EP13" s="13">
        <v>-1.92</v>
      </c>
    </row>
    <row r="14" spans="1:146" ht="96" x14ac:dyDescent="0.25">
      <c r="A14" s="6"/>
      <c r="B14" s="6"/>
      <c r="C14" s="6" t="str">
        <f>""&amp;CHAR(10)&amp;Basic_Fundamental_Information_Constructure(F14)&amp;CHAR(10)&amp;Basic_Fundamental_Information_Concatenate("")</f>
        <v xml:space="preserve">
市值13.0937638亿, 利润-4336.21万; PE; 平均PE142.39; 平均PEG92.65, PB2.53; ROIC4.6467%; ROE3.77%; 股利率0%; 毛利8.6533%; 净利.7033%; 上一年度营收增-23.45%, 利润增-1342.15%; 当季营收增-45.91%, 利润增536.71%; 过往5年营收增1.54%, 利润增-221.5%
Income profile:
</v>
      </c>
      <c r="D14" t="s">
        <v>79</v>
      </c>
      <c r="E14" t="s">
        <v>1381</v>
      </c>
      <c r="F14">
        <v>8.6</v>
      </c>
      <c r="G14">
        <v>-1.38</v>
      </c>
      <c r="H14" t="s">
        <v>1382</v>
      </c>
      <c r="I14">
        <v>1309376380</v>
      </c>
      <c r="K14">
        <v>2.5299999999999998</v>
      </c>
      <c r="L14" t="s">
        <v>47</v>
      </c>
      <c r="M14" t="s">
        <v>874</v>
      </c>
      <c r="N14" t="s">
        <v>1179</v>
      </c>
      <c r="O14" t="s">
        <v>606</v>
      </c>
      <c r="P14">
        <v>-46.09</v>
      </c>
      <c r="Q14" t="s">
        <v>875</v>
      </c>
      <c r="R14">
        <v>3829144</v>
      </c>
      <c r="S14" s="5">
        <v>5.367</v>
      </c>
      <c r="T14" t="s">
        <v>876</v>
      </c>
      <c r="U14">
        <v>141654100</v>
      </c>
      <c r="V14">
        <v>152253070</v>
      </c>
      <c r="W14">
        <v>1.65</v>
      </c>
      <c r="X14">
        <v>0.2</v>
      </c>
      <c r="Y14">
        <v>3.12</v>
      </c>
      <c r="Z14" t="s">
        <v>356</v>
      </c>
      <c r="AA14" t="s">
        <v>1383</v>
      </c>
      <c r="AB14" t="s">
        <v>1384</v>
      </c>
      <c r="AC14" t="s">
        <v>1385</v>
      </c>
      <c r="AD14" t="s">
        <v>31</v>
      </c>
      <c r="AE14">
        <v>1539899</v>
      </c>
      <c r="AF14" t="s">
        <v>877</v>
      </c>
      <c r="AG14" t="s">
        <v>1386</v>
      </c>
      <c r="AH14" t="s">
        <v>878</v>
      </c>
      <c r="AI14" t="s">
        <v>703</v>
      </c>
      <c r="AJ14" t="s">
        <v>879</v>
      </c>
      <c r="AK14" t="s">
        <v>1387</v>
      </c>
      <c r="AL14" t="s">
        <v>880</v>
      </c>
      <c r="AM14" t="s">
        <v>31</v>
      </c>
      <c r="AN14">
        <v>0</v>
      </c>
      <c r="AO14" t="s">
        <v>693</v>
      </c>
      <c r="AP14" t="s">
        <v>1388</v>
      </c>
      <c r="AQ14" t="s">
        <v>1389</v>
      </c>
      <c r="AR14" t="s">
        <v>1390</v>
      </c>
      <c r="AS14" t="s">
        <v>420</v>
      </c>
      <c r="AT14" t="s">
        <v>31</v>
      </c>
      <c r="AU14" t="s">
        <v>1391</v>
      </c>
      <c r="AV14" t="s">
        <v>1392</v>
      </c>
      <c r="AW14" t="s">
        <v>1393</v>
      </c>
      <c r="AX14" t="s">
        <v>609</v>
      </c>
      <c r="AY14" t="s">
        <v>417</v>
      </c>
      <c r="AZ14" t="s">
        <v>222</v>
      </c>
      <c r="BA14" t="s">
        <v>80</v>
      </c>
      <c r="BB14" t="s">
        <v>224</v>
      </c>
      <c r="BC14" t="s">
        <v>610</v>
      </c>
      <c r="BD14" t="s">
        <v>418</v>
      </c>
      <c r="BE14" t="s">
        <v>223</v>
      </c>
      <c r="BF14" t="s">
        <v>81</v>
      </c>
      <c r="BG14" t="s">
        <v>225</v>
      </c>
      <c r="BH14" t="s">
        <v>875</v>
      </c>
      <c r="BI14" t="s">
        <v>881</v>
      </c>
      <c r="BJ14" t="s">
        <v>609</v>
      </c>
      <c r="BK14" t="s">
        <v>876</v>
      </c>
      <c r="BL14" t="s">
        <v>882</v>
      </c>
      <c r="BM14" t="s">
        <v>610</v>
      </c>
      <c r="BN14">
        <v>4.34</v>
      </c>
      <c r="BO14">
        <v>1.9</v>
      </c>
      <c r="BP14">
        <v>7.7</v>
      </c>
      <c r="BQ14">
        <v>2.89</v>
      </c>
      <c r="BR14">
        <v>0.62</v>
      </c>
      <c r="BS14">
        <v>7.8</v>
      </c>
      <c r="BT14" t="s">
        <v>883</v>
      </c>
      <c r="BU14" t="s">
        <v>47</v>
      </c>
      <c r="BV14">
        <v>8.8800000000000008</v>
      </c>
      <c r="BW14">
        <v>6.82</v>
      </c>
      <c r="BX14">
        <v>10.26</v>
      </c>
      <c r="BY14">
        <v>-2.85</v>
      </c>
      <c r="BZ14">
        <v>0.98</v>
      </c>
      <c r="CA14">
        <v>3.98</v>
      </c>
      <c r="CB14">
        <v>-16.739999999999998</v>
      </c>
      <c r="CC14">
        <v>-18.649999999999999</v>
      </c>
      <c r="CD14" t="s">
        <v>1394</v>
      </c>
      <c r="CE14" t="s">
        <v>1395</v>
      </c>
      <c r="CF14" s="9">
        <v>-0.45911949685534592</v>
      </c>
      <c r="CG14" s="10">
        <v>5.3670502161622879</v>
      </c>
      <c r="CH14" s="9">
        <v>-0.23448827862739563</v>
      </c>
      <c r="CI14" s="9">
        <v>-4.685104638338089E-2</v>
      </c>
      <c r="CJ14" s="9">
        <v>0.15119357407093048</v>
      </c>
      <c r="CK14" s="9">
        <v>-5.7499945163726807E-2</v>
      </c>
      <c r="CL14" s="9">
        <v>0.26448893547058105</v>
      </c>
      <c r="CM14" s="10">
        <v>-13.421466827392578</v>
      </c>
      <c r="CN14" s="10">
        <v>-0.9129672646522522</v>
      </c>
      <c r="CO14" s="10">
        <v>0.36899086833000183</v>
      </c>
      <c r="CP14" s="10">
        <v>0.4777672290802002</v>
      </c>
      <c r="CQ14" s="10">
        <v>2.4127893447875977</v>
      </c>
      <c r="CR14">
        <v>142.39007144643693</v>
      </c>
      <c r="CS14">
        <v>92.64970647994997</v>
      </c>
      <c r="CT14">
        <v>0</v>
      </c>
      <c r="CU14" s="9">
        <v>1.5368647873401642E-2</v>
      </c>
      <c r="CV14" s="10">
        <v>-2.2149773299694062</v>
      </c>
      <c r="CW14">
        <v>0.06</v>
      </c>
      <c r="CX14" t="e">
        <v>#VALUE!</v>
      </c>
      <c r="CY14" t="s">
        <v>466</v>
      </c>
      <c r="CZ14">
        <v>1.5368647873401642E-2</v>
      </c>
      <c r="DA14" t="e">
        <v>#VALUE!</v>
      </c>
      <c r="DB14" t="s">
        <v>466</v>
      </c>
      <c r="DC14">
        <v>1.460021547973156E-2</v>
      </c>
      <c r="DD14" t="e">
        <v>#VALUE!</v>
      </c>
      <c r="DE14" t="s">
        <v>466</v>
      </c>
      <c r="DF14">
        <v>1.3524410128593446E-2</v>
      </c>
      <c r="DG14" t="e">
        <v>#VALUE!</v>
      </c>
      <c r="DH14" t="s">
        <v>466</v>
      </c>
      <c r="DI14">
        <v>1.2294918298721313E-2</v>
      </c>
      <c r="DJ14" t="e">
        <v>#VALUE!</v>
      </c>
      <c r="DK14" t="s">
        <v>466</v>
      </c>
      <c r="DL14">
        <v>1.0758053511381149E-2</v>
      </c>
      <c r="DM14">
        <v>-43362100</v>
      </c>
      <c r="DN14">
        <v>1.5368647873401642E-2</v>
      </c>
      <c r="DO14">
        <v>1070376380</v>
      </c>
      <c r="DP14">
        <v>403318920</v>
      </c>
      <c r="DQ14">
        <v>1273</v>
      </c>
      <c r="DR14">
        <v>-0.47448814472874756</v>
      </c>
      <c r="DS14">
        <v>7.5820275461316946</v>
      </c>
      <c r="DT14" s="11">
        <v>-0.37333333333333335</v>
      </c>
      <c r="DU14">
        <v>0.21999999999999995</v>
      </c>
      <c r="DV14">
        <v>-0.1533333333333334</v>
      </c>
      <c r="DW14">
        <v>-9.8975871313672918</v>
      </c>
      <c r="DX14">
        <v>0.50427355658294215</v>
      </c>
      <c r="DY14">
        <v>-9.25516028617686</v>
      </c>
      <c r="DZ14">
        <v>2076</v>
      </c>
      <c r="EA14">
        <v>-9.1514982990725233</v>
      </c>
      <c r="EB14">
        <v>9</v>
      </c>
      <c r="EC14">
        <v>0.11287719846962692</v>
      </c>
      <c r="ED14">
        <v>0.3970724531203213</v>
      </c>
      <c r="EE14" s="12">
        <v>1.0396099999999999</v>
      </c>
      <c r="EF14">
        <v>1.0444100000000001</v>
      </c>
      <c r="EG14">
        <v>22.284273556582942</v>
      </c>
      <c r="EH14" t="s">
        <v>497</v>
      </c>
      <c r="EI14">
        <v>0</v>
      </c>
      <c r="EJ14">
        <v>0</v>
      </c>
      <c r="EK14" s="8">
        <v>45470</v>
      </c>
      <c r="EL14" s="13">
        <v>2.2599999999999998</v>
      </c>
      <c r="EM14" s="13">
        <v>-2.88</v>
      </c>
      <c r="EN14" s="13">
        <v>-0.28000000000000003</v>
      </c>
      <c r="EO14" s="13">
        <v>1.1000000000000001</v>
      </c>
      <c r="EP14" s="13">
        <v>-0.48</v>
      </c>
    </row>
    <row r="15" spans="1:146" ht="180" x14ac:dyDescent="0.25">
      <c r="A15" s="6"/>
      <c r="B15" s="6" t="s">
        <v>375</v>
      </c>
      <c r="C15" s="6" t="str">
        <f>"广东宏川智慧物流股份有限公司为专业的石化物流综合服务提供商，主要为境内外石化产品生产商、贸易商和终端用户提供仓储综合服务及其他相关服务，是国内最大的民营化工仓储企业之一"&amp;CHAR(10)&amp;Basic_Fundamental_Information_Constructure(F15)&amp;CHAR(10)&amp;Basic_Fundamental_Information_Concatenate("仓储及中转综合服务 8.28亿 97.58% 毛利64.40%
物流链管理服务 820.75万 0.97% 毛利15.34%
智慧客服服务 617.87万 0.73% 毛利95.41%
其他业务 435.39万 0.51% 毛利98.88%
洗舱及污水处理服务 182.11万 0.21% 毛利64.32%")</f>
        <v>广东宏川智慧物流股份有限公司为专业的石化物流综合服务提供商，主要为境内外石化产品生产商、贸易商和终端用户提供仓储综合服务及其他相关服务，是国内最大的民营化工仓储企业之一
市值41.894113亿, 利润1.59亿; PE27.96; 平均PE24.26; 平均PEG1.7, PB1.85; ROIC3.9567%; ROE9.3033%; 股利率.5473%; 毛利13.1733%; 净利7.22%; 上一年度营收增-4.78%, 利润增2.58%; 当季营收增25.61%, 利润增-15.23%; 过往5年营收增-14.25%, 利润增6.08%
Income profile:
仓储及中转综合服务 8.28亿 97.58% 毛利64.40%
物流链管理服务 820.75万 0.97% 毛利15.34%
智慧客服服务 617.87万 0.73% 毛利95.41%
其他业务 435.39万 0.51% 毛利98.88%
洗舱及污水处理服务 182.11万 0.21% 毛利64.32%</v>
      </c>
      <c r="D15" t="s">
        <v>82</v>
      </c>
      <c r="E15" t="s">
        <v>18</v>
      </c>
      <c r="F15">
        <v>15.53</v>
      </c>
      <c r="G15">
        <v>-1.58</v>
      </c>
      <c r="H15" t="s">
        <v>1396</v>
      </c>
      <c r="I15">
        <v>4189411300</v>
      </c>
      <c r="J15">
        <v>27.96</v>
      </c>
      <c r="K15">
        <v>1.85</v>
      </c>
      <c r="L15" t="s">
        <v>47</v>
      </c>
      <c r="M15" t="s">
        <v>884</v>
      </c>
      <c r="N15" t="s">
        <v>1397</v>
      </c>
      <c r="O15" t="s">
        <v>116</v>
      </c>
      <c r="P15">
        <v>25.71</v>
      </c>
      <c r="Q15" t="s">
        <v>885</v>
      </c>
      <c r="R15">
        <v>50743691</v>
      </c>
      <c r="S15" s="5">
        <v>-0.15229999999999999</v>
      </c>
      <c r="T15" t="s">
        <v>886</v>
      </c>
      <c r="U15">
        <v>175149020</v>
      </c>
      <c r="V15">
        <v>269762480</v>
      </c>
      <c r="W15">
        <v>1.98</v>
      </c>
      <c r="X15">
        <v>0.18</v>
      </c>
      <c r="Y15">
        <v>6.36</v>
      </c>
      <c r="Z15" t="s">
        <v>1398</v>
      </c>
      <c r="AA15" t="s">
        <v>1399</v>
      </c>
      <c r="AB15" t="s">
        <v>1400</v>
      </c>
      <c r="AC15" t="s">
        <v>1401</v>
      </c>
      <c r="AD15" t="s">
        <v>31</v>
      </c>
      <c r="AE15">
        <v>-7658394</v>
      </c>
      <c r="AF15" t="s">
        <v>887</v>
      </c>
      <c r="AG15" t="s">
        <v>1402</v>
      </c>
      <c r="AH15" t="s">
        <v>888</v>
      </c>
      <c r="AI15" t="s">
        <v>1403</v>
      </c>
      <c r="AJ15" t="s">
        <v>889</v>
      </c>
      <c r="AK15" t="s">
        <v>31</v>
      </c>
      <c r="AL15" t="s">
        <v>890</v>
      </c>
      <c r="AM15" t="s">
        <v>31</v>
      </c>
      <c r="AN15" t="s">
        <v>695</v>
      </c>
      <c r="AO15" t="s">
        <v>1249</v>
      </c>
      <c r="AP15" t="s">
        <v>31</v>
      </c>
      <c r="AQ15" t="s">
        <v>695</v>
      </c>
      <c r="AR15" t="s">
        <v>31</v>
      </c>
      <c r="AS15" t="s">
        <v>1404</v>
      </c>
      <c r="AT15" t="s">
        <v>892</v>
      </c>
      <c r="AU15" t="s">
        <v>1405</v>
      </c>
      <c r="AV15" t="s">
        <v>1406</v>
      </c>
      <c r="AW15" t="s">
        <v>691</v>
      </c>
      <c r="AX15" t="s">
        <v>893</v>
      </c>
      <c r="AY15" t="s">
        <v>614</v>
      </c>
      <c r="AZ15" t="s">
        <v>615</v>
      </c>
      <c r="BA15" t="s">
        <v>83</v>
      </c>
      <c r="BB15" t="s">
        <v>226</v>
      </c>
      <c r="BC15" t="s">
        <v>612</v>
      </c>
      <c r="BD15" t="s">
        <v>419</v>
      </c>
      <c r="BE15" t="s">
        <v>112</v>
      </c>
      <c r="BF15" t="s">
        <v>115</v>
      </c>
      <c r="BG15" t="s">
        <v>218</v>
      </c>
      <c r="BH15" t="s">
        <v>885</v>
      </c>
      <c r="BI15" t="s">
        <v>692</v>
      </c>
      <c r="BJ15" t="s">
        <v>893</v>
      </c>
      <c r="BK15" t="s">
        <v>886</v>
      </c>
      <c r="BL15" t="s">
        <v>894</v>
      </c>
      <c r="BM15" t="s">
        <v>612</v>
      </c>
      <c r="BN15">
        <v>3.3</v>
      </c>
      <c r="BO15">
        <v>4.3099999999999996</v>
      </c>
      <c r="BP15">
        <v>4.26</v>
      </c>
      <c r="BQ15">
        <v>7.22</v>
      </c>
      <c r="BR15">
        <v>7.69</v>
      </c>
      <c r="BS15">
        <v>13</v>
      </c>
      <c r="BT15" t="s">
        <v>895</v>
      </c>
      <c r="BU15" t="s">
        <v>47</v>
      </c>
      <c r="BV15">
        <v>12.73</v>
      </c>
      <c r="BW15">
        <v>12.73</v>
      </c>
      <c r="BX15">
        <v>14.06</v>
      </c>
      <c r="BY15">
        <v>6.54</v>
      </c>
      <c r="BZ15">
        <v>5.94</v>
      </c>
      <c r="CA15">
        <v>9.18</v>
      </c>
      <c r="CB15">
        <v>-7.01</v>
      </c>
      <c r="CC15">
        <v>6.76</v>
      </c>
      <c r="CD15" t="s">
        <v>1407</v>
      </c>
      <c r="CE15" t="s">
        <v>1408</v>
      </c>
      <c r="CF15" s="9">
        <v>0.25613496932515339</v>
      </c>
      <c r="CG15" s="10">
        <v>-0.15227400908140185</v>
      </c>
      <c r="CH15" s="9">
        <v>-4.7753825783729553E-2</v>
      </c>
      <c r="CI15" s="9">
        <v>2.5389963760972023E-2</v>
      </c>
      <c r="CJ15" s="9">
        <v>2.3765318095684052E-2</v>
      </c>
      <c r="CK15" s="9">
        <v>-0.80933159589767456</v>
      </c>
      <c r="CL15" s="9">
        <v>9.522334486246109E-2</v>
      </c>
      <c r="CM15" s="10">
        <v>2.5806451216340065E-2</v>
      </c>
      <c r="CN15" s="10">
        <v>-0.34599155187606812</v>
      </c>
      <c r="CO15" s="10">
        <v>0.20304568111896515</v>
      </c>
      <c r="CP15" s="10">
        <v>0.28758171200752258</v>
      </c>
      <c r="CQ15" s="10">
        <v>0.13333334028720856</v>
      </c>
      <c r="CR15">
        <v>24.262999806949807</v>
      </c>
      <c r="CS15">
        <v>1.7021726170180325</v>
      </c>
      <c r="CT15">
        <v>0.54732775273663881</v>
      </c>
      <c r="CU15" s="9">
        <v>-0.1425413589924574</v>
      </c>
      <c r="CV15" s="10">
        <v>6.0755126550793646E-2</v>
      </c>
      <c r="CW15">
        <v>0.06</v>
      </c>
      <c r="CX15">
        <v>26.977429559748426</v>
      </c>
      <c r="CY15" t="s">
        <v>896</v>
      </c>
      <c r="CZ15">
        <v>-0.1425413589924574</v>
      </c>
      <c r="DA15">
        <v>8.9924765199161421</v>
      </c>
      <c r="DB15" t="s">
        <v>897</v>
      </c>
      <c r="DC15">
        <v>-0.13541429104283453</v>
      </c>
      <c r="DD15">
        <v>4.496238259958071</v>
      </c>
      <c r="DE15" t="s">
        <v>898</v>
      </c>
      <c r="DF15">
        <v>-0.1254363959133625</v>
      </c>
      <c r="DG15">
        <v>2.6977429559748427</v>
      </c>
      <c r="DH15" t="s">
        <v>899</v>
      </c>
      <c r="DI15">
        <v>-0.11403308719396593</v>
      </c>
      <c r="DJ15">
        <v>1.3488714779874214</v>
      </c>
      <c r="DK15" t="s">
        <v>900</v>
      </c>
      <c r="DL15">
        <v>-9.977895129472017E-2</v>
      </c>
      <c r="DM15">
        <v>159000000</v>
      </c>
      <c r="DN15">
        <v>-0.1425413589924574</v>
      </c>
      <c r="DO15">
        <v>4289411300</v>
      </c>
      <c r="DP15">
        <v>1279934200</v>
      </c>
      <c r="DQ15">
        <v>1356</v>
      </c>
      <c r="DR15">
        <v>0.3986763283176108</v>
      </c>
      <c r="DS15">
        <v>-0.2130291356321955</v>
      </c>
      <c r="DT15" s="11">
        <v>-0.67333333333333334</v>
      </c>
      <c r="DU15">
        <v>-0.12000000000000001</v>
      </c>
      <c r="DV15">
        <v>-0.79333333333333333</v>
      </c>
      <c r="DW15">
        <v>-5.9643366619115552</v>
      </c>
      <c r="DX15">
        <v>0.24150737051792745</v>
      </c>
      <c r="DY15">
        <v>-5.0882439122255629</v>
      </c>
      <c r="DZ15">
        <v>3330</v>
      </c>
      <c r="EA15">
        <v>-5.0307385839063601</v>
      </c>
      <c r="EB15">
        <v>5</v>
      </c>
      <c r="EC15">
        <v>0.17028572691057703</v>
      </c>
      <c r="ED15">
        <v>1.8608962966236073</v>
      </c>
      <c r="EE15" s="12">
        <v>1.00621</v>
      </c>
      <c r="EF15">
        <v>1.04461</v>
      </c>
      <c r="EG15">
        <v>15.091507370517927</v>
      </c>
      <c r="EH15" t="s">
        <v>497</v>
      </c>
      <c r="EI15">
        <v>0</v>
      </c>
      <c r="EJ15">
        <v>0</v>
      </c>
      <c r="EK15" s="8">
        <v>45470</v>
      </c>
      <c r="EL15" s="13">
        <v>4.34</v>
      </c>
      <c r="EM15" s="13">
        <v>-7.53</v>
      </c>
      <c r="EN15" s="13">
        <v>-10</v>
      </c>
      <c r="EO15" s="13">
        <v>2.7</v>
      </c>
      <c r="EP15" s="13">
        <v>-3.84</v>
      </c>
    </row>
    <row r="16" spans="1:146" ht="96" x14ac:dyDescent="0.25">
      <c r="A16" s="6"/>
      <c r="B16" s="6"/>
      <c r="C16" s="6" t="str">
        <f>""&amp;CHAR(10)&amp;Basic_Fundamental_Information_Constructure(F16)&amp;CHAR(10)&amp;Basic_Fundamental_Information_Concatenate("")</f>
        <v xml:space="preserve">
市值54.312787亿, 利润2.96亿; PE18.89; 平均PE25.68; 平均PEG.79, PB2.12; ROIC5.8033%; ROE10.4467%; 股利率2.1186%; 毛利59.72%; 净利23%; 上一年度营收增22.49%, 利润增32.14%; 当季营收增1.06%, 利润增-12.75%; 过往5年营收增32.69%, 利润增26.34%
Income profile:
</v>
      </c>
      <c r="D16" t="s">
        <v>85</v>
      </c>
      <c r="E16" t="s">
        <v>8</v>
      </c>
      <c r="F16">
        <v>11.8</v>
      </c>
      <c r="G16">
        <v>-1.67</v>
      </c>
      <c r="H16" t="s">
        <v>1409</v>
      </c>
      <c r="I16">
        <v>5431278700</v>
      </c>
      <c r="J16">
        <v>18.89</v>
      </c>
      <c r="K16">
        <v>2.12</v>
      </c>
      <c r="L16" t="s">
        <v>47</v>
      </c>
      <c r="M16" t="s">
        <v>901</v>
      </c>
      <c r="N16" t="s">
        <v>1410</v>
      </c>
      <c r="O16" t="s">
        <v>179</v>
      </c>
      <c r="P16">
        <v>1.07</v>
      </c>
      <c r="Q16" t="s">
        <v>902</v>
      </c>
      <c r="R16">
        <v>60042929</v>
      </c>
      <c r="S16" s="5">
        <v>-0.1275</v>
      </c>
      <c r="T16" t="s">
        <v>802</v>
      </c>
      <c r="U16">
        <v>435777510</v>
      </c>
      <c r="V16">
        <v>460277850</v>
      </c>
      <c r="W16">
        <v>3.3</v>
      </c>
      <c r="X16">
        <v>0.04</v>
      </c>
      <c r="Y16">
        <v>17.87</v>
      </c>
      <c r="Z16" t="s">
        <v>315</v>
      </c>
      <c r="AA16" t="s">
        <v>907</v>
      </c>
      <c r="AB16" t="s">
        <v>1411</v>
      </c>
      <c r="AC16" t="s">
        <v>1412</v>
      </c>
      <c r="AD16" t="s">
        <v>31</v>
      </c>
      <c r="AE16">
        <v>61972144</v>
      </c>
      <c r="AF16" t="s">
        <v>903</v>
      </c>
      <c r="AG16" t="s">
        <v>1413</v>
      </c>
      <c r="AH16" t="s">
        <v>904</v>
      </c>
      <c r="AI16" t="s">
        <v>1414</v>
      </c>
      <c r="AJ16" t="s">
        <v>905</v>
      </c>
      <c r="AK16" t="s">
        <v>1415</v>
      </c>
      <c r="AL16" t="s">
        <v>906</v>
      </c>
      <c r="AM16" t="s">
        <v>31</v>
      </c>
      <c r="AN16" t="s">
        <v>491</v>
      </c>
      <c r="AO16" t="s">
        <v>357</v>
      </c>
      <c r="AP16" t="s">
        <v>31</v>
      </c>
      <c r="AQ16" t="s">
        <v>70</v>
      </c>
      <c r="AR16" t="s">
        <v>1416</v>
      </c>
      <c r="AS16" t="s">
        <v>1417</v>
      </c>
      <c r="AT16" t="s">
        <v>1418</v>
      </c>
      <c r="AU16" t="s">
        <v>303</v>
      </c>
      <c r="AV16" t="s">
        <v>1419</v>
      </c>
      <c r="AW16" t="s">
        <v>1420</v>
      </c>
      <c r="AX16" t="s">
        <v>616</v>
      </c>
      <c r="AY16" t="s">
        <v>371</v>
      </c>
      <c r="AZ16" t="s">
        <v>227</v>
      </c>
      <c r="BA16" t="s">
        <v>86</v>
      </c>
      <c r="BB16" t="s">
        <v>228</v>
      </c>
      <c r="BC16" t="s">
        <v>281</v>
      </c>
      <c r="BD16" t="s">
        <v>420</v>
      </c>
      <c r="BE16" t="s">
        <v>132</v>
      </c>
      <c r="BF16" t="s">
        <v>87</v>
      </c>
      <c r="BG16" t="s">
        <v>178</v>
      </c>
      <c r="BH16" t="s">
        <v>902</v>
      </c>
      <c r="BI16" t="s">
        <v>690</v>
      </c>
      <c r="BJ16" t="s">
        <v>616</v>
      </c>
      <c r="BK16" t="s">
        <v>802</v>
      </c>
      <c r="BL16" t="s">
        <v>908</v>
      </c>
      <c r="BM16" t="s">
        <v>281</v>
      </c>
      <c r="BN16">
        <v>5.14</v>
      </c>
      <c r="BO16">
        <v>5.65</v>
      </c>
      <c r="BP16">
        <v>6.62</v>
      </c>
      <c r="BQ16">
        <v>9.76</v>
      </c>
      <c r="BR16">
        <v>9.36</v>
      </c>
      <c r="BS16">
        <v>12.22</v>
      </c>
      <c r="BT16" t="s">
        <v>603</v>
      </c>
      <c r="BU16" t="s">
        <v>47</v>
      </c>
      <c r="BV16">
        <v>57.65</v>
      </c>
      <c r="BW16">
        <v>56.22</v>
      </c>
      <c r="BX16">
        <v>65.290000000000006</v>
      </c>
      <c r="BY16">
        <v>22.02</v>
      </c>
      <c r="BZ16">
        <v>19.21</v>
      </c>
      <c r="CA16">
        <v>27.77</v>
      </c>
      <c r="CB16">
        <v>-4.84</v>
      </c>
      <c r="CC16">
        <v>-19.62</v>
      </c>
      <c r="CD16" t="s">
        <v>1421</v>
      </c>
      <c r="CE16" t="s">
        <v>1422</v>
      </c>
      <c r="CF16" s="9">
        <v>1.0638297872340425E-2</v>
      </c>
      <c r="CG16" s="10">
        <v>-0.12746563219326187</v>
      </c>
      <c r="CH16" s="9">
        <v>0.22486142814159393</v>
      </c>
      <c r="CI16" s="9">
        <v>0.16084565222263336</v>
      </c>
      <c r="CJ16" s="9">
        <v>0.28301885724067688</v>
      </c>
      <c r="CK16" s="9">
        <v>0.74485594034194946</v>
      </c>
      <c r="CL16" s="9">
        <v>0.22110553085803986</v>
      </c>
      <c r="CM16" s="10">
        <v>0.3214285671710968</v>
      </c>
      <c r="CN16" s="10">
        <v>-0.17647059261798859</v>
      </c>
      <c r="CO16" s="10">
        <v>0.19298245012760162</v>
      </c>
      <c r="CP16" s="10">
        <v>0.56164383888244629</v>
      </c>
      <c r="CQ16" s="10">
        <v>0.41747573018074036</v>
      </c>
      <c r="CR16">
        <v>25.679804728132389</v>
      </c>
      <c r="CS16">
        <v>0.78546530027128192</v>
      </c>
      <c r="CT16">
        <v>2.1186440677966099</v>
      </c>
      <c r="CU16" s="9">
        <v>0.3269374817609787</v>
      </c>
      <c r="CV16" s="10">
        <v>0.2634119987487793</v>
      </c>
      <c r="CW16">
        <v>0.06</v>
      </c>
      <c r="CX16">
        <v>23.814579014543924</v>
      </c>
      <c r="CY16">
        <v>370541032.64268833</v>
      </c>
      <c r="CZ16">
        <v>0.3269374817609787</v>
      </c>
      <c r="DA16">
        <v>6.4039663521275205</v>
      </c>
      <c r="DB16">
        <v>1377939579.1279268</v>
      </c>
      <c r="DC16">
        <v>0.31059060767292973</v>
      </c>
      <c r="DD16">
        <v>2.380899623155678</v>
      </c>
      <c r="DE16">
        <v>3706279178.7518435</v>
      </c>
      <c r="DF16">
        <v>0.28770498394966126</v>
      </c>
      <c r="DG16">
        <v>1.0130553991238929</v>
      </c>
      <c r="DH16">
        <v>8710558877.2651348</v>
      </c>
      <c r="DI16">
        <v>0.26154998540878299</v>
      </c>
      <c r="DJ16">
        <v>0.22474808923481934</v>
      </c>
      <c r="DK16">
        <v>39262975405.233788</v>
      </c>
      <c r="DL16">
        <v>0.22885623723268508</v>
      </c>
      <c r="DM16">
        <v>296000000</v>
      </c>
      <c r="DN16">
        <v>0.3269374817609787</v>
      </c>
      <c r="DO16">
        <v>8824278700</v>
      </c>
      <c r="DP16">
        <v>14375499.999999762</v>
      </c>
      <c r="DQ16">
        <v>1393</v>
      </c>
      <c r="DR16">
        <v>-0.31629918388863826</v>
      </c>
      <c r="DS16">
        <v>-0.3908776309420412</v>
      </c>
      <c r="DT16" s="11">
        <v>0.34333333333333321</v>
      </c>
      <c r="DU16">
        <v>0.36666666666666664</v>
      </c>
      <c r="DV16">
        <v>0.70999999999999985</v>
      </c>
      <c r="DW16">
        <v>-8.2466870540265038</v>
      </c>
      <c r="DX16">
        <v>0.51096915480132965</v>
      </c>
      <c r="DY16">
        <v>-8.0298415244260148</v>
      </c>
      <c r="DZ16">
        <v>456</v>
      </c>
      <c r="EA16">
        <v>-8.0271785625594276</v>
      </c>
      <c r="EB16">
        <v>8</v>
      </c>
      <c r="EC16">
        <v>1.2151138708934179E-2</v>
      </c>
      <c r="ED16">
        <v>0.10044824012278671</v>
      </c>
      <c r="EE16" s="12">
        <v>-2.0142000000000002</v>
      </c>
      <c r="EF16">
        <v>-2.0022000000000002</v>
      </c>
      <c r="EG16">
        <v>39.12096915480133</v>
      </c>
      <c r="EH16" t="s">
        <v>584</v>
      </c>
      <c r="EI16">
        <v>0</v>
      </c>
      <c r="EJ16">
        <v>1</v>
      </c>
      <c r="EK16" s="8">
        <v>45470</v>
      </c>
      <c r="EL16" s="13">
        <v>-0.85</v>
      </c>
      <c r="EM16" s="13">
        <v>-4.59</v>
      </c>
      <c r="EN16" s="13">
        <v>0.73</v>
      </c>
      <c r="EO16" s="13">
        <v>1.54</v>
      </c>
      <c r="EP16" s="13">
        <v>-1.2</v>
      </c>
    </row>
    <row r="17" spans="1:146" ht="96" x14ac:dyDescent="0.25">
      <c r="A17" s="6"/>
      <c r="B17" s="6"/>
      <c r="C17" s="6" t="str">
        <f>""&amp;CHAR(10)&amp;Basic_Fundamental_Information_Constructure(F17)&amp;CHAR(10)&amp;Basic_Fundamental_Information_Concatenate("")</f>
        <v xml:space="preserve">
市值7.593681亿, 利润-1.56亿; PE; 平均PE-3.08; 平均PEG-.23, PB; ROIC-2.18%; ROE-84.24%; 股利率0%; 毛利18.4767%; 净利-19.5367%; 上一年度营收增-37.99%, 利润增-9662.81%; 当季营收增19.8%, 利润增78.99%; 过往5年营收增-13.57%, 利润增-1904.98%
Income profile:
</v>
      </c>
      <c r="D17" t="s">
        <v>90</v>
      </c>
      <c r="E17" t="s">
        <v>909</v>
      </c>
      <c r="F17">
        <v>1.7</v>
      </c>
      <c r="G17">
        <v>2.41</v>
      </c>
      <c r="H17" t="s">
        <v>1423</v>
      </c>
      <c r="I17">
        <v>759368100</v>
      </c>
      <c r="L17" t="s">
        <v>47</v>
      </c>
      <c r="M17" t="s">
        <v>910</v>
      </c>
      <c r="N17" t="s">
        <v>1424</v>
      </c>
      <c r="O17" t="s">
        <v>469</v>
      </c>
      <c r="P17">
        <v>19.899999999999999</v>
      </c>
      <c r="Q17" t="s">
        <v>111</v>
      </c>
      <c r="R17">
        <v>-1940358</v>
      </c>
      <c r="S17" s="5">
        <v>0.78990000000000005</v>
      </c>
      <c r="T17" t="s">
        <v>911</v>
      </c>
      <c r="U17">
        <v>446687120</v>
      </c>
      <c r="V17">
        <v>446687120</v>
      </c>
      <c r="W17" t="s">
        <v>31</v>
      </c>
      <c r="X17">
        <v>0.21</v>
      </c>
      <c r="Y17">
        <v>-2.19</v>
      </c>
      <c r="Z17" t="s">
        <v>484</v>
      </c>
      <c r="AA17" t="s">
        <v>1425</v>
      </c>
      <c r="AB17" t="s">
        <v>1426</v>
      </c>
      <c r="AC17" t="s">
        <v>1427</v>
      </c>
      <c r="AD17" t="s">
        <v>31</v>
      </c>
      <c r="AE17">
        <v>5244735</v>
      </c>
      <c r="AF17" t="s">
        <v>913</v>
      </c>
      <c r="AG17" t="s">
        <v>1428</v>
      </c>
      <c r="AH17" t="s">
        <v>914</v>
      </c>
      <c r="AI17" t="s">
        <v>1429</v>
      </c>
      <c r="AJ17" t="s">
        <v>915</v>
      </c>
      <c r="AK17" t="s">
        <v>31</v>
      </c>
      <c r="AL17" t="s">
        <v>916</v>
      </c>
      <c r="AM17" t="s">
        <v>31</v>
      </c>
      <c r="AN17">
        <v>0</v>
      </c>
      <c r="AO17" t="s">
        <v>1430</v>
      </c>
      <c r="AP17" t="s">
        <v>31</v>
      </c>
      <c r="AQ17" t="s">
        <v>1431</v>
      </c>
      <c r="AR17" t="s">
        <v>31</v>
      </c>
      <c r="AS17" t="s">
        <v>1432</v>
      </c>
      <c r="AT17" t="s">
        <v>31</v>
      </c>
      <c r="AU17" t="s">
        <v>1433</v>
      </c>
      <c r="AV17" t="s">
        <v>1434</v>
      </c>
      <c r="AW17" t="s">
        <v>1435</v>
      </c>
      <c r="AX17" t="s">
        <v>618</v>
      </c>
      <c r="AY17" t="s">
        <v>696</v>
      </c>
      <c r="AZ17" t="s">
        <v>684</v>
      </c>
      <c r="BA17" t="s">
        <v>91</v>
      </c>
      <c r="BB17" t="s">
        <v>697</v>
      </c>
      <c r="BC17" t="s">
        <v>619</v>
      </c>
      <c r="BD17" t="s">
        <v>698</v>
      </c>
      <c r="BE17" t="s">
        <v>699</v>
      </c>
      <c r="BF17" t="s">
        <v>700</v>
      </c>
      <c r="BG17" t="s">
        <v>701</v>
      </c>
      <c r="BH17" t="s">
        <v>111</v>
      </c>
      <c r="BI17" t="s">
        <v>73</v>
      </c>
      <c r="BJ17" t="s">
        <v>618</v>
      </c>
      <c r="BK17" t="s">
        <v>911</v>
      </c>
      <c r="BL17" t="s">
        <v>917</v>
      </c>
      <c r="BM17" t="s">
        <v>619</v>
      </c>
      <c r="BN17" t="s">
        <v>31</v>
      </c>
      <c r="BO17">
        <v>-2.1800000000000002</v>
      </c>
      <c r="BP17" t="s">
        <v>31</v>
      </c>
      <c r="BQ17" t="s">
        <v>31</v>
      </c>
      <c r="BR17">
        <v>-7.65</v>
      </c>
      <c r="BS17">
        <v>-160.83000000000001</v>
      </c>
      <c r="BT17" t="s">
        <v>569</v>
      </c>
      <c r="BU17" t="s">
        <v>47</v>
      </c>
      <c r="BV17">
        <v>11.31</v>
      </c>
      <c r="BW17">
        <v>18.829999999999998</v>
      </c>
      <c r="BX17">
        <v>25.29</v>
      </c>
      <c r="BY17">
        <v>-38.64</v>
      </c>
      <c r="BZ17">
        <v>-0.11</v>
      </c>
      <c r="CA17">
        <v>-19.86</v>
      </c>
      <c r="CB17">
        <v>6.25</v>
      </c>
      <c r="CC17">
        <v>-11.46</v>
      </c>
      <c r="CD17" t="s">
        <v>1436</v>
      </c>
      <c r="CE17" t="s">
        <v>1437</v>
      </c>
      <c r="CF17" s="9">
        <v>0.19801980198019803</v>
      </c>
      <c r="CG17" s="10">
        <v>0.78993179456088691</v>
      </c>
      <c r="CH17" s="9">
        <v>-0.37987989187240601</v>
      </c>
      <c r="CI17" s="9">
        <v>-0.24318182468414307</v>
      </c>
      <c r="CJ17" s="9">
        <v>9.1811411082744598E-2</v>
      </c>
      <c r="CK17" s="9">
        <v>-0.10344827920198441</v>
      </c>
      <c r="CL17" s="9">
        <v>-4.3617021292448044E-2</v>
      </c>
      <c r="CM17" s="10">
        <v>-96.628135681152344</v>
      </c>
      <c r="CN17" s="10">
        <v>0.99086910486221313</v>
      </c>
      <c r="CO17" s="10">
        <v>0.5901639461517334</v>
      </c>
      <c r="CP17" s="10">
        <v>-0.62977099418640137</v>
      </c>
      <c r="CQ17" s="10">
        <v>0.42794761061668396</v>
      </c>
      <c r="CR17">
        <v>-3.0793559520461606</v>
      </c>
      <c r="CS17">
        <v>-0.22698548617723799</v>
      </c>
      <c r="CT17">
        <v>0</v>
      </c>
      <c r="CU17" s="9">
        <v>-0.13566312119364737</v>
      </c>
      <c r="CV17" s="10">
        <v>-19.049785202741624</v>
      </c>
      <c r="CW17">
        <v>0.06</v>
      </c>
      <c r="CX17" t="e">
        <v>#VALUE!</v>
      </c>
      <c r="CY17" t="s">
        <v>465</v>
      </c>
      <c r="CZ17">
        <v>-0.13566312119364737</v>
      </c>
      <c r="DA17" t="e">
        <v>#VALUE!</v>
      </c>
      <c r="DB17" t="s">
        <v>466</v>
      </c>
      <c r="DC17">
        <v>-0.12887996513396499</v>
      </c>
      <c r="DD17" t="e">
        <v>#VALUE!</v>
      </c>
      <c r="DE17" t="s">
        <v>466</v>
      </c>
      <c r="DF17">
        <v>-0.11938354665040969</v>
      </c>
      <c r="DG17" t="e">
        <v>#VALUE!</v>
      </c>
      <c r="DH17" t="s">
        <v>466</v>
      </c>
      <c r="DI17">
        <v>-0.1085304969549179</v>
      </c>
      <c r="DJ17" t="e">
        <v>#VALUE!</v>
      </c>
      <c r="DK17" t="s">
        <v>466</v>
      </c>
      <c r="DL17">
        <v>-9.4964184835553161E-2</v>
      </c>
      <c r="DM17">
        <v>-156000000</v>
      </c>
      <c r="DN17">
        <v>-0.13566312119364737</v>
      </c>
      <c r="DO17">
        <v>1550368100</v>
      </c>
      <c r="DP17">
        <v>-388735680</v>
      </c>
      <c r="DQ17">
        <v>1511</v>
      </c>
      <c r="DR17">
        <v>0.3336829231738454</v>
      </c>
      <c r="DS17">
        <v>19.83971699730251</v>
      </c>
      <c r="DT17" s="11">
        <v>-0.75666666666666671</v>
      </c>
      <c r="DU17">
        <v>-3.0150000000000001</v>
      </c>
      <c r="DV17">
        <v>-3.7716666666666669</v>
      </c>
      <c r="DW17">
        <v>7.3529079616036137</v>
      </c>
      <c r="DX17">
        <v>0.35681345565749267</v>
      </c>
      <c r="DY17">
        <v>7.0412243985239593</v>
      </c>
      <c r="DZ17">
        <v>5054</v>
      </c>
      <c r="EA17">
        <v>7.0004517742303998</v>
      </c>
      <c r="EB17">
        <v>7</v>
      </c>
      <c r="EC17">
        <v>8.551399467260215E-2</v>
      </c>
      <c r="ED17">
        <v>0.7320560306283288</v>
      </c>
      <c r="EE17" s="12">
        <v>-7.07721</v>
      </c>
      <c r="EF17">
        <v>-7.07721</v>
      </c>
      <c r="EG17">
        <v>24.116813455657493</v>
      </c>
      <c r="EH17" t="s">
        <v>1438</v>
      </c>
      <c r="EI17">
        <v>1</v>
      </c>
      <c r="EJ17">
        <v>0</v>
      </c>
      <c r="EK17" s="8">
        <v>45470</v>
      </c>
      <c r="EL17" s="13">
        <v>-1.18</v>
      </c>
      <c r="EM17" s="13">
        <v>-8.3800000000000008</v>
      </c>
      <c r="EN17" s="13">
        <v>1.31</v>
      </c>
      <c r="EO17" s="13">
        <v>1.94</v>
      </c>
      <c r="EP17" s="13">
        <v>0</v>
      </c>
    </row>
    <row r="18" spans="1:146" ht="96" x14ac:dyDescent="0.25">
      <c r="A18" s="6"/>
      <c r="B18" s="6"/>
      <c r="C18" s="6" t="str">
        <f>""&amp;CHAR(10)&amp;Basic_Fundamental_Information_Constructure(F18)&amp;CHAR(10)&amp;Basic_Fundamental_Information_Concatenate("")</f>
        <v xml:space="preserve">
市值19.168819亿, 利润2180.44万; PE58.72; 平均PE32.43; 平均PEG2.17, PB1.33; ROIC6.7867%; ROE8.51%; 股利率.2901%; 毛利7.3933%; 净利1.9267%; 上一年度营收增-25.81%, 利润增-79.81%; 当季营收增43.75%, 利润增78.8%; 过往5年营收增14.97%, 利润增446.16%
Income profile:
</v>
      </c>
      <c r="D18" t="s">
        <v>93</v>
      </c>
      <c r="E18" t="s">
        <v>5</v>
      </c>
      <c r="F18">
        <v>5.17</v>
      </c>
      <c r="G18">
        <v>-1.9</v>
      </c>
      <c r="H18" t="s">
        <v>1439</v>
      </c>
      <c r="I18">
        <v>1916881900</v>
      </c>
      <c r="J18">
        <v>58.72</v>
      </c>
      <c r="K18">
        <v>1.33</v>
      </c>
      <c r="L18" t="s">
        <v>47</v>
      </c>
      <c r="M18" t="s">
        <v>918</v>
      </c>
      <c r="N18" t="s">
        <v>1440</v>
      </c>
      <c r="O18" t="s">
        <v>655</v>
      </c>
      <c r="P18">
        <v>43.72</v>
      </c>
      <c r="Q18" t="s">
        <v>919</v>
      </c>
      <c r="R18">
        <v>-2916950</v>
      </c>
      <c r="S18" s="5">
        <v>0.78800000000000003</v>
      </c>
      <c r="T18" t="s">
        <v>920</v>
      </c>
      <c r="U18">
        <v>362586130</v>
      </c>
      <c r="V18">
        <v>370770200</v>
      </c>
      <c r="W18">
        <v>2.25</v>
      </c>
      <c r="X18">
        <v>0.4</v>
      </c>
      <c r="Y18">
        <v>-0.37</v>
      </c>
      <c r="Z18" t="s">
        <v>902</v>
      </c>
      <c r="AA18" t="s">
        <v>1441</v>
      </c>
      <c r="AB18" t="s">
        <v>1442</v>
      </c>
      <c r="AC18" t="s">
        <v>1443</v>
      </c>
      <c r="AD18" t="s">
        <v>31</v>
      </c>
      <c r="AE18">
        <v>9213864</v>
      </c>
      <c r="AF18" t="s">
        <v>921</v>
      </c>
      <c r="AG18" t="s">
        <v>1444</v>
      </c>
      <c r="AH18" t="s">
        <v>922</v>
      </c>
      <c r="AI18" t="s">
        <v>1445</v>
      </c>
      <c r="AJ18" t="s">
        <v>923</v>
      </c>
      <c r="AK18" t="s">
        <v>1446</v>
      </c>
      <c r="AL18" t="s">
        <v>924</v>
      </c>
      <c r="AM18" t="s">
        <v>31</v>
      </c>
      <c r="AN18" t="s">
        <v>1447</v>
      </c>
      <c r="AO18" t="s">
        <v>1448</v>
      </c>
      <c r="AP18" t="s">
        <v>31</v>
      </c>
      <c r="AQ18" t="s">
        <v>1449</v>
      </c>
      <c r="AR18" t="s">
        <v>31</v>
      </c>
      <c r="AS18" t="s">
        <v>1450</v>
      </c>
      <c r="AT18" t="s">
        <v>719</v>
      </c>
      <c r="AU18" t="s">
        <v>1451</v>
      </c>
      <c r="AV18" t="s">
        <v>1452</v>
      </c>
      <c r="AW18" t="s">
        <v>218</v>
      </c>
      <c r="AX18" t="s">
        <v>621</v>
      </c>
      <c r="AY18" t="s">
        <v>421</v>
      </c>
      <c r="AZ18" t="s">
        <v>230</v>
      </c>
      <c r="BA18" t="s">
        <v>94</v>
      </c>
      <c r="BB18" t="s">
        <v>232</v>
      </c>
      <c r="BC18" t="s">
        <v>411</v>
      </c>
      <c r="BD18" t="s">
        <v>260</v>
      </c>
      <c r="BE18" t="s">
        <v>231</v>
      </c>
      <c r="BF18" t="s">
        <v>95</v>
      </c>
      <c r="BG18" t="s">
        <v>233</v>
      </c>
      <c r="BH18" t="s">
        <v>919</v>
      </c>
      <c r="BI18" t="s">
        <v>925</v>
      </c>
      <c r="BJ18" t="s">
        <v>621</v>
      </c>
      <c r="BK18" t="s">
        <v>920</v>
      </c>
      <c r="BL18" t="s">
        <v>926</v>
      </c>
      <c r="BM18" t="s">
        <v>411</v>
      </c>
      <c r="BN18">
        <v>2.38</v>
      </c>
      <c r="BO18">
        <v>6.41</v>
      </c>
      <c r="BP18">
        <v>11.57</v>
      </c>
      <c r="BQ18">
        <v>2.8</v>
      </c>
      <c r="BR18">
        <v>7.74</v>
      </c>
      <c r="BS18">
        <v>14.99</v>
      </c>
      <c r="BT18" t="s">
        <v>927</v>
      </c>
      <c r="BU18" t="s">
        <v>47</v>
      </c>
      <c r="BV18">
        <v>8.1</v>
      </c>
      <c r="BW18">
        <v>6.84</v>
      </c>
      <c r="BX18">
        <v>7.24</v>
      </c>
      <c r="BY18">
        <v>0.56000000000000005</v>
      </c>
      <c r="BZ18">
        <v>1.82</v>
      </c>
      <c r="CA18">
        <v>3.4</v>
      </c>
      <c r="CB18">
        <v>-2.82</v>
      </c>
      <c r="CC18">
        <v>-7.43</v>
      </c>
      <c r="CD18" t="s">
        <v>1453</v>
      </c>
      <c r="CE18" t="s">
        <v>1454</v>
      </c>
      <c r="CF18" s="9">
        <v>0.43749999999999983</v>
      </c>
      <c r="CG18" s="10">
        <v>0.78796920885063826</v>
      </c>
      <c r="CH18" s="9">
        <v>-0.25812163949012756</v>
      </c>
      <c r="CI18" s="9">
        <v>-2.6312015950679779E-2</v>
      </c>
      <c r="CJ18" s="9">
        <v>0.87516850233078003</v>
      </c>
      <c r="CK18" s="9">
        <v>0.14581403136253357</v>
      </c>
      <c r="CL18" s="9">
        <v>1.2195060960948467E-2</v>
      </c>
      <c r="CM18" s="10">
        <v>-0.79810738563537598</v>
      </c>
      <c r="CN18" s="10">
        <v>-0.42245990037918091</v>
      </c>
      <c r="CO18" s="10">
        <v>23.677112579345703</v>
      </c>
      <c r="CP18" s="10">
        <v>-1.2637171745300293</v>
      </c>
      <c r="CQ18" s="10">
        <v>1.1150635480880737</v>
      </c>
      <c r="CR18">
        <v>32.433516360025749</v>
      </c>
      <c r="CS18">
        <v>2.1658616959288319</v>
      </c>
      <c r="CT18">
        <v>0.29013539651837522</v>
      </c>
      <c r="CU18" s="9">
        <v>0.14974878784269094</v>
      </c>
      <c r="CV18" s="10">
        <v>4.4615783333778385</v>
      </c>
      <c r="CW18">
        <v>0.06</v>
      </c>
      <c r="CX18">
        <v>97.624873368520099</v>
      </c>
      <c r="CY18">
        <v>23650549.499657705</v>
      </c>
      <c r="CZ18">
        <v>0.14974878784269094</v>
      </c>
      <c r="DA18">
        <v>30.339525149811362</v>
      </c>
      <c r="DB18">
        <v>76101451.443262145</v>
      </c>
      <c r="DC18">
        <v>0.14226134845055638</v>
      </c>
      <c r="DD18">
        <v>13.94427077729072</v>
      </c>
      <c r="DE18">
        <v>165579250.20791948</v>
      </c>
      <c r="DF18">
        <v>0.13177893330156804</v>
      </c>
      <c r="DG18">
        <v>7.7337004858063763</v>
      </c>
      <c r="DH18">
        <v>298548140.60067105</v>
      </c>
      <c r="DI18">
        <v>0.11979903027415276</v>
      </c>
      <c r="DJ18">
        <v>3.3315463281772164</v>
      </c>
      <c r="DK18">
        <v>693036107.7293663</v>
      </c>
      <c r="DL18">
        <v>0.10482415148988365</v>
      </c>
      <c r="DM18">
        <v>21804400</v>
      </c>
      <c r="DN18">
        <v>0.14974878784269094</v>
      </c>
      <c r="DO18">
        <v>2308881900</v>
      </c>
      <c r="DP18">
        <v>443195499.99999976</v>
      </c>
      <c r="DQ18">
        <v>1725</v>
      </c>
      <c r="DR18">
        <v>0.28775121215730892</v>
      </c>
      <c r="DS18">
        <v>-3.6736091245272</v>
      </c>
      <c r="DT18" s="11">
        <v>-0.34</v>
      </c>
      <c r="DU18">
        <v>-0.6</v>
      </c>
      <c r="DV18">
        <v>-0.94</v>
      </c>
      <c r="DW18">
        <v>-8.3795423956931359</v>
      </c>
      <c r="DX18">
        <v>0.36327207619047563</v>
      </c>
      <c r="DY18">
        <v>-8.0885366426456446</v>
      </c>
      <c r="DZ18">
        <v>3498</v>
      </c>
      <c r="EA18">
        <v>-8.0279297588933023</v>
      </c>
      <c r="EB18">
        <v>8</v>
      </c>
      <c r="EC18">
        <v>0.19818394250670632</v>
      </c>
      <c r="ED18">
        <v>0.84958284133946038</v>
      </c>
      <c r="EE18" s="12">
        <v>-3.0463100000000001</v>
      </c>
      <c r="EF18">
        <v>-3.0461</v>
      </c>
      <c r="EG18">
        <v>13.233272076190476</v>
      </c>
      <c r="EH18" t="s">
        <v>702</v>
      </c>
      <c r="EI18">
        <v>0</v>
      </c>
      <c r="EJ18">
        <v>0</v>
      </c>
      <c r="EK18" s="8">
        <v>45470</v>
      </c>
      <c r="EL18" s="13">
        <v>-3.46</v>
      </c>
      <c r="EM18" s="13">
        <v>-6.42</v>
      </c>
      <c r="EN18" s="13">
        <v>-2.42</v>
      </c>
      <c r="EO18" s="13">
        <v>2.89</v>
      </c>
      <c r="EP18" s="13">
        <v>9.24</v>
      </c>
    </row>
    <row r="19" spans="1:146" ht="96" x14ac:dyDescent="0.25">
      <c r="C19" s="6" t="str">
        <f>""&amp;CHAR(10)&amp;Basic_Fundamental_Information_Constructure(F19)&amp;CHAR(10)&amp;Basic_Fundamental_Information_Concatenate("")</f>
        <v xml:space="preserve">
市值25.535406亿, 利润9878.76万; PE18.04; 平均PE-15.32; 平均PEG-.95, PB2.71; ROIC8.18%; ROE4.4067%; 股利率0%; 毛利21.22%; 净利2.8567%; 上一年度营收增-29.71%, 利润增245.65%; 当季营收增-33.89%, 利润增4171.15%; 过往5年营收增-16.14%, 利润增24.8%
Income profile:
</v>
      </c>
      <c r="D19" t="s">
        <v>1167</v>
      </c>
      <c r="E19" t="s">
        <v>1168</v>
      </c>
      <c r="F19">
        <v>4.54</v>
      </c>
      <c r="G19">
        <v>2.25</v>
      </c>
      <c r="H19" t="s">
        <v>1455</v>
      </c>
      <c r="I19">
        <v>2553540600</v>
      </c>
      <c r="J19">
        <v>18.04</v>
      </c>
      <c r="K19">
        <v>2.71</v>
      </c>
      <c r="L19" t="s">
        <v>47</v>
      </c>
      <c r="M19" t="s">
        <v>68</v>
      </c>
      <c r="N19" t="s">
        <v>1456</v>
      </c>
      <c r="O19" t="s">
        <v>1169</v>
      </c>
      <c r="P19" s="15">
        <v>-33.89</v>
      </c>
      <c r="Q19" t="s">
        <v>1170</v>
      </c>
      <c r="R19">
        <v>41717100</v>
      </c>
      <c r="S19">
        <v>41.71</v>
      </c>
      <c r="T19" t="s">
        <v>1171</v>
      </c>
      <c r="U19">
        <v>471565420</v>
      </c>
      <c r="V19">
        <v>562453880</v>
      </c>
      <c r="W19">
        <v>1.24</v>
      </c>
      <c r="X19">
        <v>0.05</v>
      </c>
      <c r="Y19">
        <v>64.260000000000005</v>
      </c>
      <c r="Z19" t="s">
        <v>1457</v>
      </c>
      <c r="AA19" t="s">
        <v>1458</v>
      </c>
      <c r="AB19" t="s">
        <v>1459</v>
      </c>
      <c r="AC19" t="s">
        <v>1460</v>
      </c>
      <c r="AD19" t="s">
        <v>31</v>
      </c>
      <c r="AE19">
        <v>510008</v>
      </c>
      <c r="AF19" t="s">
        <v>1173</v>
      </c>
      <c r="AG19" t="s">
        <v>1461</v>
      </c>
      <c r="AH19" t="s">
        <v>1174</v>
      </c>
      <c r="AI19" t="s">
        <v>229</v>
      </c>
      <c r="AJ19" t="s">
        <v>1175</v>
      </c>
      <c r="AK19" t="s">
        <v>1462</v>
      </c>
      <c r="AL19" t="s">
        <v>1176</v>
      </c>
      <c r="AM19" t="s">
        <v>31</v>
      </c>
      <c r="AN19" t="s">
        <v>1177</v>
      </c>
      <c r="AO19" t="s">
        <v>1463</v>
      </c>
      <c r="AP19" t="s">
        <v>31</v>
      </c>
      <c r="AQ19" t="s">
        <v>1464</v>
      </c>
      <c r="AR19" t="s">
        <v>1465</v>
      </c>
      <c r="AS19" t="s">
        <v>714</v>
      </c>
      <c r="AT19" t="s">
        <v>31</v>
      </c>
      <c r="AU19" t="s">
        <v>1466</v>
      </c>
      <c r="AV19" t="s">
        <v>1467</v>
      </c>
      <c r="AW19" t="s">
        <v>1468</v>
      </c>
      <c r="AX19" t="s">
        <v>1178</v>
      </c>
      <c r="AY19" t="s">
        <v>1179</v>
      </c>
      <c r="AZ19" t="s">
        <v>613</v>
      </c>
      <c r="BA19" t="s">
        <v>783</v>
      </c>
      <c r="BB19" t="s">
        <v>1180</v>
      </c>
      <c r="BC19" t="s">
        <v>1181</v>
      </c>
      <c r="BD19" t="s">
        <v>1182</v>
      </c>
      <c r="BE19" t="s">
        <v>1183</v>
      </c>
      <c r="BF19" t="s">
        <v>1184</v>
      </c>
      <c r="BG19" t="s">
        <v>1185</v>
      </c>
      <c r="BH19" t="s">
        <v>1170</v>
      </c>
      <c r="BI19" t="s">
        <v>1186</v>
      </c>
      <c r="BJ19" t="s">
        <v>1178</v>
      </c>
      <c r="BK19" t="s">
        <v>1171</v>
      </c>
      <c r="BL19" t="s">
        <v>1187</v>
      </c>
      <c r="BM19" t="s">
        <v>1181</v>
      </c>
      <c r="BN19">
        <v>11.95</v>
      </c>
      <c r="BO19" t="s">
        <v>31</v>
      </c>
      <c r="BP19">
        <v>4.41</v>
      </c>
      <c r="BQ19">
        <v>14.19</v>
      </c>
      <c r="BR19">
        <v>-8.1300000000000008</v>
      </c>
      <c r="BS19">
        <v>7.16</v>
      </c>
      <c r="BT19" t="s">
        <v>569</v>
      </c>
      <c r="BU19" t="s">
        <v>47</v>
      </c>
      <c r="BV19">
        <v>20.28</v>
      </c>
      <c r="BW19">
        <v>18.059999999999999</v>
      </c>
      <c r="BX19">
        <v>25.32</v>
      </c>
      <c r="BY19">
        <v>22.74</v>
      </c>
      <c r="BZ19">
        <v>-21.06</v>
      </c>
      <c r="CA19">
        <v>6.89</v>
      </c>
      <c r="CB19">
        <v>-3.81</v>
      </c>
      <c r="CC19" s="9">
        <v>-13.52</v>
      </c>
      <c r="CD19" s="10" t="s">
        <v>1469</v>
      </c>
      <c r="CE19" s="9" t="s">
        <v>1470</v>
      </c>
      <c r="CF19" s="9">
        <v>-0.33885653155830264</v>
      </c>
      <c r="CG19" s="9">
        <v>41.711525324485216</v>
      </c>
      <c r="CH19" s="9">
        <v>-0.29708737134933472</v>
      </c>
      <c r="CI19" s="9">
        <v>-4.8059150576591492E-2</v>
      </c>
      <c r="CJ19" s="10">
        <v>-0.11165845394134521</v>
      </c>
      <c r="CK19" s="10">
        <v>3.0456852167844772E-2</v>
      </c>
      <c r="CL19" s="10">
        <v>-0.38050314784049988</v>
      </c>
      <c r="CM19" s="10">
        <v>2.4564812183380127</v>
      </c>
      <c r="CN19" s="10">
        <v>-2.3897330760955811</v>
      </c>
      <c r="CO19">
        <v>-4.4380657374858856E-2</v>
      </c>
      <c r="CP19">
        <v>1.0965440273284912</v>
      </c>
      <c r="CQ19">
        <v>0.12126246094703674</v>
      </c>
      <c r="CR19" s="9">
        <v>-15.318768087077128</v>
      </c>
      <c r="CS19" s="10">
        <v>-0.94929317381134526</v>
      </c>
      <c r="CT19">
        <v>0</v>
      </c>
      <c r="CU19">
        <v>-0.16137025430798529</v>
      </c>
      <c r="CV19">
        <v>0.24803479462862016</v>
      </c>
      <c r="CW19">
        <v>0.06</v>
      </c>
      <c r="CX19">
        <v>19.14755090719888</v>
      </c>
      <c r="CY19" t="s">
        <v>1188</v>
      </c>
      <c r="CZ19">
        <v>-0.16137025430798529</v>
      </c>
      <c r="DA19">
        <v>6.3825169690662928</v>
      </c>
      <c r="DB19" t="s">
        <v>1189</v>
      </c>
      <c r="DC19">
        <v>-0.15330174159258603</v>
      </c>
      <c r="DD19">
        <v>3.1912584845331464</v>
      </c>
      <c r="DE19" t="s">
        <v>1190</v>
      </c>
      <c r="DF19">
        <v>-0.14200582379102705</v>
      </c>
      <c r="DG19">
        <v>1.914755090719888</v>
      </c>
      <c r="DH19" t="s">
        <v>1191</v>
      </c>
      <c r="DI19">
        <v>-0.12909620344638825</v>
      </c>
      <c r="DJ19">
        <v>0.95737754535994402</v>
      </c>
      <c r="DK19" t="s">
        <v>1192</v>
      </c>
      <c r="DL19">
        <v>-0.1129591780155897</v>
      </c>
      <c r="DM19">
        <v>98787600</v>
      </c>
      <c r="DN19">
        <v>-0.16137025430798529</v>
      </c>
      <c r="DO19">
        <v>1891540600</v>
      </c>
      <c r="DP19">
        <v>408994450</v>
      </c>
      <c r="DQ19" s="11">
        <v>1828</v>
      </c>
      <c r="DR19">
        <v>-0.17748627725031735</v>
      </c>
      <c r="DS19">
        <v>41.463490529856593</v>
      </c>
      <c r="DT19">
        <v>-0.70666666666666667</v>
      </c>
      <c r="DU19">
        <v>-0.38000000000000012</v>
      </c>
      <c r="DV19">
        <v>-1.0866666666666669</v>
      </c>
      <c r="DW19">
        <v>-8.2818047337278102</v>
      </c>
      <c r="DX19">
        <v>0.29827452229299201</v>
      </c>
      <c r="DY19">
        <v>-8.0389664149361177</v>
      </c>
      <c r="DZ19">
        <v>3651</v>
      </c>
      <c r="EA19">
        <v>-8.0111256358888046</v>
      </c>
      <c r="EB19" s="12">
        <v>8</v>
      </c>
      <c r="EC19" s="12">
        <v>0.11579136052897349</v>
      </c>
      <c r="ED19">
        <v>0.83740199285317407</v>
      </c>
      <c r="EE19">
        <v>8.1209999999999991E-2</v>
      </c>
      <c r="EF19">
        <v>4.3409999999999997E-2</v>
      </c>
      <c r="EG19">
        <v>16.138274522292992</v>
      </c>
      <c r="EH19" s="8">
        <v>-1</v>
      </c>
      <c r="EI19">
        <v>0</v>
      </c>
      <c r="EJ19">
        <v>0</v>
      </c>
      <c r="EK19">
        <v>45470</v>
      </c>
      <c r="EL19">
        <v>0.44</v>
      </c>
      <c r="EM19">
        <v>-3.93</v>
      </c>
      <c r="EN19" s="13">
        <v>-0.91</v>
      </c>
      <c r="EO19" s="13">
        <v>3.21</v>
      </c>
      <c r="EP19" s="13">
        <v>3.78</v>
      </c>
    </row>
    <row r="20" spans="1:146" ht="96" x14ac:dyDescent="0.25">
      <c r="A20" s="6"/>
      <c r="B20" s="6"/>
      <c r="C20" s="6" t="str">
        <f>""&amp;CHAR(10)&amp;Basic_Fundamental_Information_Constructure(F20)&amp;CHAR(10)&amp;Basic_Fundamental_Information_Concatenate("")</f>
        <v xml:space="preserve">
市值32.46873亿, 利润-6790.42万; PE11.63; 平均PE19.45; 平均PEG15.74, PB1.12; ROIC12.4767%; ROE13.8633%; 股利率2.8409%; 毛利25.5433%; 净利19.5533%; 上一年度营收增-83.72%, 利润增-118.97%; 当季营收增722.81%, 利润增2209.61%; 过往5年营收增1.24%, 利润增13.73%
Income profile:
</v>
      </c>
      <c r="D20" t="s">
        <v>97</v>
      </c>
      <c r="E20" t="s">
        <v>98</v>
      </c>
      <c r="F20">
        <v>14.08</v>
      </c>
      <c r="G20">
        <v>0.56999999999999995</v>
      </c>
      <c r="H20" t="s">
        <v>1471</v>
      </c>
      <c r="I20">
        <v>3246873000</v>
      </c>
      <c r="J20">
        <v>11.63</v>
      </c>
      <c r="K20">
        <v>1.1200000000000001</v>
      </c>
      <c r="L20" t="s">
        <v>47</v>
      </c>
      <c r="M20" t="s">
        <v>929</v>
      </c>
      <c r="N20" t="s">
        <v>1472</v>
      </c>
      <c r="O20" t="s">
        <v>605</v>
      </c>
      <c r="P20">
        <v>-10.28</v>
      </c>
      <c r="Q20" t="s">
        <v>1473</v>
      </c>
      <c r="R20">
        <v>57153704</v>
      </c>
      <c r="S20" s="5">
        <v>-3.5099999999999999E-2</v>
      </c>
      <c r="T20" t="s">
        <v>1474</v>
      </c>
      <c r="U20">
        <v>169239690</v>
      </c>
      <c r="V20">
        <v>230601780</v>
      </c>
      <c r="W20">
        <v>1.36</v>
      </c>
      <c r="X20">
        <v>0.1</v>
      </c>
      <c r="Y20">
        <v>15.45</v>
      </c>
      <c r="Z20" t="s">
        <v>643</v>
      </c>
      <c r="AA20" t="s">
        <v>1475</v>
      </c>
      <c r="AB20" t="s">
        <v>1476</v>
      </c>
      <c r="AC20" t="s">
        <v>1477</v>
      </c>
      <c r="AD20" t="s">
        <v>31</v>
      </c>
      <c r="AE20">
        <v>-14966962</v>
      </c>
      <c r="AF20" t="s">
        <v>931</v>
      </c>
      <c r="AG20" t="s">
        <v>1478</v>
      </c>
      <c r="AH20" t="s">
        <v>932</v>
      </c>
      <c r="AI20" t="s">
        <v>1479</v>
      </c>
      <c r="AJ20" t="s">
        <v>933</v>
      </c>
      <c r="AK20" t="s">
        <v>1480</v>
      </c>
      <c r="AL20" t="s">
        <v>934</v>
      </c>
      <c r="AM20" t="s">
        <v>31</v>
      </c>
      <c r="AN20" t="s">
        <v>88</v>
      </c>
      <c r="AO20" t="s">
        <v>1481</v>
      </c>
      <c r="AP20" t="s">
        <v>53</v>
      </c>
      <c r="AQ20" t="s">
        <v>1166</v>
      </c>
      <c r="AR20" t="s">
        <v>1482</v>
      </c>
      <c r="AS20" t="s">
        <v>1483</v>
      </c>
      <c r="AT20" t="s">
        <v>31</v>
      </c>
      <c r="AU20" t="s">
        <v>1484</v>
      </c>
      <c r="AV20" t="s">
        <v>698</v>
      </c>
      <c r="AW20" t="s">
        <v>250</v>
      </c>
      <c r="AX20" t="s">
        <v>623</v>
      </c>
      <c r="AY20" t="s">
        <v>245</v>
      </c>
      <c r="AZ20" t="s">
        <v>234</v>
      </c>
      <c r="BA20" t="s">
        <v>99</v>
      </c>
      <c r="BB20" t="s">
        <v>236</v>
      </c>
      <c r="BC20" t="s">
        <v>624</v>
      </c>
      <c r="BD20" t="s">
        <v>422</v>
      </c>
      <c r="BE20" t="s">
        <v>235</v>
      </c>
      <c r="BF20" t="s">
        <v>100</v>
      </c>
      <c r="BG20" t="s">
        <v>237</v>
      </c>
      <c r="BH20" t="s">
        <v>858</v>
      </c>
      <c r="BI20" t="s">
        <v>1485</v>
      </c>
      <c r="BJ20" t="s">
        <v>623</v>
      </c>
      <c r="BK20" t="s">
        <v>930</v>
      </c>
      <c r="BL20" t="s">
        <v>1486</v>
      </c>
      <c r="BM20" t="s">
        <v>624</v>
      </c>
      <c r="BN20">
        <v>7.14</v>
      </c>
      <c r="BO20">
        <v>14.41</v>
      </c>
      <c r="BP20">
        <v>15.88</v>
      </c>
      <c r="BQ20">
        <v>8.9700000000000006</v>
      </c>
      <c r="BR20">
        <v>16.39</v>
      </c>
      <c r="BS20">
        <v>16.23</v>
      </c>
      <c r="BT20" t="s">
        <v>935</v>
      </c>
      <c r="BU20" t="s">
        <v>47</v>
      </c>
      <c r="BV20">
        <v>22.65</v>
      </c>
      <c r="BW20">
        <v>25.13</v>
      </c>
      <c r="BX20">
        <v>28.85</v>
      </c>
      <c r="BY20">
        <v>16.170000000000002</v>
      </c>
      <c r="BZ20">
        <v>20.52</v>
      </c>
      <c r="CA20">
        <v>21.97</v>
      </c>
      <c r="CB20">
        <v>-3.43</v>
      </c>
      <c r="CC20">
        <v>-9.4499999999999993</v>
      </c>
      <c r="CD20" t="s">
        <v>1487</v>
      </c>
      <c r="CE20" t="s">
        <v>1488</v>
      </c>
      <c r="CF20" s="9">
        <v>7.2280605519759611</v>
      </c>
      <c r="CG20" s="10">
        <v>22.096138365796492</v>
      </c>
      <c r="CH20" s="9">
        <v>-0.83722227811813354</v>
      </c>
      <c r="CI20" s="9">
        <v>0.22615803778171539</v>
      </c>
      <c r="CJ20" s="9">
        <v>0.36685287952423096</v>
      </c>
      <c r="CK20" s="9">
        <v>0.16739130020141602</v>
      </c>
      <c r="CL20" s="9">
        <v>0.13861386477947235</v>
      </c>
      <c r="CM20" s="10">
        <v>-1.1896765232086182</v>
      </c>
      <c r="CN20" s="10">
        <v>0.15857605636119843</v>
      </c>
      <c r="CO20" s="10">
        <v>0.58461540937423706</v>
      </c>
      <c r="CP20" s="10">
        <v>0.5234375</v>
      </c>
      <c r="CQ20" s="10">
        <v>0.60968631505966187</v>
      </c>
      <c r="CR20">
        <v>19.449838181240203</v>
      </c>
      <c r="CS20">
        <v>15.737692834172224</v>
      </c>
      <c r="CT20">
        <v>2.8409090909090908</v>
      </c>
      <c r="CU20" s="9">
        <v>1.2358760833740235E-2</v>
      </c>
      <c r="CV20" s="10">
        <v>0.13732775151729584</v>
      </c>
      <c r="CW20">
        <v>0.06</v>
      </c>
      <c r="CX20" t="e">
        <v>#VALUE!</v>
      </c>
      <c r="CY20" t="s">
        <v>466</v>
      </c>
      <c r="CZ20">
        <v>1.2358760833740235E-2</v>
      </c>
      <c r="DA20" t="e">
        <v>#VALUE!</v>
      </c>
      <c r="DB20" t="s">
        <v>466</v>
      </c>
      <c r="DC20">
        <v>1.1740822792053223E-2</v>
      </c>
      <c r="DD20" t="e">
        <v>#VALUE!</v>
      </c>
      <c r="DE20" t="s">
        <v>466</v>
      </c>
      <c r="DF20">
        <v>1.0875709533691406E-2</v>
      </c>
      <c r="DG20" t="e">
        <v>#VALUE!</v>
      </c>
      <c r="DH20" t="s">
        <v>466</v>
      </c>
      <c r="DI20">
        <v>9.8870086669921881E-3</v>
      </c>
      <c r="DJ20" t="e">
        <v>#VALUE!</v>
      </c>
      <c r="DK20" t="s">
        <v>466</v>
      </c>
      <c r="DL20">
        <v>8.6511325836181631E-3</v>
      </c>
      <c r="DM20">
        <v>-67904200</v>
      </c>
      <c r="DN20">
        <v>1.2358760833740235E-2</v>
      </c>
      <c r="DO20">
        <v>1423873000</v>
      </c>
      <c r="DP20">
        <v>1261931100</v>
      </c>
      <c r="DQ20">
        <v>2330</v>
      </c>
      <c r="DR20">
        <v>7.2157017911422212</v>
      </c>
      <c r="DS20">
        <v>21.958810614279194</v>
      </c>
      <c r="DT20" s="11">
        <v>-0.37333333333333335</v>
      </c>
      <c r="DU20">
        <v>-0.15</v>
      </c>
      <c r="DV20">
        <v>-0.52333333333333332</v>
      </c>
      <c r="DW20">
        <v>-8.3629629629629623</v>
      </c>
      <c r="DX20">
        <v>0.31258920724204597</v>
      </c>
      <c r="DY20">
        <v>-8.0336064529989653</v>
      </c>
      <c r="DZ20">
        <v>382</v>
      </c>
      <c r="EA20">
        <v>-8.0310941897806476</v>
      </c>
      <c r="EB20">
        <v>8</v>
      </c>
      <c r="EC20">
        <v>3.4262961890406916E-2</v>
      </c>
      <c r="ED20">
        <v>0.37005351823390087</v>
      </c>
      <c r="EE20" s="12">
        <v>-1.1094999999999999</v>
      </c>
      <c r="EF20">
        <v>-1.1027</v>
      </c>
      <c r="EG20">
        <v>22.092589207242046</v>
      </c>
      <c r="EH20" t="s">
        <v>473</v>
      </c>
      <c r="EI20">
        <v>0</v>
      </c>
      <c r="EJ20">
        <v>1</v>
      </c>
      <c r="EK20" s="8">
        <v>45470</v>
      </c>
      <c r="EL20" s="13">
        <v>-0.08</v>
      </c>
      <c r="EM20" s="13">
        <v>-1.67</v>
      </c>
      <c r="EN20" s="13">
        <v>-1.77</v>
      </c>
      <c r="EO20" s="13">
        <v>4.16</v>
      </c>
      <c r="EP20" s="13">
        <v>-0.68</v>
      </c>
    </row>
    <row r="21" spans="1:146" ht="180" x14ac:dyDescent="0.25">
      <c r="A21" s="6" t="s">
        <v>577</v>
      </c>
      <c r="B21" s="6"/>
      <c r="C21" s="6" t="str">
        <f>"(厦门市国资委控股51.5%）公司主要从事大宗商品采购供应及综合物流以及物流平台(园区)开发运营业务。其主要产品有金属矿产、农产品、能源化工。2021年上半年，公司市场影响力持续提升，连续10年进入《财富》中国500强榜单，跃居第32位"&amp;CHAR(10)&amp;Basic_Fundamental_Information_Constructure(F21)&amp;CHAR(10)&amp;Basic_Fundamental_Information_Concatenate("金属矿产 2927.89亿 63.30% 40.00% 1.38%
能源化工 1089.87亿 23.56% 25.67% 2.38%
农产品 439.88亿 9.51% 19.15% 4.40%
其他业务 136.59亿 2.95% 14.54% 10.77%")</f>
        <v>(厦门市国资委控股51.5%）公司主要从事大宗商品采购供应及综合物流以及物流平台(园区)开发运营业务。其主要产品有金属矿产、农产品、能源化工。2021年上半年，公司市场影响力持续提升，连续10年进入《财富》中国500强榜单，跃居第32位
市值150.88829亿, 利润1.99亿; PE10.51; 平均PE10.64; 平均PEG.87, PB.988; ROIC7.0633%; ROE14.1067%; 股利率4.5181%; 毛利2.08%; 净利.5967%; 上一年度营收增-85.32%, 利润增-92.45%; 当季营收增480.55%, 利润增1072.68%; 过往5年营收增-12.23%, 利润增-92.45%
Income profile:
金属矿产 2927.89亿 63.30% 40.00% 1.38%
能源化工 1089.87亿 23.56% 25.67% 2.38%
农产品 439.88亿 9.51% 19.15% 4.40%
其他业务 136.59亿 2.95% 14.54% 10.77%</v>
      </c>
      <c r="D21" t="s">
        <v>102</v>
      </c>
      <c r="E21" t="s">
        <v>30</v>
      </c>
      <c r="F21">
        <v>6.64</v>
      </c>
      <c r="G21">
        <v>-0.3</v>
      </c>
      <c r="H21" t="s">
        <v>1489</v>
      </c>
      <c r="I21">
        <v>15088829000</v>
      </c>
      <c r="J21">
        <v>10.51</v>
      </c>
      <c r="K21">
        <v>0.98799999999999999</v>
      </c>
      <c r="L21" t="s">
        <v>47</v>
      </c>
      <c r="M21" t="s">
        <v>936</v>
      </c>
      <c r="N21" t="s">
        <v>1490</v>
      </c>
      <c r="O21" t="s">
        <v>937</v>
      </c>
      <c r="P21">
        <v>-19.03</v>
      </c>
      <c r="Q21" t="s">
        <v>1491</v>
      </c>
      <c r="R21">
        <v>407653310</v>
      </c>
      <c r="S21" s="5">
        <v>-0.25390000000000001</v>
      </c>
      <c r="T21" t="s">
        <v>1195</v>
      </c>
      <c r="U21">
        <v>2165091800</v>
      </c>
      <c r="V21">
        <v>2272414100</v>
      </c>
      <c r="W21">
        <v>3.45</v>
      </c>
      <c r="X21" t="s">
        <v>31</v>
      </c>
      <c r="Y21">
        <v>0.51</v>
      </c>
      <c r="Z21" t="s">
        <v>31</v>
      </c>
      <c r="AA21" t="s">
        <v>31</v>
      </c>
      <c r="AB21" t="s">
        <v>31</v>
      </c>
      <c r="AC21" t="s">
        <v>31</v>
      </c>
      <c r="AD21" t="s">
        <v>31</v>
      </c>
      <c r="AE21">
        <v>504631830</v>
      </c>
      <c r="AF21" t="s">
        <v>941</v>
      </c>
      <c r="AG21" t="s">
        <v>1492</v>
      </c>
      <c r="AH21" t="s">
        <v>942</v>
      </c>
      <c r="AI21" t="s">
        <v>1493</v>
      </c>
      <c r="AJ21" t="s">
        <v>943</v>
      </c>
      <c r="AK21" t="s">
        <v>31</v>
      </c>
      <c r="AL21" t="s">
        <v>944</v>
      </c>
      <c r="AM21" t="s">
        <v>31</v>
      </c>
      <c r="AN21" t="s">
        <v>629</v>
      </c>
      <c r="AO21" t="s">
        <v>31</v>
      </c>
      <c r="AP21" t="s">
        <v>1494</v>
      </c>
      <c r="AQ21" t="s">
        <v>1495</v>
      </c>
      <c r="AR21" t="s">
        <v>1496</v>
      </c>
      <c r="AS21" t="s">
        <v>31</v>
      </c>
      <c r="AT21" t="s">
        <v>31</v>
      </c>
      <c r="AU21" t="s">
        <v>1497</v>
      </c>
      <c r="AV21" t="s">
        <v>1328</v>
      </c>
      <c r="AW21" t="s">
        <v>1498</v>
      </c>
      <c r="AX21" t="s">
        <v>626</v>
      </c>
      <c r="AY21" t="s">
        <v>31</v>
      </c>
      <c r="AZ21" t="s">
        <v>238</v>
      </c>
      <c r="BA21" t="s">
        <v>103</v>
      </c>
      <c r="BB21" t="s">
        <v>240</v>
      </c>
      <c r="BC21" t="s">
        <v>627</v>
      </c>
      <c r="BD21" t="s">
        <v>31</v>
      </c>
      <c r="BE21" t="s">
        <v>31</v>
      </c>
      <c r="BF21" t="s">
        <v>31</v>
      </c>
      <c r="BG21" t="s">
        <v>31</v>
      </c>
      <c r="BH21" t="s">
        <v>938</v>
      </c>
      <c r="BI21" t="s">
        <v>1499</v>
      </c>
      <c r="BJ21" t="s">
        <v>626</v>
      </c>
      <c r="BK21" t="s">
        <v>939</v>
      </c>
      <c r="BL21" t="s">
        <v>1500</v>
      </c>
      <c r="BM21" t="s">
        <v>627</v>
      </c>
      <c r="BN21">
        <v>4.59</v>
      </c>
      <c r="BO21">
        <v>9.1199999999999992</v>
      </c>
      <c r="BP21">
        <v>7.48</v>
      </c>
      <c r="BQ21">
        <v>7.12</v>
      </c>
      <c r="BR21">
        <v>18.059999999999999</v>
      </c>
      <c r="BS21">
        <v>17.14</v>
      </c>
      <c r="BT21" t="s">
        <v>572</v>
      </c>
      <c r="BU21" t="s">
        <v>47</v>
      </c>
      <c r="BV21">
        <v>1.92</v>
      </c>
      <c r="BW21">
        <v>2.13</v>
      </c>
      <c r="BX21">
        <v>2.19</v>
      </c>
      <c r="BY21">
        <v>0.5</v>
      </c>
      <c r="BZ21">
        <v>0.7</v>
      </c>
      <c r="CA21">
        <v>0.59</v>
      </c>
      <c r="CB21">
        <v>-2.35</v>
      </c>
      <c r="CC21">
        <v>-6.08</v>
      </c>
      <c r="CD21" t="s">
        <v>1501</v>
      </c>
      <c r="CE21" t="s">
        <v>711</v>
      </c>
      <c r="CF21" s="9">
        <v>4.8054630246502335</v>
      </c>
      <c r="CG21" s="10">
        <v>10.726845960002761</v>
      </c>
      <c r="CH21" s="9">
        <v>-0.85320770740509033</v>
      </c>
      <c r="CI21" s="9" t="s">
        <v>31</v>
      </c>
      <c r="CJ21" s="9" t="s">
        <v>31</v>
      </c>
      <c r="CK21" s="9">
        <v>0.32231688499450684</v>
      </c>
      <c r="CL21" s="9">
        <v>0.16411404311656952</v>
      </c>
      <c r="CM21" s="10">
        <v>-0.92453545331954956</v>
      </c>
      <c r="CN21" s="10" t="s">
        <v>31</v>
      </c>
      <c r="CO21" s="10" t="s">
        <v>31</v>
      </c>
      <c r="CP21" s="10" t="s">
        <v>31</v>
      </c>
      <c r="CQ21" s="10" t="s">
        <v>31</v>
      </c>
      <c r="CR21">
        <v>10.640923131170663</v>
      </c>
      <c r="CS21">
        <v>0.87035960823251013</v>
      </c>
      <c r="CT21">
        <v>4.5180722891566267</v>
      </c>
      <c r="CU21" s="9">
        <v>-0.122258926431338</v>
      </c>
      <c r="CV21" s="10">
        <v>-0.92453545331954956</v>
      </c>
      <c r="CW21">
        <v>0.06</v>
      </c>
      <c r="CX21">
        <v>345.97904020100503</v>
      </c>
      <c r="CY21" t="s">
        <v>1502</v>
      </c>
      <c r="CZ21">
        <v>-0.122258926431338</v>
      </c>
      <c r="DA21">
        <v>115.32634673366834</v>
      </c>
      <c r="DB21" t="s">
        <v>1503</v>
      </c>
      <c r="DC21">
        <v>-0.11614598010977109</v>
      </c>
      <c r="DD21">
        <v>57.663173366834172</v>
      </c>
      <c r="DE21" t="s">
        <v>1504</v>
      </c>
      <c r="DF21">
        <v>-0.10758785525957744</v>
      </c>
      <c r="DG21">
        <v>34.597904020100501</v>
      </c>
      <c r="DH21" t="s">
        <v>1505</v>
      </c>
      <c r="DI21">
        <v>-9.78071411450704E-2</v>
      </c>
      <c r="DJ21">
        <v>17.29895201005025</v>
      </c>
      <c r="DK21" t="s">
        <v>1506</v>
      </c>
      <c r="DL21">
        <v>-8.5581248501936588E-2</v>
      </c>
      <c r="DM21">
        <v>199000000</v>
      </c>
      <c r="DN21">
        <v>-0.122258926431338</v>
      </c>
      <c r="DO21">
        <v>68849829000</v>
      </c>
      <c r="DP21">
        <v>115228904000</v>
      </c>
      <c r="DQ21">
        <v>2886</v>
      </c>
      <c r="DR21">
        <v>4.9277219510815717</v>
      </c>
      <c r="DS21">
        <v>11.65138141332231</v>
      </c>
      <c r="DT21" s="11">
        <v>-1.1599999999999999</v>
      </c>
      <c r="DU21">
        <v>-2.3199999999999998</v>
      </c>
      <c r="DV21">
        <v>-3.4799999999999995</v>
      </c>
      <c r="DW21">
        <v>-2.0608</v>
      </c>
      <c r="DX21">
        <v>0.39685461346633533</v>
      </c>
      <c r="DY21">
        <v>-2.007712760498753</v>
      </c>
      <c r="DZ21">
        <v>3051</v>
      </c>
      <c r="EA21">
        <v>-2.0031077443966598</v>
      </c>
      <c r="EB21">
        <v>2</v>
      </c>
      <c r="EC21">
        <v>2.238531260653593E-2</v>
      </c>
      <c r="ED21">
        <v>0.17646431607689814</v>
      </c>
      <c r="EE21" s="12">
        <v>-1.0193099999999999</v>
      </c>
      <c r="EF21">
        <v>-1.0173099999999999</v>
      </c>
      <c r="EG21">
        <v>27.126854613466335</v>
      </c>
      <c r="EH21" t="s">
        <v>576</v>
      </c>
      <c r="EI21">
        <v>0</v>
      </c>
      <c r="EJ21">
        <v>0</v>
      </c>
      <c r="EK21" s="8">
        <v>45470</v>
      </c>
      <c r="EL21" s="13">
        <v>0.19</v>
      </c>
      <c r="EM21" s="13">
        <v>-2.6</v>
      </c>
      <c r="EN21" s="13">
        <v>0.1</v>
      </c>
      <c r="EO21" s="13">
        <v>1.48</v>
      </c>
      <c r="EP21" s="13">
        <v>0.2</v>
      </c>
    </row>
    <row r="22" spans="1:146" ht="96" x14ac:dyDescent="0.25">
      <c r="A22" s="6"/>
      <c r="B22" s="6"/>
      <c r="C22" s="6" t="str">
        <f>""&amp;CHAR(10)&amp;Basic_Fundamental_Information_Constructure(F22)&amp;CHAR(10)&amp;Basic_Fundamental_Information_Concatenate("")</f>
        <v xml:space="preserve">
市值22.500655亿, 利润4.85亿; PE239.1; 平均PE9.56; 平均PEG.03, PB11.1; ROIC0%; ROE-19.5433%; 股利率0%; 毛利7.17%; 净利-4.16%; 上一年度营收增1114.94%, 利润增3513.16%; 当季营收增-87.58%, 利润增-101.63%; 过往5年营收增351.76%, 利润增3513.16%
Income profile:
</v>
      </c>
      <c r="D22" t="s">
        <v>104</v>
      </c>
      <c r="E22" t="s">
        <v>327</v>
      </c>
      <c r="F22">
        <v>6.16</v>
      </c>
      <c r="G22">
        <v>-0.32</v>
      </c>
      <c r="H22" t="s">
        <v>1507</v>
      </c>
      <c r="I22">
        <v>2250065500</v>
      </c>
      <c r="J22">
        <v>239.1</v>
      </c>
      <c r="K22">
        <v>11.1</v>
      </c>
      <c r="L22" t="s">
        <v>47</v>
      </c>
      <c r="M22" t="s">
        <v>628</v>
      </c>
      <c r="N22" t="s">
        <v>624</v>
      </c>
      <c r="O22" t="s">
        <v>771</v>
      </c>
      <c r="P22">
        <v>39.229999999999997</v>
      </c>
      <c r="Q22" t="s">
        <v>1508</v>
      </c>
      <c r="R22">
        <v>-3478268</v>
      </c>
      <c r="S22" s="5">
        <v>0.12790000000000001</v>
      </c>
      <c r="T22" t="s">
        <v>729</v>
      </c>
      <c r="U22">
        <v>365270370</v>
      </c>
      <c r="V22">
        <v>365270370</v>
      </c>
      <c r="W22">
        <v>2.21</v>
      </c>
      <c r="X22" t="s">
        <v>31</v>
      </c>
      <c r="Y22">
        <v>-2</v>
      </c>
      <c r="Z22" t="s">
        <v>31</v>
      </c>
      <c r="AA22" t="s">
        <v>31</v>
      </c>
      <c r="AB22" t="s">
        <v>31</v>
      </c>
      <c r="AC22" t="s">
        <v>31</v>
      </c>
      <c r="AD22" t="s">
        <v>31</v>
      </c>
      <c r="AE22">
        <v>589820</v>
      </c>
      <c r="AF22" t="s">
        <v>947</v>
      </c>
      <c r="AG22">
        <v>4123.1400000000003</v>
      </c>
      <c r="AH22" t="s">
        <v>948</v>
      </c>
      <c r="AI22" t="s">
        <v>757</v>
      </c>
      <c r="AJ22" t="s">
        <v>949</v>
      </c>
      <c r="AK22" t="s">
        <v>31</v>
      </c>
      <c r="AL22" t="s">
        <v>950</v>
      </c>
      <c r="AM22" t="s">
        <v>31</v>
      </c>
      <c r="AN22">
        <v>0</v>
      </c>
      <c r="AO22" t="s">
        <v>31</v>
      </c>
      <c r="AP22" t="s">
        <v>31</v>
      </c>
      <c r="AQ22" t="s">
        <v>471</v>
      </c>
      <c r="AR22" t="s">
        <v>1509</v>
      </c>
      <c r="AS22" t="s">
        <v>31</v>
      </c>
      <c r="AT22" t="s">
        <v>31</v>
      </c>
      <c r="AU22" t="s">
        <v>1510</v>
      </c>
      <c r="AV22" t="s">
        <v>1511</v>
      </c>
      <c r="AW22" t="s">
        <v>1512</v>
      </c>
      <c r="AX22" t="s">
        <v>630</v>
      </c>
      <c r="AY22" t="s">
        <v>31</v>
      </c>
      <c r="AZ22" t="s">
        <v>221</v>
      </c>
      <c r="BA22" t="s">
        <v>105</v>
      </c>
      <c r="BB22" t="s">
        <v>241</v>
      </c>
      <c r="BC22" t="s">
        <v>631</v>
      </c>
      <c r="BD22" t="s">
        <v>31</v>
      </c>
      <c r="BE22" t="s">
        <v>31</v>
      </c>
      <c r="BF22" t="s">
        <v>31</v>
      </c>
      <c r="BG22" t="s">
        <v>31</v>
      </c>
      <c r="BH22" t="s">
        <v>945</v>
      </c>
      <c r="BI22" t="s">
        <v>1513</v>
      </c>
      <c r="BJ22" t="s">
        <v>630</v>
      </c>
      <c r="BK22" t="s">
        <v>946</v>
      </c>
      <c r="BL22" t="s">
        <v>136</v>
      </c>
      <c r="BM22" t="s">
        <v>631</v>
      </c>
      <c r="BN22" t="s">
        <v>31</v>
      </c>
      <c r="BO22" t="s">
        <v>31</v>
      </c>
      <c r="BP22" t="s">
        <v>31</v>
      </c>
      <c r="BQ22">
        <v>-3.21</v>
      </c>
      <c r="BR22">
        <v>-6.96</v>
      </c>
      <c r="BS22">
        <v>-48.46</v>
      </c>
      <c r="BT22" t="s">
        <v>569</v>
      </c>
      <c r="BU22" t="s">
        <v>47</v>
      </c>
      <c r="BV22">
        <v>7.01</v>
      </c>
      <c r="BW22">
        <v>5.27</v>
      </c>
      <c r="BX22">
        <v>9.23</v>
      </c>
      <c r="BY22">
        <v>1.1599999999999999</v>
      </c>
      <c r="BZ22">
        <v>-0.82</v>
      </c>
      <c r="CA22">
        <v>-12.82</v>
      </c>
      <c r="CB22">
        <v>-3.14</v>
      </c>
      <c r="CC22">
        <v>-0.81</v>
      </c>
      <c r="CD22" t="s">
        <v>1514</v>
      </c>
      <c r="CE22" t="s">
        <v>1515</v>
      </c>
      <c r="CF22" s="9">
        <v>-0.875753361149745</v>
      </c>
      <c r="CG22" s="10">
        <v>-1.016329896713615</v>
      </c>
      <c r="CH22" s="9">
        <v>11.149371147155762</v>
      </c>
      <c r="CI22" s="9" t="s">
        <v>31</v>
      </c>
      <c r="CJ22" s="9" t="s">
        <v>31</v>
      </c>
      <c r="CK22" s="9">
        <v>-0.3762499988079071</v>
      </c>
      <c r="CL22" s="9">
        <v>-0.22027289867401123</v>
      </c>
      <c r="CM22" s="10">
        <v>35.131614685058594</v>
      </c>
      <c r="CN22" s="10" t="s">
        <v>31</v>
      </c>
      <c r="CO22" s="10" t="s">
        <v>31</v>
      </c>
      <c r="CP22" s="10" t="s">
        <v>31</v>
      </c>
      <c r="CQ22" s="10" t="s">
        <v>31</v>
      </c>
      <c r="CR22">
        <v>9.5586739998678834</v>
      </c>
      <c r="CS22">
        <v>2.7173727245144396E-2</v>
      </c>
      <c r="CT22">
        <v>0</v>
      </c>
      <c r="CU22" s="9">
        <v>3.5176160832246146</v>
      </c>
      <c r="CV22" s="10">
        <v>35.131614685058594</v>
      </c>
      <c r="CW22">
        <v>0.06</v>
      </c>
      <c r="CX22">
        <v>1.1006486632533006</v>
      </c>
      <c r="CY22">
        <v>2067022453.1735263</v>
      </c>
      <c r="CZ22">
        <v>3.5176160832246146</v>
      </c>
      <c r="DA22">
        <v>5.2358392640561996E-2</v>
      </c>
      <c r="DB22">
        <v>43451782708.805099</v>
      </c>
      <c r="DC22">
        <v>3.3417352790633839</v>
      </c>
      <c r="DD22">
        <v>1.0454381932865858E-3</v>
      </c>
      <c r="DE22">
        <v>2176183646828.3081</v>
      </c>
      <c r="DF22">
        <v>3.095502153237661</v>
      </c>
      <c r="DG22">
        <v>9.3107935725497047E-6</v>
      </c>
      <c r="DH22">
        <v>244347109864770.31</v>
      </c>
      <c r="DI22">
        <v>2.814092866579692</v>
      </c>
      <c r="DJ22">
        <v>1.7031833962577016E-10</v>
      </c>
      <c r="DK22">
        <v>1.3357724746488601E+19</v>
      </c>
      <c r="DL22">
        <v>2.4623312582572301</v>
      </c>
      <c r="DM22">
        <v>484999999.99999994</v>
      </c>
      <c r="DN22">
        <v>3.5176160832246146</v>
      </c>
      <c r="DO22">
        <v>2275065500</v>
      </c>
      <c r="DP22">
        <v>637330610</v>
      </c>
      <c r="DQ22">
        <v>2936</v>
      </c>
      <c r="DR22">
        <v>-4.3933694443743594</v>
      </c>
      <c r="DS22">
        <v>-36.147944581772208</v>
      </c>
      <c r="DT22" s="11">
        <v>-0.21000000000000008</v>
      </c>
      <c r="DU22">
        <v>-1.7950000000000002</v>
      </c>
      <c r="DV22">
        <v>-2.0050000000000003</v>
      </c>
      <c r="DW22">
        <v>-4.2579617834394901</v>
      </c>
      <c r="DX22">
        <v>0.28171370786516936</v>
      </c>
      <c r="DY22">
        <v>-4.0468751921563015</v>
      </c>
      <c r="DZ22">
        <v>4097</v>
      </c>
      <c r="EA22">
        <v>-4.0092924793844098</v>
      </c>
      <c r="EB22">
        <v>4</v>
      </c>
      <c r="EC22">
        <v>0.22137738683813857</v>
      </c>
      <c r="ED22">
        <v>1.2182756570153774</v>
      </c>
      <c r="EE22" s="12">
        <v>1.0681099999999999</v>
      </c>
      <c r="EF22">
        <v>1.0847100000000001</v>
      </c>
      <c r="EG22">
        <v>10.181713707865169</v>
      </c>
      <c r="EH22" t="s">
        <v>497</v>
      </c>
      <c r="EI22">
        <v>0</v>
      </c>
      <c r="EJ22">
        <v>0</v>
      </c>
      <c r="EK22" s="8">
        <v>45470</v>
      </c>
      <c r="EL22" s="13">
        <v>0.66</v>
      </c>
      <c r="EM22" s="13">
        <v>-2.73</v>
      </c>
      <c r="EN22" s="13">
        <v>-1.49</v>
      </c>
      <c r="EO22" s="13">
        <v>2.52</v>
      </c>
      <c r="EP22" s="13">
        <v>-1.66</v>
      </c>
    </row>
    <row r="23" spans="1:146" ht="168" x14ac:dyDescent="0.25">
      <c r="A23" s="6"/>
      <c r="B23" s="6"/>
      <c r="C23" s="6" t="str">
        <f>"公司主营业务包括供应链运营业务和房地产业务两大主业。作为中国领先、全球布局的供应链运营服务商，建发股份为客户提供以“物流”、“信息”、“金融”、“商务”四大要素为基础的定制化的供应链运营服务"&amp;CHAR(10)&amp;Basic_Fundamental_Information_Constructure(F23)&amp;CHAR(10)&amp;Basic_Fundamental_Information_Concatenate("冶金原材料 3655.25亿 51.64% 21.02% 1.45%
农林产品 1574.93亿 22.25% 15.60% 2.50%
其他业务 1089.46亿 15.39% 18.91% 4.38%
住宅地产 758.80亿 10.72% 44.47% 14.80%")</f>
        <v>公司主营业务包括供应链运营业务和房地产业务两大主业。作为中国领先、全球布局的供应链运营服务商，建发股份为客户提供以“物流”、“信息”、“金融”、“商务”四大要素为基础的定制化的供应链运营服务
市值254.44484亿, 利润4.62亿; PE1.97; 平均PE7.55; 平均PEG.44, PB.446; ROIC4.8933%; ROE16.76%; 股利率8.2645%; 毛利3.91%; 净利1.7033%; 上一年度营收增-99.64%, 利润增-92.64%; 当季营收增17600.4%, 利润增347.33%; 过往5年营收增-16.99%, 利润增-92.64%
Income profile:
冶金原材料 3655.25亿 51.64% 21.02% 1.45%
农林产品 1574.93亿 22.25% 15.60% 2.50%
其他业务 1089.46亿 15.39% 18.91% 4.38%
住宅地产 758.80亿 10.72% 44.47% 14.80%</v>
      </c>
      <c r="D23" t="s">
        <v>106</v>
      </c>
      <c r="E23" t="s">
        <v>29</v>
      </c>
      <c r="F23">
        <v>8.4700000000000006</v>
      </c>
      <c r="G23">
        <v>-0.7</v>
      </c>
      <c r="H23" t="s">
        <v>1516</v>
      </c>
      <c r="I23">
        <v>25444484000</v>
      </c>
      <c r="J23">
        <v>1.97</v>
      </c>
      <c r="K23">
        <v>0.44600000000000001</v>
      </c>
      <c r="L23" t="s">
        <v>47</v>
      </c>
      <c r="M23" t="s">
        <v>951</v>
      </c>
      <c r="N23" t="s">
        <v>1517</v>
      </c>
      <c r="O23" t="s">
        <v>952</v>
      </c>
      <c r="P23">
        <v>-21.57</v>
      </c>
      <c r="Q23" t="s">
        <v>1518</v>
      </c>
      <c r="R23">
        <v>603889910</v>
      </c>
      <c r="S23" s="5">
        <v>-0.2394</v>
      </c>
      <c r="T23" t="s">
        <v>382</v>
      </c>
      <c r="U23">
        <v>2899538600</v>
      </c>
      <c r="V23">
        <v>3004071300</v>
      </c>
      <c r="W23">
        <v>3.92</v>
      </c>
      <c r="X23" t="s">
        <v>31</v>
      </c>
      <c r="Y23">
        <v>0.31</v>
      </c>
      <c r="Z23" t="s">
        <v>31</v>
      </c>
      <c r="AA23" t="s">
        <v>31</v>
      </c>
      <c r="AB23" t="s">
        <v>31</v>
      </c>
      <c r="AC23" t="s">
        <v>31</v>
      </c>
      <c r="AD23" t="s">
        <v>31</v>
      </c>
      <c r="AE23">
        <v>1020227270</v>
      </c>
      <c r="AF23" t="s">
        <v>955</v>
      </c>
      <c r="AG23" t="s">
        <v>1519</v>
      </c>
      <c r="AH23" t="s">
        <v>956</v>
      </c>
      <c r="AI23" t="s">
        <v>1520</v>
      </c>
      <c r="AJ23" t="s">
        <v>957</v>
      </c>
      <c r="AK23" t="s">
        <v>31</v>
      </c>
      <c r="AL23" t="s">
        <v>958</v>
      </c>
      <c r="AM23" t="s">
        <v>31</v>
      </c>
      <c r="AN23" t="s">
        <v>1521</v>
      </c>
      <c r="AO23" t="s">
        <v>31</v>
      </c>
      <c r="AP23" t="s">
        <v>1522</v>
      </c>
      <c r="AQ23" t="s">
        <v>1523</v>
      </c>
      <c r="AR23" t="s">
        <v>1524</v>
      </c>
      <c r="AS23" t="s">
        <v>31</v>
      </c>
      <c r="AT23" t="s">
        <v>31</v>
      </c>
      <c r="AU23" t="s">
        <v>1525</v>
      </c>
      <c r="AV23" t="s">
        <v>1526</v>
      </c>
      <c r="AW23" t="s">
        <v>1527</v>
      </c>
      <c r="AX23" t="s">
        <v>959</v>
      </c>
      <c r="AY23" t="s">
        <v>31</v>
      </c>
      <c r="AZ23" t="s">
        <v>242</v>
      </c>
      <c r="BA23" t="s">
        <v>107</v>
      </c>
      <c r="BB23" t="s">
        <v>243</v>
      </c>
      <c r="BC23" t="s">
        <v>960</v>
      </c>
      <c r="BD23" t="s">
        <v>31</v>
      </c>
      <c r="BE23" t="s">
        <v>31</v>
      </c>
      <c r="BF23" t="s">
        <v>31</v>
      </c>
      <c r="BG23" t="s">
        <v>31</v>
      </c>
      <c r="BH23" t="s">
        <v>953</v>
      </c>
      <c r="BI23" t="s">
        <v>1528</v>
      </c>
      <c r="BJ23" t="s">
        <v>959</v>
      </c>
      <c r="BK23" t="s">
        <v>954</v>
      </c>
      <c r="BL23" t="s">
        <v>218</v>
      </c>
      <c r="BM23" t="s">
        <v>960</v>
      </c>
      <c r="BN23">
        <v>4.79</v>
      </c>
      <c r="BO23">
        <v>4.3600000000000003</v>
      </c>
      <c r="BP23">
        <v>5.53</v>
      </c>
      <c r="BQ23">
        <v>22.46</v>
      </c>
      <c r="BR23">
        <v>12.63</v>
      </c>
      <c r="BS23">
        <v>15.19</v>
      </c>
      <c r="BT23" t="s">
        <v>962</v>
      </c>
      <c r="BU23" t="s">
        <v>47</v>
      </c>
      <c r="BV23">
        <v>4.3600000000000003</v>
      </c>
      <c r="BW23">
        <v>3.8</v>
      </c>
      <c r="BX23">
        <v>3.57</v>
      </c>
      <c r="BY23">
        <v>2.21</v>
      </c>
      <c r="BZ23">
        <v>1.35</v>
      </c>
      <c r="CA23">
        <v>1.55</v>
      </c>
      <c r="CB23">
        <v>-5.15</v>
      </c>
      <c r="CC23">
        <v>-16.3</v>
      </c>
      <c r="CD23" t="s">
        <v>354</v>
      </c>
      <c r="CE23" t="s">
        <v>1529</v>
      </c>
      <c r="CF23" s="9">
        <v>176.00404312668462</v>
      </c>
      <c r="CG23" s="10">
        <v>3.4732585925925927</v>
      </c>
      <c r="CH23" s="9">
        <v>-0.99639302492141724</v>
      </c>
      <c r="CI23" s="9" t="s">
        <v>31</v>
      </c>
      <c r="CJ23" s="9" t="s">
        <v>31</v>
      </c>
      <c r="CK23" s="9">
        <v>0.28380459547042847</v>
      </c>
      <c r="CL23" s="9">
        <v>0.20278406143188477</v>
      </c>
      <c r="CM23" s="10">
        <v>-0.92637449502944946</v>
      </c>
      <c r="CN23" s="10" t="s">
        <v>31</v>
      </c>
      <c r="CO23" s="10" t="s">
        <v>31</v>
      </c>
      <c r="CP23" s="10" t="s">
        <v>31</v>
      </c>
      <c r="CQ23" s="10" t="s">
        <v>31</v>
      </c>
      <c r="CR23">
        <v>7.5536541487308888</v>
      </c>
      <c r="CS23">
        <v>0.44450310487224953</v>
      </c>
      <c r="CT23">
        <v>8.2644628099173545</v>
      </c>
      <c r="CU23" s="9">
        <v>-0.16993478933970133</v>
      </c>
      <c r="CV23" s="10">
        <v>-0.92637449502944946</v>
      </c>
      <c r="CW23">
        <v>0.06</v>
      </c>
      <c r="CX23">
        <v>852.58329870129865</v>
      </c>
      <c r="CY23" t="s">
        <v>1530</v>
      </c>
      <c r="CZ23">
        <v>-0.16993478933970133</v>
      </c>
      <c r="DA23">
        <v>284.1944329004329</v>
      </c>
      <c r="DB23" t="s">
        <v>1531</v>
      </c>
      <c r="DC23">
        <v>-0.16143804987271626</v>
      </c>
      <c r="DD23">
        <v>142.09721645021645</v>
      </c>
      <c r="DE23" t="s">
        <v>1532</v>
      </c>
      <c r="DF23">
        <v>-0.14954261461893717</v>
      </c>
      <c r="DG23">
        <v>85.25832987012987</v>
      </c>
      <c r="DH23" t="s">
        <v>1533</v>
      </c>
      <c r="DI23">
        <v>-0.13594783147176107</v>
      </c>
      <c r="DJ23">
        <v>42.629164935064935</v>
      </c>
      <c r="DK23" t="s">
        <v>1534</v>
      </c>
      <c r="DL23">
        <v>-0.11895435253779092</v>
      </c>
      <c r="DM23">
        <v>462000000</v>
      </c>
      <c r="DN23">
        <v>-0.16993478933970133</v>
      </c>
      <c r="DO23">
        <v>393893484000</v>
      </c>
      <c r="DP23">
        <v>700528030000</v>
      </c>
      <c r="DQ23">
        <v>2960</v>
      </c>
      <c r="DR23">
        <v>176.17397791602431</v>
      </c>
      <c r="DS23">
        <v>4.3996330876220426</v>
      </c>
      <c r="DT23" s="11">
        <v>-1.1599999999999999</v>
      </c>
      <c r="DU23">
        <v>-2.3199999999999998</v>
      </c>
      <c r="DV23">
        <v>-3.4799999999999995</v>
      </c>
      <c r="DW23">
        <v>-8.3159509202453989</v>
      </c>
      <c r="DX23">
        <v>0.42159663865546149</v>
      </c>
      <c r="DY23">
        <v>-8.0605351342991192</v>
      </c>
      <c r="DZ23">
        <v>4242</v>
      </c>
      <c r="EA23">
        <v>-8.0102826803467</v>
      </c>
      <c r="EB23">
        <v>8</v>
      </c>
      <c r="EC23">
        <v>3.7948500090527137E-2</v>
      </c>
      <c r="ED23">
        <v>0.19806453994617237</v>
      </c>
      <c r="EE23" s="12">
        <v>2.3409999999999997E-2</v>
      </c>
      <c r="EF23">
        <v>4.8110000000000007E-2</v>
      </c>
      <c r="EG23">
        <v>23.191596638655462</v>
      </c>
      <c r="EH23">
        <v>-1</v>
      </c>
      <c r="EI23">
        <v>0</v>
      </c>
      <c r="EJ23">
        <v>0</v>
      </c>
      <c r="EK23" s="8">
        <v>45470</v>
      </c>
      <c r="EL23" s="13">
        <v>-1.99</v>
      </c>
      <c r="EM23" s="13">
        <v>-4.88</v>
      </c>
      <c r="EN23" s="13">
        <v>-0.43</v>
      </c>
      <c r="EO23" s="13">
        <v>4.29</v>
      </c>
      <c r="EP23" s="13">
        <v>-2.4700000000000002</v>
      </c>
    </row>
    <row r="24" spans="1:146" ht="96" x14ac:dyDescent="0.25">
      <c r="A24" s="6"/>
      <c r="B24" s="6"/>
      <c r="C24" s="6" t="str">
        <f>""&amp;CHAR(10)&amp;Basic_Fundamental_Information_Constructure(F24)&amp;CHAR(10)&amp;Basic_Fundamental_Information_Concatenate("")</f>
        <v xml:space="preserve">
市值42.052483亿, 利润1.83亿; PE21.65; 平均PE13.1; 平均PEG.41, PB.526; ROIC7.6067%; ROE8.0433%; 股利率2.3256%; 毛利2.7933%; 净利1.0933%; 上一年度营收增-92.55%, 利润增-60.13%; 当季营收增628.42%, 利润增287.84%; 过往5年营收增-31.93%, 利润增-60.13%
Income profile:
</v>
      </c>
      <c r="D24" t="s">
        <v>109</v>
      </c>
      <c r="E24" t="s">
        <v>27</v>
      </c>
      <c r="F24">
        <v>3.87</v>
      </c>
      <c r="G24">
        <v>1.04</v>
      </c>
      <c r="H24" t="s">
        <v>1535</v>
      </c>
      <c r="I24">
        <v>4205248300</v>
      </c>
      <c r="J24">
        <v>21.65</v>
      </c>
      <c r="K24">
        <v>0.52600000000000002</v>
      </c>
      <c r="L24" t="s">
        <v>47</v>
      </c>
      <c r="M24" t="s">
        <v>963</v>
      </c>
      <c r="N24" t="s">
        <v>1536</v>
      </c>
      <c r="O24" t="s">
        <v>964</v>
      </c>
      <c r="P24">
        <v>-35.229999999999997</v>
      </c>
      <c r="Q24" t="s">
        <v>1537</v>
      </c>
      <c r="R24">
        <v>103473198</v>
      </c>
      <c r="S24" s="5">
        <v>-0.49159999999999998</v>
      </c>
      <c r="T24" t="s">
        <v>485</v>
      </c>
      <c r="U24">
        <v>1086627460</v>
      </c>
      <c r="V24">
        <v>1086627460</v>
      </c>
      <c r="W24">
        <v>3.91</v>
      </c>
      <c r="X24" t="s">
        <v>31</v>
      </c>
      <c r="Y24">
        <v>1.51</v>
      </c>
      <c r="Z24" t="s">
        <v>31</v>
      </c>
      <c r="AA24" t="s">
        <v>31</v>
      </c>
      <c r="AB24" t="s">
        <v>31</v>
      </c>
      <c r="AC24" t="s">
        <v>31</v>
      </c>
      <c r="AD24" t="s">
        <v>31</v>
      </c>
      <c r="AE24">
        <v>92057160</v>
      </c>
      <c r="AF24" t="s">
        <v>967</v>
      </c>
      <c r="AG24" t="s">
        <v>1538</v>
      </c>
      <c r="AH24" t="s">
        <v>968</v>
      </c>
      <c r="AI24" t="s">
        <v>1539</v>
      </c>
      <c r="AJ24" t="s">
        <v>969</v>
      </c>
      <c r="AK24" t="s">
        <v>31</v>
      </c>
      <c r="AL24" t="s">
        <v>971</v>
      </c>
      <c r="AM24" t="s">
        <v>31</v>
      </c>
      <c r="AN24" t="s">
        <v>624</v>
      </c>
      <c r="AO24" t="s">
        <v>31</v>
      </c>
      <c r="AP24" t="s">
        <v>1540</v>
      </c>
      <c r="AQ24" t="s">
        <v>444</v>
      </c>
      <c r="AR24" t="s">
        <v>31</v>
      </c>
      <c r="AS24" t="s">
        <v>31</v>
      </c>
      <c r="AT24" t="s">
        <v>31</v>
      </c>
      <c r="AU24" t="s">
        <v>1541</v>
      </c>
      <c r="AV24" t="s">
        <v>1542</v>
      </c>
      <c r="AW24" t="s">
        <v>422</v>
      </c>
      <c r="AX24" t="s">
        <v>632</v>
      </c>
      <c r="AY24" t="s">
        <v>31</v>
      </c>
      <c r="AZ24" t="s">
        <v>246</v>
      </c>
      <c r="BA24" t="s">
        <v>110</v>
      </c>
      <c r="BB24" t="s">
        <v>247</v>
      </c>
      <c r="BC24" t="s">
        <v>973</v>
      </c>
      <c r="BD24" t="s">
        <v>31</v>
      </c>
      <c r="BE24" t="s">
        <v>31</v>
      </c>
      <c r="BF24" t="s">
        <v>31</v>
      </c>
      <c r="BG24" t="s">
        <v>31</v>
      </c>
      <c r="BH24" t="s">
        <v>965</v>
      </c>
      <c r="BI24" t="s">
        <v>1543</v>
      </c>
      <c r="BJ24" t="s">
        <v>632</v>
      </c>
      <c r="BK24" t="s">
        <v>592</v>
      </c>
      <c r="BL24" t="s">
        <v>1544</v>
      </c>
      <c r="BM24" t="s">
        <v>973</v>
      </c>
      <c r="BN24">
        <v>6.11</v>
      </c>
      <c r="BO24">
        <v>6.28</v>
      </c>
      <c r="BP24">
        <v>10.43</v>
      </c>
      <c r="BQ24">
        <v>5.15</v>
      </c>
      <c r="BR24">
        <v>6.39</v>
      </c>
      <c r="BS24">
        <v>12.59</v>
      </c>
      <c r="BT24" t="s">
        <v>975</v>
      </c>
      <c r="BU24" t="s">
        <v>47</v>
      </c>
      <c r="BV24">
        <v>1.91</v>
      </c>
      <c r="BW24">
        <v>2.21</v>
      </c>
      <c r="BX24">
        <v>4.26</v>
      </c>
      <c r="BY24">
        <v>0.74</v>
      </c>
      <c r="BZ24">
        <v>0.82</v>
      </c>
      <c r="CA24">
        <v>1.72</v>
      </c>
      <c r="CB24">
        <v>1.57</v>
      </c>
      <c r="CC24">
        <v>-13.42</v>
      </c>
      <c r="CD24" t="s">
        <v>1545</v>
      </c>
      <c r="CE24" t="s">
        <v>356</v>
      </c>
      <c r="CF24" s="9">
        <v>6.2842215256008354</v>
      </c>
      <c r="CG24" s="10">
        <v>2.8784220666286844</v>
      </c>
      <c r="CH24" s="9">
        <v>-0.92547512054443359</v>
      </c>
      <c r="CI24" s="9" t="s">
        <v>31</v>
      </c>
      <c r="CJ24" s="9" t="s">
        <v>31</v>
      </c>
      <c r="CK24" s="9">
        <v>-8.9226707816123962E-2</v>
      </c>
      <c r="CL24" s="9">
        <v>5.672512948513031E-2</v>
      </c>
      <c r="CM24" s="10">
        <v>-0.601307213306427</v>
      </c>
      <c r="CN24" s="10" t="s">
        <v>31</v>
      </c>
      <c r="CO24" s="10" t="s">
        <v>31</v>
      </c>
      <c r="CP24" s="10" t="s">
        <v>31</v>
      </c>
      <c r="CQ24" s="10" t="s">
        <v>31</v>
      </c>
      <c r="CR24">
        <v>13.100461993769471</v>
      </c>
      <c r="CS24">
        <v>0.41025409101750043</v>
      </c>
      <c r="CT24">
        <v>2.3255813953488373</v>
      </c>
      <c r="CU24" s="9">
        <v>-0.31932556629180908</v>
      </c>
      <c r="CV24" s="10">
        <v>-0.601307213306427</v>
      </c>
      <c r="CW24">
        <v>0.06</v>
      </c>
      <c r="CX24">
        <v>101.47676666666666</v>
      </c>
      <c r="CY24" t="s">
        <v>1546</v>
      </c>
      <c r="CZ24">
        <v>-0.31932556629180908</v>
      </c>
      <c r="DA24">
        <v>33.825588888888888</v>
      </c>
      <c r="DB24" t="s">
        <v>1547</v>
      </c>
      <c r="DC24">
        <v>-0.30335928797721862</v>
      </c>
      <c r="DD24">
        <v>16.912794444444444</v>
      </c>
      <c r="DE24" t="s">
        <v>1548</v>
      </c>
      <c r="DF24">
        <v>-0.28100649833679198</v>
      </c>
      <c r="DG24">
        <v>10.147676666666667</v>
      </c>
      <c r="DH24" t="s">
        <v>1549</v>
      </c>
      <c r="DI24">
        <v>-0.25546045303344728</v>
      </c>
      <c r="DJ24">
        <v>5.0738383333333337</v>
      </c>
      <c r="DK24" t="s">
        <v>1550</v>
      </c>
      <c r="DL24">
        <v>-0.22352789640426635</v>
      </c>
      <c r="DM24">
        <v>183000000</v>
      </c>
      <c r="DN24">
        <v>-0.31932556629180908</v>
      </c>
      <c r="DO24">
        <v>18570248300</v>
      </c>
      <c r="DP24">
        <v>17559967000</v>
      </c>
      <c r="DQ24">
        <v>2983</v>
      </c>
      <c r="DR24">
        <v>6.6035470918926444</v>
      </c>
      <c r="DS24">
        <v>3.4797292799351114</v>
      </c>
      <c r="DT24" s="11">
        <v>-1.1599999999999999</v>
      </c>
      <c r="DU24">
        <v>-2.3199999999999998</v>
      </c>
      <c r="DV24">
        <v>-3.4799999999999995</v>
      </c>
      <c r="DW24">
        <v>-2.1341999999999999</v>
      </c>
      <c r="DX24">
        <v>0.34762142857142792</v>
      </c>
      <c r="DY24">
        <v>-2.0211527957142859</v>
      </c>
      <c r="DZ24">
        <v>3725</v>
      </c>
      <c r="EA24">
        <v>-2.0057331941417389</v>
      </c>
      <c r="EB24">
        <v>2</v>
      </c>
      <c r="EC24">
        <v>2.4369345497674059E-2</v>
      </c>
      <c r="ED24">
        <v>0.15460680516945521</v>
      </c>
      <c r="EE24" s="12">
        <v>-2.0097100000000001</v>
      </c>
      <c r="EF24">
        <v>-2.03491</v>
      </c>
      <c r="EG24">
        <v>19.157621428571428</v>
      </c>
      <c r="EH24" t="s">
        <v>683</v>
      </c>
      <c r="EI24">
        <v>0</v>
      </c>
      <c r="EJ24">
        <v>0</v>
      </c>
      <c r="EK24" s="8">
        <v>45470</v>
      </c>
      <c r="EL24" s="13">
        <v>1.63</v>
      </c>
      <c r="EM24" s="13">
        <v>-4</v>
      </c>
      <c r="EN24" s="13">
        <v>-2.92</v>
      </c>
      <c r="EO24" s="13">
        <v>2.15</v>
      </c>
      <c r="EP24" s="13">
        <v>-2.52</v>
      </c>
    </row>
    <row r="25" spans="1:146" ht="96" x14ac:dyDescent="0.25">
      <c r="A25" s="6"/>
      <c r="B25" s="6"/>
      <c r="C25" s="6" t="str">
        <f>""&amp;CHAR(10)&amp;Basic_Fundamental_Information_Constructure(F25)&amp;CHAR(10)&amp;Basic_Fundamental_Information_Concatenate("")</f>
        <v xml:space="preserve">
市值504.38676亿, 利润-1.71亿; PE13.41; 平均PE26.91; 平均PEG1.09, PB1.69; ROIC10.6%; ROE12.4067%; 股利率2.3907%; 毛利9.8967%; 净利6.2467%; 上一年度营收增-99.87%, 利润增-104.36%; 当季营收增134472.61%, 利润增18883.98%; 过往5年营收增-24.8%, 利润增-104.36%
Income profile:
</v>
      </c>
      <c r="D25" t="s">
        <v>113</v>
      </c>
      <c r="E25" t="s">
        <v>22</v>
      </c>
      <c r="F25">
        <v>14.64</v>
      </c>
      <c r="G25">
        <v>-0.81</v>
      </c>
      <c r="H25" t="s">
        <v>1551</v>
      </c>
      <c r="I25">
        <v>50438676000</v>
      </c>
      <c r="J25">
        <v>13.41</v>
      </c>
      <c r="K25">
        <v>1.69</v>
      </c>
      <c r="L25" t="s">
        <v>47</v>
      </c>
      <c r="M25" t="s">
        <v>976</v>
      </c>
      <c r="N25" t="s">
        <v>1552</v>
      </c>
      <c r="O25" t="s">
        <v>977</v>
      </c>
      <c r="P25">
        <v>19.46</v>
      </c>
      <c r="Q25" t="s">
        <v>1553</v>
      </c>
      <c r="R25">
        <v>943275040</v>
      </c>
      <c r="S25" s="5">
        <v>4.1399999999999999E-2</v>
      </c>
      <c r="T25" t="s">
        <v>1554</v>
      </c>
      <c r="U25">
        <v>3445264700</v>
      </c>
      <c r="V25">
        <v>3445264700</v>
      </c>
      <c r="W25">
        <v>1.43</v>
      </c>
      <c r="X25" t="s">
        <v>31</v>
      </c>
      <c r="Y25">
        <v>6.08</v>
      </c>
      <c r="Z25" t="s">
        <v>31</v>
      </c>
      <c r="AA25" t="s">
        <v>31</v>
      </c>
      <c r="AB25" t="s">
        <v>31</v>
      </c>
      <c r="AC25" t="s">
        <v>31</v>
      </c>
      <c r="AD25" t="s">
        <v>31</v>
      </c>
      <c r="AE25">
        <v>19436202</v>
      </c>
      <c r="AF25" t="s">
        <v>980</v>
      </c>
      <c r="AG25" t="s">
        <v>1555</v>
      </c>
      <c r="AH25" t="s">
        <v>981</v>
      </c>
      <c r="AI25" t="s">
        <v>1556</v>
      </c>
      <c r="AJ25" t="s">
        <v>982</v>
      </c>
      <c r="AK25" t="s">
        <v>31</v>
      </c>
      <c r="AL25" t="s">
        <v>983</v>
      </c>
      <c r="AM25" t="s">
        <v>31</v>
      </c>
      <c r="AN25" t="s">
        <v>1557</v>
      </c>
      <c r="AO25" t="s">
        <v>31</v>
      </c>
      <c r="AP25" t="s">
        <v>31</v>
      </c>
      <c r="AQ25" t="s">
        <v>1558</v>
      </c>
      <c r="AR25" t="s">
        <v>874</v>
      </c>
      <c r="AS25" t="s">
        <v>31</v>
      </c>
      <c r="AT25" t="s">
        <v>31</v>
      </c>
      <c r="AU25" t="s">
        <v>397</v>
      </c>
      <c r="AV25" t="s">
        <v>1559</v>
      </c>
      <c r="AW25" t="s">
        <v>1560</v>
      </c>
      <c r="AX25" t="s">
        <v>633</v>
      </c>
      <c r="AY25" t="s">
        <v>31</v>
      </c>
      <c r="AZ25" t="s">
        <v>248</v>
      </c>
      <c r="BA25" t="s">
        <v>114</v>
      </c>
      <c r="BB25" t="s">
        <v>249</v>
      </c>
      <c r="BC25" t="s">
        <v>634</v>
      </c>
      <c r="BD25" t="s">
        <v>31</v>
      </c>
      <c r="BE25" t="s">
        <v>31</v>
      </c>
      <c r="BF25" t="s">
        <v>31</v>
      </c>
      <c r="BG25" t="s">
        <v>31</v>
      </c>
      <c r="BH25" t="s">
        <v>978</v>
      </c>
      <c r="BI25" t="s">
        <v>1561</v>
      </c>
      <c r="BJ25" t="s">
        <v>633</v>
      </c>
      <c r="BK25" t="s">
        <v>979</v>
      </c>
      <c r="BL25" t="s">
        <v>1562</v>
      </c>
      <c r="BM25" t="s">
        <v>634</v>
      </c>
      <c r="BN25">
        <v>8.36</v>
      </c>
      <c r="BO25">
        <v>13.89</v>
      </c>
      <c r="BP25">
        <v>9.5500000000000007</v>
      </c>
      <c r="BQ25">
        <v>9.59</v>
      </c>
      <c r="BR25">
        <v>15.91</v>
      </c>
      <c r="BS25">
        <v>11.72</v>
      </c>
      <c r="BT25" t="s">
        <v>625</v>
      </c>
      <c r="BU25" t="s">
        <v>47</v>
      </c>
      <c r="BV25">
        <v>10.16</v>
      </c>
      <c r="BW25">
        <v>11.3</v>
      </c>
      <c r="BX25">
        <v>8.23</v>
      </c>
      <c r="BY25">
        <v>6.5</v>
      </c>
      <c r="BZ25">
        <v>7.4</v>
      </c>
      <c r="CA25">
        <v>4.84</v>
      </c>
      <c r="CB25">
        <v>-6.45</v>
      </c>
      <c r="CC25">
        <v>-13.88</v>
      </c>
      <c r="CD25" t="s">
        <v>1563</v>
      </c>
      <c r="CE25" t="s">
        <v>1454</v>
      </c>
      <c r="CF25" s="9">
        <v>1344.7260744785719</v>
      </c>
      <c r="CG25" s="10">
        <v>188.83978334030309</v>
      </c>
      <c r="CH25" s="9">
        <v>-0.99869060516357422</v>
      </c>
      <c r="CI25" s="9" t="s">
        <v>31</v>
      </c>
      <c r="CJ25" s="9" t="s">
        <v>31</v>
      </c>
      <c r="CK25" s="9">
        <v>0.12057401984930038</v>
      </c>
      <c r="CL25" s="9">
        <v>0.1342071145772934</v>
      </c>
      <c r="CM25" s="10">
        <v>-1.0436224937438965</v>
      </c>
      <c r="CN25" s="10" t="s">
        <v>31</v>
      </c>
      <c r="CO25" s="10" t="s">
        <v>31</v>
      </c>
      <c r="CP25" s="10" t="s">
        <v>31</v>
      </c>
      <c r="CQ25" s="10" t="s">
        <v>31</v>
      </c>
      <c r="CR25">
        <v>26.907802614030405</v>
      </c>
      <c r="CS25">
        <v>1.085124077827907</v>
      </c>
      <c r="CT25">
        <v>2.3907103825136611</v>
      </c>
      <c r="CU25" s="9">
        <v>-0.24796982357899347</v>
      </c>
      <c r="CV25" s="10">
        <v>-1.0436224937438965</v>
      </c>
      <c r="CW25">
        <v>0.06</v>
      </c>
      <c r="CX25" t="e">
        <v>#VALUE!</v>
      </c>
      <c r="CY25" t="s">
        <v>466</v>
      </c>
      <c r="CZ25">
        <v>-0.24796982357899347</v>
      </c>
      <c r="DA25" t="e">
        <v>#VALUE!</v>
      </c>
      <c r="DB25" t="s">
        <v>466</v>
      </c>
      <c r="DC25">
        <v>-0.2355713324000438</v>
      </c>
      <c r="DD25" t="e">
        <v>#VALUE!</v>
      </c>
      <c r="DE25" t="s">
        <v>466</v>
      </c>
      <c r="DF25">
        <v>-0.21821344474951426</v>
      </c>
      <c r="DG25" t="e">
        <v>#VALUE!</v>
      </c>
      <c r="DH25" t="s">
        <v>466</v>
      </c>
      <c r="DI25">
        <v>-0.19837585886319478</v>
      </c>
      <c r="DJ25" t="e">
        <v>#VALUE!</v>
      </c>
      <c r="DK25" t="s">
        <v>466</v>
      </c>
      <c r="DL25">
        <v>-0.17357887650529541</v>
      </c>
      <c r="DM25">
        <v>-171000000</v>
      </c>
      <c r="DN25">
        <v>-0.24796982357899347</v>
      </c>
      <c r="DO25">
        <v>34176676000</v>
      </c>
      <c r="DP25">
        <v>14102346000</v>
      </c>
      <c r="DQ25">
        <v>3029</v>
      </c>
      <c r="DR25">
        <v>1344.974044302151</v>
      </c>
      <c r="DS25">
        <v>189.88340583404698</v>
      </c>
      <c r="DT25" s="11">
        <v>-1.1599999999999999</v>
      </c>
      <c r="DU25">
        <v>-3.57</v>
      </c>
      <c r="DV25">
        <v>-4.7299999999999995</v>
      </c>
      <c r="DW25">
        <v>-9.4646974063400577</v>
      </c>
      <c r="DX25">
        <v>0.39600031746031616</v>
      </c>
      <c r="DY25">
        <v>-9.077139916975435</v>
      </c>
      <c r="DZ25">
        <v>2550</v>
      </c>
      <c r="EA25">
        <v>-9.0386454378585341</v>
      </c>
      <c r="EB25">
        <v>9</v>
      </c>
      <c r="EC25">
        <v>1.5177382451920168E-2</v>
      </c>
      <c r="ED25">
        <v>9.1429839919121458E-2</v>
      </c>
      <c r="EE25" s="12">
        <v>1.0058</v>
      </c>
      <c r="EF25">
        <v>1.0058</v>
      </c>
      <c r="EG25">
        <v>23.166000317460316</v>
      </c>
      <c r="EH25" t="s">
        <v>611</v>
      </c>
      <c r="EI25">
        <v>0</v>
      </c>
      <c r="EJ25">
        <v>0</v>
      </c>
      <c r="EK25" s="8">
        <v>45470</v>
      </c>
      <c r="EL25" s="13">
        <v>-0.24</v>
      </c>
      <c r="EM25" s="13">
        <v>-4.07</v>
      </c>
      <c r="EN25" s="13">
        <v>1.5</v>
      </c>
      <c r="EO25" s="13">
        <v>5.65</v>
      </c>
      <c r="EP25" s="13">
        <v>0</v>
      </c>
    </row>
    <row r="26" spans="1:146" ht="144" x14ac:dyDescent="0.25">
      <c r="A26" s="6"/>
      <c r="B26" s="6"/>
      <c r="C26" s="6" t="str">
        <f>"公司是主营业务是供应链集成服务。主要产品是供应链集成服务、金属材料、化工、整车及后服务、煤炭、金融服务、高端实业、线缆制造、热电联产。"&amp;CHAR(10)&amp;Basic_Fundamental_Information_Constructure(F26)&amp;CHAR(10)&amp;Basic_Fundamental_Information_Concatenate("供应链集成服务 2648.30亿 94.95% 78.02% 2.17%
高端制造 92.69亿 3.32% 11.58% 9.20%
金融服务 48.13亿 1.73% 10.39% 15.90%")</f>
        <v>公司是主营业务是供应链集成服务。主要产品是供应链集成服务、金属材料、化工、整车及后服务、煤炭、金融服务、高端实业、线缆制造、热电联产。
市值219.64536亿, 利润2.90亿; PE6.32; 平均PE8.2; 平均PEG1.7, PB.608; ROIC9.0533%; ROE11.8167%; 股利率4.9645%; 毛利2.5167%; 净利1.02%; 上一年度营收增-98.07%, 利润增-92.61%; 当季营收增5702.62%, 利润增395.6%; 过往5年营收增-4.83%, 利润增-6.9%
Income profile:
供应链集成服务 2648.30亿 94.95% 78.02% 2.17%
高端制造 92.69亿 3.32% 11.58% 9.20%
金融服务 48.13亿 1.73% 10.39% 15.90%</v>
      </c>
      <c r="D26" t="s">
        <v>118</v>
      </c>
      <c r="E26" t="s">
        <v>1564</v>
      </c>
      <c r="F26">
        <v>4.2300000000000004</v>
      </c>
      <c r="G26">
        <v>0.95</v>
      </c>
      <c r="H26" t="s">
        <v>1565</v>
      </c>
      <c r="I26">
        <v>21964536000</v>
      </c>
      <c r="J26">
        <v>6.32</v>
      </c>
      <c r="K26">
        <v>0.60799999999999998</v>
      </c>
      <c r="L26" t="s">
        <v>47</v>
      </c>
      <c r="M26" t="s">
        <v>984</v>
      </c>
      <c r="N26" t="s">
        <v>1566</v>
      </c>
      <c r="O26" t="s">
        <v>985</v>
      </c>
      <c r="P26">
        <v>3.78</v>
      </c>
      <c r="Q26" t="s">
        <v>1567</v>
      </c>
      <c r="R26">
        <v>827656680</v>
      </c>
      <c r="S26" s="5">
        <v>-0.14499999999999999</v>
      </c>
      <c r="T26" t="s">
        <v>705</v>
      </c>
      <c r="U26">
        <v>5114782000</v>
      </c>
      <c r="V26">
        <v>5192561800</v>
      </c>
      <c r="W26">
        <v>3.84</v>
      </c>
      <c r="X26">
        <v>0.72</v>
      </c>
      <c r="Y26">
        <v>0.97</v>
      </c>
      <c r="Z26" t="s">
        <v>1568</v>
      </c>
      <c r="AA26" t="s">
        <v>1569</v>
      </c>
      <c r="AB26" t="s">
        <v>1570</v>
      </c>
      <c r="AC26" t="s">
        <v>1571</v>
      </c>
      <c r="AD26" t="s">
        <v>31</v>
      </c>
      <c r="AE26">
        <v>492398830</v>
      </c>
      <c r="AF26" t="s">
        <v>988</v>
      </c>
      <c r="AG26" t="s">
        <v>1572</v>
      </c>
      <c r="AH26" t="s">
        <v>989</v>
      </c>
      <c r="AI26" t="s">
        <v>1573</v>
      </c>
      <c r="AJ26" t="s">
        <v>990</v>
      </c>
      <c r="AK26" t="s">
        <v>612</v>
      </c>
      <c r="AL26" t="s">
        <v>991</v>
      </c>
      <c r="AM26" t="s">
        <v>31</v>
      </c>
      <c r="AN26" t="s">
        <v>1574</v>
      </c>
      <c r="AO26" t="s">
        <v>1575</v>
      </c>
      <c r="AP26" t="s">
        <v>1576</v>
      </c>
      <c r="AQ26" t="s">
        <v>1577</v>
      </c>
      <c r="AR26" t="s">
        <v>139</v>
      </c>
      <c r="AS26" t="s">
        <v>1578</v>
      </c>
      <c r="AT26" t="s">
        <v>1579</v>
      </c>
      <c r="AU26" t="s">
        <v>1580</v>
      </c>
      <c r="AV26" t="s">
        <v>1581</v>
      </c>
      <c r="AW26" t="s">
        <v>1582</v>
      </c>
      <c r="AX26" t="s">
        <v>635</v>
      </c>
      <c r="AY26" t="s">
        <v>423</v>
      </c>
      <c r="AZ26" t="s">
        <v>636</v>
      </c>
      <c r="BA26" t="s">
        <v>252</v>
      </c>
      <c r="BB26" t="s">
        <v>253</v>
      </c>
      <c r="BC26" t="s">
        <v>992</v>
      </c>
      <c r="BD26" t="s">
        <v>424</v>
      </c>
      <c r="BE26" t="s">
        <v>251</v>
      </c>
      <c r="BF26" t="s">
        <v>119</v>
      </c>
      <c r="BG26" t="s">
        <v>254</v>
      </c>
      <c r="BH26" t="s">
        <v>986</v>
      </c>
      <c r="BI26" t="s">
        <v>1583</v>
      </c>
      <c r="BJ26" t="s">
        <v>635</v>
      </c>
      <c r="BK26" t="s">
        <v>987</v>
      </c>
      <c r="BL26" t="s">
        <v>57</v>
      </c>
      <c r="BM26" t="s">
        <v>992</v>
      </c>
      <c r="BN26">
        <v>6.02</v>
      </c>
      <c r="BO26">
        <v>9.6999999999999993</v>
      </c>
      <c r="BP26">
        <v>11.44</v>
      </c>
      <c r="BQ26">
        <v>8.07</v>
      </c>
      <c r="BR26">
        <v>12.69</v>
      </c>
      <c r="BS26">
        <v>14.69</v>
      </c>
      <c r="BT26" t="s">
        <v>993</v>
      </c>
      <c r="BU26" t="s">
        <v>47</v>
      </c>
      <c r="BV26">
        <v>2.64</v>
      </c>
      <c r="BW26">
        <v>2.4</v>
      </c>
      <c r="BX26">
        <v>2.5099999999999998</v>
      </c>
      <c r="BY26">
        <v>0.98</v>
      </c>
      <c r="BZ26">
        <v>1.05</v>
      </c>
      <c r="CA26">
        <v>1.03</v>
      </c>
      <c r="CB26">
        <v>2.42</v>
      </c>
      <c r="CC26">
        <v>-9.0299999999999994</v>
      </c>
      <c r="CD26" t="s">
        <v>87</v>
      </c>
      <c r="CE26" t="s">
        <v>186</v>
      </c>
      <c r="CF26" s="9">
        <v>57.026189436927112</v>
      </c>
      <c r="CG26" s="10">
        <v>3.9560280239520957</v>
      </c>
      <c r="CH26" s="9">
        <v>-0.9806816577911377</v>
      </c>
      <c r="CI26" s="9">
        <v>2.4906773120164871E-2</v>
      </c>
      <c r="CJ26" s="9">
        <v>0.39390444755554199</v>
      </c>
      <c r="CK26" s="9">
        <v>0.12569941580295563</v>
      </c>
      <c r="CL26" s="9">
        <v>0.19452232122421265</v>
      </c>
      <c r="CM26" s="10">
        <v>-0.92611461877822876</v>
      </c>
      <c r="CN26" s="10">
        <v>-1.5056462027132511E-2</v>
      </c>
      <c r="CO26" s="10">
        <v>0.45120179653167725</v>
      </c>
      <c r="CP26" s="10">
        <v>4.3890797533094883E-3</v>
      </c>
      <c r="CQ26" s="10">
        <v>0.14059248566627502</v>
      </c>
      <c r="CR26">
        <v>8.1972517260682967</v>
      </c>
      <c r="CS26">
        <v>1.6961092120657462</v>
      </c>
      <c r="CT26">
        <v>4.9645390070921982</v>
      </c>
      <c r="CU26" s="9">
        <v>-4.8329740017652514E-2</v>
      </c>
      <c r="CV26" s="10">
        <v>-6.8997543770819902E-2</v>
      </c>
      <c r="CW26">
        <v>0.06</v>
      </c>
      <c r="CX26">
        <v>288.5328827586207</v>
      </c>
      <c r="CY26" t="s">
        <v>1584</v>
      </c>
      <c r="CZ26">
        <v>-4.8329740017652514E-2</v>
      </c>
      <c r="DA26">
        <v>96.177627586206896</v>
      </c>
      <c r="DB26" t="s">
        <v>1585</v>
      </c>
      <c r="DC26">
        <v>-4.5913253016769885E-2</v>
      </c>
      <c r="DD26">
        <v>48.088813793103448</v>
      </c>
      <c r="DE26" t="s">
        <v>1586</v>
      </c>
      <c r="DF26">
        <v>-4.2530171215534214E-2</v>
      </c>
      <c r="DG26">
        <v>28.85328827586207</v>
      </c>
      <c r="DH26" t="s">
        <v>1587</v>
      </c>
      <c r="DI26">
        <v>-3.8663792014122011E-2</v>
      </c>
      <c r="DJ26">
        <v>14.426644137931035</v>
      </c>
      <c r="DK26" t="s">
        <v>1588</v>
      </c>
      <c r="DL26">
        <v>-3.383081801235676E-2</v>
      </c>
      <c r="DM26">
        <v>290000000</v>
      </c>
      <c r="DN26">
        <v>-4.8329740017652514E-2</v>
      </c>
      <c r="DO26">
        <v>83674536000</v>
      </c>
      <c r="DP26">
        <v>13587370000</v>
      </c>
      <c r="DQ26">
        <v>3390</v>
      </c>
      <c r="DR26">
        <v>57.074519176944762</v>
      </c>
      <c r="DS26">
        <v>4.0250255677229152</v>
      </c>
      <c r="DT26" s="11">
        <v>-0.54</v>
      </c>
      <c r="DU26">
        <v>-0.19999999999999998</v>
      </c>
      <c r="DV26">
        <v>-0.74</v>
      </c>
      <c r="DW26">
        <v>-2.0903</v>
      </c>
      <c r="DX26">
        <v>0.40959016393442682</v>
      </c>
      <c r="DY26">
        <v>-2.0135079918032788</v>
      </c>
      <c r="DZ26">
        <v>3485</v>
      </c>
      <c r="EA26">
        <v>-2.0042955942622953</v>
      </c>
      <c r="EB26">
        <v>2</v>
      </c>
      <c r="EC26">
        <v>2.8117142486392747E-2</v>
      </c>
      <c r="ED26">
        <v>0.18796117168985838</v>
      </c>
      <c r="EE26" s="12">
        <v>-1.01261</v>
      </c>
      <c r="EF26">
        <v>-1.0336099999999999</v>
      </c>
      <c r="EG26">
        <v>26.149590163934427</v>
      </c>
      <c r="EH26" t="s">
        <v>576</v>
      </c>
      <c r="EI26">
        <v>0</v>
      </c>
      <c r="EJ26">
        <v>0</v>
      </c>
      <c r="EK26" s="8">
        <v>45470</v>
      </c>
      <c r="EL26" s="13">
        <v>-0.16</v>
      </c>
      <c r="EM26" s="13">
        <v>-4.08</v>
      </c>
      <c r="EN26" s="13">
        <v>-2.81</v>
      </c>
      <c r="EO26" s="13">
        <v>4.37</v>
      </c>
      <c r="EP26" s="13">
        <v>-2.1</v>
      </c>
    </row>
    <row r="27" spans="1:146" ht="96" x14ac:dyDescent="0.25">
      <c r="A27" s="6"/>
      <c r="B27" s="6"/>
      <c r="C27" s="6" t="str">
        <f>""&amp;CHAR(10)&amp;Basic_Fundamental_Information_Constructure(F27)&amp;CHAR(10)&amp;Basic_Fundamental_Information_Concatenate("")</f>
        <v xml:space="preserve">
市值12.3674953亿, 利润10.02亿; PE; 平均PE7.22; 平均PEG.05, PB5.68; ROIC4.51%; ROE-9.5533%; 股利率0%; 毛利1.4067%; 净利-2.7633%; 上一年度营收增692.69%, 利润增6943%; 当季营收增-93.94%, 利润增-113.67%; 过往5年营收增140.99%, 利润增1347.58%
Income profile:
</v>
      </c>
      <c r="D27" t="s">
        <v>359</v>
      </c>
      <c r="E27" t="s">
        <v>637</v>
      </c>
      <c r="F27">
        <v>5.37</v>
      </c>
      <c r="G27">
        <v>3.27</v>
      </c>
      <c r="H27" t="s">
        <v>1589</v>
      </c>
      <c r="I27">
        <v>1236749530</v>
      </c>
      <c r="K27">
        <v>5.68</v>
      </c>
      <c r="L27" t="s">
        <v>47</v>
      </c>
      <c r="M27" t="s">
        <v>189</v>
      </c>
      <c r="N27" t="s">
        <v>586</v>
      </c>
      <c r="O27" t="s">
        <v>406</v>
      </c>
      <c r="P27">
        <v>209.09</v>
      </c>
      <c r="Q27" t="s">
        <v>1590</v>
      </c>
      <c r="R27">
        <v>-19279296</v>
      </c>
      <c r="S27" s="5">
        <v>-2.008</v>
      </c>
      <c r="T27" t="s">
        <v>735</v>
      </c>
      <c r="U27">
        <v>215040000</v>
      </c>
      <c r="V27">
        <v>230307180</v>
      </c>
      <c r="W27">
        <v>1.83</v>
      </c>
      <c r="X27">
        <v>0.42</v>
      </c>
      <c r="Y27">
        <v>-10.61</v>
      </c>
      <c r="Z27" t="s">
        <v>201</v>
      </c>
      <c r="AA27" t="s">
        <v>703</v>
      </c>
      <c r="AB27" t="s">
        <v>1591</v>
      </c>
      <c r="AC27" t="s">
        <v>1592</v>
      </c>
      <c r="AD27" t="s">
        <v>31</v>
      </c>
      <c r="AE27">
        <v>900800</v>
      </c>
      <c r="AF27" t="s">
        <v>996</v>
      </c>
      <c r="AG27">
        <v>0.48</v>
      </c>
      <c r="AH27" t="s">
        <v>997</v>
      </c>
      <c r="AI27" t="s">
        <v>1593</v>
      </c>
      <c r="AJ27" t="s">
        <v>998</v>
      </c>
      <c r="AK27" t="s">
        <v>1594</v>
      </c>
      <c r="AL27" t="s">
        <v>999</v>
      </c>
      <c r="AM27" t="s">
        <v>31</v>
      </c>
      <c r="AN27" t="s">
        <v>1595</v>
      </c>
      <c r="AO27" t="s">
        <v>1596</v>
      </c>
      <c r="AP27" t="s">
        <v>31</v>
      </c>
      <c r="AQ27" t="s">
        <v>1597</v>
      </c>
      <c r="AR27" t="s">
        <v>31</v>
      </c>
      <c r="AS27" t="s">
        <v>56</v>
      </c>
      <c r="AT27" t="s">
        <v>1598</v>
      </c>
      <c r="AU27" t="s">
        <v>1599</v>
      </c>
      <c r="AV27" t="s">
        <v>1600</v>
      </c>
      <c r="AW27" t="s">
        <v>1601</v>
      </c>
      <c r="AX27" t="s">
        <v>638</v>
      </c>
      <c r="AY27" t="s">
        <v>425</v>
      </c>
      <c r="AZ27" t="s">
        <v>640</v>
      </c>
      <c r="BA27" t="s">
        <v>360</v>
      </c>
      <c r="BB27" t="s">
        <v>209</v>
      </c>
      <c r="BC27" t="s">
        <v>639</v>
      </c>
      <c r="BD27" t="s">
        <v>641</v>
      </c>
      <c r="BE27" t="s">
        <v>642</v>
      </c>
      <c r="BF27" t="s">
        <v>361</v>
      </c>
      <c r="BG27" t="s">
        <v>362</v>
      </c>
      <c r="BH27" t="s">
        <v>994</v>
      </c>
      <c r="BI27" t="s">
        <v>1602</v>
      </c>
      <c r="BJ27" t="s">
        <v>638</v>
      </c>
      <c r="BK27" t="s">
        <v>995</v>
      </c>
      <c r="BL27" t="s">
        <v>486</v>
      </c>
      <c r="BM27" t="s">
        <v>639</v>
      </c>
      <c r="BN27" t="s">
        <v>31</v>
      </c>
      <c r="BO27">
        <v>4.51</v>
      </c>
      <c r="BP27" t="s">
        <v>31</v>
      </c>
      <c r="BQ27">
        <v>-12.03</v>
      </c>
      <c r="BR27">
        <v>5.12</v>
      </c>
      <c r="BS27">
        <v>-21.75</v>
      </c>
      <c r="BT27" t="s">
        <v>569</v>
      </c>
      <c r="BU27" t="s">
        <v>47</v>
      </c>
      <c r="BV27">
        <v>1.46</v>
      </c>
      <c r="BW27">
        <v>1.33</v>
      </c>
      <c r="BX27">
        <v>1.43</v>
      </c>
      <c r="BY27">
        <v>-6.28</v>
      </c>
      <c r="BZ27">
        <v>0.92</v>
      </c>
      <c r="CA27">
        <v>-2.93</v>
      </c>
      <c r="CB27">
        <v>-0.92</v>
      </c>
      <c r="CC27">
        <v>-19.97</v>
      </c>
      <c r="CD27" t="s">
        <v>1603</v>
      </c>
      <c r="CE27" t="s">
        <v>1604</v>
      </c>
      <c r="CF27" s="9">
        <v>-0.93939393939393945</v>
      </c>
      <c r="CG27" s="10">
        <v>-1.1367325957446808</v>
      </c>
      <c r="CH27" s="9">
        <v>6.9269475936889648</v>
      </c>
      <c r="CI27" s="9">
        <v>0.14640198647975922</v>
      </c>
      <c r="CJ27" s="9">
        <v>-0.40163329243659973</v>
      </c>
      <c r="CK27" s="9">
        <v>0.32058829069137573</v>
      </c>
      <c r="CL27" s="9">
        <v>5.6994818150997162E-2</v>
      </c>
      <c r="CM27" s="10">
        <v>69.429962158203125</v>
      </c>
      <c r="CN27" s="10">
        <v>1.2834670543670654</v>
      </c>
      <c r="CO27" s="10">
        <v>-3.3583347797393799</v>
      </c>
      <c r="CP27" s="10">
        <v>9.7595565021038055E-2</v>
      </c>
      <c r="CQ27" s="10">
        <v>-7.364337146282196E-2</v>
      </c>
      <c r="CR27">
        <v>7.2209161132704835</v>
      </c>
      <c r="CS27">
        <v>5.1217260801686058E-2</v>
      </c>
      <c r="CT27">
        <v>0</v>
      </c>
      <c r="CU27" s="9">
        <v>1.4098598793148995</v>
      </c>
      <c r="CV27" s="10">
        <v>13.475809325277805</v>
      </c>
      <c r="CW27">
        <v>0.06</v>
      </c>
      <c r="CX27">
        <v>0.54598320303274916</v>
      </c>
      <c r="CY27">
        <v>2277999621.7674804</v>
      </c>
      <c r="CZ27">
        <v>1.4098598793148995</v>
      </c>
      <c r="DA27">
        <v>6.9629229622604025E-2</v>
      </c>
      <c r="DB27">
        <v>17862462887.227413</v>
      </c>
      <c r="DC27">
        <v>1.3393668853491545</v>
      </c>
      <c r="DD27">
        <v>7.4143388331542343E-3</v>
      </c>
      <c r="DE27">
        <v>167749216482.8512</v>
      </c>
      <c r="DF27">
        <v>1.2406766937971117</v>
      </c>
      <c r="DG27">
        <v>5.8670821761817242E-4</v>
      </c>
      <c r="DH27">
        <v>2119877466603.7278</v>
      </c>
      <c r="DI27">
        <v>1.1278879034519196</v>
      </c>
      <c r="DJ27">
        <v>2.0198206608089907E-6</v>
      </c>
      <c r="DK27">
        <v>615772258464692.62</v>
      </c>
      <c r="DL27">
        <v>0.98690191552042961</v>
      </c>
      <c r="DM27">
        <v>1002000000</v>
      </c>
      <c r="DN27">
        <v>1.4098598793148995</v>
      </c>
      <c r="DO27">
        <v>1243749530</v>
      </c>
      <c r="DP27">
        <v>111675630</v>
      </c>
      <c r="DQ27">
        <v>3435</v>
      </c>
      <c r="DR27">
        <v>-2.349253818708839</v>
      </c>
      <c r="DS27">
        <v>-14.612541921022485</v>
      </c>
      <c r="DT27" s="11">
        <v>-0.15666666666666673</v>
      </c>
      <c r="DU27">
        <v>-0.98166666666666658</v>
      </c>
      <c r="DV27">
        <v>-1.1383333333333332</v>
      </c>
      <c r="DW27">
        <v>-3.0448988095238096</v>
      </c>
      <c r="DX27">
        <v>0.43831453990564512</v>
      </c>
      <c r="DY27">
        <v>-3.0057611700863589</v>
      </c>
      <c r="DZ27">
        <v>3649</v>
      </c>
      <c r="EA27">
        <v>-3.0016471760266477</v>
      </c>
      <c r="EB27">
        <v>3</v>
      </c>
      <c r="EC27">
        <v>4.2680388861519647E-2</v>
      </c>
      <c r="ED27">
        <v>0.33262315139284848</v>
      </c>
      <c r="EE27" s="12">
        <v>0.10771</v>
      </c>
      <c r="EF27">
        <v>0.12561</v>
      </c>
      <c r="EG27">
        <v>31.128314539905645</v>
      </c>
      <c r="EH27">
        <v>-1</v>
      </c>
      <c r="EI27">
        <v>0</v>
      </c>
      <c r="EJ27">
        <v>0</v>
      </c>
      <c r="EK27" s="8">
        <v>45470</v>
      </c>
      <c r="EL27" s="13">
        <v>-0.44</v>
      </c>
      <c r="EM27" s="13">
        <v>-2.67</v>
      </c>
      <c r="EN27" s="13">
        <v>0</v>
      </c>
      <c r="EO27" s="13">
        <v>1.83</v>
      </c>
      <c r="EP27" s="13">
        <v>-1.79</v>
      </c>
    </row>
    <row r="28" spans="1:146" ht="156" x14ac:dyDescent="0.25">
      <c r="A28" s="6" t="s">
        <v>578</v>
      </c>
      <c r="B28" s="6"/>
      <c r="C28" s="6" t="str">
        <f>"公司业务布局三大赛道，聚焦供应链管理核心主业，深化金融服务的协同作用，积极拓展健康科技新赛道。主要产品或业务为供应链管理业务,房地产经营业务,金融服务业务,健康科技业务等。"&amp;CHAR(10)&amp;Basic_Fundamental_Information_Constructure(F28)&amp;CHAR(10)&amp;Basic_Fundamental_Information_Concatenate("供应链管理业务 2619.61亿 98.44% 88.75% 1.67%
金融服务业务 25.05亿 0.94% 6.61% 13.03%
房地产经营业务 16.40亿 0.62% 4.64% 13.99%")</f>
        <v>公司业务布局三大赛道，聚焦供应链管理核心主业，深化金融服务的协同作用，积极拓展健康科技新赛道。主要产品或业务为供应链管理业务,房地产经营业务,金融服务业务,健康科技业务等。
市值152.31214亿, 利润9098.87万; PE9.6; 平均PE6.42; 平均PEG2.74, PB.708; ROIC6.81%; ROE13.32%; 股利率7.2359%; 毛利1.6367%; 净利.7067%; 上一年度营收增-99.51%, 利润增-97.47%; 当季营收增21918.18%, 利润增9228.39%; 过往5年营收增2.35%, 利润增-8.57%
Income profile:
供应链管理业务 2619.61亿 98.44% 88.75% 1.67%
金融服务业务 25.05亿 0.94% 6.61% 13.03%
房地产经营业务 16.40亿 0.62% 4.64% 13.99%</v>
      </c>
      <c r="D28" t="s">
        <v>363</v>
      </c>
      <c r="E28" t="s">
        <v>364</v>
      </c>
      <c r="F28">
        <v>6.91</v>
      </c>
      <c r="G28">
        <v>-0.86</v>
      </c>
      <c r="H28" t="s">
        <v>1605</v>
      </c>
      <c r="I28">
        <v>15231214000</v>
      </c>
      <c r="J28">
        <v>9.6</v>
      </c>
      <c r="K28">
        <v>0.70799999999999996</v>
      </c>
      <c r="L28" t="s">
        <v>47</v>
      </c>
      <c r="M28" t="s">
        <v>1001</v>
      </c>
      <c r="N28" t="s">
        <v>1606</v>
      </c>
      <c r="O28" t="s">
        <v>1002</v>
      </c>
      <c r="P28">
        <v>-21.6</v>
      </c>
      <c r="Q28" t="s">
        <v>1607</v>
      </c>
      <c r="R28">
        <v>410365030</v>
      </c>
      <c r="S28" s="5">
        <v>-0.44500000000000001</v>
      </c>
      <c r="T28" t="s">
        <v>1608</v>
      </c>
      <c r="U28">
        <v>2109734700</v>
      </c>
      <c r="V28">
        <v>2204227900</v>
      </c>
      <c r="W28">
        <v>3.57</v>
      </c>
      <c r="X28">
        <v>0.74</v>
      </c>
      <c r="Y28">
        <v>0.49</v>
      </c>
      <c r="Z28" t="s">
        <v>1609</v>
      </c>
      <c r="AA28" t="s">
        <v>1610</v>
      </c>
      <c r="AB28" t="s">
        <v>1275</v>
      </c>
      <c r="AC28" t="s">
        <v>358</v>
      </c>
      <c r="AD28" t="s">
        <v>31</v>
      </c>
      <c r="AE28">
        <v>567398150</v>
      </c>
      <c r="AF28" t="s">
        <v>1005</v>
      </c>
      <c r="AG28" t="s">
        <v>1611</v>
      </c>
      <c r="AH28" t="s">
        <v>1006</v>
      </c>
      <c r="AI28" t="s">
        <v>1612</v>
      </c>
      <c r="AJ28" t="s">
        <v>1007</v>
      </c>
      <c r="AK28" t="s">
        <v>1613</v>
      </c>
      <c r="AL28" t="s">
        <v>1008</v>
      </c>
      <c r="AM28" t="s">
        <v>31</v>
      </c>
      <c r="AN28" t="s">
        <v>970</v>
      </c>
      <c r="AO28" t="s">
        <v>1614</v>
      </c>
      <c r="AP28" t="s">
        <v>1615</v>
      </c>
      <c r="AQ28" t="s">
        <v>1616</v>
      </c>
      <c r="AR28" t="s">
        <v>1617</v>
      </c>
      <c r="AS28" t="s">
        <v>1618</v>
      </c>
      <c r="AT28" t="s">
        <v>1619</v>
      </c>
      <c r="AU28" t="s">
        <v>1620</v>
      </c>
      <c r="AV28" t="s">
        <v>1621</v>
      </c>
      <c r="AW28" t="s">
        <v>1622</v>
      </c>
      <c r="AX28" t="s">
        <v>1009</v>
      </c>
      <c r="AY28" t="s">
        <v>426</v>
      </c>
      <c r="AZ28" t="s">
        <v>365</v>
      </c>
      <c r="BA28" t="s">
        <v>367</v>
      </c>
      <c r="BB28" t="s">
        <v>368</v>
      </c>
      <c r="BC28" t="s">
        <v>853</v>
      </c>
      <c r="BD28" t="s">
        <v>644</v>
      </c>
      <c r="BE28" t="s">
        <v>366</v>
      </c>
      <c r="BF28" t="s">
        <v>369</v>
      </c>
      <c r="BG28" t="s">
        <v>370</v>
      </c>
      <c r="BH28" t="s">
        <v>1003</v>
      </c>
      <c r="BI28" t="s">
        <v>1623</v>
      </c>
      <c r="BJ28" t="s">
        <v>1009</v>
      </c>
      <c r="BK28" t="s">
        <v>1004</v>
      </c>
      <c r="BL28" t="s">
        <v>1624</v>
      </c>
      <c r="BM28" t="s">
        <v>853</v>
      </c>
      <c r="BN28">
        <v>4.0199999999999996</v>
      </c>
      <c r="BO28">
        <v>9.0500000000000007</v>
      </c>
      <c r="BP28">
        <v>7.36</v>
      </c>
      <c r="BQ28">
        <v>6.99</v>
      </c>
      <c r="BR28">
        <v>15.35</v>
      </c>
      <c r="BS28">
        <v>17.62</v>
      </c>
      <c r="BT28" t="s">
        <v>680</v>
      </c>
      <c r="BU28" t="s">
        <v>47</v>
      </c>
      <c r="BV28">
        <v>1.37</v>
      </c>
      <c r="BW28">
        <v>1.82</v>
      </c>
      <c r="BX28">
        <v>1.72</v>
      </c>
      <c r="BY28">
        <v>0.44</v>
      </c>
      <c r="BZ28">
        <v>0.87</v>
      </c>
      <c r="CA28">
        <v>0.81</v>
      </c>
      <c r="CB28">
        <v>-3.63</v>
      </c>
      <c r="CC28">
        <v>-7.5</v>
      </c>
      <c r="CD28" t="s">
        <v>1625</v>
      </c>
      <c r="CE28" t="s">
        <v>382</v>
      </c>
      <c r="CF28" s="9">
        <v>219.18181818181816</v>
      </c>
      <c r="CG28" s="10">
        <v>92.283860335068539</v>
      </c>
      <c r="CH28" s="9">
        <v>-0.99510872364044189</v>
      </c>
      <c r="CI28" s="9">
        <v>0.12305160611867905</v>
      </c>
      <c r="CJ28" s="9">
        <v>0.32375556230545044</v>
      </c>
      <c r="CK28" s="9">
        <v>0.61015284061431885</v>
      </c>
      <c r="CL28" s="9">
        <v>5.5416841059923172E-2</v>
      </c>
      <c r="CM28" s="10">
        <v>-0.97468316555023193</v>
      </c>
      <c r="CN28" s="10">
        <v>4.5375142246484756E-2</v>
      </c>
      <c r="CO28" s="10">
        <v>0.316232830286026</v>
      </c>
      <c r="CP28" s="10">
        <v>0.13122567534446716</v>
      </c>
      <c r="CQ28" s="10">
        <v>5.3375884890556335E-2</v>
      </c>
      <c r="CR28">
        <v>6.4194546600054547</v>
      </c>
      <c r="CS28">
        <v>2.7370841736388014</v>
      </c>
      <c r="CT28">
        <v>7.2358900144717797</v>
      </c>
      <c r="CU28" s="9">
        <v>2.3453625291585921E-2</v>
      </c>
      <c r="CV28" s="10">
        <v>-8.5694726556539536E-2</v>
      </c>
      <c r="CW28">
        <v>0.06</v>
      </c>
      <c r="CX28">
        <v>549.6678969078165</v>
      </c>
      <c r="CY28">
        <v>87851617.807140127</v>
      </c>
      <c r="CZ28">
        <v>2.3453625291585921E-2</v>
      </c>
      <c r="DA28">
        <v>190.11771909628641</v>
      </c>
      <c r="DB28">
        <v>253996388.2879512</v>
      </c>
      <c r="DC28">
        <v>2.2280944027006623E-2</v>
      </c>
      <c r="DD28">
        <v>100.76800388328435</v>
      </c>
      <c r="DE28">
        <v>479211774.95915782</v>
      </c>
      <c r="DF28">
        <v>2.0639190256595611E-2</v>
      </c>
      <c r="DG28">
        <v>65.588221139860778</v>
      </c>
      <c r="DH28">
        <v>736248264.71551573</v>
      </c>
      <c r="DI28">
        <v>1.8762900233268737E-2</v>
      </c>
      <c r="DJ28">
        <v>40.052883081084921</v>
      </c>
      <c r="DK28">
        <v>1205636405.8048222</v>
      </c>
      <c r="DL28">
        <v>1.6417537704110145E-2</v>
      </c>
      <c r="DM28">
        <v>90988700.000000015</v>
      </c>
      <c r="DN28">
        <v>2.3453625291585921E-2</v>
      </c>
      <c r="DO28">
        <v>48289214000</v>
      </c>
      <c r="DP28">
        <v>22823727000</v>
      </c>
      <c r="DQ28">
        <v>3437</v>
      </c>
      <c r="DR28">
        <v>219.15836455652658</v>
      </c>
      <c r="DS28">
        <v>92.369555061625078</v>
      </c>
      <c r="DT28" s="11">
        <v>-0.40666666666666668</v>
      </c>
      <c r="DU28">
        <v>-0.19999999999999998</v>
      </c>
      <c r="DV28">
        <v>-0.60666666666666669</v>
      </c>
      <c r="DW28">
        <v>-8.484</v>
      </c>
      <c r="DX28">
        <v>0.33150822510822536</v>
      </c>
      <c r="DY28">
        <v>-8.0684899809523802</v>
      </c>
      <c r="DZ28">
        <v>1294</v>
      </c>
      <c r="EA28">
        <v>-8.051146334112385</v>
      </c>
      <c r="EB28">
        <v>8</v>
      </c>
      <c r="EC28">
        <v>2.9659728016327169E-2</v>
      </c>
      <c r="ED28">
        <v>0.20959720181384148</v>
      </c>
      <c r="EE28" s="12">
        <v>-1.01051</v>
      </c>
      <c r="EF28">
        <v>-1.0336099999999999</v>
      </c>
      <c r="EG28">
        <v>19.141508225108225</v>
      </c>
      <c r="EH28" t="s">
        <v>576</v>
      </c>
      <c r="EI28">
        <v>0</v>
      </c>
      <c r="EJ28">
        <v>1</v>
      </c>
      <c r="EK28" s="8">
        <v>45470</v>
      </c>
      <c r="EL28" s="13">
        <v>-0.92</v>
      </c>
      <c r="EM28" s="13">
        <v>-1.06</v>
      </c>
      <c r="EN28" s="13">
        <v>1.71</v>
      </c>
      <c r="EO28" s="13">
        <v>0.51</v>
      </c>
      <c r="EP28" s="13">
        <v>-2.31</v>
      </c>
    </row>
    <row r="29" spans="1:146" ht="96" x14ac:dyDescent="0.25">
      <c r="A29" s="6"/>
      <c r="B29" s="6"/>
      <c r="C29" s="6" t="str">
        <f>""&amp;CHAR(10)&amp;Basic_Fundamental_Information_Constructure(F29)&amp;CHAR(10)&amp;Basic_Fundamental_Information_Concatenate("")</f>
        <v xml:space="preserve">
市值105.547268亿, 利润2.46亿; PE10.85; 平均PE20.16; 平均PEG26.68, PB.762; ROIC4.6333%; ROE4.92%; 股利率2.6446%; 毛利2.4167%; 净利1.1267%; 上一年度营收增-91.99%, 利润增-61.56%; 当季营收增734.07%, 利润增499.56%; 过往5年营收增.76%, 利润增6.44%
Income profile:
</v>
      </c>
      <c r="D29" t="s">
        <v>120</v>
      </c>
      <c r="E29" t="s">
        <v>6</v>
      </c>
      <c r="F29">
        <v>4.84</v>
      </c>
      <c r="G29">
        <v>-0.82</v>
      </c>
      <c r="H29" t="s">
        <v>1626</v>
      </c>
      <c r="I29">
        <v>10554726800</v>
      </c>
      <c r="J29">
        <v>10.85</v>
      </c>
      <c r="K29">
        <v>0.76200000000000001</v>
      </c>
      <c r="L29" t="s">
        <v>47</v>
      </c>
      <c r="M29" t="s">
        <v>1010</v>
      </c>
      <c r="N29" t="s">
        <v>1627</v>
      </c>
      <c r="O29" t="s">
        <v>1011</v>
      </c>
      <c r="P29">
        <v>-6.05</v>
      </c>
      <c r="Q29" t="s">
        <v>1628</v>
      </c>
      <c r="R29">
        <v>273929430</v>
      </c>
      <c r="S29" s="5">
        <v>2.109</v>
      </c>
      <c r="T29" t="s">
        <v>1629</v>
      </c>
      <c r="U29">
        <v>2170079600</v>
      </c>
      <c r="V29">
        <v>2180728700</v>
      </c>
      <c r="W29">
        <v>1.62</v>
      </c>
      <c r="X29">
        <v>0.59</v>
      </c>
      <c r="Y29">
        <v>2.11</v>
      </c>
      <c r="Z29" t="s">
        <v>1630</v>
      </c>
      <c r="AA29" t="s">
        <v>1631</v>
      </c>
      <c r="AB29" t="s">
        <v>1632</v>
      </c>
      <c r="AC29" t="s">
        <v>719</v>
      </c>
      <c r="AD29" t="s">
        <v>31</v>
      </c>
      <c r="AE29">
        <v>4909572</v>
      </c>
      <c r="AF29" t="s">
        <v>1014</v>
      </c>
      <c r="AG29" t="s">
        <v>1633</v>
      </c>
      <c r="AH29" t="s">
        <v>1015</v>
      </c>
      <c r="AI29" t="s">
        <v>1634</v>
      </c>
      <c r="AJ29" t="s">
        <v>1016</v>
      </c>
      <c r="AK29" t="s">
        <v>100</v>
      </c>
      <c r="AL29" t="s">
        <v>1017</v>
      </c>
      <c r="AM29" t="s">
        <v>31</v>
      </c>
      <c r="AN29" t="s">
        <v>1635</v>
      </c>
      <c r="AO29" t="s">
        <v>1636</v>
      </c>
      <c r="AP29" t="s">
        <v>1233</v>
      </c>
      <c r="AQ29" t="s">
        <v>1637</v>
      </c>
      <c r="AR29" t="s">
        <v>1638</v>
      </c>
      <c r="AS29" t="s">
        <v>1639</v>
      </c>
      <c r="AT29" t="s">
        <v>1640</v>
      </c>
      <c r="AU29" t="s">
        <v>1641</v>
      </c>
      <c r="AV29" t="s">
        <v>1642</v>
      </c>
      <c r="AW29" t="s">
        <v>227</v>
      </c>
      <c r="AX29" t="s">
        <v>1019</v>
      </c>
      <c r="AY29" t="s">
        <v>646</v>
      </c>
      <c r="AZ29" t="s">
        <v>647</v>
      </c>
      <c r="BA29" t="s">
        <v>255</v>
      </c>
      <c r="BB29" t="s">
        <v>256</v>
      </c>
      <c r="BC29" t="s">
        <v>645</v>
      </c>
      <c r="BD29" t="s">
        <v>99</v>
      </c>
      <c r="BE29" t="s">
        <v>427</v>
      </c>
      <c r="BF29" t="s">
        <v>121</v>
      </c>
      <c r="BG29" t="s">
        <v>88</v>
      </c>
      <c r="BH29" t="s">
        <v>1012</v>
      </c>
      <c r="BI29" t="s">
        <v>1643</v>
      </c>
      <c r="BJ29" t="s">
        <v>1019</v>
      </c>
      <c r="BK29" t="s">
        <v>1013</v>
      </c>
      <c r="BL29" t="s">
        <v>1644</v>
      </c>
      <c r="BM29" t="s">
        <v>645</v>
      </c>
      <c r="BN29">
        <v>2.39</v>
      </c>
      <c r="BO29">
        <v>4.75</v>
      </c>
      <c r="BP29">
        <v>6.76</v>
      </c>
      <c r="BQ29">
        <v>2.59</v>
      </c>
      <c r="BR29">
        <v>4.97</v>
      </c>
      <c r="BS29">
        <v>7.2</v>
      </c>
      <c r="BT29" t="s">
        <v>1020</v>
      </c>
      <c r="BU29" t="s">
        <v>47</v>
      </c>
      <c r="BV29">
        <v>2.87</v>
      </c>
      <c r="BW29">
        <v>2.1800000000000002</v>
      </c>
      <c r="BX29">
        <v>2.2000000000000002</v>
      </c>
      <c r="BY29">
        <v>1.25</v>
      </c>
      <c r="BZ29">
        <v>0.92</v>
      </c>
      <c r="CA29">
        <v>1.21</v>
      </c>
      <c r="CB29">
        <v>0.62</v>
      </c>
      <c r="CC29">
        <v>-5.14</v>
      </c>
      <c r="CD29" t="s">
        <v>1645</v>
      </c>
      <c r="CE29" t="s">
        <v>1437</v>
      </c>
      <c r="CF29" s="9">
        <v>7.3407185628742511</v>
      </c>
      <c r="CG29" s="10">
        <v>4.9955750449783975</v>
      </c>
      <c r="CH29" s="9">
        <v>-0.91993486881256104</v>
      </c>
      <c r="CI29" s="9">
        <v>2.0496279001235962E-2</v>
      </c>
      <c r="CJ29" s="9">
        <v>0.54115456342697144</v>
      </c>
      <c r="CK29" s="9">
        <v>0.2095743715763092</v>
      </c>
      <c r="CL29" s="9">
        <v>0.18647649884223938</v>
      </c>
      <c r="CM29" s="10">
        <v>-0.61562502384185791</v>
      </c>
      <c r="CN29" s="10">
        <v>-0.30434781312942505</v>
      </c>
      <c r="CO29" s="10">
        <v>0.59169548749923706</v>
      </c>
      <c r="CP29" s="10">
        <v>1.0642857551574707</v>
      </c>
      <c r="CQ29" s="10">
        <v>-0.41422593593597412</v>
      </c>
      <c r="CR29">
        <v>20.15542991725016</v>
      </c>
      <c r="CS29">
        <v>26.684027263439042</v>
      </c>
      <c r="CT29">
        <v>2.6446280991735538</v>
      </c>
      <c r="CU29" s="9">
        <v>7.5533688068389893E-3</v>
      </c>
      <c r="CV29" s="10">
        <v>6.4356493949890139E-2</v>
      </c>
      <c r="CW29">
        <v>0.06</v>
      </c>
      <c r="CX29">
        <v>16.523768774674895</v>
      </c>
      <c r="CY29">
        <v>233828423.32687017</v>
      </c>
      <c r="CZ29">
        <v>7.5533688068389893E-3</v>
      </c>
      <c r="DA29">
        <v>5.7939279856641139</v>
      </c>
      <c r="DB29">
        <v>666857926.01495898</v>
      </c>
      <c r="DC29">
        <v>7.1757003664970394E-3</v>
      </c>
      <c r="DD29">
        <v>3.1241552991775867</v>
      </c>
      <c r="DE29">
        <v>1236726868.5449474</v>
      </c>
      <c r="DF29">
        <v>6.6469645500183104E-3</v>
      </c>
      <c r="DG29">
        <v>2.0700685126130005</v>
      </c>
      <c r="DH29">
        <v>1866472909.6926873</v>
      </c>
      <c r="DI29">
        <v>6.0426950454711918E-3</v>
      </c>
      <c r="DJ29">
        <v>1.3080207344739119</v>
      </c>
      <c r="DK29">
        <v>2953872746.9438758</v>
      </c>
      <c r="DL29">
        <v>5.2873581647872921E-3</v>
      </c>
      <c r="DM29">
        <v>246000000</v>
      </c>
      <c r="DN29">
        <v>7.5533688068389893E-3</v>
      </c>
      <c r="DO29">
        <v>3863726800</v>
      </c>
      <c r="DP29">
        <v>4292743700</v>
      </c>
      <c r="DQ29">
        <v>3463</v>
      </c>
      <c r="DR29">
        <v>7.3331651940674121</v>
      </c>
      <c r="DS29">
        <v>4.9312185510285076</v>
      </c>
      <c r="DT29" s="11">
        <v>-0.42333333333333339</v>
      </c>
      <c r="DU29">
        <v>-0.21666666666666665</v>
      </c>
      <c r="DV29">
        <v>-0.64</v>
      </c>
      <c r="DW29">
        <v>-1.0513999999999999</v>
      </c>
      <c r="DX29">
        <v>0.39684648318042703</v>
      </c>
      <c r="DY29">
        <v>-1.0080619092354739</v>
      </c>
      <c r="DZ29">
        <v>1909</v>
      </c>
      <c r="EA29">
        <v>-1.0050501314017126</v>
      </c>
      <c r="EB29">
        <v>1</v>
      </c>
      <c r="EC29">
        <v>2.3519110836666662E-2</v>
      </c>
      <c r="ED29">
        <v>0.149949876846212</v>
      </c>
      <c r="EE29" s="12">
        <v>2.0091999999999999</v>
      </c>
      <c r="EF29">
        <v>2.0034100000000001</v>
      </c>
      <c r="EG29">
        <v>24.156846483180427</v>
      </c>
      <c r="EH29" t="s">
        <v>716</v>
      </c>
      <c r="EI29">
        <v>0</v>
      </c>
      <c r="EJ29">
        <v>0</v>
      </c>
      <c r="EK29" s="8">
        <v>45470</v>
      </c>
      <c r="EL29" s="13">
        <v>0</v>
      </c>
      <c r="EM29" s="13">
        <v>-2.97</v>
      </c>
      <c r="EN29" s="13">
        <v>-7.0000000000000007E-2</v>
      </c>
      <c r="EO29" s="13">
        <v>0.67</v>
      </c>
      <c r="EP29" s="13">
        <v>-1.26</v>
      </c>
    </row>
    <row r="30" spans="1:146" ht="96" x14ac:dyDescent="0.25">
      <c r="A30" s="6"/>
      <c r="B30" s="6"/>
      <c r="C30" s="6" t="str">
        <f>""&amp;CHAR(10)&amp;Basic_Fundamental_Information_Constructure(F30)&amp;CHAR(10)&amp;Basic_Fundamental_Information_Concatenate("")</f>
        <v xml:space="preserve">
市值38.061578亿, 利润56.09亿; PE14.61; 平均PE3.64; 平均PEG0, PB1.45; ROIC6.03%; ROE6.6567%; 股利率2.707%; 毛利22.7267%; 净利12.5167%; 上一年度营收增13397.32%, 利润增3341.1%; 当季营收增-99.37%, 利润增-92.18%; 过往5年营收增2681.44%, 利润增745.55%
Income profile:
</v>
      </c>
      <c r="D30" t="s">
        <v>122</v>
      </c>
      <c r="E30" t="s">
        <v>7</v>
      </c>
      <c r="F30">
        <v>3.14</v>
      </c>
      <c r="G30">
        <v>-0.32</v>
      </c>
      <c r="H30" t="s">
        <v>1646</v>
      </c>
      <c r="I30">
        <v>3806157800</v>
      </c>
      <c r="J30">
        <v>14.61</v>
      </c>
      <c r="K30">
        <v>1.45</v>
      </c>
      <c r="L30" t="s">
        <v>47</v>
      </c>
      <c r="M30" t="s">
        <v>1021</v>
      </c>
      <c r="N30" t="s">
        <v>1647</v>
      </c>
      <c r="O30" t="s">
        <v>1022</v>
      </c>
      <c r="P30">
        <v>9.36</v>
      </c>
      <c r="Q30" t="s">
        <v>1648</v>
      </c>
      <c r="R30">
        <v>73971935</v>
      </c>
      <c r="S30" s="5">
        <v>0.1255</v>
      </c>
      <c r="T30" t="s">
        <v>1649</v>
      </c>
      <c r="U30">
        <v>1212152160</v>
      </c>
      <c r="V30">
        <v>1212152160</v>
      </c>
      <c r="W30">
        <v>1.49</v>
      </c>
      <c r="X30">
        <v>7.0000000000000007E-2</v>
      </c>
      <c r="Y30">
        <v>27.01</v>
      </c>
      <c r="Z30" t="s">
        <v>974</v>
      </c>
      <c r="AA30" t="s">
        <v>57</v>
      </c>
      <c r="AB30" t="s">
        <v>1650</v>
      </c>
      <c r="AC30" t="s">
        <v>1651</v>
      </c>
      <c r="AD30" t="s">
        <v>31</v>
      </c>
      <c r="AE30">
        <v>3087577</v>
      </c>
      <c r="AF30" t="s">
        <v>1024</v>
      </c>
      <c r="AG30" t="s">
        <v>1652</v>
      </c>
      <c r="AH30" t="s">
        <v>1025</v>
      </c>
      <c r="AI30" t="s">
        <v>1653</v>
      </c>
      <c r="AJ30" t="s">
        <v>1027</v>
      </c>
      <c r="AK30" t="s">
        <v>1654</v>
      </c>
      <c r="AL30" t="s">
        <v>1028</v>
      </c>
      <c r="AM30" t="s">
        <v>31</v>
      </c>
      <c r="AN30" t="s">
        <v>1655</v>
      </c>
      <c r="AO30" t="s">
        <v>598</v>
      </c>
      <c r="AP30" t="s">
        <v>859</v>
      </c>
      <c r="AQ30" t="s">
        <v>1656</v>
      </c>
      <c r="AR30" t="s">
        <v>1657</v>
      </c>
      <c r="AS30" t="s">
        <v>1658</v>
      </c>
      <c r="AT30" t="s">
        <v>629</v>
      </c>
      <c r="AU30" t="s">
        <v>1659</v>
      </c>
      <c r="AV30" t="s">
        <v>1660</v>
      </c>
      <c r="AW30" t="s">
        <v>1661</v>
      </c>
      <c r="AX30" t="s">
        <v>648</v>
      </c>
      <c r="AY30" t="s">
        <v>428</v>
      </c>
      <c r="AZ30" t="s">
        <v>257</v>
      </c>
      <c r="BA30" t="s">
        <v>123</v>
      </c>
      <c r="BB30" t="s">
        <v>258</v>
      </c>
      <c r="BC30" t="s">
        <v>495</v>
      </c>
      <c r="BD30" t="s">
        <v>73</v>
      </c>
      <c r="BE30" t="s">
        <v>136</v>
      </c>
      <c r="BF30" t="s">
        <v>55</v>
      </c>
      <c r="BG30" t="s">
        <v>259</v>
      </c>
      <c r="BH30" t="s">
        <v>1023</v>
      </c>
      <c r="BI30" t="s">
        <v>1662</v>
      </c>
      <c r="BJ30" t="s">
        <v>648</v>
      </c>
      <c r="BK30" t="s">
        <v>662</v>
      </c>
      <c r="BL30" t="s">
        <v>1663</v>
      </c>
      <c r="BM30" t="s">
        <v>495</v>
      </c>
      <c r="BN30">
        <v>7.23</v>
      </c>
      <c r="BO30">
        <v>6.41</v>
      </c>
      <c r="BP30">
        <v>4.45</v>
      </c>
      <c r="BQ30">
        <v>8.26</v>
      </c>
      <c r="BR30">
        <v>7.14</v>
      </c>
      <c r="BS30">
        <v>4.57</v>
      </c>
      <c r="BT30" t="s">
        <v>665</v>
      </c>
      <c r="BU30" t="s">
        <v>47</v>
      </c>
      <c r="BV30">
        <v>31.11</v>
      </c>
      <c r="BW30">
        <v>24.99</v>
      </c>
      <c r="BX30">
        <v>12.08</v>
      </c>
      <c r="BY30">
        <v>18.14</v>
      </c>
      <c r="BZ30">
        <v>12.89</v>
      </c>
      <c r="CA30">
        <v>6.52</v>
      </c>
      <c r="CB30">
        <v>-0.95</v>
      </c>
      <c r="CC30">
        <v>-10.8</v>
      </c>
      <c r="CD30" t="s">
        <v>1664</v>
      </c>
      <c r="CE30" t="s">
        <v>685</v>
      </c>
      <c r="CF30" s="9">
        <v>-0.99372985771600197</v>
      </c>
      <c r="CG30" s="10">
        <v>-0.92180556553911208</v>
      </c>
      <c r="CH30" s="9">
        <v>133.97315979003906</v>
      </c>
      <c r="CI30" s="9">
        <v>-0.28327104449272156</v>
      </c>
      <c r="CJ30" s="9">
        <v>-9.3507722020149231E-2</v>
      </c>
      <c r="CK30" s="9">
        <v>9.9627099931240082E-2</v>
      </c>
      <c r="CL30" s="9">
        <v>0.37609964609146118</v>
      </c>
      <c r="CM30" s="10">
        <v>33.411045074462891</v>
      </c>
      <c r="CN30" s="10">
        <v>0.61386138200759888</v>
      </c>
      <c r="CO30" s="10">
        <v>-0.52582156658172607</v>
      </c>
      <c r="CP30" s="10">
        <v>0.35668790340423584</v>
      </c>
      <c r="CQ30" s="10">
        <v>3.4218626022338867</v>
      </c>
      <c r="CR30">
        <v>3.6373221563208342</v>
      </c>
      <c r="CS30">
        <v>1.3564798140463636E-3</v>
      </c>
      <c r="CT30">
        <v>2.7070063694267512</v>
      </c>
      <c r="CU30" s="9">
        <v>26.814421553909778</v>
      </c>
      <c r="CV30" s="10">
        <v>7.4555270791053774</v>
      </c>
      <c r="CW30">
        <v>0.06</v>
      </c>
      <c r="CX30">
        <v>1.4595419215149541E-2</v>
      </c>
      <c r="CY30">
        <v>147180274052.71692</v>
      </c>
      <c r="CZ30">
        <v>26.814421553909778</v>
      </c>
      <c r="DA30">
        <v>2.360127789113069E-5</v>
      </c>
      <c r="DB30">
        <v>91018707118705.344</v>
      </c>
      <c r="DC30">
        <v>25.473700476214287</v>
      </c>
      <c r="DD30">
        <v>2.3476024138604691E-9</v>
      </c>
      <c r="DE30">
        <v>9.150432744987273E+17</v>
      </c>
      <c r="DF30">
        <v>23.596690967440605</v>
      </c>
      <c r="DG30">
        <v>2.0080498213917598E-14</v>
      </c>
      <c r="DH30">
        <v>1.0697731585718987E+23</v>
      </c>
      <c r="DI30">
        <v>21.451537243127824</v>
      </c>
      <c r="DJ30">
        <v>1.3969797790801209E-26</v>
      </c>
      <c r="DK30">
        <v>1.5377157437557991E+35</v>
      </c>
      <c r="DL30">
        <v>18.770095087736845</v>
      </c>
      <c r="DM30">
        <v>5609000000</v>
      </c>
      <c r="DN30">
        <v>26.814421553909778</v>
      </c>
      <c r="DO30">
        <v>2148157800</v>
      </c>
      <c r="DP30">
        <v>1160005000</v>
      </c>
      <c r="DQ30">
        <v>3469</v>
      </c>
      <c r="DR30">
        <v>-27.808151411625779</v>
      </c>
      <c r="DS30">
        <v>-8.3773326446444898</v>
      </c>
      <c r="DT30" s="11">
        <v>-0.19000000000000003</v>
      </c>
      <c r="DU30">
        <v>0.67166666666666675</v>
      </c>
      <c r="DV30">
        <v>0.48166666666666669</v>
      </c>
      <c r="DW30">
        <v>-2.1080000000000001</v>
      </c>
      <c r="DX30">
        <v>0.37099312714776755</v>
      </c>
      <c r="DY30">
        <v>-2.0163072577319587</v>
      </c>
      <c r="DZ30">
        <v>4751</v>
      </c>
      <c r="EA30">
        <v>-2.0011456566586641</v>
      </c>
      <c r="EB30">
        <v>2</v>
      </c>
      <c r="EC30">
        <v>3.6248749496927843E-2</v>
      </c>
      <c r="ED30">
        <v>0.24006887056159681</v>
      </c>
      <c r="EE30" s="12">
        <v>-1.00441</v>
      </c>
      <c r="EF30">
        <v>-1.0133099999999999</v>
      </c>
      <c r="EG30">
        <v>22.150993127147768</v>
      </c>
      <c r="EH30" t="s">
        <v>576</v>
      </c>
      <c r="EI30">
        <v>0</v>
      </c>
      <c r="EJ30">
        <v>0</v>
      </c>
      <c r="EK30" s="8">
        <v>45470</v>
      </c>
      <c r="EL30" s="13">
        <v>-1.42</v>
      </c>
      <c r="EM30" s="13">
        <v>-3.33</v>
      </c>
      <c r="EN30" s="13">
        <v>1.38</v>
      </c>
      <c r="EO30" s="13">
        <v>2.04</v>
      </c>
      <c r="EP30" s="13">
        <v>-0.89</v>
      </c>
    </row>
    <row r="31" spans="1:146" ht="312" x14ac:dyDescent="0.25">
      <c r="A31" s="6" t="s">
        <v>580</v>
      </c>
      <c r="B31" s="6" t="s">
        <v>581</v>
      </c>
      <c r="C31" s="6" t="str">
        <f>"公司主营业务可分为航空速运、地面综合服务和综合物流解决方案。　　东航物流一直专注于航空物流综合服务业务，集航空速运、货站操作、多式联运、仓储、跨境电商解决方案、同业项目供应链、航空特货解决方案和产地直达解决方案等业务功能于一体"&amp;CHAR(10)&amp;Basic_Fundamental_Information_Constructure(F31)&amp;CHAR(10)&amp;Basic_Fundamental_Information_Concatenate("航空速运 124.31亿 55.93% 67.22% 33.40%
综合物流解决方案 69.08亿 31.08% 15.55% 13.90%
地面综合服务 28.70亿 12.91% 16.97% 36.52%")</f>
        <v>公司主营业务可分为航空速运、地面综合服务和综合物流解决方案。　　东航物流一直专注于航空物流综合服务业务，集航空速运、货站操作、多式联运、仓储、跨境电商解决方案、同业项目供应链、航空特货解决方案和产地直达解决方案等业务功能于一体
市值293.85653亿, 利润10.89亿; PE12.69; 平均PE14.09; 平均PEG3.33, PB1.83; ROIC27.8967%; ROE29.08%; 股利率0%; 毛利25.6833%; 净利17.02%; 上一年度营收增-69.09%, 利润增-70.06%; 当季营收增214.32%, 利润增105.9%; 过往5年营收增4.23%, 利润增32.54%
Income profile:
航空速运 124.31亿 55.93% 67.22% 33.40%
综合物流解决方案 69.08亿 31.08% 15.55% 13.90%
地面综合服务 28.70亿 12.91% 16.97% 36.52%</v>
      </c>
      <c r="D31" t="s">
        <v>328</v>
      </c>
      <c r="E31" t="s">
        <v>329</v>
      </c>
      <c r="F31">
        <v>18.510000000000002</v>
      </c>
      <c r="G31">
        <v>-0.48</v>
      </c>
      <c r="H31" t="s">
        <v>1665</v>
      </c>
      <c r="I31">
        <v>29385653000</v>
      </c>
      <c r="J31">
        <v>12.69</v>
      </c>
      <c r="K31">
        <v>1.83</v>
      </c>
      <c r="L31" t="s">
        <v>47</v>
      </c>
      <c r="M31" t="s">
        <v>1030</v>
      </c>
      <c r="N31" t="s">
        <v>1666</v>
      </c>
      <c r="O31" t="s">
        <v>1031</v>
      </c>
      <c r="P31">
        <v>14.17</v>
      </c>
      <c r="Q31" t="s">
        <v>1667</v>
      </c>
      <c r="R31">
        <v>588881390</v>
      </c>
      <c r="S31" s="5">
        <v>-0.22639999999999999</v>
      </c>
      <c r="T31" t="s">
        <v>1668</v>
      </c>
      <c r="U31">
        <v>801715560</v>
      </c>
      <c r="V31">
        <v>1587555600</v>
      </c>
      <c r="W31">
        <v>1.6</v>
      </c>
      <c r="X31">
        <v>0.18</v>
      </c>
      <c r="Y31">
        <v>12.76</v>
      </c>
      <c r="Z31" t="s">
        <v>1669</v>
      </c>
      <c r="AA31" t="s">
        <v>1670</v>
      </c>
      <c r="AB31" t="s">
        <v>1671</v>
      </c>
      <c r="AC31" t="s">
        <v>1672</v>
      </c>
      <c r="AD31" t="s">
        <v>31</v>
      </c>
      <c r="AE31">
        <v>65358702</v>
      </c>
      <c r="AF31" t="s">
        <v>1034</v>
      </c>
      <c r="AG31" t="s">
        <v>1673</v>
      </c>
      <c r="AH31" t="s">
        <v>1035</v>
      </c>
      <c r="AI31" t="s">
        <v>1674</v>
      </c>
      <c r="AJ31" t="s">
        <v>1036</v>
      </c>
      <c r="AK31" t="s">
        <v>31</v>
      </c>
      <c r="AL31" t="s">
        <v>1037</v>
      </c>
      <c r="AM31" t="s">
        <v>31</v>
      </c>
      <c r="AN31" t="s">
        <v>1675</v>
      </c>
      <c r="AO31" t="s">
        <v>31</v>
      </c>
      <c r="AP31" t="s">
        <v>31</v>
      </c>
      <c r="AQ31" t="s">
        <v>1147</v>
      </c>
      <c r="AR31" t="s">
        <v>1676</v>
      </c>
      <c r="AS31" t="s">
        <v>1677</v>
      </c>
      <c r="AT31" t="s">
        <v>31</v>
      </c>
      <c r="AU31" t="s">
        <v>1678</v>
      </c>
      <c r="AV31" t="s">
        <v>800</v>
      </c>
      <c r="AW31" t="s">
        <v>1679</v>
      </c>
      <c r="AX31" t="s">
        <v>649</v>
      </c>
      <c r="AY31" t="s">
        <v>429</v>
      </c>
      <c r="AZ31" t="s">
        <v>330</v>
      </c>
      <c r="BA31" t="s">
        <v>332</v>
      </c>
      <c r="BB31" t="s">
        <v>333</v>
      </c>
      <c r="BC31" t="s">
        <v>490</v>
      </c>
      <c r="BD31" t="s">
        <v>430</v>
      </c>
      <c r="BE31" t="s">
        <v>331</v>
      </c>
      <c r="BF31" t="s">
        <v>334</v>
      </c>
      <c r="BG31" t="s">
        <v>335</v>
      </c>
      <c r="BH31" t="s">
        <v>1032</v>
      </c>
      <c r="BI31" t="s">
        <v>1680</v>
      </c>
      <c r="BJ31" t="s">
        <v>649</v>
      </c>
      <c r="BK31" t="s">
        <v>1033</v>
      </c>
      <c r="BL31" t="s">
        <v>1022</v>
      </c>
      <c r="BM31" t="s">
        <v>490</v>
      </c>
      <c r="BN31">
        <v>11.87</v>
      </c>
      <c r="BO31">
        <v>28.17</v>
      </c>
      <c r="BP31">
        <v>43.65</v>
      </c>
      <c r="BQ31">
        <v>11.8</v>
      </c>
      <c r="BR31">
        <v>29.91</v>
      </c>
      <c r="BS31">
        <v>45.53</v>
      </c>
      <c r="BT31" t="s">
        <v>569</v>
      </c>
      <c r="BU31" t="s">
        <v>47</v>
      </c>
      <c r="BV31">
        <v>21.54</v>
      </c>
      <c r="BW31">
        <v>27.72</v>
      </c>
      <c r="BX31">
        <v>27.79</v>
      </c>
      <c r="BY31">
        <v>13.83</v>
      </c>
      <c r="BZ31">
        <v>18.28</v>
      </c>
      <c r="CA31">
        <v>18.95</v>
      </c>
      <c r="CB31">
        <v>-9.0399999999999991</v>
      </c>
      <c r="CC31">
        <v>-11.86</v>
      </c>
      <c r="CD31" t="s">
        <v>1681</v>
      </c>
      <c r="CE31" t="s">
        <v>1682</v>
      </c>
      <c r="CF31" s="9">
        <v>2.1432009626955475</v>
      </c>
      <c r="CG31" s="10">
        <v>1.0590258391608391</v>
      </c>
      <c r="CH31" s="9">
        <v>-0.69092458486557007</v>
      </c>
      <c r="CI31" s="9">
        <v>5.5923014879226685E-2</v>
      </c>
      <c r="CJ31" s="9">
        <v>0.47091516852378845</v>
      </c>
      <c r="CK31" s="9">
        <v>0.33773016929626465</v>
      </c>
      <c r="CL31" s="9">
        <v>3.7663090974092484E-2</v>
      </c>
      <c r="CM31" s="10">
        <v>-0.70057743787765503</v>
      </c>
      <c r="CN31" s="10">
        <v>2.7570642996579409E-3</v>
      </c>
      <c r="CO31" s="10">
        <v>0.53102582693099976</v>
      </c>
      <c r="CP31" s="10">
        <v>2.0063450336456299</v>
      </c>
      <c r="CQ31" s="10">
        <v>-0.2127872109413147</v>
      </c>
      <c r="CR31">
        <v>14.09271185356886</v>
      </c>
      <c r="CS31">
        <v>3.334655565153029</v>
      </c>
      <c r="CT31">
        <v>0</v>
      </c>
      <c r="CU31" s="9">
        <v>4.2261371761560439E-2</v>
      </c>
      <c r="CV31" s="10">
        <v>0.32535265521146356</v>
      </c>
      <c r="CW31">
        <v>0.06</v>
      </c>
      <c r="CX31">
        <v>21.954779963735664</v>
      </c>
      <c r="CY31">
        <v>1070776069.6682446</v>
      </c>
      <c r="CZ31">
        <v>4.2261371761560439E-2</v>
      </c>
      <c r="DA31">
        <v>7.4721928351089657</v>
      </c>
      <c r="DB31">
        <v>3146151808.2806783</v>
      </c>
      <c r="DC31">
        <v>4.0148303173482412E-2</v>
      </c>
      <c r="DD31">
        <v>3.8798535945062116</v>
      </c>
      <c r="DE31">
        <v>6059159818.1147203</v>
      </c>
      <c r="DF31">
        <v>3.7190007150173184E-2</v>
      </c>
      <c r="DG31">
        <v>2.4708105352182774</v>
      </c>
      <c r="DH31">
        <v>9514551061.2464619</v>
      </c>
      <c r="DI31">
        <v>3.3809097409248354E-2</v>
      </c>
      <c r="DJ31">
        <v>1.4448878307344242</v>
      </c>
      <c r="DK31">
        <v>16270227003.054453</v>
      </c>
      <c r="DL31">
        <v>2.9582960233092304E-2</v>
      </c>
      <c r="DM31">
        <v>1089000000</v>
      </c>
      <c r="DN31">
        <v>4.2261371761560439E-2</v>
      </c>
      <c r="DO31">
        <v>23508653000</v>
      </c>
      <c r="DP31">
        <v>7037520000</v>
      </c>
      <c r="DQ31">
        <v>3676</v>
      </c>
      <c r="DR31">
        <v>2.100939590933987</v>
      </c>
      <c r="DS31">
        <v>0.73367318394937553</v>
      </c>
      <c r="DT31" s="11">
        <v>-0.52333333333333332</v>
      </c>
      <c r="DU31">
        <v>0.35000000000000003</v>
      </c>
      <c r="DV31">
        <v>-0.17333333333333328</v>
      </c>
      <c r="DW31">
        <v>-9.7622259696458684</v>
      </c>
      <c r="DX31">
        <v>0.41035617977527977</v>
      </c>
      <c r="DY31">
        <v>-9.1679612027966719</v>
      </c>
      <c r="DZ31">
        <v>3510</v>
      </c>
      <c r="EA31">
        <v>-9.0525905918737131</v>
      </c>
      <c r="EB31">
        <v>9</v>
      </c>
      <c r="EC31">
        <v>3.7060182333141595E-2</v>
      </c>
      <c r="ED31">
        <v>0.16818308599711404</v>
      </c>
      <c r="EE31" s="12">
        <v>-1.1040000000000001</v>
      </c>
      <c r="EF31">
        <v>-1.0812999999999999</v>
      </c>
      <c r="EG31">
        <v>19.22035617977528</v>
      </c>
      <c r="EH31" t="s">
        <v>473</v>
      </c>
      <c r="EI31">
        <v>0</v>
      </c>
      <c r="EJ31">
        <v>0</v>
      </c>
      <c r="EK31" s="8">
        <v>45470</v>
      </c>
      <c r="EL31" s="13">
        <v>0.98</v>
      </c>
      <c r="EM31" s="13">
        <v>-2.2599999999999998</v>
      </c>
      <c r="EN31" s="13">
        <v>1.43</v>
      </c>
      <c r="EO31" s="13">
        <v>0.43</v>
      </c>
      <c r="EP31" s="13">
        <v>-2.27</v>
      </c>
    </row>
    <row r="32" spans="1:146" ht="180" x14ac:dyDescent="0.25">
      <c r="A32" s="6"/>
      <c r="B32" s="6" t="s">
        <v>579</v>
      </c>
      <c r="C32" s="6" t="str">
        <f>"公司的主营业务包括专业物流、代理及相关业务和电商业务三大板块。公司通过四大分部运营。货运代理分部在制定时限内将货物运送至指定收货人以及提供与货运代理相关的船务代理服务。物流分部提供全程物流服务。仓储及码头服务分部提供仓储、堆场、集装箱装卸站及码头服务。其他服务分部提供汽车运输服务、船舶承运服务及快递服务。"&amp;CHAR(10)&amp;Basic_Fundamental_Information_Constructure(F32)&amp;CHAR(10)&amp;Basic_Fundamental_Information_Concatenate("代理及相关 332.48亿 60.24% 61.36% 6.28%
专业物流 149.10亿 27.01% 34.37% 7.84%
电商 70.34亿 12.74% 4.27% 2.06%")</f>
        <v>公司的主营业务包括专业物流、代理及相关业务和电商业务三大板块。公司通过四大分部运营。货运代理分部在制定时限内将货物运送至指定收货人以及提供与货运代理相关的船务代理服务。物流分部提供全程物流服务。仓储及码头服务分部提供仓储、堆场、集装箱装卸站及码头服务。其他服务分部提供汽车运输服务、船舶承运服务及快递服务。
市值396.8054亿, 利润1.01亿; PE9.75; 平均PE14.74; 平均PEG1.39, PB1.03; ROIC8.24%; ROE10.78%; 股利率2.6654%; 毛利5.2667%; 净利3.8133%; 上一年度营收增-97.38%, 利润增-97.52%; 当季营收增3445.55%, 利润增2224.79%; 过往5年营收增-10.62%, 利润增-10.18%
Income profile:
代理及相关 332.48亿 60.24% 61.36% 6.28%
专业物流 149.10亿 27.01% 34.37% 7.84%
电商 70.34亿 12.74% 4.27% 2.06%</v>
      </c>
      <c r="D32" t="s">
        <v>124</v>
      </c>
      <c r="E32" t="s">
        <v>125</v>
      </c>
      <c r="F32">
        <v>5.44</v>
      </c>
      <c r="G32">
        <v>-1.27</v>
      </c>
      <c r="H32" t="s">
        <v>1683</v>
      </c>
      <c r="I32">
        <v>39680540000</v>
      </c>
      <c r="J32">
        <v>9.75</v>
      </c>
      <c r="K32">
        <v>1.03</v>
      </c>
      <c r="L32" t="s">
        <v>47</v>
      </c>
      <c r="M32" t="s">
        <v>1038</v>
      </c>
      <c r="N32" t="s">
        <v>1684</v>
      </c>
      <c r="O32" t="s">
        <v>1039</v>
      </c>
      <c r="P32">
        <v>8.09</v>
      </c>
      <c r="Q32" t="s">
        <v>1685</v>
      </c>
      <c r="R32">
        <v>802732730</v>
      </c>
      <c r="S32" s="5">
        <v>-0.1605</v>
      </c>
      <c r="T32" t="s">
        <v>73</v>
      </c>
      <c r="U32">
        <v>5255916900</v>
      </c>
      <c r="V32">
        <v>7294216900</v>
      </c>
      <c r="W32">
        <v>1.94</v>
      </c>
      <c r="X32">
        <v>0.31</v>
      </c>
      <c r="Y32">
        <v>3.47</v>
      </c>
      <c r="Z32" t="s">
        <v>1686</v>
      </c>
      <c r="AA32" t="s">
        <v>1687</v>
      </c>
      <c r="AB32" t="s">
        <v>1430</v>
      </c>
      <c r="AC32" t="s">
        <v>1688</v>
      </c>
      <c r="AD32" t="s">
        <v>31</v>
      </c>
      <c r="AE32">
        <v>84586879</v>
      </c>
      <c r="AF32" t="s">
        <v>1042</v>
      </c>
      <c r="AG32" t="s">
        <v>1689</v>
      </c>
      <c r="AH32" t="s">
        <v>1043</v>
      </c>
      <c r="AI32" t="s">
        <v>1690</v>
      </c>
      <c r="AJ32" t="s">
        <v>1044</v>
      </c>
      <c r="AK32" t="s">
        <v>1691</v>
      </c>
      <c r="AL32" t="s">
        <v>1045</v>
      </c>
      <c r="AM32" t="s">
        <v>31</v>
      </c>
      <c r="AN32" t="s">
        <v>752</v>
      </c>
      <c r="AO32" t="s">
        <v>1018</v>
      </c>
      <c r="AP32" t="s">
        <v>1692</v>
      </c>
      <c r="AQ32" t="s">
        <v>1693</v>
      </c>
      <c r="AR32" t="s">
        <v>31</v>
      </c>
      <c r="AS32" t="s">
        <v>1694</v>
      </c>
      <c r="AT32" t="s">
        <v>1695</v>
      </c>
      <c r="AU32" t="s">
        <v>1696</v>
      </c>
      <c r="AV32" t="s">
        <v>1697</v>
      </c>
      <c r="AW32" t="s">
        <v>1698</v>
      </c>
      <c r="AX32" t="s">
        <v>1046</v>
      </c>
      <c r="AY32" t="s">
        <v>650</v>
      </c>
      <c r="AZ32" t="s">
        <v>261</v>
      </c>
      <c r="BA32" t="s">
        <v>263</v>
      </c>
      <c r="BB32" t="s">
        <v>264</v>
      </c>
      <c r="BC32" t="s">
        <v>1047</v>
      </c>
      <c r="BD32" t="s">
        <v>651</v>
      </c>
      <c r="BE32" t="s">
        <v>262</v>
      </c>
      <c r="BF32" t="s">
        <v>265</v>
      </c>
      <c r="BG32" t="s">
        <v>266</v>
      </c>
      <c r="BH32" t="s">
        <v>1040</v>
      </c>
      <c r="BI32" t="s">
        <v>1570</v>
      </c>
      <c r="BJ32" t="s">
        <v>1046</v>
      </c>
      <c r="BK32" t="s">
        <v>1041</v>
      </c>
      <c r="BL32" t="s">
        <v>1699</v>
      </c>
      <c r="BM32" t="s">
        <v>1047</v>
      </c>
      <c r="BN32">
        <v>6.78</v>
      </c>
      <c r="BO32">
        <v>9.08</v>
      </c>
      <c r="BP32">
        <v>8.86</v>
      </c>
      <c r="BQ32">
        <v>8.7200000000000006</v>
      </c>
      <c r="BR32">
        <v>11.93</v>
      </c>
      <c r="BS32">
        <v>11.69</v>
      </c>
      <c r="BT32" t="s">
        <v>1048</v>
      </c>
      <c r="BU32" t="s">
        <v>47</v>
      </c>
      <c r="BV32">
        <v>5.72</v>
      </c>
      <c r="BW32">
        <v>5.55</v>
      </c>
      <c r="BX32">
        <v>4.53</v>
      </c>
      <c r="BY32">
        <v>4.38</v>
      </c>
      <c r="BZ32">
        <v>3.9</v>
      </c>
      <c r="CA32">
        <v>3.16</v>
      </c>
      <c r="CB32">
        <v>-3.37</v>
      </c>
      <c r="CC32">
        <v>-8.57</v>
      </c>
      <c r="CD32" t="s">
        <v>1700</v>
      </c>
      <c r="CE32" t="s">
        <v>653</v>
      </c>
      <c r="CF32" s="9">
        <v>34.455474452554746</v>
      </c>
      <c r="CG32" s="10">
        <v>22.24787151781241</v>
      </c>
      <c r="CH32" s="9">
        <v>-0.973777174949646</v>
      </c>
      <c r="CI32" s="9">
        <v>-0.12106343358755112</v>
      </c>
      <c r="CJ32" s="9">
        <v>0.47092986106872559</v>
      </c>
      <c r="CK32" s="9">
        <v>8.8622763752937317E-2</v>
      </c>
      <c r="CL32" s="9">
        <v>4.4365562498569489E-3</v>
      </c>
      <c r="CM32" s="10">
        <v>-0.97523903846740723</v>
      </c>
      <c r="CN32" s="10">
        <v>9.827684611082077E-2</v>
      </c>
      <c r="CO32" s="10">
        <v>0.34858390688896179</v>
      </c>
      <c r="CP32" s="10">
        <v>-1.7831714823842049E-2</v>
      </c>
      <c r="CQ32" s="10">
        <v>3.6982249468564987E-2</v>
      </c>
      <c r="CR32">
        <v>14.736521416192128</v>
      </c>
      <c r="CS32">
        <v>1.3880080803912815</v>
      </c>
      <c r="CT32">
        <v>2.6654411764705879</v>
      </c>
      <c r="CU32" s="9">
        <v>-0.10617028549313545</v>
      </c>
      <c r="CV32" s="10">
        <v>-0.10184555016458034</v>
      </c>
      <c r="CW32">
        <v>0.06</v>
      </c>
      <c r="CX32">
        <v>340.80732673267329</v>
      </c>
      <c r="CY32" t="s">
        <v>1701</v>
      </c>
      <c r="CZ32">
        <v>-0.10617028549313545</v>
      </c>
      <c r="DA32">
        <v>113.60244224422442</v>
      </c>
      <c r="DB32" t="s">
        <v>1702</v>
      </c>
      <c r="DC32">
        <v>-0.10086177121847867</v>
      </c>
      <c r="DD32">
        <v>56.80122112211221</v>
      </c>
      <c r="DE32" t="s">
        <v>1703</v>
      </c>
      <c r="DF32">
        <v>-9.3429851233959194E-2</v>
      </c>
      <c r="DG32">
        <v>34.080732673267327</v>
      </c>
      <c r="DH32" t="s">
        <v>1704</v>
      </c>
      <c r="DI32">
        <v>-8.4936228394508373E-2</v>
      </c>
      <c r="DJ32">
        <v>17.040366336633664</v>
      </c>
      <c r="DK32" t="s">
        <v>1705</v>
      </c>
      <c r="DL32">
        <v>-7.4319199845194805E-2</v>
      </c>
      <c r="DM32">
        <v>101000000</v>
      </c>
      <c r="DN32">
        <v>-0.10617028549313545</v>
      </c>
      <c r="DO32">
        <v>34421540000</v>
      </c>
      <c r="DP32">
        <v>7413248000</v>
      </c>
      <c r="DQ32">
        <v>3742</v>
      </c>
      <c r="DR32">
        <v>34.561644738047882</v>
      </c>
      <c r="DS32">
        <v>22.349717067976989</v>
      </c>
      <c r="DT32" s="11">
        <v>-0.64</v>
      </c>
      <c r="DU32">
        <v>-0.19999999999999998</v>
      </c>
      <c r="DV32">
        <v>-0.84</v>
      </c>
      <c r="DW32">
        <v>-8.3932322053675605</v>
      </c>
      <c r="DX32">
        <v>0.35228448540706636</v>
      </c>
      <c r="DY32">
        <v>-8.0441538758251827</v>
      </c>
      <c r="DZ32">
        <v>3426</v>
      </c>
      <c r="EA32">
        <v>-8.014550905457849</v>
      </c>
      <c r="EB32">
        <v>8</v>
      </c>
      <c r="EC32">
        <v>1.002125396079187E-2</v>
      </c>
      <c r="ED32">
        <v>8.9248785568742828E-2</v>
      </c>
      <c r="EE32" s="12">
        <v>3.01051</v>
      </c>
      <c r="EF32">
        <v>3.04251</v>
      </c>
      <c r="EG32">
        <v>24.112284485407066</v>
      </c>
      <c r="EH32" t="s">
        <v>1706</v>
      </c>
      <c r="EI32">
        <v>0</v>
      </c>
      <c r="EJ32">
        <v>0</v>
      </c>
      <c r="EK32" s="8">
        <v>45470</v>
      </c>
      <c r="EL32" s="13">
        <v>-0.49</v>
      </c>
      <c r="EM32" s="13">
        <v>-3.06</v>
      </c>
      <c r="EN32" s="13">
        <v>-1.63</v>
      </c>
      <c r="EO32" s="13">
        <v>6.78</v>
      </c>
      <c r="EP32" s="13">
        <v>-3.2</v>
      </c>
    </row>
    <row r="33" spans="1:146" ht="96" x14ac:dyDescent="0.25">
      <c r="A33" s="6"/>
      <c r="B33" s="6"/>
      <c r="C33" s="6" t="str">
        <f>""&amp;CHAR(10)&amp;Basic_Fundamental_Information_Constructure(F33)&amp;CHAR(10)&amp;Basic_Fundamental_Information_Concatenate("")</f>
        <v xml:space="preserve">
市值132.477229亿, 利润3.32亿; PE17.3; 平均PE28; 平均PEG2.5, PB1.7; ROIC5.43%; ROE6.2667%; 股利率.6124%; 毛利9.7933%; 净利1.5333%; 上一年度营收增-88.69%, 利润增-49.54%; 当季营收增1131.13%, 利润增107.84%; 过往5年营收增-11.18%, 利润增50.82%
Income profile:
</v>
      </c>
      <c r="D33" t="s">
        <v>127</v>
      </c>
      <c r="E33" t="s">
        <v>16</v>
      </c>
      <c r="F33">
        <v>12.9</v>
      </c>
      <c r="G33">
        <v>2.2999999999999998</v>
      </c>
      <c r="H33" t="s">
        <v>1707</v>
      </c>
      <c r="I33">
        <v>13247722900</v>
      </c>
      <c r="J33">
        <v>17.3</v>
      </c>
      <c r="K33">
        <v>1.7</v>
      </c>
      <c r="L33" t="s">
        <v>47</v>
      </c>
      <c r="M33" t="s">
        <v>1049</v>
      </c>
      <c r="N33" t="s">
        <v>1708</v>
      </c>
      <c r="O33" t="s">
        <v>1050</v>
      </c>
      <c r="P33">
        <v>25.31</v>
      </c>
      <c r="Q33" t="s">
        <v>1709</v>
      </c>
      <c r="R33">
        <v>92791928</v>
      </c>
      <c r="S33" s="5">
        <v>0.27739999999999998</v>
      </c>
      <c r="T33" t="s">
        <v>1710</v>
      </c>
      <c r="U33">
        <v>1026955270</v>
      </c>
      <c r="V33">
        <v>1026955270</v>
      </c>
      <c r="W33">
        <v>2.2400000000000002</v>
      </c>
      <c r="X33">
        <v>0.53</v>
      </c>
      <c r="Y33">
        <v>1</v>
      </c>
      <c r="Z33" t="s">
        <v>1711</v>
      </c>
      <c r="AA33" t="s">
        <v>1712</v>
      </c>
      <c r="AB33" t="s">
        <v>691</v>
      </c>
      <c r="AC33" t="s">
        <v>694</v>
      </c>
      <c r="AD33" t="s">
        <v>31</v>
      </c>
      <c r="AE33">
        <v>23924370</v>
      </c>
      <c r="AF33" t="s">
        <v>1052</v>
      </c>
      <c r="AG33" t="s">
        <v>1713</v>
      </c>
      <c r="AH33" t="s">
        <v>1053</v>
      </c>
      <c r="AI33" t="s">
        <v>1714</v>
      </c>
      <c r="AJ33" t="s">
        <v>1054</v>
      </c>
      <c r="AK33" t="s">
        <v>31</v>
      </c>
      <c r="AL33" t="s">
        <v>1055</v>
      </c>
      <c r="AM33" t="s">
        <v>31</v>
      </c>
      <c r="AN33" t="s">
        <v>1715</v>
      </c>
      <c r="AO33" t="s">
        <v>1716</v>
      </c>
      <c r="AP33" t="s">
        <v>1717</v>
      </c>
      <c r="AQ33" t="s">
        <v>1718</v>
      </c>
      <c r="AR33" t="s">
        <v>1719</v>
      </c>
      <c r="AS33" t="s">
        <v>1720</v>
      </c>
      <c r="AT33" t="s">
        <v>31</v>
      </c>
      <c r="AU33" t="s">
        <v>1721</v>
      </c>
      <c r="AV33" t="s">
        <v>1722</v>
      </c>
      <c r="AW33" t="s">
        <v>1723</v>
      </c>
      <c r="AX33" t="s">
        <v>652</v>
      </c>
      <c r="AY33" t="s">
        <v>431</v>
      </c>
      <c r="AZ33" t="s">
        <v>267</v>
      </c>
      <c r="BA33" t="s">
        <v>128</v>
      </c>
      <c r="BB33" t="s">
        <v>268</v>
      </c>
      <c r="BC33" t="s">
        <v>1056</v>
      </c>
      <c r="BD33" t="s">
        <v>493</v>
      </c>
      <c r="BE33" t="s">
        <v>653</v>
      </c>
      <c r="BF33" t="s">
        <v>654</v>
      </c>
      <c r="BG33" t="s">
        <v>130</v>
      </c>
      <c r="BH33" t="s">
        <v>1051</v>
      </c>
      <c r="BI33" t="s">
        <v>1724</v>
      </c>
      <c r="BJ33" t="s">
        <v>652</v>
      </c>
      <c r="BK33" t="s">
        <v>686</v>
      </c>
      <c r="BL33" t="s">
        <v>1725</v>
      </c>
      <c r="BM33" t="s">
        <v>1056</v>
      </c>
      <c r="BN33">
        <v>5.61</v>
      </c>
      <c r="BO33">
        <v>7.83</v>
      </c>
      <c r="BP33">
        <v>2.85</v>
      </c>
      <c r="BQ33">
        <v>6.58</v>
      </c>
      <c r="BR33">
        <v>9.67</v>
      </c>
      <c r="BS33">
        <v>2.5499999999999998</v>
      </c>
      <c r="BT33" t="s">
        <v>1057</v>
      </c>
      <c r="BU33" t="s">
        <v>47</v>
      </c>
      <c r="BV33">
        <v>8.57</v>
      </c>
      <c r="BW33">
        <v>10.19</v>
      </c>
      <c r="BX33">
        <v>10.62</v>
      </c>
      <c r="BY33">
        <v>2.06</v>
      </c>
      <c r="BZ33">
        <v>2.0699999999999998</v>
      </c>
      <c r="CA33">
        <v>0.47</v>
      </c>
      <c r="CB33">
        <v>-1.53</v>
      </c>
      <c r="CC33">
        <v>-19.07</v>
      </c>
      <c r="CD33" t="s">
        <v>1726</v>
      </c>
      <c r="CE33" t="s">
        <v>622</v>
      </c>
      <c r="CF33" s="9">
        <v>11.311258278145695</v>
      </c>
      <c r="CG33" s="10">
        <v>1.078350971736</v>
      </c>
      <c r="CH33" s="9">
        <v>-0.88691383600234985</v>
      </c>
      <c r="CI33" s="9">
        <v>1.0523110395297408E-3</v>
      </c>
      <c r="CJ33" s="9">
        <v>0.14020292460918427</v>
      </c>
      <c r="CK33" s="9">
        <v>6.0990609228610992E-2</v>
      </c>
      <c r="CL33" s="9">
        <v>0.12577091157436371</v>
      </c>
      <c r="CM33" s="10">
        <v>-0.49544072151184082</v>
      </c>
      <c r="CN33" s="10">
        <v>3.4459459781646729</v>
      </c>
      <c r="CO33" s="10">
        <v>-0.77265745401382446</v>
      </c>
      <c r="CP33" s="10">
        <v>0.86532950401306152</v>
      </c>
      <c r="CQ33" s="10">
        <v>-0.50213980674743652</v>
      </c>
      <c r="CR33">
        <v>27.998005424445225</v>
      </c>
      <c r="CS33">
        <v>2.5047550299381505</v>
      </c>
      <c r="CT33">
        <v>0.61240310077519378</v>
      </c>
      <c r="CU33" s="9">
        <v>-0.11177941591013223</v>
      </c>
      <c r="CV33" s="10">
        <v>0.50820749998092651</v>
      </c>
      <c r="CW33">
        <v>0.06</v>
      </c>
      <c r="CX33">
        <v>45.984105120481928</v>
      </c>
      <c r="CY33" t="s">
        <v>1727</v>
      </c>
      <c r="CZ33">
        <v>-0.11177941591013223</v>
      </c>
      <c r="DA33">
        <v>15.328035040160643</v>
      </c>
      <c r="DB33" t="s">
        <v>1728</v>
      </c>
      <c r="DC33">
        <v>-0.10619044511462561</v>
      </c>
      <c r="DD33">
        <v>7.6640175200803213</v>
      </c>
      <c r="DE33" t="s">
        <v>1729</v>
      </c>
      <c r="DF33">
        <v>-9.8365886000916364E-2</v>
      </c>
      <c r="DG33">
        <v>4.5984105120481926</v>
      </c>
      <c r="DH33" t="s">
        <v>1730</v>
      </c>
      <c r="DI33">
        <v>-8.9423532728105784E-2</v>
      </c>
      <c r="DJ33">
        <v>2.2992052560240963</v>
      </c>
      <c r="DK33" t="s">
        <v>1731</v>
      </c>
      <c r="DL33">
        <v>-7.8245591137092549E-2</v>
      </c>
      <c r="DM33">
        <v>332000000</v>
      </c>
      <c r="DN33">
        <v>-0.11177941591013223</v>
      </c>
      <c r="DO33">
        <v>15266722900</v>
      </c>
      <c r="DP33">
        <v>1534131800</v>
      </c>
      <c r="DQ33">
        <v>3892</v>
      </c>
      <c r="DR33">
        <v>11.423037694055827</v>
      </c>
      <c r="DS33">
        <v>0.57014347175507352</v>
      </c>
      <c r="DT33" s="11">
        <v>-0.77333333333333332</v>
      </c>
      <c r="DU33">
        <v>0.2533333333333333</v>
      </c>
      <c r="DV33">
        <v>-0.52</v>
      </c>
      <c r="DW33">
        <v>-3.0347202380952383</v>
      </c>
      <c r="DX33">
        <v>0.38074568965517319</v>
      </c>
      <c r="DY33">
        <v>-3.0073171405223729</v>
      </c>
      <c r="DZ33">
        <v>576</v>
      </c>
      <c r="EA33">
        <v>-3.0064923512971502</v>
      </c>
      <c r="EB33">
        <v>3</v>
      </c>
      <c r="EC33">
        <v>2.3804834265079528E-2</v>
      </c>
      <c r="ED33">
        <v>0.11295526045647537</v>
      </c>
      <c r="EE33" s="12">
        <v>5.0222100000000003</v>
      </c>
      <c r="EF33">
        <v>5.0464099999999998</v>
      </c>
      <c r="EG33">
        <v>17.210745689655173</v>
      </c>
      <c r="EH33" t="s">
        <v>1732</v>
      </c>
      <c r="EI33">
        <v>0</v>
      </c>
      <c r="EJ33">
        <v>1</v>
      </c>
      <c r="EK33" s="8">
        <v>45470</v>
      </c>
      <c r="EL33" s="13">
        <v>0.28999999999999998</v>
      </c>
      <c r="EM33" s="13">
        <v>-3.06</v>
      </c>
      <c r="EN33" s="13">
        <v>1.08</v>
      </c>
      <c r="EO33" s="13">
        <v>0.88</v>
      </c>
      <c r="EP33" s="13">
        <v>-2.42</v>
      </c>
    </row>
    <row r="34" spans="1:146" ht="96" x14ac:dyDescent="0.25">
      <c r="A34" s="6"/>
      <c r="B34" s="6"/>
      <c r="C34" s="6" t="str">
        <f>""&amp;CHAR(10)&amp;Basic_Fundamental_Information_Constructure(F34)&amp;CHAR(10)&amp;Basic_Fundamental_Information_Concatenate("")</f>
        <v xml:space="preserve">
市值26.792628亿, 利润3.71亿; PE21.61; 平均PE17.95; 平均PEG.37, PB1.91; ROIC8.3333%; ROE9.9533%; 股利率1.6274%; 毛利22.0933%; 净利10.0267%; 上一年度营收增140.04%, 利润增178.95%; 当季营收增-74.47%, 利润增-71.08%; 过往5年营收增48.22%, 利润增44.63%
Income profile:
</v>
      </c>
      <c r="D34" t="s">
        <v>129</v>
      </c>
      <c r="E34" t="s">
        <v>20</v>
      </c>
      <c r="F34">
        <v>8.91</v>
      </c>
      <c r="G34">
        <v>0.79</v>
      </c>
      <c r="H34" t="s">
        <v>1733</v>
      </c>
      <c r="I34">
        <v>2679262800</v>
      </c>
      <c r="J34">
        <v>21.61</v>
      </c>
      <c r="K34">
        <v>1.91</v>
      </c>
      <c r="L34" t="s">
        <v>47</v>
      </c>
      <c r="M34" t="s">
        <v>286</v>
      </c>
      <c r="N34" t="s">
        <v>1734</v>
      </c>
      <c r="O34" t="s">
        <v>492</v>
      </c>
      <c r="P34">
        <v>2.21</v>
      </c>
      <c r="Q34" t="s">
        <v>1735</v>
      </c>
      <c r="R34">
        <v>29502405</v>
      </c>
      <c r="S34" s="5">
        <v>-0.37940000000000002</v>
      </c>
      <c r="T34" t="s">
        <v>1736</v>
      </c>
      <c r="U34">
        <v>300702900</v>
      </c>
      <c r="V34">
        <v>300702900</v>
      </c>
      <c r="W34">
        <v>2.21</v>
      </c>
      <c r="X34">
        <v>7.0000000000000007E-2</v>
      </c>
      <c r="Y34">
        <v>13.58</v>
      </c>
      <c r="Z34" t="s">
        <v>54</v>
      </c>
      <c r="AA34" t="s">
        <v>495</v>
      </c>
      <c r="AB34" t="s">
        <v>1737</v>
      </c>
      <c r="AC34" t="s">
        <v>1738</v>
      </c>
      <c r="AD34" t="s">
        <v>31</v>
      </c>
      <c r="AE34">
        <v>1516676</v>
      </c>
      <c r="AF34" t="s">
        <v>1060</v>
      </c>
      <c r="AG34" t="s">
        <v>1739</v>
      </c>
      <c r="AH34" t="s">
        <v>1061</v>
      </c>
      <c r="AI34" t="s">
        <v>1740</v>
      </c>
      <c r="AJ34" t="s">
        <v>1062</v>
      </c>
      <c r="AK34" t="s">
        <v>31</v>
      </c>
      <c r="AL34" t="s">
        <v>1063</v>
      </c>
      <c r="AM34" t="s">
        <v>31</v>
      </c>
      <c r="AN34" t="s">
        <v>715</v>
      </c>
      <c r="AO34" t="s">
        <v>1741</v>
      </c>
      <c r="AP34" t="s">
        <v>972</v>
      </c>
      <c r="AQ34" t="s">
        <v>1742</v>
      </c>
      <c r="AR34" t="s">
        <v>1064</v>
      </c>
      <c r="AS34" t="s">
        <v>1743</v>
      </c>
      <c r="AT34" t="s">
        <v>151</v>
      </c>
      <c r="AU34" t="s">
        <v>1744</v>
      </c>
      <c r="AV34" t="s">
        <v>1745</v>
      </c>
      <c r="AW34" t="s">
        <v>1746</v>
      </c>
      <c r="AX34" t="s">
        <v>655</v>
      </c>
      <c r="AY34" t="s">
        <v>432</v>
      </c>
      <c r="AZ34" t="s">
        <v>65</v>
      </c>
      <c r="BA34" t="s">
        <v>130</v>
      </c>
      <c r="BB34" t="s">
        <v>270</v>
      </c>
      <c r="BC34" t="s">
        <v>588</v>
      </c>
      <c r="BD34" t="s">
        <v>433</v>
      </c>
      <c r="BE34" t="s">
        <v>269</v>
      </c>
      <c r="BF34" t="s">
        <v>131</v>
      </c>
      <c r="BG34" t="s">
        <v>272</v>
      </c>
      <c r="BH34" t="s">
        <v>1058</v>
      </c>
      <c r="BI34" t="s">
        <v>1747</v>
      </c>
      <c r="BJ34" t="s">
        <v>655</v>
      </c>
      <c r="BK34" t="s">
        <v>720</v>
      </c>
      <c r="BL34" t="s">
        <v>53</v>
      </c>
      <c r="BM34" t="s">
        <v>588</v>
      </c>
      <c r="BN34">
        <v>5.99</v>
      </c>
      <c r="BO34">
        <v>9.11</v>
      </c>
      <c r="BP34">
        <v>9.9</v>
      </c>
      <c r="BQ34">
        <v>7.26</v>
      </c>
      <c r="BR34">
        <v>11.04</v>
      </c>
      <c r="BS34">
        <v>11.56</v>
      </c>
      <c r="BT34" t="s">
        <v>1048</v>
      </c>
      <c r="BU34" t="s">
        <v>47</v>
      </c>
      <c r="BV34">
        <v>22.16</v>
      </c>
      <c r="BW34">
        <v>21.74</v>
      </c>
      <c r="BX34">
        <v>22.38</v>
      </c>
      <c r="BY34">
        <v>9.02</v>
      </c>
      <c r="BZ34">
        <v>8.61</v>
      </c>
      <c r="CA34">
        <v>12.45</v>
      </c>
      <c r="CB34">
        <v>-2.41</v>
      </c>
      <c r="CC34">
        <v>-9.6300000000000008</v>
      </c>
      <c r="CD34" t="s">
        <v>1748</v>
      </c>
      <c r="CE34" t="s">
        <v>493</v>
      </c>
      <c r="CF34" s="9">
        <v>-0.74470588235294122</v>
      </c>
      <c r="CG34" s="10">
        <v>-0.71076073529411765</v>
      </c>
      <c r="CH34" s="9">
        <v>1.400389552116394</v>
      </c>
      <c r="CI34" s="9">
        <v>0.52725464105606079</v>
      </c>
      <c r="CJ34" s="9">
        <v>0.51729321479797363</v>
      </c>
      <c r="CK34" s="9">
        <v>-5.1355205476284027E-2</v>
      </c>
      <c r="CL34" s="9">
        <v>1.7416546121239662E-2</v>
      </c>
      <c r="CM34" s="10">
        <v>1.7894736528396606</v>
      </c>
      <c r="CN34" s="10">
        <v>5.55555559694767E-2</v>
      </c>
      <c r="CO34" s="10">
        <v>0.33140596747398376</v>
      </c>
      <c r="CP34" s="10">
        <v>0.21133553981781006</v>
      </c>
      <c r="CQ34" s="10">
        <v>-0.15631580352783203</v>
      </c>
      <c r="CR34">
        <v>17.954240276410548</v>
      </c>
      <c r="CS34">
        <v>0.37234030682764796</v>
      </c>
      <c r="CT34">
        <v>1.627384960718294</v>
      </c>
      <c r="CU34" s="9">
        <v>0.48219974972307683</v>
      </c>
      <c r="CV34" s="10">
        <v>0.44629098251461985</v>
      </c>
      <c r="CW34">
        <v>0.06</v>
      </c>
      <c r="CX34">
        <v>5.7217327547972792</v>
      </c>
      <c r="CY34">
        <v>518769912.40307683</v>
      </c>
      <c r="CZ34">
        <v>0.48219974972307683</v>
      </c>
      <c r="DA34">
        <v>1.36287168101762</v>
      </c>
      <c r="DB34">
        <v>2177947374.9015589</v>
      </c>
      <c r="DC34">
        <v>0.45808976223692299</v>
      </c>
      <c r="DD34">
        <v>0.41883378126811383</v>
      </c>
      <c r="DE34">
        <v>7086970852.7638683</v>
      </c>
      <c r="DF34">
        <v>0.4243357797563076</v>
      </c>
      <c r="DG34">
        <v>0.1384746012644269</v>
      </c>
      <c r="DH34">
        <v>21435431284.123329</v>
      </c>
      <c r="DI34">
        <v>0.38575979977846148</v>
      </c>
      <c r="DJ34">
        <v>1.6006528111147375E-2</v>
      </c>
      <c r="DK34">
        <v>185440763880.13351</v>
      </c>
      <c r="DL34">
        <v>0.33753982480615374</v>
      </c>
      <c r="DM34">
        <v>371000000</v>
      </c>
      <c r="DN34">
        <v>0.48219974972307683</v>
      </c>
      <c r="DO34">
        <v>2968262800</v>
      </c>
      <c r="DP34">
        <v>672137900</v>
      </c>
      <c r="DQ34">
        <v>3901</v>
      </c>
      <c r="DR34">
        <v>-1.2269056320760181</v>
      </c>
      <c r="DS34">
        <v>-1.1570517178087374</v>
      </c>
      <c r="DT34" s="11">
        <v>0.17666666666666667</v>
      </c>
      <c r="DU34">
        <v>4.33333333333333E-2</v>
      </c>
      <c r="DV34">
        <v>0.21999999999999997</v>
      </c>
      <c r="DW34">
        <v>-2.0962999999999998</v>
      </c>
      <c r="DX34">
        <v>0.23932635135135136</v>
      </c>
      <c r="DY34">
        <v>-2.0086021276351351</v>
      </c>
      <c r="DZ34">
        <v>2645</v>
      </c>
      <c r="EA34">
        <v>-2.00414955863417</v>
      </c>
      <c r="EB34">
        <v>2</v>
      </c>
      <c r="EC34">
        <v>4.3964657474204603E-2</v>
      </c>
      <c r="ED34">
        <v>0.49218015522963032</v>
      </c>
      <c r="EE34" s="12">
        <v>-5.0842099999999997</v>
      </c>
      <c r="EF34">
        <v>-5.1089099999999998</v>
      </c>
      <c r="EG34">
        <v>15.089326351351351</v>
      </c>
      <c r="EH34" t="s">
        <v>761</v>
      </c>
      <c r="EI34">
        <v>0</v>
      </c>
      <c r="EJ34">
        <v>0</v>
      </c>
      <c r="EK34" s="8">
        <v>45470</v>
      </c>
      <c r="EL34" s="13">
        <v>-1.73</v>
      </c>
      <c r="EM34" s="13">
        <v>-5.29</v>
      </c>
      <c r="EN34" s="13">
        <v>0.8</v>
      </c>
      <c r="EO34" s="13">
        <v>1.32</v>
      </c>
      <c r="EP34" s="13">
        <v>-2.4700000000000002</v>
      </c>
    </row>
    <row r="35" spans="1:146" ht="96" x14ac:dyDescent="0.25">
      <c r="A35" s="6"/>
      <c r="B35" s="6"/>
      <c r="C35" s="6" t="str">
        <f>""&amp;CHAR(10)&amp;Basic_Fundamental_Information_Constructure(F35)&amp;CHAR(10)&amp;Basic_Fundamental_Information_Concatenate("")</f>
        <v xml:space="preserve">
市值69.68851亿, 利润1.04亿; PE7.04; 平均PE11.52; 平均PEG2.47, PB1.29; ROIC21.3033%; ROE30.8867%; 股利率5.6045%; 毛利4.6133%; 净利2.2567%; 上一年度营收增-98.72%, 利润增-90.21%; 当季营收增6358.02%, 利润增1249.33%; 过往5年营收增-4.66%, 利润增4.89%
Income profile:
</v>
      </c>
      <c r="D35" t="s">
        <v>475</v>
      </c>
      <c r="E35" t="s">
        <v>476</v>
      </c>
      <c r="F35">
        <v>12.49</v>
      </c>
      <c r="G35">
        <v>0.4</v>
      </c>
      <c r="H35" t="s">
        <v>1749</v>
      </c>
      <c r="I35">
        <v>6968851000</v>
      </c>
      <c r="J35">
        <v>7.04</v>
      </c>
      <c r="K35">
        <v>1.29</v>
      </c>
      <c r="L35" t="s">
        <v>47</v>
      </c>
      <c r="M35" t="s">
        <v>1065</v>
      </c>
      <c r="N35" t="s">
        <v>1750</v>
      </c>
      <c r="O35" t="s">
        <v>1066</v>
      </c>
      <c r="P35">
        <v>-12.28</v>
      </c>
      <c r="Q35" t="s">
        <v>687</v>
      </c>
      <c r="R35">
        <v>239441170</v>
      </c>
      <c r="S35" s="5">
        <v>-0.22309999999999999</v>
      </c>
      <c r="T35" t="s">
        <v>101</v>
      </c>
      <c r="U35">
        <v>237684800</v>
      </c>
      <c r="V35">
        <v>557954440</v>
      </c>
      <c r="W35">
        <v>1.82</v>
      </c>
      <c r="X35">
        <v>0.95</v>
      </c>
      <c r="Y35">
        <v>2.5</v>
      </c>
      <c r="Z35" t="s">
        <v>1751</v>
      </c>
      <c r="AA35" t="s">
        <v>1752</v>
      </c>
      <c r="AB35" t="s">
        <v>1753</v>
      </c>
      <c r="AC35" t="s">
        <v>1754</v>
      </c>
      <c r="AD35" t="s">
        <v>31</v>
      </c>
      <c r="AE35">
        <v>7286360</v>
      </c>
      <c r="AF35" t="s">
        <v>1069</v>
      </c>
      <c r="AG35" t="s">
        <v>1755</v>
      </c>
      <c r="AH35" t="s">
        <v>1070</v>
      </c>
      <c r="AI35" t="s">
        <v>1756</v>
      </c>
      <c r="AJ35" t="s">
        <v>1071</v>
      </c>
      <c r="AK35" t="s">
        <v>31</v>
      </c>
      <c r="AL35" t="s">
        <v>1072</v>
      </c>
      <c r="AM35" t="s">
        <v>31</v>
      </c>
      <c r="AN35" t="s">
        <v>1000</v>
      </c>
      <c r="AO35" t="s">
        <v>1757</v>
      </c>
      <c r="AP35" t="s">
        <v>31</v>
      </c>
      <c r="AQ35" t="s">
        <v>1758</v>
      </c>
      <c r="AR35" t="s">
        <v>31</v>
      </c>
      <c r="AS35" t="s">
        <v>1759</v>
      </c>
      <c r="AT35" t="s">
        <v>31</v>
      </c>
      <c r="AU35" t="s">
        <v>1760</v>
      </c>
      <c r="AV35" t="s">
        <v>1761</v>
      </c>
      <c r="AW35" t="s">
        <v>1762</v>
      </c>
      <c r="AX35" t="s">
        <v>656</v>
      </c>
      <c r="AY35" t="s">
        <v>477</v>
      </c>
      <c r="AZ35" t="s">
        <v>479</v>
      </c>
      <c r="BA35" t="s">
        <v>480</v>
      </c>
      <c r="BB35" t="s">
        <v>481</v>
      </c>
      <c r="BC35" t="s">
        <v>657</v>
      </c>
      <c r="BD35" t="s">
        <v>478</v>
      </c>
      <c r="BE35" t="s">
        <v>474</v>
      </c>
      <c r="BF35" t="s">
        <v>271</v>
      </c>
      <c r="BG35" t="s">
        <v>382</v>
      </c>
      <c r="BH35" t="s">
        <v>1067</v>
      </c>
      <c r="BI35" t="s">
        <v>183</v>
      </c>
      <c r="BJ35" t="s">
        <v>656</v>
      </c>
      <c r="BK35" t="s">
        <v>1068</v>
      </c>
      <c r="BL35" t="s">
        <v>1763</v>
      </c>
      <c r="BM35" t="s">
        <v>657</v>
      </c>
      <c r="BN35">
        <v>14.8</v>
      </c>
      <c r="BO35">
        <v>22.03</v>
      </c>
      <c r="BP35">
        <v>27.08</v>
      </c>
      <c r="BQ35">
        <v>17.21</v>
      </c>
      <c r="BR35">
        <v>25.39</v>
      </c>
      <c r="BS35">
        <v>50.06</v>
      </c>
      <c r="BT35" t="s">
        <v>962</v>
      </c>
      <c r="BU35" t="s">
        <v>47</v>
      </c>
      <c r="BV35">
        <v>5.21</v>
      </c>
      <c r="BW35">
        <v>4.4800000000000004</v>
      </c>
      <c r="BX35">
        <v>4.1500000000000004</v>
      </c>
      <c r="BY35">
        <v>2.71</v>
      </c>
      <c r="BZ35">
        <v>2.14</v>
      </c>
      <c r="CA35">
        <v>1.92</v>
      </c>
      <c r="CB35">
        <v>-0.32</v>
      </c>
      <c r="CC35">
        <v>-11.1</v>
      </c>
      <c r="CD35" t="s">
        <v>1764</v>
      </c>
      <c r="CE35" t="s">
        <v>1765</v>
      </c>
      <c r="CF35" s="9">
        <v>63.580246913580247</v>
      </c>
      <c r="CG35" s="10">
        <v>12.493292270585849</v>
      </c>
      <c r="CH35" s="9">
        <v>-0.98715579509735107</v>
      </c>
      <c r="CI35" s="9">
        <v>-7.8171759843826294E-2</v>
      </c>
      <c r="CJ35" s="9">
        <v>0.99178415536880493</v>
      </c>
      <c r="CK35" s="9">
        <v>-6.99458047747612E-2</v>
      </c>
      <c r="CL35" s="9">
        <v>-8.9718729257583618E-2</v>
      </c>
      <c r="CM35" s="10">
        <v>-0.90207153558731079</v>
      </c>
      <c r="CN35" s="10">
        <v>5.1485147327184677E-2</v>
      </c>
      <c r="CO35" s="10">
        <v>1.0079523324966431</v>
      </c>
      <c r="CP35" s="10">
        <v>2.6530612260103226E-2</v>
      </c>
      <c r="CQ35" s="10">
        <v>6.0606062412261963E-2</v>
      </c>
      <c r="CR35">
        <v>11.515589644725971</v>
      </c>
      <c r="CS35">
        <v>2.4689532355800261</v>
      </c>
      <c r="CT35">
        <v>5.6044835868694953</v>
      </c>
      <c r="CU35" s="9">
        <v>-4.664158672094345E-2</v>
      </c>
      <c r="CV35" s="10">
        <v>4.890052378177643E-2</v>
      </c>
      <c r="CW35">
        <v>0.06</v>
      </c>
      <c r="CX35">
        <v>46.162028846153852</v>
      </c>
      <c r="CY35" t="s">
        <v>1766</v>
      </c>
      <c r="CZ35">
        <v>-4.664158672094345E-2</v>
      </c>
      <c r="DA35">
        <v>15.387342948717952</v>
      </c>
      <c r="DB35" t="s">
        <v>1767</v>
      </c>
      <c r="DC35">
        <v>-4.4309507384896273E-2</v>
      </c>
      <c r="DD35">
        <v>7.6936714743589762</v>
      </c>
      <c r="DE35" t="s">
        <v>1768</v>
      </c>
      <c r="DF35">
        <v>-4.1044596314430234E-2</v>
      </c>
      <c r="DG35">
        <v>4.6162028846153857</v>
      </c>
      <c r="DH35" t="s">
        <v>1769</v>
      </c>
      <c r="DI35">
        <v>-3.7313269376754762E-2</v>
      </c>
      <c r="DJ35">
        <v>2.3081014423076929</v>
      </c>
      <c r="DK35" t="s">
        <v>1770</v>
      </c>
      <c r="DL35">
        <v>-3.2649110704660415E-2</v>
      </c>
      <c r="DM35">
        <v>104000000</v>
      </c>
      <c r="DN35">
        <v>-4.664158672094345E-2</v>
      </c>
      <c r="DO35">
        <v>4800851000.000001</v>
      </c>
      <c r="DP35">
        <v>1866105800</v>
      </c>
      <c r="DQ35">
        <v>3906</v>
      </c>
      <c r="DR35">
        <v>63.626888500301192</v>
      </c>
      <c r="DS35">
        <v>12.444391746804072</v>
      </c>
      <c r="DT35" s="11">
        <v>-0.50666666666666671</v>
      </c>
      <c r="DU35">
        <v>-6.6666666666666652E-2</v>
      </c>
      <c r="DV35">
        <v>-0.57333333333333336</v>
      </c>
      <c r="DW35">
        <v>-2.1110000000000002</v>
      </c>
      <c r="DX35">
        <v>0.35974332895424666</v>
      </c>
      <c r="DY35">
        <v>-2.0132915095139214</v>
      </c>
      <c r="DZ35">
        <v>3111</v>
      </c>
      <c r="EA35">
        <v>-2.0051995552873443</v>
      </c>
      <c r="EB35">
        <v>2</v>
      </c>
      <c r="EC35">
        <v>1.2154038957015917E-2</v>
      </c>
      <c r="ED35">
        <v>0.10150076052804598</v>
      </c>
      <c r="EE35" s="12">
        <v>-4.0327099999999998</v>
      </c>
      <c r="EF35">
        <v>-4.0656100000000004</v>
      </c>
      <c r="EG35">
        <v>24.119743328954247</v>
      </c>
      <c r="EH35" t="s">
        <v>718</v>
      </c>
      <c r="EI35">
        <v>0</v>
      </c>
      <c r="EJ35">
        <v>0</v>
      </c>
      <c r="EK35" s="8">
        <v>45470</v>
      </c>
      <c r="EL35" s="13">
        <v>-3.98</v>
      </c>
      <c r="EM35" s="13">
        <v>-4.1399999999999997</v>
      </c>
      <c r="EN35" s="13">
        <v>0.64</v>
      </c>
      <c r="EO35" s="13">
        <v>2.56</v>
      </c>
      <c r="EP35" s="13">
        <v>-3.29</v>
      </c>
    </row>
    <row r="36" spans="1:146" ht="96" x14ac:dyDescent="0.25">
      <c r="A36" s="6"/>
      <c r="B36" s="6"/>
      <c r="C36" s="6" t="str">
        <f>""&amp;CHAR(10)&amp;Basic_Fundamental_Information_Constructure(F36)&amp;CHAR(10)&amp;Basic_Fundamental_Information_Concatenate("")</f>
        <v xml:space="preserve">
市值29.88442亿, 利润6471.61万; PE; 平均PE-30.11; 平均PEG-.09, PB2.58; ROIC0%; ROE-16.4367%; 股利率0%; 毛利20.51%; 净利-96.75%; 上一年度营收增1812.56%, 利润增110.84%; 当季营收增-96.77%, 利润增-94.46%; 过往5年营收增349.28%, 利润增-150.08%
Income profile:
</v>
      </c>
      <c r="D36" t="s">
        <v>133</v>
      </c>
      <c r="E36" t="s">
        <v>482</v>
      </c>
      <c r="F36">
        <v>4.72</v>
      </c>
      <c r="G36">
        <v>-1.05</v>
      </c>
      <c r="H36" t="s">
        <v>1771</v>
      </c>
      <c r="I36">
        <v>2988442000</v>
      </c>
      <c r="K36">
        <v>2.58</v>
      </c>
      <c r="L36" t="s">
        <v>47</v>
      </c>
      <c r="M36" t="s">
        <v>721</v>
      </c>
      <c r="N36" t="s">
        <v>1772</v>
      </c>
      <c r="O36" t="s">
        <v>1074</v>
      </c>
      <c r="P36">
        <v>-44.54</v>
      </c>
      <c r="Q36" t="s">
        <v>1773</v>
      </c>
      <c r="R36">
        <v>4233992</v>
      </c>
      <c r="S36" s="5">
        <v>31.09</v>
      </c>
      <c r="T36" t="s">
        <v>1774</v>
      </c>
      <c r="U36">
        <v>633144500</v>
      </c>
      <c r="V36">
        <v>633144500</v>
      </c>
      <c r="W36">
        <v>1.32</v>
      </c>
      <c r="X36">
        <v>0.04</v>
      </c>
      <c r="Y36">
        <v>6.2</v>
      </c>
      <c r="Z36" t="s">
        <v>1775</v>
      </c>
      <c r="AA36" t="s">
        <v>1776</v>
      </c>
      <c r="AB36" t="s">
        <v>1777</v>
      </c>
      <c r="AC36" t="s">
        <v>1778</v>
      </c>
      <c r="AD36" t="s">
        <v>31</v>
      </c>
      <c r="AE36">
        <v>1779539</v>
      </c>
      <c r="AF36" t="s">
        <v>1075</v>
      </c>
      <c r="AG36">
        <v>8550.7800000000007</v>
      </c>
      <c r="AH36" t="s">
        <v>1076</v>
      </c>
      <c r="AI36" t="s">
        <v>1779</v>
      </c>
      <c r="AJ36" t="s">
        <v>31</v>
      </c>
      <c r="AK36" t="s">
        <v>1780</v>
      </c>
      <c r="AL36" t="s">
        <v>1077</v>
      </c>
      <c r="AM36" t="s">
        <v>31</v>
      </c>
      <c r="AN36" t="s">
        <v>1781</v>
      </c>
      <c r="AO36" t="s">
        <v>1782</v>
      </c>
      <c r="AP36" t="s">
        <v>31</v>
      </c>
      <c r="AQ36" t="s">
        <v>1783</v>
      </c>
      <c r="AR36" t="s">
        <v>1784</v>
      </c>
      <c r="AS36" t="s">
        <v>705</v>
      </c>
      <c r="AT36" t="s">
        <v>31</v>
      </c>
      <c r="AU36" t="s">
        <v>1785</v>
      </c>
      <c r="AV36" t="s">
        <v>1786</v>
      </c>
      <c r="AW36" t="s">
        <v>1787</v>
      </c>
      <c r="AX36" t="s">
        <v>472</v>
      </c>
      <c r="AY36" t="s">
        <v>397</v>
      </c>
      <c r="AZ36" t="s">
        <v>273</v>
      </c>
      <c r="BA36" t="s">
        <v>134</v>
      </c>
      <c r="BB36" t="s">
        <v>275</v>
      </c>
      <c r="BC36" t="s">
        <v>1078</v>
      </c>
      <c r="BD36" t="s">
        <v>434</v>
      </c>
      <c r="BE36" t="s">
        <v>274</v>
      </c>
      <c r="BF36" t="s">
        <v>135</v>
      </c>
      <c r="BG36" t="s">
        <v>276</v>
      </c>
      <c r="BH36" t="s">
        <v>587</v>
      </c>
      <c r="BI36" t="s">
        <v>1788</v>
      </c>
      <c r="BJ36" t="s">
        <v>472</v>
      </c>
      <c r="BK36" t="s">
        <v>860</v>
      </c>
      <c r="BL36" t="s">
        <v>1789</v>
      </c>
      <c r="BM36" t="s">
        <v>1078</v>
      </c>
      <c r="BN36" t="s">
        <v>31</v>
      </c>
      <c r="BO36" t="s">
        <v>31</v>
      </c>
      <c r="BP36" t="s">
        <v>31</v>
      </c>
      <c r="BQ36">
        <v>-0.33</v>
      </c>
      <c r="BR36">
        <v>-35.68</v>
      </c>
      <c r="BS36">
        <v>-13.3</v>
      </c>
      <c r="BT36" t="s">
        <v>569</v>
      </c>
      <c r="BU36" t="s">
        <v>47</v>
      </c>
      <c r="BV36">
        <v>26.15</v>
      </c>
      <c r="BW36">
        <v>7.87</v>
      </c>
      <c r="BX36">
        <v>27.51</v>
      </c>
      <c r="BY36">
        <v>-65.86</v>
      </c>
      <c r="BZ36">
        <v>-161.69</v>
      </c>
      <c r="CA36">
        <v>-62.7</v>
      </c>
      <c r="CB36">
        <v>7.27</v>
      </c>
      <c r="CC36">
        <v>50.32</v>
      </c>
      <c r="CD36" t="s">
        <v>1790</v>
      </c>
      <c r="CE36" t="s">
        <v>691</v>
      </c>
      <c r="CF36" s="9">
        <v>-0.96767649552520019</v>
      </c>
      <c r="CG36" s="10">
        <v>-0.94460213950762018</v>
      </c>
      <c r="CH36" s="9">
        <v>18.125560760498047</v>
      </c>
      <c r="CI36" s="9">
        <v>-0.23103448748588562</v>
      </c>
      <c r="CJ36" s="9">
        <v>-0.1955617219209671</v>
      </c>
      <c r="CK36" s="9">
        <v>-0.23379383981227875</v>
      </c>
      <c r="CL36" s="9">
        <v>-1.0615711798891425E-3</v>
      </c>
      <c r="CM36" s="10">
        <v>1.1084021329879761</v>
      </c>
      <c r="CN36" s="10">
        <v>-1.109540581703186</v>
      </c>
      <c r="CO36" s="10">
        <v>-6.9028058052062988</v>
      </c>
      <c r="CP36" s="10">
        <v>-0.34724569320678711</v>
      </c>
      <c r="CQ36" s="10">
        <v>-0.25276553630828857</v>
      </c>
      <c r="CR36">
        <v>-30.105181294432072</v>
      </c>
      <c r="CS36">
        <v>-8.6191574539889085E-2</v>
      </c>
      <c r="CT36">
        <v>0</v>
      </c>
      <c r="CU36" s="9">
        <v>3.4928218280198053</v>
      </c>
      <c r="CV36" s="10">
        <v>-1.5007910966873168</v>
      </c>
      <c r="CW36">
        <v>0.06</v>
      </c>
      <c r="CX36">
        <v>8.1897292045839372</v>
      </c>
      <c r="CY36">
        <v>274299911.98520046</v>
      </c>
      <c r="CZ36">
        <v>3.4928218280198053</v>
      </c>
      <c r="DA36">
        <v>0.39322785237389618</v>
      </c>
      <c r="DB36">
        <v>5712825239.7136822</v>
      </c>
      <c r="DC36">
        <v>3.3181807366188147</v>
      </c>
      <c r="DD36">
        <v>7.9733295605015648E-3</v>
      </c>
      <c r="DE36">
        <v>281744531309.53827</v>
      </c>
      <c r="DF36">
        <v>3.0736832086574286</v>
      </c>
      <c r="DG36">
        <v>7.2441498046187428E-5</v>
      </c>
      <c r="DH36">
        <v>31010429941243.184</v>
      </c>
      <c r="DI36">
        <v>2.7942574624158443</v>
      </c>
      <c r="DJ36">
        <v>1.3905152400883338E-9</v>
      </c>
      <c r="DK36">
        <v>1.6155464789133074E+18</v>
      </c>
      <c r="DL36">
        <v>2.4449752796138635</v>
      </c>
      <c r="DM36">
        <v>64716100</v>
      </c>
      <c r="DN36">
        <v>3.4928218280198053</v>
      </c>
      <c r="DO36">
        <v>2246442000</v>
      </c>
      <c r="DP36">
        <v>-23025550</v>
      </c>
      <c r="DQ36">
        <v>3944</v>
      </c>
      <c r="DR36">
        <v>-4.4604983235450053</v>
      </c>
      <c r="DS36">
        <v>0.55618895717969663</v>
      </c>
      <c r="DT36" s="11">
        <v>-0.54</v>
      </c>
      <c r="DU36">
        <v>-1.7233333333333336</v>
      </c>
      <c r="DV36">
        <v>-2.2633333333333336</v>
      </c>
      <c r="DW36">
        <v>9.1444753577106521</v>
      </c>
      <c r="DX36">
        <v>0.59228623853211093</v>
      </c>
      <c r="DY36">
        <v>9.0624547089453191</v>
      </c>
      <c r="DZ36">
        <v>3461</v>
      </c>
      <c r="EA36">
        <v>9.0201541712428241</v>
      </c>
      <c r="EB36">
        <v>9</v>
      </c>
      <c r="EC36">
        <v>7.442092602873436E-2</v>
      </c>
      <c r="ED36">
        <v>0.17215659300523026</v>
      </c>
      <c r="EE36" s="12">
        <v>4.0789</v>
      </c>
      <c r="EF36">
        <v>4.0701000000000001</v>
      </c>
      <c r="EG36">
        <v>16.432286238532111</v>
      </c>
      <c r="EH36" t="s">
        <v>1148</v>
      </c>
      <c r="EI36">
        <v>1</v>
      </c>
      <c r="EJ36">
        <v>0</v>
      </c>
      <c r="EK36" s="8">
        <v>45470</v>
      </c>
      <c r="EL36" s="13">
        <v>0.23</v>
      </c>
      <c r="EM36" s="13">
        <v>-2.7</v>
      </c>
      <c r="EN36" s="13">
        <v>2.31</v>
      </c>
      <c r="EO36" s="13">
        <v>2.0299999999999998</v>
      </c>
      <c r="EP36" s="13">
        <v>-0.88</v>
      </c>
    </row>
    <row r="37" spans="1:146" ht="96" x14ac:dyDescent="0.25">
      <c r="A37" s="6"/>
      <c r="B37" s="6"/>
      <c r="C37" s="6" t="str">
        <f>""&amp;CHAR(10)&amp;Basic_Fundamental_Information_Constructure(F37)&amp;CHAR(10)&amp;Basic_Fundamental_Information_Concatenate("")</f>
        <v xml:space="preserve">
市值75.008364亿, 利润10.08亿; PE13.35; 平均PE11.41; 平均PEG.87, PB1.25; ROIC12.7567%; ROE14.28%; 股利率3.4904%; 毛利11.36%; 净利4.1533%; 上一年度营收增-45.13%, 利润增13.51%; 当季营收增34.87%, 利润增-20.72%; 过往5年营收增13.08%, 利润增27.54%
Income profile:
</v>
      </c>
      <c r="D37" t="s">
        <v>137</v>
      </c>
      <c r="E37" t="s">
        <v>25</v>
      </c>
      <c r="F37">
        <v>5.73</v>
      </c>
      <c r="G37">
        <v>1.24</v>
      </c>
      <c r="H37" t="s">
        <v>1791</v>
      </c>
      <c r="I37">
        <v>7500836400</v>
      </c>
      <c r="J37">
        <v>13.35</v>
      </c>
      <c r="K37">
        <v>1.25</v>
      </c>
      <c r="L37" t="s">
        <v>47</v>
      </c>
      <c r="M37" t="s">
        <v>1079</v>
      </c>
      <c r="N37" t="s">
        <v>1792</v>
      </c>
      <c r="O37" t="s">
        <v>1080</v>
      </c>
      <c r="P37">
        <v>31.67</v>
      </c>
      <c r="Q37" t="s">
        <v>1793</v>
      </c>
      <c r="R37">
        <v>166495380</v>
      </c>
      <c r="S37" s="5">
        <v>-0.2467</v>
      </c>
      <c r="T37" t="s">
        <v>1794</v>
      </c>
      <c r="U37">
        <v>1309046490</v>
      </c>
      <c r="V37">
        <v>1309046490</v>
      </c>
      <c r="W37">
        <v>1.53</v>
      </c>
      <c r="X37">
        <v>0.41</v>
      </c>
      <c r="Y37">
        <v>4.41</v>
      </c>
      <c r="Z37" t="s">
        <v>1539</v>
      </c>
      <c r="AA37" t="s">
        <v>1795</v>
      </c>
      <c r="AB37" t="s">
        <v>1234</v>
      </c>
      <c r="AC37" t="s">
        <v>707</v>
      </c>
      <c r="AD37" t="s">
        <v>31</v>
      </c>
      <c r="AE37">
        <v>3680080</v>
      </c>
      <c r="AF37" t="s">
        <v>1083</v>
      </c>
      <c r="AG37" t="s">
        <v>1796</v>
      </c>
      <c r="AH37" t="s">
        <v>1084</v>
      </c>
      <c r="AI37" t="s">
        <v>1797</v>
      </c>
      <c r="AJ37" t="s">
        <v>1085</v>
      </c>
      <c r="AK37" t="s">
        <v>1798</v>
      </c>
      <c r="AL37" t="s">
        <v>1086</v>
      </c>
      <c r="AM37" t="s">
        <v>31</v>
      </c>
      <c r="AN37" t="s">
        <v>1799</v>
      </c>
      <c r="AO37" t="s">
        <v>1087</v>
      </c>
      <c r="AP37" t="s">
        <v>1800</v>
      </c>
      <c r="AQ37" t="s">
        <v>1801</v>
      </c>
      <c r="AR37" t="s">
        <v>31</v>
      </c>
      <c r="AS37" t="s">
        <v>1802</v>
      </c>
      <c r="AT37" t="s">
        <v>1803</v>
      </c>
      <c r="AU37" t="s">
        <v>1804</v>
      </c>
      <c r="AV37" t="s">
        <v>1805</v>
      </c>
      <c r="AW37" t="s">
        <v>871</v>
      </c>
      <c r="AX37" t="s">
        <v>658</v>
      </c>
      <c r="AY37" t="s">
        <v>435</v>
      </c>
      <c r="AZ37" t="s">
        <v>277</v>
      </c>
      <c r="BA37" t="s">
        <v>138</v>
      </c>
      <c r="BB37" t="s">
        <v>279</v>
      </c>
      <c r="BC37" t="s">
        <v>659</v>
      </c>
      <c r="BD37" t="s">
        <v>661</v>
      </c>
      <c r="BE37" t="s">
        <v>278</v>
      </c>
      <c r="BF37" t="s">
        <v>139</v>
      </c>
      <c r="BG37" t="s">
        <v>67</v>
      </c>
      <c r="BH37" t="s">
        <v>1081</v>
      </c>
      <c r="BI37" t="s">
        <v>1806</v>
      </c>
      <c r="BJ37" t="s">
        <v>658</v>
      </c>
      <c r="BK37" t="s">
        <v>1082</v>
      </c>
      <c r="BL37" t="s">
        <v>620</v>
      </c>
      <c r="BM37" t="s">
        <v>659</v>
      </c>
      <c r="BN37">
        <v>8.52</v>
      </c>
      <c r="BO37">
        <v>13.57</v>
      </c>
      <c r="BP37">
        <v>16.18</v>
      </c>
      <c r="BQ37">
        <v>9.48</v>
      </c>
      <c r="BR37">
        <v>16.23</v>
      </c>
      <c r="BS37">
        <v>17.13</v>
      </c>
      <c r="BT37" t="s">
        <v>1088</v>
      </c>
      <c r="BU37" t="s">
        <v>47</v>
      </c>
      <c r="BV37">
        <v>13.39</v>
      </c>
      <c r="BW37">
        <v>10.65</v>
      </c>
      <c r="BX37">
        <v>10.039999999999999</v>
      </c>
      <c r="BY37">
        <v>4.49</v>
      </c>
      <c r="BZ37">
        <v>4.1900000000000004</v>
      </c>
      <c r="CA37">
        <v>3.78</v>
      </c>
      <c r="CB37">
        <v>-0.69</v>
      </c>
      <c r="CC37">
        <v>-15.74</v>
      </c>
      <c r="CD37" t="s">
        <v>1807</v>
      </c>
      <c r="CE37" t="s">
        <v>912</v>
      </c>
      <c r="CF37" s="9">
        <v>0.34873219868009725</v>
      </c>
      <c r="CG37" s="10">
        <v>-0.20716485714285715</v>
      </c>
      <c r="CH37" s="9">
        <v>-0.45129132270812988</v>
      </c>
      <c r="CI37" s="9">
        <v>-0.10531865805387497</v>
      </c>
      <c r="CJ37" s="9">
        <v>0.75012421607971191</v>
      </c>
      <c r="CK37" s="9">
        <v>0.37485361099243164</v>
      </c>
      <c r="CL37" s="9">
        <v>8.5442036390304565E-2</v>
      </c>
      <c r="CM37" s="10">
        <v>0.13513512909412384</v>
      </c>
      <c r="CN37" s="10">
        <v>5.0887573510408401E-2</v>
      </c>
      <c r="CO37" s="10">
        <v>0.59433960914611816</v>
      </c>
      <c r="CP37" s="10">
        <v>0.5099714994430542</v>
      </c>
      <c r="CQ37" s="10">
        <v>8.6687304079532623E-2</v>
      </c>
      <c r="CR37">
        <v>11.408116197718631</v>
      </c>
      <c r="CS37">
        <v>0.87243375326474681</v>
      </c>
      <c r="CT37">
        <v>3.490401396160558</v>
      </c>
      <c r="CU37" s="9">
        <v>0.13076197654008864</v>
      </c>
      <c r="CV37" s="10">
        <v>0.27540422305464746</v>
      </c>
      <c r="CW37">
        <v>0.06</v>
      </c>
      <c r="CX37">
        <v>4.707412339102178</v>
      </c>
      <c r="CY37">
        <v>1075290634.2947259</v>
      </c>
      <c r="CZ37">
        <v>0.13076197654008864</v>
      </c>
      <c r="DA37">
        <v>1.4863861770450217</v>
      </c>
      <c r="DB37">
        <v>3405465200.2099991</v>
      </c>
      <c r="DC37">
        <v>0.1242238777130842</v>
      </c>
      <c r="DD37">
        <v>0.69836942411175296</v>
      </c>
      <c r="DE37">
        <v>7248078488.5994749</v>
      </c>
      <c r="DF37">
        <v>0.115070539355278</v>
      </c>
      <c r="DG37">
        <v>0.39750393733340184</v>
      </c>
      <c r="DH37">
        <v>12734053488.769453</v>
      </c>
      <c r="DI37">
        <v>0.10460958123207093</v>
      </c>
      <c r="DJ37">
        <v>0.18195062567096609</v>
      </c>
      <c r="DK37">
        <v>27819835086.215473</v>
      </c>
      <c r="DL37">
        <v>9.1533383578062039E-2</v>
      </c>
      <c r="DM37">
        <v>1008000000</v>
      </c>
      <c r="DN37">
        <v>0.13076197654008864</v>
      </c>
      <c r="DO37">
        <v>5061836400</v>
      </c>
      <c r="DP37">
        <v>3299852000</v>
      </c>
      <c r="DQ37">
        <v>3953</v>
      </c>
      <c r="DR37">
        <v>0.21797022214000861</v>
      </c>
      <c r="DS37">
        <v>-0.48256908019750461</v>
      </c>
      <c r="DT37" s="11">
        <v>-0.22333333333333338</v>
      </c>
      <c r="DU37">
        <v>2.9999999999999988E-2</v>
      </c>
      <c r="DV37">
        <v>-0.19333333333333338</v>
      </c>
      <c r="DW37">
        <v>-2.1574</v>
      </c>
      <c r="DX37">
        <v>0.32900245901639452</v>
      </c>
      <c r="DY37">
        <v>-2.0203049870491805</v>
      </c>
      <c r="DZ37">
        <v>1832</v>
      </c>
      <c r="EA37">
        <v>-2.0130253909094353</v>
      </c>
      <c r="EB37">
        <v>2</v>
      </c>
      <c r="EC37">
        <v>3.6068161337799394E-2</v>
      </c>
      <c r="ED37">
        <v>0.27959282026721605</v>
      </c>
      <c r="EE37" s="12">
        <v>-4.0428100000000002</v>
      </c>
      <c r="EF37">
        <v>-4.0731099999999998</v>
      </c>
      <c r="EG37">
        <v>20.129002459016395</v>
      </c>
      <c r="EH37" t="s">
        <v>718</v>
      </c>
      <c r="EI37">
        <v>0</v>
      </c>
      <c r="EJ37">
        <v>0</v>
      </c>
      <c r="EK37" s="8">
        <v>45470</v>
      </c>
      <c r="EL37" s="13">
        <v>1.1399999999999999</v>
      </c>
      <c r="EM37" s="13">
        <v>-4.2300000000000004</v>
      </c>
      <c r="EN37" s="13">
        <v>-0.88</v>
      </c>
      <c r="EO37" s="13">
        <v>2.74</v>
      </c>
      <c r="EP37" s="13">
        <v>-3.03</v>
      </c>
    </row>
    <row r="38" spans="1:146" ht="96" x14ac:dyDescent="0.25">
      <c r="A38" s="6"/>
      <c r="B38" s="6"/>
      <c r="C38" s="6" t="str">
        <f>""&amp;CHAR(10)&amp;Basic_Fundamental_Information_Constructure(F38)&amp;CHAR(10)&amp;Basic_Fundamental_Information_Concatenate("")</f>
        <v xml:space="preserve">
市值17.193296亿, 利润-9420.87万; PE78.67; 平均PE51.01; 平均PEG24, PB1.56; ROIC10.86%; ROE10.1533%; 股利率.9234%; 毛利11.4333%; 净利3.4467%; 上一年度营收增-57.09%, 利润增-163.23%; 当季营收增50.74%, 利润增23.2%; 过往5年营收增2.13%, 利润增-39.17%
Income profile:
</v>
      </c>
      <c r="D38" t="s">
        <v>140</v>
      </c>
      <c r="E38" t="s">
        <v>13</v>
      </c>
      <c r="F38">
        <v>10.83</v>
      </c>
      <c r="G38">
        <v>0.28000000000000003</v>
      </c>
      <c r="H38" t="s">
        <v>1808</v>
      </c>
      <c r="I38">
        <v>1719329600</v>
      </c>
      <c r="J38">
        <v>78.67</v>
      </c>
      <c r="K38">
        <v>1.56</v>
      </c>
      <c r="L38" t="s">
        <v>47</v>
      </c>
      <c r="M38" t="s">
        <v>1089</v>
      </c>
      <c r="N38" t="s">
        <v>664</v>
      </c>
      <c r="O38" t="s">
        <v>1090</v>
      </c>
      <c r="P38">
        <v>-13.52</v>
      </c>
      <c r="Q38" t="s">
        <v>1073</v>
      </c>
      <c r="R38">
        <v>4242553</v>
      </c>
      <c r="S38" s="5">
        <v>1.542</v>
      </c>
      <c r="T38" t="s">
        <v>1809</v>
      </c>
      <c r="U38">
        <v>158756200</v>
      </c>
      <c r="V38">
        <v>158756200</v>
      </c>
      <c r="W38">
        <v>1.79</v>
      </c>
      <c r="X38">
        <v>0.22</v>
      </c>
      <c r="Y38">
        <v>0.57999999999999996</v>
      </c>
      <c r="Z38" t="s">
        <v>1810</v>
      </c>
      <c r="AA38" t="s">
        <v>1811</v>
      </c>
      <c r="AB38" t="s">
        <v>1812</v>
      </c>
      <c r="AC38" t="s">
        <v>1813</v>
      </c>
      <c r="AD38" t="s">
        <v>31</v>
      </c>
      <c r="AE38">
        <v>5803635</v>
      </c>
      <c r="AF38" t="s">
        <v>1093</v>
      </c>
      <c r="AG38" t="s">
        <v>1814</v>
      </c>
      <c r="AH38" t="s">
        <v>1094</v>
      </c>
      <c r="AI38" t="s">
        <v>319</v>
      </c>
      <c r="AJ38" t="s">
        <v>1095</v>
      </c>
      <c r="AK38" t="s">
        <v>1815</v>
      </c>
      <c r="AL38" t="s">
        <v>1096</v>
      </c>
      <c r="AM38" t="s">
        <v>31</v>
      </c>
      <c r="AN38" t="s">
        <v>629</v>
      </c>
      <c r="AO38" t="s">
        <v>1816</v>
      </c>
      <c r="AP38" t="s">
        <v>707</v>
      </c>
      <c r="AQ38" t="s">
        <v>1817</v>
      </c>
      <c r="AR38" t="s">
        <v>1097</v>
      </c>
      <c r="AS38" t="s">
        <v>1818</v>
      </c>
      <c r="AT38" t="s">
        <v>1363</v>
      </c>
      <c r="AU38" t="s">
        <v>1819</v>
      </c>
      <c r="AV38" t="s">
        <v>1820</v>
      </c>
      <c r="AW38" t="s">
        <v>1821</v>
      </c>
      <c r="AX38" t="s">
        <v>663</v>
      </c>
      <c r="AY38" t="s">
        <v>436</v>
      </c>
      <c r="AZ38" t="s">
        <v>282</v>
      </c>
      <c r="BA38" t="s">
        <v>141</v>
      </c>
      <c r="BB38" t="s">
        <v>285</v>
      </c>
      <c r="BC38" t="s">
        <v>487</v>
      </c>
      <c r="BD38" t="s">
        <v>358</v>
      </c>
      <c r="BE38" t="s">
        <v>283</v>
      </c>
      <c r="BF38" t="s">
        <v>142</v>
      </c>
      <c r="BG38" t="s">
        <v>287</v>
      </c>
      <c r="BH38" t="s">
        <v>1091</v>
      </c>
      <c r="BI38" t="s">
        <v>709</v>
      </c>
      <c r="BJ38" t="s">
        <v>663</v>
      </c>
      <c r="BK38" t="s">
        <v>1092</v>
      </c>
      <c r="BL38" t="s">
        <v>1822</v>
      </c>
      <c r="BM38" t="s">
        <v>487</v>
      </c>
      <c r="BN38" t="s">
        <v>31</v>
      </c>
      <c r="BO38">
        <v>10.44</v>
      </c>
      <c r="BP38">
        <v>11.28</v>
      </c>
      <c r="BQ38">
        <v>-0.68</v>
      </c>
      <c r="BR38">
        <v>13.8</v>
      </c>
      <c r="BS38">
        <v>17.34</v>
      </c>
      <c r="BT38" t="s">
        <v>570</v>
      </c>
      <c r="BU38" t="s">
        <v>47</v>
      </c>
      <c r="BV38">
        <v>8.9</v>
      </c>
      <c r="BW38">
        <v>13.62</v>
      </c>
      <c r="BX38">
        <v>11.78</v>
      </c>
      <c r="BY38">
        <v>0.28000000000000003</v>
      </c>
      <c r="BZ38">
        <v>4.9000000000000004</v>
      </c>
      <c r="CA38">
        <v>5.16</v>
      </c>
      <c r="CB38">
        <v>-1.72</v>
      </c>
      <c r="CC38">
        <v>-15.19</v>
      </c>
      <c r="CD38" t="s">
        <v>1823</v>
      </c>
      <c r="CE38" t="s">
        <v>1824</v>
      </c>
      <c r="CF38" s="9">
        <v>0.50741839762611274</v>
      </c>
      <c r="CG38" s="10">
        <v>0.23204675475533615</v>
      </c>
      <c r="CH38" s="9">
        <v>-0.5709196925163269</v>
      </c>
      <c r="CI38" s="9">
        <v>0.190898597240448</v>
      </c>
      <c r="CJ38" s="9">
        <v>0.49538636207580566</v>
      </c>
      <c r="CK38" s="9">
        <v>-1.1965847574174404E-2</v>
      </c>
      <c r="CL38" s="9">
        <v>2.8571793809533119E-3</v>
      </c>
      <c r="CM38" s="10">
        <v>-1.6322731971740723</v>
      </c>
      <c r="CN38" s="10">
        <v>8.759123831987381E-2</v>
      </c>
      <c r="CO38" s="10">
        <v>1.1319705247879028</v>
      </c>
      <c r="CP38" s="10">
        <v>1.6503541469573975</v>
      </c>
      <c r="CQ38" s="10">
        <v>-3.1962664127349854</v>
      </c>
      <c r="CR38">
        <v>51.010483478174876</v>
      </c>
      <c r="CS38">
        <v>24.003442678879285</v>
      </c>
      <c r="CT38">
        <v>0.92336103416435822</v>
      </c>
      <c r="CU38" s="9">
        <v>2.1251319721341134E-2</v>
      </c>
      <c r="CV38" s="10">
        <v>-0.39172473996877671</v>
      </c>
      <c r="CW38">
        <v>0.06</v>
      </c>
      <c r="CX38" t="e">
        <v>#VALUE!</v>
      </c>
      <c r="CY38" t="s">
        <v>466</v>
      </c>
      <c r="CZ38">
        <v>2.1251319721341134E-2</v>
      </c>
      <c r="DA38" t="e">
        <v>#VALUE!</v>
      </c>
      <c r="DB38" t="s">
        <v>466</v>
      </c>
      <c r="DC38">
        <v>2.0188753735274075E-2</v>
      </c>
      <c r="DD38" t="e">
        <v>#VALUE!</v>
      </c>
      <c r="DE38" t="s">
        <v>466</v>
      </c>
      <c r="DF38">
        <v>1.8701161354780199E-2</v>
      </c>
      <c r="DG38" t="e">
        <v>#VALUE!</v>
      </c>
      <c r="DH38" t="s">
        <v>466</v>
      </c>
      <c r="DI38">
        <v>1.7001055777072907E-2</v>
      </c>
      <c r="DJ38" t="e">
        <v>#VALUE!</v>
      </c>
      <c r="DK38" t="s">
        <v>466</v>
      </c>
      <c r="DL38">
        <v>1.4875923804938792E-2</v>
      </c>
      <c r="DM38">
        <v>-94208700.000000015</v>
      </c>
      <c r="DN38">
        <v>2.1251319721341134E-2</v>
      </c>
      <c r="DO38">
        <v>1459329600</v>
      </c>
      <c r="DP38">
        <v>480634660</v>
      </c>
      <c r="DQ38">
        <v>4095</v>
      </c>
      <c r="DR38">
        <v>0.48616707790477159</v>
      </c>
      <c r="DS38">
        <v>0.62377149472411286</v>
      </c>
      <c r="DT38" s="11">
        <v>-0.32333333333333331</v>
      </c>
      <c r="DU38">
        <v>-1.0866666666666667</v>
      </c>
      <c r="DV38">
        <v>-1.41</v>
      </c>
      <c r="DW38">
        <v>-2.1518999999999999</v>
      </c>
      <c r="DX38">
        <v>0.33062484548956217</v>
      </c>
      <c r="DY38">
        <v>-2.0183229140298646</v>
      </c>
      <c r="DZ38">
        <v>3559</v>
      </c>
      <c r="EA38">
        <v>-2.005561416763272</v>
      </c>
      <c r="EB38">
        <v>2</v>
      </c>
      <c r="EC38">
        <v>3.5959540477789216E-2</v>
      </c>
      <c r="ED38">
        <v>0.29811056198120134</v>
      </c>
      <c r="EE38" s="12">
        <v>1.0625100000000001</v>
      </c>
      <c r="EF38">
        <v>1.0787100000000001</v>
      </c>
      <c r="EG38">
        <v>21.120624845489562</v>
      </c>
      <c r="EH38" t="s">
        <v>497</v>
      </c>
      <c r="EI38">
        <v>0</v>
      </c>
      <c r="EJ38">
        <v>0</v>
      </c>
      <c r="EK38" s="8">
        <v>45470</v>
      </c>
      <c r="EL38" s="13">
        <v>-0.72</v>
      </c>
      <c r="EM38" s="13">
        <v>-4.0599999999999996</v>
      </c>
      <c r="EN38" s="13">
        <v>1.1299999999999999</v>
      </c>
      <c r="EO38" s="13">
        <v>3.16</v>
      </c>
      <c r="EP38" s="13">
        <v>-1.62</v>
      </c>
    </row>
    <row r="39" spans="1:146" ht="96" x14ac:dyDescent="0.25">
      <c r="A39" s="6"/>
      <c r="B39" s="6"/>
      <c r="C39" s="6" t="str">
        <f>""&amp;CHAR(10)&amp;Basic_Fundamental_Information_Constructure(F39)&amp;CHAR(10)&amp;Basic_Fundamental_Information_Concatenate("")</f>
        <v xml:space="preserve">
市值36.527082亿, 利润751.59万; PE19.56; 平均PE27.79; 平均PEG1.97, PB1.52; ROIC6.9267%; ROE8.2633%; 股利率.6386%; 毛利27.5633%; 净利13.7367%; 上一年度营收增56.26%, 利润增-95.6%; 当季营收增-25.19%, 利润增495.26%; 过往5年营收增14.12%, 利润增-14%
Income profile:
</v>
      </c>
      <c r="D39" t="s">
        <v>143</v>
      </c>
      <c r="E39" t="s">
        <v>24</v>
      </c>
      <c r="F39">
        <v>15.66</v>
      </c>
      <c r="G39">
        <v>0.77</v>
      </c>
      <c r="H39" t="s">
        <v>1825</v>
      </c>
      <c r="I39">
        <v>3652708200</v>
      </c>
      <c r="J39">
        <v>19.559999999999999</v>
      </c>
      <c r="K39">
        <v>1.52</v>
      </c>
      <c r="L39" t="s">
        <v>47</v>
      </c>
      <c r="M39" t="s">
        <v>1098</v>
      </c>
      <c r="N39" t="s">
        <v>1826</v>
      </c>
      <c r="O39" t="s">
        <v>685</v>
      </c>
      <c r="P39">
        <v>0.17</v>
      </c>
      <c r="Q39" t="s">
        <v>1827</v>
      </c>
      <c r="R39">
        <v>65391162</v>
      </c>
      <c r="S39" s="5">
        <v>0.52059999999999995</v>
      </c>
      <c r="T39" t="s">
        <v>1828</v>
      </c>
      <c r="U39">
        <v>218083010</v>
      </c>
      <c r="V39">
        <v>233250840</v>
      </c>
      <c r="W39">
        <v>1.74</v>
      </c>
      <c r="X39">
        <v>7.0000000000000007E-2</v>
      </c>
      <c r="Y39">
        <v>22.44</v>
      </c>
      <c r="Z39" t="s">
        <v>1740</v>
      </c>
      <c r="AA39" t="s">
        <v>1829</v>
      </c>
      <c r="AB39" t="s">
        <v>1830</v>
      </c>
      <c r="AC39" t="s">
        <v>1831</v>
      </c>
      <c r="AD39" t="s">
        <v>31</v>
      </c>
      <c r="AE39">
        <v>11669736</v>
      </c>
      <c r="AF39" t="s">
        <v>1099</v>
      </c>
      <c r="AG39" t="s">
        <v>1832</v>
      </c>
      <c r="AH39" t="s">
        <v>1100</v>
      </c>
      <c r="AI39" t="s">
        <v>315</v>
      </c>
      <c r="AJ39" t="s">
        <v>1101</v>
      </c>
      <c r="AK39" t="s">
        <v>1833</v>
      </c>
      <c r="AL39" t="s">
        <v>1102</v>
      </c>
      <c r="AM39" t="s">
        <v>31</v>
      </c>
      <c r="AN39" t="s">
        <v>427</v>
      </c>
      <c r="AO39" t="s">
        <v>712</v>
      </c>
      <c r="AP39" t="s">
        <v>54</v>
      </c>
      <c r="AQ39" t="s">
        <v>139</v>
      </c>
      <c r="AR39" t="s">
        <v>31</v>
      </c>
      <c r="AS39" t="s">
        <v>224</v>
      </c>
      <c r="AT39" t="s">
        <v>886</v>
      </c>
      <c r="AU39" t="s">
        <v>1834</v>
      </c>
      <c r="AV39" t="s">
        <v>1835</v>
      </c>
      <c r="AW39" t="s">
        <v>1836</v>
      </c>
      <c r="AX39" t="s">
        <v>664</v>
      </c>
      <c r="AY39" t="s">
        <v>374</v>
      </c>
      <c r="AZ39" t="s">
        <v>288</v>
      </c>
      <c r="BA39" t="s">
        <v>144</v>
      </c>
      <c r="BB39" t="s">
        <v>74</v>
      </c>
      <c r="BC39" t="s">
        <v>220</v>
      </c>
      <c r="BD39" t="s">
        <v>406</v>
      </c>
      <c r="BE39" t="s">
        <v>183</v>
      </c>
      <c r="BF39" t="s">
        <v>100</v>
      </c>
      <c r="BG39" t="s">
        <v>289</v>
      </c>
      <c r="BH39" t="s">
        <v>1059</v>
      </c>
      <c r="BI39" t="s">
        <v>694</v>
      </c>
      <c r="BJ39" t="s">
        <v>664</v>
      </c>
      <c r="BK39" t="s">
        <v>1000</v>
      </c>
      <c r="BL39" t="s">
        <v>1837</v>
      </c>
      <c r="BM39" t="s">
        <v>220</v>
      </c>
      <c r="BN39">
        <v>5.28</v>
      </c>
      <c r="BO39">
        <v>6.5</v>
      </c>
      <c r="BP39">
        <v>9</v>
      </c>
      <c r="BQ39">
        <v>7.08</v>
      </c>
      <c r="BR39">
        <v>7.96</v>
      </c>
      <c r="BS39">
        <v>9.75</v>
      </c>
      <c r="BT39" t="s">
        <v>1838</v>
      </c>
      <c r="BU39" t="s">
        <v>47</v>
      </c>
      <c r="BV39">
        <v>29.93</v>
      </c>
      <c r="BW39">
        <v>26.28</v>
      </c>
      <c r="BX39">
        <v>26.48</v>
      </c>
      <c r="BY39">
        <v>13.41</v>
      </c>
      <c r="BZ39">
        <v>13.41</v>
      </c>
      <c r="CA39">
        <v>14.39</v>
      </c>
      <c r="CB39">
        <v>-2.97</v>
      </c>
      <c r="CC39">
        <v>-12.12</v>
      </c>
      <c r="CD39" t="s">
        <v>1839</v>
      </c>
      <c r="CE39" t="s">
        <v>1840</v>
      </c>
      <c r="CF39" s="9">
        <v>-0.25192802056555269</v>
      </c>
      <c r="CG39" s="10">
        <v>4.9525605657640233</v>
      </c>
      <c r="CH39" s="9">
        <v>0.56259775161743164</v>
      </c>
      <c r="CI39" s="9">
        <v>7.0922495797276497E-3</v>
      </c>
      <c r="CJ39" s="9">
        <v>0.10251943022012711</v>
      </c>
      <c r="CK39" s="9">
        <v>-3.6013346165418625E-2</v>
      </c>
      <c r="CL39" s="9">
        <v>6.9892473518848419E-2</v>
      </c>
      <c r="CM39" s="10">
        <v>-0.95604735612869263</v>
      </c>
      <c r="CN39" s="10">
        <v>-6.0439560562372208E-2</v>
      </c>
      <c r="CO39" s="10">
        <v>0.12345679104328156</v>
      </c>
      <c r="CP39" s="10">
        <v>0.265625</v>
      </c>
      <c r="CQ39" s="10">
        <v>-7.2463765740394592E-2</v>
      </c>
      <c r="CR39">
        <v>27.794302182111988</v>
      </c>
      <c r="CS39">
        <v>1.9681881144272628</v>
      </c>
      <c r="CT39">
        <v>0.63856960408684549</v>
      </c>
      <c r="CU39" s="9">
        <v>0.14121771175414324</v>
      </c>
      <c r="CV39" s="10">
        <v>-0.13997377827763557</v>
      </c>
      <c r="CW39">
        <v>0.06</v>
      </c>
      <c r="CX39">
        <v>377.50794792754971</v>
      </c>
      <c r="CY39">
        <v>8091771.8865782693</v>
      </c>
      <c r="CZ39">
        <v>0.14121771175414324</v>
      </c>
      <c r="DA39">
        <v>118.16022247672774</v>
      </c>
      <c r="DB39">
        <v>25852254.980322506</v>
      </c>
      <c r="DC39">
        <v>0.13415682616643607</v>
      </c>
      <c r="DD39">
        <v>54.848698451684882</v>
      </c>
      <c r="DE39">
        <v>55693358.023633525</v>
      </c>
      <c r="DF39">
        <v>0.12427158634364606</v>
      </c>
      <c r="DG39">
        <v>30.778754004038909</v>
      </c>
      <c r="DH39">
        <v>99247298.951710299</v>
      </c>
      <c r="DI39">
        <v>0.1129741694033146</v>
      </c>
      <c r="DJ39">
        <v>13.629855190986751</v>
      </c>
      <c r="DK39">
        <v>224118903.48035681</v>
      </c>
      <c r="DL39">
        <v>9.8852398227900262E-2</v>
      </c>
      <c r="DM39">
        <v>7515900</v>
      </c>
      <c r="DN39">
        <v>0.14121771175414324</v>
      </c>
      <c r="DO39">
        <v>3054708200</v>
      </c>
      <c r="DP39">
        <v>245841550</v>
      </c>
      <c r="DQ39">
        <v>4176</v>
      </c>
      <c r="DR39">
        <v>-0.39314573231969596</v>
      </c>
      <c r="DS39">
        <v>5.0925343440416588</v>
      </c>
      <c r="DT39" s="11">
        <v>-0.27333333333333337</v>
      </c>
      <c r="DU39">
        <v>-0.21666666666666667</v>
      </c>
      <c r="DV39">
        <v>-0.49000000000000005</v>
      </c>
      <c r="DW39">
        <v>-8.2450495049504955</v>
      </c>
      <c r="DX39">
        <v>0.31862121275968108</v>
      </c>
      <c r="DY39">
        <v>-8.0290680694633867</v>
      </c>
      <c r="DZ39">
        <v>3958</v>
      </c>
      <c r="EA39">
        <v>-8.006553114681374</v>
      </c>
      <c r="EB39">
        <v>8</v>
      </c>
      <c r="EC39">
        <v>2.2930249683130829E-2</v>
      </c>
      <c r="ED39">
        <v>0.1933064849841484</v>
      </c>
      <c r="EE39" s="12">
        <v>0.1043</v>
      </c>
      <c r="EF39">
        <v>9.9299999999999999E-2</v>
      </c>
      <c r="EG39">
        <v>20.118621212759681</v>
      </c>
      <c r="EH39" t="s">
        <v>470</v>
      </c>
      <c r="EI39">
        <v>0</v>
      </c>
      <c r="EJ39">
        <v>0</v>
      </c>
      <c r="EK39" s="8">
        <v>45470</v>
      </c>
      <c r="EL39" s="13">
        <v>0.5</v>
      </c>
      <c r="EM39" s="13">
        <v>-3.98</v>
      </c>
      <c r="EN39" s="13">
        <v>1.42</v>
      </c>
      <c r="EO39" s="13">
        <v>2.04</v>
      </c>
      <c r="EP39" s="13">
        <v>-0.5</v>
      </c>
    </row>
    <row r="40" spans="1:146" ht="96" x14ac:dyDescent="0.25">
      <c r="C40" s="6" t="str">
        <f>""&amp;CHAR(10)&amp;Basic_Fundamental_Information_Constructure(F40)&amp;CHAR(10)&amp;Basic_Fundamental_Information_Concatenate("")</f>
        <v xml:space="preserve">
市值41.035823亿, 利润2617.28万; PE56.66; 平均PE32.64; 平均PEG6.34, PB1.44; ROIC3.7633%; ROE2.6233%; 股利率1.0294%; 毛利8.8967%; 净利1.8067%; 上一年度营收增3.44%, 利润增45.67%; 当季营收增3.67%, 利润增197.16%; 过往5年营收增-5.15%, 利润增-23.56%
Income profile:
</v>
      </c>
      <c r="D40" t="s">
        <v>145</v>
      </c>
      <c r="E40" t="s">
        <v>17</v>
      </c>
      <c r="F40">
        <v>6.8</v>
      </c>
      <c r="G40">
        <v>0.44</v>
      </c>
      <c r="H40" t="s">
        <v>1841</v>
      </c>
      <c r="I40">
        <v>4103582300</v>
      </c>
      <c r="J40">
        <v>56.66</v>
      </c>
      <c r="K40">
        <v>1.44</v>
      </c>
      <c r="L40" t="s">
        <v>47</v>
      </c>
      <c r="M40" t="s">
        <v>1103</v>
      </c>
      <c r="N40" t="s">
        <v>1842</v>
      </c>
      <c r="O40" t="s">
        <v>708</v>
      </c>
      <c r="P40">
        <v>2.1800000000000002</v>
      </c>
      <c r="Q40" t="s">
        <v>1843</v>
      </c>
      <c r="R40">
        <v>14908077</v>
      </c>
      <c r="S40" s="5">
        <v>0.15770000000000001</v>
      </c>
      <c r="T40" t="s">
        <v>1844</v>
      </c>
      <c r="U40">
        <v>603467990</v>
      </c>
      <c r="V40">
        <v>603467990</v>
      </c>
      <c r="W40">
        <v>1.75</v>
      </c>
      <c r="X40">
        <v>0.16</v>
      </c>
      <c r="Y40">
        <v>2.5299999999999998</v>
      </c>
      <c r="Z40" t="s">
        <v>1845</v>
      </c>
      <c r="AA40" t="s">
        <v>188</v>
      </c>
      <c r="AB40" t="s">
        <v>1846</v>
      </c>
      <c r="AC40" t="s">
        <v>1847</v>
      </c>
      <c r="AD40" t="s">
        <v>31</v>
      </c>
      <c r="AE40">
        <v>14854815</v>
      </c>
      <c r="AF40" t="s">
        <v>1106</v>
      </c>
      <c r="AG40" t="s">
        <v>1848</v>
      </c>
      <c r="AH40" t="s">
        <v>1107</v>
      </c>
      <c r="AI40" t="s">
        <v>1082</v>
      </c>
      <c r="AJ40" t="s">
        <v>1108</v>
      </c>
      <c r="AK40" t="s">
        <v>1849</v>
      </c>
      <c r="AL40" t="s">
        <v>1109</v>
      </c>
      <c r="AM40" t="s">
        <v>31</v>
      </c>
      <c r="AN40" t="s">
        <v>1850</v>
      </c>
      <c r="AO40" t="s">
        <v>1851</v>
      </c>
      <c r="AP40" t="s">
        <v>1852</v>
      </c>
      <c r="AQ40" t="s">
        <v>1853</v>
      </c>
      <c r="AR40" t="s">
        <v>1854</v>
      </c>
      <c r="AS40" t="s">
        <v>285</v>
      </c>
      <c r="AT40" t="s">
        <v>1855</v>
      </c>
      <c r="AU40" t="s">
        <v>1856</v>
      </c>
      <c r="AV40" t="s">
        <v>1857</v>
      </c>
      <c r="AW40" t="s">
        <v>1858</v>
      </c>
      <c r="AX40" t="s">
        <v>666</v>
      </c>
      <c r="AY40" t="s">
        <v>668</v>
      </c>
      <c r="AZ40" t="s">
        <v>290</v>
      </c>
      <c r="BA40" t="s">
        <v>146</v>
      </c>
      <c r="BB40" t="s">
        <v>291</v>
      </c>
      <c r="BC40" t="s">
        <v>667</v>
      </c>
      <c r="BD40" t="s">
        <v>669</v>
      </c>
      <c r="BE40" t="s">
        <v>70</v>
      </c>
      <c r="BF40" t="s">
        <v>73</v>
      </c>
      <c r="BG40" t="s">
        <v>284</v>
      </c>
      <c r="BH40" t="s">
        <v>1104</v>
      </c>
      <c r="BI40" t="s">
        <v>1859</v>
      </c>
      <c r="BJ40" t="s">
        <v>666</v>
      </c>
      <c r="BK40" t="s">
        <v>1105</v>
      </c>
      <c r="BL40" t="s">
        <v>1860</v>
      </c>
      <c r="BM40" t="s">
        <v>667</v>
      </c>
      <c r="BN40">
        <v>3.89</v>
      </c>
      <c r="BO40">
        <v>3.88</v>
      </c>
      <c r="BP40">
        <v>3.52</v>
      </c>
      <c r="BQ40">
        <v>3.51</v>
      </c>
      <c r="BR40">
        <v>0.75</v>
      </c>
      <c r="BS40">
        <v>3.61</v>
      </c>
      <c r="BT40" t="s">
        <v>1110</v>
      </c>
      <c r="BU40" t="s">
        <v>47</v>
      </c>
      <c r="BV40">
        <v>10.69</v>
      </c>
      <c r="BW40">
        <v>9.1300000000000008</v>
      </c>
      <c r="BX40">
        <v>6.87</v>
      </c>
      <c r="BY40">
        <v>2.36</v>
      </c>
      <c r="BZ40">
        <v>0.85</v>
      </c>
      <c r="CA40">
        <v>2.21</v>
      </c>
      <c r="CB40">
        <v>-0.87</v>
      </c>
      <c r="CC40">
        <v>-18.07</v>
      </c>
      <c r="CD40" t="s">
        <v>1861</v>
      </c>
      <c r="CE40" t="s">
        <v>1234</v>
      </c>
      <c r="CF40" s="9">
        <v>3.6739380022961836E-2</v>
      </c>
      <c r="CG40" s="10">
        <v>1.9716307207781854</v>
      </c>
      <c r="CH40" s="9">
        <v>3.4360788762569427E-2</v>
      </c>
      <c r="CI40" s="9">
        <v>-0.12103040516376495</v>
      </c>
      <c r="CJ40" s="9">
        <v>0.10448862612247467</v>
      </c>
      <c r="CK40" s="9">
        <v>-0.14796239137649536</v>
      </c>
      <c r="CL40" s="9">
        <v>-0.12730255722999573</v>
      </c>
      <c r="CM40" s="10">
        <v>0.45670697093009949</v>
      </c>
      <c r="CN40" s="10">
        <v>-0.79144954681396484</v>
      </c>
      <c r="CO40" s="10">
        <v>-0.28206413984298706</v>
      </c>
      <c r="CP40" s="10">
        <v>0.18811881542205811</v>
      </c>
      <c r="CQ40" s="10">
        <v>-0.74937963485717773</v>
      </c>
      <c r="CR40">
        <v>32.641851261354681</v>
      </c>
      <c r="CS40">
        <v>6.3395545104925475</v>
      </c>
      <c r="CT40">
        <v>1.0294117647058822</v>
      </c>
      <c r="CU40" s="9">
        <v>-5.1489187777042388E-2</v>
      </c>
      <c r="CV40" s="10">
        <v>-0.23561350703239442</v>
      </c>
      <c r="CW40">
        <v>0.06</v>
      </c>
      <c r="CX40">
        <v>126.64225073358601</v>
      </c>
      <c r="CY40" t="s">
        <v>1862</v>
      </c>
      <c r="CZ40">
        <v>-5.1489187777042388E-2</v>
      </c>
      <c r="DA40">
        <v>42.214083577862006</v>
      </c>
      <c r="DB40" t="s">
        <v>1863</v>
      </c>
      <c r="DC40">
        <v>-4.8914728388190269E-2</v>
      </c>
      <c r="DD40">
        <v>21.107041788931003</v>
      </c>
      <c r="DE40" t="s">
        <v>1864</v>
      </c>
      <c r="DF40">
        <v>-4.5310485243797299E-2</v>
      </c>
      <c r="DG40">
        <v>12.664225073358601</v>
      </c>
      <c r="DH40" t="s">
        <v>1865</v>
      </c>
      <c r="DI40">
        <v>-4.1191350221633914E-2</v>
      </c>
      <c r="DJ40">
        <v>6.3321125366793005</v>
      </c>
      <c r="DK40" t="s">
        <v>1866</v>
      </c>
      <c r="DL40">
        <v>-3.6042431443929671E-2</v>
      </c>
      <c r="DM40">
        <v>26172800.000000004</v>
      </c>
      <c r="DN40">
        <v>-5.1489187777042388E-2</v>
      </c>
      <c r="DO40">
        <v>3314582300</v>
      </c>
      <c r="DP40">
        <v>709257600</v>
      </c>
      <c r="DQ40">
        <v>4188</v>
      </c>
      <c r="DR40">
        <v>8.8228567800004223E-2</v>
      </c>
      <c r="DS40">
        <v>2.2072442278105799</v>
      </c>
      <c r="DT40" s="11">
        <v>-0.44</v>
      </c>
      <c r="DU40">
        <v>9.0000000000000011E-2</v>
      </c>
      <c r="DV40">
        <v>-0.35</v>
      </c>
      <c r="DW40">
        <v>-3.0234107142857143</v>
      </c>
      <c r="DX40">
        <v>0.31627239583333289</v>
      </c>
      <c r="DY40">
        <v>-3.0024879126953126</v>
      </c>
      <c r="DZ40">
        <v>962</v>
      </c>
      <c r="EA40">
        <v>-3.0020195424383869</v>
      </c>
      <c r="EB40">
        <v>3</v>
      </c>
      <c r="EC40">
        <v>3.3811735399585985E-2</v>
      </c>
      <c r="ED40">
        <v>0.31816103452314015</v>
      </c>
      <c r="EE40" s="12">
        <v>-4.0472999999999999</v>
      </c>
      <c r="EF40">
        <v>-4.0256999999999996</v>
      </c>
      <c r="EG40">
        <v>21.106272395833333</v>
      </c>
      <c r="EH40" t="s">
        <v>863</v>
      </c>
      <c r="EI40">
        <v>0</v>
      </c>
      <c r="EJ40">
        <v>1</v>
      </c>
      <c r="EK40" s="8">
        <v>45470</v>
      </c>
      <c r="EL40" s="13">
        <v>0</v>
      </c>
      <c r="EM40" s="13">
        <v>-4.22</v>
      </c>
      <c r="EN40" s="13">
        <v>1.98</v>
      </c>
      <c r="EO40" s="13">
        <v>3.58</v>
      </c>
      <c r="EP40" s="13">
        <v>-2.16</v>
      </c>
    </row>
    <row r="41" spans="1:146" ht="96" x14ac:dyDescent="0.25">
      <c r="A41" s="14" t="s">
        <v>496</v>
      </c>
      <c r="B41" s="6"/>
      <c r="C41" s="6" t="str">
        <f>""&amp;CHAR(10)&amp;Basic_Fundamental_Information_Constructure(F41)&amp;CHAR(10)&amp;Basic_Fundamental_Information_Concatenate("")</f>
        <v xml:space="preserve">
市值28.268198亿, 利润4.07亿; PE19.21; 平均PE15.6; 平均PEG.71, PB1.5; ROIC8.2033%; ROE7.9033%; 股利率4.4872%; 毛利19.37%; 净利9.69%; 上一年度营收增79.73%, 利润增151.23%; 当季营收增-36.39%, 利润增-51.09%; 过往5年营收增21.95%, 利润增34.06%
Income profile:
</v>
      </c>
      <c r="D41" t="s">
        <v>147</v>
      </c>
      <c r="E41" t="s">
        <v>19</v>
      </c>
      <c r="F41">
        <v>7.8</v>
      </c>
      <c r="G41">
        <v>0.91</v>
      </c>
      <c r="H41" t="s">
        <v>1867</v>
      </c>
      <c r="I41">
        <v>2826819800</v>
      </c>
      <c r="J41">
        <v>19.21</v>
      </c>
      <c r="K41">
        <v>1.5</v>
      </c>
      <c r="L41" t="s">
        <v>47</v>
      </c>
      <c r="M41" t="s">
        <v>803</v>
      </c>
      <c r="N41" t="s">
        <v>1868</v>
      </c>
      <c r="O41" t="s">
        <v>704</v>
      </c>
      <c r="P41">
        <v>4.67</v>
      </c>
      <c r="Q41" t="s">
        <v>1869</v>
      </c>
      <c r="R41">
        <v>40517503</v>
      </c>
      <c r="S41" s="5">
        <v>-0.1278</v>
      </c>
      <c r="T41" t="s">
        <v>1870</v>
      </c>
      <c r="U41">
        <v>362412800</v>
      </c>
      <c r="V41">
        <v>362412800</v>
      </c>
      <c r="W41">
        <v>1.29</v>
      </c>
      <c r="X41">
        <v>0.17</v>
      </c>
      <c r="Y41">
        <v>10.16</v>
      </c>
      <c r="Z41" t="s">
        <v>1871</v>
      </c>
      <c r="AA41" t="s">
        <v>1194</v>
      </c>
      <c r="AB41" t="s">
        <v>1872</v>
      </c>
      <c r="AC41" t="s">
        <v>1873</v>
      </c>
      <c r="AD41" t="s">
        <v>31</v>
      </c>
      <c r="AE41">
        <v>3101012</v>
      </c>
      <c r="AF41" t="s">
        <v>1112</v>
      </c>
      <c r="AG41" t="s">
        <v>1874</v>
      </c>
      <c r="AH41" t="s">
        <v>1113</v>
      </c>
      <c r="AI41" t="s">
        <v>1798</v>
      </c>
      <c r="AJ41" t="s">
        <v>1114</v>
      </c>
      <c r="AK41" t="s">
        <v>1875</v>
      </c>
      <c r="AL41" t="s">
        <v>1115</v>
      </c>
      <c r="AM41" t="s">
        <v>31</v>
      </c>
      <c r="AN41" t="s">
        <v>1876</v>
      </c>
      <c r="AO41" t="s">
        <v>31</v>
      </c>
      <c r="AP41" t="s">
        <v>31</v>
      </c>
      <c r="AQ41" t="s">
        <v>660</v>
      </c>
      <c r="AR41" t="s">
        <v>31</v>
      </c>
      <c r="AS41" t="s">
        <v>1877</v>
      </c>
      <c r="AT41" t="s">
        <v>31</v>
      </c>
      <c r="AU41" t="s">
        <v>1878</v>
      </c>
      <c r="AV41" t="s">
        <v>1879</v>
      </c>
      <c r="AW41" t="s">
        <v>1880</v>
      </c>
      <c r="AX41" t="s">
        <v>670</v>
      </c>
      <c r="AY41" t="s">
        <v>437</v>
      </c>
      <c r="AZ41" t="s">
        <v>292</v>
      </c>
      <c r="BA41" t="s">
        <v>148</v>
      </c>
      <c r="BB41" t="s">
        <v>293</v>
      </c>
      <c r="BC41" t="s">
        <v>183</v>
      </c>
      <c r="BD41" t="s">
        <v>87</v>
      </c>
      <c r="BE41" t="s">
        <v>117</v>
      </c>
      <c r="BF41" t="s">
        <v>56</v>
      </c>
      <c r="BG41" t="s">
        <v>190</v>
      </c>
      <c r="BH41" t="s">
        <v>1111</v>
      </c>
      <c r="BI41" t="s">
        <v>65</v>
      </c>
      <c r="BJ41" t="s">
        <v>670</v>
      </c>
      <c r="BK41" t="s">
        <v>115</v>
      </c>
      <c r="BL41" t="s">
        <v>1881</v>
      </c>
      <c r="BM41" t="s">
        <v>183</v>
      </c>
      <c r="BN41">
        <v>6.9</v>
      </c>
      <c r="BO41">
        <v>9.1199999999999992</v>
      </c>
      <c r="BP41">
        <v>8.59</v>
      </c>
      <c r="BQ41">
        <v>6.55</v>
      </c>
      <c r="BR41">
        <v>8.99</v>
      </c>
      <c r="BS41">
        <v>8.17</v>
      </c>
      <c r="BT41" t="s">
        <v>625</v>
      </c>
      <c r="BU41" t="s">
        <v>47</v>
      </c>
      <c r="BV41">
        <v>19.420000000000002</v>
      </c>
      <c r="BW41">
        <v>19.100000000000001</v>
      </c>
      <c r="BX41">
        <v>19.59</v>
      </c>
      <c r="BY41">
        <v>9.66</v>
      </c>
      <c r="BZ41">
        <v>10.07</v>
      </c>
      <c r="CA41">
        <v>9.34</v>
      </c>
      <c r="CB41">
        <v>-1.52</v>
      </c>
      <c r="CC41">
        <v>-10.14</v>
      </c>
      <c r="CD41" t="s">
        <v>1882</v>
      </c>
      <c r="CE41" t="s">
        <v>101</v>
      </c>
      <c r="CF41" s="9">
        <v>-0.36390977443609013</v>
      </c>
      <c r="CG41" s="10">
        <v>-0.51089504961968901</v>
      </c>
      <c r="CH41" s="9">
        <v>0.79731380939483643</v>
      </c>
      <c r="CI41" s="9">
        <v>2.8248628601431847E-2</v>
      </c>
      <c r="CJ41" s="9">
        <v>5.0098881125450134E-2</v>
      </c>
      <c r="CK41" s="9">
        <v>0.17142845690250397</v>
      </c>
      <c r="CL41" s="9">
        <v>5.0283968448638916E-2</v>
      </c>
      <c r="CM41" s="10">
        <v>1.5123456716537476</v>
      </c>
      <c r="CN41" s="10">
        <v>0.10958904027938843</v>
      </c>
      <c r="CO41" s="10">
        <v>0.31531530618667603</v>
      </c>
      <c r="CP41" s="10">
        <v>-5.9322033077478409E-2</v>
      </c>
      <c r="CQ41" s="10">
        <v>-0.17482517659664154</v>
      </c>
      <c r="CR41">
        <v>15.603421159153635</v>
      </c>
      <c r="CS41">
        <v>0.71094379821566422</v>
      </c>
      <c r="CT41">
        <v>4.4871794871794872</v>
      </c>
      <c r="CU41" s="9">
        <v>0.21947474889457225</v>
      </c>
      <c r="CV41" s="10">
        <v>0.3406205616891384</v>
      </c>
      <c r="CW41">
        <v>0.06</v>
      </c>
      <c r="CX41">
        <v>3.369737304155378</v>
      </c>
      <c r="CY41">
        <v>468232285.66046315</v>
      </c>
      <c r="CZ41">
        <v>0.21947474889457225</v>
      </c>
      <c r="DA41">
        <v>0.98849490376611349</v>
      </c>
      <c r="DB41">
        <v>1596184051.1150737</v>
      </c>
      <c r="DC41">
        <v>0.20850101144984362</v>
      </c>
      <c r="DD41">
        <v>0.41844355428549312</v>
      </c>
      <c r="DE41">
        <v>3770687309.771522</v>
      </c>
      <c r="DF41">
        <v>0.19313777902722357</v>
      </c>
      <c r="DG41">
        <v>0.21001042440615533</v>
      </c>
      <c r="DH41">
        <v>7513054670.7935448</v>
      </c>
      <c r="DI41">
        <v>0.1755797991156578</v>
      </c>
      <c r="DJ41">
        <v>7.0939674013771797E-2</v>
      </c>
      <c r="DK41">
        <v>22241712017.082172</v>
      </c>
      <c r="DL41">
        <v>0.15363232422620057</v>
      </c>
      <c r="DM41">
        <v>407000000</v>
      </c>
      <c r="DN41">
        <v>0.21947474889457225</v>
      </c>
      <c r="DO41">
        <v>1577819800</v>
      </c>
      <c r="DP41">
        <v>344491650</v>
      </c>
      <c r="DQ41">
        <v>4230</v>
      </c>
      <c r="DR41">
        <v>-0.58338452333066237</v>
      </c>
      <c r="DS41">
        <v>-0.85151561130882736</v>
      </c>
      <c r="DT41" s="11">
        <v>1.0000000000000011E-2</v>
      </c>
      <c r="DU41">
        <v>0.1466666666666667</v>
      </c>
      <c r="DV41">
        <v>0.1566666666666667</v>
      </c>
      <c r="DW41">
        <v>-2.1013999999999999</v>
      </c>
      <c r="DX41">
        <v>0.34176730769230873</v>
      </c>
      <c r="DY41">
        <v>-2.0143752049999999</v>
      </c>
      <c r="DZ41">
        <v>1716</v>
      </c>
      <c r="EA41">
        <v>-2.0095478367455968</v>
      </c>
      <c r="EB41">
        <v>2</v>
      </c>
      <c r="EC41">
        <v>4.0682337930669117E-2</v>
      </c>
      <c r="ED41">
        <v>0.28696558178960568</v>
      </c>
      <c r="EE41" s="12">
        <v>-3.1183100000000001</v>
      </c>
      <c r="EF41">
        <v>-3.14601</v>
      </c>
      <c r="EG41">
        <v>20.141767307692309</v>
      </c>
      <c r="EH41" t="s">
        <v>928</v>
      </c>
      <c r="EI41">
        <v>0</v>
      </c>
      <c r="EJ41">
        <v>0</v>
      </c>
      <c r="EK41" s="8">
        <v>45470</v>
      </c>
      <c r="EL41" s="13">
        <v>-1.59</v>
      </c>
      <c r="EM41" s="13">
        <v>-2.27</v>
      </c>
      <c r="EN41" s="13">
        <v>-3.18</v>
      </c>
      <c r="EO41" s="13">
        <v>2.71</v>
      </c>
      <c r="EP41" s="13">
        <v>-2.77</v>
      </c>
    </row>
    <row r="42" spans="1:146" ht="228" x14ac:dyDescent="0.25">
      <c r="A42" s="6" t="s">
        <v>724</v>
      </c>
      <c r="B42" s="6" t="s">
        <v>723</v>
      </c>
      <c r="C42" s="6" t="str">
        <f>"公司主营业务为提供化工供应链服务。公司主要产品及服务为货运代理、仓储、运输、化工品交易。2019年12月荣获中国物流与采购联合会危化品物颁发的“2019年金罐奖安全科技保障奖”；"&amp;CHAR(10)&amp;Basic_Fundamental_Information_Constructure(F42)&amp;CHAR(10)&amp;Basic_Fundamental_Information_Concatenate("MCD化工品交易 31.26亿 36.16% 18.98% 5.38%
MGF全球货代业务 31.14亿 36.02% 31.69% 9.02%
MRT区域内贸交付 12.58亿 14.55% 12.95% 9.13%
MRW区域仓配一体化 5.49亿 6.35% 26.69% 43.12%
MTT全球航运及罐箱 3.34亿 3.86% 6.29% 16.71%
MPC全球工程物流及干散货 2.35亿 2.72% 2.63% 9.94%")</f>
        <v>公司主营业务为提供化工供应链服务。公司主要产品及服务为货运代理、仓储、运输、化工品交易。2019年12月荣获中国物流与采购联合会危化品物颁发的“2019年金罐奖安全科技保障奖”；
市值85.202802亿, 利润-1.59亿; PE17.94; 平均PE34.22; 平均PEG.95, PB2.07; ROIC10.5767%; ROE14.53%; 股利率1.022%; 毛利10.97%; 净利5.1233%; 上一年度营收增-82.67%, 利润增-126.28%; 当季营收增552.25%, 利润增1113.32%; 过往5年营收增36.15%, 利润增11.84%
Income profile:
MCD化工品交易 31.26亿 36.16% 18.98% 5.38%
MGF全球货代业务 31.14亿 36.02% 31.69% 9.02%
MRT区域内贸交付 12.58亿 14.55% 12.95% 9.13%
MRW区域仓配一体化 5.49亿 6.35% 26.69% 43.12%
MTT全球航运及罐箱 3.34亿 3.86% 6.29% 16.71%
MPC全球工程物流及干散货 2.35亿 2.72% 2.63% 9.94%</v>
      </c>
      <c r="D42" t="s">
        <v>149</v>
      </c>
      <c r="E42" t="s">
        <v>11</v>
      </c>
      <c r="F42">
        <v>51.86</v>
      </c>
      <c r="G42">
        <v>-1.07</v>
      </c>
      <c r="H42" t="s">
        <v>1883</v>
      </c>
      <c r="I42">
        <v>8520280200</v>
      </c>
      <c r="J42">
        <v>17.940000000000001</v>
      </c>
      <c r="K42">
        <v>2.0699999999999998</v>
      </c>
      <c r="L42" t="s">
        <v>47</v>
      </c>
      <c r="M42" t="s">
        <v>1116</v>
      </c>
      <c r="N42" t="s">
        <v>1884</v>
      </c>
      <c r="O42" t="s">
        <v>1117</v>
      </c>
      <c r="P42">
        <v>23.26</v>
      </c>
      <c r="Q42" t="s">
        <v>1885</v>
      </c>
      <c r="R42">
        <v>151063840</v>
      </c>
      <c r="S42" s="5">
        <v>0.40620000000000001</v>
      </c>
      <c r="T42" t="s">
        <v>1886</v>
      </c>
      <c r="U42">
        <v>164080320</v>
      </c>
      <c r="V42">
        <v>164293870</v>
      </c>
      <c r="W42">
        <v>2.5299999999999998</v>
      </c>
      <c r="X42">
        <v>0.26</v>
      </c>
      <c r="Y42">
        <v>6</v>
      </c>
      <c r="Z42" t="s">
        <v>1887</v>
      </c>
      <c r="AA42" t="s">
        <v>1888</v>
      </c>
      <c r="AB42" t="s">
        <v>1889</v>
      </c>
      <c r="AC42" t="s">
        <v>1890</v>
      </c>
      <c r="AD42" t="s">
        <v>31</v>
      </c>
      <c r="AE42">
        <v>30528425</v>
      </c>
      <c r="AF42" t="s">
        <v>1120</v>
      </c>
      <c r="AG42" t="s">
        <v>1891</v>
      </c>
      <c r="AH42" t="s">
        <v>1121</v>
      </c>
      <c r="AI42" t="s">
        <v>1892</v>
      </c>
      <c r="AJ42" t="s">
        <v>1122</v>
      </c>
      <c r="AK42" t="s">
        <v>681</v>
      </c>
      <c r="AL42" t="s">
        <v>1123</v>
      </c>
      <c r="AM42" t="s">
        <v>31</v>
      </c>
      <c r="AN42" t="s">
        <v>1893</v>
      </c>
      <c r="AO42" t="s">
        <v>1033</v>
      </c>
      <c r="AP42" t="s">
        <v>384</v>
      </c>
      <c r="AQ42" t="s">
        <v>1721</v>
      </c>
      <c r="AR42" t="s">
        <v>1894</v>
      </c>
      <c r="AS42" t="s">
        <v>244</v>
      </c>
      <c r="AT42" t="s">
        <v>1895</v>
      </c>
      <c r="AU42" t="s">
        <v>1896</v>
      </c>
      <c r="AV42" t="s">
        <v>1897</v>
      </c>
      <c r="AW42" t="s">
        <v>907</v>
      </c>
      <c r="AX42" t="s">
        <v>671</v>
      </c>
      <c r="AY42" t="s">
        <v>438</v>
      </c>
      <c r="AZ42" t="s">
        <v>294</v>
      </c>
      <c r="BA42" t="s">
        <v>150</v>
      </c>
      <c r="BB42" t="s">
        <v>295</v>
      </c>
      <c r="BC42" t="s">
        <v>488</v>
      </c>
      <c r="BD42" t="s">
        <v>439</v>
      </c>
      <c r="BE42" t="s">
        <v>239</v>
      </c>
      <c r="BF42" t="s">
        <v>89</v>
      </c>
      <c r="BG42" t="s">
        <v>78</v>
      </c>
      <c r="BH42" t="s">
        <v>1118</v>
      </c>
      <c r="BI42" t="s">
        <v>1275</v>
      </c>
      <c r="BJ42" t="s">
        <v>671</v>
      </c>
      <c r="BK42" t="s">
        <v>1119</v>
      </c>
      <c r="BL42" t="s">
        <v>1898</v>
      </c>
      <c r="BM42" t="s">
        <v>488</v>
      </c>
      <c r="BN42">
        <v>6.18</v>
      </c>
      <c r="BO42">
        <v>11.87</v>
      </c>
      <c r="BP42">
        <v>13.68</v>
      </c>
      <c r="BQ42">
        <v>10.27</v>
      </c>
      <c r="BR42">
        <v>17.45</v>
      </c>
      <c r="BS42">
        <v>15.87</v>
      </c>
      <c r="BT42" t="s">
        <v>1124</v>
      </c>
      <c r="BU42" t="s">
        <v>47</v>
      </c>
      <c r="BV42">
        <v>11.76</v>
      </c>
      <c r="BW42">
        <v>10.89</v>
      </c>
      <c r="BX42">
        <v>10.26</v>
      </c>
      <c r="BY42">
        <v>4.9400000000000004</v>
      </c>
      <c r="BZ42">
        <v>5.39</v>
      </c>
      <c r="CA42">
        <v>5.04</v>
      </c>
      <c r="CB42">
        <v>-3.1</v>
      </c>
      <c r="CC42">
        <v>-18.149999999999999</v>
      </c>
      <c r="CD42" t="s">
        <v>1899</v>
      </c>
      <c r="CE42" t="s">
        <v>1900</v>
      </c>
      <c r="CF42" s="9">
        <v>5.5225225225225216</v>
      </c>
      <c r="CG42" s="10">
        <v>11.133208119239592</v>
      </c>
      <c r="CH42" s="9">
        <v>-0.82671046257019043</v>
      </c>
      <c r="CI42" s="9">
        <v>0.33903995156288147</v>
      </c>
      <c r="CJ42" s="9">
        <v>1.5226144790649414</v>
      </c>
      <c r="CK42" s="9">
        <v>0.41670110821723938</v>
      </c>
      <c r="CL42" s="9">
        <v>0.35594174265861511</v>
      </c>
      <c r="CM42" s="10">
        <v>-1.2628098726272583</v>
      </c>
      <c r="CN42" s="10">
        <v>0.40046295523643494</v>
      </c>
      <c r="CO42" s="10">
        <v>0.5</v>
      </c>
      <c r="CP42" s="10">
        <v>0.46938776969909668</v>
      </c>
      <c r="CQ42" s="10">
        <v>0.4848484992980957</v>
      </c>
      <c r="CR42">
        <v>34.21799277108434</v>
      </c>
      <c r="CS42">
        <v>0.94651035326960542</v>
      </c>
      <c r="CT42">
        <v>1.0219822599305823</v>
      </c>
      <c r="CU42" s="9">
        <v>0.36151736378669741</v>
      </c>
      <c r="CV42" s="10">
        <v>0.11837787032127381</v>
      </c>
      <c r="CW42">
        <v>0.06</v>
      </c>
      <c r="CX42" t="e">
        <v>#VALUE!</v>
      </c>
      <c r="CY42" t="s">
        <v>466</v>
      </c>
      <c r="CZ42">
        <v>0.36151736378669741</v>
      </c>
      <c r="DA42" t="e">
        <v>#VALUE!</v>
      </c>
      <c r="DB42" t="s">
        <v>466</v>
      </c>
      <c r="DC42">
        <v>0.34344149559736253</v>
      </c>
      <c r="DD42" t="e">
        <v>#VALUE!</v>
      </c>
      <c r="DE42" t="s">
        <v>466</v>
      </c>
      <c r="DF42">
        <v>0.3181352801322937</v>
      </c>
      <c r="DG42" t="e">
        <v>#VALUE!</v>
      </c>
      <c r="DH42" t="s">
        <v>466</v>
      </c>
      <c r="DI42">
        <v>0.28921389102935796</v>
      </c>
      <c r="DJ42" t="e">
        <v>#VALUE!</v>
      </c>
      <c r="DK42" t="s">
        <v>466</v>
      </c>
      <c r="DL42">
        <v>0.25306215465068815</v>
      </c>
      <c r="DM42">
        <v>-159000000</v>
      </c>
      <c r="DN42">
        <v>0.36151736378669741</v>
      </c>
      <c r="DO42">
        <v>10766280200</v>
      </c>
      <c r="DP42">
        <v>1339340400</v>
      </c>
      <c r="DQ42">
        <v>4274</v>
      </c>
      <c r="DR42">
        <v>5.1610051587358239</v>
      </c>
      <c r="DS42">
        <v>11.014830248918319</v>
      </c>
      <c r="DT42" s="11">
        <v>-0.14000000000000004</v>
      </c>
      <c r="DU42">
        <v>-0.25000000000000006</v>
      </c>
      <c r="DV42">
        <v>-0.39000000000000012</v>
      </c>
      <c r="DW42">
        <v>-8.1707988980716255</v>
      </c>
      <c r="DX42">
        <v>0.33583850114863223</v>
      </c>
      <c r="DY42">
        <v>-8.018077099369739</v>
      </c>
      <c r="DZ42">
        <v>4004</v>
      </c>
      <c r="EA42">
        <v>-8.003912577671807</v>
      </c>
      <c r="EB42">
        <v>8</v>
      </c>
      <c r="EC42">
        <v>3.1351139272572978E-2</v>
      </c>
      <c r="ED42">
        <v>0.29621677302993715</v>
      </c>
      <c r="EE42" s="12">
        <v>2.0299999999999998</v>
      </c>
      <c r="EF42">
        <v>2.0112999999999999</v>
      </c>
      <c r="EG42">
        <v>23.105838501148632</v>
      </c>
      <c r="EH42" t="s">
        <v>1901</v>
      </c>
      <c r="EI42">
        <v>0</v>
      </c>
      <c r="EJ42">
        <v>0</v>
      </c>
      <c r="EK42" s="8">
        <v>45470</v>
      </c>
      <c r="EL42" s="13">
        <v>-0.68</v>
      </c>
      <c r="EM42" s="13">
        <v>-4.82</v>
      </c>
      <c r="EN42" s="13">
        <v>0.9</v>
      </c>
      <c r="EO42" s="13">
        <v>5.56</v>
      </c>
      <c r="EP42" s="13">
        <v>-1.87</v>
      </c>
    </row>
    <row r="43" spans="1:146" ht="96" x14ac:dyDescent="0.25">
      <c r="A43" s="6"/>
      <c r="B43" s="6"/>
      <c r="C43" s="6" t="str">
        <f>""&amp;CHAR(10)&amp;Basic_Fundamental_Information_Constructure(F43)&amp;CHAR(10)&amp;Basic_Fundamental_Information_Concatenate("")</f>
        <v xml:space="preserve">
市值9.7978995亿, 利润1.74亿; PE; 平均PE28.93; 平均PEG.18, PB1.49; ROIC5.685%; ROE3.5667%; 股利率2.6795%; 毛利22.73%; 净利3.9033%; 上一年度营收增827.36%, 利润增362.09%; 当季营收增-91.35%, 利润增-124.92%; 过往5年营收增162.25%, 利润增37.98%
Income profile:
</v>
      </c>
      <c r="D43" t="s">
        <v>152</v>
      </c>
      <c r="E43" t="s">
        <v>15</v>
      </c>
      <c r="F43">
        <v>9.33</v>
      </c>
      <c r="G43">
        <v>1.86</v>
      </c>
      <c r="H43" t="s">
        <v>1902</v>
      </c>
      <c r="I43">
        <v>979789950</v>
      </c>
      <c r="K43">
        <v>1.49</v>
      </c>
      <c r="L43" t="s">
        <v>47</v>
      </c>
      <c r="M43" t="s">
        <v>1125</v>
      </c>
      <c r="N43" t="s">
        <v>1056</v>
      </c>
      <c r="O43" t="s">
        <v>1126</v>
      </c>
      <c r="P43">
        <v>-32.14</v>
      </c>
      <c r="Q43" t="s">
        <v>1903</v>
      </c>
      <c r="R43">
        <v>-8969892</v>
      </c>
      <c r="S43" s="5">
        <v>-0.47689999999999999</v>
      </c>
      <c r="T43" t="s">
        <v>1904</v>
      </c>
      <c r="U43">
        <v>89942000</v>
      </c>
      <c r="V43">
        <v>105015000</v>
      </c>
      <c r="W43">
        <v>1.87</v>
      </c>
      <c r="X43">
        <v>0.06</v>
      </c>
      <c r="Y43">
        <v>-11.99</v>
      </c>
      <c r="Z43" t="s">
        <v>1905</v>
      </c>
      <c r="AA43" t="s">
        <v>1906</v>
      </c>
      <c r="AB43" t="s">
        <v>1907</v>
      </c>
      <c r="AC43" t="s">
        <v>1908</v>
      </c>
      <c r="AD43" t="s">
        <v>31</v>
      </c>
      <c r="AE43">
        <v>4903309</v>
      </c>
      <c r="AF43" t="s">
        <v>1128</v>
      </c>
      <c r="AG43">
        <v>2182.89</v>
      </c>
      <c r="AH43" t="s">
        <v>1129</v>
      </c>
      <c r="AI43" t="s">
        <v>722</v>
      </c>
      <c r="AJ43" t="s">
        <v>1130</v>
      </c>
      <c r="AK43" t="s">
        <v>1909</v>
      </c>
      <c r="AL43" t="s">
        <v>1131</v>
      </c>
      <c r="AM43" t="s">
        <v>31</v>
      </c>
      <c r="AN43">
        <v>0</v>
      </c>
      <c r="AO43" t="s">
        <v>972</v>
      </c>
      <c r="AP43" t="s">
        <v>31</v>
      </c>
      <c r="AQ43" t="s">
        <v>1910</v>
      </c>
      <c r="AR43" t="s">
        <v>1911</v>
      </c>
      <c r="AS43" t="s">
        <v>720</v>
      </c>
      <c r="AT43" t="s">
        <v>31</v>
      </c>
      <c r="AU43" t="s">
        <v>1912</v>
      </c>
      <c r="AV43" t="s">
        <v>1913</v>
      </c>
      <c r="AW43" t="s">
        <v>1914</v>
      </c>
      <c r="AX43" t="s">
        <v>126</v>
      </c>
      <c r="AY43" t="s">
        <v>271</v>
      </c>
      <c r="AZ43" t="s">
        <v>296</v>
      </c>
      <c r="BA43" t="s">
        <v>153</v>
      </c>
      <c r="BB43" t="s">
        <v>298</v>
      </c>
      <c r="BC43" t="s">
        <v>672</v>
      </c>
      <c r="BD43" t="s">
        <v>440</v>
      </c>
      <c r="BE43" t="s">
        <v>297</v>
      </c>
      <c r="BF43" t="s">
        <v>154</v>
      </c>
      <c r="BG43" t="s">
        <v>299</v>
      </c>
      <c r="BH43" t="s">
        <v>682</v>
      </c>
      <c r="BI43" t="s">
        <v>1915</v>
      </c>
      <c r="BJ43" t="s">
        <v>126</v>
      </c>
      <c r="BK43" t="s">
        <v>1127</v>
      </c>
      <c r="BL43" t="s">
        <v>1916</v>
      </c>
      <c r="BM43" t="s">
        <v>672</v>
      </c>
      <c r="BN43" t="s">
        <v>31</v>
      </c>
      <c r="BO43">
        <v>5.86</v>
      </c>
      <c r="BP43">
        <v>5.51</v>
      </c>
      <c r="BQ43">
        <v>-2.0099999999999998</v>
      </c>
      <c r="BR43">
        <v>6.61</v>
      </c>
      <c r="BS43">
        <v>6.1</v>
      </c>
      <c r="BT43" t="s">
        <v>603</v>
      </c>
      <c r="BU43" t="s">
        <v>47</v>
      </c>
      <c r="BV43">
        <v>20.51</v>
      </c>
      <c r="BW43">
        <v>22.82</v>
      </c>
      <c r="BX43">
        <v>24.86</v>
      </c>
      <c r="BY43">
        <v>-1.84</v>
      </c>
      <c r="BZ43">
        <v>7.24</v>
      </c>
      <c r="CA43">
        <v>6.31</v>
      </c>
      <c r="CB43">
        <v>-1.17</v>
      </c>
      <c r="CC43">
        <v>-17.649999999999999</v>
      </c>
      <c r="CD43" t="s">
        <v>1917</v>
      </c>
      <c r="CE43" t="s">
        <v>1918</v>
      </c>
      <c r="CF43" s="9">
        <v>-0.91354922566371677</v>
      </c>
      <c r="CG43" s="10">
        <v>-1.2492031238279395</v>
      </c>
      <c r="CH43" s="9">
        <v>8.2736034393310547</v>
      </c>
      <c r="CI43" s="9">
        <v>5.9183672070503235E-2</v>
      </c>
      <c r="CJ43" s="9">
        <v>6.5217390656471252E-2</v>
      </c>
      <c r="CK43" s="9">
        <v>-0.55469506978988647</v>
      </c>
      <c r="CL43" s="9">
        <v>0.26904177665710449</v>
      </c>
      <c r="CM43" s="10">
        <v>3.6209125518798828</v>
      </c>
      <c r="CN43" s="10">
        <v>0.22193881869316101</v>
      </c>
      <c r="CO43" s="10">
        <v>1.1879005432128906</v>
      </c>
      <c r="CP43" s="10">
        <v>-3.3737154006958008</v>
      </c>
      <c r="CQ43" s="10">
        <v>0.24209867417812347</v>
      </c>
      <c r="CR43">
        <v>28.933055326152328</v>
      </c>
      <c r="CS43">
        <v>0.17832718641618994</v>
      </c>
      <c r="CT43">
        <v>2.679528403001072</v>
      </c>
      <c r="CU43" s="9">
        <v>1.6224702417850494</v>
      </c>
      <c r="CV43" s="10">
        <v>0.37982703745365143</v>
      </c>
      <c r="CW43">
        <v>0.06</v>
      </c>
      <c r="CX43">
        <v>2.0855508712954309</v>
      </c>
      <c r="CY43">
        <v>430480964.21754587</v>
      </c>
      <c r="CZ43">
        <v>1.6224702417850494</v>
      </c>
      <c r="DA43">
        <v>0.23532091717935691</v>
      </c>
      <c r="DB43">
        <v>3815172746.9076724</v>
      </c>
      <c r="DC43">
        <v>1.5413467296957968</v>
      </c>
      <c r="DD43">
        <v>2.0278532291020449E-2</v>
      </c>
      <c r="DE43">
        <v>44272925531.082489</v>
      </c>
      <c r="DF43">
        <v>1.4277738127708435</v>
      </c>
      <c r="DG43">
        <v>1.2127885968134901E-3</v>
      </c>
      <c r="DH43">
        <v>740269122218.72375</v>
      </c>
      <c r="DI43">
        <v>1.2979761934280396</v>
      </c>
      <c r="DJ43">
        <v>2.1378455986639189E-6</v>
      </c>
      <c r="DK43">
        <v>419950790908888.94</v>
      </c>
      <c r="DL43">
        <v>1.1357291692495346</v>
      </c>
      <c r="DM43">
        <v>174000000</v>
      </c>
      <c r="DN43">
        <v>1.6224702417850494</v>
      </c>
      <c r="DO43">
        <v>897789950</v>
      </c>
      <c r="DP43">
        <v>129558050</v>
      </c>
      <c r="DQ43">
        <v>4319</v>
      </c>
      <c r="DR43">
        <v>-2.5360194674487664</v>
      </c>
      <c r="DS43">
        <v>-1.6290301612815909</v>
      </c>
      <c r="DT43" s="11">
        <v>-0.1566666666666667</v>
      </c>
      <c r="DU43">
        <v>-0.73166666666666658</v>
      </c>
      <c r="DV43">
        <v>-0.88833333333333331</v>
      </c>
      <c r="DW43">
        <v>-3.0186607142857143</v>
      </c>
      <c r="DX43">
        <v>0.3058105739418755</v>
      </c>
      <c r="DY43">
        <v>-3.0017878937458797</v>
      </c>
      <c r="DZ43">
        <v>1284</v>
      </c>
      <c r="EA43">
        <v>-3.0013386460805744</v>
      </c>
      <c r="EB43">
        <v>3</v>
      </c>
      <c r="EC43">
        <v>3.9401990191877345E-2</v>
      </c>
      <c r="ED43">
        <v>0.41124886920916054</v>
      </c>
      <c r="EE43" s="12">
        <v>-1.0270999999999999</v>
      </c>
      <c r="EF43">
        <v>-1.0065</v>
      </c>
      <c r="EG43">
        <v>21.095810573941876</v>
      </c>
      <c r="EH43" t="s">
        <v>473</v>
      </c>
      <c r="EI43">
        <v>0</v>
      </c>
      <c r="EJ43">
        <v>1</v>
      </c>
      <c r="EK43" s="8">
        <v>45470</v>
      </c>
      <c r="EL43" s="13">
        <v>2.23</v>
      </c>
      <c r="EM43" s="13">
        <v>-4.0199999999999996</v>
      </c>
      <c r="EN43" s="13">
        <v>-0.17</v>
      </c>
      <c r="EO43" s="13">
        <v>1.92</v>
      </c>
      <c r="EP43" s="13">
        <v>-2.06</v>
      </c>
    </row>
    <row r="44" spans="1:146" ht="96" x14ac:dyDescent="0.25">
      <c r="A44" s="6"/>
      <c r="B44" s="6"/>
      <c r="C44" s="6" t="str">
        <f>""&amp;CHAR(10)&amp;Basic_Fundamental_Information_Constructure(F44)&amp;CHAR(10)&amp;Basic_Fundamental_Information_Concatenate("")</f>
        <v xml:space="preserve">
市值26.393251亿, 利润-3736.31万; PE17.2; 平均PE14.63; 平均PEG.59, PB1.47; ROIC19.5233%; ROE16.1333%; 股利率1.5552%; 毛利8.5067%; 净利3.8767%; 上一年度营收增-98.49%, 利润增-113.39%; 当季营收增5356.04%, 利润增447.47%; 过往5年营收增24.7%, 利润增24.53%
Income profile:
</v>
      </c>
      <c r="D44" t="s">
        <v>300</v>
      </c>
      <c r="E44" t="s">
        <v>301</v>
      </c>
      <c r="F44">
        <v>12.86</v>
      </c>
      <c r="G44">
        <v>0.78</v>
      </c>
      <c r="H44" t="s">
        <v>1919</v>
      </c>
      <c r="I44">
        <v>2639325100</v>
      </c>
      <c r="J44">
        <v>17.2</v>
      </c>
      <c r="K44">
        <v>1.47</v>
      </c>
      <c r="L44" t="s">
        <v>47</v>
      </c>
      <c r="M44" t="s">
        <v>1132</v>
      </c>
      <c r="N44" t="s">
        <v>1920</v>
      </c>
      <c r="O44" t="s">
        <v>1133</v>
      </c>
      <c r="P44">
        <v>39.35</v>
      </c>
      <c r="Q44" t="s">
        <v>1921</v>
      </c>
      <c r="R44">
        <v>31102079</v>
      </c>
      <c r="S44" s="5">
        <v>2.6599999999999999E-2</v>
      </c>
      <c r="T44" t="s">
        <v>1922</v>
      </c>
      <c r="U44">
        <v>205235240</v>
      </c>
      <c r="V44">
        <v>205235240</v>
      </c>
      <c r="W44">
        <v>2.1</v>
      </c>
      <c r="X44">
        <v>0.51</v>
      </c>
      <c r="Y44">
        <v>1.58</v>
      </c>
      <c r="Z44" t="s">
        <v>940</v>
      </c>
      <c r="AA44" t="s">
        <v>1923</v>
      </c>
      <c r="AB44" t="s">
        <v>1924</v>
      </c>
      <c r="AC44" t="s">
        <v>1925</v>
      </c>
      <c r="AD44" t="s">
        <v>31</v>
      </c>
      <c r="AE44">
        <v>5369629</v>
      </c>
      <c r="AF44" t="s">
        <v>1135</v>
      </c>
      <c r="AG44" t="s">
        <v>1926</v>
      </c>
      <c r="AH44" t="s">
        <v>1136</v>
      </c>
      <c r="AI44" t="s">
        <v>1927</v>
      </c>
      <c r="AJ44" t="s">
        <v>1137</v>
      </c>
      <c r="AK44" t="s">
        <v>1928</v>
      </c>
      <c r="AL44" t="s">
        <v>1138</v>
      </c>
      <c r="AM44" t="s">
        <v>31</v>
      </c>
      <c r="AN44">
        <v>0</v>
      </c>
      <c r="AO44" t="s">
        <v>1929</v>
      </c>
      <c r="AP44" t="s">
        <v>89</v>
      </c>
      <c r="AQ44" t="s">
        <v>1930</v>
      </c>
      <c r="AR44" t="s">
        <v>31</v>
      </c>
      <c r="AS44" t="s">
        <v>1931</v>
      </c>
      <c r="AT44" t="s">
        <v>1932</v>
      </c>
      <c r="AU44" t="s">
        <v>1933</v>
      </c>
      <c r="AV44" t="s">
        <v>1798</v>
      </c>
      <c r="AW44" t="s">
        <v>1934</v>
      </c>
      <c r="AX44" t="s">
        <v>673</v>
      </c>
      <c r="AY44" t="s">
        <v>441</v>
      </c>
      <c r="AZ44" t="s">
        <v>302</v>
      </c>
      <c r="BA44" t="s">
        <v>304</v>
      </c>
      <c r="BB44" t="s">
        <v>305</v>
      </c>
      <c r="BC44" t="s">
        <v>280</v>
      </c>
      <c r="BD44" t="s">
        <v>442</v>
      </c>
      <c r="BE44" t="s">
        <v>303</v>
      </c>
      <c r="BF44" t="s">
        <v>178</v>
      </c>
      <c r="BG44" t="s">
        <v>306</v>
      </c>
      <c r="BH44" t="s">
        <v>1134</v>
      </c>
      <c r="BI44" t="s">
        <v>1935</v>
      </c>
      <c r="BJ44" t="s">
        <v>673</v>
      </c>
      <c r="BK44" t="s">
        <v>115</v>
      </c>
      <c r="BL44" t="s">
        <v>1936</v>
      </c>
      <c r="BM44" t="s">
        <v>280</v>
      </c>
      <c r="BN44">
        <v>3.34</v>
      </c>
      <c r="BO44">
        <v>15.39</v>
      </c>
      <c r="BP44">
        <v>39.840000000000003</v>
      </c>
      <c r="BQ44">
        <v>4.92</v>
      </c>
      <c r="BR44">
        <v>12.61</v>
      </c>
      <c r="BS44">
        <v>30.87</v>
      </c>
      <c r="BT44" t="s">
        <v>1088</v>
      </c>
      <c r="BU44" t="s">
        <v>47</v>
      </c>
      <c r="BV44">
        <v>7.28</v>
      </c>
      <c r="BW44">
        <v>6.65</v>
      </c>
      <c r="BX44">
        <v>11.59</v>
      </c>
      <c r="BY44">
        <v>2.46</v>
      </c>
      <c r="BZ44">
        <v>3.24</v>
      </c>
      <c r="CA44">
        <v>5.93</v>
      </c>
      <c r="CB44">
        <v>-4.53</v>
      </c>
      <c r="CC44">
        <v>3.13</v>
      </c>
      <c r="CD44" t="s">
        <v>1937</v>
      </c>
      <c r="CE44" t="s">
        <v>612</v>
      </c>
      <c r="CF44" s="9">
        <v>53.560425393885794</v>
      </c>
      <c r="CG44" s="10">
        <v>4.4746655718291608</v>
      </c>
      <c r="CH44" s="9">
        <v>-0.984852135181427</v>
      </c>
      <c r="CI44" s="9">
        <v>3.0722750350832939E-2</v>
      </c>
      <c r="CJ44" s="9">
        <v>1.1947311162948608</v>
      </c>
      <c r="CK44" s="9">
        <v>0.5903896689414978</v>
      </c>
      <c r="CL44" s="9">
        <v>0.40394893288612366</v>
      </c>
      <c r="CM44" s="10">
        <v>-1.1339179277420044</v>
      </c>
      <c r="CN44" s="10">
        <v>-0.41753652691841125</v>
      </c>
      <c r="CO44" s="10">
        <v>1.5891891717910767</v>
      </c>
      <c r="CP44" s="10">
        <v>0.79611653089523315</v>
      </c>
      <c r="CQ44" s="10">
        <v>0.3925015926361084</v>
      </c>
      <c r="CR44">
        <v>14.627641581020585</v>
      </c>
      <c r="CS44">
        <v>0.5922408227622129</v>
      </c>
      <c r="CT44">
        <v>1.5552099533437014</v>
      </c>
      <c r="CU44" s="9">
        <v>0.24698806665837764</v>
      </c>
      <c r="CV44" s="10">
        <v>0.2452705681324005</v>
      </c>
      <c r="CW44">
        <v>0.06</v>
      </c>
      <c r="CX44" t="e">
        <v>#VALUE!</v>
      </c>
      <c r="CY44" t="s">
        <v>466</v>
      </c>
      <c r="CZ44">
        <v>0.24698806665837764</v>
      </c>
      <c r="DA44" t="e">
        <v>#VALUE!</v>
      </c>
      <c r="DB44" t="s">
        <v>466</v>
      </c>
      <c r="DC44">
        <v>0.23463866332545874</v>
      </c>
      <c r="DD44" t="e">
        <v>#VALUE!</v>
      </c>
      <c r="DE44" t="s">
        <v>466</v>
      </c>
      <c r="DF44">
        <v>0.21734949865937231</v>
      </c>
      <c r="DG44" t="e">
        <v>#VALUE!</v>
      </c>
      <c r="DH44" t="s">
        <v>466</v>
      </c>
      <c r="DI44">
        <v>0.19759045332670211</v>
      </c>
      <c r="DJ44" t="e">
        <v>#VALUE!</v>
      </c>
      <c r="DK44" t="s">
        <v>466</v>
      </c>
      <c r="DL44">
        <v>0.17289164666086435</v>
      </c>
      <c r="DM44">
        <v>-37363100</v>
      </c>
      <c r="DN44">
        <v>0.24698806665837764</v>
      </c>
      <c r="DO44">
        <v>2782325100</v>
      </c>
      <c r="DP44">
        <v>1722800000</v>
      </c>
      <c r="DQ44">
        <v>4332</v>
      </c>
      <c r="DR44">
        <v>53.313437327227419</v>
      </c>
      <c r="DS44">
        <v>4.2293950036967605</v>
      </c>
      <c r="DT44" s="11">
        <v>-0.29000000000000004</v>
      </c>
      <c r="DU44">
        <v>-7.999999999999996E-2</v>
      </c>
      <c r="DV44">
        <v>-0.37</v>
      </c>
      <c r="DW44">
        <v>-4.6909492273730686</v>
      </c>
      <c r="DX44">
        <v>0.2190832258064502</v>
      </c>
      <c r="DY44">
        <v>-4.040823509221676</v>
      </c>
      <c r="DZ44">
        <v>4774</v>
      </c>
      <c r="EA44">
        <v>-4.0026842855378639</v>
      </c>
      <c r="EB44">
        <v>4</v>
      </c>
      <c r="EC44">
        <v>4.4621479235242449E-2</v>
      </c>
      <c r="ED44">
        <v>0.75523092427986538</v>
      </c>
      <c r="EE44" s="12">
        <v>-1.0801000000000001</v>
      </c>
      <c r="EF44">
        <v>-1.0784</v>
      </c>
      <c r="EG44">
        <v>16.05908322580645</v>
      </c>
      <c r="EH44" t="s">
        <v>473</v>
      </c>
      <c r="EI44">
        <v>0</v>
      </c>
      <c r="EJ44">
        <v>0</v>
      </c>
      <c r="EK44" s="8">
        <v>45470</v>
      </c>
      <c r="EL44" s="13">
        <v>-3.32</v>
      </c>
      <c r="EM44" s="13">
        <v>-0.86</v>
      </c>
      <c r="EN44" s="13">
        <v>1.73</v>
      </c>
      <c r="EO44" s="13">
        <v>1.87</v>
      </c>
      <c r="EP44" s="13">
        <v>-0.17</v>
      </c>
    </row>
    <row r="45" spans="1:146" ht="156" x14ac:dyDescent="0.25">
      <c r="A45" s="6" t="s">
        <v>585</v>
      </c>
      <c r="B45" s="6"/>
      <c r="C45" s="6" t="str">
        <f>"公司主营业务包括跨境多式联运、大宗矿产品物流、智能仓储等跨境多式联运综合物流服务及供应链贸易服务。 　　公司是经中国商务部批准成立的“壹级国际货运代理”企业"&amp;CHAR(10)&amp;Basic_Fundamental_Information_Constructure(F45)&amp;CHAR(10)&amp;Basic_Fundamental_Information_Concatenate("供应链贸易服务 19.38亿 49.84% 35.72% 9.03%
跨境多式联运综合物流服务 12.04亿 30.97% 63.90% 26.01%
PPP项目合同 7.44亿 19.14% - 0.00%")</f>
        <v>公司主营业务包括跨境多式联运、大宗矿产品物流、智能仓储等跨境多式联运综合物流服务及供应链贸易服务。 　　公司是经中国商务部批准成立的“壹级国际货运代理”企业
市值167.48335亿, 利润5.35亿; PE14.64; 平均PE39.69; 平均PEG.62, PB3.22; ROIC14.7667%; ROE17.36%; 股利率2.9172%; 毛利17.11%; 净利12.5867%; 上一年度营收增294.78%, 利润增-21.44%; 当季营收增-55.76%, 利润增98.14%; 过往5年营收增63.57%, 利润增20.87%
Income profile:
供应链贸易服务 19.38亿 49.84% 35.72% 9.03%
跨境多式联运综合物流服务 12.04亿 30.97% 63.90% 26.01%
PPP项目合同 7.44亿 19.14% - 0.00%</v>
      </c>
      <c r="D45" t="s">
        <v>156</v>
      </c>
      <c r="E45" t="s">
        <v>28</v>
      </c>
      <c r="F45">
        <v>17.14</v>
      </c>
      <c r="G45">
        <v>1.96</v>
      </c>
      <c r="H45" t="s">
        <v>1938</v>
      </c>
      <c r="I45">
        <v>16748335000</v>
      </c>
      <c r="J45">
        <v>14.64</v>
      </c>
      <c r="K45">
        <v>3.22</v>
      </c>
      <c r="L45" t="s">
        <v>47</v>
      </c>
      <c r="M45" t="s">
        <v>1139</v>
      </c>
      <c r="N45" t="s">
        <v>1939</v>
      </c>
      <c r="O45" t="s">
        <v>1140</v>
      </c>
      <c r="P45">
        <v>25.97</v>
      </c>
      <c r="Q45" t="s">
        <v>1940</v>
      </c>
      <c r="R45">
        <v>307109760</v>
      </c>
      <c r="S45" s="5">
        <v>0.51849999999999996</v>
      </c>
      <c r="T45" t="s">
        <v>1449</v>
      </c>
      <c r="U45">
        <v>977149040</v>
      </c>
      <c r="V45">
        <v>977149040</v>
      </c>
      <c r="W45">
        <v>1.29</v>
      </c>
      <c r="X45">
        <v>0.3</v>
      </c>
      <c r="Y45">
        <v>15.44</v>
      </c>
      <c r="Z45" t="s">
        <v>1941</v>
      </c>
      <c r="AA45" t="s">
        <v>1942</v>
      </c>
      <c r="AB45" t="s">
        <v>1943</v>
      </c>
      <c r="AC45" t="s">
        <v>1944</v>
      </c>
      <c r="AD45" t="s">
        <v>31</v>
      </c>
      <c r="AE45">
        <v>4831760</v>
      </c>
      <c r="AF45" t="s">
        <v>1143</v>
      </c>
      <c r="AG45" t="s">
        <v>1945</v>
      </c>
      <c r="AH45" t="s">
        <v>1144</v>
      </c>
      <c r="AI45" t="s">
        <v>1440</v>
      </c>
      <c r="AJ45" t="s">
        <v>1145</v>
      </c>
      <c r="AK45" t="s">
        <v>707</v>
      </c>
      <c r="AL45" t="s">
        <v>1146</v>
      </c>
      <c r="AM45" t="s">
        <v>31</v>
      </c>
      <c r="AN45" t="s">
        <v>1946</v>
      </c>
      <c r="AO45" t="s">
        <v>433</v>
      </c>
      <c r="AP45" t="s">
        <v>31</v>
      </c>
      <c r="AQ45" t="s">
        <v>1947</v>
      </c>
      <c r="AR45" t="s">
        <v>31</v>
      </c>
      <c r="AS45" t="s">
        <v>1948</v>
      </c>
      <c r="AT45" t="s">
        <v>31</v>
      </c>
      <c r="AU45" t="s">
        <v>73</v>
      </c>
      <c r="AV45" t="s">
        <v>1949</v>
      </c>
      <c r="AW45" t="s">
        <v>1950</v>
      </c>
      <c r="AX45" t="s">
        <v>674</v>
      </c>
      <c r="AY45" t="s">
        <v>443</v>
      </c>
      <c r="AZ45" t="s">
        <v>307</v>
      </c>
      <c r="BA45" t="s">
        <v>157</v>
      </c>
      <c r="BB45" t="s">
        <v>309</v>
      </c>
      <c r="BC45" t="s">
        <v>196</v>
      </c>
      <c r="BD45" t="s">
        <v>158</v>
      </c>
      <c r="BE45" t="s">
        <v>308</v>
      </c>
      <c r="BF45" t="s">
        <v>158</v>
      </c>
      <c r="BG45" t="s">
        <v>108</v>
      </c>
      <c r="BH45" t="s">
        <v>1141</v>
      </c>
      <c r="BI45" t="s">
        <v>312</v>
      </c>
      <c r="BJ45" t="s">
        <v>674</v>
      </c>
      <c r="BK45" t="s">
        <v>1142</v>
      </c>
      <c r="BL45" t="s">
        <v>612</v>
      </c>
      <c r="BM45" t="s">
        <v>196</v>
      </c>
      <c r="BN45">
        <v>16.670000000000002</v>
      </c>
      <c r="BO45">
        <v>17.18</v>
      </c>
      <c r="BP45">
        <v>10.45</v>
      </c>
      <c r="BQ45">
        <v>17.07</v>
      </c>
      <c r="BR45">
        <v>19.579999999999998</v>
      </c>
      <c r="BS45">
        <v>15.43</v>
      </c>
      <c r="BT45" t="s">
        <v>573</v>
      </c>
      <c r="BU45" t="s">
        <v>47</v>
      </c>
      <c r="BV45">
        <v>19.43</v>
      </c>
      <c r="BW45">
        <v>19.29</v>
      </c>
      <c r="BX45">
        <v>12.61</v>
      </c>
      <c r="BY45">
        <v>14.89</v>
      </c>
      <c r="BZ45">
        <v>14.07</v>
      </c>
      <c r="CA45">
        <v>8.8000000000000007</v>
      </c>
      <c r="CB45">
        <v>-3.11</v>
      </c>
      <c r="CC45">
        <v>-14.18</v>
      </c>
      <c r="CD45" t="s">
        <v>1951</v>
      </c>
      <c r="CE45" t="s">
        <v>112</v>
      </c>
      <c r="CF45" s="9">
        <v>-0.55755156353958746</v>
      </c>
      <c r="CG45" s="10">
        <v>0.98135329032258067</v>
      </c>
      <c r="CH45" s="9">
        <v>2.9478154182434082</v>
      </c>
      <c r="CI45" s="9">
        <v>0.24202679097652435</v>
      </c>
      <c r="CJ45" s="9">
        <v>0.1850045919418335</v>
      </c>
      <c r="CK45" s="9">
        <v>-0.21337811648845673</v>
      </c>
      <c r="CL45" s="9">
        <v>1.7069039866328239E-2</v>
      </c>
      <c r="CM45" s="10">
        <v>-0.21439060568809509</v>
      </c>
      <c r="CN45" s="10">
        <v>0.98542273044586182</v>
      </c>
      <c r="CO45" s="10">
        <v>-4.722222313284874E-2</v>
      </c>
      <c r="CP45" s="10">
        <v>4.9562681466341019E-2</v>
      </c>
      <c r="CQ45" s="10">
        <v>0.27037036418914795</v>
      </c>
      <c r="CR45">
        <v>39.687997630331751</v>
      </c>
      <c r="CS45">
        <v>0.62431220060601844</v>
      </c>
      <c r="CT45">
        <v>2.9171528588098017</v>
      </c>
      <c r="CU45" s="9">
        <v>0.63570754490792747</v>
      </c>
      <c r="CV45" s="10">
        <v>0.20874858945608138</v>
      </c>
      <c r="CW45">
        <v>0.06</v>
      </c>
      <c r="CX45">
        <v>15.618717705408288</v>
      </c>
      <c r="CY45">
        <v>825569374.08088779</v>
      </c>
      <c r="CZ45">
        <v>0.63570754490792747</v>
      </c>
      <c r="DA45">
        <v>3.3165112181098388</v>
      </c>
      <c r="DB45">
        <v>3887921418.6252017</v>
      </c>
      <c r="DC45">
        <v>0.60392216766253104</v>
      </c>
      <c r="DD45">
        <v>0.8447016874746226</v>
      </c>
      <c r="DE45">
        <v>15264957074.43154</v>
      </c>
      <c r="DF45">
        <v>0.55942263951897619</v>
      </c>
      <c r="DG45">
        <v>0.21659784893216499</v>
      </c>
      <c r="DH45">
        <v>59531223710.528633</v>
      </c>
      <c r="DI45">
        <v>0.50856603592634197</v>
      </c>
      <c r="DJ45">
        <v>1.3101107765275391E-2</v>
      </c>
      <c r="DK45">
        <v>984217154077.34875</v>
      </c>
      <c r="DL45">
        <v>0.44499528143554917</v>
      </c>
      <c r="DM45">
        <v>534999999.99999994</v>
      </c>
      <c r="DN45">
        <v>0.63570754490792747</v>
      </c>
      <c r="DO45">
        <v>12894335000</v>
      </c>
      <c r="DP45">
        <v>2345680000</v>
      </c>
      <c r="DQ45">
        <v>4348</v>
      </c>
      <c r="DR45">
        <v>-1.1932591084475148</v>
      </c>
      <c r="DS45">
        <v>0.77260470086649935</v>
      </c>
      <c r="DT45" s="11">
        <v>2.6666666666666616E-2</v>
      </c>
      <c r="DU45">
        <v>0.67333333333333334</v>
      </c>
      <c r="DV45">
        <v>0.7</v>
      </c>
      <c r="DW45">
        <v>-8.2193229901269387</v>
      </c>
      <c r="DX45">
        <v>0.39165888324873138</v>
      </c>
      <c r="DY45">
        <v>-8.0420351993585015</v>
      </c>
      <c r="DZ45">
        <v>3459</v>
      </c>
      <c r="EA45">
        <v>-8.0135812356440095</v>
      </c>
      <c r="EB45">
        <v>8</v>
      </c>
      <c r="EC45">
        <v>3.8639755507511933E-2</v>
      </c>
      <c r="ED45">
        <v>0.20160691146971807</v>
      </c>
      <c r="EE45" s="12">
        <v>-2.0001099999999998</v>
      </c>
      <c r="EF45">
        <v>-2.0384099999999998</v>
      </c>
      <c r="EG45">
        <v>20.191658883248731</v>
      </c>
      <c r="EH45" t="s">
        <v>683</v>
      </c>
      <c r="EI45">
        <v>0</v>
      </c>
      <c r="EJ45">
        <v>0</v>
      </c>
      <c r="EK45" s="8">
        <v>45470</v>
      </c>
      <c r="EL45" s="13">
        <v>0.62</v>
      </c>
      <c r="EM45" s="13">
        <v>-3.07</v>
      </c>
      <c r="EN45" s="13">
        <v>-2.5299999999999998</v>
      </c>
      <c r="EO45" s="13">
        <v>4.55</v>
      </c>
      <c r="EP45" s="13">
        <v>-3.83</v>
      </c>
    </row>
    <row r="46" spans="1:146" ht="96" x14ac:dyDescent="0.25">
      <c r="A46" s="6"/>
      <c r="B46" s="6"/>
      <c r="C46" s="6" t="str">
        <f>""&amp;CHAR(10)&amp;Basic_Fundamental_Information_Constructure(F46)&amp;CHAR(10)&amp;Basic_Fundamental_Information_Concatenate("")</f>
        <v xml:space="preserve">
市值30.50667亿, 利润3270.37万; PE12.22; 平均PE17.44; 平均PEG1.15, PB1.31; ROIC10.3%; ROE10.0333%; 股利率5.6818%; 毛利5.1767%; 净利2.7933%; 上一年度营收增-74.63%, 利润增-86.6%; 当季营收增199.62%, 利润增28.26%; 过往5年营收增15.21%, 利润增-11.71%
Income profile:
</v>
      </c>
      <c r="D46" t="s">
        <v>159</v>
      </c>
      <c r="E46" t="s">
        <v>160</v>
      </c>
      <c r="F46">
        <v>8.8000000000000007</v>
      </c>
      <c r="G46">
        <v>0.92</v>
      </c>
      <c r="H46" t="s">
        <v>1952</v>
      </c>
      <c r="I46">
        <v>3050667000</v>
      </c>
      <c r="J46">
        <v>12.22</v>
      </c>
      <c r="K46">
        <v>1.31</v>
      </c>
      <c r="L46" t="s">
        <v>47</v>
      </c>
      <c r="M46" t="s">
        <v>1149</v>
      </c>
      <c r="N46" t="s">
        <v>1953</v>
      </c>
      <c r="O46" t="s">
        <v>1150</v>
      </c>
      <c r="P46">
        <v>49.5</v>
      </c>
      <c r="Q46" t="s">
        <v>1954</v>
      </c>
      <c r="R46">
        <v>62822393</v>
      </c>
      <c r="S46" s="5">
        <v>0.17599999999999999</v>
      </c>
      <c r="T46" t="s">
        <v>1955</v>
      </c>
      <c r="U46">
        <v>346666710</v>
      </c>
      <c r="V46">
        <v>346666710</v>
      </c>
      <c r="W46">
        <v>1.67</v>
      </c>
      <c r="X46">
        <v>0.59</v>
      </c>
      <c r="Y46">
        <v>3.15</v>
      </c>
      <c r="Z46" t="s">
        <v>1956</v>
      </c>
      <c r="AA46" t="s">
        <v>1957</v>
      </c>
      <c r="AB46" t="s">
        <v>1958</v>
      </c>
      <c r="AC46" t="s">
        <v>1959</v>
      </c>
      <c r="AD46" t="s">
        <v>31</v>
      </c>
      <c r="AE46">
        <v>8965838</v>
      </c>
      <c r="AF46" t="s">
        <v>1152</v>
      </c>
      <c r="AG46" t="s">
        <v>1960</v>
      </c>
      <c r="AH46" t="s">
        <v>1153</v>
      </c>
      <c r="AI46" t="s">
        <v>1961</v>
      </c>
      <c r="AJ46" t="s">
        <v>1154</v>
      </c>
      <c r="AK46" t="s">
        <v>1962</v>
      </c>
      <c r="AL46" t="s">
        <v>1155</v>
      </c>
      <c r="AM46" t="s">
        <v>31</v>
      </c>
      <c r="AN46" t="s">
        <v>966</v>
      </c>
      <c r="AO46" t="s">
        <v>1963</v>
      </c>
      <c r="AP46" t="s">
        <v>31</v>
      </c>
      <c r="AQ46" t="s">
        <v>387</v>
      </c>
      <c r="AR46" t="s">
        <v>1964</v>
      </c>
      <c r="AS46" t="s">
        <v>1965</v>
      </c>
      <c r="AT46" t="s">
        <v>218</v>
      </c>
      <c r="AU46" t="s">
        <v>1966</v>
      </c>
      <c r="AV46" t="s">
        <v>1967</v>
      </c>
      <c r="AW46" t="s">
        <v>84</v>
      </c>
      <c r="AX46" t="s">
        <v>675</v>
      </c>
      <c r="AY46" t="s">
        <v>444</v>
      </c>
      <c r="AZ46" t="s">
        <v>310</v>
      </c>
      <c r="BA46" t="s">
        <v>161</v>
      </c>
      <c r="BB46" t="s">
        <v>312</v>
      </c>
      <c r="BC46" t="s">
        <v>489</v>
      </c>
      <c r="BD46" t="s">
        <v>445</v>
      </c>
      <c r="BE46" t="s">
        <v>311</v>
      </c>
      <c r="BF46" t="s">
        <v>54</v>
      </c>
      <c r="BG46" t="s">
        <v>155</v>
      </c>
      <c r="BH46" t="s">
        <v>1151</v>
      </c>
      <c r="BI46" t="s">
        <v>961</v>
      </c>
      <c r="BJ46" t="s">
        <v>675</v>
      </c>
      <c r="BK46" t="s">
        <v>713</v>
      </c>
      <c r="BL46" t="s">
        <v>1968</v>
      </c>
      <c r="BM46" t="s">
        <v>489</v>
      </c>
      <c r="BN46">
        <v>8.08</v>
      </c>
      <c r="BO46">
        <v>11.59</v>
      </c>
      <c r="BP46">
        <v>11.23</v>
      </c>
      <c r="BQ46">
        <v>8.3699999999999992</v>
      </c>
      <c r="BR46">
        <v>11.45</v>
      </c>
      <c r="BS46">
        <v>10.28</v>
      </c>
      <c r="BT46" t="s">
        <v>680</v>
      </c>
      <c r="BU46" t="s">
        <v>47</v>
      </c>
      <c r="BV46">
        <v>7.47</v>
      </c>
      <c r="BW46">
        <v>4.3899999999999997</v>
      </c>
      <c r="BX46">
        <v>3.67</v>
      </c>
      <c r="BY46">
        <v>3.9</v>
      </c>
      <c r="BZ46">
        <v>2.48</v>
      </c>
      <c r="CA46">
        <v>2</v>
      </c>
      <c r="CB46">
        <v>-5.38</v>
      </c>
      <c r="CC46">
        <v>-11.02</v>
      </c>
      <c r="CD46" t="s">
        <v>1969</v>
      </c>
      <c r="CE46" t="s">
        <v>1196</v>
      </c>
      <c r="CF46" s="9">
        <v>1.9962216624685138</v>
      </c>
      <c r="CG46" s="10">
        <v>0.28264721195131759</v>
      </c>
      <c r="CH46" s="9">
        <v>-0.74633157253265381</v>
      </c>
      <c r="CI46" s="9">
        <v>-4.4788163155317307E-2</v>
      </c>
      <c r="CJ46" s="9">
        <v>1.4086147546768188</v>
      </c>
      <c r="CK46" s="9">
        <v>0.14203411340713501</v>
      </c>
      <c r="CL46" s="9">
        <v>8.8705786038190126E-4</v>
      </c>
      <c r="CM46" s="10">
        <v>-0.86596846580505371</v>
      </c>
      <c r="CN46" s="10">
        <v>0.17307692766189575</v>
      </c>
      <c r="CO46" s="10">
        <v>0.18181818723678589</v>
      </c>
      <c r="CP46" s="10">
        <v>-0.1111111119389534</v>
      </c>
      <c r="CQ46" s="10">
        <v>3.6649215966463089E-2</v>
      </c>
      <c r="CR46">
        <v>17.437303498120471</v>
      </c>
      <c r="CS46">
        <v>1.1465631401299927</v>
      </c>
      <c r="CT46">
        <v>5.6818181818181817</v>
      </c>
      <c r="CU46" s="9">
        <v>0.15208323805127294</v>
      </c>
      <c r="CV46" s="10">
        <v>-0.11710704937577247</v>
      </c>
      <c r="CW46">
        <v>0.06</v>
      </c>
      <c r="CX46">
        <v>53.95085253390225</v>
      </c>
      <c r="CY46">
        <v>35544702.445525855</v>
      </c>
      <c r="CZ46">
        <v>0.15208323805127294</v>
      </c>
      <c r="DA46">
        <v>16.734019722289787</v>
      </c>
      <c r="DB46">
        <v>114596912.86521308</v>
      </c>
      <c r="DC46">
        <v>0.14447907614870928</v>
      </c>
      <c r="DD46">
        <v>7.6701845574243626</v>
      </c>
      <c r="DE46">
        <v>250015757.20153856</v>
      </c>
      <c r="DF46">
        <v>0.13383324948512018</v>
      </c>
      <c r="DG46">
        <v>4.2402828514308677</v>
      </c>
      <c r="DH46">
        <v>452249783.13720047</v>
      </c>
      <c r="DI46">
        <v>0.12166659044101835</v>
      </c>
      <c r="DJ46">
        <v>1.8127405582622376</v>
      </c>
      <c r="DK46">
        <v>1057882768.3087474</v>
      </c>
      <c r="DL46">
        <v>0.10645826663589106</v>
      </c>
      <c r="DM46">
        <v>32703700</v>
      </c>
      <c r="DN46">
        <v>0.15208323805127294</v>
      </c>
      <c r="DO46">
        <v>1917667000</v>
      </c>
      <c r="DP46">
        <v>1003742000</v>
      </c>
      <c r="DQ46">
        <v>4403</v>
      </c>
      <c r="DR46">
        <v>1.844138424417241</v>
      </c>
      <c r="DS46">
        <v>0.39975426132709008</v>
      </c>
      <c r="DT46" s="11">
        <v>-0.50666666666666671</v>
      </c>
      <c r="DU46">
        <v>-4.9999999999999968E-2</v>
      </c>
      <c r="DV46">
        <v>-0.55666666666666664</v>
      </c>
      <c r="DW46">
        <v>-8.488203266787659</v>
      </c>
      <c r="DX46">
        <v>0.31526821705426428</v>
      </c>
      <c r="DY46">
        <v>-8.0660383854584339</v>
      </c>
      <c r="DZ46">
        <v>3940</v>
      </c>
      <c r="EA46">
        <v>-8.015120334830991</v>
      </c>
      <c r="EB46">
        <v>8</v>
      </c>
      <c r="EC46">
        <v>5.0335378323462326E-2</v>
      </c>
      <c r="ED46">
        <v>0.37211533810096736</v>
      </c>
      <c r="EE46" s="12">
        <v>-2.0274000000000001</v>
      </c>
      <c r="EF46">
        <v>-2.0057999999999998</v>
      </c>
      <c r="EG46">
        <v>18.135268217054264</v>
      </c>
      <c r="EH46" t="s">
        <v>584</v>
      </c>
      <c r="EI46">
        <v>0</v>
      </c>
      <c r="EJ46">
        <v>0</v>
      </c>
      <c r="EK46" s="8">
        <v>45470</v>
      </c>
      <c r="EL46" s="13">
        <v>-0.19</v>
      </c>
      <c r="EM46" s="13">
        <v>-5.46</v>
      </c>
      <c r="EN46" s="13">
        <v>2.89</v>
      </c>
      <c r="EO46" s="13">
        <v>2.1</v>
      </c>
      <c r="EP46" s="13">
        <v>-2.16</v>
      </c>
    </row>
    <row r="47" spans="1:146" ht="96" x14ac:dyDescent="0.25">
      <c r="C47" s="6" t="str">
        <f>""&amp;CHAR(10)&amp;Basic_Fundamental_Information_Constructure(F47)&amp;CHAR(10)&amp;Basic_Fundamental_Information_Concatenate("")</f>
        <v xml:space="preserve">
市值43.467534亿, 利润3719.10万; PE10.63; 平均PE16.69; 平均PEG6.6, PB1.01; ROIC8.1967%; ROE9.3833%; 股利率4.8753%; 毛利5.7867%; 净利3.59%; 上一年度营收增-85.04%, 利润增-87.81%; 当季营收增702.68%, 利润增883.98%; 过往5年营收增-2.53%, 利润增-16.56%
Income profile:
</v>
      </c>
      <c r="D47" t="s">
        <v>313</v>
      </c>
      <c r="E47" t="s">
        <v>336</v>
      </c>
      <c r="F47">
        <v>8.82</v>
      </c>
      <c r="G47">
        <v>0.68</v>
      </c>
      <c r="H47" t="s">
        <v>1970</v>
      </c>
      <c r="I47">
        <v>4346753400</v>
      </c>
      <c r="J47">
        <v>10.63</v>
      </c>
      <c r="K47">
        <v>1.01</v>
      </c>
      <c r="L47" t="s">
        <v>47</v>
      </c>
      <c r="M47" t="s">
        <v>1156</v>
      </c>
      <c r="N47" t="s">
        <v>1971</v>
      </c>
      <c r="O47" t="s">
        <v>891</v>
      </c>
      <c r="P47">
        <v>12.23</v>
      </c>
      <c r="Q47" t="s">
        <v>902</v>
      </c>
      <c r="R47">
        <v>76706572</v>
      </c>
      <c r="S47" s="5">
        <v>-0.1008</v>
      </c>
      <c r="T47" t="s">
        <v>1972</v>
      </c>
      <c r="U47">
        <v>492829180</v>
      </c>
      <c r="V47">
        <v>492829180</v>
      </c>
      <c r="W47">
        <v>1.71</v>
      </c>
      <c r="X47">
        <v>0.33</v>
      </c>
      <c r="Y47">
        <v>3.38</v>
      </c>
      <c r="Z47" t="s">
        <v>1973</v>
      </c>
      <c r="AA47" t="s">
        <v>1974</v>
      </c>
      <c r="AB47" t="s">
        <v>1975</v>
      </c>
      <c r="AC47" t="s">
        <v>1976</v>
      </c>
      <c r="AD47" t="s">
        <v>31</v>
      </c>
      <c r="AE47">
        <v>457104</v>
      </c>
      <c r="AF47" t="s">
        <v>1158</v>
      </c>
      <c r="AG47" t="s">
        <v>1977</v>
      </c>
      <c r="AH47" t="s">
        <v>1159</v>
      </c>
      <c r="AI47" t="s">
        <v>273</v>
      </c>
      <c r="AJ47" t="s">
        <v>1160</v>
      </c>
      <c r="AK47" t="s">
        <v>696</v>
      </c>
      <c r="AL47" t="s">
        <v>1161</v>
      </c>
      <c r="AM47" t="s">
        <v>31</v>
      </c>
      <c r="AN47" t="s">
        <v>1978</v>
      </c>
      <c r="AO47" t="s">
        <v>1979</v>
      </c>
      <c r="AP47" t="s">
        <v>1980</v>
      </c>
      <c r="AQ47" t="s">
        <v>703</v>
      </c>
      <c r="AR47" t="s">
        <v>31</v>
      </c>
      <c r="AS47" t="s">
        <v>1981</v>
      </c>
      <c r="AT47" t="s">
        <v>1162</v>
      </c>
      <c r="AU47" t="s">
        <v>1982</v>
      </c>
      <c r="AV47" t="s">
        <v>1983</v>
      </c>
      <c r="AW47" t="s">
        <v>1172</v>
      </c>
      <c r="AX47" t="s">
        <v>676</v>
      </c>
      <c r="AY47" t="s">
        <v>446</v>
      </c>
      <c r="AZ47" t="s">
        <v>314</v>
      </c>
      <c r="BA47" t="s">
        <v>316</v>
      </c>
      <c r="BB47" t="s">
        <v>317</v>
      </c>
      <c r="BC47" t="s">
        <v>677</v>
      </c>
      <c r="BD47" t="s">
        <v>678</v>
      </c>
      <c r="BE47" t="s">
        <v>315</v>
      </c>
      <c r="BF47" t="s">
        <v>280</v>
      </c>
      <c r="BG47" t="s">
        <v>318</v>
      </c>
      <c r="BH47" t="s">
        <v>1157</v>
      </c>
      <c r="BI47" t="s">
        <v>1984</v>
      </c>
      <c r="BJ47" t="s">
        <v>676</v>
      </c>
      <c r="BK47" t="s">
        <v>721</v>
      </c>
      <c r="BL47" t="s">
        <v>1985</v>
      </c>
      <c r="BM47" t="s">
        <v>677</v>
      </c>
      <c r="BN47">
        <v>6.56</v>
      </c>
      <c r="BO47">
        <v>7.53</v>
      </c>
      <c r="BP47">
        <v>10.5</v>
      </c>
      <c r="BQ47">
        <v>7.32</v>
      </c>
      <c r="BR47">
        <v>9.5500000000000007</v>
      </c>
      <c r="BS47">
        <v>11.28</v>
      </c>
      <c r="BT47" t="s">
        <v>1163</v>
      </c>
      <c r="BU47" t="s">
        <v>47</v>
      </c>
      <c r="BV47">
        <v>6.94</v>
      </c>
      <c r="BW47">
        <v>4.91</v>
      </c>
      <c r="BX47">
        <v>5.51</v>
      </c>
      <c r="BY47">
        <v>4.3600000000000003</v>
      </c>
      <c r="BZ47">
        <v>2.99</v>
      </c>
      <c r="CA47">
        <v>3.42</v>
      </c>
      <c r="CB47">
        <v>0.11</v>
      </c>
      <c r="CC47">
        <v>-11.8</v>
      </c>
      <c r="CD47" t="s">
        <v>1986</v>
      </c>
      <c r="CE47" t="s">
        <v>1987</v>
      </c>
      <c r="CF47" s="9">
        <v>7.026845637583893</v>
      </c>
      <c r="CG47" s="10">
        <v>8.8398409680914121</v>
      </c>
      <c r="CH47" s="9">
        <v>-0.85041576623916626</v>
      </c>
      <c r="CI47" s="9">
        <v>3.9083607494831085E-2</v>
      </c>
      <c r="CJ47" s="9">
        <v>0.48796540498733521</v>
      </c>
      <c r="CK47" s="9">
        <v>0.22039774060249329</v>
      </c>
      <c r="CL47" s="9">
        <v>-2.3516880348324776E-2</v>
      </c>
      <c r="CM47" s="10">
        <v>-0.87806224822998047</v>
      </c>
      <c r="CN47" s="10">
        <v>-0.10029498487710953</v>
      </c>
      <c r="CO47" s="10">
        <v>0.10423452407121658</v>
      </c>
      <c r="CP47" s="10">
        <v>0.10035842657089233</v>
      </c>
      <c r="CQ47" s="10">
        <v>-5.4237287491559982E-2</v>
      </c>
      <c r="CR47">
        <v>16.694834626495737</v>
      </c>
      <c r="CS47">
        <v>6.5994847979320372</v>
      </c>
      <c r="CT47">
        <v>4.8752834467120181</v>
      </c>
      <c r="CU47" s="9">
        <v>-2.5297178700566293E-2</v>
      </c>
      <c r="CV47" s="10">
        <v>-0.1656003139913082</v>
      </c>
      <c r="CW47">
        <v>0.06</v>
      </c>
      <c r="CX47">
        <v>67.536592186281624</v>
      </c>
      <c r="CY47" t="s">
        <v>1988</v>
      </c>
      <c r="CZ47">
        <v>-2.5297178700566293E-2</v>
      </c>
      <c r="DA47">
        <v>22.512197395427208</v>
      </c>
      <c r="DB47" t="s">
        <v>1989</v>
      </c>
      <c r="DC47">
        <v>-2.4032319765537977E-2</v>
      </c>
      <c r="DD47">
        <v>11.256098697713604</v>
      </c>
      <c r="DE47" t="s">
        <v>1990</v>
      </c>
      <c r="DF47">
        <v>-2.2261517256498338E-2</v>
      </c>
      <c r="DG47">
        <v>6.7536592186281625</v>
      </c>
      <c r="DH47" t="s">
        <v>1991</v>
      </c>
      <c r="DI47">
        <v>-2.0237742960453036E-2</v>
      </c>
      <c r="DJ47">
        <v>3.3768296093140813</v>
      </c>
      <c r="DK47" t="s">
        <v>1992</v>
      </c>
      <c r="DL47">
        <v>-1.7708025090396404E-2</v>
      </c>
      <c r="DM47">
        <v>37191000</v>
      </c>
      <c r="DN47">
        <v>-2.5297178700566293E-2</v>
      </c>
      <c r="DO47">
        <v>2511753400</v>
      </c>
      <c r="DP47">
        <v>3167928800</v>
      </c>
      <c r="DQ47">
        <v>4440</v>
      </c>
      <c r="DR47">
        <v>7.0521428162844595</v>
      </c>
      <c r="DS47">
        <v>9.005441282082721</v>
      </c>
      <c r="DT47" s="11">
        <v>-0.52333333333333332</v>
      </c>
      <c r="DU47">
        <v>-0.55333333333333334</v>
      </c>
      <c r="DV47">
        <v>-1.0766666666666667</v>
      </c>
      <c r="DW47">
        <v>-2.1179999999999999</v>
      </c>
      <c r="DX47">
        <v>0.32467596344379768</v>
      </c>
      <c r="DY47">
        <v>-2.0135317636863679</v>
      </c>
      <c r="DZ47">
        <v>3803</v>
      </c>
      <c r="EA47">
        <v>-2.0034610597139104</v>
      </c>
      <c r="EB47">
        <v>2</v>
      </c>
      <c r="EC47">
        <v>1.283487312987433E-2</v>
      </c>
      <c r="ED47">
        <v>0.11192295878259481</v>
      </c>
      <c r="EE47" s="12">
        <v>8.931E-2</v>
      </c>
      <c r="EF47">
        <v>0.11071</v>
      </c>
      <c r="EG47">
        <v>21.114675963443798</v>
      </c>
      <c r="EH47">
        <v>-1</v>
      </c>
      <c r="EI47">
        <v>0</v>
      </c>
      <c r="EJ47">
        <v>0</v>
      </c>
      <c r="EK47" s="8">
        <v>45470</v>
      </c>
      <c r="EL47" s="13">
        <v>-0.24</v>
      </c>
      <c r="EM47" s="13">
        <v>-4.76</v>
      </c>
      <c r="EN47">
        <v>1.75</v>
      </c>
      <c r="EO47">
        <v>3.44</v>
      </c>
      <c r="EP47">
        <v>-2.14</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物流&quot;,&quot;&quot;'" altText="更新基本面按钮_x000a_">
                <anchor moveWithCells="1" sizeWithCells="1">
                  <from>
                    <xdr:col>147</xdr:col>
                    <xdr:colOff>222250</xdr:colOff>
                    <xdr:row>0</xdr:row>
                    <xdr:rowOff>101600</xdr:rowOff>
                  </from>
                  <to>
                    <xdr:col>147</xdr:col>
                    <xdr:colOff>1663700</xdr:colOff>
                    <xdr:row>0</xdr:row>
                    <xdr:rowOff>412750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物流</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2024-07-09T17:01:35Z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