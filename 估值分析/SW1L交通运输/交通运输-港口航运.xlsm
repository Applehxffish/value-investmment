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53222"/>
  <mc:AlternateContent xmlns:mc="http://schemas.openxmlformats.org/markup-compatibility/2006">
    <mc:Choice Requires="x15">
      <x15ac:absPath xmlns:x15ac="http://schemas.microsoft.com/office/spreadsheetml/2010/11/ac" url="C:\001Xiaofeng\value-investment-backup\估值分析\SW1L交通运输\"/>
    </mc:Choice>
  </mc:AlternateContent>
  <bookViews>
    <workbookView xWindow="0" yWindow="0" windowWidth="3800" windowHeight="2950"/>
  </bookViews>
  <sheets>
    <sheet name="港口航运" sheetId="7" r:id="rId1"/>
    <sheet name="估值-增速与年化收益" sheetId="14" r:id="rId2"/>
  </sheets>
  <functionGroups builtInGroupCount="18"/>
  <calcPr calcId="15251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B5" i="14" l="1"/>
  <c r="C5" i="14" s="1"/>
  <c r="D5" i="14" s="1"/>
  <c r="E5" i="14" s="1"/>
  <c r="F5" i="14" s="1"/>
  <c r="G5" i="14" s="1"/>
  <c r="H5" i="14" s="1"/>
  <c r="I5" i="14" s="1"/>
  <c r="J5" i="14" s="1"/>
  <c r="K5" i="14" s="1"/>
  <c r="L5" i="14" s="1"/>
  <c r="M5" i="14" s="1"/>
  <c r="N5" i="14" s="1"/>
  <c r="O5" i="14" s="1"/>
  <c r="P5" i="14" s="1"/>
  <c r="Q5" i="14" s="1"/>
  <c r="R5" i="14" s="1"/>
  <c r="S5" i="14" s="1"/>
  <c r="T5" i="14" s="1"/>
  <c r="U5" i="14" s="1"/>
  <c r="V5" i="14" s="1"/>
  <c r="W5" i="14" s="1"/>
  <c r="X5" i="14" s="1"/>
  <c r="Y5" i="14" s="1"/>
  <c r="Z5" i="14" s="1"/>
  <c r="AA5" i="14" s="1"/>
  <c r="AB5" i="14" s="1"/>
  <c r="AC5" i="14" s="1"/>
  <c r="AD5" i="14" s="1"/>
  <c r="B1" i="14"/>
  <c r="C1" i="14" s="1"/>
  <c r="D1" i="14" s="1"/>
  <c r="E1" i="14" s="1"/>
  <c r="F1" i="14" s="1"/>
  <c r="G1" i="14" s="1"/>
  <c r="H1" i="14" s="1"/>
  <c r="I1" i="14" s="1"/>
  <c r="J1" i="14" s="1"/>
  <c r="K1" i="14" s="1"/>
  <c r="L1" i="14" s="1"/>
  <c r="M1" i="14" s="1"/>
  <c r="N1" i="14" s="1"/>
  <c r="O1" i="14" s="1"/>
  <c r="P1" i="14" s="1"/>
  <c r="Q1" i="14" s="1"/>
  <c r="R1" i="14" s="1"/>
  <c r="S1" i="14" s="1"/>
  <c r="T1" i="14" s="1"/>
  <c r="U1" i="14" s="1"/>
  <c r="V1" i="14" s="1"/>
  <c r="W1" i="14" s="1"/>
  <c r="X1" i="14" s="1"/>
  <c r="Y1" i="14" s="1"/>
  <c r="Z1" i="14" s="1"/>
  <c r="AA1" i="14" s="1"/>
  <c r="AB1" i="14" s="1"/>
  <c r="AC1" i="14" s="1"/>
  <c r="AD1" i="14" s="1"/>
  <c r="C25" i="7"/>
  <c r="C36" i="7"/>
  <c r="C32" i="7"/>
  <c r="C28" i="7"/>
  <c r="C23" i="7"/>
  <c r="C35" i="7"/>
  <c r="C31" i="7"/>
  <c r="C27" i="7"/>
  <c r="C22" i="7"/>
  <c r="C21" i="7"/>
  <c r="C17" i="7"/>
  <c r="C34" i="7"/>
  <c r="C30" i="7"/>
  <c r="C26" i="7"/>
  <c r="C37" i="7"/>
  <c r="C33" i="7"/>
  <c r="C29" i="7"/>
  <c r="C24" i="7"/>
  <c r="C20" i="7"/>
  <c r="C18" i="7"/>
  <c r="C16" i="7"/>
  <c r="C15" i="7"/>
  <c r="C14" i="7"/>
  <c r="C13" i="7"/>
  <c r="C12" i="7"/>
  <c r="C11" i="7"/>
  <c r="C10" i="7"/>
  <c r="C9" i="7"/>
  <c r="C8" i="7"/>
  <c r="C7" i="7"/>
  <c r="C6" i="7"/>
  <c r="C5" i="7"/>
  <c r="C4" i="7"/>
  <c r="C3" i="7"/>
  <c r="C2" i="7"/>
</calcChain>
</file>

<file path=xl/sharedStrings.xml><?xml version="1.0" encoding="utf-8"?>
<sst xmlns="http://schemas.openxmlformats.org/spreadsheetml/2006/main" count="2150" uniqueCount="1587">
  <si>
    <t>&lt;-增速</t>
    <phoneticPr fontId="1" type="noConversion"/>
  </si>
  <si>
    <t>&lt;-估值</t>
    <phoneticPr fontId="1" type="noConversion"/>
  </si>
  <si>
    <t>&lt;-折合年化收益</t>
    <phoneticPr fontId="1" type="noConversion"/>
  </si>
  <si>
    <t>现价</t>
  </si>
  <si>
    <t>市净率</t>
  </si>
  <si>
    <t>连云港</t>
  </si>
  <si>
    <t>厦门港务</t>
  </si>
  <si>
    <t>中远海特</t>
  </si>
  <si>
    <t>招商港口</t>
  </si>
  <si>
    <t>中远海控</t>
  </si>
  <si>
    <t>招商轮船</t>
  </si>
  <si>
    <t>海峡股份</t>
  </si>
  <si>
    <t>珠海港</t>
  </si>
  <si>
    <t>广州港</t>
  </si>
  <si>
    <t>中远海发</t>
  </si>
  <si>
    <t>宁波海运</t>
  </si>
  <si>
    <t>南 京 港</t>
  </si>
  <si>
    <t>北部湾港</t>
  </si>
  <si>
    <t>宁波港</t>
  </si>
  <si>
    <t>天津港</t>
  </si>
  <si>
    <t>秦港股份</t>
  </si>
  <si>
    <t>日照港</t>
  </si>
  <si>
    <t>上港集团</t>
  </si>
  <si>
    <t>青岛港</t>
  </si>
  <si>
    <t>渤海轮渡</t>
  </si>
  <si>
    <t>唐山港</t>
  </si>
  <si>
    <t>中远海能</t>
  </si>
  <si>
    <t>预期多</t>
    <phoneticPr fontId="1" type="noConversion"/>
  </si>
  <si>
    <t>预期空</t>
    <phoneticPr fontId="1" type="noConversion"/>
  </si>
  <si>
    <t>已知和基本信息</t>
    <phoneticPr fontId="1" type="noConversion"/>
  </si>
  <si>
    <t>总市值</t>
  </si>
  <si>
    <t>TTM市盈率</t>
  </si>
  <si>
    <t>所属行业</t>
  </si>
  <si>
    <t>负债合计</t>
  </si>
  <si>
    <t>所有者权益合计</t>
  </si>
  <si>
    <t>主营业务收入</t>
  </si>
  <si>
    <t>净利润增长率</t>
  </si>
  <si>
    <t>总股本</t>
  </si>
  <si>
    <t>财务费用</t>
  </si>
  <si>
    <t>投资收益</t>
  </si>
  <si>
    <t>应收账款</t>
  </si>
  <si>
    <t>港口航运</t>
  </si>
  <si>
    <t>3.59亿</t>
  </si>
  <si>
    <t>--</t>
  </si>
  <si>
    <t>1.30亿</t>
  </si>
  <si>
    <t>SZ000507</t>
  </si>
  <si>
    <t>33.22亿</t>
  </si>
  <si>
    <t>2.22亿</t>
  </si>
  <si>
    <t>SZ000520</t>
  </si>
  <si>
    <t>2.36亿</t>
  </si>
  <si>
    <t>7.92亿</t>
  </si>
  <si>
    <t>3214.34万</t>
  </si>
  <si>
    <t>0亿</t>
  </si>
  <si>
    <t>SZ000582</t>
  </si>
  <si>
    <t>47.92亿</t>
  </si>
  <si>
    <t>9.84亿</t>
  </si>
  <si>
    <t>SZ000905</t>
  </si>
  <si>
    <t>141.55亿</t>
  </si>
  <si>
    <t>8562.92万</t>
  </si>
  <si>
    <t>SZ001872</t>
  </si>
  <si>
    <t>121.24亿</t>
  </si>
  <si>
    <t>28.98亿</t>
  </si>
  <si>
    <t>2.96亿</t>
  </si>
  <si>
    <t>59.22亿</t>
  </si>
  <si>
    <t>SZ002040</t>
  </si>
  <si>
    <t>7.37亿</t>
  </si>
  <si>
    <t>SZ002320</t>
  </si>
  <si>
    <t>11.10亿</t>
  </si>
  <si>
    <t>2.19亿</t>
  </si>
  <si>
    <t>SH600017</t>
  </si>
  <si>
    <t>52.46亿</t>
  </si>
  <si>
    <t>6.31亿</t>
  </si>
  <si>
    <t>SH600018</t>
  </si>
  <si>
    <t>361.02亿</t>
  </si>
  <si>
    <t>SH600026</t>
  </si>
  <si>
    <t>138.80亿</t>
  </si>
  <si>
    <t>4.32亿</t>
  </si>
  <si>
    <t>SH600190</t>
  </si>
  <si>
    <t>112.53亿</t>
  </si>
  <si>
    <t>70.33亿</t>
  </si>
  <si>
    <t>1.68亿</t>
  </si>
  <si>
    <t>10.73亿</t>
  </si>
  <si>
    <t>SH600279</t>
  </si>
  <si>
    <t>47.77亿</t>
  </si>
  <si>
    <t>1.59亿</t>
  </si>
  <si>
    <t>SH600428</t>
  </si>
  <si>
    <t>82.66亿</t>
  </si>
  <si>
    <t>1.01亿</t>
  </si>
  <si>
    <t>SH600717</t>
  </si>
  <si>
    <t>128.85亿</t>
  </si>
  <si>
    <t>6.02亿</t>
  </si>
  <si>
    <t>SH600798</t>
  </si>
  <si>
    <t>23.24亿</t>
  </si>
  <si>
    <t>1.66亿</t>
  </si>
  <si>
    <t>1.06亿</t>
  </si>
  <si>
    <t>2.92亿</t>
  </si>
  <si>
    <t>SH601000</t>
  </si>
  <si>
    <t>112.09亿</t>
  </si>
  <si>
    <t>17.78亿</t>
  </si>
  <si>
    <t>8.58亿</t>
  </si>
  <si>
    <t>SH601008</t>
  </si>
  <si>
    <t>14.25亿</t>
  </si>
  <si>
    <t>681.53万</t>
  </si>
  <si>
    <t>SH601018</t>
  </si>
  <si>
    <t>1.04亿</t>
  </si>
  <si>
    <t>SH601228</t>
  </si>
  <si>
    <t>SH601298</t>
  </si>
  <si>
    <t>121.64亿</t>
  </si>
  <si>
    <t>37.90亿</t>
  </si>
  <si>
    <t>SH601326</t>
  </si>
  <si>
    <t>67.23亿</t>
  </si>
  <si>
    <t>9.31亿</t>
  </si>
  <si>
    <t>SH601866</t>
  </si>
  <si>
    <t>17.43亿</t>
  </si>
  <si>
    <t>SH601872</t>
  </si>
  <si>
    <t>SH601880</t>
  </si>
  <si>
    <t>66.46亿</t>
  </si>
  <si>
    <t>7.18亿</t>
  </si>
  <si>
    <t>SH601919</t>
  </si>
  <si>
    <t>1510.57亿</t>
  </si>
  <si>
    <t>67.64亿</t>
  </si>
  <si>
    <t>SH601975</t>
  </si>
  <si>
    <t>招商南油</t>
  </si>
  <si>
    <t>40.39亿</t>
  </si>
  <si>
    <t>8.77亿</t>
  </si>
  <si>
    <t>SH603167</t>
  </si>
  <si>
    <t>16.63亿</t>
  </si>
  <si>
    <t>4.10亿</t>
  </si>
  <si>
    <t>流动资产</t>
  </si>
  <si>
    <t>营业收入[20191231]</t>
  </si>
  <si>
    <t>营业收入[20181231]</t>
  </si>
  <si>
    <t>营业收入[20171231]</t>
  </si>
  <si>
    <t>营业收入[20161231]</t>
  </si>
  <si>
    <t>净利润[20191231]</t>
  </si>
  <si>
    <t>净利润[20181231]</t>
  </si>
  <si>
    <t>净利润[20171231]</t>
  </si>
  <si>
    <t>净利润[20161231]</t>
  </si>
  <si>
    <t>投入资本回报率roic%[20191231]</t>
  </si>
  <si>
    <t>净资产收益率%[20191231]</t>
  </si>
  <si>
    <t>销售毛利率%[20191231]</t>
  </si>
  <si>
    <t>销售净利率%[20191231]</t>
  </si>
  <si>
    <t>5.31亿</t>
  </si>
  <si>
    <t>2.49亿</t>
  </si>
  <si>
    <t>4.49亿</t>
  </si>
  <si>
    <t>35.35亿</t>
  </si>
  <si>
    <t>2.63亿</t>
  </si>
  <si>
    <t>26.15亿</t>
  </si>
  <si>
    <t>1.69亿</t>
  </si>
  <si>
    <t>1.41亿</t>
  </si>
  <si>
    <t>7.15亿</t>
  </si>
  <si>
    <t>1052.90万</t>
  </si>
  <si>
    <t>2.12亿</t>
  </si>
  <si>
    <t>8.41亿</t>
  </si>
  <si>
    <t>6121.49万</t>
  </si>
  <si>
    <t>1.23亿</t>
  </si>
  <si>
    <t>53.63亿</t>
  </si>
  <si>
    <t>10.76亿</t>
  </si>
  <si>
    <t>42.23亿</t>
  </si>
  <si>
    <t>6.38亿</t>
  </si>
  <si>
    <t>5.95亿</t>
  </si>
  <si>
    <t>157.06亿</t>
  </si>
  <si>
    <t>1.34亿</t>
  </si>
  <si>
    <t>133.91亿</t>
  </si>
  <si>
    <t>2519.92万</t>
  </si>
  <si>
    <t>1.09亿</t>
  </si>
  <si>
    <t>SZ001205</t>
  </si>
  <si>
    <t>盛航股份</t>
  </si>
  <si>
    <t>4.80亿</t>
  </si>
  <si>
    <t>1.12亿</t>
  </si>
  <si>
    <t>3.82亿</t>
  </si>
  <si>
    <t>2.11亿</t>
  </si>
  <si>
    <t>6035.35万</t>
  </si>
  <si>
    <t>4451.08万</t>
  </si>
  <si>
    <t>97.03亿</t>
  </si>
  <si>
    <t>23.81亿</t>
  </si>
  <si>
    <t>10.90亿</t>
  </si>
  <si>
    <t>7.55亿</t>
  </si>
  <si>
    <t>1.29亿</t>
  </si>
  <si>
    <t>1.38亿</t>
  </si>
  <si>
    <t>2.23亿</t>
  </si>
  <si>
    <t>1.64亿</t>
  </si>
  <si>
    <t>1.25亿</t>
  </si>
  <si>
    <t>10.50亿</t>
  </si>
  <si>
    <t>57.67亿</t>
  </si>
  <si>
    <t>1.99亿</t>
  </si>
  <si>
    <t>51.30亿</t>
  </si>
  <si>
    <t>1.76亿</t>
  </si>
  <si>
    <t>261.19亿</t>
  </si>
  <si>
    <t>380.43亿</t>
  </si>
  <si>
    <t>65.62亿</t>
  </si>
  <si>
    <t>163.85亿</t>
  </si>
  <si>
    <t>1.87亿</t>
  </si>
  <si>
    <t>122.86亿</t>
  </si>
  <si>
    <t>19.23亿</t>
  </si>
  <si>
    <t>2.42亿</t>
  </si>
  <si>
    <t>1.43亿</t>
  </si>
  <si>
    <t>50.81亿</t>
  </si>
  <si>
    <t>8856.59万</t>
  </si>
  <si>
    <t>1.53亿</t>
  </si>
  <si>
    <t>70.40亿</t>
  </si>
  <si>
    <t>75.79亿</t>
  </si>
  <si>
    <t>8606.66万</t>
  </si>
  <si>
    <t>2.38亿</t>
  </si>
  <si>
    <t>1.46亿</t>
  </si>
  <si>
    <t>6.87亿</t>
  </si>
  <si>
    <t>12.30亿</t>
  </si>
  <si>
    <t>130.60亿</t>
  </si>
  <si>
    <t>5.37亿</t>
  </si>
  <si>
    <t>12.59亿</t>
  </si>
  <si>
    <t>22.82亿</t>
  </si>
  <si>
    <t>25.71亿</t>
  </si>
  <si>
    <t>78.37亿</t>
  </si>
  <si>
    <t>18.43亿</t>
  </si>
  <si>
    <t>101.38亿</t>
  </si>
  <si>
    <t>16.10亿</t>
  </si>
  <si>
    <t>16.22亿</t>
  </si>
  <si>
    <t>3704.59万</t>
  </si>
  <si>
    <t>13.26亿</t>
  </si>
  <si>
    <t>13.08亿</t>
  </si>
  <si>
    <t>11.67亿</t>
  </si>
  <si>
    <t>351.43万</t>
  </si>
  <si>
    <t>253.25亿</t>
  </si>
  <si>
    <t>219.52亿</t>
  </si>
  <si>
    <t>33.39亿</t>
  </si>
  <si>
    <t>28.86亿</t>
  </si>
  <si>
    <t>8.73亿</t>
  </si>
  <si>
    <t>104.68亿</t>
  </si>
  <si>
    <t>86.43亿</t>
  </si>
  <si>
    <t>8.57亿</t>
  </si>
  <si>
    <t>7.19亿</t>
  </si>
  <si>
    <t>6.71亿</t>
  </si>
  <si>
    <t>132.19亿</t>
  </si>
  <si>
    <t>38.42亿</t>
  </si>
  <si>
    <t>117.41亿</t>
  </si>
  <si>
    <t>35.93亿</t>
  </si>
  <si>
    <t>64.56亿</t>
  </si>
  <si>
    <t>9.95亿</t>
  </si>
  <si>
    <t>68.77亿</t>
  </si>
  <si>
    <t>49.11亿</t>
  </si>
  <si>
    <t>8.10亿</t>
  </si>
  <si>
    <t>141.89亿</t>
  </si>
  <si>
    <t>163.38亿</t>
  </si>
  <si>
    <t>13.86亿</t>
  </si>
  <si>
    <t>186.09亿</t>
  </si>
  <si>
    <t>109.31亿</t>
  </si>
  <si>
    <t>19.33亿</t>
  </si>
  <si>
    <t>辽港股份</t>
  </si>
  <si>
    <t>3.00亿</t>
  </si>
  <si>
    <t>67.54亿</t>
  </si>
  <si>
    <t>5.23亿</t>
  </si>
  <si>
    <t>1712.59亿</t>
  </si>
  <si>
    <t>99.27亿</t>
  </si>
  <si>
    <t>1208.30亿</t>
  </si>
  <si>
    <t>40.32亿</t>
  </si>
  <si>
    <t>13.90亿</t>
  </si>
  <si>
    <t>33.78亿</t>
  </si>
  <si>
    <t>3.60亿</t>
  </si>
  <si>
    <t>4.11亿</t>
  </si>
  <si>
    <t>1.36亿</t>
  </si>
  <si>
    <t>16.68亿</t>
  </si>
  <si>
    <t>4.01亿</t>
  </si>
  <si>
    <t>SH603565</t>
  </si>
  <si>
    <t>中谷物流</t>
  </si>
  <si>
    <t>104.19亿</t>
  </si>
  <si>
    <t>10.19亿</t>
  </si>
  <si>
    <t>99.00亿</t>
  </si>
  <si>
    <t>80.78亿</t>
  </si>
  <si>
    <t>5.51亿</t>
  </si>
  <si>
    <t>2.66亿</t>
  </si>
  <si>
    <t>N-1年营收增速</t>
  </si>
  <si>
    <t>N-2年营收增速</t>
  </si>
  <si>
    <t>N-3年营收增速</t>
  </si>
  <si>
    <t>N-4年营收增速</t>
  </si>
  <si>
    <t>N-5年营收增速</t>
  </si>
  <si>
    <t>N-1年利润增速</t>
  </si>
  <si>
    <t>N-2年利润增速</t>
  </si>
  <si>
    <t>N-3年利润增速</t>
  </si>
  <si>
    <t>N-4年利润增速</t>
  </si>
  <si>
    <t>N-5年利润增速</t>
  </si>
  <si>
    <t>20增速</t>
  </si>
  <si>
    <t>当期自由现金流估计值</t>
  </si>
  <si>
    <t>自由现金流估计增速</t>
  </si>
  <si>
    <t>1.港口货运的业务是重资产和毛利低，需要时刻注意风险；</t>
    <phoneticPr fontId="1" type="noConversion"/>
  </si>
  <si>
    <t>4.71亿</t>
  </si>
  <si>
    <r>
      <t>1.问：未来公司新能源板块主要围绕哪方面进行布局？关于光伏的布局侧重于哪方面？后续是否考虑收购光伏安装的建筑类企业？答：公司新能源板块未来主要致力于光伏、储能、氢能等新能源制造产业及应用项目的投资开发及运营，通过积极推动收购A股上市公司秀强股份控股权将快速向光伏产业链上游布局和延伸，</t>
    </r>
    <r>
      <rPr>
        <sz val="9"/>
        <color rgb="FFFF0000"/>
        <rFont val="宋体"/>
        <family val="3"/>
        <charset val="134"/>
        <scheme val="minor"/>
      </rPr>
      <t>未来公司在光伏业务主要聚焦于光伏电站运营，光伏玻璃加工及上游原料产业等方面，以上游原材料及后端运营</t>
    </r>
    <r>
      <rPr>
        <sz val="9"/>
        <color theme="1"/>
        <rFont val="宋体"/>
        <family val="2"/>
        <charset val="134"/>
        <scheme val="minor"/>
      </rPr>
      <t>为主要发展方向;2.预计中报业绩：净利润2.059亿元至2.639亿元，</t>
    </r>
    <r>
      <rPr>
        <b/>
        <sz val="9"/>
        <color rgb="FFFF0000"/>
        <rFont val="宋体"/>
        <family val="3"/>
        <charset val="134"/>
        <scheme val="minor"/>
      </rPr>
      <t>增长幅度为60.00%至105.00%</t>
    </r>
    <r>
      <rPr>
        <sz val="9"/>
        <rFont val="宋体"/>
        <family val="3"/>
        <charset val="134"/>
        <scheme val="minor"/>
      </rPr>
      <t>(并表兴华港口及安徽天杨能源科技发展有限公司)；3.公司正积极推动收购 A 股上市公司秀强股份，如成功收购，公司先进制造业务板块将</t>
    </r>
    <r>
      <rPr>
        <sz val="9"/>
        <color rgb="FFFF0000"/>
        <rFont val="宋体"/>
        <family val="3"/>
        <charset val="134"/>
        <scheme val="minor"/>
      </rPr>
      <t>延伸至玻璃深加工领域</t>
    </r>
    <r>
      <rPr>
        <sz val="9"/>
        <rFont val="宋体"/>
        <family val="3"/>
        <charset val="134"/>
        <scheme val="minor"/>
      </rPr>
      <t>，主要生产家电玻璃、汽车玻璃、新能源玻璃等；5.是</t>
    </r>
    <r>
      <rPr>
        <sz val="9"/>
        <color rgb="FFFF0000"/>
        <rFont val="宋体"/>
        <family val="3"/>
        <charset val="134"/>
        <scheme val="minor"/>
      </rPr>
      <t>通裕重工和天能重工</t>
    </r>
    <r>
      <rPr>
        <sz val="9"/>
        <rFont val="宋体"/>
        <family val="3"/>
        <charset val="134"/>
        <scheme val="minor"/>
      </rPr>
      <t>的控股股东，</t>
    </r>
    <phoneticPr fontId="1" type="noConversion"/>
  </si>
  <si>
    <t>销售毛利率%[20201231]</t>
  </si>
  <si>
    <t>销售净利率%[20201231]</t>
  </si>
  <si>
    <t>2.35亿</t>
  </si>
  <si>
    <t>4.46亿</t>
  </si>
  <si>
    <t>3.15亿</t>
  </si>
  <si>
    <t>2.08亿</t>
  </si>
  <si>
    <t>3.86亿</t>
  </si>
  <si>
    <t>1.15亿</t>
  </si>
  <si>
    <t>3.43亿</t>
  </si>
  <si>
    <t>代码</t>
  </si>
  <si>
    <t>流通股本</t>
  </si>
  <si>
    <t>净利润[20201231]</t>
  </si>
  <si>
    <t>投入资本回报率roic%[20201231]</t>
  </si>
  <si>
    <t>净资产收益率%[20201231]</t>
  </si>
  <si>
    <t>SZ000088</t>
  </si>
  <si>
    <t>盐 田 港</t>
  </si>
  <si>
    <t>6.80亿</t>
  </si>
  <si>
    <t>4.61亿</t>
  </si>
  <si>
    <t>5.93亿</t>
  </si>
  <si>
    <t>4.04亿</t>
  </si>
  <si>
    <t>3.92亿</t>
  </si>
  <si>
    <t>9.35亿</t>
  </si>
  <si>
    <t>9618.48万</t>
  </si>
  <si>
    <t>2.39亿</t>
  </si>
  <si>
    <t>6.13亿</t>
  </si>
  <si>
    <t>152.84亿</t>
  </si>
  <si>
    <t>26.86亿</t>
  </si>
  <si>
    <t>127.57亿</t>
  </si>
  <si>
    <t>20.74亿</t>
  </si>
  <si>
    <t>7.97亿</t>
  </si>
  <si>
    <t>13.99亿</t>
  </si>
  <si>
    <t>SH600179</t>
  </si>
  <si>
    <t>安通控股</t>
  </si>
  <si>
    <t>48.35亿</t>
  </si>
  <si>
    <t>49.97亿</t>
  </si>
  <si>
    <t>100.58亿</t>
  </si>
  <si>
    <t>29.33亿</t>
  </si>
  <si>
    <t>1.26亿</t>
  </si>
  <si>
    <t>2.50亿</t>
  </si>
  <si>
    <t>43.67亿</t>
  </si>
  <si>
    <t>6.70亿</t>
  </si>
  <si>
    <t>重庆港</t>
  </si>
  <si>
    <t>54.82亿</t>
  </si>
  <si>
    <t>6731.56万</t>
  </si>
  <si>
    <t>87.53亿</t>
  </si>
  <si>
    <t>144.68亿</t>
  </si>
  <si>
    <t>9.73亿</t>
  </si>
  <si>
    <t>138.52亿</t>
  </si>
  <si>
    <t>1.77亿</t>
  </si>
  <si>
    <t>23.44亿</t>
  </si>
  <si>
    <t>60.75亿</t>
  </si>
  <si>
    <t>20.89亿</t>
  </si>
  <si>
    <t>20.33亿</t>
  </si>
  <si>
    <t>2.02亿</t>
  </si>
  <si>
    <t>231.28亿</t>
  </si>
  <si>
    <t>43.32亿</t>
  </si>
  <si>
    <t>215.43亿</t>
  </si>
  <si>
    <t>34.97亿</t>
  </si>
  <si>
    <t>120.20亿</t>
  </si>
  <si>
    <t>11.35亿</t>
  </si>
  <si>
    <t>65.95亿</t>
  </si>
  <si>
    <t>10.38亿</t>
  </si>
  <si>
    <t>60.91亿</t>
  </si>
  <si>
    <t>21.41亿</t>
  </si>
  <si>
    <t>244.12亿</t>
  </si>
  <si>
    <t>36.09亿</t>
  </si>
  <si>
    <t>8.20亿</t>
  </si>
  <si>
    <t>216.10亿</t>
  </si>
  <si>
    <t>30.20亿</t>
  </si>
  <si>
    <t>123.48亿</t>
  </si>
  <si>
    <t>19.16亿</t>
  </si>
  <si>
    <t>121.25亿</t>
  </si>
  <si>
    <t>20.53亿</t>
  </si>
  <si>
    <t>3336.94亿</t>
  </si>
  <si>
    <t>38.62亿</t>
  </si>
  <si>
    <t>14.01亿</t>
  </si>
  <si>
    <t>SH603209</t>
  </si>
  <si>
    <t>兴通股份</t>
  </si>
  <si>
    <t>5.67亿</t>
  </si>
  <si>
    <t>2.69亿</t>
  </si>
  <si>
    <t>8681.35万</t>
  </si>
  <si>
    <t>4551.95万</t>
  </si>
  <si>
    <t>122.91亿</t>
  </si>
  <si>
    <t>24.04亿</t>
  </si>
  <si>
    <t>航运</t>
  </si>
  <si>
    <t xml:space="preserve">    名称</t>
  </si>
  <si>
    <t>LY营业总收入[20211231]</t>
  </si>
  <si>
    <t>净利润?</t>
  </si>
  <si>
    <t>权益乘数[20220630]</t>
  </si>
  <si>
    <t>总资产周转率[20220630]</t>
  </si>
  <si>
    <t>净利润／营业总收入%[20220630]</t>
  </si>
  <si>
    <t>营业总成本[20220630]</t>
  </si>
  <si>
    <t>营业成本[20220630]</t>
  </si>
  <si>
    <t>管理费用[20220630]</t>
  </si>
  <si>
    <t>研发费用总额[20220630]</t>
  </si>
  <si>
    <t>扣非净利润</t>
  </si>
  <si>
    <t>营业总收入[20201231]</t>
  </si>
  <si>
    <t>投入资本回报率roic%[20211231]</t>
  </si>
  <si>
    <t>净资产收益率%[20211231]</t>
  </si>
  <si>
    <t>细分行业</t>
  </si>
  <si>
    <t>单季营收增速</t>
  </si>
  <si>
    <t>单季利润增速</t>
  </si>
  <si>
    <t>港口</t>
  </si>
  <si>
    <t/>
  </si>
  <si>
    <t>1-1</t>
  </si>
  <si>
    <t>11.06亿</t>
  </si>
  <si>
    <t>8.21亿</t>
  </si>
  <si>
    <t>1.75亿</t>
  </si>
  <si>
    <t>账面净赚</t>
  </si>
  <si>
    <t>18.32亿</t>
  </si>
  <si>
    <t>30.62亿</t>
  </si>
  <si>
    <t>2.48亿</t>
  </si>
  <si>
    <t>3.51亿</t>
  </si>
  <si>
    <t>5.44亿</t>
  </si>
  <si>
    <t>扭亏</t>
  </si>
  <si>
    <t>12.69亿</t>
  </si>
  <si>
    <t>1.31亿</t>
  </si>
  <si>
    <t>3.36亿</t>
  </si>
  <si>
    <t>4.62亿</t>
  </si>
  <si>
    <t>1.03亿</t>
  </si>
  <si>
    <t>1-0</t>
  </si>
  <si>
    <t>1.19亿</t>
  </si>
  <si>
    <t>市销率</t>
    <phoneticPr fontId="1" type="noConversion"/>
  </si>
  <si>
    <t>过往营收增速均值</t>
    <phoneticPr fontId="1" type="noConversion"/>
  </si>
  <si>
    <t>6.56亿</t>
  </si>
  <si>
    <t>3.18亿</t>
  </si>
  <si>
    <t>涨幅</t>
  </si>
  <si>
    <t>成交量[20221212]</t>
  </si>
  <si>
    <t>营业收入(同比增长率) %[20220930]</t>
  </si>
  <si>
    <t>LY净利润[20211231]</t>
  </si>
  <si>
    <t>销售费用[20220930]</t>
  </si>
  <si>
    <t>其他收入[20220930]</t>
  </si>
  <si>
    <t>货币资金[20220930]</t>
  </si>
  <si>
    <t>应收票据[20220930]</t>
  </si>
  <si>
    <t>固定资产[20220930]</t>
  </si>
  <si>
    <t>在建工程[20220930]</t>
  </si>
  <si>
    <t>短期借款[20220930]</t>
  </si>
  <si>
    <t>应付票据[20220930]</t>
  </si>
  <si>
    <t>应付账款[20220930]</t>
  </si>
  <si>
    <t>预收款项[20220930]</t>
  </si>
  <si>
    <t>流动负债[20220930]</t>
  </si>
  <si>
    <t>长期借款[20220930]</t>
  </si>
  <si>
    <t>经营活动产生的现金流量净额[20220930]</t>
  </si>
  <si>
    <t>投资活动产生的现金流量净额[20220930]</t>
  </si>
  <si>
    <t>筹资活动产生的现金流量净额[20220930]</t>
  </si>
  <si>
    <t>CYLQ营业收入[20220630]</t>
  </si>
  <si>
    <t>LYCQ营业收入[20210930]</t>
  </si>
  <si>
    <t>LYLQ营业收入[20210630]</t>
  </si>
  <si>
    <t>CYLQ净利润[20220630]</t>
  </si>
  <si>
    <t>LYCQ净利润[20210930]</t>
  </si>
  <si>
    <t>LYLQ净利润[20210630]</t>
  </si>
  <si>
    <t>分红明细[20211231]</t>
  </si>
  <si>
    <t>销售毛利率%[20220630]</t>
  </si>
  <si>
    <t>销售净利率%[20220630]</t>
  </si>
  <si>
    <t>区间涨跌幅:前复权%[20221206-20221212]</t>
  </si>
  <si>
    <t>指数@区间涨跌幅:不复权%[20221101-20221212]</t>
  </si>
  <si>
    <t>指数@区间成交量[20221206-20221212]</t>
  </si>
  <si>
    <t>指数@区间成交量[20221101-20221212]</t>
  </si>
  <si>
    <t>6增速</t>
    <phoneticPr fontId="1" type="noConversion"/>
  </si>
  <si>
    <t>10增速</t>
    <phoneticPr fontId="1" type="noConversion"/>
  </si>
  <si>
    <t>20年自由现金流折现</t>
    <phoneticPr fontId="1" type="noConversion"/>
  </si>
  <si>
    <t>承担负债现期溢价</t>
    <phoneticPr fontId="1" type="noConversion"/>
  </si>
  <si>
    <t>清算价格</t>
    <phoneticPr fontId="1" type="noConversion"/>
  </si>
  <si>
    <t>原始顺序</t>
    <phoneticPr fontId="1" type="noConversion"/>
  </si>
  <si>
    <t>策略1利润单季最佳增速</t>
    <phoneticPr fontId="1" type="noConversion"/>
  </si>
  <si>
    <t>营收成长策略</t>
    <phoneticPr fontId="1" type="noConversion"/>
  </si>
  <si>
    <t>利润成长策略</t>
    <phoneticPr fontId="1" type="noConversion"/>
  </si>
  <si>
    <t>价格变动策略</t>
    <phoneticPr fontId="1" type="noConversion"/>
  </si>
  <si>
    <t>成交量综合策略</t>
    <phoneticPr fontId="1" type="noConversion"/>
  </si>
  <si>
    <t>量价齐升策略</t>
    <phoneticPr fontId="1" type="noConversion"/>
  </si>
  <si>
    <t>基本面排序</t>
    <phoneticPr fontId="1" type="noConversion"/>
  </si>
  <si>
    <t>综合策略</t>
    <phoneticPr fontId="1" type="noConversion"/>
  </si>
  <si>
    <t>机会区域号</t>
    <phoneticPr fontId="1" type="noConversion"/>
  </si>
  <si>
    <t>30日成交换手率</t>
    <phoneticPr fontId="1" type="noConversion"/>
  </si>
  <si>
    <t>昨日价格累计指数</t>
    <phoneticPr fontId="1" type="noConversion"/>
  </si>
  <si>
    <t>今日价格累积指数</t>
    <phoneticPr fontId="1" type="noConversion"/>
  </si>
  <si>
    <t>成交量异动策略</t>
    <phoneticPr fontId="1" type="noConversion"/>
  </si>
  <si>
    <t>价格箱体形态过滤</t>
    <phoneticPr fontId="1" type="noConversion"/>
  </si>
  <si>
    <t>价格右侧初期策略</t>
    <phoneticPr fontId="1" type="noConversion"/>
  </si>
  <si>
    <t>N日期</t>
    <phoneticPr fontId="1" type="noConversion"/>
  </si>
  <si>
    <t>N-4</t>
    <phoneticPr fontId="1" type="noConversion"/>
  </si>
  <si>
    <t>N-3</t>
    <phoneticPr fontId="1" type="noConversion"/>
  </si>
  <si>
    <t>N-2</t>
    <phoneticPr fontId="1" type="noConversion"/>
  </si>
  <si>
    <t>N-1</t>
    <phoneticPr fontId="1" type="noConversion"/>
  </si>
  <si>
    <t>N</t>
    <phoneticPr fontId="1" type="noConversion"/>
  </si>
  <si>
    <t>扣非对比净利润</t>
    <phoneticPr fontId="1" type="noConversion"/>
  </si>
  <si>
    <t>股利率</t>
    <phoneticPr fontId="1" type="noConversion"/>
  </si>
  <si>
    <t>过往利润增速均值</t>
    <phoneticPr fontId="1" type="noConversion"/>
  </si>
  <si>
    <t>折现率</t>
    <phoneticPr fontId="1" type="noConversion"/>
  </si>
  <si>
    <t>1年自由现金流折现</t>
    <phoneticPr fontId="1" type="noConversion"/>
  </si>
  <si>
    <t>1增速</t>
    <phoneticPr fontId="1" type="noConversion"/>
  </si>
  <si>
    <t>3年自由现金流折现</t>
    <phoneticPr fontId="1" type="noConversion"/>
  </si>
  <si>
    <t>3增速</t>
    <phoneticPr fontId="1" type="noConversion"/>
  </si>
  <si>
    <t>6年自由现金流折现</t>
    <phoneticPr fontId="1" type="noConversion"/>
  </si>
  <si>
    <t>10年自由现金流折现</t>
    <phoneticPr fontId="1" type="noConversion"/>
  </si>
  <si>
    <t>策略1营收单季最佳增速</t>
    <phoneticPr fontId="1" type="noConversion"/>
  </si>
  <si>
    <t>营收和利润加权</t>
    <phoneticPr fontId="1" type="noConversion"/>
  </si>
  <si>
    <t>5日成交换手率</t>
    <phoneticPr fontId="1" type="noConversion"/>
  </si>
  <si>
    <t>53.72亿</t>
  </si>
  <si>
    <t>2.76亿</t>
  </si>
  <si>
    <t>3.04亿</t>
  </si>
  <si>
    <t>10派1.2元(含税)</t>
  </si>
  <si>
    <t>不分配不转增</t>
  </si>
  <si>
    <t>7.45亿</t>
  </si>
  <si>
    <t>6.36亿</t>
  </si>
  <si>
    <t>1.50亿</t>
  </si>
  <si>
    <t>2.54亿</t>
  </si>
  <si>
    <t>1.53万</t>
  </si>
  <si>
    <t>1.18亿</t>
  </si>
  <si>
    <t>10.61亿</t>
  </si>
  <si>
    <t>2.86亿</t>
  </si>
  <si>
    <t>1.47亿</t>
  </si>
  <si>
    <t>10派1元(含税)</t>
  </si>
  <si>
    <t>2.14亿</t>
  </si>
  <si>
    <t>12.57亿</t>
  </si>
  <si>
    <t>11.34亿</t>
  </si>
  <si>
    <t>1.39亿</t>
  </si>
  <si>
    <t>10派0.2元(含税)</t>
  </si>
  <si>
    <t>2.41亿</t>
  </si>
  <si>
    <t>15.31亿</t>
  </si>
  <si>
    <t>1.88亿</t>
  </si>
  <si>
    <t>10派0.5元(含税)</t>
  </si>
  <si>
    <t>5.63亿</t>
  </si>
  <si>
    <t>17.68亿</t>
  </si>
  <si>
    <t>10派2元(含税)</t>
  </si>
  <si>
    <t>1.42亿</t>
  </si>
  <si>
    <t>2.88亿</t>
  </si>
  <si>
    <t>10派0.3元(含税)</t>
  </si>
  <si>
    <t>1.95亿</t>
  </si>
  <si>
    <t>1.08亿</t>
  </si>
  <si>
    <t>131.94亿</t>
  </si>
  <si>
    <t>SH601022</t>
  </si>
  <si>
    <t>宁波远洋</t>
  </si>
  <si>
    <t>38.14亿</t>
  </si>
  <si>
    <t>5.21亿</t>
  </si>
  <si>
    <t>11.77亿</t>
  </si>
  <si>
    <t>9.86亿</t>
  </si>
  <si>
    <t>30.32亿</t>
  </si>
  <si>
    <t>51.14亿</t>
  </si>
  <si>
    <t>46.89亿</t>
  </si>
  <si>
    <t>1.85亿</t>
  </si>
  <si>
    <t>1.62亿</t>
  </si>
  <si>
    <t>56.74亿</t>
  </si>
  <si>
    <t>9.12亿</t>
  </si>
  <si>
    <t>1.70亿</t>
  </si>
  <si>
    <t>28.89亿</t>
  </si>
  <si>
    <t>5.18亿</t>
  </si>
  <si>
    <t>3.67亿</t>
  </si>
  <si>
    <t>11.57亿</t>
  </si>
  <si>
    <t>10派1.5元(含税)</t>
  </si>
  <si>
    <t>11.72亿</t>
  </si>
  <si>
    <t>4.20亿</t>
  </si>
  <si>
    <t>102.13亿</t>
  </si>
  <si>
    <t>SH603162</t>
  </si>
  <si>
    <t>海通发展</t>
  </si>
  <si>
    <t>15.98亿</t>
  </si>
  <si>
    <t>5.17亿</t>
  </si>
  <si>
    <t>6602.04万</t>
  </si>
  <si>
    <t>1.(业绩快报)  营业收入： 375.60亿元 同比增长9.54%  净利润： 173.60亿元 同比增长18.26%.</t>
    <phoneticPr fontId="1" type="noConversion"/>
  </si>
  <si>
    <t>1.98亿</t>
  </si>
  <si>
    <t>-2-1</t>
  </si>
  <si>
    <r>
      <t>1.至 2022 年 6 月 30 日，公司在</t>
    </r>
    <r>
      <rPr>
        <b/>
        <sz val="9"/>
        <color rgb="FFFF0000"/>
        <rFont val="宋体"/>
        <family val="3"/>
        <charset val="134"/>
        <scheme val="minor"/>
      </rPr>
      <t>全国</t>
    </r>
    <r>
      <rPr>
        <sz val="9"/>
        <color theme="1"/>
        <rFont val="宋体"/>
        <family val="2"/>
        <charset val="134"/>
        <scheme val="minor"/>
      </rPr>
      <t>设立七大片区，设立海运网点 96 个，涉及业务口岸 135 个，设立铁路网点 15 个，涉及业务铁路站点 749 个，海铁线路超 500 条，铁路服务覆盖 32 个省级行政区 267 个城市。公司经营管理的在航船舶共有 84 艘，其中在航的自有船舶 49 艘，公司自有船舶的运力占公司总运力比重的 74.35%。根据 Alphaliner 统计，截至 2022 年 6 月 30 日，公司在</t>
    </r>
    <r>
      <rPr>
        <sz val="9"/>
        <color rgb="FFFF0000"/>
        <rFont val="宋体"/>
        <family val="3"/>
        <charset val="134"/>
        <scheme val="minor"/>
      </rPr>
      <t>全球集装箱船舶企业中综合运力排名第 21</t>
    </r>
    <r>
      <rPr>
        <sz val="9"/>
        <color theme="1"/>
        <rFont val="宋体"/>
        <family val="2"/>
        <charset val="134"/>
        <scheme val="minor"/>
      </rPr>
      <t xml:space="preserve"> 位，</t>
    </r>
    <r>
      <rPr>
        <sz val="9"/>
        <color rgb="FFFF0000"/>
        <rFont val="宋体"/>
        <family val="3"/>
        <charset val="134"/>
        <scheme val="minor"/>
      </rPr>
      <t>位居国内内贸集装箱物流企业前三甲</t>
    </r>
    <r>
      <rPr>
        <sz val="9"/>
        <color theme="1"/>
        <rFont val="宋体"/>
        <family val="2"/>
        <charset val="134"/>
        <scheme val="minor"/>
      </rPr>
      <t>。基于完备的多式联运物流网络与丰富的装备资源，现已形成多层次，广覆盖的物流网络资源。2.</t>
    </r>
    <r>
      <rPr>
        <b/>
        <sz val="9"/>
        <color rgb="FFFF0000"/>
        <rFont val="宋体"/>
        <family val="3"/>
        <charset val="134"/>
        <scheme val="minor"/>
      </rPr>
      <t>内贸和外贸比大概在6:1</t>
    </r>
    <r>
      <rPr>
        <sz val="9"/>
        <color theme="1"/>
        <rFont val="宋体"/>
        <family val="2"/>
        <charset val="134"/>
        <scheme val="minor"/>
      </rPr>
      <t>；</t>
    </r>
    <r>
      <rPr>
        <sz val="9"/>
        <color theme="1"/>
        <rFont val="宋体"/>
        <family val="3"/>
        <charset val="134"/>
        <scheme val="minor"/>
      </rPr>
      <t>3.最近的</t>
    </r>
    <r>
      <rPr>
        <sz val="9"/>
        <color rgb="FFFF0000"/>
        <rFont val="宋体"/>
        <family val="3"/>
        <charset val="134"/>
        <scheme val="minor"/>
      </rPr>
      <t>毛利33%，净利24%，ROE25%，扣除外贸大概年利润20亿。</t>
    </r>
    <r>
      <rPr>
        <sz val="9"/>
        <color theme="1"/>
        <rFont val="宋体"/>
        <family val="2"/>
        <charset val="134"/>
        <scheme val="minor"/>
      </rPr>
      <t xml:space="preserve">
</t>
    </r>
    <phoneticPr fontId="1" type="noConversion"/>
  </si>
  <si>
    <t>1.北方地区以玉米、大米、大豆等粮食类大宗商品为主，呈现“北粮南运”的粮食物流态势。南方地区如珠江三角洲地区以家用电器、纺织服装、轻工食品、建材、造纸、中药等产业为主，西部地区以煤炭、矿石、钢材等矿产资源类商品为主，东部地区以纺织、化工、机械仪器等轻工业制品为主.2.近年来，在玉米、木材、煤炭等主要货物高增速的带动下，公司运量及收入持续保持增长.运输货运占比：纸8.55%，钢铁7%，食品5.65%，塑料粒子5.28%，陶瓷制品5.09%，木材4.49%，玉米3.95%，化学制品3.89%，矿石3.81%；</t>
    <phoneticPr fontId="1" type="noConversion"/>
  </si>
  <si>
    <r>
      <t>1.《自由贸易试验区外商投资准入特别管理措施（负面清单）（2020 年版）》明确外商不得经营或租用中国籍船舶或者舱位等方式变相经营国内水路
运输业务及其辅助业务；在未经中国政府批准的情况下，水路运输经营者不得使用外国籍船舶经营国内水路运输业务，上述政策对公司所处的内贸集装箱物流行业准入形成有力壁垒。（</t>
    </r>
    <r>
      <rPr>
        <sz val="9"/>
        <color rgb="FFFF0000"/>
        <rFont val="宋体"/>
        <family val="3"/>
        <charset val="134"/>
        <scheme val="minor"/>
      </rPr>
      <t>如果放开那么将会引来更多竞争者</t>
    </r>
    <r>
      <rPr>
        <sz val="9"/>
        <color theme="1"/>
        <rFont val="宋体"/>
        <family val="2"/>
        <charset val="134"/>
        <scheme val="minor"/>
      </rPr>
      <t>）。</t>
    </r>
    <phoneticPr fontId="1" type="noConversion"/>
  </si>
  <si>
    <t>2.43亿</t>
  </si>
  <si>
    <t>4.13亿</t>
  </si>
  <si>
    <t>2.06亿</t>
  </si>
  <si>
    <t>4.65亿</t>
  </si>
  <si>
    <t>14.34亿</t>
  </si>
  <si>
    <r>
      <t>1.招航物流的合伙人由招商局港口集团股份有限公司、中航信托股份有限公司、泉州市交发置业投资有限公司、辽宁港口集团有限公司、泉州市产业投资发展有限公司等组成，是央企与地方国企的强强联合，招航物流作为产业投资人投资公司，将大力促进公司创新发展与转型升级。2.</t>
    </r>
    <r>
      <rPr>
        <sz val="9"/>
        <color rgb="FFFF0000"/>
        <rFont val="宋体"/>
        <family val="3"/>
        <charset val="134"/>
        <scheme val="minor"/>
      </rPr>
      <t>3 家公司内贸集装箱运力占市场比例超 80%</t>
    </r>
    <r>
      <rPr>
        <sz val="9"/>
        <color theme="1"/>
        <rFont val="宋体"/>
        <family val="2"/>
        <charset val="134"/>
        <scheme val="minor"/>
      </rPr>
      <t>。总体来看，以海上航运为代表的内贸集装箱物流行业集中度较高。</t>
    </r>
    <r>
      <rPr>
        <sz val="9"/>
        <color theme="1"/>
        <rFont val="宋体"/>
        <family val="3"/>
        <charset val="134"/>
        <scheme val="minor"/>
      </rPr>
      <t>3.2022 年上半年，集运运价走势在年初供需错配影响之下延续了 2021 年末旺季行情。（这个时间段受益于俄乌，疫情，所以</t>
    </r>
    <r>
      <rPr>
        <b/>
        <sz val="9"/>
        <color rgb="FFFF0000"/>
        <rFont val="宋体"/>
        <family val="3"/>
        <charset val="134"/>
        <scheme val="minor"/>
      </rPr>
      <t>2023年要扣除这个因素</t>
    </r>
    <r>
      <rPr>
        <sz val="9"/>
        <color theme="1"/>
        <rFont val="宋体"/>
        <family val="3"/>
        <charset val="134"/>
        <scheme val="minor"/>
      </rPr>
      <t>）4.根据 PDCI 显示，2021 年，泛亚内贸集装箱运价综合指数均值约为 1,468.64 点，同比上涨</t>
    </r>
    <r>
      <rPr>
        <b/>
        <sz val="9"/>
        <color rgb="FFFF0000"/>
        <rFont val="宋体"/>
        <family val="3"/>
        <charset val="134"/>
        <scheme val="minor"/>
      </rPr>
      <t>21.96%</t>
    </r>
    <r>
      <rPr>
        <sz val="9"/>
        <color theme="1"/>
        <rFont val="宋体"/>
        <family val="3"/>
        <charset val="134"/>
        <scheme val="minor"/>
      </rPr>
      <t>，运价指数亦创历史新高。5.从内贸集运市场来看，据不完全统计，2023 年新增交付运力将达到 8 万标箱左右，</t>
    </r>
    <r>
      <rPr>
        <sz val="9"/>
        <color rgb="FFFF0000"/>
        <rFont val="宋体"/>
        <family val="3"/>
        <charset val="134"/>
        <scheme val="minor"/>
      </rPr>
      <t>运力增速预计达到 8%以上，以及外贸运力回流内
贸，将可能导致内贸物流行业供需关系不匹配，供需矛盾的扩大</t>
    </r>
    <r>
      <rPr>
        <sz val="9"/>
        <color theme="1"/>
        <rFont val="宋体"/>
        <family val="3"/>
        <charset val="134"/>
        <scheme val="minor"/>
      </rPr>
      <t>，将可能给内贸集运运价带来一定的负面冲击。</t>
    </r>
    <phoneticPr fontId="1" type="noConversion"/>
  </si>
  <si>
    <t>479.44万</t>
  </si>
  <si>
    <t>72.59亿</t>
  </si>
  <si>
    <t>150.36亿</t>
  </si>
  <si>
    <t>8.93亿</t>
  </si>
  <si>
    <t>11.08亿</t>
  </si>
  <si>
    <t>1.86亿</t>
  </si>
  <si>
    <t>1.44亿</t>
  </si>
  <si>
    <t>163.08万</t>
  </si>
  <si>
    <t>3236.19万</t>
  </si>
  <si>
    <t>260862880亿</t>
  </si>
  <si>
    <t>5.25万</t>
  </si>
  <si>
    <t>256482040亿</t>
  </si>
  <si>
    <t>35.43亿</t>
  </si>
  <si>
    <t>73257197亿</t>
  </si>
  <si>
    <t>14.66万</t>
  </si>
  <si>
    <t>3858071600亿</t>
  </si>
  <si>
    <t>29.80亿</t>
  </si>
  <si>
    <t>5303.54万</t>
  </si>
  <si>
    <t>900.00万</t>
  </si>
  <si>
    <t>6.79亿</t>
  </si>
  <si>
    <t>6.11万</t>
  </si>
  <si>
    <t>25.94亿</t>
  </si>
  <si>
    <t>39.55亿</t>
  </si>
  <si>
    <t>3054.57万</t>
  </si>
  <si>
    <t>-2.74亿</t>
  </si>
  <si>
    <t>7305.74万</t>
  </si>
  <si>
    <t>7.98亿</t>
  </si>
  <si>
    <t>4.72亿</t>
  </si>
  <si>
    <t>1.93亿</t>
  </si>
  <si>
    <t>1.91亿</t>
  </si>
  <si>
    <t>10派1.82元(含税)</t>
  </si>
  <si>
    <t>2756.66万</t>
  </si>
  <si>
    <t>1.92亿</t>
  </si>
  <si>
    <t>-1-1</t>
  </si>
  <si>
    <t>226.69万</t>
  </si>
  <si>
    <t>111.58亿</t>
  </si>
  <si>
    <t>95.40亿</t>
  </si>
  <si>
    <t>13.38亿</t>
  </si>
  <si>
    <t>54.56亿</t>
  </si>
  <si>
    <t>2.77亿</t>
  </si>
  <si>
    <t>12.11亿</t>
  </si>
  <si>
    <t>10.01亿</t>
  </si>
  <si>
    <t>3936.46万</t>
  </si>
  <si>
    <t>8151.51万</t>
  </si>
  <si>
    <t>27175668亿</t>
  </si>
  <si>
    <t>230.33万</t>
  </si>
  <si>
    <t>52318028亿</t>
  </si>
  <si>
    <t>17.51亿</t>
  </si>
  <si>
    <t>1307093700亿</t>
  </si>
  <si>
    <t>3.75亿</t>
  </si>
  <si>
    <t>5767647100亿</t>
  </si>
  <si>
    <t>2.32亿</t>
  </si>
  <si>
    <t>5.16亿</t>
  </si>
  <si>
    <t>3274.28万</t>
  </si>
  <si>
    <t>44.35亿</t>
  </si>
  <si>
    <t>3080.11万</t>
  </si>
  <si>
    <t>-4.17亿</t>
  </si>
  <si>
    <t>52.50亿</t>
  </si>
  <si>
    <t>65.52亿</t>
  </si>
  <si>
    <t>3.07亿</t>
  </si>
  <si>
    <t>4.64亿</t>
  </si>
  <si>
    <t>6091.32万</t>
  </si>
  <si>
    <t>10派0.12元(含税)</t>
  </si>
  <si>
    <t>1520.09万</t>
  </si>
  <si>
    <t>-1-0</t>
  </si>
  <si>
    <t>凤凰航运</t>
  </si>
  <si>
    <t>4036.78万</t>
  </si>
  <si>
    <t>2.15亿</t>
  </si>
  <si>
    <t>10.12亿</t>
  </si>
  <si>
    <t>-870.22万</t>
  </si>
  <si>
    <t>91.86万</t>
  </si>
  <si>
    <t>716.41万</t>
  </si>
  <si>
    <t>-7606432亿</t>
  </si>
  <si>
    <t>9497.81万</t>
  </si>
  <si>
    <t>78835298亿</t>
  </si>
  <si>
    <t>2261.39万</t>
  </si>
  <si>
    <t>256522620亿</t>
  </si>
  <si>
    <t>2000.00万</t>
  </si>
  <si>
    <t>5152.56万</t>
  </si>
  <si>
    <t>1.78亿</t>
  </si>
  <si>
    <t>855.21万</t>
  </si>
  <si>
    <t>-50.00万</t>
  </si>
  <si>
    <t>-322.48万</t>
  </si>
  <si>
    <t>10.42亿</t>
  </si>
  <si>
    <t>3623.21万</t>
  </si>
  <si>
    <t>2.30亿</t>
  </si>
  <si>
    <t>-846.40万</t>
  </si>
  <si>
    <t>22.29亿</t>
  </si>
  <si>
    <t>亏损</t>
  </si>
  <si>
    <t>643.53万</t>
  </si>
  <si>
    <t>175.00亿</t>
  </si>
  <si>
    <t>162.44亿</t>
  </si>
  <si>
    <t>15.40亿</t>
  </si>
  <si>
    <t>69.50亿</t>
  </si>
  <si>
    <t>11.27亿</t>
  </si>
  <si>
    <t>12.76亿</t>
  </si>
  <si>
    <t>211342340亿</t>
  </si>
  <si>
    <t>28.73万</t>
  </si>
  <si>
    <t>176151860亿</t>
  </si>
  <si>
    <t>23.80亿</t>
  </si>
  <si>
    <t>804960760亿</t>
  </si>
  <si>
    <t>6112.62万</t>
  </si>
  <si>
    <t>3890799600亿</t>
  </si>
  <si>
    <t>49.71亿</t>
  </si>
  <si>
    <t>19.24亿</t>
  </si>
  <si>
    <t>19.08亿</t>
  </si>
  <si>
    <t>64.00亿</t>
  </si>
  <si>
    <t>71.74亿</t>
  </si>
  <si>
    <t>3.81亿</t>
  </si>
  <si>
    <t>-1.04亿</t>
  </si>
  <si>
    <t>-3181.61万</t>
  </si>
  <si>
    <t>63.79亿</t>
  </si>
  <si>
    <t>59.08亿</t>
  </si>
  <si>
    <t>10.20亿</t>
  </si>
  <si>
    <t>15.14亿</t>
  </si>
  <si>
    <t>10派1.952779元(含税)</t>
  </si>
  <si>
    <t>4100.80万</t>
  </si>
  <si>
    <t>2.53亿</t>
  </si>
  <si>
    <t>294.45万</t>
  </si>
  <si>
    <t>70.65亿</t>
  </si>
  <si>
    <t>63.87亿</t>
  </si>
  <si>
    <t>63.32亿</t>
  </si>
  <si>
    <t>229.27亿</t>
  </si>
  <si>
    <t>62.92亿</t>
  </si>
  <si>
    <t>61.71亿</t>
  </si>
  <si>
    <t>710.31万</t>
  </si>
  <si>
    <t>6319.89万</t>
  </si>
  <si>
    <t>29509015亿</t>
  </si>
  <si>
    <t>38.16万</t>
  </si>
  <si>
    <t>22361626亿</t>
  </si>
  <si>
    <t>1370483600亿</t>
  </si>
  <si>
    <t>567.44万</t>
  </si>
  <si>
    <t>7539202400亿</t>
  </si>
  <si>
    <t>10.47亿</t>
  </si>
  <si>
    <t>3.78亿</t>
  </si>
  <si>
    <t>14.11亿</t>
  </si>
  <si>
    <t>291.09万</t>
  </si>
  <si>
    <t>69.07亿</t>
  </si>
  <si>
    <t>9.72亿</t>
  </si>
  <si>
    <t>-7.40亿</t>
  </si>
  <si>
    <t>1122.81万</t>
  </si>
  <si>
    <t>9.33亿</t>
  </si>
  <si>
    <t>219.96亿</t>
  </si>
  <si>
    <t>236.06亿</t>
  </si>
  <si>
    <t>2.46亿</t>
  </si>
  <si>
    <t>60.36亿</t>
  </si>
  <si>
    <t>7682.73万</t>
  </si>
  <si>
    <t>1830.32万</t>
  </si>
  <si>
    <t>1.32亿</t>
  </si>
  <si>
    <t>53.09万</t>
  </si>
  <si>
    <t>25.41亿</t>
  </si>
  <si>
    <t>17.89亿</t>
  </si>
  <si>
    <t>12.61亿</t>
  </si>
  <si>
    <t>1.82亿</t>
  </si>
  <si>
    <t>3.10亿</t>
  </si>
  <si>
    <t>201.40万</t>
  </si>
  <si>
    <t>2253.31万</t>
  </si>
  <si>
    <t>1390183亿</t>
  </si>
  <si>
    <t>9.52万</t>
  </si>
  <si>
    <t>46331997亿</t>
  </si>
  <si>
    <t>113157733亿</t>
  </si>
  <si>
    <t>822018810亿</t>
  </si>
  <si>
    <t>3.38亿</t>
  </si>
  <si>
    <t>9400.74万</t>
  </si>
  <si>
    <t>-3841.67万</t>
  </si>
  <si>
    <t>-1.58亿</t>
  </si>
  <si>
    <t>8.68亿</t>
  </si>
  <si>
    <t>4542.93万</t>
  </si>
  <si>
    <t>370.60万</t>
  </si>
  <si>
    <t>4183.19万</t>
  </si>
  <si>
    <t>-3-0</t>
  </si>
  <si>
    <t>622.94万</t>
  </si>
  <si>
    <t>729.87亿</t>
  </si>
  <si>
    <t>1272.03亿</t>
  </si>
  <si>
    <t>38.67亿</t>
  </si>
  <si>
    <t>157.50亿</t>
  </si>
  <si>
    <t>35.72亿</t>
  </si>
  <si>
    <t>32.46亿</t>
  </si>
  <si>
    <t>21.67亿</t>
  </si>
  <si>
    <t>1324200290亿</t>
  </si>
  <si>
    <t>626.99万</t>
  </si>
  <si>
    <t>812854500亿</t>
  </si>
  <si>
    <t>160.26亿</t>
  </si>
  <si>
    <t>1671218000亿</t>
  </si>
  <si>
    <t>2.27亿</t>
  </si>
  <si>
    <t>23513259000亿</t>
  </si>
  <si>
    <t>30.36亿</t>
  </si>
  <si>
    <t>146.03亿</t>
  </si>
  <si>
    <t>6811.45万</t>
  </si>
  <si>
    <t>5.74亿</t>
  </si>
  <si>
    <t>3017.15万</t>
  </si>
  <si>
    <t>264.82亿</t>
  </si>
  <si>
    <t>192.41亿</t>
  </si>
  <si>
    <t>14.24亿</t>
  </si>
  <si>
    <t>4.89亿</t>
  </si>
  <si>
    <t>-19.61亿</t>
  </si>
  <si>
    <t>162.30亿</t>
  </si>
  <si>
    <t>36.94亿</t>
  </si>
  <si>
    <t>8.50亿</t>
  </si>
  <si>
    <t>10派5.8元(含税)</t>
  </si>
  <si>
    <t>3818.31万</t>
  </si>
  <si>
    <t>1.57亿</t>
  </si>
  <si>
    <t>-2-0</t>
  </si>
  <si>
    <t>195.85万</t>
  </si>
  <si>
    <t>38.43亿</t>
  </si>
  <si>
    <t>2.24亿</t>
  </si>
  <si>
    <t>9.38亿</t>
  </si>
  <si>
    <t>1.73亿</t>
  </si>
  <si>
    <t>3748.56万</t>
  </si>
  <si>
    <t>4764949亿</t>
  </si>
  <si>
    <t>12.31万</t>
  </si>
  <si>
    <t>32056546亿</t>
  </si>
  <si>
    <t>4.68亿</t>
  </si>
  <si>
    <t>132501151亿</t>
  </si>
  <si>
    <t>2714.77万</t>
  </si>
  <si>
    <t>757674760亿</t>
  </si>
  <si>
    <t>1.28亿</t>
  </si>
  <si>
    <t>5828.14万</t>
  </si>
  <si>
    <t>2183.32万</t>
  </si>
  <si>
    <t>9331.94万</t>
  </si>
  <si>
    <t>-5910.83万</t>
  </si>
  <si>
    <t>3224.34万</t>
  </si>
  <si>
    <t>10派1.02元(含税)</t>
  </si>
  <si>
    <t>1227.05万</t>
  </si>
  <si>
    <t>1483.19万</t>
  </si>
  <si>
    <t>15.05亿</t>
  </si>
  <si>
    <t>65.84亿</t>
  </si>
  <si>
    <t>13.89亿</t>
  </si>
  <si>
    <t>39.32亿</t>
  </si>
  <si>
    <t>4.34亿</t>
  </si>
  <si>
    <t>8.00亿</t>
  </si>
  <si>
    <t>295.64万</t>
  </si>
  <si>
    <t>2024529亿</t>
  </si>
  <si>
    <t>29.11万</t>
  </si>
  <si>
    <t>168958160亿</t>
  </si>
  <si>
    <t>19.03亿</t>
  </si>
  <si>
    <t>176294440亿</t>
  </si>
  <si>
    <t>2431009500亿</t>
  </si>
  <si>
    <t>483.83万</t>
  </si>
  <si>
    <t>2.05亿</t>
  </si>
  <si>
    <t>8.22亿</t>
  </si>
  <si>
    <t>5.34亿</t>
  </si>
  <si>
    <t>-1.15亿</t>
  </si>
  <si>
    <t>-1.66亿</t>
  </si>
  <si>
    <t>29.63亿</t>
  </si>
  <si>
    <t>1.52亿</t>
  </si>
  <si>
    <t>11.87亿</t>
  </si>
  <si>
    <t>1.58亿</t>
  </si>
  <si>
    <t>10派1.16元(含税)</t>
  </si>
  <si>
    <t>6280.58万</t>
  </si>
  <si>
    <t>2263.70万</t>
  </si>
  <si>
    <t>238.82亿</t>
  </si>
  <si>
    <t>156.58亿</t>
  </si>
  <si>
    <t>19.86亿</t>
  </si>
  <si>
    <t>375.52亿</t>
  </si>
  <si>
    <t>132.03亿</t>
  </si>
  <si>
    <t>13687966亿</t>
  </si>
  <si>
    <t>343.29万</t>
  </si>
  <si>
    <t>179732060亿</t>
  </si>
  <si>
    <t>16.49亿</t>
  </si>
  <si>
    <t>656127520亿</t>
  </si>
  <si>
    <t>3259074500亿</t>
  </si>
  <si>
    <t>52.55亿</t>
  </si>
  <si>
    <t>7.71亿</t>
  </si>
  <si>
    <t>1512.97万</t>
  </si>
  <si>
    <t>-5.66亿</t>
  </si>
  <si>
    <t>4.16亿</t>
  </si>
  <si>
    <t>84.59亿</t>
  </si>
  <si>
    <t>7.08亿</t>
  </si>
  <si>
    <t>81.57亿</t>
  </si>
  <si>
    <t>76.49亿</t>
  </si>
  <si>
    <t>6.41亿</t>
  </si>
  <si>
    <t>35.51亿</t>
  </si>
  <si>
    <t>10派0.65元(含税)</t>
  </si>
  <si>
    <t>8.08亿</t>
  </si>
  <si>
    <t>2258.35万</t>
  </si>
  <si>
    <t>673.89亿</t>
  </si>
  <si>
    <t>1408.22亿</t>
  </si>
  <si>
    <t>89.51亿</t>
  </si>
  <si>
    <t>3445.00亿</t>
  </si>
  <si>
    <t>119.44亿</t>
  </si>
  <si>
    <t>1656691300亿</t>
  </si>
  <si>
    <t>94.45万</t>
  </si>
  <si>
    <t>3291420600亿</t>
  </si>
  <si>
    <t>364.44亿</t>
  </si>
  <si>
    <t>3682195700亿</t>
  </si>
  <si>
    <t>53977608000亿</t>
  </si>
  <si>
    <t>83.83亿</t>
  </si>
  <si>
    <t>59.50亿</t>
  </si>
  <si>
    <t>2.70亿</t>
  </si>
  <si>
    <t>21.77亿</t>
  </si>
  <si>
    <t>-18.85亿</t>
  </si>
  <si>
    <t>372.80亿</t>
  </si>
  <si>
    <t>172.24亿</t>
  </si>
  <si>
    <t>786.02亿</t>
  </si>
  <si>
    <t>18.45亿</t>
  </si>
  <si>
    <t>10派1.72元(含税)</t>
  </si>
  <si>
    <t>8.33亿</t>
  </si>
  <si>
    <t>1209.62万</t>
  </si>
  <si>
    <t>349.80亿</t>
  </si>
  <si>
    <t>386.20亿</t>
  </si>
  <si>
    <t>58.38亿</t>
  </si>
  <si>
    <t>1171.76亿</t>
  </si>
  <si>
    <t>45.22亿</t>
  </si>
  <si>
    <t>273244280亿</t>
  </si>
  <si>
    <t>1235525700亿</t>
  </si>
  <si>
    <t>36.76亿</t>
  </si>
  <si>
    <t>1559391400亿</t>
  </si>
  <si>
    <t>8463709900亿</t>
  </si>
  <si>
    <t>38.10亿</t>
  </si>
  <si>
    <t>14.26亿</t>
  </si>
  <si>
    <t>-22.29亿</t>
  </si>
  <si>
    <t>-11.82亿</t>
  </si>
  <si>
    <t>186.58亿</t>
  </si>
  <si>
    <t>14.57亿</t>
  </si>
  <si>
    <t>220.91亿</t>
  </si>
  <si>
    <t>319.78亿</t>
  </si>
  <si>
    <t>33.51亿</t>
  </si>
  <si>
    <t>10派3.5元(含税)</t>
  </si>
  <si>
    <t>7290.86万</t>
  </si>
  <si>
    <t>6.75亿</t>
  </si>
  <si>
    <t>1796.92万</t>
  </si>
  <si>
    <t>37.04亿</t>
  </si>
  <si>
    <t>16.16亿</t>
  </si>
  <si>
    <t>400.94亿</t>
  </si>
  <si>
    <t>2.94亿</t>
  </si>
  <si>
    <t>22906143亿</t>
  </si>
  <si>
    <t>354.72万</t>
  </si>
  <si>
    <t>21393871亿</t>
  </si>
  <si>
    <t>469746510亿</t>
  </si>
  <si>
    <t>7110944400亿</t>
  </si>
  <si>
    <t>6606.70万</t>
  </si>
  <si>
    <t>151.45万</t>
  </si>
  <si>
    <t>7435.91万</t>
  </si>
  <si>
    <t>-7.48亿</t>
  </si>
  <si>
    <t>-1.39亿</t>
  </si>
  <si>
    <t>91.76亿</t>
  </si>
  <si>
    <t>23.67亿</t>
  </si>
  <si>
    <t>73.44亿</t>
  </si>
  <si>
    <t>107.63亿</t>
  </si>
  <si>
    <t>5.68亿</t>
  </si>
  <si>
    <t>2.04亿</t>
  </si>
  <si>
    <t>6-1</t>
  </si>
  <si>
    <t>ST锦港</t>
  </si>
  <si>
    <t>1960.50万</t>
  </si>
  <si>
    <t>103.66亿</t>
  </si>
  <si>
    <t>68.67亿</t>
  </si>
  <si>
    <t>5.00亿</t>
  </si>
  <si>
    <t>6.37亿</t>
  </si>
  <si>
    <t>1887.50万</t>
  </si>
  <si>
    <t>4.87亿</t>
  </si>
  <si>
    <t>3.06亿</t>
  </si>
  <si>
    <t>642.22万</t>
  </si>
  <si>
    <t>3559.51万</t>
  </si>
  <si>
    <t>11650979亿</t>
  </si>
  <si>
    <t>11.13万</t>
  </si>
  <si>
    <t>4280838亿</t>
  </si>
  <si>
    <t>15.00亿</t>
  </si>
  <si>
    <t>619.56万</t>
  </si>
  <si>
    <t>3035219900亿</t>
  </si>
  <si>
    <t>10.21亿</t>
  </si>
  <si>
    <t>27.70亿</t>
  </si>
  <si>
    <t>9.39亿</t>
  </si>
  <si>
    <t>7.69亿</t>
  </si>
  <si>
    <t>158.03万</t>
  </si>
  <si>
    <t>74.18亿</t>
  </si>
  <si>
    <t>15.85亿</t>
  </si>
  <si>
    <t>8134.87万</t>
  </si>
  <si>
    <t>2318.17万</t>
  </si>
  <si>
    <t>-6460.83万</t>
  </si>
  <si>
    <t>29.58亿</t>
  </si>
  <si>
    <t>28.16亿</t>
  </si>
  <si>
    <t>8208.24万</t>
  </si>
  <si>
    <t>4439.75万</t>
  </si>
  <si>
    <t>018875000</t>
  </si>
  <si>
    <t>056625000</t>
  </si>
  <si>
    <t>0113250000</t>
  </si>
  <si>
    <t>0188750000</t>
  </si>
  <si>
    <t>0377500000</t>
  </si>
  <si>
    <t>2-0</t>
  </si>
  <si>
    <t>256.81万</t>
  </si>
  <si>
    <t>55.20亿</t>
  </si>
  <si>
    <t>78.91亿</t>
  </si>
  <si>
    <t>13.79亿</t>
  </si>
  <si>
    <t>24.50亿</t>
  </si>
  <si>
    <t>-1.53亿</t>
  </si>
  <si>
    <t>13.60亿</t>
  </si>
  <si>
    <t>12.63亿</t>
  </si>
  <si>
    <t>471.03万</t>
  </si>
  <si>
    <t>5917.45万</t>
  </si>
  <si>
    <t>7519055亿</t>
  </si>
  <si>
    <t>54.00万</t>
  </si>
  <si>
    <t>-283379亿</t>
  </si>
  <si>
    <t>21.14亿</t>
  </si>
  <si>
    <t>291984380亿</t>
  </si>
  <si>
    <t>3696130500亿</t>
  </si>
  <si>
    <t>2.78亿</t>
  </si>
  <si>
    <t>2.51亿</t>
  </si>
  <si>
    <t>293.59万</t>
  </si>
  <si>
    <t>13.58亿</t>
  </si>
  <si>
    <t>32.61亿</t>
  </si>
  <si>
    <t>-2.87亿</t>
  </si>
  <si>
    <t>-8797.81万</t>
  </si>
  <si>
    <t>-7373.21万</t>
  </si>
  <si>
    <t>49.61亿</t>
  </si>
  <si>
    <t>49.49亿</t>
  </si>
  <si>
    <t>6.27亿</t>
  </si>
  <si>
    <t>-2909.98万</t>
  </si>
  <si>
    <t>10派0.45元(含税)</t>
  </si>
  <si>
    <t>1297.61万</t>
  </si>
  <si>
    <t>1719.94万</t>
  </si>
  <si>
    <t>160.07亿</t>
  </si>
  <si>
    <t>119.71亿</t>
  </si>
  <si>
    <t>34.30亿</t>
  </si>
  <si>
    <t>78.41亿</t>
  </si>
  <si>
    <t>30.82亿</t>
  </si>
  <si>
    <t>27.36亿</t>
  </si>
  <si>
    <t>1574.28万</t>
  </si>
  <si>
    <t>2.13亿</t>
  </si>
  <si>
    <t>32077337亿</t>
  </si>
  <si>
    <t>173.26万</t>
  </si>
  <si>
    <t>306993410亿</t>
  </si>
  <si>
    <t>610785960亿</t>
  </si>
  <si>
    <t>660.54万</t>
  </si>
  <si>
    <t>5006598300亿</t>
  </si>
  <si>
    <t>3160.11万</t>
  </si>
  <si>
    <t>21.89亿</t>
  </si>
  <si>
    <t>12.70万</t>
  </si>
  <si>
    <t>56.31亿</t>
  </si>
  <si>
    <t>55.23亿</t>
  </si>
  <si>
    <t>6.66亿</t>
  </si>
  <si>
    <t>5974.94万</t>
  </si>
  <si>
    <t>-8.33亿</t>
  </si>
  <si>
    <t>122.07亿</t>
  </si>
  <si>
    <t>120.07亿</t>
  </si>
  <si>
    <t>21.52亿</t>
  </si>
  <si>
    <t>10.64亿</t>
  </si>
  <si>
    <t>4227.10万</t>
  </si>
  <si>
    <t>10派2.48元(含税)</t>
  </si>
  <si>
    <t>11.89亿</t>
  </si>
  <si>
    <t>1407.10万</t>
  </si>
  <si>
    <t>95.47亿</t>
  </si>
  <si>
    <t>259.78亿</t>
  </si>
  <si>
    <t>27.88亿</t>
  </si>
  <si>
    <t>105.44亿</t>
  </si>
  <si>
    <t>7391.25万</t>
  </si>
  <si>
    <t>23.51亿</t>
  </si>
  <si>
    <t>19.53亿</t>
  </si>
  <si>
    <t>91891395亿</t>
  </si>
  <si>
    <t>22.36万</t>
  </si>
  <si>
    <t>305494320亿</t>
  </si>
  <si>
    <t>50.90亿</t>
  </si>
  <si>
    <t>1819514500亿</t>
  </si>
  <si>
    <t>7579830000亿</t>
  </si>
  <si>
    <t>10.29亿</t>
  </si>
  <si>
    <t>1.20亿</t>
  </si>
  <si>
    <t>18.68亿</t>
  </si>
  <si>
    <t>5.94亿</t>
  </si>
  <si>
    <t>55.13亿</t>
  </si>
  <si>
    <t>34.04亿</t>
  </si>
  <si>
    <t>2.75亿</t>
  </si>
  <si>
    <t>-6253.29万</t>
  </si>
  <si>
    <t>-1.10亿</t>
  </si>
  <si>
    <t>108.22亿</t>
  </si>
  <si>
    <t>7.40亿</t>
  </si>
  <si>
    <t>117.04亿</t>
  </si>
  <si>
    <t>16.56亿</t>
  </si>
  <si>
    <t>9.82亿</t>
  </si>
  <si>
    <t>505.89万</t>
  </si>
  <si>
    <t>8206.60万</t>
  </si>
  <si>
    <t>4.97亿</t>
  </si>
  <si>
    <t>073912500</t>
  </si>
  <si>
    <t>0221737500</t>
  </si>
  <si>
    <t>0443475000</t>
  </si>
  <si>
    <t>0739125000</t>
  </si>
  <si>
    <t>01478250000</t>
  </si>
  <si>
    <t>-3-1</t>
  </si>
  <si>
    <t>SH600751</t>
  </si>
  <si>
    <t>海航科技</t>
  </si>
  <si>
    <t>1000.89万</t>
  </si>
  <si>
    <t>14.84亿</t>
  </si>
  <si>
    <t>74.08亿</t>
  </si>
  <si>
    <t>2.95亿</t>
  </si>
  <si>
    <t>8.18亿</t>
  </si>
  <si>
    <t>-5149.53万</t>
  </si>
  <si>
    <t>307.61万</t>
  </si>
  <si>
    <t>1302.49万</t>
  </si>
  <si>
    <t>33342511亿</t>
  </si>
  <si>
    <t>16.10万</t>
  </si>
  <si>
    <t>50532668亿</t>
  </si>
  <si>
    <t>38.88亿</t>
  </si>
  <si>
    <t>5053074亿</t>
  </si>
  <si>
    <t>4406742600亿</t>
  </si>
  <si>
    <t>2866.34万</t>
  </si>
  <si>
    <t>4763.81万</t>
  </si>
  <si>
    <t>53.60万</t>
  </si>
  <si>
    <t>11.45亿</t>
  </si>
  <si>
    <t>-714.90万</t>
  </si>
  <si>
    <t>-3.24亿</t>
  </si>
  <si>
    <t>-3020.57万</t>
  </si>
  <si>
    <t>1716.62亿</t>
  </si>
  <si>
    <t>3366.94亿</t>
  </si>
  <si>
    <t>3271.53亿</t>
  </si>
  <si>
    <t>3364.72亿</t>
  </si>
  <si>
    <t>30.80亿</t>
  </si>
  <si>
    <t>-97.89亿</t>
  </si>
  <si>
    <t>5.22亿</t>
  </si>
  <si>
    <t>6024.30万</t>
  </si>
  <si>
    <t>6.51亿</t>
  </si>
  <si>
    <t>5874.68万</t>
  </si>
  <si>
    <t>-640.91万</t>
  </si>
  <si>
    <t>7878.24万</t>
  </si>
  <si>
    <t>3-1</t>
  </si>
  <si>
    <t>302.52万</t>
  </si>
  <si>
    <t>15.54亿</t>
  </si>
  <si>
    <t>51.61亿</t>
  </si>
  <si>
    <t>4.54亿</t>
  </si>
  <si>
    <t>32.25亿</t>
  </si>
  <si>
    <t>-5.21亿</t>
  </si>
  <si>
    <t>4.99亿</t>
  </si>
  <si>
    <t>4.59亿</t>
  </si>
  <si>
    <t>2794.48万</t>
  </si>
  <si>
    <t>50866亿</t>
  </si>
  <si>
    <t>2.05万</t>
  </si>
  <si>
    <t>-35929965亿</t>
  </si>
  <si>
    <t>364517890亿</t>
  </si>
  <si>
    <t>988117500亿</t>
  </si>
  <si>
    <t>129.97万</t>
  </si>
  <si>
    <t>2.20亿</t>
  </si>
  <si>
    <t>1.83亿</t>
  </si>
  <si>
    <t>95.91万</t>
  </si>
  <si>
    <t>8.53亿</t>
  </si>
  <si>
    <t>6850.46万</t>
  </si>
  <si>
    <t>-1459.95万</t>
  </si>
  <si>
    <t>-5659.17万</t>
  </si>
  <si>
    <t>20.73亿</t>
  </si>
  <si>
    <t>1.14亿</t>
  </si>
  <si>
    <t>22.67亿</t>
  </si>
  <si>
    <t>5.20亿</t>
  </si>
  <si>
    <t>-1.09亿</t>
  </si>
  <si>
    <t>2845.22万</t>
  </si>
  <si>
    <t>4682.68万</t>
  </si>
  <si>
    <t>24.08亿</t>
  </si>
  <si>
    <t>220.38亿</t>
  </si>
  <si>
    <t>153.42亿</t>
  </si>
  <si>
    <t>33.01亿</t>
  </si>
  <si>
    <t>7.17亿</t>
  </si>
  <si>
    <t>26.98万</t>
  </si>
  <si>
    <t>8099.87万</t>
  </si>
  <si>
    <t>87949501亿</t>
  </si>
  <si>
    <t>89.43万</t>
  </si>
  <si>
    <t>540522770亿</t>
  </si>
  <si>
    <t>60.65亿</t>
  </si>
  <si>
    <t>308183150亿</t>
  </si>
  <si>
    <t>1270.03万</t>
  </si>
  <si>
    <t>6937199600亿</t>
  </si>
  <si>
    <t>6.91亿</t>
  </si>
  <si>
    <t>115.76万</t>
  </si>
  <si>
    <t>15.55亿</t>
  </si>
  <si>
    <t>-1.96亿</t>
  </si>
  <si>
    <t>56.20亿</t>
  </si>
  <si>
    <t>16.90亿</t>
  </si>
  <si>
    <t>58.45亿</t>
  </si>
  <si>
    <t>37.15亿</t>
  </si>
  <si>
    <t>19.25亿</t>
  </si>
  <si>
    <t>7.11亿</t>
  </si>
  <si>
    <t>1.97亿</t>
  </si>
  <si>
    <t>11.69亿</t>
  </si>
  <si>
    <t>449.87万</t>
  </si>
  <si>
    <t>69.41亿</t>
  </si>
  <si>
    <t>55.12亿</t>
  </si>
  <si>
    <t>451.60亿</t>
  </si>
  <si>
    <t>185.02亿</t>
  </si>
  <si>
    <t>4.86亿</t>
  </si>
  <si>
    <t>4051.02万</t>
  </si>
  <si>
    <t>18041597亿</t>
  </si>
  <si>
    <t>39298833亿</t>
  </si>
  <si>
    <t>25.13亿</t>
  </si>
  <si>
    <t>276925740亿</t>
  </si>
  <si>
    <t>1826.62万</t>
  </si>
  <si>
    <t>4390800400亿</t>
  </si>
  <si>
    <t>15.06亿</t>
  </si>
  <si>
    <t>3000.00万</t>
  </si>
  <si>
    <t>56.25亿</t>
  </si>
  <si>
    <t>17.46亿</t>
  </si>
  <si>
    <t>9.59亿</t>
  </si>
  <si>
    <t>-2.78亿</t>
  </si>
  <si>
    <t>25.09亿</t>
  </si>
  <si>
    <t>1.61亿</t>
  </si>
  <si>
    <t>25.22亿</t>
  </si>
  <si>
    <t>129.53亿</t>
  </si>
  <si>
    <t>1.89亿</t>
  </si>
  <si>
    <t>54.27亿</t>
  </si>
  <si>
    <t>3093.99万</t>
  </si>
  <si>
    <t>2-1</t>
  </si>
  <si>
    <t>1268.17万</t>
  </si>
  <si>
    <t>316.31亿</t>
  </si>
  <si>
    <t>820.22亿</t>
  </si>
  <si>
    <t>69.14亿</t>
  </si>
  <si>
    <t>121.54亿</t>
  </si>
  <si>
    <t>23.76亿</t>
  </si>
  <si>
    <t>48.69亿</t>
  </si>
  <si>
    <t>4.00万</t>
  </si>
  <si>
    <t>205766000亿</t>
  </si>
  <si>
    <t>615.00万</t>
  </si>
  <si>
    <t>1092867000亿</t>
  </si>
  <si>
    <t>80.63亿</t>
  </si>
  <si>
    <t>3477933000亿</t>
  </si>
  <si>
    <t>3.76亿</t>
  </si>
  <si>
    <t>18134062000亿</t>
  </si>
  <si>
    <t>80.25亿</t>
  </si>
  <si>
    <t>18.64亿</t>
  </si>
  <si>
    <t>199.45亿</t>
  </si>
  <si>
    <t>71.41亿</t>
  </si>
  <si>
    <t>37.87亿</t>
  </si>
  <si>
    <t>-16.58亿</t>
  </si>
  <si>
    <t>-35.40亿</t>
  </si>
  <si>
    <t>259.63亿</t>
  </si>
  <si>
    <t>42.27亿</t>
  </si>
  <si>
    <t>259.93亿</t>
  </si>
  <si>
    <t>21.79亿</t>
  </si>
  <si>
    <t>46.68亿</t>
  </si>
  <si>
    <t>10派0.91元(含税)</t>
  </si>
  <si>
    <t>8691.92万</t>
  </si>
  <si>
    <t>6.29亿</t>
  </si>
  <si>
    <t>02376000000</t>
  </si>
  <si>
    <t>07128000000</t>
  </si>
  <si>
    <t>014256000000</t>
  </si>
  <si>
    <t>023760000000</t>
  </si>
  <si>
    <t>047520000000</t>
  </si>
  <si>
    <t>716.76万</t>
  </si>
  <si>
    <t>24.63亿</t>
  </si>
  <si>
    <t>55.95亿</t>
  </si>
  <si>
    <t>24.24亿</t>
  </si>
  <si>
    <t>4.45亿</t>
  </si>
  <si>
    <t>9.55亿</t>
  </si>
  <si>
    <t>3980.29万</t>
  </si>
  <si>
    <t>-590964亿</t>
  </si>
  <si>
    <t>80.00万</t>
  </si>
  <si>
    <t>152874330亿</t>
  </si>
  <si>
    <t>855717330亿</t>
  </si>
  <si>
    <t>8014.88万</t>
  </si>
  <si>
    <t>2422712600亿</t>
  </si>
  <si>
    <t>2433.71万</t>
  </si>
  <si>
    <t>2261.92万</t>
  </si>
  <si>
    <t>9.14亿</t>
  </si>
  <si>
    <t>4.35亿</t>
  </si>
  <si>
    <t>-6.08亿</t>
  </si>
  <si>
    <t>-776.23万</t>
  </si>
  <si>
    <t>47.69亿</t>
  </si>
  <si>
    <t>44.69亿</t>
  </si>
  <si>
    <t>5.04亿</t>
  </si>
  <si>
    <t>5901.80万</t>
  </si>
  <si>
    <t>0445000000</t>
  </si>
  <si>
    <t>01335000000</t>
  </si>
  <si>
    <t>02670000000</t>
  </si>
  <si>
    <t>04450000000</t>
  </si>
  <si>
    <t>08900000000</t>
  </si>
  <si>
    <t>SH601083</t>
  </si>
  <si>
    <t>锦江航运</t>
  </si>
  <si>
    <t>322.81万</t>
  </si>
  <si>
    <t>82.71亿</t>
  </si>
  <si>
    <t>12.50亿</t>
  </si>
  <si>
    <t>9.70亿</t>
  </si>
  <si>
    <t>11.17亿</t>
  </si>
  <si>
    <t>7173.73万</t>
  </si>
  <si>
    <t>676267亿</t>
  </si>
  <si>
    <t>1.93万</t>
  </si>
  <si>
    <t>108932547亿</t>
  </si>
  <si>
    <t>57.64亿</t>
  </si>
  <si>
    <t>622316070亿</t>
  </si>
  <si>
    <t>6547112100亿</t>
  </si>
  <si>
    <t>3.23亿</t>
  </si>
  <si>
    <t>5.26亿</t>
  </si>
  <si>
    <t>12.60亿</t>
  </si>
  <si>
    <t>2.80亿</t>
  </si>
  <si>
    <t>-1.07亿</t>
  </si>
  <si>
    <t>-1.29亿</t>
  </si>
  <si>
    <t>68.40亿</t>
  </si>
  <si>
    <t>18.27亿</t>
  </si>
  <si>
    <t>12.26亿</t>
  </si>
  <si>
    <t>52.66亿</t>
  </si>
  <si>
    <t>7.43亿</t>
  </si>
  <si>
    <t>7321.86万</t>
  </si>
  <si>
    <t>10派2.87元(含税)</t>
  </si>
  <si>
    <t>2442.35万</t>
  </si>
  <si>
    <t>2034.35万</t>
  </si>
  <si>
    <t>258.24亿</t>
  </si>
  <si>
    <t>241.15亿</t>
  </si>
  <si>
    <t>32.38亿</t>
  </si>
  <si>
    <t>505.64亿</t>
  </si>
  <si>
    <t>225.45亿</t>
  </si>
  <si>
    <t>28.49亿</t>
  </si>
  <si>
    <t>688.75万</t>
  </si>
  <si>
    <t>43823676亿</t>
  </si>
  <si>
    <t>335.20万</t>
  </si>
  <si>
    <t>309590650亿</t>
  </si>
  <si>
    <t>69.86亿</t>
  </si>
  <si>
    <t>1107095150亿</t>
  </si>
  <si>
    <t>9517921100亿</t>
  </si>
  <si>
    <t>44.92亿</t>
  </si>
  <si>
    <t>25.81亿</t>
  </si>
  <si>
    <t>9.79亿</t>
  </si>
  <si>
    <t>14.41万</t>
  </si>
  <si>
    <t>58.65亿</t>
  </si>
  <si>
    <t>96.56亿</t>
  </si>
  <si>
    <t>-11.15亿</t>
  </si>
  <si>
    <t>6.73亿</t>
  </si>
  <si>
    <t>127.37亿</t>
  </si>
  <si>
    <t>10.79亿</t>
  </si>
  <si>
    <t>132.15亿</t>
  </si>
  <si>
    <t>60.43亿</t>
  </si>
  <si>
    <t>10派0.43元(含税)</t>
  </si>
  <si>
    <t>9351.22万</t>
  </si>
  <si>
    <t>5.84亿</t>
  </si>
  <si>
    <t>867.13万</t>
  </si>
  <si>
    <t>157.07亿</t>
  </si>
  <si>
    <t>460.33亿</t>
  </si>
  <si>
    <t>44.30亿</t>
  </si>
  <si>
    <t>140.79亿</t>
  </si>
  <si>
    <t>5.72亿</t>
  </si>
  <si>
    <t>27.40亿</t>
  </si>
  <si>
    <t>1461.50万</t>
  </si>
  <si>
    <t>421828260亿</t>
  </si>
  <si>
    <t>82.56万</t>
  </si>
  <si>
    <t>1292728860亿</t>
  </si>
  <si>
    <t>112.24亿</t>
  </si>
  <si>
    <t>2050193000亿</t>
  </si>
  <si>
    <t>15206927000亿</t>
  </si>
  <si>
    <t>18.31亿</t>
  </si>
  <si>
    <t>6.48亿</t>
  </si>
  <si>
    <t>2206.57万</t>
  </si>
  <si>
    <t>75.29亿</t>
  </si>
  <si>
    <t>18.83亿</t>
  </si>
  <si>
    <t>5.61亿</t>
  </si>
  <si>
    <t>-3.52亿</t>
  </si>
  <si>
    <t>7410.21万</t>
  </si>
  <si>
    <t>192.63亿</t>
  </si>
  <si>
    <t>167.93亿</t>
  </si>
  <si>
    <t>45.28亿</t>
  </si>
  <si>
    <t>39.82亿</t>
  </si>
  <si>
    <t>181.73亿</t>
  </si>
  <si>
    <t>32.95亿</t>
  </si>
  <si>
    <t>49.23亿</t>
  </si>
  <si>
    <t>10派2.927元(含税)</t>
  </si>
  <si>
    <t>4880.25万</t>
  </si>
  <si>
    <t>1579.10万</t>
  </si>
  <si>
    <t>86.54亿</t>
  </si>
  <si>
    <t>198.41亿</t>
  </si>
  <si>
    <t>17.14亿</t>
  </si>
  <si>
    <t>2575.95亿</t>
  </si>
  <si>
    <t>927.28亿</t>
  </si>
  <si>
    <t>12.64亿</t>
  </si>
  <si>
    <t>10.51亿</t>
  </si>
  <si>
    <t>80684369亿</t>
  </si>
  <si>
    <t>7.66万</t>
  </si>
  <si>
    <t>431981390亿</t>
  </si>
  <si>
    <t>34.17亿</t>
  </si>
  <si>
    <t>134277110亿</t>
  </si>
  <si>
    <t>4474.70万</t>
  </si>
  <si>
    <t>4009374100亿</t>
  </si>
  <si>
    <t>8.31亿</t>
  </si>
  <si>
    <t>2.93亿</t>
  </si>
  <si>
    <t>30.47亿</t>
  </si>
  <si>
    <t>50.43亿</t>
  </si>
  <si>
    <t>7.25亿</t>
  </si>
  <si>
    <t>-5422.38万</t>
  </si>
  <si>
    <t>69.19亿</t>
  </si>
  <si>
    <t>70.55亿</t>
  </si>
  <si>
    <t>670.79亿</t>
  </si>
  <si>
    <t>246.33亿</t>
  </si>
  <si>
    <t>10派0.83元(含税)</t>
  </si>
  <si>
    <t>9772.45万</t>
  </si>
  <si>
    <t>5.29亿</t>
  </si>
  <si>
    <t>3540.09万</t>
  </si>
  <si>
    <t>966.47亿</t>
  </si>
  <si>
    <t>296.96亿</t>
  </si>
  <si>
    <t>49.40亿</t>
  </si>
  <si>
    <t>4060.32亿</t>
  </si>
  <si>
    <t>79.86亿</t>
  </si>
  <si>
    <t>51.88亿</t>
  </si>
  <si>
    <t>40.34亿</t>
  </si>
  <si>
    <t>263.08万</t>
  </si>
  <si>
    <t>862374920亿</t>
  </si>
  <si>
    <t>56.57万</t>
  </si>
  <si>
    <t>229945650亿</t>
  </si>
  <si>
    <t>123.17亿</t>
  </si>
  <si>
    <t>1851887500亿</t>
  </si>
  <si>
    <t>891.61万</t>
  </si>
  <si>
    <t>22536787000亿</t>
  </si>
  <si>
    <t>169.25亿</t>
  </si>
  <si>
    <t>6954.74万</t>
  </si>
  <si>
    <t>4.02亿</t>
  </si>
  <si>
    <t>370.70亿</t>
  </si>
  <si>
    <t>497.09亿</t>
  </si>
  <si>
    <t>3.55亿</t>
  </si>
  <si>
    <t>10.67亿</t>
  </si>
  <si>
    <t>-22.05亿</t>
  </si>
  <si>
    <t>255.77亿</t>
  </si>
  <si>
    <t>371.18亿</t>
  </si>
  <si>
    <t>201.79亿</t>
  </si>
  <si>
    <t>39.22亿</t>
  </si>
  <si>
    <t>156.35亿</t>
  </si>
  <si>
    <t>885.16亿</t>
  </si>
  <si>
    <t>14.09亿</t>
  </si>
  <si>
    <t>11.24亿</t>
  </si>
  <si>
    <t>10派0.32元(含税)</t>
  </si>
  <si>
    <t>24.62亿</t>
  </si>
  <si>
    <t>4345.48万</t>
  </si>
  <si>
    <t>250.56亿</t>
  </si>
  <si>
    <t>390.86亿</t>
  </si>
  <si>
    <t>62.54亿</t>
  </si>
  <si>
    <t>572.51亿</t>
  </si>
  <si>
    <t>36.86亿</t>
  </si>
  <si>
    <t>49.84亿</t>
  </si>
  <si>
    <t>44.64亿</t>
  </si>
  <si>
    <t>2658.90万</t>
  </si>
  <si>
    <t>2.40亿</t>
  </si>
  <si>
    <t>163476140亿</t>
  </si>
  <si>
    <t>471.51万</t>
  </si>
  <si>
    <t>1358642600亿</t>
  </si>
  <si>
    <t>46.57亿</t>
  </si>
  <si>
    <t>1544464000亿</t>
  </si>
  <si>
    <t>11416020500亿</t>
  </si>
  <si>
    <t>42.05亿</t>
  </si>
  <si>
    <t>58.13亿</t>
  </si>
  <si>
    <t>28.58亿</t>
  </si>
  <si>
    <t>121.86亿</t>
  </si>
  <si>
    <t>118.81亿</t>
  </si>
  <si>
    <t>18.03亿</t>
  </si>
  <si>
    <t>-7.66亿</t>
  </si>
  <si>
    <t>-13.44亿</t>
  </si>
  <si>
    <t>297.08亿</t>
  </si>
  <si>
    <t>50.87亿</t>
  </si>
  <si>
    <t>258.81亿</t>
  </si>
  <si>
    <t>157.41亿</t>
  </si>
  <si>
    <t>48.37亿</t>
  </si>
  <si>
    <t>12.02亿</t>
  </si>
  <si>
    <t>10派2.38元(含税)</t>
  </si>
  <si>
    <t>14.93亿</t>
  </si>
  <si>
    <t>5277.98万</t>
  </si>
  <si>
    <t>136.24亿</t>
  </si>
  <si>
    <t>431.69亿</t>
  </si>
  <si>
    <t>336.44亿</t>
  </si>
  <si>
    <t>78.79亿</t>
  </si>
  <si>
    <t>20.82亿</t>
  </si>
  <si>
    <t>1749334亿</t>
  </si>
  <si>
    <t>98.79万</t>
  </si>
  <si>
    <t>369969950亿</t>
  </si>
  <si>
    <t>61.87亿</t>
  </si>
  <si>
    <t>3852504900亿</t>
  </si>
  <si>
    <t>11614871000亿</t>
  </si>
  <si>
    <t>208.83万</t>
  </si>
  <si>
    <t>5.66亿</t>
  </si>
  <si>
    <t>-2904.16万</t>
  </si>
  <si>
    <t>7.84亿</t>
  </si>
  <si>
    <t>121.67亿</t>
  </si>
  <si>
    <t>13.18亿</t>
  </si>
  <si>
    <t>122.20亿</t>
  </si>
  <si>
    <t>86.97亿</t>
  </si>
  <si>
    <t>13.43亿</t>
  </si>
  <si>
    <t>22.49亿</t>
  </si>
  <si>
    <t>10派0.191元(含税)</t>
  </si>
  <si>
    <t>15.95亿</t>
  </si>
  <si>
    <t>2192.10亿</t>
  </si>
  <si>
    <t>2500.51亿</t>
  </si>
  <si>
    <t>482.70亿</t>
  </si>
  <si>
    <t>116.74亿</t>
  </si>
  <si>
    <t>15.09亿</t>
  </si>
  <si>
    <t>404.59亿</t>
  </si>
  <si>
    <t>389.09亿</t>
  </si>
  <si>
    <t>2.33亿</t>
  </si>
  <si>
    <t>16.94亿</t>
  </si>
  <si>
    <t>1244703280亿</t>
  </si>
  <si>
    <t>642.75万</t>
  </si>
  <si>
    <t>6724195300亿</t>
  </si>
  <si>
    <t>1744.08亿</t>
  </si>
  <si>
    <t>8906756200亿</t>
  </si>
  <si>
    <t>196559940000亿</t>
  </si>
  <si>
    <t>187.39亿</t>
  </si>
  <si>
    <t>896.91亿</t>
  </si>
  <si>
    <t>1249.99亿</t>
  </si>
  <si>
    <t>272.09亿</t>
  </si>
  <si>
    <t>88.65亿</t>
  </si>
  <si>
    <t>-39.17亿</t>
  </si>
  <si>
    <t>-131.11亿</t>
  </si>
  <si>
    <t>3910.58亿</t>
  </si>
  <si>
    <t>1097.03亿</t>
  </si>
  <si>
    <t>893.49亿</t>
  </si>
  <si>
    <t>1754.48亿</t>
  </si>
  <si>
    <t>238.60亿</t>
  </si>
  <si>
    <t>10派2.3元(含税)</t>
  </si>
  <si>
    <t>59.38亿</t>
  </si>
  <si>
    <t>6637.56万</t>
  </si>
  <si>
    <t>24.98亿</t>
  </si>
  <si>
    <t>96.86亿</t>
  </si>
  <si>
    <t>18.39亿</t>
  </si>
  <si>
    <t>749.57亿</t>
  </si>
  <si>
    <t>106.24亿</t>
  </si>
  <si>
    <t>11.92亿</t>
  </si>
  <si>
    <t>1074.05万</t>
  </si>
  <si>
    <t>2440.63万</t>
  </si>
  <si>
    <t>552169150亿</t>
  </si>
  <si>
    <t>38.89亿</t>
  </si>
  <si>
    <t>226218660亿</t>
  </si>
  <si>
    <t>5253133600亿</t>
  </si>
  <si>
    <t>3753.70万</t>
  </si>
  <si>
    <t>11.07亿</t>
  </si>
  <si>
    <t>7.66亿</t>
  </si>
  <si>
    <t>-2.05亿</t>
  </si>
  <si>
    <t>62.64亿</t>
  </si>
  <si>
    <t>61.97亿</t>
  </si>
  <si>
    <t>178.93亿</t>
  </si>
  <si>
    <t>15.57亿</t>
  </si>
  <si>
    <t>30.23亿</t>
  </si>
  <si>
    <t>3.05亿</t>
  </si>
  <si>
    <t>24.01亿</t>
  </si>
  <si>
    <t>402.59万</t>
  </si>
  <si>
    <t>8.96亿</t>
  </si>
  <si>
    <t>37.20亿</t>
  </si>
  <si>
    <t>20.09亿</t>
  </si>
  <si>
    <t>7.10亿</t>
  </si>
  <si>
    <t>6.92亿</t>
  </si>
  <si>
    <t>915.55万</t>
  </si>
  <si>
    <t>769.87万</t>
  </si>
  <si>
    <t>2680208亿</t>
  </si>
  <si>
    <t>84.81万</t>
  </si>
  <si>
    <t>87332521亿</t>
  </si>
  <si>
    <t>158133130亿</t>
  </si>
  <si>
    <t>1448145100亿</t>
  </si>
  <si>
    <t>5002.22万</t>
  </si>
  <si>
    <t>5450.56万</t>
  </si>
  <si>
    <t>2676.05万</t>
  </si>
  <si>
    <t>4173.67万</t>
  </si>
  <si>
    <t>4239.01万</t>
  </si>
  <si>
    <t>2307.88万</t>
  </si>
  <si>
    <t>20.46亿</t>
  </si>
  <si>
    <t>5.58亿</t>
  </si>
  <si>
    <t>17.05亿</t>
  </si>
  <si>
    <t>3622.34万</t>
  </si>
  <si>
    <t>10转4.8股派1.5元(含税)</t>
  </si>
  <si>
    <t>2470.34万</t>
  </si>
  <si>
    <t>391.04万</t>
  </si>
  <si>
    <t>5.19亿</t>
  </si>
  <si>
    <t>3.47亿</t>
  </si>
  <si>
    <t>6.45亿</t>
  </si>
  <si>
    <t>2540.76万</t>
  </si>
  <si>
    <t>3.24亿</t>
  </si>
  <si>
    <t>2.98亿</t>
  </si>
  <si>
    <t>919.38万</t>
  </si>
  <si>
    <t>1519.84万</t>
  </si>
  <si>
    <t>-342857亿</t>
  </si>
  <si>
    <t>188.98万</t>
  </si>
  <si>
    <t>6401712亿</t>
  </si>
  <si>
    <t>37768321亿</t>
  </si>
  <si>
    <t>712633780亿</t>
  </si>
  <si>
    <t>8000.00万</t>
  </si>
  <si>
    <t>6007.60万</t>
  </si>
  <si>
    <t>281.83万</t>
  </si>
  <si>
    <t>3.58亿</t>
  </si>
  <si>
    <t>1605.85万</t>
  </si>
  <si>
    <t>213.22万</t>
  </si>
  <si>
    <t>4641.89万</t>
  </si>
  <si>
    <t>13.07亿</t>
  </si>
  <si>
    <t>18.40亿</t>
  </si>
  <si>
    <t>2252.54万</t>
  </si>
  <si>
    <t>10派5.3元(含税)</t>
  </si>
  <si>
    <t>3408.46万</t>
  </si>
  <si>
    <t>025407600</t>
  </si>
  <si>
    <t>076222800</t>
  </si>
  <si>
    <t>0152445600</t>
  </si>
  <si>
    <t>0254076000</t>
  </si>
  <si>
    <t>0508152000</t>
  </si>
  <si>
    <t>-4-1</t>
  </si>
  <si>
    <t>118.10万</t>
  </si>
  <si>
    <t>13.63亿</t>
  </si>
  <si>
    <t>25.01亿</t>
  </si>
  <si>
    <t>10.03亿</t>
  </si>
  <si>
    <t>5153.15万</t>
  </si>
  <si>
    <t>2.87亿</t>
  </si>
  <si>
    <t>2.61亿</t>
  </si>
  <si>
    <t>307.50万</t>
  </si>
  <si>
    <t>1423.07万</t>
  </si>
  <si>
    <t>937557亿</t>
  </si>
  <si>
    <t>2.50万</t>
  </si>
  <si>
    <t>77092894亿</t>
  </si>
  <si>
    <t>138423730亿</t>
  </si>
  <si>
    <t>951.23万</t>
  </si>
  <si>
    <t>736523060亿</t>
  </si>
  <si>
    <t>7025.57万</t>
  </si>
  <si>
    <t>1.35亿</t>
  </si>
  <si>
    <t>-1.21亿</t>
  </si>
  <si>
    <t>5500.07万</t>
  </si>
  <si>
    <t>7.85亿</t>
  </si>
  <si>
    <t>12.37亿</t>
  </si>
  <si>
    <t>2.52亿</t>
  </si>
  <si>
    <t>1711.07万</t>
  </si>
  <si>
    <t>577.41万</t>
  </si>
  <si>
    <t>6310.92万</t>
  </si>
  <si>
    <t>532.78万</t>
  </si>
  <si>
    <t>126.46亿</t>
  </si>
  <si>
    <t>111.43亿</t>
  </si>
  <si>
    <t>27.85亿</t>
  </si>
  <si>
    <t>12.53亿</t>
  </si>
  <si>
    <t>24.11亿</t>
  </si>
  <si>
    <t>23.25亿</t>
  </si>
  <si>
    <t>596.27万</t>
  </si>
  <si>
    <t>5236.44万</t>
  </si>
  <si>
    <t>40573952亿</t>
  </si>
  <si>
    <t>5.09万</t>
  </si>
  <si>
    <t>284044560亿</t>
  </si>
  <si>
    <t>57.38亿</t>
  </si>
  <si>
    <t>599183510亿</t>
  </si>
  <si>
    <t>12542324300亿</t>
  </si>
  <si>
    <t>9338.87万</t>
  </si>
  <si>
    <t>29.78亿</t>
  </si>
  <si>
    <t>55.38亿</t>
  </si>
  <si>
    <t>57.68亿</t>
  </si>
  <si>
    <t>-3.81亿</t>
  </si>
  <si>
    <t>5.09亿</t>
  </si>
  <si>
    <t>142.09亿</t>
  </si>
  <si>
    <t>27.41亿</t>
  </si>
  <si>
    <t>124.39亿</t>
  </si>
  <si>
    <t>17.17亿</t>
  </si>
  <si>
    <t>6403.92万</t>
  </si>
  <si>
    <t>10派7.2元(含税)</t>
  </si>
  <si>
    <t>2495.51万</t>
  </si>
  <si>
    <t>0175000000</t>
  </si>
  <si>
    <t>0525000000</t>
  </si>
  <si>
    <t>01050000000</t>
  </si>
  <si>
    <t>01750000000</t>
  </si>
  <si>
    <t>03500000000</t>
  </si>
</sst>
</file>

<file path=xl/styles.xml><?xml version="1.0" encoding="utf-8"?>
<styleSheet xmlns="http://schemas.openxmlformats.org/spreadsheetml/2006/main" xmlns:mc="http://schemas.openxmlformats.org/markup-compatibility/2006" xmlns:x14ac="http://schemas.microsoft.com/office/spreadsheetml/2009/9/ac" mc:Ignorable="x14ac">
  <fonts count="10" x14ac:knownFonts="1">
    <font>
      <sz val="11"/>
      <color theme="1"/>
      <name val="宋体"/>
      <family val="2"/>
      <charset val="134"/>
      <scheme val="minor"/>
    </font>
    <font>
      <sz val="9"/>
      <name val="宋体"/>
      <family val="2"/>
      <charset val="134"/>
      <scheme val="minor"/>
    </font>
    <font>
      <sz val="9"/>
      <color theme="1"/>
      <name val="宋体"/>
      <family val="2"/>
      <charset val="134"/>
      <scheme val="minor"/>
    </font>
    <font>
      <sz val="9"/>
      <color rgb="FFFF0000"/>
      <name val="宋体"/>
      <family val="3"/>
      <charset val="134"/>
      <scheme val="minor"/>
    </font>
    <font>
      <b/>
      <sz val="9"/>
      <color rgb="FFFF0000"/>
      <name val="宋体"/>
      <family val="3"/>
      <charset val="134"/>
      <scheme val="minor"/>
    </font>
    <font>
      <sz val="9"/>
      <name val="宋体"/>
      <family val="3"/>
      <charset val="134"/>
      <scheme val="minor"/>
    </font>
    <font>
      <sz val="11"/>
      <color rgb="FFFF0000"/>
      <name val="宋体"/>
      <family val="2"/>
      <charset val="134"/>
      <scheme val="minor"/>
    </font>
    <font>
      <sz val="11"/>
      <name val="宋体"/>
      <family val="2"/>
      <charset val="134"/>
      <scheme val="minor"/>
    </font>
    <font>
      <sz val="11"/>
      <color rgb="FF000000"/>
      <name val="宋体"/>
      <family val="3"/>
      <charset val="134"/>
    </font>
    <font>
      <sz val="9"/>
      <color theme="1"/>
      <name val="宋体"/>
      <family val="3"/>
      <charset val="134"/>
      <scheme val="minor"/>
    </font>
  </fonts>
  <fills count="6">
    <fill>
      <patternFill patternType="none"/>
    </fill>
    <fill>
      <patternFill patternType="gray125"/>
    </fill>
    <fill>
      <patternFill patternType="solid">
        <fgColor rgb="FFFFFF00"/>
        <bgColor indexed="64"/>
      </patternFill>
    </fill>
    <fill>
      <patternFill patternType="solid">
        <fgColor rgb="FFFF0000"/>
        <bgColor indexed="64"/>
      </patternFill>
    </fill>
    <fill>
      <patternFill patternType="solid">
        <fgColor theme="9" tint="0.79998168889431442"/>
        <bgColor indexed="64"/>
      </patternFill>
    </fill>
    <fill>
      <patternFill patternType="solid">
        <fgColor theme="5" tint="0.79998168889431442"/>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1">
    <xf numFmtId="0" fontId="0" fillId="0" borderId="0">
      <alignment vertical="center"/>
    </xf>
  </cellStyleXfs>
  <cellXfs count="14">
    <xf numFmtId="0" fontId="0" fillId="0" borderId="0" xfId="0">
      <alignment vertical="center"/>
    </xf>
    <xf numFmtId="0" fontId="0" fillId="0" borderId="0" xfId="0" applyFill="1">
      <alignment vertical="center"/>
    </xf>
    <xf numFmtId="0" fontId="0" fillId="2" borderId="0" xfId="0" applyFill="1">
      <alignment vertical="center"/>
    </xf>
    <xf numFmtId="0" fontId="0" fillId="0" borderId="1" xfId="0" applyNumberFormat="1" applyFill="1" applyBorder="1" applyAlignment="1">
      <alignment vertical="center" wrapText="1"/>
    </xf>
    <xf numFmtId="0" fontId="0" fillId="3" borderId="1" xfId="0" applyNumberFormat="1" applyFill="1" applyBorder="1" applyAlignment="1">
      <alignment vertical="center" wrapText="1"/>
    </xf>
    <xf numFmtId="10" fontId="0" fillId="0" borderId="0" xfId="0" applyNumberFormat="1">
      <alignment vertical="center"/>
    </xf>
    <xf numFmtId="0" fontId="2" fillId="0" borderId="0" xfId="0" applyFont="1" applyAlignment="1">
      <alignment vertical="center" wrapText="1"/>
    </xf>
    <xf numFmtId="0" fontId="7" fillId="0" borderId="0" xfId="0" applyFont="1" applyFill="1">
      <alignment vertical="center"/>
    </xf>
    <xf numFmtId="14" fontId="0" fillId="0" borderId="0" xfId="0" applyNumberFormat="1">
      <alignment vertical="center"/>
    </xf>
    <xf numFmtId="0" fontId="0" fillId="4" borderId="0" xfId="0" applyFill="1">
      <alignment vertical="center"/>
    </xf>
    <xf numFmtId="0" fontId="0" fillId="5" borderId="0" xfId="0" applyFill="1">
      <alignment vertical="center"/>
    </xf>
    <xf numFmtId="0" fontId="7" fillId="0" borderId="0" xfId="0" applyFont="1">
      <alignment vertical="center"/>
    </xf>
    <xf numFmtId="0" fontId="6" fillId="0" borderId="0" xfId="0" applyFont="1">
      <alignment vertical="center"/>
    </xf>
    <xf numFmtId="0" fontId="0" fillId="0" borderId="0" xfId="0" applyNumberFormat="1">
      <alignment vertical="center"/>
    </xf>
  </cellXfs>
  <cellStyles count="1">
    <cellStyle name="常规"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aredStrings" Target="sharedStrings.xml"/><Relationship Id="rId4" Type="http://schemas.openxmlformats.org/officeDocument/2006/relationships/styles" Target="styles.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147</xdr:col>
          <xdr:colOff>203200</xdr:colOff>
          <xdr:row>0</xdr:row>
          <xdr:rowOff>177800</xdr:rowOff>
        </xdr:from>
        <xdr:to>
          <xdr:col>147</xdr:col>
          <xdr:colOff>1454150</xdr:colOff>
          <xdr:row>0</xdr:row>
          <xdr:rowOff>488950</xdr:rowOff>
        </xdr:to>
        <xdr:sp macro="" textlink="">
          <xdr:nvSpPr>
            <xdr:cNvPr id="2049" name="Button 1" descr="更新基本面按钮&#10;" hidden="1">
              <a:extLst>
                <a:ext uri="{63B3BB69-23CF-44E3-9099-C40C66FF867C}">
                  <a14:compatExt spid="_x0000_s2049"/>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1100" b="0" i="0" u="none" strike="noStrike" baseline="0">
                  <a:solidFill>
                    <a:srgbClr val="000000"/>
                  </a:solidFill>
                  <a:latin typeface="宋体"/>
                  <a:ea typeface="宋体"/>
                </a:rPr>
                <a:t>更新基本面</a:t>
              </a:r>
            </a:p>
          </xdr:txBody>
        </xdr:sp>
        <xdr:clientData fPrintsWithSheet="0"/>
      </xdr:twoCellAnchor>
    </mc:Choice>
    <mc:Fallback/>
  </mc:AlternateContent>
</xdr:wsDr>
</file>

<file path=xl/theme/theme1.xml><?xml version="1.0" encoding="utf-8"?>
<a:theme xmlns:a="http://schemas.openxmlformats.org/drawingml/2006/main" name="Office 主题">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EP37"/>
  <sheetViews>
    <sheetView tabSelected="1" zoomScale="85" zoomScaleNormal="85" workbookViewId="0">
      <pane xSplit="5" ySplit="1" topLeftCell="F2" activePane="bottomRight" state="frozen"/>
      <selection pane="topRight" activeCell="F1" sqref="F1"/>
      <selection pane="bottomLeft" activeCell="A2" sqref="A2"/>
      <selection pane="bottomRight" activeCell="C24" sqref="C24:C25"/>
    </sheetView>
  </sheetViews>
  <sheetFormatPr defaultRowHeight="14" x14ac:dyDescent="0.25"/>
  <cols>
    <col min="1" max="1" width="37.08984375" customWidth="1"/>
    <col min="2" max="2" width="42.7265625" customWidth="1"/>
    <col min="3" max="3" width="44.1796875" customWidth="1"/>
    <col min="148" max="148" width="23.7265625" customWidth="1"/>
  </cols>
  <sheetData>
    <row r="1" spans="1:146" ht="50" customHeight="1" x14ac:dyDescent="0.25">
      <c r="A1" s="3" t="s">
        <v>27</v>
      </c>
      <c r="B1" s="4" t="s">
        <v>28</v>
      </c>
      <c r="C1" s="3" t="s">
        <v>29</v>
      </c>
      <c r="D1" t="s">
        <v>294</v>
      </c>
      <c r="E1" t="s">
        <v>370</v>
      </c>
      <c r="F1" t="s">
        <v>3</v>
      </c>
      <c r="G1" t="s">
        <v>411</v>
      </c>
      <c r="H1" t="s">
        <v>412</v>
      </c>
      <c r="I1" t="s">
        <v>30</v>
      </c>
      <c r="J1" t="s">
        <v>31</v>
      </c>
      <c r="K1" t="s">
        <v>4</v>
      </c>
      <c r="L1" t="s">
        <v>32</v>
      </c>
      <c r="M1" t="s">
        <v>33</v>
      </c>
      <c r="N1" t="s">
        <v>34</v>
      </c>
      <c r="O1" t="s">
        <v>35</v>
      </c>
      <c r="P1" t="s">
        <v>413</v>
      </c>
      <c r="Q1" t="s">
        <v>371</v>
      </c>
      <c r="R1" t="s">
        <v>372</v>
      </c>
      <c r="S1" t="s">
        <v>36</v>
      </c>
      <c r="T1" t="s">
        <v>414</v>
      </c>
      <c r="U1" t="s">
        <v>295</v>
      </c>
      <c r="V1" t="s">
        <v>37</v>
      </c>
      <c r="W1" t="s">
        <v>373</v>
      </c>
      <c r="X1" t="s">
        <v>374</v>
      </c>
      <c r="Y1" t="s">
        <v>375</v>
      </c>
      <c r="Z1" t="s">
        <v>376</v>
      </c>
      <c r="AA1" t="s">
        <v>377</v>
      </c>
      <c r="AB1" t="s">
        <v>415</v>
      </c>
      <c r="AC1" t="s">
        <v>378</v>
      </c>
      <c r="AD1" t="s">
        <v>379</v>
      </c>
      <c r="AE1" t="s">
        <v>38</v>
      </c>
      <c r="AF1" t="s">
        <v>39</v>
      </c>
      <c r="AG1" t="s">
        <v>416</v>
      </c>
      <c r="AH1" t="s">
        <v>380</v>
      </c>
      <c r="AI1" t="s">
        <v>417</v>
      </c>
      <c r="AJ1" t="s">
        <v>40</v>
      </c>
      <c r="AK1" t="s">
        <v>418</v>
      </c>
      <c r="AL1" t="s">
        <v>128</v>
      </c>
      <c r="AM1" t="s">
        <v>419</v>
      </c>
      <c r="AN1" t="s">
        <v>420</v>
      </c>
      <c r="AO1" t="s">
        <v>421</v>
      </c>
      <c r="AP1" t="s">
        <v>422</v>
      </c>
      <c r="AQ1" t="s">
        <v>423</v>
      </c>
      <c r="AR1" t="s">
        <v>424</v>
      </c>
      <c r="AS1" t="s">
        <v>425</v>
      </c>
      <c r="AT1" t="s">
        <v>426</v>
      </c>
      <c r="AU1" t="s">
        <v>427</v>
      </c>
      <c r="AV1" t="s">
        <v>428</v>
      </c>
      <c r="AW1" t="s">
        <v>429</v>
      </c>
      <c r="AX1" t="s">
        <v>381</v>
      </c>
      <c r="AY1" t="s">
        <v>129</v>
      </c>
      <c r="AZ1" t="s">
        <v>130</v>
      </c>
      <c r="BA1" t="s">
        <v>131</v>
      </c>
      <c r="BB1" t="s">
        <v>132</v>
      </c>
      <c r="BC1" t="s">
        <v>296</v>
      </c>
      <c r="BD1" t="s">
        <v>133</v>
      </c>
      <c r="BE1" t="s">
        <v>134</v>
      </c>
      <c r="BF1" t="s">
        <v>135</v>
      </c>
      <c r="BG1" t="s">
        <v>136</v>
      </c>
      <c r="BH1" t="s">
        <v>430</v>
      </c>
      <c r="BI1" t="s">
        <v>431</v>
      </c>
      <c r="BJ1" t="s">
        <v>432</v>
      </c>
      <c r="BK1" t="s">
        <v>433</v>
      </c>
      <c r="BL1" t="s">
        <v>434</v>
      </c>
      <c r="BM1" t="s">
        <v>435</v>
      </c>
      <c r="BN1" t="s">
        <v>382</v>
      </c>
      <c r="BO1" t="s">
        <v>297</v>
      </c>
      <c r="BP1" t="s">
        <v>137</v>
      </c>
      <c r="BQ1" t="s">
        <v>383</v>
      </c>
      <c r="BR1" t="s">
        <v>298</v>
      </c>
      <c r="BS1" t="s">
        <v>138</v>
      </c>
      <c r="BT1" t="s">
        <v>436</v>
      </c>
      <c r="BU1" t="s">
        <v>384</v>
      </c>
      <c r="BV1" t="s">
        <v>437</v>
      </c>
      <c r="BW1" t="s">
        <v>285</v>
      </c>
      <c r="BX1" t="s">
        <v>139</v>
      </c>
      <c r="BY1" t="s">
        <v>438</v>
      </c>
      <c r="BZ1" t="s">
        <v>286</v>
      </c>
      <c r="CA1" t="s">
        <v>140</v>
      </c>
      <c r="CB1" t="s">
        <v>439</v>
      </c>
      <c r="CC1" t="s">
        <v>440</v>
      </c>
      <c r="CD1" t="s">
        <v>441</v>
      </c>
      <c r="CE1" t="s">
        <v>442</v>
      </c>
      <c r="CF1" s="1" t="s">
        <v>385</v>
      </c>
      <c r="CG1" s="1" t="s">
        <v>386</v>
      </c>
      <c r="CH1" s="1" t="s">
        <v>269</v>
      </c>
      <c r="CI1" s="1" t="s">
        <v>270</v>
      </c>
      <c r="CJ1" s="1" t="s">
        <v>271</v>
      </c>
      <c r="CK1" s="1" t="s">
        <v>272</v>
      </c>
      <c r="CL1" s="1" t="s">
        <v>273</v>
      </c>
      <c r="CM1" s="1" t="s">
        <v>274</v>
      </c>
      <c r="CN1" s="1" t="s">
        <v>275</v>
      </c>
      <c r="CO1" s="1" t="s">
        <v>276</v>
      </c>
      <c r="CP1" s="1" t="s">
        <v>277</v>
      </c>
      <c r="CQ1" s="1" t="s">
        <v>278</v>
      </c>
      <c r="CR1" s="1" t="s">
        <v>407</v>
      </c>
      <c r="CS1" s="1" t="s">
        <v>470</v>
      </c>
      <c r="CT1" s="1" t="s">
        <v>471</v>
      </c>
      <c r="CU1" s="1" t="s">
        <v>408</v>
      </c>
      <c r="CV1" s="1" t="s">
        <v>472</v>
      </c>
      <c r="CW1" s="1" t="s">
        <v>473</v>
      </c>
      <c r="CX1">
        <v>1</v>
      </c>
      <c r="CY1" t="s">
        <v>474</v>
      </c>
      <c r="CZ1" t="s">
        <v>475</v>
      </c>
      <c r="DA1">
        <v>3</v>
      </c>
      <c r="DB1" t="s">
        <v>476</v>
      </c>
      <c r="DC1" t="s">
        <v>477</v>
      </c>
      <c r="DD1">
        <v>6</v>
      </c>
      <c r="DE1" t="s">
        <v>478</v>
      </c>
      <c r="DF1" t="s">
        <v>443</v>
      </c>
      <c r="DG1">
        <v>10</v>
      </c>
      <c r="DH1" t="s">
        <v>479</v>
      </c>
      <c r="DI1" t="s">
        <v>444</v>
      </c>
      <c r="DJ1">
        <v>20</v>
      </c>
      <c r="DK1" t="s">
        <v>445</v>
      </c>
      <c r="DL1" t="s">
        <v>279</v>
      </c>
      <c r="DM1" t="s">
        <v>280</v>
      </c>
      <c r="DN1" s="2" t="s">
        <v>281</v>
      </c>
      <c r="DO1" t="s">
        <v>446</v>
      </c>
      <c r="DP1" t="s">
        <v>447</v>
      </c>
      <c r="DQ1" s="7" t="s">
        <v>448</v>
      </c>
      <c r="DR1" s="1" t="s">
        <v>480</v>
      </c>
      <c r="DS1" s="1" t="s">
        <v>449</v>
      </c>
      <c r="DT1" t="s">
        <v>450</v>
      </c>
      <c r="DU1" t="s">
        <v>451</v>
      </c>
      <c r="DV1" t="s">
        <v>481</v>
      </c>
      <c r="DW1" t="s">
        <v>452</v>
      </c>
      <c r="DX1" t="s">
        <v>453</v>
      </c>
      <c r="DY1" t="s">
        <v>454</v>
      </c>
      <c r="DZ1" t="s">
        <v>455</v>
      </c>
      <c r="EA1" t="s">
        <v>456</v>
      </c>
      <c r="EB1" t="s">
        <v>457</v>
      </c>
      <c r="EC1" t="s">
        <v>482</v>
      </c>
      <c r="ED1" t="s">
        <v>458</v>
      </c>
      <c r="EE1" t="s">
        <v>459</v>
      </c>
      <c r="EF1" t="s">
        <v>460</v>
      </c>
      <c r="EG1" t="s">
        <v>461</v>
      </c>
      <c r="EH1" t="s">
        <v>462</v>
      </c>
      <c r="EI1" t="s">
        <v>463</v>
      </c>
      <c r="EK1" s="8" t="s">
        <v>464</v>
      </c>
      <c r="EL1" t="s">
        <v>465</v>
      </c>
      <c r="EM1" t="s">
        <v>466</v>
      </c>
      <c r="EN1" t="s">
        <v>467</v>
      </c>
      <c r="EO1" t="s">
        <v>468</v>
      </c>
      <c r="EP1" t="s">
        <v>469</v>
      </c>
    </row>
    <row r="2" spans="1:146" ht="96" x14ac:dyDescent="0.25">
      <c r="A2" s="6"/>
      <c r="B2" s="6"/>
      <c r="C2" s="6" t="str">
        <f>""&amp;CHAR(10)&amp;Basic_Fundamental_Information_Constructure(F2)&amp;CHAR(10)&amp;Basic_Fundamental_Information_Concatenate("")</f>
        <v xml:space="preserve">
市值195.00046亿, 利润11.08亿; PE16.61; 平均PE36.1; 平均PEG1.93, PB1.44; ROIC3.4033%; ROE5.0933%; 股利率4%; 毛利33.93%; 净利87.9367%; 上一年度营收增11.9%, 利润增134.75%; 当季营收增3.11%, 利润增34.66%; 过往5年营收增18.73%, 利润增28.78%
Income profile:
</v>
      </c>
      <c r="D2" t="s">
        <v>299</v>
      </c>
      <c r="E2" t="s">
        <v>300</v>
      </c>
      <c r="F2">
        <v>4.55</v>
      </c>
      <c r="G2">
        <v>-0.22</v>
      </c>
      <c r="H2" t="s">
        <v>555</v>
      </c>
      <c r="I2">
        <v>19500046000</v>
      </c>
      <c r="J2">
        <v>16.61</v>
      </c>
      <c r="K2">
        <v>1.44</v>
      </c>
      <c r="L2" t="s">
        <v>41</v>
      </c>
      <c r="M2" t="s">
        <v>556</v>
      </c>
      <c r="N2" t="s">
        <v>557</v>
      </c>
      <c r="O2" t="s">
        <v>184</v>
      </c>
      <c r="P2">
        <v>3.13</v>
      </c>
      <c r="Q2" t="s">
        <v>558</v>
      </c>
      <c r="R2">
        <v>257205560</v>
      </c>
      <c r="S2" s="5">
        <v>0.34520000000000001</v>
      </c>
      <c r="T2" t="s">
        <v>559</v>
      </c>
      <c r="U2">
        <v>2249135500</v>
      </c>
      <c r="V2">
        <v>4285724400</v>
      </c>
      <c r="W2">
        <v>1.48</v>
      </c>
      <c r="X2">
        <v>0.01</v>
      </c>
      <c r="Y2">
        <v>135.01</v>
      </c>
      <c r="Z2" t="s">
        <v>560</v>
      </c>
      <c r="AA2" t="s">
        <v>561</v>
      </c>
      <c r="AB2" t="s">
        <v>562</v>
      </c>
      <c r="AC2" t="s">
        <v>563</v>
      </c>
      <c r="AD2" t="s">
        <v>43</v>
      </c>
      <c r="AE2">
        <v>5738161</v>
      </c>
      <c r="AF2" t="s">
        <v>564</v>
      </c>
      <c r="AG2" t="s">
        <v>565</v>
      </c>
      <c r="AH2" t="s">
        <v>566</v>
      </c>
      <c r="AI2" t="s">
        <v>567</v>
      </c>
      <c r="AJ2" t="s">
        <v>568</v>
      </c>
      <c r="AK2" t="s">
        <v>569</v>
      </c>
      <c r="AL2" t="s">
        <v>570</v>
      </c>
      <c r="AM2" t="s">
        <v>43</v>
      </c>
      <c r="AN2" t="s">
        <v>571</v>
      </c>
      <c r="AO2" t="s">
        <v>572</v>
      </c>
      <c r="AP2" t="s">
        <v>573</v>
      </c>
      <c r="AQ2" t="s">
        <v>574</v>
      </c>
      <c r="AR2" t="s">
        <v>575</v>
      </c>
      <c r="AS2" t="s">
        <v>576</v>
      </c>
      <c r="AT2" t="s">
        <v>577</v>
      </c>
      <c r="AU2" t="s">
        <v>578</v>
      </c>
      <c r="AV2" t="s">
        <v>579</v>
      </c>
      <c r="AW2" t="s">
        <v>580</v>
      </c>
      <c r="AX2" t="s">
        <v>581</v>
      </c>
      <c r="AY2" t="s">
        <v>301</v>
      </c>
      <c r="AZ2" t="s">
        <v>141</v>
      </c>
      <c r="BA2" t="s">
        <v>303</v>
      </c>
      <c r="BB2" t="s">
        <v>304</v>
      </c>
      <c r="BC2" t="s">
        <v>582</v>
      </c>
      <c r="BD2" t="s">
        <v>302</v>
      </c>
      <c r="BE2" t="s">
        <v>305</v>
      </c>
      <c r="BF2" t="s">
        <v>42</v>
      </c>
      <c r="BG2" t="s">
        <v>143</v>
      </c>
      <c r="BH2" t="s">
        <v>558</v>
      </c>
      <c r="BI2" t="s">
        <v>583</v>
      </c>
      <c r="BJ2" t="s">
        <v>581</v>
      </c>
      <c r="BK2" t="s">
        <v>559</v>
      </c>
      <c r="BL2" t="s">
        <v>584</v>
      </c>
      <c r="BM2" t="s">
        <v>582</v>
      </c>
      <c r="BN2">
        <v>3.11</v>
      </c>
      <c r="BO2">
        <v>3.13</v>
      </c>
      <c r="BP2">
        <v>3.97</v>
      </c>
      <c r="BQ2">
        <v>5.16</v>
      </c>
      <c r="BR2">
        <v>4.87</v>
      </c>
      <c r="BS2">
        <v>5.25</v>
      </c>
      <c r="BT2" t="s">
        <v>585</v>
      </c>
      <c r="BU2" t="s">
        <v>387</v>
      </c>
      <c r="BV2">
        <v>29.27</v>
      </c>
      <c r="BW2">
        <v>34.130000000000003</v>
      </c>
      <c r="BX2">
        <v>38.39</v>
      </c>
      <c r="BY2">
        <v>131.80000000000001</v>
      </c>
      <c r="BZ2">
        <v>60.84</v>
      </c>
      <c r="CA2">
        <v>71.17</v>
      </c>
      <c r="CB2">
        <v>0.44</v>
      </c>
      <c r="CC2">
        <v>-4.6100000000000003</v>
      </c>
      <c r="CD2" t="s">
        <v>586</v>
      </c>
      <c r="CE2" t="s">
        <v>587</v>
      </c>
      <c r="CF2" s="9">
        <v>3.1088082901554404E-2</v>
      </c>
      <c r="CG2" s="10">
        <v>0.34662596858638745</v>
      </c>
      <c r="CH2" s="9">
        <v>0.1190476194024086</v>
      </c>
      <c r="CI2" s="9">
        <v>0.17352941632270813</v>
      </c>
      <c r="CJ2" s="9">
        <v>0.28060263395309448</v>
      </c>
      <c r="CK2" s="9">
        <v>-0.10455311834812164</v>
      </c>
      <c r="CL2" s="9">
        <v>0.46782177686691284</v>
      </c>
      <c r="CM2" s="10">
        <v>1.3474576473236084</v>
      </c>
      <c r="CN2" s="10">
        <v>2.3861171677708626E-2</v>
      </c>
      <c r="CO2" s="10">
        <v>0.17602041363716125</v>
      </c>
      <c r="CP2" s="10">
        <v>9.1922007501125336E-2</v>
      </c>
      <c r="CQ2" s="10">
        <v>-0.20044542849063873</v>
      </c>
      <c r="CR2">
        <v>36.100054304227093</v>
      </c>
      <c r="CS2">
        <v>1.9274984650638758</v>
      </c>
      <c r="CT2">
        <v>4</v>
      </c>
      <c r="CU2" s="9">
        <v>0.18728966563940047</v>
      </c>
      <c r="CV2" s="10">
        <v>0.28776316232979299</v>
      </c>
      <c r="CW2">
        <v>0.06</v>
      </c>
      <c r="CX2">
        <v>9.446042306375622</v>
      </c>
      <c r="CY2">
        <v>1241053725.9702413</v>
      </c>
      <c r="CZ2">
        <v>0.18728966563940047</v>
      </c>
      <c r="DA2">
        <v>2.8454203424927553</v>
      </c>
      <c r="DB2">
        <v>4119969842.3923974</v>
      </c>
      <c r="DC2">
        <v>0.17792518235743043</v>
      </c>
      <c r="DD2">
        <v>1.2514252282583194</v>
      </c>
      <c r="DE2">
        <v>9367755847.7190342</v>
      </c>
      <c r="DF2">
        <v>0.16481490576267241</v>
      </c>
      <c r="DG2">
        <v>0.65827153843658315</v>
      </c>
      <c r="DH2">
        <v>17808830118.711533</v>
      </c>
      <c r="DI2">
        <v>0.14983173251152038</v>
      </c>
      <c r="DJ2">
        <v>0.2496860161417204</v>
      </c>
      <c r="DK2">
        <v>46951151614.938911</v>
      </c>
      <c r="DL2">
        <v>0.13110276594758033</v>
      </c>
      <c r="DM2">
        <v>1108000000</v>
      </c>
      <c r="DN2">
        <v>0.18728966563940047</v>
      </c>
      <c r="DO2">
        <v>11723045999.999998</v>
      </c>
      <c r="DP2">
        <v>1264071600</v>
      </c>
      <c r="DQ2">
        <v>51</v>
      </c>
      <c r="DR2">
        <v>-0.15620158273784607</v>
      </c>
      <c r="DS2">
        <v>5.8862806256594458E-2</v>
      </c>
      <c r="DT2" s="11">
        <v>-5.6666666666666719E-2</v>
      </c>
      <c r="DU2">
        <v>0.58666666666666667</v>
      </c>
      <c r="DV2">
        <v>0.52999999999999992</v>
      </c>
      <c r="DW2">
        <v>-1.0461</v>
      </c>
      <c r="DX2">
        <v>0.35357604166666601</v>
      </c>
      <c r="DY2">
        <v>-1.0066188555208333</v>
      </c>
      <c r="DZ2">
        <v>666</v>
      </c>
      <c r="EA2">
        <v>-1.0057562023355349</v>
      </c>
      <c r="EB2">
        <v>1</v>
      </c>
      <c r="EC2">
        <v>6.4321914866947577E-3</v>
      </c>
      <c r="ED2">
        <v>4.4799894272249514E-2</v>
      </c>
      <c r="EE2" s="12">
        <v>-1.0020100000000001</v>
      </c>
      <c r="EF2">
        <v>-1.0281100000000001</v>
      </c>
      <c r="EG2">
        <v>21.143576041666666</v>
      </c>
      <c r="EH2" t="s">
        <v>588</v>
      </c>
      <c r="EI2">
        <v>0</v>
      </c>
      <c r="EJ2">
        <v>1</v>
      </c>
      <c r="EK2" s="8">
        <v>45470</v>
      </c>
      <c r="EL2" s="13">
        <v>0</v>
      </c>
      <c r="EM2" s="13">
        <v>-2.62</v>
      </c>
      <c r="EN2" s="13">
        <v>0.9</v>
      </c>
      <c r="EO2" s="13">
        <v>2</v>
      </c>
      <c r="EP2" s="13">
        <v>-2.61</v>
      </c>
    </row>
    <row r="3" spans="1:146" ht="240" x14ac:dyDescent="0.25">
      <c r="A3" s="6" t="s">
        <v>284</v>
      </c>
      <c r="B3" s="6" t="s">
        <v>282</v>
      </c>
      <c r="C3" s="6" t="str">
        <f>"公司在十四五规划期间，将继续推进港口物流和新能源双轮驱动的主业发展格局;港口物流板块方面，公司将持续完善西江物流体系，并延伸至长江流域的桥头堡，实现粤港澳大湾区和长江经济带的业务联动；并大力发展跨境电商、电商服务、保税仓储等新兴物流业务。新能源方面，公司将以自主开发及并购相结合的方式，结合区域新能源政策、项目效益等因素，大力拓展效益稳定的平价光伏、分布式光伏、海上风电、储能等清洁能源投资机会;"&amp;CHAR(10)&amp;Basic_Fundamental_Information_Constructure(F3)&amp;CHAR(10)&amp;Basic_Fundamental_Information_Concatenate("物流贸易 12.83亿 36.28%（毛利1.13%，增速6.39%）
物流服务 8.80亿 24.88%（毛利15.54%，增速39.82%）
综合能源 5.58亿 15.77%(毛利35.21%，增速10.87%)
饮料食品 4.04亿 11.43%（毛利26.93%，增速-6.86%）
码头运营服务 2.38亿 6.72%（毛利37.64%，增速201.52%）
物业管理及其他 1.74亿 4.91%（毛利37.39%，增速-5.35%)")</f>
        <v>公司在十四五规划期间，将继续推进港口物流和新能源双轮驱动的主业发展格局;港口物流板块方面，公司将持续完善西江物流体系，并延伸至长江流域的桥头堡，实现粤港澳大湾区和长江经济带的业务联动；并大力发展跨境电商、电商服务、保税仓储等新兴物流业务。新能源方面，公司将以自主开发及并购相结合的方式，结合区域新能源政策、项目效益等因素，大力拓展效益稳定的平价光伏、分布式光伏、海上风电、储能等清洁能源投资机会;
市值41.11215亿, 利润2.77亿; PE15.03; 平均PE14.49; 平均PEG.7, PB.801; ROIC4.0567%; ROE5.7%; 股利率.2685%; 毛利21.7567%; 净利8.55%; 上一年度营收增3.92%, 利润增-9.77%; 当季营收增6.27%, 利润增-6.19%; 过往5年营收增20.57%, 利润增16.53%
Income profile:
物流贸易 12.83亿 36.28%（毛利1.13%，增速6.39%）
物流服务 8.80亿 24.88%（毛利15.54%，增速39.82%）
综合能源 5.58亿 15.77%(毛利35.21%，增速10.87%)
饮料食品 4.04亿 11.43%（毛利26.93%，增速-6.86%）
码头运营服务 2.38亿 6.72%（毛利37.64%，增速201.52%）
物业管理及其他 1.74亿 4.91%（毛利37.39%，增速-5.35%)</v>
      </c>
      <c r="D3" t="s">
        <v>45</v>
      </c>
      <c r="E3" t="s">
        <v>12</v>
      </c>
      <c r="F3">
        <v>4.47</v>
      </c>
      <c r="G3">
        <v>0.22</v>
      </c>
      <c r="H3" t="s">
        <v>589</v>
      </c>
      <c r="I3">
        <v>4111215000</v>
      </c>
      <c r="J3">
        <v>15.03</v>
      </c>
      <c r="K3">
        <v>0.80100000000000005</v>
      </c>
      <c r="L3" t="s">
        <v>41</v>
      </c>
      <c r="M3" t="s">
        <v>590</v>
      </c>
      <c r="N3" t="s">
        <v>591</v>
      </c>
      <c r="O3" t="s">
        <v>592</v>
      </c>
      <c r="P3">
        <v>6.29</v>
      </c>
      <c r="Q3" t="s">
        <v>593</v>
      </c>
      <c r="R3">
        <v>57144814</v>
      </c>
      <c r="S3" s="5">
        <v>-6.1899999999999997E-2</v>
      </c>
      <c r="T3" t="s">
        <v>594</v>
      </c>
      <c r="U3">
        <v>902337750</v>
      </c>
      <c r="V3">
        <v>919734900</v>
      </c>
      <c r="W3">
        <v>2.12</v>
      </c>
      <c r="X3">
        <v>7.0000000000000007E-2</v>
      </c>
      <c r="Y3">
        <v>9</v>
      </c>
      <c r="Z3" t="s">
        <v>595</v>
      </c>
      <c r="AA3" t="s">
        <v>596</v>
      </c>
      <c r="AB3" t="s">
        <v>597</v>
      </c>
      <c r="AC3" t="s">
        <v>598</v>
      </c>
      <c r="AD3" t="s">
        <v>43</v>
      </c>
      <c r="AE3">
        <v>66562185</v>
      </c>
      <c r="AF3" t="s">
        <v>599</v>
      </c>
      <c r="AG3" t="s">
        <v>600</v>
      </c>
      <c r="AH3" t="s">
        <v>601</v>
      </c>
      <c r="AI3" t="s">
        <v>602</v>
      </c>
      <c r="AJ3" t="s">
        <v>603</v>
      </c>
      <c r="AK3" t="s">
        <v>604</v>
      </c>
      <c r="AL3" t="s">
        <v>605</v>
      </c>
      <c r="AM3" t="s">
        <v>43</v>
      </c>
      <c r="AN3" t="s">
        <v>606</v>
      </c>
      <c r="AO3" t="s">
        <v>208</v>
      </c>
      <c r="AP3" t="s">
        <v>287</v>
      </c>
      <c r="AQ3" t="s">
        <v>607</v>
      </c>
      <c r="AR3" t="s">
        <v>608</v>
      </c>
      <c r="AS3" t="s">
        <v>238</v>
      </c>
      <c r="AT3" t="s">
        <v>609</v>
      </c>
      <c r="AU3" t="s">
        <v>288</v>
      </c>
      <c r="AV3" t="s">
        <v>610</v>
      </c>
      <c r="AW3" t="s">
        <v>611</v>
      </c>
      <c r="AX3" t="s">
        <v>612</v>
      </c>
      <c r="AY3" t="s">
        <v>613</v>
      </c>
      <c r="AZ3" t="s">
        <v>144</v>
      </c>
      <c r="BA3" t="s">
        <v>46</v>
      </c>
      <c r="BB3" t="s">
        <v>146</v>
      </c>
      <c r="BC3" t="s">
        <v>614</v>
      </c>
      <c r="BD3" t="s">
        <v>615</v>
      </c>
      <c r="BE3" t="s">
        <v>145</v>
      </c>
      <c r="BF3" t="s">
        <v>47</v>
      </c>
      <c r="BG3" t="s">
        <v>147</v>
      </c>
      <c r="BH3" t="s">
        <v>593</v>
      </c>
      <c r="BI3" t="s">
        <v>208</v>
      </c>
      <c r="BJ3" t="s">
        <v>612</v>
      </c>
      <c r="BK3" t="s">
        <v>594</v>
      </c>
      <c r="BL3" t="s">
        <v>616</v>
      </c>
      <c r="BM3" t="s">
        <v>614</v>
      </c>
      <c r="BN3">
        <v>3.17</v>
      </c>
      <c r="BO3">
        <v>4.08</v>
      </c>
      <c r="BP3">
        <v>4.92</v>
      </c>
      <c r="BQ3">
        <v>3.73</v>
      </c>
      <c r="BR3">
        <v>5.04</v>
      </c>
      <c r="BS3">
        <v>8.33</v>
      </c>
      <c r="BT3" t="s">
        <v>617</v>
      </c>
      <c r="BU3" t="s">
        <v>387</v>
      </c>
      <c r="BV3">
        <v>24.3</v>
      </c>
      <c r="BW3">
        <v>23.76</v>
      </c>
      <c r="BX3">
        <v>17.21</v>
      </c>
      <c r="BY3">
        <v>8.5299999999999994</v>
      </c>
      <c r="BZ3">
        <v>8.8800000000000008</v>
      </c>
      <c r="CA3">
        <v>8.24</v>
      </c>
      <c r="CB3">
        <v>0.9</v>
      </c>
      <c r="CC3">
        <v>-10.56</v>
      </c>
      <c r="CD3" t="s">
        <v>618</v>
      </c>
      <c r="CE3" t="s">
        <v>401</v>
      </c>
      <c r="CF3" s="9">
        <v>6.2748212867355047E-2</v>
      </c>
      <c r="CG3" s="10">
        <v>-6.1864850311590919E-2</v>
      </c>
      <c r="CH3" s="9">
        <v>3.923812136054039E-2</v>
      </c>
      <c r="CI3" s="9">
        <v>-0.19871796667575836</v>
      </c>
      <c r="CJ3" s="9">
        <v>0.85346531867980957</v>
      </c>
      <c r="CK3" s="9">
        <v>6.4118064939975739E-2</v>
      </c>
      <c r="CL3" s="9">
        <v>0.2703632116317749</v>
      </c>
      <c r="CM3" s="10">
        <v>-9.7719870507717133E-2</v>
      </c>
      <c r="CN3" s="10">
        <v>-0.33836206793785095</v>
      </c>
      <c r="CO3" s="10">
        <v>0.76425856351852417</v>
      </c>
      <c r="CP3" s="10">
        <v>0.18468467891216278</v>
      </c>
      <c r="CQ3" s="10">
        <v>0.31360948085784912</v>
      </c>
      <c r="CR3">
        <v>14.493119858989424</v>
      </c>
      <c r="CS3">
        <v>0.70459836741861059</v>
      </c>
      <c r="CT3">
        <v>0.26845637583892618</v>
      </c>
      <c r="CU3" s="9">
        <v>0.20569334998726846</v>
      </c>
      <c r="CV3" s="10">
        <v>0.16529415696859359</v>
      </c>
      <c r="CW3">
        <v>0.06</v>
      </c>
      <c r="CX3">
        <v>18.183787644998411</v>
      </c>
      <c r="CY3">
        <v>315072696.17591822</v>
      </c>
      <c r="CZ3">
        <v>0.20569334998726846</v>
      </c>
      <c r="DA3">
        <v>5.3948986860472328</v>
      </c>
      <c r="DB3">
        <v>1061968969.8376367</v>
      </c>
      <c r="DC3">
        <v>0.19540868248790502</v>
      </c>
      <c r="DD3">
        <v>2.3215188494988719</v>
      </c>
      <c r="DE3">
        <v>2467873565.28969</v>
      </c>
      <c r="DF3">
        <v>0.18101014798879625</v>
      </c>
      <c r="DG3">
        <v>1.1889997553349154</v>
      </c>
      <c r="DH3">
        <v>4818516550.8181324</v>
      </c>
      <c r="DI3">
        <v>0.16455467998981477</v>
      </c>
      <c r="DJ3">
        <v>0.42236831195045116</v>
      </c>
      <c r="DK3">
        <v>13564500077.060955</v>
      </c>
      <c r="DL3">
        <v>0.14398534499108792</v>
      </c>
      <c r="DM3">
        <v>277000000</v>
      </c>
      <c r="DN3">
        <v>0.20569334998726846</v>
      </c>
      <c r="DO3">
        <v>5729215000</v>
      </c>
      <c r="DP3">
        <v>856647100</v>
      </c>
      <c r="DQ3">
        <v>98</v>
      </c>
      <c r="DR3">
        <v>-0.14294513711991341</v>
      </c>
      <c r="DS3">
        <v>-0.22715900728018451</v>
      </c>
      <c r="DT3" s="11">
        <v>-0.2233333333333333</v>
      </c>
      <c r="DU3">
        <v>0.33333333333333331</v>
      </c>
      <c r="DV3">
        <v>0.11000000000000001</v>
      </c>
      <c r="DW3">
        <v>-2.1055999999999999</v>
      </c>
      <c r="DX3">
        <v>0.28603740458015114</v>
      </c>
      <c r="DY3">
        <v>-2.0122535499236642</v>
      </c>
      <c r="DZ3">
        <v>1451</v>
      </c>
      <c r="EA3">
        <v>-2.0087741172545375</v>
      </c>
      <c r="EB3">
        <v>2</v>
      </c>
      <c r="EC3">
        <v>1.6527479820543943E-2</v>
      </c>
      <c r="ED3">
        <v>0.14243234653811659</v>
      </c>
      <c r="EE3" s="12">
        <v>-1.1179999999999999</v>
      </c>
      <c r="EF3">
        <v>-1.109</v>
      </c>
      <c r="EG3">
        <v>17.116037404580151</v>
      </c>
      <c r="EH3" t="s">
        <v>619</v>
      </c>
      <c r="EI3">
        <v>0</v>
      </c>
      <c r="EJ3">
        <v>1</v>
      </c>
      <c r="EK3" s="8">
        <v>45470</v>
      </c>
      <c r="EL3" s="13">
        <v>0.23</v>
      </c>
      <c r="EM3" s="13">
        <v>-2.7</v>
      </c>
      <c r="EN3" s="13">
        <v>1.1499999999999999</v>
      </c>
      <c r="EO3" s="13">
        <v>1.1399999999999999</v>
      </c>
      <c r="EP3" s="13">
        <v>-0.9</v>
      </c>
    </row>
    <row r="4" spans="1:146" ht="96" x14ac:dyDescent="0.25">
      <c r="A4" s="6"/>
      <c r="B4" s="6"/>
      <c r="C4" s="6" t="str">
        <f>""&amp;CHAR(10)&amp;Basic_Fundamental_Information_Constructure(F4)&amp;CHAR(10)&amp;Basic_Fundamental_Information_Concatenate("")</f>
        <v xml:space="preserve">
市值24.998461亿, 利润-870.22万; PE; 平均PE65.9; 平均PEG13.85, PB4.65; ROIC12.675%; ROE8.0633%; 股利率0%; 毛利10.8733%; 净利4.3033%; 上一年度营收增-2.88%, 利润增-124.02%; 当季营收增-6.52%, 利润增10.37%; 过往5年营收增4.76%, 利润增102.49%
Income profile:
</v>
      </c>
      <c r="D4" t="s">
        <v>48</v>
      </c>
      <c r="E4" t="s">
        <v>620</v>
      </c>
      <c r="F4">
        <v>2.4700000000000002</v>
      </c>
      <c r="G4">
        <v>-0.4</v>
      </c>
      <c r="H4" t="s">
        <v>621</v>
      </c>
      <c r="I4">
        <v>2499846100</v>
      </c>
      <c r="K4">
        <v>4.6500000000000004</v>
      </c>
      <c r="L4" t="s">
        <v>41</v>
      </c>
      <c r="M4" t="s">
        <v>544</v>
      </c>
      <c r="N4" t="s">
        <v>207</v>
      </c>
      <c r="O4" t="s">
        <v>622</v>
      </c>
      <c r="P4">
        <v>-6.71</v>
      </c>
      <c r="Q4" t="s">
        <v>623</v>
      </c>
      <c r="R4">
        <v>-7586283</v>
      </c>
      <c r="S4" s="5">
        <v>0.1037</v>
      </c>
      <c r="T4" t="s">
        <v>624</v>
      </c>
      <c r="U4">
        <v>1012083460</v>
      </c>
      <c r="V4">
        <v>1012083460</v>
      </c>
      <c r="W4">
        <v>1.41</v>
      </c>
      <c r="X4">
        <v>0.28999999999999998</v>
      </c>
      <c r="Y4">
        <v>-3.54</v>
      </c>
      <c r="Z4" t="s">
        <v>179</v>
      </c>
      <c r="AA4" t="s">
        <v>498</v>
      </c>
      <c r="AB4" t="s">
        <v>625</v>
      </c>
      <c r="AC4" t="s">
        <v>626</v>
      </c>
      <c r="AD4" t="s">
        <v>43</v>
      </c>
      <c r="AE4">
        <v>531562</v>
      </c>
      <c r="AF4" t="s">
        <v>52</v>
      </c>
      <c r="AG4" t="s">
        <v>43</v>
      </c>
      <c r="AH4" t="s">
        <v>627</v>
      </c>
      <c r="AI4" t="s">
        <v>628</v>
      </c>
      <c r="AJ4" t="s">
        <v>629</v>
      </c>
      <c r="AK4" t="s">
        <v>630</v>
      </c>
      <c r="AL4" t="s">
        <v>631</v>
      </c>
      <c r="AM4" t="s">
        <v>43</v>
      </c>
      <c r="AN4">
        <v>0</v>
      </c>
      <c r="AO4" t="s">
        <v>632</v>
      </c>
      <c r="AP4" t="s">
        <v>43</v>
      </c>
      <c r="AQ4" t="s">
        <v>633</v>
      </c>
      <c r="AR4" t="s">
        <v>43</v>
      </c>
      <c r="AS4" t="s">
        <v>634</v>
      </c>
      <c r="AT4" t="s">
        <v>43</v>
      </c>
      <c r="AU4" t="s">
        <v>635</v>
      </c>
      <c r="AV4" t="s">
        <v>636</v>
      </c>
      <c r="AW4" t="s">
        <v>637</v>
      </c>
      <c r="AX4" t="s">
        <v>638</v>
      </c>
      <c r="AY4" t="s">
        <v>306</v>
      </c>
      <c r="AZ4" t="s">
        <v>149</v>
      </c>
      <c r="BA4" t="s">
        <v>50</v>
      </c>
      <c r="BB4" t="s">
        <v>152</v>
      </c>
      <c r="BC4" t="s">
        <v>639</v>
      </c>
      <c r="BD4" t="s">
        <v>307</v>
      </c>
      <c r="BE4" t="s">
        <v>150</v>
      </c>
      <c r="BF4" t="s">
        <v>51</v>
      </c>
      <c r="BG4" t="s">
        <v>153</v>
      </c>
      <c r="BH4" t="s">
        <v>623</v>
      </c>
      <c r="BI4" t="s">
        <v>640</v>
      </c>
      <c r="BJ4" t="s">
        <v>638</v>
      </c>
      <c r="BK4" t="s">
        <v>624</v>
      </c>
      <c r="BL4" t="s">
        <v>641</v>
      </c>
      <c r="BM4" t="s">
        <v>639</v>
      </c>
      <c r="BN4" t="s">
        <v>43</v>
      </c>
      <c r="BO4">
        <v>6.36</v>
      </c>
      <c r="BP4">
        <v>18.989999999999998</v>
      </c>
      <c r="BQ4">
        <v>-3.04</v>
      </c>
      <c r="BR4">
        <v>6.75</v>
      </c>
      <c r="BS4">
        <v>20.48</v>
      </c>
      <c r="BT4" t="s">
        <v>487</v>
      </c>
      <c r="BU4" t="s">
        <v>369</v>
      </c>
      <c r="BV4">
        <v>2.04</v>
      </c>
      <c r="BW4">
        <v>8.9700000000000006</v>
      </c>
      <c r="BX4">
        <v>21.61</v>
      </c>
      <c r="BY4">
        <v>-0.86</v>
      </c>
      <c r="BZ4">
        <v>3.48</v>
      </c>
      <c r="CA4">
        <v>10.29</v>
      </c>
      <c r="CB4">
        <v>6.93</v>
      </c>
      <c r="CC4">
        <v>-18.75</v>
      </c>
      <c r="CD4" t="s">
        <v>95</v>
      </c>
      <c r="CE4" t="s">
        <v>642</v>
      </c>
      <c r="CF4" s="9">
        <v>-6.5217391304347699E-2</v>
      </c>
      <c r="CG4" s="10">
        <v>0.1037000236294896</v>
      </c>
      <c r="CH4" s="9">
        <v>-2.8790786862373352E-2</v>
      </c>
      <c r="CI4" s="9">
        <v>0.1144385039806366</v>
      </c>
      <c r="CJ4" s="9">
        <v>0.30769231915473938</v>
      </c>
      <c r="CK4" s="9">
        <v>-9.7222223877906799E-2</v>
      </c>
      <c r="CL4" s="9">
        <v>-5.8263972401618958E-2</v>
      </c>
      <c r="CM4" s="10">
        <v>-1.2401793003082275</v>
      </c>
      <c r="CN4" s="10">
        <v>-0.62330740690231323</v>
      </c>
      <c r="CO4" s="10">
        <v>8.1352262496948242</v>
      </c>
      <c r="CP4" s="10">
        <v>-0.67243665456771851</v>
      </c>
      <c r="CQ4" s="10">
        <v>-0.47490888833999634</v>
      </c>
      <c r="CR4">
        <v>65.900460452895842</v>
      </c>
      <c r="CS4">
        <v>13.853142008281884</v>
      </c>
      <c r="CT4">
        <v>0</v>
      </c>
      <c r="CU4" s="9">
        <v>4.7570767998695376E-2</v>
      </c>
      <c r="CV4" s="10">
        <v>1.0248787999153137</v>
      </c>
      <c r="CW4">
        <v>0.06</v>
      </c>
      <c r="CX4" t="e">
        <v>#VALUE!</v>
      </c>
      <c r="CY4" t="s">
        <v>643</v>
      </c>
      <c r="CZ4">
        <v>4.7570767998695376E-2</v>
      </c>
      <c r="DA4" t="e">
        <v>#VALUE!</v>
      </c>
      <c r="DB4" t="s">
        <v>399</v>
      </c>
      <c r="DC4">
        <v>4.5192229598760604E-2</v>
      </c>
      <c r="DD4" t="e">
        <v>#VALUE!</v>
      </c>
      <c r="DE4" t="s">
        <v>399</v>
      </c>
      <c r="DF4">
        <v>4.186227583885193E-2</v>
      </c>
      <c r="DG4" t="e">
        <v>#VALUE!</v>
      </c>
      <c r="DH4" t="s">
        <v>399</v>
      </c>
      <c r="DI4">
        <v>3.8056614398956301E-2</v>
      </c>
      <c r="DJ4" t="e">
        <v>#VALUE!</v>
      </c>
      <c r="DK4" t="s">
        <v>399</v>
      </c>
      <c r="DL4">
        <v>3.3299537599086763E-2</v>
      </c>
      <c r="DM4">
        <v>-8702200</v>
      </c>
      <c r="DN4">
        <v>4.7570767998695376E-2</v>
      </c>
      <c r="DO4">
        <v>2160846100</v>
      </c>
      <c r="DP4">
        <v>78522620</v>
      </c>
      <c r="DQ4">
        <v>107</v>
      </c>
      <c r="DR4">
        <v>-0.11278815930304308</v>
      </c>
      <c r="DS4">
        <v>-0.92117877628582412</v>
      </c>
      <c r="DT4" s="11">
        <v>-0.3066666666666667</v>
      </c>
      <c r="DU4">
        <v>-1.5466666666666669</v>
      </c>
      <c r="DV4">
        <v>-1.8533333333333335</v>
      </c>
      <c r="DW4">
        <v>7.2698598130841123</v>
      </c>
      <c r="DX4">
        <v>0.29100045239301398</v>
      </c>
      <c r="DY4">
        <v>7.0353517575967128</v>
      </c>
      <c r="DZ4">
        <v>4293</v>
      </c>
      <c r="EA4">
        <v>7.0056521303241714</v>
      </c>
      <c r="EB4">
        <v>7</v>
      </c>
      <c r="EC4">
        <v>0.28851375557505898</v>
      </c>
      <c r="ED4">
        <v>2.2023875382767346</v>
      </c>
      <c r="EE4" s="12">
        <v>1.1062099999999999</v>
      </c>
      <c r="EF4">
        <v>1.13591</v>
      </c>
      <c r="EG4">
        <v>16.131000452393014</v>
      </c>
      <c r="EH4" t="s">
        <v>389</v>
      </c>
      <c r="EI4">
        <v>1</v>
      </c>
      <c r="EJ4">
        <v>0</v>
      </c>
      <c r="EK4" s="8">
        <v>45470</v>
      </c>
      <c r="EL4" s="13">
        <v>-4.2</v>
      </c>
      <c r="EM4" s="13">
        <v>-5.18</v>
      </c>
      <c r="EN4" s="13">
        <v>-1.26</v>
      </c>
      <c r="EO4" s="13">
        <v>0.43</v>
      </c>
      <c r="EP4" s="13">
        <v>-2.97</v>
      </c>
    </row>
    <row r="5" spans="1:146" ht="96" x14ac:dyDescent="0.25">
      <c r="A5" s="6"/>
      <c r="B5" s="6"/>
      <c r="C5" s="6" t="str">
        <f>""&amp;CHAR(10)&amp;Basic_Fundamental_Information_Constructure(F5)&amp;CHAR(10)&amp;Basic_Fundamental_Information_Concatenate("")</f>
        <v xml:space="preserve">
市值169.45015亿, 利润11.27亿; PE13.24; 平均PE17.34; 平均PEG1.65, PB.973; ROIC5.22%; ROE8.04%; 股利率2.6247%; 毛利34.7067%; 净利18.49%; 上一年度营收增8.95%, 利润增10.49%; 当季营收增1.72%, 利润增64.38%; 过往5年营收增10.5%, 利润增13.77%
Income profile:
</v>
      </c>
      <c r="D5" t="s">
        <v>53</v>
      </c>
      <c r="E5" t="s">
        <v>17</v>
      </c>
      <c r="F5">
        <v>7.44</v>
      </c>
      <c r="G5">
        <v>-0.8</v>
      </c>
      <c r="H5" t="s">
        <v>644</v>
      </c>
      <c r="I5">
        <v>16945015000</v>
      </c>
      <c r="J5">
        <v>13.24</v>
      </c>
      <c r="K5">
        <v>0.97299999999999998</v>
      </c>
      <c r="L5" t="s">
        <v>41</v>
      </c>
      <c r="M5" t="s">
        <v>645</v>
      </c>
      <c r="N5" t="s">
        <v>646</v>
      </c>
      <c r="O5" t="s">
        <v>647</v>
      </c>
      <c r="P5">
        <v>1.69</v>
      </c>
      <c r="Q5" t="s">
        <v>648</v>
      </c>
      <c r="R5">
        <v>391215870</v>
      </c>
      <c r="S5" s="5">
        <v>0.64439999999999997</v>
      </c>
      <c r="T5" t="s">
        <v>649</v>
      </c>
      <c r="U5">
        <v>1411454800</v>
      </c>
      <c r="V5">
        <v>2277555800</v>
      </c>
      <c r="W5">
        <v>2.0699999999999998</v>
      </c>
      <c r="X5">
        <v>0.05</v>
      </c>
      <c r="Y5">
        <v>27.49</v>
      </c>
      <c r="Z5" t="s">
        <v>650</v>
      </c>
      <c r="AA5" t="s">
        <v>182</v>
      </c>
      <c r="AB5" t="s">
        <v>43</v>
      </c>
      <c r="AC5" t="s">
        <v>322</v>
      </c>
      <c r="AD5" t="s">
        <v>43</v>
      </c>
      <c r="AE5">
        <v>83320840</v>
      </c>
      <c r="AF5" t="s">
        <v>651</v>
      </c>
      <c r="AG5" t="s">
        <v>652</v>
      </c>
      <c r="AH5" t="s">
        <v>653</v>
      </c>
      <c r="AI5" t="s">
        <v>654</v>
      </c>
      <c r="AJ5" t="s">
        <v>655</v>
      </c>
      <c r="AK5" t="s">
        <v>656</v>
      </c>
      <c r="AL5" t="s">
        <v>657</v>
      </c>
      <c r="AM5" t="s">
        <v>43</v>
      </c>
      <c r="AN5" t="s">
        <v>658</v>
      </c>
      <c r="AO5" t="s">
        <v>659</v>
      </c>
      <c r="AP5" t="s">
        <v>43</v>
      </c>
      <c r="AQ5" t="s">
        <v>660</v>
      </c>
      <c r="AR5" t="s">
        <v>43</v>
      </c>
      <c r="AS5" t="s">
        <v>661</v>
      </c>
      <c r="AT5" t="s">
        <v>662</v>
      </c>
      <c r="AU5" t="s">
        <v>663</v>
      </c>
      <c r="AV5" t="s">
        <v>664</v>
      </c>
      <c r="AW5" t="s">
        <v>665</v>
      </c>
      <c r="AX5" t="s">
        <v>666</v>
      </c>
      <c r="AY5" t="s">
        <v>667</v>
      </c>
      <c r="AZ5" t="s">
        <v>155</v>
      </c>
      <c r="BA5" t="s">
        <v>54</v>
      </c>
      <c r="BB5" t="s">
        <v>157</v>
      </c>
      <c r="BC5" t="s">
        <v>668</v>
      </c>
      <c r="BD5" t="s">
        <v>668</v>
      </c>
      <c r="BE5" t="s">
        <v>156</v>
      </c>
      <c r="BF5" t="s">
        <v>55</v>
      </c>
      <c r="BG5" t="s">
        <v>158</v>
      </c>
      <c r="BH5" t="s">
        <v>648</v>
      </c>
      <c r="BI5" t="s">
        <v>669</v>
      </c>
      <c r="BJ5" t="s">
        <v>666</v>
      </c>
      <c r="BK5" t="s">
        <v>649</v>
      </c>
      <c r="BL5" t="s">
        <v>202</v>
      </c>
      <c r="BM5" t="s">
        <v>668</v>
      </c>
      <c r="BN5">
        <v>4.0999999999999996</v>
      </c>
      <c r="BO5">
        <v>5.41</v>
      </c>
      <c r="BP5">
        <v>6.15</v>
      </c>
      <c r="BQ5">
        <v>6.36</v>
      </c>
      <c r="BR5">
        <v>8.5500000000000007</v>
      </c>
      <c r="BS5">
        <v>9.2100000000000009</v>
      </c>
      <c r="BT5" t="s">
        <v>670</v>
      </c>
      <c r="BU5" t="s">
        <v>387</v>
      </c>
      <c r="BV5">
        <v>33.799999999999997</v>
      </c>
      <c r="BW5">
        <v>34.42</v>
      </c>
      <c r="BX5">
        <v>35.9</v>
      </c>
      <c r="BY5">
        <v>17.91</v>
      </c>
      <c r="BZ5">
        <v>18.03</v>
      </c>
      <c r="CA5">
        <v>19.53</v>
      </c>
      <c r="CB5">
        <v>0</v>
      </c>
      <c r="CC5">
        <v>-3.81</v>
      </c>
      <c r="CD5" t="s">
        <v>671</v>
      </c>
      <c r="CE5" t="s">
        <v>672</v>
      </c>
      <c r="CF5" s="9">
        <v>1.7173051519154558E-2</v>
      </c>
      <c r="CG5" s="10">
        <v>0.64376415966386558</v>
      </c>
      <c r="CH5" s="9">
        <v>8.951251208782196E-2</v>
      </c>
      <c r="CI5" s="9">
        <v>7.972242683172226E-2</v>
      </c>
      <c r="CJ5" s="9">
        <v>0.10162221640348434</v>
      </c>
      <c r="CK5" s="9">
        <v>0.11915688961744308</v>
      </c>
      <c r="CL5" s="9">
        <v>0.13473832607269287</v>
      </c>
      <c r="CM5" s="10">
        <v>0.10490202158689499</v>
      </c>
      <c r="CN5" s="10">
        <v>0</v>
      </c>
      <c r="CO5" s="10">
        <v>-5.2044611424207687E-2</v>
      </c>
      <c r="CP5" s="10">
        <v>9.3495935201644897E-2</v>
      </c>
      <c r="CQ5" s="10">
        <v>0.54231977462768555</v>
      </c>
      <c r="CR5">
        <v>17.335053708439897</v>
      </c>
      <c r="CS5">
        <v>1.6517365776709383</v>
      </c>
      <c r="CT5">
        <v>2.624702956989247</v>
      </c>
      <c r="CU5" s="9">
        <v>0.1049504742026329</v>
      </c>
      <c r="CV5" s="10">
        <v>0.13773462399840355</v>
      </c>
      <c r="CW5">
        <v>0.06</v>
      </c>
      <c r="CX5">
        <v>15.492972291901978</v>
      </c>
      <c r="CY5">
        <v>1174791683.4211011</v>
      </c>
      <c r="CZ5">
        <v>0.1049504742026329</v>
      </c>
      <c r="DA5">
        <v>4.9993744848979018</v>
      </c>
      <c r="DB5">
        <v>3640658457.3693333</v>
      </c>
      <c r="DC5">
        <v>9.9702950492501247E-2</v>
      </c>
      <c r="DD5">
        <v>2.4195981492671921</v>
      </c>
      <c r="DE5">
        <v>7522329691.6111555</v>
      </c>
      <c r="DF5">
        <v>9.2356417298316951E-2</v>
      </c>
      <c r="DG5">
        <v>1.4252318150881995</v>
      </c>
      <c r="DH5">
        <v>12770564624.866756</v>
      </c>
      <c r="DI5">
        <v>8.3960379362106319E-2</v>
      </c>
      <c r="DJ5">
        <v>0.7053897835420887</v>
      </c>
      <c r="DK5">
        <v>25802776599.065948</v>
      </c>
      <c r="DL5">
        <v>7.3465331941843029E-2</v>
      </c>
      <c r="DM5">
        <v>1127000000</v>
      </c>
      <c r="DN5">
        <v>0.1049504742026329</v>
      </c>
      <c r="DO5">
        <v>18201015000</v>
      </c>
      <c r="DP5">
        <v>-2509200400</v>
      </c>
      <c r="DQ5">
        <v>154</v>
      </c>
      <c r="DR5">
        <v>-8.7777422683478337E-2</v>
      </c>
      <c r="DS5">
        <v>0.50602953566546205</v>
      </c>
      <c r="DT5" s="11">
        <v>-0.44</v>
      </c>
      <c r="DU5">
        <v>0.32</v>
      </c>
      <c r="DV5">
        <v>-0.12</v>
      </c>
      <c r="DW5">
        <v>-1.0381</v>
      </c>
      <c r="DX5">
        <v>0.34208695652174043</v>
      </c>
      <c r="DY5">
        <v>-1.0061755130434782</v>
      </c>
      <c r="DZ5">
        <v>1981</v>
      </c>
      <c r="EA5">
        <v>-1.0037814442882669</v>
      </c>
      <c r="EB5">
        <v>1</v>
      </c>
      <c r="EC5">
        <v>1.8005266874251774E-2</v>
      </c>
      <c r="ED5">
        <v>0.11108399627354902</v>
      </c>
      <c r="EE5" s="12">
        <v>2.1010000000000001E-2</v>
      </c>
      <c r="EF5">
        <v>3.9710000000000002E-2</v>
      </c>
      <c r="EG5">
        <v>18.16208695652174</v>
      </c>
      <c r="EH5">
        <v>-1</v>
      </c>
      <c r="EI5">
        <v>0</v>
      </c>
      <c r="EJ5">
        <v>0</v>
      </c>
      <c r="EK5" s="8">
        <v>45470</v>
      </c>
      <c r="EL5" s="13">
        <v>0.27</v>
      </c>
      <c r="EM5" s="13">
        <v>-2.0099999999999998</v>
      </c>
      <c r="EN5" s="13">
        <v>0.82</v>
      </c>
      <c r="EO5" s="13">
        <v>1.49</v>
      </c>
      <c r="EP5" s="13">
        <v>-1.87</v>
      </c>
    </row>
    <row r="6" spans="1:146" ht="96" x14ac:dyDescent="0.25">
      <c r="A6" s="6"/>
      <c r="B6" s="6"/>
      <c r="C6" s="6" t="str">
        <f>""&amp;CHAR(10)&amp;Basic_Fundamental_Information_Constructure(F6)&amp;CHAR(10)&amp;Basic_Fundamental_Information_Concatenate("")</f>
        <v xml:space="preserve">
市值42.283147亿, 利润2.32亿; PE18.2; 平均PE26.38; 平均PEG2.05, PB.854; ROIC5.35%; ROE5.6967%; 股利率1.7544%; 毛利3.06%; 净利1.3067%; 上一年度营收增4.23%, 利润增-5.69%; 当季营收增4.9%, 利润增.71%; 过往5年营收增12.87%, 利润增74.38%
Income profile:
</v>
      </c>
      <c r="D6" t="s">
        <v>56</v>
      </c>
      <c r="E6" t="s">
        <v>6</v>
      </c>
      <c r="F6">
        <v>5.7</v>
      </c>
      <c r="G6">
        <v>0.35</v>
      </c>
      <c r="H6" t="s">
        <v>673</v>
      </c>
      <c r="I6">
        <v>4228314700</v>
      </c>
      <c r="J6">
        <v>18.2</v>
      </c>
      <c r="K6">
        <v>0.85399999999999998</v>
      </c>
      <c r="L6" t="s">
        <v>41</v>
      </c>
      <c r="M6" t="s">
        <v>674</v>
      </c>
      <c r="N6" t="s">
        <v>675</v>
      </c>
      <c r="O6" t="s">
        <v>676</v>
      </c>
      <c r="P6">
        <v>4.9000000000000004</v>
      </c>
      <c r="Q6" t="s">
        <v>677</v>
      </c>
      <c r="R6">
        <v>77374446</v>
      </c>
      <c r="S6" s="5">
        <v>7.1199999999999996E-3</v>
      </c>
      <c r="T6" t="s">
        <v>606</v>
      </c>
      <c r="U6">
        <v>741808100</v>
      </c>
      <c r="V6">
        <v>741809600</v>
      </c>
      <c r="W6">
        <v>2.2799999999999998</v>
      </c>
      <c r="X6">
        <v>0.45</v>
      </c>
      <c r="Y6">
        <v>1.45</v>
      </c>
      <c r="Z6" t="s">
        <v>678</v>
      </c>
      <c r="AA6" t="s">
        <v>679</v>
      </c>
      <c r="AB6" t="s">
        <v>680</v>
      </c>
      <c r="AC6" t="s">
        <v>681</v>
      </c>
      <c r="AD6" t="s">
        <v>43</v>
      </c>
      <c r="AE6">
        <v>38486789</v>
      </c>
      <c r="AF6" t="s">
        <v>682</v>
      </c>
      <c r="AG6" t="s">
        <v>683</v>
      </c>
      <c r="AH6" t="s">
        <v>684</v>
      </c>
      <c r="AI6" t="s">
        <v>283</v>
      </c>
      <c r="AJ6" t="s">
        <v>685</v>
      </c>
      <c r="AK6" t="s">
        <v>686</v>
      </c>
      <c r="AL6" t="s">
        <v>687</v>
      </c>
      <c r="AM6" t="s">
        <v>43</v>
      </c>
      <c r="AN6" t="s">
        <v>688</v>
      </c>
      <c r="AO6" t="s">
        <v>689</v>
      </c>
      <c r="AP6" t="s">
        <v>390</v>
      </c>
      <c r="AQ6" t="s">
        <v>690</v>
      </c>
      <c r="AR6" t="s">
        <v>691</v>
      </c>
      <c r="AS6" t="s">
        <v>692</v>
      </c>
      <c r="AT6" t="s">
        <v>693</v>
      </c>
      <c r="AU6" t="s">
        <v>694</v>
      </c>
      <c r="AV6" t="s">
        <v>695</v>
      </c>
      <c r="AW6" t="s">
        <v>696</v>
      </c>
      <c r="AX6" t="s">
        <v>697</v>
      </c>
      <c r="AY6" t="s">
        <v>698</v>
      </c>
      <c r="AZ6" t="s">
        <v>160</v>
      </c>
      <c r="BA6" t="s">
        <v>57</v>
      </c>
      <c r="BB6" t="s">
        <v>162</v>
      </c>
      <c r="BC6" t="s">
        <v>699</v>
      </c>
      <c r="BD6" t="s">
        <v>308</v>
      </c>
      <c r="BE6" t="s">
        <v>161</v>
      </c>
      <c r="BF6" t="s">
        <v>58</v>
      </c>
      <c r="BG6" t="s">
        <v>163</v>
      </c>
      <c r="BH6" t="s">
        <v>677</v>
      </c>
      <c r="BI6" t="s">
        <v>700</v>
      </c>
      <c r="BJ6" t="s">
        <v>697</v>
      </c>
      <c r="BK6" t="s">
        <v>606</v>
      </c>
      <c r="BL6" t="s">
        <v>701</v>
      </c>
      <c r="BM6" t="s">
        <v>699</v>
      </c>
      <c r="BN6">
        <v>4.5199999999999996</v>
      </c>
      <c r="BO6">
        <v>5.74</v>
      </c>
      <c r="BP6">
        <v>5.79</v>
      </c>
      <c r="BQ6">
        <v>4.5599999999999996</v>
      </c>
      <c r="BR6">
        <v>5.9</v>
      </c>
      <c r="BS6">
        <v>6.63</v>
      </c>
      <c r="BT6" t="s">
        <v>497</v>
      </c>
      <c r="BU6" t="s">
        <v>387</v>
      </c>
      <c r="BV6">
        <v>2.78</v>
      </c>
      <c r="BW6">
        <v>3.52</v>
      </c>
      <c r="BX6">
        <v>2.88</v>
      </c>
      <c r="BY6">
        <v>1.29</v>
      </c>
      <c r="BZ6">
        <v>1.44</v>
      </c>
      <c r="CA6">
        <v>1.19</v>
      </c>
      <c r="CB6">
        <v>0.88</v>
      </c>
      <c r="CC6">
        <v>-9.9499999999999993</v>
      </c>
      <c r="CD6" t="s">
        <v>702</v>
      </c>
      <c r="CE6" t="s">
        <v>703</v>
      </c>
      <c r="CF6" s="9">
        <v>4.9039098740888007E-2</v>
      </c>
      <c r="CG6" s="10">
        <v>7.1217653099874658E-3</v>
      </c>
      <c r="CH6" s="9">
        <v>4.232589527964592E-2</v>
      </c>
      <c r="CI6" s="9">
        <v>-6.8203017115592957E-2</v>
      </c>
      <c r="CJ6" s="9">
        <v>0.50299245119094849</v>
      </c>
      <c r="CK6" s="9">
        <v>0.109572634100914</v>
      </c>
      <c r="CL6" s="9">
        <v>5.7053264230489731E-2</v>
      </c>
      <c r="CM6" s="10">
        <v>-5.6910570710897446E-2</v>
      </c>
      <c r="CN6" s="10">
        <v>2.9288703575730324E-2</v>
      </c>
      <c r="CO6" s="10">
        <v>0.78358209133148193</v>
      </c>
      <c r="CP6" s="10">
        <v>0.56488674879074097</v>
      </c>
      <c r="CQ6" s="10">
        <v>2.3980920314788818</v>
      </c>
      <c r="CR6">
        <v>26.376730194284136</v>
      </c>
      <c r="CS6">
        <v>2.0487059908436849</v>
      </c>
      <c r="CT6">
        <v>1.7543859649122806</v>
      </c>
      <c r="CU6" s="9">
        <v>0.12874824553728104</v>
      </c>
      <c r="CV6" s="10">
        <v>0.74378780089318752</v>
      </c>
      <c r="CW6">
        <v>0.06</v>
      </c>
      <c r="CX6">
        <v>19.859860486750225</v>
      </c>
      <c r="CY6">
        <v>247046785.81570673</v>
      </c>
      <c r="CZ6">
        <v>0.12874824553728104</v>
      </c>
      <c r="DA6">
        <v>6.2814422631055793</v>
      </c>
      <c r="DB6">
        <v>781080919.71449423</v>
      </c>
      <c r="DC6">
        <v>0.12231083326041697</v>
      </c>
      <c r="DD6">
        <v>2.9581685566554294</v>
      </c>
      <c r="DE6">
        <v>1658564955.3205945</v>
      </c>
      <c r="DF6">
        <v>0.11329845607280731</v>
      </c>
      <c r="DG6">
        <v>1.6883349029244534</v>
      </c>
      <c r="DH6">
        <v>2906007979.5196528</v>
      </c>
      <c r="DI6">
        <v>0.10299859642982484</v>
      </c>
      <c r="DJ6">
        <v>0.77767506489263283</v>
      </c>
      <c r="DK6">
        <v>6308952056.5731068</v>
      </c>
      <c r="DL6">
        <v>9.0123771876096714E-2</v>
      </c>
      <c r="DM6">
        <v>231999999.99999997</v>
      </c>
      <c r="DN6">
        <v>0.12874824553728104</v>
      </c>
      <c r="DO6">
        <v>4906314700</v>
      </c>
      <c r="DP6">
        <v>632202400.00000095</v>
      </c>
      <c r="DQ6">
        <v>359</v>
      </c>
      <c r="DR6">
        <v>-7.9709146796393029E-2</v>
      </c>
      <c r="DS6">
        <v>-0.7366660355832001</v>
      </c>
      <c r="DT6" s="11">
        <v>-0.3066666666666667</v>
      </c>
      <c r="DU6">
        <v>0.92166666666666675</v>
      </c>
      <c r="DV6">
        <v>0.61499999999999999</v>
      </c>
      <c r="DW6">
        <v>-2.0994999999999999</v>
      </c>
      <c r="DX6">
        <v>0.32866060606060771</v>
      </c>
      <c r="DY6">
        <v>-2.0137967303030302</v>
      </c>
      <c r="DZ6">
        <v>552</v>
      </c>
      <c r="EA6">
        <v>-2.0123063594366362</v>
      </c>
      <c r="EB6">
        <v>2</v>
      </c>
      <c r="EC6">
        <v>2.4673716813586669E-2</v>
      </c>
      <c r="ED6">
        <v>0.1779432350295817</v>
      </c>
      <c r="EE6" s="12">
        <v>-1.0019100000000001</v>
      </c>
      <c r="EF6">
        <v>-1.0159100000000001</v>
      </c>
      <c r="EG6">
        <v>19.138660606060608</v>
      </c>
      <c r="EH6" t="s">
        <v>588</v>
      </c>
      <c r="EI6">
        <v>0</v>
      </c>
      <c r="EJ6">
        <v>1</v>
      </c>
      <c r="EK6" s="8">
        <v>45470</v>
      </c>
      <c r="EL6" s="13">
        <v>0.35</v>
      </c>
      <c r="EM6" s="13">
        <v>-3.14</v>
      </c>
      <c r="EN6" s="13">
        <v>1.8</v>
      </c>
      <c r="EO6" s="13">
        <v>1.06</v>
      </c>
      <c r="EP6" s="13">
        <v>-1.4</v>
      </c>
    </row>
    <row r="7" spans="1:146" ht="96" x14ac:dyDescent="0.25">
      <c r="A7" s="6"/>
      <c r="B7" s="6"/>
      <c r="C7" s="6" t="str">
        <f>""&amp;CHAR(10)&amp;Basic_Fundamental_Information_Constructure(F7)&amp;CHAR(10)&amp;Basic_Fundamental_Information_Concatenate("")</f>
        <v xml:space="preserve">
市值27.441906亿, 利润1.82亿; PE14.92; 平均PE23.59; 平均PEG.7, PB1.62; ROIC8.8167%; ROE10.66%; 股利率.7477%; 毛利34.6567%; 净利18.9533%; 上一年度营收增45.28%, 利润增7.69%; 当季营收增29.45%, 利润增4.12%; 过往5年营收增33.86%, 利润增34.99%
Income profile:
</v>
      </c>
      <c r="D7" t="s">
        <v>165</v>
      </c>
      <c r="E7" t="s">
        <v>166</v>
      </c>
      <c r="F7">
        <v>16.05</v>
      </c>
      <c r="G7">
        <v>0.31</v>
      </c>
      <c r="H7" t="s">
        <v>704</v>
      </c>
      <c r="I7">
        <v>2744190600</v>
      </c>
      <c r="J7">
        <v>14.92</v>
      </c>
      <c r="K7">
        <v>1.62</v>
      </c>
      <c r="L7" t="s">
        <v>41</v>
      </c>
      <c r="M7" t="s">
        <v>705</v>
      </c>
      <c r="N7" t="s">
        <v>706</v>
      </c>
      <c r="O7" t="s">
        <v>689</v>
      </c>
      <c r="P7">
        <v>29.27</v>
      </c>
      <c r="Q7" t="s">
        <v>707</v>
      </c>
      <c r="R7">
        <v>47302935</v>
      </c>
      <c r="S7" s="5">
        <v>4.1200000000000001E-2</v>
      </c>
      <c r="T7" t="s">
        <v>708</v>
      </c>
      <c r="U7">
        <v>131581208</v>
      </c>
      <c r="V7">
        <v>170977610</v>
      </c>
      <c r="W7">
        <v>2.2799999999999998</v>
      </c>
      <c r="X7">
        <v>0.09</v>
      </c>
      <c r="Y7">
        <v>16.39</v>
      </c>
      <c r="Z7" t="s">
        <v>709</v>
      </c>
      <c r="AA7" t="s">
        <v>323</v>
      </c>
      <c r="AB7" t="s">
        <v>710</v>
      </c>
      <c r="AC7" t="s">
        <v>711</v>
      </c>
      <c r="AD7" t="s">
        <v>43</v>
      </c>
      <c r="AE7">
        <v>23352852</v>
      </c>
      <c r="AF7" t="s">
        <v>712</v>
      </c>
      <c r="AG7" t="s">
        <v>713</v>
      </c>
      <c r="AH7" t="s">
        <v>714</v>
      </c>
      <c r="AI7" t="s">
        <v>410</v>
      </c>
      <c r="AJ7" t="s">
        <v>715</v>
      </c>
      <c r="AK7" t="s">
        <v>43</v>
      </c>
      <c r="AL7" t="s">
        <v>716</v>
      </c>
      <c r="AM7" t="s">
        <v>43</v>
      </c>
      <c r="AN7" t="s">
        <v>717</v>
      </c>
      <c r="AO7" t="s">
        <v>689</v>
      </c>
      <c r="AP7" t="s">
        <v>43</v>
      </c>
      <c r="AQ7" t="s">
        <v>191</v>
      </c>
      <c r="AR7" t="s">
        <v>492</v>
      </c>
      <c r="AS7" t="s">
        <v>528</v>
      </c>
      <c r="AT7" t="s">
        <v>550</v>
      </c>
      <c r="AU7" t="s">
        <v>718</v>
      </c>
      <c r="AV7" t="s">
        <v>719</v>
      </c>
      <c r="AW7" t="s">
        <v>720</v>
      </c>
      <c r="AX7" t="s">
        <v>721</v>
      </c>
      <c r="AY7" t="s">
        <v>309</v>
      </c>
      <c r="AZ7" t="s">
        <v>167</v>
      </c>
      <c r="BA7" t="s">
        <v>169</v>
      </c>
      <c r="BB7" t="s">
        <v>62</v>
      </c>
      <c r="BC7" t="s">
        <v>147</v>
      </c>
      <c r="BD7" t="s">
        <v>44</v>
      </c>
      <c r="BE7" t="s">
        <v>168</v>
      </c>
      <c r="BF7" t="s">
        <v>171</v>
      </c>
      <c r="BG7" t="s">
        <v>172</v>
      </c>
      <c r="BH7" t="s">
        <v>707</v>
      </c>
      <c r="BI7" t="s">
        <v>95</v>
      </c>
      <c r="BJ7" t="s">
        <v>721</v>
      </c>
      <c r="BK7" t="s">
        <v>708</v>
      </c>
      <c r="BL7" t="s">
        <v>722</v>
      </c>
      <c r="BM7" t="s">
        <v>147</v>
      </c>
      <c r="BN7">
        <v>5.94</v>
      </c>
      <c r="BO7">
        <v>9.6300000000000008</v>
      </c>
      <c r="BP7">
        <v>10.88</v>
      </c>
      <c r="BQ7">
        <v>7.59</v>
      </c>
      <c r="BR7">
        <v>12.15</v>
      </c>
      <c r="BS7">
        <v>12.24</v>
      </c>
      <c r="BT7" t="s">
        <v>486</v>
      </c>
      <c r="BU7" t="s">
        <v>369</v>
      </c>
      <c r="BV7">
        <v>31.42</v>
      </c>
      <c r="BW7">
        <v>36.880000000000003</v>
      </c>
      <c r="BX7">
        <v>35.67</v>
      </c>
      <c r="BY7">
        <v>15.75</v>
      </c>
      <c r="BZ7">
        <v>19.899999999999999</v>
      </c>
      <c r="CA7">
        <v>21.21</v>
      </c>
      <c r="CB7">
        <v>-0.68</v>
      </c>
      <c r="CC7">
        <v>-11.08</v>
      </c>
      <c r="CD7" t="s">
        <v>723</v>
      </c>
      <c r="CE7" t="s">
        <v>724</v>
      </c>
      <c r="CF7" s="9">
        <v>0.29452054794520549</v>
      </c>
      <c r="CG7" s="10">
        <v>4.1242876293493408E-2</v>
      </c>
      <c r="CH7" s="9">
        <v>0.45276489853858948</v>
      </c>
      <c r="CI7" s="9">
        <v>0.41598695516586304</v>
      </c>
      <c r="CJ7" s="9">
        <v>0.27708333730697632</v>
      </c>
      <c r="CK7" s="9">
        <v>0.25654450058937073</v>
      </c>
      <c r="CL7" s="9">
        <v>0.29054054617881775</v>
      </c>
      <c r="CM7" s="10">
        <v>7.6923079788684845E-2</v>
      </c>
      <c r="CN7" s="10">
        <v>0.30000001192092896</v>
      </c>
      <c r="CO7" s="10">
        <v>0.1607142835855484</v>
      </c>
      <c r="CP7" s="10">
        <v>0.85573327541351318</v>
      </c>
      <c r="CQ7" s="10">
        <v>0.35592934489250183</v>
      </c>
      <c r="CR7">
        <v>23.59361784232264</v>
      </c>
      <c r="CS7">
        <v>0.69683193914874897</v>
      </c>
      <c r="CT7">
        <v>0.74766355140186913</v>
      </c>
      <c r="CU7" s="9">
        <v>0.33858404755592347</v>
      </c>
      <c r="CV7" s="10">
        <v>0.34985999912023547</v>
      </c>
      <c r="CW7">
        <v>0.06</v>
      </c>
      <c r="CX7">
        <v>15.211916507155347</v>
      </c>
      <c r="CY7">
        <v>229832355.33507362</v>
      </c>
      <c r="CZ7">
        <v>0.33858404755592347</v>
      </c>
      <c r="DA7">
        <v>4.0528503781111462</v>
      </c>
      <c r="DB7">
        <v>862649807.86915195</v>
      </c>
      <c r="DC7">
        <v>0.32165484517812726</v>
      </c>
      <c r="DD7">
        <v>1.4855256065423343</v>
      </c>
      <c r="DE7">
        <v>2353504096.1950364</v>
      </c>
      <c r="DF7">
        <v>0.29795396184921263</v>
      </c>
      <c r="DG7">
        <v>0.62049534246070426</v>
      </c>
      <c r="DH7">
        <v>5634515460.0760155</v>
      </c>
      <c r="DI7">
        <v>0.27086723804473878</v>
      </c>
      <c r="DJ7">
        <v>0.13123878787820856</v>
      </c>
      <c r="DK7">
        <v>26639918400.073261</v>
      </c>
      <c r="DL7">
        <v>0.2370088332891464</v>
      </c>
      <c r="DM7">
        <v>182000000</v>
      </c>
      <c r="DN7">
        <v>0.33858404755592347</v>
      </c>
      <c r="DO7">
        <v>3496190600</v>
      </c>
      <c r="DP7">
        <v>-89981189.999999881</v>
      </c>
      <c r="DQ7">
        <v>431</v>
      </c>
      <c r="DR7">
        <v>-4.4063499610717982E-2</v>
      </c>
      <c r="DS7">
        <v>-0.30861712282674203</v>
      </c>
      <c r="DT7" s="11">
        <v>0.22666666666666657</v>
      </c>
      <c r="DU7">
        <v>0.61666666666666659</v>
      </c>
      <c r="DV7">
        <v>0.84333333333333316</v>
      </c>
      <c r="DW7">
        <v>-2.1107999999999998</v>
      </c>
      <c r="DX7">
        <v>0.2485926768805625</v>
      </c>
      <c r="DY7">
        <v>-2.0098160685983664</v>
      </c>
      <c r="DZ7">
        <v>313</v>
      </c>
      <c r="EA7">
        <v>-2.0092148103848069</v>
      </c>
      <c r="EB7">
        <v>2</v>
      </c>
      <c r="EC7">
        <v>2.1675352696765383E-2</v>
      </c>
      <c r="ED7">
        <v>0.24466302927032371</v>
      </c>
      <c r="EE7" s="12">
        <v>-3.0095999999999998</v>
      </c>
      <c r="EF7">
        <v>-3.0015000000000001</v>
      </c>
      <c r="EG7">
        <v>16.088592676880562</v>
      </c>
      <c r="EH7" t="s">
        <v>725</v>
      </c>
      <c r="EI7">
        <v>0</v>
      </c>
      <c r="EJ7">
        <v>1</v>
      </c>
      <c r="EK7" s="8">
        <v>45470</v>
      </c>
      <c r="EL7" s="13">
        <v>-0.12</v>
      </c>
      <c r="EM7" s="13">
        <v>-2.14</v>
      </c>
      <c r="EN7" s="13">
        <v>0.37</v>
      </c>
      <c r="EO7" s="13">
        <v>0.25</v>
      </c>
      <c r="EP7" s="13">
        <v>-0.81</v>
      </c>
    </row>
    <row r="8" spans="1:146" ht="96" x14ac:dyDescent="0.25">
      <c r="A8" s="6"/>
      <c r="B8" s="6"/>
      <c r="C8" s="6" t="str">
        <f>""&amp;CHAR(10)&amp;Basic_Fundamental_Information_Constructure(F8)&amp;CHAR(10)&amp;Basic_Fundamental_Information_Concatenate("")</f>
        <v xml:space="preserve">
市值521.94254亿, 利润35.72亿; PE13.89; 平均PE20; 平均PEG1.88, PB.871; ROIC5.2367%; ROE6.7233%; 股利率2.7778%; 毛利40.73%; 净利49.4667%; 上一年度营收增-2.96%, 利润增6.98%; 当季营收增4.68%, 利润增21.97%; 过往5年营收增10.64%, 利润增39.65%
Income profile:
</v>
      </c>
      <c r="D8" t="s">
        <v>59</v>
      </c>
      <c r="E8" t="s">
        <v>8</v>
      </c>
      <c r="F8">
        <v>20.88</v>
      </c>
      <c r="G8">
        <v>0.1</v>
      </c>
      <c r="H8" t="s">
        <v>726</v>
      </c>
      <c r="I8">
        <v>52194254000</v>
      </c>
      <c r="J8">
        <v>13.89</v>
      </c>
      <c r="K8">
        <v>0.871</v>
      </c>
      <c r="L8" t="s">
        <v>41</v>
      </c>
      <c r="M8" t="s">
        <v>727</v>
      </c>
      <c r="N8" t="s">
        <v>728</v>
      </c>
      <c r="O8" t="s">
        <v>729</v>
      </c>
      <c r="P8">
        <v>4.6900000000000004</v>
      </c>
      <c r="Q8" t="s">
        <v>730</v>
      </c>
      <c r="R8">
        <v>1036713970</v>
      </c>
      <c r="S8" s="5">
        <v>0.21959999999999999</v>
      </c>
      <c r="T8" t="s">
        <v>731</v>
      </c>
      <c r="U8">
        <v>1743119800</v>
      </c>
      <c r="V8">
        <v>2499724800</v>
      </c>
      <c r="W8">
        <v>1.56</v>
      </c>
      <c r="X8">
        <v>0.02</v>
      </c>
      <c r="Y8">
        <v>54.07</v>
      </c>
      <c r="Z8" t="s">
        <v>732</v>
      </c>
      <c r="AA8" t="s">
        <v>733</v>
      </c>
      <c r="AB8" t="s">
        <v>43</v>
      </c>
      <c r="AC8" t="s">
        <v>304</v>
      </c>
      <c r="AD8" t="s">
        <v>43</v>
      </c>
      <c r="AE8">
        <v>555812090</v>
      </c>
      <c r="AF8" t="s">
        <v>734</v>
      </c>
      <c r="AG8" t="s">
        <v>735</v>
      </c>
      <c r="AH8" t="s">
        <v>736</v>
      </c>
      <c r="AI8" t="s">
        <v>737</v>
      </c>
      <c r="AJ8" t="s">
        <v>738</v>
      </c>
      <c r="AK8" t="s">
        <v>739</v>
      </c>
      <c r="AL8" t="s">
        <v>740</v>
      </c>
      <c r="AM8" t="s">
        <v>43</v>
      </c>
      <c r="AN8" t="s">
        <v>741</v>
      </c>
      <c r="AO8" t="s">
        <v>742</v>
      </c>
      <c r="AP8" t="s">
        <v>743</v>
      </c>
      <c r="AQ8" t="s">
        <v>744</v>
      </c>
      <c r="AR8" t="s">
        <v>745</v>
      </c>
      <c r="AS8" t="s">
        <v>746</v>
      </c>
      <c r="AT8" t="s">
        <v>747</v>
      </c>
      <c r="AU8" t="s">
        <v>748</v>
      </c>
      <c r="AV8" t="s">
        <v>749</v>
      </c>
      <c r="AW8" t="s">
        <v>750</v>
      </c>
      <c r="AX8" t="s">
        <v>751</v>
      </c>
      <c r="AY8" t="s">
        <v>310</v>
      </c>
      <c r="AZ8" t="s">
        <v>312</v>
      </c>
      <c r="BA8" t="s">
        <v>60</v>
      </c>
      <c r="BB8" t="s">
        <v>173</v>
      </c>
      <c r="BC8" t="s">
        <v>223</v>
      </c>
      <c r="BD8" t="s">
        <v>311</v>
      </c>
      <c r="BE8" t="s">
        <v>313</v>
      </c>
      <c r="BF8" t="s">
        <v>61</v>
      </c>
      <c r="BG8" t="s">
        <v>175</v>
      </c>
      <c r="BH8" t="s">
        <v>730</v>
      </c>
      <c r="BI8" t="s">
        <v>752</v>
      </c>
      <c r="BJ8" t="s">
        <v>751</v>
      </c>
      <c r="BK8" t="s">
        <v>731</v>
      </c>
      <c r="BL8" t="s">
        <v>753</v>
      </c>
      <c r="BM8" t="s">
        <v>223</v>
      </c>
      <c r="BN8">
        <v>4.22</v>
      </c>
      <c r="BO8">
        <v>5.71</v>
      </c>
      <c r="BP8">
        <v>5.78</v>
      </c>
      <c r="BQ8">
        <v>5.64</v>
      </c>
      <c r="BR8">
        <v>7.54</v>
      </c>
      <c r="BS8">
        <v>6.99</v>
      </c>
      <c r="BT8" t="s">
        <v>754</v>
      </c>
      <c r="BU8" t="s">
        <v>387</v>
      </c>
      <c r="BV8">
        <v>40.840000000000003</v>
      </c>
      <c r="BW8">
        <v>40.54</v>
      </c>
      <c r="BX8">
        <v>40.81</v>
      </c>
      <c r="BY8">
        <v>47.59</v>
      </c>
      <c r="BZ8">
        <v>50.72</v>
      </c>
      <c r="CA8">
        <v>50.09</v>
      </c>
      <c r="CB8">
        <v>8.4700000000000006</v>
      </c>
      <c r="CC8">
        <v>11.12</v>
      </c>
      <c r="CD8" t="s">
        <v>755</v>
      </c>
      <c r="CE8" t="s">
        <v>756</v>
      </c>
      <c r="CF8" s="9">
        <v>4.6832701678397398E-2</v>
      </c>
      <c r="CG8" s="10">
        <v>0.21966349411764705</v>
      </c>
      <c r="CH8" s="9">
        <v>-2.9574861750006676E-2</v>
      </c>
      <c r="CI8" s="9">
        <v>6.1894785612821579E-2</v>
      </c>
      <c r="CJ8" s="9">
        <v>0.19808728992938995</v>
      </c>
      <c r="CK8" s="9">
        <v>5.2210483700037003E-2</v>
      </c>
      <c r="CL8" s="9">
        <v>0.24951048195362091</v>
      </c>
      <c r="CM8" s="10">
        <v>6.97813481092453E-2</v>
      </c>
      <c r="CN8" s="10">
        <v>0.24311240017414093</v>
      </c>
      <c r="CO8" s="10">
        <v>0.29508203268051147</v>
      </c>
      <c r="CP8" s="10">
        <v>-0.28433400392532349</v>
      </c>
      <c r="CQ8" s="10">
        <v>1.6587154865264893</v>
      </c>
      <c r="CR8">
        <v>19.999075547608403</v>
      </c>
      <c r="CS8">
        <v>1.8791596010226943</v>
      </c>
      <c r="CT8">
        <v>2.7777777777777777</v>
      </c>
      <c r="CU8" s="9">
        <v>0.10642563588917256</v>
      </c>
      <c r="CV8" s="10">
        <v>0.39647145271301271</v>
      </c>
      <c r="CW8">
        <v>0.06</v>
      </c>
      <c r="CX8" t="s">
        <v>393</v>
      </c>
      <c r="CY8">
        <v>3728445633.3925705</v>
      </c>
      <c r="CZ8">
        <v>0.10642563588917256</v>
      </c>
      <c r="DA8" t="s">
        <v>393</v>
      </c>
      <c r="DB8">
        <v>11568776791.712564</v>
      </c>
      <c r="DC8">
        <v>0.10110435409471392</v>
      </c>
      <c r="DD8" t="s">
        <v>393</v>
      </c>
      <c r="DE8">
        <v>23943702772.5723</v>
      </c>
      <c r="DF8">
        <v>9.3654559582471847E-2</v>
      </c>
      <c r="DG8" t="s">
        <v>393</v>
      </c>
      <c r="DH8">
        <v>40727330440.379959</v>
      </c>
      <c r="DI8">
        <v>8.5140508711338048E-2</v>
      </c>
      <c r="DJ8" t="s">
        <v>393</v>
      </c>
      <c r="DK8">
        <v>82645677855.97403</v>
      </c>
      <c r="DL8">
        <v>7.4497945122420792E-2</v>
      </c>
      <c r="DM8">
        <v>3572000000</v>
      </c>
      <c r="DN8">
        <v>0.10642563588917256</v>
      </c>
      <c r="DO8">
        <v>-2021746000</v>
      </c>
      <c r="DP8">
        <v>-2968741000</v>
      </c>
      <c r="DQ8">
        <v>517</v>
      </c>
      <c r="DR8">
        <v>-5.9592934210775161E-2</v>
      </c>
      <c r="DS8">
        <v>-0.17680795859536566</v>
      </c>
      <c r="DT8" s="11">
        <v>-0.20666666666666669</v>
      </c>
      <c r="DU8">
        <v>0.58666666666666667</v>
      </c>
      <c r="DV8">
        <v>0.38</v>
      </c>
      <c r="DW8">
        <v>9.7616906474820144</v>
      </c>
      <c r="DX8">
        <v>0.43320445859872564</v>
      </c>
      <c r="DY8">
        <v>9.1852465615405769</v>
      </c>
      <c r="DZ8">
        <v>901</v>
      </c>
      <c r="EA8">
        <v>9.1525837138012314</v>
      </c>
      <c r="EB8">
        <v>9</v>
      </c>
      <c r="EC8">
        <v>1.5274921463354687E-2</v>
      </c>
      <c r="ED8">
        <v>6.280691378506946E-2</v>
      </c>
      <c r="EE8" s="12">
        <v>-2.0512000000000001</v>
      </c>
      <c r="EF8">
        <v>-2.0512000000000001</v>
      </c>
      <c r="EG8">
        <v>19.243204458598726</v>
      </c>
      <c r="EH8" t="s">
        <v>757</v>
      </c>
      <c r="EI8">
        <v>1</v>
      </c>
      <c r="EJ8">
        <v>1</v>
      </c>
      <c r="EK8" s="8">
        <v>45470</v>
      </c>
      <c r="EL8" s="13">
        <v>1.03</v>
      </c>
      <c r="EM8" s="13">
        <v>-1.52</v>
      </c>
      <c r="EN8" s="13">
        <v>-0.21</v>
      </c>
      <c r="EO8" s="13">
        <v>-2.17</v>
      </c>
      <c r="EP8" s="13">
        <v>0</v>
      </c>
    </row>
    <row r="9" spans="1:146" ht="96" x14ac:dyDescent="0.25">
      <c r="A9" s="6"/>
      <c r="B9" s="6"/>
      <c r="C9" s="6" t="str">
        <f>""&amp;CHAR(10)&amp;Basic_Fundamental_Information_Constructure(F9)&amp;CHAR(10)&amp;Basic_Fundamental_Information_Concatenate("")</f>
        <v xml:space="preserve">
市值26.742861亿, 利润1.66亿; PE15.97; 平均PE18.32; 平均PEG3.31, PB.835; ROIC4.2033%; ROE4.5033%; 股利率1.8716%; 毛利46.7267%; 净利21.31%; 上一年度营收增6.96%, 利润增17.73%; 当季营收增10.89%, 利润增3.12%; 过往5年营收增5.53%, 利润增1.2%
Income profile:
</v>
      </c>
      <c r="D9" t="s">
        <v>64</v>
      </c>
      <c r="E9" t="s">
        <v>16</v>
      </c>
      <c r="F9">
        <v>5.45</v>
      </c>
      <c r="G9">
        <v>0.93</v>
      </c>
      <c r="H9" t="s">
        <v>758</v>
      </c>
      <c r="I9">
        <v>2674286100</v>
      </c>
      <c r="J9">
        <v>15.97</v>
      </c>
      <c r="K9">
        <v>0.83499999999999996</v>
      </c>
      <c r="L9" t="s">
        <v>41</v>
      </c>
      <c r="M9" t="s">
        <v>400</v>
      </c>
      <c r="N9" t="s">
        <v>759</v>
      </c>
      <c r="O9" t="s">
        <v>760</v>
      </c>
      <c r="P9">
        <v>10.97</v>
      </c>
      <c r="Q9" t="s">
        <v>761</v>
      </c>
      <c r="R9">
        <v>33248667</v>
      </c>
      <c r="S9" s="5">
        <v>3.1199999999999999E-2</v>
      </c>
      <c r="T9" t="s">
        <v>93</v>
      </c>
      <c r="U9">
        <v>483966800</v>
      </c>
      <c r="V9">
        <v>490694690</v>
      </c>
      <c r="W9">
        <v>1.29</v>
      </c>
      <c r="X9">
        <v>0.04</v>
      </c>
      <c r="Y9">
        <v>19.55</v>
      </c>
      <c r="Z9" t="s">
        <v>762</v>
      </c>
      <c r="AA9" t="s">
        <v>181</v>
      </c>
      <c r="AB9" t="s">
        <v>43</v>
      </c>
      <c r="AC9" t="s">
        <v>763</v>
      </c>
      <c r="AD9" t="s">
        <v>43</v>
      </c>
      <c r="AE9">
        <v>3439637</v>
      </c>
      <c r="AF9" t="s">
        <v>764</v>
      </c>
      <c r="AG9" t="s">
        <v>765</v>
      </c>
      <c r="AH9" t="s">
        <v>766</v>
      </c>
      <c r="AI9" t="s">
        <v>767</v>
      </c>
      <c r="AJ9" t="s">
        <v>768</v>
      </c>
      <c r="AK9" t="s">
        <v>769</v>
      </c>
      <c r="AL9" t="s">
        <v>770</v>
      </c>
      <c r="AM9" t="s">
        <v>43</v>
      </c>
      <c r="AN9" t="s">
        <v>771</v>
      </c>
      <c r="AO9" t="s">
        <v>503</v>
      </c>
      <c r="AP9" t="s">
        <v>43</v>
      </c>
      <c r="AQ9" t="s">
        <v>772</v>
      </c>
      <c r="AR9" t="s">
        <v>43</v>
      </c>
      <c r="AS9" t="s">
        <v>158</v>
      </c>
      <c r="AT9" t="s">
        <v>151</v>
      </c>
      <c r="AU9" t="s">
        <v>773</v>
      </c>
      <c r="AV9" t="s">
        <v>774</v>
      </c>
      <c r="AW9" t="s">
        <v>775</v>
      </c>
      <c r="AX9" t="s">
        <v>124</v>
      </c>
      <c r="AY9" t="s">
        <v>314</v>
      </c>
      <c r="AZ9" t="s">
        <v>176</v>
      </c>
      <c r="BA9" t="s">
        <v>65</v>
      </c>
      <c r="BB9" t="s">
        <v>117</v>
      </c>
      <c r="BC9" t="s">
        <v>148</v>
      </c>
      <c r="BD9" t="s">
        <v>203</v>
      </c>
      <c r="BE9" t="s">
        <v>177</v>
      </c>
      <c r="BF9" t="s">
        <v>44</v>
      </c>
      <c r="BG9" t="s">
        <v>180</v>
      </c>
      <c r="BH9" t="s">
        <v>761</v>
      </c>
      <c r="BI9" t="s">
        <v>338</v>
      </c>
      <c r="BJ9" t="s">
        <v>124</v>
      </c>
      <c r="BK9" t="s">
        <v>93</v>
      </c>
      <c r="BL9" t="s">
        <v>776</v>
      </c>
      <c r="BM9" t="s">
        <v>148</v>
      </c>
      <c r="BN9">
        <v>3.54</v>
      </c>
      <c r="BO9">
        <v>4.43</v>
      </c>
      <c r="BP9">
        <v>4.6399999999999997</v>
      </c>
      <c r="BQ9">
        <v>3.74</v>
      </c>
      <c r="BR9">
        <v>4.6500000000000004</v>
      </c>
      <c r="BS9">
        <v>5.12</v>
      </c>
      <c r="BT9" t="s">
        <v>777</v>
      </c>
      <c r="BU9" t="s">
        <v>387</v>
      </c>
      <c r="BV9">
        <v>45.67</v>
      </c>
      <c r="BW9">
        <v>46.46</v>
      </c>
      <c r="BX9">
        <v>48.05</v>
      </c>
      <c r="BY9">
        <v>21.61</v>
      </c>
      <c r="BZ9">
        <v>20.39</v>
      </c>
      <c r="CA9">
        <v>21.93</v>
      </c>
      <c r="CB9">
        <v>1.72</v>
      </c>
      <c r="CC9">
        <v>-9.59</v>
      </c>
      <c r="CD9" t="s">
        <v>778</v>
      </c>
      <c r="CE9" t="s">
        <v>514</v>
      </c>
      <c r="CF9" s="9">
        <v>0.10891089108910906</v>
      </c>
      <c r="CG9" s="10">
        <v>3.1177450268892237E-2</v>
      </c>
      <c r="CH9" s="9">
        <v>6.9555304944515228E-2</v>
      </c>
      <c r="CI9" s="9">
        <v>0.10037641227245331</v>
      </c>
      <c r="CJ9" s="9">
        <v>5.562913790345192E-2</v>
      </c>
      <c r="CK9" s="9">
        <v>2.442333847284317E-2</v>
      </c>
      <c r="CL9" s="9">
        <v>2.6462394744157791E-2</v>
      </c>
      <c r="CM9" s="10">
        <v>0.17730496823787689</v>
      </c>
      <c r="CN9" s="10">
        <v>-3.4246575087308884E-2</v>
      </c>
      <c r="CO9" s="10">
        <v>0.13178294897079468</v>
      </c>
      <c r="CP9" s="10">
        <v>-7.6923076994717121E-3</v>
      </c>
      <c r="CQ9" s="10">
        <v>-0.20731706917285919</v>
      </c>
      <c r="CR9">
        <v>18.317028082191779</v>
      </c>
      <c r="CS9">
        <v>3.3129416051672576</v>
      </c>
      <c r="CT9">
        <v>1.8715596330275228</v>
      </c>
      <c r="CU9" s="9">
        <v>5.5289317667484281E-2</v>
      </c>
      <c r="CV9" s="10">
        <v>1.1966393049806356E-2</v>
      </c>
      <c r="CW9">
        <v>0.06</v>
      </c>
      <c r="CX9">
        <v>0.60682990887974497</v>
      </c>
      <c r="CY9">
        <v>165262289.37056828</v>
      </c>
      <c r="CZ9">
        <v>5.5289317667484281E-2</v>
      </c>
      <c r="DA9">
        <v>0.20424487218003587</v>
      </c>
      <c r="DB9">
        <v>491009144.70744091</v>
      </c>
      <c r="DC9">
        <v>5.2524851784110066E-2</v>
      </c>
      <c r="DD9">
        <v>0.10453578005120923</v>
      </c>
      <c r="DE9">
        <v>959347124.50485921</v>
      </c>
      <c r="DF9">
        <v>4.8654599547386164E-2</v>
      </c>
      <c r="DG9">
        <v>6.5543605650127679E-2</v>
      </c>
      <c r="DH9">
        <v>1530066876.9327102</v>
      </c>
      <c r="DI9">
        <v>4.4231454133987429E-2</v>
      </c>
      <c r="DJ9">
        <v>3.7126715834595696E-2</v>
      </c>
      <c r="DK9">
        <v>2701184248.2051873</v>
      </c>
      <c r="DL9">
        <v>3.8702522367238992E-2</v>
      </c>
      <c r="DM9">
        <v>166000000</v>
      </c>
      <c r="DN9">
        <v>5.5289317667484281E-2</v>
      </c>
      <c r="DO9">
        <v>100286100</v>
      </c>
      <c r="DP9">
        <v>119674760</v>
      </c>
      <c r="DQ9">
        <v>558</v>
      </c>
      <c r="DR9">
        <v>5.3621573421624782E-2</v>
      </c>
      <c r="DS9">
        <v>1.9211057219085882E-2</v>
      </c>
      <c r="DT9" s="11">
        <v>-0.44</v>
      </c>
      <c r="DU9">
        <v>6.6666666666666666E-2</v>
      </c>
      <c r="DV9">
        <v>-0.37333333333333335</v>
      </c>
      <c r="DW9">
        <v>-2.0958999999999999</v>
      </c>
      <c r="DX9">
        <v>0.29361574074074098</v>
      </c>
      <c r="DY9">
        <v>-2.010895749537037</v>
      </c>
      <c r="DZ9">
        <v>2615</v>
      </c>
      <c r="EA9">
        <v>-2.0053199403316846</v>
      </c>
      <c r="EB9">
        <v>2</v>
      </c>
      <c r="EC9">
        <v>2.5006384316080536E-2</v>
      </c>
      <c r="ED9">
        <v>0.220096125352406</v>
      </c>
      <c r="EE9" s="12">
        <v>-2.0419</v>
      </c>
      <c r="EF9">
        <v>-2.0291000000000001</v>
      </c>
      <c r="EG9">
        <v>18.113615740740741</v>
      </c>
      <c r="EH9" t="s">
        <v>757</v>
      </c>
      <c r="EI9">
        <v>0</v>
      </c>
      <c r="EJ9">
        <v>0</v>
      </c>
      <c r="EK9" s="8">
        <v>45470</v>
      </c>
      <c r="EL9" s="13">
        <v>0</v>
      </c>
      <c r="EM9" s="13">
        <v>-3.31</v>
      </c>
      <c r="EN9" s="13">
        <v>1.9</v>
      </c>
      <c r="EO9" s="13">
        <v>1.87</v>
      </c>
      <c r="EP9" s="13">
        <v>-1.28</v>
      </c>
    </row>
    <row r="10" spans="1:146" ht="96" x14ac:dyDescent="0.25">
      <c r="A10" s="6"/>
      <c r="B10" s="6"/>
      <c r="C10" s="6" t="str">
        <f>""&amp;CHAR(10)&amp;Basic_Fundamental_Information_Constructure(F10)&amp;CHAR(10)&amp;Basic_Fundamental_Information_Concatenate("")</f>
        <v xml:space="preserve">
市值114.567166亿, 利润4.34亿; PE25.67; 平均PE44.9; 平均PEG1.27, PB2.57; ROIC9.8867%; ROE6.5567%; 股利率2.2568%; 毛利43.3067%; 净利24.6433%; 上一年度营收增32.7%, 利润增185.53%; 当季营收增17.02%, 利润增7.79%; 过往5年营收增35.45%, 利润增33.4%
Income profile:
</v>
      </c>
      <c r="D10" t="s">
        <v>66</v>
      </c>
      <c r="E10" t="s">
        <v>11</v>
      </c>
      <c r="F10">
        <v>5.14</v>
      </c>
      <c r="G10">
        <v>-0.57999999999999996</v>
      </c>
      <c r="H10" t="s">
        <v>779</v>
      </c>
      <c r="I10">
        <v>11456716600</v>
      </c>
      <c r="J10">
        <v>25.67</v>
      </c>
      <c r="K10">
        <v>2.57</v>
      </c>
      <c r="L10" t="s">
        <v>41</v>
      </c>
      <c r="M10" t="s">
        <v>780</v>
      </c>
      <c r="N10" t="s">
        <v>781</v>
      </c>
      <c r="O10" t="s">
        <v>782</v>
      </c>
      <c r="P10">
        <v>17.04</v>
      </c>
      <c r="Q10" t="s">
        <v>783</v>
      </c>
      <c r="R10">
        <v>170314950</v>
      </c>
      <c r="S10" s="5">
        <v>8.0500000000000002E-2</v>
      </c>
      <c r="T10" t="s">
        <v>784</v>
      </c>
      <c r="U10">
        <v>2228933200</v>
      </c>
      <c r="V10">
        <v>2228933200</v>
      </c>
      <c r="W10">
        <v>1.23</v>
      </c>
      <c r="X10">
        <v>0.18</v>
      </c>
      <c r="Y10">
        <v>32.9</v>
      </c>
      <c r="Z10" t="s">
        <v>785</v>
      </c>
      <c r="AA10" t="s">
        <v>325</v>
      </c>
      <c r="AB10" t="s">
        <v>786</v>
      </c>
      <c r="AC10" t="s">
        <v>406</v>
      </c>
      <c r="AD10" t="s">
        <v>43</v>
      </c>
      <c r="AE10">
        <v>1211948</v>
      </c>
      <c r="AF10" t="s">
        <v>787</v>
      </c>
      <c r="AG10" t="s">
        <v>788</v>
      </c>
      <c r="AH10" t="s">
        <v>789</v>
      </c>
      <c r="AI10" t="s">
        <v>790</v>
      </c>
      <c r="AJ10" t="s">
        <v>791</v>
      </c>
      <c r="AK10" t="s">
        <v>43</v>
      </c>
      <c r="AL10" t="s">
        <v>792</v>
      </c>
      <c r="AM10" t="s">
        <v>43</v>
      </c>
      <c r="AN10" t="s">
        <v>793</v>
      </c>
      <c r="AO10" t="s">
        <v>43</v>
      </c>
      <c r="AP10" t="s">
        <v>43</v>
      </c>
      <c r="AQ10" t="s">
        <v>794</v>
      </c>
      <c r="AR10">
        <v>6290</v>
      </c>
      <c r="AS10" t="s">
        <v>795</v>
      </c>
      <c r="AT10" t="s">
        <v>76</v>
      </c>
      <c r="AU10" t="s">
        <v>796</v>
      </c>
      <c r="AV10" t="s">
        <v>797</v>
      </c>
      <c r="AW10" t="s">
        <v>798</v>
      </c>
      <c r="AX10" t="s">
        <v>799</v>
      </c>
      <c r="AY10" t="s">
        <v>315</v>
      </c>
      <c r="AZ10" t="s">
        <v>81</v>
      </c>
      <c r="BA10" t="s">
        <v>67</v>
      </c>
      <c r="BB10" t="s">
        <v>182</v>
      </c>
      <c r="BC10" t="s">
        <v>800</v>
      </c>
      <c r="BD10" t="s">
        <v>268</v>
      </c>
      <c r="BE10" t="s">
        <v>142</v>
      </c>
      <c r="BF10" t="s">
        <v>68</v>
      </c>
      <c r="BG10" t="s">
        <v>170</v>
      </c>
      <c r="BH10" t="s">
        <v>783</v>
      </c>
      <c r="BI10" t="s">
        <v>801</v>
      </c>
      <c r="BJ10" t="s">
        <v>799</v>
      </c>
      <c r="BK10" t="s">
        <v>784</v>
      </c>
      <c r="BL10" t="s">
        <v>802</v>
      </c>
      <c r="BM10" t="s">
        <v>800</v>
      </c>
      <c r="BN10">
        <v>14.37</v>
      </c>
      <c r="BO10">
        <v>10.09</v>
      </c>
      <c r="BP10">
        <v>5.2</v>
      </c>
      <c r="BQ10">
        <v>9.0299999999999994</v>
      </c>
      <c r="BR10">
        <v>3.89</v>
      </c>
      <c r="BS10">
        <v>6.75</v>
      </c>
      <c r="BT10" t="s">
        <v>803</v>
      </c>
      <c r="BU10" t="s">
        <v>369</v>
      </c>
      <c r="BV10">
        <v>48.72</v>
      </c>
      <c r="BW10">
        <v>40.549999999999997</v>
      </c>
      <c r="BX10">
        <v>40.65</v>
      </c>
      <c r="BY10">
        <v>31.16</v>
      </c>
      <c r="BZ10">
        <v>22.36</v>
      </c>
      <c r="CA10">
        <v>20.41</v>
      </c>
      <c r="CB10">
        <v>-0.39</v>
      </c>
      <c r="CC10">
        <v>-15.79</v>
      </c>
      <c r="CD10" t="s">
        <v>804</v>
      </c>
      <c r="CE10" t="s">
        <v>256</v>
      </c>
      <c r="CF10" s="9">
        <v>0.17017691659646167</v>
      </c>
      <c r="CG10" s="10">
        <v>7.7942721518987346E-2</v>
      </c>
      <c r="CH10" s="9">
        <v>0.32703337073326111</v>
      </c>
      <c r="CI10" s="9">
        <v>1.1179413795471191</v>
      </c>
      <c r="CJ10" s="9">
        <v>0.30382111668586731</v>
      </c>
      <c r="CK10" s="9">
        <v>-3.3333335071802139E-2</v>
      </c>
      <c r="CL10" s="9">
        <v>5.714285746216774E-2</v>
      </c>
      <c r="CM10" s="10">
        <v>1.8552631139755249</v>
      </c>
      <c r="CN10" s="10">
        <v>-0.4285714328289032</v>
      </c>
      <c r="CO10" s="10">
        <v>6.8273089826107025E-2</v>
      </c>
      <c r="CP10" s="10">
        <v>0.13698630034923553</v>
      </c>
      <c r="CQ10" s="10">
        <v>3.7914693355560303E-2</v>
      </c>
      <c r="CR10">
        <v>44.898954670150232</v>
      </c>
      <c r="CS10">
        <v>1.266467848392552</v>
      </c>
      <c r="CT10">
        <v>2.2568093385214008</v>
      </c>
      <c r="CU10" s="9">
        <v>0.35452107787132264</v>
      </c>
      <c r="CV10" s="10">
        <v>0.33397315293550489</v>
      </c>
      <c r="CW10">
        <v>0.06</v>
      </c>
      <c r="CX10">
        <v>11.499940285905629</v>
      </c>
      <c r="CY10">
        <v>554586931.88316417</v>
      </c>
      <c r="CZ10">
        <v>0.35452107787132264</v>
      </c>
      <c r="DA10">
        <v>3.0253719527216725</v>
      </c>
      <c r="DB10">
        <v>2108076857.8761053</v>
      </c>
      <c r="DC10">
        <v>0.33679502397775651</v>
      </c>
      <c r="DD10">
        <v>1.0875231253810842</v>
      </c>
      <c r="DE10">
        <v>5864442282.7929783</v>
      </c>
      <c r="DF10">
        <v>0.31197854852676393</v>
      </c>
      <c r="DG10">
        <v>0.44283262994729877</v>
      </c>
      <c r="DH10">
        <v>14402092729.162727</v>
      </c>
      <c r="DI10">
        <v>0.28361686229705813</v>
      </c>
      <c r="DJ10">
        <v>8.7696284613675624E-2</v>
      </c>
      <c r="DK10">
        <v>72725049049.631454</v>
      </c>
      <c r="DL10">
        <v>0.24816475450992584</v>
      </c>
      <c r="DM10">
        <v>434000000</v>
      </c>
      <c r="DN10">
        <v>0.35452107787132264</v>
      </c>
      <c r="DO10">
        <v>6377716600</v>
      </c>
      <c r="DP10">
        <v>1609009500</v>
      </c>
      <c r="DQ10">
        <v>827</v>
      </c>
      <c r="DR10">
        <v>-0.18434416127486097</v>
      </c>
      <c r="DS10">
        <v>-0.25603043141651755</v>
      </c>
      <c r="DT10" s="11">
        <v>0.16</v>
      </c>
      <c r="DU10">
        <v>0.15</v>
      </c>
      <c r="DV10">
        <v>0.31</v>
      </c>
      <c r="DW10">
        <v>-2.1579000000000002</v>
      </c>
      <c r="DX10">
        <v>0.47446055555555516</v>
      </c>
      <c r="DY10">
        <v>-2.0275473217222224</v>
      </c>
      <c r="DZ10">
        <v>1024</v>
      </c>
      <c r="EA10">
        <v>-2.0220270756471628</v>
      </c>
      <c r="EB10">
        <v>2</v>
      </c>
      <c r="EC10">
        <v>2.817751559355839E-2</v>
      </c>
      <c r="ED10">
        <v>0.16151224271772702</v>
      </c>
      <c r="EE10" s="12">
        <v>1.0404100000000001</v>
      </c>
      <c r="EF10">
        <v>1.0740099999999999</v>
      </c>
      <c r="EG10">
        <v>30.174460555555555</v>
      </c>
      <c r="EH10" t="s">
        <v>389</v>
      </c>
      <c r="EI10">
        <v>0</v>
      </c>
      <c r="EJ10">
        <v>1</v>
      </c>
      <c r="EK10" s="8">
        <v>45470</v>
      </c>
      <c r="EL10" s="13">
        <v>-0.18</v>
      </c>
      <c r="EM10" s="13">
        <v>-3.93</v>
      </c>
      <c r="EN10" s="13">
        <v>-0.93</v>
      </c>
      <c r="EO10" s="13">
        <v>0.56000000000000005</v>
      </c>
      <c r="EP10" s="13">
        <v>-3.36</v>
      </c>
    </row>
    <row r="11" spans="1:146" ht="96" x14ac:dyDescent="0.25">
      <c r="A11" s="6"/>
      <c r="B11" s="6"/>
      <c r="C11" s="6" t="str">
        <f>""&amp;CHAR(10)&amp;Basic_Fundamental_Information_Constructure(F11)&amp;CHAR(10)&amp;Basic_Fundamental_Information_Concatenate("")</f>
        <v xml:space="preserve">
市值83.965351亿, 利润132.03亿; PE14.8; 平均PE1.21; 平均PEG.01, PB.622; ROIC4.2133%; ROE4.9933%; 股利率2.381%; 毛利24.1567%; 净利10.5467%; 上一年度营收增343.93%, 利润增1764.83%; 当季营收增-74.04%, 利润增-94.81%; 过往5年营收增118.71%, 利润增1764.83%
Income profile:
</v>
      </c>
      <c r="D11" t="s">
        <v>69</v>
      </c>
      <c r="E11" t="s">
        <v>21</v>
      </c>
      <c r="F11">
        <v>2.73</v>
      </c>
      <c r="G11">
        <v>1.1100000000000001</v>
      </c>
      <c r="H11" t="s">
        <v>805</v>
      </c>
      <c r="I11">
        <v>8396535100</v>
      </c>
      <c r="J11">
        <v>14.8</v>
      </c>
      <c r="K11">
        <v>0.622</v>
      </c>
      <c r="L11" t="s">
        <v>41</v>
      </c>
      <c r="M11" t="s">
        <v>806</v>
      </c>
      <c r="N11" t="s">
        <v>807</v>
      </c>
      <c r="O11" t="s">
        <v>808</v>
      </c>
      <c r="P11">
        <v>-6.15</v>
      </c>
      <c r="Q11" t="s">
        <v>809</v>
      </c>
      <c r="R11">
        <v>184391680</v>
      </c>
      <c r="S11" s="5">
        <v>-0.28410000000000002</v>
      </c>
      <c r="T11" t="s">
        <v>810</v>
      </c>
      <c r="U11">
        <v>3075653900</v>
      </c>
      <c r="V11">
        <v>3075653900</v>
      </c>
      <c r="W11">
        <v>2.5</v>
      </c>
      <c r="X11" t="s">
        <v>43</v>
      </c>
      <c r="Y11">
        <v>10.78</v>
      </c>
      <c r="Z11" t="s">
        <v>43</v>
      </c>
      <c r="AA11" t="s">
        <v>43</v>
      </c>
      <c r="AB11" t="s">
        <v>43</v>
      </c>
      <c r="AC11" t="s">
        <v>43</v>
      </c>
      <c r="AD11" t="s">
        <v>43</v>
      </c>
      <c r="AE11">
        <v>148050120</v>
      </c>
      <c r="AF11" t="s">
        <v>811</v>
      </c>
      <c r="AG11" t="s">
        <v>812</v>
      </c>
      <c r="AH11" t="s">
        <v>813</v>
      </c>
      <c r="AI11" t="s">
        <v>814</v>
      </c>
      <c r="AJ11" t="s">
        <v>815</v>
      </c>
      <c r="AK11" t="s">
        <v>43</v>
      </c>
      <c r="AL11" t="s">
        <v>816</v>
      </c>
      <c r="AM11" t="s">
        <v>43</v>
      </c>
      <c r="AN11" t="s">
        <v>817</v>
      </c>
      <c r="AO11" t="s">
        <v>43</v>
      </c>
      <c r="AP11" t="s">
        <v>43</v>
      </c>
      <c r="AQ11" t="s">
        <v>818</v>
      </c>
      <c r="AR11" t="s">
        <v>819</v>
      </c>
      <c r="AS11" t="s">
        <v>43</v>
      </c>
      <c r="AT11" t="s">
        <v>43</v>
      </c>
      <c r="AU11" t="s">
        <v>42</v>
      </c>
      <c r="AV11" t="s">
        <v>820</v>
      </c>
      <c r="AW11" t="s">
        <v>821</v>
      </c>
      <c r="AX11" t="s">
        <v>822</v>
      </c>
      <c r="AY11" t="s">
        <v>43</v>
      </c>
      <c r="AZ11" t="s">
        <v>183</v>
      </c>
      <c r="BA11" t="s">
        <v>70</v>
      </c>
      <c r="BB11" t="s">
        <v>185</v>
      </c>
      <c r="BC11" t="s">
        <v>823</v>
      </c>
      <c r="BD11" t="s">
        <v>43</v>
      </c>
      <c r="BE11" t="s">
        <v>43</v>
      </c>
      <c r="BF11" t="s">
        <v>43</v>
      </c>
      <c r="BG11" t="s">
        <v>43</v>
      </c>
      <c r="BH11" t="s">
        <v>824</v>
      </c>
      <c r="BI11" t="s">
        <v>825</v>
      </c>
      <c r="BJ11" t="s">
        <v>822</v>
      </c>
      <c r="BK11" t="s">
        <v>826</v>
      </c>
      <c r="BL11" t="s">
        <v>827</v>
      </c>
      <c r="BM11" t="s">
        <v>823</v>
      </c>
      <c r="BN11">
        <v>3.76</v>
      </c>
      <c r="BO11">
        <v>4.03</v>
      </c>
      <c r="BP11">
        <v>4.8499999999999996</v>
      </c>
      <c r="BQ11">
        <v>4.46</v>
      </c>
      <c r="BR11">
        <v>4.74</v>
      </c>
      <c r="BS11">
        <v>5.78</v>
      </c>
      <c r="BT11" t="s">
        <v>828</v>
      </c>
      <c r="BU11" t="s">
        <v>387</v>
      </c>
      <c r="BV11">
        <v>22.89</v>
      </c>
      <c r="BW11">
        <v>22.75</v>
      </c>
      <c r="BX11">
        <v>26.83</v>
      </c>
      <c r="BY11">
        <v>9.2799999999999994</v>
      </c>
      <c r="BZ11">
        <v>9.75</v>
      </c>
      <c r="CA11">
        <v>12.61</v>
      </c>
      <c r="CB11">
        <v>2.25</v>
      </c>
      <c r="CC11">
        <v>-3.02</v>
      </c>
      <c r="CD11" t="s">
        <v>292</v>
      </c>
      <c r="CE11" t="s">
        <v>829</v>
      </c>
      <c r="CF11" s="9">
        <v>-0.74035821676036084</v>
      </c>
      <c r="CG11" s="10">
        <v>-0.94807330892706276</v>
      </c>
      <c r="CH11" s="9">
        <v>3.4392955303192139</v>
      </c>
      <c r="CI11" s="9" t="s">
        <v>43</v>
      </c>
      <c r="CJ11" s="9" t="s">
        <v>43</v>
      </c>
      <c r="CK11" s="9">
        <v>9.9313750863075256E-2</v>
      </c>
      <c r="CL11" s="9">
        <v>2.2612135857343674E-2</v>
      </c>
      <c r="CM11" s="10">
        <v>17.648305892944336</v>
      </c>
      <c r="CN11" s="10" t="s">
        <v>43</v>
      </c>
      <c r="CO11" s="10" t="s">
        <v>43</v>
      </c>
      <c r="CP11" s="10" t="s">
        <v>43</v>
      </c>
      <c r="CQ11" s="10" t="s">
        <v>43</v>
      </c>
      <c r="CR11">
        <v>1.2071792250736828</v>
      </c>
      <c r="CS11">
        <v>1.0169369581719396E-2</v>
      </c>
      <c r="CT11">
        <v>2.3809523809523809</v>
      </c>
      <c r="CU11" s="9">
        <v>1.1870738056798775</v>
      </c>
      <c r="CV11" s="10">
        <v>17.648305892944336</v>
      </c>
      <c r="CW11">
        <v>0.06</v>
      </c>
      <c r="CX11">
        <v>0.61011935812803153</v>
      </c>
      <c r="CY11">
        <v>27241448543.765488</v>
      </c>
      <c r="CZ11">
        <v>1.1870738056798775</v>
      </c>
      <c r="DA11">
        <v>8.9126937784360316E-2</v>
      </c>
      <c r="DB11">
        <v>186481612778.09</v>
      </c>
      <c r="DC11">
        <v>1.1277201153958836</v>
      </c>
      <c r="DD11">
        <v>1.2003223248276322E-2</v>
      </c>
      <c r="DE11">
        <v>1384672663018.8044</v>
      </c>
      <c r="DF11">
        <v>1.0446249489982922</v>
      </c>
      <c r="DG11">
        <v>1.2992431880287645E-3</v>
      </c>
      <c r="DH11">
        <v>12792474305920.34</v>
      </c>
      <c r="DI11">
        <v>0.94965904454390204</v>
      </c>
      <c r="DJ11">
        <v>9.4822223927655022E-6</v>
      </c>
      <c r="DK11">
        <v>1752810091511954</v>
      </c>
      <c r="DL11">
        <v>0.83095166397591425</v>
      </c>
      <c r="DM11">
        <v>13203000000</v>
      </c>
      <c r="DN11">
        <v>1.1870738056798775</v>
      </c>
      <c r="DO11">
        <v>16620535099.999998</v>
      </c>
      <c r="DP11">
        <v>3259074500</v>
      </c>
      <c r="DQ11">
        <v>2857</v>
      </c>
      <c r="DR11">
        <v>-1.9274320224402384</v>
      </c>
      <c r="DS11">
        <v>-18.5963792018714</v>
      </c>
      <c r="DT11" s="11">
        <v>-0.21000000000000008</v>
      </c>
      <c r="DU11">
        <v>-0.42000000000000015</v>
      </c>
      <c r="DV11">
        <v>-0.63000000000000023</v>
      </c>
      <c r="DW11">
        <v>-1.0302</v>
      </c>
      <c r="DX11">
        <v>0.38232673267326844</v>
      </c>
      <c r="DY11">
        <v>-1.0042982673267327</v>
      </c>
      <c r="DZ11">
        <v>3047</v>
      </c>
      <c r="EA11">
        <v>-1.0017352887465851</v>
      </c>
      <c r="EB11">
        <v>1</v>
      </c>
      <c r="EC11">
        <v>3.7390422895111831E-2</v>
      </c>
      <c r="ED11">
        <v>0.26270836260217706</v>
      </c>
      <c r="EE11" s="12">
        <v>-1.0980099999999999</v>
      </c>
      <c r="EF11">
        <v>-1.0927100000000001</v>
      </c>
      <c r="EG11">
        <v>24.142326732673268</v>
      </c>
      <c r="EH11" t="s">
        <v>588</v>
      </c>
      <c r="EI11">
        <v>0</v>
      </c>
      <c r="EJ11">
        <v>0</v>
      </c>
      <c r="EK11" s="8">
        <v>45470</v>
      </c>
      <c r="EL11" s="13">
        <v>0</v>
      </c>
      <c r="EM11" s="13">
        <v>-1.34</v>
      </c>
      <c r="EN11" s="13">
        <v>0.54</v>
      </c>
      <c r="EO11" s="13">
        <v>1.08</v>
      </c>
      <c r="EP11" s="13">
        <v>0.53</v>
      </c>
    </row>
    <row r="12" spans="1:146" ht="180" x14ac:dyDescent="0.25">
      <c r="A12" s="6" t="s">
        <v>543</v>
      </c>
      <c r="B12" s="6"/>
      <c r="C12" s="6" t="str">
        <f>"公司的主营业务为集装箱板块、散杂货板块、港口物流板块和港口服务板块；公司母港集装箱吞吐量自2010年起连续九年位居世界第一，并连续两年超4000万标准箱，主要经营指标居行业前列。"&amp;CHAR(10)&amp;Basic_Fundamental_Information_Constructure(F12)&amp;CHAR(10)&amp;Basic_Fundamental_Information_Concatenate("集装箱板块 76.21亿 37.92% 41.85% 48.33%
港口物流板块 61.91亿 30.81% 23.52% 33.44%
其他板块 52.73亿 26.24% 26.21% 43.74%
港口服务板块 10.84亿 5.40% 4.62% 37.48%
散杂货板块 6.99亿 3.48% 0.75% 9.47%")</f>
        <v>公司的主营业务为集装箱板块、散杂货板块、港口物流板块和港口服务板块；公司母港集装箱吞吐量自2010年起连续九年位居世界第一，并连续两年超4000万标准箱，主要经营指标居行业前列。
市值1380.7498亿, 利润119.44亿; PE10.34; 平均PE9.47; 平均PEG.04, PB1.09; ROIC9.8233%; ROE13.9267%; 股利率2.9005%; 毛利38.64%; 净利43.4967%; 上一年度营收增824.09%, 利润增-30.65%; 当季营收增-88.61%, 利润增100.35%; 过往5年营收增263.78%, 利润增-30.65%
Income profile:
集装箱板块 76.21亿 37.92% 41.85% 48.33%
港口物流板块 61.91亿 30.81% 23.52% 33.44%
其他板块 52.73亿 26.24% 26.21% 43.74%
港口服务板块 10.84亿 5.40% 4.62% 37.48%
散杂货板块 6.99亿 3.48% 0.75% 9.47%</v>
      </c>
      <c r="D12" t="s">
        <v>72</v>
      </c>
      <c r="E12" t="s">
        <v>22</v>
      </c>
      <c r="F12">
        <v>5.93</v>
      </c>
      <c r="G12">
        <v>-1.17</v>
      </c>
      <c r="H12" t="s">
        <v>830</v>
      </c>
      <c r="I12">
        <v>138074980000</v>
      </c>
      <c r="J12">
        <v>10.34</v>
      </c>
      <c r="K12">
        <v>1.0900000000000001</v>
      </c>
      <c r="L12" t="s">
        <v>41</v>
      </c>
      <c r="M12" t="s">
        <v>831</v>
      </c>
      <c r="N12" t="s">
        <v>832</v>
      </c>
      <c r="O12" t="s">
        <v>833</v>
      </c>
      <c r="P12">
        <v>17.03</v>
      </c>
      <c r="Q12" t="s">
        <v>834</v>
      </c>
      <c r="R12">
        <v>3696452900</v>
      </c>
      <c r="S12" s="5">
        <v>4.1000000000000002E-2</v>
      </c>
      <c r="T12" t="s">
        <v>835</v>
      </c>
      <c r="U12">
        <v>23173675000</v>
      </c>
      <c r="V12">
        <v>23284145000</v>
      </c>
      <c r="W12">
        <v>1.46</v>
      </c>
      <c r="X12" t="s">
        <v>43</v>
      </c>
      <c r="Y12">
        <v>44.46</v>
      </c>
      <c r="Z12" t="s">
        <v>43</v>
      </c>
      <c r="AA12" t="s">
        <v>43</v>
      </c>
      <c r="AB12" t="s">
        <v>43</v>
      </c>
      <c r="AC12" t="s">
        <v>43</v>
      </c>
      <c r="AD12" t="s">
        <v>43</v>
      </c>
      <c r="AE12">
        <v>159934760</v>
      </c>
      <c r="AF12" t="s">
        <v>836</v>
      </c>
      <c r="AG12" t="s">
        <v>837</v>
      </c>
      <c r="AH12" t="s">
        <v>838</v>
      </c>
      <c r="AI12" t="s">
        <v>839</v>
      </c>
      <c r="AJ12" t="s">
        <v>840</v>
      </c>
      <c r="AK12" t="s">
        <v>43</v>
      </c>
      <c r="AL12" t="s">
        <v>841</v>
      </c>
      <c r="AM12" t="s">
        <v>43</v>
      </c>
      <c r="AN12" t="s">
        <v>842</v>
      </c>
      <c r="AO12" t="s">
        <v>43</v>
      </c>
      <c r="AP12" t="s">
        <v>43</v>
      </c>
      <c r="AQ12" t="s">
        <v>843</v>
      </c>
      <c r="AR12" t="s">
        <v>844</v>
      </c>
      <c r="AS12" t="s">
        <v>43</v>
      </c>
      <c r="AT12" t="s">
        <v>43</v>
      </c>
      <c r="AU12" t="s">
        <v>845</v>
      </c>
      <c r="AV12" t="s">
        <v>846</v>
      </c>
      <c r="AW12" t="s">
        <v>531</v>
      </c>
      <c r="AX12" t="s">
        <v>847</v>
      </c>
      <c r="AY12" t="s">
        <v>43</v>
      </c>
      <c r="AZ12" t="s">
        <v>187</v>
      </c>
      <c r="BA12" t="s">
        <v>73</v>
      </c>
      <c r="BB12" t="s">
        <v>188</v>
      </c>
      <c r="BC12" t="s">
        <v>848</v>
      </c>
      <c r="BD12" t="s">
        <v>43</v>
      </c>
      <c r="BE12" t="s">
        <v>43</v>
      </c>
      <c r="BF12" t="s">
        <v>43</v>
      </c>
      <c r="BG12" t="s">
        <v>43</v>
      </c>
      <c r="BH12" t="s">
        <v>809</v>
      </c>
      <c r="BI12" t="s">
        <v>849</v>
      </c>
      <c r="BJ12" t="s">
        <v>847</v>
      </c>
      <c r="BK12" t="s">
        <v>810</v>
      </c>
      <c r="BL12" t="s">
        <v>850</v>
      </c>
      <c r="BM12" t="s">
        <v>848</v>
      </c>
      <c r="BN12">
        <v>7.31</v>
      </c>
      <c r="BO12">
        <v>11.68</v>
      </c>
      <c r="BP12">
        <v>10.48</v>
      </c>
      <c r="BQ12">
        <v>9.7200000000000006</v>
      </c>
      <c r="BR12">
        <v>16.25</v>
      </c>
      <c r="BS12">
        <v>15.81</v>
      </c>
      <c r="BT12" t="s">
        <v>851</v>
      </c>
      <c r="BU12" t="s">
        <v>387</v>
      </c>
      <c r="BV12">
        <v>37.4</v>
      </c>
      <c r="BW12">
        <v>37.81</v>
      </c>
      <c r="BX12">
        <v>40.71</v>
      </c>
      <c r="BY12">
        <v>37.299999999999997</v>
      </c>
      <c r="BZ12">
        <v>48.04</v>
      </c>
      <c r="CA12">
        <v>45.15</v>
      </c>
      <c r="CB12">
        <v>2.6</v>
      </c>
      <c r="CC12">
        <v>6.08</v>
      </c>
      <c r="CD12" t="s">
        <v>180</v>
      </c>
      <c r="CE12" t="s">
        <v>852</v>
      </c>
      <c r="CF12" s="9">
        <v>-0.88612249052186964</v>
      </c>
      <c r="CG12" s="10">
        <v>1.0034975067750678</v>
      </c>
      <c r="CH12" s="9">
        <v>8.2408809661865234</v>
      </c>
      <c r="CI12" s="9" t="s">
        <v>43</v>
      </c>
      <c r="CJ12" s="9" t="s">
        <v>43</v>
      </c>
      <c r="CK12" s="9">
        <v>-0.27652209997177124</v>
      </c>
      <c r="CL12" s="9">
        <v>-5.1021218299865723E-2</v>
      </c>
      <c r="CM12" s="10">
        <v>-0.30654901266098022</v>
      </c>
      <c r="CN12" s="10" t="s">
        <v>43</v>
      </c>
      <c r="CO12" s="10" t="s">
        <v>43</v>
      </c>
      <c r="CP12" s="10" t="s">
        <v>43</v>
      </c>
      <c r="CQ12" s="10" t="s">
        <v>43</v>
      </c>
      <c r="CR12">
        <v>9.4675658255622608</v>
      </c>
      <c r="CS12">
        <v>3.5892184486997991E-2</v>
      </c>
      <c r="CT12">
        <v>2.900505902192243</v>
      </c>
      <c r="CU12" s="9">
        <v>2.6377792159716287</v>
      </c>
      <c r="CV12" s="10">
        <v>-0.30654901266098022</v>
      </c>
      <c r="CW12">
        <v>0.06</v>
      </c>
      <c r="CX12">
        <v>1.5770097693588041</v>
      </c>
      <c r="CY12">
        <v>40990221656.19352</v>
      </c>
      <c r="CZ12">
        <v>2.6377792159716287</v>
      </c>
      <c r="DA12">
        <v>0.10732443893177779</v>
      </c>
      <c r="DB12">
        <v>602304383264.37964</v>
      </c>
      <c r="DC12">
        <v>2.5058902551730471</v>
      </c>
      <c r="DD12">
        <v>3.8985221107898514E-3</v>
      </c>
      <c r="DE12">
        <v>16581150026337.379</v>
      </c>
      <c r="DF12">
        <v>2.3212457100550332</v>
      </c>
      <c r="DG12">
        <v>7.5426938918710161E-5</v>
      </c>
      <c r="DH12">
        <v>857014495439972.37</v>
      </c>
      <c r="DI12">
        <v>2.1102233727773032</v>
      </c>
      <c r="DJ12">
        <v>8.935353666867344E-9</v>
      </c>
      <c r="DK12">
        <v>7.234406427548033E+18</v>
      </c>
      <c r="DL12">
        <v>1.84644545118014</v>
      </c>
      <c r="DM12">
        <v>11944000000</v>
      </c>
      <c r="DN12">
        <v>2.6377792159716287</v>
      </c>
      <c r="DO12">
        <v>64641980000</v>
      </c>
      <c r="DP12">
        <v>53977608000</v>
      </c>
      <c r="DQ12">
        <v>2858</v>
      </c>
      <c r="DR12">
        <v>-3.5239017064934983</v>
      </c>
      <c r="DS12">
        <v>1.310046519436048</v>
      </c>
      <c r="DT12" s="11">
        <v>-0.21000000000000008</v>
      </c>
      <c r="DU12">
        <v>-1.1599999999999999</v>
      </c>
      <c r="DV12">
        <v>-1.37</v>
      </c>
      <c r="DW12">
        <v>8.4276315789473681</v>
      </c>
      <c r="DX12">
        <v>0.34687875150060032</v>
      </c>
      <c r="DY12">
        <v>8.0841915713653876</v>
      </c>
      <c r="DZ12">
        <v>2627</v>
      </c>
      <c r="EA12">
        <v>8.0409095247945714</v>
      </c>
      <c r="EB12">
        <v>8</v>
      </c>
      <c r="EC12">
        <v>7.0434194598942759E-3</v>
      </c>
      <c r="ED12">
        <v>3.5775417134706902E-2</v>
      </c>
      <c r="EE12" s="12">
        <v>-2.0112000000000001</v>
      </c>
      <c r="EF12">
        <v>-2.0036999999999998</v>
      </c>
      <c r="EG12">
        <v>15.1968787515006</v>
      </c>
      <c r="EH12" t="s">
        <v>757</v>
      </c>
      <c r="EI12">
        <v>0</v>
      </c>
      <c r="EJ12">
        <v>0</v>
      </c>
      <c r="EK12" s="8">
        <v>45470</v>
      </c>
      <c r="EL12" s="13">
        <v>0.37</v>
      </c>
      <c r="EM12" s="13">
        <v>-2.61</v>
      </c>
      <c r="EN12" s="13">
        <v>0.77</v>
      </c>
      <c r="EO12" s="13">
        <v>1.1399999999999999</v>
      </c>
      <c r="EP12" s="13">
        <v>-0.75</v>
      </c>
    </row>
    <row r="13" spans="1:146" ht="96" x14ac:dyDescent="0.25">
      <c r="A13" s="6"/>
      <c r="B13" s="6"/>
      <c r="C13" s="6" t="str">
        <f>""&amp;CHAR(10)&amp;Basic_Fundamental_Information_Constructure(F13)&amp;CHAR(10)&amp;Basic_Fundamental_Information_Concatenate("")</f>
        <v xml:space="preserve">
市值744.24112亿, 利润45.22亿; PE21.32; 平均PE24.9; 平均PEG.13, PB2.08; ROIC5.775%; ROE.0933%; 股利率2.2436%; 毛利18.6067%; 净利-3.51%; 上一年度营收增528.02%, 利润增210.36%; 当季营收增-81.74%, 利润增124.87%; 过往5年营收增186.35%, 利润增210.36%
Income profile:
</v>
      </c>
      <c r="D13" t="s">
        <v>74</v>
      </c>
      <c r="E13" t="s">
        <v>26</v>
      </c>
      <c r="F13">
        <v>15.6</v>
      </c>
      <c r="G13">
        <v>-0.19</v>
      </c>
      <c r="H13" t="s">
        <v>853</v>
      </c>
      <c r="I13">
        <v>74424112000</v>
      </c>
      <c r="J13">
        <v>21.32</v>
      </c>
      <c r="K13">
        <v>2.08</v>
      </c>
      <c r="L13" t="s">
        <v>41</v>
      </c>
      <c r="M13" t="s">
        <v>854</v>
      </c>
      <c r="N13" t="s">
        <v>855</v>
      </c>
      <c r="O13" t="s">
        <v>856</v>
      </c>
      <c r="P13">
        <v>3.68</v>
      </c>
      <c r="Q13" t="s">
        <v>857</v>
      </c>
      <c r="R13">
        <v>2550000000</v>
      </c>
      <c r="S13" s="5">
        <v>0.12759999999999999</v>
      </c>
      <c r="T13" t="s">
        <v>858</v>
      </c>
      <c r="U13">
        <v>3474776400</v>
      </c>
      <c r="V13">
        <v>4770776400</v>
      </c>
      <c r="W13">
        <v>1.89</v>
      </c>
      <c r="X13" t="s">
        <v>43</v>
      </c>
      <c r="Y13">
        <v>22.76</v>
      </c>
      <c r="Z13" t="s">
        <v>43</v>
      </c>
      <c r="AA13" t="s">
        <v>43</v>
      </c>
      <c r="AB13" t="s">
        <v>43</v>
      </c>
      <c r="AC13" t="s">
        <v>43</v>
      </c>
      <c r="AD13" t="s">
        <v>43</v>
      </c>
      <c r="AE13">
        <v>261353440</v>
      </c>
      <c r="AF13" t="s">
        <v>859</v>
      </c>
      <c r="AG13" t="s">
        <v>43</v>
      </c>
      <c r="AH13" t="s">
        <v>860</v>
      </c>
      <c r="AI13" t="s">
        <v>861</v>
      </c>
      <c r="AJ13" t="s">
        <v>862</v>
      </c>
      <c r="AK13" t="s">
        <v>43</v>
      </c>
      <c r="AL13" t="s">
        <v>863</v>
      </c>
      <c r="AM13" t="s">
        <v>43</v>
      </c>
      <c r="AN13" t="s">
        <v>864</v>
      </c>
      <c r="AO13" t="s">
        <v>43</v>
      </c>
      <c r="AP13" t="s">
        <v>43</v>
      </c>
      <c r="AQ13" t="s">
        <v>193</v>
      </c>
      <c r="AR13" t="s">
        <v>43</v>
      </c>
      <c r="AS13" t="s">
        <v>43</v>
      </c>
      <c r="AT13" t="s">
        <v>43</v>
      </c>
      <c r="AU13" t="s">
        <v>865</v>
      </c>
      <c r="AV13" t="s">
        <v>866</v>
      </c>
      <c r="AW13" t="s">
        <v>867</v>
      </c>
      <c r="AX13" t="s">
        <v>868</v>
      </c>
      <c r="AY13" t="s">
        <v>43</v>
      </c>
      <c r="AZ13" t="s">
        <v>190</v>
      </c>
      <c r="BA13" t="s">
        <v>75</v>
      </c>
      <c r="BB13" t="s">
        <v>192</v>
      </c>
      <c r="BC13" t="s">
        <v>869</v>
      </c>
      <c r="BD13" t="s">
        <v>43</v>
      </c>
      <c r="BE13" t="s">
        <v>43</v>
      </c>
      <c r="BF13" t="s">
        <v>43</v>
      </c>
      <c r="BG13" t="s">
        <v>43</v>
      </c>
      <c r="BH13" t="s">
        <v>870</v>
      </c>
      <c r="BI13" t="s">
        <v>871</v>
      </c>
      <c r="BJ13" t="s">
        <v>868</v>
      </c>
      <c r="BK13" t="s">
        <v>872</v>
      </c>
      <c r="BL13" t="s">
        <v>500</v>
      </c>
      <c r="BM13" t="s">
        <v>869</v>
      </c>
      <c r="BN13">
        <v>7.41</v>
      </c>
      <c r="BO13">
        <v>4.1399999999999997</v>
      </c>
      <c r="BP13" t="s">
        <v>43</v>
      </c>
      <c r="BQ13">
        <v>11.06</v>
      </c>
      <c r="BR13">
        <v>4.7300000000000004</v>
      </c>
      <c r="BS13">
        <v>-15.51</v>
      </c>
      <c r="BT13" t="s">
        <v>873</v>
      </c>
      <c r="BU13" t="s">
        <v>369</v>
      </c>
      <c r="BV13">
        <v>29.94</v>
      </c>
      <c r="BW13">
        <v>18.559999999999999</v>
      </c>
      <c r="BX13">
        <v>7.32</v>
      </c>
      <c r="BY13">
        <v>16.57</v>
      </c>
      <c r="BZ13">
        <v>9.57</v>
      </c>
      <c r="CA13">
        <v>-36.67</v>
      </c>
      <c r="CB13">
        <v>-0.06</v>
      </c>
      <c r="CC13">
        <v>-9.3000000000000007</v>
      </c>
      <c r="CD13" t="s">
        <v>874</v>
      </c>
      <c r="CE13" t="s">
        <v>875</v>
      </c>
      <c r="CF13" s="9">
        <v>-0.81743698792920128</v>
      </c>
      <c r="CG13" s="10">
        <v>1.2486772486772486</v>
      </c>
      <c r="CH13" s="9">
        <v>5.2802014350891113</v>
      </c>
      <c r="CI13" s="9" t="s">
        <v>43</v>
      </c>
      <c r="CJ13" s="9" t="s">
        <v>43</v>
      </c>
      <c r="CK13" s="9">
        <v>0.18047548830509186</v>
      </c>
      <c r="CL13" s="9">
        <v>0.12974119186401367</v>
      </c>
      <c r="CM13" s="10">
        <v>2.1036376953125</v>
      </c>
      <c r="CN13" s="10" t="s">
        <v>43</v>
      </c>
      <c r="CO13" s="10" t="s">
        <v>43</v>
      </c>
      <c r="CP13" s="10" t="s">
        <v>43</v>
      </c>
      <c r="CQ13" s="10" t="s">
        <v>43</v>
      </c>
      <c r="CR13">
        <v>24.895170429837766</v>
      </c>
      <c r="CS13">
        <v>0.13359557326431504</v>
      </c>
      <c r="CT13">
        <v>2.2435897435897436</v>
      </c>
      <c r="CU13" s="9">
        <v>1.8634727050860722</v>
      </c>
      <c r="CV13" s="10">
        <v>2.1036376953125</v>
      </c>
      <c r="CW13">
        <v>0.06</v>
      </c>
      <c r="CX13">
        <v>5.7945277581420704</v>
      </c>
      <c r="CY13">
        <v>12215682615.470959</v>
      </c>
      <c r="CZ13">
        <v>1.8634727050860722</v>
      </c>
      <c r="DA13">
        <v>0.57348906650263387</v>
      </c>
      <c r="DB13">
        <v>123427134246.28978</v>
      </c>
      <c r="DC13">
        <v>1.7702990698317684</v>
      </c>
      <c r="DD13">
        <v>3.9429419721493005E-2</v>
      </c>
      <c r="DE13">
        <v>1795210594017.8352</v>
      </c>
      <c r="DF13">
        <v>1.6398559804757435</v>
      </c>
      <c r="DG13">
        <v>1.7524081780570275E-3</v>
      </c>
      <c r="DH13">
        <v>40392479837934.492</v>
      </c>
      <c r="DI13">
        <v>1.4907781640688578</v>
      </c>
      <c r="DJ13">
        <v>1.5200432058973496E-6</v>
      </c>
      <c r="DK13">
        <v>4.656717106814932E+16</v>
      </c>
      <c r="DL13">
        <v>1.3044308935602504</v>
      </c>
      <c r="DM13">
        <v>4522000000</v>
      </c>
      <c r="DN13">
        <v>1.8634727050860722</v>
      </c>
      <c r="DO13">
        <v>70784112000</v>
      </c>
      <c r="DP13">
        <v>8463709900</v>
      </c>
      <c r="DQ13">
        <v>2865</v>
      </c>
      <c r="DR13">
        <v>-2.6809096930152734</v>
      </c>
      <c r="DS13">
        <v>-0.85496044663525139</v>
      </c>
      <c r="DT13" s="11">
        <v>-0.21000000000000008</v>
      </c>
      <c r="DU13">
        <v>2.2199999999999998</v>
      </c>
      <c r="DV13">
        <v>2.0099999999999998</v>
      </c>
      <c r="DW13">
        <v>-2.093</v>
      </c>
      <c r="DX13">
        <v>0.2980127407407403</v>
      </c>
      <c r="DY13">
        <v>-2.0100451848888889</v>
      </c>
      <c r="DZ13">
        <v>1491</v>
      </c>
      <c r="EA13">
        <v>-2.0071141925856928</v>
      </c>
      <c r="EB13">
        <v>2</v>
      </c>
      <c r="EC13">
        <v>1.5282334338704283E-2</v>
      </c>
      <c r="ED13">
        <v>0.14148640460282313</v>
      </c>
      <c r="EE13" s="12">
        <v>3.721E-2</v>
      </c>
      <c r="EF13">
        <v>3.5310000000000001E-2</v>
      </c>
      <c r="EG13">
        <v>19.10801274074074</v>
      </c>
      <c r="EH13">
        <v>-1</v>
      </c>
      <c r="EI13">
        <v>0</v>
      </c>
      <c r="EJ13">
        <v>1</v>
      </c>
      <c r="EK13" s="8">
        <v>45470</v>
      </c>
      <c r="EL13" s="13">
        <v>-0.09</v>
      </c>
      <c r="EM13" s="13">
        <v>-0.09</v>
      </c>
      <c r="EN13" s="13">
        <v>-0.28000000000000003</v>
      </c>
      <c r="EO13" s="13">
        <v>-0.09</v>
      </c>
      <c r="EP13" s="13">
        <v>0.19</v>
      </c>
    </row>
    <row r="14" spans="1:146" ht="204" x14ac:dyDescent="0.25">
      <c r="A14" s="6" t="s">
        <v>546</v>
      </c>
      <c r="B14" s="6" t="s">
        <v>554</v>
      </c>
      <c r="C14" s="6" t="str">
        <f>"公司主营业务为集装箱物流业务。其主要产品是物流服务。根据Alphaliner统计，截至2021年6月30日，公司在全球集装箱船舶企业中综合运力排名第18位，位居国内内贸集装箱物流企业前三甲。"&amp;CHAR(10)&amp;Basic_Fundamental_Information_Constructure(F14)&amp;CHAR(10)&amp;Basic_Fundamental_Information_Concatenate("物流服务 77.93亿 99.98% 99.97% 29.20%
其他业务 147.16万 0.02% 0.03% 48.41%")</f>
        <v>公司主营业务为集装箱物流业务。其主要产品是物流服务。根据Alphaliner统计，截至2021年6月30日，公司在全球集装箱船舶企业中综合运力排名第18位，位居国内内贸集装箱物流企业前三甲。
市值96.901968亿, 利润2.94亿; PE18.07; 平均PE7.28; 平均PEG.08, PB.949; ROIC16.8933%; ROE18.8533%; 股利率0%; 毛利23.3233%; 净利18.64%; 上一年度营收增336.94%, 利润增-87.58%; 当季营收增-84.99%, 利润增-74.9%; 过往5年营收增94.46%, 利润增-87.58%
Income profile:
物流服务 77.93亿 99.98% 99.97% 29.20%
其他业务 147.16万 0.02% 0.03% 48.41%</v>
      </c>
      <c r="D14" t="s">
        <v>316</v>
      </c>
      <c r="E14" t="s">
        <v>317</v>
      </c>
      <c r="F14">
        <v>2.29</v>
      </c>
      <c r="G14">
        <v>0</v>
      </c>
      <c r="H14" t="s">
        <v>876</v>
      </c>
      <c r="I14">
        <v>9690196800</v>
      </c>
      <c r="J14">
        <v>18.07</v>
      </c>
      <c r="K14">
        <v>0.94899999999999995</v>
      </c>
      <c r="L14" t="s">
        <v>41</v>
      </c>
      <c r="M14" t="s">
        <v>877</v>
      </c>
      <c r="N14" t="s">
        <v>537</v>
      </c>
      <c r="O14" t="s">
        <v>878</v>
      </c>
      <c r="P14">
        <v>-4.18</v>
      </c>
      <c r="Q14" t="s">
        <v>879</v>
      </c>
      <c r="R14">
        <v>51204491</v>
      </c>
      <c r="S14" s="5">
        <v>-0.37980000000000003</v>
      </c>
      <c r="T14" t="s">
        <v>880</v>
      </c>
      <c r="U14">
        <v>3734236500</v>
      </c>
      <c r="V14">
        <v>4231527000</v>
      </c>
      <c r="W14">
        <v>1.37</v>
      </c>
      <c r="X14" t="s">
        <v>43</v>
      </c>
      <c r="Y14">
        <v>3.17</v>
      </c>
      <c r="Z14" t="s">
        <v>43</v>
      </c>
      <c r="AA14" t="s">
        <v>43</v>
      </c>
      <c r="AB14" t="s">
        <v>43</v>
      </c>
      <c r="AC14" t="s">
        <v>43</v>
      </c>
      <c r="AD14" t="s">
        <v>43</v>
      </c>
      <c r="AE14">
        <v>7657420</v>
      </c>
      <c r="AF14" t="s">
        <v>881</v>
      </c>
      <c r="AG14" t="s">
        <v>882</v>
      </c>
      <c r="AH14" t="s">
        <v>883</v>
      </c>
      <c r="AI14" t="s">
        <v>520</v>
      </c>
      <c r="AJ14" t="s">
        <v>884</v>
      </c>
      <c r="AK14" t="s">
        <v>43</v>
      </c>
      <c r="AL14" t="s">
        <v>885</v>
      </c>
      <c r="AM14" t="s">
        <v>43</v>
      </c>
      <c r="AN14" t="s">
        <v>886</v>
      </c>
      <c r="AO14" t="s">
        <v>43</v>
      </c>
      <c r="AP14" t="s">
        <v>406</v>
      </c>
      <c r="AQ14" t="s">
        <v>494</v>
      </c>
      <c r="AR14" t="s">
        <v>887</v>
      </c>
      <c r="AS14" t="s">
        <v>43</v>
      </c>
      <c r="AT14" t="s">
        <v>43</v>
      </c>
      <c r="AU14" t="s">
        <v>888</v>
      </c>
      <c r="AV14" t="s">
        <v>889</v>
      </c>
      <c r="AW14" t="s">
        <v>890</v>
      </c>
      <c r="AX14" t="s">
        <v>891</v>
      </c>
      <c r="AY14" t="s">
        <v>43</v>
      </c>
      <c r="AZ14" t="s">
        <v>318</v>
      </c>
      <c r="BA14" t="s">
        <v>319</v>
      </c>
      <c r="BB14" t="s">
        <v>320</v>
      </c>
      <c r="BC14" t="s">
        <v>892</v>
      </c>
      <c r="BD14" t="s">
        <v>43</v>
      </c>
      <c r="BE14" t="s">
        <v>43</v>
      </c>
      <c r="BF14" t="s">
        <v>43</v>
      </c>
      <c r="BG14" t="s">
        <v>43</v>
      </c>
      <c r="BH14" t="s">
        <v>893</v>
      </c>
      <c r="BI14" t="s">
        <v>894</v>
      </c>
      <c r="BJ14" t="s">
        <v>891</v>
      </c>
      <c r="BK14" t="s">
        <v>895</v>
      </c>
      <c r="BL14" t="s">
        <v>896</v>
      </c>
      <c r="BM14" t="s">
        <v>892</v>
      </c>
      <c r="BN14">
        <v>3.8</v>
      </c>
      <c r="BO14">
        <v>24.76</v>
      </c>
      <c r="BP14">
        <v>22.12</v>
      </c>
      <c r="BQ14">
        <v>4.05</v>
      </c>
      <c r="BR14">
        <v>26.9</v>
      </c>
      <c r="BS14">
        <v>25.61</v>
      </c>
      <c r="BT14" t="s">
        <v>487</v>
      </c>
      <c r="BU14" t="s">
        <v>369</v>
      </c>
      <c r="BV14">
        <v>10.19</v>
      </c>
      <c r="BW14">
        <v>30.58</v>
      </c>
      <c r="BX14">
        <v>29.2</v>
      </c>
      <c r="BY14">
        <v>7.73</v>
      </c>
      <c r="BZ14">
        <v>25.52</v>
      </c>
      <c r="CA14">
        <v>22.67</v>
      </c>
      <c r="CB14">
        <v>-1.72</v>
      </c>
      <c r="CC14">
        <v>8.5299999999999994</v>
      </c>
      <c r="CD14" t="s">
        <v>177</v>
      </c>
      <c r="CE14" t="s">
        <v>111</v>
      </c>
      <c r="CF14" s="9">
        <v>-0.84985598810740504</v>
      </c>
      <c r="CG14" s="10">
        <v>-0.74899759313725489</v>
      </c>
      <c r="CH14" s="9">
        <v>3.3694417476654053</v>
      </c>
      <c r="CI14" s="9" t="s">
        <v>43</v>
      </c>
      <c r="CJ14" s="9" t="s">
        <v>43</v>
      </c>
      <c r="CK14" s="9">
        <v>-3.2419528812170029E-2</v>
      </c>
      <c r="CL14" s="9">
        <v>-0.50318151712417603</v>
      </c>
      <c r="CM14" s="10">
        <v>-0.87579214572906494</v>
      </c>
      <c r="CN14" s="10" t="s">
        <v>43</v>
      </c>
      <c r="CO14" s="10" t="s">
        <v>43</v>
      </c>
      <c r="CP14" s="10" t="s">
        <v>43</v>
      </c>
      <c r="CQ14" s="10" t="s">
        <v>43</v>
      </c>
      <c r="CR14">
        <v>7.2831242390078916</v>
      </c>
      <c r="CS14">
        <v>7.7101626438255161E-2</v>
      </c>
      <c r="CT14">
        <v>0</v>
      </c>
      <c r="CU14" s="9">
        <v>0.9446135672430197</v>
      </c>
      <c r="CV14" s="10">
        <v>-0.87579214572906494</v>
      </c>
      <c r="CW14">
        <v>0.06</v>
      </c>
      <c r="CX14">
        <v>5.8981492821256722</v>
      </c>
      <c r="CY14">
        <v>539355083.74476206</v>
      </c>
      <c r="CZ14">
        <v>0.9446135672430197</v>
      </c>
      <c r="DA14">
        <v>1.0084989834495632</v>
      </c>
      <c r="DB14">
        <v>3154387711.0502782</v>
      </c>
      <c r="DC14">
        <v>0.8973828888808687</v>
      </c>
      <c r="DD14">
        <v>0.17810632909071303</v>
      </c>
      <c r="DE14">
        <v>17861222654.135746</v>
      </c>
      <c r="DF14">
        <v>0.83125993917385732</v>
      </c>
      <c r="DG14">
        <v>2.777112970291936E-2</v>
      </c>
      <c r="DH14">
        <v>114550500250.82652</v>
      </c>
      <c r="DI14">
        <v>0.75569085379441581</v>
      </c>
      <c r="DJ14">
        <v>4.9026720822811559E-4</v>
      </c>
      <c r="DK14">
        <v>6488699930589.333</v>
      </c>
      <c r="DL14">
        <v>0.6612294970701138</v>
      </c>
      <c r="DM14">
        <v>294000000</v>
      </c>
      <c r="DN14">
        <v>0.9446135672430197</v>
      </c>
      <c r="DO14">
        <v>3181196800</v>
      </c>
      <c r="DP14">
        <v>7110944400</v>
      </c>
      <c r="DQ14">
        <v>2982</v>
      </c>
      <c r="DR14">
        <v>-1.7944695553504246</v>
      </c>
      <c r="DS14">
        <v>0.12679455259181005</v>
      </c>
      <c r="DT14" s="11">
        <v>-0.21000000000000008</v>
      </c>
      <c r="DU14">
        <v>-2.3199999999999998</v>
      </c>
      <c r="DV14">
        <v>-2.5299999999999998</v>
      </c>
      <c r="DW14">
        <v>2.0853000000000002</v>
      </c>
      <c r="DX14">
        <v>0.29856068743286801</v>
      </c>
      <c r="DY14">
        <v>2.0118192266380235</v>
      </c>
      <c r="DZ14">
        <v>670</v>
      </c>
      <c r="EA14">
        <v>2.0102695433019226</v>
      </c>
      <c r="EB14">
        <v>2</v>
      </c>
      <c r="EC14">
        <v>3.0485448869876051E-2</v>
      </c>
      <c r="ED14">
        <v>0.22001513874305895</v>
      </c>
      <c r="EE14" s="12">
        <v>6.0206</v>
      </c>
      <c r="EF14">
        <v>6.0211100000000002</v>
      </c>
      <c r="EG14">
        <v>16.138560687432868</v>
      </c>
      <c r="EH14" t="s">
        <v>897</v>
      </c>
      <c r="EI14">
        <v>1</v>
      </c>
      <c r="EJ14">
        <v>1</v>
      </c>
      <c r="EK14" s="8">
        <v>45470</v>
      </c>
      <c r="EL14" s="13">
        <v>0.11</v>
      </c>
      <c r="EM14" s="13">
        <v>2.78</v>
      </c>
      <c r="EN14" s="13">
        <v>10.050000000000001</v>
      </c>
      <c r="EO14" s="13">
        <v>1.18</v>
      </c>
      <c r="EP14" s="13">
        <v>-4.17</v>
      </c>
    </row>
    <row r="15" spans="1:146" ht="96" x14ac:dyDescent="0.25">
      <c r="A15" s="6"/>
      <c r="B15" s="6"/>
      <c r="C15" s="6" t="str">
        <f>""&amp;CHAR(10)&amp;Basic_Fundamental_Information_Constructure(F15)&amp;CHAR(10)&amp;Basic_Fundamental_Information_Concatenate("")</f>
        <v xml:space="preserve">
市值28.832998亿, 利润1887.50万; PE36.76; 平均PE19.89; 平均PEG.77, PB.426; ROIC2.9833%; ROE1.5133%; 股利率1.3889%; 毛利26.16%; 净利3.7167%; 上一年度营收增-78.47%, 利润增-85.25%; 当季营收增284.62%, 利润增-50.44%; 过往5年营收增-25.92%, 利润增-27.11%
Income profile:
</v>
      </c>
      <c r="D15" t="s">
        <v>77</v>
      </c>
      <c r="E15" t="s">
        <v>898</v>
      </c>
      <c r="F15">
        <v>1.44</v>
      </c>
      <c r="G15">
        <v>1.41</v>
      </c>
      <c r="H15" t="s">
        <v>899</v>
      </c>
      <c r="I15">
        <v>2883299800</v>
      </c>
      <c r="J15">
        <v>36.76</v>
      </c>
      <c r="K15">
        <v>0.42599999999999999</v>
      </c>
      <c r="L15" t="s">
        <v>41</v>
      </c>
      <c r="M15" t="s">
        <v>900</v>
      </c>
      <c r="N15" t="s">
        <v>901</v>
      </c>
      <c r="O15" t="s">
        <v>902</v>
      </c>
      <c r="P15">
        <v>-43.28</v>
      </c>
      <c r="Q15" t="s">
        <v>903</v>
      </c>
      <c r="R15">
        <v>22002415</v>
      </c>
      <c r="S15" s="5">
        <v>-0.1419</v>
      </c>
      <c r="T15" t="s">
        <v>904</v>
      </c>
      <c r="U15">
        <v>1779484500</v>
      </c>
      <c r="V15">
        <v>2002291500</v>
      </c>
      <c r="W15">
        <v>2.5</v>
      </c>
      <c r="X15">
        <v>0.03</v>
      </c>
      <c r="Y15">
        <v>4.3600000000000003</v>
      </c>
      <c r="Z15" t="s">
        <v>905</v>
      </c>
      <c r="AA15" t="s">
        <v>906</v>
      </c>
      <c r="AB15" t="s">
        <v>907</v>
      </c>
      <c r="AC15" t="s">
        <v>908</v>
      </c>
      <c r="AD15" t="s">
        <v>43</v>
      </c>
      <c r="AE15">
        <v>129350090</v>
      </c>
      <c r="AF15" t="s">
        <v>909</v>
      </c>
      <c r="AG15" t="s">
        <v>910</v>
      </c>
      <c r="AH15" t="s">
        <v>911</v>
      </c>
      <c r="AI15" t="s">
        <v>912</v>
      </c>
      <c r="AJ15" t="s">
        <v>43</v>
      </c>
      <c r="AK15" t="s">
        <v>913</v>
      </c>
      <c r="AL15" t="s">
        <v>914</v>
      </c>
      <c r="AM15" t="s">
        <v>43</v>
      </c>
      <c r="AN15" t="s">
        <v>915</v>
      </c>
      <c r="AO15" t="s">
        <v>916</v>
      </c>
      <c r="AP15" t="s">
        <v>917</v>
      </c>
      <c r="AQ15" t="s">
        <v>918</v>
      </c>
      <c r="AR15" t="s">
        <v>919</v>
      </c>
      <c r="AS15" t="s">
        <v>920</v>
      </c>
      <c r="AT15" t="s">
        <v>921</v>
      </c>
      <c r="AU15" t="s">
        <v>922</v>
      </c>
      <c r="AV15" t="s">
        <v>923</v>
      </c>
      <c r="AW15" t="s">
        <v>924</v>
      </c>
      <c r="AX15" t="s">
        <v>925</v>
      </c>
      <c r="AY15" t="s">
        <v>321</v>
      </c>
      <c r="AZ15" t="s">
        <v>324</v>
      </c>
      <c r="BA15" t="s">
        <v>79</v>
      </c>
      <c r="BB15" t="s">
        <v>63</v>
      </c>
      <c r="BC15" t="s">
        <v>771</v>
      </c>
      <c r="BD15" t="s">
        <v>322</v>
      </c>
      <c r="BE15" t="s">
        <v>191</v>
      </c>
      <c r="BF15" t="s">
        <v>80</v>
      </c>
      <c r="BG15" t="s">
        <v>194</v>
      </c>
      <c r="BH15" t="s">
        <v>926</v>
      </c>
      <c r="BI15" t="s">
        <v>44</v>
      </c>
      <c r="BJ15" t="s">
        <v>925</v>
      </c>
      <c r="BK15" t="s">
        <v>927</v>
      </c>
      <c r="BL15" t="s">
        <v>928</v>
      </c>
      <c r="BM15" t="s">
        <v>771</v>
      </c>
      <c r="BN15">
        <v>2.25</v>
      </c>
      <c r="BO15">
        <v>3.46</v>
      </c>
      <c r="BP15">
        <v>3.24</v>
      </c>
      <c r="BQ15">
        <v>0.68</v>
      </c>
      <c r="BR15">
        <v>1.93</v>
      </c>
      <c r="BS15">
        <v>1.93</v>
      </c>
      <c r="BT15" t="s">
        <v>502</v>
      </c>
      <c r="BU15" t="s">
        <v>387</v>
      </c>
      <c r="BV15">
        <v>24.28</v>
      </c>
      <c r="BW15">
        <v>24.88</v>
      </c>
      <c r="BX15">
        <v>29.32</v>
      </c>
      <c r="BY15">
        <v>2.79</v>
      </c>
      <c r="BZ15">
        <v>4.25</v>
      </c>
      <c r="CA15">
        <v>4.1100000000000003</v>
      </c>
      <c r="CB15">
        <v>4.3499999999999996</v>
      </c>
      <c r="CC15">
        <v>-40</v>
      </c>
      <c r="CD15" t="s">
        <v>800</v>
      </c>
      <c r="CE15" t="s">
        <v>175</v>
      </c>
      <c r="CF15" s="9">
        <v>2.8461538461538463</v>
      </c>
      <c r="CG15" s="10">
        <v>-0.50442220845768337</v>
      </c>
      <c r="CH15" s="9">
        <v>-0.78465181589126587</v>
      </c>
      <c r="CI15" s="9">
        <v>8.5237612947821617E-3</v>
      </c>
      <c r="CJ15" s="9">
        <v>-0.32837191224098206</v>
      </c>
      <c r="CK15" s="9">
        <v>-0.37907007336616516</v>
      </c>
      <c r="CL15" s="9">
        <v>0.18760555982589722</v>
      </c>
      <c r="CM15" s="10">
        <v>-0.8525390625</v>
      </c>
      <c r="CN15" s="10">
        <v>1.587301678955555E-2</v>
      </c>
      <c r="CO15" s="10">
        <v>-0.32620319724082947</v>
      </c>
      <c r="CP15" s="10">
        <v>0.1130952388048172</v>
      </c>
      <c r="CQ15" s="10">
        <v>-0.30578511953353882</v>
      </c>
      <c r="CR15">
        <v>19.887683632705851</v>
      </c>
      <c r="CS15">
        <v>0.76729277437099219</v>
      </c>
      <c r="CT15">
        <v>1.3888888888888891</v>
      </c>
      <c r="CU15" s="9">
        <v>-0.25919289607554674</v>
      </c>
      <c r="CV15" s="10">
        <v>-0.2711118247359991</v>
      </c>
      <c r="CW15">
        <v>0.06</v>
      </c>
      <c r="CX15">
        <v>338.13508874172186</v>
      </c>
      <c r="CY15" t="s">
        <v>929</v>
      </c>
      <c r="CZ15">
        <v>-0.25919289607554674</v>
      </c>
      <c r="DA15">
        <v>112.71169624724062</v>
      </c>
      <c r="DB15" t="s">
        <v>930</v>
      </c>
      <c r="DC15">
        <v>-0.2462332512717694</v>
      </c>
      <c r="DD15">
        <v>56.355848123620312</v>
      </c>
      <c r="DE15" t="s">
        <v>931</v>
      </c>
      <c r="DF15">
        <v>-0.22808974854648115</v>
      </c>
      <c r="DG15">
        <v>33.813508874172186</v>
      </c>
      <c r="DH15" t="s">
        <v>932</v>
      </c>
      <c r="DI15">
        <v>-0.2073543168604374</v>
      </c>
      <c r="DJ15">
        <v>16.906754437086093</v>
      </c>
      <c r="DK15" t="s">
        <v>933</v>
      </c>
      <c r="DL15">
        <v>-0.18143502725288271</v>
      </c>
      <c r="DM15">
        <v>18875000</v>
      </c>
      <c r="DN15">
        <v>-0.25919289607554674</v>
      </c>
      <c r="DO15">
        <v>6382299800</v>
      </c>
      <c r="DP15">
        <v>-4382780100.000001</v>
      </c>
      <c r="DQ15">
        <v>2992</v>
      </c>
      <c r="DR15">
        <v>3.105346742229393</v>
      </c>
      <c r="DS15">
        <v>-0.23331038372168428</v>
      </c>
      <c r="DT15" s="11">
        <v>-0.92333333333333334</v>
      </c>
      <c r="DU15">
        <v>-0.78666666666666663</v>
      </c>
      <c r="DV15">
        <v>-1.71</v>
      </c>
      <c r="DW15">
        <v>6.098083427282976</v>
      </c>
      <c r="DX15">
        <v>0.27944954128440302</v>
      </c>
      <c r="DY15">
        <v>6.013677688942213</v>
      </c>
      <c r="DZ15">
        <v>4673</v>
      </c>
      <c r="EA15">
        <v>6.0011696966864472</v>
      </c>
      <c r="EB15">
        <v>6</v>
      </c>
      <c r="EC15">
        <v>7.5913022654293838E-2</v>
      </c>
      <c r="ED15">
        <v>0.54437628087618606</v>
      </c>
      <c r="EE15" s="12">
        <v>2.0893999999999999</v>
      </c>
      <c r="EF15">
        <v>2.0632000000000001</v>
      </c>
      <c r="EG15">
        <v>14.139449541284403</v>
      </c>
      <c r="EH15" t="s">
        <v>934</v>
      </c>
      <c r="EI15">
        <v>0</v>
      </c>
      <c r="EJ15">
        <v>0</v>
      </c>
      <c r="EK15" s="8">
        <v>45470</v>
      </c>
      <c r="EL15" s="13">
        <v>-0.15</v>
      </c>
      <c r="EM15" s="13">
        <v>-3.52</v>
      </c>
      <c r="EN15" s="13">
        <v>2.89</v>
      </c>
      <c r="EO15" s="13">
        <v>1.48</v>
      </c>
      <c r="EP15" s="13">
        <v>-2.62</v>
      </c>
    </row>
    <row r="16" spans="1:146" ht="96" x14ac:dyDescent="0.25">
      <c r="A16" s="6"/>
      <c r="B16" s="6"/>
      <c r="C16" s="6" t="str">
        <f>""&amp;CHAR(10)&amp;Basic_Fundamental_Information_Constructure(F16)&amp;CHAR(10)&amp;Basic_Fundamental_Information_Concatenate("")</f>
        <v xml:space="preserve">
市值43.439306亿, 利润-1.53亿; PE6.92; 平均PE56.92; 平均PEG3.9, PB.695; ROIC2.0833%; ROE1.66%; 股利率1.2295%; 毛利8.9367%; 净利8.61%; 上一年度营收增-50.61%, 利润增-206.99%; 当季营收增116.14%, 利润增101.48%; 过往5年营收增-14.61%, 利润增-31.79%
Income profile:
</v>
      </c>
      <c r="D16" t="s">
        <v>82</v>
      </c>
      <c r="E16" t="s">
        <v>326</v>
      </c>
      <c r="F16">
        <v>3.66</v>
      </c>
      <c r="G16">
        <v>0.83</v>
      </c>
      <c r="H16" t="s">
        <v>935</v>
      </c>
      <c r="I16">
        <v>4343930600</v>
      </c>
      <c r="J16">
        <v>6.92</v>
      </c>
      <c r="K16">
        <v>0.69499999999999995</v>
      </c>
      <c r="L16" t="s">
        <v>41</v>
      </c>
      <c r="M16" t="s">
        <v>936</v>
      </c>
      <c r="N16" t="s">
        <v>937</v>
      </c>
      <c r="O16" t="s">
        <v>938</v>
      </c>
      <c r="P16">
        <v>-12.29</v>
      </c>
      <c r="Q16" t="s">
        <v>939</v>
      </c>
      <c r="R16">
        <v>430388</v>
      </c>
      <c r="S16" s="5">
        <v>2.008</v>
      </c>
      <c r="T16" t="s">
        <v>940</v>
      </c>
      <c r="U16">
        <v>1186866280</v>
      </c>
      <c r="V16">
        <v>1186866280</v>
      </c>
      <c r="W16">
        <v>1.65</v>
      </c>
      <c r="X16">
        <v>0.1</v>
      </c>
      <c r="Y16">
        <v>1.2</v>
      </c>
      <c r="Z16" t="s">
        <v>941</v>
      </c>
      <c r="AA16" t="s">
        <v>942</v>
      </c>
      <c r="AB16" t="s">
        <v>943</v>
      </c>
      <c r="AC16" t="s">
        <v>944</v>
      </c>
      <c r="AD16" t="s">
        <v>43</v>
      </c>
      <c r="AE16">
        <v>28251111</v>
      </c>
      <c r="AF16" t="s">
        <v>945</v>
      </c>
      <c r="AG16" t="s">
        <v>946</v>
      </c>
      <c r="AH16" t="s">
        <v>947</v>
      </c>
      <c r="AI16" t="s">
        <v>948</v>
      </c>
      <c r="AJ16" t="s">
        <v>949</v>
      </c>
      <c r="AK16" t="s">
        <v>154</v>
      </c>
      <c r="AL16" t="s">
        <v>950</v>
      </c>
      <c r="AM16" t="s">
        <v>43</v>
      </c>
      <c r="AN16" t="s">
        <v>951</v>
      </c>
      <c r="AO16" t="s">
        <v>43</v>
      </c>
      <c r="AP16" t="s">
        <v>952</v>
      </c>
      <c r="AQ16" t="s">
        <v>703</v>
      </c>
      <c r="AR16" t="s">
        <v>953</v>
      </c>
      <c r="AS16" t="s">
        <v>954</v>
      </c>
      <c r="AT16" t="s">
        <v>955</v>
      </c>
      <c r="AU16" t="s">
        <v>956</v>
      </c>
      <c r="AV16" t="s">
        <v>957</v>
      </c>
      <c r="AW16" t="s">
        <v>958</v>
      </c>
      <c r="AX16" t="s">
        <v>959</v>
      </c>
      <c r="AY16" t="s">
        <v>327</v>
      </c>
      <c r="AZ16" t="s">
        <v>196</v>
      </c>
      <c r="BA16" t="s">
        <v>83</v>
      </c>
      <c r="BB16" t="s">
        <v>189</v>
      </c>
      <c r="BC16" t="s">
        <v>195</v>
      </c>
      <c r="BD16" t="s">
        <v>328</v>
      </c>
      <c r="BE16" t="s">
        <v>197</v>
      </c>
      <c r="BF16" t="s">
        <v>84</v>
      </c>
      <c r="BG16" t="s">
        <v>198</v>
      </c>
      <c r="BH16" t="s">
        <v>960</v>
      </c>
      <c r="BI16" t="s">
        <v>158</v>
      </c>
      <c r="BJ16" t="s">
        <v>959</v>
      </c>
      <c r="BK16" t="s">
        <v>961</v>
      </c>
      <c r="BL16" t="s">
        <v>962</v>
      </c>
      <c r="BM16" t="s">
        <v>195</v>
      </c>
      <c r="BN16">
        <v>1.76</v>
      </c>
      <c r="BO16">
        <v>2.61</v>
      </c>
      <c r="BP16">
        <v>1.88</v>
      </c>
      <c r="BQ16">
        <v>1.22</v>
      </c>
      <c r="BR16">
        <v>2.54</v>
      </c>
      <c r="BS16">
        <v>1.22</v>
      </c>
      <c r="BT16" t="s">
        <v>963</v>
      </c>
      <c r="BU16" t="s">
        <v>387</v>
      </c>
      <c r="BV16">
        <v>10.36</v>
      </c>
      <c r="BW16">
        <v>8.77</v>
      </c>
      <c r="BX16">
        <v>7.68</v>
      </c>
      <c r="BY16">
        <v>20.29</v>
      </c>
      <c r="BZ16">
        <v>3.65</v>
      </c>
      <c r="CA16">
        <v>1.89</v>
      </c>
      <c r="CB16">
        <v>0.83</v>
      </c>
      <c r="CC16">
        <v>-8.16</v>
      </c>
      <c r="CD16" t="s">
        <v>964</v>
      </c>
      <c r="CE16" t="s">
        <v>514</v>
      </c>
      <c r="CF16" s="9">
        <v>1.1614420062695925</v>
      </c>
      <c r="CG16" s="10">
        <v>1.0147900672856858</v>
      </c>
      <c r="CH16" s="9">
        <v>-0.50614798069000244</v>
      </c>
      <c r="CI16" s="9">
        <v>-9.5038294792175293E-2</v>
      </c>
      <c r="CJ16" s="9">
        <v>7.892145961523056E-2</v>
      </c>
      <c r="CK16" s="9">
        <v>6.3638269901275635E-2</v>
      </c>
      <c r="CL16" s="9">
        <v>-0.27202072739601135</v>
      </c>
      <c r="CM16" s="10">
        <v>-2.0699300765991211</v>
      </c>
      <c r="CN16" s="10">
        <v>1.1243218183517456</v>
      </c>
      <c r="CO16" s="10">
        <v>-0.23993775248527527</v>
      </c>
      <c r="CP16" s="10">
        <v>-0.44298174977302551</v>
      </c>
      <c r="CQ16" s="10">
        <v>3.9215687662363052E-2</v>
      </c>
      <c r="CR16">
        <v>56.922115438164681</v>
      </c>
      <c r="CS16">
        <v>3.8953211428729486</v>
      </c>
      <c r="CT16">
        <v>1.2295081967213115</v>
      </c>
      <c r="CU16" s="9">
        <v>-0.14612945467233657</v>
      </c>
      <c r="CV16" s="10">
        <v>-0.31786241456866265</v>
      </c>
      <c r="CW16">
        <v>0.06</v>
      </c>
      <c r="CX16" t="e">
        <v>#VALUE!</v>
      </c>
      <c r="CY16" t="s">
        <v>399</v>
      </c>
      <c r="CZ16">
        <v>-0.14612945467233657</v>
      </c>
      <c r="DA16" t="e">
        <v>#VALUE!</v>
      </c>
      <c r="DB16" t="s">
        <v>399</v>
      </c>
      <c r="DC16">
        <v>-0.13882298193871973</v>
      </c>
      <c r="DD16" t="e">
        <v>#VALUE!</v>
      </c>
      <c r="DE16" t="s">
        <v>399</v>
      </c>
      <c r="DF16">
        <v>-0.12859392011165618</v>
      </c>
      <c r="DG16" t="e">
        <v>#VALUE!</v>
      </c>
      <c r="DH16" t="s">
        <v>399</v>
      </c>
      <c r="DI16">
        <v>-0.11690356373786925</v>
      </c>
      <c r="DJ16" t="e">
        <v>#VALUE!</v>
      </c>
      <c r="DK16" t="s">
        <v>399</v>
      </c>
      <c r="DL16">
        <v>-0.1022906182706356</v>
      </c>
      <c r="DM16">
        <v>-153000000</v>
      </c>
      <c r="DN16">
        <v>-0.14612945467233657</v>
      </c>
      <c r="DO16">
        <v>1972930600</v>
      </c>
      <c r="DP16">
        <v>2338130500</v>
      </c>
      <c r="DQ16">
        <v>3062</v>
      </c>
      <c r="DR16">
        <v>1.3075714609419291</v>
      </c>
      <c r="DS16">
        <v>1.3326524818543484</v>
      </c>
      <c r="DT16" s="11">
        <v>-0.70666666666666667</v>
      </c>
      <c r="DU16">
        <v>-0.92</v>
      </c>
      <c r="DV16">
        <v>-1.6266666666666667</v>
      </c>
      <c r="DW16">
        <v>-2.0815999999999999</v>
      </c>
      <c r="DX16">
        <v>0.36014907407407448</v>
      </c>
      <c r="DY16">
        <v>-2.0098041644444447</v>
      </c>
      <c r="DZ16">
        <v>2782</v>
      </c>
      <c r="EA16">
        <v>-2.0044665547606004</v>
      </c>
      <c r="EB16">
        <v>2</v>
      </c>
      <c r="EC16">
        <v>1.0933076639434054E-2</v>
      </c>
      <c r="ED16">
        <v>9.099592921285117E-2</v>
      </c>
      <c r="EE16" s="12">
        <v>-1.0678099999999999</v>
      </c>
      <c r="EF16">
        <v>-1.07901</v>
      </c>
      <c r="EG16">
        <v>24.120149074074074</v>
      </c>
      <c r="EH16" t="s">
        <v>588</v>
      </c>
      <c r="EI16">
        <v>0</v>
      </c>
      <c r="EJ16">
        <v>0</v>
      </c>
      <c r="EK16" s="8">
        <v>45470</v>
      </c>
      <c r="EL16" s="13">
        <v>0.19</v>
      </c>
      <c r="EM16" s="13">
        <v>-3.01</v>
      </c>
      <c r="EN16" s="13">
        <v>1.74</v>
      </c>
      <c r="EO16" s="13">
        <v>2.48</v>
      </c>
      <c r="EP16" s="13">
        <v>-1.1200000000000001</v>
      </c>
    </row>
    <row r="17" spans="1:146" ht="276" x14ac:dyDescent="0.25">
      <c r="A17" s="6"/>
      <c r="B17" s="6"/>
      <c r="C17" s="6" t="str">
        <f>"中远海特致力于打造世界一流的特种船队，拥有规模和综合实力居世界前列的特种运输船队，经营管理半潜船、多用途船、重吊船、纸浆船、汽车船、木材船和沥青船等各类型船舶，公司船队结构合理，船舶运载能力和适货性强、节能环保，能够承运包括钻井平台、机车及火车车厢、风电设备、桥吊、成套设备等超长、超重、超大件、不适箱以及有特殊运载和装卸要求的货物，以及纸浆、木材等大宗商品。承运能力从 1 吨至 10 万吨全覆盖，可为广大客户提供安全、高效的运输服务。"&amp;CHAR(10)&amp;Basic_Fundamental_Information_Constructure(C17)&amp;CHAR(10)&amp;Basic_Fundamental_Information_Concatenate("多用途船 19.30亿 33.20% 37.80% 27.21%
半潜船 11.08亿 19.06% 11.12% 13.95%
重吊船 10.35亿 17.79% 21.01% 28.23%
纸浆船 8.55亿 14.70% 17.94% 29.17%
其他业务 3.30亿 5.67% 2.88% 12.15%
木材船 2.36亿 4.05% 4.13% 24.35%
沥青船 1.77亿 3.05% 2.18% 17.06%
汽车船 1.43亿 2.46% 2.93% 28.47%")</f>
        <v>中远海特致力于打造世界一流的特种船队，拥有规模和综合实力居世界前列的特种运输船队，经营管理半潜船、多用途船、重吊船、纸浆船、汽车船、木材船和沥青船等各类型船舶，公司船队结构合理，船舶运载能力和适货性强、节能环保，能够承运包括钻井平台、机车及火车车厢、风电设备、桥吊、成套设备等超长、超重、超大件、不适箱以及有特殊运载和装卸要求的货物，以及纸浆、木材等大宗商品。承运能力从 1 吨至 10 万吨全覆盖，可为广大客户提供安全、高效的运输服务。
市值132.233687亿, 利润2.43亿; PE13.02; 平均PE47.34; 平均PEG10.63, PB1.11; ROIC4.9167%; ROE6.5033%; 股利率4.026%; 毛利20.5367%; 净利6.4167%; 上一年度营收增-35.77%, 利润增-70.4%; 当季营收增59.39%, 利润增704.46%; 过往5年营收增4.45%, 利润增56.88%
Income profile:
多用途船 19.30亿 33.20% 37.80% 27.21%
半潜船 11.08亿 19.06% 11.12% 13.95%
重吊船 10.35亿 17.79% 21.01% 28.23%
纸浆船 8.55亿 14.70% 17.94% 29.17%
其他业务 3.30亿 5.67% 2.88% 12.15%
木材船 2.36亿 4.05% 4.13% 24.35%
沥青船 1.77亿 3.05% 2.18% 17.06%
汽车船 1.43亿 2.46% 2.93% 28.47%</v>
      </c>
      <c r="D17" t="s">
        <v>85</v>
      </c>
      <c r="E17" t="s">
        <v>7</v>
      </c>
      <c r="F17">
        <v>6.16</v>
      </c>
      <c r="G17">
        <v>-0.32</v>
      </c>
      <c r="H17" t="s">
        <v>965</v>
      </c>
      <c r="I17">
        <v>13223368700</v>
      </c>
      <c r="J17">
        <v>13.02</v>
      </c>
      <c r="K17">
        <v>1.1100000000000001</v>
      </c>
      <c r="L17" t="s">
        <v>41</v>
      </c>
      <c r="M17" t="s">
        <v>966</v>
      </c>
      <c r="N17" t="s">
        <v>967</v>
      </c>
      <c r="O17" t="s">
        <v>968</v>
      </c>
      <c r="P17">
        <v>14.52</v>
      </c>
      <c r="Q17" t="s">
        <v>969</v>
      </c>
      <c r="R17">
        <v>340051550</v>
      </c>
      <c r="S17" s="5">
        <v>-0.12540000000000001</v>
      </c>
      <c r="T17" t="s">
        <v>549</v>
      </c>
      <c r="U17">
        <v>2146650800</v>
      </c>
      <c r="V17">
        <v>2146650800</v>
      </c>
      <c r="W17">
        <v>2.34</v>
      </c>
      <c r="X17">
        <v>0.12</v>
      </c>
      <c r="Y17">
        <v>9.98</v>
      </c>
      <c r="Z17" t="s">
        <v>970</v>
      </c>
      <c r="AA17" t="s">
        <v>971</v>
      </c>
      <c r="AB17" t="s">
        <v>972</v>
      </c>
      <c r="AC17" t="s">
        <v>973</v>
      </c>
      <c r="AD17" t="s">
        <v>43</v>
      </c>
      <c r="AE17">
        <v>97552598</v>
      </c>
      <c r="AF17" t="s">
        <v>974</v>
      </c>
      <c r="AG17" t="s">
        <v>975</v>
      </c>
      <c r="AH17" t="s">
        <v>976</v>
      </c>
      <c r="AI17" t="s">
        <v>592</v>
      </c>
      <c r="AJ17" t="s">
        <v>977</v>
      </c>
      <c r="AK17" t="s">
        <v>978</v>
      </c>
      <c r="AL17" t="s">
        <v>979</v>
      </c>
      <c r="AM17" t="s">
        <v>43</v>
      </c>
      <c r="AN17" t="s">
        <v>980</v>
      </c>
      <c r="AO17" t="s">
        <v>491</v>
      </c>
      <c r="AP17" t="s">
        <v>43</v>
      </c>
      <c r="AQ17" t="s">
        <v>981</v>
      </c>
      <c r="AR17" t="s">
        <v>982</v>
      </c>
      <c r="AS17" t="s">
        <v>983</v>
      </c>
      <c r="AT17" t="s">
        <v>984</v>
      </c>
      <c r="AU17" t="s">
        <v>985</v>
      </c>
      <c r="AV17" t="s">
        <v>986</v>
      </c>
      <c r="AW17" t="s">
        <v>987</v>
      </c>
      <c r="AX17" t="s">
        <v>988</v>
      </c>
      <c r="AY17" t="s">
        <v>329</v>
      </c>
      <c r="AZ17" t="s">
        <v>199</v>
      </c>
      <c r="BA17" t="s">
        <v>86</v>
      </c>
      <c r="BB17" t="s">
        <v>200</v>
      </c>
      <c r="BC17" t="s">
        <v>391</v>
      </c>
      <c r="BD17" t="s">
        <v>247</v>
      </c>
      <c r="BE17" t="s">
        <v>181</v>
      </c>
      <c r="BF17" t="s">
        <v>87</v>
      </c>
      <c r="BG17" t="s">
        <v>201</v>
      </c>
      <c r="BH17" t="s">
        <v>989</v>
      </c>
      <c r="BI17" t="s">
        <v>990</v>
      </c>
      <c r="BJ17" t="s">
        <v>988</v>
      </c>
      <c r="BK17" t="s">
        <v>991</v>
      </c>
      <c r="BL17" t="s">
        <v>992</v>
      </c>
      <c r="BM17" t="s">
        <v>391</v>
      </c>
      <c r="BN17">
        <v>6.4</v>
      </c>
      <c r="BO17">
        <v>5.85</v>
      </c>
      <c r="BP17">
        <v>2.5</v>
      </c>
      <c r="BQ17">
        <v>8.3000000000000007</v>
      </c>
      <c r="BR17">
        <v>8.08</v>
      </c>
      <c r="BS17">
        <v>3.13</v>
      </c>
      <c r="BT17" t="s">
        <v>993</v>
      </c>
      <c r="BU17" t="s">
        <v>369</v>
      </c>
      <c r="BV17">
        <v>17.670000000000002</v>
      </c>
      <c r="BW17">
        <v>22.04</v>
      </c>
      <c r="BX17">
        <v>21.9</v>
      </c>
      <c r="BY17">
        <v>8.98</v>
      </c>
      <c r="BZ17">
        <v>6.77</v>
      </c>
      <c r="CA17">
        <v>3.5</v>
      </c>
      <c r="CB17">
        <v>0.65</v>
      </c>
      <c r="CC17">
        <v>-2.0699999999999998</v>
      </c>
      <c r="CD17" t="s">
        <v>104</v>
      </c>
      <c r="CE17" t="s">
        <v>994</v>
      </c>
      <c r="CF17" s="9">
        <v>0.5938661710037173</v>
      </c>
      <c r="CG17" s="10">
        <v>7.0445589174611438</v>
      </c>
      <c r="CH17" s="9">
        <v>-0.35766363143920898</v>
      </c>
      <c r="CI17" s="9">
        <v>0.39460745453834534</v>
      </c>
      <c r="CJ17" s="9">
        <v>0.2433239221572876</v>
      </c>
      <c r="CK17" s="9">
        <v>-0.14831839501857758</v>
      </c>
      <c r="CL17" s="9">
        <v>9.0645216405391693E-2</v>
      </c>
      <c r="CM17" s="10">
        <v>-0.70401948690414429</v>
      </c>
      <c r="CN17" s="10">
        <v>1.7366666793823242</v>
      </c>
      <c r="CO17" s="10">
        <v>1.3999999761581421</v>
      </c>
      <c r="CP17" s="10">
        <v>0.23762376606464386</v>
      </c>
      <c r="CQ17" s="10">
        <v>0.17350982129573822</v>
      </c>
      <c r="CR17">
        <v>47.33714770045534</v>
      </c>
      <c r="CS17">
        <v>10.633042040133134</v>
      </c>
      <c r="CT17">
        <v>4.0259740259740262</v>
      </c>
      <c r="CU17" s="9">
        <v>4.4518913328647616E-2</v>
      </c>
      <c r="CV17" s="10">
        <v>0.56875615119934086</v>
      </c>
      <c r="CW17">
        <v>0.06</v>
      </c>
      <c r="CX17">
        <v>72.078906566247369</v>
      </c>
      <c r="CY17">
        <v>239451033.90458623</v>
      </c>
      <c r="CZ17">
        <v>4.4518913328647616E-2</v>
      </c>
      <c r="DA17">
        <v>24.484340618712253</v>
      </c>
      <c r="DB17">
        <v>704914580.66097403</v>
      </c>
      <c r="DC17">
        <v>4.2292967662215235E-2</v>
      </c>
      <c r="DD17">
        <v>12.681651522276988</v>
      </c>
      <c r="DE17">
        <v>1360971689.6637359</v>
      </c>
      <c r="DF17">
        <v>3.9176643729209905E-2</v>
      </c>
      <c r="DG17">
        <v>8.0545236731613485</v>
      </c>
      <c r="DH17">
        <v>2142816807.0956588</v>
      </c>
      <c r="DI17">
        <v>3.5615130662918097E-2</v>
      </c>
      <c r="DJ17">
        <v>4.6847194103301506</v>
      </c>
      <c r="DK17">
        <v>3684184086.2318931</v>
      </c>
      <c r="DL17">
        <v>3.1163239330053331E-2</v>
      </c>
      <c r="DM17">
        <v>243000000.00000003</v>
      </c>
      <c r="DN17">
        <v>4.4518913328647616E-2</v>
      </c>
      <c r="DO17">
        <v>17259368700</v>
      </c>
      <c r="DP17">
        <v>-624401700</v>
      </c>
      <c r="DQ17">
        <v>3176</v>
      </c>
      <c r="DR17">
        <v>0.54934725767506964</v>
      </c>
      <c r="DS17">
        <v>6.4758027662618032</v>
      </c>
      <c r="DT17" s="11">
        <v>-0.32333333333333331</v>
      </c>
      <c r="DU17">
        <v>0.67</v>
      </c>
      <c r="DV17">
        <v>0.34666666666666673</v>
      </c>
      <c r="DW17">
        <v>-2.07E-2</v>
      </c>
      <c r="DX17">
        <v>0.27746846559964894</v>
      </c>
      <c r="DY17">
        <v>-1.8105972379127192E-3</v>
      </c>
      <c r="DZ17">
        <v>1594</v>
      </c>
      <c r="EA17">
        <v>-1.2458042834640158E-3</v>
      </c>
      <c r="EB17">
        <v>0</v>
      </c>
      <c r="EC17">
        <v>4.8447563059627587E-2</v>
      </c>
      <c r="ED17">
        <v>0.55388608151824226</v>
      </c>
      <c r="EE17" s="12">
        <v>1.0068999999999999</v>
      </c>
      <c r="EF17">
        <v>1.0094099999999999</v>
      </c>
      <c r="EG17">
        <v>19.087468465599649</v>
      </c>
      <c r="EH17" t="s">
        <v>389</v>
      </c>
      <c r="EI17">
        <v>0</v>
      </c>
      <c r="EJ17">
        <v>0</v>
      </c>
      <c r="EK17" s="8">
        <v>45470</v>
      </c>
      <c r="EL17" s="13">
        <v>0.71</v>
      </c>
      <c r="EM17" s="13">
        <v>0.6</v>
      </c>
      <c r="EN17" s="13">
        <v>0.7</v>
      </c>
      <c r="EO17" s="13">
        <v>-1.17</v>
      </c>
      <c r="EP17" s="13">
        <v>-1.63</v>
      </c>
    </row>
    <row r="18" spans="1:146" ht="96" x14ac:dyDescent="0.25">
      <c r="A18" s="6"/>
      <c r="B18" s="6"/>
      <c r="C18" s="6" t="str">
        <f>""&amp;CHAR(10)&amp;Basic_Fundamental_Information_Constructure(F18)&amp;CHAR(10)&amp;Basic_Fundamental_Information_Concatenate("")</f>
        <v xml:space="preserve">
市值126.178445亿, 利润7391.25万; PE12.53; 平均PE20.95; 平均PEG6.11, PB.666; ROIC4.7733%; ROE4.9667%; 股利率2.3394%; 毛利24.7067%; 净利10.7967%; 上一年度营收增-2.57%, 利润增-90.01%; 当季营收增68.36%, 利润增5939.71%; 过往5年营收增-3.43%, 利润增-9.22%
Income profile:
</v>
      </c>
      <c r="D18" t="s">
        <v>88</v>
      </c>
      <c r="E18" t="s">
        <v>19</v>
      </c>
      <c r="F18">
        <v>4.3600000000000003</v>
      </c>
      <c r="G18">
        <v>0</v>
      </c>
      <c r="H18" t="s">
        <v>995</v>
      </c>
      <c r="I18">
        <v>12617844500</v>
      </c>
      <c r="J18">
        <v>12.53</v>
      </c>
      <c r="K18">
        <v>0.66600000000000004</v>
      </c>
      <c r="L18" t="s">
        <v>41</v>
      </c>
      <c r="M18" t="s">
        <v>996</v>
      </c>
      <c r="N18" t="s">
        <v>997</v>
      </c>
      <c r="O18" t="s">
        <v>998</v>
      </c>
      <c r="P18">
        <v>4.66</v>
      </c>
      <c r="Q18" t="s">
        <v>999</v>
      </c>
      <c r="R18">
        <v>305542820</v>
      </c>
      <c r="S18" s="5">
        <v>9.1399999999999995E-2</v>
      </c>
      <c r="T18" t="s">
        <v>1000</v>
      </c>
      <c r="U18">
        <v>2894001000</v>
      </c>
      <c r="V18">
        <v>2894001000</v>
      </c>
      <c r="W18">
        <v>1.37</v>
      </c>
      <c r="X18">
        <v>0.08</v>
      </c>
      <c r="Y18">
        <v>15.94</v>
      </c>
      <c r="Z18" t="s">
        <v>1001</v>
      </c>
      <c r="AA18" t="s">
        <v>1002</v>
      </c>
      <c r="AB18" t="s">
        <v>43</v>
      </c>
      <c r="AC18" t="s">
        <v>293</v>
      </c>
      <c r="AD18" t="s">
        <v>43</v>
      </c>
      <c r="AE18">
        <v>33046382</v>
      </c>
      <c r="AF18" t="s">
        <v>1003</v>
      </c>
      <c r="AG18" t="s">
        <v>1004</v>
      </c>
      <c r="AH18" t="s">
        <v>1005</v>
      </c>
      <c r="AI18" t="s">
        <v>1006</v>
      </c>
      <c r="AJ18" t="s">
        <v>1007</v>
      </c>
      <c r="AK18" t="s">
        <v>43</v>
      </c>
      <c r="AL18" t="s">
        <v>1008</v>
      </c>
      <c r="AM18" t="s">
        <v>43</v>
      </c>
      <c r="AN18" t="s">
        <v>795</v>
      </c>
      <c r="AO18" t="s">
        <v>1009</v>
      </c>
      <c r="AP18" t="s">
        <v>1010</v>
      </c>
      <c r="AQ18" t="s">
        <v>1011</v>
      </c>
      <c r="AR18" t="s">
        <v>1012</v>
      </c>
      <c r="AS18" t="s">
        <v>1013</v>
      </c>
      <c r="AT18" t="s">
        <v>1014</v>
      </c>
      <c r="AU18" t="s">
        <v>1015</v>
      </c>
      <c r="AV18" t="s">
        <v>1016</v>
      </c>
      <c r="AW18" t="s">
        <v>1017</v>
      </c>
      <c r="AX18" t="s">
        <v>1018</v>
      </c>
      <c r="AY18" t="s">
        <v>330</v>
      </c>
      <c r="AZ18" t="s">
        <v>332</v>
      </c>
      <c r="BA18" t="s">
        <v>89</v>
      </c>
      <c r="BB18" t="s">
        <v>206</v>
      </c>
      <c r="BC18" t="s">
        <v>1019</v>
      </c>
      <c r="BD18" t="s">
        <v>331</v>
      </c>
      <c r="BE18" t="s">
        <v>204</v>
      </c>
      <c r="BF18" t="s">
        <v>90</v>
      </c>
      <c r="BG18" t="s">
        <v>207</v>
      </c>
      <c r="BH18" t="s">
        <v>1020</v>
      </c>
      <c r="BI18" t="s">
        <v>1021</v>
      </c>
      <c r="BJ18" t="s">
        <v>1018</v>
      </c>
      <c r="BK18" t="s">
        <v>1022</v>
      </c>
      <c r="BL18" t="s">
        <v>1023</v>
      </c>
      <c r="BM18" t="s">
        <v>1019</v>
      </c>
      <c r="BN18">
        <v>4.74</v>
      </c>
      <c r="BO18">
        <v>4.38</v>
      </c>
      <c r="BP18">
        <v>5.2</v>
      </c>
      <c r="BQ18">
        <v>5.03</v>
      </c>
      <c r="BR18">
        <v>4.2</v>
      </c>
      <c r="BS18">
        <v>5.67</v>
      </c>
      <c r="BT18" t="s">
        <v>777</v>
      </c>
      <c r="BU18" t="s">
        <v>387</v>
      </c>
      <c r="BV18">
        <v>27.04</v>
      </c>
      <c r="BW18">
        <v>25.3</v>
      </c>
      <c r="BX18">
        <v>21.78</v>
      </c>
      <c r="BY18">
        <v>12.22</v>
      </c>
      <c r="BZ18">
        <v>10.64</v>
      </c>
      <c r="CA18">
        <v>9.5299999999999994</v>
      </c>
      <c r="CB18">
        <v>2.11</v>
      </c>
      <c r="CC18">
        <v>0.28000000000000003</v>
      </c>
      <c r="CD18" t="s">
        <v>1024</v>
      </c>
      <c r="CE18" t="s">
        <v>1025</v>
      </c>
      <c r="CF18" s="9">
        <v>0.6835748792270534</v>
      </c>
      <c r="CG18" s="10">
        <v>59.397086323113719</v>
      </c>
      <c r="CH18" s="9">
        <v>-2.5688378140330315E-2</v>
      </c>
      <c r="CI18" s="9">
        <v>-0.25200444459915161</v>
      </c>
      <c r="CJ18" s="9">
        <v>4.4470075517892838E-2</v>
      </c>
      <c r="CK18" s="9">
        <v>7.5048506259918213E-2</v>
      </c>
      <c r="CL18" s="9">
        <v>-1.3399659655988216E-2</v>
      </c>
      <c r="CM18" s="10">
        <v>-0.90011823177337646</v>
      </c>
      <c r="CN18" s="10">
        <v>-0.23946556448936462</v>
      </c>
      <c r="CO18" s="10">
        <v>0.41630277037620544</v>
      </c>
      <c r="CP18" s="10">
        <v>0.14119601249694824</v>
      </c>
      <c r="CQ18" s="10">
        <v>0.12104283273220062</v>
      </c>
      <c r="CR18">
        <v>20.954580826410822</v>
      </c>
      <c r="CS18">
        <v>6.106575869341194</v>
      </c>
      <c r="CT18">
        <v>2.3394495412844036</v>
      </c>
      <c r="CU18" s="9">
        <v>-3.431478012353182E-2</v>
      </c>
      <c r="CV18" s="10">
        <v>-9.2208436131477362E-2</v>
      </c>
      <c r="CW18">
        <v>0.06</v>
      </c>
      <c r="CX18" t="s">
        <v>393</v>
      </c>
      <c r="CY18" t="s">
        <v>1026</v>
      </c>
      <c r="CZ18">
        <v>-3.431478012353182E-2</v>
      </c>
      <c r="DA18" t="s">
        <v>393</v>
      </c>
      <c r="DB18" t="s">
        <v>1027</v>
      </c>
      <c r="DC18">
        <v>-3.2599041117355225E-2</v>
      </c>
      <c r="DD18" t="s">
        <v>393</v>
      </c>
      <c r="DE18" t="s">
        <v>1028</v>
      </c>
      <c r="DF18">
        <v>-3.0197006508708001E-2</v>
      </c>
      <c r="DG18" t="s">
        <v>393</v>
      </c>
      <c r="DH18" t="s">
        <v>1029</v>
      </c>
      <c r="DI18">
        <v>-2.7451824098825458E-2</v>
      </c>
      <c r="DJ18" t="s">
        <v>393</v>
      </c>
      <c r="DK18" t="s">
        <v>1030</v>
      </c>
      <c r="DL18">
        <v>-2.4020346086472272E-2</v>
      </c>
      <c r="DM18">
        <v>73912500</v>
      </c>
      <c r="DN18">
        <v>-3.431478012353182E-2</v>
      </c>
      <c r="DO18">
        <v>-3813155499.9999962</v>
      </c>
      <c r="DP18">
        <v>2066830000</v>
      </c>
      <c r="DQ18">
        <v>3402</v>
      </c>
      <c r="DR18">
        <v>0.71788965935058524</v>
      </c>
      <c r="DS18">
        <v>59.489294759245197</v>
      </c>
      <c r="DT18" s="11">
        <v>-0.59</v>
      </c>
      <c r="DU18">
        <v>-0.35000000000000003</v>
      </c>
      <c r="DV18">
        <v>-0.94</v>
      </c>
      <c r="DW18">
        <v>2.8000000000000004E-3</v>
      </c>
      <c r="DX18">
        <v>0.3651227364185104</v>
      </c>
      <c r="DY18">
        <v>4.6234366197183107E-4</v>
      </c>
      <c r="DZ18">
        <v>4515</v>
      </c>
      <c r="EA18">
        <v>5.3834535983021421E-5</v>
      </c>
      <c r="EB18">
        <v>0</v>
      </c>
      <c r="EC18">
        <v>2.8357281148140585E-2</v>
      </c>
      <c r="ED18">
        <v>0.17173456401708223</v>
      </c>
      <c r="EE18" s="12">
        <v>-3.00441</v>
      </c>
      <c r="EF18">
        <v>-3.0194100000000001</v>
      </c>
      <c r="EG18">
        <v>20.16512273641851</v>
      </c>
      <c r="EH18" t="s">
        <v>1031</v>
      </c>
      <c r="EI18">
        <v>0</v>
      </c>
      <c r="EJ18">
        <v>0</v>
      </c>
      <c r="EK18" s="8">
        <v>45470</v>
      </c>
      <c r="EL18" s="13">
        <v>1.1299999999999999</v>
      </c>
      <c r="EM18" s="13">
        <v>-4.46</v>
      </c>
      <c r="EN18" s="13">
        <v>2.33</v>
      </c>
      <c r="EO18" s="13">
        <v>1.1399999999999999</v>
      </c>
      <c r="EP18" s="13">
        <v>-1.5</v>
      </c>
    </row>
    <row r="19" spans="1:146" x14ac:dyDescent="0.25">
      <c r="D19" t="s">
        <v>1032</v>
      </c>
      <c r="E19" t="s">
        <v>1033</v>
      </c>
      <c r="F19">
        <v>2.29</v>
      </c>
      <c r="G19">
        <v>0.44</v>
      </c>
      <c r="H19" t="s">
        <v>1034</v>
      </c>
      <c r="I19">
        <v>6639483500</v>
      </c>
      <c r="J19">
        <v>23.93</v>
      </c>
      <c r="K19">
        <v>0.89600000000000002</v>
      </c>
      <c r="L19" t="s">
        <v>41</v>
      </c>
      <c r="M19" t="s">
        <v>1035</v>
      </c>
      <c r="N19" t="s">
        <v>1036</v>
      </c>
      <c r="O19" t="s">
        <v>1037</v>
      </c>
      <c r="P19" s="5">
        <v>314.74</v>
      </c>
      <c r="Q19" t="s">
        <v>1038</v>
      </c>
      <c r="R19">
        <v>55582138</v>
      </c>
      <c r="S19">
        <v>1.8049999999999999</v>
      </c>
      <c r="T19" t="s">
        <v>1039</v>
      </c>
      <c r="U19">
        <v>2573189100</v>
      </c>
      <c r="V19">
        <v>2899337800</v>
      </c>
      <c r="W19">
        <v>1.22</v>
      </c>
      <c r="X19">
        <v>0.03</v>
      </c>
      <c r="Y19">
        <v>18.829999999999998</v>
      </c>
      <c r="Z19" t="s">
        <v>1015</v>
      </c>
      <c r="AA19" t="s">
        <v>484</v>
      </c>
      <c r="AB19" t="s">
        <v>1040</v>
      </c>
      <c r="AC19" t="s">
        <v>1041</v>
      </c>
      <c r="AD19" t="s">
        <v>43</v>
      </c>
      <c r="AE19">
        <v>-17186592</v>
      </c>
      <c r="AF19" t="s">
        <v>1042</v>
      </c>
      <c r="AG19" t="s">
        <v>1043</v>
      </c>
      <c r="AH19" t="s">
        <v>1044</v>
      </c>
      <c r="AI19" t="s">
        <v>1045</v>
      </c>
      <c r="AJ19" t="s">
        <v>1046</v>
      </c>
      <c r="AK19" t="s">
        <v>43</v>
      </c>
      <c r="AL19" t="s">
        <v>1047</v>
      </c>
      <c r="AM19" t="s">
        <v>43</v>
      </c>
      <c r="AN19" t="s">
        <v>1048</v>
      </c>
      <c r="AO19" t="s">
        <v>43</v>
      </c>
      <c r="AP19" t="s">
        <v>287</v>
      </c>
      <c r="AQ19" t="s">
        <v>1049</v>
      </c>
      <c r="AR19" t="s">
        <v>1050</v>
      </c>
      <c r="AS19" t="s">
        <v>1051</v>
      </c>
      <c r="AT19" t="s">
        <v>43</v>
      </c>
      <c r="AU19" t="s">
        <v>1052</v>
      </c>
      <c r="AV19" t="s">
        <v>1053</v>
      </c>
      <c r="AW19" t="s">
        <v>1054</v>
      </c>
      <c r="AX19" t="s">
        <v>496</v>
      </c>
      <c r="AY19" t="s">
        <v>1055</v>
      </c>
      <c r="AZ19" t="s">
        <v>1056</v>
      </c>
      <c r="BA19" t="s">
        <v>1057</v>
      </c>
      <c r="BB19" t="s">
        <v>1058</v>
      </c>
      <c r="BC19" t="s">
        <v>513</v>
      </c>
      <c r="BD19" t="s">
        <v>1059</v>
      </c>
      <c r="BE19" t="s">
        <v>1060</v>
      </c>
      <c r="BF19" t="s">
        <v>1061</v>
      </c>
      <c r="BG19" t="s">
        <v>1062</v>
      </c>
      <c r="BH19" t="s">
        <v>1063</v>
      </c>
      <c r="BI19" t="s">
        <v>1064</v>
      </c>
      <c r="BJ19" t="s">
        <v>496</v>
      </c>
      <c r="BK19" t="s">
        <v>194</v>
      </c>
      <c r="BL19" t="s">
        <v>1065</v>
      </c>
      <c r="BM19" t="s">
        <v>513</v>
      </c>
      <c r="BN19">
        <v>2.57</v>
      </c>
      <c r="BO19">
        <v>0.63</v>
      </c>
      <c r="BP19">
        <v>17.04</v>
      </c>
      <c r="BQ19">
        <v>3.95</v>
      </c>
      <c r="BR19">
        <v>2.77</v>
      </c>
      <c r="BS19">
        <v>57.25</v>
      </c>
      <c r="BT19" t="s">
        <v>487</v>
      </c>
      <c r="BU19" t="s">
        <v>369</v>
      </c>
      <c r="BV19">
        <v>-2.4900000000000002</v>
      </c>
      <c r="BW19">
        <v>-2.57</v>
      </c>
      <c r="BX19">
        <v>7.56</v>
      </c>
      <c r="BY19">
        <v>37.14</v>
      </c>
      <c r="BZ19">
        <v>132.08000000000001</v>
      </c>
      <c r="CA19">
        <v>2.15</v>
      </c>
      <c r="CB19">
        <v>3.15</v>
      </c>
      <c r="CC19" s="9">
        <v>-2.14</v>
      </c>
      <c r="CD19" s="10" t="s">
        <v>1066</v>
      </c>
      <c r="CE19" s="9" t="s">
        <v>507</v>
      </c>
      <c r="CF19" s="9">
        <v>4.0215501099634361</v>
      </c>
      <c r="CG19" s="9">
        <v>9.6723780249957088</v>
      </c>
      <c r="CH19" s="9">
        <v>4.5646257400512695</v>
      </c>
      <c r="CI19" s="9">
        <v>-0.99914366006851196</v>
      </c>
      <c r="CJ19" s="10">
        <v>-0.49015423655509949</v>
      </c>
      <c r="CK19" s="10">
        <v>2.9163703322410583E-2</v>
      </c>
      <c r="CL19" s="10">
        <v>-2.7696277946233749E-2</v>
      </c>
      <c r="CM19" s="10">
        <v>-1.2640784978866577</v>
      </c>
      <c r="CN19" s="10">
        <v>-0.93668830394744873</v>
      </c>
      <c r="CO19">
        <v>1.3146388530731201</v>
      </c>
      <c r="CP19">
        <v>-19.752874374389648</v>
      </c>
      <c r="CQ19">
        <v>7.6649069786071777</v>
      </c>
      <c r="CR19" s="9">
        <v>-6.6580680543924249</v>
      </c>
      <c r="CS19" s="10">
        <v>-0.10819810017747591</v>
      </c>
      <c r="CT19">
        <v>0</v>
      </c>
      <c r="CU19">
        <v>0.61535905376076694</v>
      </c>
      <c r="CV19">
        <v>-2.5948190689086914</v>
      </c>
      <c r="CW19">
        <v>0.06</v>
      </c>
      <c r="CX19" t="e">
        <v>#VALUE!</v>
      </c>
      <c r="CY19" t="s">
        <v>399</v>
      </c>
      <c r="CZ19">
        <v>0.61535905376076694</v>
      </c>
      <c r="DA19" t="e">
        <v>#VALUE!</v>
      </c>
      <c r="DB19" t="s">
        <v>399</v>
      </c>
      <c r="DC19">
        <v>0.5845911010727286</v>
      </c>
      <c r="DD19" t="e">
        <v>#VALUE!</v>
      </c>
      <c r="DE19" t="s">
        <v>399</v>
      </c>
      <c r="DF19">
        <v>0.54151596730947493</v>
      </c>
      <c r="DG19" t="e">
        <v>#VALUE!</v>
      </c>
      <c r="DH19" t="s">
        <v>399</v>
      </c>
      <c r="DI19">
        <v>0.4922872430086136</v>
      </c>
      <c r="DJ19" t="e">
        <v>#VALUE!</v>
      </c>
      <c r="DK19" t="s">
        <v>399</v>
      </c>
      <c r="DL19">
        <v>0.43075133763253681</v>
      </c>
      <c r="DM19">
        <v>-51495300</v>
      </c>
      <c r="DN19">
        <v>0.61535905376076694</v>
      </c>
      <c r="DO19">
        <v>715483500</v>
      </c>
      <c r="DP19">
        <v>3261742600</v>
      </c>
      <c r="DQ19" s="11">
        <v>3434</v>
      </c>
      <c r="DR19">
        <v>3.4061910562026689</v>
      </c>
      <c r="DS19">
        <v>12.2671970939044</v>
      </c>
      <c r="DT19">
        <v>-0.57333333333333336</v>
      </c>
      <c r="DU19">
        <v>-1.5166666666666668</v>
      </c>
      <c r="DV19">
        <v>-2.0900000000000003</v>
      </c>
      <c r="DW19">
        <v>4.6793650793650796</v>
      </c>
      <c r="DX19">
        <v>0.27993321492007028</v>
      </c>
      <c r="DY19">
        <v>4.0950657396599848</v>
      </c>
      <c r="DZ19">
        <v>1134</v>
      </c>
      <c r="EA19">
        <v>4.0739689590779058</v>
      </c>
      <c r="EB19" s="12">
        <v>4</v>
      </c>
      <c r="EC19" s="12">
        <v>2.7172549538725704E-2</v>
      </c>
      <c r="ED19">
        <v>0.19418227155180054</v>
      </c>
      <c r="EE19">
        <v>3.0632099999999998</v>
      </c>
      <c r="EF19">
        <v>3.0880100000000001</v>
      </c>
      <c r="EG19">
        <v>14.13993321492007</v>
      </c>
      <c r="EH19" s="8" t="s">
        <v>1067</v>
      </c>
      <c r="EI19">
        <v>0</v>
      </c>
      <c r="EJ19">
        <v>1</v>
      </c>
      <c r="EK19">
        <v>45470</v>
      </c>
      <c r="EL19">
        <v>-1.4</v>
      </c>
      <c r="EM19">
        <v>-2.0499999999999998</v>
      </c>
      <c r="EN19" s="13">
        <v>-0.26</v>
      </c>
      <c r="EO19" s="13">
        <v>1.71</v>
      </c>
      <c r="EP19" s="13">
        <v>-2.48</v>
      </c>
    </row>
    <row r="20" spans="1:146" ht="96" x14ac:dyDescent="0.25">
      <c r="A20" s="6"/>
      <c r="B20" s="6"/>
      <c r="C20" s="6" t="str">
        <f>""&amp;CHAR(10)&amp;Basic_Fundamental_Information_Constructure(F20)&amp;CHAR(10)&amp;Basic_Fundamental_Information_Concatenate("")</f>
        <v xml:space="preserve">
市值33.179691亿, 利润-5.21亿; PE39.92; 平均PE41.82; 平均PEG5.92, PB.84; ROIC4.57%; ROE4.8233%; 股利率1.0909%; 毛利20.2033%; 净利11.7367%; 上一年度营收增55.57%, 利润增-557.02%; 当季营收增-12.69%, 利润增77.44%; 过往5年营收增7.06%, 利润增-112.15%
Income profile:
</v>
      </c>
      <c r="D20" t="s">
        <v>91</v>
      </c>
      <c r="E20" t="s">
        <v>15</v>
      </c>
      <c r="F20">
        <v>2.75</v>
      </c>
      <c r="G20">
        <v>0.36</v>
      </c>
      <c r="H20" t="s">
        <v>1068</v>
      </c>
      <c r="I20">
        <v>3317969100</v>
      </c>
      <c r="J20">
        <v>39.92</v>
      </c>
      <c r="K20">
        <v>0.84</v>
      </c>
      <c r="L20" t="s">
        <v>41</v>
      </c>
      <c r="M20" t="s">
        <v>1069</v>
      </c>
      <c r="N20" t="s">
        <v>1070</v>
      </c>
      <c r="O20" t="s">
        <v>1071</v>
      </c>
      <c r="P20">
        <v>1.95</v>
      </c>
      <c r="Q20" t="s">
        <v>1072</v>
      </c>
      <c r="R20">
        <v>-24587644</v>
      </c>
      <c r="S20" s="5">
        <v>-7.05</v>
      </c>
      <c r="T20" t="s">
        <v>1073</v>
      </c>
      <c r="U20">
        <v>1206534200</v>
      </c>
      <c r="V20">
        <v>1206534200</v>
      </c>
      <c r="W20">
        <v>1.3</v>
      </c>
      <c r="X20">
        <v>7.0000000000000007E-2</v>
      </c>
      <c r="Y20">
        <v>-7.54</v>
      </c>
      <c r="Z20" t="s">
        <v>1074</v>
      </c>
      <c r="AA20" t="s">
        <v>1075</v>
      </c>
      <c r="AB20" t="s">
        <v>43</v>
      </c>
      <c r="AC20" t="s">
        <v>1076</v>
      </c>
      <c r="AD20" t="s">
        <v>43</v>
      </c>
      <c r="AE20">
        <v>9776141</v>
      </c>
      <c r="AF20" t="s">
        <v>1077</v>
      </c>
      <c r="AG20" t="s">
        <v>1078</v>
      </c>
      <c r="AH20" t="s">
        <v>1079</v>
      </c>
      <c r="AI20" t="s">
        <v>141</v>
      </c>
      <c r="AJ20" t="s">
        <v>1080</v>
      </c>
      <c r="AK20" t="s">
        <v>43</v>
      </c>
      <c r="AL20" t="s">
        <v>1081</v>
      </c>
      <c r="AM20" t="s">
        <v>43</v>
      </c>
      <c r="AN20" t="s">
        <v>1082</v>
      </c>
      <c r="AO20" t="s">
        <v>1083</v>
      </c>
      <c r="AP20" t="s">
        <v>43</v>
      </c>
      <c r="AQ20" t="s">
        <v>1084</v>
      </c>
      <c r="AR20" t="s">
        <v>1085</v>
      </c>
      <c r="AS20" t="s">
        <v>159</v>
      </c>
      <c r="AT20" t="s">
        <v>1086</v>
      </c>
      <c r="AU20" t="s">
        <v>1087</v>
      </c>
      <c r="AV20" t="s">
        <v>1088</v>
      </c>
      <c r="AW20" t="s">
        <v>1089</v>
      </c>
      <c r="AX20" t="s">
        <v>1090</v>
      </c>
      <c r="AY20" t="s">
        <v>334</v>
      </c>
      <c r="AZ20" t="s">
        <v>209</v>
      </c>
      <c r="BA20" t="s">
        <v>92</v>
      </c>
      <c r="BB20" t="s">
        <v>210</v>
      </c>
      <c r="BC20" t="s">
        <v>1091</v>
      </c>
      <c r="BD20" t="s">
        <v>289</v>
      </c>
      <c r="BE20" t="s">
        <v>93</v>
      </c>
      <c r="BF20" t="s">
        <v>93</v>
      </c>
      <c r="BG20" t="s">
        <v>49</v>
      </c>
      <c r="BH20" t="s">
        <v>1092</v>
      </c>
      <c r="BI20" t="s">
        <v>1093</v>
      </c>
      <c r="BJ20" t="s">
        <v>1090</v>
      </c>
      <c r="BK20" t="s">
        <v>168</v>
      </c>
      <c r="BL20" t="s">
        <v>1094</v>
      </c>
      <c r="BM20" t="s">
        <v>1091</v>
      </c>
      <c r="BN20">
        <v>3.06</v>
      </c>
      <c r="BO20">
        <v>3.44</v>
      </c>
      <c r="BP20">
        <v>7.21</v>
      </c>
      <c r="BQ20">
        <v>3.11</v>
      </c>
      <c r="BR20">
        <v>2.94</v>
      </c>
      <c r="BS20">
        <v>8.42</v>
      </c>
      <c r="BT20" t="s">
        <v>512</v>
      </c>
      <c r="BU20" t="s">
        <v>369</v>
      </c>
      <c r="BV20">
        <v>17.690000000000001</v>
      </c>
      <c r="BW20">
        <v>17.2</v>
      </c>
      <c r="BX20">
        <v>25.72</v>
      </c>
      <c r="BY20">
        <v>7.74</v>
      </c>
      <c r="BZ20">
        <v>8.81</v>
      </c>
      <c r="CA20">
        <v>18.66</v>
      </c>
      <c r="CB20">
        <v>1.48</v>
      </c>
      <c r="CC20">
        <v>-11.58</v>
      </c>
      <c r="CD20" t="s">
        <v>1095</v>
      </c>
      <c r="CE20" t="s">
        <v>1083</v>
      </c>
      <c r="CF20" s="9">
        <v>-0.12692307692307692</v>
      </c>
      <c r="CG20" s="10">
        <v>0.77442528440366976</v>
      </c>
      <c r="CH20" s="9">
        <v>0.55571639537811279</v>
      </c>
      <c r="CI20" s="9">
        <v>-0.11561436206102371</v>
      </c>
      <c r="CJ20" s="9">
        <v>2.7169207111001015E-2</v>
      </c>
      <c r="CK20" s="9">
        <v>-1.8072344362735748E-2</v>
      </c>
      <c r="CL20" s="9">
        <v>-9.6071593463420868E-2</v>
      </c>
      <c r="CM20" s="10">
        <v>-5.5701756477355957</v>
      </c>
      <c r="CN20" s="10">
        <v>-0.63809525966644287</v>
      </c>
      <c r="CO20" s="10">
        <v>0.89759033918380737</v>
      </c>
      <c r="CP20" s="10">
        <v>0</v>
      </c>
      <c r="CQ20" s="10">
        <v>-0.29661017656326294</v>
      </c>
      <c r="CR20">
        <v>41.823139915966387</v>
      </c>
      <c r="CS20">
        <v>5.9218219049904457</v>
      </c>
      <c r="CT20">
        <v>1.0909090909090908</v>
      </c>
      <c r="CU20" s="9">
        <v>7.0625460520386693E-2</v>
      </c>
      <c r="CV20" s="10">
        <v>-1.1214581489562989</v>
      </c>
      <c r="CW20">
        <v>0.06</v>
      </c>
      <c r="CX20" t="s">
        <v>393</v>
      </c>
      <c r="CY20" t="s">
        <v>643</v>
      </c>
      <c r="CZ20">
        <v>7.0625460520386693E-2</v>
      </c>
      <c r="DA20" t="s">
        <v>393</v>
      </c>
      <c r="DB20" t="s">
        <v>399</v>
      </c>
      <c r="DC20">
        <v>6.7094187494367352E-2</v>
      </c>
      <c r="DD20" t="s">
        <v>393</v>
      </c>
      <c r="DE20" t="s">
        <v>399</v>
      </c>
      <c r="DF20">
        <v>6.2150405257940293E-2</v>
      </c>
      <c r="DG20" t="s">
        <v>393</v>
      </c>
      <c r="DH20" t="s">
        <v>399</v>
      </c>
      <c r="DI20">
        <v>5.6500368416309357E-2</v>
      </c>
      <c r="DJ20" t="s">
        <v>393</v>
      </c>
      <c r="DK20" t="s">
        <v>399</v>
      </c>
      <c r="DL20">
        <v>4.9437822364270682E-2</v>
      </c>
      <c r="DM20">
        <v>-521000000</v>
      </c>
      <c r="DN20">
        <v>7.0625460520386693E-2</v>
      </c>
      <c r="DO20">
        <v>-289030900</v>
      </c>
      <c r="DP20">
        <v>393117500</v>
      </c>
      <c r="DQ20">
        <v>3473</v>
      </c>
      <c r="DR20">
        <v>-0.19754853744346362</v>
      </c>
      <c r="DS20">
        <v>1.8958834333599688</v>
      </c>
      <c r="DT20" s="11">
        <v>-0.27333333333333337</v>
      </c>
      <c r="DU20">
        <v>-1.781666666666667</v>
      </c>
      <c r="DV20">
        <v>-2.0550000000000002</v>
      </c>
      <c r="DW20">
        <v>-2.1158000000000001</v>
      </c>
      <c r="DX20">
        <v>0.23932818181818105</v>
      </c>
      <c r="DY20">
        <v>-2.0149762034545455</v>
      </c>
      <c r="DZ20">
        <v>4335</v>
      </c>
      <c r="EA20">
        <v>-2.0022713420112082</v>
      </c>
      <c r="EB20">
        <v>2</v>
      </c>
      <c r="EC20">
        <v>2.358176005288536E-2</v>
      </c>
      <c r="ED20">
        <v>0.182340459143222</v>
      </c>
      <c r="EE20" s="12">
        <v>-2.0718999999999999</v>
      </c>
      <c r="EF20">
        <v>-2.0592000000000001</v>
      </c>
      <c r="EG20">
        <v>11.129328181818181</v>
      </c>
      <c r="EH20" t="s">
        <v>757</v>
      </c>
      <c r="EI20">
        <v>0</v>
      </c>
      <c r="EJ20">
        <v>0</v>
      </c>
      <c r="EK20" s="8">
        <v>45470</v>
      </c>
      <c r="EL20" s="13">
        <v>0</v>
      </c>
      <c r="EM20" s="13">
        <v>-4.8499999999999996</v>
      </c>
      <c r="EN20" s="13">
        <v>0</v>
      </c>
      <c r="EO20" s="13">
        <v>5.59</v>
      </c>
      <c r="EP20" s="13">
        <v>-1.27</v>
      </c>
    </row>
    <row r="21" spans="1:146" ht="96" x14ac:dyDescent="0.25">
      <c r="A21" s="6"/>
      <c r="B21" s="6"/>
      <c r="C21" s="6" t="str">
        <f>""&amp;CHAR(10)&amp;Basic_Fundamental_Information_Constructure(F21)&amp;CHAR(10)&amp;Basic_Fundamental_Information_Concatenate("")</f>
        <v xml:space="preserve">
市值290.96309亿, 利润33.01亿; PE14.92; 平均PE14.18; 平均PEG.57, PB1.42; ROIC9.08%; ROE9.4733%; 股利率4.0733%; 毛利41.5533%; 净利34.1733%; 上一年度营收增172.99%, 利润增95.33%; 当季营收增-60.05%, 利润增-23.88%; 过往5年营收增24.7%, 利润增20.73%
Income profile:
</v>
      </c>
      <c r="D21" t="s">
        <v>96</v>
      </c>
      <c r="E21" t="s">
        <v>25</v>
      </c>
      <c r="F21">
        <v>4.91</v>
      </c>
      <c r="G21">
        <v>0.41</v>
      </c>
      <c r="H21" t="s">
        <v>1096</v>
      </c>
      <c r="I21">
        <v>29096309000</v>
      </c>
      <c r="J21">
        <v>14.92</v>
      </c>
      <c r="K21">
        <v>1.42</v>
      </c>
      <c r="L21" t="s">
        <v>41</v>
      </c>
      <c r="M21" t="s">
        <v>1097</v>
      </c>
      <c r="N21" t="s">
        <v>1098</v>
      </c>
      <c r="O21" t="s">
        <v>1035</v>
      </c>
      <c r="P21">
        <v>1.77</v>
      </c>
      <c r="Q21" t="s">
        <v>1099</v>
      </c>
      <c r="R21">
        <v>541214430</v>
      </c>
      <c r="S21" s="5">
        <v>4.8099999999999997E-2</v>
      </c>
      <c r="T21" t="s">
        <v>1100</v>
      </c>
      <c r="U21">
        <v>5925928600</v>
      </c>
      <c r="V21">
        <v>5925928600</v>
      </c>
      <c r="W21">
        <v>1.1000000000000001</v>
      </c>
      <c r="X21">
        <v>0.06</v>
      </c>
      <c r="Y21">
        <v>38.92</v>
      </c>
      <c r="Z21" t="s">
        <v>351</v>
      </c>
      <c r="AA21" t="s">
        <v>1101</v>
      </c>
      <c r="AB21" t="s">
        <v>1102</v>
      </c>
      <c r="AC21" t="s">
        <v>1103</v>
      </c>
      <c r="AD21" t="s">
        <v>43</v>
      </c>
      <c r="AE21">
        <v>-24168195</v>
      </c>
      <c r="AF21" t="s">
        <v>1104</v>
      </c>
      <c r="AG21" t="s">
        <v>1105</v>
      </c>
      <c r="AH21" t="s">
        <v>1106</v>
      </c>
      <c r="AI21" t="s">
        <v>1107</v>
      </c>
      <c r="AJ21" t="s">
        <v>1108</v>
      </c>
      <c r="AK21" t="s">
        <v>1109</v>
      </c>
      <c r="AL21" t="s">
        <v>1110</v>
      </c>
      <c r="AM21" t="s">
        <v>43</v>
      </c>
      <c r="AN21" t="s">
        <v>203</v>
      </c>
      <c r="AO21" t="s">
        <v>43</v>
      </c>
      <c r="AP21" t="s">
        <v>43</v>
      </c>
      <c r="AQ21" t="s">
        <v>1111</v>
      </c>
      <c r="AR21" t="s">
        <v>1112</v>
      </c>
      <c r="AS21" t="s">
        <v>1113</v>
      </c>
      <c r="AT21" t="s">
        <v>43</v>
      </c>
      <c r="AU21" t="s">
        <v>1063</v>
      </c>
      <c r="AV21" t="s">
        <v>1114</v>
      </c>
      <c r="AW21" t="s">
        <v>43</v>
      </c>
      <c r="AX21" t="s">
        <v>1115</v>
      </c>
      <c r="AY21" t="s">
        <v>335</v>
      </c>
      <c r="AZ21" t="s">
        <v>211</v>
      </c>
      <c r="BA21" t="s">
        <v>97</v>
      </c>
      <c r="BB21" t="s">
        <v>213</v>
      </c>
      <c r="BC21" t="s">
        <v>1116</v>
      </c>
      <c r="BD21" t="s">
        <v>336</v>
      </c>
      <c r="BE21" t="s">
        <v>212</v>
      </c>
      <c r="BF21" t="s">
        <v>98</v>
      </c>
      <c r="BG21" t="s">
        <v>214</v>
      </c>
      <c r="BH21" t="s">
        <v>1117</v>
      </c>
      <c r="BI21" t="s">
        <v>1118</v>
      </c>
      <c r="BJ21" t="s">
        <v>1115</v>
      </c>
      <c r="BK21" t="s">
        <v>1119</v>
      </c>
      <c r="BL21" t="s">
        <v>1120</v>
      </c>
      <c r="BM21" t="s">
        <v>1116</v>
      </c>
      <c r="BN21">
        <v>7.94</v>
      </c>
      <c r="BO21">
        <v>8.69</v>
      </c>
      <c r="BP21">
        <v>10.61</v>
      </c>
      <c r="BQ21">
        <v>8.2799999999999994</v>
      </c>
      <c r="BR21">
        <v>9.01</v>
      </c>
      <c r="BS21">
        <v>11.13</v>
      </c>
      <c r="BT21" t="s">
        <v>509</v>
      </c>
      <c r="BU21" t="s">
        <v>387</v>
      </c>
      <c r="BV21">
        <v>45.65</v>
      </c>
      <c r="BW21">
        <v>38.74</v>
      </c>
      <c r="BX21">
        <v>40.270000000000003</v>
      </c>
      <c r="BY21">
        <v>34.86</v>
      </c>
      <c r="BZ21">
        <v>32.22</v>
      </c>
      <c r="CA21">
        <v>35.44</v>
      </c>
      <c r="CB21">
        <v>4.47</v>
      </c>
      <c r="CC21">
        <v>21.23</v>
      </c>
      <c r="CD21" t="s">
        <v>1121</v>
      </c>
      <c r="CE21" t="s">
        <v>1122</v>
      </c>
      <c r="CF21" s="9">
        <v>-0.60053835800807542</v>
      </c>
      <c r="CG21" s="10">
        <v>-0.23879827004219409</v>
      </c>
      <c r="CH21" s="9">
        <v>1.7298933267593384</v>
      </c>
      <c r="CI21" s="9">
        <v>-7.4897132813930511E-2</v>
      </c>
      <c r="CJ21" s="9">
        <v>-0.22483097016811371</v>
      </c>
      <c r="CK21" s="9">
        <v>-0.30082967877388</v>
      </c>
      <c r="CL21" s="9">
        <v>0.10564208775758743</v>
      </c>
      <c r="CM21" s="10">
        <v>0.95325440168380737</v>
      </c>
      <c r="CN21" s="10">
        <v>-0.19100044667720795</v>
      </c>
      <c r="CO21" s="10">
        <v>0.13347795605659485</v>
      </c>
      <c r="CP21" s="10">
        <v>3.6557964980602264E-2</v>
      </c>
      <c r="CQ21" s="10">
        <v>0.104347825050354</v>
      </c>
      <c r="CR21">
        <v>14.180639590610024</v>
      </c>
      <c r="CS21">
        <v>0.57412536123860003</v>
      </c>
      <c r="CT21">
        <v>4.0733197556008145</v>
      </c>
      <c r="CU21" s="9">
        <v>0.24699552655220031</v>
      </c>
      <c r="CV21" s="10">
        <v>0.2073275402188301</v>
      </c>
      <c r="CW21">
        <v>0.06</v>
      </c>
      <c r="CX21">
        <v>2.4376767888641027</v>
      </c>
      <c r="CY21">
        <v>3883332295.423409</v>
      </c>
      <c r="CZ21">
        <v>0.24699552655220031</v>
      </c>
      <c r="DA21">
        <v>0.69916558776778637</v>
      </c>
      <c r="DB21">
        <v>13539437817.90365</v>
      </c>
      <c r="DC21">
        <v>0.23464575022459028</v>
      </c>
      <c r="DD21">
        <v>0.28637163638298202</v>
      </c>
      <c r="DE21">
        <v>33056028591.253834</v>
      </c>
      <c r="DF21">
        <v>0.21735606336593627</v>
      </c>
      <c r="DG21">
        <v>0.13792772694662775</v>
      </c>
      <c r="DH21">
        <v>68632386029.699921</v>
      </c>
      <c r="DI21">
        <v>0.19759642124176025</v>
      </c>
      <c r="DJ21">
        <v>4.2015644994162209E-2</v>
      </c>
      <c r="DK21">
        <v>225304383672.20782</v>
      </c>
      <c r="DL21">
        <v>0.17289686858654021</v>
      </c>
      <c r="DM21">
        <v>3301000000</v>
      </c>
      <c r="DN21">
        <v>0.24699552655220031</v>
      </c>
      <c r="DO21">
        <v>9466309000</v>
      </c>
      <c r="DP21">
        <v>5382199600</v>
      </c>
      <c r="DQ21">
        <v>3619</v>
      </c>
      <c r="DR21">
        <v>-0.84753388456027579</v>
      </c>
      <c r="DS21">
        <v>-0.44612581026102416</v>
      </c>
      <c r="DT21" s="11">
        <v>-0.35666666666666669</v>
      </c>
      <c r="DU21">
        <v>-3.666666666666666E-2</v>
      </c>
      <c r="DV21">
        <v>-0.39333333333333337</v>
      </c>
      <c r="DW21">
        <v>8.2105511069241643</v>
      </c>
      <c r="DX21">
        <v>0.4785201118779176</v>
      </c>
      <c r="DY21">
        <v>8.0354820960948796</v>
      </c>
      <c r="DZ21">
        <v>1341</v>
      </c>
      <c r="EA21">
        <v>8.0261706497419958</v>
      </c>
      <c r="EB21">
        <v>8</v>
      </c>
      <c r="EC21">
        <v>3.3243734998764582E-2</v>
      </c>
      <c r="ED21">
        <v>0.19726866098251672</v>
      </c>
      <c r="EE21" s="12">
        <v>5.91E-2</v>
      </c>
      <c r="EF21">
        <v>5.7700000000000001E-2</v>
      </c>
      <c r="EG21">
        <v>31.168520111877918</v>
      </c>
      <c r="EH21" t="s">
        <v>388</v>
      </c>
      <c r="EI21">
        <v>0</v>
      </c>
      <c r="EJ21">
        <v>1</v>
      </c>
      <c r="EK21" s="8">
        <v>45470</v>
      </c>
      <c r="EL21" s="13">
        <v>0.35</v>
      </c>
      <c r="EM21" s="13">
        <v>-0.21</v>
      </c>
      <c r="EN21" s="13">
        <v>-0.56000000000000005</v>
      </c>
      <c r="EO21" s="13">
        <v>0.56999999999999995</v>
      </c>
      <c r="EP21" s="13">
        <v>-0.14000000000000001</v>
      </c>
    </row>
    <row r="22" spans="1:146" ht="96" x14ac:dyDescent="0.25">
      <c r="A22" s="6"/>
      <c r="B22" s="6"/>
      <c r="C22" s="6" t="str">
        <f>""&amp;CHAR(10)&amp;Basic_Fundamental_Information_Constructure(F22)&amp;CHAR(10)&amp;Basic_Fundamental_Information_Concatenate("")</f>
        <v xml:space="preserve">
市值43.298266亿, 利润185.02亿; PE21.92; 平均PE1.38; 平均PEG0, PB1.08; ROIC2.8467%; ROE3.2933%; 股利率1.4327%; 毛利23.75%; 净利10.3933%; 上一年度营收增1699.92%, 利润增11391.93%; 当季营收增-95.09%, 利润增-99.19%; 过往5年营收增353.99%, 利润增2434.27%
Income profile:
</v>
      </c>
      <c r="D22" t="s">
        <v>100</v>
      </c>
      <c r="E22" t="s">
        <v>5</v>
      </c>
      <c r="F22">
        <v>3.49</v>
      </c>
      <c r="G22">
        <v>0.28999999999999998</v>
      </c>
      <c r="H22" t="s">
        <v>1123</v>
      </c>
      <c r="I22">
        <v>4329826600</v>
      </c>
      <c r="J22">
        <v>21.92</v>
      </c>
      <c r="K22">
        <v>1.08</v>
      </c>
      <c r="L22" t="s">
        <v>41</v>
      </c>
      <c r="M22" t="s">
        <v>1124</v>
      </c>
      <c r="N22" t="s">
        <v>1125</v>
      </c>
      <c r="O22" t="s">
        <v>489</v>
      </c>
      <c r="P22">
        <v>5.86</v>
      </c>
      <c r="Q22" t="s">
        <v>1126</v>
      </c>
      <c r="R22">
        <v>43843212</v>
      </c>
      <c r="S22" s="5">
        <v>0.25719999999999998</v>
      </c>
      <c r="T22" t="s">
        <v>1127</v>
      </c>
      <c r="U22">
        <v>1240638010</v>
      </c>
      <c r="V22">
        <v>1240638010</v>
      </c>
      <c r="W22">
        <v>2.42</v>
      </c>
      <c r="X22">
        <v>0.05</v>
      </c>
      <c r="Y22">
        <v>9.6199999999999992</v>
      </c>
      <c r="Z22" t="s">
        <v>895</v>
      </c>
      <c r="AA22" t="s">
        <v>1128</v>
      </c>
      <c r="AB22" t="s">
        <v>43</v>
      </c>
      <c r="AC22" t="s">
        <v>1129</v>
      </c>
      <c r="AD22" t="s">
        <v>43</v>
      </c>
      <c r="AE22">
        <v>37537025</v>
      </c>
      <c r="AF22" t="s">
        <v>1130</v>
      </c>
      <c r="AG22" t="s">
        <v>43</v>
      </c>
      <c r="AH22" t="s">
        <v>1131</v>
      </c>
      <c r="AI22" t="s">
        <v>1132</v>
      </c>
      <c r="AJ22" t="s">
        <v>1133</v>
      </c>
      <c r="AK22" t="s">
        <v>1134</v>
      </c>
      <c r="AL22" t="s">
        <v>1135</v>
      </c>
      <c r="AM22" t="s">
        <v>43</v>
      </c>
      <c r="AN22" t="s">
        <v>398</v>
      </c>
      <c r="AO22" t="s">
        <v>1136</v>
      </c>
      <c r="AP22" t="s">
        <v>1137</v>
      </c>
      <c r="AQ22" t="s">
        <v>514</v>
      </c>
      <c r="AR22" t="s">
        <v>43</v>
      </c>
      <c r="AS22" t="s">
        <v>1138</v>
      </c>
      <c r="AT22" t="s">
        <v>1139</v>
      </c>
      <c r="AU22" t="s">
        <v>1140</v>
      </c>
      <c r="AV22" t="s">
        <v>1141</v>
      </c>
      <c r="AW22" t="s">
        <v>333</v>
      </c>
      <c r="AX22" t="s">
        <v>1142</v>
      </c>
      <c r="AY22" t="s">
        <v>337</v>
      </c>
      <c r="AZ22" t="s">
        <v>215</v>
      </c>
      <c r="BA22" t="s">
        <v>101</v>
      </c>
      <c r="BB22" t="s">
        <v>217</v>
      </c>
      <c r="BC22" t="s">
        <v>1143</v>
      </c>
      <c r="BD22" t="s">
        <v>164</v>
      </c>
      <c r="BE22" t="s">
        <v>216</v>
      </c>
      <c r="BF22" t="s">
        <v>102</v>
      </c>
      <c r="BG22" t="s">
        <v>220</v>
      </c>
      <c r="BH22" t="s">
        <v>1144</v>
      </c>
      <c r="BI22" t="s">
        <v>1145</v>
      </c>
      <c r="BJ22" t="s">
        <v>1142</v>
      </c>
      <c r="BK22" t="s">
        <v>1146</v>
      </c>
      <c r="BL22" t="s">
        <v>1147</v>
      </c>
      <c r="BM22" t="s">
        <v>1143</v>
      </c>
      <c r="BN22">
        <v>2.4900000000000002</v>
      </c>
      <c r="BO22">
        <v>3.08</v>
      </c>
      <c r="BP22">
        <v>2.97</v>
      </c>
      <c r="BQ22">
        <v>3.13</v>
      </c>
      <c r="BR22">
        <v>3.86</v>
      </c>
      <c r="BS22">
        <v>2.89</v>
      </c>
      <c r="BT22" t="s">
        <v>506</v>
      </c>
      <c r="BU22" t="s">
        <v>387</v>
      </c>
      <c r="BV22">
        <v>24.48</v>
      </c>
      <c r="BW22">
        <v>24.17</v>
      </c>
      <c r="BX22">
        <v>22.6</v>
      </c>
      <c r="BY22">
        <v>11.42</v>
      </c>
      <c r="BZ22">
        <v>10.7</v>
      </c>
      <c r="CA22">
        <v>9.06</v>
      </c>
      <c r="CB22">
        <v>1.45</v>
      </c>
      <c r="CC22">
        <v>-9.59</v>
      </c>
      <c r="CD22" t="s">
        <v>1148</v>
      </c>
      <c r="CE22" t="s">
        <v>622</v>
      </c>
      <c r="CF22" s="9">
        <v>-0.95089940554311747</v>
      </c>
      <c r="CG22" s="10">
        <v>-0.99192128026533999</v>
      </c>
      <c r="CH22" s="9">
        <v>16.999202728271484</v>
      </c>
      <c r="CI22" s="9">
        <v>0.23413674533367157</v>
      </c>
      <c r="CJ22" s="9">
        <v>0.2533908486366272</v>
      </c>
      <c r="CK22" s="9">
        <v>0.13824567198753357</v>
      </c>
      <c r="CL22" s="9">
        <v>7.4660584330558777E-2</v>
      </c>
      <c r="CM22" s="10">
        <v>113.91926574707031</v>
      </c>
      <c r="CN22" s="10">
        <v>0.47706422209739685</v>
      </c>
      <c r="CO22" s="10">
        <v>1.9422957897186279</v>
      </c>
      <c r="CP22" s="10">
        <v>4.4356961250305176</v>
      </c>
      <c r="CQ22" s="10">
        <v>0.93930512666702271</v>
      </c>
      <c r="CR22">
        <v>1.3804368588107505</v>
      </c>
      <c r="CS22">
        <v>3.8996192172751076E-3</v>
      </c>
      <c r="CT22">
        <v>1.4326647564469912</v>
      </c>
      <c r="CU22" s="9">
        <v>3.5399273157119753</v>
      </c>
      <c r="CV22" s="10">
        <v>24.342725402116777</v>
      </c>
      <c r="CW22">
        <v>0.06</v>
      </c>
      <c r="CX22">
        <v>7.2672866498207048E-2</v>
      </c>
      <c r="CY22">
        <v>79243146410.663177</v>
      </c>
      <c r="CZ22">
        <v>3.5399273157119753</v>
      </c>
      <c r="DA22">
        <v>3.428407298552461E-3</v>
      </c>
      <c r="DB22">
        <v>1679738169508.4731</v>
      </c>
      <c r="DC22">
        <v>3.3629309499263762</v>
      </c>
      <c r="DD22">
        <v>6.7517844487339362E-5</v>
      </c>
      <c r="DE22">
        <v>85293401229357.5</v>
      </c>
      <c r="DF22">
        <v>3.1151360378265385</v>
      </c>
      <c r="DG22">
        <v>5.9067857688637118E-7</v>
      </c>
      <c r="DH22">
        <v>9749509844010858</v>
      </c>
      <c r="DI22">
        <v>2.8319418525695803</v>
      </c>
      <c r="DJ22">
        <v>1.0348849619610428E-11</v>
      </c>
      <c r="DK22">
        <v>5.564702176256751E+20</v>
      </c>
      <c r="DL22">
        <v>2.4779491209983826</v>
      </c>
      <c r="DM22">
        <v>18502000000</v>
      </c>
      <c r="DN22">
        <v>3.5399273157119753</v>
      </c>
      <c r="DO22">
        <v>5758826600</v>
      </c>
      <c r="DP22">
        <v>-1234199600</v>
      </c>
      <c r="DQ22">
        <v>3626</v>
      </c>
      <c r="DR22">
        <v>-4.4908267212550932</v>
      </c>
      <c r="DS22">
        <v>-25.334646682382118</v>
      </c>
      <c r="DT22" s="11">
        <v>0.14333333333333331</v>
      </c>
      <c r="DU22">
        <v>1.0915000000000001</v>
      </c>
      <c r="DV22">
        <v>1.2348333333333334</v>
      </c>
      <c r="DW22">
        <v>-2.0958999999999999</v>
      </c>
      <c r="DX22">
        <v>0.3139065116279075</v>
      </c>
      <c r="DY22">
        <v>-2.0138006344651163</v>
      </c>
      <c r="DZ22">
        <v>2194</v>
      </c>
      <c r="EA22">
        <v>-2.007875273992227</v>
      </c>
      <c r="EB22">
        <v>2</v>
      </c>
      <c r="EC22">
        <v>2.4938700693202198E-2</v>
      </c>
      <c r="ED22">
        <v>0.17329793079610709</v>
      </c>
      <c r="EE22" s="12">
        <v>2.0609099999999998</v>
      </c>
      <c r="EF22">
        <v>2.0718100000000002</v>
      </c>
      <c r="EG22">
        <v>17.143906511627907</v>
      </c>
      <c r="EH22" t="s">
        <v>1149</v>
      </c>
      <c r="EI22">
        <v>0</v>
      </c>
      <c r="EJ22">
        <v>0</v>
      </c>
      <c r="EK22" s="8">
        <v>45470</v>
      </c>
      <c r="EL22" s="13">
        <v>0.32</v>
      </c>
      <c r="EM22" s="13">
        <v>-3.51</v>
      </c>
      <c r="EN22" s="13">
        <v>3.47</v>
      </c>
      <c r="EO22" s="13">
        <v>2.4</v>
      </c>
      <c r="EP22" s="13">
        <v>-1.0900000000000001</v>
      </c>
    </row>
    <row r="23" spans="1:146" ht="96" x14ac:dyDescent="0.25">
      <c r="A23" s="6"/>
      <c r="B23" s="6"/>
      <c r="C23" s="6" t="str">
        <f>""&amp;CHAR(10)&amp;Basic_Fundamental_Information_Constructure(F23)&amp;CHAR(10)&amp;Basic_Fundamental_Information_Concatenate("")</f>
        <v xml:space="preserve">
市值673.12184亿, 利润23.76亿; PE14.03; 平均PE19.55; 平均PEG2.95, PB.885; ROIC5.4167%; ROE6.88%; 股利率2.6301%; 毛利30.9267%; 净利19.5733%; 上一年度营收增-53.19%, 利润增-43.79%; 当季营收增217.3%, 利润增427.34%; 过往5年营收增-6.63%, 利润增-.38%
Income profile:
</v>
      </c>
      <c r="D23" t="s">
        <v>103</v>
      </c>
      <c r="E23" t="s">
        <v>18</v>
      </c>
      <c r="F23">
        <v>3.46</v>
      </c>
      <c r="G23">
        <v>-0.56999999999999995</v>
      </c>
      <c r="H23" t="s">
        <v>1150</v>
      </c>
      <c r="I23">
        <v>67312184000</v>
      </c>
      <c r="J23">
        <v>14.03</v>
      </c>
      <c r="K23">
        <v>0.88500000000000001</v>
      </c>
      <c r="L23" t="s">
        <v>41</v>
      </c>
      <c r="M23" t="s">
        <v>1151</v>
      </c>
      <c r="N23" t="s">
        <v>1152</v>
      </c>
      <c r="O23" t="s">
        <v>1153</v>
      </c>
      <c r="P23">
        <v>18.72</v>
      </c>
      <c r="Q23" t="s">
        <v>1154</v>
      </c>
      <c r="R23">
        <v>1123228000</v>
      </c>
      <c r="S23" s="5">
        <v>0.13039999999999999</v>
      </c>
      <c r="T23" t="s">
        <v>1155</v>
      </c>
      <c r="U23">
        <v>15807417000</v>
      </c>
      <c r="V23">
        <v>19454388000</v>
      </c>
      <c r="W23">
        <v>1.36</v>
      </c>
      <c r="X23">
        <v>0.06</v>
      </c>
      <c r="Y23">
        <v>18.079999999999998</v>
      </c>
      <c r="Z23" t="s">
        <v>527</v>
      </c>
      <c r="AA23" t="s">
        <v>1156</v>
      </c>
      <c r="AB23" t="s">
        <v>1157</v>
      </c>
      <c r="AC23" t="s">
        <v>961</v>
      </c>
      <c r="AD23" t="s">
        <v>43</v>
      </c>
      <c r="AE23">
        <v>59153000</v>
      </c>
      <c r="AF23" t="s">
        <v>1158</v>
      </c>
      <c r="AG23" t="s">
        <v>1159</v>
      </c>
      <c r="AH23" t="s">
        <v>1160</v>
      </c>
      <c r="AI23" t="s">
        <v>1161</v>
      </c>
      <c r="AJ23" t="s">
        <v>1162</v>
      </c>
      <c r="AK23" t="s">
        <v>1163</v>
      </c>
      <c r="AL23" t="s">
        <v>1164</v>
      </c>
      <c r="AM23" t="s">
        <v>43</v>
      </c>
      <c r="AN23" t="s">
        <v>1165</v>
      </c>
      <c r="AO23" t="s">
        <v>306</v>
      </c>
      <c r="AP23" t="s">
        <v>43</v>
      </c>
      <c r="AQ23" t="s">
        <v>1166</v>
      </c>
      <c r="AR23" t="s">
        <v>699</v>
      </c>
      <c r="AS23" t="s">
        <v>1167</v>
      </c>
      <c r="AT23" t="s">
        <v>1168</v>
      </c>
      <c r="AU23" t="s">
        <v>1169</v>
      </c>
      <c r="AV23" t="s">
        <v>1170</v>
      </c>
      <c r="AW23" t="s">
        <v>1171</v>
      </c>
      <c r="AX23" t="s">
        <v>1172</v>
      </c>
      <c r="AY23" t="s">
        <v>339</v>
      </c>
      <c r="AZ23" t="s">
        <v>341</v>
      </c>
      <c r="BA23" t="s">
        <v>221</v>
      </c>
      <c r="BB23" t="s">
        <v>222</v>
      </c>
      <c r="BC23" t="s">
        <v>1173</v>
      </c>
      <c r="BD23" t="s">
        <v>340</v>
      </c>
      <c r="BE23" t="s">
        <v>342</v>
      </c>
      <c r="BF23" t="s">
        <v>223</v>
      </c>
      <c r="BG23" t="s">
        <v>224</v>
      </c>
      <c r="BH23" t="s">
        <v>1174</v>
      </c>
      <c r="BI23" t="s">
        <v>1175</v>
      </c>
      <c r="BJ23" t="s">
        <v>1172</v>
      </c>
      <c r="BK23" t="s">
        <v>1176</v>
      </c>
      <c r="BL23" t="s">
        <v>973</v>
      </c>
      <c r="BM23" t="s">
        <v>1173</v>
      </c>
      <c r="BN23">
        <v>4.66</v>
      </c>
      <c r="BO23">
        <v>5.4</v>
      </c>
      <c r="BP23">
        <v>6.19</v>
      </c>
      <c r="BQ23">
        <v>5.49</v>
      </c>
      <c r="BR23">
        <v>7.11</v>
      </c>
      <c r="BS23">
        <v>8.0399999999999991</v>
      </c>
      <c r="BT23" t="s">
        <v>1177</v>
      </c>
      <c r="BU23" t="s">
        <v>387</v>
      </c>
      <c r="BV23">
        <v>29.58</v>
      </c>
      <c r="BW23">
        <v>30.84</v>
      </c>
      <c r="BX23">
        <v>32.36</v>
      </c>
      <c r="BY23">
        <v>19.89</v>
      </c>
      <c r="BZ23">
        <v>18.16</v>
      </c>
      <c r="CA23">
        <v>20.67</v>
      </c>
      <c r="CB23">
        <v>1.76</v>
      </c>
      <c r="CC23">
        <v>-0.56999999999999995</v>
      </c>
      <c r="CD23" t="s">
        <v>1178</v>
      </c>
      <c r="CE23" t="s">
        <v>1179</v>
      </c>
      <c r="CF23" s="9">
        <v>2.1730151445617256</v>
      </c>
      <c r="CG23" s="10">
        <v>4.2733708920187796</v>
      </c>
      <c r="CH23" s="9">
        <v>-0.53187227249145508</v>
      </c>
      <c r="CI23" s="9">
        <v>0.12257865816354752</v>
      </c>
      <c r="CJ23" s="9">
        <v>7.3573805391788483E-2</v>
      </c>
      <c r="CK23" s="9">
        <v>-0.14933861792087555</v>
      </c>
      <c r="CL23" s="9">
        <v>0.15365345776081085</v>
      </c>
      <c r="CM23" s="10">
        <v>-0.43789923191070557</v>
      </c>
      <c r="CN23" s="10">
        <v>-2.4238269776105881E-2</v>
      </c>
      <c r="CO23" s="10">
        <v>0.23877619206905365</v>
      </c>
      <c r="CP23" s="10">
        <v>4.7319516539573669E-2</v>
      </c>
      <c r="CQ23" s="10">
        <v>0.15696462988853455</v>
      </c>
      <c r="CR23">
        <v>19.551391973665101</v>
      </c>
      <c r="CS23">
        <v>2.9497735092787178</v>
      </c>
      <c r="CT23">
        <v>2.6300578034682083</v>
      </c>
      <c r="CU23" s="9">
        <v>-6.6280993819236758E-2</v>
      </c>
      <c r="CV23" s="10">
        <v>-3.8154326379299165E-3</v>
      </c>
      <c r="CW23">
        <v>0.06</v>
      </c>
      <c r="CX23">
        <v>7.1217104377104379</v>
      </c>
      <c r="CY23" t="s">
        <v>1180</v>
      </c>
      <c r="CZ23">
        <v>-6.6280993819236758E-2</v>
      </c>
      <c r="DA23">
        <v>2.3739034792368128</v>
      </c>
      <c r="DB23" t="s">
        <v>1181</v>
      </c>
      <c r="DC23">
        <v>-6.2966944128274915E-2</v>
      </c>
      <c r="DD23">
        <v>1.1869517396184064</v>
      </c>
      <c r="DE23" t="s">
        <v>1182</v>
      </c>
      <c r="DF23">
        <v>-5.8327274560928351E-2</v>
      </c>
      <c r="DG23">
        <v>0.71217104377104379</v>
      </c>
      <c r="DH23" t="s">
        <v>1183</v>
      </c>
      <c r="DI23">
        <v>-5.3024795055389408E-2</v>
      </c>
      <c r="DJ23">
        <v>0.35608552188552189</v>
      </c>
      <c r="DK23" t="s">
        <v>1184</v>
      </c>
      <c r="DL23">
        <v>-4.6396695673465729E-2</v>
      </c>
      <c r="DM23">
        <v>2376000000</v>
      </c>
      <c r="DN23">
        <v>-6.6280993819236758E-2</v>
      </c>
      <c r="DO23">
        <v>16921184000</v>
      </c>
      <c r="DP23">
        <v>-1810938000</v>
      </c>
      <c r="DQ23">
        <v>3633</v>
      </c>
      <c r="DR23">
        <v>2.2392961383809622</v>
      </c>
      <c r="DS23">
        <v>4.2771863246567099</v>
      </c>
      <c r="DT23" s="11">
        <v>-0.50666666666666671</v>
      </c>
      <c r="DU23">
        <v>6.6666666666666652E-2</v>
      </c>
      <c r="DV23">
        <v>-0.44000000000000006</v>
      </c>
      <c r="DW23">
        <v>-5.6999999999999993E-3</v>
      </c>
      <c r="DX23">
        <v>0.30818632750397346</v>
      </c>
      <c r="DY23">
        <v>-7.8766206677265485E-4</v>
      </c>
      <c r="DZ23">
        <v>1129</v>
      </c>
      <c r="EA23">
        <v>-6.1363653382034034E-4</v>
      </c>
      <c r="EB23">
        <v>0</v>
      </c>
      <c r="EC23">
        <v>4.4678455061140966E-3</v>
      </c>
      <c r="ED23">
        <v>3.2332037378919348E-2</v>
      </c>
      <c r="EE23" s="12">
        <v>-1.12981</v>
      </c>
      <c r="EF23">
        <v>-1.14331</v>
      </c>
      <c r="EG23">
        <v>17.138186327503973</v>
      </c>
      <c r="EH23" t="s">
        <v>588</v>
      </c>
      <c r="EI23">
        <v>0</v>
      </c>
      <c r="EJ23">
        <v>1</v>
      </c>
      <c r="EK23" s="8">
        <v>45470</v>
      </c>
      <c r="EL23" s="13">
        <v>0</v>
      </c>
      <c r="EM23" s="13">
        <v>-2</v>
      </c>
      <c r="EN23" s="13">
        <v>-0.34</v>
      </c>
      <c r="EO23" s="13">
        <v>1.37</v>
      </c>
      <c r="EP23" s="13">
        <v>-1.35</v>
      </c>
    </row>
    <row r="24" spans="1:146" ht="96" x14ac:dyDescent="0.25">
      <c r="C24" s="6" t="str">
        <f>""&amp;CHAR(10)&amp;Basic_Fundamental_Information_Constructure(F24)&amp;CHAR(10)&amp;Basic_Fundamental_Information_Concatenate("")</f>
        <v xml:space="preserve">
市值115.944913亿, 利润4.45亿; PE22.56; 平均PE30.69; 平均PEG5.12, PB2.08; ROIC11.8333%; ROE13.9267%; 股利率1.3093%; 毛利19.3233%; 净利12.97%; 上一年度营收增-49.17%, 利润增-33.58%; 当季营收增152.6%, 利润增16.66%; 过往5年营收增-6%, 利润增32.2%
Income profile:
</v>
      </c>
      <c r="D24" s="5" t="s">
        <v>516</v>
      </c>
      <c r="E24" t="s">
        <v>517</v>
      </c>
      <c r="F24">
        <v>8.86</v>
      </c>
      <c r="G24">
        <v>0.56999999999999995</v>
      </c>
      <c r="H24" t="s">
        <v>1185</v>
      </c>
      <c r="I24">
        <v>11594491300</v>
      </c>
      <c r="J24">
        <v>22.56</v>
      </c>
      <c r="K24">
        <v>2.08</v>
      </c>
      <c r="L24" t="s">
        <v>41</v>
      </c>
      <c r="M24" t="s">
        <v>1186</v>
      </c>
      <c r="N24" t="s">
        <v>1187</v>
      </c>
      <c r="O24" t="s">
        <v>219</v>
      </c>
      <c r="P24" s="5">
        <v>4.37</v>
      </c>
      <c r="Q24" t="s">
        <v>1188</v>
      </c>
      <c r="R24">
        <v>166827980</v>
      </c>
      <c r="S24">
        <v>6.3200000000000006E-2</v>
      </c>
      <c r="T24" t="s">
        <v>1189</v>
      </c>
      <c r="U24">
        <v>248633330</v>
      </c>
      <c r="V24">
        <v>1308633330</v>
      </c>
      <c r="W24">
        <v>1.36</v>
      </c>
      <c r="X24">
        <v>0.15</v>
      </c>
      <c r="Y24">
        <v>14.25</v>
      </c>
      <c r="Z24" t="s">
        <v>521</v>
      </c>
      <c r="AA24" t="s">
        <v>1190</v>
      </c>
      <c r="AB24" t="s">
        <v>43</v>
      </c>
      <c r="AC24" t="s">
        <v>1191</v>
      </c>
      <c r="AD24" t="s">
        <v>43</v>
      </c>
      <c r="AE24">
        <v>-11520363</v>
      </c>
      <c r="AF24" t="s">
        <v>1192</v>
      </c>
      <c r="AG24" t="s">
        <v>1193</v>
      </c>
      <c r="AH24" t="s">
        <v>1194</v>
      </c>
      <c r="AI24" t="s">
        <v>535</v>
      </c>
      <c r="AJ24" t="s">
        <v>1195</v>
      </c>
      <c r="AK24" t="s">
        <v>1196</v>
      </c>
      <c r="AL24" t="s">
        <v>1197</v>
      </c>
      <c r="AM24" t="s">
        <v>43</v>
      </c>
      <c r="AN24" t="s">
        <v>1198</v>
      </c>
      <c r="AO24" t="s">
        <v>490</v>
      </c>
      <c r="AP24" t="s">
        <v>1199</v>
      </c>
      <c r="AQ24" t="s">
        <v>1200</v>
      </c>
      <c r="AR24" t="s">
        <v>43</v>
      </c>
      <c r="AS24" t="s">
        <v>254</v>
      </c>
      <c r="AT24" t="s">
        <v>1201</v>
      </c>
      <c r="AU24" t="s">
        <v>532</v>
      </c>
      <c r="AV24" t="s">
        <v>1202</v>
      </c>
      <c r="AW24" t="s">
        <v>1203</v>
      </c>
      <c r="AX24" t="s">
        <v>1204</v>
      </c>
      <c r="AY24" t="s">
        <v>518</v>
      </c>
      <c r="AZ24" t="s">
        <v>522</v>
      </c>
      <c r="BA24" t="s">
        <v>523</v>
      </c>
      <c r="BB24" t="s">
        <v>524</v>
      </c>
      <c r="BC24" t="s">
        <v>325</v>
      </c>
      <c r="BD24" t="s">
        <v>519</v>
      </c>
      <c r="BE24" t="s">
        <v>485</v>
      </c>
      <c r="BF24" t="s">
        <v>525</v>
      </c>
      <c r="BG24" t="s">
        <v>510</v>
      </c>
      <c r="BH24" t="s">
        <v>1205</v>
      </c>
      <c r="BI24" t="s">
        <v>403</v>
      </c>
      <c r="BJ24" t="s">
        <v>1204</v>
      </c>
      <c r="BK24" t="s">
        <v>1206</v>
      </c>
      <c r="BL24" t="s">
        <v>195</v>
      </c>
      <c r="BM24" t="s">
        <v>325</v>
      </c>
      <c r="BN24">
        <v>6.68</v>
      </c>
      <c r="BO24">
        <v>13.62</v>
      </c>
      <c r="BP24">
        <v>15.2</v>
      </c>
      <c r="BQ24">
        <v>7.43</v>
      </c>
      <c r="BR24">
        <v>17.66</v>
      </c>
      <c r="BS24">
        <v>16.690000000000001</v>
      </c>
      <c r="BT24" t="s">
        <v>803</v>
      </c>
      <c r="BU24" t="s">
        <v>369</v>
      </c>
      <c r="BV24">
        <v>16.899999999999999</v>
      </c>
      <c r="BW24">
        <v>20.75</v>
      </c>
      <c r="BX24">
        <v>20.32</v>
      </c>
      <c r="BY24">
        <v>11.2</v>
      </c>
      <c r="BZ24">
        <v>14.05</v>
      </c>
      <c r="CA24">
        <v>13.66</v>
      </c>
      <c r="CB24">
        <v>0.45</v>
      </c>
      <c r="CC24" s="9">
        <v>-13.51</v>
      </c>
      <c r="CD24" s="10" t="s">
        <v>1207</v>
      </c>
      <c r="CE24" s="9" t="s">
        <v>309</v>
      </c>
      <c r="CF24" s="9">
        <v>1.525974025974026</v>
      </c>
      <c r="CG24" s="9">
        <v>0.16662923076923078</v>
      </c>
      <c r="CH24" s="9">
        <v>-0.49171733856201172</v>
      </c>
      <c r="CI24" s="9">
        <v>0.25039324164390564</v>
      </c>
      <c r="CJ24" s="10">
        <v>0.25791561603546143</v>
      </c>
      <c r="CK24" s="10">
        <v>-0.40711769461631775</v>
      </c>
      <c r="CL24" s="10">
        <v>9.0637646615505219E-2</v>
      </c>
      <c r="CM24" s="10">
        <v>-0.33582088351249695</v>
      </c>
      <c r="CN24" s="10">
        <v>0.28598847985267639</v>
      </c>
      <c r="CO24">
        <v>0.71381580829620361</v>
      </c>
      <c r="CP24">
        <v>0.64324325323104858</v>
      </c>
      <c r="CQ24">
        <v>0.30281689763069153</v>
      </c>
      <c r="CR24" s="9">
        <v>30.686787737097486</v>
      </c>
      <c r="CS24" s="10">
        <v>5.1163657128450888</v>
      </c>
      <c r="CT24">
        <v>1.3092550790067721</v>
      </c>
      <c r="CU24">
        <v>-5.997770577669144E-2</v>
      </c>
      <c r="CV24">
        <v>0.32200871109962464</v>
      </c>
      <c r="CW24">
        <v>0.06</v>
      </c>
      <c r="CX24">
        <v>19.016834382022473</v>
      </c>
      <c r="CY24" t="s">
        <v>1208</v>
      </c>
      <c r="CZ24">
        <v>-5.997770577669144E-2</v>
      </c>
      <c r="DA24">
        <v>6.3389447940074906</v>
      </c>
      <c r="DB24" t="s">
        <v>1209</v>
      </c>
      <c r="DC24">
        <v>-5.6978820487856865E-2</v>
      </c>
      <c r="DD24">
        <v>3.1694723970037453</v>
      </c>
      <c r="DE24" t="s">
        <v>1210</v>
      </c>
      <c r="DF24">
        <v>-5.2780381083488467E-2</v>
      </c>
      <c r="DG24">
        <v>1.9016834382022472</v>
      </c>
      <c r="DH24" t="s">
        <v>1211</v>
      </c>
      <c r="DI24">
        <v>-4.7982164621353157E-2</v>
      </c>
      <c r="DJ24">
        <v>0.95084171910112358</v>
      </c>
      <c r="DK24" t="s">
        <v>1212</v>
      </c>
      <c r="DL24">
        <v>-4.1984394043684002E-2</v>
      </c>
      <c r="DM24">
        <v>445000000</v>
      </c>
      <c r="DN24">
        <v>-5.997770577669144E-2</v>
      </c>
      <c r="DO24">
        <v>8462491300</v>
      </c>
      <c r="DP24">
        <v>1032712600</v>
      </c>
      <c r="DQ24" s="11">
        <v>3637</v>
      </c>
      <c r="DR24">
        <v>1.5859517317507175</v>
      </c>
      <c r="DS24">
        <v>-0.15537948033039387</v>
      </c>
      <c r="DT24">
        <v>-0.44</v>
      </c>
      <c r="DU24">
        <v>0.80333333333333334</v>
      </c>
      <c r="DV24">
        <v>0.36333333333333334</v>
      </c>
      <c r="DW24">
        <v>-2.1351</v>
      </c>
      <c r="DX24">
        <v>0.22627732463295225</v>
      </c>
      <c r="DY24">
        <v>-2.0130070665579121</v>
      </c>
      <c r="DZ24">
        <v>3180</v>
      </c>
      <c r="EA24">
        <v>-2.004912649404456</v>
      </c>
      <c r="EB24" s="12">
        <v>2</v>
      </c>
      <c r="EC24">
        <v>4.5098958315542829E-2</v>
      </c>
      <c r="ED24">
        <v>0.46842762288501394</v>
      </c>
      <c r="EE24">
        <v>0.10460999999999999</v>
      </c>
      <c r="EF24">
        <v>0.11151</v>
      </c>
      <c r="EG24">
        <v>13.096277324632952</v>
      </c>
      <c r="EH24" s="8">
        <v>-1</v>
      </c>
      <c r="EI24" s="13">
        <v>0</v>
      </c>
      <c r="EJ24" s="13">
        <v>0</v>
      </c>
      <c r="EK24" s="13">
        <v>45470</v>
      </c>
      <c r="EL24" s="13">
        <v>0.48</v>
      </c>
      <c r="EM24" s="13">
        <v>-0.04</v>
      </c>
      <c r="EN24" s="13">
        <v>-0.3</v>
      </c>
      <c r="EO24" s="13">
        <v>1.77</v>
      </c>
      <c r="EP24" s="13">
        <v>-0.69</v>
      </c>
    </row>
    <row r="25" spans="1:146" ht="96" x14ac:dyDescent="0.25">
      <c r="C25" s="6" t="str">
        <f>""&amp;CHAR(10)&amp;Basic_Fundamental_Information_Constructure(F25)&amp;CHAR(10)&amp;Basic_Fundamental_Information_Concatenate("")</f>
        <v xml:space="preserve">
市值121.259044亿, 利润1.58亿; PE21.05; 平均PE15.06; 平均PEG70.72, PB1.47; ROIC24.6033%; ROE24.065%; 股利率3.063%; 毛利31.49%; 净利21.3467%; 上一年度营收增-85.82%, 利润增-91.35%; 当季营收增334.03%, 利润增69.71%; 过往5年营收增.21%, 利润增38.45%
Income profile:
</v>
      </c>
      <c r="D25" t="s">
        <v>1213</v>
      </c>
      <c r="E25" t="s">
        <v>1214</v>
      </c>
      <c r="F25">
        <v>9.3699999999999992</v>
      </c>
      <c r="G25">
        <v>0.54</v>
      </c>
      <c r="H25" t="s">
        <v>1215</v>
      </c>
      <c r="I25">
        <v>12125904400</v>
      </c>
      <c r="J25">
        <v>21.05</v>
      </c>
      <c r="K25">
        <v>1.47</v>
      </c>
      <c r="L25" t="s">
        <v>41</v>
      </c>
      <c r="M25" t="s">
        <v>508</v>
      </c>
      <c r="N25" t="s">
        <v>1216</v>
      </c>
      <c r="O25" t="s">
        <v>1217</v>
      </c>
      <c r="P25" s="5">
        <v>-9.27</v>
      </c>
      <c r="Q25" t="s">
        <v>1218</v>
      </c>
      <c r="R25">
        <v>124262024</v>
      </c>
      <c r="S25">
        <v>-0.57269999999999999</v>
      </c>
      <c r="T25" t="s">
        <v>802</v>
      </c>
      <c r="U25">
        <v>194120000</v>
      </c>
      <c r="V25">
        <v>1294120000</v>
      </c>
      <c r="W25">
        <v>1.2</v>
      </c>
      <c r="X25">
        <v>0.13</v>
      </c>
      <c r="Y25">
        <v>10.28</v>
      </c>
      <c r="Z25" t="s">
        <v>1219</v>
      </c>
      <c r="AA25" t="s">
        <v>693</v>
      </c>
      <c r="AB25" t="s">
        <v>43</v>
      </c>
      <c r="AC25" t="s">
        <v>1220</v>
      </c>
      <c r="AD25" t="s">
        <v>43</v>
      </c>
      <c r="AE25">
        <v>61225147</v>
      </c>
      <c r="AF25" t="s">
        <v>1221</v>
      </c>
      <c r="AG25" t="s">
        <v>1222</v>
      </c>
      <c r="AH25" t="s">
        <v>1223</v>
      </c>
      <c r="AI25" t="s">
        <v>1224</v>
      </c>
      <c r="AJ25" t="s">
        <v>1225</v>
      </c>
      <c r="AK25" t="s">
        <v>43</v>
      </c>
      <c r="AL25" t="s">
        <v>1226</v>
      </c>
      <c r="AM25" t="s">
        <v>43</v>
      </c>
      <c r="AN25" t="s">
        <v>1227</v>
      </c>
      <c r="AO25" t="s">
        <v>43</v>
      </c>
      <c r="AP25" t="s">
        <v>43</v>
      </c>
      <c r="AQ25" t="s">
        <v>1228</v>
      </c>
      <c r="AR25" t="s">
        <v>43</v>
      </c>
      <c r="AS25" t="s">
        <v>1229</v>
      </c>
      <c r="AT25" t="s">
        <v>43</v>
      </c>
      <c r="AU25" t="s">
        <v>1230</v>
      </c>
      <c r="AV25" t="s">
        <v>1231</v>
      </c>
      <c r="AW25" t="s">
        <v>1232</v>
      </c>
      <c r="AX25" t="s">
        <v>1233</v>
      </c>
      <c r="AY25" t="s">
        <v>483</v>
      </c>
      <c r="AZ25" t="s">
        <v>968</v>
      </c>
      <c r="BA25" t="s">
        <v>223</v>
      </c>
      <c r="BB25" t="s">
        <v>43</v>
      </c>
      <c r="BC25" t="s">
        <v>1234</v>
      </c>
      <c r="BD25" t="s">
        <v>1235</v>
      </c>
      <c r="BE25" t="s">
        <v>552</v>
      </c>
      <c r="BF25" t="s">
        <v>397</v>
      </c>
      <c r="BG25" t="s">
        <v>43</v>
      </c>
      <c r="BH25" t="s">
        <v>1236</v>
      </c>
      <c r="BI25" t="s">
        <v>511</v>
      </c>
      <c r="BJ25" t="s">
        <v>1233</v>
      </c>
      <c r="BK25" t="s">
        <v>1237</v>
      </c>
      <c r="BL25" t="s">
        <v>1238</v>
      </c>
      <c r="BM25" t="s">
        <v>1234</v>
      </c>
      <c r="BN25">
        <v>10.59</v>
      </c>
      <c r="BO25">
        <v>33.69</v>
      </c>
      <c r="BP25">
        <v>29.53</v>
      </c>
      <c r="BQ25">
        <v>11.85</v>
      </c>
      <c r="BR25">
        <v>36.28</v>
      </c>
      <c r="BS25" t="s">
        <v>43</v>
      </c>
      <c r="BT25" t="s">
        <v>1239</v>
      </c>
      <c r="BU25" t="s">
        <v>369</v>
      </c>
      <c r="BV25">
        <v>21.45</v>
      </c>
      <c r="BW25">
        <v>36.94</v>
      </c>
      <c r="BX25">
        <v>36.08</v>
      </c>
      <c r="BY25">
        <v>14.27</v>
      </c>
      <c r="BZ25">
        <v>26.83</v>
      </c>
      <c r="CA25">
        <v>22.94</v>
      </c>
      <c r="CB25">
        <v>-1.99</v>
      </c>
      <c r="CC25" s="9">
        <v>-8.43</v>
      </c>
      <c r="CD25" s="10" t="s">
        <v>1240</v>
      </c>
      <c r="CE25" s="9" t="s">
        <v>402</v>
      </c>
      <c r="CF25" s="9">
        <v>3.3402777777777777</v>
      </c>
      <c r="CG25" s="9">
        <v>0.69713739405014574</v>
      </c>
      <c r="CH25" s="9">
        <v>-0.85818713903427124</v>
      </c>
      <c r="CI25" s="9">
        <v>0.27326872944831848</v>
      </c>
      <c r="CJ25" s="10">
        <v>0.56618088483810425</v>
      </c>
      <c r="CK25" s="10">
        <v>2.7253611013293266E-2</v>
      </c>
      <c r="CL25" s="10" t="s">
        <v>43</v>
      </c>
      <c r="CM25" s="10">
        <v>-0.91351944208145142</v>
      </c>
      <c r="CN25" s="10">
        <v>0.49021211266517639</v>
      </c>
      <c r="CO25">
        <v>1.6365591287612915</v>
      </c>
      <c r="CP25">
        <v>0.32478633522987366</v>
      </c>
      <c r="CQ25" t="s">
        <v>43</v>
      </c>
      <c r="CR25" s="9">
        <v>15.05575415942389</v>
      </c>
      <c r="CS25" s="10">
        <v>70.716776181635339</v>
      </c>
      <c r="CT25">
        <v>3.0629669156883677</v>
      </c>
      <c r="CU25">
        <v>2.1290215663611889E-3</v>
      </c>
      <c r="CV25">
        <v>0.38450953364372253</v>
      </c>
      <c r="CW25">
        <v>0.06</v>
      </c>
      <c r="CX25">
        <v>37.643139627451923</v>
      </c>
      <c r="CY25">
        <v>149373948.49762741</v>
      </c>
      <c r="CZ25">
        <v>2.1290215663611889E-3</v>
      </c>
      <c r="DA25">
        <v>13.261149848599379</v>
      </c>
      <c r="DB25">
        <v>424013337.01797229</v>
      </c>
      <c r="DC25">
        <v>2.0225704880431294E-3</v>
      </c>
      <c r="DD25">
        <v>7.1922578254067746</v>
      </c>
      <c r="DE25">
        <v>781799615.1552012</v>
      </c>
      <c r="DF25">
        <v>1.8735389783978461E-3</v>
      </c>
      <c r="DG25">
        <v>4.7940653738595884</v>
      </c>
      <c r="DH25">
        <v>1172888553.1390102</v>
      </c>
      <c r="DI25">
        <v>1.7032172530889512E-3</v>
      </c>
      <c r="DJ25">
        <v>3.0631112531162912</v>
      </c>
      <c r="DK25">
        <v>1835684026.912008</v>
      </c>
      <c r="DL25">
        <v>1.4903150964528321E-3</v>
      </c>
      <c r="DM25">
        <v>158000000</v>
      </c>
      <c r="DN25">
        <v>2.1290215663611889E-3</v>
      </c>
      <c r="DO25">
        <v>5622904400.000001</v>
      </c>
      <c r="DP25">
        <v>5287112100</v>
      </c>
      <c r="DQ25" s="11">
        <v>3649</v>
      </c>
      <c r="DR25">
        <v>3.3381487562114165</v>
      </c>
      <c r="DS25">
        <v>0.31262786040642321</v>
      </c>
      <c r="DT25">
        <v>-0.58799999999999997</v>
      </c>
      <c r="DU25">
        <v>0.76800000000000002</v>
      </c>
      <c r="DV25">
        <v>0.18000000000000005</v>
      </c>
      <c r="DW25">
        <v>-2.0842999999999998</v>
      </c>
      <c r="DX25">
        <v>0.22268898809523882</v>
      </c>
      <c r="DY25">
        <v>-2.0061276816964284</v>
      </c>
      <c r="DZ25">
        <v>2760</v>
      </c>
      <c r="EA25">
        <v>-2.0028180140873988</v>
      </c>
      <c r="EB25" s="12">
        <v>2</v>
      </c>
      <c r="EC25" s="12">
        <v>1.8872670231508671E-2</v>
      </c>
      <c r="ED25">
        <v>0.25963589157110623</v>
      </c>
      <c r="EE25">
        <v>1.0400100000000001</v>
      </c>
      <c r="EF25">
        <v>1.02251</v>
      </c>
      <c r="EG25">
        <v>15.072688988095239</v>
      </c>
      <c r="EH25" s="8" t="s">
        <v>389</v>
      </c>
      <c r="EI25">
        <v>0</v>
      </c>
      <c r="EJ25">
        <v>0</v>
      </c>
      <c r="EK25">
        <v>45470</v>
      </c>
      <c r="EL25">
        <v>-1.19</v>
      </c>
      <c r="EM25">
        <v>0</v>
      </c>
      <c r="EN25" s="13">
        <v>1.81</v>
      </c>
      <c r="EO25" s="13">
        <v>1.78</v>
      </c>
      <c r="EP25" s="13">
        <v>1.75</v>
      </c>
    </row>
    <row r="26" spans="1:146" ht="96" x14ac:dyDescent="0.25">
      <c r="A26" s="6"/>
      <c r="B26" s="6"/>
      <c r="C26" s="6" t="str">
        <f>""&amp;CHAR(10)&amp;Basic_Fundamental_Information_Constructure(F26)&amp;CHAR(10)&amp;Basic_Fundamental_Information_Concatenate("")</f>
        <v xml:space="preserve">
市值233.12602亿, 利润225.45亿; PE22.06; 平均PE5.14; 平均PEG.08, PB1.14; ROIC3.8333%; ROE6.5033%; 股利率1.3916%; 毛利22.2433%; 净利10.0133%; 上一年度营收增296.99%, 利润增1989.43%; 当季营收增-75.5%, 利润增-94.74%; 过往5年营收增67.68%, 利润增407.11%
Income profile:
</v>
      </c>
      <c r="D26" t="s">
        <v>105</v>
      </c>
      <c r="E26" t="s">
        <v>13</v>
      </c>
      <c r="F26">
        <v>3.09</v>
      </c>
      <c r="G26">
        <v>-0.32</v>
      </c>
      <c r="H26" t="s">
        <v>1241</v>
      </c>
      <c r="I26">
        <v>23312602000</v>
      </c>
      <c r="J26">
        <v>22.06</v>
      </c>
      <c r="K26">
        <v>1.1399999999999999</v>
      </c>
      <c r="L26" t="s">
        <v>41</v>
      </c>
      <c r="M26" t="s">
        <v>1242</v>
      </c>
      <c r="N26" t="s">
        <v>1243</v>
      </c>
      <c r="O26" t="s">
        <v>1244</v>
      </c>
      <c r="P26">
        <v>8.86</v>
      </c>
      <c r="Q26" t="s">
        <v>1245</v>
      </c>
      <c r="R26">
        <v>317886670</v>
      </c>
      <c r="S26" s="5">
        <v>-6.5799999999999997E-2</v>
      </c>
      <c r="T26" t="s">
        <v>1246</v>
      </c>
      <c r="U26">
        <v>7544531400</v>
      </c>
      <c r="V26">
        <v>7544531400</v>
      </c>
      <c r="W26">
        <v>2.09</v>
      </c>
      <c r="X26">
        <v>0.06</v>
      </c>
      <c r="Y26">
        <v>11.37</v>
      </c>
      <c r="Z26" t="s">
        <v>1247</v>
      </c>
      <c r="AA26" t="s">
        <v>1097</v>
      </c>
      <c r="AB26" t="s">
        <v>1248</v>
      </c>
      <c r="AC26" t="s">
        <v>906</v>
      </c>
      <c r="AD26" t="s">
        <v>43</v>
      </c>
      <c r="AE26">
        <v>95515571</v>
      </c>
      <c r="AF26" t="s">
        <v>1249</v>
      </c>
      <c r="AG26" t="s">
        <v>1250</v>
      </c>
      <c r="AH26" t="s">
        <v>1251</v>
      </c>
      <c r="AI26" t="s">
        <v>1252</v>
      </c>
      <c r="AJ26" t="s">
        <v>1253</v>
      </c>
      <c r="AK26" t="s">
        <v>186</v>
      </c>
      <c r="AL26" t="s">
        <v>1254</v>
      </c>
      <c r="AM26" t="s">
        <v>43</v>
      </c>
      <c r="AN26" t="s">
        <v>1255</v>
      </c>
      <c r="AO26" t="s">
        <v>1256</v>
      </c>
      <c r="AP26" t="s">
        <v>291</v>
      </c>
      <c r="AQ26" t="s">
        <v>1257</v>
      </c>
      <c r="AR26" t="s">
        <v>1258</v>
      </c>
      <c r="AS26" t="s">
        <v>1259</v>
      </c>
      <c r="AT26" t="s">
        <v>1260</v>
      </c>
      <c r="AU26" t="s">
        <v>829</v>
      </c>
      <c r="AV26" t="s">
        <v>1261</v>
      </c>
      <c r="AW26" t="s">
        <v>1262</v>
      </c>
      <c r="AX26" t="s">
        <v>1263</v>
      </c>
      <c r="AY26" t="s">
        <v>343</v>
      </c>
      <c r="AZ26" t="s">
        <v>78</v>
      </c>
      <c r="BA26" t="s">
        <v>226</v>
      </c>
      <c r="BB26" t="s">
        <v>227</v>
      </c>
      <c r="BC26" t="s">
        <v>1264</v>
      </c>
      <c r="BD26" t="s">
        <v>344</v>
      </c>
      <c r="BE26" t="s">
        <v>225</v>
      </c>
      <c r="BF26" t="s">
        <v>228</v>
      </c>
      <c r="BG26" t="s">
        <v>229</v>
      </c>
      <c r="BH26" t="s">
        <v>515</v>
      </c>
      <c r="BI26" t="s">
        <v>1265</v>
      </c>
      <c r="BJ26" t="s">
        <v>1263</v>
      </c>
      <c r="BK26" t="s">
        <v>1264</v>
      </c>
      <c r="BL26" t="s">
        <v>1266</v>
      </c>
      <c r="BM26" t="s">
        <v>1264</v>
      </c>
      <c r="BN26">
        <v>3.04</v>
      </c>
      <c r="BO26">
        <v>3.74</v>
      </c>
      <c r="BP26">
        <v>4.72</v>
      </c>
      <c r="BQ26">
        <v>4.46</v>
      </c>
      <c r="BR26">
        <v>7.2</v>
      </c>
      <c r="BS26">
        <v>7.85</v>
      </c>
      <c r="BT26" t="s">
        <v>1267</v>
      </c>
      <c r="BU26" t="s">
        <v>387</v>
      </c>
      <c r="BV26">
        <v>23.17</v>
      </c>
      <c r="BW26">
        <v>21.8</v>
      </c>
      <c r="BX26">
        <v>21.76</v>
      </c>
      <c r="BY26">
        <v>10</v>
      </c>
      <c r="BZ26">
        <v>9.39</v>
      </c>
      <c r="CA26">
        <v>10.65</v>
      </c>
      <c r="CB26">
        <v>1.31</v>
      </c>
      <c r="CC26">
        <v>-5.21</v>
      </c>
      <c r="CD26" t="s">
        <v>1268</v>
      </c>
      <c r="CE26" t="s">
        <v>1269</v>
      </c>
      <c r="CF26" s="9">
        <v>-0.75497540673477115</v>
      </c>
      <c r="CG26" s="10">
        <v>-0.94739588449445644</v>
      </c>
      <c r="CH26" s="9">
        <v>2.9698517322540283</v>
      </c>
      <c r="CI26" s="9">
        <v>5.9650640934705734E-2</v>
      </c>
      <c r="CJ26" s="9">
        <v>6.81595578789711E-2</v>
      </c>
      <c r="CK26" s="9">
        <v>7.4990488588809967E-2</v>
      </c>
      <c r="CL26" s="9">
        <v>0.21115346252918243</v>
      </c>
      <c r="CM26" s="10">
        <v>19.894346237182617</v>
      </c>
      <c r="CN26" s="10">
        <v>-4.9339205026626587E-2</v>
      </c>
      <c r="CO26" s="10">
        <v>0.30011463165283203</v>
      </c>
      <c r="CP26" s="10">
        <v>1.8669778481125832E-2</v>
      </c>
      <c r="CQ26" s="10">
        <v>0.19193324446678162</v>
      </c>
      <c r="CR26">
        <v>5.1409736842105263</v>
      </c>
      <c r="CS26">
        <v>7.5964370640697387E-2</v>
      </c>
      <c r="CT26">
        <v>1.3915857605177995</v>
      </c>
      <c r="CU26" s="9">
        <v>0.67676117643713951</v>
      </c>
      <c r="CV26" s="10">
        <v>4.0711449373513462</v>
      </c>
      <c r="CW26">
        <v>0.06</v>
      </c>
      <c r="CX26">
        <v>0.701616069931979</v>
      </c>
      <c r="CY26">
        <v>35662812002.61821</v>
      </c>
      <c r="CZ26">
        <v>0.67676117643713951</v>
      </c>
      <c r="DA26">
        <v>0.14459560420552758</v>
      </c>
      <c r="DB26">
        <v>173045385006.54834</v>
      </c>
      <c r="DC26">
        <v>0.64292311761528254</v>
      </c>
      <c r="DD26">
        <v>3.5040422753339809E-2</v>
      </c>
      <c r="DE26">
        <v>714078199801.83069</v>
      </c>
      <c r="DF26">
        <v>0.59554983526468275</v>
      </c>
      <c r="DG26">
        <v>8.3972428930485076E-3</v>
      </c>
      <c r="DH26">
        <v>2979740174089.0024</v>
      </c>
      <c r="DI26">
        <v>0.54140894114971161</v>
      </c>
      <c r="DJ26">
        <v>4.2845485154267279E-4</v>
      </c>
      <c r="DK26">
        <v>58399623460694.844</v>
      </c>
      <c r="DL26">
        <v>0.4737328235059976</v>
      </c>
      <c r="DM26">
        <v>22545000000</v>
      </c>
      <c r="DN26">
        <v>0.67676117643713951</v>
      </c>
      <c r="DO26">
        <v>25021602000</v>
      </c>
      <c r="DP26">
        <v>3652921100</v>
      </c>
      <c r="DQ26">
        <v>3699</v>
      </c>
      <c r="DR26">
        <v>-1.4317365831719107</v>
      </c>
      <c r="DS26">
        <v>-5.0185408218458027</v>
      </c>
      <c r="DT26" s="11">
        <v>-4.0000000000000036E-2</v>
      </c>
      <c r="DU26">
        <v>9.3333333333333268E-2</v>
      </c>
      <c r="DV26">
        <v>5.3333333333333233E-2</v>
      </c>
      <c r="DW26">
        <v>-1.0521</v>
      </c>
      <c r="DX26">
        <v>0.43012363013698662</v>
      </c>
      <c r="DY26">
        <v>-1.0083424411301369</v>
      </c>
      <c r="DZ26">
        <v>2787</v>
      </c>
      <c r="EA26">
        <v>-1.0037924639423303</v>
      </c>
      <c r="EB26">
        <v>1</v>
      </c>
      <c r="EC26">
        <v>1.2394699556820718E-2</v>
      </c>
      <c r="ED26">
        <v>7.7407060695645055E-2</v>
      </c>
      <c r="EE26" s="12">
        <v>-1.01241</v>
      </c>
      <c r="EF26">
        <v>-1.02671</v>
      </c>
      <c r="EG26">
        <v>27.160123630136987</v>
      </c>
      <c r="EH26" t="s">
        <v>588</v>
      </c>
      <c r="EI26">
        <v>0</v>
      </c>
      <c r="EJ26">
        <v>0</v>
      </c>
      <c r="EK26" s="8">
        <v>45470</v>
      </c>
      <c r="EL26" s="13">
        <v>-0.98</v>
      </c>
      <c r="EM26" s="13">
        <v>-4.1399999999999997</v>
      </c>
      <c r="EN26" s="13">
        <v>-1.23</v>
      </c>
      <c r="EO26" s="13">
        <v>2.29</v>
      </c>
      <c r="EP26" s="13">
        <v>-1.43</v>
      </c>
    </row>
    <row r="27" spans="1:146" ht="96" x14ac:dyDescent="0.25">
      <c r="A27" s="6"/>
      <c r="B27" s="6"/>
      <c r="C27" s="6" t="str">
        <f>""&amp;CHAR(10)&amp;Basic_Fundamental_Information_Constructure(F27)&amp;CHAR(10)&amp;Basic_Fundamental_Information_Concatenate("")</f>
        <v xml:space="preserve">
市值627.04026亿, 利润5.72亿; PE12.59; 平均PE18.53; 平均PEG3.42, PB1.51; ROIC10.7667%; ROE11.3%; 股利率3.03%; 毛利33%; 净利28.7867%; 上一年度营收增-26.91%, 利润增-87.37%; 当季营收增34.45%, 利润增702.94%; 过往5年营收增5.42%, 利润增-12.63%
Income profile:
</v>
      </c>
      <c r="D27" t="s">
        <v>106</v>
      </c>
      <c r="E27" t="s">
        <v>23</v>
      </c>
      <c r="F27">
        <v>9.66</v>
      </c>
      <c r="G27">
        <v>-0.41</v>
      </c>
      <c r="H27" t="s">
        <v>1270</v>
      </c>
      <c r="I27">
        <v>62704026000</v>
      </c>
      <c r="J27">
        <v>12.59</v>
      </c>
      <c r="K27">
        <v>1.51</v>
      </c>
      <c r="L27" t="s">
        <v>41</v>
      </c>
      <c r="M27" t="s">
        <v>1271</v>
      </c>
      <c r="N27" t="s">
        <v>1272</v>
      </c>
      <c r="O27" t="s">
        <v>1273</v>
      </c>
      <c r="P27">
        <v>-2.67</v>
      </c>
      <c r="Q27" t="s">
        <v>1274</v>
      </c>
      <c r="R27">
        <v>1316828020</v>
      </c>
      <c r="S27" s="5">
        <v>4.5999999999999999E-2</v>
      </c>
      <c r="T27" t="s">
        <v>1275</v>
      </c>
      <c r="U27">
        <v>5392075000</v>
      </c>
      <c r="V27">
        <v>6491100000</v>
      </c>
      <c r="W27">
        <v>1.32</v>
      </c>
      <c r="X27">
        <v>7.0000000000000007E-2</v>
      </c>
      <c r="Y27">
        <v>33.32</v>
      </c>
      <c r="Z27" t="s">
        <v>395</v>
      </c>
      <c r="AA27" t="s">
        <v>1276</v>
      </c>
      <c r="AB27" t="s">
        <v>1277</v>
      </c>
      <c r="AC27" t="s">
        <v>640</v>
      </c>
      <c r="AD27" t="s">
        <v>43</v>
      </c>
      <c r="AE27">
        <v>10689621</v>
      </c>
      <c r="AF27" t="s">
        <v>1278</v>
      </c>
      <c r="AG27" t="s">
        <v>1279</v>
      </c>
      <c r="AH27" t="s">
        <v>1280</v>
      </c>
      <c r="AI27" t="s">
        <v>1281</v>
      </c>
      <c r="AJ27" t="s">
        <v>1282</v>
      </c>
      <c r="AK27" t="s">
        <v>94</v>
      </c>
      <c r="AL27" t="s">
        <v>1283</v>
      </c>
      <c r="AM27" t="s">
        <v>43</v>
      </c>
      <c r="AN27" t="s">
        <v>1284</v>
      </c>
      <c r="AO27" t="s">
        <v>1010</v>
      </c>
      <c r="AP27" t="s">
        <v>1285</v>
      </c>
      <c r="AQ27" t="s">
        <v>499</v>
      </c>
      <c r="AR27" t="s">
        <v>1286</v>
      </c>
      <c r="AS27" t="s">
        <v>1287</v>
      </c>
      <c r="AT27" t="s">
        <v>1288</v>
      </c>
      <c r="AU27" t="s">
        <v>1289</v>
      </c>
      <c r="AV27" t="s">
        <v>1290</v>
      </c>
      <c r="AW27" t="s">
        <v>1291</v>
      </c>
      <c r="AX27" t="s">
        <v>1292</v>
      </c>
      <c r="AY27" t="s">
        <v>1293</v>
      </c>
      <c r="AZ27" t="s">
        <v>231</v>
      </c>
      <c r="BA27" t="s">
        <v>107</v>
      </c>
      <c r="BB27" t="s">
        <v>233</v>
      </c>
      <c r="BC27" t="s">
        <v>1294</v>
      </c>
      <c r="BD27" t="s">
        <v>1295</v>
      </c>
      <c r="BE27" t="s">
        <v>232</v>
      </c>
      <c r="BF27" t="s">
        <v>108</v>
      </c>
      <c r="BG27" t="s">
        <v>234</v>
      </c>
      <c r="BH27" t="s">
        <v>1296</v>
      </c>
      <c r="BI27" t="s">
        <v>1297</v>
      </c>
      <c r="BJ27" t="s">
        <v>1292</v>
      </c>
      <c r="BK27" t="s">
        <v>1298</v>
      </c>
      <c r="BL27" t="s">
        <v>180</v>
      </c>
      <c r="BM27" t="s">
        <v>1294</v>
      </c>
      <c r="BN27">
        <v>9.5299999999999994</v>
      </c>
      <c r="BO27">
        <v>11.84</v>
      </c>
      <c r="BP27">
        <v>10.93</v>
      </c>
      <c r="BQ27">
        <v>9.8000000000000007</v>
      </c>
      <c r="BR27">
        <v>12.43</v>
      </c>
      <c r="BS27">
        <v>11.67</v>
      </c>
      <c r="BT27" t="s">
        <v>1299</v>
      </c>
      <c r="BU27" t="s">
        <v>387</v>
      </c>
      <c r="BV27">
        <v>35.61</v>
      </c>
      <c r="BW27">
        <v>31.44</v>
      </c>
      <c r="BX27">
        <v>31.95</v>
      </c>
      <c r="BY27">
        <v>30.36</v>
      </c>
      <c r="BZ27">
        <v>27.24</v>
      </c>
      <c r="CA27">
        <v>28.76</v>
      </c>
      <c r="CB27">
        <v>1.05</v>
      </c>
      <c r="CC27">
        <v>16.809999999999999</v>
      </c>
      <c r="CD27" t="s">
        <v>1300</v>
      </c>
      <c r="CE27" t="s">
        <v>257</v>
      </c>
      <c r="CF27" s="9">
        <v>0.34446130500758704</v>
      </c>
      <c r="CG27" s="10">
        <v>7.0294391463414634</v>
      </c>
      <c r="CH27" s="9">
        <v>-0.26911699771881104</v>
      </c>
      <c r="CI27" s="9">
        <v>0.14708513021469116</v>
      </c>
      <c r="CJ27" s="9">
        <v>0.27036836743354797</v>
      </c>
      <c r="CK27" s="9">
        <v>8.6731389164924622E-2</v>
      </c>
      <c r="CL27" s="9">
        <v>3.6027602851390839E-2</v>
      </c>
      <c r="CM27" s="10">
        <v>-0.87367492914199829</v>
      </c>
      <c r="CN27" s="10">
        <v>0.13711698353290558</v>
      </c>
      <c r="CO27" s="10">
        <v>3.6439422518014908E-2</v>
      </c>
      <c r="CP27" s="10">
        <v>1.3720248825848103E-2</v>
      </c>
      <c r="CQ27" s="10">
        <v>5.4828889667987823E-2</v>
      </c>
      <c r="CR27">
        <v>18.526821096173734</v>
      </c>
      <c r="CS27">
        <v>3.4170286202844071</v>
      </c>
      <c r="CT27">
        <v>3.0300207039337472</v>
      </c>
      <c r="CU27" s="9">
        <v>5.4219098389148714E-2</v>
      </c>
      <c r="CV27" s="10">
        <v>-0.12631387691944837</v>
      </c>
      <c r="CW27">
        <v>0.06</v>
      </c>
      <c r="CX27">
        <v>56.915338647050838</v>
      </c>
      <c r="CY27">
        <v>568880494.6024462</v>
      </c>
      <c r="CZ27">
        <v>5.4219098389148714E-2</v>
      </c>
      <c r="DA27">
        <v>19.173887186086873</v>
      </c>
      <c r="DB27">
        <v>1688652159.3542299</v>
      </c>
      <c r="DC27">
        <v>5.1508143469691278E-2</v>
      </c>
      <c r="DD27">
        <v>9.8251601602127767</v>
      </c>
      <c r="DE27">
        <v>3295419664.6193714</v>
      </c>
      <c r="DF27">
        <v>4.7712806582450869E-2</v>
      </c>
      <c r="DG27">
        <v>6.1683077607953258</v>
      </c>
      <c r="DH27">
        <v>5249093796.1605959</v>
      </c>
      <c r="DI27">
        <v>4.3375278711318972E-2</v>
      </c>
      <c r="DJ27">
        <v>3.5033515069526033</v>
      </c>
      <c r="DK27">
        <v>9242014663.8851223</v>
      </c>
      <c r="DL27">
        <v>3.7953368872404095E-2</v>
      </c>
      <c r="DM27">
        <v>572000000</v>
      </c>
      <c r="DN27">
        <v>5.4219098389148714E-2</v>
      </c>
      <c r="DO27">
        <v>32378026000</v>
      </c>
      <c r="DP27">
        <v>7677926999.999999</v>
      </c>
      <c r="DQ27">
        <v>3707</v>
      </c>
      <c r="DR27">
        <v>0.2902422066184383</v>
      </c>
      <c r="DS27">
        <v>7.1557530232609121</v>
      </c>
      <c r="DT27" s="11">
        <v>-0.47333333333333333</v>
      </c>
      <c r="DU27">
        <v>-0.33333333333333331</v>
      </c>
      <c r="DV27">
        <v>-0.80666666666666664</v>
      </c>
      <c r="DW27">
        <v>3.0091607142857142</v>
      </c>
      <c r="DX27">
        <v>0.32874087591240819</v>
      </c>
      <c r="DY27">
        <v>3.001087751238269</v>
      </c>
      <c r="DZ27">
        <v>2764</v>
      </c>
      <c r="EA27">
        <v>3.0004993863806222</v>
      </c>
      <c r="EB27">
        <v>3</v>
      </c>
      <c r="EC27">
        <v>7.5183713084068958E-3</v>
      </c>
      <c r="ED27">
        <v>6.3317465452696772E-2</v>
      </c>
      <c r="EE27" s="12">
        <v>1.0926</v>
      </c>
      <c r="EF27">
        <v>1.1019000000000001</v>
      </c>
      <c r="EG27">
        <v>21.118740875912408</v>
      </c>
      <c r="EH27" t="s">
        <v>405</v>
      </c>
      <c r="EI27">
        <v>0</v>
      </c>
      <c r="EJ27">
        <v>0</v>
      </c>
      <c r="EK27" s="8">
        <v>45470</v>
      </c>
      <c r="EL27" s="13">
        <v>-1.18</v>
      </c>
      <c r="EM27" s="13">
        <v>1.43</v>
      </c>
      <c r="EN27" s="13">
        <v>0.24</v>
      </c>
      <c r="EO27" s="13">
        <v>0.47</v>
      </c>
      <c r="EP27" s="13">
        <v>0.93</v>
      </c>
    </row>
    <row r="28" spans="1:146" ht="96" x14ac:dyDescent="0.25">
      <c r="A28" s="6"/>
      <c r="B28" s="6"/>
      <c r="C28" s="6" t="str">
        <f>""&amp;CHAR(10)&amp;Basic_Fundamental_Information_Constructure(F28)&amp;CHAR(10)&amp;Basic_Fundamental_Information_Concatenate("")</f>
        <v xml:space="preserve">
市值182.70837亿, 利润927.28亿; PE11.81; 平均PE1.12; 平均PEG0, PB.968; ROIC5.5033%; ROE7.2367%; 股利率2.5382%; 毛利37.8933%; 净利18.97%; 上一年度营收增3623.01%, 利润增6989.3%; 当季营收增-97.44%, 利润增-98.24%; 过往5年营收增724.77%, 利润增1408.29%
Income profile:
</v>
      </c>
      <c r="D28" t="s">
        <v>109</v>
      </c>
      <c r="E28" t="s">
        <v>20</v>
      </c>
      <c r="F28">
        <v>3.27</v>
      </c>
      <c r="G28">
        <v>0.31</v>
      </c>
      <c r="H28" t="s">
        <v>1301</v>
      </c>
      <c r="I28">
        <v>18270837000</v>
      </c>
      <c r="J28">
        <v>11.81</v>
      </c>
      <c r="K28">
        <v>0.96799999999999997</v>
      </c>
      <c r="L28" t="s">
        <v>41</v>
      </c>
      <c r="M28" t="s">
        <v>1302</v>
      </c>
      <c r="N28" t="s">
        <v>1303</v>
      </c>
      <c r="O28" t="s">
        <v>1304</v>
      </c>
      <c r="P28">
        <v>-0.71</v>
      </c>
      <c r="Q28" t="s">
        <v>1305</v>
      </c>
      <c r="R28">
        <v>433950680</v>
      </c>
      <c r="S28" s="5">
        <v>3.8399999999999997E-2</v>
      </c>
      <c r="T28" t="s">
        <v>1306</v>
      </c>
      <c r="U28">
        <v>4757559000</v>
      </c>
      <c r="V28">
        <v>5587412000</v>
      </c>
      <c r="W28">
        <v>1.43</v>
      </c>
      <c r="X28">
        <v>0.06</v>
      </c>
      <c r="Y28">
        <v>25.93</v>
      </c>
      <c r="Z28" t="s">
        <v>1307</v>
      </c>
      <c r="AA28" t="s">
        <v>1308</v>
      </c>
      <c r="AB28" t="s">
        <v>43</v>
      </c>
      <c r="AC28" t="s">
        <v>178</v>
      </c>
      <c r="AD28" t="s">
        <v>43</v>
      </c>
      <c r="AE28">
        <v>20070213</v>
      </c>
      <c r="AF28" t="s">
        <v>1309</v>
      </c>
      <c r="AG28" t="s">
        <v>1310</v>
      </c>
      <c r="AH28" t="s">
        <v>1311</v>
      </c>
      <c r="AI28" t="s">
        <v>1312</v>
      </c>
      <c r="AJ28" t="s">
        <v>1313</v>
      </c>
      <c r="AK28" t="s">
        <v>1314</v>
      </c>
      <c r="AL28" t="s">
        <v>1315</v>
      </c>
      <c r="AM28" t="s">
        <v>43</v>
      </c>
      <c r="AN28" t="s">
        <v>1316</v>
      </c>
      <c r="AO28" t="s">
        <v>902</v>
      </c>
      <c r="AP28" t="s">
        <v>43</v>
      </c>
      <c r="AQ28" t="s">
        <v>1317</v>
      </c>
      <c r="AR28" t="s">
        <v>43</v>
      </c>
      <c r="AS28" t="s">
        <v>1318</v>
      </c>
      <c r="AT28" t="s">
        <v>1319</v>
      </c>
      <c r="AU28" t="s">
        <v>1320</v>
      </c>
      <c r="AV28" t="s">
        <v>784</v>
      </c>
      <c r="AW28" t="s">
        <v>1321</v>
      </c>
      <c r="AX28" t="s">
        <v>1322</v>
      </c>
      <c r="AY28" t="s">
        <v>345</v>
      </c>
      <c r="AZ28" t="s">
        <v>235</v>
      </c>
      <c r="BA28" t="s">
        <v>110</v>
      </c>
      <c r="BB28" t="s">
        <v>237</v>
      </c>
      <c r="BC28" t="s">
        <v>218</v>
      </c>
      <c r="BD28" t="s">
        <v>346</v>
      </c>
      <c r="BE28" t="s">
        <v>236</v>
      </c>
      <c r="BF28" t="s">
        <v>111</v>
      </c>
      <c r="BG28" t="s">
        <v>239</v>
      </c>
      <c r="BH28" t="s">
        <v>1323</v>
      </c>
      <c r="BI28" t="s">
        <v>1324</v>
      </c>
      <c r="BJ28" t="s">
        <v>1322</v>
      </c>
      <c r="BK28" t="s">
        <v>504</v>
      </c>
      <c r="BL28" t="s">
        <v>1325</v>
      </c>
      <c r="BM28" t="s">
        <v>218</v>
      </c>
      <c r="BN28">
        <v>5.66</v>
      </c>
      <c r="BO28">
        <v>5.94</v>
      </c>
      <c r="BP28">
        <v>4.91</v>
      </c>
      <c r="BQ28">
        <v>7.23</v>
      </c>
      <c r="BR28">
        <v>7.84</v>
      </c>
      <c r="BS28">
        <v>6.64</v>
      </c>
      <c r="BT28" t="s">
        <v>1326</v>
      </c>
      <c r="BU28" t="s">
        <v>387</v>
      </c>
      <c r="BV28">
        <v>37.44</v>
      </c>
      <c r="BW28">
        <v>38.33</v>
      </c>
      <c r="BX28">
        <v>37.909999999999997</v>
      </c>
      <c r="BY28">
        <v>22.18</v>
      </c>
      <c r="BZ28">
        <v>19.61</v>
      </c>
      <c r="CA28">
        <v>15.12</v>
      </c>
      <c r="CB28">
        <v>3.15</v>
      </c>
      <c r="CC28">
        <v>3.48</v>
      </c>
      <c r="CD28" t="s">
        <v>1327</v>
      </c>
      <c r="CE28" t="s">
        <v>1328</v>
      </c>
      <c r="CF28" s="9">
        <v>-0.97444803887953013</v>
      </c>
      <c r="CG28" s="10">
        <v>-0.98238336053261888</v>
      </c>
      <c r="CH28" s="9">
        <v>36.230091094970703</v>
      </c>
      <c r="CI28" s="9">
        <v>4.9128167331218719E-2</v>
      </c>
      <c r="CJ28" s="9">
        <v>2.1530330181121826E-2</v>
      </c>
      <c r="CK28" s="9">
        <v>-3.9714384824037552E-2</v>
      </c>
      <c r="CL28" s="9">
        <v>-2.2393541410565376E-2</v>
      </c>
      <c r="CM28" s="10">
        <v>69.892967224121094</v>
      </c>
      <c r="CN28" s="10">
        <v>0.26011559367179871</v>
      </c>
      <c r="CO28" s="10">
        <v>4.3216079473495483E-2</v>
      </c>
      <c r="CP28" s="10">
        <v>6.8743288516998291E-2</v>
      </c>
      <c r="CQ28" s="10">
        <v>0.14938271045684814</v>
      </c>
      <c r="CR28">
        <v>1.1207956446171148</v>
      </c>
      <c r="CS28">
        <v>1.5464095687408028E-3</v>
      </c>
      <c r="CT28">
        <v>2.5382262996941893</v>
      </c>
      <c r="CU28" s="9">
        <v>7.2477283332496878</v>
      </c>
      <c r="CV28" s="10">
        <v>14.082884979248046</v>
      </c>
      <c r="CW28">
        <v>0.06</v>
      </c>
      <c r="CX28">
        <v>9.8181391815065338E-3</v>
      </c>
      <c r="CY28">
        <v>721505049892.05383</v>
      </c>
      <c r="CZ28">
        <v>7.2477283332496878</v>
      </c>
      <c r="DA28">
        <v>1.6101777108248536E-4</v>
      </c>
      <c r="DB28">
        <v>43994131532047.656</v>
      </c>
      <c r="DC28">
        <v>6.885341916587203</v>
      </c>
      <c r="DD28">
        <v>5.753146358707187E-7</v>
      </c>
      <c r="DE28">
        <v>1.231297894808266E+16</v>
      </c>
      <c r="DF28">
        <v>6.3780009332597256</v>
      </c>
      <c r="DG28">
        <v>5.4773382802250742E-10</v>
      </c>
      <c r="DH28">
        <v>1.2932991605749264E+19</v>
      </c>
      <c r="DI28">
        <v>5.7981826665997502</v>
      </c>
      <c r="DJ28">
        <v>4.3373435883453956E-17</v>
      </c>
      <c r="DK28">
        <v>1.6332201624594683E+26</v>
      </c>
      <c r="DL28">
        <v>5.0734098332747815</v>
      </c>
      <c r="DM28">
        <v>92728000000</v>
      </c>
      <c r="DN28">
        <v>7.2477283332496878</v>
      </c>
      <c r="DO28">
        <v>7083837000</v>
      </c>
      <c r="DP28">
        <v>962374100</v>
      </c>
      <c r="DQ28">
        <v>3711</v>
      </c>
      <c r="DR28">
        <v>-8.2221763721292174</v>
      </c>
      <c r="DS28">
        <v>-15.065268339780665</v>
      </c>
      <c r="DT28" s="11">
        <v>-0.14000000000000004</v>
      </c>
      <c r="DU28">
        <v>1.0000000000000011E-2</v>
      </c>
      <c r="DV28">
        <v>-0.13000000000000003</v>
      </c>
      <c r="DW28">
        <v>8.9051724137931032</v>
      </c>
      <c r="DX28">
        <v>0.3747343969754256</v>
      </c>
      <c r="DY28">
        <v>8.1672164800208584</v>
      </c>
      <c r="DZ28">
        <v>2479</v>
      </c>
      <c r="EA28">
        <v>8.0860952170126961</v>
      </c>
      <c r="EB28">
        <v>8</v>
      </c>
      <c r="EC28">
        <v>1.7490118860037526E-2</v>
      </c>
      <c r="ED28">
        <v>9.467710632400117E-2</v>
      </c>
      <c r="EE28" s="12">
        <v>1.0585100000000001</v>
      </c>
      <c r="EF28">
        <v>1.0643100000000001</v>
      </c>
      <c r="EG28">
        <v>19.184734396975426</v>
      </c>
      <c r="EH28" t="s">
        <v>389</v>
      </c>
      <c r="EI28">
        <v>0</v>
      </c>
      <c r="EJ28">
        <v>0</v>
      </c>
      <c r="EK28" s="8">
        <v>45470</v>
      </c>
      <c r="EL28" s="13">
        <v>-0.97</v>
      </c>
      <c r="EM28" s="13">
        <v>0</v>
      </c>
      <c r="EN28" s="13">
        <v>0.2</v>
      </c>
      <c r="EO28" s="13">
        <v>0.19</v>
      </c>
      <c r="EP28" s="13">
        <v>-0.57999999999999996</v>
      </c>
    </row>
    <row r="29" spans="1:146" ht="96" x14ac:dyDescent="0.25">
      <c r="A29" s="6"/>
      <c r="B29" s="6"/>
      <c r="C29" s="6" t="str">
        <f>""&amp;CHAR(10)&amp;Basic_Fundamental_Information_Constructure(F29)&amp;CHAR(10)&amp;Basic_Fundamental_Information_Concatenate("")</f>
        <v xml:space="preserve">
市值350.25922亿, 利润79.86亿; PE24.03; 平均PE9.03; 平均PEG.03, PB1.18; ROIC4.3%; ROE13.9%; 股利率1.2403%; 毛利29.2967%; 净利13.5833%; 上一年度营收增1487.49%, 利润增103.62%; 当季营收增-94.42%, 利润增-60.26%; 过往5年营收增313.88%, 利润增60.22%
Income profile:
</v>
      </c>
      <c r="D29" t="s">
        <v>112</v>
      </c>
      <c r="E29" t="s">
        <v>14</v>
      </c>
      <c r="F29">
        <v>2.58</v>
      </c>
      <c r="G29">
        <v>-0.39</v>
      </c>
      <c r="H29" t="s">
        <v>1329</v>
      </c>
      <c r="I29">
        <v>35025922000</v>
      </c>
      <c r="J29">
        <v>24.03</v>
      </c>
      <c r="K29">
        <v>1.18</v>
      </c>
      <c r="L29" t="s">
        <v>41</v>
      </c>
      <c r="M29" t="s">
        <v>1330</v>
      </c>
      <c r="N29" t="s">
        <v>1331</v>
      </c>
      <c r="O29" t="s">
        <v>1332</v>
      </c>
      <c r="P29">
        <v>39.11</v>
      </c>
      <c r="Q29" t="s">
        <v>1333</v>
      </c>
      <c r="R29">
        <v>446665770</v>
      </c>
      <c r="S29" s="5">
        <v>0.1222</v>
      </c>
      <c r="T29" t="s">
        <v>1334</v>
      </c>
      <c r="U29">
        <v>8234629800</v>
      </c>
      <c r="V29">
        <v>13575939000</v>
      </c>
      <c r="W29">
        <v>4.22</v>
      </c>
      <c r="X29">
        <v>0.04</v>
      </c>
      <c r="Y29">
        <v>9.0399999999999991</v>
      </c>
      <c r="Z29" t="s">
        <v>1335</v>
      </c>
      <c r="AA29" t="s">
        <v>1336</v>
      </c>
      <c r="AB29" t="s">
        <v>1337</v>
      </c>
      <c r="AC29" t="s">
        <v>290</v>
      </c>
      <c r="AD29" t="s">
        <v>43</v>
      </c>
      <c r="AE29">
        <v>911322000</v>
      </c>
      <c r="AF29" t="s">
        <v>1338</v>
      </c>
      <c r="AG29" t="s">
        <v>1339</v>
      </c>
      <c r="AH29" t="s">
        <v>1340</v>
      </c>
      <c r="AI29" t="s">
        <v>1341</v>
      </c>
      <c r="AJ29" t="s">
        <v>1342</v>
      </c>
      <c r="AK29" t="s">
        <v>1343</v>
      </c>
      <c r="AL29" t="s">
        <v>1344</v>
      </c>
      <c r="AM29" t="s">
        <v>43</v>
      </c>
      <c r="AN29" t="s">
        <v>142</v>
      </c>
      <c r="AO29" t="s">
        <v>1345</v>
      </c>
      <c r="AP29" t="s">
        <v>1346</v>
      </c>
      <c r="AQ29" t="s">
        <v>705</v>
      </c>
      <c r="AR29" t="s">
        <v>1347</v>
      </c>
      <c r="AS29" t="s">
        <v>1348</v>
      </c>
      <c r="AT29" t="s">
        <v>1349</v>
      </c>
      <c r="AU29" t="s">
        <v>1350</v>
      </c>
      <c r="AV29" t="s">
        <v>1351</v>
      </c>
      <c r="AW29" t="s">
        <v>1352</v>
      </c>
      <c r="AX29" t="s">
        <v>1353</v>
      </c>
      <c r="AY29" t="s">
        <v>1354</v>
      </c>
      <c r="AZ29" t="s">
        <v>1355</v>
      </c>
      <c r="BA29" t="s">
        <v>240</v>
      </c>
      <c r="BB29" t="s">
        <v>241</v>
      </c>
      <c r="BC29" t="s">
        <v>1356</v>
      </c>
      <c r="BD29" t="s">
        <v>347</v>
      </c>
      <c r="BE29" t="s">
        <v>348</v>
      </c>
      <c r="BF29" t="s">
        <v>113</v>
      </c>
      <c r="BG29" t="s">
        <v>242</v>
      </c>
      <c r="BH29" t="s">
        <v>1357</v>
      </c>
      <c r="BI29" t="s">
        <v>1358</v>
      </c>
      <c r="BJ29" t="s">
        <v>1353</v>
      </c>
      <c r="BK29" t="s">
        <v>1359</v>
      </c>
      <c r="BL29" t="s">
        <v>1360</v>
      </c>
      <c r="BM29" t="s">
        <v>1356</v>
      </c>
      <c r="BN29">
        <v>2.68</v>
      </c>
      <c r="BO29">
        <v>4.71</v>
      </c>
      <c r="BP29">
        <v>5.51</v>
      </c>
      <c r="BQ29">
        <v>4.13</v>
      </c>
      <c r="BR29">
        <v>13.87</v>
      </c>
      <c r="BS29">
        <v>23.7</v>
      </c>
      <c r="BT29" t="s">
        <v>1361</v>
      </c>
      <c r="BU29" t="s">
        <v>369</v>
      </c>
      <c r="BV29">
        <v>30.58</v>
      </c>
      <c r="BW29">
        <v>28.2</v>
      </c>
      <c r="BX29">
        <v>29.11</v>
      </c>
      <c r="BY29">
        <v>9.01</v>
      </c>
      <c r="BZ29">
        <v>15.33</v>
      </c>
      <c r="CA29">
        <v>16.41</v>
      </c>
      <c r="CB29">
        <v>0</v>
      </c>
      <c r="CC29">
        <v>-3.01</v>
      </c>
      <c r="CD29" t="s">
        <v>170</v>
      </c>
      <c r="CE29" t="s">
        <v>1362</v>
      </c>
      <c r="CF29" s="9">
        <v>-0.94419088074472413</v>
      </c>
      <c r="CG29" s="10">
        <v>-0.60261052491103206</v>
      </c>
      <c r="CH29" s="9">
        <v>14.874886512756348</v>
      </c>
      <c r="CI29" s="9">
        <v>-0.31092730164527893</v>
      </c>
      <c r="CJ29" s="9">
        <v>0.83943718671798706</v>
      </c>
      <c r="CK29" s="9">
        <v>0.42215800285339355</v>
      </c>
      <c r="CL29" s="9">
        <v>-0.13153386116027832</v>
      </c>
      <c r="CM29" s="10">
        <v>1.0362060070037842</v>
      </c>
      <c r="CN29" s="10">
        <v>-0.35609915852546692</v>
      </c>
      <c r="CO29" s="10">
        <v>1.8449323177337646</v>
      </c>
      <c r="CP29" s="10">
        <v>0.22834186255931854</v>
      </c>
      <c r="CQ29" s="10">
        <v>0.25757580995559692</v>
      </c>
      <c r="CR29">
        <v>9.0315669775237453</v>
      </c>
      <c r="CS29">
        <v>2.8773910913330324E-2</v>
      </c>
      <c r="CT29">
        <v>1.2403100775193798</v>
      </c>
      <c r="CU29" s="9">
        <v>3.1388041079044342</v>
      </c>
      <c r="CV29" s="10">
        <v>0.6021913677453995</v>
      </c>
      <c r="CW29">
        <v>0.06</v>
      </c>
      <c r="CX29">
        <v>3.2704204315452676</v>
      </c>
      <c r="CY29">
        <v>31181593967.664913</v>
      </c>
      <c r="CZ29">
        <v>3.1388041079044342</v>
      </c>
      <c r="DA29">
        <v>0.18016722334690211</v>
      </c>
      <c r="DB29">
        <v>566012619307.83618</v>
      </c>
      <c r="DC29">
        <v>2.9818639025092124</v>
      </c>
      <c r="DD29">
        <v>4.590746996785181E-3</v>
      </c>
      <c r="DE29">
        <v>22213579199945.594</v>
      </c>
      <c r="DF29">
        <v>2.7621476149559023</v>
      </c>
      <c r="DG29">
        <v>5.6077279718026762E-5</v>
      </c>
      <c r="DH29">
        <v>1818506933873581</v>
      </c>
      <c r="DI29">
        <v>2.5110432863235475</v>
      </c>
      <c r="DJ29">
        <v>2.1982016540171781E-9</v>
      </c>
      <c r="DK29">
        <v>4.6391067813837201E+19</v>
      </c>
      <c r="DL29">
        <v>2.1971628755331039</v>
      </c>
      <c r="DM29">
        <v>7986000000</v>
      </c>
      <c r="DN29">
        <v>3.1388041079044342</v>
      </c>
      <c r="DO29">
        <v>101976922000</v>
      </c>
      <c r="DP29">
        <v>-14533213000</v>
      </c>
      <c r="DQ29">
        <v>3798</v>
      </c>
      <c r="DR29">
        <v>-4.0829949886491583</v>
      </c>
      <c r="DS29">
        <v>-1.2048018926564317</v>
      </c>
      <c r="DT29" s="11">
        <v>9.3333333333333268E-2</v>
      </c>
      <c r="DU29">
        <v>0.37833333333333335</v>
      </c>
      <c r="DV29">
        <v>0.47166666666666662</v>
      </c>
      <c r="DW29">
        <v>-1.0301</v>
      </c>
      <c r="DX29">
        <v>0.28570267629165685</v>
      </c>
      <c r="DY29">
        <v>-1.0025796505563789</v>
      </c>
      <c r="DZ29">
        <v>84</v>
      </c>
      <c r="EA29">
        <v>-1.0025372453417534</v>
      </c>
      <c r="EB29">
        <v>1</v>
      </c>
      <c r="EC29">
        <v>1.5542203010782532E-2</v>
      </c>
      <c r="ED29">
        <v>0.18135025503576585</v>
      </c>
      <c r="EE29" s="12">
        <v>-2.03051</v>
      </c>
      <c r="EF29">
        <v>-2.05951</v>
      </c>
      <c r="EG29">
        <v>20.085702676291657</v>
      </c>
      <c r="EH29" t="s">
        <v>545</v>
      </c>
      <c r="EI29">
        <v>0</v>
      </c>
      <c r="EJ29">
        <v>1</v>
      </c>
      <c r="EK29" s="8">
        <v>45470</v>
      </c>
      <c r="EL29" s="13">
        <v>-0.68</v>
      </c>
      <c r="EM29" s="13">
        <v>-2.41</v>
      </c>
      <c r="EN29" s="13">
        <v>-3.12</v>
      </c>
      <c r="EO29" s="13">
        <v>1.2</v>
      </c>
      <c r="EP29" s="13">
        <v>-2.9</v>
      </c>
    </row>
    <row r="30" spans="1:146" ht="96" x14ac:dyDescent="0.25">
      <c r="A30" s="6"/>
      <c r="B30" s="6"/>
      <c r="C30" s="6" t="str">
        <f>""&amp;CHAR(10)&amp;Basic_Fundamental_Information_Constructure(F30)&amp;CHAR(10)&amp;Basic_Fundamental_Information_Concatenate("")</f>
        <v xml:space="preserve">
市值716.65496亿, 利润36.86亿; PE14.08; 平均PE23.24; 平均PEG.54, PB1.87; ROIC8.2433%; ROE13.4733%; 股利率2.7045%; 毛利22.19%; 净利17.0233%; 上一年度营收增92.71%, 利润增-27.54%; 当季营收增-60.27%, 利润增14.41%; 过往5年营收增42.75%, 利润增30.96%
Income profile:
</v>
      </c>
      <c r="D30" t="s">
        <v>114</v>
      </c>
      <c r="E30" t="s">
        <v>10</v>
      </c>
      <c r="F30">
        <v>8.8000000000000007</v>
      </c>
      <c r="G30">
        <v>2.33</v>
      </c>
      <c r="H30" t="s">
        <v>1363</v>
      </c>
      <c r="I30">
        <v>71665496000</v>
      </c>
      <c r="J30">
        <v>14.08</v>
      </c>
      <c r="K30">
        <v>1.87</v>
      </c>
      <c r="L30" t="s">
        <v>41</v>
      </c>
      <c r="M30" t="s">
        <v>1364</v>
      </c>
      <c r="N30" t="s">
        <v>1365</v>
      </c>
      <c r="O30" t="s">
        <v>1366</v>
      </c>
      <c r="P30">
        <v>6.3</v>
      </c>
      <c r="Q30" t="s">
        <v>1367</v>
      </c>
      <c r="R30">
        <v>1375236200</v>
      </c>
      <c r="S30" s="5">
        <v>0.22620000000000001</v>
      </c>
      <c r="T30" t="s">
        <v>1368</v>
      </c>
      <c r="U30">
        <v>8143806400</v>
      </c>
      <c r="V30">
        <v>8143806400</v>
      </c>
      <c r="W30">
        <v>1.63</v>
      </c>
      <c r="X30">
        <v>0.1</v>
      </c>
      <c r="Y30">
        <v>22.37</v>
      </c>
      <c r="Z30" t="s">
        <v>1369</v>
      </c>
      <c r="AA30" t="s">
        <v>1370</v>
      </c>
      <c r="AB30" t="s">
        <v>1371</v>
      </c>
      <c r="AC30" t="s">
        <v>1372</v>
      </c>
      <c r="AD30" t="s">
        <v>43</v>
      </c>
      <c r="AE30">
        <v>250321280</v>
      </c>
      <c r="AF30" t="s">
        <v>1373</v>
      </c>
      <c r="AG30" t="s">
        <v>1374</v>
      </c>
      <c r="AH30" t="s">
        <v>1375</v>
      </c>
      <c r="AI30" t="s">
        <v>1376</v>
      </c>
      <c r="AJ30" t="s">
        <v>1377</v>
      </c>
      <c r="AK30" t="s">
        <v>43</v>
      </c>
      <c r="AL30" t="s">
        <v>1378</v>
      </c>
      <c r="AM30" t="s">
        <v>43</v>
      </c>
      <c r="AN30" t="s">
        <v>1379</v>
      </c>
      <c r="AO30" t="s">
        <v>1380</v>
      </c>
      <c r="AP30" t="s">
        <v>43</v>
      </c>
      <c r="AQ30" t="s">
        <v>1381</v>
      </c>
      <c r="AR30" t="s">
        <v>43</v>
      </c>
      <c r="AS30" t="s">
        <v>1382</v>
      </c>
      <c r="AT30" t="s">
        <v>1383</v>
      </c>
      <c r="AU30" t="s">
        <v>1384</v>
      </c>
      <c r="AV30" t="s">
        <v>1385</v>
      </c>
      <c r="AW30" t="s">
        <v>1386</v>
      </c>
      <c r="AX30" t="s">
        <v>1387</v>
      </c>
      <c r="AY30" t="s">
        <v>349</v>
      </c>
      <c r="AZ30" t="s">
        <v>352</v>
      </c>
      <c r="BA30" t="s">
        <v>243</v>
      </c>
      <c r="BB30" t="s">
        <v>244</v>
      </c>
      <c r="BC30" t="s">
        <v>1388</v>
      </c>
      <c r="BD30" t="s">
        <v>350</v>
      </c>
      <c r="BE30" t="s">
        <v>353</v>
      </c>
      <c r="BF30" t="s">
        <v>245</v>
      </c>
      <c r="BG30" t="s">
        <v>219</v>
      </c>
      <c r="BH30" t="s">
        <v>1389</v>
      </c>
      <c r="BI30" t="s">
        <v>1390</v>
      </c>
      <c r="BJ30" t="s">
        <v>1387</v>
      </c>
      <c r="BK30" t="s">
        <v>1391</v>
      </c>
      <c r="BL30" t="s">
        <v>1392</v>
      </c>
      <c r="BM30" t="s">
        <v>1388</v>
      </c>
      <c r="BN30">
        <v>7.67</v>
      </c>
      <c r="BO30">
        <v>9.85</v>
      </c>
      <c r="BP30">
        <v>7.21</v>
      </c>
      <c r="BQ30">
        <v>10.77</v>
      </c>
      <c r="BR30">
        <v>17.11</v>
      </c>
      <c r="BS30">
        <v>12.54</v>
      </c>
      <c r="BT30" t="s">
        <v>1393</v>
      </c>
      <c r="BU30" t="s">
        <v>369</v>
      </c>
      <c r="BV30">
        <v>25.9</v>
      </c>
      <c r="BW30">
        <v>21.92</v>
      </c>
      <c r="BX30">
        <v>18.75</v>
      </c>
      <c r="BY30">
        <v>19.02</v>
      </c>
      <c r="BZ30">
        <v>17.059999999999999</v>
      </c>
      <c r="CA30">
        <v>14.99</v>
      </c>
      <c r="CB30">
        <v>4.1399999999999997</v>
      </c>
      <c r="CC30">
        <v>-3.3</v>
      </c>
      <c r="CD30" t="s">
        <v>333</v>
      </c>
      <c r="CE30" t="s">
        <v>1394</v>
      </c>
      <c r="CF30" s="9">
        <v>-0.60269360269360273</v>
      </c>
      <c r="CG30" s="10">
        <v>0.1441232945091514</v>
      </c>
      <c r="CH30" s="9">
        <v>0.92712408304214478</v>
      </c>
      <c r="CI30" s="9">
        <v>0.2169424444437027</v>
      </c>
      <c r="CJ30" s="9">
        <v>0.12966218590736389</v>
      </c>
      <c r="CK30" s="9">
        <v>0.16126604378223419</v>
      </c>
      <c r="CL30" s="9">
        <v>0.70240598917007446</v>
      </c>
      <c r="CM30" s="10">
        <v>-0.27540788054466248</v>
      </c>
      <c r="CN30" s="10">
        <v>0.40953177213668823</v>
      </c>
      <c r="CO30" s="10">
        <v>0.19503308832645416</v>
      </c>
      <c r="CP30" s="10">
        <v>0.56233841180801392</v>
      </c>
      <c r="CQ30" s="10">
        <v>0.65638375282287598</v>
      </c>
      <c r="CR30">
        <v>23.240351097178685</v>
      </c>
      <c r="CS30">
        <v>0.543659188313528</v>
      </c>
      <c r="CT30">
        <v>2.7045454545454541</v>
      </c>
      <c r="CU30" s="9">
        <v>0.42748014926910399</v>
      </c>
      <c r="CV30" s="10">
        <v>0.30957582890987395</v>
      </c>
      <c r="CW30">
        <v>0.06</v>
      </c>
      <c r="CX30">
        <v>11.611023171155407</v>
      </c>
      <c r="CY30">
        <v>4963860217.1753931</v>
      </c>
      <c r="CZ30">
        <v>0.42748014926910399</v>
      </c>
      <c r="DA30">
        <v>2.884744284030516</v>
      </c>
      <c r="DB30">
        <v>19979412497.343666</v>
      </c>
      <c r="DC30">
        <v>0.4061061418056488</v>
      </c>
      <c r="DD30">
        <v>0.94820445438035261</v>
      </c>
      <c r="DE30">
        <v>60783827510.770912</v>
      </c>
      <c r="DF30">
        <v>0.37618253135681151</v>
      </c>
      <c r="DG30">
        <v>0.3430239070461325</v>
      </c>
      <c r="DH30">
        <v>168021804941.56851</v>
      </c>
      <c r="DI30">
        <v>0.34198411941528323</v>
      </c>
      <c r="DJ30">
        <v>5.0015955372939042E-2</v>
      </c>
      <c r="DK30">
        <v>1152342199009.2283</v>
      </c>
      <c r="DL30">
        <v>0.29923610448837279</v>
      </c>
      <c r="DM30">
        <v>3686000000</v>
      </c>
      <c r="DN30">
        <v>0.42748014926910399</v>
      </c>
      <c r="DO30">
        <v>57635496000</v>
      </c>
      <c r="DP30">
        <v>-769979500</v>
      </c>
      <c r="DQ30">
        <v>3801</v>
      </c>
      <c r="DR30">
        <v>-1.0301737519627068</v>
      </c>
      <c r="DS30">
        <v>-0.16545253440072255</v>
      </c>
      <c r="DT30" s="11">
        <v>0.35999999999999993</v>
      </c>
      <c r="DU30">
        <v>0.43333333333333335</v>
      </c>
      <c r="DV30">
        <v>0.79333333333333322</v>
      </c>
      <c r="DW30">
        <v>4.7971014492753623</v>
      </c>
      <c r="DX30">
        <v>0.43855325357495872</v>
      </c>
      <c r="DY30">
        <v>4.094498970240906</v>
      </c>
      <c r="DZ30">
        <v>2854</v>
      </c>
      <c r="EA30">
        <v>4.0417200933196638</v>
      </c>
      <c r="EB30">
        <v>4</v>
      </c>
      <c r="EC30">
        <v>2.1734308418726655E-2</v>
      </c>
      <c r="ED30">
        <v>0.18332950547547397</v>
      </c>
      <c r="EE30" s="12">
        <v>5.1000000000000004E-3</v>
      </c>
      <c r="EF30">
        <v>1.9910000000000001E-2</v>
      </c>
      <c r="EG30">
        <v>32.118553253574959</v>
      </c>
      <c r="EH30">
        <v>-1</v>
      </c>
      <c r="EI30">
        <v>0</v>
      </c>
      <c r="EJ30">
        <v>0</v>
      </c>
      <c r="EK30" s="8">
        <v>45470</v>
      </c>
      <c r="EL30" s="13">
        <v>-0.2</v>
      </c>
      <c r="EM30" s="13">
        <v>-1.71</v>
      </c>
      <c r="EN30" s="13">
        <v>-3.1</v>
      </c>
      <c r="EO30" s="13">
        <v>4.3600000000000003</v>
      </c>
      <c r="EP30" s="13">
        <v>-2.5</v>
      </c>
    </row>
    <row r="31" spans="1:146" ht="96" x14ac:dyDescent="0.25">
      <c r="A31" s="6"/>
      <c r="B31" s="6"/>
      <c r="C31" s="6" t="str">
        <f>""&amp;CHAR(10)&amp;Basic_Fundamental_Information_Constructure(F31)&amp;CHAR(10)&amp;Basic_Fundamental_Information_Concatenate("")</f>
        <v xml:space="preserve">
市值302.23703亿, 利润78.79亿; PE22.81; 平均PE12.59; 平均PEG.24, PB.756; ROIC4.01%; ROE3.6933%; 股利率1.5159%; 毛利28.2%; 净利13.7033%; 上一年度营收增176.52%, 利润增497.8%; 当季营收增-66.78%, 利润增-83.46%; 过往5年营收增51.55%, 利润增136.63%
Income profile:
</v>
      </c>
      <c r="D31" t="s">
        <v>115</v>
      </c>
      <c r="E31" t="s">
        <v>246</v>
      </c>
      <c r="F31">
        <v>1.26</v>
      </c>
      <c r="G31">
        <v>-0.79</v>
      </c>
      <c r="H31" t="s">
        <v>1395</v>
      </c>
      <c r="I31">
        <v>30223703000</v>
      </c>
      <c r="J31">
        <v>22.81</v>
      </c>
      <c r="K31">
        <v>0.75600000000000001</v>
      </c>
      <c r="L31" t="s">
        <v>41</v>
      </c>
      <c r="M31" t="s">
        <v>1396</v>
      </c>
      <c r="N31" t="s">
        <v>1397</v>
      </c>
      <c r="O31" t="s">
        <v>530</v>
      </c>
      <c r="P31">
        <v>0.44</v>
      </c>
      <c r="Q31" t="s">
        <v>1398</v>
      </c>
      <c r="R31">
        <v>371916740</v>
      </c>
      <c r="S31" s="5">
        <v>-4.58E-2</v>
      </c>
      <c r="T31" t="s">
        <v>1399</v>
      </c>
      <c r="U31">
        <v>18828350000</v>
      </c>
      <c r="V31">
        <v>23987066000</v>
      </c>
      <c r="W31">
        <v>1.33</v>
      </c>
      <c r="X31">
        <v>0.05</v>
      </c>
      <c r="Y31">
        <v>14.47</v>
      </c>
      <c r="Z31" t="s">
        <v>174</v>
      </c>
      <c r="AA31" t="s">
        <v>1400</v>
      </c>
      <c r="AB31" t="s">
        <v>43</v>
      </c>
      <c r="AC31" t="s">
        <v>529</v>
      </c>
      <c r="AD31" t="s">
        <v>43</v>
      </c>
      <c r="AE31">
        <v>95553144</v>
      </c>
      <c r="AF31" t="s">
        <v>1401</v>
      </c>
      <c r="AG31" t="s">
        <v>1402</v>
      </c>
      <c r="AH31" t="s">
        <v>1403</v>
      </c>
      <c r="AI31" t="s">
        <v>1404</v>
      </c>
      <c r="AJ31" t="s">
        <v>1405</v>
      </c>
      <c r="AK31" t="s">
        <v>186</v>
      </c>
      <c r="AL31" t="s">
        <v>1406</v>
      </c>
      <c r="AM31" t="s">
        <v>43</v>
      </c>
      <c r="AN31" t="s">
        <v>394</v>
      </c>
      <c r="AO31" t="s">
        <v>596</v>
      </c>
      <c r="AP31" t="s">
        <v>43</v>
      </c>
      <c r="AQ31" t="s">
        <v>594</v>
      </c>
      <c r="AR31" t="s">
        <v>1407</v>
      </c>
      <c r="AS31" t="s">
        <v>1204</v>
      </c>
      <c r="AT31" t="s">
        <v>1408</v>
      </c>
      <c r="AU31" t="s">
        <v>544</v>
      </c>
      <c r="AV31" t="s">
        <v>1409</v>
      </c>
      <c r="AW31" t="s">
        <v>1410</v>
      </c>
      <c r="AX31" t="s">
        <v>1411</v>
      </c>
      <c r="AY31" t="s">
        <v>354</v>
      </c>
      <c r="AZ31" t="s">
        <v>356</v>
      </c>
      <c r="BA31" t="s">
        <v>116</v>
      </c>
      <c r="BB31" t="s">
        <v>248</v>
      </c>
      <c r="BC31" t="s">
        <v>1412</v>
      </c>
      <c r="BD31" t="s">
        <v>355</v>
      </c>
      <c r="BE31" t="s">
        <v>357</v>
      </c>
      <c r="BF31" t="s">
        <v>117</v>
      </c>
      <c r="BG31" t="s">
        <v>249</v>
      </c>
      <c r="BH31" t="s">
        <v>1413</v>
      </c>
      <c r="BI31" t="s">
        <v>1414</v>
      </c>
      <c r="BJ31" t="s">
        <v>1411</v>
      </c>
      <c r="BK31" t="s">
        <v>1415</v>
      </c>
      <c r="BL31" t="s">
        <v>1416</v>
      </c>
      <c r="BM31" t="s">
        <v>1412</v>
      </c>
      <c r="BN31">
        <v>3.02</v>
      </c>
      <c r="BO31">
        <v>3.71</v>
      </c>
      <c r="BP31">
        <v>5.3</v>
      </c>
      <c r="BQ31">
        <v>2.74</v>
      </c>
      <c r="BR31">
        <v>3.32</v>
      </c>
      <c r="BS31">
        <v>5.0199999999999996</v>
      </c>
      <c r="BT31" t="s">
        <v>1417</v>
      </c>
      <c r="BU31" t="s">
        <v>387</v>
      </c>
      <c r="BV31">
        <v>27.74</v>
      </c>
      <c r="BW31">
        <v>25.85</v>
      </c>
      <c r="BX31">
        <v>31.01</v>
      </c>
      <c r="BY31">
        <v>12.33</v>
      </c>
      <c r="BZ31">
        <v>11.95</v>
      </c>
      <c r="CA31">
        <v>16.829999999999998</v>
      </c>
      <c r="CB31">
        <v>2.44</v>
      </c>
      <c r="CC31">
        <v>-10.64</v>
      </c>
      <c r="CD31" t="s">
        <v>1317</v>
      </c>
      <c r="CE31" t="s">
        <v>1418</v>
      </c>
      <c r="CF31" s="9">
        <v>-0.66781648844429109</v>
      </c>
      <c r="CG31" s="10">
        <v>-0.83463017341040457</v>
      </c>
      <c r="CH31" s="9">
        <v>1.7651844024658203</v>
      </c>
      <c r="CI31" s="9">
        <v>-1.4658259227871895E-2</v>
      </c>
      <c r="CJ31" s="9">
        <v>1.8391801044344902E-2</v>
      </c>
      <c r="CK31" s="9">
        <v>0.82440555095672607</v>
      </c>
      <c r="CL31" s="9">
        <v>-1.5990486368536949E-2</v>
      </c>
      <c r="CM31" s="10">
        <v>4.977996826171875</v>
      </c>
      <c r="CN31" s="10">
        <v>-0.31210854649543762</v>
      </c>
      <c r="CO31" s="10">
        <v>-6.6731579601764679E-2</v>
      </c>
      <c r="CP31" s="10">
        <v>1.8593313694000244</v>
      </c>
      <c r="CQ31" s="10">
        <v>0.37284895777702332</v>
      </c>
      <c r="CR31">
        <v>12.587090858610399</v>
      </c>
      <c r="CS31">
        <v>0.24418829106074066</v>
      </c>
      <c r="CT31">
        <v>1.5158730158730158</v>
      </c>
      <c r="CU31" s="9">
        <v>0.51546660177409653</v>
      </c>
      <c r="CV31" s="10">
        <v>1.3662674054503441</v>
      </c>
      <c r="CW31">
        <v>0.06</v>
      </c>
      <c r="CX31">
        <v>6.0251541690232065E-2</v>
      </c>
      <c r="CY31">
        <v>11264491844.696329</v>
      </c>
      <c r="CZ31">
        <v>0.51546660177409653</v>
      </c>
      <c r="DA31">
        <v>1.3992653223307486E-2</v>
      </c>
      <c r="DB31">
        <v>48504239272.46965</v>
      </c>
      <c r="DC31">
        <v>0.48969327168539167</v>
      </c>
      <c r="DD31">
        <v>4.1280187380001243E-3</v>
      </c>
      <c r="DE31">
        <v>164413740119.98962</v>
      </c>
      <c r="DF31">
        <v>0.45361060956120497</v>
      </c>
      <c r="DG31">
        <v>1.2917392910724989E-3</v>
      </c>
      <c r="DH31">
        <v>525417942065.14374</v>
      </c>
      <c r="DI31">
        <v>0.41237328141927726</v>
      </c>
      <c r="DJ31">
        <v>1.2963733378303568E-4</v>
      </c>
      <c r="DK31">
        <v>5235397706773.9951</v>
      </c>
      <c r="DL31">
        <v>0.36082662124186754</v>
      </c>
      <c r="DM31">
        <v>7879000000.000001</v>
      </c>
      <c r="DN31">
        <v>0.51546660177409653</v>
      </c>
      <c r="DO31">
        <v>678703000</v>
      </c>
      <c r="DP31">
        <v>6845871000</v>
      </c>
      <c r="DQ31">
        <v>3804</v>
      </c>
      <c r="DR31">
        <v>-1.1832830902183877</v>
      </c>
      <c r="DS31">
        <v>-2.2008975788607485</v>
      </c>
      <c r="DT31" s="11">
        <v>0.12666666666666662</v>
      </c>
      <c r="DU31">
        <v>0.24499999999999988</v>
      </c>
      <c r="DV31">
        <v>0.37166666666666648</v>
      </c>
      <c r="DW31">
        <v>-2.1063999999999998</v>
      </c>
      <c r="DX31">
        <v>0.39369905219013202</v>
      </c>
      <c r="DY31">
        <v>-2.0195455791530299</v>
      </c>
      <c r="DZ31">
        <v>970</v>
      </c>
      <c r="EA31">
        <v>-2.0158353615838638</v>
      </c>
      <c r="EB31">
        <v>2</v>
      </c>
      <c r="EC31">
        <v>1.2214916155231324E-2</v>
      </c>
      <c r="ED31">
        <v>6.6494168148784852E-2</v>
      </c>
      <c r="EE31" s="12">
        <v>2.0169999999999999</v>
      </c>
      <c r="EF31">
        <v>2.0138099999999999</v>
      </c>
      <c r="EG31">
        <v>21.183699052190132</v>
      </c>
      <c r="EH31" t="s">
        <v>1149</v>
      </c>
      <c r="EI31">
        <v>0</v>
      </c>
      <c r="EJ31">
        <v>1</v>
      </c>
      <c r="EK31" s="8">
        <v>45470</v>
      </c>
      <c r="EL31" s="13">
        <v>-1.3</v>
      </c>
      <c r="EM31" s="13">
        <v>0.18</v>
      </c>
      <c r="EN31" s="13">
        <v>-3.87</v>
      </c>
      <c r="EO31" s="13">
        <v>0.91</v>
      </c>
      <c r="EP31" s="13">
        <v>-3.08</v>
      </c>
    </row>
    <row r="32" spans="1:146" ht="204" x14ac:dyDescent="0.25">
      <c r="A32" s="6"/>
      <c r="B32" s="6"/>
      <c r="C32" s="6" t="str">
        <f>"公司主营业务为集装箱航运业务和码头业务。中远海运港口有限公司港口的码头组合遍布中国沿海的五大港口群、欧洲、南美洲、中东、东南亚及地中海等主要海外枢纽港。据 Alphaliner 统计中远海控集装箱船队规模稳居世界第三。"&amp;CHAR(10)&amp;Basic_Fundamental_Information_Constructure(F32)&amp;CHAR(10)&amp;Basic_Fundamental_Information_Concatenate("集装箱航运业务-美洲地区 644.90亿 30.59%
集装箱航运业务-欧洲地区 559.02亿 26.52%
集装箱航运业务-亚太地区 491.69亿 23.33%
集装箱航运业务-其他国际地区 254.52亿 12.08%
集装箱航运业务-中国大陆 121.63亿 5.77%
码头业务-中国大陆 22.77亿 1.08%
码头业务-欧洲地区 22.34亿 1.06%")</f>
        <v>公司主营业务为集装箱航运业务和码头业务。中远海运港口有限公司港口的码头组合遍布中国沿海的五大港口群、欧洲、南美洲、中东、东南亚及地中海等主要海外枢纽港。据 Alphaliner 统计中远海控集装箱船队规模稳居世界第三。
市值2446.7609亿, 利润15.09亿; PE10.42; 平均PE6.72; 平均PEG.63, PB1.21; ROIC33.4767%; ROE57.1333%; 股利率1.5003%; 毛利34.3033%; 净利26.9633%; 上一年度营收增-97.01%, 利润增-98.62%; 当季营收增1697.1%, 利润增4526.71%; 过往5年营收增10.68%, 利润增244.18%
Income profile:
集装箱航运业务-美洲地区 644.90亿 30.59%
集装箱航运业务-欧洲地区 559.02亿 26.52%
集装箱航运业务-亚太地区 491.69亿 23.33%
集装箱航运业务-其他国际地区 254.52亿 12.08%
集装箱航运业务-中国大陆 121.63亿 5.77%
码头业务-中国大陆 22.77亿 1.08%
码头业务-欧洲地区 22.34亿 1.06%</v>
      </c>
      <c r="D32" t="s">
        <v>118</v>
      </c>
      <c r="E32" t="s">
        <v>9</v>
      </c>
      <c r="F32">
        <v>15.33</v>
      </c>
      <c r="G32">
        <v>-1.29</v>
      </c>
      <c r="H32" t="s">
        <v>493</v>
      </c>
      <c r="I32">
        <v>244676090000</v>
      </c>
      <c r="J32">
        <v>10.42</v>
      </c>
      <c r="K32">
        <v>1.21</v>
      </c>
      <c r="L32" t="s">
        <v>41</v>
      </c>
      <c r="M32" t="s">
        <v>1419</v>
      </c>
      <c r="N32" t="s">
        <v>1420</v>
      </c>
      <c r="O32" t="s">
        <v>1421</v>
      </c>
      <c r="P32">
        <v>1.94</v>
      </c>
      <c r="Q32" t="s">
        <v>1422</v>
      </c>
      <c r="R32">
        <v>6755000200</v>
      </c>
      <c r="S32" s="5">
        <v>-5.2299999999999999E-2</v>
      </c>
      <c r="T32" t="s">
        <v>1423</v>
      </c>
      <c r="U32">
        <v>12760826000</v>
      </c>
      <c r="V32">
        <v>15960606000</v>
      </c>
      <c r="W32">
        <v>1.84</v>
      </c>
      <c r="X32">
        <v>0.1</v>
      </c>
      <c r="Y32">
        <v>15.91</v>
      </c>
      <c r="Z32" t="s">
        <v>1424</v>
      </c>
      <c r="AA32" t="s">
        <v>1425</v>
      </c>
      <c r="AB32" t="s">
        <v>1426</v>
      </c>
      <c r="AC32" t="s">
        <v>1427</v>
      </c>
      <c r="AD32" t="s">
        <v>43</v>
      </c>
      <c r="AE32">
        <v>-909123880</v>
      </c>
      <c r="AF32" t="s">
        <v>1428</v>
      </c>
      <c r="AG32" t="s">
        <v>1429</v>
      </c>
      <c r="AH32" t="s">
        <v>1430</v>
      </c>
      <c r="AI32" t="s">
        <v>1431</v>
      </c>
      <c r="AJ32" t="s">
        <v>1432</v>
      </c>
      <c r="AK32" t="s">
        <v>505</v>
      </c>
      <c r="AL32" t="s">
        <v>1433</v>
      </c>
      <c r="AM32" t="s">
        <v>43</v>
      </c>
      <c r="AN32" t="s">
        <v>1434</v>
      </c>
      <c r="AO32" t="s">
        <v>61</v>
      </c>
      <c r="AP32" t="s">
        <v>43</v>
      </c>
      <c r="AQ32" t="s">
        <v>1435</v>
      </c>
      <c r="AR32" t="s">
        <v>322</v>
      </c>
      <c r="AS32" t="s">
        <v>1436</v>
      </c>
      <c r="AT32" t="s">
        <v>1437</v>
      </c>
      <c r="AU32" t="s">
        <v>1438</v>
      </c>
      <c r="AV32" t="s">
        <v>1439</v>
      </c>
      <c r="AW32" t="s">
        <v>1440</v>
      </c>
      <c r="AX32" t="s">
        <v>1441</v>
      </c>
      <c r="AY32" t="s">
        <v>358</v>
      </c>
      <c r="AZ32" t="s">
        <v>250</v>
      </c>
      <c r="BA32" t="s">
        <v>119</v>
      </c>
      <c r="BB32" t="s">
        <v>252</v>
      </c>
      <c r="BC32" t="s">
        <v>1442</v>
      </c>
      <c r="BD32" t="s">
        <v>1443</v>
      </c>
      <c r="BE32" t="s">
        <v>251</v>
      </c>
      <c r="BF32" t="s">
        <v>120</v>
      </c>
      <c r="BG32" t="s">
        <v>205</v>
      </c>
      <c r="BH32" t="s">
        <v>1444</v>
      </c>
      <c r="BI32" t="s">
        <v>311</v>
      </c>
      <c r="BJ32" t="s">
        <v>1441</v>
      </c>
      <c r="BK32" t="s">
        <v>1445</v>
      </c>
      <c r="BL32" t="s">
        <v>203</v>
      </c>
      <c r="BM32" t="s">
        <v>1442</v>
      </c>
      <c r="BN32">
        <v>7.07</v>
      </c>
      <c r="BO32">
        <v>45.37</v>
      </c>
      <c r="BP32">
        <v>47.99</v>
      </c>
      <c r="BQ32">
        <v>10.73</v>
      </c>
      <c r="BR32">
        <v>59.56</v>
      </c>
      <c r="BS32">
        <v>101.11</v>
      </c>
      <c r="BT32" t="s">
        <v>1446</v>
      </c>
      <c r="BU32" t="s">
        <v>369</v>
      </c>
      <c r="BV32">
        <v>16.350000000000001</v>
      </c>
      <c r="BW32">
        <v>44.26</v>
      </c>
      <c r="BX32">
        <v>42.3</v>
      </c>
      <c r="BY32">
        <v>16.18</v>
      </c>
      <c r="BZ32">
        <v>33.590000000000003</v>
      </c>
      <c r="CA32">
        <v>31.12</v>
      </c>
      <c r="CB32">
        <v>-1.03</v>
      </c>
      <c r="CC32">
        <v>10.29</v>
      </c>
      <c r="CD32" t="s">
        <v>409</v>
      </c>
      <c r="CE32" t="s">
        <v>1447</v>
      </c>
      <c r="CF32" s="9">
        <v>16.970960536113179</v>
      </c>
      <c r="CG32" s="10">
        <v>45.267124657534247</v>
      </c>
      <c r="CH32" s="9">
        <v>-0.97014766931533813</v>
      </c>
      <c r="CI32" s="9">
        <v>0.17190596461296082</v>
      </c>
      <c r="CJ32" s="9">
        <v>0.94847571849822998</v>
      </c>
      <c r="CK32" s="9">
        <v>0.13373756408691406</v>
      </c>
      <c r="CL32" s="9">
        <v>0.25016143918037415</v>
      </c>
      <c r="CM32" s="10">
        <v>-0.98624467849731445</v>
      </c>
      <c r="CN32" s="10">
        <v>0.22780333459377289</v>
      </c>
      <c r="CO32" s="10">
        <v>8.0006036758422852</v>
      </c>
      <c r="CP32" s="10">
        <v>0.46762266755104065</v>
      </c>
      <c r="CQ32" s="10">
        <v>4.4991869926452637</v>
      </c>
      <c r="CR32">
        <v>6.7193477723565334</v>
      </c>
      <c r="CS32">
        <v>0.6289957330574667</v>
      </c>
      <c r="CT32">
        <v>1.5003261578604044</v>
      </c>
      <c r="CU32" s="9">
        <v>0.10682660341262817</v>
      </c>
      <c r="CV32" s="10">
        <v>2.4417943984270094</v>
      </c>
      <c r="CW32">
        <v>0.06</v>
      </c>
      <c r="CX32">
        <v>135.71129980207073</v>
      </c>
      <c r="CY32">
        <v>1575661645.8015621</v>
      </c>
      <c r="CZ32">
        <v>0.10682660341262817</v>
      </c>
      <c r="DA32">
        <v>43.722952982518422</v>
      </c>
      <c r="DB32">
        <v>4890682705.8432407</v>
      </c>
      <c r="DC32">
        <v>0.10148527324199676</v>
      </c>
      <c r="DD32">
        <v>21.115759431726246</v>
      </c>
      <c r="DE32">
        <v>10126800823.403708</v>
      </c>
      <c r="DF32">
        <v>9.4007411003112787E-2</v>
      </c>
      <c r="DG32">
        <v>12.40750039902788</v>
      </c>
      <c r="DH32">
        <v>17234340771.550877</v>
      </c>
      <c r="DI32">
        <v>8.5461282730102547E-2</v>
      </c>
      <c r="DJ32">
        <v>6.1071467618811202</v>
      </c>
      <c r="DK32">
        <v>35013910478.570946</v>
      </c>
      <c r="DL32">
        <v>7.4778622388839713E-2</v>
      </c>
      <c r="DM32">
        <v>1509000000</v>
      </c>
      <c r="DN32">
        <v>0.10682660341262817</v>
      </c>
      <c r="DO32">
        <v>213835089999.99997</v>
      </c>
      <c r="DP32">
        <v>71560940000</v>
      </c>
      <c r="DQ32">
        <v>3817</v>
      </c>
      <c r="DR32">
        <v>16.86413393270055</v>
      </c>
      <c r="DS32">
        <v>42.82533025910724</v>
      </c>
      <c r="DT32" s="11">
        <v>-0.25666666666666665</v>
      </c>
      <c r="DU32">
        <v>1.4065000000000001</v>
      </c>
      <c r="DV32">
        <v>1.1498333333333335</v>
      </c>
      <c r="DW32">
        <v>2.1029</v>
      </c>
      <c r="DX32">
        <v>0.32047490975762738</v>
      </c>
      <c r="DY32">
        <v>2.0113678682140597</v>
      </c>
      <c r="DZ32">
        <v>1162</v>
      </c>
      <c r="EA32">
        <v>2.0087828461270267</v>
      </c>
      <c r="EB32">
        <v>2</v>
      </c>
      <c r="EC32">
        <v>4.1101196282898031E-2</v>
      </c>
      <c r="ED32">
        <v>0.37204101147537882</v>
      </c>
      <c r="EE32" s="12">
        <v>2.0512000000000001</v>
      </c>
      <c r="EF32">
        <v>2.0198</v>
      </c>
      <c r="EG32">
        <v>21.110474909757627</v>
      </c>
      <c r="EH32" t="s">
        <v>934</v>
      </c>
      <c r="EI32">
        <v>1</v>
      </c>
      <c r="EJ32">
        <v>1</v>
      </c>
      <c r="EK32" s="8">
        <v>45470</v>
      </c>
      <c r="EL32" s="13">
        <v>0.3</v>
      </c>
      <c r="EM32" s="13">
        <v>-1.29</v>
      </c>
      <c r="EN32" s="13">
        <v>-0.7</v>
      </c>
      <c r="EO32" s="13">
        <v>0</v>
      </c>
      <c r="EP32" s="13">
        <v>-3.14</v>
      </c>
    </row>
    <row r="33" spans="1:146" ht="96" x14ac:dyDescent="0.25">
      <c r="A33" s="6"/>
      <c r="B33" s="6"/>
      <c r="C33" s="6" t="str">
        <f>""&amp;CHAR(10)&amp;Basic_Fundamental_Information_Constructure(F33)&amp;CHAR(10)&amp;Basic_Fundamental_Information_Concatenate("")</f>
        <v xml:space="preserve">
市值176.22812亿, 利润106.24亿; PE9.67; 平均PE7.06; 平均PEG.03, PB1.85; ROIC11.4167%; ROE13.9733%; 股利率0%; 毛利26.99%; 净利18.77%; 上一年度营收增1096.63%, 利润增640.86%; 当季营收增-89.72%, 利润增-77.8%; 过往5年营收增234.8%, 利润增229.75%
Income profile:
</v>
      </c>
      <c r="D33" t="s">
        <v>121</v>
      </c>
      <c r="E33" t="s">
        <v>122</v>
      </c>
      <c r="F33">
        <v>3.67</v>
      </c>
      <c r="G33">
        <v>3.09</v>
      </c>
      <c r="H33" t="s">
        <v>1448</v>
      </c>
      <c r="I33">
        <v>17622812000</v>
      </c>
      <c r="J33">
        <v>9.67</v>
      </c>
      <c r="K33">
        <v>1.85</v>
      </c>
      <c r="L33" t="s">
        <v>41</v>
      </c>
      <c r="M33" t="s">
        <v>1449</v>
      </c>
      <c r="N33" t="s">
        <v>1450</v>
      </c>
      <c r="O33" t="s">
        <v>1451</v>
      </c>
      <c r="P33">
        <v>13.65</v>
      </c>
      <c r="Q33" t="s">
        <v>1452</v>
      </c>
      <c r="R33">
        <v>671205210</v>
      </c>
      <c r="S33" s="5">
        <v>0.6532</v>
      </c>
      <c r="T33" t="s">
        <v>1453</v>
      </c>
      <c r="U33">
        <v>4801856100</v>
      </c>
      <c r="V33">
        <v>4801856100</v>
      </c>
      <c r="W33">
        <v>1.28</v>
      </c>
      <c r="X33">
        <v>0.15</v>
      </c>
      <c r="Y33">
        <v>36.69</v>
      </c>
      <c r="Z33" t="s">
        <v>1454</v>
      </c>
      <c r="AA33" t="s">
        <v>533</v>
      </c>
      <c r="AB33" t="s">
        <v>1455</v>
      </c>
      <c r="AC33" t="s">
        <v>1456</v>
      </c>
      <c r="AD33" t="s">
        <v>43</v>
      </c>
      <c r="AE33">
        <v>-6038991</v>
      </c>
      <c r="AF33" t="s">
        <v>52</v>
      </c>
      <c r="AG33" t="s">
        <v>43</v>
      </c>
      <c r="AH33" t="s">
        <v>1457</v>
      </c>
      <c r="AI33" t="s">
        <v>1458</v>
      </c>
      <c r="AJ33" t="s">
        <v>1459</v>
      </c>
      <c r="AK33" t="s">
        <v>43</v>
      </c>
      <c r="AL33" t="s">
        <v>1460</v>
      </c>
      <c r="AM33" t="s">
        <v>43</v>
      </c>
      <c r="AN33" t="s">
        <v>1461</v>
      </c>
      <c r="AO33" t="s">
        <v>43</v>
      </c>
      <c r="AP33" t="s">
        <v>43</v>
      </c>
      <c r="AQ33" t="s">
        <v>1328</v>
      </c>
      <c r="AR33" t="s">
        <v>43</v>
      </c>
      <c r="AS33" t="s">
        <v>1462</v>
      </c>
      <c r="AT33" t="s">
        <v>205</v>
      </c>
      <c r="AU33" t="s">
        <v>1463</v>
      </c>
      <c r="AV33" t="s">
        <v>503</v>
      </c>
      <c r="AW33" t="s">
        <v>1464</v>
      </c>
      <c r="AX33" t="s">
        <v>1465</v>
      </c>
      <c r="AY33" t="s">
        <v>359</v>
      </c>
      <c r="AZ33" t="s">
        <v>253</v>
      </c>
      <c r="BA33" t="s">
        <v>123</v>
      </c>
      <c r="BB33" t="s">
        <v>255</v>
      </c>
      <c r="BC33" t="s">
        <v>553</v>
      </c>
      <c r="BD33" t="s">
        <v>62</v>
      </c>
      <c r="BE33" t="s">
        <v>254</v>
      </c>
      <c r="BF33" t="s">
        <v>124</v>
      </c>
      <c r="BG33" t="s">
        <v>256</v>
      </c>
      <c r="BH33" t="s">
        <v>1466</v>
      </c>
      <c r="BI33" t="s">
        <v>1467</v>
      </c>
      <c r="BJ33" t="s">
        <v>1465</v>
      </c>
      <c r="BK33" t="s">
        <v>1468</v>
      </c>
      <c r="BL33" t="s">
        <v>1469</v>
      </c>
      <c r="BM33" t="s">
        <v>553</v>
      </c>
      <c r="BN33">
        <v>12.21</v>
      </c>
      <c r="BO33">
        <v>17.48</v>
      </c>
      <c r="BP33">
        <v>4.5599999999999996</v>
      </c>
      <c r="BQ33">
        <v>14.96</v>
      </c>
      <c r="BR33">
        <v>21.78</v>
      </c>
      <c r="BS33">
        <v>5.18</v>
      </c>
      <c r="BT33" t="s">
        <v>487</v>
      </c>
      <c r="BU33" t="s">
        <v>369</v>
      </c>
      <c r="BV33">
        <v>32.83</v>
      </c>
      <c r="BW33">
        <v>30.02</v>
      </c>
      <c r="BX33">
        <v>18.12</v>
      </c>
      <c r="BY33">
        <v>25.31</v>
      </c>
      <c r="BZ33">
        <v>23.09</v>
      </c>
      <c r="CA33">
        <v>7.91</v>
      </c>
      <c r="CB33">
        <v>2.23</v>
      </c>
      <c r="CC33">
        <v>-4.92</v>
      </c>
      <c r="CD33" t="s">
        <v>1470</v>
      </c>
      <c r="CE33" t="s">
        <v>1471</v>
      </c>
      <c r="CF33" s="9">
        <v>-0.89722237746604816</v>
      </c>
      <c r="CG33" s="10">
        <v>-0.77796718160767453</v>
      </c>
      <c r="CH33" s="9">
        <v>10.966315269470215</v>
      </c>
      <c r="CI33" s="9">
        <v>0.62195760011672974</v>
      </c>
      <c r="CJ33" s="9">
        <v>-4.2162731289863586E-2</v>
      </c>
      <c r="CK33" s="9">
        <v>-1.7331180861219764E-3</v>
      </c>
      <c r="CL33" s="9">
        <v>0.1956779807806015</v>
      </c>
      <c r="CM33" s="10">
        <v>6.4086470603942871</v>
      </c>
      <c r="CN33" s="10">
        <v>3.8445944786071777</v>
      </c>
      <c r="CO33" s="10">
        <v>-0.78705036640167236</v>
      </c>
      <c r="CP33" s="10">
        <v>0.58494865894317627</v>
      </c>
      <c r="CQ33" s="10">
        <v>1.4361110925674438</v>
      </c>
      <c r="CR33">
        <v>7.0580650156865357</v>
      </c>
      <c r="CS33">
        <v>3.0059761283445497E-2</v>
      </c>
      <c r="CT33">
        <v>0</v>
      </c>
      <c r="CU33" s="9">
        <v>2.3480110001983121</v>
      </c>
      <c r="CV33" s="10">
        <v>2.2974501848220825</v>
      </c>
      <c r="CW33">
        <v>0.06</v>
      </c>
      <c r="CX33">
        <v>0.31096789651866241</v>
      </c>
      <c r="CY33">
        <v>33555914024.62912</v>
      </c>
      <c r="CZ33">
        <v>2.3480110001983121</v>
      </c>
      <c r="DA33">
        <v>2.416439810933628E-2</v>
      </c>
      <c r="DB33">
        <v>431825860209.12946</v>
      </c>
      <c r="DC33">
        <v>2.2306104501883963</v>
      </c>
      <c r="DD33">
        <v>1.0987680626670332E-3</v>
      </c>
      <c r="DE33">
        <v>9496828634308.5391</v>
      </c>
      <c r="DF33">
        <v>2.0662496801745145</v>
      </c>
      <c r="DG33">
        <v>2.8463575535672223E-5</v>
      </c>
      <c r="DH33">
        <v>366602290949795.87</v>
      </c>
      <c r="DI33">
        <v>1.8784088001586499</v>
      </c>
      <c r="DJ33">
        <v>6.7892892253661668E-9</v>
      </c>
      <c r="DK33">
        <v>1.5369520510355366E+18</v>
      </c>
      <c r="DL33">
        <v>1.6436077001388183</v>
      </c>
      <c r="DM33">
        <v>10624000000</v>
      </c>
      <c r="DN33">
        <v>2.3480110001983121</v>
      </c>
      <c r="DO33">
        <v>10434812000</v>
      </c>
      <c r="DP33">
        <v>4146133600</v>
      </c>
      <c r="DQ33">
        <v>3832</v>
      </c>
      <c r="DR33">
        <v>-3.24523337766436</v>
      </c>
      <c r="DS33">
        <v>-3.075417366429757</v>
      </c>
      <c r="DT33" s="11">
        <v>0.26</v>
      </c>
      <c r="DU33">
        <v>0.25999999999999984</v>
      </c>
      <c r="DV33">
        <v>0.5199999999999998</v>
      </c>
      <c r="DW33">
        <v>-1.0491999999999999</v>
      </c>
      <c r="DX33">
        <v>0.39703040738439954</v>
      </c>
      <c r="DY33">
        <v>-1.0062498960433126</v>
      </c>
      <c r="DZ33">
        <v>735</v>
      </c>
      <c r="EA33">
        <v>-1.0053509383932471</v>
      </c>
      <c r="EB33">
        <v>1</v>
      </c>
      <c r="EC33">
        <v>6.3517105395973855E-2</v>
      </c>
      <c r="ED33">
        <v>0.50001498378928932</v>
      </c>
      <c r="EE33" s="12">
        <v>-1.0260100000000001</v>
      </c>
      <c r="EF33">
        <v>-1.0625100000000001</v>
      </c>
      <c r="EG33">
        <v>27.1270304073844</v>
      </c>
      <c r="EH33" t="s">
        <v>588</v>
      </c>
      <c r="EI33">
        <v>0</v>
      </c>
      <c r="EJ33">
        <v>1</v>
      </c>
      <c r="EK33" s="8">
        <v>45470</v>
      </c>
      <c r="EL33" s="13">
        <v>1.38</v>
      </c>
      <c r="EM33" s="13">
        <v>-3.18</v>
      </c>
      <c r="EN33" s="13">
        <v>0.63</v>
      </c>
      <c r="EO33" s="13">
        <v>2.02</v>
      </c>
      <c r="EP33" s="13">
        <v>-3.65</v>
      </c>
    </row>
    <row r="34" spans="1:146" ht="96" x14ac:dyDescent="0.25">
      <c r="C34" s="6" t="str">
        <f>""&amp;CHAR(10)&amp;Basic_Fundamental_Information_Constructure(F34)&amp;CHAR(10)&amp;Basic_Fundamental_Information_Concatenate("")</f>
        <v xml:space="preserve">
市值85.402449亿, 利润1.39亿; PE43.08; 平均PE28.54; 平均PEG.62, PB2.28; ROIC27.0433%; ROE22.565%; 股利率1.6077%; 毛利32.0233%; 净利25.35%; 上一年度营收增-1.81%, 利润增-79.28%; 当季营收增90%, 利润增148.29%; 过往5年营收增45.81%, 利润增149.42%
Income profile:
</v>
      </c>
      <c r="D34" t="s">
        <v>538</v>
      </c>
      <c r="E34" t="s">
        <v>539</v>
      </c>
      <c r="F34">
        <v>9.33</v>
      </c>
      <c r="G34">
        <v>0.54</v>
      </c>
      <c r="H34" t="s">
        <v>1472</v>
      </c>
      <c r="I34">
        <v>8540244900</v>
      </c>
      <c r="J34">
        <v>43.08</v>
      </c>
      <c r="K34">
        <v>2.2799999999999998</v>
      </c>
      <c r="L34" t="s">
        <v>41</v>
      </c>
      <c r="M34" t="s">
        <v>1473</v>
      </c>
      <c r="N34" t="s">
        <v>1474</v>
      </c>
      <c r="O34" t="s">
        <v>581</v>
      </c>
      <c r="P34">
        <v>138.78</v>
      </c>
      <c r="Q34" t="s">
        <v>1475</v>
      </c>
      <c r="R34">
        <v>89937340</v>
      </c>
      <c r="S34">
        <v>0.17169999999999999</v>
      </c>
      <c r="T34" t="s">
        <v>501</v>
      </c>
      <c r="U34">
        <v>258836760</v>
      </c>
      <c r="V34">
        <v>915353150</v>
      </c>
      <c r="W34">
        <v>1.22</v>
      </c>
      <c r="X34">
        <v>0.18</v>
      </c>
      <c r="Y34">
        <v>11.28</v>
      </c>
      <c r="Z34" t="s">
        <v>1476</v>
      </c>
      <c r="AA34" t="s">
        <v>1477</v>
      </c>
      <c r="AB34" t="s">
        <v>1478</v>
      </c>
      <c r="AC34" t="s">
        <v>1479</v>
      </c>
      <c r="AD34" t="s">
        <v>43</v>
      </c>
      <c r="AE34">
        <v>-214774</v>
      </c>
      <c r="AF34" t="s">
        <v>1480</v>
      </c>
      <c r="AG34" t="s">
        <v>1481</v>
      </c>
      <c r="AH34" t="s">
        <v>1482</v>
      </c>
      <c r="AI34" t="s">
        <v>488</v>
      </c>
      <c r="AJ34" t="s">
        <v>1483</v>
      </c>
      <c r="AK34" t="s">
        <v>43</v>
      </c>
      <c r="AL34" t="s">
        <v>1484</v>
      </c>
      <c r="AM34" t="s">
        <v>43</v>
      </c>
      <c r="AN34">
        <v>0</v>
      </c>
      <c r="AO34" t="s">
        <v>1485</v>
      </c>
      <c r="AP34" t="s">
        <v>43</v>
      </c>
      <c r="AQ34" t="s">
        <v>1486</v>
      </c>
      <c r="AR34" t="s">
        <v>1487</v>
      </c>
      <c r="AS34" t="s">
        <v>167</v>
      </c>
      <c r="AT34" t="s">
        <v>43</v>
      </c>
      <c r="AU34" t="s">
        <v>1488</v>
      </c>
      <c r="AV34" t="s">
        <v>1489</v>
      </c>
      <c r="AW34" t="s">
        <v>1490</v>
      </c>
      <c r="AX34" t="s">
        <v>1491</v>
      </c>
      <c r="AY34" t="s">
        <v>540</v>
      </c>
      <c r="AZ34" t="s">
        <v>574</v>
      </c>
      <c r="BA34" t="s">
        <v>1492</v>
      </c>
      <c r="BB34" t="s">
        <v>43</v>
      </c>
      <c r="BC34" t="s">
        <v>230</v>
      </c>
      <c r="BD34" t="s">
        <v>541</v>
      </c>
      <c r="BE34" t="s">
        <v>542</v>
      </c>
      <c r="BF34" t="s">
        <v>404</v>
      </c>
      <c r="BG34" t="s">
        <v>43</v>
      </c>
      <c r="BH34" t="s">
        <v>1493</v>
      </c>
      <c r="BI34" t="s">
        <v>536</v>
      </c>
      <c r="BJ34" t="s">
        <v>1491</v>
      </c>
      <c r="BK34" t="s">
        <v>525</v>
      </c>
      <c r="BL34" t="s">
        <v>1494</v>
      </c>
      <c r="BM34" t="s">
        <v>230</v>
      </c>
      <c r="BN34">
        <v>5.12</v>
      </c>
      <c r="BO34">
        <v>37.799999999999997</v>
      </c>
      <c r="BP34">
        <v>38.21</v>
      </c>
      <c r="BQ34">
        <v>4.9400000000000004</v>
      </c>
      <c r="BR34">
        <v>40.19</v>
      </c>
      <c r="BS34" t="s">
        <v>43</v>
      </c>
      <c r="BT34" t="s">
        <v>1495</v>
      </c>
      <c r="BU34" t="s">
        <v>369</v>
      </c>
      <c r="BV34">
        <v>14.61</v>
      </c>
      <c r="BW34">
        <v>39.76</v>
      </c>
      <c r="BX34">
        <v>41.7</v>
      </c>
      <c r="BY34">
        <v>10.85</v>
      </c>
      <c r="BZ34">
        <v>32.82</v>
      </c>
      <c r="CA34">
        <v>32.380000000000003</v>
      </c>
      <c r="CB34">
        <v>0.32</v>
      </c>
      <c r="CC34" s="9">
        <v>-3.52</v>
      </c>
      <c r="CD34" s="10" t="s">
        <v>1496</v>
      </c>
      <c r="CE34" s="9" t="s">
        <v>800</v>
      </c>
      <c r="CF34" s="9">
        <v>0.9</v>
      </c>
      <c r="CG34" s="9">
        <v>1.4828519686169714</v>
      </c>
      <c r="CH34" s="9">
        <v>-1.8084097653627396E-2</v>
      </c>
      <c r="CI34" s="9">
        <v>0.2803504467010498</v>
      </c>
      <c r="CJ34" s="10">
        <v>1.3534610271453857</v>
      </c>
      <c r="CK34" s="10">
        <v>0.21684588491916656</v>
      </c>
      <c r="CL34" s="10" t="s">
        <v>43</v>
      </c>
      <c r="CM34" s="10">
        <v>-0.79284650087356567</v>
      </c>
      <c r="CN34" s="10">
        <v>0.29787233471870422</v>
      </c>
      <c r="CO34">
        <v>6.8309125900268555</v>
      </c>
      <c r="CP34">
        <v>-0.35902523994445801</v>
      </c>
      <c r="CQ34" t="s">
        <v>43</v>
      </c>
      <c r="CR34" s="9">
        <v>28.543210039114442</v>
      </c>
      <c r="CS34" s="10">
        <v>0.62301924064514402</v>
      </c>
      <c r="CT34">
        <v>1.607717041800643</v>
      </c>
      <c r="CU34">
        <v>0.45814331527799368</v>
      </c>
      <c r="CV34">
        <v>1.494228295981884</v>
      </c>
      <c r="CW34">
        <v>0.06</v>
      </c>
      <c r="CX34">
        <v>29.895214972194221</v>
      </c>
      <c r="CY34">
        <v>191209359.26758596</v>
      </c>
      <c r="CZ34">
        <v>0.45814331527799368</v>
      </c>
      <c r="DA34">
        <v>7.2534427542912807</v>
      </c>
      <c r="DB34">
        <v>788073345.807845</v>
      </c>
      <c r="DC34">
        <v>0.43523614951409395</v>
      </c>
      <c r="DD34">
        <v>2.2959990184971328</v>
      </c>
      <c r="DE34">
        <v>2489654766.3777404</v>
      </c>
      <c r="DF34">
        <v>0.40316611744463443</v>
      </c>
      <c r="DG34">
        <v>0.78981996038552793</v>
      </c>
      <c r="DH34">
        <v>7237402429.295126</v>
      </c>
      <c r="DI34">
        <v>0.36651465222239499</v>
      </c>
      <c r="DJ34">
        <v>0.10112102666127545</v>
      </c>
      <c r="DK34">
        <v>56528746678.449715</v>
      </c>
      <c r="DL34">
        <v>0.32070032069459553</v>
      </c>
      <c r="DM34">
        <v>139000000</v>
      </c>
      <c r="DN34">
        <v>0.45814331527799368</v>
      </c>
      <c r="DO34">
        <v>5716244900</v>
      </c>
      <c r="DP34">
        <v>968145100</v>
      </c>
      <c r="DQ34" s="11">
        <v>3972</v>
      </c>
      <c r="DR34">
        <v>0.44185668472200634</v>
      </c>
      <c r="DS34">
        <v>-1.1376327364912564E-2</v>
      </c>
      <c r="DT34">
        <v>0.11199999999999992</v>
      </c>
      <c r="DU34">
        <v>0.62600000000000011</v>
      </c>
      <c r="DV34">
        <v>0.73799999999999999</v>
      </c>
      <c r="DW34">
        <v>-1.0351999999999999</v>
      </c>
      <c r="DX34">
        <v>0.35252236842105106</v>
      </c>
      <c r="DY34">
        <v>-1.0057207873684211</v>
      </c>
      <c r="DZ34">
        <v>1400</v>
      </c>
      <c r="EA34">
        <v>-1.0041534483633743</v>
      </c>
      <c r="EB34" s="12">
        <v>1</v>
      </c>
      <c r="EC34" s="12">
        <v>2.6987835241513072E-2</v>
      </c>
      <c r="ED34">
        <v>0.16605612817304446</v>
      </c>
      <c r="EE34">
        <v>2.04881</v>
      </c>
      <c r="EF34">
        <v>2.0801099999999999</v>
      </c>
      <c r="EG34">
        <v>19.162522368421051</v>
      </c>
      <c r="EH34" s="8" t="s">
        <v>1149</v>
      </c>
      <c r="EI34" s="13">
        <v>0</v>
      </c>
      <c r="EJ34" s="13">
        <v>1</v>
      </c>
      <c r="EK34" s="13">
        <v>45470</v>
      </c>
      <c r="EL34" s="13">
        <v>1.19</v>
      </c>
      <c r="EM34" s="13">
        <v>-4.84</v>
      </c>
      <c r="EN34">
        <v>1.86</v>
      </c>
      <c r="EO34">
        <v>3.37</v>
      </c>
      <c r="EP34">
        <v>-3.13</v>
      </c>
    </row>
    <row r="35" spans="1:146" ht="96" x14ac:dyDescent="0.25">
      <c r="A35" s="6"/>
      <c r="B35" s="6"/>
      <c r="C35" s="6" t="str">
        <f>""&amp;CHAR(10)&amp;Basic_Fundamental_Information_Constructure(F35)&amp;CHAR(10)&amp;Basic_Fundamental_Information_Concatenate("")</f>
        <v xml:space="preserve">
市值38.516764亿, 利润2540.76万; PE13.34; 平均PE17.29; 平均PEG1.28, PB.994; ROIC5.1267%; ROE5.3567%; 股利率6.4555%; 毛利19.6367%; 净利15.72%; 上一年度营收增-50.65%, 利润增-84.32%; 当季营收增114.2%, 利润增196.15%; 过往5年营收增-13.49%, 利润增-24.03%
Income profile:
</v>
      </c>
      <c r="D35" t="s">
        <v>125</v>
      </c>
      <c r="E35" t="s">
        <v>24</v>
      </c>
      <c r="F35">
        <v>8.2100000000000009</v>
      </c>
      <c r="G35">
        <v>0.12</v>
      </c>
      <c r="H35" t="s">
        <v>1497</v>
      </c>
      <c r="I35">
        <v>3851676400</v>
      </c>
      <c r="J35">
        <v>13.34</v>
      </c>
      <c r="K35">
        <v>0.99399999999999999</v>
      </c>
      <c r="L35" t="s">
        <v>41</v>
      </c>
      <c r="M35" t="s">
        <v>1498</v>
      </c>
      <c r="N35" t="s">
        <v>123</v>
      </c>
      <c r="O35" t="s">
        <v>1499</v>
      </c>
      <c r="P35">
        <v>7.65</v>
      </c>
      <c r="Q35" t="s">
        <v>1500</v>
      </c>
      <c r="R35">
        <v>66709695</v>
      </c>
      <c r="S35" s="5">
        <v>1.345</v>
      </c>
      <c r="T35" t="s">
        <v>1501</v>
      </c>
      <c r="U35">
        <v>469144500</v>
      </c>
      <c r="V35">
        <v>469144500</v>
      </c>
      <c r="W35">
        <v>1.1399999999999999</v>
      </c>
      <c r="X35">
        <v>0.08</v>
      </c>
      <c r="Y35">
        <v>22.81</v>
      </c>
      <c r="Z35" t="s">
        <v>1502</v>
      </c>
      <c r="AA35" t="s">
        <v>1503</v>
      </c>
      <c r="AB35" t="s">
        <v>1504</v>
      </c>
      <c r="AC35" t="s">
        <v>1505</v>
      </c>
      <c r="AD35" t="s">
        <v>43</v>
      </c>
      <c r="AE35">
        <v>-811731</v>
      </c>
      <c r="AF35" t="s">
        <v>1506</v>
      </c>
      <c r="AG35" t="s">
        <v>1507</v>
      </c>
      <c r="AH35" t="s">
        <v>1508</v>
      </c>
      <c r="AI35" t="s">
        <v>717</v>
      </c>
      <c r="AJ35" t="s">
        <v>1509</v>
      </c>
      <c r="AK35" t="s">
        <v>43</v>
      </c>
      <c r="AL35" t="s">
        <v>1510</v>
      </c>
      <c r="AM35" t="s">
        <v>43</v>
      </c>
      <c r="AN35">
        <v>0</v>
      </c>
      <c r="AO35" t="s">
        <v>1511</v>
      </c>
      <c r="AP35" t="s">
        <v>43</v>
      </c>
      <c r="AQ35" t="s">
        <v>1512</v>
      </c>
      <c r="AR35" t="s">
        <v>1513</v>
      </c>
      <c r="AS35" t="s">
        <v>1514</v>
      </c>
      <c r="AT35" t="s">
        <v>43</v>
      </c>
      <c r="AU35" t="s">
        <v>1515</v>
      </c>
      <c r="AV35" t="s">
        <v>1516</v>
      </c>
      <c r="AW35" t="s">
        <v>1517</v>
      </c>
      <c r="AX35" t="s">
        <v>1518</v>
      </c>
      <c r="AY35" t="s">
        <v>360</v>
      </c>
      <c r="AZ35" t="s">
        <v>219</v>
      </c>
      <c r="BA35" t="s">
        <v>126</v>
      </c>
      <c r="BB35" t="s">
        <v>259</v>
      </c>
      <c r="BC35" t="s">
        <v>526</v>
      </c>
      <c r="BD35" t="s">
        <v>338</v>
      </c>
      <c r="BE35" t="s">
        <v>258</v>
      </c>
      <c r="BF35" t="s">
        <v>127</v>
      </c>
      <c r="BG35" t="s">
        <v>260</v>
      </c>
      <c r="BH35" t="s">
        <v>1519</v>
      </c>
      <c r="BI35" t="s">
        <v>526</v>
      </c>
      <c r="BJ35" t="s">
        <v>1518</v>
      </c>
      <c r="BK35" t="s">
        <v>323</v>
      </c>
      <c r="BL35" t="s">
        <v>1520</v>
      </c>
      <c r="BM35" t="s">
        <v>526</v>
      </c>
      <c r="BN35">
        <v>5.75</v>
      </c>
      <c r="BO35">
        <v>4.75</v>
      </c>
      <c r="BP35">
        <v>4.88</v>
      </c>
      <c r="BQ35">
        <v>5.74</v>
      </c>
      <c r="BR35">
        <v>4.5199999999999996</v>
      </c>
      <c r="BS35">
        <v>5.81</v>
      </c>
      <c r="BT35" t="s">
        <v>1521</v>
      </c>
      <c r="BU35" t="s">
        <v>369</v>
      </c>
      <c r="BV35">
        <v>27.14</v>
      </c>
      <c r="BW35">
        <v>6.38</v>
      </c>
      <c r="BX35">
        <v>25.39</v>
      </c>
      <c r="BY35">
        <v>15.6</v>
      </c>
      <c r="BZ35">
        <v>15.67</v>
      </c>
      <c r="CA35">
        <v>15.89</v>
      </c>
      <c r="CB35">
        <v>0.49</v>
      </c>
      <c r="CC35">
        <v>-9.98</v>
      </c>
      <c r="CD35" t="s">
        <v>1522</v>
      </c>
      <c r="CE35" t="s">
        <v>170</v>
      </c>
      <c r="CF35" s="9">
        <v>1.1419753086419753</v>
      </c>
      <c r="CG35" s="10">
        <v>1.9615320926598419</v>
      </c>
      <c r="CH35" s="9">
        <v>-0.50650346279144287</v>
      </c>
      <c r="CI35" s="9">
        <v>-6.7094847559928894E-2</v>
      </c>
      <c r="CJ35" s="9">
        <v>0.20051401853561401</v>
      </c>
      <c r="CK35" s="9">
        <v>-0.29825615882873535</v>
      </c>
      <c r="CL35" s="9">
        <v>-2.9975634533911943E-3</v>
      </c>
      <c r="CM35" s="10">
        <v>-0.84316295385360718</v>
      </c>
      <c r="CN35" s="10">
        <v>-0.19801980257034302</v>
      </c>
      <c r="CO35" s="10">
        <v>0.48529410362243652</v>
      </c>
      <c r="CP35" s="10">
        <v>-0.66829270124435425</v>
      </c>
      <c r="CQ35" s="10">
        <v>2.2443890571594238E-2</v>
      </c>
      <c r="CR35">
        <v>17.292672085971375</v>
      </c>
      <c r="CS35">
        <v>1.2821961482554978</v>
      </c>
      <c r="CT35">
        <v>6.4555420219244812</v>
      </c>
      <c r="CU35" s="9">
        <v>-0.13486760281957685</v>
      </c>
      <c r="CV35" s="10">
        <v>-0.24034749269485473</v>
      </c>
      <c r="CW35">
        <v>0.06</v>
      </c>
      <c r="CX35">
        <v>13.054219997166202</v>
      </c>
      <c r="CY35" t="s">
        <v>1523</v>
      </c>
      <c r="CZ35">
        <v>-0.13486760281957685</v>
      </c>
      <c r="DA35">
        <v>4.3514066657220676</v>
      </c>
      <c r="DB35" t="s">
        <v>1524</v>
      </c>
      <c r="DC35">
        <v>-0.12812422267859799</v>
      </c>
      <c r="DD35">
        <v>2.1757033328610338</v>
      </c>
      <c r="DE35" t="s">
        <v>1525</v>
      </c>
      <c r="DF35">
        <v>-0.11868349048122763</v>
      </c>
      <c r="DG35">
        <v>1.3054219997166203</v>
      </c>
      <c r="DH35" t="s">
        <v>1526</v>
      </c>
      <c r="DI35">
        <v>-0.10789408225566149</v>
      </c>
      <c r="DJ35">
        <v>0.65271099985831016</v>
      </c>
      <c r="DK35" t="s">
        <v>1527</v>
      </c>
      <c r="DL35">
        <v>-9.4407321973703787E-2</v>
      </c>
      <c r="DM35">
        <v>25407600.000000004</v>
      </c>
      <c r="DN35">
        <v>-0.13486760281957685</v>
      </c>
      <c r="DO35">
        <v>331676400</v>
      </c>
      <c r="DP35">
        <v>354633780</v>
      </c>
      <c r="DQ35">
        <v>3976</v>
      </c>
      <c r="DR35">
        <v>1.276842911461552</v>
      </c>
      <c r="DS35">
        <v>2.2018795853546966</v>
      </c>
      <c r="DT35" s="11">
        <v>-0.59</v>
      </c>
      <c r="DU35">
        <v>-0.14333333333333331</v>
      </c>
      <c r="DV35">
        <v>-0.73333333333333328</v>
      </c>
      <c r="DW35">
        <v>-2.0998000000000001</v>
      </c>
      <c r="DX35">
        <v>0.28153838862559233</v>
      </c>
      <c r="DY35">
        <v>-2.0161215311848339</v>
      </c>
      <c r="DZ35">
        <v>2264</v>
      </c>
      <c r="EA35">
        <v>-2.0089788410473655</v>
      </c>
      <c r="EB35">
        <v>2</v>
      </c>
      <c r="EC35">
        <v>7.2652668847231497E-2</v>
      </c>
      <c r="ED35">
        <v>0.44975481967709308</v>
      </c>
      <c r="EE35" s="12">
        <v>-4.0480099999999997</v>
      </c>
      <c r="EF35">
        <v>-4.0760100000000001</v>
      </c>
      <c r="EG35">
        <v>12.161538388625592</v>
      </c>
      <c r="EH35" t="s">
        <v>1528</v>
      </c>
      <c r="EI35">
        <v>0</v>
      </c>
      <c r="EJ35">
        <v>0</v>
      </c>
      <c r="EK35" s="8">
        <v>45470</v>
      </c>
      <c r="EL35" s="13">
        <v>0.82</v>
      </c>
      <c r="EM35" s="13">
        <v>-4.08</v>
      </c>
      <c r="EN35">
        <v>2.34</v>
      </c>
      <c r="EO35">
        <v>3.95</v>
      </c>
      <c r="EP35">
        <v>-2.8</v>
      </c>
    </row>
    <row r="36" spans="1:146" ht="96" x14ac:dyDescent="0.25">
      <c r="A36" s="6"/>
      <c r="B36" s="6"/>
      <c r="C36" s="6" t="str">
        <f>""&amp;CHAR(10)&amp;Basic_Fundamental_Information_Constructure(F36)&amp;CHAR(10)&amp;Basic_Fundamental_Information_Concatenate("")</f>
        <v xml:space="preserve">
市值37.996亿, 利润5153.15万; PE15.04; 平均PE32.03; 平均PEG1.04, PB1.67; ROIC12.0633%; ROE15.53%; 股利率1.1054%; 毛利42.1533%; 净利27.4967%; 上一年度营收增27.77%, 利润增-74.98%; 当季营收增80.37%, 利润增352.63%; 过往5年营收增30.77%, 利润增24.54%
Income profile:
</v>
      </c>
      <c r="D36" t="s">
        <v>361</v>
      </c>
      <c r="E36" t="s">
        <v>362</v>
      </c>
      <c r="F36">
        <v>13.57</v>
      </c>
      <c r="G36">
        <v>1.5</v>
      </c>
      <c r="H36" t="s">
        <v>1529</v>
      </c>
      <c r="I36">
        <v>3799600000</v>
      </c>
      <c r="J36">
        <v>15.04</v>
      </c>
      <c r="K36">
        <v>1.67</v>
      </c>
      <c r="L36" t="s">
        <v>41</v>
      </c>
      <c r="M36" t="s">
        <v>1530</v>
      </c>
      <c r="N36" t="s">
        <v>1531</v>
      </c>
      <c r="O36" t="s">
        <v>291</v>
      </c>
      <c r="P36">
        <v>13.64</v>
      </c>
      <c r="Q36" t="s">
        <v>1532</v>
      </c>
      <c r="R36">
        <v>77448330</v>
      </c>
      <c r="S36" s="5">
        <v>5.6899999999999997E-3</v>
      </c>
      <c r="T36" t="s">
        <v>1533</v>
      </c>
      <c r="U36">
        <v>183225000</v>
      </c>
      <c r="V36">
        <v>280000000</v>
      </c>
      <c r="W36">
        <v>1.57</v>
      </c>
      <c r="X36">
        <v>0.1</v>
      </c>
      <c r="Y36">
        <v>20.53</v>
      </c>
      <c r="Z36" t="s">
        <v>1534</v>
      </c>
      <c r="AA36" t="s">
        <v>1535</v>
      </c>
      <c r="AB36" t="s">
        <v>1536</v>
      </c>
      <c r="AC36" t="s">
        <v>1537</v>
      </c>
      <c r="AD36" t="s">
        <v>43</v>
      </c>
      <c r="AE36">
        <v>6450652</v>
      </c>
      <c r="AF36" t="s">
        <v>1538</v>
      </c>
      <c r="AG36" t="s">
        <v>1539</v>
      </c>
      <c r="AH36" t="s">
        <v>1540</v>
      </c>
      <c r="AI36" t="s">
        <v>749</v>
      </c>
      <c r="AJ36" t="s">
        <v>1541</v>
      </c>
      <c r="AK36" t="s">
        <v>1542</v>
      </c>
      <c r="AL36" t="s">
        <v>1543</v>
      </c>
      <c r="AM36" t="s">
        <v>43</v>
      </c>
      <c r="AN36" t="s">
        <v>802</v>
      </c>
      <c r="AO36" t="s">
        <v>1544</v>
      </c>
      <c r="AP36" t="s">
        <v>43</v>
      </c>
      <c r="AQ36" t="s">
        <v>703</v>
      </c>
      <c r="AR36" t="s">
        <v>43</v>
      </c>
      <c r="AS36" t="s">
        <v>71</v>
      </c>
      <c r="AT36" t="s">
        <v>918</v>
      </c>
      <c r="AU36" t="s">
        <v>1545</v>
      </c>
      <c r="AV36" t="s">
        <v>1546</v>
      </c>
      <c r="AW36" t="s">
        <v>1547</v>
      </c>
      <c r="AX36" t="s">
        <v>1548</v>
      </c>
      <c r="AY36" t="s">
        <v>363</v>
      </c>
      <c r="AZ36" t="s">
        <v>291</v>
      </c>
      <c r="BA36" t="s">
        <v>95</v>
      </c>
      <c r="BB36" t="s">
        <v>364</v>
      </c>
      <c r="BC36" t="s">
        <v>551</v>
      </c>
      <c r="BD36" t="s">
        <v>184</v>
      </c>
      <c r="BE36" t="s">
        <v>154</v>
      </c>
      <c r="BF36" t="s">
        <v>365</v>
      </c>
      <c r="BG36" t="s">
        <v>366</v>
      </c>
      <c r="BH36" t="s">
        <v>1549</v>
      </c>
      <c r="BI36" t="s">
        <v>498</v>
      </c>
      <c r="BJ36" t="s">
        <v>1548</v>
      </c>
      <c r="BK36" t="s">
        <v>1550</v>
      </c>
      <c r="BL36" t="s">
        <v>1551</v>
      </c>
      <c r="BM36" t="s">
        <v>551</v>
      </c>
      <c r="BN36">
        <v>6.57</v>
      </c>
      <c r="BO36">
        <v>10.56</v>
      </c>
      <c r="BP36">
        <v>19.059999999999999</v>
      </c>
      <c r="BQ36">
        <v>8.6300000000000008</v>
      </c>
      <c r="BR36">
        <v>12.14</v>
      </c>
      <c r="BS36">
        <v>25.82</v>
      </c>
      <c r="BT36" t="s">
        <v>534</v>
      </c>
      <c r="BU36" t="s">
        <v>369</v>
      </c>
      <c r="BV36">
        <v>33.24</v>
      </c>
      <c r="BW36">
        <v>41.63</v>
      </c>
      <c r="BX36">
        <v>51.59</v>
      </c>
      <c r="BY36">
        <v>21.09</v>
      </c>
      <c r="BZ36">
        <v>26.28</v>
      </c>
      <c r="CA36">
        <v>35.119999999999997</v>
      </c>
      <c r="CB36">
        <v>-1.95</v>
      </c>
      <c r="CC36">
        <v>-13.35</v>
      </c>
      <c r="CD36" t="s">
        <v>1552</v>
      </c>
      <c r="CE36" t="s">
        <v>1553</v>
      </c>
      <c r="CF36" s="9">
        <v>0.80373831775700932</v>
      </c>
      <c r="CG36" s="10">
        <v>3.5263098528990633</v>
      </c>
      <c r="CH36" s="9">
        <v>0.27770701050758362</v>
      </c>
      <c r="CI36" s="9">
        <v>0.38447973132133484</v>
      </c>
      <c r="CJ36" s="9">
        <v>0.46891191601753235</v>
      </c>
      <c r="CK36" s="9">
        <v>0.32191780209541321</v>
      </c>
      <c r="CL36" s="9">
        <v>8.5501857101917267E-2</v>
      </c>
      <c r="CM36" s="10">
        <v>-0.74984705448150635</v>
      </c>
      <c r="CN36" s="10">
        <v>3.5175878554582596E-2</v>
      </c>
      <c r="CO36" s="10">
        <v>0.61788618564605713</v>
      </c>
      <c r="CP36" s="10">
        <v>0.41683027148246765</v>
      </c>
      <c r="CQ36" s="10">
        <v>0.90717172622680664</v>
      </c>
      <c r="CR36">
        <v>32.02519580622436</v>
      </c>
      <c r="CS36">
        <v>1.0407804525772515</v>
      </c>
      <c r="CT36">
        <v>1.105379513633014</v>
      </c>
      <c r="CU36" s="9">
        <v>0.30770366340875627</v>
      </c>
      <c r="CV36" s="10">
        <v>0.24544340148568153</v>
      </c>
      <c r="CW36">
        <v>0.06</v>
      </c>
      <c r="CX36">
        <v>41.86648772677642</v>
      </c>
      <c r="CY36">
        <v>63573520.123536147</v>
      </c>
      <c r="CZ36">
        <v>0.30770366340875627</v>
      </c>
      <c r="DA36">
        <v>11.432858247926319</v>
      </c>
      <c r="DB36">
        <v>232802676.48579991</v>
      </c>
      <c r="DC36">
        <v>0.29231848023831847</v>
      </c>
      <c r="DD36">
        <v>4.3513028279973058</v>
      </c>
      <c r="DE36">
        <v>611678870.72226727</v>
      </c>
      <c r="DF36">
        <v>0.27077922379970554</v>
      </c>
      <c r="DG36">
        <v>1.9084633127704171</v>
      </c>
      <c r="DH36">
        <v>1394629900.5016205</v>
      </c>
      <c r="DI36">
        <v>0.24616293072700501</v>
      </c>
      <c r="DJ36">
        <v>0.45780399497146212</v>
      </c>
      <c r="DK36">
        <v>5813841795.2554445</v>
      </c>
      <c r="DL36">
        <v>0.21539256438612939</v>
      </c>
      <c r="DM36">
        <v>51531500</v>
      </c>
      <c r="DN36">
        <v>0.30770366340875627</v>
      </c>
      <c r="DO36">
        <v>2661600000</v>
      </c>
      <c r="DP36">
        <v>105523060</v>
      </c>
      <c r="DQ36">
        <v>4010</v>
      </c>
      <c r="DR36">
        <v>0.49603465434825306</v>
      </c>
      <c r="DS36">
        <v>3.2808664514133818</v>
      </c>
      <c r="DT36" s="11">
        <v>0.12666666666666662</v>
      </c>
      <c r="DU36">
        <v>0.47</v>
      </c>
      <c r="DV36">
        <v>0.59666666666666657</v>
      </c>
      <c r="DW36">
        <v>-2.1335000000000002</v>
      </c>
      <c r="DX36">
        <v>0.3414937917134111</v>
      </c>
      <c r="DY36">
        <v>-2.0122144211937405</v>
      </c>
      <c r="DZ36">
        <v>2672</v>
      </c>
      <c r="EA36">
        <v>-2.0058275457671897</v>
      </c>
      <c r="EB36">
        <v>2</v>
      </c>
      <c r="EC36">
        <v>2.0621785714285714E-2</v>
      </c>
      <c r="ED36">
        <v>0.22539000000000001</v>
      </c>
      <c r="EE36" s="12">
        <v>6.7109999999999989E-2</v>
      </c>
      <c r="EF36">
        <v>8.0909999999999996E-2</v>
      </c>
      <c r="EG36">
        <v>25.091493791713411</v>
      </c>
      <c r="EH36">
        <v>-1</v>
      </c>
      <c r="EI36">
        <v>0</v>
      </c>
      <c r="EJ36">
        <v>0</v>
      </c>
      <c r="EK36" s="8">
        <v>45470</v>
      </c>
      <c r="EL36" s="13">
        <v>-0.78</v>
      </c>
      <c r="EM36" s="13">
        <v>-1.37</v>
      </c>
      <c r="EN36">
        <v>-2.48</v>
      </c>
      <c r="EO36">
        <v>-0.46</v>
      </c>
      <c r="EP36">
        <v>-1.38</v>
      </c>
    </row>
    <row r="37" spans="1:146" ht="132" x14ac:dyDescent="0.25">
      <c r="A37" s="6" t="s">
        <v>548</v>
      </c>
      <c r="B37" s="6" t="s">
        <v>547</v>
      </c>
      <c r="C37" s="6" t="str">
        <f>"公司主营业务是集装箱物流服务。其主要产品及服务是物流服务。"&amp;CHAR(10)&amp;Basic_Fundamental_Information_Constructure(F37)&amp;CHAR(10)&amp;Basic_Fundamental_Information_Concatenate("(境外16%）
水运业务收入 62.20亿 86.06%
陆运业务收入 10.07亿 13.93%")</f>
        <v>公司主营业务是集装箱物流服务。其主要产品及服务是物流服务。
市值181.02544亿, 利润1.75亿; PE12.1; 平均PE14.02; 平均PEG2.35, PB1.63; ROIC17.06%; ROE25.47%; 股利率8.3527%; 毛利19.3567%; 净利17.5767%; 上一年度营收增-91.18%, 利润增-93.62%; 当季营收增807.17%, 利润增506.81%; 过往5年营收增-5.96%, 利润增26.16%
Income profile:
(境外16%）
水运业务收入 62.20亿 86.06%
陆运业务收入 10.07亿 13.93%</v>
      </c>
      <c r="D37" t="s">
        <v>261</v>
      </c>
      <c r="E37" t="s">
        <v>262</v>
      </c>
      <c r="F37">
        <v>8.6199999999999992</v>
      </c>
      <c r="G37">
        <v>0.12</v>
      </c>
      <c r="H37" t="s">
        <v>1554</v>
      </c>
      <c r="I37">
        <v>18102544000</v>
      </c>
      <c r="J37">
        <v>12.1</v>
      </c>
      <c r="K37">
        <v>1.63</v>
      </c>
      <c r="L37" t="s">
        <v>41</v>
      </c>
      <c r="M37" t="s">
        <v>1555</v>
      </c>
      <c r="N37" t="s">
        <v>1556</v>
      </c>
      <c r="O37" t="s">
        <v>1557</v>
      </c>
      <c r="P37">
        <v>-8.24</v>
      </c>
      <c r="Q37" t="s">
        <v>1558</v>
      </c>
      <c r="R37">
        <v>388593320</v>
      </c>
      <c r="S37" s="5">
        <v>-0.3634</v>
      </c>
      <c r="T37" t="s">
        <v>392</v>
      </c>
      <c r="U37">
        <v>2100063100</v>
      </c>
      <c r="V37">
        <v>2100063100</v>
      </c>
      <c r="W37">
        <v>2.17</v>
      </c>
      <c r="X37">
        <v>0.12</v>
      </c>
      <c r="Y37">
        <v>13.96</v>
      </c>
      <c r="Z37" t="s">
        <v>1559</v>
      </c>
      <c r="AA37" t="s">
        <v>1560</v>
      </c>
      <c r="AB37" t="s">
        <v>1561</v>
      </c>
      <c r="AC37" t="s">
        <v>1562</v>
      </c>
      <c r="AD37" t="s">
        <v>43</v>
      </c>
      <c r="AE37">
        <v>19315307</v>
      </c>
      <c r="AF37" t="s">
        <v>1563</v>
      </c>
      <c r="AG37" t="s">
        <v>1564</v>
      </c>
      <c r="AH37" t="s">
        <v>1565</v>
      </c>
      <c r="AI37" t="s">
        <v>1566</v>
      </c>
      <c r="AJ37" t="s">
        <v>1567</v>
      </c>
      <c r="AK37" t="s">
        <v>43</v>
      </c>
      <c r="AL37" t="s">
        <v>1568</v>
      </c>
      <c r="AM37" t="s">
        <v>43</v>
      </c>
      <c r="AN37" t="s">
        <v>1569</v>
      </c>
      <c r="AO37" t="s">
        <v>43</v>
      </c>
      <c r="AP37" t="s">
        <v>43</v>
      </c>
      <c r="AQ37" t="s">
        <v>1570</v>
      </c>
      <c r="AR37" t="s">
        <v>43</v>
      </c>
      <c r="AS37" t="s">
        <v>1571</v>
      </c>
      <c r="AT37" t="s">
        <v>1572</v>
      </c>
      <c r="AU37" t="s">
        <v>495</v>
      </c>
      <c r="AV37" t="s">
        <v>1573</v>
      </c>
      <c r="AW37" t="s">
        <v>1574</v>
      </c>
      <c r="AX37" t="s">
        <v>1575</v>
      </c>
      <c r="AY37" t="s">
        <v>367</v>
      </c>
      <c r="AZ37" t="s">
        <v>263</v>
      </c>
      <c r="BA37" t="s">
        <v>265</v>
      </c>
      <c r="BB37" t="s">
        <v>266</v>
      </c>
      <c r="BC37" t="s">
        <v>1576</v>
      </c>
      <c r="BD37" t="s">
        <v>368</v>
      </c>
      <c r="BE37" t="s">
        <v>264</v>
      </c>
      <c r="BF37" t="s">
        <v>99</v>
      </c>
      <c r="BG37" t="s">
        <v>267</v>
      </c>
      <c r="BH37" t="s">
        <v>1577</v>
      </c>
      <c r="BI37" t="s">
        <v>614</v>
      </c>
      <c r="BJ37" t="s">
        <v>1575</v>
      </c>
      <c r="BK37" t="s">
        <v>1578</v>
      </c>
      <c r="BL37" t="s">
        <v>1579</v>
      </c>
      <c r="BM37" t="s">
        <v>1576</v>
      </c>
      <c r="BN37">
        <v>7.54</v>
      </c>
      <c r="BO37">
        <v>20.59</v>
      </c>
      <c r="BP37">
        <v>23.05</v>
      </c>
      <c r="BQ37">
        <v>12.19</v>
      </c>
      <c r="BR37">
        <v>28.36</v>
      </c>
      <c r="BS37">
        <v>35.86</v>
      </c>
      <c r="BT37" t="s">
        <v>1580</v>
      </c>
      <c r="BU37" t="s">
        <v>369</v>
      </c>
      <c r="BV37">
        <v>14.25</v>
      </c>
      <c r="BW37">
        <v>22.55</v>
      </c>
      <c r="BX37">
        <v>21.27</v>
      </c>
      <c r="BY37">
        <v>13.84</v>
      </c>
      <c r="BZ37">
        <v>19.309999999999999</v>
      </c>
      <c r="CA37">
        <v>19.579999999999998</v>
      </c>
      <c r="CB37">
        <v>-1.37</v>
      </c>
      <c r="CC37">
        <v>-8.8800000000000008</v>
      </c>
      <c r="CD37" t="s">
        <v>1581</v>
      </c>
      <c r="CE37" t="s">
        <v>396</v>
      </c>
      <c r="CF37" s="9">
        <v>8.0716612377850154</v>
      </c>
      <c r="CG37" s="10">
        <v>5.0680539419605495</v>
      </c>
      <c r="CH37" s="9">
        <v>-0.91181641817092896</v>
      </c>
      <c r="CI37" s="9">
        <v>0.15604914724826813</v>
      </c>
      <c r="CJ37" s="9">
        <v>0.1796717494726181</v>
      </c>
      <c r="CK37" s="9">
        <v>5.2424248307943344E-2</v>
      </c>
      <c r="CL37" s="9">
        <v>0.22555088996887207</v>
      </c>
      <c r="CM37" s="10">
        <v>-0.93615466356277466</v>
      </c>
      <c r="CN37" s="10">
        <v>0.14018300175666809</v>
      </c>
      <c r="CO37" s="10">
        <v>1.3591755628585815</v>
      </c>
      <c r="CP37" s="10">
        <v>0.18764568865299225</v>
      </c>
      <c r="CQ37" s="10">
        <v>0.55716878175735474</v>
      </c>
      <c r="CR37">
        <v>14.018490449148167</v>
      </c>
      <c r="CS37">
        <v>2.3511459196338338</v>
      </c>
      <c r="CT37">
        <v>8.3526682134570773</v>
      </c>
      <c r="CU37" s="9">
        <v>-5.9624076634645459E-2</v>
      </c>
      <c r="CV37" s="10">
        <v>0.26160367429256437</v>
      </c>
      <c r="CW37">
        <v>0.06</v>
      </c>
      <c r="CX37">
        <v>112.03167999999999</v>
      </c>
      <c r="CY37" t="s">
        <v>1582</v>
      </c>
      <c r="CZ37">
        <v>-5.9624076634645459E-2</v>
      </c>
      <c r="DA37">
        <v>37.343893333333334</v>
      </c>
      <c r="DB37" t="s">
        <v>1583</v>
      </c>
      <c r="DC37">
        <v>-5.6642872802913184E-2</v>
      </c>
      <c r="DD37">
        <v>18.671946666666667</v>
      </c>
      <c r="DE37" t="s">
        <v>1584</v>
      </c>
      <c r="DF37">
        <v>-5.2469187438488003E-2</v>
      </c>
      <c r="DG37">
        <v>11.203168</v>
      </c>
      <c r="DH37" t="s">
        <v>1585</v>
      </c>
      <c r="DI37">
        <v>-4.7699261307716373E-2</v>
      </c>
      <c r="DJ37">
        <v>5.6015839999999999</v>
      </c>
      <c r="DK37" t="s">
        <v>1586</v>
      </c>
      <c r="DL37">
        <v>-4.1736853644251816E-2</v>
      </c>
      <c r="DM37">
        <v>175000000</v>
      </c>
      <c r="DN37">
        <v>-5.9624076634645459E-2</v>
      </c>
      <c r="DO37">
        <v>19605544000</v>
      </c>
      <c r="DP37">
        <v>7004324300</v>
      </c>
      <c r="DQ37">
        <v>4184</v>
      </c>
      <c r="DR37">
        <v>8.1312853144196602</v>
      </c>
      <c r="DS37">
        <v>4.8064502676679854</v>
      </c>
      <c r="DT37" s="11">
        <v>-0.39000000000000007</v>
      </c>
      <c r="DU37">
        <v>0.36999999999999994</v>
      </c>
      <c r="DV37">
        <v>-2.0000000000000129E-2</v>
      </c>
      <c r="DW37">
        <v>-2.0888</v>
      </c>
      <c r="DX37">
        <v>0.37062540322580562</v>
      </c>
      <c r="DY37">
        <v>-2.0089355358064518</v>
      </c>
      <c r="DZ37">
        <v>2737</v>
      </c>
      <c r="EA37">
        <v>-2.0041495159429963</v>
      </c>
      <c r="EB37">
        <v>2</v>
      </c>
      <c r="EC37">
        <v>1.1883023895805799E-2</v>
      </c>
      <c r="ED37">
        <v>0.11809168972113267</v>
      </c>
      <c r="EE37" s="12">
        <v>-2.07701</v>
      </c>
      <c r="EF37">
        <v>-2.1097100000000002</v>
      </c>
      <c r="EG37">
        <v>27.100625403225806</v>
      </c>
      <c r="EH37" t="s">
        <v>545</v>
      </c>
      <c r="EI37">
        <v>0</v>
      </c>
      <c r="EJ37">
        <v>0</v>
      </c>
      <c r="EK37" s="8">
        <v>45470</v>
      </c>
      <c r="EL37" s="13">
        <v>0.56000000000000005</v>
      </c>
      <c r="EM37" s="13">
        <v>-3.54</v>
      </c>
      <c r="EN37">
        <v>0.36</v>
      </c>
      <c r="EO37">
        <v>1.08</v>
      </c>
      <c r="EP37">
        <v>-3.27</v>
      </c>
    </row>
  </sheetData>
  <phoneticPr fontId="1" type="noConversion"/>
  <pageMargins left="0.7" right="0.7" top="0.75" bottom="0.75" header="0.3" footer="0.3"/>
  <pageSetup paperSize="9" orientation="portrait" horizontalDpi="0"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Basic_Fundamental_Tabel_Update_Buttom &quot;港口航运&quot;,&quot;&quot;'" altText="更新基本面按钮_x000a_">
                <anchor moveWithCells="1" sizeWithCells="1">
                  <from>
                    <xdr:col>147</xdr:col>
                    <xdr:colOff>203200</xdr:colOff>
                    <xdr:row>0</xdr:row>
                    <xdr:rowOff>177800</xdr:rowOff>
                  </from>
                  <to>
                    <xdr:col>147</xdr:col>
                    <xdr:colOff>1454150</xdr:colOff>
                    <xdr:row>0</xdr:row>
                    <xdr:rowOff>488950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AD6"/>
  <sheetViews>
    <sheetView workbookViewId="0">
      <selection activeCell="A3" sqref="A3"/>
    </sheetView>
  </sheetViews>
  <sheetFormatPr defaultRowHeight="14" x14ac:dyDescent="0.25"/>
  <sheetData>
    <row r="1" spans="1:30" x14ac:dyDescent="0.25">
      <c r="A1">
        <v>1</v>
      </c>
      <c r="B1">
        <f>A1+A1*$A$2</f>
        <v>1.1499999999999999</v>
      </c>
      <c r="C1">
        <f t="shared" ref="C1:AD1" si="0">B1+B1*$A$2</f>
        <v>1.3224999999999998</v>
      </c>
      <c r="D1">
        <f t="shared" si="0"/>
        <v>1.5208749999999998</v>
      </c>
      <c r="E1">
        <f t="shared" si="0"/>
        <v>1.7490062499999997</v>
      </c>
      <c r="F1">
        <f t="shared" si="0"/>
        <v>2.0113571874999998</v>
      </c>
      <c r="G1">
        <f t="shared" si="0"/>
        <v>2.313060765625</v>
      </c>
      <c r="H1">
        <f t="shared" si="0"/>
        <v>2.66001988046875</v>
      </c>
      <c r="I1">
        <f t="shared" si="0"/>
        <v>3.0590228625390625</v>
      </c>
      <c r="J1">
        <f t="shared" si="0"/>
        <v>3.5178762919199218</v>
      </c>
      <c r="K1">
        <f t="shared" si="0"/>
        <v>4.0455577357079102</v>
      </c>
      <c r="L1">
        <f t="shared" si="0"/>
        <v>4.6523913960640968</v>
      </c>
      <c r="M1">
        <f t="shared" si="0"/>
        <v>5.3502501054737115</v>
      </c>
      <c r="N1">
        <f t="shared" si="0"/>
        <v>6.1527876212947685</v>
      </c>
      <c r="O1">
        <f t="shared" si="0"/>
        <v>7.0757057644889834</v>
      </c>
      <c r="P1">
        <f t="shared" si="0"/>
        <v>8.1370616291623303</v>
      </c>
      <c r="Q1">
        <f t="shared" si="0"/>
        <v>9.3576208735366802</v>
      </c>
      <c r="R1">
        <f t="shared" si="0"/>
        <v>10.761264004567183</v>
      </c>
      <c r="S1">
        <f t="shared" si="0"/>
        <v>12.375453605252261</v>
      </c>
      <c r="T1">
        <f t="shared" si="0"/>
        <v>14.2317716460401</v>
      </c>
      <c r="U1">
        <f t="shared" si="0"/>
        <v>16.366537392946114</v>
      </c>
      <c r="V1">
        <f t="shared" si="0"/>
        <v>18.82151800188803</v>
      </c>
      <c r="W1">
        <f t="shared" si="0"/>
        <v>21.644745702171235</v>
      </c>
      <c r="X1">
        <f t="shared" si="0"/>
        <v>24.891457557496921</v>
      </c>
      <c r="Y1">
        <f t="shared" si="0"/>
        <v>28.625176191121458</v>
      </c>
      <c r="Z1">
        <f t="shared" si="0"/>
        <v>32.918952619789678</v>
      </c>
      <c r="AA1">
        <f t="shared" si="0"/>
        <v>37.856795512758133</v>
      </c>
      <c r="AB1">
        <f t="shared" si="0"/>
        <v>43.535314839671855</v>
      </c>
      <c r="AC1">
        <f t="shared" si="0"/>
        <v>50.065612065622631</v>
      </c>
      <c r="AD1">
        <f t="shared" si="0"/>
        <v>57.575453875466025</v>
      </c>
    </row>
    <row r="2" spans="1:30" x14ac:dyDescent="0.25">
      <c r="A2">
        <v>0.15</v>
      </c>
      <c r="B2" t="s">
        <v>2</v>
      </c>
    </row>
    <row r="3" spans="1:30" s="2" customFormat="1" x14ac:dyDescent="0.25">
      <c r="A3" s="2">
        <v>1</v>
      </c>
      <c r="B3" s="2">
        <v>2</v>
      </c>
      <c r="C3" s="2">
        <v>3</v>
      </c>
      <c r="D3" s="2">
        <v>4</v>
      </c>
      <c r="E3" s="2">
        <v>5</v>
      </c>
      <c r="F3" s="2">
        <v>6</v>
      </c>
      <c r="G3" s="2">
        <v>7</v>
      </c>
      <c r="H3" s="2">
        <v>8</v>
      </c>
      <c r="I3" s="2">
        <v>9</v>
      </c>
      <c r="J3" s="2">
        <v>10</v>
      </c>
      <c r="K3" s="2">
        <v>11</v>
      </c>
      <c r="L3" s="2">
        <v>12</v>
      </c>
      <c r="M3" s="2">
        <v>13</v>
      </c>
      <c r="N3" s="2">
        <v>14</v>
      </c>
      <c r="O3" s="2">
        <v>15</v>
      </c>
      <c r="P3" s="2">
        <v>16</v>
      </c>
      <c r="Q3" s="2">
        <v>17</v>
      </c>
      <c r="R3" s="2">
        <v>18</v>
      </c>
      <c r="S3" s="2">
        <v>19</v>
      </c>
      <c r="T3" s="2">
        <v>20</v>
      </c>
      <c r="U3" s="2">
        <v>21</v>
      </c>
      <c r="V3" s="2">
        <v>22</v>
      </c>
      <c r="W3" s="2">
        <v>23</v>
      </c>
      <c r="X3" s="2">
        <v>24</v>
      </c>
      <c r="Y3" s="2">
        <v>25</v>
      </c>
      <c r="Z3" s="2">
        <v>26</v>
      </c>
      <c r="AA3" s="2">
        <v>27</v>
      </c>
      <c r="AB3" s="2">
        <v>28</v>
      </c>
      <c r="AC3" s="2">
        <v>29</v>
      </c>
      <c r="AD3" s="2">
        <v>30</v>
      </c>
    </row>
    <row r="4" spans="1:30" x14ac:dyDescent="0.25">
      <c r="A4">
        <v>0.5</v>
      </c>
      <c r="B4" t="s">
        <v>0</v>
      </c>
    </row>
    <row r="5" spans="1:30" x14ac:dyDescent="0.25">
      <c r="A5" s="1">
        <v>1</v>
      </c>
      <c r="B5" s="1">
        <f>A5*$A$4+A5</f>
        <v>1.5</v>
      </c>
      <c r="C5" s="1">
        <f t="shared" ref="C5:AD5" si="1">B5*$A$4+B5</f>
        <v>2.25</v>
      </c>
      <c r="D5" s="1">
        <f t="shared" si="1"/>
        <v>3.375</v>
      </c>
      <c r="E5" s="1">
        <f t="shared" si="1"/>
        <v>5.0625</v>
      </c>
      <c r="F5" s="1">
        <f t="shared" si="1"/>
        <v>7.59375</v>
      </c>
      <c r="G5" s="1">
        <f t="shared" si="1"/>
        <v>11.390625</v>
      </c>
      <c r="H5" s="1">
        <f t="shared" si="1"/>
        <v>17.0859375</v>
      </c>
      <c r="I5" s="1">
        <f t="shared" si="1"/>
        <v>25.62890625</v>
      </c>
      <c r="J5" s="1">
        <f t="shared" si="1"/>
        <v>38.443359375</v>
      </c>
      <c r="K5" s="1">
        <f t="shared" si="1"/>
        <v>57.6650390625</v>
      </c>
      <c r="L5" s="1">
        <f t="shared" si="1"/>
        <v>86.49755859375</v>
      </c>
      <c r="M5" s="1">
        <f t="shared" si="1"/>
        <v>129.746337890625</v>
      </c>
      <c r="N5" s="1">
        <f t="shared" si="1"/>
        <v>194.6195068359375</v>
      </c>
      <c r="O5" s="1">
        <f t="shared" si="1"/>
        <v>291.92926025390625</v>
      </c>
      <c r="P5">
        <f t="shared" si="1"/>
        <v>437.89389038085937</v>
      </c>
      <c r="Q5">
        <f t="shared" si="1"/>
        <v>656.84083557128906</v>
      </c>
      <c r="R5">
        <f t="shared" si="1"/>
        <v>985.26125335693359</v>
      </c>
      <c r="S5" s="1">
        <f t="shared" si="1"/>
        <v>1477.8918800354004</v>
      </c>
      <c r="T5">
        <f t="shared" si="1"/>
        <v>2216.8378200531006</v>
      </c>
      <c r="U5">
        <f t="shared" si="1"/>
        <v>3325.2567300796509</v>
      </c>
      <c r="V5">
        <f t="shared" si="1"/>
        <v>4987.8850951194763</v>
      </c>
      <c r="W5">
        <f t="shared" si="1"/>
        <v>7481.8276426792145</v>
      </c>
      <c r="X5">
        <f t="shared" si="1"/>
        <v>11222.741464018822</v>
      </c>
      <c r="Y5">
        <f t="shared" si="1"/>
        <v>16834.112196028233</v>
      </c>
      <c r="Z5">
        <f t="shared" si="1"/>
        <v>25251.168294042349</v>
      </c>
      <c r="AA5">
        <f t="shared" si="1"/>
        <v>37876.752441063523</v>
      </c>
      <c r="AB5">
        <f t="shared" si="1"/>
        <v>56815.128661595285</v>
      </c>
      <c r="AC5">
        <f t="shared" si="1"/>
        <v>85222.692992392927</v>
      </c>
      <c r="AD5">
        <f t="shared" si="1"/>
        <v>127834.03948858939</v>
      </c>
    </row>
    <row r="6" spans="1:30" x14ac:dyDescent="0.25">
      <c r="A6">
        <v>15</v>
      </c>
      <c r="B6" t="s">
        <v>1</v>
      </c>
    </row>
  </sheetData>
  <phoneticPr fontId="1" type="noConversion"/>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2</vt:i4>
      </vt:variant>
    </vt:vector>
  </HeadingPairs>
  <TitlesOfParts>
    <vt:vector size="2" baseType="lpstr">
      <vt:lpstr>港口航运</vt:lpstr>
      <vt:lpstr>估值-增速与年化收益</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Admin</dc:creator>
  <cp:keywords>CTPClassification=CTP_NT</cp:keywords>
  <cp:lastModifiedBy>Admin</cp:lastModifiedBy>
  <dcterms:created xsi:type="dcterms:W3CDTF">2018-08-09T11:49:58Z</dcterms:created>
  <dcterms:modified xsi:type="dcterms:W3CDTF">2024-07-09T17:07:58Z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TitusGUID">
    <vt:lpwstr>88baec69-fb1e-4d63-9f3d-bd3ecbe7e71b</vt:lpwstr>
  </property>
  <property fmtid="{D5CDD505-2E9C-101B-9397-08002B2CF9AE}" pid="3" name="CTP_TimeStamp">
    <vt:lpwstr>2019-01-09 01:33:49Z</vt:lpwstr>
  </property>
  <property fmtid="{D5CDD505-2E9C-101B-9397-08002B2CF9AE}" pid="4" name="CTP_BU">
    <vt:lpwstr>NA</vt:lpwstr>
  </property>
  <property fmtid="{D5CDD505-2E9C-101B-9397-08002B2CF9AE}" pid="5" name="CTP_IDSID">
    <vt:lpwstr>NA</vt:lpwstr>
  </property>
  <property fmtid="{D5CDD505-2E9C-101B-9397-08002B2CF9AE}" pid="6" name="CTP_WWID">
    <vt:lpwstr>NA</vt:lpwstr>
  </property>
  <property fmtid="{D5CDD505-2E9C-101B-9397-08002B2CF9AE}" pid="7" name="CTPClassification">
    <vt:lpwstr>CTP_NT</vt:lpwstr>
  </property>
</Properties>
</file>