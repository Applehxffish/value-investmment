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交通运输\"/>
    </mc:Choice>
  </mc:AlternateContent>
  <bookViews>
    <workbookView xWindow="0" yWindow="0" windowWidth="3800" windowHeight="2950"/>
  </bookViews>
  <sheets>
    <sheet name="公路铁路运输" sheetId="7" r:id="rId1"/>
    <sheet name="估值-增速与年化收益" sheetId="14" r:id="rId2"/>
  </sheets>
  <functionGroups builtInGroupCount="18"/>
  <definedNames>
    <definedName name="_xlnm._FilterDatabase" localSheetId="0" hidden="1">公路铁路运输!$BU$1:$BU$33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4" i="7"/>
  <c r="C23" i="7"/>
  <c r="C20" i="7"/>
  <c r="C28" i="7"/>
  <c r="C18" i="7"/>
  <c r="C12" i="7"/>
  <c r="C11" i="7"/>
  <c r="C25" i="7"/>
  <c r="C15" i="7"/>
  <c r="C13" i="7"/>
  <c r="C31" i="7"/>
  <c r="C21" i="7"/>
  <c r="C32" i="7"/>
  <c r="C30" i="7"/>
  <c r="C16" i="7"/>
  <c r="C24" i="7"/>
  <c r="C29" i="7"/>
  <c r="C19" i="7"/>
  <c r="C17" i="7"/>
  <c r="C22" i="7"/>
  <c r="C26" i="7"/>
  <c r="C27" i="7"/>
  <c r="C10" i="7"/>
  <c r="C9" i="7"/>
  <c r="C8" i="7"/>
  <c r="C7" i="7"/>
  <c r="C6" i="7"/>
  <c r="C5" i="7"/>
  <c r="C4" i="7"/>
  <c r="C3" i="7"/>
  <c r="C2" i="7"/>
</calcChain>
</file>

<file path=xl/sharedStrings.xml><?xml version="1.0" encoding="utf-8"?>
<sst xmlns="http://schemas.openxmlformats.org/spreadsheetml/2006/main" count="1867" uniqueCount="1374">
  <si>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</si>
  <si>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</si>
  <si>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</si>
  <si>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</si>
  <si>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</si>
  <si>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湖南投资</t>
  </si>
  <si>
    <t>西部创业</t>
  </si>
  <si>
    <t>广深铁路</t>
  </si>
  <si>
    <t>铁龙物流</t>
  </si>
  <si>
    <t>吉林高速</t>
  </si>
  <si>
    <t>招商公路</t>
  </si>
  <si>
    <t>龙江交通</t>
  </si>
  <si>
    <t>粤高速Ａ</t>
  </si>
  <si>
    <t>福建高速</t>
  </si>
  <si>
    <t>宁沪高速</t>
  </si>
  <si>
    <t>深高速</t>
  </si>
  <si>
    <t>四川成渝</t>
  </si>
  <si>
    <t>东莞控股</t>
  </si>
  <si>
    <t>皖通高速</t>
  </si>
  <si>
    <t>楚天高速</t>
  </si>
  <si>
    <t>大秦铁路</t>
  </si>
  <si>
    <t>中原高速</t>
  </si>
  <si>
    <t>现代投资</t>
  </si>
  <si>
    <t>山东高速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</si>
  <si>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</si>
  <si>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</si>
  <si>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</si>
  <si>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</si>
  <si>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</si>
  <si>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</si>
  <si>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</si>
  <si>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</si>
  <si>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</si>
  <si>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</si>
  <si>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</si>
  <si>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</si>
  <si>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</si>
  <si>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</si>
  <si>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SZ000429</t>
  </si>
  <si>
    <t>公路铁路运输</t>
  </si>
  <si>
    <t>--</t>
  </si>
  <si>
    <t>SZ000548</t>
  </si>
  <si>
    <t>2.88亿</t>
  </si>
  <si>
    <t>5535.56万</t>
  </si>
  <si>
    <t>1.50亿</t>
  </si>
  <si>
    <t>SZ000557</t>
  </si>
  <si>
    <t>3.24亿</t>
  </si>
  <si>
    <t>8.00亿</t>
  </si>
  <si>
    <t>4479.24万</t>
  </si>
  <si>
    <t>2.44亿</t>
  </si>
  <si>
    <t>0亿</t>
  </si>
  <si>
    <t>SZ000755</t>
  </si>
  <si>
    <t>8.84亿</t>
  </si>
  <si>
    <t>SZ000828</t>
  </si>
  <si>
    <t>16.40亿</t>
  </si>
  <si>
    <t>10.74亿</t>
  </si>
  <si>
    <t>6.24亿</t>
  </si>
  <si>
    <t>10.83亿</t>
  </si>
  <si>
    <t>SZ000900</t>
  </si>
  <si>
    <t>9.76亿</t>
  </si>
  <si>
    <t>SZ001965</t>
  </si>
  <si>
    <t>SH600012</t>
  </si>
  <si>
    <t>29.46亿</t>
  </si>
  <si>
    <t>10.98亿</t>
  </si>
  <si>
    <t>SH600020</t>
  </si>
  <si>
    <t>63.86亿</t>
  </si>
  <si>
    <t>SH600033</t>
  </si>
  <si>
    <t>29.04亿</t>
  </si>
  <si>
    <t>8.28亿</t>
  </si>
  <si>
    <t>SH600035</t>
  </si>
  <si>
    <t>28.73亿</t>
  </si>
  <si>
    <t>SH600106</t>
  </si>
  <si>
    <t>2.39亿</t>
  </si>
  <si>
    <t>2.50亿</t>
  </si>
  <si>
    <t>SH600125</t>
  </si>
  <si>
    <t>163.68亿</t>
  </si>
  <si>
    <t>SH600269</t>
  </si>
  <si>
    <t>50.39亿</t>
  </si>
  <si>
    <t>SH600350</t>
  </si>
  <si>
    <t>2.02亿</t>
  </si>
  <si>
    <t>SH600368</t>
  </si>
  <si>
    <t>21.47亿</t>
  </si>
  <si>
    <t>8.78亿</t>
  </si>
  <si>
    <t>SH600377</t>
  </si>
  <si>
    <t>100.78亿</t>
  </si>
  <si>
    <t>42.00亿</t>
  </si>
  <si>
    <t>SH600548</t>
  </si>
  <si>
    <t>4.29亿</t>
  </si>
  <si>
    <t>5.60亿</t>
  </si>
  <si>
    <t>SH601006</t>
  </si>
  <si>
    <t>799.17亿</t>
  </si>
  <si>
    <t>136.69亿</t>
  </si>
  <si>
    <t>SH601107</t>
  </si>
  <si>
    <t>64.08亿</t>
  </si>
  <si>
    <t>SH601188</t>
  </si>
  <si>
    <t>1.47亿</t>
  </si>
  <si>
    <t>SH601333</t>
  </si>
  <si>
    <t>211.78亿</t>
  </si>
  <si>
    <t>7.48亿</t>
  </si>
  <si>
    <t>SH601518</t>
  </si>
  <si>
    <t>7.81亿</t>
  </si>
  <si>
    <t>1.89亿</t>
  </si>
  <si>
    <t>SH601816</t>
  </si>
  <si>
    <t>京沪高铁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</si>
  <si>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</si>
  <si>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</si>
  <si>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</si>
  <si>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</si>
  <si>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</si>
  <si>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</si>
  <si>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</si>
  <si>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</si>
  <si>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</si>
  <si>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</si>
  <si>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</si>
  <si>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</si>
  <si>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</si>
  <si>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37.90亿</t>
  </si>
  <si>
    <t>8.68亿</t>
  </si>
  <si>
    <t>2.00亿</t>
  </si>
  <si>
    <t>8.49亿</t>
  </si>
  <si>
    <t>49.99亿</t>
  </si>
  <si>
    <t>32.19亿</t>
  </si>
  <si>
    <t>14.69亿</t>
  </si>
  <si>
    <t>16.77亿</t>
  </si>
  <si>
    <t>4.36亿</t>
  </si>
  <si>
    <t>8685.15万</t>
  </si>
  <si>
    <t>2.99亿</t>
  </si>
  <si>
    <t>4024.24万</t>
  </si>
  <si>
    <t>1.30亿</t>
  </si>
  <si>
    <t>8.96亿</t>
  </si>
  <si>
    <t>1.72亿</t>
  </si>
  <si>
    <t>7.61亿</t>
  </si>
  <si>
    <t>16.07亿</t>
  </si>
  <si>
    <t>4851.05万</t>
  </si>
  <si>
    <t>12.56亿</t>
  </si>
  <si>
    <t>9.13亿</t>
  </si>
  <si>
    <t>16.24亿</t>
  </si>
  <si>
    <t>14.52亿</t>
  </si>
  <si>
    <t>10.49亿</t>
  </si>
  <si>
    <t>5.25亿</t>
  </si>
  <si>
    <t>123.25亿</t>
  </si>
  <si>
    <t>118.61亿</t>
  </si>
  <si>
    <t>9.64亿</t>
  </si>
  <si>
    <t>8.65亿</t>
  </si>
  <si>
    <t>70.69亿</t>
  </si>
  <si>
    <t>22.23亿</t>
  </si>
  <si>
    <t>1.03亿</t>
  </si>
  <si>
    <t>82.92亿</t>
  </si>
  <si>
    <t>67.59亿</t>
  </si>
  <si>
    <t>43.47亿</t>
  </si>
  <si>
    <t>39.10亿</t>
  </si>
  <si>
    <t>29.67亿</t>
  </si>
  <si>
    <t>28.61亿</t>
  </si>
  <si>
    <t>11.23亿</t>
  </si>
  <si>
    <t>10.91亿</t>
  </si>
  <si>
    <t>50.77亿</t>
  </si>
  <si>
    <t>2.42亿</t>
  </si>
  <si>
    <t>57.76亿</t>
  </si>
  <si>
    <t>7.99亿</t>
  </si>
  <si>
    <t>23.26亿</t>
  </si>
  <si>
    <t>4.52亿</t>
  </si>
  <si>
    <t>26.63亿</t>
  </si>
  <si>
    <t>2.22亿</t>
  </si>
  <si>
    <t>24.87亿</t>
  </si>
  <si>
    <t>10.40亿</t>
  </si>
  <si>
    <t>30.70亿</t>
  </si>
  <si>
    <t>3.90亿</t>
  </si>
  <si>
    <t>2.27亿</t>
  </si>
  <si>
    <t>2.40亿</t>
  </si>
  <si>
    <t>2.38亿</t>
  </si>
  <si>
    <t>2.25亿</t>
  </si>
  <si>
    <t>151.67亿</t>
  </si>
  <si>
    <t>156.38亿</t>
  </si>
  <si>
    <t>50.66亿</t>
  </si>
  <si>
    <t>45.76亿</t>
  </si>
  <si>
    <t>104.15亿</t>
  </si>
  <si>
    <t>68.29亿</t>
  </si>
  <si>
    <t>31.26亿</t>
  </si>
  <si>
    <t>29.44亿</t>
  </si>
  <si>
    <t>17.23亿</t>
  </si>
  <si>
    <t>5.64亿</t>
  </si>
  <si>
    <t>18.19亿</t>
  </si>
  <si>
    <t>4.24亿</t>
  </si>
  <si>
    <t>80.32亿</t>
  </si>
  <si>
    <t>24.64亿</t>
  </si>
  <si>
    <t>99.69亿</t>
  </si>
  <si>
    <t>43.77亿</t>
  </si>
  <si>
    <t>80.27亿</t>
  </si>
  <si>
    <t>20.55亿</t>
  </si>
  <si>
    <t>63.90亿</t>
  </si>
  <si>
    <t>58.07亿</t>
  </si>
  <si>
    <t>25.64亿</t>
  </si>
  <si>
    <t>34.40亿</t>
  </si>
  <si>
    <t>783.45亿</t>
  </si>
  <si>
    <t>145.44亿</t>
  </si>
  <si>
    <t>54.59亿</t>
  </si>
  <si>
    <t>6.74亿</t>
  </si>
  <si>
    <t>59.69亿</t>
  </si>
  <si>
    <t>8.88亿</t>
  </si>
  <si>
    <t>6.29亿</t>
  </si>
  <si>
    <t>4.02亿</t>
  </si>
  <si>
    <t>6.99亿</t>
  </si>
  <si>
    <t>3.70亿</t>
  </si>
  <si>
    <t>3.01亿</t>
  </si>
  <si>
    <t>3.37亿</t>
  </si>
  <si>
    <t>163.49亿</t>
  </si>
  <si>
    <t>-5.58亿</t>
  </si>
  <si>
    <t>198.28亿</t>
  </si>
  <si>
    <t>7.84亿</t>
  </si>
  <si>
    <t>8.50亿</t>
  </si>
  <si>
    <t>9920.74万</t>
  </si>
  <si>
    <t>1.21亿</t>
  </si>
  <si>
    <t>8.51亿</t>
  </si>
  <si>
    <t>9.74亿</t>
  </si>
  <si>
    <t>252.38亿</t>
  </si>
  <si>
    <t>32.29亿</t>
  </si>
  <si>
    <t>348.56亿</t>
  </si>
  <si>
    <t>311.58亿</t>
  </si>
  <si>
    <t>110.68亿</t>
  </si>
  <si>
    <t>102.48亿</t>
  </si>
  <si>
    <t>赣粤高速</t>
  </si>
  <si>
    <t>1.94亿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</si>
  <si>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</si>
  <si>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</si>
  <si>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</si>
  <si>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</si>
  <si>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</si>
  <si>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</si>
  <si>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</si>
  <si>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</si>
  <si>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</si>
  <si>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</si>
  <si>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</si>
  <si>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</si>
  <si>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</si>
  <si>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</si>
  <si>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</si>
  <si>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1.68亿</t>
  </si>
  <si>
    <t>重庆路桥</t>
  </si>
  <si>
    <t>5.68亿</t>
  </si>
  <si>
    <t>五洲交通</t>
  </si>
  <si>
    <t>3.53亿</t>
  </si>
  <si>
    <t>3.48亿</t>
  </si>
  <si>
    <t>SZ001213</t>
  </si>
  <si>
    <t>中铁特货</t>
  </si>
  <si>
    <t>84.58亿</t>
  </si>
  <si>
    <t>86.47亿</t>
  </si>
  <si>
    <t>78.84亿</t>
  </si>
  <si>
    <t>3.94亿</t>
  </si>
  <si>
    <t>18.17亿</t>
  </si>
  <si>
    <t>SZ002357</t>
  </si>
  <si>
    <t>富临运业</t>
  </si>
  <si>
    <t>7763.42万</t>
  </si>
  <si>
    <t>8.86亿</t>
  </si>
  <si>
    <t>9.60亿</t>
  </si>
  <si>
    <t>8375.19万</t>
  </si>
  <si>
    <t>3760.77万</t>
  </si>
  <si>
    <t>6.97亿</t>
  </si>
  <si>
    <t>SH600561</t>
  </si>
  <si>
    <t>江西长运</t>
  </si>
  <si>
    <t>18.33亿</t>
  </si>
  <si>
    <t>-3.11亿</t>
  </si>
  <si>
    <t>9.81亿</t>
  </si>
  <si>
    <t>24.13亿</t>
  </si>
  <si>
    <t>26.31亿</t>
  </si>
  <si>
    <t>-2.40亿</t>
  </si>
  <si>
    <t>2515.41万</t>
  </si>
  <si>
    <t>SH600611</t>
  </si>
  <si>
    <t>大众交通</t>
  </si>
  <si>
    <t>5.35亿</t>
  </si>
  <si>
    <t>18.69亿</t>
  </si>
  <si>
    <t>36.37亿</t>
  </si>
  <si>
    <t>34.05亿</t>
  </si>
  <si>
    <t>23.94亿</t>
  </si>
  <si>
    <t>8.82亿</t>
  </si>
  <si>
    <t>8.73亿</t>
  </si>
  <si>
    <t>12.72亿</t>
  </si>
  <si>
    <t>SH600650</t>
  </si>
  <si>
    <t>锦江在线</t>
  </si>
  <si>
    <t>25.47亿</t>
  </si>
  <si>
    <t>24.35亿</t>
  </si>
  <si>
    <t>2.67亿</t>
  </si>
  <si>
    <t>SH600834</t>
  </si>
  <si>
    <t>申通地铁</t>
  </si>
  <si>
    <t>7382.03万</t>
  </si>
  <si>
    <t>6.59亿</t>
  </si>
  <si>
    <t>8.55亿</t>
  </si>
  <si>
    <t>6815.72万</t>
  </si>
  <si>
    <t>3321.03万</t>
  </si>
  <si>
    <t>3.28亿</t>
  </si>
  <si>
    <t>SH603069</t>
  </si>
  <si>
    <t>海汽集团</t>
  </si>
  <si>
    <t>10.44亿</t>
  </si>
  <si>
    <t>11.17亿</t>
  </si>
  <si>
    <t>4914.18万</t>
  </si>
  <si>
    <t>5887.93万</t>
  </si>
  <si>
    <t>代码</t>
  </si>
  <si>
    <t>流通股本</t>
  </si>
  <si>
    <t>净利润[20201231]</t>
  </si>
  <si>
    <t>投入资本回报率roic%[20201231]</t>
  </si>
  <si>
    <t>净资产收益率%[20201231]</t>
  </si>
  <si>
    <t>52.88亿</t>
  </si>
  <si>
    <t>17.00亿</t>
  </si>
  <si>
    <t>5188.83万</t>
  </si>
  <si>
    <t>12.37亿</t>
  </si>
  <si>
    <t>2.26亿</t>
  </si>
  <si>
    <t>16.62亿</t>
  </si>
  <si>
    <t>4.06亿</t>
  </si>
  <si>
    <t>10.88亿</t>
  </si>
  <si>
    <t>-1.34亿</t>
  </si>
  <si>
    <t>53.21亿</t>
  </si>
  <si>
    <t>9.30亿</t>
  </si>
  <si>
    <t>4.40亿</t>
  </si>
  <si>
    <t>88.44亿</t>
  </si>
  <si>
    <t>3.91亿</t>
  </si>
  <si>
    <t>86.26亿</t>
  </si>
  <si>
    <t>49.73亿</t>
  </si>
  <si>
    <t>6916.35万</t>
  </si>
  <si>
    <t>1.05亿</t>
  </si>
  <si>
    <t>39.21亿</t>
  </si>
  <si>
    <t>15.14亿</t>
  </si>
  <si>
    <t>29.34亿</t>
  </si>
  <si>
    <t>8.69亿</t>
  </si>
  <si>
    <t>5.37亿</t>
  </si>
  <si>
    <t>7.40亿</t>
  </si>
  <si>
    <t>162.04亿</t>
  </si>
  <si>
    <t>30.52亿</t>
  </si>
  <si>
    <t>130.03亿</t>
  </si>
  <si>
    <t>22.81亿</t>
  </si>
  <si>
    <t>18.31亿</t>
  </si>
  <si>
    <t>7.02亿</t>
  </si>
  <si>
    <t>1147.67万</t>
  </si>
  <si>
    <t>27.15亿</t>
  </si>
  <si>
    <t>1.31亿</t>
  </si>
  <si>
    <t>7238.89万</t>
  </si>
  <si>
    <t>786.82亿</t>
  </si>
  <si>
    <t>121.81亿</t>
  </si>
  <si>
    <t>726.63亿</t>
  </si>
  <si>
    <t>107.66亿</t>
  </si>
  <si>
    <t>90.95亿</t>
  </si>
  <si>
    <t>202.06亿</t>
  </si>
  <si>
    <t>-9.73亿</t>
  </si>
  <si>
    <t>3.18亿</t>
  </si>
  <si>
    <t>293.05亿</t>
  </si>
  <si>
    <t>48.16亿</t>
  </si>
  <si>
    <t>2285.71万</t>
  </si>
  <si>
    <t>7.32亿</t>
  </si>
  <si>
    <t>-7178.60万</t>
  </si>
  <si>
    <t>-9804.86万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</si>
  <si>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</si>
  <si>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</si>
  <si>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</si>
  <si>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</si>
  <si>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</si>
  <si>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</si>
  <si>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</si>
  <si>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</si>
  <si>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</si>
  <si>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</si>
  <si>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</si>
  <si>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</si>
  <si>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</si>
  <si>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</si>
  <si>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</si>
  <si>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</si>
  <si>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</si>
  <si>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1增速</t>
    <phoneticPr fontId="1" type="noConversion"/>
  </si>
  <si>
    <t>3增速</t>
    <phoneticPr fontId="1" type="noConversion"/>
  </si>
  <si>
    <t>6年自由现金流折现</t>
    <phoneticPr fontId="1" type="noConversion"/>
  </si>
  <si>
    <t>原始顺序</t>
    <phoneticPr fontId="1" type="noConversion"/>
  </si>
  <si>
    <t>营收和利润加权</t>
    <phoneticPr fontId="1" type="noConversion"/>
  </si>
  <si>
    <t>高速公路</t>
  </si>
  <si>
    <t>1-1</t>
  </si>
  <si>
    <t>2-1</t>
  </si>
  <si>
    <t>1.51亿</t>
  </si>
  <si>
    <t>铁路运输</t>
  </si>
  <si>
    <t/>
  </si>
  <si>
    <t>2.05亿</t>
  </si>
  <si>
    <t>公交</t>
  </si>
  <si>
    <t>1-0</t>
  </si>
  <si>
    <t>账面净赚</t>
  </si>
  <si>
    <t>5.82亿</t>
  </si>
  <si>
    <t>-1-0</t>
  </si>
  <si>
    <t>2.66亿</t>
  </si>
  <si>
    <t>扭亏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</si>
  <si>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</si>
  <si>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</si>
  <si>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</si>
  <si>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</si>
  <si>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</si>
  <si>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</si>
  <si>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</si>
  <si>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</si>
  <si>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</si>
  <si>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</si>
  <si>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</si>
  <si>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</si>
  <si>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</si>
  <si>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</si>
  <si>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</si>
  <si>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</si>
  <si>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</si>
  <si>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</si>
  <si>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</si>
  <si>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</si>
  <si>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</si>
  <si>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</si>
  <si>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</si>
  <si>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</si>
  <si>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</si>
  <si>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</si>
  <si>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</si>
  <si>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</si>
  <si>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</si>
  <si>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</si>
  <si>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</si>
  <si>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</si>
  <si>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市销率</t>
    <phoneticPr fontId="1" type="noConversion"/>
  </si>
  <si>
    <t>扣非对比净利润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</si>
  <si>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</si>
  <si>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</si>
  <si>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</si>
  <si>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</si>
  <si>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</si>
  <si>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3年自由现金流折现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</si>
  <si>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</si>
  <si>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</si>
  <si>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</si>
  <si>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</si>
  <si>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</si>
  <si>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</si>
  <si>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</si>
  <si>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</si>
  <si>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</si>
  <si>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</si>
  <si>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</si>
  <si>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</si>
  <si>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</si>
  <si>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</si>
  <si>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</si>
  <si>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</si>
  <si>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</si>
  <si>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</si>
  <si>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</si>
  <si>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</si>
  <si>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</si>
  <si>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</si>
  <si>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</si>
  <si>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</si>
  <si>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</si>
  <si>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</si>
  <si>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</si>
  <si>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</si>
  <si>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</si>
  <si>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不分配不转增</t>
  </si>
  <si>
    <t>7.72亿</t>
  </si>
  <si>
    <t>10派1.5元(含税)</t>
  </si>
  <si>
    <t>2.87亿</t>
  </si>
  <si>
    <t>3.60亿</t>
  </si>
  <si>
    <t>28.16亿</t>
  </si>
  <si>
    <t>6.66亿</t>
  </si>
  <si>
    <t>10派5.5元(含税)</t>
  </si>
  <si>
    <t>6.27亿</t>
  </si>
  <si>
    <t>1.23亿</t>
  </si>
  <si>
    <t>2.29亿</t>
  </si>
  <si>
    <t>3.00亿</t>
  </si>
  <si>
    <t>2.54亿</t>
  </si>
  <si>
    <t>19.25亿</t>
  </si>
  <si>
    <t>-1.95亿</t>
  </si>
  <si>
    <t>4.81亿</t>
  </si>
  <si>
    <t>1.76亿</t>
  </si>
  <si>
    <t>4.35亿</t>
  </si>
  <si>
    <t>1.98亿</t>
  </si>
  <si>
    <t>1.40亿</t>
  </si>
  <si>
    <t>41.69亿</t>
  </si>
  <si>
    <t>1.20亿</t>
  </si>
  <si>
    <t>1.62亿</t>
  </si>
  <si>
    <t>4.15亿</t>
  </si>
  <si>
    <t>2.53亿</t>
  </si>
  <si>
    <t>17.85亿</t>
  </si>
  <si>
    <t>9.53亿</t>
  </si>
  <si>
    <t>12.45亿</t>
  </si>
  <si>
    <t>9.00亿</t>
  </si>
  <si>
    <t>41.04亿</t>
  </si>
  <si>
    <t>2.31亿</t>
  </si>
  <si>
    <t>19.44亿</t>
  </si>
  <si>
    <t>4.65亿</t>
  </si>
  <si>
    <t>94.66亿</t>
  </si>
  <si>
    <t>3.36亿</t>
  </si>
  <si>
    <t>82.97亿</t>
  </si>
  <si>
    <t>48.61亿</t>
  </si>
  <si>
    <t>2.28亿</t>
  </si>
  <si>
    <t>1.18亿</t>
  </si>
  <si>
    <t>7.30亿</t>
  </si>
  <si>
    <t>81.41亿</t>
  </si>
  <si>
    <t>138.17亿</t>
  </si>
  <si>
    <t>43.44亿</t>
  </si>
  <si>
    <t>52.06亿</t>
  </si>
  <si>
    <t>14.45亿</t>
  </si>
  <si>
    <t>25.23亿</t>
  </si>
  <si>
    <t>23.10亿</t>
  </si>
  <si>
    <t>46520276亿</t>
  </si>
  <si>
    <t>490.46万</t>
  </si>
  <si>
    <t>1369623400亿</t>
  </si>
  <si>
    <t>50.73亿</t>
  </si>
  <si>
    <t>5412175500亿</t>
  </si>
  <si>
    <t>9.87亿</t>
  </si>
  <si>
    <t>3564.35万</t>
  </si>
  <si>
    <t>60.11亿</t>
  </si>
  <si>
    <t>22.48亿</t>
  </si>
  <si>
    <t>-15.02亿</t>
  </si>
  <si>
    <t>-13.97亿</t>
  </si>
  <si>
    <t>23.24亿</t>
  </si>
  <si>
    <t>39.85亿</t>
  </si>
  <si>
    <t>8.40亿</t>
  </si>
  <si>
    <t>11.73亿</t>
  </si>
  <si>
    <t>1.95亿</t>
  </si>
  <si>
    <t>74.11亿</t>
  </si>
  <si>
    <t>4.04亿</t>
  </si>
  <si>
    <t>26.72亿</t>
  </si>
  <si>
    <t>8.89亿</t>
  </si>
  <si>
    <t>29.17亿</t>
  </si>
  <si>
    <t>7.23亿</t>
  </si>
  <si>
    <t>4.05亿</t>
  </si>
  <si>
    <t>2.03亿</t>
  </si>
  <si>
    <t>1.29亿</t>
  </si>
  <si>
    <t>27.44亿</t>
  </si>
  <si>
    <t>120.02亿</t>
  </si>
  <si>
    <t>67.58亿</t>
  </si>
  <si>
    <t>6.96亿</t>
  </si>
  <si>
    <t>1.77亿</t>
  </si>
  <si>
    <t>16.87亿</t>
  </si>
  <si>
    <t>4.59亿</t>
  </si>
  <si>
    <t>132.56亿</t>
  </si>
  <si>
    <t>37.24亿</t>
  </si>
  <si>
    <t>142.61亿</t>
  </si>
  <si>
    <t>42.80亿</t>
  </si>
  <si>
    <t>93.73亿</t>
  </si>
  <si>
    <t>108.90亿</t>
  </si>
  <si>
    <t>26.13亿</t>
  </si>
  <si>
    <t>-1.48亿</t>
  </si>
  <si>
    <t>14.87亿</t>
  </si>
  <si>
    <t>1.99亿</t>
  </si>
  <si>
    <t>14.59亿</t>
  </si>
  <si>
    <t>2.84亿</t>
  </si>
  <si>
    <t>10.80亿</t>
  </si>
  <si>
    <t>92.36亿</t>
  </si>
  <si>
    <t>100.44亿</t>
  </si>
  <si>
    <t>30.73亿</t>
  </si>
  <si>
    <t>23.60亿</t>
  </si>
  <si>
    <t>-2.74亿</t>
  </si>
  <si>
    <t>29.24亿</t>
  </si>
  <si>
    <t>23.25亿</t>
  </si>
  <si>
    <t>1.33亿</t>
  </si>
  <si>
    <t>3613.65万</t>
  </si>
  <si>
    <t>62304115亿</t>
  </si>
  <si>
    <t>235.27万</t>
  </si>
  <si>
    <t>167833240亿</t>
  </si>
  <si>
    <t>17.83亿</t>
  </si>
  <si>
    <t>207482050亿</t>
  </si>
  <si>
    <t>10327465100亿</t>
  </si>
  <si>
    <t>2213.51万</t>
  </si>
  <si>
    <t>22.91亿</t>
  </si>
  <si>
    <t>1166.76万</t>
  </si>
  <si>
    <t>61.18亿</t>
  </si>
  <si>
    <t>5.67亿</t>
  </si>
  <si>
    <t>2.86亿</t>
  </si>
  <si>
    <t>-8.29亿</t>
  </si>
  <si>
    <t>6037.08万</t>
  </si>
  <si>
    <t>21.51亿</t>
  </si>
  <si>
    <t>24.72亿</t>
  </si>
  <si>
    <t>18.90亿</t>
  </si>
  <si>
    <t>13.51亿</t>
  </si>
  <si>
    <t>-3.66亿</t>
  </si>
  <si>
    <t>10派0.3元(含税)</t>
  </si>
  <si>
    <t>20.88亿</t>
  </si>
  <si>
    <t>5.23亿</t>
  </si>
  <si>
    <t>5.72亿</t>
  </si>
  <si>
    <t>2.70亿</t>
  </si>
  <si>
    <t>3.43亿</t>
  </si>
  <si>
    <t>1.75亿</t>
  </si>
  <si>
    <t>2.46亿</t>
  </si>
  <si>
    <t>1.12亿</t>
  </si>
  <si>
    <t>757.58亿</t>
  </si>
  <si>
    <t>111.96亿</t>
  </si>
  <si>
    <t>1.60亿</t>
  </si>
  <si>
    <t>-6.16亿</t>
  </si>
  <si>
    <t>7.80亿</t>
  </si>
  <si>
    <t>5.49亿</t>
  </si>
  <si>
    <t>199.43亿</t>
  </si>
  <si>
    <t>-19.95亿</t>
  </si>
  <si>
    <t>4-0</t>
  </si>
  <si>
    <t>4.64万</t>
  </si>
  <si>
    <t>193.36亿</t>
  </si>
  <si>
    <t>-5.76亿</t>
  </si>
  <si>
    <t>-1-1</t>
  </si>
  <si>
    <t>4.33亿</t>
  </si>
  <si>
    <t>157.74亿</t>
  </si>
  <si>
    <t>140.31亿</t>
  </si>
  <si>
    <t>3.17亿</t>
  </si>
  <si>
    <t>700.14万</t>
  </si>
  <si>
    <t>3490.25万</t>
  </si>
  <si>
    <t>1.69亿</t>
  </si>
  <si>
    <t>1.09亿</t>
  </si>
  <si>
    <t>3690.26万</t>
  </si>
  <si>
    <t>1.28亿</t>
  </si>
  <si>
    <t>4.64亿</t>
  </si>
  <si>
    <t>7.39亿</t>
  </si>
  <si>
    <t>3.44亿</t>
  </si>
  <si>
    <t>1945.70万</t>
  </si>
  <si>
    <t>89.60亿</t>
  </si>
  <si>
    <t>130.13亿</t>
  </si>
  <si>
    <t>11.24亿</t>
  </si>
  <si>
    <t>48.79亿</t>
  </si>
  <si>
    <t>16.34亿</t>
  </si>
  <si>
    <t>4.26亿</t>
  </si>
  <si>
    <t>3.56亿</t>
  </si>
  <si>
    <t>4079.14万</t>
  </si>
  <si>
    <t>59110274亿</t>
  </si>
  <si>
    <t>111.36万</t>
  </si>
  <si>
    <t>434155500亿</t>
  </si>
  <si>
    <t>48.80亿</t>
  </si>
  <si>
    <t>171550710亿</t>
  </si>
  <si>
    <t>5142196800亿</t>
  </si>
  <si>
    <t>87.51亿</t>
  </si>
  <si>
    <t>21.02亿</t>
  </si>
  <si>
    <t>124.86万</t>
  </si>
  <si>
    <t>16.27亿</t>
  </si>
  <si>
    <t>62.15亿</t>
  </si>
  <si>
    <t>8.08亿</t>
  </si>
  <si>
    <t>-4.10亿</t>
  </si>
  <si>
    <t>12.76亿</t>
  </si>
  <si>
    <t>11.55亿</t>
  </si>
  <si>
    <t>4.10亿</t>
  </si>
  <si>
    <t>10派5.47元(含税)</t>
  </si>
  <si>
    <t>7523.97万</t>
  </si>
  <si>
    <t>520.85万</t>
  </si>
  <si>
    <t>9.99亿</t>
  </si>
  <si>
    <t>20.36亿</t>
  </si>
  <si>
    <t>12.50亿</t>
  </si>
  <si>
    <t>1.49亿</t>
  </si>
  <si>
    <t>1.42亿</t>
  </si>
  <si>
    <t>455.17万</t>
  </si>
  <si>
    <t>1983.78万</t>
  </si>
  <si>
    <t>45.99万</t>
  </si>
  <si>
    <t>35570066亿</t>
  </si>
  <si>
    <t>7.50亿</t>
  </si>
  <si>
    <t>22893007亿</t>
  </si>
  <si>
    <t>1680043200亿</t>
  </si>
  <si>
    <t>261.25万</t>
  </si>
  <si>
    <t>2.30亿</t>
  </si>
  <si>
    <t>685.41万</t>
  </si>
  <si>
    <t>1.48亿</t>
  </si>
  <si>
    <t>-1725.99万</t>
  </si>
  <si>
    <t>-366.65万</t>
  </si>
  <si>
    <t>-247.43万</t>
  </si>
  <si>
    <t>3539.86万</t>
  </si>
  <si>
    <t>1925.98万</t>
  </si>
  <si>
    <t>10派0.9元(含税)</t>
  </si>
  <si>
    <t>2528.76万</t>
  </si>
  <si>
    <t>2.04亿</t>
  </si>
  <si>
    <t>-2-1</t>
  </si>
  <si>
    <t>575.08万</t>
  </si>
  <si>
    <t>4.21亿</t>
  </si>
  <si>
    <t>59.29亿</t>
  </si>
  <si>
    <t>16.65亿</t>
  </si>
  <si>
    <t>2.21亿</t>
  </si>
  <si>
    <t>2.06万</t>
  </si>
  <si>
    <t>1756.51万</t>
  </si>
  <si>
    <t>2.58万</t>
  </si>
  <si>
    <t>86933782亿</t>
  </si>
  <si>
    <t>22.55亿</t>
  </si>
  <si>
    <t>107244812亿</t>
  </si>
  <si>
    <t>1116.47万</t>
  </si>
  <si>
    <t>2520583100亿</t>
  </si>
  <si>
    <t>7871.34万</t>
  </si>
  <si>
    <t>483.59万</t>
  </si>
  <si>
    <t>20.10万</t>
  </si>
  <si>
    <t>3.59亿</t>
  </si>
  <si>
    <t>-2950.22万</t>
  </si>
  <si>
    <t>-483.66万</t>
  </si>
  <si>
    <t>3.78亿</t>
  </si>
  <si>
    <t>7934.20万</t>
  </si>
  <si>
    <t>2891.25万</t>
  </si>
  <si>
    <t>1.86亿</t>
  </si>
  <si>
    <t>-3-0</t>
  </si>
  <si>
    <t>山西高速</t>
  </si>
  <si>
    <t>195.18万</t>
  </si>
  <si>
    <t>77.93亿</t>
  </si>
  <si>
    <t>50.36亿</t>
  </si>
  <si>
    <t>3.30亿</t>
  </si>
  <si>
    <t>17.12亿</t>
  </si>
  <si>
    <t>2.19亿</t>
  </si>
  <si>
    <t>1.54亿</t>
  </si>
  <si>
    <t>871.66万</t>
  </si>
  <si>
    <t>151.89万</t>
  </si>
  <si>
    <t>83397750亿</t>
  </si>
  <si>
    <t>10.12亿</t>
  </si>
  <si>
    <t>100947995亿</t>
  </si>
  <si>
    <t>1121668390亿</t>
  </si>
  <si>
    <t>2983.86万</t>
  </si>
  <si>
    <t>2.72亿</t>
  </si>
  <si>
    <t>707.39万</t>
  </si>
  <si>
    <t>66.18亿</t>
  </si>
  <si>
    <t>-218.58万</t>
  </si>
  <si>
    <t>-5872.02万</t>
  </si>
  <si>
    <t>16.78亿</t>
  </si>
  <si>
    <t>3.97亿</t>
  </si>
  <si>
    <t>10派0.45元(含税)</t>
  </si>
  <si>
    <t>1160.44万</t>
  </si>
  <si>
    <t>9022.86万</t>
  </si>
  <si>
    <t>1015.34万</t>
  </si>
  <si>
    <t>114.65亿</t>
  </si>
  <si>
    <t>98.60亿</t>
  </si>
  <si>
    <t>47.58亿</t>
  </si>
  <si>
    <t>6.67亿</t>
  </si>
  <si>
    <t>2634.36万</t>
  </si>
  <si>
    <t>304749670亿</t>
  </si>
  <si>
    <t>48.27万</t>
  </si>
  <si>
    <t>213121280亿</t>
  </si>
  <si>
    <t>22.83亿</t>
  </si>
  <si>
    <t>55630049亿</t>
  </si>
  <si>
    <t>7871518800亿</t>
  </si>
  <si>
    <t>4.74亿</t>
  </si>
  <si>
    <t>46.08亿</t>
  </si>
  <si>
    <t>2499.14万</t>
  </si>
  <si>
    <t>55.71万</t>
  </si>
  <si>
    <t>57.34亿</t>
  </si>
  <si>
    <t>-7.43亿</t>
  </si>
  <si>
    <t>-3.70亿</t>
  </si>
  <si>
    <t>1893.32万</t>
  </si>
  <si>
    <t>10派3.25元(含税)</t>
  </si>
  <si>
    <t>3788.07万</t>
  </si>
  <si>
    <t>1.91亿</t>
  </si>
  <si>
    <t>821.18万</t>
  </si>
  <si>
    <t>426.13亿</t>
  </si>
  <si>
    <t>144.54亿</t>
  </si>
  <si>
    <t>13.26亿</t>
  </si>
  <si>
    <t>79.10亿</t>
  </si>
  <si>
    <t>5.43亿</t>
  </si>
  <si>
    <t>8.27亿</t>
  </si>
  <si>
    <t>518.89万</t>
  </si>
  <si>
    <t>1.07亿</t>
  </si>
  <si>
    <t>73331002亿</t>
  </si>
  <si>
    <t>311.93万</t>
  </si>
  <si>
    <t>189538360亿</t>
  </si>
  <si>
    <t>38.48亿</t>
  </si>
  <si>
    <t>345189220亿</t>
  </si>
  <si>
    <t>9452995400亿</t>
  </si>
  <si>
    <t>4699.46万</t>
  </si>
  <si>
    <t>35.42亿</t>
  </si>
  <si>
    <t>2745.34万</t>
  </si>
  <si>
    <t>218.85亿</t>
  </si>
  <si>
    <t>220.02亿</t>
  </si>
  <si>
    <t>-10.50亿</t>
  </si>
  <si>
    <t>-4580.43万</t>
  </si>
  <si>
    <t>158.74亿</t>
  </si>
  <si>
    <t>20.51亿</t>
  </si>
  <si>
    <t>1.83亿</t>
  </si>
  <si>
    <t>3962.76万</t>
  </si>
  <si>
    <t>2.23亿</t>
  </si>
  <si>
    <t>0543000000</t>
  </si>
  <si>
    <t>01629000000</t>
  </si>
  <si>
    <t>03258000000</t>
  </si>
  <si>
    <t>05430000000</t>
  </si>
  <si>
    <t>010860000000</t>
  </si>
  <si>
    <t>1031.26万</t>
  </si>
  <si>
    <t>189.25亿</t>
  </si>
  <si>
    <t>25.06亿</t>
  </si>
  <si>
    <t>106.82亿</t>
  </si>
  <si>
    <t>22.19亿</t>
  </si>
  <si>
    <t>21.92亿</t>
  </si>
  <si>
    <t>7.19万</t>
  </si>
  <si>
    <t>4401.51万</t>
  </si>
  <si>
    <t>9994655亿</t>
  </si>
  <si>
    <t>45.79万</t>
  </si>
  <si>
    <t>257452100亿</t>
  </si>
  <si>
    <t>59.13亿</t>
  </si>
  <si>
    <t>2162203500亿</t>
  </si>
  <si>
    <t>5108.81万</t>
  </si>
  <si>
    <t>9182159500亿</t>
  </si>
  <si>
    <t>6746.26万</t>
  </si>
  <si>
    <t>9.19亿</t>
  </si>
  <si>
    <t>135.11万</t>
  </si>
  <si>
    <t>13.83亿</t>
  </si>
  <si>
    <t>3304.45万</t>
  </si>
  <si>
    <t>-1846.90万</t>
  </si>
  <si>
    <t>4.18亿</t>
  </si>
  <si>
    <t>23.77亿</t>
  </si>
  <si>
    <t>1.38亿</t>
  </si>
  <si>
    <t>10派0.58元(含税)</t>
  </si>
  <si>
    <t>6002.66万</t>
  </si>
  <si>
    <t>1539.55万</t>
  </si>
  <si>
    <t>753.44亿</t>
  </si>
  <si>
    <t>877.62亿</t>
  </si>
  <si>
    <t>30.22亿</t>
  </si>
  <si>
    <t>97.31亿</t>
  </si>
  <si>
    <t>67.67亿</t>
  </si>
  <si>
    <t>26.28亿</t>
  </si>
  <si>
    <t>3002.57万</t>
  </si>
  <si>
    <t>1.53亿</t>
  </si>
  <si>
    <t>1125782670亿</t>
  </si>
  <si>
    <t>1005.35万</t>
  </si>
  <si>
    <t>1292474970亿</t>
  </si>
  <si>
    <t>90.40亿</t>
  </si>
  <si>
    <t>1844223500亿</t>
  </si>
  <si>
    <t>2009.57万</t>
  </si>
  <si>
    <t>14653233000亿</t>
  </si>
  <si>
    <t>28.10亿</t>
  </si>
  <si>
    <t>9244.07万</t>
  </si>
  <si>
    <t>19.15亿</t>
  </si>
  <si>
    <t>2.32亿</t>
  </si>
  <si>
    <t>156.96亿</t>
  </si>
  <si>
    <t>393.21亿</t>
  </si>
  <si>
    <t>14.36亿</t>
  </si>
  <si>
    <t>-8.14亿</t>
  </si>
  <si>
    <t>-5.09亿</t>
  </si>
  <si>
    <t>20.26亿</t>
  </si>
  <si>
    <t>13.49亿</t>
  </si>
  <si>
    <t>10派5.31元(含税)</t>
  </si>
  <si>
    <t>8657.75万</t>
  </si>
  <si>
    <t>7.89亿</t>
  </si>
  <si>
    <t>358.56万</t>
  </si>
  <si>
    <t>13.04亿</t>
  </si>
  <si>
    <t>15.89亿</t>
  </si>
  <si>
    <t>2.12亿</t>
  </si>
  <si>
    <t>2.14亿</t>
  </si>
  <si>
    <t>81.95万</t>
  </si>
  <si>
    <t>3432.66万</t>
  </si>
  <si>
    <t>48502236亿</t>
  </si>
  <si>
    <t>103.89万</t>
  </si>
  <si>
    <t>44755030亿</t>
  </si>
  <si>
    <t>124424660亿</t>
  </si>
  <si>
    <t>181.95万</t>
  </si>
  <si>
    <t>362068660亿</t>
  </si>
  <si>
    <t>4.32亿</t>
  </si>
  <si>
    <t>3472.24万</t>
  </si>
  <si>
    <t>7285.84万</t>
  </si>
  <si>
    <t>554.67万</t>
  </si>
  <si>
    <t>9.52亿</t>
  </si>
  <si>
    <t>4791.00万</t>
  </si>
  <si>
    <t>-3163.40万</t>
  </si>
  <si>
    <t>-3584.81万</t>
  </si>
  <si>
    <t>-3897.74万</t>
  </si>
  <si>
    <t>5909.61万</t>
  </si>
  <si>
    <t>4985.83万</t>
  </si>
  <si>
    <t>10派0.5元(含税)</t>
  </si>
  <si>
    <t>2073.78万</t>
  </si>
  <si>
    <t>0150000000</t>
  </si>
  <si>
    <t>0450000000</t>
  </si>
  <si>
    <t>0900000000</t>
  </si>
  <si>
    <t>01500000000</t>
  </si>
  <si>
    <t>03000000000</t>
  </si>
  <si>
    <t>989.31万</t>
  </si>
  <si>
    <t>352.97亿</t>
  </si>
  <si>
    <t>150.12亿</t>
  </si>
  <si>
    <t>10.95亿</t>
  </si>
  <si>
    <t>424.02亿</t>
  </si>
  <si>
    <t>15.93亿</t>
  </si>
  <si>
    <t>31519465亿</t>
  </si>
  <si>
    <t>223.02万</t>
  </si>
  <si>
    <t>275180370亿</t>
  </si>
  <si>
    <t>6.14亿</t>
  </si>
  <si>
    <t>956277300亿</t>
  </si>
  <si>
    <t>6620540300亿</t>
  </si>
  <si>
    <t>3.09亿</t>
  </si>
  <si>
    <t>2377.39万</t>
  </si>
  <si>
    <t>3.88亿</t>
  </si>
  <si>
    <t>57.03亿</t>
  </si>
  <si>
    <t>103.42亿</t>
  </si>
  <si>
    <t>3.35亿</t>
  </si>
  <si>
    <t>10派1.49元(含税)</t>
  </si>
  <si>
    <t>5560.51万</t>
  </si>
  <si>
    <t>3.52亿</t>
  </si>
  <si>
    <t>3174.91万</t>
  </si>
  <si>
    <t>31.71亿</t>
  </si>
  <si>
    <t>138.76亿</t>
  </si>
  <si>
    <t>7.47亿</t>
  </si>
  <si>
    <t>31.96亿</t>
  </si>
  <si>
    <t>9.42亿</t>
  </si>
  <si>
    <t>-4380809亿</t>
  </si>
  <si>
    <t>244419900亿</t>
  </si>
  <si>
    <t>14.62亿</t>
  </si>
  <si>
    <t>897255660亿</t>
  </si>
  <si>
    <t>2477126000亿</t>
  </si>
  <si>
    <t>6.17亿</t>
  </si>
  <si>
    <t>163.24万</t>
  </si>
  <si>
    <t>3.82亿</t>
  </si>
  <si>
    <t>-6766.04万</t>
  </si>
  <si>
    <t>-151.68万</t>
  </si>
  <si>
    <t>30.50亿</t>
  </si>
  <si>
    <t>7.64亿</t>
  </si>
  <si>
    <t>9.02亿</t>
  </si>
  <si>
    <t>3.54亿</t>
  </si>
  <si>
    <t>10派1.2元(含税)</t>
  </si>
  <si>
    <t>8.59亿</t>
  </si>
  <si>
    <t>899.87万</t>
  </si>
  <si>
    <t>100.15亿</t>
  </si>
  <si>
    <t>98.30亿</t>
  </si>
  <si>
    <t>3391.23亿</t>
  </si>
  <si>
    <t>1466.02亿</t>
  </si>
  <si>
    <t>8320897亿</t>
  </si>
  <si>
    <t>6.03万</t>
  </si>
  <si>
    <t>274283150亿</t>
  </si>
  <si>
    <t>25.60亿</t>
  </si>
  <si>
    <t>233857050亿</t>
  </si>
  <si>
    <t>3044616400亿</t>
  </si>
  <si>
    <t>5037.35万</t>
  </si>
  <si>
    <t>2.57亿</t>
  </si>
  <si>
    <t>547.08万</t>
  </si>
  <si>
    <t>3.75亿</t>
  </si>
  <si>
    <t>-2.30亿</t>
  </si>
  <si>
    <t>7.88亿</t>
  </si>
  <si>
    <t>906.36亿</t>
  </si>
  <si>
    <t>388.39亿</t>
  </si>
  <si>
    <t>10派1.9元(含税)</t>
  </si>
  <si>
    <t>5503.27万</t>
  </si>
  <si>
    <t>3.65亿</t>
  </si>
  <si>
    <t>1508.41万</t>
  </si>
  <si>
    <t>20.31亿</t>
  </si>
  <si>
    <t>47.05亿</t>
  </si>
  <si>
    <t>2823.03万</t>
  </si>
  <si>
    <t>4.54亿</t>
  </si>
  <si>
    <t>-5945.92万</t>
  </si>
  <si>
    <t>14844744亿</t>
  </si>
  <si>
    <t>23487620亿</t>
  </si>
  <si>
    <t>13.53亿</t>
  </si>
  <si>
    <t>0.940亿</t>
  </si>
  <si>
    <t>1971033000亿</t>
  </si>
  <si>
    <t>115.24万</t>
  </si>
  <si>
    <t>25.78万</t>
  </si>
  <si>
    <t>2716.86万</t>
  </si>
  <si>
    <t>-7000.04万</t>
  </si>
  <si>
    <t>-1722.14万</t>
  </si>
  <si>
    <t>1.17亿</t>
  </si>
  <si>
    <t>2.11亿</t>
  </si>
  <si>
    <t>-477.70万</t>
  </si>
  <si>
    <t>10派0.48元(含税)</t>
  </si>
  <si>
    <t>8598.92万</t>
  </si>
  <si>
    <t>6.57亿</t>
  </si>
  <si>
    <t>874.45万</t>
  </si>
  <si>
    <t>29.52亿</t>
  </si>
  <si>
    <t>72.80亿</t>
  </si>
  <si>
    <t>34.65亿</t>
  </si>
  <si>
    <t>558.27亿</t>
  </si>
  <si>
    <t>1.82亿</t>
  </si>
  <si>
    <t>11699260亿</t>
  </si>
  <si>
    <t>1.45万</t>
  </si>
  <si>
    <t>216429110亿</t>
  </si>
  <si>
    <t>17.69亿</t>
  </si>
  <si>
    <t>368984820亿</t>
  </si>
  <si>
    <t>4752640300亿</t>
  </si>
  <si>
    <t>124.28万</t>
  </si>
  <si>
    <t>1.85亿</t>
  </si>
  <si>
    <t>-3573.46万</t>
  </si>
  <si>
    <t>-436.71万</t>
  </si>
  <si>
    <t>146.93亿</t>
  </si>
  <si>
    <t>124.88亿</t>
  </si>
  <si>
    <t>4.71亿</t>
  </si>
  <si>
    <t>3186.79万</t>
  </si>
  <si>
    <t>10派1.1元(含税)</t>
  </si>
  <si>
    <t>5024.59万</t>
  </si>
  <si>
    <t>3.29亿</t>
  </si>
  <si>
    <t>2-0</t>
  </si>
  <si>
    <t>1718.73万</t>
  </si>
  <si>
    <t>163.45亿</t>
  </si>
  <si>
    <t>199.72亿</t>
  </si>
  <si>
    <t>15.59亿</t>
  </si>
  <si>
    <t>125.75亿</t>
  </si>
  <si>
    <t>17974859亿</t>
  </si>
  <si>
    <t>819.45万</t>
  </si>
  <si>
    <t>383088390亿</t>
  </si>
  <si>
    <t>35.02亿</t>
  </si>
  <si>
    <t>687831590亿</t>
  </si>
  <si>
    <t>9062619100亿</t>
  </si>
  <si>
    <t>26.21亿</t>
  </si>
  <si>
    <t>3538.42万</t>
  </si>
  <si>
    <t>13.85亿</t>
  </si>
  <si>
    <t>3682.07万</t>
  </si>
  <si>
    <t>7.36亿</t>
  </si>
  <si>
    <t>74.92亿</t>
  </si>
  <si>
    <t>35.06亿</t>
  </si>
  <si>
    <t>11.77亿</t>
  </si>
  <si>
    <t>10派1.6元(含税)</t>
  </si>
  <si>
    <t>8754.62万</t>
  </si>
  <si>
    <t>1224.25万</t>
  </si>
  <si>
    <t>967.78亿</t>
  </si>
  <si>
    <t>556.77亿</t>
  </si>
  <si>
    <t>45.32亿</t>
  </si>
  <si>
    <t>29.10亿</t>
  </si>
  <si>
    <t>36.72亿</t>
  </si>
  <si>
    <t>29.16亿</t>
  </si>
  <si>
    <t>1827.28万</t>
  </si>
  <si>
    <t>324397110亿</t>
  </si>
  <si>
    <t>3140.12万</t>
  </si>
  <si>
    <t>730353150亿</t>
  </si>
  <si>
    <t>58.04亿</t>
  </si>
  <si>
    <t>3293416400亿</t>
  </si>
  <si>
    <t>8.06亿</t>
  </si>
  <si>
    <t>25324997000亿</t>
  </si>
  <si>
    <t>27.01亿</t>
  </si>
  <si>
    <t>11.03亿</t>
  </si>
  <si>
    <t>122.60亿</t>
  </si>
  <si>
    <t>9650.12万</t>
  </si>
  <si>
    <t>322.81亿</t>
  </si>
  <si>
    <t>547.86亿</t>
  </si>
  <si>
    <t>10.32亿</t>
  </si>
  <si>
    <t>-10.92亿</t>
  </si>
  <si>
    <t>14.31亿</t>
  </si>
  <si>
    <t>223.79亿</t>
  </si>
  <si>
    <t>30.40亿</t>
  </si>
  <si>
    <t>265.46亿</t>
  </si>
  <si>
    <t>32.97亿</t>
  </si>
  <si>
    <t>10派4.2元(含税)</t>
  </si>
  <si>
    <t>5463.85万</t>
  </si>
  <si>
    <t>1134.71万</t>
  </si>
  <si>
    <t>32.37亿</t>
  </si>
  <si>
    <t>64.37亿</t>
  </si>
  <si>
    <t>23.29亿</t>
  </si>
  <si>
    <t>6.02亿</t>
  </si>
  <si>
    <t>1.37亿</t>
  </si>
  <si>
    <t>1793.61万</t>
  </si>
  <si>
    <t>1860.71万</t>
  </si>
  <si>
    <t>44963905亿</t>
  </si>
  <si>
    <t>1.77万</t>
  </si>
  <si>
    <t>208929390亿</t>
  </si>
  <si>
    <t>70149601亿</t>
  </si>
  <si>
    <t>1834265000亿</t>
  </si>
  <si>
    <t>4481.19万</t>
  </si>
  <si>
    <t>1559.54万</t>
  </si>
  <si>
    <t>15.11亿</t>
  </si>
  <si>
    <t>6283.14万</t>
  </si>
  <si>
    <t>-2.29亿</t>
  </si>
  <si>
    <t>16.33亿</t>
  </si>
  <si>
    <t>7.38亿</t>
  </si>
  <si>
    <t>6.61亿</t>
  </si>
  <si>
    <t>10送3股派1.07元(含税)</t>
  </si>
  <si>
    <t>7590.99万</t>
  </si>
  <si>
    <t>598.68万</t>
  </si>
  <si>
    <t>377.73亿</t>
  </si>
  <si>
    <t>428.77亿</t>
  </si>
  <si>
    <t>34.73亿</t>
  </si>
  <si>
    <t>78.52亿</t>
  </si>
  <si>
    <t>21.54亿</t>
  </si>
  <si>
    <t>18.32亿</t>
  </si>
  <si>
    <t>95.32万</t>
  </si>
  <si>
    <t>5053.27万</t>
  </si>
  <si>
    <t>297399570亿</t>
  </si>
  <si>
    <t>41.24万</t>
  </si>
  <si>
    <t>1187051030亿</t>
  </si>
  <si>
    <t>8.02亿</t>
  </si>
  <si>
    <t>1817211400亿</t>
  </si>
  <si>
    <t>1217.56万</t>
  </si>
  <si>
    <t>10612799500亿</t>
  </si>
  <si>
    <t>8846.09万</t>
  </si>
  <si>
    <t>23.33亿</t>
  </si>
  <si>
    <t>1796.52万</t>
  </si>
  <si>
    <t>99.29亿</t>
  </si>
  <si>
    <t>196.29亿</t>
  </si>
  <si>
    <t>-22.38亿</t>
  </si>
  <si>
    <t>151.92亿</t>
  </si>
  <si>
    <t>20.58亿</t>
  </si>
  <si>
    <t>44.13亿</t>
  </si>
  <si>
    <t>10派4.7元(含税)</t>
  </si>
  <si>
    <t>3942.50万</t>
  </si>
  <si>
    <t>3-1</t>
  </si>
  <si>
    <t>387.93万</t>
  </si>
  <si>
    <t>395.09亿</t>
  </si>
  <si>
    <t>284.12亿</t>
  </si>
  <si>
    <t>20.38亿</t>
  </si>
  <si>
    <t>393.98亿</t>
  </si>
  <si>
    <t>16.02亿</t>
  </si>
  <si>
    <t>17.09亿</t>
  </si>
  <si>
    <t>13.14亿</t>
  </si>
  <si>
    <t>389.94万</t>
  </si>
  <si>
    <t>8910.34万</t>
  </si>
  <si>
    <t>366047460亿</t>
  </si>
  <si>
    <t>332.92万</t>
  </si>
  <si>
    <t>402349590亿</t>
  </si>
  <si>
    <t>33.61亿</t>
  </si>
  <si>
    <t>1043129100亿</t>
  </si>
  <si>
    <t>210.00万</t>
  </si>
  <si>
    <t>8239401100亿</t>
  </si>
  <si>
    <t>1.43亿</t>
  </si>
  <si>
    <t>113.19亿</t>
  </si>
  <si>
    <t>9542.49万</t>
  </si>
  <si>
    <t>23.32亿</t>
  </si>
  <si>
    <t>52.70万</t>
  </si>
  <si>
    <t>196.69亿</t>
  </si>
  <si>
    <t>95.96亿</t>
  </si>
  <si>
    <t>6.72亿</t>
  </si>
  <si>
    <t>-1.52亿</t>
  </si>
  <si>
    <t>20.16亿</t>
  </si>
  <si>
    <t>92.95亿</t>
  </si>
  <si>
    <t>85.62亿</t>
  </si>
  <si>
    <t>23.27亿</t>
  </si>
  <si>
    <t>2066.22万</t>
  </si>
  <si>
    <t>1.24亿</t>
  </si>
  <si>
    <t>4-1</t>
  </si>
  <si>
    <t>292.89万</t>
  </si>
  <si>
    <t>32.81亿</t>
  </si>
  <si>
    <t>11.19亿</t>
  </si>
  <si>
    <t>32.82亿</t>
  </si>
  <si>
    <t>5.99亿</t>
  </si>
  <si>
    <t>3.49亿</t>
  </si>
  <si>
    <t>188.49万</t>
  </si>
  <si>
    <t>6375.23万</t>
  </si>
  <si>
    <t>1370273亿</t>
  </si>
  <si>
    <t>312.19万</t>
  </si>
  <si>
    <t>-30070437亿</t>
  </si>
  <si>
    <t>130013094亿</t>
  </si>
  <si>
    <t>245.00万</t>
  </si>
  <si>
    <t>1053318260亿</t>
  </si>
  <si>
    <t>3071.09万</t>
  </si>
  <si>
    <t>18.30亿</t>
  </si>
  <si>
    <t>4908.69万</t>
  </si>
  <si>
    <t>3553.43万</t>
  </si>
  <si>
    <t>33.47亿</t>
  </si>
  <si>
    <t>8405.00万</t>
  </si>
  <si>
    <t>3404.25万</t>
  </si>
  <si>
    <t>-6130.27万</t>
  </si>
  <si>
    <t>15.41亿</t>
  </si>
  <si>
    <t>-5670.02万</t>
  </si>
  <si>
    <t>1559.90万</t>
  </si>
  <si>
    <t>122.52万</t>
  </si>
  <si>
    <t>9.50亿</t>
  </si>
  <si>
    <t>41.52亿</t>
  </si>
  <si>
    <t>19.73亿</t>
  </si>
  <si>
    <t>3785.12万</t>
  </si>
  <si>
    <t>3.67亿</t>
  </si>
  <si>
    <t>4248.04万</t>
  </si>
  <si>
    <t>4401.36万</t>
  </si>
  <si>
    <t>21003140亿</t>
  </si>
  <si>
    <t>35.26万</t>
  </si>
  <si>
    <t>25365136亿</t>
  </si>
  <si>
    <t>15.85亿</t>
  </si>
  <si>
    <t>213773890亿</t>
  </si>
  <si>
    <t>10.00万</t>
  </si>
  <si>
    <t>2087606400亿</t>
  </si>
  <si>
    <t>2478.28万</t>
  </si>
  <si>
    <t>1200.00万</t>
  </si>
  <si>
    <t>5972.97万</t>
  </si>
  <si>
    <t>257.22万</t>
  </si>
  <si>
    <t>5.65亿</t>
  </si>
  <si>
    <t>3023.17万</t>
  </si>
  <si>
    <t>4830.69万</t>
  </si>
  <si>
    <t>-4402.98万</t>
  </si>
  <si>
    <t>-836.14万</t>
  </si>
  <si>
    <t>19.28亿</t>
  </si>
  <si>
    <t>-1537.99万</t>
  </si>
  <si>
    <t>10派0.83元(含税)</t>
  </si>
  <si>
    <t>687.68万</t>
  </si>
  <si>
    <t>5487.16万</t>
  </si>
  <si>
    <t>037851200</t>
  </si>
  <si>
    <t>0113553600</t>
  </si>
  <si>
    <t>0227107200</t>
  </si>
  <si>
    <t>0378512000</t>
  </si>
  <si>
    <t>0757024000</t>
  </si>
  <si>
    <t>99.65万</t>
  </si>
  <si>
    <t>7.95亿</t>
  </si>
  <si>
    <t>17.21亿</t>
  </si>
  <si>
    <t>9289.87万</t>
  </si>
  <si>
    <t>223.21亿</t>
  </si>
  <si>
    <t>10.00亿</t>
  </si>
  <si>
    <t>7621.16万</t>
  </si>
  <si>
    <t>6335.23万</t>
  </si>
  <si>
    <t>74.45万</t>
  </si>
  <si>
    <t>862.50万</t>
  </si>
  <si>
    <t>1857777亿</t>
  </si>
  <si>
    <t>39.27万</t>
  </si>
  <si>
    <t>12433609亿</t>
  </si>
  <si>
    <t>33153718亿</t>
  </si>
  <si>
    <t>384307400亿</t>
  </si>
  <si>
    <t>1.16亿</t>
  </si>
  <si>
    <t>5.28亿</t>
  </si>
  <si>
    <t>1.02亿</t>
  </si>
  <si>
    <t>456.37万</t>
  </si>
  <si>
    <t>8064.28万</t>
  </si>
  <si>
    <t>-1.18亿</t>
  </si>
  <si>
    <t>7301.93万</t>
  </si>
  <si>
    <t>45.39亿</t>
  </si>
  <si>
    <t>6903.61万</t>
  </si>
  <si>
    <t>10派0.52元(含税)</t>
  </si>
  <si>
    <t>378.31万</t>
  </si>
  <si>
    <t>4198.33万</t>
  </si>
  <si>
    <t>6475.68万</t>
  </si>
  <si>
    <t>552.66亿</t>
  </si>
  <si>
    <t>1671.47亿</t>
  </si>
  <si>
    <t>182.68亿</t>
  </si>
  <si>
    <t>18.12亿</t>
  </si>
  <si>
    <t>5953.51万</t>
  </si>
  <si>
    <t>145.72亿</t>
  </si>
  <si>
    <t>143.90亿</t>
  </si>
  <si>
    <t>4943.85万</t>
  </si>
  <si>
    <t>765784260亿</t>
  </si>
  <si>
    <t>1682.28万</t>
  </si>
  <si>
    <t>3042095900亿</t>
  </si>
  <si>
    <t>682.17亿</t>
  </si>
  <si>
    <t>5178927200亿</t>
  </si>
  <si>
    <t>83182947000亿</t>
  </si>
  <si>
    <t>25.86亿</t>
  </si>
  <si>
    <t>5303.97万</t>
  </si>
  <si>
    <t>5.33亿</t>
  </si>
  <si>
    <t>48.71亿</t>
  </si>
  <si>
    <t>1147.23万</t>
  </si>
  <si>
    <t>145.39亿</t>
  </si>
  <si>
    <t>105.34亿</t>
  </si>
  <si>
    <t>15.55亿</t>
  </si>
  <si>
    <t>-6.05亿</t>
  </si>
  <si>
    <t>-4831.62万</t>
  </si>
  <si>
    <t>810.20亿</t>
  </si>
  <si>
    <t>119.30亿</t>
  </si>
  <si>
    <t>993.91万</t>
  </si>
  <si>
    <t>10派3.8193元(含税)</t>
  </si>
  <si>
    <t>4.47亿</t>
  </si>
  <si>
    <t>23.03亿</t>
  </si>
  <si>
    <t>059535100</t>
  </si>
  <si>
    <t>0178605300</t>
  </si>
  <si>
    <t>0357210600</t>
  </si>
  <si>
    <t>0595351000</t>
  </si>
  <si>
    <t>01190702000</t>
  </si>
  <si>
    <t>807.93万</t>
  </si>
  <si>
    <t>409.86亿</t>
  </si>
  <si>
    <t>170.85亿</t>
  </si>
  <si>
    <t>20.12亿</t>
  </si>
  <si>
    <t>65.17亿</t>
  </si>
  <si>
    <t>22.52亿</t>
  </si>
  <si>
    <t>15.45亿</t>
  </si>
  <si>
    <t>11.80亿</t>
  </si>
  <si>
    <t>1812.60万</t>
  </si>
  <si>
    <t>13811740亿</t>
  </si>
  <si>
    <t>429.21万</t>
  </si>
  <si>
    <t>380593670亿</t>
  </si>
  <si>
    <t>26.66亿</t>
  </si>
  <si>
    <t>217324860亿</t>
  </si>
  <si>
    <t>47.35万</t>
  </si>
  <si>
    <t>5338493500亿</t>
  </si>
  <si>
    <t>6.10亿</t>
  </si>
  <si>
    <t>13.52亿</t>
  </si>
  <si>
    <t>59.09亿</t>
  </si>
  <si>
    <t>344.52亿</t>
  </si>
  <si>
    <t>-10.03亿</t>
  </si>
  <si>
    <t>105.81亿</t>
  </si>
  <si>
    <t>116.52亿</t>
  </si>
  <si>
    <t>17.86亿</t>
  </si>
  <si>
    <t>11.87亿</t>
  </si>
  <si>
    <t>4.94亿</t>
  </si>
  <si>
    <t>10派2.4元(含税)</t>
  </si>
  <si>
    <t>3373.47万</t>
  </si>
  <si>
    <t>935.08万</t>
  </si>
  <si>
    <t>5.63亿</t>
  </si>
  <si>
    <t>48.47亿</t>
  </si>
  <si>
    <t>47.35亿</t>
  </si>
  <si>
    <t>8.20亿</t>
  </si>
  <si>
    <t>8144.00万</t>
  </si>
  <si>
    <t>5937.13万</t>
  </si>
  <si>
    <t>88.11万</t>
  </si>
  <si>
    <t>2171.44万</t>
  </si>
  <si>
    <t>31908600亿</t>
  </si>
  <si>
    <t>5.19万</t>
  </si>
  <si>
    <t>54641723亿</t>
  </si>
  <si>
    <t>18120309亿</t>
  </si>
  <si>
    <t>615.00万</t>
  </si>
  <si>
    <t>2232713400亿</t>
  </si>
  <si>
    <t>1185.44万</t>
  </si>
  <si>
    <t>3802.76万</t>
  </si>
  <si>
    <t>1251.16万</t>
  </si>
  <si>
    <t>3.34亿</t>
  </si>
  <si>
    <t>-3142.36万</t>
  </si>
  <si>
    <t>-5555.79万</t>
  </si>
  <si>
    <t>350.00万</t>
  </si>
  <si>
    <t>6.52亿</t>
  </si>
  <si>
    <t>9.31亿</t>
  </si>
  <si>
    <t>10派0.64元(含税)</t>
  </si>
  <si>
    <t>4059.02万</t>
  </si>
  <si>
    <t>3.05亿</t>
  </si>
  <si>
    <t>4865.43万</t>
  </si>
  <si>
    <t>108.83亿</t>
  </si>
  <si>
    <t>269.61亿</t>
  </si>
  <si>
    <t>66.00亿</t>
  </si>
  <si>
    <t>715.47亿</t>
  </si>
  <si>
    <t>87.12亿</t>
  </si>
  <si>
    <t>58.61亿</t>
  </si>
  <si>
    <t>57.95亿</t>
  </si>
  <si>
    <t>3799.58万</t>
  </si>
  <si>
    <t>5106884亿</t>
  </si>
  <si>
    <t>204.12万</t>
  </si>
  <si>
    <t>540658600亿</t>
  </si>
  <si>
    <t>25.58亿</t>
  </si>
  <si>
    <t>6272272700亿</t>
  </si>
  <si>
    <t>9693349600亿</t>
  </si>
  <si>
    <t>5.56亿</t>
  </si>
  <si>
    <t>11.01亿</t>
  </si>
  <si>
    <t>24.41亿</t>
  </si>
  <si>
    <t>1365.28万</t>
  </si>
  <si>
    <t>76.67亿</t>
  </si>
  <si>
    <t>-2.24亿</t>
  </si>
  <si>
    <t>261.95亿</t>
  </si>
  <si>
    <t>290.05亿</t>
  </si>
  <si>
    <t>10.58亿</t>
  </si>
  <si>
    <t>69.17亿</t>
  </si>
  <si>
    <t>10派0.7元(含税)</t>
  </si>
  <si>
    <t>1216.79万</t>
  </si>
  <si>
    <t>11.82亿</t>
  </si>
  <si>
    <t>55.32亿</t>
  </si>
  <si>
    <t>7.77亿</t>
  </si>
  <si>
    <t>9906.29万</t>
  </si>
  <si>
    <t>8147.57万</t>
  </si>
  <si>
    <t>1.17万</t>
  </si>
  <si>
    <t>1494.19万</t>
  </si>
  <si>
    <t>119695465亿</t>
  </si>
  <si>
    <t>16.09亿</t>
  </si>
  <si>
    <t>179397850亿</t>
  </si>
  <si>
    <t>2175953600亿</t>
  </si>
  <si>
    <t>249.85万</t>
  </si>
  <si>
    <t>11.11亿</t>
  </si>
  <si>
    <t>-635.27万</t>
  </si>
  <si>
    <t>-881.12万</t>
  </si>
  <si>
    <t>14.47亿</t>
  </si>
  <si>
    <t>5.46亿</t>
  </si>
  <si>
    <t>7037.95万</t>
  </si>
  <si>
    <t>1.22亿</t>
  </si>
  <si>
    <t>743.08亿</t>
  </si>
  <si>
    <t>2210.03亿</t>
  </si>
  <si>
    <t>101.06亿</t>
  </si>
  <si>
    <t>1456.85亿</t>
  </si>
  <si>
    <t>407.92亿</t>
  </si>
  <si>
    <t>61.66亿</t>
  </si>
  <si>
    <t>54.37亿</t>
  </si>
  <si>
    <t>1.97亿</t>
  </si>
  <si>
    <t>2962916400亿</t>
  </si>
  <si>
    <t>144.80亿</t>
  </si>
  <si>
    <t>1767644500亿</t>
  </si>
  <si>
    <t>16942940000亿</t>
  </si>
  <si>
    <t>15.37亿</t>
  </si>
  <si>
    <t>143.55亿</t>
  </si>
  <si>
    <t>573.79亿</t>
  </si>
  <si>
    <t>-4.20亿</t>
  </si>
  <si>
    <t>-25.35亿</t>
  </si>
  <si>
    <t>406.83亿</t>
  </si>
  <si>
    <t>381.58亿</t>
  </si>
  <si>
    <t>115.46亿</t>
  </si>
  <si>
    <t>123.78亿</t>
  </si>
  <si>
    <t>10派1.116元(含税)</t>
  </si>
  <si>
    <t>6.16亿</t>
  </si>
  <si>
    <t>34.59亿</t>
  </si>
  <si>
    <t>429.88万</t>
  </si>
  <si>
    <t>16.69亿</t>
  </si>
  <si>
    <t>9.08亿</t>
  </si>
  <si>
    <t>22.92亿</t>
  </si>
  <si>
    <t>2.08亿</t>
  </si>
  <si>
    <t>394.68万</t>
  </si>
  <si>
    <t>3432.70万</t>
  </si>
  <si>
    <t>-411090亿</t>
  </si>
  <si>
    <t>40.12万</t>
  </si>
  <si>
    <t>-9834299亿</t>
  </si>
  <si>
    <t>205188340亿</t>
  </si>
  <si>
    <t>859973540亿</t>
  </si>
  <si>
    <t>5.22亿</t>
  </si>
  <si>
    <t>131.15万</t>
  </si>
  <si>
    <t>1.74亿</t>
  </si>
  <si>
    <t>3.50亿</t>
  </si>
  <si>
    <t>517.10万</t>
  </si>
  <si>
    <t>5.71亿</t>
  </si>
  <si>
    <t>620.93万</t>
  </si>
  <si>
    <t>-4495.49万</t>
  </si>
  <si>
    <t>-22.36万</t>
  </si>
  <si>
    <t>3936.67万</t>
  </si>
  <si>
    <t>8.42亿</t>
  </si>
  <si>
    <t>-6896.88万</t>
  </si>
  <si>
    <t>2880.93万</t>
  </si>
  <si>
    <t>3102.20万</t>
  </si>
  <si>
    <t>-3-1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</si>
</sst>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theme="1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NumberFormat="1">
      <alignment vertical="center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254000</xdr:colOff>
          <xdr:row>0</xdr:row>
          <xdr:rowOff>101600</xdr:rowOff>
        </xdr:from>
        <xdr:to>
          <xdr:col>147</xdr:col>
          <xdr:colOff>1479550</xdr:colOff>
          <xdr:row>0</xdr:row>
          <xdr:rowOff>412750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32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32" sqref="D32:EP32"/>
    </sheetView>
  </sheetViews>
  <sheetFormatPr defaultRowHeight="14" x14ac:dyDescent="0.25"/>
  <cols>
    <col min="1" max="1" width="37.81640625" customWidth="1"/>
    <col min="2" max="2" width="40.36328125" customWidth="1"/>
    <col min="3" max="3" width="49.26953125" customWidth="1"/>
    <col min="148" max="148" width="27" customWidth="1"/>
  </cols>
  <sheetData>
    <row r="1" spans="1:146" ht="42" customHeight="1" x14ac:dyDescent="0.25">
      <c r="A1" s="3" t="s">
        <v>24</v>
      </c>
      <c r="B1" s="4" t="s">
        <v>25</v>
      </c>
      <c r="C1" s="3" t="s">
        <v>26</v>
      </c>
      <c r="D1" t="s">
        <v>297</v>
      </c>
      <c r="E1" t="s">
        <v>350</v>
      </c>
      <c r="F1" t="s">
        <v>3</v>
      </c>
      <c r="G1" t="s">
        <v>386</v>
      </c>
      <c r="H1" t="s">
        <v>387</v>
      </c>
      <c r="I1" t="s">
        <v>27</v>
      </c>
      <c r="J1" t="s">
        <v>28</v>
      </c>
      <c r="K1" t="s">
        <v>4</v>
      </c>
      <c r="L1" t="s">
        <v>29</v>
      </c>
      <c r="M1" t="s">
        <v>30</v>
      </c>
      <c r="N1" t="s">
        <v>31</v>
      </c>
      <c r="O1" t="s">
        <v>32</v>
      </c>
      <c r="P1" t="s">
        <v>388</v>
      </c>
      <c r="Q1" t="s">
        <v>351</v>
      </c>
      <c r="R1" t="s">
        <v>352</v>
      </c>
      <c r="S1" t="s">
        <v>33</v>
      </c>
      <c r="T1" t="s">
        <v>389</v>
      </c>
      <c r="U1" t="s">
        <v>298</v>
      </c>
      <c r="V1" t="s">
        <v>34</v>
      </c>
      <c r="W1" t="s">
        <v>353</v>
      </c>
      <c r="X1" t="s">
        <v>354</v>
      </c>
      <c r="Y1" t="s">
        <v>355</v>
      </c>
      <c r="Z1" t="s">
        <v>356</v>
      </c>
      <c r="AA1" t="s">
        <v>357</v>
      </c>
      <c r="AB1" t="s">
        <v>390</v>
      </c>
      <c r="AC1" t="s">
        <v>358</v>
      </c>
      <c r="AD1" t="s">
        <v>359</v>
      </c>
      <c r="AE1" t="s">
        <v>35</v>
      </c>
      <c r="AF1" t="s">
        <v>36</v>
      </c>
      <c r="AG1" t="s">
        <v>391</v>
      </c>
      <c r="AH1" t="s">
        <v>360</v>
      </c>
      <c r="AI1" t="s">
        <v>392</v>
      </c>
      <c r="AJ1" t="s">
        <v>37</v>
      </c>
      <c r="AK1" t="s">
        <v>393</v>
      </c>
      <c r="AL1" t="s">
        <v>104</v>
      </c>
      <c r="AM1" t="s">
        <v>394</v>
      </c>
      <c r="AN1" t="s">
        <v>395</v>
      </c>
      <c r="AO1" t="s">
        <v>396</v>
      </c>
      <c r="AP1" t="s">
        <v>397</v>
      </c>
      <c r="AQ1" t="s">
        <v>398</v>
      </c>
      <c r="AR1" t="s">
        <v>399</v>
      </c>
      <c r="AS1" t="s">
        <v>400</v>
      </c>
      <c r="AT1" t="s">
        <v>401</v>
      </c>
      <c r="AU1" t="s">
        <v>402</v>
      </c>
      <c r="AV1" t="s">
        <v>403</v>
      </c>
      <c r="AW1" t="s">
        <v>404</v>
      </c>
      <c r="AX1" t="s">
        <v>361</v>
      </c>
      <c r="AY1" t="s">
        <v>105</v>
      </c>
      <c r="AZ1" t="s">
        <v>106</v>
      </c>
      <c r="BA1" t="s">
        <v>107</v>
      </c>
      <c r="BB1" t="s">
        <v>108</v>
      </c>
      <c r="BC1" t="s">
        <v>299</v>
      </c>
      <c r="BD1" t="s">
        <v>109</v>
      </c>
      <c r="BE1" t="s">
        <v>110</v>
      </c>
      <c r="BF1" t="s">
        <v>111</v>
      </c>
      <c r="BG1" t="s">
        <v>112</v>
      </c>
      <c r="BH1" t="s">
        <v>405</v>
      </c>
      <c r="BI1" t="s">
        <v>406</v>
      </c>
      <c r="BJ1" t="s">
        <v>407</v>
      </c>
      <c r="BK1" t="s">
        <v>408</v>
      </c>
      <c r="BL1" t="s">
        <v>409</v>
      </c>
      <c r="BM1" t="s">
        <v>410</v>
      </c>
      <c r="BN1" t="s">
        <v>362</v>
      </c>
      <c r="BO1" t="s">
        <v>300</v>
      </c>
      <c r="BP1" t="s">
        <v>113</v>
      </c>
      <c r="BQ1" t="s">
        <v>363</v>
      </c>
      <c r="BR1" t="s">
        <v>301</v>
      </c>
      <c r="BS1" t="s">
        <v>114</v>
      </c>
      <c r="BT1" t="s">
        <v>411</v>
      </c>
      <c r="BU1" t="s">
        <v>364</v>
      </c>
      <c r="BV1" t="s">
        <v>412</v>
      </c>
      <c r="BW1" t="s">
        <v>236</v>
      </c>
      <c r="BX1" t="s">
        <v>115</v>
      </c>
      <c r="BY1" t="s">
        <v>413</v>
      </c>
      <c r="BZ1" t="s">
        <v>237</v>
      </c>
      <c r="CA1" t="s">
        <v>116</v>
      </c>
      <c r="CB1" t="s">
        <v>414</v>
      </c>
      <c r="CC1" t="s">
        <v>415</v>
      </c>
      <c r="CD1" t="s">
        <v>416</v>
      </c>
      <c r="CE1" t="s">
        <v>417</v>
      </c>
      <c r="CF1" s="1" t="s">
        <v>365</v>
      </c>
      <c r="CG1" s="1" t="s">
        <v>366</v>
      </c>
      <c r="CH1" s="1" t="s">
        <v>223</v>
      </c>
      <c r="CI1" s="1" t="s">
        <v>224</v>
      </c>
      <c r="CJ1" s="1" t="s">
        <v>225</v>
      </c>
      <c r="CK1" s="1" t="s">
        <v>226</v>
      </c>
      <c r="CL1" s="1" t="s">
        <v>227</v>
      </c>
      <c r="CM1" s="1" t="s">
        <v>228</v>
      </c>
      <c r="CN1" s="1" t="s">
        <v>229</v>
      </c>
      <c r="CO1" s="1" t="s">
        <v>230</v>
      </c>
      <c r="CP1" s="1" t="s">
        <v>231</v>
      </c>
      <c r="CQ1" s="1" t="s">
        <v>232</v>
      </c>
      <c r="CR1" s="1" t="s">
        <v>418</v>
      </c>
      <c r="CS1" s="1" t="s">
        <v>419</v>
      </c>
      <c r="CT1" s="1" t="s">
        <v>420</v>
      </c>
      <c r="CU1" s="1" t="s">
        <v>421</v>
      </c>
      <c r="CV1" s="1" t="s">
        <v>422</v>
      </c>
      <c r="CW1" s="1" t="s">
        <v>423</v>
      </c>
      <c r="CX1">
        <v>1</v>
      </c>
      <c r="CY1" t="s">
        <v>424</v>
      </c>
      <c r="CZ1" t="s">
        <v>367</v>
      </c>
      <c r="DA1">
        <v>3</v>
      </c>
      <c r="DB1" t="s">
        <v>425</v>
      </c>
      <c r="DC1" t="s">
        <v>368</v>
      </c>
      <c r="DD1">
        <v>6</v>
      </c>
      <c r="DE1" t="s">
        <v>369</v>
      </c>
      <c r="DF1" t="s">
        <v>426</v>
      </c>
      <c r="DG1">
        <v>10</v>
      </c>
      <c r="DH1" t="s">
        <v>427</v>
      </c>
      <c r="DI1" t="s">
        <v>428</v>
      </c>
      <c r="DJ1">
        <v>20</v>
      </c>
      <c r="DK1" t="s">
        <v>429</v>
      </c>
      <c r="DL1" t="s">
        <v>233</v>
      </c>
      <c r="DM1" t="s">
        <v>234</v>
      </c>
      <c r="DN1" s="2" t="s">
        <v>235</v>
      </c>
      <c r="DO1" t="s">
        <v>430</v>
      </c>
      <c r="DP1" t="s">
        <v>431</v>
      </c>
      <c r="DQ1" s="7" t="s">
        <v>370</v>
      </c>
      <c r="DR1" s="1" t="s">
        <v>432</v>
      </c>
      <c r="DS1" s="1" t="s">
        <v>433</v>
      </c>
      <c r="DT1" t="s">
        <v>434</v>
      </c>
      <c r="DU1" t="s">
        <v>435</v>
      </c>
      <c r="DV1" t="s">
        <v>371</v>
      </c>
      <c r="DW1" t="s">
        <v>436</v>
      </c>
      <c r="DX1" t="s">
        <v>437</v>
      </c>
      <c r="DY1" t="s">
        <v>438</v>
      </c>
      <c r="DZ1" t="s">
        <v>439</v>
      </c>
      <c r="EA1" t="s">
        <v>440</v>
      </c>
      <c r="EB1" t="s">
        <v>441</v>
      </c>
      <c r="EC1" t="s">
        <v>442</v>
      </c>
      <c r="ED1" t="s">
        <v>443</v>
      </c>
      <c r="EE1" t="s">
        <v>444</v>
      </c>
      <c r="EF1" t="s">
        <v>445</v>
      </c>
      <c r="EG1" t="s">
        <v>446</v>
      </c>
      <c r="EH1" t="s">
        <v>447</v>
      </c>
      <c r="EI1" t="s">
        <v>448</v>
      </c>
      <c r="EK1" s="8" t="s">
        <v>449</v>
      </c>
      <c r="EL1" t="s">
        <v>450</v>
      </c>
      <c r="EM1" t="s">
        <v>451</v>
      </c>
      <c r="EN1" t="s">
        <v>452</v>
      </c>
      <c r="EO1" t="s">
        <v>453</v>
      </c>
      <c r="EP1" t="s">
        <v>454</v>
      </c>
    </row>
    <row r="2" spans="1:146" ht="96" x14ac:dyDescent="0.25">
      <c r="A2" s="14"/>
      <c r="B2" s="14"/>
      <c r="C2" s="14" t="str">
        <f>""&amp;CHAR(10)&amp;Basic_Fundamental_Information_Constructure(F2)&amp;CHAR(10)&amp;Basic_Fundamental_Information_Concatenate("")</f>
        <v xml:space="preserve">
市值233.54304亿, 利润16.34亿; PE14.2; 平均PE16.25; 平均PEG1.22, PB2.26; ROIC11.8367%; ROE16.25%; 股利率4.897%; 毛利63.26%; 净利45.1033%; 上一年度营收增17.03%, 利润增28.06%; 当季营收增-2.68%, 利润增2.61%; 过往5年营收增13.3%, 利润增9.13%
Income profile:
</v>
      </c>
      <c r="D2" t="s">
        <v>38</v>
      </c>
      <c r="E2" t="s">
        <v>12</v>
      </c>
      <c r="F2">
        <v>11.17</v>
      </c>
      <c r="G2">
        <v>1.27</v>
      </c>
      <c r="H2" t="s">
        <v>610</v>
      </c>
      <c r="I2">
        <v>23354304000</v>
      </c>
      <c r="J2">
        <v>14.2</v>
      </c>
      <c r="K2">
        <v>2.2599999999999998</v>
      </c>
      <c r="L2" t="s">
        <v>39</v>
      </c>
      <c r="M2" t="s">
        <v>611</v>
      </c>
      <c r="N2" t="s">
        <v>612</v>
      </c>
      <c r="O2" t="s">
        <v>613</v>
      </c>
      <c r="P2">
        <v>-2.61</v>
      </c>
      <c r="Q2" t="s">
        <v>614</v>
      </c>
      <c r="R2">
        <v>420705860</v>
      </c>
      <c r="S2" s="5">
        <v>2.6499999999999999E-2</v>
      </c>
      <c r="T2" t="s">
        <v>615</v>
      </c>
      <c r="U2">
        <v>1303329910</v>
      </c>
      <c r="V2">
        <v>2090806100</v>
      </c>
      <c r="W2">
        <v>1.66</v>
      </c>
      <c r="X2">
        <v>0.05</v>
      </c>
      <c r="Y2">
        <v>49.86</v>
      </c>
      <c r="Z2" t="s">
        <v>616</v>
      </c>
      <c r="AA2" t="s">
        <v>617</v>
      </c>
      <c r="AB2" t="s">
        <v>40</v>
      </c>
      <c r="AC2" t="s">
        <v>618</v>
      </c>
      <c r="AD2" t="s">
        <v>40</v>
      </c>
      <c r="AE2">
        <v>24673665</v>
      </c>
      <c r="AF2" t="s">
        <v>619</v>
      </c>
      <c r="AG2" t="s">
        <v>620</v>
      </c>
      <c r="AH2" t="s">
        <v>621</v>
      </c>
      <c r="AI2" t="s">
        <v>622</v>
      </c>
      <c r="AJ2" t="s">
        <v>623</v>
      </c>
      <c r="AK2" t="s">
        <v>40</v>
      </c>
      <c r="AL2" t="s">
        <v>624</v>
      </c>
      <c r="AM2" t="s">
        <v>625</v>
      </c>
      <c r="AN2" t="s">
        <v>626</v>
      </c>
      <c r="AO2" t="s">
        <v>378</v>
      </c>
      <c r="AP2" t="s">
        <v>40</v>
      </c>
      <c r="AQ2" t="s">
        <v>531</v>
      </c>
      <c r="AR2" t="s">
        <v>627</v>
      </c>
      <c r="AS2" t="s">
        <v>628</v>
      </c>
      <c r="AT2" t="s">
        <v>629</v>
      </c>
      <c r="AU2" t="s">
        <v>630</v>
      </c>
      <c r="AV2" t="s">
        <v>266</v>
      </c>
      <c r="AW2" t="s">
        <v>631</v>
      </c>
      <c r="AX2" t="s">
        <v>475</v>
      </c>
      <c r="AY2" t="s">
        <v>302</v>
      </c>
      <c r="AZ2" t="s">
        <v>117</v>
      </c>
      <c r="BA2" t="s">
        <v>121</v>
      </c>
      <c r="BB2" t="s">
        <v>122</v>
      </c>
      <c r="BC2" t="s">
        <v>632</v>
      </c>
      <c r="BD2" t="s">
        <v>303</v>
      </c>
      <c r="BE2" t="s">
        <v>118</v>
      </c>
      <c r="BF2" t="s">
        <v>123</v>
      </c>
      <c r="BG2" t="s">
        <v>124</v>
      </c>
      <c r="BH2" t="s">
        <v>614</v>
      </c>
      <c r="BI2" t="s">
        <v>633</v>
      </c>
      <c r="BJ2" t="s">
        <v>475</v>
      </c>
      <c r="BK2" t="s">
        <v>615</v>
      </c>
      <c r="BL2" t="s">
        <v>634</v>
      </c>
      <c r="BM2" t="s">
        <v>632</v>
      </c>
      <c r="BN2">
        <v>10.119999999999999</v>
      </c>
      <c r="BO2">
        <v>10.56</v>
      </c>
      <c r="BP2">
        <v>14.83</v>
      </c>
      <c r="BQ2">
        <v>14.34</v>
      </c>
      <c r="BR2">
        <v>14.3</v>
      </c>
      <c r="BS2">
        <v>20.11</v>
      </c>
      <c r="BT2" t="s">
        <v>635</v>
      </c>
      <c r="BU2" t="s">
        <v>372</v>
      </c>
      <c r="BV2">
        <v>64.319999999999993</v>
      </c>
      <c r="BW2">
        <v>61.95</v>
      </c>
      <c r="BX2">
        <v>63.51</v>
      </c>
      <c r="BY2">
        <v>46.37</v>
      </c>
      <c r="BZ2">
        <v>43.05</v>
      </c>
      <c r="CA2">
        <v>45.89</v>
      </c>
      <c r="CB2">
        <v>7.3</v>
      </c>
      <c r="CC2">
        <v>8.4499999999999993</v>
      </c>
      <c r="CD2" t="s">
        <v>636</v>
      </c>
      <c r="CE2" t="s">
        <v>545</v>
      </c>
      <c r="CF2" s="9">
        <v>-2.6839826839826841E-2</v>
      </c>
      <c r="CG2" s="10">
        <v>2.6111853658536733E-2</v>
      </c>
      <c r="CH2" s="9">
        <v>0.17030465602874756</v>
      </c>
      <c r="CI2" s="9">
        <v>-0.21161121129989624</v>
      </c>
      <c r="CJ2" s="9">
        <v>0.39525061845779419</v>
      </c>
      <c r="CK2" s="9">
        <v>-0.24184834957122803</v>
      </c>
      <c r="CL2" s="9">
        <v>0.55296677350997925</v>
      </c>
      <c r="CM2" s="10">
        <v>0.28056424856185913</v>
      </c>
      <c r="CN2" s="10">
        <v>-0.24941176176071167</v>
      </c>
      <c r="CO2" s="10">
        <v>0.95852535963058472</v>
      </c>
      <c r="CP2" s="10">
        <v>-0.4091218113899231</v>
      </c>
      <c r="CQ2" s="10">
        <v>-0.12403101474046707</v>
      </c>
      <c r="CR2">
        <v>16.248356215213359</v>
      </c>
      <c r="CS2">
        <v>1.2215661332398795</v>
      </c>
      <c r="CT2">
        <v>4.8970456580125337</v>
      </c>
      <c r="CU2" s="9">
        <v>0.13301249742507934</v>
      </c>
      <c r="CV2" s="10">
        <v>9.1305004060268397E-2</v>
      </c>
      <c r="CW2">
        <v>0.06</v>
      </c>
      <c r="CX2">
        <v>11.051106489117837</v>
      </c>
      <c r="CY2">
        <v>1746549453.5779052</v>
      </c>
      <c r="CZ2">
        <v>0.13301249742507934</v>
      </c>
      <c r="DA2">
        <v>3.4828562566825854</v>
      </c>
      <c r="DB2">
        <v>5541803214.8086576</v>
      </c>
      <c r="DC2">
        <v>0.12636187255382536</v>
      </c>
      <c r="DD2">
        <v>1.6321470541631198</v>
      </c>
      <c r="DE2">
        <v>11825713835.507736</v>
      </c>
      <c r="DF2">
        <v>0.11705099773406982</v>
      </c>
      <c r="DG2">
        <v>0.92617664336404137</v>
      </c>
      <c r="DH2">
        <v>20839765435.990879</v>
      </c>
      <c r="DI2">
        <v>0.10640999794006348</v>
      </c>
      <c r="DJ2">
        <v>0.42096127948754619</v>
      </c>
      <c r="DK2">
        <v>45850544790.00132</v>
      </c>
      <c r="DL2">
        <v>9.3108748197555533E-2</v>
      </c>
      <c r="DM2">
        <v>1634000000</v>
      </c>
      <c r="DN2">
        <v>0.13301249742507934</v>
      </c>
      <c r="DO2">
        <v>19301304000</v>
      </c>
      <c r="DP2">
        <v>3515196800</v>
      </c>
      <c r="DQ2">
        <v>89</v>
      </c>
      <c r="DR2">
        <v>-0.15985232426490617</v>
      </c>
      <c r="DS2">
        <v>-6.5193150401731667E-2</v>
      </c>
      <c r="DT2" s="11">
        <v>-0.3066666666666667</v>
      </c>
      <c r="DU2">
        <v>0.16666666666666666</v>
      </c>
      <c r="DV2">
        <v>-0.14000000000000004</v>
      </c>
      <c r="DW2">
        <v>9.8639053254437865</v>
      </c>
      <c r="DX2">
        <v>0.60492850704225654</v>
      </c>
      <c r="DY2">
        <v>9.2288731480956745</v>
      </c>
      <c r="DZ2">
        <v>2044</v>
      </c>
      <c r="EA2">
        <v>9.137323888857404</v>
      </c>
      <c r="EB2">
        <v>9</v>
      </c>
      <c r="EC2">
        <v>3.5985976891879164E-2</v>
      </c>
      <c r="ED2">
        <v>0.1358327776066848</v>
      </c>
      <c r="EE2" s="12">
        <v>6.7900000000000002E-2</v>
      </c>
      <c r="EF2">
        <v>7.6700000000000004E-2</v>
      </c>
      <c r="EG2">
        <v>34.264928507042256</v>
      </c>
      <c r="EH2" t="s">
        <v>377</v>
      </c>
      <c r="EI2">
        <v>1</v>
      </c>
      <c r="EJ2">
        <v>0</v>
      </c>
      <c r="EK2" s="8">
        <v>45470</v>
      </c>
      <c r="EL2" s="13">
        <v>-0.48</v>
      </c>
      <c r="EM2" s="13">
        <v>-1.43</v>
      </c>
      <c r="EN2" s="13">
        <v>0.39</v>
      </c>
      <c r="EO2" s="13">
        <v>-0.97</v>
      </c>
      <c r="EP2" s="13">
        <v>0.88</v>
      </c>
    </row>
    <row r="3" spans="1:146" ht="96" x14ac:dyDescent="0.25">
      <c r="A3" s="14"/>
      <c r="B3" s="14"/>
      <c r="C3" s="14" t="str">
        <f>""&amp;CHAR(10)&amp;Basic_Fundamental_Information_Constructure(F3)&amp;CHAR(10)&amp;Basic_Fundamental_Information_Concatenate("")</f>
        <v xml:space="preserve">
市值20.018554亿, 利润1.49亿; PE12.11; 平均PE28.68; 平均PEG.59, PB.983; ROIC2.4833%; ROE2.78%; 股利率2.2444%; 毛利36.7433%; 净利10.8067%; 上一年度营收增201.2%, 利润增320.92%; 当季营收增106.42%, 利润增86.31%; 过往5年营收增48.81%, 利润增68.67%
Income profile:
</v>
      </c>
      <c r="D3" t="s">
        <v>41</v>
      </c>
      <c r="E3" t="s">
        <v>5</v>
      </c>
      <c r="F3">
        <v>4.01</v>
      </c>
      <c r="G3">
        <v>1.26</v>
      </c>
      <c r="H3" t="s">
        <v>637</v>
      </c>
      <c r="I3">
        <v>2001855400</v>
      </c>
      <c r="J3">
        <v>12.11</v>
      </c>
      <c r="K3">
        <v>0.98299999999999998</v>
      </c>
      <c r="L3" t="s">
        <v>39</v>
      </c>
      <c r="M3" t="s">
        <v>638</v>
      </c>
      <c r="N3" t="s">
        <v>639</v>
      </c>
      <c r="O3" t="s">
        <v>171</v>
      </c>
      <c r="P3">
        <v>106.19</v>
      </c>
      <c r="Q3" t="s">
        <v>640</v>
      </c>
      <c r="R3">
        <v>35883419</v>
      </c>
      <c r="S3" s="5">
        <v>0.86309999999999998</v>
      </c>
      <c r="T3" t="s">
        <v>641</v>
      </c>
      <c r="U3">
        <v>499188810</v>
      </c>
      <c r="V3">
        <v>499215810</v>
      </c>
      <c r="W3">
        <v>1.39</v>
      </c>
      <c r="X3">
        <v>0.08</v>
      </c>
      <c r="Y3">
        <v>15.97</v>
      </c>
      <c r="Z3" t="s">
        <v>471</v>
      </c>
      <c r="AA3" t="s">
        <v>642</v>
      </c>
      <c r="AB3" t="s">
        <v>643</v>
      </c>
      <c r="AC3" t="s">
        <v>644</v>
      </c>
      <c r="AD3" t="s">
        <v>40</v>
      </c>
      <c r="AE3">
        <v>-340849</v>
      </c>
      <c r="AF3" t="s">
        <v>50</v>
      </c>
      <c r="AG3" t="s">
        <v>645</v>
      </c>
      <c r="AH3" t="s">
        <v>646</v>
      </c>
      <c r="AI3" t="s">
        <v>647</v>
      </c>
      <c r="AJ3" t="s">
        <v>648</v>
      </c>
      <c r="AK3" t="s">
        <v>40</v>
      </c>
      <c r="AL3" t="s">
        <v>649</v>
      </c>
      <c r="AM3" t="s">
        <v>40</v>
      </c>
      <c r="AN3" t="s">
        <v>650</v>
      </c>
      <c r="AO3" t="s">
        <v>40</v>
      </c>
      <c r="AP3" t="s">
        <v>40</v>
      </c>
      <c r="AQ3" t="s">
        <v>651</v>
      </c>
      <c r="AR3" t="s">
        <v>652</v>
      </c>
      <c r="AS3" t="s">
        <v>566</v>
      </c>
      <c r="AT3" t="s">
        <v>653</v>
      </c>
      <c r="AU3" t="s">
        <v>654</v>
      </c>
      <c r="AV3" t="s">
        <v>655</v>
      </c>
      <c r="AW3" t="s">
        <v>656</v>
      </c>
      <c r="AX3" t="s">
        <v>478</v>
      </c>
      <c r="AY3" t="s">
        <v>87</v>
      </c>
      <c r="AZ3" t="s">
        <v>125</v>
      </c>
      <c r="BA3" t="s">
        <v>42</v>
      </c>
      <c r="BB3" t="s">
        <v>127</v>
      </c>
      <c r="BC3" t="s">
        <v>657</v>
      </c>
      <c r="BD3" t="s">
        <v>304</v>
      </c>
      <c r="BE3" t="s">
        <v>126</v>
      </c>
      <c r="BF3" t="s">
        <v>43</v>
      </c>
      <c r="BG3" t="s">
        <v>128</v>
      </c>
      <c r="BH3" t="s">
        <v>640</v>
      </c>
      <c r="BI3" t="s">
        <v>604</v>
      </c>
      <c r="BJ3" t="s">
        <v>478</v>
      </c>
      <c r="BK3" t="s">
        <v>641</v>
      </c>
      <c r="BL3" t="s">
        <v>658</v>
      </c>
      <c r="BM3" t="s">
        <v>657</v>
      </c>
      <c r="BN3">
        <v>3.14</v>
      </c>
      <c r="BO3">
        <v>1.67</v>
      </c>
      <c r="BP3">
        <v>2.64</v>
      </c>
      <c r="BQ3">
        <v>3.59</v>
      </c>
      <c r="BR3">
        <v>1.89</v>
      </c>
      <c r="BS3">
        <v>2.86</v>
      </c>
      <c r="BT3" t="s">
        <v>659</v>
      </c>
      <c r="BU3" t="s">
        <v>372</v>
      </c>
      <c r="BV3">
        <v>31.05</v>
      </c>
      <c r="BW3">
        <v>40.25</v>
      </c>
      <c r="BX3">
        <v>38.93</v>
      </c>
      <c r="BY3">
        <v>11.9</v>
      </c>
      <c r="BZ3">
        <v>8.42</v>
      </c>
      <c r="CA3">
        <v>12.1</v>
      </c>
      <c r="CB3">
        <v>-0.25</v>
      </c>
      <c r="CC3">
        <v>-8.66</v>
      </c>
      <c r="CD3" t="s">
        <v>660</v>
      </c>
      <c r="CE3" t="s">
        <v>661</v>
      </c>
      <c r="CF3" s="9">
        <v>1.0642201834862381</v>
      </c>
      <c r="CG3" s="10">
        <v>0.86312521417667887</v>
      </c>
      <c r="CH3" s="9">
        <v>2.0120482444763184</v>
      </c>
      <c r="CI3" s="9">
        <v>-3.2634031027555466E-2</v>
      </c>
      <c r="CJ3" s="9">
        <v>-1.6055045649409294E-2</v>
      </c>
      <c r="CK3" s="9">
        <v>0.5138888955116272</v>
      </c>
      <c r="CL3" s="9">
        <v>-3.6789298057556152E-2</v>
      </c>
      <c r="CM3" s="10">
        <v>3.2092061042785645</v>
      </c>
      <c r="CN3" s="10">
        <v>-0.31779226660728455</v>
      </c>
      <c r="CO3" s="10">
        <v>-0.40256303548812866</v>
      </c>
      <c r="CP3" s="10">
        <v>0.56897413730621338</v>
      </c>
      <c r="CQ3" s="10">
        <v>0.37555414438247681</v>
      </c>
      <c r="CR3">
        <v>28.684232849114622</v>
      </c>
      <c r="CS3">
        <v>0.58768116178631613</v>
      </c>
      <c r="CT3">
        <v>2.2443890274314215</v>
      </c>
      <c r="CU3" s="9">
        <v>0.48809175305068492</v>
      </c>
      <c r="CV3" s="10">
        <v>0.68667581677436829</v>
      </c>
      <c r="CW3">
        <v>0.06</v>
      </c>
      <c r="CX3">
        <v>4.6126671685953289</v>
      </c>
      <c r="CY3">
        <v>209175161.51372835</v>
      </c>
      <c r="CZ3">
        <v>0.48809175305068492</v>
      </c>
      <c r="DA3">
        <v>1.0937664724916656</v>
      </c>
      <c r="DB3">
        <v>882140223.04231143</v>
      </c>
      <c r="DC3">
        <v>0.46368716539815064</v>
      </c>
      <c r="DD3">
        <v>0.33370836763235878</v>
      </c>
      <c r="DE3">
        <v>2891313175.1702609</v>
      </c>
      <c r="DF3">
        <v>0.42952074268460272</v>
      </c>
      <c r="DG3">
        <v>0.1092618175835714</v>
      </c>
      <c r="DH3">
        <v>8830673160.4753723</v>
      </c>
      <c r="DI3">
        <v>0.39047340244054796</v>
      </c>
      <c r="DJ3">
        <v>1.2317471639104216E-2</v>
      </c>
      <c r="DK3">
        <v>78332260732.541763</v>
      </c>
      <c r="DL3">
        <v>0.34166422713547945</v>
      </c>
      <c r="DM3">
        <v>149000000</v>
      </c>
      <c r="DN3">
        <v>0.48809175305068492</v>
      </c>
      <c r="DO3">
        <v>964855400</v>
      </c>
      <c r="DP3">
        <v>1113043200</v>
      </c>
      <c r="DQ3">
        <v>130</v>
      </c>
      <c r="DR3">
        <v>0.57612843043555317</v>
      </c>
      <c r="DS3">
        <v>0.17644939740231058</v>
      </c>
      <c r="DT3" s="11">
        <v>-2.3333333333333355E-2</v>
      </c>
      <c r="DU3">
        <v>0.67333333333333334</v>
      </c>
      <c r="DV3">
        <v>0.65</v>
      </c>
      <c r="DW3">
        <v>-2.0865999999999998</v>
      </c>
      <c r="DX3">
        <v>0.37395882352941001</v>
      </c>
      <c r="DY3">
        <v>-2.0107348341176472</v>
      </c>
      <c r="DZ3">
        <v>517</v>
      </c>
      <c r="EA3">
        <v>-2.0096487462039829</v>
      </c>
      <c r="EB3">
        <v>2</v>
      </c>
      <c r="EC3">
        <v>5.0654645733275161E-2</v>
      </c>
      <c r="ED3">
        <v>0.40864090422136268</v>
      </c>
      <c r="EE3" s="12">
        <v>-2.0039099999999999</v>
      </c>
      <c r="EF3">
        <v>-2.0188100000000002</v>
      </c>
      <c r="EG3">
        <v>25.12395882352941</v>
      </c>
      <c r="EH3" t="s">
        <v>662</v>
      </c>
      <c r="EI3">
        <v>0</v>
      </c>
      <c r="EJ3">
        <v>1</v>
      </c>
      <c r="EK3" s="8">
        <v>45470</v>
      </c>
      <c r="EL3" s="13">
        <v>0.74</v>
      </c>
      <c r="EM3" s="13">
        <v>-5.16</v>
      </c>
      <c r="EN3" s="13">
        <v>2.33</v>
      </c>
      <c r="EO3" s="13">
        <v>2.0299999999999998</v>
      </c>
      <c r="EP3" s="13">
        <v>-1.49</v>
      </c>
    </row>
    <row r="4" spans="1:146" ht="96" x14ac:dyDescent="0.25">
      <c r="A4" s="14"/>
      <c r="B4" s="14"/>
      <c r="C4" s="14" t="str">
        <f>""&amp;CHAR(10)&amp;Basic_Fundamental_Information_Constructure(F4)&amp;CHAR(10)&amp;Basic_Fundamental_Information_Concatenate("")</f>
        <v xml:space="preserve">
市值55.564077亿, 利润2.42亿; PE22.46; 平均PE31.16; 平均PEG1.68, PB.937; ROIC3.54%; ROE4.0233%; 股利率0%; 毛利24.4167%; 净利15.38%; 上一年度营收增-6.72%, 利润增1.68%; 当季营收增-13.23%, 利润增6.27%; 过往5年营收增18.55%, 利润增50.57%
Income profile:
</v>
      </c>
      <c r="D4" t="s">
        <v>45</v>
      </c>
      <c r="E4" t="s">
        <v>6</v>
      </c>
      <c r="F4">
        <v>3.81</v>
      </c>
      <c r="G4">
        <v>1.33</v>
      </c>
      <c r="H4" t="s">
        <v>663</v>
      </c>
      <c r="I4">
        <v>5556407700</v>
      </c>
      <c r="J4">
        <v>22.46</v>
      </c>
      <c r="K4">
        <v>0.93700000000000006</v>
      </c>
      <c r="L4" t="s">
        <v>39</v>
      </c>
      <c r="M4" t="s">
        <v>664</v>
      </c>
      <c r="N4" t="s">
        <v>665</v>
      </c>
      <c r="O4" t="s">
        <v>290</v>
      </c>
      <c r="P4">
        <v>-13.12</v>
      </c>
      <c r="Q4" t="s">
        <v>666</v>
      </c>
      <c r="R4">
        <v>84313918</v>
      </c>
      <c r="S4" s="5">
        <v>6.2700000000000006E-2</v>
      </c>
      <c r="T4" t="s">
        <v>157</v>
      </c>
      <c r="U4">
        <v>1457916200</v>
      </c>
      <c r="V4">
        <v>1458374700</v>
      </c>
      <c r="W4">
        <v>1.07</v>
      </c>
      <c r="X4">
        <v>0.05</v>
      </c>
      <c r="Y4">
        <v>25.7</v>
      </c>
      <c r="Z4" t="s">
        <v>168</v>
      </c>
      <c r="AA4" t="s">
        <v>667</v>
      </c>
      <c r="AB4" t="s">
        <v>668</v>
      </c>
      <c r="AC4" t="s">
        <v>669</v>
      </c>
      <c r="AD4" t="s">
        <v>40</v>
      </c>
      <c r="AE4">
        <v>-13820509</v>
      </c>
      <c r="AF4" t="s">
        <v>50</v>
      </c>
      <c r="AG4" t="s">
        <v>670</v>
      </c>
      <c r="AH4" t="s">
        <v>671</v>
      </c>
      <c r="AI4" t="s">
        <v>672</v>
      </c>
      <c r="AJ4" t="s">
        <v>673</v>
      </c>
      <c r="AK4" t="s">
        <v>674</v>
      </c>
      <c r="AL4" t="s">
        <v>675</v>
      </c>
      <c r="AM4" t="s">
        <v>40</v>
      </c>
      <c r="AN4" t="s">
        <v>676</v>
      </c>
      <c r="AO4" t="s">
        <v>40</v>
      </c>
      <c r="AP4" t="s">
        <v>677</v>
      </c>
      <c r="AQ4" t="s">
        <v>583</v>
      </c>
      <c r="AR4" t="s">
        <v>678</v>
      </c>
      <c r="AS4" t="s">
        <v>679</v>
      </c>
      <c r="AT4" t="s">
        <v>40</v>
      </c>
      <c r="AU4" t="s">
        <v>543</v>
      </c>
      <c r="AV4" t="s">
        <v>680</v>
      </c>
      <c r="AW4" t="s">
        <v>681</v>
      </c>
      <c r="AX4" t="s">
        <v>480</v>
      </c>
      <c r="AY4" t="s">
        <v>305</v>
      </c>
      <c r="AZ4" t="s">
        <v>130</v>
      </c>
      <c r="BA4" t="s">
        <v>47</v>
      </c>
      <c r="BB4" t="s">
        <v>132</v>
      </c>
      <c r="BC4" t="s">
        <v>170</v>
      </c>
      <c r="BD4" t="s">
        <v>306</v>
      </c>
      <c r="BE4" t="s">
        <v>131</v>
      </c>
      <c r="BF4" t="s">
        <v>48</v>
      </c>
      <c r="BG4" t="s">
        <v>95</v>
      </c>
      <c r="BH4" t="s">
        <v>666</v>
      </c>
      <c r="BI4" t="s">
        <v>682</v>
      </c>
      <c r="BJ4" t="s">
        <v>480</v>
      </c>
      <c r="BK4" t="s">
        <v>157</v>
      </c>
      <c r="BL4" t="s">
        <v>683</v>
      </c>
      <c r="BM4" t="s">
        <v>170</v>
      </c>
      <c r="BN4">
        <v>2.86</v>
      </c>
      <c r="BO4">
        <v>3.82</v>
      </c>
      <c r="BP4">
        <v>3.94</v>
      </c>
      <c r="BQ4">
        <v>3.45</v>
      </c>
      <c r="BR4">
        <v>4.33</v>
      </c>
      <c r="BS4">
        <v>4.29</v>
      </c>
      <c r="BT4" t="s">
        <v>455</v>
      </c>
      <c r="BU4" t="s">
        <v>376</v>
      </c>
      <c r="BV4">
        <v>20.6</v>
      </c>
      <c r="BW4">
        <v>22.86</v>
      </c>
      <c r="BX4">
        <v>29.79</v>
      </c>
      <c r="BY4">
        <v>14.56</v>
      </c>
      <c r="BZ4">
        <v>13.33</v>
      </c>
      <c r="CA4">
        <v>18.25</v>
      </c>
      <c r="CB4">
        <v>1.33</v>
      </c>
      <c r="CC4">
        <v>-14.96</v>
      </c>
      <c r="CD4" t="s">
        <v>684</v>
      </c>
      <c r="CE4" t="s">
        <v>685</v>
      </c>
      <c r="CF4" s="9">
        <v>-0.13227513227513227</v>
      </c>
      <c r="CG4" s="10">
        <v>6.2664389604496981E-2</v>
      </c>
      <c r="CH4" s="9">
        <v>-6.7226961255073547E-2</v>
      </c>
      <c r="CI4" s="9">
        <v>0.44300740957260132</v>
      </c>
      <c r="CJ4" s="9">
        <v>0.38058027625083923</v>
      </c>
      <c r="CK4" s="9">
        <v>0.11999999731779099</v>
      </c>
      <c r="CL4" s="9">
        <v>5.1248356699943542E-2</v>
      </c>
      <c r="CM4" s="10">
        <v>1.6806723549962044E-2</v>
      </c>
      <c r="CN4" s="10">
        <v>5.3097344934940338E-2</v>
      </c>
      <c r="CO4" s="10">
        <v>0.31395348906517029</v>
      </c>
      <c r="CP4" s="10">
        <v>2.8399372100830078</v>
      </c>
      <c r="CQ4" s="10">
        <v>-0.69528979063034058</v>
      </c>
      <c r="CR4">
        <v>31.163472651329361</v>
      </c>
      <c r="CS4">
        <v>1.6797740217694914</v>
      </c>
      <c r="CT4">
        <v>0</v>
      </c>
      <c r="CU4" s="9">
        <v>0.18552181571722032</v>
      </c>
      <c r="CV4" s="10">
        <v>0.50570099540054803</v>
      </c>
      <c r="CW4">
        <v>0.06</v>
      </c>
      <c r="CX4">
        <v>0.17885265750630708</v>
      </c>
      <c r="CY4">
        <v>270656867.36185592</v>
      </c>
      <c r="CZ4">
        <v>0.18552181571722032</v>
      </c>
      <c r="DA4">
        <v>5.3954454383831653E-2</v>
      </c>
      <c r="DB4">
        <v>897195617.17051053</v>
      </c>
      <c r="DC4">
        <v>0.17624572493135929</v>
      </c>
      <c r="DD4">
        <v>2.3778935716802549E-2</v>
      </c>
      <c r="DE4">
        <v>2035738713.309797</v>
      </c>
      <c r="DF4">
        <v>0.16325919783115389</v>
      </c>
      <c r="DG4">
        <v>1.2539937953455678E-2</v>
      </c>
      <c r="DH4">
        <v>3860282258.1478648</v>
      </c>
      <c r="DI4">
        <v>0.14841745257377625</v>
      </c>
      <c r="DJ4">
        <v>4.7860236410818702E-3</v>
      </c>
      <c r="DK4">
        <v>10114387982.642214</v>
      </c>
      <c r="DL4">
        <v>0.12986527100205422</v>
      </c>
      <c r="DM4">
        <v>242000000</v>
      </c>
      <c r="DN4">
        <v>0.18552181571722032</v>
      </c>
      <c r="DO4">
        <v>48407700</v>
      </c>
      <c r="DP4">
        <v>2161583100</v>
      </c>
      <c r="DQ4">
        <v>137</v>
      </c>
      <c r="DR4">
        <v>-0.31779694799235259</v>
      </c>
      <c r="DS4">
        <v>-0.44303660579605103</v>
      </c>
      <c r="DT4" s="11">
        <v>-0.15666666666666665</v>
      </c>
      <c r="DU4">
        <v>0.39666666666666672</v>
      </c>
      <c r="DV4">
        <v>0.24000000000000007</v>
      </c>
      <c r="DW4">
        <v>-2.1496</v>
      </c>
      <c r="DX4">
        <v>0.3954435483870975</v>
      </c>
      <c r="DY4">
        <v>-2.0232543548387096</v>
      </c>
      <c r="DZ4">
        <v>1180</v>
      </c>
      <c r="EA4">
        <v>-2.0178844646802601</v>
      </c>
      <c r="EB4">
        <v>2</v>
      </c>
      <c r="EC4">
        <v>1.9825151931118938E-2</v>
      </c>
      <c r="ED4">
        <v>0.12753923940123207</v>
      </c>
      <c r="EE4" s="12">
        <v>-3.0331000000000001</v>
      </c>
      <c r="EF4">
        <v>-3.0150000000000001</v>
      </c>
      <c r="EG4">
        <v>24.155443548387098</v>
      </c>
      <c r="EH4" t="s">
        <v>686</v>
      </c>
      <c r="EI4">
        <v>0</v>
      </c>
      <c r="EJ4">
        <v>1</v>
      </c>
      <c r="EK4" s="8">
        <v>45470</v>
      </c>
      <c r="EL4" s="13">
        <v>1.32</v>
      </c>
      <c r="EM4" s="13">
        <v>-3.91</v>
      </c>
      <c r="EN4" s="13">
        <v>1.36</v>
      </c>
      <c r="EO4" s="13">
        <v>3.48</v>
      </c>
      <c r="EP4" s="13">
        <v>-1.81</v>
      </c>
    </row>
    <row r="5" spans="1:146" ht="96" x14ac:dyDescent="0.25">
      <c r="A5" s="14"/>
      <c r="B5" s="14"/>
      <c r="C5" s="14" t="str">
        <f>""&amp;CHAR(10)&amp;Basic_Fundamental_Information_Constructure(F5)&amp;CHAR(10)&amp;Basic_Fundamental_Information_Concatenate("")</f>
        <v xml:space="preserve">
市值61.627028亿, 利润4.59亿; PE14.9; 平均PE26.63; 平均PEG3.94, PB1.22; ROIC5.25%; ROE9.8967%; 股利率1.0714%; 毛利54.15%; 净利26.1233%; 上一年度营收增2.03%, 利润增0%; 当季营收增-16.88%, 利润增-34.89%; 过往5年营收增6.77%, 利润增87.18%
Income profile:
</v>
      </c>
      <c r="D5" t="s">
        <v>51</v>
      </c>
      <c r="E5" t="s">
        <v>687</v>
      </c>
      <c r="F5">
        <v>4.2</v>
      </c>
      <c r="G5">
        <v>0.48</v>
      </c>
      <c r="H5" t="s">
        <v>688</v>
      </c>
      <c r="I5">
        <v>6162702800</v>
      </c>
      <c r="J5">
        <v>14.9</v>
      </c>
      <c r="K5">
        <v>1.22</v>
      </c>
      <c r="L5" t="s">
        <v>39</v>
      </c>
      <c r="M5" t="s">
        <v>689</v>
      </c>
      <c r="N5" t="s">
        <v>690</v>
      </c>
      <c r="O5" t="s">
        <v>691</v>
      </c>
      <c r="P5">
        <v>-16.82</v>
      </c>
      <c r="Q5" t="s">
        <v>692</v>
      </c>
      <c r="R5">
        <v>84637065</v>
      </c>
      <c r="S5" s="5">
        <v>-0.34770000000000001</v>
      </c>
      <c r="T5" t="s">
        <v>533</v>
      </c>
      <c r="U5">
        <v>610043920</v>
      </c>
      <c r="V5">
        <v>1467310200</v>
      </c>
      <c r="W5">
        <v>2.54</v>
      </c>
      <c r="X5">
        <v>0.03</v>
      </c>
      <c r="Y5">
        <v>25.64</v>
      </c>
      <c r="Z5" t="s">
        <v>693</v>
      </c>
      <c r="AA5" t="s">
        <v>694</v>
      </c>
      <c r="AB5" t="s">
        <v>40</v>
      </c>
      <c r="AC5" t="s">
        <v>695</v>
      </c>
      <c r="AD5" t="s">
        <v>40</v>
      </c>
      <c r="AE5">
        <v>55534919</v>
      </c>
      <c r="AF5" t="s">
        <v>50</v>
      </c>
      <c r="AG5" t="s">
        <v>696</v>
      </c>
      <c r="AH5" t="s">
        <v>697</v>
      </c>
      <c r="AI5" t="s">
        <v>698</v>
      </c>
      <c r="AJ5" t="s">
        <v>699</v>
      </c>
      <c r="AK5" t="s">
        <v>40</v>
      </c>
      <c r="AL5" t="s">
        <v>700</v>
      </c>
      <c r="AM5" t="s">
        <v>40</v>
      </c>
      <c r="AN5" t="s">
        <v>701</v>
      </c>
      <c r="AO5" t="s">
        <v>40</v>
      </c>
      <c r="AP5" t="s">
        <v>40</v>
      </c>
      <c r="AQ5" t="s">
        <v>702</v>
      </c>
      <c r="AR5" t="s">
        <v>703</v>
      </c>
      <c r="AS5" t="s">
        <v>546</v>
      </c>
      <c r="AT5" t="s">
        <v>704</v>
      </c>
      <c r="AU5" t="s">
        <v>72</v>
      </c>
      <c r="AV5" t="s">
        <v>705</v>
      </c>
      <c r="AW5" t="s">
        <v>706</v>
      </c>
      <c r="AX5" t="s">
        <v>707</v>
      </c>
      <c r="AY5" t="s">
        <v>307</v>
      </c>
      <c r="AZ5" t="s">
        <v>309</v>
      </c>
      <c r="BA5" t="s">
        <v>52</v>
      </c>
      <c r="BB5" t="s">
        <v>133</v>
      </c>
      <c r="BC5" t="s">
        <v>533</v>
      </c>
      <c r="BD5" t="s">
        <v>308</v>
      </c>
      <c r="BE5" t="s">
        <v>310</v>
      </c>
      <c r="BF5" t="s">
        <v>44</v>
      </c>
      <c r="BG5" t="s">
        <v>134</v>
      </c>
      <c r="BH5" t="s">
        <v>692</v>
      </c>
      <c r="BI5" t="s">
        <v>708</v>
      </c>
      <c r="BJ5" t="s">
        <v>707</v>
      </c>
      <c r="BK5" t="s">
        <v>533</v>
      </c>
      <c r="BL5" t="s">
        <v>129</v>
      </c>
      <c r="BM5" t="s">
        <v>533</v>
      </c>
      <c r="BN5">
        <v>4.33</v>
      </c>
      <c r="BO5">
        <v>5.42</v>
      </c>
      <c r="BP5">
        <v>6</v>
      </c>
      <c r="BQ5">
        <v>8.1</v>
      </c>
      <c r="BR5">
        <v>10.130000000000001</v>
      </c>
      <c r="BS5">
        <v>11.46</v>
      </c>
      <c r="BT5" t="s">
        <v>709</v>
      </c>
      <c r="BU5" t="s">
        <v>372</v>
      </c>
      <c r="BV5">
        <v>53.25</v>
      </c>
      <c r="BW5">
        <v>53.02</v>
      </c>
      <c r="BX5">
        <v>56.18</v>
      </c>
      <c r="BY5">
        <v>26.8</v>
      </c>
      <c r="BZ5">
        <v>27.13</v>
      </c>
      <c r="CA5">
        <v>24.44</v>
      </c>
      <c r="CB5">
        <v>0.48</v>
      </c>
      <c r="CC5">
        <v>-6.25</v>
      </c>
      <c r="CD5" t="s">
        <v>710</v>
      </c>
      <c r="CE5" t="s">
        <v>711</v>
      </c>
      <c r="CF5" s="9">
        <v>-0.16876574307304787</v>
      </c>
      <c r="CG5" s="10">
        <v>-0.34894565384615384</v>
      </c>
      <c r="CH5" s="9">
        <v>2.0262217149138451E-2</v>
      </c>
      <c r="CI5" s="9">
        <v>9.6269557252526283E-3</v>
      </c>
      <c r="CJ5" s="9">
        <v>0.52757352590560913</v>
      </c>
      <c r="CK5" s="9">
        <v>0.23076923191547394</v>
      </c>
      <c r="CL5" s="9">
        <v>-0.44990667700767517</v>
      </c>
      <c r="CM5" s="10">
        <v>0</v>
      </c>
      <c r="CN5" s="10">
        <v>0.13054187595844269</v>
      </c>
      <c r="CO5" s="10">
        <v>4.029850959777832</v>
      </c>
      <c r="CP5" s="10">
        <v>-1.8933333158493042</v>
      </c>
      <c r="CQ5" s="10">
        <v>2.0921142101287842</v>
      </c>
      <c r="CR5">
        <v>26.630131208946565</v>
      </c>
      <c r="CS5">
        <v>3.9355813553191652</v>
      </c>
      <c r="CT5">
        <v>1.0714285714285714</v>
      </c>
      <c r="CU5" s="9">
        <v>6.7665050737559795E-2</v>
      </c>
      <c r="CV5" s="10">
        <v>0.87183474600315092</v>
      </c>
      <c r="CW5">
        <v>0.06</v>
      </c>
      <c r="CX5">
        <v>19.293389730886013</v>
      </c>
      <c r="CY5">
        <v>462319111.59296215</v>
      </c>
      <c r="CZ5">
        <v>6.7665050737559795E-2</v>
      </c>
      <c r="DA5">
        <v>6.4255832153079604</v>
      </c>
      <c r="DB5">
        <v>1388154584.7465153</v>
      </c>
      <c r="DC5">
        <v>6.4281798200681806E-2</v>
      </c>
      <c r="DD5">
        <v>3.2436843593573612</v>
      </c>
      <c r="DE5">
        <v>2749867684.9578457</v>
      </c>
      <c r="DF5">
        <v>5.9545244649052621E-2</v>
      </c>
      <c r="DG5">
        <v>2.003282405248306</v>
      </c>
      <c r="DH5">
        <v>4452543873.3109655</v>
      </c>
      <c r="DI5">
        <v>5.4132040590047836E-2</v>
      </c>
      <c r="DJ5">
        <v>1.0993848070731356</v>
      </c>
      <c r="DK5">
        <v>8113358255.1015053</v>
      </c>
      <c r="DL5">
        <v>4.7365535516291857E-2</v>
      </c>
      <c r="DM5">
        <v>459000000</v>
      </c>
      <c r="DN5">
        <v>6.7665050737559795E-2</v>
      </c>
      <c r="DO5">
        <v>8919702800</v>
      </c>
      <c r="DP5">
        <v>41668390</v>
      </c>
      <c r="DQ5">
        <v>264</v>
      </c>
      <c r="DR5">
        <v>-0.23643079381060766</v>
      </c>
      <c r="DS5">
        <v>-1.2207803998493048</v>
      </c>
      <c r="DT5" s="11">
        <v>-0.28999999999999998</v>
      </c>
      <c r="DU5">
        <v>-3.5000000000000031E-2</v>
      </c>
      <c r="DV5">
        <v>-0.32500000000000001</v>
      </c>
      <c r="DW5">
        <v>-2.0625</v>
      </c>
      <c r="DX5">
        <v>0.32861110556963241</v>
      </c>
      <c r="DY5">
        <v>-2.008038194098102</v>
      </c>
      <c r="DZ5">
        <v>2521</v>
      </c>
      <c r="EA5">
        <v>-2.0040725801408974</v>
      </c>
      <c r="EB5">
        <v>2</v>
      </c>
      <c r="EC5">
        <v>7.9086208219638909E-3</v>
      </c>
      <c r="ED5">
        <v>6.1492518759836877E-2</v>
      </c>
      <c r="EE5" s="12">
        <v>-1.0105</v>
      </c>
      <c r="EF5">
        <v>-1.0009999999999999</v>
      </c>
      <c r="EG5">
        <v>20.128611105569632</v>
      </c>
      <c r="EH5" t="s">
        <v>383</v>
      </c>
      <c r="EI5">
        <v>0</v>
      </c>
      <c r="EJ5">
        <v>0</v>
      </c>
      <c r="EK5" s="8">
        <v>45470</v>
      </c>
      <c r="EL5" s="13">
        <v>0.72</v>
      </c>
      <c r="EM5" s="13">
        <v>-1.67</v>
      </c>
      <c r="EN5" s="13">
        <v>1.22</v>
      </c>
      <c r="EO5" s="13">
        <v>0.96</v>
      </c>
      <c r="EP5" s="13">
        <v>-0.95</v>
      </c>
    </row>
    <row r="6" spans="1:146" ht="96" x14ac:dyDescent="0.25">
      <c r="A6" s="14"/>
      <c r="B6" s="14"/>
      <c r="C6" s="14" t="str">
        <f>""&amp;CHAR(10)&amp;Basic_Fundamental_Information_Constructure(F6)&amp;CHAR(10)&amp;Basic_Fundamental_Information_Concatenate("")</f>
        <v xml:space="preserve">
市值95.635563亿, 利润6.67亿; PE11.71; 平均PE10.51; 平均PEG.18, PB.984; ROIC4.67%; ROE9.3733%; 股利率3.5326%; 毛利22.4067%; 净利17.1433%; 上一年度营收增15.94%, 利润增-19.44%; 当季营收增-26.8%, 利润增59.13%; 过往5年营收增58.86%, 利润增-8.23%
Income profile:
</v>
      </c>
      <c r="D6" t="s">
        <v>53</v>
      </c>
      <c r="E6" t="s">
        <v>17</v>
      </c>
      <c r="F6">
        <v>9.1999999999999993</v>
      </c>
      <c r="G6">
        <v>0.44</v>
      </c>
      <c r="H6" t="s">
        <v>712</v>
      </c>
      <c r="I6">
        <v>9563556300</v>
      </c>
      <c r="J6">
        <v>11.71</v>
      </c>
      <c r="K6">
        <v>0.98399999999999999</v>
      </c>
      <c r="L6" t="s">
        <v>39</v>
      </c>
      <c r="M6" t="s">
        <v>713</v>
      </c>
      <c r="N6" t="s">
        <v>714</v>
      </c>
      <c r="O6" t="s">
        <v>616</v>
      </c>
      <c r="P6">
        <v>-26.78</v>
      </c>
      <c r="Q6" t="s">
        <v>715</v>
      </c>
      <c r="R6">
        <v>402591870</v>
      </c>
      <c r="S6" s="5">
        <v>0.59299999999999997</v>
      </c>
      <c r="T6" t="s">
        <v>716</v>
      </c>
      <c r="U6">
        <v>1039515640</v>
      </c>
      <c r="V6">
        <v>1039516990</v>
      </c>
      <c r="W6">
        <v>2.0699999999999998</v>
      </c>
      <c r="X6">
        <v>0.02</v>
      </c>
      <c r="Y6">
        <v>93.25</v>
      </c>
      <c r="Z6" t="s">
        <v>222</v>
      </c>
      <c r="AA6" t="s">
        <v>653</v>
      </c>
      <c r="AB6" t="s">
        <v>40</v>
      </c>
      <c r="AC6" t="s">
        <v>717</v>
      </c>
      <c r="AD6" t="s">
        <v>40</v>
      </c>
      <c r="AE6">
        <v>15479427</v>
      </c>
      <c r="AF6" t="s">
        <v>718</v>
      </c>
      <c r="AG6" t="s">
        <v>719</v>
      </c>
      <c r="AH6" t="s">
        <v>720</v>
      </c>
      <c r="AI6" t="s">
        <v>721</v>
      </c>
      <c r="AJ6" t="s">
        <v>722</v>
      </c>
      <c r="AK6" t="s">
        <v>40</v>
      </c>
      <c r="AL6" t="s">
        <v>723</v>
      </c>
      <c r="AM6" t="s">
        <v>40</v>
      </c>
      <c r="AN6" t="s">
        <v>724</v>
      </c>
      <c r="AO6" t="s">
        <v>725</v>
      </c>
      <c r="AP6" t="s">
        <v>40</v>
      </c>
      <c r="AQ6" t="s">
        <v>726</v>
      </c>
      <c r="AR6" t="s">
        <v>727</v>
      </c>
      <c r="AS6" t="s">
        <v>728</v>
      </c>
      <c r="AT6" t="s">
        <v>175</v>
      </c>
      <c r="AU6" t="s">
        <v>729</v>
      </c>
      <c r="AV6" t="s">
        <v>730</v>
      </c>
      <c r="AW6" t="s">
        <v>731</v>
      </c>
      <c r="AX6" t="s">
        <v>484</v>
      </c>
      <c r="AY6" t="s">
        <v>311</v>
      </c>
      <c r="AZ6" t="s">
        <v>135</v>
      </c>
      <c r="BA6" t="s">
        <v>54</v>
      </c>
      <c r="BB6" t="s">
        <v>137</v>
      </c>
      <c r="BC6" t="s">
        <v>68</v>
      </c>
      <c r="BD6" t="s">
        <v>312</v>
      </c>
      <c r="BE6" t="s">
        <v>136</v>
      </c>
      <c r="BF6" t="s">
        <v>55</v>
      </c>
      <c r="BG6" t="s">
        <v>139</v>
      </c>
      <c r="BH6" t="s">
        <v>715</v>
      </c>
      <c r="BI6" t="s">
        <v>382</v>
      </c>
      <c r="BJ6" t="s">
        <v>484</v>
      </c>
      <c r="BK6" t="s">
        <v>716</v>
      </c>
      <c r="BL6" t="s">
        <v>479</v>
      </c>
      <c r="BM6" t="s">
        <v>68</v>
      </c>
      <c r="BN6">
        <v>3.06</v>
      </c>
      <c r="BO6">
        <v>4.22</v>
      </c>
      <c r="BP6">
        <v>6.73</v>
      </c>
      <c r="BQ6">
        <v>7.67</v>
      </c>
      <c r="BR6">
        <v>9.0299999999999994</v>
      </c>
      <c r="BS6">
        <v>11.42</v>
      </c>
      <c r="BT6" t="s">
        <v>732</v>
      </c>
      <c r="BU6" t="s">
        <v>372</v>
      </c>
      <c r="BV6">
        <v>24.65</v>
      </c>
      <c r="BW6">
        <v>23.27</v>
      </c>
      <c r="BX6">
        <v>19.3</v>
      </c>
      <c r="BY6">
        <v>13.7</v>
      </c>
      <c r="BZ6">
        <v>20.190000000000001</v>
      </c>
      <c r="CA6">
        <v>17.54</v>
      </c>
      <c r="CB6">
        <v>2.11</v>
      </c>
      <c r="CC6">
        <v>-6.84</v>
      </c>
      <c r="CD6" t="s">
        <v>733</v>
      </c>
      <c r="CE6" t="s">
        <v>734</v>
      </c>
      <c r="CF6" s="9">
        <v>-0.26804123711340205</v>
      </c>
      <c r="CG6" s="10">
        <v>0.59127221343873537</v>
      </c>
      <c r="CH6" s="9">
        <v>0.15935675799846649</v>
      </c>
      <c r="CI6" s="9">
        <v>-0.2287164032459259</v>
      </c>
      <c r="CJ6" s="9">
        <v>3.2364649772644043</v>
      </c>
      <c r="CK6" s="9">
        <v>-0.23414634168148041</v>
      </c>
      <c r="CL6" s="9">
        <v>9.8522165790200233E-3</v>
      </c>
      <c r="CM6" s="10">
        <v>-0.1944444477558136</v>
      </c>
      <c r="CN6" s="10">
        <v>-0.10967741906642914</v>
      </c>
      <c r="CO6" s="10">
        <v>1.8619934096932411E-2</v>
      </c>
      <c r="CP6" s="10">
        <v>-0.14990688860416412</v>
      </c>
      <c r="CQ6" s="10">
        <v>2.3832220584154129E-2</v>
      </c>
      <c r="CR6">
        <v>10.507478080937558</v>
      </c>
      <c r="CS6">
        <v>0.1785278997213445</v>
      </c>
      <c r="CT6">
        <v>3.5326086956521743</v>
      </c>
      <c r="CU6" s="9">
        <v>0.58856224138289692</v>
      </c>
      <c r="CV6" s="10">
        <v>-8.2315320149064064E-2</v>
      </c>
      <c r="CW6">
        <v>0.06</v>
      </c>
      <c r="CX6">
        <v>11.173078076294182</v>
      </c>
      <c r="CY6">
        <v>999595297.172068</v>
      </c>
      <c r="CZ6">
        <v>0.58856224138289692</v>
      </c>
      <c r="DA6">
        <v>2.4564199352137552</v>
      </c>
      <c r="DB6">
        <v>4546680370.0353956</v>
      </c>
      <c r="DC6">
        <v>0.55913412931375206</v>
      </c>
      <c r="DD6">
        <v>0.66262440220183283</v>
      </c>
      <c r="DE6">
        <v>16855033202.653017</v>
      </c>
      <c r="DF6">
        <v>0.5179347724169493</v>
      </c>
      <c r="DG6">
        <v>0.1836925080600923</v>
      </c>
      <c r="DH6">
        <v>60800282047.139183</v>
      </c>
      <c r="DI6">
        <v>0.47084979310631758</v>
      </c>
      <c r="DJ6">
        <v>1.3534494225253182E-2</v>
      </c>
      <c r="DK6">
        <v>825191995661.07739</v>
      </c>
      <c r="DL6">
        <v>0.4119935689680278</v>
      </c>
      <c r="DM6">
        <v>667000000</v>
      </c>
      <c r="DN6">
        <v>0.58856224138289692</v>
      </c>
      <c r="DO6">
        <v>11168556300</v>
      </c>
      <c r="DP6">
        <v>2137518800</v>
      </c>
      <c r="DQ6">
        <v>313</v>
      </c>
      <c r="DR6">
        <v>-0.85660347849629903</v>
      </c>
      <c r="DS6">
        <v>0.67358753358779944</v>
      </c>
      <c r="DT6" s="11">
        <v>-0.13833333333333334</v>
      </c>
      <c r="DU6">
        <v>0.27333333333333337</v>
      </c>
      <c r="DV6">
        <v>0.13500000000000004</v>
      </c>
      <c r="DW6">
        <v>-2.0684</v>
      </c>
      <c r="DX6">
        <v>0.55832827225130954</v>
      </c>
      <c r="DY6">
        <v>-2.0135656538219897</v>
      </c>
      <c r="DZ6">
        <v>1396</v>
      </c>
      <c r="EA6">
        <v>-2.0098596552436145</v>
      </c>
      <c r="EB6">
        <v>2</v>
      </c>
      <c r="EC6">
        <v>3.6440674240446995E-2</v>
      </c>
      <c r="ED6">
        <v>0.18373918063619143</v>
      </c>
      <c r="EE6" s="12">
        <v>9.0799999999999992E-2</v>
      </c>
      <c r="EF6">
        <v>7.1000000000000008E-2</v>
      </c>
      <c r="EG6">
        <v>36.19832827225131</v>
      </c>
      <c r="EH6" t="s">
        <v>377</v>
      </c>
      <c r="EI6">
        <v>0</v>
      </c>
      <c r="EJ6">
        <v>1</v>
      </c>
      <c r="EK6" s="8">
        <v>45470</v>
      </c>
      <c r="EL6" s="13">
        <v>0</v>
      </c>
      <c r="EM6" s="13">
        <v>-2.64</v>
      </c>
      <c r="EN6" s="13">
        <v>1.02</v>
      </c>
      <c r="EO6" s="13">
        <v>2.02</v>
      </c>
      <c r="EP6" s="13">
        <v>-1.98</v>
      </c>
    </row>
    <row r="7" spans="1:146" ht="96" x14ac:dyDescent="0.25">
      <c r="A7" s="14"/>
      <c r="B7" s="14"/>
      <c r="C7" s="14" t="str">
        <f>""&amp;CHAR(10)&amp;Basic_Fundamental_Information_Constructure(F7)&amp;CHAR(10)&amp;Basic_Fundamental_Information_Concatenate("")</f>
        <v xml:space="preserve">
市值56.311431亿, 利润5.43亿; PE10.26; 平均PE8.31; 平均PEG2.15, PB.511; ROIC2.6533%; ROE4.3767%; 股利率4.0431%; 毛利16.0233%; 净利4.7%; 上一年度营收增-50.17%, 利润增25.4%; 当季营收增-35.35%, 利润增3.67%; 过往5年营收增-3.87%, 利润增-6.26%
Income profile:
</v>
      </c>
      <c r="D7" t="s">
        <v>58</v>
      </c>
      <c r="E7" t="s">
        <v>22</v>
      </c>
      <c r="F7">
        <v>3.71</v>
      </c>
      <c r="G7">
        <v>-0.27</v>
      </c>
      <c r="H7" t="s">
        <v>735</v>
      </c>
      <c r="I7">
        <v>5631143100</v>
      </c>
      <c r="J7">
        <v>10.26</v>
      </c>
      <c r="K7">
        <v>0.51100000000000001</v>
      </c>
      <c r="L7" t="s">
        <v>39</v>
      </c>
      <c r="M7" t="s">
        <v>736</v>
      </c>
      <c r="N7" t="s">
        <v>737</v>
      </c>
      <c r="O7" t="s">
        <v>738</v>
      </c>
      <c r="P7">
        <v>-35.35</v>
      </c>
      <c r="Q7" t="s">
        <v>739</v>
      </c>
      <c r="R7">
        <v>189710690</v>
      </c>
      <c r="S7" s="5">
        <v>3.44E-2</v>
      </c>
      <c r="T7" t="s">
        <v>740</v>
      </c>
      <c r="U7">
        <v>1517760800</v>
      </c>
      <c r="V7">
        <v>1517828300</v>
      </c>
      <c r="W7">
        <v>4.05</v>
      </c>
      <c r="X7">
        <v>0.02</v>
      </c>
      <c r="Y7">
        <v>14.79</v>
      </c>
      <c r="Z7" t="s">
        <v>482</v>
      </c>
      <c r="AA7" t="s">
        <v>741</v>
      </c>
      <c r="AB7" t="s">
        <v>742</v>
      </c>
      <c r="AC7" t="s">
        <v>743</v>
      </c>
      <c r="AD7" t="s">
        <v>40</v>
      </c>
      <c r="AE7">
        <v>237208180</v>
      </c>
      <c r="AF7" t="s">
        <v>744</v>
      </c>
      <c r="AG7" t="s">
        <v>745</v>
      </c>
      <c r="AH7" t="s">
        <v>746</v>
      </c>
      <c r="AI7" t="s">
        <v>747</v>
      </c>
      <c r="AJ7" t="s">
        <v>748</v>
      </c>
      <c r="AK7" t="s">
        <v>40</v>
      </c>
      <c r="AL7" t="s">
        <v>749</v>
      </c>
      <c r="AM7" t="s">
        <v>40</v>
      </c>
      <c r="AN7" t="s">
        <v>750</v>
      </c>
      <c r="AO7" t="s">
        <v>751</v>
      </c>
      <c r="AP7" t="s">
        <v>40</v>
      </c>
      <c r="AQ7" t="s">
        <v>600</v>
      </c>
      <c r="AR7" t="s">
        <v>752</v>
      </c>
      <c r="AS7" t="s">
        <v>753</v>
      </c>
      <c r="AT7" t="s">
        <v>754</v>
      </c>
      <c r="AU7" t="s">
        <v>608</v>
      </c>
      <c r="AV7" t="s">
        <v>755</v>
      </c>
      <c r="AW7" t="s">
        <v>756</v>
      </c>
      <c r="AX7" t="s">
        <v>757</v>
      </c>
      <c r="AY7" t="s">
        <v>598</v>
      </c>
      <c r="AZ7" t="s">
        <v>599</v>
      </c>
      <c r="BA7" t="s">
        <v>141</v>
      </c>
      <c r="BB7" t="s">
        <v>142</v>
      </c>
      <c r="BC7" t="s">
        <v>597</v>
      </c>
      <c r="BD7" t="s">
        <v>56</v>
      </c>
      <c r="BE7" t="s">
        <v>140</v>
      </c>
      <c r="BF7" t="s">
        <v>59</v>
      </c>
      <c r="BG7" t="s">
        <v>143</v>
      </c>
      <c r="BH7" t="s">
        <v>739</v>
      </c>
      <c r="BI7" t="s">
        <v>758</v>
      </c>
      <c r="BJ7" t="s">
        <v>757</v>
      </c>
      <c r="BK7" t="s">
        <v>740</v>
      </c>
      <c r="BL7" t="s">
        <v>759</v>
      </c>
      <c r="BM7" t="s">
        <v>597</v>
      </c>
      <c r="BN7">
        <v>2.0099999999999998</v>
      </c>
      <c r="BO7">
        <v>2.87</v>
      </c>
      <c r="BP7">
        <v>3.08</v>
      </c>
      <c r="BQ7">
        <v>3.43</v>
      </c>
      <c r="BR7">
        <v>3.94</v>
      </c>
      <c r="BS7">
        <v>5.76</v>
      </c>
      <c r="BT7" t="s">
        <v>457</v>
      </c>
      <c r="BU7" t="s">
        <v>372</v>
      </c>
      <c r="BV7">
        <v>25.98</v>
      </c>
      <c r="BW7">
        <v>11.85</v>
      </c>
      <c r="BX7">
        <v>10.24</v>
      </c>
      <c r="BY7">
        <v>7.43</v>
      </c>
      <c r="BZ7">
        <v>2.88</v>
      </c>
      <c r="CA7">
        <v>3.79</v>
      </c>
      <c r="CB7">
        <v>1.37</v>
      </c>
      <c r="CC7">
        <v>-3.39</v>
      </c>
      <c r="CD7" t="s">
        <v>760</v>
      </c>
      <c r="CE7" t="s">
        <v>761</v>
      </c>
      <c r="CF7" s="9">
        <v>-0.35348610433934674</v>
      </c>
      <c r="CG7" s="10">
        <v>3.6670437158469946E-2</v>
      </c>
      <c r="CH7" s="9">
        <v>-0.50170087814331055</v>
      </c>
      <c r="CI7" s="9">
        <v>6.3395299948751926E-3</v>
      </c>
      <c r="CJ7" s="9">
        <v>0.12422497570514679</v>
      </c>
      <c r="CK7" s="9">
        <v>0.1384177953004837</v>
      </c>
      <c r="CL7" s="9">
        <v>3.9119802415370941E-2</v>
      </c>
      <c r="CM7" s="10">
        <v>0.25404158234596252</v>
      </c>
      <c r="CN7" s="10">
        <v>-0.30608972907066345</v>
      </c>
      <c r="CO7" s="10">
        <v>0.18857142329216003</v>
      </c>
      <c r="CP7" s="10">
        <v>-0.46209016442298889</v>
      </c>
      <c r="CQ7" s="10">
        <v>1.244813296943903E-2</v>
      </c>
      <c r="CR7">
        <v>8.311650332103321</v>
      </c>
      <c r="CS7">
        <v>2.1466174937845617</v>
      </c>
      <c r="CT7">
        <v>4.0431266846361185</v>
      </c>
      <c r="CU7" s="9">
        <v>-3.8719754945486781E-2</v>
      </c>
      <c r="CV7" s="10">
        <v>-6.2623750977218146E-2</v>
      </c>
      <c r="CW7">
        <v>0.06</v>
      </c>
      <c r="CX7">
        <v>62.228624493554328</v>
      </c>
      <c r="CY7" t="s">
        <v>762</v>
      </c>
      <c r="CZ7">
        <v>-3.8719754945486781E-2</v>
      </c>
      <c r="DA7">
        <v>20.742874831184775</v>
      </c>
      <c r="DB7" t="s">
        <v>763</v>
      </c>
      <c r="DC7">
        <v>-3.6783767198212441E-2</v>
      </c>
      <c r="DD7">
        <v>10.371437415592387</v>
      </c>
      <c r="DE7" t="s">
        <v>764</v>
      </c>
      <c r="DF7">
        <v>-3.407338435202837E-2</v>
      </c>
      <c r="DG7">
        <v>6.222862449355433</v>
      </c>
      <c r="DH7" t="s">
        <v>765</v>
      </c>
      <c r="DI7">
        <v>-3.0975803956389426E-2</v>
      </c>
      <c r="DJ7">
        <v>3.1114312246777165</v>
      </c>
      <c r="DK7" t="s">
        <v>766</v>
      </c>
      <c r="DL7">
        <v>-2.7103828461840746E-2</v>
      </c>
      <c r="DM7">
        <v>543000000</v>
      </c>
      <c r="DN7">
        <v>-3.8719754945486781E-2</v>
      </c>
      <c r="DO7">
        <v>33790143100</v>
      </c>
      <c r="DP7">
        <v>-12432004600</v>
      </c>
      <c r="DQ7">
        <v>355</v>
      </c>
      <c r="DR7">
        <v>-0.31476634939385995</v>
      </c>
      <c r="DS7">
        <v>9.9294188135688091E-2</v>
      </c>
      <c r="DT7" s="11">
        <v>-0.60666666666666669</v>
      </c>
      <c r="DU7">
        <v>0.25333333333333335</v>
      </c>
      <c r="DV7">
        <v>-0.35333333333333333</v>
      </c>
      <c r="DW7">
        <v>-1.0339</v>
      </c>
      <c r="DX7">
        <v>0.437702242152467</v>
      </c>
      <c r="DY7">
        <v>-1.0060241060089685</v>
      </c>
      <c r="DZ7">
        <v>2578</v>
      </c>
      <c r="EA7">
        <v>-1.0029849386330154</v>
      </c>
      <c r="EB7">
        <v>1</v>
      </c>
      <c r="EC7">
        <v>2.6108091409285227E-2</v>
      </c>
      <c r="ED7">
        <v>0.14692043889285764</v>
      </c>
      <c r="EE7" s="12">
        <v>-1.1185099999999999</v>
      </c>
      <c r="EF7">
        <v>-1.12941</v>
      </c>
      <c r="EG7">
        <v>26.177702242152467</v>
      </c>
      <c r="EH7" t="s">
        <v>596</v>
      </c>
      <c r="EI7">
        <v>0</v>
      </c>
      <c r="EJ7">
        <v>0</v>
      </c>
      <c r="EK7" s="8">
        <v>45470</v>
      </c>
      <c r="EL7" s="13">
        <v>0.27</v>
      </c>
      <c r="EM7" s="13">
        <v>-2.19</v>
      </c>
      <c r="EN7" s="13">
        <v>1.68</v>
      </c>
      <c r="EO7" s="13">
        <v>0.55000000000000004</v>
      </c>
      <c r="EP7" s="13">
        <v>-1.0900000000000001</v>
      </c>
    </row>
    <row r="8" spans="1:146" ht="96" x14ac:dyDescent="0.25">
      <c r="A8" s="14"/>
      <c r="B8" s="14"/>
      <c r="C8" s="14" t="str">
        <f>""&amp;CHAR(10)&amp;Basic_Fundamental_Information_Constructure(F8)&amp;CHAR(10)&amp;Basic_Fundamental_Information_Concatenate("")</f>
        <v xml:space="preserve">
市值179.55556亿, 利润6.27亿; PE23.8; 平均PE39.05; 平均PEG6.11, PB.949; ROIC2.21%; ROE2.5933%; 股利率1.4356%; 毛利7.1%; 净利4.8933%; 上一年度营收增12.85%, 利润增50%; 当季营收增5.43%, 利润增92.44%; 过往5年营收增6.39%, 利润增14.22%
Income profile:
</v>
      </c>
      <c r="D8" t="s">
        <v>244</v>
      </c>
      <c r="E8" t="s">
        <v>245</v>
      </c>
      <c r="F8">
        <v>4.04</v>
      </c>
      <c r="G8">
        <v>0.75</v>
      </c>
      <c r="H8" t="s">
        <v>767</v>
      </c>
      <c r="I8">
        <v>17955556000</v>
      </c>
      <c r="J8">
        <v>23.8</v>
      </c>
      <c r="K8">
        <v>0.94899999999999995</v>
      </c>
      <c r="L8" t="s">
        <v>39</v>
      </c>
      <c r="M8" t="s">
        <v>180</v>
      </c>
      <c r="N8" t="s">
        <v>768</v>
      </c>
      <c r="O8" t="s">
        <v>769</v>
      </c>
      <c r="P8">
        <v>5.43</v>
      </c>
      <c r="Q8" t="s">
        <v>770</v>
      </c>
      <c r="R8">
        <v>265569660</v>
      </c>
      <c r="S8" s="5">
        <v>0.92149999999999999</v>
      </c>
      <c r="T8" t="s">
        <v>463</v>
      </c>
      <c r="U8">
        <v>1044444440</v>
      </c>
      <c r="V8">
        <v>4444444400</v>
      </c>
      <c r="W8">
        <v>1.08</v>
      </c>
      <c r="X8">
        <v>0.12</v>
      </c>
      <c r="Y8">
        <v>10.6</v>
      </c>
      <c r="Z8" t="s">
        <v>771</v>
      </c>
      <c r="AA8" t="s">
        <v>772</v>
      </c>
      <c r="AB8" t="s">
        <v>773</v>
      </c>
      <c r="AC8" t="s">
        <v>774</v>
      </c>
      <c r="AD8" t="s">
        <v>40</v>
      </c>
      <c r="AE8">
        <v>-22601659</v>
      </c>
      <c r="AF8" t="s">
        <v>775</v>
      </c>
      <c r="AG8" t="s">
        <v>776</v>
      </c>
      <c r="AH8" t="s">
        <v>777</v>
      </c>
      <c r="AI8" t="s">
        <v>778</v>
      </c>
      <c r="AJ8" t="s">
        <v>779</v>
      </c>
      <c r="AK8" t="s">
        <v>780</v>
      </c>
      <c r="AL8" t="s">
        <v>781</v>
      </c>
      <c r="AM8" t="s">
        <v>40</v>
      </c>
      <c r="AN8" t="s">
        <v>782</v>
      </c>
      <c r="AO8" t="s">
        <v>40</v>
      </c>
      <c r="AP8" t="s">
        <v>40</v>
      </c>
      <c r="AQ8" t="s">
        <v>783</v>
      </c>
      <c r="AR8" t="s">
        <v>784</v>
      </c>
      <c r="AS8" t="s">
        <v>785</v>
      </c>
      <c r="AT8" t="s">
        <v>40</v>
      </c>
      <c r="AU8" t="s">
        <v>609</v>
      </c>
      <c r="AV8" t="s">
        <v>786</v>
      </c>
      <c r="AW8" t="s">
        <v>787</v>
      </c>
      <c r="AX8" t="s">
        <v>488</v>
      </c>
      <c r="AY8" t="s">
        <v>314</v>
      </c>
      <c r="AZ8" t="s">
        <v>246</v>
      </c>
      <c r="BA8" t="s">
        <v>247</v>
      </c>
      <c r="BB8" t="s">
        <v>248</v>
      </c>
      <c r="BC8" t="s">
        <v>788</v>
      </c>
      <c r="BD8" t="s">
        <v>315</v>
      </c>
      <c r="BE8" t="s">
        <v>242</v>
      </c>
      <c r="BF8" t="s">
        <v>240</v>
      </c>
      <c r="BG8" t="s">
        <v>201</v>
      </c>
      <c r="BH8" t="s">
        <v>770</v>
      </c>
      <c r="BI8" t="s">
        <v>789</v>
      </c>
      <c r="BJ8" t="s">
        <v>488</v>
      </c>
      <c r="BK8" t="s">
        <v>463</v>
      </c>
      <c r="BL8" t="s">
        <v>790</v>
      </c>
      <c r="BM8" t="s">
        <v>788</v>
      </c>
      <c r="BN8">
        <v>2.86</v>
      </c>
      <c r="BO8">
        <v>1.89</v>
      </c>
      <c r="BP8">
        <v>1.88</v>
      </c>
      <c r="BQ8">
        <v>3.18</v>
      </c>
      <c r="BR8">
        <v>2.29</v>
      </c>
      <c r="BS8">
        <v>2.31</v>
      </c>
      <c r="BT8" t="s">
        <v>791</v>
      </c>
      <c r="BU8" t="s">
        <v>376</v>
      </c>
      <c r="BV8">
        <v>8.32</v>
      </c>
      <c r="BW8">
        <v>6.37</v>
      </c>
      <c r="BX8">
        <v>6.61</v>
      </c>
      <c r="BY8">
        <v>5.87</v>
      </c>
      <c r="BZ8">
        <v>4.3899999999999997</v>
      </c>
      <c r="CA8">
        <v>4.42</v>
      </c>
      <c r="CB8">
        <v>2.2799999999999998</v>
      </c>
      <c r="CC8">
        <v>-2.7</v>
      </c>
      <c r="CD8" t="s">
        <v>792</v>
      </c>
      <c r="CE8" t="s">
        <v>519</v>
      </c>
      <c r="CF8" s="9">
        <v>5.4270088346655448E-2</v>
      </c>
      <c r="CG8" s="10">
        <v>0.92441782608695655</v>
      </c>
      <c r="CH8" s="9">
        <v>0.12845975160598755</v>
      </c>
      <c r="CI8" s="9">
        <v>7.03301802277565E-2</v>
      </c>
      <c r="CJ8" s="9">
        <v>4.5637313276529312E-2</v>
      </c>
      <c r="CK8" s="9">
        <v>-2.1857313811779022E-2</v>
      </c>
      <c r="CL8" s="9">
        <v>9.6778258681297302E-2</v>
      </c>
      <c r="CM8" s="10">
        <v>0.5</v>
      </c>
      <c r="CN8" s="10">
        <v>6.9053709506988525E-2</v>
      </c>
      <c r="CO8" s="10">
        <v>0.10764872282743454</v>
      </c>
      <c r="CP8" s="10">
        <v>-0.37852111458778381</v>
      </c>
      <c r="CQ8" s="10">
        <v>0.41293531656265259</v>
      </c>
      <c r="CR8">
        <v>39.047965204784347</v>
      </c>
      <c r="CS8">
        <v>6.1136975924703547</v>
      </c>
      <c r="CT8">
        <v>1.4356435643564356</v>
      </c>
      <c r="CU8" s="9">
        <v>6.3869637995958323E-2</v>
      </c>
      <c r="CV8" s="10">
        <v>0.14222332686185837</v>
      </c>
      <c r="CW8">
        <v>0.06</v>
      </c>
      <c r="CX8">
        <v>1.1974722058699254</v>
      </c>
      <c r="CY8">
        <v>629288927.38062811</v>
      </c>
      <c r="CZ8">
        <v>6.3869637995958323E-2</v>
      </c>
      <c r="DA8">
        <v>0.40010391056499023</v>
      </c>
      <c r="DB8">
        <v>1883400736.9133108</v>
      </c>
      <c r="DC8">
        <v>6.0676156096160401E-2</v>
      </c>
      <c r="DD8">
        <v>0.20283362464000651</v>
      </c>
      <c r="DE8">
        <v>3715143390.7342901</v>
      </c>
      <c r="DF8">
        <v>5.6205281436443322E-2</v>
      </c>
      <c r="DG8">
        <v>0.12585495636679142</v>
      </c>
      <c r="DH8">
        <v>5987495619.9884415</v>
      </c>
      <c r="DI8">
        <v>5.1095710396766664E-2</v>
      </c>
      <c r="DJ8">
        <v>6.9751932811834519E-2</v>
      </c>
      <c r="DK8">
        <v>10803370883.396471</v>
      </c>
      <c r="DL8">
        <v>4.470874659717082E-2</v>
      </c>
      <c r="DM8">
        <v>627000000</v>
      </c>
      <c r="DN8">
        <v>6.3869637995958323E-2</v>
      </c>
      <c r="DO8">
        <v>753556000</v>
      </c>
      <c r="DP8">
        <v>7799159500</v>
      </c>
      <c r="DQ8">
        <v>439</v>
      </c>
      <c r="DR8">
        <v>-9.5995496493028742E-3</v>
      </c>
      <c r="DS8">
        <v>0.78219449922509821</v>
      </c>
      <c r="DT8" s="11">
        <v>-0.44</v>
      </c>
      <c r="DU8">
        <v>0.59</v>
      </c>
      <c r="DV8">
        <v>0.14999999999999997</v>
      </c>
      <c r="DW8">
        <v>-1.0269999999999999</v>
      </c>
      <c r="DX8">
        <v>0.34858069306930589</v>
      </c>
      <c r="DY8">
        <v>-1.0040116787128712</v>
      </c>
      <c r="DZ8">
        <v>1364</v>
      </c>
      <c r="EA8">
        <v>-1.0029408509703357</v>
      </c>
      <c r="EB8">
        <v>1</v>
      </c>
      <c r="EC8">
        <v>1.3505985135059852E-2</v>
      </c>
      <c r="ED8">
        <v>9.0900000909000009E-2</v>
      </c>
      <c r="EE8" s="12">
        <v>-1.0369999999999999</v>
      </c>
      <c r="EF8">
        <v>-1.0294000000000001</v>
      </c>
      <c r="EG8">
        <v>20.148580693069306</v>
      </c>
      <c r="EH8" t="s">
        <v>383</v>
      </c>
      <c r="EI8">
        <v>0</v>
      </c>
      <c r="EJ8">
        <v>1</v>
      </c>
      <c r="EK8" s="8">
        <v>45470</v>
      </c>
      <c r="EL8" s="13">
        <v>0.25</v>
      </c>
      <c r="EM8" s="13">
        <v>-2.02</v>
      </c>
      <c r="EN8" s="13">
        <v>1.03</v>
      </c>
      <c r="EO8" s="13">
        <v>1.53</v>
      </c>
      <c r="EP8" s="13">
        <v>-0.76</v>
      </c>
    </row>
    <row r="9" spans="1:146" ht="96" x14ac:dyDescent="0.25">
      <c r="A9" s="14"/>
      <c r="B9" s="14"/>
      <c r="C9" s="14" t="str">
        <f>""&amp;CHAR(10)&amp;Basic_Fundamental_Information_Constructure(F9)&amp;CHAR(10)&amp;Basic_Fundamental_Information_Concatenate("")</f>
        <v xml:space="preserve">
市值821.85066亿, 利润67.67亿; PE12.25; 平均PE18.21; 平均PEG2.1, PB1.26; ROIC6.23%; ROE8.4133%; 股利率4.4066%; 毛利37.8233%; 净利67.23%; 上一年度营收增17.28%, 利润增39.21%; 当季营收增49.16%, 利润增-4.12%; 过往5年营收增8.69%, 利润增24.6%
Income profile:
</v>
      </c>
      <c r="D9" t="s">
        <v>60</v>
      </c>
      <c r="E9" t="s">
        <v>10</v>
      </c>
      <c r="F9">
        <v>12.05</v>
      </c>
      <c r="G9">
        <v>0.33</v>
      </c>
      <c r="H9" t="s">
        <v>793</v>
      </c>
      <c r="I9">
        <v>82185066000</v>
      </c>
      <c r="J9">
        <v>12.25</v>
      </c>
      <c r="K9">
        <v>1.26</v>
      </c>
      <c r="L9" t="s">
        <v>39</v>
      </c>
      <c r="M9" t="s">
        <v>794</v>
      </c>
      <c r="N9" t="s">
        <v>795</v>
      </c>
      <c r="O9" t="s">
        <v>796</v>
      </c>
      <c r="P9">
        <v>49.14</v>
      </c>
      <c r="Q9" t="s">
        <v>797</v>
      </c>
      <c r="R9">
        <v>1293427190</v>
      </c>
      <c r="S9" s="5">
        <v>-4.1500000000000002E-2</v>
      </c>
      <c r="T9" t="s">
        <v>798</v>
      </c>
      <c r="U9">
        <v>6820337400</v>
      </c>
      <c r="V9">
        <v>6820337400</v>
      </c>
      <c r="W9">
        <v>1.8</v>
      </c>
      <c r="X9">
        <v>0.02</v>
      </c>
      <c r="Y9">
        <v>47.68</v>
      </c>
      <c r="Z9" t="s">
        <v>799</v>
      </c>
      <c r="AA9" t="s">
        <v>486</v>
      </c>
      <c r="AB9" t="s">
        <v>800</v>
      </c>
      <c r="AC9" t="s">
        <v>801</v>
      </c>
      <c r="AD9" t="s">
        <v>40</v>
      </c>
      <c r="AE9">
        <v>457523950</v>
      </c>
      <c r="AF9" t="s">
        <v>802</v>
      </c>
      <c r="AG9" t="s">
        <v>803</v>
      </c>
      <c r="AH9" t="s">
        <v>804</v>
      </c>
      <c r="AI9" t="s">
        <v>805</v>
      </c>
      <c r="AJ9" t="s">
        <v>806</v>
      </c>
      <c r="AK9" t="s">
        <v>807</v>
      </c>
      <c r="AL9" t="s">
        <v>808</v>
      </c>
      <c r="AM9" t="s">
        <v>40</v>
      </c>
      <c r="AN9" t="s">
        <v>489</v>
      </c>
      <c r="AO9" t="s">
        <v>809</v>
      </c>
      <c r="AP9" t="s">
        <v>810</v>
      </c>
      <c r="AQ9" t="s">
        <v>811</v>
      </c>
      <c r="AR9" t="s">
        <v>812</v>
      </c>
      <c r="AS9" t="s">
        <v>813</v>
      </c>
      <c r="AT9" t="s">
        <v>814</v>
      </c>
      <c r="AU9" t="s">
        <v>815</v>
      </c>
      <c r="AV9" t="s">
        <v>816</v>
      </c>
      <c r="AW9" t="s">
        <v>817</v>
      </c>
      <c r="AX9" t="s">
        <v>490</v>
      </c>
      <c r="AY9" t="s">
        <v>316</v>
      </c>
      <c r="AZ9" t="s">
        <v>145</v>
      </c>
      <c r="BA9" t="s">
        <v>148</v>
      </c>
      <c r="BB9" t="s">
        <v>149</v>
      </c>
      <c r="BC9" t="s">
        <v>491</v>
      </c>
      <c r="BD9" t="s">
        <v>317</v>
      </c>
      <c r="BE9" t="s">
        <v>146</v>
      </c>
      <c r="BF9" t="s">
        <v>150</v>
      </c>
      <c r="BG9" t="s">
        <v>151</v>
      </c>
      <c r="BH9" t="s">
        <v>797</v>
      </c>
      <c r="BI9" t="s">
        <v>818</v>
      </c>
      <c r="BJ9" t="s">
        <v>490</v>
      </c>
      <c r="BK9" t="s">
        <v>798</v>
      </c>
      <c r="BL9" t="s">
        <v>819</v>
      </c>
      <c r="BM9" t="s">
        <v>491</v>
      </c>
      <c r="BN9">
        <v>5.12</v>
      </c>
      <c r="BO9">
        <v>6.36</v>
      </c>
      <c r="BP9">
        <v>7.21</v>
      </c>
      <c r="BQ9">
        <v>7.52</v>
      </c>
      <c r="BR9">
        <v>8.52</v>
      </c>
      <c r="BS9">
        <v>9.1999999999999993</v>
      </c>
      <c r="BT9" t="s">
        <v>820</v>
      </c>
      <c r="BU9" t="s">
        <v>372</v>
      </c>
      <c r="BV9">
        <v>36.96</v>
      </c>
      <c r="BW9">
        <v>35.06</v>
      </c>
      <c r="BX9">
        <v>41.45</v>
      </c>
      <c r="BY9">
        <v>74.150000000000006</v>
      </c>
      <c r="BZ9">
        <v>63.3</v>
      </c>
      <c r="CA9">
        <v>64.239999999999995</v>
      </c>
      <c r="CB9">
        <v>1.6</v>
      </c>
      <c r="CC9">
        <v>6.26</v>
      </c>
      <c r="CD9" t="s">
        <v>821</v>
      </c>
      <c r="CE9" t="s">
        <v>822</v>
      </c>
      <c r="CF9" s="9">
        <v>0.49160908193484681</v>
      </c>
      <c r="CG9" s="10">
        <v>-4.1195559673832469E-2</v>
      </c>
      <c r="CH9" s="9">
        <v>0.17283360660076141</v>
      </c>
      <c r="CI9" s="9">
        <v>-3.8140498101711273E-2</v>
      </c>
      <c r="CJ9" s="9">
        <v>0.22025741636753082</v>
      </c>
      <c r="CK9" s="9">
        <v>-0.14749151468276978</v>
      </c>
      <c r="CL9" s="9">
        <v>0.22680865228176117</v>
      </c>
      <c r="CM9" s="10">
        <v>0.39210033416748047</v>
      </c>
      <c r="CN9" s="10">
        <v>-2.2521615028381348E-2</v>
      </c>
      <c r="CO9" s="10">
        <v>1.2370671033859253</v>
      </c>
      <c r="CP9" s="10">
        <v>-0.48861280083656311</v>
      </c>
      <c r="CQ9" s="10">
        <v>0.11176461726427078</v>
      </c>
      <c r="CR9">
        <v>18.208721834496512</v>
      </c>
      <c r="CS9">
        <v>2.0964860394066358</v>
      </c>
      <c r="CT9">
        <v>4.406639004149377</v>
      </c>
      <c r="CU9" s="9">
        <v>8.6853532493114477E-2</v>
      </c>
      <c r="CV9" s="10">
        <v>0.24595952779054642</v>
      </c>
      <c r="CW9">
        <v>0.06</v>
      </c>
      <c r="CX9">
        <v>10.0551632735556</v>
      </c>
      <c r="CY9">
        <v>6938431938.0951939</v>
      </c>
      <c r="CZ9">
        <v>8.6853532493114477E-2</v>
      </c>
      <c r="DA9">
        <v>3.2947033097948193</v>
      </c>
      <c r="DB9">
        <v>21175523086.582508</v>
      </c>
      <c r="DC9">
        <v>8.2510855868458743E-2</v>
      </c>
      <c r="DD9">
        <v>1.627690673221607</v>
      </c>
      <c r="DE9">
        <v>42862607218.798843</v>
      </c>
      <c r="DF9">
        <v>7.6431108593940741E-2</v>
      </c>
      <c r="DG9">
        <v>0.98138285563772676</v>
      </c>
      <c r="DH9">
        <v>71090569393.189209</v>
      </c>
      <c r="DI9">
        <v>6.9482825994491584E-2</v>
      </c>
      <c r="DJ9">
        <v>0.51143540189618597</v>
      </c>
      <c r="DK9">
        <v>136414228935.52785</v>
      </c>
      <c r="DL9">
        <v>6.0797472745180131E-2</v>
      </c>
      <c r="DM9">
        <v>6767000000</v>
      </c>
      <c r="DN9">
        <v>8.6853532493114477E-2</v>
      </c>
      <c r="DO9">
        <v>69767066000</v>
      </c>
      <c r="DP9">
        <v>-1042767000</v>
      </c>
      <c r="DQ9">
        <v>520</v>
      </c>
      <c r="DR9">
        <v>0.40475554944173231</v>
      </c>
      <c r="DS9">
        <v>-0.2871550874643789</v>
      </c>
      <c r="DT9" s="11">
        <v>-4.0000000000000036E-2</v>
      </c>
      <c r="DU9">
        <v>0.31666666666666671</v>
      </c>
      <c r="DV9">
        <v>0.27666666666666667</v>
      </c>
      <c r="DW9">
        <v>2.0626000000000002</v>
      </c>
      <c r="DX9">
        <v>0.31973067680608391</v>
      </c>
      <c r="DY9">
        <v>2.0068691403680607</v>
      </c>
      <c r="DZ9">
        <v>1098</v>
      </c>
      <c r="EA9">
        <v>2.0053931489543366</v>
      </c>
      <c r="EB9">
        <v>2</v>
      </c>
      <c r="EC9">
        <v>1.2694020093492735E-2</v>
      </c>
      <c r="ED9">
        <v>0.11568342645335991</v>
      </c>
      <c r="EE9" s="12">
        <v>-1.0071000000000001</v>
      </c>
      <c r="EF9">
        <v>-1.0209999999999999</v>
      </c>
      <c r="EG9">
        <v>21.109730676806084</v>
      </c>
      <c r="EH9" t="s">
        <v>383</v>
      </c>
      <c r="EI9">
        <v>1</v>
      </c>
      <c r="EJ9">
        <v>1</v>
      </c>
      <c r="EK9" s="8">
        <v>45470</v>
      </c>
      <c r="EL9" s="13">
        <v>2.72</v>
      </c>
      <c r="EM9" s="13">
        <v>-1.79</v>
      </c>
      <c r="EN9" s="13">
        <v>1.1299999999999999</v>
      </c>
      <c r="EO9" s="13">
        <v>-0.95</v>
      </c>
      <c r="EP9" s="13">
        <v>1.39</v>
      </c>
    </row>
    <row r="10" spans="1:146" ht="96" x14ac:dyDescent="0.25">
      <c r="A10" s="14"/>
      <c r="B10" s="14"/>
      <c r="C10" s="14" t="str">
        <f>""&amp;CHAR(10)&amp;Basic_Fundamental_Information_Constructure(F10)&amp;CHAR(10)&amp;Basic_Fundamental_Information_Concatenate("")</f>
        <v xml:space="preserve">
市值16.207383亿, 利润1.50亿; PE10.71; 平均PE20.38; 平均PEG38.06, PB1.07; ROIC6.16%; ROE7.14%; 股利率.9671%; 毛利18.2167%; 净利12.2467%; 上一年度营收增18.49%, 利润增153.82%; 当季营收增7.07%, 利润增1.78%; 过往5年营收增-.54%, 利润增48.75%
Income profile:
</v>
      </c>
      <c r="D10" t="s">
        <v>251</v>
      </c>
      <c r="E10" t="s">
        <v>252</v>
      </c>
      <c r="F10">
        <v>5.17</v>
      </c>
      <c r="G10">
        <v>1.77</v>
      </c>
      <c r="H10" t="s">
        <v>823</v>
      </c>
      <c r="I10">
        <v>1620738300</v>
      </c>
      <c r="J10">
        <v>10.71</v>
      </c>
      <c r="K10">
        <v>1.07</v>
      </c>
      <c r="L10" t="s">
        <v>39</v>
      </c>
      <c r="M10" t="s">
        <v>824</v>
      </c>
      <c r="N10" t="s">
        <v>825</v>
      </c>
      <c r="O10" t="s">
        <v>826</v>
      </c>
      <c r="P10">
        <v>7.01</v>
      </c>
      <c r="Q10" t="s">
        <v>144</v>
      </c>
      <c r="R10">
        <v>50744972</v>
      </c>
      <c r="S10" s="5">
        <v>1.78E-2</v>
      </c>
      <c r="T10" t="s">
        <v>44</v>
      </c>
      <c r="U10">
        <v>313477790</v>
      </c>
      <c r="V10">
        <v>313489040</v>
      </c>
      <c r="W10">
        <v>1.78</v>
      </c>
      <c r="X10">
        <v>7.0000000000000007E-2</v>
      </c>
      <c r="Y10">
        <v>23.75</v>
      </c>
      <c r="Z10" t="s">
        <v>827</v>
      </c>
      <c r="AA10" t="s">
        <v>603</v>
      </c>
      <c r="AB10" t="s">
        <v>828</v>
      </c>
      <c r="AC10" t="s">
        <v>829</v>
      </c>
      <c r="AD10" t="s">
        <v>40</v>
      </c>
      <c r="AE10">
        <v>7812100</v>
      </c>
      <c r="AF10" t="s">
        <v>830</v>
      </c>
      <c r="AG10" t="s">
        <v>831</v>
      </c>
      <c r="AH10" t="s">
        <v>832</v>
      </c>
      <c r="AI10" t="s">
        <v>790</v>
      </c>
      <c r="AJ10" t="s">
        <v>833</v>
      </c>
      <c r="AK10" t="s">
        <v>834</v>
      </c>
      <c r="AL10" t="s">
        <v>835</v>
      </c>
      <c r="AM10" t="s">
        <v>40</v>
      </c>
      <c r="AN10">
        <v>0</v>
      </c>
      <c r="AO10" t="s">
        <v>836</v>
      </c>
      <c r="AP10" t="s">
        <v>837</v>
      </c>
      <c r="AQ10" t="s">
        <v>838</v>
      </c>
      <c r="AR10" t="s">
        <v>839</v>
      </c>
      <c r="AS10" t="s">
        <v>840</v>
      </c>
      <c r="AT10" t="s">
        <v>841</v>
      </c>
      <c r="AU10" t="s">
        <v>842</v>
      </c>
      <c r="AV10" t="s">
        <v>843</v>
      </c>
      <c r="AW10" t="s">
        <v>844</v>
      </c>
      <c r="AX10" t="s">
        <v>494</v>
      </c>
      <c r="AY10" t="s">
        <v>258</v>
      </c>
      <c r="AZ10" t="s">
        <v>200</v>
      </c>
      <c r="BA10" t="s">
        <v>254</v>
      </c>
      <c r="BB10" t="s">
        <v>255</v>
      </c>
      <c r="BC10" t="s">
        <v>845</v>
      </c>
      <c r="BD10" t="s">
        <v>318</v>
      </c>
      <c r="BE10" t="s">
        <v>253</v>
      </c>
      <c r="BF10" t="s">
        <v>256</v>
      </c>
      <c r="BG10" t="s">
        <v>257</v>
      </c>
      <c r="BH10" t="s">
        <v>144</v>
      </c>
      <c r="BI10" t="s">
        <v>473</v>
      </c>
      <c r="BJ10" t="s">
        <v>494</v>
      </c>
      <c r="BK10" t="s">
        <v>44</v>
      </c>
      <c r="BL10" t="s">
        <v>846</v>
      </c>
      <c r="BM10" t="s">
        <v>845</v>
      </c>
      <c r="BN10">
        <v>8.82</v>
      </c>
      <c r="BO10">
        <v>4.4000000000000004</v>
      </c>
      <c r="BP10">
        <v>5.26</v>
      </c>
      <c r="BQ10">
        <v>11.48</v>
      </c>
      <c r="BR10">
        <v>4.54</v>
      </c>
      <c r="BS10">
        <v>5.4</v>
      </c>
      <c r="BT10" t="s">
        <v>847</v>
      </c>
      <c r="BU10" t="s">
        <v>379</v>
      </c>
      <c r="BV10">
        <v>19.29</v>
      </c>
      <c r="BW10">
        <v>15.76</v>
      </c>
      <c r="BX10">
        <v>19.600000000000001</v>
      </c>
      <c r="BY10">
        <v>17.649999999999999</v>
      </c>
      <c r="BZ10">
        <v>8.52</v>
      </c>
      <c r="CA10">
        <v>10.57</v>
      </c>
      <c r="CB10">
        <v>0.78</v>
      </c>
      <c r="CC10">
        <v>-11.77</v>
      </c>
      <c r="CD10" t="s">
        <v>848</v>
      </c>
      <c r="CE10" t="s">
        <v>641</v>
      </c>
      <c r="CF10" s="9">
        <v>7.0707070707070704E-2</v>
      </c>
      <c r="CG10" s="10">
        <v>1.7783839400862044E-2</v>
      </c>
      <c r="CH10" s="9">
        <v>0.18493150174617767</v>
      </c>
      <c r="CI10" s="9">
        <v>4.7345768660306931E-2</v>
      </c>
      <c r="CJ10" s="9">
        <v>0.10810811072587967</v>
      </c>
      <c r="CK10" s="9">
        <v>-0.29006773233413696</v>
      </c>
      <c r="CL10" s="9">
        <v>-7.708333432674408E-2</v>
      </c>
      <c r="CM10" s="10">
        <v>1.5382386445999146</v>
      </c>
      <c r="CN10" s="10">
        <v>-0.14555948972702026</v>
      </c>
      <c r="CO10" s="10">
        <v>-0.10911036282777786</v>
      </c>
      <c r="CP10" s="10">
        <v>-7.3045551776885986E-2</v>
      </c>
      <c r="CQ10" s="10">
        <v>1.2269881963729858</v>
      </c>
      <c r="CR10">
        <v>20.375820895147108</v>
      </c>
      <c r="CS10">
        <v>38.063327153414853</v>
      </c>
      <c r="CT10">
        <v>0.96711798839458418</v>
      </c>
      <c r="CU10" s="9">
        <v>-5.3531371057033541E-3</v>
      </c>
      <c r="CV10" s="10">
        <v>0.48750228732824324</v>
      </c>
      <c r="CW10">
        <v>0.06</v>
      </c>
      <c r="CX10">
        <v>8.9049219999999991</v>
      </c>
      <c r="CY10" t="s">
        <v>849</v>
      </c>
      <c r="CZ10">
        <v>-5.3531371057033541E-3</v>
      </c>
      <c r="DA10">
        <v>2.9683073333333332</v>
      </c>
      <c r="DB10" t="s">
        <v>850</v>
      </c>
      <c r="DC10">
        <v>-5.085480250418186E-3</v>
      </c>
      <c r="DD10">
        <v>1.4841536666666666</v>
      </c>
      <c r="DE10" t="s">
        <v>851</v>
      </c>
      <c r="DF10">
        <v>-4.7107606530189519E-3</v>
      </c>
      <c r="DG10">
        <v>0.89049219999999996</v>
      </c>
      <c r="DH10" t="s">
        <v>852</v>
      </c>
      <c r="DI10">
        <v>-4.2825096845626838E-3</v>
      </c>
      <c r="DJ10">
        <v>0.44524609999999998</v>
      </c>
      <c r="DK10" t="s">
        <v>853</v>
      </c>
      <c r="DL10">
        <v>-3.7471959739923478E-3</v>
      </c>
      <c r="DM10">
        <v>150000000</v>
      </c>
      <c r="DN10">
        <v>-5.3531371057033541E-3</v>
      </c>
      <c r="DO10">
        <v>1335738300</v>
      </c>
      <c r="DP10">
        <v>-589931340</v>
      </c>
      <c r="DQ10">
        <v>864</v>
      </c>
      <c r="DR10">
        <v>7.6060207812774061E-2</v>
      </c>
      <c r="DS10">
        <v>-0.46971844792738121</v>
      </c>
      <c r="DT10" s="11">
        <v>-0.38999999999999996</v>
      </c>
      <c r="DU10">
        <v>0.53333333333333333</v>
      </c>
      <c r="DV10">
        <v>0.14333333333333337</v>
      </c>
      <c r="DW10">
        <v>-2.1177000000000001</v>
      </c>
      <c r="DX10">
        <v>0.33917986577181197</v>
      </c>
      <c r="DY10">
        <v>-2.0163814702013423</v>
      </c>
      <c r="DZ10">
        <v>1373</v>
      </c>
      <c r="EA10">
        <v>-2.0119799518869699</v>
      </c>
      <c r="EB10">
        <v>2</v>
      </c>
      <c r="EC10">
        <v>6.6151594964851096E-2</v>
      </c>
      <c r="ED10">
        <v>0.47529572325718311</v>
      </c>
      <c r="EE10" s="12">
        <v>8.09E-2</v>
      </c>
      <c r="EF10">
        <v>6.3600000000000004E-2</v>
      </c>
      <c r="EG10">
        <v>20.139179865771812</v>
      </c>
      <c r="EH10" t="s">
        <v>377</v>
      </c>
      <c r="EI10">
        <v>0</v>
      </c>
      <c r="EJ10">
        <v>1</v>
      </c>
      <c r="EK10" s="8">
        <v>45470</v>
      </c>
      <c r="EL10" s="13">
        <v>1.1599999999999999</v>
      </c>
      <c r="EM10" s="13">
        <v>-4.0199999999999996</v>
      </c>
      <c r="EN10" s="13">
        <v>1.4</v>
      </c>
      <c r="EO10" s="13">
        <v>2.36</v>
      </c>
      <c r="EP10" s="13">
        <v>-1.73</v>
      </c>
    </row>
    <row r="11" spans="1:146" ht="96" x14ac:dyDescent="0.25">
      <c r="A11" s="14"/>
      <c r="B11" s="14"/>
      <c r="C11" s="14" t="str">
        <f>""&amp;CHAR(10)&amp;Basic_Fundamental_Information_Constructure(F11)&amp;CHAR(10)&amp;Basic_Fundamental_Information_Concatenate("")</f>
        <v xml:space="preserve">
市值201.18939亿, 利润14.45亿; PE12.4; 平均PE16.91; 平均PEG1.23, PB1.63; ROIC5.7033%; ROE8.2433%; 股利率4.5342%; 毛利55.9033%; 净利36.4633%; 上一年度营收增32.77%, 利润增-4.56%; 当季营收增72.8%, 利润增.74%; 过往5年营收增13.8%, 利润增9.9%
Income profile:
</v>
      </c>
      <c r="D11" t="s">
        <v>61</v>
      </c>
      <c r="E11" t="s">
        <v>18</v>
      </c>
      <c r="F11">
        <v>12.13</v>
      </c>
      <c r="G11">
        <v>-2.41</v>
      </c>
      <c r="H11" t="s">
        <v>601</v>
      </c>
      <c r="I11">
        <v>20118939000</v>
      </c>
      <c r="J11">
        <v>12.4</v>
      </c>
      <c r="K11">
        <v>1.63</v>
      </c>
      <c r="L11" t="s">
        <v>39</v>
      </c>
      <c r="M11" t="s">
        <v>495</v>
      </c>
      <c r="N11" t="s">
        <v>496</v>
      </c>
      <c r="O11" t="s">
        <v>497</v>
      </c>
      <c r="P11">
        <v>9.01</v>
      </c>
      <c r="Q11" t="s">
        <v>498</v>
      </c>
      <c r="R11">
        <v>1350761000</v>
      </c>
      <c r="S11" s="5">
        <v>0.15129999999999999</v>
      </c>
      <c r="T11" t="s">
        <v>499</v>
      </c>
      <c r="U11">
        <v>1165600000</v>
      </c>
      <c r="V11">
        <v>1658610000</v>
      </c>
      <c r="W11">
        <v>1.59</v>
      </c>
      <c r="X11">
        <v>0.2</v>
      </c>
      <c r="Y11">
        <v>32.01</v>
      </c>
      <c r="Z11" t="s">
        <v>500</v>
      </c>
      <c r="AA11" t="s">
        <v>501</v>
      </c>
      <c r="AB11" t="s">
        <v>40</v>
      </c>
      <c r="AC11" t="s">
        <v>493</v>
      </c>
      <c r="AD11" t="s">
        <v>40</v>
      </c>
      <c r="AE11">
        <v>77373217</v>
      </c>
      <c r="AF11" t="s">
        <v>502</v>
      </c>
      <c r="AG11" t="s">
        <v>503</v>
      </c>
      <c r="AH11" t="s">
        <v>504</v>
      </c>
      <c r="AI11" t="s">
        <v>505</v>
      </c>
      <c r="AJ11" t="s">
        <v>50</v>
      </c>
      <c r="AK11" t="s">
        <v>40</v>
      </c>
      <c r="AL11" t="s">
        <v>506</v>
      </c>
      <c r="AM11" t="s">
        <v>40</v>
      </c>
      <c r="AN11" t="s">
        <v>467</v>
      </c>
      <c r="AO11" t="s">
        <v>40</v>
      </c>
      <c r="AP11" t="s">
        <v>40</v>
      </c>
      <c r="AQ11" t="s">
        <v>507</v>
      </c>
      <c r="AR11" t="s">
        <v>508</v>
      </c>
      <c r="AS11" t="s">
        <v>468</v>
      </c>
      <c r="AT11" t="s">
        <v>509</v>
      </c>
      <c r="AU11" t="s">
        <v>510</v>
      </c>
      <c r="AV11" t="s">
        <v>511</v>
      </c>
      <c r="AW11" t="s">
        <v>512</v>
      </c>
      <c r="AX11" t="s">
        <v>320</v>
      </c>
      <c r="AY11" t="s">
        <v>322</v>
      </c>
      <c r="AZ11" t="s">
        <v>62</v>
      </c>
      <c r="BA11" t="s">
        <v>152</v>
      </c>
      <c r="BB11" t="s">
        <v>153</v>
      </c>
      <c r="BC11" t="s">
        <v>321</v>
      </c>
      <c r="BD11" t="s">
        <v>323</v>
      </c>
      <c r="BE11" t="s">
        <v>63</v>
      </c>
      <c r="BF11" t="s">
        <v>154</v>
      </c>
      <c r="BG11" t="s">
        <v>155</v>
      </c>
      <c r="BH11" t="s">
        <v>513</v>
      </c>
      <c r="BI11" t="s">
        <v>514</v>
      </c>
      <c r="BJ11" t="s">
        <v>460</v>
      </c>
      <c r="BK11" t="s">
        <v>515</v>
      </c>
      <c r="BL11" t="s">
        <v>516</v>
      </c>
      <c r="BM11" t="s">
        <v>461</v>
      </c>
      <c r="BN11">
        <v>2.41</v>
      </c>
      <c r="BO11">
        <v>9.14</v>
      </c>
      <c r="BP11">
        <v>5.56</v>
      </c>
      <c r="BQ11">
        <v>3.78</v>
      </c>
      <c r="BR11">
        <v>12.58</v>
      </c>
      <c r="BS11">
        <v>8.3699999999999992</v>
      </c>
      <c r="BT11" t="s">
        <v>462</v>
      </c>
      <c r="BU11" t="s">
        <v>372</v>
      </c>
      <c r="BV11">
        <v>57.5</v>
      </c>
      <c r="BW11">
        <v>59.69</v>
      </c>
      <c r="BX11">
        <v>50.52</v>
      </c>
      <c r="BY11">
        <v>37.090000000000003</v>
      </c>
      <c r="BZ11">
        <v>39.409999999999997</v>
      </c>
      <c r="CA11">
        <v>32.89</v>
      </c>
      <c r="CB11">
        <v>3.5</v>
      </c>
      <c r="CC11">
        <v>9.58</v>
      </c>
      <c r="CD11" t="s">
        <v>602</v>
      </c>
      <c r="CE11" t="s">
        <v>603</v>
      </c>
      <c r="CF11" s="9">
        <v>0.72797262617621894</v>
      </c>
      <c r="CG11" s="10">
        <v>7.4181459566074947E-3</v>
      </c>
      <c r="CH11" s="9">
        <v>0.32772257924079895</v>
      </c>
      <c r="CI11" s="9">
        <v>0.33640074729919434</v>
      </c>
      <c r="CJ11" s="9">
        <v>-4.0732328779995441E-3</v>
      </c>
      <c r="CK11" s="9">
        <v>-7.0779211819171906E-3</v>
      </c>
      <c r="CL11" s="9">
        <v>3.7050027400255203E-2</v>
      </c>
      <c r="CM11" s="10">
        <v>-4.5574679970741272E-2</v>
      </c>
      <c r="CN11" s="10">
        <v>0.74223244190216064</v>
      </c>
      <c r="CO11" s="10">
        <v>-0.20856101810932159</v>
      </c>
      <c r="CP11" s="10">
        <v>-2.2261854261159897E-2</v>
      </c>
      <c r="CQ11" s="10">
        <v>2.9330886900424957E-2</v>
      </c>
      <c r="CR11">
        <v>16.906671428571428</v>
      </c>
      <c r="CS11">
        <v>1.2250817025527219</v>
      </c>
      <c r="CT11">
        <v>4.5342126957955475</v>
      </c>
      <c r="CU11" s="9">
        <v>0.13800443997606635</v>
      </c>
      <c r="CV11" s="10">
        <v>9.9033155292272565E-2</v>
      </c>
      <c r="CW11">
        <v>0.06</v>
      </c>
      <c r="CX11">
        <v>9.3099990934315642</v>
      </c>
      <c r="CY11">
        <v>1551336241.2881281</v>
      </c>
      <c r="CZ11">
        <v>0.13800443997606635</v>
      </c>
      <c r="DA11">
        <v>2.9218838452348979</v>
      </c>
      <c r="DB11">
        <v>4943022982.7766809</v>
      </c>
      <c r="DC11">
        <v>0.13110421797726302</v>
      </c>
      <c r="DD11">
        <v>1.3613712722257603</v>
      </c>
      <c r="DE11">
        <v>10609111044.62096</v>
      </c>
      <c r="DF11">
        <v>0.12144390717893838</v>
      </c>
      <c r="DG11">
        <v>0.76730198093790658</v>
      </c>
      <c r="DH11">
        <v>18823018001.785645</v>
      </c>
      <c r="DI11">
        <v>0.11040355198085308</v>
      </c>
      <c r="DJ11">
        <v>0.3432894801046294</v>
      </c>
      <c r="DK11">
        <v>42072186411.299332</v>
      </c>
      <c r="DL11">
        <v>9.6603107983246436E-2</v>
      </c>
      <c r="DM11">
        <v>1445000000</v>
      </c>
      <c r="DN11">
        <v>0.13800443997606635</v>
      </c>
      <c r="DO11">
        <v>14442939000.000002</v>
      </c>
      <c r="DP11">
        <v>3487175500</v>
      </c>
      <c r="DQ11">
        <v>2853</v>
      </c>
      <c r="DR11">
        <v>0.58996818620015257</v>
      </c>
      <c r="DS11">
        <v>-9.1615009335665076E-2</v>
      </c>
      <c r="DT11" s="11">
        <v>-0.12333333333333336</v>
      </c>
      <c r="DU11">
        <v>0.38666666666666666</v>
      </c>
      <c r="DV11">
        <v>0.26333333333333331</v>
      </c>
      <c r="DW11">
        <v>8.3653444676409183</v>
      </c>
      <c r="DX11">
        <v>0.45652366863905414</v>
      </c>
      <c r="DY11">
        <v>8.0754522797741846</v>
      </c>
      <c r="DZ11">
        <v>1597</v>
      </c>
      <c r="EA11">
        <v>8.0518808222625697</v>
      </c>
      <c r="EB11">
        <v>8</v>
      </c>
      <c r="EC11">
        <v>2.1043222939690465E-2</v>
      </c>
      <c r="ED11">
        <v>0.10189254857983492</v>
      </c>
      <c r="EE11" s="12">
        <v>1.1307</v>
      </c>
      <c r="EF11">
        <v>1.1066</v>
      </c>
      <c r="EG11">
        <v>25.206523668639054</v>
      </c>
      <c r="EH11" t="s">
        <v>380</v>
      </c>
      <c r="EI11">
        <v>0</v>
      </c>
      <c r="EJ11">
        <v>0</v>
      </c>
      <c r="EK11" s="8">
        <v>45323</v>
      </c>
      <c r="EL11" s="13">
        <v>0.43</v>
      </c>
      <c r="EM11" s="13">
        <v>1.45</v>
      </c>
      <c r="EN11" s="13">
        <v>3.7</v>
      </c>
      <c r="EO11" s="13">
        <v>-1.05</v>
      </c>
      <c r="EP11" s="13">
        <v>-2.41</v>
      </c>
    </row>
    <row r="12" spans="1:146" ht="96" x14ac:dyDescent="0.25">
      <c r="A12" s="14"/>
      <c r="B12" s="14"/>
      <c r="C12" s="14" t="str">
        <f>""&amp;CHAR(10)&amp;Basic_Fundamental_Information_Constructure(F12)&amp;CHAR(10)&amp;Basic_Fundamental_Information_Concatenate("")</f>
        <v xml:space="preserve">
市值81.804335亿, 利润15.93亿; PE11.26; 平均PE9.44; 平均PEG.06, PB.727; ROIC3.3167%; ROE4.76%; 股利率4.0934%; 毛利34.4833%; 净利9.89%; 上一年度营收增472.15%, 利润增1037.86%; 当季营收增-89.41%, 利润增-15.23%; 过往5年营收增154.07%, 利润增1037.86%
Income profile:
</v>
      </c>
      <c r="D12" t="s">
        <v>64</v>
      </c>
      <c r="E12" t="s">
        <v>21</v>
      </c>
      <c r="F12">
        <v>3.64</v>
      </c>
      <c r="G12">
        <v>0</v>
      </c>
      <c r="H12" t="s">
        <v>854</v>
      </c>
      <c r="I12">
        <v>8180433500</v>
      </c>
      <c r="J12">
        <v>11.26</v>
      </c>
      <c r="K12">
        <v>0.72699999999999998</v>
      </c>
      <c r="L12" t="s">
        <v>39</v>
      </c>
      <c r="M12" t="s">
        <v>855</v>
      </c>
      <c r="N12" t="s">
        <v>856</v>
      </c>
      <c r="O12" t="s">
        <v>857</v>
      </c>
      <c r="P12">
        <v>-9.07</v>
      </c>
      <c r="Q12" t="s">
        <v>858</v>
      </c>
      <c r="R12">
        <v>283987270</v>
      </c>
      <c r="S12" s="5">
        <v>-0.2641</v>
      </c>
      <c r="T12" t="s">
        <v>859</v>
      </c>
      <c r="U12">
        <v>2247371800</v>
      </c>
      <c r="V12">
        <v>2247371800</v>
      </c>
      <c r="W12">
        <v>3.35</v>
      </c>
      <c r="X12" t="s">
        <v>40</v>
      </c>
      <c r="Y12">
        <v>25.95</v>
      </c>
      <c r="Z12" t="s">
        <v>40</v>
      </c>
      <c r="AA12" t="s">
        <v>40</v>
      </c>
      <c r="AB12" t="s">
        <v>40</v>
      </c>
      <c r="AC12" t="s">
        <v>40</v>
      </c>
      <c r="AD12" t="s">
        <v>40</v>
      </c>
      <c r="AE12">
        <v>233573660</v>
      </c>
      <c r="AF12" t="s">
        <v>860</v>
      </c>
      <c r="AG12" t="s">
        <v>861</v>
      </c>
      <c r="AH12" t="s">
        <v>862</v>
      </c>
      <c r="AI12" t="s">
        <v>863</v>
      </c>
      <c r="AJ12" t="s">
        <v>864</v>
      </c>
      <c r="AK12" t="s">
        <v>40</v>
      </c>
      <c r="AL12" t="s">
        <v>865</v>
      </c>
      <c r="AM12" t="s">
        <v>40</v>
      </c>
      <c r="AN12" t="s">
        <v>319</v>
      </c>
      <c r="AO12" t="s">
        <v>40</v>
      </c>
      <c r="AP12" t="s">
        <v>40</v>
      </c>
      <c r="AQ12" t="s">
        <v>866</v>
      </c>
      <c r="AR12" t="s">
        <v>867</v>
      </c>
      <c r="AS12" t="s">
        <v>40</v>
      </c>
      <c r="AT12" t="s">
        <v>40</v>
      </c>
      <c r="AU12" t="s">
        <v>868</v>
      </c>
      <c r="AV12" t="s">
        <v>587</v>
      </c>
      <c r="AW12" t="s">
        <v>459</v>
      </c>
      <c r="AX12" t="s">
        <v>518</v>
      </c>
      <c r="AY12" t="s">
        <v>40</v>
      </c>
      <c r="AZ12" t="s">
        <v>156</v>
      </c>
      <c r="BA12" t="s">
        <v>65</v>
      </c>
      <c r="BB12" t="s">
        <v>158</v>
      </c>
      <c r="BC12" t="s">
        <v>474</v>
      </c>
      <c r="BD12" t="s">
        <v>40</v>
      </c>
      <c r="BE12" t="s">
        <v>40</v>
      </c>
      <c r="BF12" t="s">
        <v>40</v>
      </c>
      <c r="BG12" t="s">
        <v>40</v>
      </c>
      <c r="BH12" t="s">
        <v>869</v>
      </c>
      <c r="BI12" t="s">
        <v>870</v>
      </c>
      <c r="BJ12" t="s">
        <v>518</v>
      </c>
      <c r="BK12" t="s">
        <v>68</v>
      </c>
      <c r="BL12" t="s">
        <v>871</v>
      </c>
      <c r="BM12" t="s">
        <v>474</v>
      </c>
      <c r="BN12">
        <v>3.37</v>
      </c>
      <c r="BO12">
        <v>2.44</v>
      </c>
      <c r="BP12">
        <v>4.1399999999999997</v>
      </c>
      <c r="BQ12">
        <v>7.71</v>
      </c>
      <c r="BR12">
        <v>0.4</v>
      </c>
      <c r="BS12">
        <v>6.17</v>
      </c>
      <c r="BT12" t="s">
        <v>872</v>
      </c>
      <c r="BU12" t="s">
        <v>372</v>
      </c>
      <c r="BV12">
        <v>41.76</v>
      </c>
      <c r="BW12">
        <v>20.48</v>
      </c>
      <c r="BX12">
        <v>41.21</v>
      </c>
      <c r="BY12">
        <v>14.53</v>
      </c>
      <c r="BZ12">
        <v>1.88</v>
      </c>
      <c r="CA12">
        <v>13.26</v>
      </c>
      <c r="CB12">
        <v>2.82</v>
      </c>
      <c r="CC12">
        <v>-1.38</v>
      </c>
      <c r="CD12" t="s">
        <v>873</v>
      </c>
      <c r="CE12" t="s">
        <v>874</v>
      </c>
      <c r="CF12" s="9">
        <v>-0.89412105975633338</v>
      </c>
      <c r="CG12" s="10">
        <v>-0.15227680597014925</v>
      </c>
      <c r="CH12" s="9">
        <v>4.7214956283569336</v>
      </c>
      <c r="CI12" s="9" t="s">
        <v>40</v>
      </c>
      <c r="CJ12" s="9" t="s">
        <v>40</v>
      </c>
      <c r="CK12" s="9">
        <v>-0.20497959852218628</v>
      </c>
      <c r="CL12" s="9">
        <v>0.10560939460992813</v>
      </c>
      <c r="CM12" s="10">
        <v>10.378570556640625</v>
      </c>
      <c r="CN12" s="10" t="s">
        <v>40</v>
      </c>
      <c r="CO12" s="10" t="s">
        <v>40</v>
      </c>
      <c r="CP12" s="10" t="s">
        <v>40</v>
      </c>
      <c r="CQ12" s="10" t="s">
        <v>40</v>
      </c>
      <c r="CR12">
        <v>9.4407772648586263</v>
      </c>
      <c r="CS12">
        <v>6.1275558739253944E-2</v>
      </c>
      <c r="CT12">
        <v>4.0934065934065931</v>
      </c>
      <c r="CU12" s="9">
        <v>1.5407084748148918</v>
      </c>
      <c r="CV12" s="10">
        <v>10.378570556640625</v>
      </c>
      <c r="CW12">
        <v>0.06</v>
      </c>
      <c r="CX12">
        <v>7.4550928247609196</v>
      </c>
      <c r="CY12">
        <v>3818253396.585021</v>
      </c>
      <c r="CZ12">
        <v>1.5407084748148918</v>
      </c>
      <c r="DA12">
        <v>0.88104637637680749</v>
      </c>
      <c r="DB12">
        <v>32308666448.479725</v>
      </c>
      <c r="DC12">
        <v>1.4636730510741471</v>
      </c>
      <c r="DD12">
        <v>8.2243714616289099E-2</v>
      </c>
      <c r="DE12">
        <v>346110746976.91449</v>
      </c>
      <c r="DF12">
        <v>1.3558234578371049</v>
      </c>
      <c r="DG12">
        <v>5.4664088431048315E-3</v>
      </c>
      <c r="DH12">
        <v>5207337086743.0576</v>
      </c>
      <c r="DI12">
        <v>1.2325667798519135</v>
      </c>
      <c r="DJ12">
        <v>1.2400708193559061E-5</v>
      </c>
      <c r="DK12">
        <v>2295468376135564</v>
      </c>
      <c r="DL12">
        <v>1.0784959323704242</v>
      </c>
      <c r="DM12">
        <v>1593000000</v>
      </c>
      <c r="DN12">
        <v>1.5407084748148918</v>
      </c>
      <c r="DO12">
        <v>28465433500</v>
      </c>
      <c r="DP12">
        <v>6620540300</v>
      </c>
      <c r="DQ12">
        <v>2860</v>
      </c>
      <c r="DR12">
        <v>-2.4348295345712252</v>
      </c>
      <c r="DS12">
        <v>-10.530847362610775</v>
      </c>
      <c r="DT12" s="11">
        <v>-0.21000000000000008</v>
      </c>
      <c r="DU12">
        <v>0.23999999999999988</v>
      </c>
      <c r="DV12">
        <v>2.9999999999999805E-2</v>
      </c>
      <c r="DW12">
        <v>4.4893617021276597</v>
      </c>
      <c r="DX12">
        <v>0.36796903409090742</v>
      </c>
      <c r="DY12">
        <v>4.0773039954061892</v>
      </c>
      <c r="DZ12">
        <v>2417</v>
      </c>
      <c r="EA12">
        <v>4.0407396594185654</v>
      </c>
      <c r="EB12">
        <v>4</v>
      </c>
      <c r="EC12">
        <v>2.4742278958915478E-2</v>
      </c>
      <c r="ED12">
        <v>0.15662739916910945</v>
      </c>
      <c r="EE12" s="12">
        <v>1.0118100000000001</v>
      </c>
      <c r="EF12">
        <v>1.0179100000000001</v>
      </c>
      <c r="EG12">
        <v>21.157969034090907</v>
      </c>
      <c r="EH12" t="s">
        <v>373</v>
      </c>
      <c r="EI12">
        <v>0</v>
      </c>
      <c r="EJ12">
        <v>0</v>
      </c>
      <c r="EK12" s="8">
        <v>45470</v>
      </c>
      <c r="EL12" s="13">
        <v>-1.2</v>
      </c>
      <c r="EM12" s="13">
        <v>-0.15</v>
      </c>
      <c r="EN12" s="13">
        <v>0.3</v>
      </c>
      <c r="EO12" s="13">
        <v>0.15</v>
      </c>
      <c r="EP12" s="13">
        <v>-0.61</v>
      </c>
    </row>
    <row r="13" spans="1:146" ht="96" x14ac:dyDescent="0.25">
      <c r="A13" s="14"/>
      <c r="B13" s="14"/>
      <c r="C13" s="14" t="str">
        <f>""&amp;CHAR(10)&amp;Basic_Fundamental_Information_Constructure(F13)&amp;CHAR(10)&amp;Basic_Fundamental_Information_Concatenate("")</f>
        <v xml:space="preserve">
市值96.054亿, 利润9.42亿; PE10.5; 平均PE10.78; 平均PEG3.69, PB.846; ROIC7.4133%; ROE7.7467%; 股利率3.4286%; 毛利57.26%; 净利37.5733%; 上一年度营收增19.61%, 利润增12.14%; 当季营收增-2.23%, 利润增-31.09%; 过往5年营收增2.92%, 利润增12.14%
Income profile:
</v>
      </c>
      <c r="D13" t="s">
        <v>66</v>
      </c>
      <c r="E13" t="s">
        <v>13</v>
      </c>
      <c r="F13">
        <v>3.5</v>
      </c>
      <c r="G13">
        <v>0</v>
      </c>
      <c r="H13" t="s">
        <v>875</v>
      </c>
      <c r="I13">
        <v>9605400000</v>
      </c>
      <c r="J13">
        <v>10.5</v>
      </c>
      <c r="K13">
        <v>0.84599999999999997</v>
      </c>
      <c r="L13" t="s">
        <v>39</v>
      </c>
      <c r="M13" t="s">
        <v>876</v>
      </c>
      <c r="N13" t="s">
        <v>877</v>
      </c>
      <c r="O13" t="s">
        <v>878</v>
      </c>
      <c r="P13">
        <v>4.99</v>
      </c>
      <c r="Q13" t="s">
        <v>879</v>
      </c>
      <c r="R13">
        <v>243944280</v>
      </c>
      <c r="S13" s="5">
        <v>5.3499999999999999E-2</v>
      </c>
      <c r="T13" t="s">
        <v>880</v>
      </c>
      <c r="U13">
        <v>2744400000</v>
      </c>
      <c r="V13">
        <v>2744400000</v>
      </c>
      <c r="W13">
        <v>1.22</v>
      </c>
      <c r="X13" t="s">
        <v>40</v>
      </c>
      <c r="Y13">
        <v>41.54</v>
      </c>
      <c r="Z13" t="s">
        <v>40</v>
      </c>
      <c r="AA13" t="s">
        <v>40</v>
      </c>
      <c r="AB13" t="s">
        <v>40</v>
      </c>
      <c r="AC13" t="s">
        <v>40</v>
      </c>
      <c r="AD13" t="s">
        <v>40</v>
      </c>
      <c r="AE13">
        <v>8493070</v>
      </c>
      <c r="AF13" t="s">
        <v>881</v>
      </c>
      <c r="AG13">
        <v>423.01</v>
      </c>
      <c r="AH13" t="s">
        <v>882</v>
      </c>
      <c r="AI13" t="s">
        <v>883</v>
      </c>
      <c r="AJ13" t="s">
        <v>884</v>
      </c>
      <c r="AK13" t="s">
        <v>40</v>
      </c>
      <c r="AL13" t="s">
        <v>885</v>
      </c>
      <c r="AM13" t="s">
        <v>40</v>
      </c>
      <c r="AN13" t="s">
        <v>375</v>
      </c>
      <c r="AO13" t="s">
        <v>40</v>
      </c>
      <c r="AP13" t="s">
        <v>40</v>
      </c>
      <c r="AQ13" t="s">
        <v>886</v>
      </c>
      <c r="AR13" t="s">
        <v>887</v>
      </c>
      <c r="AS13" t="s">
        <v>40</v>
      </c>
      <c r="AT13" t="s">
        <v>40</v>
      </c>
      <c r="AU13" t="s">
        <v>888</v>
      </c>
      <c r="AV13" t="s">
        <v>889</v>
      </c>
      <c r="AW13" t="s">
        <v>890</v>
      </c>
      <c r="AX13" t="s">
        <v>520</v>
      </c>
      <c r="AY13" t="s">
        <v>40</v>
      </c>
      <c r="AZ13" t="s">
        <v>160</v>
      </c>
      <c r="BA13" t="s">
        <v>67</v>
      </c>
      <c r="BB13" t="s">
        <v>162</v>
      </c>
      <c r="BC13" t="s">
        <v>515</v>
      </c>
      <c r="BD13" t="s">
        <v>40</v>
      </c>
      <c r="BE13" t="s">
        <v>40</v>
      </c>
      <c r="BF13" t="s">
        <v>40</v>
      </c>
      <c r="BG13" t="s">
        <v>40</v>
      </c>
      <c r="BH13" t="s">
        <v>891</v>
      </c>
      <c r="BI13" t="s">
        <v>892</v>
      </c>
      <c r="BJ13" t="s">
        <v>520</v>
      </c>
      <c r="BK13" t="s">
        <v>893</v>
      </c>
      <c r="BL13" t="s">
        <v>894</v>
      </c>
      <c r="BM13" t="s">
        <v>515</v>
      </c>
      <c r="BN13">
        <v>7</v>
      </c>
      <c r="BO13">
        <v>7.57</v>
      </c>
      <c r="BP13">
        <v>7.67</v>
      </c>
      <c r="BQ13">
        <v>7.2</v>
      </c>
      <c r="BR13">
        <v>7.89</v>
      </c>
      <c r="BS13">
        <v>8.15</v>
      </c>
      <c r="BT13" t="s">
        <v>895</v>
      </c>
      <c r="BU13" t="s">
        <v>372</v>
      </c>
      <c r="BV13">
        <v>55.89</v>
      </c>
      <c r="BW13">
        <v>56.96</v>
      </c>
      <c r="BX13">
        <v>58.93</v>
      </c>
      <c r="BY13">
        <v>37.590000000000003</v>
      </c>
      <c r="BZ13">
        <v>39.619999999999997</v>
      </c>
      <c r="CA13">
        <v>35.51</v>
      </c>
      <c r="CB13">
        <v>4.4800000000000004</v>
      </c>
      <c r="CC13">
        <v>8.02</v>
      </c>
      <c r="CD13" t="s">
        <v>477</v>
      </c>
      <c r="CE13" t="s">
        <v>896</v>
      </c>
      <c r="CF13" s="9">
        <v>-2.2251308900523559E-2</v>
      </c>
      <c r="CG13" s="10">
        <v>-0.31089186440677968</v>
      </c>
      <c r="CH13" s="9">
        <v>0.19610778987407684</v>
      </c>
      <c r="CI13" s="9" t="s">
        <v>40</v>
      </c>
      <c r="CJ13" s="9" t="s">
        <v>40</v>
      </c>
      <c r="CK13" s="9">
        <v>-0.19903576374053955</v>
      </c>
      <c r="CL13" s="9">
        <v>9.0499408543109894E-2</v>
      </c>
      <c r="CM13" s="10">
        <v>0.12142857164144516</v>
      </c>
      <c r="CN13" s="10" t="s">
        <v>40</v>
      </c>
      <c r="CO13" s="10" t="s">
        <v>40</v>
      </c>
      <c r="CP13" s="10" t="s">
        <v>40</v>
      </c>
      <c r="CQ13" s="10" t="s">
        <v>40</v>
      </c>
      <c r="CR13">
        <v>10.780471380471381</v>
      </c>
      <c r="CS13">
        <v>3.693146544970181</v>
      </c>
      <c r="CT13">
        <v>3.4285714285714284</v>
      </c>
      <c r="CU13" s="9">
        <v>2.9190478225549061E-2</v>
      </c>
      <c r="CV13" s="10">
        <v>0.12142857164144516</v>
      </c>
      <c r="CW13">
        <v>0.06</v>
      </c>
      <c r="CX13" t="s">
        <v>381</v>
      </c>
      <c r="CY13">
        <v>914620217.44195008</v>
      </c>
      <c r="CZ13">
        <v>2.9190478225549061E-2</v>
      </c>
      <c r="DA13" t="s">
        <v>381</v>
      </c>
      <c r="DB13">
        <v>2657404414.1423249</v>
      </c>
      <c r="DC13">
        <v>2.7730954314271607E-2</v>
      </c>
      <c r="DD13" t="s">
        <v>381</v>
      </c>
      <c r="DE13">
        <v>5045103398.1725235</v>
      </c>
      <c r="DF13">
        <v>2.5687620838483173E-2</v>
      </c>
      <c r="DG13" t="s">
        <v>381</v>
      </c>
      <c r="DH13">
        <v>7802302296.0113688</v>
      </c>
      <c r="DI13">
        <v>2.335238258043925E-2</v>
      </c>
      <c r="DJ13" t="s">
        <v>381</v>
      </c>
      <c r="DK13">
        <v>12942155969.248392</v>
      </c>
      <c r="DL13">
        <v>2.0433334757884343E-2</v>
      </c>
      <c r="DM13">
        <v>942000000</v>
      </c>
      <c r="DN13">
        <v>2.9190478225549061E-2</v>
      </c>
      <c r="DO13">
        <v>-1099600000</v>
      </c>
      <c r="DP13">
        <v>2477126000</v>
      </c>
      <c r="DQ13">
        <v>2872</v>
      </c>
      <c r="DR13">
        <v>-5.144178712607262E-2</v>
      </c>
      <c r="DS13">
        <v>-0.43232043604822484</v>
      </c>
      <c r="DT13" s="11">
        <v>-0.41000000000000003</v>
      </c>
      <c r="DU13">
        <v>-0.66</v>
      </c>
      <c r="DV13">
        <v>-1.07</v>
      </c>
      <c r="DW13">
        <v>8.5586034912718212</v>
      </c>
      <c r="DX13">
        <v>0.42859138533177954</v>
      </c>
      <c r="DY13">
        <v>8.1053478062701227</v>
      </c>
      <c r="DZ13">
        <v>790</v>
      </c>
      <c r="EA13">
        <v>8.0890611591168167</v>
      </c>
      <c r="EB13">
        <v>8</v>
      </c>
      <c r="EC13">
        <v>5.9029296020988192E-2</v>
      </c>
      <c r="ED13">
        <v>0.31300102025943738</v>
      </c>
      <c r="EE13" s="12">
        <v>0.12050999999999999</v>
      </c>
      <c r="EF13">
        <v>-1.0056099999999999</v>
      </c>
      <c r="EG13">
        <v>24.18859138533178</v>
      </c>
      <c r="EH13" t="s">
        <v>596</v>
      </c>
      <c r="EI13">
        <v>0</v>
      </c>
      <c r="EJ13">
        <v>1</v>
      </c>
      <c r="EK13" s="8">
        <v>45470</v>
      </c>
      <c r="EL13" s="13">
        <v>-0.4</v>
      </c>
      <c r="EM13" s="13">
        <v>-2.2599999999999998</v>
      </c>
      <c r="EN13" s="13">
        <v>-2.17</v>
      </c>
      <c r="EO13" s="13">
        <v>2.78</v>
      </c>
      <c r="EP13" s="13">
        <v>-3.51</v>
      </c>
    </row>
    <row r="14" spans="1:146" ht="96" x14ac:dyDescent="0.25">
      <c r="A14" s="14"/>
      <c r="B14" s="14"/>
      <c r="C14" s="14" t="str">
        <f>""&amp;CHAR(10)&amp;Basic_Fundamental_Information_Constructure(F14)&amp;CHAR(10)&amp;Basic_Fundamental_Information_Concatenate("")</f>
        <v xml:space="preserve">
市值70.523076亿, 利润1466.02亿; PE8.12; 平均PE.1; 平均PEG0, PB.832; ROIC6.2067%; ROE10.4167%; 股利率4.3379%; 毛利49.03%; 净利26.4533%; 上一年度营收增11525.75%, 利润增20176.9%; 当季营收增-98.92%, 利润增-99.28%; 过往5年营收增3835.3%, 利润增20176.9%
Income profile:
</v>
      </c>
      <c r="D14" t="s">
        <v>69</v>
      </c>
      <c r="E14" t="s">
        <v>19</v>
      </c>
      <c r="F14">
        <v>4.38</v>
      </c>
      <c r="G14">
        <v>0.69</v>
      </c>
      <c r="H14" t="s">
        <v>897</v>
      </c>
      <c r="I14">
        <v>7052307600</v>
      </c>
      <c r="J14">
        <v>8.1199999999999992</v>
      </c>
      <c r="K14">
        <v>0.83199999999999996</v>
      </c>
      <c r="L14" t="s">
        <v>39</v>
      </c>
      <c r="M14" t="s">
        <v>898</v>
      </c>
      <c r="N14" t="s">
        <v>899</v>
      </c>
      <c r="O14" t="s">
        <v>263</v>
      </c>
      <c r="P14">
        <v>28.47</v>
      </c>
      <c r="Q14" t="s">
        <v>900</v>
      </c>
      <c r="R14">
        <v>280757620</v>
      </c>
      <c r="S14" s="5">
        <v>-0.2077</v>
      </c>
      <c r="T14" t="s">
        <v>901</v>
      </c>
      <c r="U14">
        <v>1610115900</v>
      </c>
      <c r="V14">
        <v>1610115900</v>
      </c>
      <c r="W14">
        <v>2.08</v>
      </c>
      <c r="X14" t="s">
        <v>40</v>
      </c>
      <c r="Y14">
        <v>30.4</v>
      </c>
      <c r="Z14" t="s">
        <v>40</v>
      </c>
      <c r="AA14" t="s">
        <v>40</v>
      </c>
      <c r="AB14" t="s">
        <v>40</v>
      </c>
      <c r="AC14" t="s">
        <v>40</v>
      </c>
      <c r="AD14" t="s">
        <v>40</v>
      </c>
      <c r="AE14">
        <v>56139885</v>
      </c>
      <c r="AF14" t="s">
        <v>902</v>
      </c>
      <c r="AG14" t="s">
        <v>903</v>
      </c>
      <c r="AH14" t="s">
        <v>904</v>
      </c>
      <c r="AI14" t="s">
        <v>905</v>
      </c>
      <c r="AJ14" t="s">
        <v>906</v>
      </c>
      <c r="AK14" t="s">
        <v>40</v>
      </c>
      <c r="AL14" t="s">
        <v>907</v>
      </c>
      <c r="AM14" t="s">
        <v>40</v>
      </c>
      <c r="AN14" t="s">
        <v>693</v>
      </c>
      <c r="AO14" t="s">
        <v>40</v>
      </c>
      <c r="AP14" t="s">
        <v>908</v>
      </c>
      <c r="AQ14" t="s">
        <v>909</v>
      </c>
      <c r="AR14" t="s">
        <v>910</v>
      </c>
      <c r="AS14" t="s">
        <v>40</v>
      </c>
      <c r="AT14" t="s">
        <v>40</v>
      </c>
      <c r="AU14" t="s">
        <v>911</v>
      </c>
      <c r="AV14" t="s">
        <v>912</v>
      </c>
      <c r="AW14" t="s">
        <v>913</v>
      </c>
      <c r="AX14" t="s">
        <v>522</v>
      </c>
      <c r="AY14" t="s">
        <v>40</v>
      </c>
      <c r="AZ14" t="s">
        <v>164</v>
      </c>
      <c r="BA14" t="s">
        <v>70</v>
      </c>
      <c r="BB14" t="s">
        <v>166</v>
      </c>
      <c r="BC14" t="s">
        <v>523</v>
      </c>
      <c r="BD14" t="s">
        <v>40</v>
      </c>
      <c r="BE14" t="s">
        <v>40</v>
      </c>
      <c r="BF14" t="s">
        <v>40</v>
      </c>
      <c r="BG14" t="s">
        <v>40</v>
      </c>
      <c r="BH14" t="s">
        <v>879</v>
      </c>
      <c r="BI14" t="s">
        <v>914</v>
      </c>
      <c r="BJ14" t="s">
        <v>522</v>
      </c>
      <c r="BK14" t="s">
        <v>880</v>
      </c>
      <c r="BL14" t="s">
        <v>915</v>
      </c>
      <c r="BM14" t="s">
        <v>523</v>
      </c>
      <c r="BN14">
        <v>5.82</v>
      </c>
      <c r="BO14">
        <v>6.08</v>
      </c>
      <c r="BP14">
        <v>6.72</v>
      </c>
      <c r="BQ14">
        <v>10.199999999999999</v>
      </c>
      <c r="BR14">
        <v>9.98</v>
      </c>
      <c r="BS14">
        <v>11.07</v>
      </c>
      <c r="BT14" t="s">
        <v>916</v>
      </c>
      <c r="BU14" t="s">
        <v>372</v>
      </c>
      <c r="BV14">
        <v>46.05</v>
      </c>
      <c r="BW14">
        <v>51.31</v>
      </c>
      <c r="BX14">
        <v>49.73</v>
      </c>
      <c r="BY14">
        <v>30.08</v>
      </c>
      <c r="BZ14">
        <v>25.6</v>
      </c>
      <c r="CA14">
        <v>23.68</v>
      </c>
      <c r="CB14">
        <v>2.1</v>
      </c>
      <c r="CC14">
        <v>0.23</v>
      </c>
      <c r="CD14" t="s">
        <v>917</v>
      </c>
      <c r="CE14" t="s">
        <v>918</v>
      </c>
      <c r="CF14" s="9">
        <v>-0.98917648616443798</v>
      </c>
      <c r="CG14" s="10">
        <v>-0.99277124488272095</v>
      </c>
      <c r="CH14" s="9">
        <v>115.25746154785156</v>
      </c>
      <c r="CI14" s="9" t="s">
        <v>40</v>
      </c>
      <c r="CJ14" s="9" t="s">
        <v>40</v>
      </c>
      <c r="CK14" s="9">
        <v>-0.13435429334640503</v>
      </c>
      <c r="CL14" s="9">
        <v>-6.4169444143772125E-2</v>
      </c>
      <c r="CM14" s="10">
        <v>201.76902770996094</v>
      </c>
      <c r="CN14" s="10" t="s">
        <v>40</v>
      </c>
      <c r="CO14" s="10" t="s">
        <v>40</v>
      </c>
      <c r="CP14" s="10" t="s">
        <v>40</v>
      </c>
      <c r="CQ14" s="10" t="s">
        <v>40</v>
      </c>
      <c r="CR14">
        <v>9.5738097403699304E-2</v>
      </c>
      <c r="CS14">
        <v>2.4962362566259797E-5</v>
      </c>
      <c r="CT14">
        <v>4.3378995433789953</v>
      </c>
      <c r="CU14" s="9">
        <v>38.352979270120464</v>
      </c>
      <c r="CV14" s="10">
        <v>201.76902770996094</v>
      </c>
      <c r="CW14">
        <v>0.06</v>
      </c>
      <c r="CX14">
        <v>1.3297358718144863E-3</v>
      </c>
      <c r="CY14">
        <v>5442665534866.2266</v>
      </c>
      <c r="CZ14">
        <v>38.352979270120464</v>
      </c>
      <c r="DA14">
        <v>1.0890425780427832E-6</v>
      </c>
      <c r="DB14">
        <v>6645569003378013</v>
      </c>
      <c r="DC14">
        <v>36.435330306614439</v>
      </c>
      <c r="DD14">
        <v>3.8551679109619996E-11</v>
      </c>
      <c r="DE14">
        <v>1.8773002284598385E+20</v>
      </c>
      <c r="DF14">
        <v>33.750621757706007</v>
      </c>
      <c r="DG14">
        <v>8.3856837336267123E-17</v>
      </c>
      <c r="DH14">
        <v>8.6305515804015988E+25</v>
      </c>
      <c r="DI14">
        <v>30.682383416096371</v>
      </c>
      <c r="DJ14">
        <v>1.9368910640082949E-30</v>
      </c>
      <c r="DK14">
        <v>3.736558929144301E+39</v>
      </c>
      <c r="DL14">
        <v>26.847085489084325</v>
      </c>
      <c r="DM14">
        <v>146602000000</v>
      </c>
      <c r="DN14">
        <v>38.352979270120464</v>
      </c>
      <c r="DO14">
        <v>7237307600</v>
      </c>
      <c r="DP14">
        <v>3044616400</v>
      </c>
      <c r="DQ14">
        <v>2873</v>
      </c>
      <c r="DR14">
        <v>-39.342155756284903</v>
      </c>
      <c r="DS14">
        <v>-202.76179895484367</v>
      </c>
      <c r="DT14" s="11">
        <v>-0.21000000000000008</v>
      </c>
      <c r="DU14">
        <v>-0.42000000000000015</v>
      </c>
      <c r="DV14">
        <v>-0.63000000000000023</v>
      </c>
      <c r="DW14">
        <v>2.3E-3</v>
      </c>
      <c r="DX14">
        <v>0.34077452054794449</v>
      </c>
      <c r="DY14">
        <v>3.4678139726027399E-4</v>
      </c>
      <c r="DZ14">
        <v>2362</v>
      </c>
      <c r="EA14">
        <v>1.8648831304720798E-4</v>
      </c>
      <c r="EB14">
        <v>0</v>
      </c>
      <c r="EC14">
        <v>3.4179340754289807E-2</v>
      </c>
      <c r="ED14">
        <v>0.22669175554380899</v>
      </c>
      <c r="EE14" s="12">
        <v>1.0516000000000001</v>
      </c>
      <c r="EF14">
        <v>1.0516000000000001</v>
      </c>
      <c r="EG14">
        <v>19.150774520547944</v>
      </c>
      <c r="EH14" t="s">
        <v>380</v>
      </c>
      <c r="EI14">
        <v>0</v>
      </c>
      <c r="EJ14">
        <v>0</v>
      </c>
      <c r="EK14" s="8">
        <v>45470</v>
      </c>
      <c r="EL14" s="13">
        <v>0.28999999999999998</v>
      </c>
      <c r="EM14" s="13">
        <v>-0.57999999999999996</v>
      </c>
      <c r="EN14" s="13">
        <v>1.18</v>
      </c>
      <c r="EO14" s="13">
        <v>-0.28999999999999998</v>
      </c>
      <c r="EP14" s="13">
        <v>0</v>
      </c>
    </row>
    <row r="15" spans="1:146" ht="96" x14ac:dyDescent="0.25">
      <c r="A15" s="14"/>
      <c r="B15" s="14"/>
      <c r="C15" s="14" t="str">
        <f>""&amp;CHAR(10)&amp;Basic_Fundamental_Information_Constructure(F15)&amp;CHAR(10)&amp;Basic_Fundamental_Information_Concatenate("")</f>
        <v xml:space="preserve">
市值56.21776亿, 利润-5945.92万; PE30.82; 平均PE78.33; 平均PEG.91, PB1.19; ROIC3.7167%; ROE4.7233%; 股利率1.1348%; 毛利88.1133%; 净利167.87%; 上一年度营收增275.21%, 利润增-129.29%; 当季营收增-76.67%, 利润增181.74%; 过往5年营收增86.44%, 利润增-129.29%
Income profile:
</v>
      </c>
      <c r="D15" t="s">
        <v>71</v>
      </c>
      <c r="E15" t="s">
        <v>239</v>
      </c>
      <c r="F15">
        <v>4.2300000000000004</v>
      </c>
      <c r="G15">
        <v>0.24</v>
      </c>
      <c r="H15" t="s">
        <v>919</v>
      </c>
      <c r="I15">
        <v>5621776000</v>
      </c>
      <c r="J15">
        <v>30.82</v>
      </c>
      <c r="K15">
        <v>1.19</v>
      </c>
      <c r="L15" t="s">
        <v>39</v>
      </c>
      <c r="M15" t="s">
        <v>920</v>
      </c>
      <c r="N15" t="s">
        <v>921</v>
      </c>
      <c r="O15" t="s">
        <v>922</v>
      </c>
      <c r="P15">
        <v>-2.31</v>
      </c>
      <c r="Q15" t="s">
        <v>923</v>
      </c>
      <c r="R15">
        <v>3904940</v>
      </c>
      <c r="S15" s="5">
        <v>-0.88160000000000005</v>
      </c>
      <c r="T15" t="s">
        <v>924</v>
      </c>
      <c r="U15">
        <v>1329025060</v>
      </c>
      <c r="V15">
        <v>1329025060</v>
      </c>
      <c r="W15">
        <v>1.43</v>
      </c>
      <c r="X15" t="s">
        <v>40</v>
      </c>
      <c r="Y15">
        <v>13.83</v>
      </c>
      <c r="Z15" t="s">
        <v>40</v>
      </c>
      <c r="AA15" t="s">
        <v>40</v>
      </c>
      <c r="AB15" t="s">
        <v>40</v>
      </c>
      <c r="AC15" t="s">
        <v>40</v>
      </c>
      <c r="AD15" t="s">
        <v>40</v>
      </c>
      <c r="AE15">
        <v>7760179</v>
      </c>
      <c r="AF15" t="s">
        <v>925</v>
      </c>
      <c r="AG15" t="s">
        <v>40</v>
      </c>
      <c r="AH15" t="s">
        <v>926</v>
      </c>
      <c r="AI15" t="s">
        <v>927</v>
      </c>
      <c r="AJ15" t="s">
        <v>928</v>
      </c>
      <c r="AK15" t="s">
        <v>40</v>
      </c>
      <c r="AL15" t="s">
        <v>929</v>
      </c>
      <c r="AM15" t="s">
        <v>40</v>
      </c>
      <c r="AN15">
        <v>0</v>
      </c>
      <c r="AO15" t="s">
        <v>40</v>
      </c>
      <c r="AP15" t="s">
        <v>40</v>
      </c>
      <c r="AQ15" t="s">
        <v>930</v>
      </c>
      <c r="AR15" t="s">
        <v>931</v>
      </c>
      <c r="AS15" t="s">
        <v>40</v>
      </c>
      <c r="AT15" t="s">
        <v>40</v>
      </c>
      <c r="AU15" t="s">
        <v>932</v>
      </c>
      <c r="AV15" t="s">
        <v>933</v>
      </c>
      <c r="AW15" t="s">
        <v>934</v>
      </c>
      <c r="AX15" t="s">
        <v>212</v>
      </c>
      <c r="AY15" t="s">
        <v>40</v>
      </c>
      <c r="AZ15" t="s">
        <v>79</v>
      </c>
      <c r="BA15" t="s">
        <v>72</v>
      </c>
      <c r="BB15" t="s">
        <v>169</v>
      </c>
      <c r="BC15" t="s">
        <v>525</v>
      </c>
      <c r="BD15" t="s">
        <v>40</v>
      </c>
      <c r="BE15" t="s">
        <v>40</v>
      </c>
      <c r="BF15" t="s">
        <v>40</v>
      </c>
      <c r="BG15" t="s">
        <v>40</v>
      </c>
      <c r="BH15" t="s">
        <v>935</v>
      </c>
      <c r="BI15" t="s">
        <v>212</v>
      </c>
      <c r="BJ15" t="s">
        <v>212</v>
      </c>
      <c r="BK15" t="s">
        <v>936</v>
      </c>
      <c r="BL15" t="s">
        <v>937</v>
      </c>
      <c r="BM15" t="s">
        <v>525</v>
      </c>
      <c r="BN15">
        <v>2.71</v>
      </c>
      <c r="BO15">
        <v>3.78</v>
      </c>
      <c r="BP15">
        <v>4.66</v>
      </c>
      <c r="BQ15">
        <v>3.57</v>
      </c>
      <c r="BR15">
        <v>4.5</v>
      </c>
      <c r="BS15">
        <v>6.1</v>
      </c>
      <c r="BT15" t="s">
        <v>938</v>
      </c>
      <c r="BU15" t="s">
        <v>372</v>
      </c>
      <c r="BV15">
        <v>86.6</v>
      </c>
      <c r="BW15">
        <v>92.44</v>
      </c>
      <c r="BX15">
        <v>85.3</v>
      </c>
      <c r="BY15">
        <v>181.17</v>
      </c>
      <c r="BZ15">
        <v>167.24</v>
      </c>
      <c r="CA15">
        <v>155.19999999999999</v>
      </c>
      <c r="CB15">
        <v>-1.63</v>
      </c>
      <c r="CC15">
        <v>-29.99</v>
      </c>
      <c r="CD15" t="s">
        <v>939</v>
      </c>
      <c r="CE15" t="s">
        <v>940</v>
      </c>
      <c r="CF15" s="9">
        <v>-0.76669173553719006</v>
      </c>
      <c r="CG15" s="10">
        <v>1.8174460958760728</v>
      </c>
      <c r="CH15" s="9">
        <v>2.7520661354064941</v>
      </c>
      <c r="CI15" s="9" t="s">
        <v>40</v>
      </c>
      <c r="CJ15" s="9" t="s">
        <v>40</v>
      </c>
      <c r="CK15" s="9">
        <v>-0.15481171011924744</v>
      </c>
      <c r="CL15" s="9">
        <v>-4.1666668839752674E-3</v>
      </c>
      <c r="CM15" s="10">
        <v>-1.2929024696350098</v>
      </c>
      <c r="CN15" s="10" t="s">
        <v>40</v>
      </c>
      <c r="CO15" s="10" t="s">
        <v>40</v>
      </c>
      <c r="CP15" s="10" t="s">
        <v>40</v>
      </c>
      <c r="CQ15" s="10" t="s">
        <v>40</v>
      </c>
      <c r="CR15">
        <v>78.33000791412617</v>
      </c>
      <c r="CS15">
        <v>0.90621701090084483</v>
      </c>
      <c r="CT15">
        <v>1.1347517730496453</v>
      </c>
      <c r="CU15" s="9">
        <v>0.86436258613442385</v>
      </c>
      <c r="CV15" s="10">
        <v>-1.2929024696350098</v>
      </c>
      <c r="CW15">
        <v>0.06</v>
      </c>
      <c r="CX15" t="e">
        <v>#VALUE!</v>
      </c>
      <c r="CY15" t="s">
        <v>385</v>
      </c>
      <c r="CZ15">
        <v>0.86436258613442385</v>
      </c>
      <c r="DA15" t="e">
        <v>#VALUE!</v>
      </c>
      <c r="DB15" t="s">
        <v>385</v>
      </c>
      <c r="DC15">
        <v>0.82114445682770265</v>
      </c>
      <c r="DD15" t="e">
        <v>#VALUE!</v>
      </c>
      <c r="DE15" t="s">
        <v>385</v>
      </c>
      <c r="DF15">
        <v>0.76063907579829304</v>
      </c>
      <c r="DG15" t="e">
        <v>#VALUE!</v>
      </c>
      <c r="DH15" t="s">
        <v>385</v>
      </c>
      <c r="DI15">
        <v>0.69149006890753917</v>
      </c>
      <c r="DJ15" t="e">
        <v>#VALUE!</v>
      </c>
      <c r="DK15" t="s">
        <v>385</v>
      </c>
      <c r="DL15">
        <v>0.60505381029409666</v>
      </c>
      <c r="DM15">
        <v>-59459200</v>
      </c>
      <c r="DN15">
        <v>0.86436258613442385</v>
      </c>
      <c r="DO15">
        <v>2947776000</v>
      </c>
      <c r="DP15">
        <v>1971033000</v>
      </c>
      <c r="DQ15">
        <v>2923</v>
      </c>
      <c r="DR15">
        <v>-1.631054321671614</v>
      </c>
      <c r="DS15">
        <v>3.1103485655110825</v>
      </c>
      <c r="DT15" s="11">
        <v>-0.21000000000000008</v>
      </c>
      <c r="DU15">
        <v>-3.57</v>
      </c>
      <c r="DV15">
        <v>-3.78</v>
      </c>
      <c r="DW15">
        <v>-3.1582202380952382</v>
      </c>
      <c r="DX15">
        <v>0.34088158295281712</v>
      </c>
      <c r="DY15">
        <v>-3.0207081152170763</v>
      </c>
      <c r="DZ15">
        <v>3903</v>
      </c>
      <c r="EA15">
        <v>-3.0048913297587108</v>
      </c>
      <c r="EB15">
        <v>3</v>
      </c>
      <c r="EC15">
        <v>6.4700962072152354E-2</v>
      </c>
      <c r="ED15">
        <v>0.49434733758895411</v>
      </c>
      <c r="EE15" s="12">
        <v>1.06081</v>
      </c>
      <c r="EF15">
        <v>1.0820099999999999</v>
      </c>
      <c r="EG15">
        <v>21.130881582952817</v>
      </c>
      <c r="EH15" t="s">
        <v>373</v>
      </c>
      <c r="EI15">
        <v>0</v>
      </c>
      <c r="EJ15">
        <v>0</v>
      </c>
      <c r="EK15" s="8">
        <v>45470</v>
      </c>
      <c r="EL15" s="13">
        <v>-0.26</v>
      </c>
      <c r="EM15" s="13">
        <v>-4.24</v>
      </c>
      <c r="EN15" s="13">
        <v>-1.39</v>
      </c>
      <c r="EO15" s="13">
        <v>6.18</v>
      </c>
      <c r="EP15" s="13">
        <v>-2.12</v>
      </c>
    </row>
    <row r="16" spans="1:146" ht="84" x14ac:dyDescent="0.25">
      <c r="A16" s="14"/>
      <c r="B16" s="14"/>
      <c r="C16" s="14" t="str">
        <f>""&amp;CHAR(10)&amp;Basic_Fundamental_Information_Constructure(F16)&amp;CHAR(10)&amp;Basic_Fundamental_Information_Concatenate("")</f>
        <v xml:space="preserve">
市值77.156343亿, 利润1.82亿; PE14.89; 平均PE29.73; 平均PEG.25, PB1.06; ROIC5.1%; ROE5.7067%; 股利率1.8613%; 毛利5.6533%; 净利2.6567%; 上一年度营收增365.15%, 利润增-45.99%; 当季营收增-72.25%, 利润增588.04%; 过往5年营收增120.83%, 利润增-45.99%
Income profile:
</v>
      </c>
      <c r="D16" t="s">
        <v>74</v>
      </c>
      <c r="E16" t="s">
        <v>8</v>
      </c>
      <c r="F16">
        <v>5.91</v>
      </c>
      <c r="G16">
        <v>0.17</v>
      </c>
      <c r="H16" t="s">
        <v>941</v>
      </c>
      <c r="I16">
        <v>7715634300</v>
      </c>
      <c r="J16">
        <v>14.89</v>
      </c>
      <c r="K16">
        <v>1.06</v>
      </c>
      <c r="L16" t="s">
        <v>39</v>
      </c>
      <c r="M16" t="s">
        <v>942</v>
      </c>
      <c r="N16" t="s">
        <v>943</v>
      </c>
      <c r="O16" t="s">
        <v>944</v>
      </c>
      <c r="P16">
        <v>3.53</v>
      </c>
      <c r="Q16" t="s">
        <v>945</v>
      </c>
      <c r="R16">
        <v>219262670</v>
      </c>
      <c r="S16" s="5">
        <v>0.27450000000000002</v>
      </c>
      <c r="T16" t="s">
        <v>946</v>
      </c>
      <c r="U16">
        <v>1305521870</v>
      </c>
      <c r="V16">
        <v>1305521870</v>
      </c>
      <c r="W16">
        <v>1.36</v>
      </c>
      <c r="X16" t="s">
        <v>40</v>
      </c>
      <c r="Y16">
        <v>6.33</v>
      </c>
      <c r="Z16" t="s">
        <v>40</v>
      </c>
      <c r="AA16" t="s">
        <v>40</v>
      </c>
      <c r="AB16" t="s">
        <v>40</v>
      </c>
      <c r="AC16" t="s">
        <v>40</v>
      </c>
      <c r="AD16" t="s">
        <v>40</v>
      </c>
      <c r="AE16">
        <v>774754</v>
      </c>
      <c r="AF16" t="s">
        <v>947</v>
      </c>
      <c r="AG16" t="s">
        <v>948</v>
      </c>
      <c r="AH16" t="s">
        <v>949</v>
      </c>
      <c r="AI16" t="s">
        <v>950</v>
      </c>
      <c r="AJ16" t="s">
        <v>951</v>
      </c>
      <c r="AK16" t="s">
        <v>40</v>
      </c>
      <c r="AL16" t="s">
        <v>952</v>
      </c>
      <c r="AM16" t="s">
        <v>40</v>
      </c>
      <c r="AN16">
        <v>0</v>
      </c>
      <c r="AO16" t="s">
        <v>40</v>
      </c>
      <c r="AP16" t="s">
        <v>40</v>
      </c>
      <c r="AQ16" t="s">
        <v>144</v>
      </c>
      <c r="AR16" t="s">
        <v>953</v>
      </c>
      <c r="AS16" t="s">
        <v>40</v>
      </c>
      <c r="AT16" t="s">
        <v>40</v>
      </c>
      <c r="AU16" t="s">
        <v>954</v>
      </c>
      <c r="AV16" t="s">
        <v>955</v>
      </c>
      <c r="AW16" t="s">
        <v>956</v>
      </c>
      <c r="AX16" t="s">
        <v>528</v>
      </c>
      <c r="AY16" t="s">
        <v>40</v>
      </c>
      <c r="AZ16" t="s">
        <v>172</v>
      </c>
      <c r="BA16" t="s">
        <v>75</v>
      </c>
      <c r="BB16" t="s">
        <v>173</v>
      </c>
      <c r="BC16" t="s">
        <v>205</v>
      </c>
      <c r="BD16" t="s">
        <v>40</v>
      </c>
      <c r="BE16" t="s">
        <v>40</v>
      </c>
      <c r="BF16" t="s">
        <v>40</v>
      </c>
      <c r="BG16" t="s">
        <v>40</v>
      </c>
      <c r="BH16" t="s">
        <v>957</v>
      </c>
      <c r="BI16" t="s">
        <v>958</v>
      </c>
      <c r="BJ16" t="s">
        <v>528</v>
      </c>
      <c r="BK16" t="s">
        <v>959</v>
      </c>
      <c r="BL16" t="s">
        <v>960</v>
      </c>
      <c r="BM16" t="s">
        <v>205</v>
      </c>
      <c r="BN16">
        <v>5.93</v>
      </c>
      <c r="BO16">
        <v>4.59</v>
      </c>
      <c r="BP16">
        <v>4.78</v>
      </c>
      <c r="BQ16">
        <v>6.64</v>
      </c>
      <c r="BR16">
        <v>5.15</v>
      </c>
      <c r="BS16">
        <v>5.33</v>
      </c>
      <c r="BT16" t="s">
        <v>961</v>
      </c>
      <c r="BU16" t="s">
        <v>376</v>
      </c>
      <c r="BV16">
        <v>6.04</v>
      </c>
      <c r="BW16">
        <v>6.68</v>
      </c>
      <c r="BX16">
        <v>4.24</v>
      </c>
      <c r="BY16">
        <v>3.22</v>
      </c>
      <c r="BZ16">
        <v>2.85</v>
      </c>
      <c r="CA16">
        <v>1.9</v>
      </c>
      <c r="CB16">
        <v>-1.01</v>
      </c>
      <c r="CC16">
        <v>-6.78</v>
      </c>
      <c r="CD16" t="s">
        <v>962</v>
      </c>
      <c r="CE16" t="s">
        <v>963</v>
      </c>
      <c r="CF16" s="9">
        <v>-0.72253363228699552</v>
      </c>
      <c r="CG16" s="10">
        <v>5.8803614295262632</v>
      </c>
      <c r="CH16" s="9">
        <v>3.6514747142791748</v>
      </c>
      <c r="CI16" s="9" t="s">
        <v>40</v>
      </c>
      <c r="CJ16" s="9" t="s">
        <v>40</v>
      </c>
      <c r="CK16" s="9">
        <v>-7.3374904692173004E-2</v>
      </c>
      <c r="CL16" s="9">
        <v>4.668118804693222E-2</v>
      </c>
      <c r="CM16" s="10">
        <v>-0.45994064211845398</v>
      </c>
      <c r="CN16" s="10" t="s">
        <v>40</v>
      </c>
      <c r="CO16" s="10" t="s">
        <v>40</v>
      </c>
      <c r="CP16" s="10" t="s">
        <v>40</v>
      </c>
      <c r="CQ16" s="10" t="s">
        <v>40</v>
      </c>
      <c r="CR16">
        <v>29.732694797687863</v>
      </c>
      <c r="CS16">
        <v>0.24607854778340374</v>
      </c>
      <c r="CT16">
        <v>1.8612521150592218</v>
      </c>
      <c r="CU16" s="9">
        <v>1.2082603325446446</v>
      </c>
      <c r="CV16" s="10">
        <v>-0.45994064211845398</v>
      </c>
      <c r="CW16">
        <v>0.06</v>
      </c>
      <c r="CX16">
        <v>8.9347154864087592</v>
      </c>
      <c r="CY16">
        <v>379154132.56898612</v>
      </c>
      <c r="CZ16">
        <v>1.2082603325446446</v>
      </c>
      <c r="DA16">
        <v>1.2879929691348935</v>
      </c>
      <c r="DB16">
        <v>2630165211.4416223</v>
      </c>
      <c r="DC16">
        <v>1.1478473159174123</v>
      </c>
      <c r="DD16">
        <v>0.1695298369867751</v>
      </c>
      <c r="DE16">
        <v>19982525555.452915</v>
      </c>
      <c r="DF16">
        <v>1.0632690926392871</v>
      </c>
      <c r="DG16">
        <v>1.7795358099467168E-2</v>
      </c>
      <c r="DH16">
        <v>190366177576.46771</v>
      </c>
      <c r="DI16">
        <v>0.9666082660357157</v>
      </c>
      <c r="DJ16">
        <v>1.2063173369013799E-4</v>
      </c>
      <c r="DK16">
        <v>28082447266336.102</v>
      </c>
      <c r="DL16">
        <v>0.8457822327812512</v>
      </c>
      <c r="DM16">
        <v>182000000</v>
      </c>
      <c r="DN16">
        <v>1.2082603325446446</v>
      </c>
      <c r="DO16">
        <v>3387634300</v>
      </c>
      <c r="DP16">
        <v>4752640300</v>
      </c>
      <c r="DQ16">
        <v>2940</v>
      </c>
      <c r="DR16">
        <v>-1.9307939648316401</v>
      </c>
      <c r="DS16">
        <v>6.3403020716447172</v>
      </c>
      <c r="DT16" s="11">
        <v>-0.21000000000000008</v>
      </c>
      <c r="DU16">
        <v>0.82000000000000006</v>
      </c>
      <c r="DV16">
        <v>0.61</v>
      </c>
      <c r="DW16">
        <v>-2.0678000000000001</v>
      </c>
      <c r="DX16">
        <v>0.36272310030395172</v>
      </c>
      <c r="DY16">
        <v>-2.0103546262006078</v>
      </c>
      <c r="DZ16">
        <v>2981</v>
      </c>
      <c r="EA16">
        <v>-2.0043140898593137</v>
      </c>
      <c r="EB16">
        <v>2</v>
      </c>
      <c r="EC16">
        <v>3.8487214312235153E-2</v>
      </c>
      <c r="ED16">
        <v>0.2520065021967039</v>
      </c>
      <c r="EE16" s="12">
        <v>2.0529000000000002</v>
      </c>
      <c r="EF16">
        <v>2.0428999999999999</v>
      </c>
      <c r="EG16">
        <v>21.152723100303952</v>
      </c>
      <c r="EH16" t="s">
        <v>964</v>
      </c>
      <c r="EI16">
        <v>0</v>
      </c>
      <c r="EJ16">
        <v>0</v>
      </c>
      <c r="EK16" s="8">
        <v>45470</v>
      </c>
      <c r="EL16" s="13">
        <v>-2.14</v>
      </c>
      <c r="EM16" s="13">
        <v>-2.73</v>
      </c>
      <c r="EN16" s="13">
        <v>-0.11</v>
      </c>
      <c r="EO16" s="13">
        <v>1.01</v>
      </c>
      <c r="EP16" s="13">
        <v>-1</v>
      </c>
    </row>
    <row r="17" spans="1:146" ht="96" x14ac:dyDescent="0.25">
      <c r="A17" s="14"/>
      <c r="B17" s="14"/>
      <c r="C17" s="14" t="str">
        <f>""&amp;CHAR(10)&amp;Basic_Fundamental_Information_Constructure(F17)&amp;CHAR(10)&amp;Basic_Fundamental_Information_Concatenate("")</f>
        <v xml:space="preserve">
市值121.441165亿, 利润2.03亿; PE10.61; 平均PE27.02; 平均PEG.84, PB.672; ROIC4.2867%; ROE5.3467%; 股利率3.0769%; 毛利34.3233%; 净利14.2733%; 上一年度营收增86.08%, 利润增-70.83%; 当季营收增-55.53%, 利润增58.85%; 过往5年营收增32.24%, 利润增-70.83%
Income profile:
</v>
      </c>
      <c r="D17" t="s">
        <v>76</v>
      </c>
      <c r="E17" t="s">
        <v>221</v>
      </c>
      <c r="F17">
        <v>5.2</v>
      </c>
      <c r="G17">
        <v>-0.19</v>
      </c>
      <c r="H17" t="s">
        <v>965</v>
      </c>
      <c r="I17">
        <v>12144116500</v>
      </c>
      <c r="J17">
        <v>10.61</v>
      </c>
      <c r="K17">
        <v>0.67200000000000004</v>
      </c>
      <c r="L17" t="s">
        <v>39</v>
      </c>
      <c r="M17" t="s">
        <v>966</v>
      </c>
      <c r="N17" t="s">
        <v>967</v>
      </c>
      <c r="O17" t="s">
        <v>968</v>
      </c>
      <c r="P17">
        <v>0.19</v>
      </c>
      <c r="Q17" t="s">
        <v>969</v>
      </c>
      <c r="R17">
        <v>390760370</v>
      </c>
      <c r="S17" s="5">
        <v>-7.6499999999999999E-2</v>
      </c>
      <c r="T17" t="s">
        <v>525</v>
      </c>
      <c r="U17">
        <v>2335407000</v>
      </c>
      <c r="V17">
        <v>2335407000</v>
      </c>
      <c r="W17">
        <v>1.8</v>
      </c>
      <c r="X17" t="s">
        <v>40</v>
      </c>
      <c r="Y17">
        <v>27.5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>
        <v>94276156</v>
      </c>
      <c r="AF17" t="s">
        <v>970</v>
      </c>
      <c r="AG17" t="s">
        <v>971</v>
      </c>
      <c r="AH17" t="s">
        <v>972</v>
      </c>
      <c r="AI17" t="s">
        <v>973</v>
      </c>
      <c r="AJ17" t="s">
        <v>974</v>
      </c>
      <c r="AK17" t="s">
        <v>40</v>
      </c>
      <c r="AL17" t="s">
        <v>975</v>
      </c>
      <c r="AM17" t="s">
        <v>40</v>
      </c>
      <c r="AN17" t="s">
        <v>976</v>
      </c>
      <c r="AO17" t="s">
        <v>40</v>
      </c>
      <c r="AP17" t="s">
        <v>977</v>
      </c>
      <c r="AQ17" t="s">
        <v>978</v>
      </c>
      <c r="AR17" t="s">
        <v>979</v>
      </c>
      <c r="AS17" t="s">
        <v>40</v>
      </c>
      <c r="AT17" t="s">
        <v>40</v>
      </c>
      <c r="AU17" t="s">
        <v>980</v>
      </c>
      <c r="AV17" t="s">
        <v>661</v>
      </c>
      <c r="AW17" t="s">
        <v>49</v>
      </c>
      <c r="AX17" t="s">
        <v>529</v>
      </c>
      <c r="AY17" t="s">
        <v>40</v>
      </c>
      <c r="AZ17" t="s">
        <v>174</v>
      </c>
      <c r="BA17" t="s">
        <v>77</v>
      </c>
      <c r="BB17" t="s">
        <v>175</v>
      </c>
      <c r="BC17" t="s">
        <v>530</v>
      </c>
      <c r="BD17" t="s">
        <v>40</v>
      </c>
      <c r="BE17" t="s">
        <v>40</v>
      </c>
      <c r="BF17" t="s">
        <v>40</v>
      </c>
      <c r="BG17" t="s">
        <v>40</v>
      </c>
      <c r="BH17" t="s">
        <v>981</v>
      </c>
      <c r="BI17" t="s">
        <v>982</v>
      </c>
      <c r="BJ17" t="s">
        <v>529</v>
      </c>
      <c r="BK17" t="s">
        <v>983</v>
      </c>
      <c r="BL17" t="s">
        <v>582</v>
      </c>
      <c r="BM17" t="s">
        <v>530</v>
      </c>
      <c r="BN17">
        <v>4.72</v>
      </c>
      <c r="BO17">
        <v>3.6</v>
      </c>
      <c r="BP17">
        <v>4.54</v>
      </c>
      <c r="BQ17">
        <v>6.26</v>
      </c>
      <c r="BR17">
        <v>4.21</v>
      </c>
      <c r="BS17">
        <v>5.57</v>
      </c>
      <c r="BT17" t="s">
        <v>984</v>
      </c>
      <c r="BU17" t="s">
        <v>372</v>
      </c>
      <c r="BV17">
        <v>31.97</v>
      </c>
      <c r="BW17">
        <v>32.049999999999997</v>
      </c>
      <c r="BX17">
        <v>38.950000000000003</v>
      </c>
      <c r="BY17">
        <v>16.23</v>
      </c>
      <c r="BZ17">
        <v>11.1</v>
      </c>
      <c r="CA17">
        <v>15.49</v>
      </c>
      <c r="CB17">
        <v>0.57999999999999996</v>
      </c>
      <c r="CC17">
        <v>4.42</v>
      </c>
      <c r="CD17" t="s">
        <v>985</v>
      </c>
      <c r="CE17" t="s">
        <v>589</v>
      </c>
      <c r="CF17" s="9">
        <v>-0.55533371363377071</v>
      </c>
      <c r="CG17" s="10">
        <v>0.5884567886178862</v>
      </c>
      <c r="CH17" s="9">
        <v>0.86075752973556519</v>
      </c>
      <c r="CI17" s="9" t="s">
        <v>40</v>
      </c>
      <c r="CJ17" s="9" t="s">
        <v>40</v>
      </c>
      <c r="CK17" s="9">
        <v>5.3581679239869118E-3</v>
      </c>
      <c r="CL17" s="9">
        <v>0.10118008404970169</v>
      </c>
      <c r="CM17" s="10">
        <v>-0.70833331346511841</v>
      </c>
      <c r="CN17" s="10" t="s">
        <v>40</v>
      </c>
      <c r="CO17" s="10" t="s">
        <v>40</v>
      </c>
      <c r="CP17" s="10" t="s">
        <v>40</v>
      </c>
      <c r="CQ17" s="10" t="s">
        <v>40</v>
      </c>
      <c r="CR17">
        <v>27.016944382647385</v>
      </c>
      <c r="CS17">
        <v>0.8379115745208956</v>
      </c>
      <c r="CT17">
        <v>3.0769230769230771</v>
      </c>
      <c r="CU17" s="9">
        <v>0.32243192723641795</v>
      </c>
      <c r="CV17" s="10">
        <v>-0.70833331346511841</v>
      </c>
      <c r="CW17">
        <v>0.06</v>
      </c>
      <c r="CX17">
        <v>33.630172060478962</v>
      </c>
      <c r="CY17">
        <v>253258189.83867249</v>
      </c>
      <c r="CZ17">
        <v>0.32243192723641795</v>
      </c>
      <c r="DA17">
        <v>9.0760618209259061</v>
      </c>
      <c r="DB17">
        <v>938415434.80486286</v>
      </c>
      <c r="DC17">
        <v>0.30631033087459703</v>
      </c>
      <c r="DD17">
        <v>3.3929298311361911</v>
      </c>
      <c r="DE17">
        <v>2510254241.5820818</v>
      </c>
      <c r="DF17">
        <v>0.28374009596804778</v>
      </c>
      <c r="DG17">
        <v>1.4539972546763951</v>
      </c>
      <c r="DH17">
        <v>5857725296.6654253</v>
      </c>
      <c r="DI17">
        <v>0.25794554178913437</v>
      </c>
      <c r="DJ17">
        <v>0.32855822828733039</v>
      </c>
      <c r="DK17">
        <v>25922700351.767239</v>
      </c>
      <c r="DL17">
        <v>0.22570234906549255</v>
      </c>
      <c r="DM17">
        <v>202999999.99999997</v>
      </c>
      <c r="DN17">
        <v>0.32243192723641795</v>
      </c>
      <c r="DO17">
        <v>8517116500</v>
      </c>
      <c r="DP17">
        <v>9062619100</v>
      </c>
      <c r="DQ17">
        <v>3055</v>
      </c>
      <c r="DR17">
        <v>-0.8777656408701886</v>
      </c>
      <c r="DS17">
        <v>1.2967901020830046</v>
      </c>
      <c r="DT17" s="11">
        <v>-0.16000000000000003</v>
      </c>
      <c r="DU17">
        <v>0.32000000000000006</v>
      </c>
      <c r="DV17">
        <v>0.16000000000000003</v>
      </c>
      <c r="DW17">
        <v>1.0442</v>
      </c>
      <c r="DX17">
        <v>0.39946484517304071</v>
      </c>
      <c r="DY17">
        <v>1.0070483461566484</v>
      </c>
      <c r="DZ17">
        <v>1394</v>
      </c>
      <c r="EA17">
        <v>1.0051255683597076</v>
      </c>
      <c r="EB17">
        <v>1</v>
      </c>
      <c r="EC17">
        <v>3.7486485225059277E-2</v>
      </c>
      <c r="ED17">
        <v>0.23507679817693447</v>
      </c>
      <c r="EE17" s="12">
        <v>-1.0496099999999999</v>
      </c>
      <c r="EF17">
        <v>-1.0842099999999999</v>
      </c>
      <c r="EG17">
        <v>24.159464845173041</v>
      </c>
      <c r="EH17" t="s">
        <v>596</v>
      </c>
      <c r="EI17">
        <v>0</v>
      </c>
      <c r="EJ17">
        <v>1</v>
      </c>
      <c r="EK17" s="8">
        <v>45470</v>
      </c>
      <c r="EL17" s="13">
        <v>0</v>
      </c>
      <c r="EM17" s="13">
        <v>-2.11</v>
      </c>
      <c r="EN17" s="13">
        <v>-1.01</v>
      </c>
      <c r="EO17" s="13">
        <v>0.73</v>
      </c>
      <c r="EP17" s="13">
        <v>-3.46</v>
      </c>
    </row>
    <row r="18" spans="1:146" ht="96" x14ac:dyDescent="0.25">
      <c r="A18" s="14"/>
      <c r="B18" s="14"/>
      <c r="C18" s="14" t="str">
        <f>""&amp;CHAR(10)&amp;Basic_Fundamental_Information_Constructure(F18)&amp;CHAR(10)&amp;Basic_Fundamental_Information_Concatenate("")</f>
        <v xml:space="preserve">
市值428.37519亿, 利润2.00亿; PE13.21; 平均PE17.55; 平均PEG1.65, PB1.44; ROIC4.7%; ROE8.53%; 股利率4.7458%; 毛利36.1233%; 净利20.0233%; 上一年度营收增-87%, 利润增-93.42%; 当季营收增466.5%, 利润增619.02%; 过往5年营收增10.62%, 利润增-16.17%
Income profile:
</v>
      </c>
      <c r="D18" t="s">
        <v>78</v>
      </c>
      <c r="E18" t="s">
        <v>23</v>
      </c>
      <c r="F18">
        <v>8.85</v>
      </c>
      <c r="G18">
        <v>-1.1200000000000001</v>
      </c>
      <c r="H18" t="s">
        <v>986</v>
      </c>
      <c r="I18">
        <v>42837519000</v>
      </c>
      <c r="J18">
        <v>13.21</v>
      </c>
      <c r="K18">
        <v>1.44</v>
      </c>
      <c r="L18" t="s">
        <v>39</v>
      </c>
      <c r="M18" t="s">
        <v>987</v>
      </c>
      <c r="N18" t="s">
        <v>988</v>
      </c>
      <c r="O18" t="s">
        <v>989</v>
      </c>
      <c r="P18">
        <v>-11.87</v>
      </c>
      <c r="Q18" t="s">
        <v>990</v>
      </c>
      <c r="R18">
        <v>769351690</v>
      </c>
      <c r="S18" s="5">
        <v>-6.7000000000000004E-2</v>
      </c>
      <c r="T18" t="s">
        <v>119</v>
      </c>
      <c r="U18">
        <v>4840397600</v>
      </c>
      <c r="V18">
        <v>4840397600</v>
      </c>
      <c r="W18">
        <v>2.76</v>
      </c>
      <c r="X18">
        <v>0.03</v>
      </c>
      <c r="Y18">
        <v>20.51</v>
      </c>
      <c r="Z18" t="s">
        <v>991</v>
      </c>
      <c r="AA18" t="s">
        <v>992</v>
      </c>
      <c r="AB18" t="s">
        <v>993</v>
      </c>
      <c r="AC18" t="s">
        <v>517</v>
      </c>
      <c r="AD18" t="s">
        <v>40</v>
      </c>
      <c r="AE18">
        <v>430182890</v>
      </c>
      <c r="AF18" t="s">
        <v>994</v>
      </c>
      <c r="AG18" t="s">
        <v>995</v>
      </c>
      <c r="AH18" t="s">
        <v>996</v>
      </c>
      <c r="AI18" t="s">
        <v>997</v>
      </c>
      <c r="AJ18" t="s">
        <v>998</v>
      </c>
      <c r="AK18" t="s">
        <v>999</v>
      </c>
      <c r="AL18" t="s">
        <v>1000</v>
      </c>
      <c r="AM18" t="s">
        <v>40</v>
      </c>
      <c r="AN18" t="s">
        <v>527</v>
      </c>
      <c r="AO18" t="s">
        <v>1001</v>
      </c>
      <c r="AP18" t="s">
        <v>1002</v>
      </c>
      <c r="AQ18" t="s">
        <v>1003</v>
      </c>
      <c r="AR18" t="s">
        <v>1004</v>
      </c>
      <c r="AS18" t="s">
        <v>1005</v>
      </c>
      <c r="AT18" t="s">
        <v>1006</v>
      </c>
      <c r="AU18" t="s">
        <v>1007</v>
      </c>
      <c r="AV18" t="s">
        <v>1008</v>
      </c>
      <c r="AW18" t="s">
        <v>1009</v>
      </c>
      <c r="AX18" t="s">
        <v>1010</v>
      </c>
      <c r="AY18" t="s">
        <v>326</v>
      </c>
      <c r="AZ18" t="s">
        <v>328</v>
      </c>
      <c r="BA18" t="s">
        <v>176</v>
      </c>
      <c r="BB18" t="s">
        <v>177</v>
      </c>
      <c r="BC18" t="s">
        <v>1011</v>
      </c>
      <c r="BD18" t="s">
        <v>327</v>
      </c>
      <c r="BE18" t="s">
        <v>329</v>
      </c>
      <c r="BF18" t="s">
        <v>178</v>
      </c>
      <c r="BG18" t="s">
        <v>179</v>
      </c>
      <c r="BH18" t="s">
        <v>1012</v>
      </c>
      <c r="BI18" t="s">
        <v>47</v>
      </c>
      <c r="BJ18" t="s">
        <v>1010</v>
      </c>
      <c r="BK18" t="s">
        <v>1013</v>
      </c>
      <c r="BL18" t="s">
        <v>743</v>
      </c>
      <c r="BM18" t="s">
        <v>1011</v>
      </c>
      <c r="BN18">
        <v>3.66</v>
      </c>
      <c r="BO18">
        <v>4.7</v>
      </c>
      <c r="BP18">
        <v>5.74</v>
      </c>
      <c r="BQ18">
        <v>7.44</v>
      </c>
      <c r="BR18">
        <v>8.2799999999999994</v>
      </c>
      <c r="BS18">
        <v>9.8699999999999992</v>
      </c>
      <c r="BT18" t="s">
        <v>1014</v>
      </c>
      <c r="BU18" t="s">
        <v>372</v>
      </c>
      <c r="BV18">
        <v>30.38</v>
      </c>
      <c r="BW18">
        <v>34.67</v>
      </c>
      <c r="BX18">
        <v>43.32</v>
      </c>
      <c r="BY18">
        <v>15.66</v>
      </c>
      <c r="BZ18">
        <v>20.23</v>
      </c>
      <c r="CA18">
        <v>24.18</v>
      </c>
      <c r="CB18">
        <v>0</v>
      </c>
      <c r="CC18">
        <v>7.14</v>
      </c>
      <c r="CD18" t="s">
        <v>1015</v>
      </c>
      <c r="CE18" t="s">
        <v>459</v>
      </c>
      <c r="CF18" s="9">
        <v>4.665</v>
      </c>
      <c r="CG18" s="10">
        <v>6.1902027102803734</v>
      </c>
      <c r="CH18" s="9">
        <v>-0.86996740102767944</v>
      </c>
      <c r="CI18" s="9">
        <v>0.38107872009277344</v>
      </c>
      <c r="CJ18" s="9">
        <v>0.24617399275302887</v>
      </c>
      <c r="CK18" s="9">
        <v>0.24848780035972595</v>
      </c>
      <c r="CL18" s="9">
        <v>0.52511340379714966</v>
      </c>
      <c r="CM18" s="10">
        <v>-0.93421053886413574</v>
      </c>
      <c r="CN18" s="10">
        <v>-3.9318478666245937E-3</v>
      </c>
      <c r="CO18" s="10">
        <v>0.33800968527793884</v>
      </c>
      <c r="CP18" s="10">
        <v>-0.270313560962677</v>
      </c>
      <c r="CQ18" s="10">
        <v>6.1820697039365768E-2</v>
      </c>
      <c r="CR18">
        <v>17.55276336816226</v>
      </c>
      <c r="CS18">
        <v>1.6531558854839035</v>
      </c>
      <c r="CT18">
        <v>4.7457627118644075</v>
      </c>
      <c r="CU18" s="9">
        <v>0.1061773031949997</v>
      </c>
      <c r="CV18" s="10">
        <v>-0.16172511307522655</v>
      </c>
      <c r="CW18">
        <v>0.06</v>
      </c>
      <c r="CX18">
        <v>402.17255354549297</v>
      </c>
      <c r="CY18">
        <v>208712698.71603766</v>
      </c>
      <c r="CZ18">
        <v>0.1061773031949997</v>
      </c>
      <c r="DA18">
        <v>129.64142219698007</v>
      </c>
      <c r="DB18">
        <v>647466817.14476979</v>
      </c>
      <c r="DC18">
        <v>0.10086843803524971</v>
      </c>
      <c r="DD18">
        <v>62.656060797694302</v>
      </c>
      <c r="DE18">
        <v>1339671181.5481524</v>
      </c>
      <c r="DF18">
        <v>9.3436026811599737E-2</v>
      </c>
      <c r="DG18">
        <v>36.847621661113436</v>
      </c>
      <c r="DH18">
        <v>2277990144.7094808</v>
      </c>
      <c r="DI18">
        <v>8.4941842555999764E-2</v>
      </c>
      <c r="DJ18">
        <v>18.171547586653961</v>
      </c>
      <c r="DK18">
        <v>4619227867.0666656</v>
      </c>
      <c r="DL18">
        <v>7.432411223649979E-2</v>
      </c>
      <c r="DM18">
        <v>200000000</v>
      </c>
      <c r="DN18">
        <v>0.1061773031949997</v>
      </c>
      <c r="DO18">
        <v>83938519000</v>
      </c>
      <c r="DP18">
        <v>-6956003000</v>
      </c>
      <c r="DQ18">
        <v>3116</v>
      </c>
      <c r="DR18">
        <v>4.5588226968050005</v>
      </c>
      <c r="DS18">
        <v>6.3519278233555996</v>
      </c>
      <c r="DT18" s="11">
        <v>-0.27333333333333343</v>
      </c>
      <c r="DU18">
        <v>-0.53666666666666663</v>
      </c>
      <c r="DV18">
        <v>-0.81</v>
      </c>
      <c r="DW18">
        <v>2.0714000000000001</v>
      </c>
      <c r="DX18">
        <v>0.43177361111111057</v>
      </c>
      <c r="DY18">
        <v>2.0108366358333334</v>
      </c>
      <c r="DZ18">
        <v>2427</v>
      </c>
      <c r="EA18">
        <v>2.0056897639805937</v>
      </c>
      <c r="EB18">
        <v>2</v>
      </c>
      <c r="EC18">
        <v>1.1288018984225594E-2</v>
      </c>
      <c r="ED18">
        <v>7.4374055552791779E-2</v>
      </c>
      <c r="EE18" s="12">
        <v>1.0141</v>
      </c>
      <c r="EF18">
        <v>1.0062</v>
      </c>
      <c r="EG18">
        <v>28.151773611111111</v>
      </c>
      <c r="EH18" t="s">
        <v>380</v>
      </c>
      <c r="EI18">
        <v>1</v>
      </c>
      <c r="EJ18">
        <v>0</v>
      </c>
      <c r="EK18" s="8">
        <v>45470</v>
      </c>
      <c r="EL18" s="13">
        <v>-0.28999999999999998</v>
      </c>
      <c r="EM18" s="13">
        <v>-2.86</v>
      </c>
      <c r="EN18" s="13">
        <v>-0.39</v>
      </c>
      <c r="EO18" s="13">
        <v>-0.39</v>
      </c>
      <c r="EP18" s="13">
        <v>-0.79</v>
      </c>
    </row>
    <row r="19" spans="1:146" ht="96" x14ac:dyDescent="0.25">
      <c r="A19" s="14"/>
      <c r="B19" s="14"/>
      <c r="C19" s="14" t="str">
        <f>""&amp;CHAR(10)&amp;Basic_Fundamental_Information_Constructure(F19)&amp;CHAR(10)&amp;Basic_Fundamental_Information_Concatenate("")</f>
        <v xml:space="preserve">
市值58.913331亿, 利润6.02亿; PE8.72; 平均PE9.42; 平均PEG1.36, PB.904; ROIC7.4267%; ROE11.2367%; 股利率.2838%; 毛利54.8133%; 净利37.4667%; 上一年度营收增38.06%, 利润增3.44%; 当季营收增-45.12%, 利润增-5.64%; 过往5年营收增6.95%, 利润增16.42%
Income profile:
</v>
      </c>
      <c r="D19" t="s">
        <v>80</v>
      </c>
      <c r="E19" t="s">
        <v>241</v>
      </c>
      <c r="F19">
        <v>3.66</v>
      </c>
      <c r="G19">
        <v>0.27</v>
      </c>
      <c r="H19" t="s">
        <v>1016</v>
      </c>
      <c r="I19">
        <v>5891333100</v>
      </c>
      <c r="J19">
        <v>8.7200000000000006</v>
      </c>
      <c r="K19">
        <v>0.90400000000000003</v>
      </c>
      <c r="L19" t="s">
        <v>39</v>
      </c>
      <c r="M19" t="s">
        <v>1017</v>
      </c>
      <c r="N19" t="s">
        <v>1018</v>
      </c>
      <c r="O19" t="s">
        <v>524</v>
      </c>
      <c r="P19">
        <v>10.34</v>
      </c>
      <c r="Q19" t="s">
        <v>1019</v>
      </c>
      <c r="R19">
        <v>213263640</v>
      </c>
      <c r="S19" s="5">
        <v>7.6899999999999996E-2</v>
      </c>
      <c r="T19" t="s">
        <v>1020</v>
      </c>
      <c r="U19">
        <v>1609653900</v>
      </c>
      <c r="V19">
        <v>1609653900</v>
      </c>
      <c r="W19">
        <v>1.47</v>
      </c>
      <c r="X19">
        <v>0.04</v>
      </c>
      <c r="Y19">
        <v>52.31</v>
      </c>
      <c r="Z19" t="s">
        <v>661</v>
      </c>
      <c r="AA19" t="s">
        <v>1021</v>
      </c>
      <c r="AB19" t="s">
        <v>1022</v>
      </c>
      <c r="AC19" t="s">
        <v>1023</v>
      </c>
      <c r="AD19" t="s">
        <v>40</v>
      </c>
      <c r="AE19">
        <v>29583303</v>
      </c>
      <c r="AF19" t="s">
        <v>1024</v>
      </c>
      <c r="AG19" t="s">
        <v>1025</v>
      </c>
      <c r="AH19" t="s">
        <v>1026</v>
      </c>
      <c r="AI19" t="s">
        <v>521</v>
      </c>
      <c r="AJ19" t="s">
        <v>1027</v>
      </c>
      <c r="AK19" t="s">
        <v>40</v>
      </c>
      <c r="AL19" t="s">
        <v>1028</v>
      </c>
      <c r="AM19" t="s">
        <v>40</v>
      </c>
      <c r="AN19">
        <v>0</v>
      </c>
      <c r="AO19" t="s">
        <v>586</v>
      </c>
      <c r="AP19" t="s">
        <v>40</v>
      </c>
      <c r="AQ19" t="s">
        <v>1029</v>
      </c>
      <c r="AR19" t="s">
        <v>1030</v>
      </c>
      <c r="AS19" t="s">
        <v>481</v>
      </c>
      <c r="AT19" t="s">
        <v>1031</v>
      </c>
      <c r="AU19" t="s">
        <v>489</v>
      </c>
      <c r="AV19" t="s">
        <v>1032</v>
      </c>
      <c r="AW19" t="s">
        <v>1033</v>
      </c>
      <c r="AX19" t="s">
        <v>532</v>
      </c>
      <c r="AY19" t="s">
        <v>330</v>
      </c>
      <c r="AZ19" t="s">
        <v>180</v>
      </c>
      <c r="BA19" t="s">
        <v>81</v>
      </c>
      <c r="BB19" t="s">
        <v>182</v>
      </c>
      <c r="BC19" t="s">
        <v>382</v>
      </c>
      <c r="BD19" t="s">
        <v>331</v>
      </c>
      <c r="BE19" t="s">
        <v>181</v>
      </c>
      <c r="BF19" t="s">
        <v>82</v>
      </c>
      <c r="BG19" t="s">
        <v>183</v>
      </c>
      <c r="BH19" t="s">
        <v>1034</v>
      </c>
      <c r="BI19" t="s">
        <v>1035</v>
      </c>
      <c r="BJ19" t="s">
        <v>532</v>
      </c>
      <c r="BK19" t="s">
        <v>1036</v>
      </c>
      <c r="BL19" t="s">
        <v>306</v>
      </c>
      <c r="BM19" t="s">
        <v>382</v>
      </c>
      <c r="BN19">
        <v>7.07</v>
      </c>
      <c r="BO19">
        <v>7.09</v>
      </c>
      <c r="BP19">
        <v>8.1199999999999992</v>
      </c>
      <c r="BQ19">
        <v>9.25</v>
      </c>
      <c r="BR19">
        <v>10.61</v>
      </c>
      <c r="BS19">
        <v>13.85</v>
      </c>
      <c r="BT19" t="s">
        <v>1037</v>
      </c>
      <c r="BU19" t="s">
        <v>372</v>
      </c>
      <c r="BV19">
        <v>60.06</v>
      </c>
      <c r="BW19">
        <v>51.63</v>
      </c>
      <c r="BX19">
        <v>52.75</v>
      </c>
      <c r="BY19">
        <v>39.9</v>
      </c>
      <c r="BZ19">
        <v>34.25</v>
      </c>
      <c r="CA19">
        <v>38.25</v>
      </c>
      <c r="CB19">
        <v>2.52</v>
      </c>
      <c r="CC19">
        <v>-0.1</v>
      </c>
      <c r="CD19" t="s">
        <v>1038</v>
      </c>
      <c r="CE19" t="s">
        <v>472</v>
      </c>
      <c r="CF19" s="9">
        <v>-0.45121951219512196</v>
      </c>
      <c r="CG19" s="10">
        <v>-5.6355575221238817E-2</v>
      </c>
      <c r="CH19" s="9">
        <v>0.38055711984634399</v>
      </c>
      <c r="CI19" s="9">
        <v>-7.8645482659339905E-2</v>
      </c>
      <c r="CJ19" s="9">
        <v>6.2681294977664948E-2</v>
      </c>
      <c r="CK19" s="9">
        <v>-0.19748485088348389</v>
      </c>
      <c r="CL19" s="9">
        <v>0.18031884729862213</v>
      </c>
      <c r="CM19" s="10">
        <v>3.4364260733127594E-2</v>
      </c>
      <c r="CN19" s="10">
        <v>-0.17094017565250397</v>
      </c>
      <c r="CO19" s="10">
        <v>0.24468085169792175</v>
      </c>
      <c r="CP19" s="10">
        <v>-0.35763096809387207</v>
      </c>
      <c r="CQ19" s="10">
        <v>1.0707547664642334</v>
      </c>
      <c r="CR19">
        <v>9.4211083688699357</v>
      </c>
      <c r="CS19">
        <v>1.3558402636463767</v>
      </c>
      <c r="CT19">
        <v>0.28383468619024882</v>
      </c>
      <c r="CU19" s="9">
        <v>6.9485385715961454E-2</v>
      </c>
      <c r="CV19" s="10">
        <v>0.16424574702978134</v>
      </c>
      <c r="CW19">
        <v>0.06</v>
      </c>
      <c r="CX19">
        <v>4.4310022677521586</v>
      </c>
      <c r="CY19">
        <v>607386983.20849872</v>
      </c>
      <c r="CZ19">
        <v>6.9485385715961454E-2</v>
      </c>
      <c r="DA19">
        <v>1.4734430036716077</v>
      </c>
      <c r="DB19">
        <v>1826560710.7255492</v>
      </c>
      <c r="DC19">
        <v>6.6011116430163372E-2</v>
      </c>
      <c r="DD19">
        <v>0.74229215674880966</v>
      </c>
      <c r="DE19">
        <v>3625705964.3306217</v>
      </c>
      <c r="DF19">
        <v>6.1147139430046078E-2</v>
      </c>
      <c r="DG19">
        <v>0.45740606251857524</v>
      </c>
      <c r="DH19">
        <v>5883903429.6592979</v>
      </c>
      <c r="DI19">
        <v>5.5588308572769168E-2</v>
      </c>
      <c r="DJ19">
        <v>0.24982632505009117</v>
      </c>
      <c r="DK19">
        <v>10772816273.306574</v>
      </c>
      <c r="DL19">
        <v>4.8639770001173012E-2</v>
      </c>
      <c r="DM19">
        <v>602000000</v>
      </c>
      <c r="DN19">
        <v>6.9485385715961454E-2</v>
      </c>
      <c r="DO19">
        <v>2691333100</v>
      </c>
      <c r="DP19">
        <v>881265000.00000012</v>
      </c>
      <c r="DQ19">
        <v>3132</v>
      </c>
      <c r="DR19">
        <v>-0.52070489791108343</v>
      </c>
      <c r="DS19">
        <v>-0.22060132225102017</v>
      </c>
      <c r="DT19" s="11">
        <v>-0.28999999999999998</v>
      </c>
      <c r="DU19">
        <v>6.6666666666666666E-2</v>
      </c>
      <c r="DV19">
        <v>-0.22333333333333333</v>
      </c>
      <c r="DW19">
        <v>4.0396825396825395</v>
      </c>
      <c r="DX19">
        <v>0.34450552643678212</v>
      </c>
      <c r="DY19">
        <v>4.0069248224776501</v>
      </c>
      <c r="DZ19">
        <v>2827</v>
      </c>
      <c r="EA19">
        <v>4.0030938101206406</v>
      </c>
      <c r="EB19">
        <v>4</v>
      </c>
      <c r="EC19">
        <v>4.7159143962562385E-2</v>
      </c>
      <c r="ED19">
        <v>0.27024442956339867</v>
      </c>
      <c r="EE19" s="12">
        <v>0.12189999999999999</v>
      </c>
      <c r="EF19">
        <v>9.4299999999999995E-2</v>
      </c>
      <c r="EG19">
        <v>17.174505526436782</v>
      </c>
      <c r="EH19" t="s">
        <v>377</v>
      </c>
      <c r="EI19">
        <v>0</v>
      </c>
      <c r="EJ19">
        <v>0</v>
      </c>
      <c r="EK19" s="8">
        <v>45470</v>
      </c>
      <c r="EL19" s="13">
        <v>-0.2</v>
      </c>
      <c r="EM19" s="13">
        <v>-4.13</v>
      </c>
      <c r="EN19" s="13">
        <v>0.31</v>
      </c>
      <c r="EO19" s="13">
        <v>3.78</v>
      </c>
      <c r="EP19" s="13">
        <v>-2.76</v>
      </c>
    </row>
    <row r="20" spans="1:146" ht="96" x14ac:dyDescent="0.25">
      <c r="A20" s="14"/>
      <c r="B20" s="14"/>
      <c r="C20" s="14" t="str">
        <f>""&amp;CHAR(10)&amp;Basic_Fundamental_Information_Constructure(F20)&amp;CHAR(10)&amp;Basic_Fundamental_Information_Concatenate("")</f>
        <v xml:space="preserve">
市值662.4638亿, 利润9.00亿; PE14.94; 平均PE19.93; 平均PEG9.46, PB1.84; ROIC7.5433%; ROE12.58%; 股利率3.5741%; 毛利35.5233%; 净利29.5233%; 上一年度营收增-40.77%, 利润增-75.83%; 当季营收增68.76%, 利润增446.86%; 过往5年营收增2.11%, 利润增-12.1%
Income profile:
</v>
      </c>
      <c r="D20" t="s">
        <v>83</v>
      </c>
      <c r="E20" t="s">
        <v>14</v>
      </c>
      <c r="F20">
        <v>13.15</v>
      </c>
      <c r="G20">
        <v>-0.6</v>
      </c>
      <c r="H20" t="s">
        <v>1039</v>
      </c>
      <c r="I20">
        <v>66246380000</v>
      </c>
      <c r="J20">
        <v>14.94</v>
      </c>
      <c r="K20">
        <v>1.84</v>
      </c>
      <c r="L20" t="s">
        <v>39</v>
      </c>
      <c r="M20" t="s">
        <v>1040</v>
      </c>
      <c r="N20" t="s">
        <v>1041</v>
      </c>
      <c r="O20" t="s">
        <v>1042</v>
      </c>
      <c r="P20">
        <v>-4.3</v>
      </c>
      <c r="Q20" t="s">
        <v>1043</v>
      </c>
      <c r="R20">
        <v>1246836160</v>
      </c>
      <c r="S20" s="5">
        <v>1.61E-2</v>
      </c>
      <c r="T20" t="s">
        <v>483</v>
      </c>
      <c r="U20">
        <v>3802183000</v>
      </c>
      <c r="V20">
        <v>5037747500</v>
      </c>
      <c r="W20">
        <v>1.9</v>
      </c>
      <c r="X20">
        <v>0.04</v>
      </c>
      <c r="Y20">
        <v>37.85</v>
      </c>
      <c r="Z20" t="s">
        <v>1044</v>
      </c>
      <c r="AA20" t="s">
        <v>1045</v>
      </c>
      <c r="AB20" t="s">
        <v>1046</v>
      </c>
      <c r="AC20" t="s">
        <v>1047</v>
      </c>
      <c r="AD20" t="s">
        <v>40</v>
      </c>
      <c r="AE20">
        <v>246435280</v>
      </c>
      <c r="AF20" t="s">
        <v>1048</v>
      </c>
      <c r="AG20" t="s">
        <v>1049</v>
      </c>
      <c r="AH20" t="s">
        <v>1050</v>
      </c>
      <c r="AI20" t="s">
        <v>1051</v>
      </c>
      <c r="AJ20" t="s">
        <v>1052</v>
      </c>
      <c r="AK20" t="s">
        <v>1053</v>
      </c>
      <c r="AL20" t="s">
        <v>1054</v>
      </c>
      <c r="AM20" t="s">
        <v>40</v>
      </c>
      <c r="AN20" t="s">
        <v>1055</v>
      </c>
      <c r="AO20" t="s">
        <v>214</v>
      </c>
      <c r="AP20" t="s">
        <v>378</v>
      </c>
      <c r="AQ20" t="s">
        <v>1056</v>
      </c>
      <c r="AR20" t="s">
        <v>1057</v>
      </c>
      <c r="AS20" t="s">
        <v>1058</v>
      </c>
      <c r="AT20" t="s">
        <v>1059</v>
      </c>
      <c r="AU20" t="s">
        <v>54</v>
      </c>
      <c r="AV20" t="s">
        <v>1060</v>
      </c>
      <c r="AW20" t="s">
        <v>589</v>
      </c>
      <c r="AX20" t="s">
        <v>534</v>
      </c>
      <c r="AY20" t="s">
        <v>536</v>
      </c>
      <c r="AZ20" t="s">
        <v>184</v>
      </c>
      <c r="BA20" t="s">
        <v>84</v>
      </c>
      <c r="BB20" t="s">
        <v>186</v>
      </c>
      <c r="BC20" t="s">
        <v>535</v>
      </c>
      <c r="BD20" t="s">
        <v>537</v>
      </c>
      <c r="BE20" t="s">
        <v>185</v>
      </c>
      <c r="BF20" t="s">
        <v>85</v>
      </c>
      <c r="BG20" t="s">
        <v>187</v>
      </c>
      <c r="BH20" t="s">
        <v>1061</v>
      </c>
      <c r="BI20" t="s">
        <v>1062</v>
      </c>
      <c r="BJ20" t="s">
        <v>534</v>
      </c>
      <c r="BK20" t="s">
        <v>1063</v>
      </c>
      <c r="BL20" t="s">
        <v>492</v>
      </c>
      <c r="BM20" t="s">
        <v>535</v>
      </c>
      <c r="BN20">
        <v>6.97</v>
      </c>
      <c r="BO20">
        <v>7.13</v>
      </c>
      <c r="BP20">
        <v>8.5299999999999994</v>
      </c>
      <c r="BQ20">
        <v>12.14</v>
      </c>
      <c r="BR20">
        <v>11.23</v>
      </c>
      <c r="BS20">
        <v>14.37</v>
      </c>
      <c r="BT20" t="s">
        <v>1064</v>
      </c>
      <c r="BU20" t="s">
        <v>372</v>
      </c>
      <c r="BV20">
        <v>36.94</v>
      </c>
      <c r="BW20">
        <v>33.299999999999997</v>
      </c>
      <c r="BX20">
        <v>36.33</v>
      </c>
      <c r="BY20">
        <v>30.34</v>
      </c>
      <c r="BZ20">
        <v>28.27</v>
      </c>
      <c r="CA20">
        <v>29.96</v>
      </c>
      <c r="CB20">
        <v>4.37</v>
      </c>
      <c r="CC20">
        <v>13.75</v>
      </c>
      <c r="CD20" t="s">
        <v>1065</v>
      </c>
      <c r="CE20" t="s">
        <v>73</v>
      </c>
      <c r="CF20" s="9">
        <v>0.68756073858114675</v>
      </c>
      <c r="CG20" s="10">
        <v>4.468579649122808</v>
      </c>
      <c r="CH20" s="9">
        <v>-0.40766441822052002</v>
      </c>
      <c r="CI20" s="9">
        <v>-7.0471964776515961E-2</v>
      </c>
      <c r="CJ20" s="9">
        <v>0.77552294731140137</v>
      </c>
      <c r="CK20" s="9">
        <v>-0.20301647484302521</v>
      </c>
      <c r="CL20" s="9">
        <v>1.0933862067759037E-2</v>
      </c>
      <c r="CM20" s="10">
        <v>-0.75832438468933105</v>
      </c>
      <c r="CN20" s="10">
        <v>-0.12990653514862061</v>
      </c>
      <c r="CO20" s="10">
        <v>0.73701298236846924</v>
      </c>
      <c r="CP20" s="10">
        <v>-0.41333332657814026</v>
      </c>
      <c r="CQ20" s="10">
        <v>-4.0438640862703323E-2</v>
      </c>
      <c r="CR20">
        <v>19.928717974429684</v>
      </c>
      <c r="CS20">
        <v>9.4624739542799485</v>
      </c>
      <c r="CT20">
        <v>3.5741444866920151</v>
      </c>
      <c r="CU20" s="9">
        <v>2.1060790307819842E-2</v>
      </c>
      <c r="CV20" s="10">
        <v>-0.1209979809820652</v>
      </c>
      <c r="CW20">
        <v>0.06</v>
      </c>
      <c r="CX20">
        <v>70.52678658117398</v>
      </c>
      <c r="CY20">
        <v>866938406.86513007</v>
      </c>
      <c r="CZ20">
        <v>2.1060790307819842E-2</v>
      </c>
      <c r="DA20">
        <v>24.443830949371819</v>
      </c>
      <c r="DB20">
        <v>2501341959.3122859</v>
      </c>
      <c r="DC20">
        <v>2.0007750792428849E-2</v>
      </c>
      <c r="DD20">
        <v>12.9896499786612</v>
      </c>
      <c r="DE20">
        <v>4707007509.859149</v>
      </c>
      <c r="DF20">
        <v>1.8533495470881459E-2</v>
      </c>
      <c r="DG20">
        <v>8.4777870586147337</v>
      </c>
      <c r="DH20">
        <v>7212068382.6176023</v>
      </c>
      <c r="DI20">
        <v>1.6848632246255876E-2</v>
      </c>
      <c r="DJ20">
        <v>5.204566572311581</v>
      </c>
      <c r="DK20">
        <v>11747833205.800255</v>
      </c>
      <c r="DL20">
        <v>1.4742553215473889E-2</v>
      </c>
      <c r="DM20">
        <v>900000000</v>
      </c>
      <c r="DN20">
        <v>2.1060790307819842E-2</v>
      </c>
      <c r="DO20">
        <v>61142380000</v>
      </c>
      <c r="DP20">
        <v>683799500</v>
      </c>
      <c r="DQ20">
        <v>3140</v>
      </c>
      <c r="DR20">
        <v>0.66649994827332693</v>
      </c>
      <c r="DS20">
        <v>4.5895776301048734</v>
      </c>
      <c r="DT20" s="11">
        <v>-0.45666666666666661</v>
      </c>
      <c r="DU20">
        <v>-0.18333333333333332</v>
      </c>
      <c r="DV20">
        <v>-0.6399999999999999</v>
      </c>
      <c r="DW20">
        <v>8.3178181818181827</v>
      </c>
      <c r="DX20">
        <v>0.32769999999999844</v>
      </c>
      <c r="DY20">
        <v>8.0501199272727266</v>
      </c>
      <c r="DZ20">
        <v>4903</v>
      </c>
      <c r="EA20">
        <v>8.0020302984237688</v>
      </c>
      <c r="EB20">
        <v>8</v>
      </c>
      <c r="EC20">
        <v>7.8259182303201981E-3</v>
      </c>
      <c r="ED20">
        <v>4.9625353394547864E-2</v>
      </c>
      <c r="EE20" s="12">
        <v>3.0674100000000002</v>
      </c>
      <c r="EF20">
        <v>3.0901100000000001</v>
      </c>
      <c r="EG20">
        <v>17.157699999999998</v>
      </c>
      <c r="EH20" t="s">
        <v>1066</v>
      </c>
      <c r="EI20">
        <v>0</v>
      </c>
      <c r="EJ20">
        <v>0</v>
      </c>
      <c r="EK20" s="8">
        <v>45470</v>
      </c>
      <c r="EL20" s="13">
        <v>0.46</v>
      </c>
      <c r="EM20" s="13">
        <v>-4.09</v>
      </c>
      <c r="EN20" s="13">
        <v>1.9</v>
      </c>
      <c r="EO20" s="13">
        <v>2.33</v>
      </c>
      <c r="EP20" s="13">
        <v>-2.27</v>
      </c>
    </row>
    <row r="21" spans="1:146" ht="96" x14ac:dyDescent="0.25">
      <c r="A21" s="14"/>
      <c r="B21" s="14"/>
      <c r="C21" s="14" t="str">
        <f>""&amp;CHAR(10)&amp;Basic_Fundamental_Information_Constructure(F21)&amp;CHAR(10)&amp;Basic_Fundamental_Information_Concatenate("")</f>
        <v xml:space="preserve">
市值237.92204亿, 利润16.02亿; PE10.1; 平均PE9.99; 平均PEG.13, PB1.27; ROIC4.9367%; ROE10.0433%; 股利率5.0412%; 毛利34.36%; 净利23.8%; 上一年度营收增320.34%, 利润增-20.54%; 当季营收增-76.2%, 利润增7.04%; 过往5年营收增75.55%, 利润增-12.31%
Income profile:
</v>
      </c>
      <c r="D21" t="s">
        <v>86</v>
      </c>
      <c r="E21" t="s">
        <v>15</v>
      </c>
      <c r="F21">
        <v>10.91</v>
      </c>
      <c r="G21">
        <v>-0.55000000000000004</v>
      </c>
      <c r="H21" t="s">
        <v>1067</v>
      </c>
      <c r="I21">
        <v>23792204000</v>
      </c>
      <c r="J21">
        <v>10.1</v>
      </c>
      <c r="K21">
        <v>1.27</v>
      </c>
      <c r="L21" t="s">
        <v>39</v>
      </c>
      <c r="M21" t="s">
        <v>1068</v>
      </c>
      <c r="N21" t="s">
        <v>1069</v>
      </c>
      <c r="O21" t="s">
        <v>1070</v>
      </c>
      <c r="P21">
        <v>7.06</v>
      </c>
      <c r="Q21" t="s">
        <v>1071</v>
      </c>
      <c r="R21">
        <v>470958970</v>
      </c>
      <c r="S21" s="5">
        <v>6.4199999999999993E-2</v>
      </c>
      <c r="T21" t="s">
        <v>1072</v>
      </c>
      <c r="U21">
        <v>1433270300</v>
      </c>
      <c r="V21">
        <v>2180770300</v>
      </c>
      <c r="W21">
        <v>2.37</v>
      </c>
      <c r="X21">
        <v>0.03</v>
      </c>
      <c r="Y21">
        <v>25.16</v>
      </c>
      <c r="Z21" t="s">
        <v>1073</v>
      </c>
      <c r="AA21" t="s">
        <v>1074</v>
      </c>
      <c r="AB21" t="s">
        <v>1075</v>
      </c>
      <c r="AC21" t="s">
        <v>1076</v>
      </c>
      <c r="AD21" t="s">
        <v>40</v>
      </c>
      <c r="AE21">
        <v>284657520</v>
      </c>
      <c r="AF21" t="s">
        <v>1077</v>
      </c>
      <c r="AG21" t="s">
        <v>1078</v>
      </c>
      <c r="AH21" t="s">
        <v>1079</v>
      </c>
      <c r="AI21" t="s">
        <v>1080</v>
      </c>
      <c r="AJ21" t="s">
        <v>1081</v>
      </c>
      <c r="AK21" t="s">
        <v>1082</v>
      </c>
      <c r="AL21" t="s">
        <v>1083</v>
      </c>
      <c r="AM21" t="s">
        <v>40</v>
      </c>
      <c r="AN21" t="s">
        <v>1084</v>
      </c>
      <c r="AO21" t="s">
        <v>1085</v>
      </c>
      <c r="AP21" t="s">
        <v>1086</v>
      </c>
      <c r="AQ21" t="s">
        <v>1087</v>
      </c>
      <c r="AR21" t="s">
        <v>1088</v>
      </c>
      <c r="AS21" t="s">
        <v>1089</v>
      </c>
      <c r="AT21" t="s">
        <v>1090</v>
      </c>
      <c r="AU21" t="s">
        <v>132</v>
      </c>
      <c r="AV21" t="s">
        <v>1091</v>
      </c>
      <c r="AW21" t="s">
        <v>1092</v>
      </c>
      <c r="AX21" t="s">
        <v>538</v>
      </c>
      <c r="AY21" t="s">
        <v>539</v>
      </c>
      <c r="AZ21" t="s">
        <v>188</v>
      </c>
      <c r="BA21" t="s">
        <v>190</v>
      </c>
      <c r="BB21" t="s">
        <v>191</v>
      </c>
      <c r="BC21" t="s">
        <v>1093</v>
      </c>
      <c r="BD21" t="s">
        <v>540</v>
      </c>
      <c r="BE21" t="s">
        <v>189</v>
      </c>
      <c r="BF21" t="s">
        <v>192</v>
      </c>
      <c r="BG21" t="s">
        <v>193</v>
      </c>
      <c r="BH21" t="s">
        <v>1094</v>
      </c>
      <c r="BI21" t="s">
        <v>1095</v>
      </c>
      <c r="BJ21" t="s">
        <v>538</v>
      </c>
      <c r="BK21" t="s">
        <v>1096</v>
      </c>
      <c r="BL21" t="s">
        <v>313</v>
      </c>
      <c r="BM21" t="s">
        <v>1093</v>
      </c>
      <c r="BN21">
        <v>3.87</v>
      </c>
      <c r="BO21">
        <v>4.5599999999999996</v>
      </c>
      <c r="BP21">
        <v>6.38</v>
      </c>
      <c r="BQ21">
        <v>7.96</v>
      </c>
      <c r="BR21">
        <v>9.93</v>
      </c>
      <c r="BS21">
        <v>12.24</v>
      </c>
      <c r="BT21" t="s">
        <v>462</v>
      </c>
      <c r="BU21" t="s">
        <v>372</v>
      </c>
      <c r="BV21">
        <v>36</v>
      </c>
      <c r="BW21">
        <v>32.21</v>
      </c>
      <c r="BX21">
        <v>34.869999999999997</v>
      </c>
      <c r="BY21">
        <v>25.67</v>
      </c>
      <c r="BZ21">
        <v>20.84</v>
      </c>
      <c r="CA21">
        <v>24.89</v>
      </c>
      <c r="CB21">
        <v>2.63</v>
      </c>
      <c r="CC21">
        <v>0.65</v>
      </c>
      <c r="CD21" t="s">
        <v>1097</v>
      </c>
      <c r="CE21" t="s">
        <v>1098</v>
      </c>
      <c r="CF21" s="9">
        <v>-0.76197150198551744</v>
      </c>
      <c r="CG21" s="10">
        <v>7.0361295454545308E-2</v>
      </c>
      <c r="CH21" s="9">
        <v>3.2033500671386719</v>
      </c>
      <c r="CI21" s="9">
        <v>-0.13930216431617737</v>
      </c>
      <c r="CJ21" s="9">
        <v>0.35667130351066589</v>
      </c>
      <c r="CK21" s="9">
        <v>0.25618147850036621</v>
      </c>
      <c r="CL21" s="9">
        <v>0.10039608180522919</v>
      </c>
      <c r="CM21" s="10">
        <v>-0.2053571492433548</v>
      </c>
      <c r="CN21" s="10">
        <v>-0.2284730076789856</v>
      </c>
      <c r="CO21" s="10">
        <v>0.27153277397155762</v>
      </c>
      <c r="CP21" s="10">
        <v>-0.19851791858673096</v>
      </c>
      <c r="CQ21" s="10">
        <v>-0.25465115904808044</v>
      </c>
      <c r="CR21">
        <v>9.9897287613715893</v>
      </c>
      <c r="CS21">
        <v>0.13223383518077392</v>
      </c>
      <c r="CT21">
        <v>5.0412465627864345</v>
      </c>
      <c r="CU21" s="9">
        <v>0.75545935332775116</v>
      </c>
      <c r="CV21" s="10">
        <v>-0.12309329211711884</v>
      </c>
      <c r="CW21">
        <v>0.06</v>
      </c>
      <c r="CX21">
        <v>13.150541512035003</v>
      </c>
      <c r="CY21">
        <v>2653062154.7462807</v>
      </c>
      <c r="CZ21">
        <v>0.75545935332775116</v>
      </c>
      <c r="DA21">
        <v>2.5617316405194184</v>
      </c>
      <c r="DB21">
        <v>13619382861.24531</v>
      </c>
      <c r="DC21">
        <v>0.71768638566136356</v>
      </c>
      <c r="DD21">
        <v>0.56478291821183035</v>
      </c>
      <c r="DE21">
        <v>61774538278.288155</v>
      </c>
      <c r="DF21">
        <v>0.664804230928421</v>
      </c>
      <c r="DG21">
        <v>0.11900783952622523</v>
      </c>
      <c r="DH21">
        <v>293167274852.60852</v>
      </c>
      <c r="DI21">
        <v>0.60436748266220097</v>
      </c>
      <c r="DJ21">
        <v>4.4050118372627517E-3</v>
      </c>
      <c r="DK21">
        <v>7920342847859.3926</v>
      </c>
      <c r="DL21">
        <v>0.52882154732942577</v>
      </c>
      <c r="DM21">
        <v>1602000000</v>
      </c>
      <c r="DN21">
        <v>0.75545935332775116</v>
      </c>
      <c r="DO21">
        <v>34889204000</v>
      </c>
      <c r="DP21">
        <v>-11429598900</v>
      </c>
      <c r="DQ21">
        <v>3261</v>
      </c>
      <c r="DR21">
        <v>-1.5174308553132687</v>
      </c>
      <c r="DS21">
        <v>0.19345458757166414</v>
      </c>
      <c r="DT21" s="11">
        <v>0.10999999999999995</v>
      </c>
      <c r="DU21">
        <v>-0.39999999999999997</v>
      </c>
      <c r="DV21">
        <v>-0.29000000000000004</v>
      </c>
      <c r="DW21">
        <v>4.247148288973384</v>
      </c>
      <c r="DX21">
        <v>0.3966306451612911</v>
      </c>
      <c r="DY21">
        <v>4.0411824788421438</v>
      </c>
      <c r="DZ21">
        <v>1229</v>
      </c>
      <c r="EA21">
        <v>4.0312777300169005</v>
      </c>
      <c r="EB21">
        <v>4</v>
      </c>
      <c r="EC21">
        <v>9.4747255132739093E-3</v>
      </c>
      <c r="ED21">
        <v>5.6860642315240628E-2</v>
      </c>
      <c r="EE21" s="12">
        <v>4.0236099999999997</v>
      </c>
      <c r="EF21">
        <v>4.0411099999999998</v>
      </c>
      <c r="EG21">
        <v>23.166630645161291</v>
      </c>
      <c r="EH21" t="s">
        <v>1099</v>
      </c>
      <c r="EI21">
        <v>0</v>
      </c>
      <c r="EJ21">
        <v>1</v>
      </c>
      <c r="EK21" s="8">
        <v>45470</v>
      </c>
      <c r="EL21" s="13">
        <v>-7.0000000000000007E-2</v>
      </c>
      <c r="EM21" s="13">
        <v>-0.79</v>
      </c>
      <c r="EN21" s="13">
        <v>-0.54</v>
      </c>
      <c r="EO21" s="13">
        <v>-0.87</v>
      </c>
      <c r="EP21" s="13">
        <v>-1.75</v>
      </c>
    </row>
    <row r="22" spans="1:146" ht="96" x14ac:dyDescent="0.25">
      <c r="A22" s="14"/>
      <c r="B22" s="14"/>
      <c r="C22" s="14" t="str">
        <f>""&amp;CHAR(10)&amp;Basic_Fundamental_Information_Constructure(F22)&amp;CHAR(10)&amp;Basic_Fundamental_Information_Concatenate("")</f>
        <v xml:space="preserve">
市值10.4118509亿, 利润5.99亿; PE; 平均PE-98.58; 平均PEG-6.78, PB1.19; ROIC.95%; ROE-5.9%; 股利率0%; 毛利-9.3133%; 净利-4.9133%; 上一年度营收增126.03%, 利润增504.73%; 当季营收增-43.36%, 利润增-120.77%; 过往5年营收增14.55%, 利润增-372.97%
Income profile:
</v>
      </c>
      <c r="D22" t="s">
        <v>259</v>
      </c>
      <c r="E22" t="s">
        <v>260</v>
      </c>
      <c r="F22">
        <v>3.66</v>
      </c>
      <c r="G22">
        <v>1.67</v>
      </c>
      <c r="H22" t="s">
        <v>1100</v>
      </c>
      <c r="I22">
        <v>1041185090</v>
      </c>
      <c r="K22">
        <v>1.19</v>
      </c>
      <c r="L22" t="s">
        <v>39</v>
      </c>
      <c r="M22" t="s">
        <v>1101</v>
      </c>
      <c r="N22" t="s">
        <v>1102</v>
      </c>
      <c r="O22" t="s">
        <v>46</v>
      </c>
      <c r="P22">
        <v>-10.24</v>
      </c>
      <c r="Q22" t="s">
        <v>1103</v>
      </c>
      <c r="R22">
        <v>-23265147</v>
      </c>
      <c r="S22" s="5">
        <v>0.43219999999999997</v>
      </c>
      <c r="T22" t="s">
        <v>1104</v>
      </c>
      <c r="U22">
        <v>284476800</v>
      </c>
      <c r="V22">
        <v>284476800</v>
      </c>
      <c r="W22">
        <v>4.32</v>
      </c>
      <c r="X22">
        <v>7.0000000000000007E-2</v>
      </c>
      <c r="Y22">
        <v>-7.66</v>
      </c>
      <c r="Z22" t="s">
        <v>313</v>
      </c>
      <c r="AA22" t="s">
        <v>1105</v>
      </c>
      <c r="AB22" t="s">
        <v>1106</v>
      </c>
      <c r="AC22" t="s">
        <v>1107</v>
      </c>
      <c r="AD22" t="s">
        <v>40</v>
      </c>
      <c r="AE22">
        <v>19072152</v>
      </c>
      <c r="AF22" t="s">
        <v>1108</v>
      </c>
      <c r="AG22" t="s">
        <v>1109</v>
      </c>
      <c r="AH22" t="s">
        <v>1110</v>
      </c>
      <c r="AI22" t="s">
        <v>463</v>
      </c>
      <c r="AJ22" t="s">
        <v>1111</v>
      </c>
      <c r="AK22" t="s">
        <v>1112</v>
      </c>
      <c r="AL22" t="s">
        <v>1113</v>
      </c>
      <c r="AM22" t="s">
        <v>40</v>
      </c>
      <c r="AN22" t="s">
        <v>1114</v>
      </c>
      <c r="AO22" t="s">
        <v>1115</v>
      </c>
      <c r="AP22" t="s">
        <v>1116</v>
      </c>
      <c r="AQ22" t="s">
        <v>477</v>
      </c>
      <c r="AR22" t="s">
        <v>1117</v>
      </c>
      <c r="AS22" t="s">
        <v>1118</v>
      </c>
      <c r="AT22" t="s">
        <v>1119</v>
      </c>
      <c r="AU22" t="s">
        <v>1120</v>
      </c>
      <c r="AV22" t="s">
        <v>1121</v>
      </c>
      <c r="AW22" t="s">
        <v>125</v>
      </c>
      <c r="AX22" t="s">
        <v>138</v>
      </c>
      <c r="AY22" t="s">
        <v>250</v>
      </c>
      <c r="AZ22" t="s">
        <v>261</v>
      </c>
      <c r="BA22" t="s">
        <v>264</v>
      </c>
      <c r="BB22" t="s">
        <v>265</v>
      </c>
      <c r="BC22" t="s">
        <v>541</v>
      </c>
      <c r="BD22" t="s">
        <v>332</v>
      </c>
      <c r="BE22" t="s">
        <v>262</v>
      </c>
      <c r="BF22" t="s">
        <v>266</v>
      </c>
      <c r="BG22" t="s">
        <v>267</v>
      </c>
      <c r="BH22" t="s">
        <v>1122</v>
      </c>
      <c r="BI22" t="s">
        <v>578</v>
      </c>
      <c r="BJ22" t="s">
        <v>138</v>
      </c>
      <c r="BK22" t="s">
        <v>1123</v>
      </c>
      <c r="BL22" t="s">
        <v>583</v>
      </c>
      <c r="BM22" t="s">
        <v>541</v>
      </c>
      <c r="BN22" t="s">
        <v>40</v>
      </c>
      <c r="BO22" t="s">
        <v>40</v>
      </c>
      <c r="BP22">
        <v>0.95</v>
      </c>
      <c r="BQ22">
        <v>-4.4000000000000004</v>
      </c>
      <c r="BR22">
        <v>-14.34</v>
      </c>
      <c r="BS22">
        <v>1.04</v>
      </c>
      <c r="BT22" t="s">
        <v>455</v>
      </c>
      <c r="BU22" t="s">
        <v>379</v>
      </c>
      <c r="BV22">
        <v>-5.23</v>
      </c>
      <c r="BW22">
        <v>-17.059999999999999</v>
      </c>
      <c r="BX22">
        <v>-5.65</v>
      </c>
      <c r="BY22">
        <v>-3.75</v>
      </c>
      <c r="BZ22">
        <v>-11.64</v>
      </c>
      <c r="CA22">
        <v>0.65</v>
      </c>
      <c r="CB22">
        <v>0.55000000000000004</v>
      </c>
      <c r="CC22">
        <v>-21.46</v>
      </c>
      <c r="CD22" t="s">
        <v>1124</v>
      </c>
      <c r="CE22" t="s">
        <v>759</v>
      </c>
      <c r="CF22" s="9">
        <v>-0.43356643356643354</v>
      </c>
      <c r="CG22" s="10">
        <v>-1.2077245267857142</v>
      </c>
      <c r="CH22" s="9">
        <v>1.2603304386138916</v>
      </c>
      <c r="CI22" s="9">
        <v>-0.20088060200214386</v>
      </c>
      <c r="CJ22" s="9">
        <v>-8.7287900969386101E-3</v>
      </c>
      <c r="CK22" s="9">
        <v>-0.24036470055580139</v>
      </c>
      <c r="CL22" s="9">
        <v>-8.2858271896839142E-2</v>
      </c>
      <c r="CM22" s="10">
        <v>5.047297477722168</v>
      </c>
      <c r="CN22" s="10">
        <v>-13.895693778991699</v>
      </c>
      <c r="CO22" s="10">
        <v>1.0369025468826294</v>
      </c>
      <c r="CP22" s="10">
        <v>-0.29583331942558289</v>
      </c>
      <c r="CQ22" s="10">
        <v>-10.54118824005127</v>
      </c>
      <c r="CR22">
        <v>-98.582758500975231</v>
      </c>
      <c r="CS22">
        <v>-6.7754652565960471</v>
      </c>
      <c r="CT22">
        <v>0</v>
      </c>
      <c r="CU22" s="9">
        <v>0.14549961481243373</v>
      </c>
      <c r="CV22" s="10">
        <v>-3.7297030627727508</v>
      </c>
      <c r="CW22">
        <v>0.06</v>
      </c>
      <c r="CX22">
        <v>4.9484151705406445</v>
      </c>
      <c r="CY22">
        <v>647315348.37042236</v>
      </c>
      <c r="CZ22">
        <v>0.14549961481243373</v>
      </c>
      <c r="DA22">
        <v>1.5433205645956714</v>
      </c>
      <c r="DB22">
        <v>2075515070.2208068</v>
      </c>
      <c r="DC22">
        <v>0.13822463407181204</v>
      </c>
      <c r="DD22">
        <v>0.71283796819712308</v>
      </c>
      <c r="DE22">
        <v>4493566887.4391584</v>
      </c>
      <c r="DF22">
        <v>0.12803966103494169</v>
      </c>
      <c r="DG22">
        <v>0.39767249748771388</v>
      </c>
      <c r="DH22">
        <v>8054831828.2909737</v>
      </c>
      <c r="DI22">
        <v>0.11639969184994699</v>
      </c>
      <c r="DJ22">
        <v>0.17369212458725775</v>
      </c>
      <c r="DK22">
        <v>18441740508.452446</v>
      </c>
      <c r="DL22">
        <v>0.10184973036870361</v>
      </c>
      <c r="DM22">
        <v>599000000</v>
      </c>
      <c r="DN22">
        <v>0.14549961481243373</v>
      </c>
      <c r="DO22">
        <v>3203185090</v>
      </c>
      <c r="DP22">
        <v>-2293681740</v>
      </c>
      <c r="DQ22">
        <v>3271</v>
      </c>
      <c r="DR22">
        <v>-0.57906604837886722</v>
      </c>
      <c r="DS22">
        <v>2.5219785359870368</v>
      </c>
      <c r="DT22" s="11">
        <v>-0.37333333333333335</v>
      </c>
      <c r="DU22">
        <v>-2.1983333333333337</v>
      </c>
      <c r="DV22">
        <v>-2.5716666666666672</v>
      </c>
      <c r="DW22">
        <v>-3.06175</v>
      </c>
      <c r="DX22">
        <v>0.31524043715846828</v>
      </c>
      <c r="DY22">
        <v>-3.0052635969945354</v>
      </c>
      <c r="DZ22">
        <v>1441</v>
      </c>
      <c r="EA22">
        <v>-3.0037792832432388</v>
      </c>
      <c r="EB22">
        <v>3</v>
      </c>
      <c r="EC22">
        <v>5.4833997007840356E-2</v>
      </c>
      <c r="ED22">
        <v>0.6432862011946141</v>
      </c>
      <c r="EE22" s="12">
        <v>4.0613999999999999</v>
      </c>
      <c r="EF22">
        <v>4.0495000000000001</v>
      </c>
      <c r="EG22">
        <v>23.085240437158468</v>
      </c>
      <c r="EH22" t="s">
        <v>592</v>
      </c>
      <c r="EI22">
        <v>0</v>
      </c>
      <c r="EJ22">
        <v>1</v>
      </c>
      <c r="EK22" s="8">
        <v>45470</v>
      </c>
      <c r="EL22" s="13">
        <v>-0.15</v>
      </c>
      <c r="EM22" s="13">
        <v>-3.23</v>
      </c>
      <c r="EN22" s="13">
        <v>1.0900000000000001</v>
      </c>
      <c r="EO22" s="13">
        <v>4.01</v>
      </c>
      <c r="EP22" s="13">
        <v>-1.19</v>
      </c>
    </row>
    <row r="23" spans="1:146" ht="96" x14ac:dyDescent="0.25">
      <c r="A23" s="14"/>
      <c r="B23" s="14"/>
      <c r="C23" s="14" t="str">
        <f>""&amp;CHAR(10)&amp;Basic_Fundamental_Information_Constructure(F23)&amp;CHAR(10)&amp;Basic_Fundamental_Information_Concatenate("")</f>
        <v xml:space="preserve">
市值63.594905亿, 利润-2.74亿; PE17.1; 平均PE11.48; 平均PEG4.18, PB.677; ROIC3.1333%; ROE3.36%; 股利率1.1152%; 毛利29.0267%; 净利17.6233%; 上一年度营收增9.72%, 利润增-183.54%; 当季营收增104.32%, 利润增143.9%; 过往5年营收增2.75%, 利润增-51.09%
Income profile:
</v>
      </c>
      <c r="D23" t="s">
        <v>268</v>
      </c>
      <c r="E23" t="s">
        <v>269</v>
      </c>
      <c r="F23">
        <v>2.69</v>
      </c>
      <c r="G23">
        <v>-2.89</v>
      </c>
      <c r="H23" t="s">
        <v>605</v>
      </c>
      <c r="I23">
        <v>6359490500</v>
      </c>
      <c r="J23">
        <v>17.100000000000001</v>
      </c>
      <c r="K23">
        <v>0.67700000000000005</v>
      </c>
      <c r="L23" t="s">
        <v>39</v>
      </c>
      <c r="M23" t="s">
        <v>547</v>
      </c>
      <c r="N23" t="s">
        <v>548</v>
      </c>
      <c r="O23" t="s">
        <v>549</v>
      </c>
      <c r="P23">
        <v>127.52</v>
      </c>
      <c r="Q23" t="s">
        <v>550</v>
      </c>
      <c r="R23">
        <v>280069110</v>
      </c>
      <c r="S23" s="5">
        <v>1.7649999999999999</v>
      </c>
      <c r="T23" t="s">
        <v>551</v>
      </c>
      <c r="U23">
        <v>1563316400</v>
      </c>
      <c r="V23">
        <v>2364122900</v>
      </c>
      <c r="W23">
        <v>1.92</v>
      </c>
      <c r="X23">
        <v>0.16</v>
      </c>
      <c r="Y23">
        <v>9.9499999999999993</v>
      </c>
      <c r="Z23" t="s">
        <v>552</v>
      </c>
      <c r="AA23" t="s">
        <v>553</v>
      </c>
      <c r="AB23" t="s">
        <v>554</v>
      </c>
      <c r="AC23" t="s">
        <v>465</v>
      </c>
      <c r="AD23" t="s">
        <v>555</v>
      </c>
      <c r="AE23">
        <v>112114262</v>
      </c>
      <c r="AF23" t="s">
        <v>556</v>
      </c>
      <c r="AG23" t="s">
        <v>557</v>
      </c>
      <c r="AH23" t="s">
        <v>558</v>
      </c>
      <c r="AI23" t="s">
        <v>559</v>
      </c>
      <c r="AJ23" t="s">
        <v>560</v>
      </c>
      <c r="AK23" t="s">
        <v>40</v>
      </c>
      <c r="AL23" t="s">
        <v>561</v>
      </c>
      <c r="AM23" t="s">
        <v>40</v>
      </c>
      <c r="AN23" t="s">
        <v>562</v>
      </c>
      <c r="AO23" t="s">
        <v>563</v>
      </c>
      <c r="AP23" t="s">
        <v>40</v>
      </c>
      <c r="AQ23" t="s">
        <v>183</v>
      </c>
      <c r="AR23" t="s">
        <v>564</v>
      </c>
      <c r="AS23" t="s">
        <v>565</v>
      </c>
      <c r="AT23" t="s">
        <v>566</v>
      </c>
      <c r="AU23" t="s">
        <v>567</v>
      </c>
      <c r="AV23" t="s">
        <v>568</v>
      </c>
      <c r="AW23" t="s">
        <v>569</v>
      </c>
      <c r="AX23" t="s">
        <v>570</v>
      </c>
      <c r="AY23" t="s">
        <v>571</v>
      </c>
      <c r="AZ23" t="s">
        <v>272</v>
      </c>
      <c r="BA23" t="s">
        <v>273</v>
      </c>
      <c r="BB23" t="s">
        <v>274</v>
      </c>
      <c r="BC23" t="s">
        <v>290</v>
      </c>
      <c r="BD23" t="s">
        <v>270</v>
      </c>
      <c r="BE23" t="s">
        <v>263</v>
      </c>
      <c r="BF23" t="s">
        <v>275</v>
      </c>
      <c r="BG23" t="s">
        <v>276</v>
      </c>
      <c r="BH23" t="s">
        <v>572</v>
      </c>
      <c r="BI23" t="s">
        <v>573</v>
      </c>
      <c r="BJ23" t="s">
        <v>456</v>
      </c>
      <c r="BK23" t="s">
        <v>378</v>
      </c>
      <c r="BL23" t="s">
        <v>574</v>
      </c>
      <c r="BM23" t="s">
        <v>469</v>
      </c>
      <c r="BN23">
        <v>0.96</v>
      </c>
      <c r="BO23">
        <v>3.57</v>
      </c>
      <c r="BP23">
        <v>4.87</v>
      </c>
      <c r="BQ23">
        <v>1.01</v>
      </c>
      <c r="BR23">
        <v>3.36</v>
      </c>
      <c r="BS23">
        <v>5.71</v>
      </c>
      <c r="BT23" t="s">
        <v>575</v>
      </c>
      <c r="BU23" t="s">
        <v>379</v>
      </c>
      <c r="BV23">
        <v>24.03</v>
      </c>
      <c r="BW23">
        <v>31.53</v>
      </c>
      <c r="BX23">
        <v>31.52</v>
      </c>
      <c r="BY23">
        <v>12.24</v>
      </c>
      <c r="BZ23">
        <v>17.559999999999999</v>
      </c>
      <c r="CA23">
        <v>23.07</v>
      </c>
      <c r="CB23">
        <v>-10.93</v>
      </c>
      <c r="CC23">
        <v>-11.51</v>
      </c>
      <c r="CD23" t="s">
        <v>606</v>
      </c>
      <c r="CE23" t="s">
        <v>607</v>
      </c>
      <c r="CF23" s="9">
        <v>1.043177892918826</v>
      </c>
      <c r="CG23" s="10">
        <v>1.4390006432748539</v>
      </c>
      <c r="CH23" s="9">
        <v>9.7164079546928406E-2</v>
      </c>
      <c r="CI23" s="9">
        <v>-0.12985433638095856</v>
      </c>
      <c r="CJ23" s="9">
        <v>-0.32031893730163574</v>
      </c>
      <c r="CK23" s="9">
        <v>6.8135097622871399E-2</v>
      </c>
      <c r="CL23" s="9">
        <v>0.42230582237243652</v>
      </c>
      <c r="CM23" s="10">
        <v>-1.835365891456604</v>
      </c>
      <c r="CN23" s="10">
        <v>-0.3869158923625946</v>
      </c>
      <c r="CO23" s="10">
        <v>-0.45463812351226807</v>
      </c>
      <c r="CP23" s="10">
        <v>0.11224489659070969</v>
      </c>
      <c r="CQ23" s="10">
        <v>1.0309278033673763E-2</v>
      </c>
      <c r="CR23">
        <v>11.475772330827068</v>
      </c>
      <c r="CS23">
        <v>4.1750812117964617</v>
      </c>
      <c r="CT23">
        <v>1.1152416356877324</v>
      </c>
      <c r="CU23" s="9">
        <v>2.7486345171928404E-2</v>
      </c>
      <c r="CV23" s="10">
        <v>-0.51087314654141669</v>
      </c>
      <c r="CW23">
        <v>0.06</v>
      </c>
      <c r="CX23" t="e">
        <v>#VALUE!</v>
      </c>
      <c r="CY23" t="s">
        <v>385</v>
      </c>
      <c r="CZ23">
        <v>2.7486345171928404E-2</v>
      </c>
      <c r="DA23" t="e">
        <v>#VALUE!</v>
      </c>
      <c r="DB23" t="s">
        <v>385</v>
      </c>
      <c r="DC23">
        <v>2.6112027913331982E-2</v>
      </c>
      <c r="DD23" t="e">
        <v>#VALUE!</v>
      </c>
      <c r="DE23" t="s">
        <v>385</v>
      </c>
      <c r="DF23">
        <v>2.4187983751296997E-2</v>
      </c>
      <c r="DG23" t="e">
        <v>#VALUE!</v>
      </c>
      <c r="DH23" t="s">
        <v>385</v>
      </c>
      <c r="DI23">
        <v>2.1989076137542723E-2</v>
      </c>
      <c r="DJ23" t="e">
        <v>#VALUE!</v>
      </c>
      <c r="DK23" t="s">
        <v>385</v>
      </c>
      <c r="DL23">
        <v>1.9240441620349883E-2</v>
      </c>
      <c r="DM23">
        <v>-274000000</v>
      </c>
      <c r="DN23">
        <v>2.7486345171928404E-2</v>
      </c>
      <c r="DO23">
        <v>5551490500</v>
      </c>
      <c r="DP23">
        <v>4209465100</v>
      </c>
      <c r="DQ23">
        <v>3317</v>
      </c>
      <c r="DR23">
        <v>1.0156915477468975</v>
      </c>
      <c r="DS23">
        <v>1.9498737898162706</v>
      </c>
      <c r="DT23" s="11">
        <v>-0.47333333333333338</v>
      </c>
      <c r="DU23">
        <v>-0.4333333333333334</v>
      </c>
      <c r="DV23">
        <v>-0.90666666666666673</v>
      </c>
      <c r="DW23">
        <v>-9.949609035621199</v>
      </c>
      <c r="DX23">
        <v>0.67586206896551604</v>
      </c>
      <c r="DY23">
        <v>-9.261961113274813</v>
      </c>
      <c r="DZ23">
        <v>3757</v>
      </c>
      <c r="EA23">
        <v>-9.0694360932095801</v>
      </c>
      <c r="EB23">
        <v>9</v>
      </c>
      <c r="EC23">
        <v>5.414270129526684E-2</v>
      </c>
      <c r="ED23">
        <v>0.19626729219534228</v>
      </c>
      <c r="EE23" s="12">
        <v>6.0999999999999999E-2</v>
      </c>
      <c r="EF23">
        <v>3.2099999999999997E-2</v>
      </c>
      <c r="EG23">
        <v>40.275862068965516</v>
      </c>
      <c r="EH23" t="s">
        <v>377</v>
      </c>
      <c r="EI23">
        <v>0</v>
      </c>
      <c r="EJ23">
        <v>0</v>
      </c>
      <c r="EK23" s="8">
        <v>45323</v>
      </c>
      <c r="EL23" s="13">
        <v>4.8600000000000003</v>
      </c>
      <c r="EM23" s="13">
        <v>0.66</v>
      </c>
      <c r="EN23" s="13">
        <v>-1.64</v>
      </c>
      <c r="EO23" s="13">
        <v>-3.34</v>
      </c>
      <c r="EP23" s="13">
        <v>-2.89</v>
      </c>
    </row>
    <row r="24" spans="1:146" ht="96" x14ac:dyDescent="0.25">
      <c r="A24" s="14"/>
      <c r="B24" s="14"/>
      <c r="C24" s="14" t="str">
        <f>""&amp;CHAR(10)&amp;Basic_Fundamental_Information_Constructure(F24)&amp;CHAR(10)&amp;Basic_Fundamental_Information_Concatenate("")</f>
        <v xml:space="preserve">
市值39.660767亿, 利润3785.12万; PE22.59; 平均PE16.44; 平均PEG4.7, PB1.02; ROIC6.0867%; ROE6.9267%; 股利率1.1544%; 毛利12.89%; 净利12.85%; 上一年度营收增-5.51%, 利润增-92.76%; 当季营收增14.53%, 利润增355.73%; 过往5年营收增-3.5%, 利润增29.73%
Income profile:
</v>
      </c>
      <c r="D24" t="s">
        <v>278</v>
      </c>
      <c r="E24" t="s">
        <v>279</v>
      </c>
      <c r="F24">
        <v>7.19</v>
      </c>
      <c r="G24">
        <v>1.7</v>
      </c>
      <c r="H24" t="s">
        <v>1125</v>
      </c>
      <c r="I24">
        <v>3966076700</v>
      </c>
      <c r="J24">
        <v>22.59</v>
      </c>
      <c r="K24">
        <v>1.02</v>
      </c>
      <c r="L24" t="s">
        <v>39</v>
      </c>
      <c r="M24" t="s">
        <v>1126</v>
      </c>
      <c r="N24" t="s">
        <v>1127</v>
      </c>
      <c r="O24" t="s">
        <v>487</v>
      </c>
      <c r="P24">
        <v>-1.93</v>
      </c>
      <c r="Q24" t="s">
        <v>1128</v>
      </c>
      <c r="R24">
        <v>39330666</v>
      </c>
      <c r="S24" s="5">
        <v>1.681</v>
      </c>
      <c r="T24" t="s">
        <v>1129</v>
      </c>
      <c r="U24">
        <v>390560080</v>
      </c>
      <c r="V24">
        <v>551610110</v>
      </c>
      <c r="W24">
        <v>1.22</v>
      </c>
      <c r="X24">
        <v>0.09</v>
      </c>
      <c r="Y24">
        <v>9.65</v>
      </c>
      <c r="Z24" t="s">
        <v>161</v>
      </c>
      <c r="AA24" t="s">
        <v>1130</v>
      </c>
      <c r="AB24" t="s">
        <v>1131</v>
      </c>
      <c r="AC24" t="s">
        <v>1132</v>
      </c>
      <c r="AD24" t="s">
        <v>40</v>
      </c>
      <c r="AE24">
        <v>-5409810</v>
      </c>
      <c r="AF24" t="s">
        <v>1133</v>
      </c>
      <c r="AG24" t="s">
        <v>1134</v>
      </c>
      <c r="AH24" t="s">
        <v>1135</v>
      </c>
      <c r="AI24" t="s">
        <v>1136</v>
      </c>
      <c r="AJ24" t="s">
        <v>1137</v>
      </c>
      <c r="AK24" t="s">
        <v>1138</v>
      </c>
      <c r="AL24" t="s">
        <v>1139</v>
      </c>
      <c r="AM24" t="s">
        <v>40</v>
      </c>
      <c r="AN24" t="s">
        <v>1140</v>
      </c>
      <c r="AO24" t="s">
        <v>1141</v>
      </c>
      <c r="AP24" t="s">
        <v>40</v>
      </c>
      <c r="AQ24" t="s">
        <v>1142</v>
      </c>
      <c r="AR24" t="s">
        <v>1143</v>
      </c>
      <c r="AS24" t="s">
        <v>1144</v>
      </c>
      <c r="AT24" t="s">
        <v>1145</v>
      </c>
      <c r="AU24" t="s">
        <v>1146</v>
      </c>
      <c r="AV24" t="s">
        <v>1147</v>
      </c>
      <c r="AW24" t="s">
        <v>1148</v>
      </c>
      <c r="AX24" t="s">
        <v>576</v>
      </c>
      <c r="AY24" t="s">
        <v>333</v>
      </c>
      <c r="AZ24" t="s">
        <v>162</v>
      </c>
      <c r="BA24" t="s">
        <v>280</v>
      </c>
      <c r="BB24" t="s">
        <v>281</v>
      </c>
      <c r="BC24" t="s">
        <v>577</v>
      </c>
      <c r="BD24" t="s">
        <v>334</v>
      </c>
      <c r="BE24" t="s">
        <v>163</v>
      </c>
      <c r="BF24" t="s">
        <v>282</v>
      </c>
      <c r="BG24" t="s">
        <v>282</v>
      </c>
      <c r="BH24" t="s">
        <v>1149</v>
      </c>
      <c r="BI24" t="s">
        <v>308</v>
      </c>
      <c r="BJ24" t="s">
        <v>576</v>
      </c>
      <c r="BK24" t="s">
        <v>375</v>
      </c>
      <c r="BL24" t="s">
        <v>1150</v>
      </c>
      <c r="BM24" t="s">
        <v>577</v>
      </c>
      <c r="BN24">
        <v>2.7</v>
      </c>
      <c r="BO24">
        <v>12.08</v>
      </c>
      <c r="BP24">
        <v>3.48</v>
      </c>
      <c r="BQ24">
        <v>3.01</v>
      </c>
      <c r="BR24">
        <v>14.1</v>
      </c>
      <c r="BS24">
        <v>3.67</v>
      </c>
      <c r="BT24" t="s">
        <v>1151</v>
      </c>
      <c r="BU24" t="s">
        <v>379</v>
      </c>
      <c r="BV24">
        <v>17.46</v>
      </c>
      <c r="BW24">
        <v>7.09</v>
      </c>
      <c r="BX24">
        <v>14.12</v>
      </c>
      <c r="BY24">
        <v>8.64</v>
      </c>
      <c r="BZ24">
        <v>24.5</v>
      </c>
      <c r="CA24">
        <v>5.41</v>
      </c>
      <c r="CB24">
        <v>1.55</v>
      </c>
      <c r="CC24">
        <v>-10.57</v>
      </c>
      <c r="CD24" t="s">
        <v>1152</v>
      </c>
      <c r="CE24" t="s">
        <v>1153</v>
      </c>
      <c r="CF24" s="9">
        <v>0.1453201970443353</v>
      </c>
      <c r="CG24" s="10">
        <v>3.557277095429749</v>
      </c>
      <c r="CH24" s="9">
        <v>-5.5076658725738525E-2</v>
      </c>
      <c r="CI24" s="9">
        <v>-0.23093923926353455</v>
      </c>
      <c r="CJ24" s="9">
        <v>1.9526848569512367E-2</v>
      </c>
      <c r="CK24" s="9">
        <v>4.5543774962425232E-2</v>
      </c>
      <c r="CL24" s="9">
        <v>4.5995891094207764E-2</v>
      </c>
      <c r="CM24" s="10">
        <v>-0.92762678861618042</v>
      </c>
      <c r="CN24" s="10">
        <v>2.9923663139343262</v>
      </c>
      <c r="CO24" s="10">
        <v>-0.40990990400314331</v>
      </c>
      <c r="CP24" s="10">
        <v>-0.16853933036327362</v>
      </c>
      <c r="CQ24" s="10">
        <v>0</v>
      </c>
      <c r="CR24">
        <v>16.435708448492495</v>
      </c>
      <c r="CS24">
        <v>4.6972753297387388</v>
      </c>
      <c r="CT24">
        <v>1.1543810848400555</v>
      </c>
      <c r="CU24" s="9">
        <v>-3.4989876672625542E-2</v>
      </c>
      <c r="CV24" s="10">
        <v>0.29725805819034579</v>
      </c>
      <c r="CW24">
        <v>0.06</v>
      </c>
      <c r="CX24">
        <v>20.186326985670192</v>
      </c>
      <c r="CY24" t="s">
        <v>1154</v>
      </c>
      <c r="CZ24">
        <v>-3.4989876672625542E-2</v>
      </c>
      <c r="DA24">
        <v>6.7287756618900634</v>
      </c>
      <c r="DB24" t="s">
        <v>1155</v>
      </c>
      <c r="DC24">
        <v>-3.3240382838994262E-2</v>
      </c>
      <c r="DD24">
        <v>3.3643878309450317</v>
      </c>
      <c r="DE24" t="s">
        <v>1156</v>
      </c>
      <c r="DF24">
        <v>-3.0791091471910476E-2</v>
      </c>
      <c r="DG24">
        <v>2.0186326985670191</v>
      </c>
      <c r="DH24" t="s">
        <v>1157</v>
      </c>
      <c r="DI24">
        <v>-2.7991901338100436E-2</v>
      </c>
      <c r="DJ24">
        <v>1.0093163492835096</v>
      </c>
      <c r="DK24" t="s">
        <v>1158</v>
      </c>
      <c r="DL24">
        <v>-2.4492913670837876E-2</v>
      </c>
      <c r="DM24">
        <v>37851200</v>
      </c>
      <c r="DN24">
        <v>-3.4989876672625542E-2</v>
      </c>
      <c r="DO24">
        <v>764076699.99999952</v>
      </c>
      <c r="DP24">
        <v>1522606400</v>
      </c>
      <c r="DQ24">
        <v>3348</v>
      </c>
      <c r="DR24">
        <v>0.18031007371696084</v>
      </c>
      <c r="DS24">
        <v>3.2600190372394033</v>
      </c>
      <c r="DT24" s="11">
        <v>-0.59</v>
      </c>
      <c r="DU24">
        <v>-4.666666666666671E-2</v>
      </c>
      <c r="DV24">
        <v>-0.63666666666666671</v>
      </c>
      <c r="DW24">
        <v>-2.1057000000000001</v>
      </c>
      <c r="DX24">
        <v>0.33532530489360735</v>
      </c>
      <c r="DY24">
        <v>-2.0132468847272542</v>
      </c>
      <c r="DZ24">
        <v>3965</v>
      </c>
      <c r="EA24">
        <v>-2.0029682354232303</v>
      </c>
      <c r="EB24">
        <v>2</v>
      </c>
      <c r="EC24">
        <v>1.2466776578841165E-2</v>
      </c>
      <c r="ED24">
        <v>9.9475334126852749E-2</v>
      </c>
      <c r="EE24" s="12">
        <v>2.0163000000000002</v>
      </c>
      <c r="EF24">
        <v>2.0070100000000002</v>
      </c>
      <c r="EG24">
        <v>21.125325304893607</v>
      </c>
      <c r="EH24" t="s">
        <v>374</v>
      </c>
      <c r="EI24">
        <v>0</v>
      </c>
      <c r="EJ24">
        <v>0</v>
      </c>
      <c r="EK24" s="8">
        <v>45470</v>
      </c>
      <c r="EL24" s="13">
        <v>0.56999999999999995</v>
      </c>
      <c r="EM24" s="13">
        <v>-4.8600000000000003</v>
      </c>
      <c r="EN24" s="13">
        <v>3</v>
      </c>
      <c r="EO24" s="13">
        <v>0.28999999999999998</v>
      </c>
      <c r="EP24" s="13">
        <v>-2.33</v>
      </c>
    </row>
    <row r="25" spans="1:146" ht="96" x14ac:dyDescent="0.25">
      <c r="A25" s="14"/>
      <c r="B25" s="14"/>
      <c r="C25" s="14" t="str">
        <f>""&amp;CHAR(10)&amp;Basic_Fundamental_Information_Constructure(F25)&amp;CHAR(10)&amp;Basic_Fundamental_Information_Concatenate("")</f>
        <v xml:space="preserve">
市值31.411729亿, 利润10.00亿; PE48.31; 平均PE14.27; 平均PEG.01, PB1.85; ROIC3.7733%; ROE4.2833%; 股利率.7903%; 毛利31.75%; 净利21.1967%; 上一年度营收增6407.58%, 利润增1269.5%; 当季营收增-97.95%, 利润增-94.31%; 过往5年营收增1268.9%, 利润增276.39%
Income profile:
</v>
      </c>
      <c r="D25" t="s">
        <v>283</v>
      </c>
      <c r="E25" t="s">
        <v>284</v>
      </c>
      <c r="F25">
        <v>6.58</v>
      </c>
      <c r="G25">
        <v>1.08</v>
      </c>
      <c r="H25" t="s">
        <v>1159</v>
      </c>
      <c r="I25">
        <v>3141172900</v>
      </c>
      <c r="J25">
        <v>48.31</v>
      </c>
      <c r="K25">
        <v>1.85</v>
      </c>
      <c r="L25" t="s">
        <v>39</v>
      </c>
      <c r="M25" t="s">
        <v>1160</v>
      </c>
      <c r="N25" t="s">
        <v>1161</v>
      </c>
      <c r="O25" t="s">
        <v>1162</v>
      </c>
      <c r="P25">
        <v>16.739999999999998</v>
      </c>
      <c r="Q25" t="s">
        <v>1163</v>
      </c>
      <c r="R25">
        <v>13152021</v>
      </c>
      <c r="S25" s="5">
        <v>-0.23369999999999999</v>
      </c>
      <c r="T25" t="s">
        <v>1164</v>
      </c>
      <c r="U25">
        <v>477381910</v>
      </c>
      <c r="V25">
        <v>477381910</v>
      </c>
      <c r="W25">
        <v>1.38</v>
      </c>
      <c r="X25">
        <v>0.04</v>
      </c>
      <c r="Y25">
        <v>15.51</v>
      </c>
      <c r="Z25" t="s">
        <v>1165</v>
      </c>
      <c r="AA25" t="s">
        <v>1166</v>
      </c>
      <c r="AB25" t="s">
        <v>1167</v>
      </c>
      <c r="AC25" t="s">
        <v>1168</v>
      </c>
      <c r="AD25" t="s">
        <v>40</v>
      </c>
      <c r="AE25">
        <v>2626464</v>
      </c>
      <c r="AF25" t="s">
        <v>1169</v>
      </c>
      <c r="AG25" t="s">
        <v>1170</v>
      </c>
      <c r="AH25" t="s">
        <v>1171</v>
      </c>
      <c r="AI25" t="s">
        <v>473</v>
      </c>
      <c r="AJ25" t="s">
        <v>1172</v>
      </c>
      <c r="AK25" t="s">
        <v>40</v>
      </c>
      <c r="AL25" t="s">
        <v>1173</v>
      </c>
      <c r="AM25" t="s">
        <v>40</v>
      </c>
      <c r="AN25">
        <v>0</v>
      </c>
      <c r="AO25" t="s">
        <v>73</v>
      </c>
      <c r="AP25" t="s">
        <v>40</v>
      </c>
      <c r="AQ25" t="s">
        <v>1174</v>
      </c>
      <c r="AR25" t="s">
        <v>790</v>
      </c>
      <c r="AS25" t="s">
        <v>1175</v>
      </c>
      <c r="AT25" t="s">
        <v>1176</v>
      </c>
      <c r="AU25" t="s">
        <v>1177</v>
      </c>
      <c r="AV25" t="s">
        <v>1178</v>
      </c>
      <c r="AW25" t="s">
        <v>1179</v>
      </c>
      <c r="AX25" t="s">
        <v>580</v>
      </c>
      <c r="AY25" t="s">
        <v>243</v>
      </c>
      <c r="AZ25" t="s">
        <v>204</v>
      </c>
      <c r="BA25" t="s">
        <v>286</v>
      </c>
      <c r="BB25" t="s">
        <v>287</v>
      </c>
      <c r="BC25" t="s">
        <v>1180</v>
      </c>
      <c r="BD25" t="s">
        <v>335</v>
      </c>
      <c r="BE25" t="s">
        <v>285</v>
      </c>
      <c r="BF25" t="s">
        <v>288</v>
      </c>
      <c r="BG25" t="s">
        <v>289</v>
      </c>
      <c r="BH25" t="s">
        <v>201</v>
      </c>
      <c r="BI25" t="s">
        <v>1181</v>
      </c>
      <c r="BJ25" t="s">
        <v>580</v>
      </c>
      <c r="BK25" t="s">
        <v>1182</v>
      </c>
      <c r="BL25" t="s">
        <v>485</v>
      </c>
      <c r="BM25" t="s">
        <v>1180</v>
      </c>
      <c r="BN25">
        <v>3.57</v>
      </c>
      <c r="BO25">
        <v>4.3099999999999996</v>
      </c>
      <c r="BP25">
        <v>3.44</v>
      </c>
      <c r="BQ25">
        <v>3.72</v>
      </c>
      <c r="BR25">
        <v>4.49</v>
      </c>
      <c r="BS25">
        <v>4.6399999999999997</v>
      </c>
      <c r="BT25" t="s">
        <v>1183</v>
      </c>
      <c r="BU25" t="s">
        <v>379</v>
      </c>
      <c r="BV25">
        <v>32.58</v>
      </c>
      <c r="BW25">
        <v>33.22</v>
      </c>
      <c r="BX25">
        <v>29.45</v>
      </c>
      <c r="BY25">
        <v>18.46</v>
      </c>
      <c r="BZ25">
        <v>22.49</v>
      </c>
      <c r="CA25">
        <v>22.64</v>
      </c>
      <c r="CB25">
        <v>0.61</v>
      </c>
      <c r="CC25">
        <v>-6.27</v>
      </c>
      <c r="CD25" t="s">
        <v>1184</v>
      </c>
      <c r="CE25" t="s">
        <v>1185</v>
      </c>
      <c r="CF25" s="9">
        <v>-0.97953322317691116</v>
      </c>
      <c r="CG25" s="10">
        <v>-0.94306484415584413</v>
      </c>
      <c r="CH25" s="9">
        <v>64.0758056640625</v>
      </c>
      <c r="CI25" s="9">
        <v>-1.4367816038429737E-2</v>
      </c>
      <c r="CJ25" s="9">
        <v>0.15614618360996246</v>
      </c>
      <c r="CK25" s="9">
        <v>-0.54324734210968018</v>
      </c>
      <c r="CL25" s="9">
        <v>-0.22923976182937622</v>
      </c>
      <c r="CM25" s="10">
        <v>12.695010185241699</v>
      </c>
      <c r="CN25" s="10">
        <v>8.708517998456955E-3</v>
      </c>
      <c r="CO25" s="10">
        <v>-1.9390437752008438E-2</v>
      </c>
      <c r="CP25" s="10">
        <v>8.3088859915733337E-2</v>
      </c>
      <c r="CQ25" s="10">
        <v>1.0522910356521606</v>
      </c>
      <c r="CR25">
        <v>14.271614786051146</v>
      </c>
      <c r="CS25">
        <v>1.1247216473099371E-2</v>
      </c>
      <c r="CT25">
        <v>0.79027355623100304</v>
      </c>
      <c r="CU25" s="9">
        <v>12.689019385538995</v>
      </c>
      <c r="CV25" s="10">
        <v>2.7639416322112083</v>
      </c>
      <c r="CW25">
        <v>0.06</v>
      </c>
      <c r="CX25">
        <v>0.1715304221484632</v>
      </c>
      <c r="CY25">
        <v>12914169231.64056</v>
      </c>
      <c r="CZ25">
        <v>12.689019385538995</v>
      </c>
      <c r="DA25">
        <v>1.0901652505157283E-3</v>
      </c>
      <c r="DB25">
        <v>2031960658214.0278</v>
      </c>
      <c r="DC25">
        <v>12.054568416262045</v>
      </c>
      <c r="DD25">
        <v>8.8449412387896665E-7</v>
      </c>
      <c r="DE25">
        <v>2504451799278569.5</v>
      </c>
      <c r="DF25">
        <v>11.166337059274316</v>
      </c>
      <c r="DG25">
        <v>1.2074397347939312E-10</v>
      </c>
      <c r="DH25">
        <v>1.8346032817762572E+19</v>
      </c>
      <c r="DI25">
        <v>10.151215508431196</v>
      </c>
      <c r="DJ25">
        <v>8.036671046634016E-20</v>
      </c>
      <c r="DK25">
        <v>2.7563314301980506E+28</v>
      </c>
      <c r="DL25">
        <v>8.8823135698772955</v>
      </c>
      <c r="DM25">
        <v>1000000000</v>
      </c>
      <c r="DN25">
        <v>12.689019385538995</v>
      </c>
      <c r="DO25">
        <v>2215172900</v>
      </c>
      <c r="DP25">
        <v>-143692600</v>
      </c>
      <c r="DQ25">
        <v>3504</v>
      </c>
      <c r="DR25">
        <v>-13.668552608715906</v>
      </c>
      <c r="DS25">
        <v>-3.7070064763670523</v>
      </c>
      <c r="DT25" s="11">
        <v>-0.2233333333333333</v>
      </c>
      <c r="DU25">
        <v>5.9999999999999977E-2</v>
      </c>
      <c r="DV25">
        <v>-0.16333333333333333</v>
      </c>
      <c r="DW25">
        <v>-2.0627</v>
      </c>
      <c r="DX25">
        <v>0.4401096388325868</v>
      </c>
      <c r="DY25">
        <v>-2.0056498743548028</v>
      </c>
      <c r="DZ25">
        <v>1299</v>
      </c>
      <c r="EA25">
        <v>-2.0042136342790906</v>
      </c>
      <c r="EB25">
        <v>2</v>
      </c>
      <c r="EC25">
        <v>7.9246823575698545E-3</v>
      </c>
      <c r="ED25">
        <v>8.7944890915535534E-2</v>
      </c>
      <c r="EE25" s="12">
        <v>1.0344</v>
      </c>
      <c r="EF25">
        <v>1.0277000000000001</v>
      </c>
      <c r="EG25">
        <v>35.090109638832587</v>
      </c>
      <c r="EH25" t="s">
        <v>380</v>
      </c>
      <c r="EI25">
        <v>0</v>
      </c>
      <c r="EJ25">
        <v>1</v>
      </c>
      <c r="EK25" s="8">
        <v>45470</v>
      </c>
      <c r="EL25" s="13">
        <v>0</v>
      </c>
      <c r="EM25" s="13">
        <v>-1.32</v>
      </c>
      <c r="EN25" s="13">
        <v>-1.43</v>
      </c>
      <c r="EO25" s="13">
        <v>1.74</v>
      </c>
      <c r="EP25" s="13">
        <v>-0.67</v>
      </c>
    </row>
    <row r="26" spans="1:146" ht="96" x14ac:dyDescent="0.25">
      <c r="A26" s="14"/>
      <c r="B26" s="14"/>
      <c r="C26" s="14" t="str">
        <f>""&amp;CHAR(10)&amp;Basic_Fundamental_Information_Constructure(F26)&amp;CHAR(10)&amp;Basic_Fundamental_Information_Concatenate("")</f>
        <v xml:space="preserve">
市值1309.81763亿, 利润5953.51万; PE11.57; 平均PE12.59; 平均PEG.63, PB.843; ROIC7.24%; ROE9.08%; 股利率5.2899%; 毛利20.8167%; 净利17.0667%; 上一年度营收增-97.61%, 利润增-99.47%; 当季营收增3697.92%, 利润增30551.24%; 过往5年营收增-20.02%, 利润增-24.33%
Income profile:
</v>
      </c>
      <c r="D26" t="s">
        <v>89</v>
      </c>
      <c r="E26" t="s">
        <v>20</v>
      </c>
      <c r="F26">
        <v>7.22</v>
      </c>
      <c r="G26">
        <v>-0.41</v>
      </c>
      <c r="H26" t="s">
        <v>1186</v>
      </c>
      <c r="I26">
        <v>130981763000</v>
      </c>
      <c r="J26">
        <v>11.57</v>
      </c>
      <c r="K26">
        <v>0.84299999999999997</v>
      </c>
      <c r="L26" t="s">
        <v>39</v>
      </c>
      <c r="M26" t="s">
        <v>1187</v>
      </c>
      <c r="N26" t="s">
        <v>1188</v>
      </c>
      <c r="O26" t="s">
        <v>1189</v>
      </c>
      <c r="P26">
        <v>-7.92</v>
      </c>
      <c r="Q26" t="s">
        <v>1190</v>
      </c>
      <c r="R26">
        <v>3046457000</v>
      </c>
      <c r="S26" s="5">
        <v>-0.16650000000000001</v>
      </c>
      <c r="T26" t="s">
        <v>1191</v>
      </c>
      <c r="U26">
        <v>18141518000</v>
      </c>
      <c r="V26">
        <v>18141518000</v>
      </c>
      <c r="W26">
        <v>1.26</v>
      </c>
      <c r="X26">
        <v>0.09</v>
      </c>
      <c r="Y26">
        <v>18.63</v>
      </c>
      <c r="Z26" t="s">
        <v>1192</v>
      </c>
      <c r="AA26" t="s">
        <v>1193</v>
      </c>
      <c r="AB26" t="s">
        <v>1194</v>
      </c>
      <c r="AC26" t="s">
        <v>526</v>
      </c>
      <c r="AD26" t="s">
        <v>40</v>
      </c>
      <c r="AE26">
        <v>-57894055</v>
      </c>
      <c r="AF26" t="s">
        <v>1195</v>
      </c>
      <c r="AG26" t="s">
        <v>1196</v>
      </c>
      <c r="AH26" t="s">
        <v>1197</v>
      </c>
      <c r="AI26" t="s">
        <v>1198</v>
      </c>
      <c r="AJ26" t="s">
        <v>1199</v>
      </c>
      <c r="AK26" t="s">
        <v>40</v>
      </c>
      <c r="AL26" t="s">
        <v>1200</v>
      </c>
      <c r="AM26" t="s">
        <v>40</v>
      </c>
      <c r="AN26" t="s">
        <v>1201</v>
      </c>
      <c r="AO26" t="s">
        <v>1202</v>
      </c>
      <c r="AP26" t="s">
        <v>1203</v>
      </c>
      <c r="AQ26" t="s">
        <v>1204</v>
      </c>
      <c r="AR26" t="s">
        <v>1205</v>
      </c>
      <c r="AS26" t="s">
        <v>1206</v>
      </c>
      <c r="AT26" t="s">
        <v>1207</v>
      </c>
      <c r="AU26" t="s">
        <v>1208</v>
      </c>
      <c r="AV26" t="s">
        <v>1209</v>
      </c>
      <c r="AW26" t="s">
        <v>1210</v>
      </c>
      <c r="AX26" t="s">
        <v>584</v>
      </c>
      <c r="AY26" t="s">
        <v>336</v>
      </c>
      <c r="AZ26" t="s">
        <v>338</v>
      </c>
      <c r="BA26" t="s">
        <v>90</v>
      </c>
      <c r="BB26" t="s">
        <v>194</v>
      </c>
      <c r="BC26" t="s">
        <v>585</v>
      </c>
      <c r="BD26" t="s">
        <v>337</v>
      </c>
      <c r="BE26" t="s">
        <v>339</v>
      </c>
      <c r="BF26" t="s">
        <v>91</v>
      </c>
      <c r="BG26" t="s">
        <v>195</v>
      </c>
      <c r="BH26" t="s">
        <v>1211</v>
      </c>
      <c r="BI26" t="s">
        <v>470</v>
      </c>
      <c r="BJ26" t="s">
        <v>584</v>
      </c>
      <c r="BK26" t="s">
        <v>1212</v>
      </c>
      <c r="BL26" t="s">
        <v>1213</v>
      </c>
      <c r="BM26" t="s">
        <v>585</v>
      </c>
      <c r="BN26">
        <v>6.69</v>
      </c>
      <c r="BO26">
        <v>7.15</v>
      </c>
      <c r="BP26">
        <v>7.88</v>
      </c>
      <c r="BQ26">
        <v>8.4</v>
      </c>
      <c r="BR26">
        <v>8.9</v>
      </c>
      <c r="BS26">
        <v>9.94</v>
      </c>
      <c r="BT26" t="s">
        <v>1214</v>
      </c>
      <c r="BU26" t="s">
        <v>376</v>
      </c>
      <c r="BV26">
        <v>20.66</v>
      </c>
      <c r="BW26">
        <v>19.96</v>
      </c>
      <c r="BX26">
        <v>21.83</v>
      </c>
      <c r="BY26">
        <v>16.73</v>
      </c>
      <c r="BZ26">
        <v>16.97</v>
      </c>
      <c r="CA26">
        <v>17.5</v>
      </c>
      <c r="CB26">
        <v>0.84</v>
      </c>
      <c r="CC26">
        <v>2.27</v>
      </c>
      <c r="CD26" t="s">
        <v>1215</v>
      </c>
      <c r="CE26" t="s">
        <v>1216</v>
      </c>
      <c r="CF26" s="9">
        <v>36.979209979209983</v>
      </c>
      <c r="CG26" s="10">
        <v>305.51236027406907</v>
      </c>
      <c r="CH26" s="9">
        <v>-0.97608178853988647</v>
      </c>
      <c r="CI26" s="9">
        <v>-3.7162188440561295E-2</v>
      </c>
      <c r="CJ26" s="9">
        <v>8.2834430038928986E-2</v>
      </c>
      <c r="CK26" s="9">
        <v>-9.0769171714782715E-2</v>
      </c>
      <c r="CL26" s="9">
        <v>2.006504125893116E-2</v>
      </c>
      <c r="CM26" s="10">
        <v>-0.9946824312210083</v>
      </c>
      <c r="CN26" s="10">
        <v>-8.0863632261753082E-2</v>
      </c>
      <c r="CO26" s="10">
        <v>0.13143229484558105</v>
      </c>
      <c r="CP26" s="10">
        <v>-0.21237838268280029</v>
      </c>
      <c r="CQ26" s="10">
        <v>-6.0162253677845001E-2</v>
      </c>
      <c r="CR26">
        <v>12.591265567792913</v>
      </c>
      <c r="CS26">
        <v>0.62886292796073162</v>
      </c>
      <c r="CT26">
        <v>5.289889196675901</v>
      </c>
      <c r="CU26" s="9">
        <v>-0.20022273547947406</v>
      </c>
      <c r="CV26" s="10">
        <v>-0.24333088099956512</v>
      </c>
      <c r="CW26">
        <v>0.06</v>
      </c>
      <c r="CX26">
        <v>320.83196299325942</v>
      </c>
      <c r="CY26" t="s">
        <v>1217</v>
      </c>
      <c r="CZ26">
        <v>-0.20022273547947406</v>
      </c>
      <c r="DA26">
        <v>106.94398766441981</v>
      </c>
      <c r="DB26" t="s">
        <v>1218</v>
      </c>
      <c r="DC26">
        <v>-0.19021159870550033</v>
      </c>
      <c r="DD26">
        <v>53.471993832209904</v>
      </c>
      <c r="DE26" t="s">
        <v>1219</v>
      </c>
      <c r="DF26">
        <v>-0.17619600722193718</v>
      </c>
      <c r="DG26">
        <v>32.083196299325941</v>
      </c>
      <c r="DH26" t="s">
        <v>1220</v>
      </c>
      <c r="DI26">
        <v>-0.16017818838357925</v>
      </c>
      <c r="DJ26">
        <v>16.04159814966297</v>
      </c>
      <c r="DK26" t="s">
        <v>1221</v>
      </c>
      <c r="DL26">
        <v>-0.14015591483563183</v>
      </c>
      <c r="DM26">
        <v>59535100</v>
      </c>
      <c r="DN26">
        <v>-0.20022273547947406</v>
      </c>
      <c r="DO26">
        <v>19100763000</v>
      </c>
      <c r="DP26">
        <v>68643947000</v>
      </c>
      <c r="DQ26">
        <v>3624</v>
      </c>
      <c r="DR26">
        <v>37.179432714689455</v>
      </c>
      <c r="DS26">
        <v>305.75569115506863</v>
      </c>
      <c r="DT26" s="11">
        <v>-0.77333333333333332</v>
      </c>
      <c r="DU26">
        <v>-0.67</v>
      </c>
      <c r="DV26">
        <v>-1.4433333333333334</v>
      </c>
      <c r="DW26">
        <v>2.2700000000000001E-2</v>
      </c>
      <c r="DX26">
        <v>0.35409465374639371</v>
      </c>
      <c r="DY26">
        <v>4.4059486400431121E-3</v>
      </c>
      <c r="DZ26">
        <v>4588</v>
      </c>
      <c r="EA26">
        <v>4.5007929356213395E-4</v>
      </c>
      <c r="EB26">
        <v>0</v>
      </c>
      <c r="EC26">
        <v>2.4639613950717905E-2</v>
      </c>
      <c r="ED26">
        <v>0.12694637791611485</v>
      </c>
      <c r="EE26" s="12">
        <v>-1.0925</v>
      </c>
      <c r="EF26">
        <v>-1.0732999999999999</v>
      </c>
      <c r="EG26">
        <v>16.194094653746394</v>
      </c>
      <c r="EH26" t="s">
        <v>383</v>
      </c>
      <c r="EI26">
        <v>0</v>
      </c>
      <c r="EJ26">
        <v>0</v>
      </c>
      <c r="EK26" s="8">
        <v>45470</v>
      </c>
      <c r="EL26" s="13">
        <v>0</v>
      </c>
      <c r="EM26" s="13">
        <v>-2.83</v>
      </c>
      <c r="EN26" s="13">
        <v>-0.97</v>
      </c>
      <c r="EO26" s="13">
        <v>1.96</v>
      </c>
      <c r="EP26" s="13">
        <v>-1.92</v>
      </c>
    </row>
    <row r="27" spans="1:146" ht="96" x14ac:dyDescent="0.25">
      <c r="A27" s="14"/>
      <c r="B27" s="14"/>
      <c r="C27" s="14" t="str">
        <f>""&amp;CHAR(10)&amp;Basic_Fundamental_Information_Constructure(F27)&amp;CHAR(10)&amp;Basic_Fundamental_Information_Concatenate("")</f>
        <v xml:space="preserve">
市值159.32493亿, 利润22.52亿; PE14.13; 平均PE13; 平均PEG1.75, PB.992; ROIC4.02%; ROE7.0933%; 股利率4.6065%; 毛利23.0333%; 净利13.47%; 上一年度营收增-38.41%, 利润增260.9%; 当季营收增12.65%, 利润增-20.76%; 过往5年营收增7.42%, 利润增72.28%
Income profile:
</v>
      </c>
      <c r="D27" t="s">
        <v>92</v>
      </c>
      <c r="E27" t="s">
        <v>16</v>
      </c>
      <c r="F27">
        <v>5.21</v>
      </c>
      <c r="G27">
        <v>-0.95</v>
      </c>
      <c r="H27" t="s">
        <v>1222</v>
      </c>
      <c r="I27">
        <v>15932493000</v>
      </c>
      <c r="J27">
        <v>14.13</v>
      </c>
      <c r="K27">
        <v>0.99199999999999999</v>
      </c>
      <c r="L27" t="s">
        <v>39</v>
      </c>
      <c r="M27" t="s">
        <v>1223</v>
      </c>
      <c r="N27" t="s">
        <v>1224</v>
      </c>
      <c r="O27" t="s">
        <v>1225</v>
      </c>
      <c r="P27">
        <v>-8.52</v>
      </c>
      <c r="Q27" t="s">
        <v>1226</v>
      </c>
      <c r="R27">
        <v>391428530</v>
      </c>
      <c r="S27" s="5">
        <v>-0.13200000000000001</v>
      </c>
      <c r="T27" t="s">
        <v>1227</v>
      </c>
      <c r="U27">
        <v>2162740000</v>
      </c>
      <c r="V27">
        <v>3058060000</v>
      </c>
      <c r="W27">
        <v>3.45</v>
      </c>
      <c r="X27">
        <v>0.03</v>
      </c>
      <c r="Y27">
        <v>20.2</v>
      </c>
      <c r="Z27" t="s">
        <v>1228</v>
      </c>
      <c r="AA27" t="s">
        <v>1229</v>
      </c>
      <c r="AB27" t="s">
        <v>1230</v>
      </c>
      <c r="AC27" t="s">
        <v>606</v>
      </c>
      <c r="AD27" t="s">
        <v>40</v>
      </c>
      <c r="AE27">
        <v>208296440</v>
      </c>
      <c r="AF27" t="s">
        <v>1231</v>
      </c>
      <c r="AG27" t="s">
        <v>1232</v>
      </c>
      <c r="AH27" t="s">
        <v>1233</v>
      </c>
      <c r="AI27" t="s">
        <v>1234</v>
      </c>
      <c r="AJ27" t="s">
        <v>1235</v>
      </c>
      <c r="AK27" t="s">
        <v>1236</v>
      </c>
      <c r="AL27" t="s">
        <v>1237</v>
      </c>
      <c r="AM27" t="s">
        <v>40</v>
      </c>
      <c r="AN27" t="s">
        <v>222</v>
      </c>
      <c r="AO27" t="s">
        <v>1238</v>
      </c>
      <c r="AP27" t="s">
        <v>40</v>
      </c>
      <c r="AQ27" t="s">
        <v>1239</v>
      </c>
      <c r="AR27" t="s">
        <v>40</v>
      </c>
      <c r="AS27" t="s">
        <v>1240</v>
      </c>
      <c r="AT27" t="s">
        <v>1241</v>
      </c>
      <c r="AU27" t="s">
        <v>159</v>
      </c>
      <c r="AV27" t="s">
        <v>1242</v>
      </c>
      <c r="AW27" t="s">
        <v>199</v>
      </c>
      <c r="AX27" t="s">
        <v>1243</v>
      </c>
      <c r="AY27" t="s">
        <v>340</v>
      </c>
      <c r="AZ27" t="s">
        <v>196</v>
      </c>
      <c r="BA27" t="s">
        <v>93</v>
      </c>
      <c r="BB27" t="s">
        <v>198</v>
      </c>
      <c r="BC27" t="s">
        <v>56</v>
      </c>
      <c r="BD27" t="s">
        <v>271</v>
      </c>
      <c r="BE27" t="s">
        <v>197</v>
      </c>
      <c r="BF27" t="s">
        <v>57</v>
      </c>
      <c r="BG27" t="s">
        <v>120</v>
      </c>
      <c r="BH27" t="s">
        <v>1244</v>
      </c>
      <c r="BI27" t="s">
        <v>1245</v>
      </c>
      <c r="BJ27" t="s">
        <v>1243</v>
      </c>
      <c r="BK27" t="s">
        <v>1246</v>
      </c>
      <c r="BL27" t="s">
        <v>1247</v>
      </c>
      <c r="BM27" t="s">
        <v>56</v>
      </c>
      <c r="BN27">
        <v>3.15</v>
      </c>
      <c r="BO27">
        <v>2.36</v>
      </c>
      <c r="BP27">
        <v>6.55</v>
      </c>
      <c r="BQ27">
        <v>5.56</v>
      </c>
      <c r="BR27">
        <v>4.37</v>
      </c>
      <c r="BS27">
        <v>11.35</v>
      </c>
      <c r="BT27" t="s">
        <v>1248</v>
      </c>
      <c r="BU27" t="s">
        <v>372</v>
      </c>
      <c r="BV27">
        <v>25.15</v>
      </c>
      <c r="BW27">
        <v>18.12</v>
      </c>
      <c r="BX27">
        <v>25.83</v>
      </c>
      <c r="BY27">
        <v>10.83</v>
      </c>
      <c r="BZ27">
        <v>8.19</v>
      </c>
      <c r="CA27">
        <v>21.39</v>
      </c>
      <c r="CB27">
        <v>-0.76</v>
      </c>
      <c r="CC27">
        <v>0</v>
      </c>
      <c r="CD27" t="s">
        <v>1249</v>
      </c>
      <c r="CE27" t="s">
        <v>826</v>
      </c>
      <c r="CF27" s="9">
        <v>0.12653975363941769</v>
      </c>
      <c r="CG27" s="10">
        <v>-0.20763455465587055</v>
      </c>
      <c r="CH27" s="9">
        <v>-0.38408467173576355</v>
      </c>
      <c r="CI27" s="9">
        <v>0.16338649392127991</v>
      </c>
      <c r="CJ27" s="9">
        <v>0.66605609655380249</v>
      </c>
      <c r="CK27" s="9">
        <v>-0.14809615910053253</v>
      </c>
      <c r="CL27" s="9">
        <v>7.3546670377254486E-2</v>
      </c>
      <c r="CM27" s="10">
        <v>2.6089744567871094</v>
      </c>
      <c r="CN27" s="10">
        <v>-0.66613161563873291</v>
      </c>
      <c r="CO27" s="10">
        <v>1.7729971408843994</v>
      </c>
      <c r="CP27" s="10">
        <v>-0.37765470147132874</v>
      </c>
      <c r="CQ27" s="10">
        <v>0.27561846375465393</v>
      </c>
      <c r="CR27">
        <v>13.00434743572303</v>
      </c>
      <c r="CS27">
        <v>1.7535129170553747</v>
      </c>
      <c r="CT27">
        <v>4.6065259117082533</v>
      </c>
      <c r="CU27" s="9">
        <v>7.416168600320816E-2</v>
      </c>
      <c r="CV27" s="10">
        <v>0.72276074886322017</v>
      </c>
      <c r="CW27">
        <v>0.06</v>
      </c>
      <c r="CX27">
        <v>17.454853692288516</v>
      </c>
      <c r="CY27">
        <v>2282086902.7162499</v>
      </c>
      <c r="CZ27">
        <v>7.416168600320816E-2</v>
      </c>
      <c r="DA27">
        <v>5.7812379363357689</v>
      </c>
      <c r="DB27">
        <v>6890132085.6631336</v>
      </c>
      <c r="DC27">
        <v>7.045360170304775E-2</v>
      </c>
      <c r="DD27">
        <v>2.897249012817404</v>
      </c>
      <c r="DE27">
        <v>13748729509.882299</v>
      </c>
      <c r="DF27">
        <v>6.5262283682823177E-2</v>
      </c>
      <c r="DG27">
        <v>1.7749700166442777</v>
      </c>
      <c r="DH27">
        <v>22441783594.35524</v>
      </c>
      <c r="DI27">
        <v>5.9329348802566531E-2</v>
      </c>
      <c r="DJ27">
        <v>0.95752318990393059</v>
      </c>
      <c r="DK27">
        <v>41600551735.980972</v>
      </c>
      <c r="DL27">
        <v>5.191318020224571E-2</v>
      </c>
      <c r="DM27">
        <v>2252000000</v>
      </c>
      <c r="DN27">
        <v>7.416168600320816E-2</v>
      </c>
      <c r="DO27">
        <v>39833493000</v>
      </c>
      <c r="DP27">
        <v>-570506500</v>
      </c>
      <c r="DQ27">
        <v>3659</v>
      </c>
      <c r="DR27">
        <v>5.237806763620953E-2</v>
      </c>
      <c r="DS27">
        <v>-0.93039530351909072</v>
      </c>
      <c r="DT27" s="11">
        <v>-0.19000000000000003</v>
      </c>
      <c r="DU27">
        <v>2.9999999999999988E-2</v>
      </c>
      <c r="DV27">
        <v>-0.16000000000000003</v>
      </c>
      <c r="DW27">
        <v>0</v>
      </c>
      <c r="DX27">
        <v>0.46912594339622643</v>
      </c>
      <c r="DY27">
        <v>0</v>
      </c>
      <c r="DZ27">
        <v>4338</v>
      </c>
      <c r="EA27" t="e">
        <v>#VALUE!</v>
      </c>
      <c r="EB27" t="e">
        <v>#VALUE!</v>
      </c>
      <c r="EC27">
        <v>1.1031405531611544E-2</v>
      </c>
      <c r="ED27">
        <v>6.9324996893455323E-2</v>
      </c>
      <c r="EE27" s="12">
        <v>3.05661</v>
      </c>
      <c r="EF27">
        <v>3.06521</v>
      </c>
      <c r="EG27">
        <v>31.159125943396226</v>
      </c>
      <c r="EH27" t="s">
        <v>1066</v>
      </c>
      <c r="EI27" t="e">
        <v>#VALUE!</v>
      </c>
      <c r="EJ27">
        <v>0</v>
      </c>
      <c r="EK27" s="8">
        <v>45470</v>
      </c>
      <c r="EL27" s="13">
        <v>0.43</v>
      </c>
      <c r="EM27" s="13">
        <v>-2.97</v>
      </c>
      <c r="EN27" s="13">
        <v>1.31</v>
      </c>
      <c r="EO27" s="13">
        <v>0</v>
      </c>
      <c r="EP27" s="13">
        <v>-0.86</v>
      </c>
    </row>
    <row r="28" spans="1:146" ht="96" x14ac:dyDescent="0.25">
      <c r="A28" s="14"/>
      <c r="B28" s="14"/>
      <c r="C28" s="14" t="str">
        <f>""&amp;CHAR(10)&amp;Basic_Fundamental_Information_Constructure(F28)&amp;CHAR(10)&amp;Basic_Fundamental_Information_Concatenate("")</f>
        <v xml:space="preserve">
市值39.476357亿, 利润8.20亿; PE31.49; 平均PE11.95; 平均PEG.06, PB.864; ROIC3.35%; ROE3.49%; 股利率2.1333%; 毛利34.1533%; 净利29.14%; 上一年度营收增988.51%, 利润增566.67%; 当季营收增-87.97%, 利润增-76.74%; 过往5年营收增193.61%, 利润增100.17%
Income profile:
</v>
      </c>
      <c r="D28" t="s">
        <v>94</v>
      </c>
      <c r="E28" t="s">
        <v>11</v>
      </c>
      <c r="F28">
        <v>3</v>
      </c>
      <c r="G28">
        <v>1.35</v>
      </c>
      <c r="H28" t="s">
        <v>1250</v>
      </c>
      <c r="I28">
        <v>3947635700</v>
      </c>
      <c r="J28">
        <v>31.49</v>
      </c>
      <c r="K28">
        <v>0.86399999999999999</v>
      </c>
      <c r="L28" t="s">
        <v>39</v>
      </c>
      <c r="M28" t="s">
        <v>1251</v>
      </c>
      <c r="N28" t="s">
        <v>1252</v>
      </c>
      <c r="O28" t="s">
        <v>583</v>
      </c>
      <c r="P28">
        <v>-11.56</v>
      </c>
      <c r="Q28" t="s">
        <v>1253</v>
      </c>
      <c r="R28">
        <v>50937768</v>
      </c>
      <c r="S28" s="5">
        <v>-0.1888</v>
      </c>
      <c r="T28" t="s">
        <v>1254</v>
      </c>
      <c r="U28">
        <v>1315878570</v>
      </c>
      <c r="V28">
        <v>1315878570</v>
      </c>
      <c r="W28">
        <v>1.1200000000000001</v>
      </c>
      <c r="X28">
        <v>0.02</v>
      </c>
      <c r="Y28">
        <v>46.26</v>
      </c>
      <c r="Z28" t="s">
        <v>1255</v>
      </c>
      <c r="AA28" t="s">
        <v>1256</v>
      </c>
      <c r="AB28" t="s">
        <v>1257</v>
      </c>
      <c r="AC28" t="s">
        <v>1258</v>
      </c>
      <c r="AD28" t="s">
        <v>40</v>
      </c>
      <c r="AE28">
        <v>-2723077</v>
      </c>
      <c r="AF28" t="s">
        <v>1259</v>
      </c>
      <c r="AG28" t="s">
        <v>1260</v>
      </c>
      <c r="AH28" t="s">
        <v>1261</v>
      </c>
      <c r="AI28" t="s">
        <v>88</v>
      </c>
      <c r="AJ28" t="s">
        <v>1262</v>
      </c>
      <c r="AK28" t="s">
        <v>1263</v>
      </c>
      <c r="AL28" t="s">
        <v>1264</v>
      </c>
      <c r="AM28" t="s">
        <v>40</v>
      </c>
      <c r="AN28" t="s">
        <v>476</v>
      </c>
      <c r="AO28" t="s">
        <v>40</v>
      </c>
      <c r="AP28" t="s">
        <v>1265</v>
      </c>
      <c r="AQ28" t="s">
        <v>1266</v>
      </c>
      <c r="AR28" t="s">
        <v>1267</v>
      </c>
      <c r="AS28" t="s">
        <v>1268</v>
      </c>
      <c r="AT28" t="s">
        <v>40</v>
      </c>
      <c r="AU28" t="s">
        <v>1269</v>
      </c>
      <c r="AV28" t="s">
        <v>1270</v>
      </c>
      <c r="AW28" t="s">
        <v>1271</v>
      </c>
      <c r="AX28" t="s">
        <v>472</v>
      </c>
      <c r="AY28" t="s">
        <v>324</v>
      </c>
      <c r="AZ28" t="s">
        <v>88</v>
      </c>
      <c r="BA28" t="s">
        <v>165</v>
      </c>
      <c r="BB28" t="s">
        <v>202</v>
      </c>
      <c r="BC28" t="s">
        <v>464</v>
      </c>
      <c r="BD28" t="s">
        <v>238</v>
      </c>
      <c r="BE28" t="s">
        <v>119</v>
      </c>
      <c r="BF28" t="s">
        <v>203</v>
      </c>
      <c r="BG28" t="s">
        <v>204</v>
      </c>
      <c r="BH28" t="s">
        <v>1272</v>
      </c>
      <c r="BI28" t="s">
        <v>1273</v>
      </c>
      <c r="BJ28" t="s">
        <v>472</v>
      </c>
      <c r="BK28" t="s">
        <v>1021</v>
      </c>
      <c r="BL28" t="s">
        <v>693</v>
      </c>
      <c r="BM28" t="s">
        <v>464</v>
      </c>
      <c r="BN28">
        <v>3.71</v>
      </c>
      <c r="BO28">
        <v>2.69</v>
      </c>
      <c r="BP28">
        <v>3.65</v>
      </c>
      <c r="BQ28">
        <v>3.95</v>
      </c>
      <c r="BR28">
        <v>2.74</v>
      </c>
      <c r="BS28">
        <v>3.78</v>
      </c>
      <c r="BT28" t="s">
        <v>1274</v>
      </c>
      <c r="BU28" t="s">
        <v>372</v>
      </c>
      <c r="BV28">
        <v>33.520000000000003</v>
      </c>
      <c r="BW28">
        <v>29.25</v>
      </c>
      <c r="BX28">
        <v>39.69</v>
      </c>
      <c r="BY28">
        <v>22</v>
      </c>
      <c r="BZ28">
        <v>32.270000000000003</v>
      </c>
      <c r="CA28">
        <v>33.15</v>
      </c>
      <c r="CB28">
        <v>1.69</v>
      </c>
      <c r="CC28">
        <v>-10.07</v>
      </c>
      <c r="CD28" t="s">
        <v>1275</v>
      </c>
      <c r="CE28" t="s">
        <v>1276</v>
      </c>
      <c r="CF28" s="9">
        <v>-0.87969924812030076</v>
      </c>
      <c r="CG28" s="10">
        <v>-0.76740745205479455</v>
      </c>
      <c r="CH28" s="9">
        <v>9.8850584030151367</v>
      </c>
      <c r="CI28" s="9">
        <v>-0.18994413316249847</v>
      </c>
      <c r="CJ28" s="9">
        <v>-4.1071429848670959E-2</v>
      </c>
      <c r="CK28" s="9">
        <v>-0.46153846383094788</v>
      </c>
      <c r="CL28" s="9">
        <v>0.48783975839614868</v>
      </c>
      <c r="CM28" s="10">
        <v>5.6666665077209473</v>
      </c>
      <c r="CN28" s="10">
        <v>-0.2678571343421936</v>
      </c>
      <c r="CO28" s="10">
        <v>-0.15999999642372131</v>
      </c>
      <c r="CP28" s="10">
        <v>-0.45945945382118225</v>
      </c>
      <c r="CQ28" s="10">
        <v>0.22923588752746582</v>
      </c>
      <c r="CR28">
        <v>11.950461251261354</v>
      </c>
      <c r="CS28">
        <v>6.1725394702577992E-2</v>
      </c>
      <c r="CT28">
        <v>2.1333333333333333</v>
      </c>
      <c r="CU28" s="9">
        <v>1.9360688269138335</v>
      </c>
      <c r="CV28" s="10">
        <v>1.0017171621322631</v>
      </c>
      <c r="CW28">
        <v>0.06</v>
      </c>
      <c r="CX28" t="s">
        <v>381</v>
      </c>
      <c r="CY28">
        <v>2271298526.4805121</v>
      </c>
      <c r="CZ28">
        <v>1.9360688269138335</v>
      </c>
      <c r="DA28" t="s">
        <v>381</v>
      </c>
      <c r="DB28">
        <v>23838095614.830627</v>
      </c>
      <c r="DC28">
        <v>1.8392653855681418</v>
      </c>
      <c r="DD28" t="s">
        <v>381</v>
      </c>
      <c r="DE28">
        <v>370101330904.3363</v>
      </c>
      <c r="DF28">
        <v>1.7037405676841735</v>
      </c>
      <c r="DG28" t="s">
        <v>381</v>
      </c>
      <c r="DH28">
        <v>9070518504086.25</v>
      </c>
      <c r="DI28">
        <v>1.548855061531067</v>
      </c>
      <c r="DJ28" t="s">
        <v>381</v>
      </c>
      <c r="DK28">
        <v>1.28266639310522E+16</v>
      </c>
      <c r="DL28">
        <v>1.3552481788396833</v>
      </c>
      <c r="DM28">
        <v>819999999.99999988</v>
      </c>
      <c r="DN28">
        <v>1.9360688269138335</v>
      </c>
      <c r="DO28">
        <v>-336364300</v>
      </c>
      <c r="DP28">
        <v>1898713400</v>
      </c>
      <c r="DQ28">
        <v>3687</v>
      </c>
      <c r="DR28">
        <v>-2.8157680750341343</v>
      </c>
      <c r="DS28">
        <v>-1.7691246141870578</v>
      </c>
      <c r="DT28" s="11">
        <v>-0.3066666666666667</v>
      </c>
      <c r="DU28">
        <v>-0.44</v>
      </c>
      <c r="DV28">
        <v>-0.7466666666666667</v>
      </c>
      <c r="DW28">
        <v>-2.1006999999999998</v>
      </c>
      <c r="DX28">
        <v>0.42308262295081972</v>
      </c>
      <c r="DY28">
        <v>-2.0134014201311476</v>
      </c>
      <c r="DZ28">
        <v>1577</v>
      </c>
      <c r="EA28">
        <v>-2.0092656002589715</v>
      </c>
      <c r="EB28">
        <v>2</v>
      </c>
      <c r="EC28">
        <v>3.0846463287262135E-2</v>
      </c>
      <c r="ED28">
        <v>0.23178430514298901</v>
      </c>
      <c r="EE28" s="12">
        <v>-1.0349999999999999</v>
      </c>
      <c r="EF28">
        <v>-1.0368999999999999</v>
      </c>
      <c r="EG28">
        <v>29.13308262295082</v>
      </c>
      <c r="EH28" t="s">
        <v>383</v>
      </c>
      <c r="EI28">
        <v>0</v>
      </c>
      <c r="EJ28">
        <v>0</v>
      </c>
      <c r="EK28" s="8">
        <v>45470</v>
      </c>
      <c r="EL28" s="13">
        <v>0.19</v>
      </c>
      <c r="EM28" s="13">
        <v>-2.29</v>
      </c>
      <c r="EN28" s="13">
        <v>1.17</v>
      </c>
      <c r="EO28" s="13">
        <v>0.97</v>
      </c>
      <c r="EP28" s="13">
        <v>0.19</v>
      </c>
    </row>
    <row r="29" spans="1:146" ht="96" x14ac:dyDescent="0.25">
      <c r="A29" s="14"/>
      <c r="B29" s="14"/>
      <c r="C29" s="14" t="str">
        <f>""&amp;CHAR(10)&amp;Basic_Fundamental_Information_Constructure(F29)&amp;CHAR(10)&amp;Basic_Fundamental_Information_Concatenate("")</f>
        <v xml:space="preserve">
市值242.96532亿, 利润87.12亿; PE20.25; 平均PE21.7; 平均PEG.41, PB.9; ROIC3.82%; ROE-2.3867%; 股利率2.0408%; 毛利-3.6333%; 净利-3.5967%; 上一年度营收增258.76%, 利润增536.69%; 当季营收增-77.25%, 利润增-92.09%; 过往5年营收增53.01%, 利润增35.62%
Income profile:
</v>
      </c>
      <c r="D29" t="s">
        <v>96</v>
      </c>
      <c r="E29" t="s">
        <v>7</v>
      </c>
      <c r="F29">
        <v>3.43</v>
      </c>
      <c r="G29">
        <v>0.88</v>
      </c>
      <c r="H29" t="s">
        <v>1277</v>
      </c>
      <c r="I29">
        <v>24296532000</v>
      </c>
      <c r="J29">
        <v>20.25</v>
      </c>
      <c r="K29">
        <v>0.9</v>
      </c>
      <c r="L29" t="s">
        <v>39</v>
      </c>
      <c r="M29" t="s">
        <v>1278</v>
      </c>
      <c r="N29" t="s">
        <v>1279</v>
      </c>
      <c r="O29" t="s">
        <v>1280</v>
      </c>
      <c r="P29">
        <v>7.39</v>
      </c>
      <c r="Q29" t="s">
        <v>1281</v>
      </c>
      <c r="R29">
        <v>546940440</v>
      </c>
      <c r="S29" s="6">
        <v>0.34989999999999999</v>
      </c>
      <c r="T29" t="s">
        <v>1282</v>
      </c>
      <c r="U29">
        <v>5652237000</v>
      </c>
      <c r="V29">
        <v>7083537000</v>
      </c>
      <c r="W29">
        <v>1.39</v>
      </c>
      <c r="X29">
        <v>0.18</v>
      </c>
      <c r="Y29">
        <v>8.2899999999999991</v>
      </c>
      <c r="Z29" t="s">
        <v>1283</v>
      </c>
      <c r="AA29" t="s">
        <v>1284</v>
      </c>
      <c r="AB29" t="s">
        <v>40</v>
      </c>
      <c r="AC29" t="s">
        <v>1285</v>
      </c>
      <c r="AD29" t="s">
        <v>40</v>
      </c>
      <c r="AE29">
        <v>5337768</v>
      </c>
      <c r="AF29" t="s">
        <v>1286</v>
      </c>
      <c r="AG29" t="s">
        <v>1287</v>
      </c>
      <c r="AH29" t="s">
        <v>1288</v>
      </c>
      <c r="AI29" t="s">
        <v>1289</v>
      </c>
      <c r="AJ29" t="s">
        <v>1290</v>
      </c>
      <c r="AK29" t="s">
        <v>40</v>
      </c>
      <c r="AL29" t="s">
        <v>1291</v>
      </c>
      <c r="AM29" t="s">
        <v>40</v>
      </c>
      <c r="AN29" t="s">
        <v>1292</v>
      </c>
      <c r="AO29" t="s">
        <v>1293</v>
      </c>
      <c r="AP29" t="s">
        <v>466</v>
      </c>
      <c r="AQ29" t="s">
        <v>1294</v>
      </c>
      <c r="AR29" t="s">
        <v>1295</v>
      </c>
      <c r="AS29" t="s">
        <v>1296</v>
      </c>
      <c r="AT29" t="s">
        <v>588</v>
      </c>
      <c r="AU29" t="s">
        <v>483</v>
      </c>
      <c r="AV29" t="s">
        <v>1297</v>
      </c>
      <c r="AW29" t="s">
        <v>167</v>
      </c>
      <c r="AX29" t="s">
        <v>590</v>
      </c>
      <c r="AY29" t="s">
        <v>341</v>
      </c>
      <c r="AZ29" t="s">
        <v>206</v>
      </c>
      <c r="BA29" t="s">
        <v>97</v>
      </c>
      <c r="BB29" t="s">
        <v>208</v>
      </c>
      <c r="BC29" t="s">
        <v>591</v>
      </c>
      <c r="BD29" t="s">
        <v>342</v>
      </c>
      <c r="BE29" t="s">
        <v>207</v>
      </c>
      <c r="BF29" t="s">
        <v>98</v>
      </c>
      <c r="BG29" t="s">
        <v>209</v>
      </c>
      <c r="BH29" t="s">
        <v>1298</v>
      </c>
      <c r="BI29" t="s">
        <v>1299</v>
      </c>
      <c r="BJ29" t="s">
        <v>590</v>
      </c>
      <c r="BK29" t="s">
        <v>1300</v>
      </c>
      <c r="BL29" t="s">
        <v>1301</v>
      </c>
      <c r="BM29" t="s">
        <v>591</v>
      </c>
      <c r="BN29">
        <v>3.82</v>
      </c>
      <c r="BO29" t="s">
        <v>40</v>
      </c>
      <c r="BP29" t="s">
        <v>40</v>
      </c>
      <c r="BQ29">
        <v>3.95</v>
      </c>
      <c r="BR29">
        <v>-7.6</v>
      </c>
      <c r="BS29">
        <v>-3.51</v>
      </c>
      <c r="BT29" t="s">
        <v>1302</v>
      </c>
      <c r="BU29" t="s">
        <v>376</v>
      </c>
      <c r="BV29">
        <v>6.27</v>
      </c>
      <c r="BW29">
        <v>-11.95</v>
      </c>
      <c r="BX29">
        <v>-5.22</v>
      </c>
      <c r="BY29">
        <v>4.03</v>
      </c>
      <c r="BZ29">
        <v>-10</v>
      </c>
      <c r="CA29">
        <v>-4.82</v>
      </c>
      <c r="CB29">
        <v>5.86</v>
      </c>
      <c r="CC29">
        <v>3.63</v>
      </c>
      <c r="CD29" t="s">
        <v>579</v>
      </c>
      <c r="CE29" t="s">
        <v>542</v>
      </c>
      <c r="CF29" s="9">
        <v>-0.77245302534045857</v>
      </c>
      <c r="CG29" s="10">
        <v>-0.92092808442966601</v>
      </c>
      <c r="CH29" s="9">
        <v>2.5875747203826904</v>
      </c>
      <c r="CI29" s="9">
        <v>-1.3015938922762871E-2</v>
      </c>
      <c r="CJ29" s="9">
        <v>0.23591659963130951</v>
      </c>
      <c r="CK29" s="9">
        <v>-0.22801963984966278</v>
      </c>
      <c r="CL29" s="9">
        <v>6.8085461854934692E-2</v>
      </c>
      <c r="CM29" s="10">
        <v>5.3669166564941406</v>
      </c>
      <c r="CN29" s="10">
        <v>-1.0503597259521484</v>
      </c>
      <c r="CO29" s="10">
        <v>-0.74372762441635132</v>
      </c>
      <c r="CP29" s="10">
        <v>-1.7459893226623535</v>
      </c>
      <c r="CQ29" s="10">
        <v>-4.5918367803096771E-2</v>
      </c>
      <c r="CR29">
        <v>21.699790413813634</v>
      </c>
      <c r="CS29">
        <v>0.40934640798005206</v>
      </c>
      <c r="CT29">
        <v>2.0408163265306118</v>
      </c>
      <c r="CU29" s="9">
        <v>0.53010824061930184</v>
      </c>
      <c r="CV29" s="10">
        <v>0.35618432313203813</v>
      </c>
      <c r="CW29">
        <v>0.06</v>
      </c>
      <c r="CX29">
        <v>0.65352182355106425</v>
      </c>
      <c r="CY29">
        <v>12575757539.882412</v>
      </c>
      <c r="CZ29">
        <v>0.53010824061930184</v>
      </c>
      <c r="DA29">
        <v>0.15010148018355196</v>
      </c>
      <c r="DB29">
        <v>54753170921.099167</v>
      </c>
      <c r="DC29">
        <v>0.50360282858833672</v>
      </c>
      <c r="DD29">
        <v>4.3493485967850867E-2</v>
      </c>
      <c r="DE29">
        <v>188960066481.56238</v>
      </c>
      <c r="DF29">
        <v>0.46649525174498563</v>
      </c>
      <c r="DG29">
        <v>1.3283850383239093E-2</v>
      </c>
      <c r="DH29">
        <v>618685980562.51355</v>
      </c>
      <c r="DI29">
        <v>0.42408659249544151</v>
      </c>
      <c r="DJ29">
        <v>1.252864435886883E-3</v>
      </c>
      <c r="DK29">
        <v>6559793513639.1914</v>
      </c>
      <c r="DL29">
        <v>0.37107576843351125</v>
      </c>
      <c r="DM29">
        <v>8712000000</v>
      </c>
      <c r="DN29">
        <v>0.53010824061930184</v>
      </c>
      <c r="DO29">
        <v>8218532000</v>
      </c>
      <c r="DP29">
        <v>2026349600</v>
      </c>
      <c r="DQ29">
        <v>3714</v>
      </c>
      <c r="DR29">
        <v>-1.3025612659597603</v>
      </c>
      <c r="DS29">
        <v>-1.2771124075617042</v>
      </c>
      <c r="DT29" s="11">
        <v>-0.12333333333333336</v>
      </c>
      <c r="DU29">
        <v>-2.19</v>
      </c>
      <c r="DV29">
        <v>-2.3133333333333335</v>
      </c>
      <c r="DW29">
        <v>4.6194539249146755</v>
      </c>
      <c r="DX29">
        <v>0.39157363038284299</v>
      </c>
      <c r="DY29">
        <v>4.1124764980016586</v>
      </c>
      <c r="DZ29">
        <v>1934</v>
      </c>
      <c r="EA29">
        <v>4.0699071150006398</v>
      </c>
      <c r="EB29">
        <v>4</v>
      </c>
      <c r="EC29">
        <v>3.8116551095872017E-2</v>
      </c>
      <c r="ED29">
        <v>0.20992337585022849</v>
      </c>
      <c r="EE29" s="12">
        <v>-1.0846100000000001</v>
      </c>
      <c r="EF29">
        <v>-1.10321</v>
      </c>
      <c r="EG29">
        <v>21.181573630382843</v>
      </c>
      <c r="EH29" t="s">
        <v>596</v>
      </c>
      <c r="EI29">
        <v>0</v>
      </c>
      <c r="EJ29">
        <v>0</v>
      </c>
      <c r="EK29" s="8">
        <v>45470</v>
      </c>
      <c r="EL29" s="13">
        <v>1.1599999999999999</v>
      </c>
      <c r="EM29" s="13">
        <v>-2.78</v>
      </c>
      <c r="EN29" s="13">
        <v>0.17</v>
      </c>
      <c r="EO29" s="13">
        <v>1.55</v>
      </c>
      <c r="EP29" s="13">
        <v>-1.86</v>
      </c>
    </row>
    <row r="30" spans="1:146" ht="84" x14ac:dyDescent="0.25">
      <c r="A30" s="14"/>
      <c r="B30" s="14"/>
      <c r="C30" s="14" t="str">
        <f>""&amp;CHAR(10)&amp;Basic_Fundamental_Information_Constructure(F30)&amp;CHAR(10)&amp;Basic_Fundamental_Information_Concatenate("")</f>
        <v xml:space="preserve">
市值46.129497亿, 利润1.02亿; PE8.47; 平均PE20.56; 平均PEG5.64, PB.898; ROIC7.6933%; ROE8.5667%; 股利率3.6885%; 毛利49.81%; 净利31.95%; 上一年度营收增-46.74%, 利润增-74.11%; 当季营收增58.33%, 利润增-60.75%; 过往5年营收增3.64%, 利润增20.06%
Income profile:
</v>
      </c>
      <c r="D30" t="s">
        <v>99</v>
      </c>
      <c r="E30" t="s">
        <v>9</v>
      </c>
      <c r="F30">
        <v>2.44</v>
      </c>
      <c r="G30">
        <v>1.24</v>
      </c>
      <c r="H30" t="s">
        <v>1303</v>
      </c>
      <c r="I30">
        <v>4612949700</v>
      </c>
      <c r="J30">
        <v>8.4700000000000006</v>
      </c>
      <c r="K30">
        <v>0.89800000000000002</v>
      </c>
      <c r="L30" t="s">
        <v>39</v>
      </c>
      <c r="M30" t="s">
        <v>1304</v>
      </c>
      <c r="N30" t="s">
        <v>1305</v>
      </c>
      <c r="O30" t="s">
        <v>384</v>
      </c>
      <c r="P30">
        <v>-5.76</v>
      </c>
      <c r="Q30" t="s">
        <v>1306</v>
      </c>
      <c r="R30">
        <v>119714544</v>
      </c>
      <c r="S30" s="5">
        <v>-1.43E-2</v>
      </c>
      <c r="T30" t="s">
        <v>1176</v>
      </c>
      <c r="U30">
        <v>1890553200</v>
      </c>
      <c r="V30">
        <v>1890553200</v>
      </c>
      <c r="W30">
        <v>1.21</v>
      </c>
      <c r="X30">
        <v>0.04</v>
      </c>
      <c r="Y30">
        <v>49.2</v>
      </c>
      <c r="Z30" t="s">
        <v>1307</v>
      </c>
      <c r="AA30" t="s">
        <v>1308</v>
      </c>
      <c r="AB30" t="s">
        <v>1309</v>
      </c>
      <c r="AC30" t="s">
        <v>1310</v>
      </c>
      <c r="AD30" t="s">
        <v>40</v>
      </c>
      <c r="AE30">
        <v>459779</v>
      </c>
      <c r="AF30" t="s">
        <v>50</v>
      </c>
      <c r="AG30">
        <v>1035.78</v>
      </c>
      <c r="AH30" t="s">
        <v>1311</v>
      </c>
      <c r="AI30" t="s">
        <v>1312</v>
      </c>
      <c r="AJ30" t="s">
        <v>1313</v>
      </c>
      <c r="AK30" t="s">
        <v>40</v>
      </c>
      <c r="AL30" t="s">
        <v>1314</v>
      </c>
      <c r="AM30" t="s">
        <v>40</v>
      </c>
      <c r="AN30" t="s">
        <v>593</v>
      </c>
      <c r="AO30" t="s">
        <v>40</v>
      </c>
      <c r="AP30" t="s">
        <v>40</v>
      </c>
      <c r="AQ30" t="s">
        <v>606</v>
      </c>
      <c r="AR30" t="s">
        <v>1315</v>
      </c>
      <c r="AS30" t="s">
        <v>1316</v>
      </c>
      <c r="AT30" t="s">
        <v>40</v>
      </c>
      <c r="AU30" t="s">
        <v>476</v>
      </c>
      <c r="AV30" t="s">
        <v>1317</v>
      </c>
      <c r="AW30" t="s">
        <v>1318</v>
      </c>
      <c r="AX30" t="s">
        <v>544</v>
      </c>
      <c r="AY30" t="s">
        <v>277</v>
      </c>
      <c r="AZ30" t="s">
        <v>210</v>
      </c>
      <c r="BA30" t="s">
        <v>100</v>
      </c>
      <c r="BB30" t="s">
        <v>213</v>
      </c>
      <c r="BC30" t="s">
        <v>249</v>
      </c>
      <c r="BD30" t="s">
        <v>343</v>
      </c>
      <c r="BE30" t="s">
        <v>211</v>
      </c>
      <c r="BF30" t="s">
        <v>101</v>
      </c>
      <c r="BG30" t="s">
        <v>49</v>
      </c>
      <c r="BH30" t="s">
        <v>1319</v>
      </c>
      <c r="BI30" t="s">
        <v>238</v>
      </c>
      <c r="BJ30" t="s">
        <v>544</v>
      </c>
      <c r="BK30" t="s">
        <v>1320</v>
      </c>
      <c r="BL30" t="s">
        <v>1276</v>
      </c>
      <c r="BM30" t="s">
        <v>249</v>
      </c>
      <c r="BN30">
        <v>8.4600000000000009</v>
      </c>
      <c r="BO30">
        <v>8.32</v>
      </c>
      <c r="BP30">
        <v>6.3</v>
      </c>
      <c r="BQ30">
        <v>8.39</v>
      </c>
      <c r="BR30">
        <v>9.18</v>
      </c>
      <c r="BS30">
        <v>8.1300000000000008</v>
      </c>
      <c r="BT30" t="s">
        <v>659</v>
      </c>
      <c r="BU30" t="s">
        <v>372</v>
      </c>
      <c r="BV30">
        <v>56.63</v>
      </c>
      <c r="BW30">
        <v>45.81</v>
      </c>
      <c r="BX30">
        <v>46.99</v>
      </c>
      <c r="BY30">
        <v>40.770000000000003</v>
      </c>
      <c r="BZ30">
        <v>29.26</v>
      </c>
      <c r="CA30">
        <v>25.82</v>
      </c>
      <c r="CB30">
        <v>3.83</v>
      </c>
      <c r="CC30">
        <v>-4.3099999999999996</v>
      </c>
      <c r="CD30" t="s">
        <v>1321</v>
      </c>
      <c r="CE30" t="s">
        <v>708</v>
      </c>
      <c r="CF30" s="9">
        <v>0.58333333333333337</v>
      </c>
      <c r="CG30" s="10">
        <v>-0.60749329836065569</v>
      </c>
      <c r="CH30" s="9">
        <v>-0.46744346618652344</v>
      </c>
      <c r="CI30" s="9">
        <v>0.14701263606548309</v>
      </c>
      <c r="CJ30" s="9">
        <v>0.49647060036659241</v>
      </c>
      <c r="CK30" s="9">
        <v>8.8348269462585449E-2</v>
      </c>
      <c r="CL30" s="9">
        <v>-8.2256168127059937E-2</v>
      </c>
      <c r="CM30" s="10">
        <v>-0.74111676216125488</v>
      </c>
      <c r="CN30" s="10">
        <v>0.23899370431900024</v>
      </c>
      <c r="CO30" s="10">
        <v>2.2054061889648437</v>
      </c>
      <c r="CP30" s="10">
        <v>-0.47509312629699707</v>
      </c>
      <c r="CQ30" s="10">
        <v>-0.22540983557701111</v>
      </c>
      <c r="CR30">
        <v>20.559757879803662</v>
      </c>
      <c r="CS30">
        <v>5.6441955219933346</v>
      </c>
      <c r="CT30">
        <v>3.6885245901639347</v>
      </c>
      <c r="CU30" s="9">
        <v>3.6426374316215517E-2</v>
      </c>
      <c r="CV30" s="10">
        <v>0.20055603384971618</v>
      </c>
      <c r="CW30">
        <v>0.06</v>
      </c>
      <c r="CX30">
        <v>2.63657370859036</v>
      </c>
      <c r="CY30">
        <v>99731594.509673551</v>
      </c>
      <c r="CZ30">
        <v>3.6426374316215517E-2</v>
      </c>
      <c r="DA30">
        <v>0.90183829019932515</v>
      </c>
      <c r="DB30">
        <v>291570786.97765493</v>
      </c>
      <c r="DC30">
        <v>3.4605055600404742E-2</v>
      </c>
      <c r="DD30">
        <v>0.47128059346920459</v>
      </c>
      <c r="DE30">
        <v>557947226.4375813</v>
      </c>
      <c r="DF30">
        <v>3.2055209398269655E-2</v>
      </c>
      <c r="DG30">
        <v>0.30219002795633243</v>
      </c>
      <c r="DH30">
        <v>870146846.93035996</v>
      </c>
      <c r="DI30">
        <v>2.9141099452972413E-2</v>
      </c>
      <c r="DJ30">
        <v>0.17916758809067043</v>
      </c>
      <c r="DK30">
        <v>1467618684.8423185</v>
      </c>
      <c r="DL30">
        <v>2.5498462021350862E-2</v>
      </c>
      <c r="DM30">
        <v>102000000</v>
      </c>
      <c r="DN30">
        <v>3.6426374316215517E-2</v>
      </c>
      <c r="DO30">
        <v>262949700</v>
      </c>
      <c r="DP30">
        <v>1064953600</v>
      </c>
      <c r="DQ30">
        <v>3731</v>
      </c>
      <c r="DR30">
        <v>0.54690695901711783</v>
      </c>
      <c r="DS30">
        <v>-0.8080493322103719</v>
      </c>
      <c r="DT30" s="11">
        <v>-0.47333333333333333</v>
      </c>
      <c r="DU30">
        <v>-0.45833333333333331</v>
      </c>
      <c r="DV30">
        <v>-0.93166666666666664</v>
      </c>
      <c r="DW30">
        <v>6.4705159705159705</v>
      </c>
      <c r="DX30">
        <v>0.37727834760705364</v>
      </c>
      <c r="DY30">
        <v>6.0834122937758002</v>
      </c>
      <c r="DZ30">
        <v>3798</v>
      </c>
      <c r="EA30">
        <v>6.0214162288520257</v>
      </c>
      <c r="EB30">
        <v>6</v>
      </c>
      <c r="EC30">
        <v>3.7226934423215383E-2</v>
      </c>
      <c r="ED30">
        <v>0.20999144589001781</v>
      </c>
      <c r="EE30" s="12">
        <v>-1.0496000000000001</v>
      </c>
      <c r="EF30">
        <v>-1.0282</v>
      </c>
      <c r="EG30">
        <v>20.177278347607054</v>
      </c>
      <c r="EH30" t="s">
        <v>383</v>
      </c>
      <c r="EI30">
        <v>0</v>
      </c>
      <c r="EJ30">
        <v>0</v>
      </c>
      <c r="EK30" s="8">
        <v>45470</v>
      </c>
      <c r="EL30" s="13">
        <v>-1.79</v>
      </c>
      <c r="EM30" s="13">
        <v>-2.35</v>
      </c>
      <c r="EN30" s="13">
        <v>0</v>
      </c>
      <c r="EO30" s="13">
        <v>0</v>
      </c>
      <c r="EP30" s="13">
        <v>-2.14</v>
      </c>
    </row>
    <row r="31" spans="1:146" ht="144" x14ac:dyDescent="0.25">
      <c r="A31" s="14"/>
      <c r="B31" s="14"/>
      <c r="C31" s="14" t="str">
        <f>"公司的主营业务为高铁旅客运输，具体主要包括：为乘坐担当列车的旅客提供高铁运输服务并收取票价款；其他铁路运输企业担当的列车在京沪高速铁路上运行时，向其提供线路使用,接触网使用等服务并收取相应费用等。"&amp;CHAR(10)&amp;Basic_Fundamental_Information_Constructure(F31)&amp;CHAR(10)&amp;Basic_Fundamental_Information_Concatenate("铁路运输 189.72亿 98.12% 86.13% 11.88%
其他业务 3.64亿 1.88% 13.87% 99.80%")</f>
        <v>公司的主营业务为高铁旅客运输，具体主要包括：为乘坐担当列车的旅客提供高铁运输服务并收取票价款；其他铁路运输企业担当的列车在京沪高速铁路上运行时，向其提供线路使用,接触网使用等服务并收取相应费用等。
市值2686.1247亿, 利润407.92亿; PE21.87; 平均PE23.16; 平均PEG.19, PB1.36; ROIC2.865%; ROE2.34%; 股利率2.0402%; 毛利31.73%; 净利11.3%; 上一年度营收增653.44%, 利润增7181.94%; 当季营收增-73.52%, 利润增-76.06%; 过往5年营收增123.96%, 利润增1411.26%
Income profile:
铁路运输 189.72亿 98.12% 86.13% 11.88%
其他业务 3.64亿 1.88% 13.87% 99.80%</v>
      </c>
      <c r="D31" t="s">
        <v>102</v>
      </c>
      <c r="E31" t="s">
        <v>103</v>
      </c>
      <c r="F31">
        <v>5.47</v>
      </c>
      <c r="G31">
        <v>-0.36</v>
      </c>
      <c r="H31" t="s">
        <v>1322</v>
      </c>
      <c r="I31">
        <v>268612470000</v>
      </c>
      <c r="J31">
        <v>21.87</v>
      </c>
      <c r="K31">
        <v>1.36</v>
      </c>
      <c r="L31" t="s">
        <v>39</v>
      </c>
      <c r="M31" t="s">
        <v>1323</v>
      </c>
      <c r="N31" t="s">
        <v>1324</v>
      </c>
      <c r="O31" t="s">
        <v>1325</v>
      </c>
      <c r="P31">
        <v>13.06</v>
      </c>
      <c r="Q31" t="s">
        <v>1326</v>
      </c>
      <c r="R31">
        <v>2963088000</v>
      </c>
      <c r="S31" s="5">
        <v>0.33110000000000001</v>
      </c>
      <c r="T31" t="s">
        <v>1327</v>
      </c>
      <c r="U31">
        <v>49106485000</v>
      </c>
      <c r="V31">
        <v>49106485000</v>
      </c>
      <c r="W31">
        <v>1.33</v>
      </c>
      <c r="X31">
        <v>0.03</v>
      </c>
      <c r="Y31">
        <v>29.16</v>
      </c>
      <c r="Z31" t="s">
        <v>1328</v>
      </c>
      <c r="AA31" t="s">
        <v>1329</v>
      </c>
      <c r="AB31" t="s">
        <v>40</v>
      </c>
      <c r="AC31" t="s">
        <v>1330</v>
      </c>
      <c r="AD31" t="s">
        <v>40</v>
      </c>
      <c r="AE31">
        <v>476698020</v>
      </c>
      <c r="AF31" t="s">
        <v>50</v>
      </c>
      <c r="AG31" t="s">
        <v>1138</v>
      </c>
      <c r="AH31" t="s">
        <v>1331</v>
      </c>
      <c r="AI31" t="s">
        <v>1332</v>
      </c>
      <c r="AJ31" t="s">
        <v>1333</v>
      </c>
      <c r="AK31" t="s">
        <v>40</v>
      </c>
      <c r="AL31" t="s">
        <v>1334</v>
      </c>
      <c r="AM31" t="s">
        <v>40</v>
      </c>
      <c r="AN31" t="s">
        <v>801</v>
      </c>
      <c r="AO31" t="s">
        <v>40</v>
      </c>
      <c r="AP31" t="s">
        <v>40</v>
      </c>
      <c r="AQ31" t="s">
        <v>1335</v>
      </c>
      <c r="AR31" t="s">
        <v>346</v>
      </c>
      <c r="AS31" t="s">
        <v>1336</v>
      </c>
      <c r="AT31" t="s">
        <v>1337</v>
      </c>
      <c r="AU31" t="s">
        <v>989</v>
      </c>
      <c r="AV31" t="s">
        <v>1338</v>
      </c>
      <c r="AW31" t="s">
        <v>1339</v>
      </c>
      <c r="AX31" t="s">
        <v>594</v>
      </c>
      <c r="AY31" t="s">
        <v>344</v>
      </c>
      <c r="AZ31" t="s">
        <v>215</v>
      </c>
      <c r="BA31" t="s">
        <v>217</v>
      </c>
      <c r="BB31" t="s">
        <v>218</v>
      </c>
      <c r="BC31" t="s">
        <v>595</v>
      </c>
      <c r="BD31" t="s">
        <v>345</v>
      </c>
      <c r="BE31" t="s">
        <v>216</v>
      </c>
      <c r="BF31" t="s">
        <v>219</v>
      </c>
      <c r="BG31" t="s">
        <v>220</v>
      </c>
      <c r="BH31" t="s">
        <v>1340</v>
      </c>
      <c r="BI31" t="s">
        <v>1341</v>
      </c>
      <c r="BJ31" t="s">
        <v>594</v>
      </c>
      <c r="BK31" t="s">
        <v>1342</v>
      </c>
      <c r="BL31" t="s">
        <v>1343</v>
      </c>
      <c r="BM31" t="s">
        <v>595</v>
      </c>
      <c r="BN31">
        <v>3.53</v>
      </c>
      <c r="BO31" t="s">
        <v>40</v>
      </c>
      <c r="BP31">
        <v>2.2000000000000002</v>
      </c>
      <c r="BQ31">
        <v>4.7300000000000004</v>
      </c>
      <c r="BR31">
        <v>-0.31</v>
      </c>
      <c r="BS31">
        <v>2.6</v>
      </c>
      <c r="BT31" t="s">
        <v>1344</v>
      </c>
      <c r="BU31" t="s">
        <v>376</v>
      </c>
      <c r="BV31">
        <v>45.8</v>
      </c>
      <c r="BW31">
        <v>13.54</v>
      </c>
      <c r="BX31">
        <v>35.85</v>
      </c>
      <c r="BY31">
        <v>27.55</v>
      </c>
      <c r="BZ31">
        <v>-8.0299999999999994</v>
      </c>
      <c r="CA31">
        <v>14.38</v>
      </c>
      <c r="CB31">
        <v>1.86</v>
      </c>
      <c r="CC31">
        <v>8.35</v>
      </c>
      <c r="CD31" t="s">
        <v>1345</v>
      </c>
      <c r="CE31" t="s">
        <v>1346</v>
      </c>
      <c r="CF31" s="9">
        <v>-0.73515383405838886</v>
      </c>
      <c r="CG31" s="10">
        <v>-0.76061657779932135</v>
      </c>
      <c r="CH31" s="9">
        <v>6.5343918800354004</v>
      </c>
      <c r="CI31" s="9">
        <v>-0.34018087387084961</v>
      </c>
      <c r="CJ31" s="9">
        <v>0.16114591062068939</v>
      </c>
      <c r="CK31" s="9">
        <v>-0.27593532204627991</v>
      </c>
      <c r="CL31" s="9">
        <v>0.11868547648191452</v>
      </c>
      <c r="CM31" s="10">
        <v>71.819442749023438</v>
      </c>
      <c r="CN31" s="10">
        <v>-1.1196013689041138</v>
      </c>
      <c r="CO31" s="10">
        <v>0.49148344993591309</v>
      </c>
      <c r="CP31" s="10">
        <v>-0.70825809240341187</v>
      </c>
      <c r="CQ31" s="10">
        <v>8.0015689134597778E-2</v>
      </c>
      <c r="CR31">
        <v>23.16390215157308</v>
      </c>
      <c r="CS31">
        <v>0.18686271377214494</v>
      </c>
      <c r="CT31">
        <v>2.0402193784277882</v>
      </c>
      <c r="CU31" s="9">
        <v>1.239621414244175</v>
      </c>
      <c r="CV31" s="10">
        <v>14.112616485357284</v>
      </c>
      <c r="CW31">
        <v>0.06</v>
      </c>
      <c r="CX31">
        <v>1.4145626820389883</v>
      </c>
      <c r="CY31">
        <v>86187393141.366409</v>
      </c>
      <c r="CZ31">
        <v>1.239621414244175</v>
      </c>
      <c r="DA31">
        <v>0.19998014966961106</v>
      </c>
      <c r="DB31">
        <v>609647858557.06616</v>
      </c>
      <c r="DC31">
        <v>1.1776403435319662</v>
      </c>
      <c r="DD31">
        <v>2.5449583042272426E-2</v>
      </c>
      <c r="DE31">
        <v>4790548819502.9307</v>
      </c>
      <c r="DF31">
        <v>1.0908668445348741</v>
      </c>
      <c r="DG31">
        <v>2.5536453943955191E-3</v>
      </c>
      <c r="DH31">
        <v>47742521443099.352</v>
      </c>
      <c r="DI31">
        <v>0.9916971313953401</v>
      </c>
      <c r="DJ31">
        <v>1.5533238508849164E-5</v>
      </c>
      <c r="DK31">
        <v>7848812076795482</v>
      </c>
      <c r="DL31">
        <v>0.86773498997092247</v>
      </c>
      <c r="DM31">
        <v>40792000000</v>
      </c>
      <c r="DN31">
        <v>1.239621414244175</v>
      </c>
      <c r="DO31">
        <v>121917469999.99997</v>
      </c>
      <c r="DP31">
        <v>2587939999.9999981</v>
      </c>
      <c r="DQ31">
        <v>3788</v>
      </c>
      <c r="DR31">
        <v>-1.974775248302564</v>
      </c>
      <c r="DS31">
        <v>-14.873233063156606</v>
      </c>
      <c r="DT31" s="11">
        <v>-0.27333333333333337</v>
      </c>
      <c r="DU31">
        <v>-0.95666666666666655</v>
      </c>
      <c r="DV31">
        <v>-1.23</v>
      </c>
      <c r="DW31">
        <v>2.0834999999999999</v>
      </c>
      <c r="DX31">
        <v>0.41808614877203865</v>
      </c>
      <c r="DY31">
        <v>2.0148701934224653</v>
      </c>
      <c r="DZ31">
        <v>2221</v>
      </c>
      <c r="EA31">
        <v>2.0084070428175149</v>
      </c>
      <c r="EB31">
        <v>2</v>
      </c>
      <c r="EC31">
        <v>1.2544168046236663E-2</v>
      </c>
      <c r="ED31">
        <v>7.0438761805085431E-2</v>
      </c>
      <c r="EE31" s="12">
        <v>3.3000000000000008E-3</v>
      </c>
      <c r="EF31">
        <v>9.0999999999999978E-4</v>
      </c>
      <c r="EG31">
        <v>24.178086148772039</v>
      </c>
      <c r="EH31">
        <v>-1</v>
      </c>
      <c r="EI31">
        <v>1</v>
      </c>
      <c r="EJ31">
        <v>0</v>
      </c>
      <c r="EK31" s="8">
        <v>45470</v>
      </c>
      <c r="EL31" s="13">
        <v>1.57</v>
      </c>
      <c r="EM31" s="13">
        <v>-4.7699999999999996</v>
      </c>
      <c r="EN31" s="13">
        <v>-1.62</v>
      </c>
      <c r="EO31" s="13">
        <v>1.43</v>
      </c>
      <c r="EP31" s="13">
        <v>-0.42</v>
      </c>
    </row>
    <row r="32" spans="1:146" ht="84" x14ac:dyDescent="0.25">
      <c r="A32" s="14"/>
      <c r="B32" s="14"/>
      <c r="C32" s="14" t="str">
        <f>""&amp;CHAR(10)&amp;Basic_Fundamental_Information_Constructure(F32)&amp;CHAR(10)&amp;Basic_Fundamental_Information_Concatenate("")</f>
        <v xml:space="preserve">
市值49.5488亿, 利润1.75亿; PE; 平均PE194.88; 平均PEG5.39, PB5.51; ROIC3.46%; ROE-2.5333%; 股利率0%; 毛利14.1633%; 净利-4.3167%; 上一年度营收增209.73%, 利润增344.54%; 当季营收增-43.91%, 利润增-131.47%; 过往5年营收增36.18%, 利润增42.02%
Income profile:
</v>
      </c>
      <c r="D32" t="s">
        <v>291</v>
      </c>
      <c r="E32" t="s">
        <v>292</v>
      </c>
      <c r="F32">
        <v>15.68</v>
      </c>
      <c r="G32">
        <v>-1.88</v>
      </c>
      <c r="H32" t="s">
        <v>1347</v>
      </c>
      <c r="I32">
        <v>4954880000</v>
      </c>
      <c r="K32">
        <v>5.51</v>
      </c>
      <c r="L32" t="s">
        <v>39</v>
      </c>
      <c r="M32" t="s">
        <v>1348</v>
      </c>
      <c r="N32" t="s">
        <v>1349</v>
      </c>
      <c r="O32" t="s">
        <v>49</v>
      </c>
      <c r="P32">
        <v>27.63</v>
      </c>
      <c r="Q32" t="s">
        <v>1350</v>
      </c>
      <c r="R32">
        <v>-9067539</v>
      </c>
      <c r="S32" s="5">
        <v>0.71509999999999996</v>
      </c>
      <c r="T32" t="s">
        <v>581</v>
      </c>
      <c r="U32">
        <v>316000000</v>
      </c>
      <c r="V32">
        <v>316000000</v>
      </c>
      <c r="W32">
        <v>2.8</v>
      </c>
      <c r="X32">
        <v>0.1</v>
      </c>
      <c r="Y32">
        <v>-3.75</v>
      </c>
      <c r="Z32" t="s">
        <v>467</v>
      </c>
      <c r="AA32" t="s">
        <v>1351</v>
      </c>
      <c r="AB32" t="s">
        <v>1352</v>
      </c>
      <c r="AC32" t="s">
        <v>1353</v>
      </c>
      <c r="AD32" t="s">
        <v>40</v>
      </c>
      <c r="AE32">
        <v>3763729</v>
      </c>
      <c r="AF32" t="s">
        <v>1354</v>
      </c>
      <c r="AG32" t="s">
        <v>1355</v>
      </c>
      <c r="AH32" t="s">
        <v>1356</v>
      </c>
      <c r="AI32" t="s">
        <v>458</v>
      </c>
      <c r="AJ32" t="s">
        <v>1357</v>
      </c>
      <c r="AK32" t="s">
        <v>40</v>
      </c>
      <c r="AL32" t="s">
        <v>1358</v>
      </c>
      <c r="AM32" t="s">
        <v>40</v>
      </c>
      <c r="AN32" t="s">
        <v>1359</v>
      </c>
      <c r="AO32" t="s">
        <v>1360</v>
      </c>
      <c r="AP32" t="s">
        <v>1361</v>
      </c>
      <c r="AQ32" t="s">
        <v>1362</v>
      </c>
      <c r="AR32" t="s">
        <v>1363</v>
      </c>
      <c r="AS32" t="s">
        <v>783</v>
      </c>
      <c r="AT32" t="s">
        <v>1364</v>
      </c>
      <c r="AU32" t="s">
        <v>1365</v>
      </c>
      <c r="AV32" t="s">
        <v>1366</v>
      </c>
      <c r="AW32" t="s">
        <v>1367</v>
      </c>
      <c r="AX32" t="s">
        <v>325</v>
      </c>
      <c r="AY32" t="s">
        <v>347</v>
      </c>
      <c r="AZ32" t="s">
        <v>200</v>
      </c>
      <c r="BA32" t="s">
        <v>293</v>
      </c>
      <c r="BB32" t="s">
        <v>294</v>
      </c>
      <c r="BC32" t="s">
        <v>1368</v>
      </c>
      <c r="BD32" t="s">
        <v>348</v>
      </c>
      <c r="BE32" t="s">
        <v>349</v>
      </c>
      <c r="BF32" t="s">
        <v>295</v>
      </c>
      <c r="BG32" t="s">
        <v>296</v>
      </c>
      <c r="BH32" t="s">
        <v>1369</v>
      </c>
      <c r="BI32" t="s">
        <v>472</v>
      </c>
      <c r="BJ32" t="s">
        <v>325</v>
      </c>
      <c r="BK32" t="s">
        <v>1370</v>
      </c>
      <c r="BL32" t="s">
        <v>1371</v>
      </c>
      <c r="BM32" t="s">
        <v>1368</v>
      </c>
      <c r="BN32" t="s">
        <v>40</v>
      </c>
      <c r="BO32">
        <v>3.46</v>
      </c>
      <c r="BP32" t="s">
        <v>40</v>
      </c>
      <c r="BQ32">
        <v>-4.4000000000000004</v>
      </c>
      <c r="BR32">
        <v>4.09</v>
      </c>
      <c r="BS32">
        <v>-7.29</v>
      </c>
      <c r="BT32" t="s">
        <v>455</v>
      </c>
      <c r="BU32" t="s">
        <v>379</v>
      </c>
      <c r="BV32">
        <v>13.88</v>
      </c>
      <c r="BW32">
        <v>14.46</v>
      </c>
      <c r="BX32">
        <v>14.15</v>
      </c>
      <c r="BY32">
        <v>-8.2799999999999994</v>
      </c>
      <c r="BZ32">
        <v>5.26</v>
      </c>
      <c r="CA32">
        <v>-9.93</v>
      </c>
      <c r="CB32">
        <v>-3.51</v>
      </c>
      <c r="CC32">
        <v>-4.2699999999999996</v>
      </c>
      <c r="CD32" t="s">
        <v>1372</v>
      </c>
      <c r="CE32" t="s">
        <v>147</v>
      </c>
      <c r="CF32" s="9">
        <v>-0.43908045977011484</v>
      </c>
      <c r="CG32" s="10">
        <v>-1.3147434682550427</v>
      </c>
      <c r="CH32" s="9">
        <v>2.097297191619873</v>
      </c>
      <c r="CI32" s="9">
        <v>1.092896144837141E-2</v>
      </c>
      <c r="CJ32" s="9">
        <v>0.1637519896030426</v>
      </c>
      <c r="CK32" s="9">
        <v>-0.39750957489013672</v>
      </c>
      <c r="CL32" s="9">
        <v>-6.5353572368621826E-2</v>
      </c>
      <c r="CM32" s="10">
        <v>3.4453814029693604</v>
      </c>
      <c r="CN32" s="10">
        <v>1.5483896732330322</v>
      </c>
      <c r="CO32" s="10">
        <v>0.26785287261009216</v>
      </c>
      <c r="CP32" s="10">
        <v>-2.99521803855896</v>
      </c>
      <c r="CQ32" s="10">
        <v>-0.16538070142269135</v>
      </c>
      <c r="CR32">
        <v>194.87811465115121</v>
      </c>
      <c r="CS32">
        <v>5.3860068360859943</v>
      </c>
      <c r="CT32">
        <v>0</v>
      </c>
      <c r="CU32" s="9">
        <v>0.3618229990825057</v>
      </c>
      <c r="CV32" s="10">
        <v>0.42020504176616669</v>
      </c>
      <c r="CW32">
        <v>0.06</v>
      </c>
      <c r="CX32">
        <v>25.423202382109391</v>
      </c>
      <c r="CY32">
        <v>224829268.71645141</v>
      </c>
      <c r="CZ32">
        <v>0.3618229990825057</v>
      </c>
      <c r="DA32">
        <v>6.6497359876883051</v>
      </c>
      <c r="DB32">
        <v>859564952.74138725</v>
      </c>
      <c r="DC32">
        <v>0.3437318491283804</v>
      </c>
      <c r="DD32">
        <v>2.369100229553132</v>
      </c>
      <c r="DE32">
        <v>2412679686.8691998</v>
      </c>
      <c r="DF32">
        <v>0.31840423919260502</v>
      </c>
      <c r="DG32">
        <v>0.95344456062173388</v>
      </c>
      <c r="DH32">
        <v>5994978875.6178112</v>
      </c>
      <c r="DI32">
        <v>0.28945839926600458</v>
      </c>
      <c r="DJ32">
        <v>0.18317734163879898</v>
      </c>
      <c r="DK32">
        <v>31204077692.485268</v>
      </c>
      <c r="DL32">
        <v>0.25327609935775397</v>
      </c>
      <c r="DM32">
        <v>175000000</v>
      </c>
      <c r="DN32">
        <v>0.3618229990825057</v>
      </c>
      <c r="DO32">
        <v>5715880000</v>
      </c>
      <c r="DP32">
        <v>-59026460</v>
      </c>
      <c r="DQ32">
        <v>3904</v>
      </c>
      <c r="DR32">
        <v>-0.80090345885262049</v>
      </c>
      <c r="DS32">
        <v>-1.7349485100212094</v>
      </c>
      <c r="DT32" s="11">
        <v>-0.12333333333333336</v>
      </c>
      <c r="DU32">
        <v>-1.3316666666666668</v>
      </c>
      <c r="DV32">
        <v>-1.4550000000000001</v>
      </c>
      <c r="DW32">
        <v>-8.8220140515222489</v>
      </c>
      <c r="DX32">
        <v>0.46118446601941787</v>
      </c>
      <c r="DY32">
        <v>-8.2475778631681855</v>
      </c>
      <c r="DZ32">
        <v>2875</v>
      </c>
      <c r="EA32">
        <v>-8.1082850340862809</v>
      </c>
      <c r="EB32">
        <v>8</v>
      </c>
      <c r="EC32">
        <v>9.8170886075949371E-2</v>
      </c>
      <c r="ED32">
        <v>0.32594936708860761</v>
      </c>
      <c r="EE32" s="12">
        <v>-3.0343100000000001</v>
      </c>
      <c r="EF32">
        <v>-3.0447099999999998</v>
      </c>
      <c r="EG32">
        <v>16.301184466019418</v>
      </c>
      <c r="EH32" t="s">
        <v>1373</v>
      </c>
      <c r="EI32">
        <v>0</v>
      </c>
      <c r="EJ32">
        <v>0</v>
      </c>
      <c r="EK32" s="8">
        <v>45470</v>
      </c>
      <c r="EL32" s="13">
        <v>-1.57</v>
      </c>
      <c r="EM32" s="13">
        <v>-1.95</v>
      </c>
      <c r="EN32" s="13">
        <v>-9.98</v>
      </c>
      <c r="EO32" s="13">
        <v>1.5</v>
      </c>
      <c r="EP32" s="13">
        <v>-1.04</v>
      </c>
    </row>
  </sheetData>
  <autoFilter ref="BU1:BU33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公路铁路运输&quot;,&quot;&quot;'" altText="更新基本面按钮_x000a_">
                <anchor moveWithCells="1" sizeWithCells="1">
                  <from>
                    <xdr:col>147</xdr:col>
                    <xdr:colOff>254000</xdr:colOff>
                    <xdr:row>0</xdr:row>
                    <xdr:rowOff>101600</xdr:rowOff>
                  </from>
                  <to>
                    <xdr:col>147</xdr:col>
                    <xdr:colOff>1479550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公路铁路运输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2024-07-09T17:05:58Z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