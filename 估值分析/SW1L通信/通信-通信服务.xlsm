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通信\"/>
    </mc:Choice>
  </mc:AlternateContent>
  <bookViews>
    <workbookView xWindow="0" yWindow="0" windowWidth="3800" windowHeight="2950"/>
  </bookViews>
  <sheets>
    <sheet name="通信服务" sheetId="18"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0" i="18"/>
  <c r="C18" i="18"/>
  <c r="C31" i="18"/>
  <c r="C24" i="18"/>
  <c r="C11" i="18"/>
  <c r="C19" i="18"/>
  <c r="C37" i="18"/>
  <c r="C9" i="18"/>
  <c r="C26" i="18"/>
  <c r="C6" i="18"/>
  <c r="C29" i="18"/>
  <c r="C44" i="18"/>
  <c r="C27" i="18"/>
  <c r="C25" i="18"/>
  <c r="C38" i="18"/>
  <c r="C43" i="18"/>
  <c r="C45" i="18"/>
  <c r="C15" i="18"/>
  <c r="C32" i="18"/>
  <c r="C33" i="18"/>
  <c r="C14" i="18"/>
  <c r="C5" i="18"/>
  <c r="C23" i="18"/>
  <c r="C8" i="18"/>
  <c r="C22" i="18"/>
  <c r="C12" i="18"/>
  <c r="C36" i="18"/>
  <c r="C13" i="18"/>
  <c r="C42" i="18"/>
  <c r="C40" i="18"/>
  <c r="C35" i="18"/>
  <c r="C28" i="18"/>
  <c r="C7" i="18"/>
  <c r="C34" i="18"/>
  <c r="C17" i="18"/>
  <c r="C39" i="18"/>
  <c r="C20" i="18"/>
  <c r="C30" i="18"/>
  <c r="C16" i="18"/>
  <c r="C41" i="18"/>
  <c r="C21" i="18"/>
  <c r="C4" i="18"/>
  <c r="C3" i="18"/>
  <c r="C2" i="18"/>
</calcChain>
</file>

<file path=xl/sharedStrings.xml><?xml version="1.0" encoding="utf-8"?>
<sst xmlns="http://schemas.openxmlformats.org/spreadsheetml/2006/main" count="2602" uniqueCount="1844">
  <si>
    <t>&lt;-增速</t>
    <phoneticPr fontId="1" type="noConversion"/>
  </si>
  <si>
    <t>&lt;-估值</t>
    <phoneticPr fontId="1" type="noConversion"/>
  </si>
  <si>
    <t>&lt;-折合年化收益</t>
    <phoneticPr fontId="1" type="noConversion"/>
  </si>
  <si>
    <t>现价</t>
  </si>
  <si>
    <t>市净率</t>
  </si>
  <si>
    <t>--</t>
  </si>
  <si>
    <t>3.48亿</t>
  </si>
  <si>
    <t>总市值</t>
  </si>
  <si>
    <t>TTM市盈率</t>
  </si>
  <si>
    <t>所属行业</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</si>
  <si>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</si>
  <si>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</si>
  <si>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</si>
  <si>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</si>
  <si>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</si>
  <si>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</si>
  <si>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</si>
  <si>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</si>
  <si>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</si>
  <si>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</si>
  <si>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</si>
  <si>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0亿</t>
  </si>
  <si>
    <t>2.18亿</t>
  </si>
  <si>
    <t>1.59亿</t>
  </si>
  <si>
    <t>1.01亿</t>
  </si>
  <si>
    <t>1.22亿</t>
  </si>
  <si>
    <t>1.68亿</t>
  </si>
  <si>
    <t>1.60亿</t>
  </si>
  <si>
    <t>1.15亿</t>
  </si>
  <si>
    <t>2.24亿</t>
  </si>
  <si>
    <t>1.62亿</t>
  </si>
  <si>
    <t>2.02亿</t>
  </si>
  <si>
    <t>1.07亿</t>
  </si>
  <si>
    <t>1.75亿</t>
  </si>
  <si>
    <t>1.30亿</t>
  </si>
  <si>
    <t>1.69亿</t>
  </si>
  <si>
    <t>1.14亿</t>
  </si>
  <si>
    <t>2.50亿</t>
  </si>
  <si>
    <t>1.12亿</t>
  </si>
  <si>
    <t>1.46亿</t>
  </si>
  <si>
    <t>3.22亿</t>
  </si>
  <si>
    <t>7.94亿</t>
  </si>
  <si>
    <t>3.93亿</t>
  </si>
  <si>
    <t>2.30亿</t>
  </si>
  <si>
    <t>1.18亿</t>
  </si>
  <si>
    <t>3.81亿</t>
  </si>
  <si>
    <t>2.33亿</t>
  </si>
  <si>
    <t>1.05亿</t>
  </si>
  <si>
    <t>1.20亿</t>
  </si>
  <si>
    <t>20.67亿</t>
  </si>
  <si>
    <t>1.56亿</t>
  </si>
  <si>
    <t>1.72亿</t>
  </si>
  <si>
    <t>1.04亿</t>
  </si>
  <si>
    <t>1.52亿</t>
  </si>
  <si>
    <t>2.39亿</t>
  </si>
  <si>
    <t>1.71亿</t>
  </si>
  <si>
    <t>1.76亿</t>
  </si>
  <si>
    <t>2.40亿</t>
  </si>
  <si>
    <t>1.98亿</t>
  </si>
  <si>
    <t>2.26亿</t>
  </si>
  <si>
    <t>4.14亿</t>
  </si>
  <si>
    <t>2.15亿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</si>
  <si>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</si>
  <si>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</si>
  <si>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</si>
  <si>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</si>
  <si>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</si>
  <si>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</si>
  <si>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</si>
  <si>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</si>
  <si>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</si>
  <si>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</si>
  <si>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</si>
  <si>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</si>
  <si>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</si>
  <si>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11.42亿</t>
  </si>
  <si>
    <t>7.17亿</t>
  </si>
  <si>
    <t>3.30亿</t>
  </si>
  <si>
    <t>7.88亿</t>
  </si>
  <si>
    <t>7.42亿</t>
  </si>
  <si>
    <t>6.69亿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</si>
  <si>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</si>
  <si>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</si>
  <si>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</si>
  <si>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</si>
  <si>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</si>
  <si>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</si>
  <si>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</si>
  <si>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</si>
  <si>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</si>
  <si>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</si>
  <si>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</si>
  <si>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</si>
  <si>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</si>
  <si>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</si>
  <si>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</si>
  <si>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13.82亿</t>
  </si>
  <si>
    <t>9.83亿</t>
  </si>
  <si>
    <t>5.88亿</t>
  </si>
  <si>
    <t>5.35亿</t>
  </si>
  <si>
    <t>9.29亿</t>
  </si>
  <si>
    <t>7.78亿</t>
  </si>
  <si>
    <t>52.40亿</t>
  </si>
  <si>
    <t>11.02亿</t>
  </si>
  <si>
    <t>-1.33亿</t>
  </si>
  <si>
    <t>代码</t>
  </si>
  <si>
    <t>SZ000889</t>
  </si>
  <si>
    <t>通信服务</t>
  </si>
  <si>
    <t>25.73亿</t>
  </si>
  <si>
    <t>2016.63万</t>
  </si>
  <si>
    <t>31.63亿</t>
  </si>
  <si>
    <t>30.31亿</t>
  </si>
  <si>
    <t>-12.40亿</t>
  </si>
  <si>
    <t>2.53亿</t>
  </si>
  <si>
    <t>SZ000971</t>
  </si>
  <si>
    <t>8.74亿</t>
  </si>
  <si>
    <t>8.25亿</t>
  </si>
  <si>
    <t>9.01亿</t>
  </si>
  <si>
    <t>-23.23亿</t>
  </si>
  <si>
    <t>SZ002115</t>
  </si>
  <si>
    <t>三维通信</t>
  </si>
  <si>
    <t>87.38亿</t>
  </si>
  <si>
    <t>1757.46万</t>
  </si>
  <si>
    <t>55.59亿</t>
  </si>
  <si>
    <t>35.54亿</t>
  </si>
  <si>
    <t>11.81亿</t>
  </si>
  <si>
    <t>8.65亿</t>
  </si>
  <si>
    <t>4727.48万</t>
  </si>
  <si>
    <t>SZ002123</t>
  </si>
  <si>
    <t>梦网科技</t>
  </si>
  <si>
    <t>27.36亿</t>
  </si>
  <si>
    <t>32.01亿</t>
  </si>
  <si>
    <t>27.69亿</t>
  </si>
  <si>
    <t>-2.78亿</t>
  </si>
  <si>
    <t>7857.09万</t>
  </si>
  <si>
    <t>SZ002148</t>
  </si>
  <si>
    <t>北纬科技</t>
  </si>
  <si>
    <t>1554.36万</t>
  </si>
  <si>
    <t>-2836.98万</t>
  </si>
  <si>
    <t>4170.83万</t>
  </si>
  <si>
    <t>5.03亿</t>
  </si>
  <si>
    <t>3.90亿</t>
  </si>
  <si>
    <t>SZ002467</t>
  </si>
  <si>
    <t>二六三</t>
  </si>
  <si>
    <t>9.70亿</t>
  </si>
  <si>
    <t>10.14亿</t>
  </si>
  <si>
    <t>8.36亿</t>
  </si>
  <si>
    <t>8604.22万</t>
  </si>
  <si>
    <t>SZ002544</t>
  </si>
  <si>
    <t>62.95亿</t>
  </si>
  <si>
    <t>9628.18万</t>
  </si>
  <si>
    <t>62.26亿</t>
  </si>
  <si>
    <t>62.68亿</t>
  </si>
  <si>
    <t>3659.66万</t>
  </si>
  <si>
    <t>1378.07万</t>
  </si>
  <si>
    <t>SZ002929</t>
  </si>
  <si>
    <t>润建股份</t>
  </si>
  <si>
    <t>41.93亿</t>
  </si>
  <si>
    <t>37.17亿</t>
  </si>
  <si>
    <t>32.32亿</t>
  </si>
  <si>
    <t>2.06亿</t>
  </si>
  <si>
    <t>SZ300025</t>
  </si>
  <si>
    <t>华星创业</t>
  </si>
  <si>
    <t>-1.50亿</t>
  </si>
  <si>
    <t>10.47亿</t>
  </si>
  <si>
    <t>13.64亿</t>
  </si>
  <si>
    <t>-2.14亿</t>
  </si>
  <si>
    <t>1093.44万</t>
  </si>
  <si>
    <t>SZ300050</t>
  </si>
  <si>
    <t>世纪鼎利</t>
  </si>
  <si>
    <t>6.75亿</t>
  </si>
  <si>
    <t>2592.30万</t>
  </si>
  <si>
    <t>12.44亿</t>
  </si>
  <si>
    <t>-4.83亿</t>
  </si>
  <si>
    <t>5669.34万</t>
  </si>
  <si>
    <t>SZ300081</t>
  </si>
  <si>
    <t>恒信东方</t>
  </si>
  <si>
    <t>-5.13亿</t>
  </si>
  <si>
    <t>5.46亿</t>
  </si>
  <si>
    <t>6.98亿</t>
  </si>
  <si>
    <t>5633.19万</t>
  </si>
  <si>
    <t>SZ300113</t>
  </si>
  <si>
    <t>顺网科技</t>
  </si>
  <si>
    <t>10.44亿</t>
  </si>
  <si>
    <t>9089.38万</t>
  </si>
  <si>
    <t>15.72亿</t>
  </si>
  <si>
    <t>19.85亿</t>
  </si>
  <si>
    <t>8524.89万</t>
  </si>
  <si>
    <t>SZ300292</t>
  </si>
  <si>
    <t>吴通控股</t>
  </si>
  <si>
    <t>37.65亿</t>
  </si>
  <si>
    <t>-5.65亿</t>
  </si>
  <si>
    <t>35.41亿</t>
  </si>
  <si>
    <t>30.37亿</t>
  </si>
  <si>
    <t>25.58亿</t>
  </si>
  <si>
    <t>6887.14万</t>
  </si>
  <si>
    <t>-11.58亿</t>
  </si>
  <si>
    <t>SZ300310</t>
  </si>
  <si>
    <t>宜通世纪</t>
  </si>
  <si>
    <t>22.14亿</t>
  </si>
  <si>
    <t>2077.77万</t>
  </si>
  <si>
    <t>24.86亿</t>
  </si>
  <si>
    <t>25.79亿</t>
  </si>
  <si>
    <t>3171.62万</t>
  </si>
  <si>
    <t>-19.69亿</t>
  </si>
  <si>
    <t>4.39亿</t>
  </si>
  <si>
    <t>SZ300513</t>
  </si>
  <si>
    <t>恒实科技</t>
  </si>
  <si>
    <t>14.17亿</t>
  </si>
  <si>
    <t>14.04亿</t>
  </si>
  <si>
    <t>10.91亿</t>
  </si>
  <si>
    <t>SZ300560</t>
  </si>
  <si>
    <t>中富通</t>
  </si>
  <si>
    <t>8276.91万</t>
  </si>
  <si>
    <t>7.14亿</t>
  </si>
  <si>
    <t>5.48亿</t>
  </si>
  <si>
    <t>5686.74万</t>
  </si>
  <si>
    <t>5850.61万</t>
  </si>
  <si>
    <t>SZ300578</t>
  </si>
  <si>
    <t>会畅通讯</t>
  </si>
  <si>
    <t>9019.70万</t>
  </si>
  <si>
    <t>1613.07万</t>
  </si>
  <si>
    <t>SZ300597</t>
  </si>
  <si>
    <t>吉大通信</t>
  </si>
  <si>
    <t>4.93亿</t>
  </si>
  <si>
    <t>3035.27万</t>
  </si>
  <si>
    <t>4.30亿</t>
  </si>
  <si>
    <t>4.23亿</t>
  </si>
  <si>
    <t>4194.69万</t>
  </si>
  <si>
    <t>4388.21万</t>
  </si>
  <si>
    <t>SZ300603</t>
  </si>
  <si>
    <t>立昂技术</t>
  </si>
  <si>
    <t>10.06亿</t>
  </si>
  <si>
    <t>-9.13亿</t>
  </si>
  <si>
    <t>4135.35万</t>
  </si>
  <si>
    <t>SZ300921</t>
  </si>
  <si>
    <t>南凌科技</t>
  </si>
  <si>
    <t>4.95亿</t>
  </si>
  <si>
    <t>7606.84万</t>
  </si>
  <si>
    <t>5.02亿</t>
  </si>
  <si>
    <t>4.21亿</t>
  </si>
  <si>
    <t>7190.12万</t>
  </si>
  <si>
    <t>5508.28万</t>
  </si>
  <si>
    <t>SZ300959</t>
  </si>
  <si>
    <t>线上线下</t>
  </si>
  <si>
    <t>8331.89万</t>
  </si>
  <si>
    <t>5.32亿</t>
  </si>
  <si>
    <t>4.59亿</t>
  </si>
  <si>
    <t>6038.42万</t>
  </si>
  <si>
    <t>5518.19万</t>
  </si>
  <si>
    <t>SH600050</t>
  </si>
  <si>
    <t>中国联通</t>
  </si>
  <si>
    <t>3038.38亿</t>
  </si>
  <si>
    <t>2905.15亿</t>
  </si>
  <si>
    <t>2908.77亿</t>
  </si>
  <si>
    <t>SH600289</t>
  </si>
  <si>
    <t>7.34亿</t>
  </si>
  <si>
    <t>12.54亿</t>
  </si>
  <si>
    <t>15.03亿</t>
  </si>
  <si>
    <t>-14.74亿</t>
  </si>
  <si>
    <t>SH600804</t>
  </si>
  <si>
    <t>5.64亿</t>
  </si>
  <si>
    <t>60.50亿</t>
  </si>
  <si>
    <t>68.60亿</t>
  </si>
  <si>
    <t>-57.51亿</t>
  </si>
  <si>
    <t>SH601728</t>
  </si>
  <si>
    <t>中国电信</t>
  </si>
  <si>
    <t>3899.39亿</t>
  </si>
  <si>
    <t>208.55亿</t>
  </si>
  <si>
    <t>3722.00亿</t>
  </si>
  <si>
    <t>3749.29亿</t>
  </si>
  <si>
    <t>205.21亿</t>
  </si>
  <si>
    <t>204.32亿</t>
  </si>
  <si>
    <t>SH603220</t>
  </si>
  <si>
    <t>中贝通信</t>
  </si>
  <si>
    <t>5693.04万</t>
  </si>
  <si>
    <t>18.32亿</t>
  </si>
  <si>
    <t>17.51亿</t>
  </si>
  <si>
    <t>SH603322</t>
  </si>
  <si>
    <t>超讯通信</t>
  </si>
  <si>
    <t>14.78亿</t>
  </si>
  <si>
    <t>3960.14万</t>
  </si>
  <si>
    <t>12.67亿</t>
  </si>
  <si>
    <t>13.95亿</t>
  </si>
  <si>
    <t>-9334.11万</t>
  </si>
  <si>
    <t>2484.28万</t>
  </si>
  <si>
    <t>SH603559</t>
  </si>
  <si>
    <t>6.57亿</t>
  </si>
  <si>
    <t>-99.24万</t>
  </si>
  <si>
    <t>1.64亿</t>
  </si>
  <si>
    <t>7.23亿</t>
  </si>
  <si>
    <t>1689.62万</t>
  </si>
  <si>
    <t>4927.66万</t>
  </si>
  <si>
    <t>SH603602</t>
  </si>
  <si>
    <t>纵横通信</t>
  </si>
  <si>
    <t>1660.94万</t>
  </si>
  <si>
    <t>5.84亿</t>
  </si>
  <si>
    <t>5.11亿</t>
  </si>
  <si>
    <t>3850.57万</t>
  </si>
  <si>
    <t>4452.25万</t>
  </si>
  <si>
    <t>通过数据网格和服务网格构建的短信发送平台可以稳定地完成短期内大量短
信的发送任务，此外，该平台还具有海量内容相似处理、数据实时存储及系统崩溃及时恢复等功能，可以实现良好的后台支持功能</t>
    <phoneticPr fontId="1" type="noConversion"/>
  </si>
  <si>
    <r>
      <t>1.企业短信服务是公司最主要的业务，公司自成立以来一直从事企业短信相关业务，2020年短信业务占比100%；2.即时通信应用的冲击；3.行业竞争进一步加剧；3.</t>
    </r>
    <r>
      <rPr>
        <sz val="9"/>
        <color rgb="FFFF0000"/>
        <rFont val="宋体"/>
        <family val="3"/>
        <charset val="134"/>
        <scheme val="minor"/>
      </rPr>
      <t>营收3个季度单季维持在3.4亿左右，需要观察的是突破以及天花板</t>
    </r>
    <phoneticPr fontId="1" type="noConversion"/>
  </si>
  <si>
    <t>流通股本</t>
  </si>
  <si>
    <t>净利润[20201231]</t>
  </si>
  <si>
    <t>投入资本回报率roic%[20201231]</t>
  </si>
  <si>
    <t>净资产收益率%[20201231]</t>
  </si>
  <si>
    <t>19.51亿</t>
  </si>
  <si>
    <t>-20.05亿</t>
  </si>
  <si>
    <t>1.10亿</t>
  </si>
  <si>
    <t>7.19亿</t>
  </si>
  <si>
    <t>-4.89亿</t>
  </si>
  <si>
    <t>102.64亿</t>
  </si>
  <si>
    <t>-7.04亿</t>
  </si>
  <si>
    <t>1.21亿</t>
  </si>
  <si>
    <t>31.75亿</t>
  </si>
  <si>
    <t>-2.38亿</t>
  </si>
  <si>
    <t>1.42亿</t>
  </si>
  <si>
    <t>5592.38万</t>
  </si>
  <si>
    <t>8.91亿</t>
  </si>
  <si>
    <t>3338.85万</t>
  </si>
  <si>
    <t>65.53亿</t>
  </si>
  <si>
    <t>66.02亿</t>
  </si>
  <si>
    <t>3.53亿</t>
  </si>
  <si>
    <t>2.62亿</t>
  </si>
  <si>
    <t>3.00亿</t>
  </si>
  <si>
    <t>-2468.03万</t>
  </si>
  <si>
    <t>3.77亿</t>
  </si>
  <si>
    <t>-13.93亿</t>
  </si>
  <si>
    <t>4.87亿</t>
  </si>
  <si>
    <t>6117.36万</t>
  </si>
  <si>
    <t>1.82亿</t>
  </si>
  <si>
    <t>42.32亿</t>
  </si>
  <si>
    <t>6072.98万</t>
  </si>
  <si>
    <t>23.37亿</t>
  </si>
  <si>
    <t>5381.65万</t>
  </si>
  <si>
    <t>12.25亿</t>
  </si>
  <si>
    <t>-1.85亿</t>
  </si>
  <si>
    <t>9.77亿</t>
  </si>
  <si>
    <t>7293.77万</t>
  </si>
  <si>
    <t>6.78亿</t>
  </si>
  <si>
    <t>-2.35亿</t>
  </si>
  <si>
    <t>5.14亿</t>
  </si>
  <si>
    <t>3381.92万</t>
  </si>
  <si>
    <t>9.68亿</t>
  </si>
  <si>
    <t>-5.47亿</t>
  </si>
  <si>
    <t>2.58亿</t>
  </si>
  <si>
    <t>5.77亿</t>
  </si>
  <si>
    <t>6281.99万</t>
  </si>
  <si>
    <t>12.95亿</t>
  </si>
  <si>
    <t>8489.68万</t>
  </si>
  <si>
    <t>-2.01亿</t>
  </si>
  <si>
    <t>-1.89亿</t>
  </si>
  <si>
    <t>-3.30亿</t>
  </si>
  <si>
    <t>39.52亿</t>
  </si>
  <si>
    <t>-11.68亿</t>
  </si>
  <si>
    <t>SH600941</t>
  </si>
  <si>
    <t>中国移动</t>
  </si>
  <si>
    <t>8482.58亿</t>
  </si>
  <si>
    <t>1159.37亿</t>
  </si>
  <si>
    <t>7680.70亿</t>
  </si>
  <si>
    <t>7459.17亿</t>
  </si>
  <si>
    <t>7368.19亿</t>
  </si>
  <si>
    <t>1078.37亿</t>
  </si>
  <si>
    <t>1063.25亿</t>
  </si>
  <si>
    <t>1166.99亿</t>
  </si>
  <si>
    <t>26.41亿</t>
  </si>
  <si>
    <t>1.35亿</t>
  </si>
  <si>
    <t>1.40亿</t>
  </si>
  <si>
    <t>14.84亿</t>
  </si>
  <si>
    <t>-2.31亿</t>
  </si>
  <si>
    <t>5.18亿</t>
  </si>
  <si>
    <t>-3.56亿</t>
  </si>
  <si>
    <t>8.84亿</t>
  </si>
  <si>
    <t>1773.01万</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</si>
  <si>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</si>
  <si>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</si>
  <si>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</si>
  <si>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</si>
  <si>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</si>
  <si>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</si>
  <si>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</si>
  <si>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</si>
  <si>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</si>
  <si>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</si>
  <si>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</si>
  <si>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</si>
  <si>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</si>
  <si>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</si>
  <si>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</si>
  <si>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</si>
  <si>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</si>
  <si>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6年自由现金流折现</t>
    <phoneticPr fontId="1" type="noConversion"/>
  </si>
  <si>
    <t>10增速</t>
    <phoneticPr fontId="1" type="noConversion"/>
  </si>
  <si>
    <t>原始顺序</t>
    <phoneticPr fontId="1" type="noConversion"/>
  </si>
  <si>
    <t>价格变动策略</t>
    <phoneticPr fontId="1" type="noConversion"/>
  </si>
  <si>
    <t>综合策略</t>
    <phoneticPr fontId="1" type="noConversion"/>
  </si>
  <si>
    <t>30日成交换手率</t>
    <phoneticPr fontId="1" type="noConversion"/>
  </si>
  <si>
    <t>昨日价格累计指数</t>
    <phoneticPr fontId="1" type="noConversion"/>
  </si>
  <si>
    <t>成交量异动策略</t>
    <phoneticPr fontId="1" type="noConversion"/>
  </si>
  <si>
    <t>价格箱体形态过滤</t>
    <phoneticPr fontId="1" type="noConversion"/>
  </si>
  <si>
    <t>N日期</t>
    <phoneticPr fontId="1" type="noConversion"/>
  </si>
  <si>
    <t>N-2</t>
    <phoneticPr fontId="1" type="noConversion"/>
  </si>
  <si>
    <t>N-1</t>
    <phoneticPr fontId="1" type="noConversion"/>
  </si>
  <si>
    <t>SZ000839</t>
  </si>
  <si>
    <t>26.60亿</t>
  </si>
  <si>
    <t>-14.76亿</t>
  </si>
  <si>
    <t>23.59亿</t>
  </si>
  <si>
    <t>35.01亿</t>
  </si>
  <si>
    <t>39.74亿</t>
  </si>
  <si>
    <t>-26.35亿</t>
  </si>
  <si>
    <t>648.83万</t>
  </si>
  <si>
    <t>20.06亿</t>
  </si>
  <si>
    <t>亏损</t>
  </si>
  <si>
    <t>扭亏</t>
  </si>
  <si>
    <t>1-0</t>
  </si>
  <si>
    <t>ST中嘉</t>
  </si>
  <si>
    <t>1000.00万</t>
  </si>
  <si>
    <t/>
  </si>
  <si>
    <t>-6.05亿</t>
  </si>
  <si>
    <t>1.50亿</t>
  </si>
  <si>
    <t>2.63亿</t>
  </si>
  <si>
    <t>普天科技</t>
  </si>
  <si>
    <t>1.55亿</t>
  </si>
  <si>
    <t>1.36亿</t>
  </si>
  <si>
    <t>1.66亿</t>
  </si>
  <si>
    <t>4.24亿</t>
  </si>
  <si>
    <t>-1-1</t>
  </si>
  <si>
    <t>-1-0</t>
  </si>
  <si>
    <t>1.57亿</t>
  </si>
  <si>
    <t>2-0</t>
  </si>
  <si>
    <t>3.64亿</t>
  </si>
  <si>
    <t>2.65亿</t>
  </si>
  <si>
    <t>SZ301139</t>
  </si>
  <si>
    <t>元道通信</t>
  </si>
  <si>
    <t>16.25亿</t>
  </si>
  <si>
    <t>7.53亿</t>
  </si>
  <si>
    <t>4.62亿</t>
  </si>
  <si>
    <t>8766.87万</t>
  </si>
  <si>
    <t>6226.80万</t>
  </si>
  <si>
    <t>3576.60万</t>
  </si>
  <si>
    <t>1.37亿</t>
  </si>
  <si>
    <t>2-1</t>
  </si>
  <si>
    <t>SH603206</t>
  </si>
  <si>
    <t>嘉环科技</t>
  </si>
  <si>
    <t>35.55亿</t>
  </si>
  <si>
    <t>2.10亿</t>
  </si>
  <si>
    <t>29.26亿</t>
  </si>
  <si>
    <t>22.65亿</t>
  </si>
  <si>
    <t>18.26亿</t>
  </si>
  <si>
    <t>8934.82万</t>
  </si>
  <si>
    <t>5596.43万</t>
  </si>
  <si>
    <t>1.41亿</t>
  </si>
  <si>
    <t>-2-0</t>
  </si>
  <si>
    <t>6.67亿</t>
  </si>
  <si>
    <t>1.09亿</t>
  </si>
  <si>
    <t>2.09亿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</si>
  <si>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</si>
  <si>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</si>
  <si>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</si>
  <si>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</si>
  <si>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</si>
  <si>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</si>
  <si>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</si>
  <si>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</si>
  <si>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</si>
  <si>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</si>
  <si>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</si>
  <si>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</si>
  <si>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</si>
  <si>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</si>
  <si>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</si>
  <si>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</si>
  <si>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</si>
  <si>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</si>
  <si>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</si>
  <si>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</si>
  <si>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</si>
  <si>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</si>
  <si>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</si>
  <si>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</si>
  <si>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</si>
  <si>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</si>
  <si>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</si>
  <si>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</si>
  <si>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</si>
  <si>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</si>
  <si>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</si>
  <si>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</si>
  <si>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市销率</t>
    <phoneticPr fontId="1" type="noConversion"/>
  </si>
  <si>
    <t>扣非对比净利润</t>
    <phoneticPr fontId="1" type="noConversion"/>
  </si>
  <si>
    <t>股利率</t>
    <phoneticPr fontId="1" type="noConversion"/>
  </si>
  <si>
    <t>过往利润增速均值</t>
    <phoneticPr fontId="1" type="noConversion"/>
  </si>
  <si>
    <t>3年自由现金流折现</t>
    <phoneticPr fontId="1" type="noConversion"/>
  </si>
  <si>
    <t>10年自由现金流折现</t>
    <phoneticPr fontId="1" type="noConversion"/>
  </si>
  <si>
    <t>承担负债现期溢价</t>
    <phoneticPr fontId="1" type="noConversion"/>
  </si>
  <si>
    <t>清算价格</t>
    <phoneticPr fontId="1" type="noConversion"/>
  </si>
  <si>
    <t>策略1营收单季最佳增速</t>
    <phoneticPr fontId="1" type="noConversion"/>
  </si>
  <si>
    <t>营收和利润加权</t>
    <phoneticPr fontId="1" type="noConversion"/>
  </si>
  <si>
    <t>N</t>
    <phoneticPr fontId="1" type="noConversion"/>
  </si>
  <si>
    <t>过往营收增速均值</t>
    <phoneticPr fontId="1" type="noConversion"/>
  </si>
  <si>
    <t>折现率</t>
    <phoneticPr fontId="1" type="noConversion"/>
  </si>
  <si>
    <t>1年自由现金流折现</t>
    <phoneticPr fontId="1" type="noConversion"/>
  </si>
  <si>
    <t>1增速</t>
    <phoneticPr fontId="1" type="noConversion"/>
  </si>
  <si>
    <t>3增速</t>
    <phoneticPr fontId="1" type="noConversion"/>
  </si>
  <si>
    <t>6增速</t>
    <phoneticPr fontId="1" type="noConversion"/>
  </si>
  <si>
    <t>20年自由现金流折现</t>
    <phoneticPr fontId="1" type="noConversion"/>
  </si>
  <si>
    <t>策略1利润单季最佳增速</t>
    <phoneticPr fontId="1" type="noConversion"/>
  </si>
  <si>
    <t>营收成长策略</t>
    <phoneticPr fontId="1" type="noConversion"/>
  </si>
  <si>
    <t>利润成长策略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</si>
  <si>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</si>
  <si>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</si>
  <si>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</si>
  <si>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</si>
  <si>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</si>
  <si>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今日价格累积指数</t>
    <phoneticPr fontId="1" type="noConversion"/>
  </si>
  <si>
    <t>价格右侧初期策略</t>
    <phoneticPr fontId="1" type="noConversion"/>
  </si>
  <si>
    <t>N-4</t>
    <phoneticPr fontId="1" type="noConversion"/>
  </si>
  <si>
    <t>N-3</t>
    <phoneticPr fontId="1" type="noConversion"/>
  </si>
  <si>
    <t>5.28亿</t>
  </si>
  <si>
    <t>不分配不转增</t>
  </si>
  <si>
    <t>9.13亿</t>
  </si>
  <si>
    <t>3-0</t>
  </si>
  <si>
    <t>1.73亿</t>
  </si>
  <si>
    <t>10派2元(含税)</t>
  </si>
  <si>
    <t>3.76亿</t>
  </si>
  <si>
    <t>12.60亿</t>
  </si>
  <si>
    <t>-2-1</t>
  </si>
  <si>
    <t>6.76亿</t>
  </si>
  <si>
    <t>1.84亿</t>
  </si>
  <si>
    <t>2.13亿</t>
  </si>
  <si>
    <t>4.68亿</t>
  </si>
  <si>
    <t>3.66亿</t>
  </si>
  <si>
    <t>SZ301380</t>
  </si>
  <si>
    <t>挖金客</t>
  </si>
  <si>
    <t>6.68亿</t>
  </si>
  <si>
    <t>6514.81万</t>
  </si>
  <si>
    <t>7217.75万</t>
  </si>
  <si>
    <t>1.16亿</t>
  </si>
  <si>
    <t>6153.96万</t>
  </si>
  <si>
    <t>1.34亿</t>
  </si>
  <si>
    <t>1.26亿</t>
  </si>
  <si>
    <t>3.25亿</t>
  </si>
  <si>
    <t>2.72亿</t>
  </si>
  <si>
    <t>-1.49亿</t>
  </si>
  <si>
    <t>8.41亿</t>
  </si>
  <si>
    <t>3.14亿</t>
  </si>
  <si>
    <t>27.07亿</t>
  </si>
  <si>
    <t>-13.88亿</t>
  </si>
  <si>
    <t>7.12亿</t>
  </si>
  <si>
    <t>15.16亿</t>
  </si>
  <si>
    <t>3.29亿</t>
  </si>
  <si>
    <t>4.41亿</t>
  </si>
  <si>
    <t>5.15亿</t>
  </si>
  <si>
    <t>-5.36亿</t>
  </si>
  <si>
    <t>9.86亿</t>
  </si>
  <si>
    <t>1.87亿</t>
  </si>
  <si>
    <t>7.66亿</t>
  </si>
  <si>
    <t>102.96亿</t>
  </si>
  <si>
    <t>41.57亿</t>
  </si>
  <si>
    <t>-7.22亿</t>
  </si>
  <si>
    <t>4.63亿</t>
  </si>
  <si>
    <t>21.58亿</t>
  </si>
  <si>
    <t>2.34亿</t>
  </si>
  <si>
    <t>1.06亿</t>
  </si>
  <si>
    <t>8.95亿</t>
  </si>
  <si>
    <t>3203.02万</t>
  </si>
  <si>
    <t>1.08亿</t>
  </si>
  <si>
    <t>70.76亿</t>
  </si>
  <si>
    <t>7.39亿</t>
  </si>
  <si>
    <t>2.00亿</t>
  </si>
  <si>
    <t>81.59亿</t>
  </si>
  <si>
    <t>10派2.5元(含税)</t>
  </si>
  <si>
    <t>1.43亿</t>
  </si>
  <si>
    <t>1395.58万</t>
  </si>
  <si>
    <t>1.70亿</t>
  </si>
  <si>
    <t>1.45亿</t>
  </si>
  <si>
    <t>开始亏损</t>
  </si>
  <si>
    <t>4.89亿</t>
  </si>
  <si>
    <t>-4.21亿</t>
  </si>
  <si>
    <t>11.24亿</t>
  </si>
  <si>
    <t>-4.06亿</t>
  </si>
  <si>
    <t>36.07亿</t>
  </si>
  <si>
    <t>2024.51万</t>
  </si>
  <si>
    <t>25.92亿</t>
  </si>
  <si>
    <t>1976.20万</t>
  </si>
  <si>
    <t>5.62亿</t>
  </si>
  <si>
    <t>SZ300383</t>
  </si>
  <si>
    <t>光环新网</t>
  </si>
  <si>
    <t>71.91亿</t>
  </si>
  <si>
    <t>-8.80亿</t>
  </si>
  <si>
    <t>-1.27亿</t>
  </si>
  <si>
    <t>77.00亿</t>
  </si>
  <si>
    <t>74.76亿</t>
  </si>
  <si>
    <t>70.97亿</t>
  </si>
  <si>
    <t>60.23亿</t>
  </si>
  <si>
    <t>4.36亿</t>
  </si>
  <si>
    <t>SZ300442</t>
  </si>
  <si>
    <t>润泽科技</t>
  </si>
  <si>
    <t>27.15亿</t>
  </si>
  <si>
    <t>11.98亿</t>
  </si>
  <si>
    <t>20.47亿</t>
  </si>
  <si>
    <t>6.40亿</t>
  </si>
  <si>
    <t>5.80亿</t>
  </si>
  <si>
    <t>7.22亿</t>
  </si>
  <si>
    <t>-2.27亿</t>
  </si>
  <si>
    <t>1340.56万</t>
  </si>
  <si>
    <t>-2.41亿</t>
  </si>
  <si>
    <t>12.62亿</t>
  </si>
  <si>
    <t>3075.49万</t>
  </si>
  <si>
    <t>5.89亿</t>
  </si>
  <si>
    <t>1.25亿</t>
  </si>
  <si>
    <t>2.86亿</t>
  </si>
  <si>
    <t>10.56亿</t>
  </si>
  <si>
    <t>6.70亿</t>
  </si>
  <si>
    <t>1688.58万</t>
  </si>
  <si>
    <t>2242.75万</t>
  </si>
  <si>
    <t>7.57亿</t>
  </si>
  <si>
    <t>-3.28亿</t>
  </si>
  <si>
    <t>7.15亿</t>
  </si>
  <si>
    <t>SZ300738</t>
  </si>
  <si>
    <t>奥飞数据</t>
  </si>
  <si>
    <t>10.97亿</t>
  </si>
  <si>
    <t>12.05亿</t>
  </si>
  <si>
    <t>8.83亿</t>
  </si>
  <si>
    <t>4.11亿</t>
  </si>
  <si>
    <t>3.79亿</t>
  </si>
  <si>
    <t>5792.83万</t>
  </si>
  <si>
    <t>3.86亿</t>
  </si>
  <si>
    <t>SZ300846</t>
  </si>
  <si>
    <t>首都在线</t>
  </si>
  <si>
    <t>12.23亿</t>
  </si>
  <si>
    <t>12.20亿</t>
  </si>
  <si>
    <t>10.09亿</t>
  </si>
  <si>
    <t>6.03亿</t>
  </si>
  <si>
    <t>2186.24万</t>
  </si>
  <si>
    <t>4008.17万</t>
  </si>
  <si>
    <t>6651.70万</t>
  </si>
  <si>
    <t>5780.25万</t>
  </si>
  <si>
    <t>SZ300895</t>
  </si>
  <si>
    <t>铜牛信息</t>
  </si>
  <si>
    <t>3.10亿</t>
  </si>
  <si>
    <t>4858.39万</t>
  </si>
  <si>
    <t>5553.25万</t>
  </si>
  <si>
    <t>5285.99万</t>
  </si>
  <si>
    <t>4407.14万</t>
  </si>
  <si>
    <t>1.53亿</t>
  </si>
  <si>
    <t>8.37亿</t>
  </si>
  <si>
    <t>5.67亿</t>
  </si>
  <si>
    <t>19.37亿</t>
  </si>
  <si>
    <t>5011.88万</t>
  </si>
  <si>
    <t>21.11亿</t>
  </si>
  <si>
    <t>6.53亿</t>
  </si>
  <si>
    <t>4759.82万</t>
  </si>
  <si>
    <t>1.86亿</t>
  </si>
  <si>
    <t>SZ301382</t>
  </si>
  <si>
    <t>蜂助手</t>
  </si>
  <si>
    <t>8.79亿</t>
  </si>
  <si>
    <t>5.04亿</t>
  </si>
  <si>
    <t>2.91亿</t>
  </si>
  <si>
    <t>8586.71万</t>
  </si>
  <si>
    <t>6244.05万</t>
  </si>
  <si>
    <t>4129.87万</t>
  </si>
  <si>
    <t>SZ301428</t>
  </si>
  <si>
    <t>世纪恒通</t>
  </si>
  <si>
    <t>9.15亿</t>
  </si>
  <si>
    <t>8.99亿</t>
  </si>
  <si>
    <t>10.18亿</t>
  </si>
  <si>
    <t>3.44亿</t>
  </si>
  <si>
    <t>7148.74万</t>
  </si>
  <si>
    <t>7710.68万</t>
  </si>
  <si>
    <t>5075.56万</t>
  </si>
  <si>
    <t>3902.83万</t>
  </si>
  <si>
    <t>3549.44亿</t>
  </si>
  <si>
    <t>72.99亿</t>
  </si>
  <si>
    <t>6.56亿</t>
  </si>
  <si>
    <t>2.61亿</t>
  </si>
  <si>
    <t>-3.50亿</t>
  </si>
  <si>
    <t>37.05亿</t>
  </si>
  <si>
    <t>9372.59亿</t>
  </si>
  <si>
    <t>1254.59亿</t>
  </si>
  <si>
    <t>4749.67亿</t>
  </si>
  <si>
    <t>275.93亿</t>
  </si>
  <si>
    <t>4341.60亿</t>
  </si>
  <si>
    <t>259.53亿</t>
  </si>
  <si>
    <t>SH603003</t>
  </si>
  <si>
    <t>99.84亿</t>
  </si>
  <si>
    <t>3240.92万</t>
  </si>
  <si>
    <t>79.76亿</t>
  </si>
  <si>
    <t>89.43亿</t>
  </si>
  <si>
    <t>134.98亿</t>
  </si>
  <si>
    <t>160.36亿</t>
  </si>
  <si>
    <t>-6756.59万</t>
  </si>
  <si>
    <t>654.91万</t>
  </si>
  <si>
    <t>6352.87万</t>
  </si>
  <si>
    <t>39.32亿</t>
  </si>
  <si>
    <t>2.14亿</t>
  </si>
  <si>
    <t>26.43亿</t>
  </si>
  <si>
    <t>20.26亿</t>
  </si>
  <si>
    <t>1518.96万</t>
  </si>
  <si>
    <t>-1.52亿</t>
  </si>
  <si>
    <t>11.34亿</t>
  </si>
  <si>
    <t>SH603881</t>
  </si>
  <si>
    <t>数据港</t>
  </si>
  <si>
    <t>14.55亿</t>
  </si>
  <si>
    <t>12.45亿</t>
  </si>
  <si>
    <t>9.10亿</t>
  </si>
  <si>
    <t>7.27亿</t>
  </si>
  <si>
    <t>SH603887</t>
  </si>
  <si>
    <t>城地香江</t>
  </si>
  <si>
    <t>26.84亿</t>
  </si>
  <si>
    <t>29.07亿</t>
  </si>
  <si>
    <t>39.33亿</t>
  </si>
  <si>
    <t>29.24亿</t>
  </si>
  <si>
    <t>3.31亿</t>
  </si>
  <si>
    <t>7217.99万</t>
  </si>
  <si>
    <t>-1.99亿</t>
  </si>
  <si>
    <t>2.36亿</t>
  </si>
  <si>
    <t>2.08亿</t>
  </si>
  <si>
    <t>7.71亿</t>
  </si>
  <si>
    <t>-2.42亿</t>
  </si>
  <si>
    <t>1.44亿</t>
  </si>
  <si>
    <t>3331.11万</t>
  </si>
  <si>
    <t>25.47亿</t>
  </si>
  <si>
    <t>99.42亿</t>
  </si>
  <si>
    <t>98.23亿</t>
  </si>
  <si>
    <t>94.83亿</t>
  </si>
  <si>
    <t>7847.65万</t>
  </si>
  <si>
    <t>4454496亿</t>
  </si>
  <si>
    <t>486.43万</t>
  </si>
  <si>
    <t>80899346亿</t>
  </si>
  <si>
    <t>922451450亿</t>
  </si>
  <si>
    <t>732.52万</t>
  </si>
  <si>
    <t>2930056400亿</t>
  </si>
  <si>
    <t>4465.25万</t>
  </si>
  <si>
    <t>6.71亿</t>
  </si>
  <si>
    <t>1910.52万</t>
  </si>
  <si>
    <t>19.11亿</t>
  </si>
  <si>
    <t>3363.96万</t>
  </si>
  <si>
    <t>-3.51亿</t>
  </si>
  <si>
    <t>-2729.86万</t>
  </si>
  <si>
    <t>65.72亿</t>
  </si>
  <si>
    <t>74.19亿</t>
  </si>
  <si>
    <t>48.82亿</t>
  </si>
  <si>
    <t>5531.81万</t>
  </si>
  <si>
    <t>8839.96万</t>
  </si>
  <si>
    <t>4958.34万</t>
  </si>
  <si>
    <t>6.95亿</t>
  </si>
  <si>
    <t>34.37亿</t>
  </si>
  <si>
    <t>1.24亿</t>
  </si>
  <si>
    <t>5.19亿</t>
  </si>
  <si>
    <t>1.95亿</t>
  </si>
  <si>
    <t>-4-1</t>
  </si>
  <si>
    <t>1.51亿</t>
  </si>
  <si>
    <t>1.79亿</t>
  </si>
  <si>
    <t>6.60亿</t>
  </si>
  <si>
    <t>6.08亿</t>
  </si>
  <si>
    <t>3.50亿</t>
  </si>
  <si>
    <t>1.77亿</t>
  </si>
  <si>
    <t>1.96亿</t>
  </si>
  <si>
    <t>1.99亿</t>
  </si>
  <si>
    <t>-3-0</t>
  </si>
  <si>
    <t>2.07亿</t>
  </si>
  <si>
    <t>3.04亿</t>
  </si>
  <si>
    <t>600.00万</t>
  </si>
  <si>
    <t>-1.25亿</t>
  </si>
  <si>
    <t>17.26亿</t>
  </si>
  <si>
    <t>7-1</t>
  </si>
  <si>
    <t>-1.19亿</t>
  </si>
  <si>
    <t>2988.45万</t>
  </si>
  <si>
    <t>11.64亿</t>
  </si>
  <si>
    <t>13.17亿</t>
  </si>
  <si>
    <t>24.85亿</t>
  </si>
  <si>
    <t>22.92亿</t>
  </si>
  <si>
    <t>3938.92万</t>
  </si>
  <si>
    <t>6949.81万</t>
  </si>
  <si>
    <t>4531.48万</t>
  </si>
  <si>
    <t>1939094亿</t>
  </si>
  <si>
    <t>111.66万</t>
  </si>
  <si>
    <t>61862401亿</t>
  </si>
  <si>
    <t>2.81亿</t>
  </si>
  <si>
    <t>381285170亿</t>
  </si>
  <si>
    <t>909.77万</t>
  </si>
  <si>
    <t>2085846300亿</t>
  </si>
  <si>
    <t>1948.26万</t>
  </si>
  <si>
    <t>4.47亿</t>
  </si>
  <si>
    <t>4295.84万</t>
  </si>
  <si>
    <t>5.69亿</t>
  </si>
  <si>
    <t>229.48万</t>
  </si>
  <si>
    <t>11.59亿</t>
  </si>
  <si>
    <t>-117.60万</t>
  </si>
  <si>
    <t>-1.44亿</t>
  </si>
  <si>
    <t>16.43亿</t>
  </si>
  <si>
    <t>29.55亿</t>
  </si>
  <si>
    <t>18.91亿</t>
  </si>
  <si>
    <t>3047.86万</t>
  </si>
  <si>
    <t>2084.73万</t>
  </si>
  <si>
    <t>2236.16万</t>
  </si>
  <si>
    <t>7.79亿</t>
  </si>
  <si>
    <t>11.72亿</t>
  </si>
  <si>
    <t>18.55亿</t>
  </si>
  <si>
    <t>17.23亿</t>
  </si>
  <si>
    <t>6.04亿</t>
  </si>
  <si>
    <t>30.08亿</t>
  </si>
  <si>
    <t>4.70亿</t>
  </si>
  <si>
    <t>11.76亿</t>
  </si>
  <si>
    <t>6.05亿</t>
  </si>
  <si>
    <t>1.58亿</t>
  </si>
  <si>
    <t>3.62亿</t>
  </si>
  <si>
    <t>3.58亿</t>
  </si>
  <si>
    <t>1.11亿</t>
  </si>
  <si>
    <t>-5-0</t>
  </si>
  <si>
    <t>8.62亿</t>
  </si>
  <si>
    <t>8.06亿</t>
  </si>
  <si>
    <t>1.02亿</t>
  </si>
  <si>
    <t>3.80亿</t>
  </si>
  <si>
    <t>8.05亿</t>
  </si>
  <si>
    <t>4.34亿</t>
  </si>
  <si>
    <t>13.21亿</t>
  </si>
  <si>
    <t>10.83亿</t>
  </si>
  <si>
    <t>7.51亿</t>
  </si>
  <si>
    <t>12.16亿</t>
  </si>
  <si>
    <t>6.10亿</t>
  </si>
  <si>
    <t>6.28亿</t>
  </si>
  <si>
    <t>14.30亿</t>
  </si>
  <si>
    <t>8.08亿</t>
  </si>
  <si>
    <t>9.87亿</t>
  </si>
  <si>
    <t>7.49亿</t>
  </si>
  <si>
    <t>5-1</t>
  </si>
  <si>
    <t>1.92亿</t>
  </si>
  <si>
    <t>1.33亿</t>
  </si>
  <si>
    <t>8.45亿</t>
  </si>
  <si>
    <t>5.36亿</t>
  </si>
  <si>
    <t>9.99亿</t>
  </si>
  <si>
    <t>7.46亿</t>
  </si>
  <si>
    <t>12.87亿</t>
  </si>
  <si>
    <t>8.31亿</t>
  </si>
  <si>
    <t>中信国安</t>
  </si>
  <si>
    <t>2753.49万</t>
  </si>
  <si>
    <t>56.46亿</t>
  </si>
  <si>
    <t>29.82亿</t>
  </si>
  <si>
    <t>-9101.88万</t>
  </si>
  <si>
    <t>8.35亿</t>
  </si>
  <si>
    <t>7.21亿</t>
  </si>
  <si>
    <t>1325.94万</t>
  </si>
  <si>
    <t>3346.24万</t>
  </si>
  <si>
    <t>-14652178亿</t>
  </si>
  <si>
    <t>1521.70万</t>
  </si>
  <si>
    <t>-15367459亿</t>
  </si>
  <si>
    <t>2.44亿</t>
  </si>
  <si>
    <t>911629210亿</t>
  </si>
  <si>
    <t>2708214700亿</t>
  </si>
  <si>
    <t>4.43亿</t>
  </si>
  <si>
    <t>79.79万</t>
  </si>
  <si>
    <t>32.85亿</t>
  </si>
  <si>
    <t>6.74亿</t>
  </si>
  <si>
    <t>-2.66亿</t>
  </si>
  <si>
    <t>-757.13万</t>
  </si>
  <si>
    <t>7335.61万</t>
  </si>
  <si>
    <t>通信应用增值服务</t>
  </si>
  <si>
    <t>15.64亿</t>
  </si>
  <si>
    <t>1885.71万</t>
  </si>
  <si>
    <t>7.69亿</t>
  </si>
  <si>
    <t>14.29亿</t>
  </si>
  <si>
    <t>3.70亿</t>
  </si>
  <si>
    <t>185.08万</t>
  </si>
  <si>
    <t>2597.51万</t>
  </si>
  <si>
    <t>1.57万</t>
  </si>
  <si>
    <t>-6068446亿</t>
  </si>
  <si>
    <t>4853.20万</t>
  </si>
  <si>
    <t>495815240亿</t>
  </si>
  <si>
    <t>672353670亿</t>
  </si>
  <si>
    <t>714.78万</t>
  </si>
  <si>
    <t>3800.00万</t>
  </si>
  <si>
    <t>-8651.23万</t>
  </si>
  <si>
    <t>-340.64万</t>
  </si>
  <si>
    <t>139.13万</t>
  </si>
  <si>
    <t>-7912.14万</t>
  </si>
  <si>
    <t>3.56亿</t>
  </si>
  <si>
    <t>-685.67万</t>
  </si>
  <si>
    <t>通信工程及服务</t>
  </si>
  <si>
    <t>*ST高升</t>
  </si>
  <si>
    <t>9.44亿</t>
  </si>
  <si>
    <t>-5364.55万</t>
  </si>
  <si>
    <t>5.01亿</t>
  </si>
  <si>
    <t>-2.98亿</t>
  </si>
  <si>
    <t>9839.57万</t>
  </si>
  <si>
    <t>453.69万</t>
  </si>
  <si>
    <t>1935.06万</t>
  </si>
  <si>
    <t>9953亿</t>
  </si>
  <si>
    <t>216.39万</t>
  </si>
  <si>
    <t>-28954012亿</t>
  </si>
  <si>
    <t>7283.97万</t>
  </si>
  <si>
    <t>223742210亿</t>
  </si>
  <si>
    <t>123.51万</t>
  </si>
  <si>
    <t>781969830亿</t>
  </si>
  <si>
    <t>7048.13万</t>
  </si>
  <si>
    <t>2.87亿</t>
  </si>
  <si>
    <t>1496.99万</t>
  </si>
  <si>
    <t>-73.14万</t>
  </si>
  <si>
    <t>-389.64万</t>
  </si>
  <si>
    <t>-7123.37万</t>
  </si>
  <si>
    <t>2500.22万</t>
  </si>
  <si>
    <t>1234.28万</t>
  </si>
  <si>
    <t>27.19亿</t>
  </si>
  <si>
    <t>16.40亿</t>
  </si>
  <si>
    <t>11.00亿</t>
  </si>
  <si>
    <t>52.34亿</t>
  </si>
  <si>
    <t>-18.22亿</t>
  </si>
  <si>
    <t>11.07亿</t>
  </si>
  <si>
    <t>3235.49万</t>
  </si>
  <si>
    <t>2299.88万</t>
  </si>
  <si>
    <t>968199亿</t>
  </si>
  <si>
    <t>31.65万</t>
  </si>
  <si>
    <t>-1875507亿</t>
  </si>
  <si>
    <t>9.00亿</t>
  </si>
  <si>
    <t>1523309900亿</t>
  </si>
  <si>
    <t>3258.71万</t>
  </si>
  <si>
    <t>2895963800亿</t>
  </si>
  <si>
    <t>10.79亿</t>
  </si>
  <si>
    <t>9000.00万</t>
  </si>
  <si>
    <t>19.27亿</t>
  </si>
  <si>
    <t>1.89亿</t>
  </si>
  <si>
    <t>5.40亿</t>
  </si>
  <si>
    <t>6761.49万</t>
  </si>
  <si>
    <t>-5.31亿</t>
  </si>
  <si>
    <t>10.35亿</t>
  </si>
  <si>
    <t>1100.94万</t>
  </si>
  <si>
    <t>8719.84万</t>
  </si>
  <si>
    <t>4.48亿</t>
  </si>
  <si>
    <t>-8-0</t>
  </si>
  <si>
    <t>1077.22万</t>
  </si>
  <si>
    <t>12.14亿</t>
  </si>
  <si>
    <t>6469.95万</t>
  </si>
  <si>
    <t>2288.05万</t>
  </si>
  <si>
    <t>6341.02万</t>
  </si>
  <si>
    <t>3759.06万</t>
  </si>
  <si>
    <t>960.48万</t>
  </si>
  <si>
    <t>659.36万</t>
  </si>
  <si>
    <t>-2180443亿</t>
  </si>
  <si>
    <t>-921520亿</t>
  </si>
  <si>
    <t>14455131亿</t>
  </si>
  <si>
    <t>699115080亿</t>
  </si>
  <si>
    <t>1382.61万</t>
  </si>
  <si>
    <t>961.55万</t>
  </si>
  <si>
    <t>962.65万</t>
  </si>
  <si>
    <t>227.13万</t>
  </si>
  <si>
    <t>-1330.16万</t>
  </si>
  <si>
    <t>1697.28万</t>
  </si>
  <si>
    <t>6449.28万</t>
  </si>
  <si>
    <t>143.15万</t>
  </si>
  <si>
    <t>10派0.15元(含税)</t>
  </si>
  <si>
    <t>4962.98万</t>
  </si>
  <si>
    <t>4.09亿</t>
  </si>
  <si>
    <t>1654.10万</t>
  </si>
  <si>
    <t>3.94亿</t>
  </si>
  <si>
    <t>19.60亿</t>
  </si>
  <si>
    <t>8.90亿</t>
  </si>
  <si>
    <t>-2.55亿</t>
  </si>
  <si>
    <t>2.25亿</t>
  </si>
  <si>
    <t>2339.02万</t>
  </si>
  <si>
    <t>3277.73万</t>
  </si>
  <si>
    <t>457861亿</t>
  </si>
  <si>
    <t>45.73万</t>
  </si>
  <si>
    <t>17934192亿</t>
  </si>
  <si>
    <t>4.18亿</t>
  </si>
  <si>
    <t>45260390亿</t>
  </si>
  <si>
    <t>7.51万</t>
  </si>
  <si>
    <t>952148870亿</t>
  </si>
  <si>
    <t>58.45万</t>
  </si>
  <si>
    <t>9378.95万</t>
  </si>
  <si>
    <t>3.68亿</t>
  </si>
  <si>
    <t>4184.26万</t>
  </si>
  <si>
    <t>1158.79万</t>
  </si>
  <si>
    <t>-324.59万</t>
  </si>
  <si>
    <t>1983.30万</t>
  </si>
  <si>
    <t>8743.25万</t>
  </si>
  <si>
    <t>400.12万</t>
  </si>
  <si>
    <t>63.37亿</t>
  </si>
  <si>
    <t>38.51亿</t>
  </si>
  <si>
    <t>54.63亿</t>
  </si>
  <si>
    <t>3559.28万</t>
  </si>
  <si>
    <t>10.86亿</t>
  </si>
  <si>
    <t>9.03亿</t>
  </si>
  <si>
    <t>5603.96万</t>
  </si>
  <si>
    <t>6754.16万</t>
  </si>
  <si>
    <t>20.07万</t>
  </si>
  <si>
    <t>13846340亿</t>
  </si>
  <si>
    <t>19.70亿</t>
  </si>
  <si>
    <t>4183390600亿</t>
  </si>
  <si>
    <t>5.27亿</t>
  </si>
  <si>
    <t>8558553700亿</t>
  </si>
  <si>
    <t>5.75亿</t>
  </si>
  <si>
    <t>10.13亿</t>
  </si>
  <si>
    <t>34.90亿</t>
  </si>
  <si>
    <t>442.65万</t>
  </si>
  <si>
    <t>60.30亿</t>
  </si>
  <si>
    <t>-2.85亿</t>
  </si>
  <si>
    <t>-4093.87万</t>
  </si>
  <si>
    <t>-8488.44万</t>
  </si>
  <si>
    <t>12.22亿</t>
  </si>
  <si>
    <t>2181.75万</t>
  </si>
  <si>
    <t>10派0.261元(含税)</t>
  </si>
  <si>
    <t>1885.58万</t>
  </si>
  <si>
    <t>2.19亿</t>
  </si>
  <si>
    <t>035592800</t>
  </si>
  <si>
    <t>0106778400</t>
  </si>
  <si>
    <t>0213556800</t>
  </si>
  <si>
    <t>0355928000</t>
  </si>
  <si>
    <t>0711856000</t>
  </si>
  <si>
    <t>333.66万</t>
  </si>
  <si>
    <t>88.76亿</t>
  </si>
  <si>
    <t>61.29亿</t>
  </si>
  <si>
    <t>21.39亿</t>
  </si>
  <si>
    <t>88.26亿</t>
  </si>
  <si>
    <t>19.72亿</t>
  </si>
  <si>
    <t>17.74亿</t>
  </si>
  <si>
    <t>6135.65万</t>
  </si>
  <si>
    <t>6314.20万</t>
  </si>
  <si>
    <t>-2341929亿</t>
  </si>
  <si>
    <t>3.00万</t>
  </si>
  <si>
    <t>125406699亿</t>
  </si>
  <si>
    <t>5911016700亿</t>
  </si>
  <si>
    <t>2723.11万</t>
  </si>
  <si>
    <t>10595139200亿</t>
  </si>
  <si>
    <t>26.72亿</t>
  </si>
  <si>
    <t>18.33亿</t>
  </si>
  <si>
    <t>28.96亿</t>
  </si>
  <si>
    <t>2.06万</t>
  </si>
  <si>
    <t>83.92亿</t>
  </si>
  <si>
    <t>4615.93万</t>
  </si>
  <si>
    <t>-14.36亿</t>
  </si>
  <si>
    <t>-2010.14万</t>
  </si>
  <si>
    <t>2.93亿</t>
  </si>
  <si>
    <t>22.93亿</t>
  </si>
  <si>
    <t>1658.71万</t>
  </si>
  <si>
    <t>731.77万</t>
  </si>
  <si>
    <t>3.36亿</t>
  </si>
  <si>
    <t>7.05亿</t>
  </si>
  <si>
    <t>-2549.07万</t>
  </si>
  <si>
    <t>383.16万</t>
  </si>
  <si>
    <t>1796.48万</t>
  </si>
  <si>
    <t>2.20万</t>
  </si>
  <si>
    <t>-13938111亿</t>
  </si>
  <si>
    <t>1.19亿</t>
  </si>
  <si>
    <t>434312110亿</t>
  </si>
  <si>
    <t>645582630亿</t>
  </si>
  <si>
    <t>38.53万</t>
  </si>
  <si>
    <t>6633.91万</t>
  </si>
  <si>
    <t>346.96万</t>
  </si>
  <si>
    <t>-5713.39万</t>
  </si>
  <si>
    <t>123.47万</t>
  </si>
  <si>
    <t>802.45万</t>
  </si>
  <si>
    <t>-554.98万</t>
  </si>
  <si>
    <t>6023.00万</t>
  </si>
  <si>
    <t>3.19亿</t>
  </si>
  <si>
    <t>2251.06万</t>
  </si>
  <si>
    <t>3.37亿</t>
  </si>
  <si>
    <t>4.79亿</t>
  </si>
  <si>
    <t>7153.60万</t>
  </si>
  <si>
    <t>-2.15亿</t>
  </si>
  <si>
    <t>7289.04万</t>
  </si>
  <si>
    <t>4780.06万</t>
  </si>
  <si>
    <t>608.92万</t>
  </si>
  <si>
    <t>1189.72万</t>
  </si>
  <si>
    <t>-843780亿</t>
  </si>
  <si>
    <t>-2629269亿</t>
  </si>
  <si>
    <t>1.61亿</t>
  </si>
  <si>
    <t>190427980亿</t>
  </si>
  <si>
    <t>204.02万</t>
  </si>
  <si>
    <t>480751880亿</t>
  </si>
  <si>
    <t>2600.00万</t>
  </si>
  <si>
    <t>9267.11万</t>
  </si>
  <si>
    <t>-6050.48万</t>
  </si>
  <si>
    <t>770.15万</t>
  </si>
  <si>
    <t>-4982.61万</t>
  </si>
  <si>
    <t>-3.77亿</t>
  </si>
  <si>
    <t>6950.61万</t>
  </si>
  <si>
    <t>-1282.77万</t>
  </si>
  <si>
    <t>8858.96万</t>
  </si>
  <si>
    <t>1542.26万</t>
  </si>
  <si>
    <t>13.20亿</t>
  </si>
  <si>
    <t>8827.41万</t>
  </si>
  <si>
    <t>4.02亿</t>
  </si>
  <si>
    <t>-2.81亿</t>
  </si>
  <si>
    <t>6542.94万</t>
  </si>
  <si>
    <t>2402.34万</t>
  </si>
  <si>
    <t>2203.56万</t>
  </si>
  <si>
    <t>296016亿</t>
  </si>
  <si>
    <t>-31637131亿</t>
  </si>
  <si>
    <t>8468.68万</t>
  </si>
  <si>
    <t>172605290亿</t>
  </si>
  <si>
    <t>906699980亿</t>
  </si>
  <si>
    <t>496.01万</t>
  </si>
  <si>
    <t>3.46亿</t>
  </si>
  <si>
    <t>5.53亿</t>
  </si>
  <si>
    <t>-1315.74万</t>
  </si>
  <si>
    <t>4031.72万</t>
  </si>
  <si>
    <t>-642.21万</t>
  </si>
  <si>
    <t>9720.94万</t>
  </si>
  <si>
    <t>-2153.13万</t>
  </si>
  <si>
    <t>9582.85万</t>
  </si>
  <si>
    <t>7.60亿</t>
  </si>
  <si>
    <t>778.21万</t>
  </si>
  <si>
    <t>21.76亿</t>
  </si>
  <si>
    <t>4.12亿</t>
  </si>
  <si>
    <t>14.33亿</t>
  </si>
  <si>
    <t>2.41亿</t>
  </si>
  <si>
    <t>2340.32万</t>
  </si>
  <si>
    <t>4961.76万</t>
  </si>
  <si>
    <t>-934722亿</t>
  </si>
  <si>
    <t>17.30万</t>
  </si>
  <si>
    <t>51398921亿</t>
  </si>
  <si>
    <t>15.05亿</t>
  </si>
  <si>
    <t>89696676亿</t>
  </si>
  <si>
    <t>1647814600亿</t>
  </si>
  <si>
    <t>14.31万</t>
  </si>
  <si>
    <t>4.07亿</t>
  </si>
  <si>
    <t>-379.39万</t>
  </si>
  <si>
    <t>-678.22万</t>
  </si>
  <si>
    <t>4098.80万</t>
  </si>
  <si>
    <t>10派0.803217元(含税)</t>
  </si>
  <si>
    <t>3791.77万</t>
  </si>
  <si>
    <t>0170000000</t>
  </si>
  <si>
    <t>0510000000</t>
  </si>
  <si>
    <t>01020000000</t>
  </si>
  <si>
    <t>01700000000</t>
  </si>
  <si>
    <t>03400000000</t>
  </si>
  <si>
    <t>2073.93万</t>
  </si>
  <si>
    <t>6.34亿</t>
  </si>
  <si>
    <t>4819.16万</t>
  </si>
  <si>
    <t>6.39亿</t>
  </si>
  <si>
    <t>5.74亿</t>
  </si>
  <si>
    <t>977.85万</t>
  </si>
  <si>
    <t>2725.24万</t>
  </si>
  <si>
    <t>166838亿</t>
  </si>
  <si>
    <t>1.91万</t>
  </si>
  <si>
    <t>603432亿</t>
  </si>
  <si>
    <t>6.91亿</t>
  </si>
  <si>
    <t>821636940亿</t>
  </si>
  <si>
    <t>508.17万</t>
  </si>
  <si>
    <t>2387975700亿</t>
  </si>
  <si>
    <t>1016.84万</t>
  </si>
  <si>
    <t>1.23亿</t>
  </si>
  <si>
    <t>228.50万</t>
  </si>
  <si>
    <t>10.57亿</t>
  </si>
  <si>
    <t>-3.29亿</t>
  </si>
  <si>
    <t>505.99万</t>
  </si>
  <si>
    <t>5.57亿</t>
  </si>
  <si>
    <t>127.35万</t>
  </si>
  <si>
    <t>9709.51万</t>
  </si>
  <si>
    <t>8.49亿</t>
  </si>
  <si>
    <t>3-1</t>
  </si>
  <si>
    <t>965.20万</t>
  </si>
  <si>
    <t>58.16亿</t>
  </si>
  <si>
    <t>132.20亿</t>
  </si>
  <si>
    <t>19.78亿</t>
  </si>
  <si>
    <t>78.55亿</t>
  </si>
  <si>
    <t>3.88亿</t>
  </si>
  <si>
    <t>17.73亿</t>
  </si>
  <si>
    <t>16.09亿</t>
  </si>
  <si>
    <t>894.86万</t>
  </si>
  <si>
    <t>6384.87万</t>
  </si>
  <si>
    <t>484562亿</t>
  </si>
  <si>
    <t>39.42万</t>
  </si>
  <si>
    <t>164705060亿</t>
  </si>
  <si>
    <t>26.13亿</t>
  </si>
  <si>
    <t>2333672100亿</t>
  </si>
  <si>
    <t>6119554800亿</t>
  </si>
  <si>
    <t>19.76亿</t>
  </si>
  <si>
    <t>10.38亿</t>
  </si>
  <si>
    <t>363.69万</t>
  </si>
  <si>
    <t>17.44亿</t>
  </si>
  <si>
    <t>368.79万</t>
  </si>
  <si>
    <t>34.11亿</t>
  </si>
  <si>
    <t>20.42亿</t>
  </si>
  <si>
    <t>3.75亿</t>
  </si>
  <si>
    <t>5013.15万</t>
  </si>
  <si>
    <t>18.80亿</t>
  </si>
  <si>
    <t>1.74亿</t>
  </si>
  <si>
    <t>10派1元(含税)</t>
  </si>
  <si>
    <t>5099.07万</t>
  </si>
  <si>
    <t>3.65亿</t>
  </si>
  <si>
    <t>806.29万</t>
  </si>
  <si>
    <t>147.65亿</t>
  </si>
  <si>
    <t>90.32亿</t>
  </si>
  <si>
    <t>12.42亿</t>
  </si>
  <si>
    <t>43.51亿</t>
  </si>
  <si>
    <t>17.62亿</t>
  </si>
  <si>
    <t>7.90亿</t>
  </si>
  <si>
    <t>6.54亿</t>
  </si>
  <si>
    <t>48.11万</t>
  </si>
  <si>
    <t>3963.06万</t>
  </si>
  <si>
    <t>831890亿</t>
  </si>
  <si>
    <t>184.17万</t>
  </si>
  <si>
    <t>470542450亿</t>
  </si>
  <si>
    <t>23.18亿</t>
  </si>
  <si>
    <t>1370225400亿</t>
  </si>
  <si>
    <t>7284969400亿</t>
  </si>
  <si>
    <t>70.67亿</t>
  </si>
  <si>
    <t>42.62亿</t>
  </si>
  <si>
    <t>87.75亿</t>
  </si>
  <si>
    <t>-15.74亿</t>
  </si>
  <si>
    <t>-5.64亿</t>
  </si>
  <si>
    <t>26.48亿</t>
  </si>
  <si>
    <t>10派1.27元(含税)</t>
  </si>
  <si>
    <t>4355.25万</t>
  </si>
  <si>
    <t>4.58亿</t>
  </si>
  <si>
    <t>443.15万</t>
  </si>
  <si>
    <t>21.36亿</t>
  </si>
  <si>
    <t>24.51亿</t>
  </si>
  <si>
    <t>13.47亿</t>
  </si>
  <si>
    <t>4147.90万</t>
  </si>
  <si>
    <t>1.48亿</t>
  </si>
  <si>
    <t>8284.47万</t>
  </si>
  <si>
    <t>1666.46万</t>
  </si>
  <si>
    <t>2599.62万</t>
  </si>
  <si>
    <t>5139214亿</t>
  </si>
  <si>
    <t>1.24万</t>
  </si>
  <si>
    <t>-9826625亿</t>
  </si>
  <si>
    <t>453926990亿</t>
  </si>
  <si>
    <t>625.31万</t>
  </si>
  <si>
    <t>2637916200亿</t>
  </si>
  <si>
    <t>6.15亿</t>
  </si>
  <si>
    <t>641.64万</t>
  </si>
  <si>
    <t>18.02亿</t>
  </si>
  <si>
    <t>6600.00万</t>
  </si>
  <si>
    <t>-2.58亿</t>
  </si>
  <si>
    <t>-432.75万</t>
  </si>
  <si>
    <t>5159.16万</t>
  </si>
  <si>
    <t>2087.63万</t>
  </si>
  <si>
    <t>10派0.35元(含税)</t>
  </si>
  <si>
    <t>3012.68万</t>
  </si>
  <si>
    <t>519.94万</t>
  </si>
  <si>
    <t>16.22亿</t>
  </si>
  <si>
    <t>11.10亿</t>
  </si>
  <si>
    <t>3.67亿</t>
  </si>
  <si>
    <t>-5281.76万</t>
  </si>
  <si>
    <t>3.51亿</t>
  </si>
  <si>
    <t>1013.44万</t>
  </si>
  <si>
    <t>1384.96万</t>
  </si>
  <si>
    <t>75907亿</t>
  </si>
  <si>
    <t>10841487亿</t>
  </si>
  <si>
    <t>6.61亿</t>
  </si>
  <si>
    <t>1060193680亿</t>
  </si>
  <si>
    <t>240.25万</t>
  </si>
  <si>
    <t>2101487400亿</t>
  </si>
  <si>
    <t>196.30万</t>
  </si>
  <si>
    <t>6.17亿</t>
  </si>
  <si>
    <t>4.66亿</t>
  </si>
  <si>
    <t>9507.15万</t>
  </si>
  <si>
    <t>-2974.23万</t>
  </si>
  <si>
    <t>-1489.85万</t>
  </si>
  <si>
    <t>-4261.50万</t>
  </si>
  <si>
    <t>3571.40万</t>
  </si>
  <si>
    <t>2.90亿</t>
  </si>
  <si>
    <t>1519.24万</t>
  </si>
  <si>
    <t>10派0.13元(含税)</t>
  </si>
  <si>
    <t>2664.22万</t>
  </si>
  <si>
    <t>2139.20万</t>
  </si>
  <si>
    <t>11.67亿</t>
  </si>
  <si>
    <t>9977.52万</t>
  </si>
  <si>
    <t>4.55亿</t>
  </si>
  <si>
    <t>-5.01亿</t>
  </si>
  <si>
    <t>6461.02万</t>
  </si>
  <si>
    <t>1106.85万</t>
  </si>
  <si>
    <t>1123.35万</t>
  </si>
  <si>
    <t>11756032亿</t>
  </si>
  <si>
    <t>-1068324亿</t>
  </si>
  <si>
    <t>4.96亿</t>
  </si>
  <si>
    <t>97854043亿</t>
  </si>
  <si>
    <t>71.18万</t>
  </si>
  <si>
    <t>739326820亿</t>
  </si>
  <si>
    <t>137.51万</t>
  </si>
  <si>
    <t>4003.61万</t>
  </si>
  <si>
    <t>6455.14万</t>
  </si>
  <si>
    <t>3480.92万</t>
  </si>
  <si>
    <t>-6094.18万</t>
  </si>
  <si>
    <t>-998.20万</t>
  </si>
  <si>
    <t>-168.83万</t>
  </si>
  <si>
    <t>9921.44万</t>
  </si>
  <si>
    <t>1334.12万</t>
  </si>
  <si>
    <t>3.52亿</t>
  </si>
  <si>
    <t>9734.55万</t>
  </si>
  <si>
    <t>5.55亿</t>
  </si>
  <si>
    <t>375.82万</t>
  </si>
  <si>
    <t>9480.60万</t>
  </si>
  <si>
    <t>7905.10万</t>
  </si>
  <si>
    <t>242.18万</t>
  </si>
  <si>
    <t>1035.24万</t>
  </si>
  <si>
    <t>24509亿</t>
  </si>
  <si>
    <t>2863306亿</t>
  </si>
  <si>
    <t>2.97亿</t>
  </si>
  <si>
    <t>402752820亿</t>
  </si>
  <si>
    <t>21.94万</t>
  </si>
  <si>
    <t>1090097150亿</t>
  </si>
  <si>
    <t>272.26万</t>
  </si>
  <si>
    <t>6358.13万</t>
  </si>
  <si>
    <t>-6634.61万</t>
  </si>
  <si>
    <t>265.86万</t>
  </si>
  <si>
    <t>-2433.88万</t>
  </si>
  <si>
    <t>9337.38万</t>
  </si>
  <si>
    <t>513.17万</t>
  </si>
  <si>
    <t>10派0.040112元(含税)</t>
  </si>
  <si>
    <t>6865.91万</t>
  </si>
  <si>
    <t>3.01亿</t>
  </si>
  <si>
    <t>536.10万</t>
  </si>
  <si>
    <t>8.64亿</t>
  </si>
  <si>
    <t>14.37亿</t>
  </si>
  <si>
    <t>745.15万</t>
  </si>
  <si>
    <t>394.79万</t>
  </si>
  <si>
    <t>1980.71万</t>
  </si>
  <si>
    <t>-7530741亿</t>
  </si>
  <si>
    <t>-19115480亿</t>
  </si>
  <si>
    <t>735846670亿</t>
  </si>
  <si>
    <t>1476.46万</t>
  </si>
  <si>
    <t>1648000300亿</t>
  </si>
  <si>
    <t>1900.27万</t>
  </si>
  <si>
    <t>4.53亿</t>
  </si>
  <si>
    <t>-3692.75万</t>
  </si>
  <si>
    <t>-4700.17万</t>
  </si>
  <si>
    <t>2299.86万</t>
  </si>
  <si>
    <t>3047.72万</t>
  </si>
  <si>
    <t>1986.23万</t>
  </si>
  <si>
    <t>55.04亿</t>
  </si>
  <si>
    <t>32.23亿</t>
  </si>
  <si>
    <t>13.35亿</t>
  </si>
  <si>
    <t>3.41亿</t>
  </si>
  <si>
    <t>557.24万</t>
  </si>
  <si>
    <t>1198.47万</t>
  </si>
  <si>
    <t>-736570亿</t>
  </si>
  <si>
    <t>53391669亿</t>
  </si>
  <si>
    <t>3.20亿</t>
  </si>
  <si>
    <t>451577740亿</t>
  </si>
  <si>
    <t>77.88万</t>
  </si>
  <si>
    <t>1390362000亿</t>
  </si>
  <si>
    <t>12.19亿</t>
  </si>
  <si>
    <t>12.73亿</t>
  </si>
  <si>
    <t>1589.74万</t>
  </si>
  <si>
    <t>22.58亿</t>
  </si>
  <si>
    <t>-1857.96万</t>
  </si>
  <si>
    <t>-4.65亿</t>
  </si>
  <si>
    <t>4416.18万</t>
  </si>
  <si>
    <t>10派0.21元(含税)</t>
  </si>
  <si>
    <t>-3-1</t>
  </si>
  <si>
    <t>651.72万</t>
  </si>
  <si>
    <t>3.24亿</t>
  </si>
  <si>
    <t>10.69亿</t>
  </si>
  <si>
    <t>9541.68万</t>
  </si>
  <si>
    <t>1279.28万</t>
  </si>
  <si>
    <t>3841.44万</t>
  </si>
  <si>
    <t>32850亿</t>
  </si>
  <si>
    <t>-46889668亿</t>
  </si>
  <si>
    <t>339049340亿</t>
  </si>
  <si>
    <t>1083553720亿</t>
  </si>
  <si>
    <t>1869.95万</t>
  </si>
  <si>
    <t>10.02亿</t>
  </si>
  <si>
    <t>2959.20万</t>
  </si>
  <si>
    <t>7941.79万</t>
  </si>
  <si>
    <t>-5.08亿</t>
  </si>
  <si>
    <t>3.28亿</t>
  </si>
  <si>
    <t>12.43亿</t>
  </si>
  <si>
    <t>2.52亿</t>
  </si>
  <si>
    <t>-3.40亿</t>
  </si>
  <si>
    <t>2185.59万</t>
  </si>
  <si>
    <t>3685.26万</t>
  </si>
  <si>
    <t>382.46万</t>
  </si>
  <si>
    <t>1.03亿</t>
  </si>
  <si>
    <t>5065.69万</t>
  </si>
  <si>
    <t>28.69亿</t>
  </si>
  <si>
    <t>18.58亿</t>
  </si>
  <si>
    <t>6696.67万</t>
  </si>
  <si>
    <t>4956.15万</t>
  </si>
  <si>
    <t>464.38万</t>
  </si>
  <si>
    <t>653.97万</t>
  </si>
  <si>
    <t>-15190891亿</t>
  </si>
  <si>
    <t>108753488亿</t>
  </si>
  <si>
    <t>1256.77万</t>
  </si>
  <si>
    <t>363613480亿</t>
  </si>
  <si>
    <t>3362.48万</t>
  </si>
  <si>
    <t>4733.64万</t>
  </si>
  <si>
    <t>-106.68万</t>
  </si>
  <si>
    <t>-3157.86万</t>
  </si>
  <si>
    <t>239.29万</t>
  </si>
  <si>
    <t>-6536.10万</t>
  </si>
  <si>
    <t>2.78亿</t>
  </si>
  <si>
    <t>6.30亿</t>
  </si>
  <si>
    <t>1640.73万</t>
  </si>
  <si>
    <t>7658.43万</t>
  </si>
  <si>
    <t>472.58万</t>
  </si>
  <si>
    <t>8.28亿</t>
  </si>
  <si>
    <t>3218.89万</t>
  </si>
  <si>
    <t>1964.36万</t>
  </si>
  <si>
    <t>1250.83万</t>
  </si>
  <si>
    <t>973574亿</t>
  </si>
  <si>
    <t>2.64万</t>
  </si>
  <si>
    <t>-2597427亿</t>
  </si>
  <si>
    <t>163488200亿</t>
  </si>
  <si>
    <t>101.56万</t>
  </si>
  <si>
    <t>864728960亿</t>
  </si>
  <si>
    <t>246.30万</t>
  </si>
  <si>
    <t>72.33万</t>
  </si>
  <si>
    <t>7024.65万</t>
  </si>
  <si>
    <t>-1067.15万</t>
  </si>
  <si>
    <t>2455.20万</t>
  </si>
  <si>
    <t>172.13万</t>
  </si>
  <si>
    <t>5730.68万</t>
  </si>
  <si>
    <t>2735.00万</t>
  </si>
  <si>
    <t>3752.50万</t>
  </si>
  <si>
    <t>794.33万</t>
  </si>
  <si>
    <t>2164.18万</t>
  </si>
  <si>
    <t>7287.04万</t>
  </si>
  <si>
    <t>032188900</t>
  </si>
  <si>
    <t>096566700</t>
  </si>
  <si>
    <t>0193133400</t>
  </si>
  <si>
    <t>0321889000</t>
  </si>
  <si>
    <t>0643778000</t>
  </si>
  <si>
    <t>244.37万</t>
  </si>
  <si>
    <t>11.84亿</t>
  </si>
  <si>
    <t>3.59亿</t>
  </si>
  <si>
    <t>3584.44万</t>
  </si>
  <si>
    <t>3.89亿</t>
  </si>
  <si>
    <t>1042.33万</t>
  </si>
  <si>
    <t>805.57万</t>
  </si>
  <si>
    <t>286266亿</t>
  </si>
  <si>
    <t>-5351394亿</t>
  </si>
  <si>
    <t>294717030亿</t>
  </si>
  <si>
    <t>12.24万</t>
  </si>
  <si>
    <t>1105469590亿</t>
  </si>
  <si>
    <t>4986.73万</t>
  </si>
  <si>
    <t>6362.13万</t>
  </si>
  <si>
    <t>5613.49万</t>
  </si>
  <si>
    <t>-4188.55万</t>
  </si>
  <si>
    <t>-3186.10万</t>
  </si>
  <si>
    <t>16.35亿</t>
  </si>
  <si>
    <t>3954.53万</t>
  </si>
  <si>
    <t>2638.61万</t>
  </si>
  <si>
    <t>-665.09万</t>
  </si>
  <si>
    <t>10派2.7元(含税)</t>
  </si>
  <si>
    <t>1898.66万</t>
  </si>
  <si>
    <t>4294.16万</t>
  </si>
  <si>
    <t>248.59万</t>
  </si>
  <si>
    <t>9.40亿</t>
  </si>
  <si>
    <t>19.24亿</t>
  </si>
  <si>
    <t>4.19亿</t>
  </si>
  <si>
    <t>4.85亿</t>
  </si>
  <si>
    <t>4813.20万</t>
  </si>
  <si>
    <t>3.69亿</t>
  </si>
  <si>
    <t>696.53万</t>
  </si>
  <si>
    <t>784.75万</t>
  </si>
  <si>
    <t>-46.13亿</t>
  </si>
  <si>
    <t>16.69万</t>
  </si>
  <si>
    <t>20406471亿</t>
  </si>
  <si>
    <t>1175812130亿</t>
  </si>
  <si>
    <t>1911.57万</t>
  </si>
  <si>
    <t>2206770400亿</t>
  </si>
  <si>
    <t>2.43亿</t>
  </si>
  <si>
    <t>8.52亿</t>
  </si>
  <si>
    <t>-2.76亿</t>
  </si>
  <si>
    <t>-1138.13万</t>
  </si>
  <si>
    <t>17.79亿</t>
  </si>
  <si>
    <t>6928.07万</t>
  </si>
  <si>
    <t>1310.02万</t>
  </si>
  <si>
    <t>10派0.57元(含税)</t>
  </si>
  <si>
    <t>1407.76万</t>
  </si>
  <si>
    <t>101.13万</t>
  </si>
  <si>
    <t>3.16亿</t>
  </si>
  <si>
    <t>65.64亿</t>
  </si>
  <si>
    <t>368.45万</t>
  </si>
  <si>
    <t>466.13万</t>
  </si>
  <si>
    <t>756500亿</t>
  </si>
  <si>
    <t>11780946亿</t>
  </si>
  <si>
    <t>238775430亿</t>
  </si>
  <si>
    <t>959384040亿</t>
  </si>
  <si>
    <t>4839.75万</t>
  </si>
  <si>
    <t>-3353.48万</t>
  </si>
  <si>
    <t>4934.41万</t>
  </si>
  <si>
    <t>8.54亿</t>
  </si>
  <si>
    <t>5906.78万</t>
  </si>
  <si>
    <t>5196.66万</t>
  </si>
  <si>
    <t>10派5.7元(含税)</t>
  </si>
  <si>
    <t>574.37万</t>
  </si>
  <si>
    <t>2713.10万</t>
  </si>
  <si>
    <t>302.71万</t>
  </si>
  <si>
    <t>17.56亿</t>
  </si>
  <si>
    <t>2.73亿</t>
  </si>
  <si>
    <t>863.52万</t>
  </si>
  <si>
    <t>791.91万</t>
  </si>
  <si>
    <t>-65447亿</t>
  </si>
  <si>
    <t>32305172亿</t>
  </si>
  <si>
    <t>576192370亿</t>
  </si>
  <si>
    <t>1891876500亿</t>
  </si>
  <si>
    <t>8365.53万</t>
  </si>
  <si>
    <t>4356.96万</t>
  </si>
  <si>
    <t>-1.46亿</t>
  </si>
  <si>
    <t>-2324.53万</t>
  </si>
  <si>
    <t>7690.41万</t>
  </si>
  <si>
    <t>11.79亿</t>
  </si>
  <si>
    <t>1909.98万</t>
  </si>
  <si>
    <t>10转3股派1.6元(含税)</t>
  </si>
  <si>
    <t>1844.25万</t>
  </si>
  <si>
    <t>203.19万</t>
  </si>
  <si>
    <t>12.57亿</t>
  </si>
  <si>
    <t>6.16亿</t>
  </si>
  <si>
    <t>4762.09万</t>
  </si>
  <si>
    <t>2.74亿</t>
  </si>
  <si>
    <t>1144.22万</t>
  </si>
  <si>
    <t>2293.57万</t>
  </si>
  <si>
    <t>2186亿</t>
  </si>
  <si>
    <t>9657862亿</t>
  </si>
  <si>
    <t>306817740亿</t>
  </si>
  <si>
    <t>150.00万</t>
  </si>
  <si>
    <t>1635860200亿</t>
  </si>
  <si>
    <t>4574.46万</t>
  </si>
  <si>
    <t>5815.26万</t>
  </si>
  <si>
    <t>-9055.14万</t>
  </si>
  <si>
    <t>-4572.92万</t>
  </si>
  <si>
    <t>9595.17万</t>
  </si>
  <si>
    <t>7822.39万</t>
  </si>
  <si>
    <t>10.68亿</t>
  </si>
  <si>
    <t>8098.20万</t>
  </si>
  <si>
    <t>1678.46万</t>
  </si>
  <si>
    <t>10派3元(含税)</t>
  </si>
  <si>
    <t>1601.73万</t>
  </si>
  <si>
    <t>-6-1</t>
  </si>
  <si>
    <t>3049.10亿</t>
  </si>
  <si>
    <t>3639.01亿</t>
  </si>
  <si>
    <t>994.96亿</t>
  </si>
  <si>
    <t>17.63亿</t>
  </si>
  <si>
    <t>1193331700亿</t>
  </si>
  <si>
    <t>2237790100亿</t>
  </si>
  <si>
    <t>566.96亿</t>
  </si>
  <si>
    <t>54627208000亿</t>
  </si>
  <si>
    <t>165711430000亿</t>
  </si>
  <si>
    <t>487.52亿</t>
  </si>
  <si>
    <t>165.45亿</t>
  </si>
  <si>
    <t>1541.55亿</t>
  </si>
  <si>
    <t>108.64亿</t>
  </si>
  <si>
    <t>-85.94亿</t>
  </si>
  <si>
    <t>-49.42亿</t>
  </si>
  <si>
    <t>3725.97亿</t>
  </si>
  <si>
    <t>81.73亿</t>
  </si>
  <si>
    <t>1121.61万</t>
  </si>
  <si>
    <t>10派0.524元(含税)</t>
  </si>
  <si>
    <t>电信运营商</t>
  </si>
  <si>
    <t>44.95亿</t>
  </si>
  <si>
    <t>0106000000</t>
  </si>
  <si>
    <t>0318000000</t>
  </si>
  <si>
    <t>0636000000</t>
  </si>
  <si>
    <t>01060000000</t>
  </si>
  <si>
    <t>02120000000</t>
  </si>
  <si>
    <t>*ST信通</t>
  </si>
  <si>
    <t>99.34万</t>
  </si>
  <si>
    <t>4.03亿</t>
  </si>
  <si>
    <t>4906.05万</t>
  </si>
  <si>
    <t>42.52亿</t>
  </si>
  <si>
    <t>5401.17万</t>
  </si>
  <si>
    <t>6433.67万</t>
  </si>
  <si>
    <t>1703.48万</t>
  </si>
  <si>
    <t>360.20万</t>
  </si>
  <si>
    <t>3087.18万</t>
  </si>
  <si>
    <t>-14762399亿</t>
  </si>
  <si>
    <t>805640970亿</t>
  </si>
  <si>
    <t>-1741.19万</t>
  </si>
  <si>
    <t>3.40万</t>
  </si>
  <si>
    <t>-137.01万</t>
  </si>
  <si>
    <t>-10.51亿</t>
  </si>
  <si>
    <t>2989.27万</t>
  </si>
  <si>
    <t>894.81万</t>
  </si>
  <si>
    <t>7102.17万</t>
  </si>
  <si>
    <t>*ST鹏博</t>
  </si>
  <si>
    <t>2643.29万</t>
  </si>
  <si>
    <t>62.66亿</t>
  </si>
  <si>
    <t>5.00亿</t>
  </si>
  <si>
    <t>31.27亿</t>
  </si>
  <si>
    <t>3834.41万</t>
  </si>
  <si>
    <t>4979.49万</t>
  </si>
  <si>
    <t>6114.61万</t>
  </si>
  <si>
    <t>-11705595亿</t>
  </si>
  <si>
    <t>7.37万</t>
  </si>
  <si>
    <t>-118044167亿</t>
  </si>
  <si>
    <t>1610558300亿</t>
  </si>
  <si>
    <t>7089.00万</t>
  </si>
  <si>
    <t>7.70亿</t>
  </si>
  <si>
    <t>-6941.51万</t>
  </si>
  <si>
    <t>-664.15万</t>
  </si>
  <si>
    <t>5654.20万</t>
  </si>
  <si>
    <t>-4.54亿</t>
  </si>
  <si>
    <t>26.06亿</t>
  </si>
  <si>
    <t>6.13亿</t>
  </si>
  <si>
    <t>-9324.55万</t>
  </si>
  <si>
    <t>610.37万</t>
  </si>
  <si>
    <t>0115032300</t>
  </si>
  <si>
    <t>0230064600</t>
  </si>
  <si>
    <t>0383441000</t>
  </si>
  <si>
    <t>0766882000</t>
  </si>
  <si>
    <t>1128.70万</t>
  </si>
  <si>
    <t>6466.72亿</t>
  </si>
  <si>
    <t>13418.30亿</t>
  </si>
  <si>
    <t>2637.07亿</t>
  </si>
  <si>
    <t>70.50亿</t>
  </si>
  <si>
    <t>9861.54万</t>
  </si>
  <si>
    <t>2258.60亿</t>
  </si>
  <si>
    <t>1946.90亿</t>
  </si>
  <si>
    <t>149.47亿</t>
  </si>
  <si>
    <t>131.23亿</t>
  </si>
  <si>
    <t>5504000000亿</t>
  </si>
  <si>
    <t>3.91亿</t>
  </si>
  <si>
    <t>26100000000亿</t>
  </si>
  <si>
    <t>1998.13亿</t>
  </si>
  <si>
    <t>87070000000亿</t>
  </si>
  <si>
    <t>557972000000亿</t>
  </si>
  <si>
    <t>866.92亿</t>
  </si>
  <si>
    <t>196.77亿</t>
  </si>
  <si>
    <t>3028.10亿</t>
  </si>
  <si>
    <t>769.25亿</t>
  </si>
  <si>
    <t>5661.25亿</t>
  </si>
  <si>
    <t>569.04亿</t>
  </si>
  <si>
    <t>-204.91亿</t>
  </si>
  <si>
    <t>-120.64亿</t>
  </si>
  <si>
    <t>10093.09亿</t>
  </si>
  <si>
    <t>16.93亿</t>
  </si>
  <si>
    <t>1317.66亿</t>
  </si>
  <si>
    <t>2608.73万</t>
  </si>
  <si>
    <t>10派21.849元(含税)</t>
  </si>
  <si>
    <t>5503.15万</t>
  </si>
  <si>
    <t>098615400</t>
  </si>
  <si>
    <t>0295846200</t>
  </si>
  <si>
    <t>0591692400</t>
  </si>
  <si>
    <t>0986154000</t>
  </si>
  <si>
    <t>01972308000</t>
  </si>
  <si>
    <t>3886.47亿</t>
  </si>
  <si>
    <t>4556.46亿</t>
  </si>
  <si>
    <t>1344.95亿</t>
  </si>
  <si>
    <t>2342.62亿</t>
  </si>
  <si>
    <t>117.12亿</t>
  </si>
  <si>
    <t>1211.45亿</t>
  </si>
  <si>
    <t>949.46亿</t>
  </si>
  <si>
    <t>141.62亿</t>
  </si>
  <si>
    <t>99.12亿</t>
  </si>
  <si>
    <t>684504910亿</t>
  </si>
  <si>
    <t>9160039000亿</t>
  </si>
  <si>
    <t>879.25亿</t>
  </si>
  <si>
    <t>50327007000亿</t>
  </si>
  <si>
    <t>11.54亿</t>
  </si>
  <si>
    <t>184866820000亿</t>
  </si>
  <si>
    <t>821.57亿</t>
  </si>
  <si>
    <t>28.88亿</t>
  </si>
  <si>
    <t>134.65亿</t>
  </si>
  <si>
    <t>1415.10亿</t>
  </si>
  <si>
    <t>2.17亿</t>
  </si>
  <si>
    <t>3082.46亿</t>
  </si>
  <si>
    <t>51.84亿</t>
  </si>
  <si>
    <t>208.62亿</t>
  </si>
  <si>
    <t>-202.29亿</t>
  </si>
  <si>
    <t>-101.30亿</t>
  </si>
  <si>
    <t>5078.43亿</t>
  </si>
  <si>
    <t>323.79亿</t>
  </si>
  <si>
    <t>304.46亿</t>
  </si>
  <si>
    <t>10派0.9元(含税)</t>
  </si>
  <si>
    <t>5.68亿</t>
  </si>
  <si>
    <t>011712000000</t>
  </si>
  <si>
    <t>035136000000</t>
  </si>
  <si>
    <t>070272000000</t>
  </si>
  <si>
    <t>0117120000000</t>
  </si>
  <si>
    <t>0234240000000</t>
  </si>
  <si>
    <t>*ST龙宇</t>
  </si>
  <si>
    <t>2501.78万</t>
  </si>
  <si>
    <t>37.29亿</t>
  </si>
  <si>
    <t>751.29万</t>
  </si>
  <si>
    <t>1869.63万</t>
  </si>
  <si>
    <t>670376亿</t>
  </si>
  <si>
    <t>-17541651亿</t>
  </si>
  <si>
    <t>2489144600亿</t>
  </si>
  <si>
    <t>73.25万</t>
  </si>
  <si>
    <t>-1.22亿</t>
  </si>
  <si>
    <t>4010.13万</t>
  </si>
  <si>
    <t>31.24亿</t>
  </si>
  <si>
    <t>6595.29万</t>
  </si>
  <si>
    <t>4832.04万</t>
  </si>
  <si>
    <t>10派0.6元(含税)</t>
  </si>
  <si>
    <t>7645.94万</t>
  </si>
  <si>
    <t>5.10亿</t>
  </si>
  <si>
    <t>账面净赚</t>
  </si>
  <si>
    <t>0174000000</t>
  </si>
  <si>
    <t>0522000000</t>
  </si>
  <si>
    <t>01044000000</t>
  </si>
  <si>
    <t>01740000000</t>
  </si>
  <si>
    <t>03480000000</t>
  </si>
  <si>
    <t>212.41万</t>
  </si>
  <si>
    <t>40.90亿</t>
  </si>
  <si>
    <t>22.32亿</t>
  </si>
  <si>
    <t>37.38亿</t>
  </si>
  <si>
    <t>8.53亿</t>
  </si>
  <si>
    <t>1380.82万</t>
  </si>
  <si>
    <t>4690.78万</t>
  </si>
  <si>
    <t>2625374亿</t>
  </si>
  <si>
    <t>22335084亿</t>
  </si>
  <si>
    <t>1795582000亿</t>
  </si>
  <si>
    <t>6163103700亿</t>
  </si>
  <si>
    <t>19.09亿</t>
  </si>
  <si>
    <t>62.06万</t>
  </si>
  <si>
    <t>40.94亿</t>
  </si>
  <si>
    <t>-10.08亿</t>
  </si>
  <si>
    <t>-672.04万</t>
  </si>
  <si>
    <t>4.32亿</t>
  </si>
  <si>
    <t>6.82亿</t>
  </si>
  <si>
    <t>5850.09万</t>
  </si>
  <si>
    <t>10派1.9元(含税)</t>
  </si>
  <si>
    <t>1066.46万</t>
  </si>
  <si>
    <t>6741.76万</t>
  </si>
  <si>
    <t>777.37万</t>
  </si>
  <si>
    <t>41.31亿</t>
  </si>
  <si>
    <t>20.61亿</t>
  </si>
  <si>
    <t>7.29亿</t>
  </si>
  <si>
    <t>7788.91万</t>
  </si>
  <si>
    <t>944.42万</t>
  </si>
  <si>
    <t>2510.20万</t>
  </si>
  <si>
    <t>-445379亿</t>
  </si>
  <si>
    <t>46270621亿</t>
  </si>
  <si>
    <t>2027514700亿</t>
  </si>
  <si>
    <t>42.27万</t>
  </si>
  <si>
    <t>3177290900亿</t>
  </si>
  <si>
    <t>12.68亿</t>
  </si>
  <si>
    <t>4025.80万</t>
  </si>
  <si>
    <t>13.88亿</t>
  </si>
  <si>
    <t>31.52亿</t>
  </si>
  <si>
    <t>-3.45亿</t>
  </si>
  <si>
    <t>-7.96亿</t>
  </si>
  <si>
    <t>3.83亿</t>
  </si>
  <si>
    <t>28.62亿</t>
  </si>
  <si>
    <t>-1488.29万</t>
  </si>
  <si>
    <t>10转3股派1.5元(含税)</t>
  </si>
  <si>
    <t>4184.79万</t>
  </si>
  <si>
    <t>077889100</t>
  </si>
  <si>
    <t>0233667300</t>
  </si>
  <si>
    <t>0467334600</t>
  </si>
  <si>
    <t>0778891000</t>
  </si>
  <si>
    <t>01557782000</t>
  </si>
  <si>
    <t>1063.84万</t>
  </si>
  <si>
    <t>3.54亿</t>
  </si>
  <si>
    <t>8.14亿</t>
  </si>
  <si>
    <t>40.46亿</t>
  </si>
  <si>
    <t>17.43亿</t>
  </si>
  <si>
    <t>7.86亿</t>
  </si>
  <si>
    <t>7.45亿</t>
  </si>
  <si>
    <t>441.43万</t>
  </si>
  <si>
    <t>1772.37万</t>
  </si>
  <si>
    <t>-605415亿</t>
  </si>
  <si>
    <t>21694956亿</t>
  </si>
  <si>
    <t>644939580亿</t>
  </si>
  <si>
    <t>264.02万</t>
  </si>
  <si>
    <t>1741053500亿</t>
  </si>
  <si>
    <t>82.21万</t>
  </si>
  <si>
    <t>7.13亿</t>
  </si>
  <si>
    <t>18.04亿</t>
  </si>
  <si>
    <t>-7370.24万</t>
  </si>
  <si>
    <t>-130.77万</t>
  </si>
  <si>
    <t>5000.39万</t>
  </si>
  <si>
    <t>24.45亿</t>
  </si>
  <si>
    <t>9.91亿</t>
  </si>
  <si>
    <t>1878.81万</t>
  </si>
  <si>
    <t>5103.68万</t>
  </si>
  <si>
    <t>*ST通脉</t>
  </si>
  <si>
    <t>72.91万</t>
  </si>
  <si>
    <t>2612.56万</t>
  </si>
  <si>
    <t>124.39亿</t>
  </si>
  <si>
    <t>17.17亿</t>
  </si>
  <si>
    <t>3404.03万</t>
  </si>
  <si>
    <t>2412.01万</t>
  </si>
  <si>
    <t>103.08万</t>
  </si>
  <si>
    <t>694.52万</t>
  </si>
  <si>
    <t>-10270472亿</t>
  </si>
  <si>
    <t>4718.76万</t>
  </si>
  <si>
    <t>266.23万</t>
  </si>
  <si>
    <t>1050926110亿</t>
  </si>
  <si>
    <t>9094.08万</t>
  </si>
  <si>
    <t>3.43亿</t>
  </si>
  <si>
    <t>9.37亿</t>
  </si>
  <si>
    <t>-16.95万</t>
  </si>
  <si>
    <t>-32.43万</t>
  </si>
  <si>
    <t>3.09亿</t>
  </si>
  <si>
    <t>30.35亿</t>
  </si>
  <si>
    <t>446.93万</t>
  </si>
  <si>
    <t>3070.35万</t>
  </si>
  <si>
    <t>217.19万</t>
  </si>
  <si>
    <t>7.40亿</t>
  </si>
  <si>
    <t>89.05亿</t>
  </si>
  <si>
    <t>11.94亿</t>
  </si>
  <si>
    <t>3.97亿</t>
  </si>
  <si>
    <t>514.41万</t>
  </si>
  <si>
    <t>2111.48万</t>
  </si>
  <si>
    <t>2957923亿</t>
  </si>
  <si>
    <t>-3615274亿</t>
  </si>
  <si>
    <t>514011710亿</t>
  </si>
  <si>
    <t>1060061400亿</t>
  </si>
  <si>
    <t>107.14万</t>
  </si>
  <si>
    <t>102.32万</t>
  </si>
  <si>
    <t>-1.40亿</t>
  </si>
  <si>
    <t>-6947.16万</t>
  </si>
  <si>
    <t>5671.22万</t>
  </si>
  <si>
    <t>2192.12万</t>
  </si>
  <si>
    <t>13.59亿</t>
  </si>
  <si>
    <t>3285.32万</t>
  </si>
  <si>
    <t>1236.37万</t>
  </si>
  <si>
    <t>389.08万</t>
  </si>
  <si>
    <t>38.86亿</t>
  </si>
  <si>
    <t>31.84亿</t>
  </si>
  <si>
    <t>85.40亿</t>
  </si>
  <si>
    <t>6.43亿</t>
  </si>
  <si>
    <t>71.69万</t>
  </si>
  <si>
    <t>1146.46万</t>
  </si>
  <si>
    <t>1213505亿</t>
  </si>
  <si>
    <t>31929142亿</t>
  </si>
  <si>
    <t>116930339亿</t>
  </si>
  <si>
    <t>224.46万</t>
  </si>
  <si>
    <t>1722137200亿</t>
  </si>
  <si>
    <t>7.00亿</t>
  </si>
  <si>
    <t>19.47亿</t>
  </si>
  <si>
    <t>11.06亿</t>
  </si>
  <si>
    <t>1.49亿</t>
  </si>
  <si>
    <t>15.42亿</t>
  </si>
  <si>
    <t>21.18亿</t>
  </si>
  <si>
    <t>10转3股派0.81元(含税)</t>
  </si>
  <si>
    <t>2017.47万</t>
  </si>
  <si>
    <t>3030.33万</t>
  </si>
  <si>
    <t>45.86亿</t>
  </si>
  <si>
    <t>28.07亿</t>
  </si>
  <si>
    <t>20.82亿</t>
  </si>
  <si>
    <t>3.18亿</t>
  </si>
  <si>
    <t>2673.38万</t>
  </si>
  <si>
    <t>4770.08万</t>
  </si>
  <si>
    <t>-62630062亿</t>
  </si>
  <si>
    <t>11.27亿</t>
  </si>
  <si>
    <t>1488099400亿</t>
  </si>
  <si>
    <t>9165.41万</t>
  </si>
  <si>
    <t>4414815400亿</t>
  </si>
  <si>
    <t>7.26亿</t>
  </si>
  <si>
    <t>23.88亿</t>
  </si>
  <si>
    <t>2728.61万</t>
  </si>
  <si>
    <t>-9682.19万</t>
  </si>
  <si>
    <t>110.11万</t>
  </si>
  <si>
    <t>23.70亿</t>
  </si>
  <si>
    <t>-6.21亿</t>
  </si>
  <si>
    <t>2581.76万</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</si>
</sst>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3" fillId="0" borderId="0" xfId="0" applyFont="1">
      <alignment vertical="center"/>
    </xf>
    <xf numFmtId="0" fontId="6"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285750</xdr:colOff>
          <xdr:row>0</xdr:row>
          <xdr:rowOff>165100</xdr:rowOff>
        </xdr:from>
        <xdr:to>
          <xdr:col>147</xdr:col>
          <xdr:colOff>1727200</xdr:colOff>
          <xdr:row>0</xdr:row>
          <xdr:rowOff>476250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24"/>
  <sheetViews>
    <sheetView tabSelected="1" zoomScale="85" zoomScaleNormal="85" workbookViewId="0">
      <pane xSplit="5" ySplit="1" topLeftCell="F31" activePane="bottomRight" state="frozen"/>
      <selection pane="topRight" activeCell="F1" sqref="F1"/>
      <selection pane="bottomLeft" activeCell="A2" sqref="A2"/>
      <selection pane="bottomRight" activeCell="D45" sqref="D45:EP45"/>
    </sheetView>
  </sheetViews>
  <sheetFormatPr defaultRowHeight="14" x14ac:dyDescent="0.25"/>
  <cols>
    <col min="1" max="1" width="38.81640625" customWidth="1"/>
    <col min="2" max="2" width="42.453125" customWidth="1"/>
    <col min="3" max="3" width="39.1796875" customWidth="1"/>
    <col min="9" max="9" width="13.1796875" customWidth="1"/>
    <col min="16" max="16" width="12.453125" customWidth="1"/>
    <col min="148" max="148" width="27.36328125" customWidth="1"/>
  </cols>
  <sheetData>
    <row r="1" spans="1:146" ht="50" customHeight="1" x14ac:dyDescent="0.25">
      <c r="A1" s="3" t="s">
        <v>10</v>
      </c>
      <c r="B1" s="4" t="s">
        <v>11</v>
      </c>
      <c r="C1" s="3" t="s">
        <v>12</v>
      </c>
      <c r="D1" t="s">
        <v>105</v>
      </c>
      <c r="E1" t="s">
        <v>374</v>
      </c>
      <c r="F1" t="s">
        <v>3</v>
      </c>
      <c r="G1" t="s">
        <v>456</v>
      </c>
      <c r="H1" t="s">
        <v>457</v>
      </c>
      <c r="I1" t="s">
        <v>7</v>
      </c>
      <c r="J1" t="s">
        <v>8</v>
      </c>
      <c r="K1" t="s">
        <v>4</v>
      </c>
      <c r="L1" t="s">
        <v>9</v>
      </c>
      <c r="M1" t="s">
        <v>13</v>
      </c>
      <c r="N1" t="s">
        <v>14</v>
      </c>
      <c r="O1" t="s">
        <v>15</v>
      </c>
      <c r="P1" t="s">
        <v>458</v>
      </c>
      <c r="Q1" t="s">
        <v>375</v>
      </c>
      <c r="R1" t="s">
        <v>376</v>
      </c>
      <c r="S1" t="s">
        <v>16</v>
      </c>
      <c r="T1" t="s">
        <v>459</v>
      </c>
      <c r="U1" t="s">
        <v>302</v>
      </c>
      <c r="V1" t="s">
        <v>17</v>
      </c>
      <c r="W1" t="s">
        <v>377</v>
      </c>
      <c r="X1" t="s">
        <v>378</v>
      </c>
      <c r="Y1" t="s">
        <v>379</v>
      </c>
      <c r="Z1" t="s">
        <v>380</v>
      </c>
      <c r="AA1" t="s">
        <v>381</v>
      </c>
      <c r="AB1" t="s">
        <v>460</v>
      </c>
      <c r="AC1" t="s">
        <v>382</v>
      </c>
      <c r="AD1" t="s">
        <v>383</v>
      </c>
      <c r="AE1" t="s">
        <v>18</v>
      </c>
      <c r="AF1" t="s">
        <v>19</v>
      </c>
      <c r="AG1" t="s">
        <v>461</v>
      </c>
      <c r="AH1" t="s">
        <v>384</v>
      </c>
      <c r="AI1" t="s">
        <v>462</v>
      </c>
      <c r="AJ1" t="s">
        <v>20</v>
      </c>
      <c r="AK1" t="s">
        <v>463</v>
      </c>
      <c r="AL1" t="s">
        <v>62</v>
      </c>
      <c r="AM1" t="s">
        <v>464</v>
      </c>
      <c r="AN1" t="s">
        <v>465</v>
      </c>
      <c r="AO1" t="s">
        <v>466</v>
      </c>
      <c r="AP1" t="s">
        <v>467</v>
      </c>
      <c r="AQ1" t="s">
        <v>468</v>
      </c>
      <c r="AR1" t="s">
        <v>469</v>
      </c>
      <c r="AS1" t="s">
        <v>470</v>
      </c>
      <c r="AT1" t="s">
        <v>471</v>
      </c>
      <c r="AU1" t="s">
        <v>472</v>
      </c>
      <c r="AV1" t="s">
        <v>473</v>
      </c>
      <c r="AW1" t="s">
        <v>474</v>
      </c>
      <c r="AX1" t="s">
        <v>385</v>
      </c>
      <c r="AY1" t="s">
        <v>63</v>
      </c>
      <c r="AZ1" t="s">
        <v>64</v>
      </c>
      <c r="BA1" t="s">
        <v>65</v>
      </c>
      <c r="BB1" t="s">
        <v>66</v>
      </c>
      <c r="BC1" t="s">
        <v>303</v>
      </c>
      <c r="BD1" t="s">
        <v>67</v>
      </c>
      <c r="BE1" t="s">
        <v>68</v>
      </c>
      <c r="BF1" t="s">
        <v>69</v>
      </c>
      <c r="BG1" t="s">
        <v>70</v>
      </c>
      <c r="BH1" t="s">
        <v>475</v>
      </c>
      <c r="BI1" t="s">
        <v>476</v>
      </c>
      <c r="BJ1" t="s">
        <v>477</v>
      </c>
      <c r="BK1" t="s">
        <v>478</v>
      </c>
      <c r="BL1" t="s">
        <v>479</v>
      </c>
      <c r="BM1" t="s">
        <v>480</v>
      </c>
      <c r="BN1" t="s">
        <v>386</v>
      </c>
      <c r="BO1" t="s">
        <v>304</v>
      </c>
      <c r="BP1" t="s">
        <v>71</v>
      </c>
      <c r="BQ1" t="s">
        <v>387</v>
      </c>
      <c r="BR1" t="s">
        <v>305</v>
      </c>
      <c r="BS1" t="s">
        <v>72</v>
      </c>
      <c r="BT1" t="s">
        <v>481</v>
      </c>
      <c r="BU1" t="s">
        <v>388</v>
      </c>
      <c r="BV1" t="s">
        <v>482</v>
      </c>
      <c r="BW1" t="s">
        <v>94</v>
      </c>
      <c r="BX1" t="s">
        <v>73</v>
      </c>
      <c r="BY1" t="s">
        <v>483</v>
      </c>
      <c r="BZ1" t="s">
        <v>95</v>
      </c>
      <c r="CA1" t="s">
        <v>74</v>
      </c>
      <c r="CB1" t="s">
        <v>484</v>
      </c>
      <c r="CC1" t="s">
        <v>485</v>
      </c>
      <c r="CD1" t="s">
        <v>486</v>
      </c>
      <c r="CE1" t="s">
        <v>487</v>
      </c>
      <c r="CF1" s="1" t="s">
        <v>389</v>
      </c>
      <c r="CG1" s="1" t="s">
        <v>390</v>
      </c>
      <c r="CH1" s="1" t="s">
        <v>81</v>
      </c>
      <c r="CI1" s="1" t="s">
        <v>82</v>
      </c>
      <c r="CJ1" s="1" t="s">
        <v>83</v>
      </c>
      <c r="CK1" s="1" t="s">
        <v>84</v>
      </c>
      <c r="CL1" s="1" t="s">
        <v>85</v>
      </c>
      <c r="CM1" s="1" t="s">
        <v>86</v>
      </c>
      <c r="CN1" s="1" t="s">
        <v>87</v>
      </c>
      <c r="CO1" s="1" t="s">
        <v>88</v>
      </c>
      <c r="CP1" s="1" t="s">
        <v>89</v>
      </c>
      <c r="CQ1" s="1" t="s">
        <v>90</v>
      </c>
      <c r="CR1" s="1" t="s">
        <v>488</v>
      </c>
      <c r="CS1" s="1" t="s">
        <v>489</v>
      </c>
      <c r="CT1" s="1" t="s">
        <v>490</v>
      </c>
      <c r="CU1" s="1" t="s">
        <v>499</v>
      </c>
      <c r="CV1" s="1" t="s">
        <v>491</v>
      </c>
      <c r="CW1" s="1" t="s">
        <v>500</v>
      </c>
      <c r="CX1">
        <v>1</v>
      </c>
      <c r="CY1" t="s">
        <v>501</v>
      </c>
      <c r="CZ1" t="s">
        <v>502</v>
      </c>
      <c r="DA1">
        <v>3</v>
      </c>
      <c r="DB1" t="s">
        <v>492</v>
      </c>
      <c r="DC1" t="s">
        <v>503</v>
      </c>
      <c r="DD1">
        <v>6</v>
      </c>
      <c r="DE1" t="s">
        <v>391</v>
      </c>
      <c r="DF1" t="s">
        <v>504</v>
      </c>
      <c r="DG1">
        <v>10</v>
      </c>
      <c r="DH1" t="s">
        <v>493</v>
      </c>
      <c r="DI1" t="s">
        <v>392</v>
      </c>
      <c r="DJ1">
        <v>20</v>
      </c>
      <c r="DK1" t="s">
        <v>505</v>
      </c>
      <c r="DL1" t="s">
        <v>91</v>
      </c>
      <c r="DM1" t="s">
        <v>92</v>
      </c>
      <c r="DN1" s="2" t="s">
        <v>93</v>
      </c>
      <c r="DO1" t="s">
        <v>494</v>
      </c>
      <c r="DP1" t="s">
        <v>495</v>
      </c>
      <c r="DQ1" s="9" t="s">
        <v>393</v>
      </c>
      <c r="DR1" s="1" t="s">
        <v>496</v>
      </c>
      <c r="DS1" s="1" t="s">
        <v>506</v>
      </c>
      <c r="DT1" t="s">
        <v>507</v>
      </c>
      <c r="DU1" t="s">
        <v>508</v>
      </c>
      <c r="DV1" t="s">
        <v>497</v>
      </c>
      <c r="DW1" t="s">
        <v>394</v>
      </c>
      <c r="DX1" t="s">
        <v>509</v>
      </c>
      <c r="DY1" t="s">
        <v>510</v>
      </c>
      <c r="DZ1" t="s">
        <v>511</v>
      </c>
      <c r="EA1" t="s">
        <v>395</v>
      </c>
      <c r="EB1" t="s">
        <v>512</v>
      </c>
      <c r="EC1" t="s">
        <v>513</v>
      </c>
      <c r="ED1" t="s">
        <v>396</v>
      </c>
      <c r="EE1" t="s">
        <v>397</v>
      </c>
      <c r="EF1" t="s">
        <v>514</v>
      </c>
      <c r="EG1" t="s">
        <v>398</v>
      </c>
      <c r="EH1" t="s">
        <v>399</v>
      </c>
      <c r="EI1" t="s">
        <v>515</v>
      </c>
      <c r="EK1" s="10" t="s">
        <v>400</v>
      </c>
      <c r="EL1" t="s">
        <v>516</v>
      </c>
      <c r="EM1" t="s">
        <v>517</v>
      </c>
      <c r="EN1" t="s">
        <v>401</v>
      </c>
      <c r="EO1" t="s">
        <v>402</v>
      </c>
      <c r="EP1" t="s">
        <v>498</v>
      </c>
    </row>
    <row r="2" spans="1:146" ht="108" x14ac:dyDescent="0.25">
      <c r="A2" s="7"/>
      <c r="B2" s="7"/>
      <c r="C2" s="7" t="str">
        <f>""&amp;CHAR(10)&amp;Basic_Fundamental_Information_Constructure(F2)&amp;CHAR(10)&amp;Basic_Fundamental_Information_Concatenate("")</f>
        <v xml:space="preserve">
市值101.13152亿, 利润-9101.88万; PE; 平均PE-16.96; 平均PEG-4.28, PB8.22; ROIC1.98%; ROE-28.7367%; 股利率0%; 毛利14.3733%; 净利-47.0267%; 上一年度营收增10.16%, 利润增93.44%; 当季营收增19.39%, 利润增-79.05%; 过往5年营收增-3.97%, 利润增-8133.57%
Income profile:
</v>
      </c>
      <c r="D2" t="s">
        <v>403</v>
      </c>
      <c r="E2" t="s">
        <v>836</v>
      </c>
      <c r="F2">
        <v>2.58</v>
      </c>
      <c r="G2">
        <v>0.78</v>
      </c>
      <c r="H2" t="s">
        <v>837</v>
      </c>
      <c r="I2">
        <v>10113152000</v>
      </c>
      <c r="K2">
        <v>8.2200000000000006</v>
      </c>
      <c r="L2" t="s">
        <v>107</v>
      </c>
      <c r="M2" t="s">
        <v>838</v>
      </c>
      <c r="N2" t="s">
        <v>647</v>
      </c>
      <c r="O2" t="s">
        <v>811</v>
      </c>
      <c r="P2">
        <v>19.39</v>
      </c>
      <c r="Q2" t="s">
        <v>839</v>
      </c>
      <c r="R2">
        <v>15366873</v>
      </c>
      <c r="S2" s="5">
        <v>-0.79049999999999998</v>
      </c>
      <c r="T2" t="s">
        <v>840</v>
      </c>
      <c r="U2">
        <v>3919826400</v>
      </c>
      <c r="V2">
        <v>3919826400</v>
      </c>
      <c r="W2">
        <v>10.68</v>
      </c>
      <c r="X2">
        <v>0.14000000000000001</v>
      </c>
      <c r="Y2">
        <v>5.09</v>
      </c>
      <c r="Z2" t="s">
        <v>841</v>
      </c>
      <c r="AA2" t="s">
        <v>842</v>
      </c>
      <c r="AB2" t="s">
        <v>843</v>
      </c>
      <c r="AC2" t="s">
        <v>844</v>
      </c>
      <c r="AD2" t="s">
        <v>5</v>
      </c>
      <c r="AE2">
        <v>32574190</v>
      </c>
      <c r="AF2" t="s">
        <v>845</v>
      </c>
      <c r="AG2" t="s">
        <v>846</v>
      </c>
      <c r="AH2" t="s">
        <v>847</v>
      </c>
      <c r="AI2" t="s">
        <v>848</v>
      </c>
      <c r="AJ2" t="s">
        <v>849</v>
      </c>
      <c r="AK2" t="s">
        <v>5</v>
      </c>
      <c r="AL2" t="s">
        <v>850</v>
      </c>
      <c r="AM2" t="s">
        <v>5</v>
      </c>
      <c r="AN2">
        <v>0</v>
      </c>
      <c r="AO2" t="s">
        <v>603</v>
      </c>
      <c r="AP2" t="s">
        <v>5</v>
      </c>
      <c r="AQ2" t="s">
        <v>851</v>
      </c>
      <c r="AR2" t="s">
        <v>852</v>
      </c>
      <c r="AS2" t="s">
        <v>853</v>
      </c>
      <c r="AT2" t="s">
        <v>854</v>
      </c>
      <c r="AU2" t="s">
        <v>855</v>
      </c>
      <c r="AV2" t="s">
        <v>856</v>
      </c>
      <c r="AW2" t="s">
        <v>759</v>
      </c>
      <c r="AX2" t="s">
        <v>546</v>
      </c>
      <c r="AY2" t="s">
        <v>404</v>
      </c>
      <c r="AZ2" t="s">
        <v>406</v>
      </c>
      <c r="BA2" t="s">
        <v>407</v>
      </c>
      <c r="BB2" t="s">
        <v>408</v>
      </c>
      <c r="BC2" t="s">
        <v>547</v>
      </c>
      <c r="BD2" t="s">
        <v>405</v>
      </c>
      <c r="BE2" t="s">
        <v>409</v>
      </c>
      <c r="BF2" t="s">
        <v>410</v>
      </c>
      <c r="BG2" t="s">
        <v>411</v>
      </c>
      <c r="BH2" t="s">
        <v>839</v>
      </c>
      <c r="BI2" t="s">
        <v>603</v>
      </c>
      <c r="BJ2" t="s">
        <v>546</v>
      </c>
      <c r="BK2" t="s">
        <v>840</v>
      </c>
      <c r="BL2" t="s">
        <v>857</v>
      </c>
      <c r="BM2" t="s">
        <v>547</v>
      </c>
      <c r="BN2">
        <v>1.98</v>
      </c>
      <c r="BO2" t="s">
        <v>5</v>
      </c>
      <c r="BP2" t="s">
        <v>5</v>
      </c>
      <c r="BQ2">
        <v>2.21</v>
      </c>
      <c r="BR2">
        <v>-57.79</v>
      </c>
      <c r="BS2">
        <v>-30.63</v>
      </c>
      <c r="BT2" t="s">
        <v>519</v>
      </c>
      <c r="BU2" t="s">
        <v>858</v>
      </c>
      <c r="BV2">
        <v>17.28</v>
      </c>
      <c r="BW2">
        <v>12.28</v>
      </c>
      <c r="BX2">
        <v>13.56</v>
      </c>
      <c r="BY2">
        <v>-2.77</v>
      </c>
      <c r="BZ2">
        <v>-69.11</v>
      </c>
      <c r="CA2">
        <v>-69.2</v>
      </c>
      <c r="CB2">
        <v>-7.53</v>
      </c>
      <c r="CC2">
        <v>3.2</v>
      </c>
      <c r="CD2" t="s">
        <v>26</v>
      </c>
      <c r="CE2" t="s">
        <v>859</v>
      </c>
      <c r="CF2" s="11">
        <v>0.19390581717451508</v>
      </c>
      <c r="CG2" s="12">
        <v>-0.79051676684011285</v>
      </c>
      <c r="CH2" s="11">
        <v>0.10158849507570267</v>
      </c>
      <c r="CI2" s="11">
        <v>1.7669197171926498E-2</v>
      </c>
      <c r="CJ2" s="11">
        <v>0.1275964081287384</v>
      </c>
      <c r="CK2" s="11">
        <v>-0.32619249820709229</v>
      </c>
      <c r="CL2" s="11">
        <v>-0.11902369558811188</v>
      </c>
      <c r="CM2" s="12">
        <v>0.93442451953887939</v>
      </c>
      <c r="CN2" s="12">
        <v>5.9620596468448639E-2</v>
      </c>
      <c r="CO2" s="12">
        <v>0.43984821438789368</v>
      </c>
      <c r="CP2" s="12">
        <v>-407.11563110351562</v>
      </c>
      <c r="CQ2" s="12">
        <v>-0.99676555395126343</v>
      </c>
      <c r="CR2">
        <v>-16.961116613820622</v>
      </c>
      <c r="CS2">
        <v>-4.2752917963029473</v>
      </c>
      <c r="CT2">
        <v>0</v>
      </c>
      <c r="CU2" s="11">
        <v>-3.9672418683767322E-2</v>
      </c>
      <c r="CV2" s="12">
        <v>-81.335700665414336</v>
      </c>
      <c r="CW2">
        <v>0.06</v>
      </c>
      <c r="CX2" t="e">
        <v>#VALUE!</v>
      </c>
      <c r="CY2" t="s">
        <v>413</v>
      </c>
      <c r="CZ2">
        <v>-3.9672418683767322E-2</v>
      </c>
      <c r="DA2" t="e">
        <v>#VALUE!</v>
      </c>
      <c r="DB2" t="s">
        <v>413</v>
      </c>
      <c r="DC2">
        <v>-3.7688797749578951E-2</v>
      </c>
      <c r="DD2" t="e">
        <v>#VALUE!</v>
      </c>
      <c r="DE2" t="s">
        <v>413</v>
      </c>
      <c r="DF2">
        <v>-3.4911728441715244E-2</v>
      </c>
      <c r="DG2" t="e">
        <v>#VALUE!</v>
      </c>
      <c r="DH2" t="s">
        <v>413</v>
      </c>
      <c r="DI2">
        <v>-3.1737934947013859E-2</v>
      </c>
      <c r="DJ2" t="e">
        <v>#VALUE!</v>
      </c>
      <c r="DK2" t="s">
        <v>413</v>
      </c>
      <c r="DL2">
        <v>-2.7770693078637124E-2</v>
      </c>
      <c r="DM2">
        <v>-91018799.999999985</v>
      </c>
      <c r="DN2">
        <v>-3.9672418683767322E-2</v>
      </c>
      <c r="DO2">
        <v>15192152000</v>
      </c>
      <c r="DP2">
        <v>-576785300</v>
      </c>
      <c r="DQ2">
        <v>321</v>
      </c>
      <c r="DR2">
        <v>0.23357823585828241</v>
      </c>
      <c r="DS2">
        <v>80.545183898574223</v>
      </c>
      <c r="DT2" s="13">
        <v>-0.55666666666666664</v>
      </c>
      <c r="DU2">
        <v>-2.0733333333333337</v>
      </c>
      <c r="DV2">
        <v>-2.6300000000000003</v>
      </c>
      <c r="DW2">
        <v>-5.4249667994687911</v>
      </c>
      <c r="DX2">
        <v>0.29741687979539805</v>
      </c>
      <c r="DY2">
        <v>-5.0456486076155738</v>
      </c>
      <c r="DZ2">
        <v>4757</v>
      </c>
      <c r="EA2">
        <v>-5.0031534165339133</v>
      </c>
      <c r="EB2">
        <v>5</v>
      </c>
      <c r="EC2">
        <v>4.2859040900382735E-2</v>
      </c>
      <c r="ED2">
        <v>0.39899726171546779</v>
      </c>
      <c r="EE2" s="14">
        <v>2.1149</v>
      </c>
      <c r="EF2">
        <v>2.1042999999999998</v>
      </c>
      <c r="EG2">
        <v>19.107416879795398</v>
      </c>
      <c r="EH2" t="s">
        <v>429</v>
      </c>
      <c r="EI2">
        <v>0</v>
      </c>
      <c r="EJ2">
        <v>0</v>
      </c>
      <c r="EK2" s="10">
        <v>45470</v>
      </c>
      <c r="EL2" s="15">
        <v>0.36</v>
      </c>
      <c r="EM2" s="15">
        <v>0</v>
      </c>
      <c r="EN2" s="15">
        <v>2.5499999999999998</v>
      </c>
      <c r="EO2" s="15">
        <v>0</v>
      </c>
      <c r="EP2" s="15">
        <v>-1.06</v>
      </c>
    </row>
    <row r="3" spans="1:146" ht="108" x14ac:dyDescent="0.25">
      <c r="A3" s="7"/>
      <c r="B3" s="7"/>
      <c r="C3" s="7" t="str">
        <f>""&amp;CHAR(10)&amp;Basic_Fundamental_Information_Constructure(F3)&amp;CHAR(10)&amp;Basic_Fundamental_Information_Concatenate("")</f>
        <v xml:space="preserve">
市值16.291465亿, 利润-1.25亿; PE; 平均PE-3.08; 平均PEG-.23, PB12.58; ROIC0%; ROE-62.0867%; 股利率0%; 毛利8.97%; 净利-38.9167%; 上一年度营收增-5.74%, 利润增-57.99%; 当季营收增2.25%, 利润增9.19%; 过往5年营收增-13.3%, 利润增-2098.55%
Income profile:
</v>
      </c>
      <c r="D3" t="s">
        <v>106</v>
      </c>
      <c r="E3" t="s">
        <v>415</v>
      </c>
      <c r="F3">
        <v>1.74</v>
      </c>
      <c r="G3">
        <v>4.82</v>
      </c>
      <c r="H3" t="s">
        <v>860</v>
      </c>
      <c r="I3">
        <v>1629146500</v>
      </c>
      <c r="K3">
        <v>12.58</v>
      </c>
      <c r="L3" t="s">
        <v>107</v>
      </c>
      <c r="M3" t="s">
        <v>861</v>
      </c>
      <c r="N3" t="s">
        <v>34</v>
      </c>
      <c r="O3" t="s">
        <v>430</v>
      </c>
      <c r="P3">
        <v>2.21</v>
      </c>
      <c r="Q3" t="s">
        <v>862</v>
      </c>
      <c r="R3">
        <v>-6226320</v>
      </c>
      <c r="S3" s="5">
        <v>9.1899999999999996E-2</v>
      </c>
      <c r="T3" t="s">
        <v>764</v>
      </c>
      <c r="U3">
        <v>869849680</v>
      </c>
      <c r="V3">
        <v>936291120</v>
      </c>
      <c r="W3">
        <v>6.73</v>
      </c>
      <c r="X3">
        <v>0.41</v>
      </c>
      <c r="Y3">
        <v>-1.71</v>
      </c>
      <c r="Z3" t="s">
        <v>863</v>
      </c>
      <c r="AA3" t="s">
        <v>550</v>
      </c>
      <c r="AB3" t="s">
        <v>864</v>
      </c>
      <c r="AC3" t="s">
        <v>865</v>
      </c>
      <c r="AD3" t="s">
        <v>5</v>
      </c>
      <c r="AE3">
        <v>811356</v>
      </c>
      <c r="AF3" t="s">
        <v>21</v>
      </c>
      <c r="AG3" t="s">
        <v>866</v>
      </c>
      <c r="AH3" t="s">
        <v>867</v>
      </c>
      <c r="AI3" t="s">
        <v>868</v>
      </c>
      <c r="AJ3" t="s">
        <v>869</v>
      </c>
      <c r="AK3" t="s">
        <v>5</v>
      </c>
      <c r="AL3" t="s">
        <v>870</v>
      </c>
      <c r="AM3" t="s">
        <v>5</v>
      </c>
      <c r="AN3" t="s">
        <v>871</v>
      </c>
      <c r="AO3" t="s">
        <v>872</v>
      </c>
      <c r="AP3" t="s">
        <v>5</v>
      </c>
      <c r="AQ3" t="s">
        <v>807</v>
      </c>
      <c r="AR3" t="s">
        <v>5</v>
      </c>
      <c r="AS3" t="s">
        <v>290</v>
      </c>
      <c r="AT3" t="s">
        <v>5</v>
      </c>
      <c r="AU3" t="s">
        <v>873</v>
      </c>
      <c r="AV3" t="s">
        <v>874</v>
      </c>
      <c r="AW3" t="s">
        <v>875</v>
      </c>
      <c r="AX3" t="s">
        <v>549</v>
      </c>
      <c r="AY3" t="s">
        <v>306</v>
      </c>
      <c r="AZ3" t="s">
        <v>108</v>
      </c>
      <c r="BA3" t="s">
        <v>110</v>
      </c>
      <c r="BB3" t="s">
        <v>111</v>
      </c>
      <c r="BC3" t="s">
        <v>876</v>
      </c>
      <c r="BD3" t="s">
        <v>307</v>
      </c>
      <c r="BE3" t="s">
        <v>109</v>
      </c>
      <c r="BF3" t="s">
        <v>112</v>
      </c>
      <c r="BG3" t="s">
        <v>113</v>
      </c>
      <c r="BH3" t="s">
        <v>862</v>
      </c>
      <c r="BI3" t="s">
        <v>877</v>
      </c>
      <c r="BJ3" t="s">
        <v>549</v>
      </c>
      <c r="BK3" t="s">
        <v>764</v>
      </c>
      <c r="BL3" t="s">
        <v>878</v>
      </c>
      <c r="BM3" t="s">
        <v>876</v>
      </c>
      <c r="BN3" t="s">
        <v>5</v>
      </c>
      <c r="BO3" t="s">
        <v>5</v>
      </c>
      <c r="BP3" t="s">
        <v>5</v>
      </c>
      <c r="BQ3">
        <v>-10.26</v>
      </c>
      <c r="BR3">
        <v>-26.42</v>
      </c>
      <c r="BS3">
        <v>-149.58000000000001</v>
      </c>
      <c r="BT3" t="s">
        <v>519</v>
      </c>
      <c r="BU3" t="s">
        <v>879</v>
      </c>
      <c r="BV3">
        <v>8.92</v>
      </c>
      <c r="BW3">
        <v>9.75</v>
      </c>
      <c r="BX3">
        <v>8.24</v>
      </c>
      <c r="BY3">
        <v>-8.7799999999999994</v>
      </c>
      <c r="BZ3">
        <v>-5.21</v>
      </c>
      <c r="CA3">
        <v>-102.76</v>
      </c>
      <c r="CB3">
        <v>14.47</v>
      </c>
      <c r="CC3">
        <v>-11.68</v>
      </c>
      <c r="CD3" t="s">
        <v>563</v>
      </c>
      <c r="CE3" t="s">
        <v>603</v>
      </c>
      <c r="CF3" s="11">
        <v>2.247191011235955E-2</v>
      </c>
      <c r="CG3" s="12">
        <v>9.1936354222876895E-2</v>
      </c>
      <c r="CH3" s="11">
        <v>-5.7387903332710266E-2</v>
      </c>
      <c r="CI3" s="11">
        <v>-0.22296260297298431</v>
      </c>
      <c r="CJ3" s="11">
        <v>-0.2417411208152771</v>
      </c>
      <c r="CK3" s="11">
        <v>-0.18653181195259094</v>
      </c>
      <c r="CL3" s="11">
        <v>4.3549980968236923E-2</v>
      </c>
      <c r="CM3" s="12">
        <v>-0.57985073328018188</v>
      </c>
      <c r="CN3" s="12">
        <v>0.96053797006607056</v>
      </c>
      <c r="CO3" s="12">
        <v>-100.42329406738281</v>
      </c>
      <c r="CP3" s="12">
        <v>1.0162631273269653</v>
      </c>
      <c r="CQ3" s="12">
        <v>-5.9011855125427246</v>
      </c>
      <c r="CR3">
        <v>-3.0777761940022388</v>
      </c>
      <c r="CS3">
        <v>-0.23138618422469209</v>
      </c>
      <c r="CT3">
        <v>0</v>
      </c>
      <c r="CU3" s="11">
        <v>-0.13301469162106513</v>
      </c>
      <c r="CV3" s="12">
        <v>-20.985505843162535</v>
      </c>
      <c r="CW3">
        <v>0.06</v>
      </c>
      <c r="CX3" t="e">
        <v>#VALUE!</v>
      </c>
      <c r="CY3" t="s">
        <v>412</v>
      </c>
      <c r="CZ3">
        <v>-0.13301469162106513</v>
      </c>
      <c r="DA3" t="e">
        <v>#VALUE!</v>
      </c>
      <c r="DB3" t="s">
        <v>413</v>
      </c>
      <c r="DC3">
        <v>-0.12636395704001188</v>
      </c>
      <c r="DD3" t="e">
        <v>#VALUE!</v>
      </c>
      <c r="DE3" t="s">
        <v>413</v>
      </c>
      <c r="DF3">
        <v>-0.11705292862653732</v>
      </c>
      <c r="DG3" t="e">
        <v>#VALUE!</v>
      </c>
      <c r="DH3" t="s">
        <v>413</v>
      </c>
      <c r="DI3">
        <v>-0.10641175329685211</v>
      </c>
      <c r="DJ3" t="e">
        <v>#VALUE!</v>
      </c>
      <c r="DK3" t="s">
        <v>413</v>
      </c>
      <c r="DL3">
        <v>-9.3110284134745591E-2</v>
      </c>
      <c r="DM3">
        <v>-125000000</v>
      </c>
      <c r="DN3">
        <v>-0.13301469162106513</v>
      </c>
      <c r="DO3">
        <v>2268146500</v>
      </c>
      <c r="DP3">
        <v>-50646330</v>
      </c>
      <c r="DQ3">
        <v>347</v>
      </c>
      <c r="DR3">
        <v>0.15548660173342468</v>
      </c>
      <c r="DS3">
        <v>21.077442197385412</v>
      </c>
      <c r="DT3" s="13">
        <v>-0.84</v>
      </c>
      <c r="DU3">
        <v>-1.7850000000000001</v>
      </c>
      <c r="DV3">
        <v>-2.625</v>
      </c>
      <c r="DW3">
        <v>5.807187284035936</v>
      </c>
      <c r="DX3">
        <v>0.3568144044321313</v>
      </c>
      <c r="DY3">
        <v>5.1185067203709274</v>
      </c>
      <c r="DZ3">
        <v>4754</v>
      </c>
      <c r="EA3">
        <v>5.0082560454896381</v>
      </c>
      <c r="EB3">
        <v>5</v>
      </c>
      <c r="EC3">
        <v>0.11321265121044831</v>
      </c>
      <c r="ED3">
        <v>0.77112768088626116</v>
      </c>
      <c r="EE3" s="14">
        <v>-1.01041</v>
      </c>
      <c r="EF3">
        <v>-1.0099</v>
      </c>
      <c r="EG3">
        <v>21.146814404432131</v>
      </c>
      <c r="EH3" t="s">
        <v>427</v>
      </c>
      <c r="EI3">
        <v>1</v>
      </c>
      <c r="EJ3">
        <v>0</v>
      </c>
      <c r="EK3" s="10">
        <v>45470</v>
      </c>
      <c r="EL3" s="15">
        <v>-4.49</v>
      </c>
      <c r="EM3" s="15">
        <v>-4.71</v>
      </c>
      <c r="EN3" s="15">
        <v>-3.7</v>
      </c>
      <c r="EO3" s="15">
        <v>-5.13</v>
      </c>
      <c r="EP3" s="15">
        <v>2.0299999999999998</v>
      </c>
    </row>
    <row r="4" spans="1:146" ht="96" x14ac:dyDescent="0.25">
      <c r="A4" s="7"/>
      <c r="B4" s="7"/>
      <c r="C4" s="7" t="str">
        <f>""&amp;CHAR(10)&amp;Basic_Fundamental_Information_Constructure(F4)&amp;CHAR(10)&amp;Basic_Fundamental_Information_Concatenate("")</f>
        <v xml:space="preserve">
市值5.7672457亿, 利润-2.98亿; PE; 平均PE-.84; 平均PEG-.08, PB36.18; ROIC0%; ROE-59.0367%; 股利率0%; 毛利-4.83%; 净利-77.6733%; 上一年度营收增-2.72%, 利润增44.4%; 当季营收增-5.36%, 利润增51.57%; 过往5年营收增-10.26%, 利润增-57.23%
Income profile:
</v>
      </c>
      <c r="D4" t="s">
        <v>114</v>
      </c>
      <c r="E4" t="s">
        <v>880</v>
      </c>
      <c r="F4" t="s">
        <v>5</v>
      </c>
      <c r="G4" t="s">
        <v>5</v>
      </c>
      <c r="H4" t="s">
        <v>5</v>
      </c>
      <c r="I4">
        <v>576724570</v>
      </c>
      <c r="K4">
        <v>36.18</v>
      </c>
      <c r="L4" t="s">
        <v>107</v>
      </c>
      <c r="M4" t="s">
        <v>881</v>
      </c>
      <c r="N4" t="s">
        <v>882</v>
      </c>
      <c r="O4" t="s">
        <v>563</v>
      </c>
      <c r="P4">
        <v>-5.62</v>
      </c>
      <c r="Q4" t="s">
        <v>883</v>
      </c>
      <c r="R4">
        <v>-34495902</v>
      </c>
      <c r="S4" s="5">
        <v>0.51570000000000005</v>
      </c>
      <c r="T4" t="s">
        <v>884</v>
      </c>
      <c r="U4">
        <v>846658460</v>
      </c>
      <c r="V4">
        <v>1048590130</v>
      </c>
      <c r="W4" t="s">
        <v>5</v>
      </c>
      <c r="X4">
        <v>0.11</v>
      </c>
      <c r="Y4">
        <v>-33.31</v>
      </c>
      <c r="Z4" t="s">
        <v>366</v>
      </c>
      <c r="AA4" t="s">
        <v>885</v>
      </c>
      <c r="AB4" t="s">
        <v>886</v>
      </c>
      <c r="AC4" t="s">
        <v>887</v>
      </c>
      <c r="AD4" t="s">
        <v>5</v>
      </c>
      <c r="AE4">
        <v>3280584</v>
      </c>
      <c r="AF4" t="s">
        <v>888</v>
      </c>
      <c r="AG4" t="s">
        <v>889</v>
      </c>
      <c r="AH4" t="s">
        <v>890</v>
      </c>
      <c r="AI4" t="s">
        <v>891</v>
      </c>
      <c r="AJ4" t="s">
        <v>892</v>
      </c>
      <c r="AK4" t="s">
        <v>893</v>
      </c>
      <c r="AL4" t="s">
        <v>894</v>
      </c>
      <c r="AM4" t="s">
        <v>5</v>
      </c>
      <c r="AN4">
        <v>0</v>
      </c>
      <c r="AO4" t="s">
        <v>895</v>
      </c>
      <c r="AP4" t="s">
        <v>5</v>
      </c>
      <c r="AQ4" t="s">
        <v>896</v>
      </c>
      <c r="AR4" t="s">
        <v>5</v>
      </c>
      <c r="AS4" t="s">
        <v>101</v>
      </c>
      <c r="AT4" t="s">
        <v>5</v>
      </c>
      <c r="AU4" t="s">
        <v>897</v>
      </c>
      <c r="AV4" t="s">
        <v>898</v>
      </c>
      <c r="AW4" t="s">
        <v>899</v>
      </c>
      <c r="AX4" t="s">
        <v>552</v>
      </c>
      <c r="AY4" t="s">
        <v>309</v>
      </c>
      <c r="AZ4" t="s">
        <v>115</v>
      </c>
      <c r="BA4" t="s">
        <v>116</v>
      </c>
      <c r="BB4" t="s">
        <v>117</v>
      </c>
      <c r="BC4" t="s">
        <v>553</v>
      </c>
      <c r="BD4" t="s">
        <v>310</v>
      </c>
      <c r="BE4" t="s">
        <v>44</v>
      </c>
      <c r="BF4" t="s">
        <v>418</v>
      </c>
      <c r="BG4" t="s">
        <v>118</v>
      </c>
      <c r="BH4" t="s">
        <v>883</v>
      </c>
      <c r="BI4" t="s">
        <v>38</v>
      </c>
      <c r="BJ4" t="s">
        <v>552</v>
      </c>
      <c r="BK4" t="s">
        <v>884</v>
      </c>
      <c r="BL4" t="s">
        <v>900</v>
      </c>
      <c r="BM4" t="s">
        <v>553</v>
      </c>
      <c r="BN4" t="s">
        <v>5</v>
      </c>
      <c r="BO4" t="s">
        <v>5</v>
      </c>
      <c r="BP4" t="s">
        <v>5</v>
      </c>
      <c r="BQ4">
        <v>-17.11</v>
      </c>
      <c r="BR4">
        <v>-107.91</v>
      </c>
      <c r="BS4">
        <v>-52.09</v>
      </c>
      <c r="BT4" t="s">
        <v>519</v>
      </c>
      <c r="BU4" t="s">
        <v>858</v>
      </c>
      <c r="BV4">
        <v>5.12</v>
      </c>
      <c r="BW4">
        <v>-19.809999999999999</v>
      </c>
      <c r="BX4">
        <v>0.2</v>
      </c>
      <c r="BY4">
        <v>-60.08</v>
      </c>
      <c r="BZ4">
        <v>-104.65</v>
      </c>
      <c r="CA4">
        <v>-68.290000000000006</v>
      </c>
      <c r="CB4">
        <v>0</v>
      </c>
      <c r="CC4">
        <v>-32.93</v>
      </c>
      <c r="CD4" t="s">
        <v>5</v>
      </c>
      <c r="CE4" t="s">
        <v>901</v>
      </c>
      <c r="CF4" s="11">
        <v>-5.35714285714287E-2</v>
      </c>
      <c r="CG4" s="12">
        <v>0.51573620351041716</v>
      </c>
      <c r="CH4" s="11">
        <v>-2.7184465900063515E-2</v>
      </c>
      <c r="CI4" s="11">
        <v>-0.28372740745544434</v>
      </c>
      <c r="CJ4" s="11">
        <v>-0.17734554409980774</v>
      </c>
      <c r="CK4" s="11">
        <v>5.9393938630819321E-2</v>
      </c>
      <c r="CL4" s="11">
        <v>-8.4350720047950745E-2</v>
      </c>
      <c r="CM4" s="12">
        <v>0.44402983784675598</v>
      </c>
      <c r="CN4" s="12">
        <v>-9.6114516258239746E-2</v>
      </c>
      <c r="CO4" s="12">
        <v>-5.1440677642822266</v>
      </c>
      <c r="CP4" s="12">
        <v>1.195041298866272</v>
      </c>
      <c r="CQ4" s="12">
        <v>0.73956096172332764</v>
      </c>
      <c r="CR4">
        <v>-0.83724834744737475</v>
      </c>
      <c r="CS4">
        <v>-8.1569094277481435E-2</v>
      </c>
      <c r="CT4">
        <v>0</v>
      </c>
      <c r="CU4" s="11">
        <v>-0.1026428397744894</v>
      </c>
      <c r="CV4" s="12">
        <v>-0.57231003642082212</v>
      </c>
      <c r="CW4">
        <v>0.06</v>
      </c>
      <c r="CX4" t="e">
        <v>#VALUE!</v>
      </c>
      <c r="CY4" t="s">
        <v>412</v>
      </c>
      <c r="CZ4">
        <v>-0.1026428397744894</v>
      </c>
      <c r="DA4" t="e">
        <v>#VALUE!</v>
      </c>
      <c r="DB4" t="s">
        <v>413</v>
      </c>
      <c r="DC4">
        <v>-9.7510697785764933E-2</v>
      </c>
      <c r="DD4" t="e">
        <v>#VALUE!</v>
      </c>
      <c r="DE4" t="s">
        <v>413</v>
      </c>
      <c r="DF4">
        <v>-9.0325699001550672E-2</v>
      </c>
      <c r="DG4" t="e">
        <v>#VALUE!</v>
      </c>
      <c r="DH4" t="s">
        <v>413</v>
      </c>
      <c r="DI4">
        <v>-8.2114271819591522E-2</v>
      </c>
      <c r="DJ4" t="e">
        <v>#VALUE!</v>
      </c>
      <c r="DK4" t="s">
        <v>413</v>
      </c>
      <c r="DL4">
        <v>-7.1849987842142582E-2</v>
      </c>
      <c r="DM4">
        <v>-298000000</v>
      </c>
      <c r="DN4">
        <v>-0.1026428397744894</v>
      </c>
      <c r="DO4">
        <v>1574370070</v>
      </c>
      <c r="DP4">
        <v>3969830</v>
      </c>
      <c r="DQ4">
        <v>407</v>
      </c>
      <c r="DR4">
        <v>4.9071411203060702E-2</v>
      </c>
      <c r="DS4">
        <v>1.0880462399312392</v>
      </c>
      <c r="DT4" s="13">
        <v>-0.72333333333333327</v>
      </c>
      <c r="DU4">
        <v>-1.5716666666666665</v>
      </c>
      <c r="DV4">
        <v>-2.2949999999999999</v>
      </c>
      <c r="DW4">
        <v>-3.191470238095238</v>
      </c>
      <c r="DX4" t="e">
        <v>#VALUE!</v>
      </c>
      <c r="DY4">
        <v>-3</v>
      </c>
      <c r="DZ4">
        <v>4575</v>
      </c>
      <c r="EA4">
        <v>-3</v>
      </c>
      <c r="EB4">
        <v>3</v>
      </c>
      <c r="EC4">
        <v>0</v>
      </c>
      <c r="ED4">
        <v>2.3843634690706078E-2</v>
      </c>
      <c r="EE4" s="14">
        <v>-4.11531</v>
      </c>
      <c r="EF4">
        <v>-4.11531</v>
      </c>
      <c r="EG4" t="e">
        <v>#VALUE!</v>
      </c>
      <c r="EH4" t="s">
        <v>751</v>
      </c>
      <c r="EI4">
        <v>0</v>
      </c>
      <c r="EJ4">
        <v>0</v>
      </c>
      <c r="EK4" s="10">
        <v>45470</v>
      </c>
      <c r="EL4" s="15">
        <v>0</v>
      </c>
      <c r="EM4" s="15">
        <v>0</v>
      </c>
      <c r="EN4" s="15">
        <v>0</v>
      </c>
      <c r="EO4" s="15">
        <v>0</v>
      </c>
      <c r="EP4" s="15">
        <v>0</v>
      </c>
    </row>
    <row r="5" spans="1:146" ht="108" x14ac:dyDescent="0.25">
      <c r="A5" s="7"/>
      <c r="B5" s="7"/>
      <c r="C5" s="7" t="str">
        <f>""&amp;CHAR(10)&amp;Basic_Fundamental_Information_Constructure(F5)&amp;CHAR(10)&amp;Basic_Fundamental_Information_Concatenate("")</f>
        <v xml:space="preserve">
市值45.172217亿, 利润1.35亿; PE31.8; 平均PE-208.25; 平均PEG-3.13, PB1.84; ROIC.655%; ROE-10.1833%; 股利率0%; 毛利4.4267%; 净利-1.9767%; 上一年度营收增.31%, 利润增119.18%; 当季营收增32.83%, 利润增2.55%; 过往5年营收增66.46%, 利润增-749.36%
Income profile:
</v>
      </c>
      <c r="D5" t="s">
        <v>119</v>
      </c>
      <c r="E5" t="s">
        <v>120</v>
      </c>
      <c r="F5">
        <v>5.57</v>
      </c>
      <c r="G5">
        <v>4.3099999999999999E-2</v>
      </c>
      <c r="H5" t="s">
        <v>721</v>
      </c>
      <c r="I5">
        <v>4517221700</v>
      </c>
      <c r="J5">
        <v>31.8</v>
      </c>
      <c r="K5">
        <v>1.84</v>
      </c>
      <c r="L5" t="s">
        <v>107</v>
      </c>
      <c r="M5" t="s">
        <v>561</v>
      </c>
      <c r="N5" t="s">
        <v>722</v>
      </c>
      <c r="O5" t="s">
        <v>723</v>
      </c>
      <c r="P5">
        <v>34</v>
      </c>
      <c r="Q5" t="s">
        <v>557</v>
      </c>
      <c r="R5">
        <v>95123516</v>
      </c>
      <c r="S5" s="5">
        <v>7.6100000000000001E-2</v>
      </c>
      <c r="T5" t="s">
        <v>366</v>
      </c>
      <c r="U5">
        <v>752161530</v>
      </c>
      <c r="V5">
        <v>810991330</v>
      </c>
      <c r="W5">
        <v>1.85</v>
      </c>
      <c r="X5">
        <v>2.14</v>
      </c>
      <c r="Y5">
        <v>1.1499999999999999</v>
      </c>
      <c r="Z5" t="s">
        <v>724</v>
      </c>
      <c r="AA5" t="s">
        <v>725</v>
      </c>
      <c r="AB5" t="s">
        <v>52</v>
      </c>
      <c r="AC5" t="s">
        <v>38</v>
      </c>
      <c r="AD5" t="s">
        <v>726</v>
      </c>
      <c r="AE5">
        <v>-9303594</v>
      </c>
      <c r="AF5" t="s">
        <v>727</v>
      </c>
      <c r="AG5" t="s">
        <v>728</v>
      </c>
      <c r="AH5" t="s">
        <v>729</v>
      </c>
      <c r="AI5" t="s">
        <v>674</v>
      </c>
      <c r="AJ5" t="s">
        <v>730</v>
      </c>
      <c r="AK5" t="s">
        <v>731</v>
      </c>
      <c r="AL5" t="s">
        <v>732</v>
      </c>
      <c r="AM5" t="s">
        <v>5</v>
      </c>
      <c r="AN5" t="s">
        <v>50</v>
      </c>
      <c r="AO5" t="s">
        <v>627</v>
      </c>
      <c r="AP5" t="s">
        <v>733</v>
      </c>
      <c r="AQ5" t="s">
        <v>734</v>
      </c>
      <c r="AR5" t="s">
        <v>735</v>
      </c>
      <c r="AS5" t="s">
        <v>736</v>
      </c>
      <c r="AT5" t="s">
        <v>574</v>
      </c>
      <c r="AU5" t="s">
        <v>737</v>
      </c>
      <c r="AV5" t="s">
        <v>738</v>
      </c>
      <c r="AW5" t="s">
        <v>739</v>
      </c>
      <c r="AX5" t="s">
        <v>311</v>
      </c>
      <c r="AY5" t="s">
        <v>121</v>
      </c>
      <c r="AZ5" t="s">
        <v>123</v>
      </c>
      <c r="BA5" t="s">
        <v>124</v>
      </c>
      <c r="BB5" t="s">
        <v>125</v>
      </c>
      <c r="BC5" t="s">
        <v>312</v>
      </c>
      <c r="BD5" t="s">
        <v>122</v>
      </c>
      <c r="BE5" t="s">
        <v>23</v>
      </c>
      <c r="BF5" t="s">
        <v>61</v>
      </c>
      <c r="BG5" t="s">
        <v>127</v>
      </c>
      <c r="BH5" t="s">
        <v>740</v>
      </c>
      <c r="BI5" t="s">
        <v>741</v>
      </c>
      <c r="BJ5" t="s">
        <v>742</v>
      </c>
      <c r="BK5" t="s">
        <v>743</v>
      </c>
      <c r="BL5" t="s">
        <v>744</v>
      </c>
      <c r="BM5" t="s">
        <v>745</v>
      </c>
      <c r="BN5">
        <v>1.2</v>
      </c>
      <c r="BO5" t="s">
        <v>5</v>
      </c>
      <c r="BP5">
        <v>0.11</v>
      </c>
      <c r="BQ5">
        <v>0.85</v>
      </c>
      <c r="BR5">
        <v>-32.1</v>
      </c>
      <c r="BS5">
        <v>0.7</v>
      </c>
      <c r="BT5" t="s">
        <v>519</v>
      </c>
      <c r="BU5" t="s">
        <v>107</v>
      </c>
      <c r="BV5">
        <v>4.42</v>
      </c>
      <c r="BW5">
        <v>4.54</v>
      </c>
      <c r="BX5">
        <v>4.32</v>
      </c>
      <c r="BY5">
        <v>1.08</v>
      </c>
      <c r="BZ5">
        <v>-7.04</v>
      </c>
      <c r="CA5">
        <v>0.03</v>
      </c>
      <c r="CB5">
        <v>25.73</v>
      </c>
      <c r="CC5">
        <v>-22.53</v>
      </c>
      <c r="CD5" t="s">
        <v>574</v>
      </c>
      <c r="CE5" t="s">
        <v>746</v>
      </c>
      <c r="CF5" s="11">
        <v>0.32834055971620024</v>
      </c>
      <c r="CG5" s="12">
        <v>2.5484617247438127E-2</v>
      </c>
      <c r="CH5" s="11">
        <v>3.117692656815052E-3</v>
      </c>
      <c r="CI5" s="11">
        <v>0.17463958263397217</v>
      </c>
      <c r="CJ5" s="11">
        <v>0.57186537981033325</v>
      </c>
      <c r="CK5" s="11">
        <v>0.56415313482284546</v>
      </c>
      <c r="CL5" s="11">
        <v>2.0093142986297607</v>
      </c>
      <c r="CM5" s="12">
        <v>1.1917613744735718</v>
      </c>
      <c r="CN5" s="12">
        <v>-41.057811737060547</v>
      </c>
      <c r="CO5" s="12">
        <v>-0.88946795463562012</v>
      </c>
      <c r="CP5" s="12">
        <v>-0.2604651153087616</v>
      </c>
      <c r="CQ5" s="12">
        <v>3.5478775501251221</v>
      </c>
      <c r="CR5">
        <v>-208.24591050675139</v>
      </c>
      <c r="CS5">
        <v>-3.1333172582959383</v>
      </c>
      <c r="CT5">
        <v>0</v>
      </c>
      <c r="CU5" s="11">
        <v>0.66461801771074536</v>
      </c>
      <c r="CV5" s="12">
        <v>-7.4936211764812466</v>
      </c>
      <c r="CW5">
        <v>0.06</v>
      </c>
      <c r="CX5">
        <v>19.472446444246344</v>
      </c>
      <c r="CY5">
        <v>212003238.10467038</v>
      </c>
      <c r="CZ5">
        <v>0.66461801771074536</v>
      </c>
      <c r="DA5">
        <v>4.0485534094167521</v>
      </c>
      <c r="DB5">
        <v>1019678211.5799541</v>
      </c>
      <c r="DC5">
        <v>0.63138711682520809</v>
      </c>
      <c r="DD5">
        <v>0.99561942527978875</v>
      </c>
      <c r="DE5">
        <v>4146385250.408195</v>
      </c>
      <c r="DF5">
        <v>0.58486385558545595</v>
      </c>
      <c r="DG5">
        <v>0.24340980148973645</v>
      </c>
      <c r="DH5">
        <v>16959964942.800667</v>
      </c>
      <c r="DI5">
        <v>0.53169441416859631</v>
      </c>
      <c r="DJ5">
        <v>1.3058186912546923E-2</v>
      </c>
      <c r="DK5">
        <v>316140496965.42554</v>
      </c>
      <c r="DL5">
        <v>0.46523261239752173</v>
      </c>
      <c r="DM5">
        <v>135000000</v>
      </c>
      <c r="DN5">
        <v>0.66461801771074536</v>
      </c>
      <c r="DO5">
        <v>4128221700</v>
      </c>
      <c r="DP5">
        <v>1019056400</v>
      </c>
      <c r="DQ5">
        <v>633</v>
      </c>
      <c r="DR5">
        <v>-0.33627745799454511</v>
      </c>
      <c r="DS5">
        <v>7.5191057937286851</v>
      </c>
      <c r="DT5" s="13">
        <v>0.50000000000000011</v>
      </c>
      <c r="DU5">
        <v>0.25666666666666654</v>
      </c>
      <c r="DV5">
        <v>0.7566666666666666</v>
      </c>
      <c r="DW5">
        <v>5.8756315584920324</v>
      </c>
      <c r="DX5">
        <v>0.48460431654676284</v>
      </c>
      <c r="DY5">
        <v>5.2141832589117199</v>
      </c>
      <c r="DZ5">
        <v>625</v>
      </c>
      <c r="EA5">
        <v>5.187991801893558</v>
      </c>
      <c r="EB5">
        <v>5</v>
      </c>
      <c r="EC5">
        <v>0.20961999680070562</v>
      </c>
      <c r="ED5">
        <v>0.85697586927347302</v>
      </c>
      <c r="EE5" s="14">
        <v>-2.0368149999999998</v>
      </c>
      <c r="EF5">
        <v>-2.0363790000000002</v>
      </c>
      <c r="EG5">
        <v>24.244604316546763</v>
      </c>
      <c r="EH5" t="s">
        <v>452</v>
      </c>
      <c r="EI5">
        <v>1</v>
      </c>
      <c r="EJ5">
        <v>1</v>
      </c>
      <c r="EK5" s="10">
        <v>45344</v>
      </c>
      <c r="EL5" s="15">
        <v>9.7100000000000006E-2</v>
      </c>
      <c r="EM5" s="15">
        <v>5.56</v>
      </c>
      <c r="EN5" s="15">
        <v>3.1199999999999999E-2</v>
      </c>
      <c r="EO5" s="15">
        <v>9.4999999999999998E-3</v>
      </c>
      <c r="EP5" s="15">
        <v>4.3099999999999999E-2</v>
      </c>
    </row>
    <row r="6" spans="1:146" ht="96" x14ac:dyDescent="0.25">
      <c r="A6" s="7"/>
      <c r="B6" s="7"/>
      <c r="C6" s="7" t="str">
        <f>""&amp;CHAR(10)&amp;Basic_Fundamental_Information_Constructure(F6)&amp;CHAR(10)&amp;Basic_Fundamental_Information_Concatenate("")</f>
        <v xml:space="preserve">
市值52.346252亿, 利润-18.22亿; PE; 平均PE-10.9; 平均PEG-.74, PB3.21; ROIC.43%; ROE-8.49%; 股利率0%; 毛利9.5733%; 净利-20.1533%; 上一年度营收增25.91%, 利润增-152.35%; 当季营收增6.28%, 利润增-19.73%; 过往5年营收增14.79%, 利润增-201.77%
Income profile:
</v>
      </c>
      <c r="D6" t="s">
        <v>128</v>
      </c>
      <c r="E6" t="s">
        <v>129</v>
      </c>
      <c r="F6">
        <v>6.54</v>
      </c>
      <c r="G6">
        <v>1.87</v>
      </c>
      <c r="H6" t="s">
        <v>902</v>
      </c>
      <c r="I6">
        <v>5234625200</v>
      </c>
      <c r="K6">
        <v>3.21</v>
      </c>
      <c r="L6" t="s">
        <v>107</v>
      </c>
      <c r="M6" t="s">
        <v>903</v>
      </c>
      <c r="N6" t="s">
        <v>904</v>
      </c>
      <c r="O6" t="s">
        <v>905</v>
      </c>
      <c r="P6">
        <v>6.27</v>
      </c>
      <c r="Q6" t="s">
        <v>906</v>
      </c>
      <c r="R6">
        <v>8837323</v>
      </c>
      <c r="S6" s="5">
        <v>-0.1973</v>
      </c>
      <c r="T6" t="s">
        <v>907</v>
      </c>
      <c r="U6">
        <v>686880330</v>
      </c>
      <c r="V6">
        <v>800401400</v>
      </c>
      <c r="W6">
        <v>2.2999999999999998</v>
      </c>
      <c r="X6">
        <v>0.27</v>
      </c>
      <c r="Y6">
        <v>0.98</v>
      </c>
      <c r="Z6" t="s">
        <v>908</v>
      </c>
      <c r="AA6" t="s">
        <v>232</v>
      </c>
      <c r="AB6" t="s">
        <v>909</v>
      </c>
      <c r="AC6" t="s">
        <v>910</v>
      </c>
      <c r="AD6" t="s">
        <v>5</v>
      </c>
      <c r="AE6">
        <v>16204826</v>
      </c>
      <c r="AF6" t="s">
        <v>911</v>
      </c>
      <c r="AG6" t="s">
        <v>912</v>
      </c>
      <c r="AH6" t="s">
        <v>913</v>
      </c>
      <c r="AI6" t="s">
        <v>914</v>
      </c>
      <c r="AJ6" t="s">
        <v>915</v>
      </c>
      <c r="AK6" t="s">
        <v>916</v>
      </c>
      <c r="AL6" t="s">
        <v>917</v>
      </c>
      <c r="AM6" t="s">
        <v>5</v>
      </c>
      <c r="AN6">
        <v>0</v>
      </c>
      <c r="AO6" t="s">
        <v>918</v>
      </c>
      <c r="AP6" t="s">
        <v>919</v>
      </c>
      <c r="AQ6" t="s">
        <v>560</v>
      </c>
      <c r="AR6" t="s">
        <v>5</v>
      </c>
      <c r="AS6" t="s">
        <v>920</v>
      </c>
      <c r="AT6" t="s">
        <v>921</v>
      </c>
      <c r="AU6" t="s">
        <v>922</v>
      </c>
      <c r="AV6" t="s">
        <v>923</v>
      </c>
      <c r="AW6" t="s">
        <v>924</v>
      </c>
      <c r="AX6" t="s">
        <v>558</v>
      </c>
      <c r="AY6" t="s">
        <v>314</v>
      </c>
      <c r="AZ6" t="s">
        <v>130</v>
      </c>
      <c r="BA6" t="s">
        <v>131</v>
      </c>
      <c r="BB6" t="s">
        <v>132</v>
      </c>
      <c r="BC6" t="s">
        <v>559</v>
      </c>
      <c r="BD6" t="s">
        <v>315</v>
      </c>
      <c r="BE6" t="s">
        <v>24</v>
      </c>
      <c r="BF6" t="s">
        <v>133</v>
      </c>
      <c r="BG6" t="s">
        <v>134</v>
      </c>
      <c r="BH6" t="s">
        <v>906</v>
      </c>
      <c r="BI6" t="s">
        <v>925</v>
      </c>
      <c r="BJ6" t="s">
        <v>558</v>
      </c>
      <c r="BK6" t="s">
        <v>907</v>
      </c>
      <c r="BL6" t="s">
        <v>926</v>
      </c>
      <c r="BM6" t="s">
        <v>559</v>
      </c>
      <c r="BN6">
        <v>0.43</v>
      </c>
      <c r="BO6" t="s">
        <v>5</v>
      </c>
      <c r="BP6" t="s">
        <v>5</v>
      </c>
      <c r="BQ6">
        <v>-1.03</v>
      </c>
      <c r="BR6">
        <v>-18.95</v>
      </c>
      <c r="BS6">
        <v>-5.49</v>
      </c>
      <c r="BT6" t="s">
        <v>519</v>
      </c>
      <c r="BU6" t="s">
        <v>858</v>
      </c>
      <c r="BV6">
        <v>6.28</v>
      </c>
      <c r="BW6">
        <v>9.34</v>
      </c>
      <c r="BX6">
        <v>13.1</v>
      </c>
      <c r="BY6">
        <v>-34.93</v>
      </c>
      <c r="BZ6">
        <v>-17.850000000000001</v>
      </c>
      <c r="CA6">
        <v>-7.68</v>
      </c>
      <c r="CB6">
        <v>-6.97</v>
      </c>
      <c r="CC6">
        <v>-21.2</v>
      </c>
      <c r="CD6" t="s">
        <v>927</v>
      </c>
      <c r="CE6" t="s">
        <v>928</v>
      </c>
      <c r="CF6" s="11">
        <v>6.280193236714976E-2</v>
      </c>
      <c r="CG6" s="12">
        <v>-0.19729294966119862</v>
      </c>
      <c r="CH6" s="11">
        <v>0.25908106565475464</v>
      </c>
      <c r="CI6" s="11">
        <v>0.3092913031578064</v>
      </c>
      <c r="CJ6" s="11">
        <v>0.16045324504375458</v>
      </c>
      <c r="CK6" s="11">
        <v>-0.14526708424091339</v>
      </c>
      <c r="CL6" s="11">
        <v>0.15601301193237305</v>
      </c>
      <c r="CM6" s="12">
        <v>-1.5235457420349121</v>
      </c>
      <c r="CN6" s="12">
        <v>-2.0336134433746338</v>
      </c>
      <c r="CO6" s="12">
        <v>-3.3564355373382568</v>
      </c>
      <c r="CP6" s="12">
        <v>1.363309383392334</v>
      </c>
      <c r="CQ6" s="12">
        <v>-4.538205623626709</v>
      </c>
      <c r="CR6">
        <v>-10.903844569546946</v>
      </c>
      <c r="CS6">
        <v>-0.73717307636847285</v>
      </c>
      <c r="CT6">
        <v>0</v>
      </c>
      <c r="CU6" s="11">
        <v>0.14791430830955504</v>
      </c>
      <c r="CV6" s="12">
        <v>-2.0176981925964355</v>
      </c>
      <c r="CW6">
        <v>0.06</v>
      </c>
      <c r="CX6" t="e">
        <v>#VALUE!</v>
      </c>
      <c r="CY6" t="s">
        <v>413</v>
      </c>
      <c r="CZ6">
        <v>0.14791430830955504</v>
      </c>
      <c r="DA6" t="e">
        <v>#VALUE!</v>
      </c>
      <c r="DB6" t="s">
        <v>413</v>
      </c>
      <c r="DC6">
        <v>0.14051859289407728</v>
      </c>
      <c r="DD6" t="e">
        <v>#VALUE!</v>
      </c>
      <c r="DE6" t="s">
        <v>413</v>
      </c>
      <c r="DF6">
        <v>0.13016459131240843</v>
      </c>
      <c r="DG6" t="e">
        <v>#VALUE!</v>
      </c>
      <c r="DH6" t="s">
        <v>413</v>
      </c>
      <c r="DI6">
        <v>0.11833144664764404</v>
      </c>
      <c r="DJ6" t="e">
        <v>#VALUE!</v>
      </c>
      <c r="DK6" t="s">
        <v>413</v>
      </c>
      <c r="DL6">
        <v>0.10354001581668852</v>
      </c>
      <c r="DM6">
        <v>-1822000000</v>
      </c>
      <c r="DN6">
        <v>0.14791430830955504</v>
      </c>
      <c r="DO6">
        <v>6313625200</v>
      </c>
      <c r="DP6">
        <v>968963800</v>
      </c>
      <c r="DQ6">
        <v>635</v>
      </c>
      <c r="DR6">
        <v>-8.5112375942405283E-2</v>
      </c>
      <c r="DS6">
        <v>1.8204052429352369</v>
      </c>
      <c r="DT6" s="13">
        <v>0.10999999999999995</v>
      </c>
      <c r="DU6">
        <v>-2.9733333333333332</v>
      </c>
      <c r="DV6">
        <v>-2.8633333333333333</v>
      </c>
      <c r="DW6">
        <v>-9.3287735849056599</v>
      </c>
      <c r="DX6">
        <v>0.35463928571428471</v>
      </c>
      <c r="DY6">
        <v>-9.0639922557277632</v>
      </c>
      <c r="DZ6">
        <v>4858</v>
      </c>
      <c r="EA6">
        <v>-9.003155782474245</v>
      </c>
      <c r="EB6">
        <v>9</v>
      </c>
      <c r="EC6">
        <v>0.1089433376803189</v>
      </c>
      <c r="ED6">
        <v>0.55971916091101293</v>
      </c>
      <c r="EE6" s="14">
        <v>-8.0416000000000007</v>
      </c>
      <c r="EF6">
        <v>-8.0235000000000003</v>
      </c>
      <c r="EG6">
        <v>16.194639285714285</v>
      </c>
      <c r="EH6" t="s">
        <v>929</v>
      </c>
      <c r="EI6">
        <v>0</v>
      </c>
      <c r="EJ6">
        <v>0</v>
      </c>
      <c r="EK6" s="10">
        <v>45470</v>
      </c>
      <c r="EL6" s="15">
        <v>-0.96</v>
      </c>
      <c r="EM6" s="15">
        <v>-4.58</v>
      </c>
      <c r="EN6" s="15">
        <v>-2.4700000000000002</v>
      </c>
      <c r="EO6" s="15">
        <v>6.86</v>
      </c>
      <c r="EP6" s="15">
        <v>-1.81</v>
      </c>
    </row>
    <row r="7" spans="1:146" ht="108" x14ac:dyDescent="0.25">
      <c r="A7" s="7"/>
      <c r="B7" s="7"/>
      <c r="C7" s="7" t="str">
        <f>""&amp;CHAR(10)&amp;Basic_Fundamental_Information_Constructure(F7)&amp;CHAR(10)&amp;Basic_Fundamental_Information_Concatenate("")</f>
        <v xml:space="preserve">
市值25.749961亿, 利润2288.05万; PE109; 平均PE123.94; 平均PEG26.76, PB2.13; ROIC2.4667%; ROE2.48%; 股利率.3268%; 毛利43.1633%; 净利14.5833%; 上一年度营收增13.25%, 利润增34.81%; 当季营收增.32%, 利润增52.09%; 过往5年营收增4.63%, 利润增42.34%
Income profile:
</v>
      </c>
      <c r="D7" t="s">
        <v>135</v>
      </c>
      <c r="E7" t="s">
        <v>136</v>
      </c>
      <c r="F7">
        <v>4.59</v>
      </c>
      <c r="G7">
        <v>2.91</v>
      </c>
      <c r="H7" t="s">
        <v>930</v>
      </c>
      <c r="I7">
        <v>2574996100</v>
      </c>
      <c r="J7">
        <v>109</v>
      </c>
      <c r="K7">
        <v>2.13</v>
      </c>
      <c r="L7" t="s">
        <v>107</v>
      </c>
      <c r="M7" t="s">
        <v>539</v>
      </c>
      <c r="N7" t="s">
        <v>931</v>
      </c>
      <c r="O7" t="s">
        <v>932</v>
      </c>
      <c r="P7">
        <v>0.32</v>
      </c>
      <c r="Q7" t="s">
        <v>431</v>
      </c>
      <c r="R7">
        <v>2177107</v>
      </c>
      <c r="S7" s="5">
        <v>0.52090000000000003</v>
      </c>
      <c r="T7" t="s">
        <v>933</v>
      </c>
      <c r="U7">
        <v>448667890</v>
      </c>
      <c r="V7">
        <v>561001330</v>
      </c>
      <c r="W7">
        <v>1.1100000000000001</v>
      </c>
      <c r="X7">
        <v>0.05</v>
      </c>
      <c r="Y7">
        <v>3.96</v>
      </c>
      <c r="Z7" t="s">
        <v>934</v>
      </c>
      <c r="AA7" t="s">
        <v>935</v>
      </c>
      <c r="AB7" t="s">
        <v>936</v>
      </c>
      <c r="AC7" t="s">
        <v>937</v>
      </c>
      <c r="AD7" t="s">
        <v>5</v>
      </c>
      <c r="AE7">
        <v>-347134</v>
      </c>
      <c r="AF7" t="s">
        <v>938</v>
      </c>
      <c r="AG7" t="s">
        <v>5</v>
      </c>
      <c r="AH7" t="s">
        <v>939</v>
      </c>
      <c r="AI7" t="s">
        <v>36</v>
      </c>
      <c r="AJ7" t="s">
        <v>940</v>
      </c>
      <c r="AK7" t="s">
        <v>5</v>
      </c>
      <c r="AL7" t="s">
        <v>941</v>
      </c>
      <c r="AM7" t="s">
        <v>5</v>
      </c>
      <c r="AN7">
        <v>0</v>
      </c>
      <c r="AO7" t="s">
        <v>5</v>
      </c>
      <c r="AP7" t="s">
        <v>5</v>
      </c>
      <c r="AQ7" t="s">
        <v>942</v>
      </c>
      <c r="AR7" t="s">
        <v>943</v>
      </c>
      <c r="AS7" t="s">
        <v>566</v>
      </c>
      <c r="AT7" t="s">
        <v>5</v>
      </c>
      <c r="AU7" t="s">
        <v>944</v>
      </c>
      <c r="AV7" t="s">
        <v>945</v>
      </c>
      <c r="AW7" t="s">
        <v>946</v>
      </c>
      <c r="AX7" t="s">
        <v>562</v>
      </c>
      <c r="AY7" t="s">
        <v>22</v>
      </c>
      <c r="AZ7" t="s">
        <v>30</v>
      </c>
      <c r="BA7" t="s">
        <v>51</v>
      </c>
      <c r="BB7" t="s">
        <v>46</v>
      </c>
      <c r="BC7" t="s">
        <v>947</v>
      </c>
      <c r="BD7" t="s">
        <v>317</v>
      </c>
      <c r="BE7" t="s">
        <v>137</v>
      </c>
      <c r="BF7" t="s">
        <v>138</v>
      </c>
      <c r="BG7" t="s">
        <v>139</v>
      </c>
      <c r="BH7" t="s">
        <v>431</v>
      </c>
      <c r="BI7" t="s">
        <v>948</v>
      </c>
      <c r="BJ7" t="s">
        <v>562</v>
      </c>
      <c r="BK7" t="s">
        <v>933</v>
      </c>
      <c r="BL7" t="s">
        <v>949</v>
      </c>
      <c r="BM7" t="s">
        <v>947</v>
      </c>
      <c r="BN7">
        <v>1.06</v>
      </c>
      <c r="BO7">
        <v>1.27</v>
      </c>
      <c r="BP7">
        <v>5.07</v>
      </c>
      <c r="BQ7">
        <v>1.1499999999999999</v>
      </c>
      <c r="BR7">
        <v>1.43</v>
      </c>
      <c r="BS7">
        <v>4.8600000000000003</v>
      </c>
      <c r="BT7" t="s">
        <v>950</v>
      </c>
      <c r="BU7" t="s">
        <v>858</v>
      </c>
      <c r="BV7">
        <v>41.29</v>
      </c>
      <c r="BW7">
        <v>43.55</v>
      </c>
      <c r="BX7">
        <v>44.65</v>
      </c>
      <c r="BY7">
        <v>9.3800000000000008</v>
      </c>
      <c r="BZ7">
        <v>7.23</v>
      </c>
      <c r="CA7">
        <v>27.14</v>
      </c>
      <c r="CB7">
        <v>-1.29</v>
      </c>
      <c r="CC7">
        <v>-9.82</v>
      </c>
      <c r="CD7" t="s">
        <v>951</v>
      </c>
      <c r="CE7" t="s">
        <v>952</v>
      </c>
      <c r="CF7" s="11">
        <v>3.2050089312295328E-3</v>
      </c>
      <c r="CG7" s="12">
        <v>0.52085714285714291</v>
      </c>
      <c r="CH7" s="11">
        <v>0.13247863948345184</v>
      </c>
      <c r="CI7" s="11">
        <v>7.3394492268562317E-2</v>
      </c>
      <c r="CJ7" s="11">
        <v>0.34567901492118835</v>
      </c>
      <c r="CK7" s="11">
        <v>-5.8139536529779434E-2</v>
      </c>
      <c r="CL7" s="11">
        <v>-0.26180258393287659</v>
      </c>
      <c r="CM7" s="12">
        <v>0.34806868433952332</v>
      </c>
      <c r="CN7" s="12">
        <v>-0.69650131464004517</v>
      </c>
      <c r="CO7" s="12">
        <v>2.5978665351867676</v>
      </c>
      <c r="CP7" s="12">
        <v>1.5478924512863159</v>
      </c>
      <c r="CQ7" s="12">
        <v>-1.6801954507827759</v>
      </c>
      <c r="CR7">
        <v>123.93771659051238</v>
      </c>
      <c r="CS7">
        <v>26.755688995485464</v>
      </c>
      <c r="CT7">
        <v>0.32679738562091504</v>
      </c>
      <c r="CU7" s="11">
        <v>4.6322005242109297E-2</v>
      </c>
      <c r="CV7" s="12">
        <v>0.42342618107795715</v>
      </c>
      <c r="CW7">
        <v>0.06</v>
      </c>
      <c r="CX7">
        <v>66.19345580598079</v>
      </c>
      <c r="CY7">
        <v>22585255.321643475</v>
      </c>
      <c r="CZ7">
        <v>4.6322005242109297E-2</v>
      </c>
      <c r="DA7">
        <v>22.450481108773491</v>
      </c>
      <c r="DB7">
        <v>66590826.840488777</v>
      </c>
      <c r="DC7">
        <v>4.4005904980003833E-2</v>
      </c>
      <c r="DD7">
        <v>11.605114370516048</v>
      </c>
      <c r="DE7">
        <v>128822177.21164273</v>
      </c>
      <c r="DF7">
        <v>4.0763364613056179E-2</v>
      </c>
      <c r="DG7">
        <v>7.3550150159419676</v>
      </c>
      <c r="DH7">
        <v>203262141.10502854</v>
      </c>
      <c r="DI7">
        <v>3.7057604193687442E-2</v>
      </c>
      <c r="DJ7">
        <v>4.2592719795482523</v>
      </c>
      <c r="DK7">
        <v>350998036.09126705</v>
      </c>
      <c r="DL7">
        <v>3.2425403669476507E-2</v>
      </c>
      <c r="DM7">
        <v>22880500</v>
      </c>
      <c r="DN7">
        <v>4.6322005242109297E-2</v>
      </c>
      <c r="DO7">
        <v>1494996100</v>
      </c>
      <c r="DP7">
        <v>591115080</v>
      </c>
      <c r="DQ7">
        <v>658</v>
      </c>
      <c r="DR7">
        <v>-4.3116996310879764E-2</v>
      </c>
      <c r="DS7">
        <v>9.7430961779185754E-2</v>
      </c>
      <c r="DT7" s="13">
        <v>-0.40666666666666668</v>
      </c>
      <c r="DU7">
        <v>8.9999999999999969E-2</v>
      </c>
      <c r="DV7">
        <v>-0.31666666666666671</v>
      </c>
      <c r="DW7">
        <v>-2.0981999999999998</v>
      </c>
      <c r="DX7">
        <v>0.39134425427872843</v>
      </c>
      <c r="DY7">
        <v>-2.0119160057701713</v>
      </c>
      <c r="DZ7">
        <v>2493</v>
      </c>
      <c r="EA7">
        <v>-2.0061025806458979</v>
      </c>
      <c r="EB7">
        <v>2</v>
      </c>
      <c r="EC7">
        <v>8.8466456933355211E-2</v>
      </c>
      <c r="ED7">
        <v>0.72905353005134588</v>
      </c>
      <c r="EE7" s="14">
        <v>-3.0112999999999999</v>
      </c>
      <c r="EF7">
        <v>-3.0068999999999999</v>
      </c>
      <c r="EG7">
        <v>27.121344254278728</v>
      </c>
      <c r="EH7" t="s">
        <v>760</v>
      </c>
      <c r="EI7">
        <v>0</v>
      </c>
      <c r="EJ7">
        <v>0</v>
      </c>
      <c r="EK7" s="10">
        <v>45470</v>
      </c>
      <c r="EL7" s="15">
        <v>-0.65</v>
      </c>
      <c r="EM7" s="15">
        <v>-5.19</v>
      </c>
      <c r="EN7" s="15">
        <v>0.23</v>
      </c>
      <c r="EO7" s="15">
        <v>4.5599999999999996</v>
      </c>
      <c r="EP7" s="15">
        <v>-0.44</v>
      </c>
    </row>
    <row r="8" spans="1:146" ht="108" x14ac:dyDescent="0.25">
      <c r="A8" s="7"/>
      <c r="B8" s="7"/>
      <c r="C8" s="7" t="str">
        <f>""&amp;CHAR(10)&amp;Basic_Fundamental_Information_Constructure(F8)&amp;CHAR(10)&amp;Basic_Fundamental_Information_Concatenate("")</f>
        <v xml:space="preserve">
市值46.234115亿, 利润-2.55亿; PE; 平均PE66.13; 平均PEG96.02, PB2.51; ROIC2.83%; ROE2.35%; 股利率0%; 毛利48.4667%; 净利-6.2567%; 上一年度营收增-.56%, 利润增-896.12%; 当季营收增23.44%, 利润增37.89%; 过往5年营收增-.69%, 利润增-157.67%
Income profile:
</v>
      </c>
      <c r="D8" t="s">
        <v>142</v>
      </c>
      <c r="E8" t="s">
        <v>143</v>
      </c>
      <c r="F8">
        <v>3.33</v>
      </c>
      <c r="G8">
        <v>2.15</v>
      </c>
      <c r="H8" t="s">
        <v>953</v>
      </c>
      <c r="I8">
        <v>4623411500</v>
      </c>
      <c r="K8">
        <v>2.5099999999999998</v>
      </c>
      <c r="L8" t="s">
        <v>107</v>
      </c>
      <c r="M8" t="s">
        <v>954</v>
      </c>
      <c r="N8" t="s">
        <v>955</v>
      </c>
      <c r="O8" t="s">
        <v>345</v>
      </c>
      <c r="P8">
        <v>23.23</v>
      </c>
      <c r="Q8" t="s">
        <v>956</v>
      </c>
      <c r="R8">
        <v>27348129</v>
      </c>
      <c r="S8" s="5">
        <v>0.37890000000000001</v>
      </c>
      <c r="T8" t="s">
        <v>957</v>
      </c>
      <c r="U8">
        <v>1363657600</v>
      </c>
      <c r="V8">
        <v>1388411900</v>
      </c>
      <c r="W8">
        <v>1.21</v>
      </c>
      <c r="X8">
        <v>0.11</v>
      </c>
      <c r="Y8">
        <v>11.56</v>
      </c>
      <c r="Z8" t="s">
        <v>958</v>
      </c>
      <c r="AA8" t="s">
        <v>645</v>
      </c>
      <c r="AB8" t="s">
        <v>959</v>
      </c>
      <c r="AC8" t="s">
        <v>960</v>
      </c>
      <c r="AD8" t="s">
        <v>5</v>
      </c>
      <c r="AE8">
        <v>-1460918</v>
      </c>
      <c r="AF8" t="s">
        <v>961</v>
      </c>
      <c r="AG8" t="s">
        <v>962</v>
      </c>
      <c r="AH8" t="s">
        <v>963</v>
      </c>
      <c r="AI8" t="s">
        <v>964</v>
      </c>
      <c r="AJ8" t="s">
        <v>965</v>
      </c>
      <c r="AK8" t="s">
        <v>966</v>
      </c>
      <c r="AL8" t="s">
        <v>967</v>
      </c>
      <c r="AM8" t="s">
        <v>5</v>
      </c>
      <c r="AN8" t="s">
        <v>968</v>
      </c>
      <c r="AO8" t="s">
        <v>5</v>
      </c>
      <c r="AP8" t="s">
        <v>5</v>
      </c>
      <c r="AQ8" t="s">
        <v>969</v>
      </c>
      <c r="AR8" t="s">
        <v>5</v>
      </c>
      <c r="AS8" t="s">
        <v>970</v>
      </c>
      <c r="AT8" t="s">
        <v>5</v>
      </c>
      <c r="AU8" t="s">
        <v>971</v>
      </c>
      <c r="AV8" t="s">
        <v>972</v>
      </c>
      <c r="AW8" t="s">
        <v>973</v>
      </c>
      <c r="AX8" t="s">
        <v>564</v>
      </c>
      <c r="AY8" t="s">
        <v>318</v>
      </c>
      <c r="AZ8" t="s">
        <v>144</v>
      </c>
      <c r="BA8" t="s">
        <v>145</v>
      </c>
      <c r="BB8" t="s">
        <v>100</v>
      </c>
      <c r="BC8" t="s">
        <v>565</v>
      </c>
      <c r="BD8" t="s">
        <v>319</v>
      </c>
      <c r="BE8" t="s">
        <v>6</v>
      </c>
      <c r="BF8" t="s">
        <v>33</v>
      </c>
      <c r="BG8" t="s">
        <v>147</v>
      </c>
      <c r="BH8" t="s">
        <v>956</v>
      </c>
      <c r="BI8" t="s">
        <v>455</v>
      </c>
      <c r="BJ8" t="s">
        <v>564</v>
      </c>
      <c r="BK8" t="s">
        <v>957</v>
      </c>
      <c r="BL8" t="s">
        <v>974</v>
      </c>
      <c r="BM8" t="s">
        <v>565</v>
      </c>
      <c r="BN8">
        <v>4.0999999999999996</v>
      </c>
      <c r="BO8">
        <v>1.56</v>
      </c>
      <c r="BP8" t="s">
        <v>5</v>
      </c>
      <c r="BQ8">
        <v>4.16</v>
      </c>
      <c r="BR8">
        <v>1.43</v>
      </c>
      <c r="BS8">
        <v>1.46</v>
      </c>
      <c r="BT8" t="s">
        <v>519</v>
      </c>
      <c r="BU8" t="s">
        <v>858</v>
      </c>
      <c r="BV8">
        <v>46.02</v>
      </c>
      <c r="BW8">
        <v>48.37</v>
      </c>
      <c r="BX8">
        <v>51.01</v>
      </c>
      <c r="BY8">
        <v>-27.71</v>
      </c>
      <c r="BZ8">
        <v>4.45</v>
      </c>
      <c r="CA8">
        <v>4.49</v>
      </c>
      <c r="CB8">
        <v>-0.3</v>
      </c>
      <c r="CC8">
        <v>-9.76</v>
      </c>
      <c r="CD8" t="s">
        <v>975</v>
      </c>
      <c r="CE8" t="s">
        <v>602</v>
      </c>
      <c r="CF8" s="11">
        <v>0.23444976076555024</v>
      </c>
      <c r="CG8" s="12">
        <v>0.37892043563757372</v>
      </c>
      <c r="CH8" s="11">
        <v>-5.5865920148789883E-3</v>
      </c>
      <c r="CI8" s="11">
        <v>4.4893380254507065E-3</v>
      </c>
      <c r="CJ8" s="11">
        <v>-8.144330233335495E-2</v>
      </c>
      <c r="CK8" s="11">
        <v>-4.3392505496740341E-2</v>
      </c>
      <c r="CL8" s="11">
        <v>9.149622917175293E-2</v>
      </c>
      <c r="CM8" s="12">
        <v>-8.9612369537353516</v>
      </c>
      <c r="CN8" s="12">
        <v>-4.0681671351194382E-2</v>
      </c>
      <c r="CO8" s="12">
        <v>-0.90405601263046265</v>
      </c>
      <c r="CP8" s="12">
        <v>0.9885714054107666</v>
      </c>
      <c r="CQ8" s="12">
        <v>1.0338857173919678</v>
      </c>
      <c r="CR8">
        <v>66.133622943163473</v>
      </c>
      <c r="CS8">
        <v>96.021639997493793</v>
      </c>
      <c r="CT8">
        <v>0</v>
      </c>
      <c r="CU8" s="11">
        <v>-6.8873665295541286E-3</v>
      </c>
      <c r="CV8" s="12">
        <v>-1.5767035029828549</v>
      </c>
      <c r="CW8">
        <v>0.06</v>
      </c>
      <c r="CX8" t="e">
        <v>#VALUE!</v>
      </c>
      <c r="CY8" t="s">
        <v>413</v>
      </c>
      <c r="CZ8">
        <v>-6.8873665295541286E-3</v>
      </c>
      <c r="DA8" t="e">
        <v>#VALUE!</v>
      </c>
      <c r="DB8" t="s">
        <v>413</v>
      </c>
      <c r="DC8">
        <v>-6.5429982030764215E-3</v>
      </c>
      <c r="DD8" t="e">
        <v>#VALUE!</v>
      </c>
      <c r="DE8" t="s">
        <v>413</v>
      </c>
      <c r="DF8">
        <v>-6.0608825460076333E-3</v>
      </c>
      <c r="DG8" t="e">
        <v>#VALUE!</v>
      </c>
      <c r="DH8" t="s">
        <v>413</v>
      </c>
      <c r="DI8">
        <v>-5.5098932236433036E-3</v>
      </c>
      <c r="DJ8" t="e">
        <v>#VALUE!</v>
      </c>
      <c r="DK8" t="s">
        <v>413</v>
      </c>
      <c r="DL8">
        <v>-4.8211565706878894E-3</v>
      </c>
      <c r="DM8">
        <v>-254999999.99999997</v>
      </c>
      <c r="DN8">
        <v>-6.8873665295541286E-3</v>
      </c>
      <c r="DO8">
        <v>3057411500</v>
      </c>
      <c r="DP8">
        <v>584148870</v>
      </c>
      <c r="DQ8">
        <v>967</v>
      </c>
      <c r="DR8">
        <v>0.24133712729510437</v>
      </c>
      <c r="DS8">
        <v>1.9556239386204286</v>
      </c>
      <c r="DT8" s="13">
        <v>-0.44</v>
      </c>
      <c r="DU8">
        <v>1.6666666666666569E-2</v>
      </c>
      <c r="DV8">
        <v>-0.42333333333333345</v>
      </c>
      <c r="DW8">
        <v>-2.0975999999999999</v>
      </c>
      <c r="DX8">
        <v>0.38074568275862175</v>
      </c>
      <c r="DY8">
        <v>-2.0147127786372412</v>
      </c>
      <c r="DZ8">
        <v>2729</v>
      </c>
      <c r="EA8">
        <v>-2.006855406249564</v>
      </c>
      <c r="EB8">
        <v>2</v>
      </c>
      <c r="EC8">
        <v>6.2973026952592381E-2</v>
      </c>
      <c r="ED8">
        <v>0.41774346647417815</v>
      </c>
      <c r="EE8" s="14">
        <v>-2.0036</v>
      </c>
      <c r="EF8">
        <v>-2.0110100000000002</v>
      </c>
      <c r="EG8">
        <v>23.150745682758622</v>
      </c>
      <c r="EH8" t="s">
        <v>526</v>
      </c>
      <c r="EI8">
        <v>0</v>
      </c>
      <c r="EJ8">
        <v>0</v>
      </c>
      <c r="EK8" s="10">
        <v>45470</v>
      </c>
      <c r="EL8" s="15">
        <v>-0.88</v>
      </c>
      <c r="EM8" s="15">
        <v>-3.25</v>
      </c>
      <c r="EN8" s="15">
        <v>-1.53</v>
      </c>
      <c r="EO8" s="15">
        <v>6.52</v>
      </c>
      <c r="EP8" s="15">
        <v>-1.46</v>
      </c>
    </row>
    <row r="9" spans="1:146" ht="108" x14ac:dyDescent="0.25">
      <c r="A9" s="7"/>
      <c r="B9" s="7"/>
      <c r="C9" s="7" t="str">
        <f>""&amp;CHAR(10)&amp;Basic_Fundamental_Information_Constructure(F9)&amp;CHAR(10)&amp;Basic_Fundamental_Information_Concatenate("")</f>
        <v xml:space="preserve">
市值123.621693亿, 利润3559.28万; PE413.6; 平均PE138.06; 平均PEG67.17, PB3.3; ROIC3.3433%; ROE3.8267%; 股利率.1441%; 毛利18.3333%; 净利1.98%; 上一年度营收增-22.8%, 利润增-83.29%; 当季营收增-11.37%, 利润增-26.16%; 过往5年营收增-2.06%, 利润增68.57%
Income profile:
</v>
      </c>
      <c r="D9" t="s">
        <v>148</v>
      </c>
      <c r="E9" t="s">
        <v>421</v>
      </c>
      <c r="F9">
        <v>18.11</v>
      </c>
      <c r="G9">
        <v>1.57</v>
      </c>
      <c r="H9" t="s">
        <v>976</v>
      </c>
      <c r="I9">
        <v>12362169300</v>
      </c>
      <c r="J9">
        <v>413.6</v>
      </c>
      <c r="K9">
        <v>3.3</v>
      </c>
      <c r="L9" t="s">
        <v>107</v>
      </c>
      <c r="M9" t="s">
        <v>977</v>
      </c>
      <c r="N9" t="s">
        <v>978</v>
      </c>
      <c r="O9" t="s">
        <v>818</v>
      </c>
      <c r="P9">
        <v>-11.4</v>
      </c>
      <c r="Q9" t="s">
        <v>979</v>
      </c>
      <c r="R9">
        <v>16110493</v>
      </c>
      <c r="S9" s="5">
        <v>-0.2616</v>
      </c>
      <c r="T9" t="s">
        <v>980</v>
      </c>
      <c r="U9">
        <v>679121500</v>
      </c>
      <c r="V9">
        <v>682615640</v>
      </c>
      <c r="W9">
        <v>2.59</v>
      </c>
      <c r="X9">
        <v>0.11</v>
      </c>
      <c r="Y9">
        <v>1.1200000000000001</v>
      </c>
      <c r="Z9" t="s">
        <v>981</v>
      </c>
      <c r="AA9" t="s">
        <v>982</v>
      </c>
      <c r="AB9" t="s">
        <v>983</v>
      </c>
      <c r="AC9" t="s">
        <v>984</v>
      </c>
      <c r="AD9" t="s">
        <v>5</v>
      </c>
      <c r="AE9">
        <v>264597</v>
      </c>
      <c r="AF9" t="s">
        <v>21</v>
      </c>
      <c r="AG9" t="s">
        <v>985</v>
      </c>
      <c r="AH9" t="s">
        <v>986</v>
      </c>
      <c r="AI9" t="s">
        <v>987</v>
      </c>
      <c r="AJ9" t="s">
        <v>988</v>
      </c>
      <c r="AK9" t="s">
        <v>989</v>
      </c>
      <c r="AL9" t="s">
        <v>990</v>
      </c>
      <c r="AM9" t="s">
        <v>5</v>
      </c>
      <c r="AN9" t="s">
        <v>37</v>
      </c>
      <c r="AO9" t="s">
        <v>991</v>
      </c>
      <c r="AP9" t="s">
        <v>992</v>
      </c>
      <c r="AQ9" t="s">
        <v>993</v>
      </c>
      <c r="AR9" t="s">
        <v>994</v>
      </c>
      <c r="AS9" t="s">
        <v>995</v>
      </c>
      <c r="AT9" t="s">
        <v>5</v>
      </c>
      <c r="AU9" t="s">
        <v>996</v>
      </c>
      <c r="AV9" t="s">
        <v>997</v>
      </c>
      <c r="AW9" t="s">
        <v>998</v>
      </c>
      <c r="AX9" t="s">
        <v>567</v>
      </c>
      <c r="AY9" t="s">
        <v>320</v>
      </c>
      <c r="AZ9" t="s">
        <v>149</v>
      </c>
      <c r="BA9" t="s">
        <v>151</v>
      </c>
      <c r="BB9" t="s">
        <v>152</v>
      </c>
      <c r="BC9" t="s">
        <v>529</v>
      </c>
      <c r="BD9" t="s">
        <v>316</v>
      </c>
      <c r="BE9" t="s">
        <v>150</v>
      </c>
      <c r="BF9" t="s">
        <v>153</v>
      </c>
      <c r="BG9" t="s">
        <v>154</v>
      </c>
      <c r="BH9" t="s">
        <v>979</v>
      </c>
      <c r="BI9" t="s">
        <v>999</v>
      </c>
      <c r="BJ9" t="s">
        <v>567</v>
      </c>
      <c r="BK9" t="s">
        <v>980</v>
      </c>
      <c r="BL9" t="s">
        <v>1000</v>
      </c>
      <c r="BM9" t="s">
        <v>529</v>
      </c>
      <c r="BN9">
        <v>1.1599999999999999</v>
      </c>
      <c r="BO9">
        <v>5.15</v>
      </c>
      <c r="BP9">
        <v>3.72</v>
      </c>
      <c r="BQ9">
        <v>1.7</v>
      </c>
      <c r="BR9">
        <v>5.79</v>
      </c>
      <c r="BS9">
        <v>3.99</v>
      </c>
      <c r="BT9" t="s">
        <v>1001</v>
      </c>
      <c r="BU9" t="s">
        <v>879</v>
      </c>
      <c r="BV9">
        <v>17.27</v>
      </c>
      <c r="BW9">
        <v>19.03</v>
      </c>
      <c r="BX9">
        <v>18.7</v>
      </c>
      <c r="BY9">
        <v>0.35</v>
      </c>
      <c r="BZ9">
        <v>3.18</v>
      </c>
      <c r="CA9">
        <v>2.41</v>
      </c>
      <c r="CB9">
        <v>-3.1</v>
      </c>
      <c r="CC9">
        <v>-16.809999999999999</v>
      </c>
      <c r="CD9" t="s">
        <v>1002</v>
      </c>
      <c r="CE9" t="s">
        <v>1003</v>
      </c>
      <c r="CF9" s="11">
        <v>-0.11374795417348608</v>
      </c>
      <c r="CG9" s="12">
        <v>-0.26157932852068294</v>
      </c>
      <c r="CH9" s="11">
        <v>-0.22795367240905762</v>
      </c>
      <c r="CI9" s="11">
        <v>7.9810820519924164E-2</v>
      </c>
      <c r="CJ9" s="11">
        <v>4.0984887629747391E-2</v>
      </c>
      <c r="CK9" s="11">
        <v>1.1082587763667107E-2</v>
      </c>
      <c r="CL9" s="11">
        <v>-6.7007630132138729E-3</v>
      </c>
      <c r="CM9" s="12">
        <v>-0.83289766311645508</v>
      </c>
      <c r="CN9" s="12">
        <v>0.5</v>
      </c>
      <c r="CO9" s="12">
        <v>0.47483739256858826</v>
      </c>
      <c r="CP9" s="12">
        <v>1.630894660949707</v>
      </c>
      <c r="CQ9" s="12">
        <v>1.6556415557861328</v>
      </c>
      <c r="CR9">
        <v>138.06003440844043</v>
      </c>
      <c r="CS9">
        <v>67.165411674390086</v>
      </c>
      <c r="CT9">
        <v>0.14411927112092768</v>
      </c>
      <c r="CU9" s="11">
        <v>-2.0555227901786564E-2</v>
      </c>
      <c r="CV9" s="12">
        <v>0.68569518923759465</v>
      </c>
      <c r="CW9">
        <v>0.06</v>
      </c>
      <c r="CX9">
        <v>417.16777831471535</v>
      </c>
      <c r="CY9" t="s">
        <v>1004</v>
      </c>
      <c r="CZ9">
        <v>-2.0555227901786564E-2</v>
      </c>
      <c r="DA9">
        <v>139.05592610490513</v>
      </c>
      <c r="DB9" t="s">
        <v>1005</v>
      </c>
      <c r="DC9">
        <v>-1.9527466506697237E-2</v>
      </c>
      <c r="DD9">
        <v>69.527963052452563</v>
      </c>
      <c r="DE9" t="s">
        <v>1006</v>
      </c>
      <c r="DF9">
        <v>-1.8088600553572177E-2</v>
      </c>
      <c r="DG9">
        <v>41.716777831471532</v>
      </c>
      <c r="DH9" t="s">
        <v>1007</v>
      </c>
      <c r="DI9">
        <v>-1.6444182321429253E-2</v>
      </c>
      <c r="DJ9">
        <v>20.858388915735766</v>
      </c>
      <c r="DK9" t="s">
        <v>1008</v>
      </c>
      <c r="DL9">
        <v>-1.4388659531250594E-2</v>
      </c>
      <c r="DM9">
        <v>35592800</v>
      </c>
      <c r="DN9">
        <v>-2.0555227901786564E-2</v>
      </c>
      <c r="DO9">
        <v>14848169300</v>
      </c>
      <c r="DP9">
        <v>2528553700</v>
      </c>
      <c r="DQ9">
        <v>1037</v>
      </c>
      <c r="DR9">
        <v>-9.3192726271699527E-2</v>
      </c>
      <c r="DS9">
        <v>-0.94727451775827753</v>
      </c>
      <c r="DT9" s="13">
        <v>-0.60666666666666669</v>
      </c>
      <c r="DU9">
        <v>0.1633333333333333</v>
      </c>
      <c r="DV9">
        <v>-0.44333333333333336</v>
      </c>
      <c r="DW9">
        <v>-8.184414039262343</v>
      </c>
      <c r="DX9">
        <v>0.34609954337899596</v>
      </c>
      <c r="DY9">
        <v>-8.0158779645731641</v>
      </c>
      <c r="DZ9">
        <v>2776</v>
      </c>
      <c r="EA9">
        <v>-8.0072522836230462</v>
      </c>
      <c r="EB9">
        <v>8</v>
      </c>
      <c r="EC9">
        <v>2.7622865482543002E-2</v>
      </c>
      <c r="ED9">
        <v>0.32082476164771145</v>
      </c>
      <c r="EE9" s="14">
        <v>-2.0903</v>
      </c>
      <c r="EF9">
        <v>-2.0573000000000001</v>
      </c>
      <c r="EG9">
        <v>26.086099543378996</v>
      </c>
      <c r="EH9" t="s">
        <v>452</v>
      </c>
      <c r="EI9">
        <v>0</v>
      </c>
      <c r="EJ9">
        <v>0</v>
      </c>
      <c r="EK9" s="10">
        <v>45470</v>
      </c>
      <c r="EL9" s="15">
        <v>0.31</v>
      </c>
      <c r="EM9" s="15">
        <v>-4.6500000000000004</v>
      </c>
      <c r="EN9" s="15">
        <v>-1.04</v>
      </c>
      <c r="EO9" s="15">
        <v>5.76</v>
      </c>
      <c r="EP9" s="15">
        <v>-3.3</v>
      </c>
    </row>
    <row r="10" spans="1:146" ht="216" x14ac:dyDescent="0.25">
      <c r="A10" s="7"/>
      <c r="B10" s="7"/>
      <c r="C10" s="7" t="str">
        <f>"公司是领先的数字化智能运维（AIops）服务商，公司通过“线上数字化平台+线下技术服务”业务模式，为客户提供数字化智能运维、数字化解决方案、智慧节能解决方案、产品集成等服务和综合解决方案，目前公司管维业务已涵盖通信网络、能源网络和信息网络。"&amp;CHAR(10)&amp;Basic_Fundamental_Information_Constructure(F10)&amp;CHAR(10)&amp;Basic_Fundamental_Information_Concatenate("通信网络业务 20.59亿 44.83% 4.25亿 49.62% 20.62%
信息网络业务 15.68亿 34.14% 2.85亿 33.33% 18.18%
能源网络业务 9.66亿 21.03% 1.46亿 17.06% 15.11%")</f>
        <v>公司是领先的数字化智能运维（AIops）服务商，公司通过“线上数字化平台+线下技术服务”业务模式，为客户提供数字化智能运维、数字化解决方案、智慧节能解决方案、产品集成等服务和综合解决方案，目前公司管维业务已涵盖通信网络、能源网络和信息网络。
市值78.795137亿, 利润4.39亿; PE18.48; 平均PE25; 平均PEG1.07, PB1.3; ROIC6.1333%; ROE9.8867%; 股利率.8906%; 毛利19.07%; 净利4.9067%; 上一年度营收增8.18%, 利润增3.54%; 当季营收增-6.72%, 利润增-8.94%; 过往5年营收增23.4%, 利润增17.38%
Income profile:
通信网络业务 20.59亿 44.83% 4.25亿 49.62% 20.62%
信息网络业务 15.68亿 34.14% 2.85亿 33.33% 18.18%
能源网络业务 9.66亿 21.03% 1.46亿 17.06% 15.11%</v>
      </c>
      <c r="D10" t="s">
        <v>155</v>
      </c>
      <c r="E10" t="s">
        <v>156</v>
      </c>
      <c r="F10">
        <v>28.07</v>
      </c>
      <c r="G10">
        <v>1.45</v>
      </c>
      <c r="H10" t="s">
        <v>1009</v>
      </c>
      <c r="I10">
        <v>7879513700</v>
      </c>
      <c r="J10">
        <v>18.48</v>
      </c>
      <c r="K10">
        <v>1.3</v>
      </c>
      <c r="L10" t="s">
        <v>107</v>
      </c>
      <c r="M10" t="s">
        <v>1010</v>
      </c>
      <c r="N10" t="s">
        <v>1011</v>
      </c>
      <c r="O10" t="s">
        <v>1012</v>
      </c>
      <c r="P10">
        <v>-6.75</v>
      </c>
      <c r="Q10" t="s">
        <v>1013</v>
      </c>
      <c r="R10">
        <v>127477634</v>
      </c>
      <c r="S10" s="5">
        <v>-8.7099999999999997E-2</v>
      </c>
      <c r="T10" t="s">
        <v>205</v>
      </c>
      <c r="U10">
        <v>208860020</v>
      </c>
      <c r="V10">
        <v>280709430</v>
      </c>
      <c r="W10">
        <v>2.38</v>
      </c>
      <c r="X10">
        <v>0.15</v>
      </c>
      <c r="Y10">
        <v>5.53</v>
      </c>
      <c r="Z10" t="s">
        <v>1014</v>
      </c>
      <c r="AA10" t="s">
        <v>1015</v>
      </c>
      <c r="AB10" t="s">
        <v>1016</v>
      </c>
      <c r="AC10" t="s">
        <v>1017</v>
      </c>
      <c r="AD10" t="s">
        <v>5</v>
      </c>
      <c r="AE10">
        <v>-1888328</v>
      </c>
      <c r="AF10" t="s">
        <v>1018</v>
      </c>
      <c r="AG10" t="s">
        <v>1019</v>
      </c>
      <c r="AH10" t="s">
        <v>1020</v>
      </c>
      <c r="AI10" t="s">
        <v>833</v>
      </c>
      <c r="AJ10" t="s">
        <v>1021</v>
      </c>
      <c r="AK10" t="s">
        <v>1022</v>
      </c>
      <c r="AL10" t="s">
        <v>1023</v>
      </c>
      <c r="AM10" t="s">
        <v>5</v>
      </c>
      <c r="AN10" t="s">
        <v>609</v>
      </c>
      <c r="AO10" t="s">
        <v>1024</v>
      </c>
      <c r="AP10" t="s">
        <v>1025</v>
      </c>
      <c r="AQ10" t="s">
        <v>1026</v>
      </c>
      <c r="AR10" t="s">
        <v>1027</v>
      </c>
      <c r="AS10" t="s">
        <v>1028</v>
      </c>
      <c r="AT10" t="s">
        <v>1029</v>
      </c>
      <c r="AU10" t="s">
        <v>1030</v>
      </c>
      <c r="AV10" t="s">
        <v>1031</v>
      </c>
      <c r="AW10" t="s">
        <v>1032</v>
      </c>
      <c r="AX10" t="s">
        <v>570</v>
      </c>
      <c r="AY10" t="s">
        <v>321</v>
      </c>
      <c r="AZ10" t="s">
        <v>157</v>
      </c>
      <c r="BA10" t="s">
        <v>158</v>
      </c>
      <c r="BB10" t="s">
        <v>159</v>
      </c>
      <c r="BC10" t="s">
        <v>425</v>
      </c>
      <c r="BD10" t="s">
        <v>322</v>
      </c>
      <c r="BE10" t="s">
        <v>54</v>
      </c>
      <c r="BF10" t="s">
        <v>43</v>
      </c>
      <c r="BG10" t="s">
        <v>160</v>
      </c>
      <c r="BH10" t="s">
        <v>1013</v>
      </c>
      <c r="BI10" t="s">
        <v>1033</v>
      </c>
      <c r="BJ10" t="s">
        <v>570</v>
      </c>
      <c r="BK10" t="s">
        <v>205</v>
      </c>
      <c r="BL10" t="s">
        <v>367</v>
      </c>
      <c r="BM10" t="s">
        <v>425</v>
      </c>
      <c r="BN10">
        <v>4.91</v>
      </c>
      <c r="BO10">
        <v>6.66</v>
      </c>
      <c r="BP10">
        <v>6.83</v>
      </c>
      <c r="BQ10">
        <v>8.6999999999999993</v>
      </c>
      <c r="BR10">
        <v>10.55</v>
      </c>
      <c r="BS10">
        <v>10.41</v>
      </c>
      <c r="BT10" t="s">
        <v>571</v>
      </c>
      <c r="BU10" t="s">
        <v>879</v>
      </c>
      <c r="BV10">
        <v>17.920000000000002</v>
      </c>
      <c r="BW10">
        <v>19.09</v>
      </c>
      <c r="BX10">
        <v>20.2</v>
      </c>
      <c r="BY10">
        <v>4.53</v>
      </c>
      <c r="BZ10">
        <v>4.95</v>
      </c>
      <c r="CA10">
        <v>5.24</v>
      </c>
      <c r="CB10">
        <v>-3.57</v>
      </c>
      <c r="CC10">
        <v>-20.23</v>
      </c>
      <c r="CD10" t="s">
        <v>1034</v>
      </c>
      <c r="CE10" t="s">
        <v>574</v>
      </c>
      <c r="CF10" s="11">
        <v>-6.7160924552987347E-2</v>
      </c>
      <c r="CG10" s="12">
        <v>-8.9445471428571427E-2</v>
      </c>
      <c r="CH10" s="11">
        <v>8.1750251352787018E-2</v>
      </c>
      <c r="CI10" s="11">
        <v>0.2358376532793045</v>
      </c>
      <c r="CJ10" s="11">
        <v>0.57452899217605591</v>
      </c>
      <c r="CK10" s="11">
        <v>0.12806026637554169</v>
      </c>
      <c r="CL10" s="11">
        <v>0.15006186068058014</v>
      </c>
      <c r="CM10" s="12">
        <v>3.537735715508461E-2</v>
      </c>
      <c r="CN10" s="12">
        <v>0.20113314688205719</v>
      </c>
      <c r="CO10" s="12">
        <v>0.47698745131492615</v>
      </c>
      <c r="CP10" s="12">
        <v>3.9130434393882751E-2</v>
      </c>
      <c r="CQ10" s="12">
        <v>0.11650485545396805</v>
      </c>
      <c r="CR10">
        <v>25.001101110523532</v>
      </c>
      <c r="CS10">
        <v>1.0682048966358559</v>
      </c>
      <c r="CT10">
        <v>0.89063056644104022</v>
      </c>
      <c r="CU10" s="11">
        <v>0.23404780477285386</v>
      </c>
      <c r="CV10" s="12">
        <v>0.17382664903998374</v>
      </c>
      <c r="CW10">
        <v>0.06</v>
      </c>
      <c r="CX10">
        <v>20.792186771594565</v>
      </c>
      <c r="CY10">
        <v>511082062.5427196</v>
      </c>
      <c r="CZ10">
        <v>0.23404780477285386</v>
      </c>
      <c r="DA10">
        <v>6.0269014470881928</v>
      </c>
      <c r="DB10">
        <v>1763180266.5587041</v>
      </c>
      <c r="DC10">
        <v>0.22234541453421117</v>
      </c>
      <c r="DD10">
        <v>2.5072084313415592</v>
      </c>
      <c r="DE10">
        <v>4238384638.1347547</v>
      </c>
      <c r="DF10">
        <v>0.2059620682001114</v>
      </c>
      <c r="DG10">
        <v>1.2313249914819355</v>
      </c>
      <c r="DH10">
        <v>8630145390.9505081</v>
      </c>
      <c r="DI10">
        <v>0.18723824381828311</v>
      </c>
      <c r="DJ10">
        <v>0.39395355298636947</v>
      </c>
      <c r="DK10">
        <v>26974026809.621567</v>
      </c>
      <c r="DL10">
        <v>0.16383346334099769</v>
      </c>
      <c r="DM10">
        <v>438999999.99999994</v>
      </c>
      <c r="DN10">
        <v>0.23404780477285386</v>
      </c>
      <c r="DO10">
        <v>10626513700</v>
      </c>
      <c r="DP10">
        <v>2203139200</v>
      </c>
      <c r="DQ10">
        <v>1392</v>
      </c>
      <c r="DR10">
        <v>-0.3012087293258412</v>
      </c>
      <c r="DS10">
        <v>-0.26327212046855519</v>
      </c>
      <c r="DT10" s="13">
        <v>-5.6666666666666719E-2</v>
      </c>
      <c r="DU10">
        <v>0.28333333333333338</v>
      </c>
      <c r="DV10">
        <v>0.22666666666666666</v>
      </c>
      <c r="DW10">
        <v>-8.1764705882352935</v>
      </c>
      <c r="DX10">
        <v>0.34757117647058777</v>
      </c>
      <c r="DY10">
        <v>-8.0172184429065751</v>
      </c>
      <c r="DZ10">
        <v>1204</v>
      </c>
      <c r="EA10">
        <v>-8.0131614947148897</v>
      </c>
      <c r="EB10">
        <v>8</v>
      </c>
      <c r="EC10">
        <v>5.9089927972850786E-2</v>
      </c>
      <c r="ED10">
        <v>0.60560844001571301</v>
      </c>
      <c r="EE10" s="14">
        <v>1.5999999999999973E-3</v>
      </c>
      <c r="EF10">
        <v>2.0109999999999999E-2</v>
      </c>
      <c r="EG10">
        <v>25.097571176470588</v>
      </c>
      <c r="EH10">
        <v>-1</v>
      </c>
      <c r="EI10">
        <v>0</v>
      </c>
      <c r="EJ10">
        <v>1</v>
      </c>
      <c r="EK10" s="10">
        <v>45470</v>
      </c>
      <c r="EL10" s="15">
        <v>1.08</v>
      </c>
      <c r="EM10" s="15">
        <v>-5.59</v>
      </c>
      <c r="EN10" s="15">
        <v>-1.55</v>
      </c>
      <c r="EO10" s="15">
        <v>5.62</v>
      </c>
      <c r="EP10" s="15">
        <v>-2.17</v>
      </c>
    </row>
    <row r="11" spans="1:146" ht="108" x14ac:dyDescent="0.25">
      <c r="A11" s="7"/>
      <c r="B11" s="7"/>
      <c r="C11" s="7" t="str">
        <f>""&amp;CHAR(10)&amp;Basic_Fundamental_Information_Constructure(F11)&amp;CHAR(10)&amp;Basic_Fundamental_Information_Concatenate("")</f>
        <v xml:space="preserve">
市值51.337206亿, 利润-2549.07万; PE; 平均PE-79.13; 平均PEG-6.76, PB7.78; ROIC3.56%; ROE-2.4933%; 股利率0%; 毛利13.3733%; 净利-1.79%; 上一年度营收增4.29%, 利润增-282.65%; 当季营收增3.92%, 利润增-135.18%; 过往5年营收增-11.71%, 利润增-413.96%
Income profile:
</v>
      </c>
      <c r="D11" t="s">
        <v>161</v>
      </c>
      <c r="E11" t="s">
        <v>162</v>
      </c>
      <c r="F11">
        <v>10.09</v>
      </c>
      <c r="G11">
        <v>1.92</v>
      </c>
      <c r="H11" t="s">
        <v>1035</v>
      </c>
      <c r="I11">
        <v>5133720600</v>
      </c>
      <c r="K11">
        <v>7.78</v>
      </c>
      <c r="L11" t="s">
        <v>107</v>
      </c>
      <c r="M11" t="s">
        <v>1036</v>
      </c>
      <c r="N11" t="s">
        <v>754</v>
      </c>
      <c r="O11" t="s">
        <v>23</v>
      </c>
      <c r="P11">
        <v>3.69</v>
      </c>
      <c r="Q11" t="s">
        <v>1037</v>
      </c>
      <c r="R11">
        <v>-13052269</v>
      </c>
      <c r="S11" s="5">
        <v>-1.3520000000000001</v>
      </c>
      <c r="T11" t="s">
        <v>1038</v>
      </c>
      <c r="U11">
        <v>431773520</v>
      </c>
      <c r="V11">
        <v>508792920</v>
      </c>
      <c r="W11">
        <v>1.5</v>
      </c>
      <c r="X11">
        <v>0.16</v>
      </c>
      <c r="Y11">
        <v>-8.5</v>
      </c>
      <c r="Z11" t="s">
        <v>33</v>
      </c>
      <c r="AA11" t="s">
        <v>572</v>
      </c>
      <c r="AB11" t="s">
        <v>1039</v>
      </c>
      <c r="AC11" t="s">
        <v>1040</v>
      </c>
      <c r="AD11" t="s">
        <v>5</v>
      </c>
      <c r="AE11">
        <v>1215420</v>
      </c>
      <c r="AF11" t="s">
        <v>21</v>
      </c>
      <c r="AG11" t="s">
        <v>1041</v>
      </c>
      <c r="AH11" t="s">
        <v>1042</v>
      </c>
      <c r="AI11" t="s">
        <v>1043</v>
      </c>
      <c r="AJ11" t="s">
        <v>1044</v>
      </c>
      <c r="AK11" t="s">
        <v>5</v>
      </c>
      <c r="AL11" t="s">
        <v>1045</v>
      </c>
      <c r="AM11" t="s">
        <v>5</v>
      </c>
      <c r="AN11" t="s">
        <v>1046</v>
      </c>
      <c r="AO11" t="s">
        <v>422</v>
      </c>
      <c r="AP11" t="s">
        <v>5</v>
      </c>
      <c r="AQ11" t="s">
        <v>1047</v>
      </c>
      <c r="AR11" t="s">
        <v>1048</v>
      </c>
      <c r="AS11" t="s">
        <v>40</v>
      </c>
      <c r="AT11" t="s">
        <v>5</v>
      </c>
      <c r="AU11" t="s">
        <v>1049</v>
      </c>
      <c r="AV11" t="s">
        <v>1050</v>
      </c>
      <c r="AW11" t="s">
        <v>1051</v>
      </c>
      <c r="AX11" t="s">
        <v>527</v>
      </c>
      <c r="AY11" t="s">
        <v>76</v>
      </c>
      <c r="AZ11" t="s">
        <v>41</v>
      </c>
      <c r="BA11" t="s">
        <v>164</v>
      </c>
      <c r="BB11" t="s">
        <v>165</v>
      </c>
      <c r="BC11" t="s">
        <v>573</v>
      </c>
      <c r="BD11" t="s">
        <v>325</v>
      </c>
      <c r="BE11" t="s">
        <v>163</v>
      </c>
      <c r="BF11" t="s">
        <v>166</v>
      </c>
      <c r="BG11" t="s">
        <v>167</v>
      </c>
      <c r="BH11" t="s">
        <v>1037</v>
      </c>
      <c r="BI11" t="s">
        <v>645</v>
      </c>
      <c r="BJ11" t="s">
        <v>527</v>
      </c>
      <c r="BK11" t="s">
        <v>1038</v>
      </c>
      <c r="BL11" t="s">
        <v>1052</v>
      </c>
      <c r="BM11" t="s">
        <v>573</v>
      </c>
      <c r="BN11" t="s">
        <v>5</v>
      </c>
      <c r="BO11">
        <v>3.56</v>
      </c>
      <c r="BP11" t="s">
        <v>5</v>
      </c>
      <c r="BQ11">
        <v>-2.61</v>
      </c>
      <c r="BR11">
        <v>3.07</v>
      </c>
      <c r="BS11">
        <v>-7.94</v>
      </c>
      <c r="BT11" t="s">
        <v>519</v>
      </c>
      <c r="BU11" t="s">
        <v>879</v>
      </c>
      <c r="BV11">
        <v>13.48</v>
      </c>
      <c r="BW11">
        <v>11.83</v>
      </c>
      <c r="BX11">
        <v>14.81</v>
      </c>
      <c r="BY11">
        <v>-3.89</v>
      </c>
      <c r="BZ11">
        <v>1.92</v>
      </c>
      <c r="CA11">
        <v>-3.4</v>
      </c>
      <c r="CB11">
        <v>-4.09</v>
      </c>
      <c r="CC11">
        <v>9.5500000000000007</v>
      </c>
      <c r="CD11" t="s">
        <v>1053</v>
      </c>
      <c r="CE11" t="s">
        <v>1054</v>
      </c>
      <c r="CF11" s="11">
        <v>3.9215686274509803E-2</v>
      </c>
      <c r="CG11" s="12">
        <v>-1.3518449313488774</v>
      </c>
      <c r="CH11" s="11">
        <v>4.289940744638443E-2</v>
      </c>
      <c r="CI11" s="11">
        <v>-5.7182706892490387E-2</v>
      </c>
      <c r="CJ11" s="11">
        <v>-9.697733074426651E-2</v>
      </c>
      <c r="CK11" s="11">
        <v>-0.2416427880525589</v>
      </c>
      <c r="CL11" s="11">
        <v>-0.23240469396114349</v>
      </c>
      <c r="CM11" s="12">
        <v>-2.826530933380127</v>
      </c>
      <c r="CN11" s="12">
        <v>1.5654631853103638</v>
      </c>
      <c r="CO11" s="12">
        <v>0.83546465635299683</v>
      </c>
      <c r="CP11" s="12">
        <v>0.29906541109085083</v>
      </c>
      <c r="CQ11" s="12">
        <v>-20.571260452270508</v>
      </c>
      <c r="CR11">
        <v>-79.126233813740612</v>
      </c>
      <c r="CS11">
        <v>-6.7593658932709513</v>
      </c>
      <c r="CT11">
        <v>0</v>
      </c>
      <c r="CU11" s="11">
        <v>-0.11706162244081497</v>
      </c>
      <c r="CV11" s="12">
        <v>-4.1395596265792847</v>
      </c>
      <c r="CW11">
        <v>0.06</v>
      </c>
      <c r="CX11" t="e">
        <v>#VALUE!</v>
      </c>
      <c r="CY11" t="s">
        <v>412</v>
      </c>
      <c r="CZ11">
        <v>-0.11706162244081497</v>
      </c>
      <c r="DA11" t="e">
        <v>#VALUE!</v>
      </c>
      <c r="DB11" t="s">
        <v>413</v>
      </c>
      <c r="DC11">
        <v>-0.11120854131877422</v>
      </c>
      <c r="DD11" t="e">
        <v>#VALUE!</v>
      </c>
      <c r="DE11" t="s">
        <v>413</v>
      </c>
      <c r="DF11">
        <v>-0.10301422774791717</v>
      </c>
      <c r="DG11" t="e">
        <v>#VALUE!</v>
      </c>
      <c r="DH11" t="s">
        <v>413</v>
      </c>
      <c r="DI11">
        <v>-9.3649297952651978E-2</v>
      </c>
      <c r="DJ11" t="e">
        <v>#VALUE!</v>
      </c>
      <c r="DK11" t="s">
        <v>413</v>
      </c>
      <c r="DL11">
        <v>-8.194313570857048E-2</v>
      </c>
      <c r="DM11">
        <v>-25490700</v>
      </c>
      <c r="DN11">
        <v>-0.11706162244081497</v>
      </c>
      <c r="DO11">
        <v>4809720600</v>
      </c>
      <c r="DP11">
        <v>323582630</v>
      </c>
      <c r="DQ11">
        <v>1522</v>
      </c>
      <c r="DR11">
        <v>0.15627730871532478</v>
      </c>
      <c r="DS11">
        <v>2.7877146952304073</v>
      </c>
      <c r="DT11" s="13">
        <v>-0.65666666666666662</v>
      </c>
      <c r="DU11">
        <v>-2.4150000000000005</v>
      </c>
      <c r="DV11">
        <v>-3.0716666666666672</v>
      </c>
      <c r="DW11">
        <v>-6.2998533724340176</v>
      </c>
      <c r="DX11">
        <v>0.31880877742946645</v>
      </c>
      <c r="DY11">
        <v>-6.0566149486573693</v>
      </c>
      <c r="DZ11">
        <v>4937</v>
      </c>
      <c r="EA11">
        <v>-6.0019167096120789</v>
      </c>
      <c r="EB11">
        <v>6</v>
      </c>
      <c r="EC11">
        <v>0.11837821957113712</v>
      </c>
      <c r="ED11">
        <v>0.62697413320924356</v>
      </c>
      <c r="EE11" s="14">
        <v>-2.0190100000000002</v>
      </c>
      <c r="EF11">
        <v>-2.03681</v>
      </c>
      <c r="EG11">
        <v>13.188808777429466</v>
      </c>
      <c r="EH11" t="s">
        <v>526</v>
      </c>
      <c r="EI11">
        <v>0</v>
      </c>
      <c r="EJ11">
        <v>0</v>
      </c>
      <c r="EK11" s="10">
        <v>45470</v>
      </c>
      <c r="EL11" s="15">
        <v>-1.99</v>
      </c>
      <c r="EM11" s="15">
        <v>-1.06</v>
      </c>
      <c r="EN11" s="15">
        <v>-0.88</v>
      </c>
      <c r="EO11" s="15">
        <v>5.33</v>
      </c>
      <c r="EP11" s="15">
        <v>-1.78</v>
      </c>
    </row>
    <row r="12" spans="1:146" ht="108" x14ac:dyDescent="0.25">
      <c r="A12" s="7"/>
      <c r="B12" s="7"/>
      <c r="C12" s="7" t="str">
        <f>""&amp;CHAR(10)&amp;Basic_Fundamental_Information_Constructure(F12)&amp;CHAR(10)&amp;Basic_Fundamental_Information_Concatenate("")</f>
        <v xml:space="preserve">
市值14.9288亿, 利润-2.15亿; PE; 平均PE-3.76; 平均PEG-.3, PB3.11; ROIC0%; ROE-42.0167%; 股利率0%; 毛利21.0467%; 净利-170.4867%; 上一年度营收增-22.65%, 利润增42.97%; 当季营收增2.92%, 利润增84.25%; 过往5年营收增-12.37%, 利润增-1240.86%
Income profile:
</v>
      </c>
      <c r="D12" t="s">
        <v>168</v>
      </c>
      <c r="E12" t="s">
        <v>169</v>
      </c>
      <c r="F12">
        <v>2.74</v>
      </c>
      <c r="G12">
        <v>5.38</v>
      </c>
      <c r="H12" t="s">
        <v>1055</v>
      </c>
      <c r="I12">
        <v>1492880000</v>
      </c>
      <c r="K12">
        <v>3.11</v>
      </c>
      <c r="L12" t="s">
        <v>107</v>
      </c>
      <c r="M12" t="s">
        <v>1056</v>
      </c>
      <c r="N12" t="s">
        <v>1057</v>
      </c>
      <c r="O12" t="s">
        <v>1058</v>
      </c>
      <c r="P12">
        <v>2.92</v>
      </c>
      <c r="Q12" t="s">
        <v>807</v>
      </c>
      <c r="R12">
        <v>-2020329</v>
      </c>
      <c r="S12" s="5">
        <v>0.84250000000000003</v>
      </c>
      <c r="T12" t="s">
        <v>1059</v>
      </c>
      <c r="U12">
        <v>544514250</v>
      </c>
      <c r="V12">
        <v>544846720</v>
      </c>
      <c r="W12">
        <v>1.5</v>
      </c>
      <c r="X12">
        <v>0.09</v>
      </c>
      <c r="Y12">
        <v>-2.25</v>
      </c>
      <c r="Z12" t="s">
        <v>1060</v>
      </c>
      <c r="AA12" t="s">
        <v>1061</v>
      </c>
      <c r="AB12" t="s">
        <v>1062</v>
      </c>
      <c r="AC12" t="s">
        <v>1063</v>
      </c>
      <c r="AD12" t="s">
        <v>5</v>
      </c>
      <c r="AE12">
        <v>699229</v>
      </c>
      <c r="AF12" t="s">
        <v>1064</v>
      </c>
      <c r="AG12">
        <v>0.27</v>
      </c>
      <c r="AH12" t="s">
        <v>1065</v>
      </c>
      <c r="AI12" t="s">
        <v>1066</v>
      </c>
      <c r="AJ12" t="s">
        <v>1067</v>
      </c>
      <c r="AK12" t="s">
        <v>1068</v>
      </c>
      <c r="AL12" t="s">
        <v>1069</v>
      </c>
      <c r="AM12" t="s">
        <v>5</v>
      </c>
      <c r="AN12">
        <v>0</v>
      </c>
      <c r="AO12" t="s">
        <v>1070</v>
      </c>
      <c r="AP12" t="s">
        <v>5</v>
      </c>
      <c r="AQ12" t="s">
        <v>1071</v>
      </c>
      <c r="AR12" t="s">
        <v>5</v>
      </c>
      <c r="AS12" t="s">
        <v>528</v>
      </c>
      <c r="AT12" t="s">
        <v>5</v>
      </c>
      <c r="AU12" t="s">
        <v>1072</v>
      </c>
      <c r="AV12" t="s">
        <v>1073</v>
      </c>
      <c r="AW12" t="s">
        <v>1074</v>
      </c>
      <c r="AX12" t="s">
        <v>530</v>
      </c>
      <c r="AY12" t="s">
        <v>326</v>
      </c>
      <c r="AZ12" t="s">
        <v>170</v>
      </c>
      <c r="BA12" t="s">
        <v>172</v>
      </c>
      <c r="BB12" t="s">
        <v>97</v>
      </c>
      <c r="BC12" t="s">
        <v>1075</v>
      </c>
      <c r="BD12" t="s">
        <v>327</v>
      </c>
      <c r="BE12" t="s">
        <v>171</v>
      </c>
      <c r="BF12" t="s">
        <v>173</v>
      </c>
      <c r="BG12" t="s">
        <v>174</v>
      </c>
      <c r="BH12" t="s">
        <v>807</v>
      </c>
      <c r="BI12" t="s">
        <v>1076</v>
      </c>
      <c r="BJ12" t="s">
        <v>530</v>
      </c>
      <c r="BK12" t="s">
        <v>1059</v>
      </c>
      <c r="BL12" t="s">
        <v>1077</v>
      </c>
      <c r="BM12" t="s">
        <v>1075</v>
      </c>
      <c r="BN12" t="s">
        <v>5</v>
      </c>
      <c r="BO12" t="s">
        <v>5</v>
      </c>
      <c r="BP12" t="s">
        <v>5</v>
      </c>
      <c r="BQ12">
        <v>-2.02</v>
      </c>
      <c r="BR12">
        <v>-43.43</v>
      </c>
      <c r="BS12">
        <v>-80.599999999999994</v>
      </c>
      <c r="BT12" t="s">
        <v>519</v>
      </c>
      <c r="BU12" t="s">
        <v>879</v>
      </c>
      <c r="BV12">
        <v>19.36</v>
      </c>
      <c r="BW12">
        <v>24.33</v>
      </c>
      <c r="BX12">
        <v>19.45</v>
      </c>
      <c r="BY12">
        <v>-59.27</v>
      </c>
      <c r="BZ12">
        <v>-80.92</v>
      </c>
      <c r="CA12">
        <v>-371.27</v>
      </c>
      <c r="CB12">
        <v>3.79</v>
      </c>
      <c r="CC12">
        <v>-18.93</v>
      </c>
      <c r="CD12" t="s">
        <v>1078</v>
      </c>
      <c r="CE12" t="s">
        <v>585</v>
      </c>
      <c r="CF12" s="11">
        <v>2.9204630960448077E-2</v>
      </c>
      <c r="CG12" s="12">
        <v>0.84250263102504741</v>
      </c>
      <c r="CH12" s="11">
        <v>-0.22649572789669037</v>
      </c>
      <c r="CI12" s="11">
        <v>0.24137930572032928</v>
      </c>
      <c r="CJ12" s="11">
        <v>-0.44148147106170654</v>
      </c>
      <c r="CK12" s="11">
        <v>-0.45739549398422241</v>
      </c>
      <c r="CL12" s="11">
        <v>0.26551374793052673</v>
      </c>
      <c r="CM12" s="12">
        <v>0.42970821261405945</v>
      </c>
      <c r="CN12" s="12">
        <v>0.72936105728149414</v>
      </c>
      <c r="CO12" s="12">
        <v>-54.736061096191406</v>
      </c>
      <c r="CP12" s="12">
        <v>1.0536708831787109</v>
      </c>
      <c r="CQ12" s="12">
        <v>-9.5195093154907227</v>
      </c>
      <c r="CR12">
        <v>-3.7550689960306594</v>
      </c>
      <c r="CS12">
        <v>-0.30357256387054909</v>
      </c>
      <c r="CT12">
        <v>0</v>
      </c>
      <c r="CU12" s="11">
        <v>-0.12369592785835266</v>
      </c>
      <c r="CV12" s="12">
        <v>-12.408566051721573</v>
      </c>
      <c r="CW12">
        <v>0.06</v>
      </c>
      <c r="CX12" t="e">
        <v>#VALUE!</v>
      </c>
      <c r="CY12" t="s">
        <v>412</v>
      </c>
      <c r="CZ12">
        <v>-0.12369592785835266</v>
      </c>
      <c r="DA12" t="e">
        <v>#VALUE!</v>
      </c>
      <c r="DB12" t="s">
        <v>413</v>
      </c>
      <c r="DC12">
        <v>-0.11751113146543503</v>
      </c>
      <c r="DD12" t="e">
        <v>#VALUE!</v>
      </c>
      <c r="DE12" t="s">
        <v>413</v>
      </c>
      <c r="DF12">
        <v>-0.10885241651535034</v>
      </c>
      <c r="DG12" t="e">
        <v>#VALUE!</v>
      </c>
      <c r="DH12" t="s">
        <v>413</v>
      </c>
      <c r="DI12">
        <v>-9.8956742286682137E-2</v>
      </c>
      <c r="DJ12" t="e">
        <v>#VALUE!</v>
      </c>
      <c r="DK12" t="s">
        <v>413</v>
      </c>
      <c r="DL12">
        <v>-8.6587149500846866E-2</v>
      </c>
      <c r="DM12">
        <v>-215000000</v>
      </c>
      <c r="DN12">
        <v>-0.12369592785835266</v>
      </c>
      <c r="DO12">
        <v>1350880000</v>
      </c>
      <c r="DP12">
        <v>296751880</v>
      </c>
      <c r="DQ12">
        <v>1545</v>
      </c>
      <c r="DR12">
        <v>0.15290055881880074</v>
      </c>
      <c r="DS12">
        <v>13.25106868274662</v>
      </c>
      <c r="DT12" s="13">
        <v>-0.60666666666666669</v>
      </c>
      <c r="DU12">
        <v>-1.4516666666666669</v>
      </c>
      <c r="DV12">
        <v>-2.0583333333333336</v>
      </c>
      <c r="DW12">
        <v>6.16681338028169</v>
      </c>
      <c r="DX12">
        <v>0.49763274021352205</v>
      </c>
      <c r="DY12">
        <v>6.0262952502380829</v>
      </c>
      <c r="DZ12">
        <v>4425</v>
      </c>
      <c r="EA12">
        <v>6.0035249014507022</v>
      </c>
      <c r="EB12">
        <v>6</v>
      </c>
      <c r="EC12">
        <v>0.16259545436925818</v>
      </c>
      <c r="ED12">
        <v>1.0314827627116852</v>
      </c>
      <c r="EE12" s="14">
        <v>-2.0219100000000001</v>
      </c>
      <c r="EF12">
        <v>-2.0369100000000002</v>
      </c>
      <c r="EG12">
        <v>34.157632740213522</v>
      </c>
      <c r="EH12" t="s">
        <v>526</v>
      </c>
      <c r="EI12">
        <v>0</v>
      </c>
      <c r="EJ12">
        <v>0</v>
      </c>
      <c r="EK12" s="10">
        <v>45470</v>
      </c>
      <c r="EL12" s="15">
        <v>0</v>
      </c>
      <c r="EM12" s="15">
        <v>-5.82</v>
      </c>
      <c r="EN12" s="15">
        <v>-3.09</v>
      </c>
      <c r="EO12" s="15">
        <v>5.98</v>
      </c>
      <c r="EP12" s="15">
        <v>-1.5</v>
      </c>
    </row>
    <row r="13" spans="1:146" ht="96" x14ac:dyDescent="0.25">
      <c r="A13" s="7"/>
      <c r="B13" s="7"/>
      <c r="C13" s="7" t="str">
        <f>""&amp;CHAR(10)&amp;Basic_Fundamental_Information_Constructure(F13)&amp;CHAR(10)&amp;Basic_Fundamental_Information_Concatenate("")</f>
        <v xml:space="preserve">
市值27.034355亿, 利润-2.81亿; PE; 平均PE-11.01; 平均PEG-1.77, PB1.77; ROIC0%; ROE-18.3267%; 股利率0%; 毛利22.9033%; 净利-94.75%; 上一年度营收增-17.79%, 利润增33.25%; 当季营收增-9.19%, 利润增-42.79%; 过往5年营收增-6.23%, 利润增-206.21%
Income profile:
</v>
      </c>
      <c r="D13" t="s">
        <v>175</v>
      </c>
      <c r="E13" t="s">
        <v>176</v>
      </c>
      <c r="F13">
        <v>4.47</v>
      </c>
      <c r="G13">
        <v>3</v>
      </c>
      <c r="H13" t="s">
        <v>1079</v>
      </c>
      <c r="I13">
        <v>2703435500</v>
      </c>
      <c r="K13">
        <v>1.77</v>
      </c>
      <c r="L13" t="s">
        <v>107</v>
      </c>
      <c r="M13" t="s">
        <v>647</v>
      </c>
      <c r="N13" t="s">
        <v>1080</v>
      </c>
      <c r="O13" t="s">
        <v>1081</v>
      </c>
      <c r="P13">
        <v>-9.19</v>
      </c>
      <c r="Q13" t="s">
        <v>1082</v>
      </c>
      <c r="R13">
        <v>-30745585</v>
      </c>
      <c r="S13" s="5">
        <v>-0.4279</v>
      </c>
      <c r="T13" t="s">
        <v>1083</v>
      </c>
      <c r="U13">
        <v>604703840</v>
      </c>
      <c r="V13">
        <v>604795420</v>
      </c>
      <c r="W13">
        <v>1.44</v>
      </c>
      <c r="X13">
        <v>0.05</v>
      </c>
      <c r="Y13">
        <v>-42.06</v>
      </c>
      <c r="Z13" t="s">
        <v>748</v>
      </c>
      <c r="AA13" t="s">
        <v>1084</v>
      </c>
      <c r="AB13" t="s">
        <v>1085</v>
      </c>
      <c r="AC13" t="s">
        <v>1086</v>
      </c>
      <c r="AD13" t="s">
        <v>5</v>
      </c>
      <c r="AE13">
        <v>1087288</v>
      </c>
      <c r="AF13" t="s">
        <v>1087</v>
      </c>
      <c r="AG13">
        <v>64.510000000000005</v>
      </c>
      <c r="AH13" t="s">
        <v>1088</v>
      </c>
      <c r="AI13" t="s">
        <v>1089</v>
      </c>
      <c r="AJ13" t="s">
        <v>1090</v>
      </c>
      <c r="AK13" t="s">
        <v>5</v>
      </c>
      <c r="AL13" t="s">
        <v>1091</v>
      </c>
      <c r="AM13" t="s">
        <v>5</v>
      </c>
      <c r="AN13">
        <v>0</v>
      </c>
      <c r="AO13" t="s">
        <v>809</v>
      </c>
      <c r="AP13" t="s">
        <v>1092</v>
      </c>
      <c r="AQ13" t="s">
        <v>1093</v>
      </c>
      <c r="AR13" t="s">
        <v>5</v>
      </c>
      <c r="AS13" t="s">
        <v>1094</v>
      </c>
      <c r="AT13" t="s">
        <v>763</v>
      </c>
      <c r="AU13" t="s">
        <v>1095</v>
      </c>
      <c r="AV13" t="s">
        <v>1096</v>
      </c>
      <c r="AW13" t="s">
        <v>1097</v>
      </c>
      <c r="AX13" t="s">
        <v>577</v>
      </c>
      <c r="AY13" t="s">
        <v>328</v>
      </c>
      <c r="AZ13" t="s">
        <v>77</v>
      </c>
      <c r="BA13" t="s">
        <v>178</v>
      </c>
      <c r="BB13" t="s">
        <v>179</v>
      </c>
      <c r="BC13" t="s">
        <v>578</v>
      </c>
      <c r="BD13" t="s">
        <v>177</v>
      </c>
      <c r="BE13" t="s">
        <v>177</v>
      </c>
      <c r="BF13" t="s">
        <v>180</v>
      </c>
      <c r="BG13" t="s">
        <v>58</v>
      </c>
      <c r="BH13" t="s">
        <v>1082</v>
      </c>
      <c r="BI13" t="s">
        <v>1098</v>
      </c>
      <c r="BJ13" t="s">
        <v>577</v>
      </c>
      <c r="BK13" t="s">
        <v>1083</v>
      </c>
      <c r="BL13" t="s">
        <v>1099</v>
      </c>
      <c r="BM13" t="s">
        <v>578</v>
      </c>
      <c r="BN13" t="s">
        <v>5</v>
      </c>
      <c r="BO13" t="s">
        <v>5</v>
      </c>
      <c r="BP13" t="s">
        <v>5</v>
      </c>
      <c r="BQ13">
        <v>-5.62</v>
      </c>
      <c r="BR13">
        <v>-21.06</v>
      </c>
      <c r="BS13">
        <v>-28.3</v>
      </c>
      <c r="BT13" t="s">
        <v>519</v>
      </c>
      <c r="BU13" t="s">
        <v>858</v>
      </c>
      <c r="BV13">
        <v>22.61</v>
      </c>
      <c r="BW13">
        <v>17.75</v>
      </c>
      <c r="BX13">
        <v>28.35</v>
      </c>
      <c r="BY13">
        <v>-76.569999999999993</v>
      </c>
      <c r="BZ13">
        <v>-101.22</v>
      </c>
      <c r="CA13">
        <v>-106.46</v>
      </c>
      <c r="CB13">
        <v>1.1299999999999999</v>
      </c>
      <c r="CC13">
        <v>-25.38</v>
      </c>
      <c r="CD13" t="s">
        <v>1100</v>
      </c>
      <c r="CE13" t="s">
        <v>1101</v>
      </c>
      <c r="CF13" s="11">
        <v>-9.1918065536871943E-2</v>
      </c>
      <c r="CG13" s="12">
        <v>-0.42794838212277009</v>
      </c>
      <c r="CH13" s="11">
        <v>-0.17791411280632019</v>
      </c>
      <c r="CI13" s="11">
        <v>4.1067763231694698E-3</v>
      </c>
      <c r="CJ13" s="11">
        <v>0.47575756907463074</v>
      </c>
      <c r="CK13" s="11">
        <v>-0.39560440182685852</v>
      </c>
      <c r="CL13" s="11">
        <v>-0.21776504814624786</v>
      </c>
      <c r="CM13" s="12">
        <v>0.33254155516624451</v>
      </c>
      <c r="CN13" s="12">
        <v>0.17933723330497742</v>
      </c>
      <c r="CO13" s="12">
        <v>0</v>
      </c>
      <c r="CP13" s="12">
        <v>-10.106740951538086</v>
      </c>
      <c r="CQ13" s="12">
        <v>-0.71549540758132935</v>
      </c>
      <c r="CR13">
        <v>-11.006964865426617</v>
      </c>
      <c r="CS13">
        <v>-1.767226338498278</v>
      </c>
      <c r="CT13">
        <v>0</v>
      </c>
      <c r="CU13" s="11">
        <v>-6.2283843476325276E-2</v>
      </c>
      <c r="CV13" s="12">
        <v>-2.0620715141296388</v>
      </c>
      <c r="CW13">
        <v>0.06</v>
      </c>
      <c r="CX13" t="e">
        <v>#VALUE!</v>
      </c>
      <c r="CY13" t="s">
        <v>412</v>
      </c>
      <c r="CZ13">
        <v>-6.2283843476325276E-2</v>
      </c>
      <c r="DA13" t="e">
        <v>#VALUE!</v>
      </c>
      <c r="DB13" t="s">
        <v>413</v>
      </c>
      <c r="DC13">
        <v>-5.9169651302509008E-2</v>
      </c>
      <c r="DD13" t="e">
        <v>#VALUE!</v>
      </c>
      <c r="DE13" t="s">
        <v>413</v>
      </c>
      <c r="DF13">
        <v>-5.4809782259166245E-2</v>
      </c>
      <c r="DG13" t="e">
        <v>#VALUE!</v>
      </c>
      <c r="DH13" t="s">
        <v>413</v>
      </c>
      <c r="DI13">
        <v>-4.9827074781060222E-2</v>
      </c>
      <c r="DJ13" t="e">
        <v>#VALUE!</v>
      </c>
      <c r="DK13" t="s">
        <v>413</v>
      </c>
      <c r="DL13">
        <v>-4.3598690433427692E-2</v>
      </c>
      <c r="DM13">
        <v>-281000000</v>
      </c>
      <c r="DN13">
        <v>-6.2283843476325276E-2</v>
      </c>
      <c r="DO13">
        <v>1950435500</v>
      </c>
      <c r="DP13">
        <v>353699980</v>
      </c>
      <c r="DQ13">
        <v>1574</v>
      </c>
      <c r="DR13">
        <v>-2.9634222060546667E-2</v>
      </c>
      <c r="DS13">
        <v>1.6341231320068688</v>
      </c>
      <c r="DT13" s="13">
        <v>-0.69</v>
      </c>
      <c r="DU13">
        <v>-2.6816666666666666</v>
      </c>
      <c r="DV13">
        <v>-3.3716666666666666</v>
      </c>
      <c r="DW13">
        <v>-3.1060833333333333</v>
      </c>
      <c r="DX13">
        <v>0.3160901263157912</v>
      </c>
      <c r="DY13">
        <v>-3.0133760609000002</v>
      </c>
      <c r="DZ13">
        <v>5001</v>
      </c>
      <c r="EA13">
        <v>-3.0002853210642075</v>
      </c>
      <c r="EB13">
        <v>3</v>
      </c>
      <c r="EC13">
        <v>0.15844779380108401</v>
      </c>
      <c r="ED13">
        <v>1.2566232727093072</v>
      </c>
      <c r="EE13" s="14">
        <v>3.0118999999999998</v>
      </c>
      <c r="EF13">
        <v>3.0186999999999999</v>
      </c>
      <c r="EG13">
        <v>19.126090126315791</v>
      </c>
      <c r="EH13" t="s">
        <v>521</v>
      </c>
      <c r="EI13">
        <v>0</v>
      </c>
      <c r="EJ13">
        <v>0</v>
      </c>
      <c r="EK13" s="10">
        <v>45470</v>
      </c>
      <c r="EL13" s="15">
        <v>-1.1100000000000001</v>
      </c>
      <c r="EM13" s="15">
        <v>-5.41</v>
      </c>
      <c r="EN13" s="15">
        <v>-1.19</v>
      </c>
      <c r="EO13" s="15">
        <v>6.99</v>
      </c>
      <c r="EP13" s="15">
        <v>0.68</v>
      </c>
    </row>
    <row r="14" spans="1:146" ht="108" x14ac:dyDescent="0.25">
      <c r="A14" s="7"/>
      <c r="B14" s="7"/>
      <c r="C14" s="7" t="str">
        <f>""&amp;CHAR(10)&amp;Basic_Fundamental_Information_Constructure(F14)&amp;CHAR(10)&amp;Basic_Fundamental_Information_Concatenate("")</f>
        <v xml:space="preserve">
市值69.63701亿, 利润1.70亿; PE38.27; 平均PE129.23; 平均PEG33.84, PB3.33; ROIC5.155%; ROE-2.7267%; 股利率.8008%; 毛利53.01%; 净利-4.5%; 上一年度营收增27.49%, 利润增141.87%; 当季营收增13.19%, 利润增30.38%; 过往5年营收增-3.82%, 利润增-144.28%
Income profile:
</v>
      </c>
      <c r="D14" t="s">
        <v>181</v>
      </c>
      <c r="E14" t="s">
        <v>182</v>
      </c>
      <c r="F14">
        <v>10.029999999999999</v>
      </c>
      <c r="G14">
        <v>0.4</v>
      </c>
      <c r="H14" t="s">
        <v>1102</v>
      </c>
      <c r="I14">
        <v>6963701000</v>
      </c>
      <c r="J14">
        <v>38.270000000000003</v>
      </c>
      <c r="K14">
        <v>3.33</v>
      </c>
      <c r="L14" t="s">
        <v>107</v>
      </c>
      <c r="M14" t="s">
        <v>877</v>
      </c>
      <c r="N14" t="s">
        <v>1103</v>
      </c>
      <c r="O14" t="s">
        <v>1104</v>
      </c>
      <c r="P14">
        <v>13.08</v>
      </c>
      <c r="Q14" t="s">
        <v>1105</v>
      </c>
      <c r="R14">
        <v>53439480</v>
      </c>
      <c r="S14" s="5">
        <v>0.30380000000000001</v>
      </c>
      <c r="T14" t="s">
        <v>574</v>
      </c>
      <c r="U14">
        <v>528921140</v>
      </c>
      <c r="V14">
        <v>694287240</v>
      </c>
      <c r="W14">
        <v>1.23</v>
      </c>
      <c r="X14">
        <v>0.16</v>
      </c>
      <c r="Y14">
        <v>15.17</v>
      </c>
      <c r="Z14" t="s">
        <v>667</v>
      </c>
      <c r="AA14" t="s">
        <v>1106</v>
      </c>
      <c r="AB14" t="s">
        <v>1107</v>
      </c>
      <c r="AC14" t="s">
        <v>1108</v>
      </c>
      <c r="AD14" t="s">
        <v>5</v>
      </c>
      <c r="AE14">
        <v>-7834822</v>
      </c>
      <c r="AF14" t="s">
        <v>1109</v>
      </c>
      <c r="AG14" t="s">
        <v>1110</v>
      </c>
      <c r="AH14" t="s">
        <v>1111</v>
      </c>
      <c r="AI14" t="s">
        <v>1112</v>
      </c>
      <c r="AJ14" t="s">
        <v>1113</v>
      </c>
      <c r="AK14" t="s">
        <v>5</v>
      </c>
      <c r="AL14" t="s">
        <v>1114</v>
      </c>
      <c r="AM14" t="s">
        <v>5</v>
      </c>
      <c r="AN14" t="s">
        <v>1115</v>
      </c>
      <c r="AO14" t="s">
        <v>5</v>
      </c>
      <c r="AP14" t="s">
        <v>5</v>
      </c>
      <c r="AQ14" t="s">
        <v>55</v>
      </c>
      <c r="AR14" t="s">
        <v>5</v>
      </c>
      <c r="AS14" t="s">
        <v>1116</v>
      </c>
      <c r="AT14" t="s">
        <v>5</v>
      </c>
      <c r="AU14" t="s">
        <v>423</v>
      </c>
      <c r="AV14" t="s">
        <v>1117</v>
      </c>
      <c r="AW14" t="s">
        <v>1118</v>
      </c>
      <c r="AX14" t="s">
        <v>579</v>
      </c>
      <c r="AY14" t="s">
        <v>75</v>
      </c>
      <c r="AZ14" t="s">
        <v>183</v>
      </c>
      <c r="BA14" t="s">
        <v>185</v>
      </c>
      <c r="BB14" t="s">
        <v>186</v>
      </c>
      <c r="BC14" t="s">
        <v>580</v>
      </c>
      <c r="BD14" t="s">
        <v>329</v>
      </c>
      <c r="BE14" t="s">
        <v>184</v>
      </c>
      <c r="BF14" t="s">
        <v>187</v>
      </c>
      <c r="BG14" t="s">
        <v>40</v>
      </c>
      <c r="BH14" t="s">
        <v>1105</v>
      </c>
      <c r="BI14" t="s">
        <v>430</v>
      </c>
      <c r="BJ14" t="s">
        <v>579</v>
      </c>
      <c r="BK14" t="s">
        <v>574</v>
      </c>
      <c r="BL14" t="s">
        <v>1119</v>
      </c>
      <c r="BM14" t="s">
        <v>580</v>
      </c>
      <c r="BN14">
        <v>7.95</v>
      </c>
      <c r="BO14" t="s">
        <v>5</v>
      </c>
      <c r="BP14">
        <v>2.36</v>
      </c>
      <c r="BQ14">
        <v>8.06</v>
      </c>
      <c r="BR14">
        <v>-18.75</v>
      </c>
      <c r="BS14">
        <v>2.5099999999999998</v>
      </c>
      <c r="BT14" t="s">
        <v>1120</v>
      </c>
      <c r="BU14" t="s">
        <v>858</v>
      </c>
      <c r="BV14">
        <v>49.2</v>
      </c>
      <c r="BW14">
        <v>49.39</v>
      </c>
      <c r="BX14">
        <v>60.44</v>
      </c>
      <c r="BY14">
        <v>13.44</v>
      </c>
      <c r="BZ14">
        <v>-34.119999999999997</v>
      </c>
      <c r="CA14">
        <v>7.18</v>
      </c>
      <c r="CB14">
        <v>-2.0499999999999998</v>
      </c>
      <c r="CC14">
        <v>-8.06</v>
      </c>
      <c r="CD14" t="s">
        <v>1121</v>
      </c>
      <c r="CE14" t="s">
        <v>542</v>
      </c>
      <c r="CF14" s="11">
        <v>0.13186813186813187</v>
      </c>
      <c r="CG14" s="12">
        <v>0.30378354640382549</v>
      </c>
      <c r="CH14" s="11">
        <v>0.27491098642349243</v>
      </c>
      <c r="CI14" s="11">
        <v>-1.576182059943676E-2</v>
      </c>
      <c r="CJ14" s="11">
        <v>9.3869730830192566E-2</v>
      </c>
      <c r="CK14" s="11">
        <v>-0.33587786555290222</v>
      </c>
      <c r="CL14" s="11">
        <v>-0.20806047320365906</v>
      </c>
      <c r="CM14" s="12">
        <v>1.4187191724777222</v>
      </c>
      <c r="CN14" s="12">
        <v>-7.6368498802185059</v>
      </c>
      <c r="CO14" s="12">
        <v>-0.3269771933555603</v>
      </c>
      <c r="CP14" s="12">
        <v>6.6216737031936646E-2</v>
      </c>
      <c r="CQ14" s="12">
        <v>-0.73525190353393555</v>
      </c>
      <c r="CR14">
        <v>129.23012542207118</v>
      </c>
      <c r="CS14">
        <v>33.844150181629281</v>
      </c>
      <c r="CT14">
        <v>0.80081455633100695</v>
      </c>
      <c r="CU14" s="11">
        <v>-3.8183888420462608E-2</v>
      </c>
      <c r="CV14" s="12">
        <v>-1.4428286135196686</v>
      </c>
      <c r="CW14">
        <v>0.06</v>
      </c>
      <c r="CX14">
        <v>30.257064705882353</v>
      </c>
      <c r="CY14" t="s">
        <v>1122</v>
      </c>
      <c r="CZ14">
        <v>-3.8183888420462608E-2</v>
      </c>
      <c r="DA14">
        <v>10.085688235294118</v>
      </c>
      <c r="DB14" t="s">
        <v>1123</v>
      </c>
      <c r="DC14">
        <v>-3.6274693999439479E-2</v>
      </c>
      <c r="DD14">
        <v>5.0428441176470589</v>
      </c>
      <c r="DE14" t="s">
        <v>1124</v>
      </c>
      <c r="DF14">
        <v>-3.3601821810007093E-2</v>
      </c>
      <c r="DG14">
        <v>3.0257064705882355</v>
      </c>
      <c r="DH14" t="s">
        <v>1125</v>
      </c>
      <c r="DI14">
        <v>-3.0547110736370089E-2</v>
      </c>
      <c r="DJ14">
        <v>1.5128532352941177</v>
      </c>
      <c r="DK14" t="s">
        <v>1126</v>
      </c>
      <c r="DL14">
        <v>-2.6728721894323824E-2</v>
      </c>
      <c r="DM14">
        <v>170000000</v>
      </c>
      <c r="DN14">
        <v>-3.8183888420462608E-2</v>
      </c>
      <c r="DO14">
        <v>5143701000</v>
      </c>
      <c r="DP14">
        <v>1240814600</v>
      </c>
      <c r="DQ14">
        <v>1603</v>
      </c>
      <c r="DR14">
        <v>0.17005202028859448</v>
      </c>
      <c r="DS14">
        <v>1.7466121599234941</v>
      </c>
      <c r="DT14" s="13">
        <v>-0.49</v>
      </c>
      <c r="DU14">
        <v>-0.49666666666666665</v>
      </c>
      <c r="DV14">
        <v>-0.98666666666666658</v>
      </c>
      <c r="DW14">
        <v>-2.0806</v>
      </c>
      <c r="DX14">
        <v>0.38940330882352825</v>
      </c>
      <c r="DY14">
        <v>-2.0112359066911765</v>
      </c>
      <c r="DZ14">
        <v>3552</v>
      </c>
      <c r="EA14">
        <v>-2.0034257421966446</v>
      </c>
      <c r="EB14">
        <v>2</v>
      </c>
      <c r="EC14">
        <v>5.4613851177792064E-2</v>
      </c>
      <c r="ED14">
        <v>0.3917686864013229</v>
      </c>
      <c r="EE14" s="14">
        <v>3.5200000000000002E-2</v>
      </c>
      <c r="EF14">
        <v>2.6600000000000002E-2</v>
      </c>
      <c r="EG14">
        <v>25.139403308823528</v>
      </c>
      <c r="EH14" t="s">
        <v>417</v>
      </c>
      <c r="EI14">
        <v>0</v>
      </c>
      <c r="EJ14">
        <v>0</v>
      </c>
      <c r="EK14" s="10">
        <v>45470</v>
      </c>
      <c r="EL14" s="15">
        <v>-0.88</v>
      </c>
      <c r="EM14" s="15">
        <v>-3.45</v>
      </c>
      <c r="EN14" s="15">
        <v>-1.22</v>
      </c>
      <c r="EO14" s="15">
        <v>8.06</v>
      </c>
      <c r="EP14" s="15">
        <v>-0.86</v>
      </c>
    </row>
    <row r="15" spans="1:146" ht="108" x14ac:dyDescent="0.25">
      <c r="A15" s="7"/>
      <c r="B15" s="7"/>
      <c r="C15" s="7" t="str">
        <f>""&amp;CHAR(10)&amp;Basic_Fundamental_Information_Constructure(F15)&amp;CHAR(10)&amp;Basic_Fundamental_Information_Concatenate("")</f>
        <v xml:space="preserve">
市值39.582067亿, 利润2024.51万; PE69.02; 平均PE-17.63; 平均PEG-2.24, PB3; ROIC2.825%; ROE-12.3967%; 股利率0%; 毛利10.2667%; 净利-3.9967%; 上一年度营收增-14.77%, 利润增-66.66%; 当季营收增-10.81%, 利润增1914.36%; 过往5年营收增7.86%, 利润增-276.55%
Income profile:
</v>
      </c>
      <c r="D15" t="s">
        <v>188</v>
      </c>
      <c r="E15" t="s">
        <v>189</v>
      </c>
      <c r="F15">
        <v>2.95</v>
      </c>
      <c r="G15">
        <v>3.15E-2</v>
      </c>
      <c r="H15" t="s">
        <v>768</v>
      </c>
      <c r="I15">
        <v>3958206700</v>
      </c>
      <c r="J15">
        <v>69.02</v>
      </c>
      <c r="K15">
        <v>3</v>
      </c>
      <c r="L15" t="s">
        <v>107</v>
      </c>
      <c r="M15" t="s">
        <v>769</v>
      </c>
      <c r="N15" t="s">
        <v>770</v>
      </c>
      <c r="O15" t="s">
        <v>583</v>
      </c>
      <c r="P15">
        <v>-12.28</v>
      </c>
      <c r="Q15" t="s">
        <v>581</v>
      </c>
      <c r="R15">
        <v>57953491</v>
      </c>
      <c r="S15" s="5">
        <v>1.78</v>
      </c>
      <c r="T15" t="s">
        <v>582</v>
      </c>
      <c r="U15">
        <v>1115944810</v>
      </c>
      <c r="V15">
        <v>1341764970</v>
      </c>
      <c r="W15">
        <v>1.88</v>
      </c>
      <c r="X15">
        <v>1.04</v>
      </c>
      <c r="Y15">
        <v>2.29</v>
      </c>
      <c r="Z15" t="s">
        <v>771</v>
      </c>
      <c r="AA15" t="s">
        <v>772</v>
      </c>
      <c r="AB15" t="s">
        <v>773</v>
      </c>
      <c r="AC15" t="s">
        <v>774</v>
      </c>
      <c r="AD15" t="s">
        <v>775</v>
      </c>
      <c r="AE15">
        <v>9017693</v>
      </c>
      <c r="AF15" t="s">
        <v>776</v>
      </c>
      <c r="AG15" t="s">
        <v>777</v>
      </c>
      <c r="AH15" t="s">
        <v>778</v>
      </c>
      <c r="AI15" t="s">
        <v>779</v>
      </c>
      <c r="AJ15" t="s">
        <v>780</v>
      </c>
      <c r="AK15" t="s">
        <v>781</v>
      </c>
      <c r="AL15" t="s">
        <v>782</v>
      </c>
      <c r="AM15" t="s">
        <v>5</v>
      </c>
      <c r="AN15" t="s">
        <v>783</v>
      </c>
      <c r="AO15" t="s">
        <v>784</v>
      </c>
      <c r="AP15" t="s">
        <v>785</v>
      </c>
      <c r="AQ15" t="s">
        <v>786</v>
      </c>
      <c r="AR15" t="s">
        <v>787</v>
      </c>
      <c r="AS15" t="s">
        <v>788</v>
      </c>
      <c r="AT15" t="s">
        <v>5</v>
      </c>
      <c r="AU15" t="s">
        <v>789</v>
      </c>
      <c r="AV15" t="s">
        <v>790</v>
      </c>
      <c r="AW15" t="s">
        <v>104</v>
      </c>
      <c r="AX15" t="s">
        <v>331</v>
      </c>
      <c r="AY15" t="s">
        <v>190</v>
      </c>
      <c r="AZ15" t="s">
        <v>192</v>
      </c>
      <c r="BA15" t="s">
        <v>193</v>
      </c>
      <c r="BB15" t="s">
        <v>194</v>
      </c>
      <c r="BC15" t="s">
        <v>332</v>
      </c>
      <c r="BD15" t="s">
        <v>191</v>
      </c>
      <c r="BE15" t="s">
        <v>195</v>
      </c>
      <c r="BF15" t="s">
        <v>196</v>
      </c>
      <c r="BG15" t="s">
        <v>59</v>
      </c>
      <c r="BH15" t="s">
        <v>791</v>
      </c>
      <c r="BI15" t="s">
        <v>792</v>
      </c>
      <c r="BJ15" t="s">
        <v>793</v>
      </c>
      <c r="BK15" t="s">
        <v>794</v>
      </c>
      <c r="BL15" t="s">
        <v>795</v>
      </c>
      <c r="BM15" t="s">
        <v>796</v>
      </c>
      <c r="BN15">
        <v>1.41</v>
      </c>
      <c r="BO15">
        <v>4.24</v>
      </c>
      <c r="BP15" t="s">
        <v>5</v>
      </c>
      <c r="BQ15">
        <v>1.6</v>
      </c>
      <c r="BR15">
        <v>5.07</v>
      </c>
      <c r="BS15">
        <v>-43.86</v>
      </c>
      <c r="BT15" t="s">
        <v>519</v>
      </c>
      <c r="BU15" t="s">
        <v>107</v>
      </c>
      <c r="BV15">
        <v>11.98</v>
      </c>
      <c r="BW15">
        <v>8.66</v>
      </c>
      <c r="BX15">
        <v>10.16</v>
      </c>
      <c r="BY15">
        <v>1.92</v>
      </c>
      <c r="BZ15">
        <v>1.3</v>
      </c>
      <c r="CA15">
        <v>-15.21</v>
      </c>
      <c r="CB15">
        <v>23.43</v>
      </c>
      <c r="CC15">
        <v>-21.12</v>
      </c>
      <c r="CD15" t="s">
        <v>529</v>
      </c>
      <c r="CE15" t="s">
        <v>797</v>
      </c>
      <c r="CF15" s="11">
        <v>-0.10808270676691729</v>
      </c>
      <c r="CG15" s="12">
        <v>19.143624777124746</v>
      </c>
      <c r="CH15" s="11">
        <v>-0.14768429100513458</v>
      </c>
      <c r="CI15" s="11">
        <v>0.12403720617294312</v>
      </c>
      <c r="CJ15" s="11">
        <v>6.325896829366684E-2</v>
      </c>
      <c r="CK15" s="11">
        <v>0.16595324873924255</v>
      </c>
      <c r="CL15" s="11">
        <v>0.18725559115409851</v>
      </c>
      <c r="CM15" s="12">
        <v>-0.66663646697998047</v>
      </c>
      <c r="CN15" s="12">
        <v>1.107486367225647</v>
      </c>
      <c r="CO15" s="12">
        <v>-9.2036962509155273</v>
      </c>
      <c r="CP15" s="12">
        <v>1.0594744682312012</v>
      </c>
      <c r="CQ15" s="12">
        <v>-6.1238937377929687</v>
      </c>
      <c r="CR15">
        <v>-17.629198657881428</v>
      </c>
      <c r="CS15">
        <v>-2.243924213992881</v>
      </c>
      <c r="CT15">
        <v>0</v>
      </c>
      <c r="CU15" s="11">
        <v>7.8564144670963287E-2</v>
      </c>
      <c r="CV15" s="12">
        <v>-2.7654531240463256</v>
      </c>
      <c r="CW15">
        <v>0.06</v>
      </c>
      <c r="CX15">
        <v>184.72182602093255</v>
      </c>
      <c r="CY15">
        <v>20599659.401205771</v>
      </c>
      <c r="CZ15">
        <v>7.8564144670963287E-2</v>
      </c>
      <c r="DA15">
        <v>60.953529752110342</v>
      </c>
      <c r="DB15">
        <v>62427995.810501121</v>
      </c>
      <c r="DC15">
        <v>7.4635937437415117E-2</v>
      </c>
      <c r="DD15">
        <v>30.395898283140248</v>
      </c>
      <c r="DE15">
        <v>125188164.02641541</v>
      </c>
      <c r="DF15">
        <v>6.9136447310447699E-2</v>
      </c>
      <c r="DG15">
        <v>18.519481701497234</v>
      </c>
      <c r="DH15">
        <v>205470474.8941415</v>
      </c>
      <c r="DI15">
        <v>6.2851315736770635E-2</v>
      </c>
      <c r="DJ15">
        <v>9.8730060204198384</v>
      </c>
      <c r="DK15">
        <v>385415211.14540833</v>
      </c>
      <c r="DL15">
        <v>5.4994901269674296E-2</v>
      </c>
      <c r="DM15">
        <v>20245100</v>
      </c>
      <c r="DN15">
        <v>7.8564144670963287E-2</v>
      </c>
      <c r="DO15">
        <v>3805206700</v>
      </c>
      <c r="DP15">
        <v>926846300</v>
      </c>
      <c r="DQ15">
        <v>1784</v>
      </c>
      <c r="DR15">
        <v>-0.18664685143788057</v>
      </c>
      <c r="DS15">
        <v>21.90907790117107</v>
      </c>
      <c r="DT15" s="13">
        <v>-0.22333333333333338</v>
      </c>
      <c r="DU15">
        <v>-0.50000000000000011</v>
      </c>
      <c r="DV15">
        <v>-0.72333333333333349</v>
      </c>
      <c r="DW15">
        <v>5.901408450704225</v>
      </c>
      <c r="DX15">
        <v>0.43342747111681479</v>
      </c>
      <c r="DY15">
        <v>5.2464698331193835</v>
      </c>
      <c r="DZ15">
        <v>3570</v>
      </c>
      <c r="EA15">
        <v>5.0743122701696279</v>
      </c>
      <c r="EB15">
        <v>5</v>
      </c>
      <c r="EC15">
        <v>0.1587461327150313</v>
      </c>
      <c r="ED15">
        <v>0.58057857927234457</v>
      </c>
      <c r="EE15" s="14">
        <v>7.2770000000000001E-2</v>
      </c>
      <c r="EF15">
        <v>7.3114999999999999E-2</v>
      </c>
      <c r="EG15">
        <v>16.273427471116815</v>
      </c>
      <c r="EH15">
        <v>-1</v>
      </c>
      <c r="EI15">
        <v>1</v>
      </c>
      <c r="EJ15">
        <v>0</v>
      </c>
      <c r="EK15" s="10">
        <v>45344</v>
      </c>
      <c r="EL15" s="15">
        <v>0.10879999999999999</v>
      </c>
      <c r="EM15" s="15">
        <v>6.04</v>
      </c>
      <c r="EN15" s="15">
        <v>1.0699999999999999E-2</v>
      </c>
      <c r="EO15" s="15">
        <v>7.0000000000000001E-3</v>
      </c>
      <c r="EP15" s="15">
        <v>3.15E-2</v>
      </c>
    </row>
    <row r="16" spans="1:146" ht="108" x14ac:dyDescent="0.25">
      <c r="A16" s="7"/>
      <c r="B16" s="7"/>
      <c r="C16" s="7" t="str">
        <f>""&amp;CHAR(10)&amp;Basic_Fundamental_Information_Constructure(F16)&amp;CHAR(10)&amp;Basic_Fundamental_Information_Concatenate("")</f>
        <v xml:space="preserve">
市值32.885863亿, 利润4819.16万; PE65.09; 平均PE-10.99; 平均PEG-12.1, PB1.72; ROIC.5833%; ROE1.54%; 股利率0%; 毛利10.5733%; 净利1.4833%; 上一年度营收增2.62%, 利润增143.86%; 当季营收增13.82%, 利润增183.04%; 过往5年营收增.91%, 利润增61.34%
Income profile:
</v>
      </c>
      <c r="D16" t="s">
        <v>197</v>
      </c>
      <c r="E16" t="s">
        <v>198</v>
      </c>
      <c r="F16">
        <v>3.73</v>
      </c>
      <c r="G16">
        <v>2.75</v>
      </c>
      <c r="H16" t="s">
        <v>1127</v>
      </c>
      <c r="I16">
        <v>3288586300</v>
      </c>
      <c r="J16">
        <v>65.09</v>
      </c>
      <c r="K16">
        <v>1.72</v>
      </c>
      <c r="L16" t="s">
        <v>107</v>
      </c>
      <c r="M16" t="s">
        <v>817</v>
      </c>
      <c r="N16" t="s">
        <v>793</v>
      </c>
      <c r="O16" t="s">
        <v>1128</v>
      </c>
      <c r="P16">
        <v>13.85</v>
      </c>
      <c r="Q16" t="s">
        <v>404</v>
      </c>
      <c r="R16">
        <v>3604469</v>
      </c>
      <c r="S16" s="5">
        <v>1.83</v>
      </c>
      <c r="T16" t="s">
        <v>1129</v>
      </c>
      <c r="U16">
        <v>691740450</v>
      </c>
      <c r="V16">
        <v>881658530</v>
      </c>
      <c r="W16">
        <v>1.57</v>
      </c>
      <c r="X16">
        <v>0.21</v>
      </c>
      <c r="Y16">
        <v>0.08</v>
      </c>
      <c r="Z16" t="s">
        <v>1130</v>
      </c>
      <c r="AA16" t="s">
        <v>1131</v>
      </c>
      <c r="AB16" t="s">
        <v>1132</v>
      </c>
      <c r="AC16" t="s">
        <v>1133</v>
      </c>
      <c r="AD16" t="s">
        <v>5</v>
      </c>
      <c r="AE16">
        <v>-1252440</v>
      </c>
      <c r="AF16" t="s">
        <v>1134</v>
      </c>
      <c r="AG16" t="s">
        <v>1135</v>
      </c>
      <c r="AH16" t="s">
        <v>1136</v>
      </c>
      <c r="AI16" t="s">
        <v>1137</v>
      </c>
      <c r="AJ16" t="s">
        <v>1138</v>
      </c>
      <c r="AK16" t="s">
        <v>1139</v>
      </c>
      <c r="AL16" t="s">
        <v>1140</v>
      </c>
      <c r="AM16" t="s">
        <v>5</v>
      </c>
      <c r="AN16" t="s">
        <v>1141</v>
      </c>
      <c r="AO16" t="s">
        <v>1142</v>
      </c>
      <c r="AP16" t="s">
        <v>1143</v>
      </c>
      <c r="AQ16" t="s">
        <v>822</v>
      </c>
      <c r="AR16" t="s">
        <v>5</v>
      </c>
      <c r="AS16" t="s">
        <v>1144</v>
      </c>
      <c r="AT16" t="s">
        <v>5</v>
      </c>
      <c r="AU16" t="s">
        <v>1145</v>
      </c>
      <c r="AV16" t="s">
        <v>1146</v>
      </c>
      <c r="AW16" t="s">
        <v>540</v>
      </c>
      <c r="AX16" t="s">
        <v>583</v>
      </c>
      <c r="AY16" t="s">
        <v>333</v>
      </c>
      <c r="AZ16" t="s">
        <v>199</v>
      </c>
      <c r="BA16" t="s">
        <v>201</v>
      </c>
      <c r="BB16" t="s">
        <v>202</v>
      </c>
      <c r="BC16" t="s">
        <v>584</v>
      </c>
      <c r="BD16" t="s">
        <v>334</v>
      </c>
      <c r="BE16" t="s">
        <v>200</v>
      </c>
      <c r="BF16" t="s">
        <v>203</v>
      </c>
      <c r="BG16" t="s">
        <v>204</v>
      </c>
      <c r="BH16" t="s">
        <v>404</v>
      </c>
      <c r="BI16" t="s">
        <v>1147</v>
      </c>
      <c r="BJ16" t="s">
        <v>583</v>
      </c>
      <c r="BK16" t="s">
        <v>1129</v>
      </c>
      <c r="BL16" t="s">
        <v>1148</v>
      </c>
      <c r="BM16" t="s">
        <v>584</v>
      </c>
      <c r="BN16">
        <v>-0.13</v>
      </c>
      <c r="BO16">
        <v>-0.03</v>
      </c>
      <c r="BP16">
        <v>1.91</v>
      </c>
      <c r="BQ16">
        <v>0.42</v>
      </c>
      <c r="BR16">
        <v>1.1200000000000001</v>
      </c>
      <c r="BS16">
        <v>3.08</v>
      </c>
      <c r="BT16" t="s">
        <v>519</v>
      </c>
      <c r="BU16" t="s">
        <v>879</v>
      </c>
      <c r="BV16">
        <v>9.69</v>
      </c>
      <c r="BW16">
        <v>10.55</v>
      </c>
      <c r="BX16">
        <v>11.48</v>
      </c>
      <c r="BY16">
        <v>1.65</v>
      </c>
      <c r="BZ16">
        <v>0.78</v>
      </c>
      <c r="CA16">
        <v>2.02</v>
      </c>
      <c r="CB16">
        <v>0</v>
      </c>
      <c r="CC16">
        <v>-15.03</v>
      </c>
      <c r="CD16" t="s">
        <v>1149</v>
      </c>
      <c r="CE16" t="s">
        <v>1150</v>
      </c>
      <c r="CF16" s="11">
        <v>0.13824057450628366</v>
      </c>
      <c r="CG16" s="12">
        <v>1.8303643502159403</v>
      </c>
      <c r="CH16" s="11">
        <v>2.6234567165374756E-2</v>
      </c>
      <c r="CI16" s="11">
        <v>0.10911428183317184</v>
      </c>
      <c r="CJ16" s="11">
        <v>5.5555466562509537E-2</v>
      </c>
      <c r="CK16" s="11">
        <v>-0.10941270738840103</v>
      </c>
      <c r="CL16" s="11">
        <v>-3.6060463637113571E-2</v>
      </c>
      <c r="CM16" s="12">
        <v>1.4385993480682373</v>
      </c>
      <c r="CN16" s="12">
        <v>-0.63278919458389282</v>
      </c>
      <c r="CO16" s="12">
        <v>1.5901086330413818</v>
      </c>
      <c r="CP16" s="12">
        <v>-0.34488683938980103</v>
      </c>
      <c r="CQ16" s="12">
        <v>1.0161077976226807</v>
      </c>
      <c r="CR16">
        <v>-10.994105985504275</v>
      </c>
      <c r="CS16">
        <v>-12.099745777814825</v>
      </c>
      <c r="CT16">
        <v>0</v>
      </c>
      <c r="CU16" s="11">
        <v>9.0862289071083069E-3</v>
      </c>
      <c r="CV16" s="12">
        <v>0.61342794895172115</v>
      </c>
      <c r="CW16">
        <v>0.06</v>
      </c>
      <c r="CX16">
        <v>59.258324032922395</v>
      </c>
      <c r="CY16">
        <v>45876867.83867906</v>
      </c>
      <c r="CZ16">
        <v>9.0862289071083069E-3</v>
      </c>
      <c r="DA16">
        <v>20.751032242174684</v>
      </c>
      <c r="DB16">
        <v>131009689.94085546</v>
      </c>
      <c r="DC16">
        <v>8.6319174617528905E-3</v>
      </c>
      <c r="DD16">
        <v>11.170790924365999</v>
      </c>
      <c r="DE16">
        <v>243365605.74866313</v>
      </c>
      <c r="DF16">
        <v>7.9958814382553103E-3</v>
      </c>
      <c r="DG16">
        <v>7.3892403062671539</v>
      </c>
      <c r="DH16">
        <v>367911474.97182387</v>
      </c>
      <c r="DI16">
        <v>7.2689831256866457E-3</v>
      </c>
      <c r="DJ16">
        <v>4.654190158359941</v>
      </c>
      <c r="DK16">
        <v>584115862.80307555</v>
      </c>
      <c r="DL16">
        <v>6.3603602349758146E-3</v>
      </c>
      <c r="DM16">
        <v>48191600</v>
      </c>
      <c r="DN16">
        <v>9.0862289071083069E-3</v>
      </c>
      <c r="DO16">
        <v>2718586300</v>
      </c>
      <c r="DP16">
        <v>1330975700</v>
      </c>
      <c r="DQ16">
        <v>1792</v>
      </c>
      <c r="DR16">
        <v>0.12915434559917535</v>
      </c>
      <c r="DS16">
        <v>1.2169364012642192</v>
      </c>
      <c r="DT16" s="13">
        <v>-0.44</v>
      </c>
      <c r="DU16">
        <v>0.82333333333333325</v>
      </c>
      <c r="DV16">
        <v>0.38333333333333325</v>
      </c>
      <c r="DW16">
        <v>-2.1503000000000001</v>
      </c>
      <c r="DX16">
        <v>0.38436408009423007</v>
      </c>
      <c r="DY16">
        <v>-2.0171889212381626</v>
      </c>
      <c r="DZ16">
        <v>896</v>
      </c>
      <c r="EA16">
        <v>-2.0141749734046219</v>
      </c>
      <c r="EB16">
        <v>2</v>
      </c>
      <c r="EC16">
        <v>0.11012778382578571</v>
      </c>
      <c r="ED16">
        <v>0.96295784718376176</v>
      </c>
      <c r="EE16" s="14">
        <v>3.0144000000000002</v>
      </c>
      <c r="EF16">
        <v>3.0093100000000002</v>
      </c>
      <c r="EG16">
        <v>27.11436408009423</v>
      </c>
      <c r="EH16" t="s">
        <v>1151</v>
      </c>
      <c r="EI16">
        <v>0</v>
      </c>
      <c r="EJ16">
        <v>1</v>
      </c>
      <c r="EK16" s="10">
        <v>45470</v>
      </c>
      <c r="EL16" s="15">
        <v>-0.77</v>
      </c>
      <c r="EM16" s="15">
        <v>-4.9000000000000004</v>
      </c>
      <c r="EN16" s="15">
        <v>-0.81</v>
      </c>
      <c r="EO16" s="15">
        <v>3.55</v>
      </c>
      <c r="EP16" s="15">
        <v>-2.37</v>
      </c>
    </row>
    <row r="17" spans="1:146" ht="108" x14ac:dyDescent="0.25">
      <c r="C17" s="7" t="str">
        <f>""&amp;CHAR(10)&amp;Basic_Fundamental_Information_Constructure(F17)&amp;CHAR(10)&amp;Basic_Fundamental_Information_Concatenate("")</f>
        <v xml:space="preserve">
市值147.40261亿, 利润3.88亿; PE38.95; 平均PE32.17; 平均PEG5.59, PB1.16; ROIC4.46%; ROE1.52%; 股利率1.2195%; 毛利17.3467%; 净利.57%; 上一年度营收增9.23%, 利润增144.09%; 当季营收增5.21%, 利润增-5.75%; 过往5年营收增5.76%, 利润增-7.05%
Income profile:
</v>
      </c>
      <c r="D17" s="5" t="s">
        <v>586</v>
      </c>
      <c r="E17" t="s">
        <v>587</v>
      </c>
      <c r="F17">
        <v>8.1999999999999993</v>
      </c>
      <c r="G17">
        <v>0.12</v>
      </c>
      <c r="H17" t="s">
        <v>1152</v>
      </c>
      <c r="I17">
        <v>14740261000</v>
      </c>
      <c r="J17">
        <v>38.950000000000003</v>
      </c>
      <c r="K17">
        <v>1.1599999999999999</v>
      </c>
      <c r="L17" t="s">
        <v>107</v>
      </c>
      <c r="M17" t="s">
        <v>1153</v>
      </c>
      <c r="N17" t="s">
        <v>1154</v>
      </c>
      <c r="O17" t="s">
        <v>1155</v>
      </c>
      <c r="P17" s="5">
        <v>5.25</v>
      </c>
      <c r="Q17" t="s">
        <v>1156</v>
      </c>
      <c r="R17">
        <v>164001710</v>
      </c>
      <c r="S17">
        <v>-5.5E-2</v>
      </c>
      <c r="T17" t="s">
        <v>1157</v>
      </c>
      <c r="U17">
        <v>1793742000</v>
      </c>
      <c r="V17">
        <v>1797592800</v>
      </c>
      <c r="W17">
        <v>1.44</v>
      </c>
      <c r="X17">
        <v>0.1</v>
      </c>
      <c r="Y17">
        <v>8.33</v>
      </c>
      <c r="Z17" t="s">
        <v>1158</v>
      </c>
      <c r="AA17" t="s">
        <v>1159</v>
      </c>
      <c r="AB17" t="s">
        <v>1160</v>
      </c>
      <c r="AC17" t="s">
        <v>1161</v>
      </c>
      <c r="AD17" t="s">
        <v>5</v>
      </c>
      <c r="AE17">
        <v>15866328</v>
      </c>
      <c r="AF17" t="s">
        <v>1162</v>
      </c>
      <c r="AG17" t="s">
        <v>1163</v>
      </c>
      <c r="AH17" t="s">
        <v>1164</v>
      </c>
      <c r="AI17" t="s">
        <v>1165</v>
      </c>
      <c r="AJ17" t="s">
        <v>1166</v>
      </c>
      <c r="AK17" t="s">
        <v>5</v>
      </c>
      <c r="AL17" t="s">
        <v>1167</v>
      </c>
      <c r="AM17" t="s">
        <v>5</v>
      </c>
      <c r="AN17" t="s">
        <v>1168</v>
      </c>
      <c r="AO17" t="s">
        <v>1169</v>
      </c>
      <c r="AP17" t="s">
        <v>1170</v>
      </c>
      <c r="AQ17" t="s">
        <v>1171</v>
      </c>
      <c r="AR17" t="s">
        <v>1172</v>
      </c>
      <c r="AS17" t="s">
        <v>1173</v>
      </c>
      <c r="AT17" t="s">
        <v>1174</v>
      </c>
      <c r="AU17" t="s">
        <v>1175</v>
      </c>
      <c r="AV17" t="s">
        <v>104</v>
      </c>
      <c r="AW17" t="s">
        <v>1176</v>
      </c>
      <c r="AX17" t="s">
        <v>588</v>
      </c>
      <c r="AY17" t="s">
        <v>591</v>
      </c>
      <c r="AZ17" t="s">
        <v>592</v>
      </c>
      <c r="BA17" t="s">
        <v>593</v>
      </c>
      <c r="BB17" t="s">
        <v>594</v>
      </c>
      <c r="BC17" t="s">
        <v>589</v>
      </c>
      <c r="BD17" t="s">
        <v>146</v>
      </c>
      <c r="BE17" t="s">
        <v>520</v>
      </c>
      <c r="BF17" t="s">
        <v>116</v>
      </c>
      <c r="BG17" t="s">
        <v>453</v>
      </c>
      <c r="BH17" t="s">
        <v>1156</v>
      </c>
      <c r="BI17" t="s">
        <v>1177</v>
      </c>
      <c r="BJ17" t="s">
        <v>588</v>
      </c>
      <c r="BK17" t="s">
        <v>1157</v>
      </c>
      <c r="BL17" t="s">
        <v>1178</v>
      </c>
      <c r="BM17" t="s">
        <v>589</v>
      </c>
      <c r="BN17">
        <v>2.87</v>
      </c>
      <c r="BO17" t="s">
        <v>5</v>
      </c>
      <c r="BP17">
        <v>6.05</v>
      </c>
      <c r="BQ17">
        <v>2.88</v>
      </c>
      <c r="BR17">
        <v>-7</v>
      </c>
      <c r="BS17">
        <v>8.68</v>
      </c>
      <c r="BT17" t="s">
        <v>1179</v>
      </c>
      <c r="BU17" t="s">
        <v>858</v>
      </c>
      <c r="BV17">
        <v>16.04</v>
      </c>
      <c r="BW17">
        <v>15.39</v>
      </c>
      <c r="BX17">
        <v>20.61</v>
      </c>
      <c r="BY17">
        <v>5.16</v>
      </c>
      <c r="BZ17">
        <v>-14.03</v>
      </c>
      <c r="CA17">
        <v>10.58</v>
      </c>
      <c r="CB17">
        <v>-2.96</v>
      </c>
      <c r="CC17" s="11">
        <v>-6.82</v>
      </c>
      <c r="CD17" s="12" t="s">
        <v>1180</v>
      </c>
      <c r="CE17" s="11" t="s">
        <v>1181</v>
      </c>
      <c r="CF17" s="11">
        <v>5.2127659574468084E-2</v>
      </c>
      <c r="CG17" s="12">
        <v>-5.7461436781609199E-2</v>
      </c>
      <c r="CH17" s="11">
        <v>9.2337645590305328E-2</v>
      </c>
      <c r="CI17" s="11">
        <v>-6.6103853285312653E-2</v>
      </c>
      <c r="CJ17" s="11">
        <v>2.9962478205561638E-2</v>
      </c>
      <c r="CK17" s="11">
        <v>5.3402893245220184E-2</v>
      </c>
      <c r="CL17" s="11">
        <v>0.17831642925739288</v>
      </c>
      <c r="CM17" s="12">
        <v>1.4409091472625732</v>
      </c>
      <c r="CN17" s="12">
        <v>-2.0526316165924072</v>
      </c>
      <c r="CO17" s="12">
        <v>-8.4337346255779266E-2</v>
      </c>
      <c r="CP17" s="12">
        <v>0.10666666924953461</v>
      </c>
      <c r="CQ17" s="12">
        <v>0.2368815541267395</v>
      </c>
      <c r="CR17" s="1">
        <v>32.172268461258639</v>
      </c>
      <c r="CS17" s="1">
        <v>5.5871007409778066</v>
      </c>
      <c r="CT17" s="1">
        <v>1.2195121951219514</v>
      </c>
      <c r="CU17" s="11">
        <v>5.7583118602633473E-2</v>
      </c>
      <c r="CV17" s="12">
        <v>-7.0502318441867828E-2</v>
      </c>
      <c r="CW17">
        <v>0.06</v>
      </c>
      <c r="CX17">
        <v>18.951099136543363</v>
      </c>
      <c r="CY17">
        <v>387115330.2054922</v>
      </c>
      <c r="CZ17">
        <v>5.7583118602633473E-2</v>
      </c>
      <c r="DA17">
        <v>6.3660308169195474</v>
      </c>
      <c r="DB17">
        <v>1152407396.5369112</v>
      </c>
      <c r="DC17">
        <v>5.4703962672501799E-2</v>
      </c>
      <c r="DD17">
        <v>3.2499460175715216</v>
      </c>
      <c r="DE17">
        <v>2257348571.4331722</v>
      </c>
      <c r="DF17">
        <v>5.0673144370317454E-2</v>
      </c>
      <c r="DG17">
        <v>2.0320556073521598</v>
      </c>
      <c r="DH17">
        <v>3610265867.4579329</v>
      </c>
      <c r="DI17">
        <v>4.6066494882106783E-2</v>
      </c>
      <c r="DJ17">
        <v>1.1444257240402982</v>
      </c>
      <c r="DK17">
        <v>6410430005.1033049</v>
      </c>
      <c r="DL17">
        <v>4.0308183021843427E-2</v>
      </c>
      <c r="DM17">
        <v>388000000</v>
      </c>
      <c r="DN17">
        <v>5.7583118602633473E-2</v>
      </c>
      <c r="DO17">
        <v>7336261000.0000019</v>
      </c>
      <c r="DP17">
        <v>2708554800</v>
      </c>
      <c r="DQ17" s="13">
        <v>1856</v>
      </c>
      <c r="DR17">
        <v>-5.4554590281653895E-3</v>
      </c>
      <c r="DS17">
        <v>1.304088166025863E-2</v>
      </c>
      <c r="DT17">
        <v>-0.34</v>
      </c>
      <c r="DU17">
        <v>-0.28333333333333338</v>
      </c>
      <c r="DV17">
        <v>-0.62333333333333341</v>
      </c>
      <c r="DW17">
        <v>-8.4340175953079175</v>
      </c>
      <c r="DX17">
        <v>0.3697005479452069</v>
      </c>
      <c r="DY17">
        <v>-8.060632495882377</v>
      </c>
      <c r="DZ17">
        <v>3069</v>
      </c>
      <c r="EA17">
        <v>-8.0242174019757204</v>
      </c>
      <c r="EB17" s="14">
        <v>8</v>
      </c>
      <c r="EC17" s="14">
        <v>2.8366101599872896E-2</v>
      </c>
      <c r="ED17">
        <v>0.20304932240494064</v>
      </c>
      <c r="EE17">
        <v>-1.0375000000000001</v>
      </c>
      <c r="EF17">
        <v>-1.0201</v>
      </c>
      <c r="EG17">
        <v>23.139700547945207</v>
      </c>
      <c r="EH17" s="10" t="s">
        <v>427</v>
      </c>
      <c r="EI17">
        <v>0</v>
      </c>
      <c r="EJ17">
        <v>0</v>
      </c>
      <c r="EK17">
        <v>45470</v>
      </c>
      <c r="EL17">
        <v>0.57999999999999996</v>
      </c>
      <c r="EM17">
        <v>-3.44</v>
      </c>
      <c r="EN17" s="15">
        <v>-3.32</v>
      </c>
      <c r="EO17" s="15">
        <v>6.01</v>
      </c>
      <c r="EP17" s="15">
        <v>-1.74</v>
      </c>
    </row>
    <row r="18" spans="1:146" ht="192" x14ac:dyDescent="0.25">
      <c r="C18" s="7" t="str">
        <f>"公司主营业务为提供数据中心基础设施服务。公司主要产品为数据中心业务服务。2023年，公司首个纯液冷绿色数据中心A-11陆续交付，A-3、A-6成功入选2022年度国家绿色数据中心名单，A-7数据中心成功入选国家新型数据中心典型案例，“数据中心冷板与风墙组合制冷技术”荣获由中国工程建设标准化协会颁发的“数据中心科技成果奖”。"&amp;CHAR(10)&amp;Basic_Fundamental_Information_Constructure(F18)&amp;CHAR(10)&amp;Basic_Fundamental_Information_Concatenate("IDC及增值业务 16.83亿 100.00% 8.69亿 100.00% 51.63%")</f>
        <v>公司主营业务为提供数据中心基础设施服务。公司主要产品为数据中心业务服务。2023年，公司首个纯液冷绿色数据中心A-11陆续交付，A-3、A-6成功入选2022年度国家绿色数据中心名单，A-7数据中心成功入选国家新型数据中心典型案例，“数据中心冷板与风墙组合制冷技术”荣获由中国工程建设标准化协会颁发的“数据中心科技成果奖”。
市值396.76521亿, 利润17.62亿; PE20.81; 平均PE73.76; 平均PEG.88, PB4.41; ROIC9.04%; ROE17.1367%; 股利率.5507%; 毛利40.8467%; 净利27.54%; 上一年度营收增60.26%, 利润增47.08%; 当季营收增53.71%, 利润增43.71%; 过往5年营收增84.18%, 利润增-231.34%
Income profile:
IDC及增值业务 16.83亿 100.00% 8.69亿 100.00% 51.63%</v>
      </c>
      <c r="D18" s="5" t="s">
        <v>596</v>
      </c>
      <c r="E18" t="s">
        <v>597</v>
      </c>
      <c r="F18">
        <v>23.06</v>
      </c>
      <c r="G18">
        <v>1.41</v>
      </c>
      <c r="H18" t="s">
        <v>1182</v>
      </c>
      <c r="I18">
        <v>39676521000</v>
      </c>
      <c r="J18">
        <v>20.81</v>
      </c>
      <c r="K18">
        <v>4.41</v>
      </c>
      <c r="L18" t="s">
        <v>107</v>
      </c>
      <c r="M18" t="s">
        <v>1183</v>
      </c>
      <c r="N18" t="s">
        <v>1184</v>
      </c>
      <c r="O18" t="s">
        <v>1185</v>
      </c>
      <c r="P18" s="5">
        <v>53.65</v>
      </c>
      <c r="Q18" t="s">
        <v>1186</v>
      </c>
      <c r="R18">
        <v>474234550</v>
      </c>
      <c r="S18">
        <v>0.43809999999999999</v>
      </c>
      <c r="T18" t="s">
        <v>1187</v>
      </c>
      <c r="U18">
        <v>358792930</v>
      </c>
      <c r="V18">
        <v>1720577600</v>
      </c>
      <c r="W18">
        <v>2.91</v>
      </c>
      <c r="X18">
        <v>0.05</v>
      </c>
      <c r="Y18">
        <v>38.26</v>
      </c>
      <c r="Z18" t="s">
        <v>1188</v>
      </c>
      <c r="AA18" t="s">
        <v>1189</v>
      </c>
      <c r="AB18" t="s">
        <v>1190</v>
      </c>
      <c r="AC18" t="s">
        <v>1191</v>
      </c>
      <c r="AD18" t="s">
        <v>5</v>
      </c>
      <c r="AE18">
        <v>46514208</v>
      </c>
      <c r="AF18" t="s">
        <v>1192</v>
      </c>
      <c r="AG18" t="s">
        <v>1193</v>
      </c>
      <c r="AH18" t="s">
        <v>1194</v>
      </c>
      <c r="AI18" t="s">
        <v>1195</v>
      </c>
      <c r="AJ18" t="s">
        <v>1196</v>
      </c>
      <c r="AK18" t="s">
        <v>5</v>
      </c>
      <c r="AL18" t="s">
        <v>1197</v>
      </c>
      <c r="AM18" t="s">
        <v>5</v>
      </c>
      <c r="AN18" t="s">
        <v>1198</v>
      </c>
      <c r="AO18" t="s">
        <v>569</v>
      </c>
      <c r="AP18" t="s">
        <v>595</v>
      </c>
      <c r="AQ18" t="s">
        <v>770</v>
      </c>
      <c r="AR18" t="s">
        <v>5</v>
      </c>
      <c r="AS18" t="s">
        <v>1199</v>
      </c>
      <c r="AT18" t="s">
        <v>1200</v>
      </c>
      <c r="AU18" t="s">
        <v>1201</v>
      </c>
      <c r="AV18" t="s">
        <v>1202</v>
      </c>
      <c r="AW18" t="s">
        <v>1203</v>
      </c>
      <c r="AX18" t="s">
        <v>598</v>
      </c>
      <c r="AY18" t="s">
        <v>600</v>
      </c>
      <c r="AZ18" t="s">
        <v>247</v>
      </c>
      <c r="BA18" t="s">
        <v>601</v>
      </c>
      <c r="BB18" t="s">
        <v>602</v>
      </c>
      <c r="BC18" t="s">
        <v>599</v>
      </c>
      <c r="BD18" t="s">
        <v>603</v>
      </c>
      <c r="BE18" t="s">
        <v>604</v>
      </c>
      <c r="BF18" t="s">
        <v>605</v>
      </c>
      <c r="BG18" t="s">
        <v>606</v>
      </c>
      <c r="BH18" t="s">
        <v>1186</v>
      </c>
      <c r="BI18" t="s">
        <v>824</v>
      </c>
      <c r="BJ18" t="s">
        <v>598</v>
      </c>
      <c r="BK18" t="s">
        <v>1187</v>
      </c>
      <c r="BL18" t="s">
        <v>77</v>
      </c>
      <c r="BM18" t="s">
        <v>599</v>
      </c>
      <c r="BN18">
        <v>7.01</v>
      </c>
      <c r="BO18">
        <v>11.07</v>
      </c>
      <c r="BP18" t="s">
        <v>5</v>
      </c>
      <c r="BQ18">
        <v>14.97</v>
      </c>
      <c r="BR18">
        <v>38.799999999999997</v>
      </c>
      <c r="BS18">
        <v>-2.36</v>
      </c>
      <c r="BT18" t="s">
        <v>1204</v>
      </c>
      <c r="BU18" t="s">
        <v>858</v>
      </c>
      <c r="BV18">
        <v>48.57</v>
      </c>
      <c r="BW18">
        <v>53.11</v>
      </c>
      <c r="BX18">
        <v>20.86</v>
      </c>
      <c r="BY18">
        <v>40.4</v>
      </c>
      <c r="BZ18">
        <v>44.09</v>
      </c>
      <c r="CA18">
        <v>-1.87</v>
      </c>
      <c r="CB18">
        <v>-3.72</v>
      </c>
      <c r="CC18" s="11">
        <v>-13.7</v>
      </c>
      <c r="CD18" s="12" t="s">
        <v>1205</v>
      </c>
      <c r="CE18" s="11" t="s">
        <v>1206</v>
      </c>
      <c r="CF18" s="11">
        <v>0.53712871287128716</v>
      </c>
      <c r="CG18" s="12">
        <v>0.43707439393939396</v>
      </c>
      <c r="CH18" s="11">
        <v>0.60257828235626221</v>
      </c>
      <c r="CI18" s="11">
        <v>0.32633119821548462</v>
      </c>
      <c r="CJ18" s="11">
        <v>3.4596951007843018</v>
      </c>
      <c r="CK18" s="11">
        <v>-0.28281250596046448</v>
      </c>
      <c r="CL18" s="11">
        <v>0.10344827920198441</v>
      </c>
      <c r="CM18" s="12">
        <v>0.47078463435173035</v>
      </c>
      <c r="CN18" s="12">
        <v>0.65927976369857788</v>
      </c>
      <c r="CO18" s="12">
        <v>4.1806168556213379</v>
      </c>
      <c r="CP18" s="12">
        <v>-17.933221817016602</v>
      </c>
      <c r="CQ18" s="12">
        <v>1.0556248426437378</v>
      </c>
      <c r="CR18" s="1">
        <v>73.761762698806734</v>
      </c>
      <c r="CS18" s="1">
        <v>0.87618853385552098</v>
      </c>
      <c r="CT18" s="1">
        <v>0.55073720728534259</v>
      </c>
      <c r="CU18" s="11">
        <v>0.84184807091951375</v>
      </c>
      <c r="CV18" s="12">
        <v>-2.3133831441402437</v>
      </c>
      <c r="CW18">
        <v>0.06</v>
      </c>
      <c r="CX18">
        <v>14.831773288259456</v>
      </c>
      <c r="CY18">
        <v>3061638019.7737579</v>
      </c>
      <c r="CZ18">
        <v>0.84184807091951375</v>
      </c>
      <c r="DA18">
        <v>2.7198537940374781</v>
      </c>
      <c r="DB18">
        <v>16695574261.950302</v>
      </c>
      <c r="DC18">
        <v>0.79975566737353798</v>
      </c>
      <c r="DD18">
        <v>0.54130727578038385</v>
      </c>
      <c r="DE18">
        <v>83888621180.150726</v>
      </c>
      <c r="DF18">
        <v>0.74082630240917213</v>
      </c>
      <c r="DG18">
        <v>9.924669778140377E-2</v>
      </c>
      <c r="DH18">
        <v>457541883156.82733</v>
      </c>
      <c r="DI18">
        <v>0.67347845673561102</v>
      </c>
      <c r="DJ18">
        <v>2.6049517672443855E-3</v>
      </c>
      <c r="DK18">
        <v>17432000688456.461</v>
      </c>
      <c r="DL18">
        <v>0.5892936496436596</v>
      </c>
      <c r="DM18">
        <v>1762000000</v>
      </c>
      <c r="DN18">
        <v>0.84184807091951375</v>
      </c>
      <c r="DO18">
        <v>45409521000</v>
      </c>
      <c r="DP18">
        <v>3022969400.0000005</v>
      </c>
      <c r="DQ18" s="13">
        <v>1913</v>
      </c>
      <c r="DR18">
        <v>-0.30471935804822659</v>
      </c>
      <c r="DS18">
        <v>2.7504575380796377</v>
      </c>
      <c r="DT18">
        <v>0.37500000000000006</v>
      </c>
      <c r="DU18">
        <v>2.3333333333333355E-2</v>
      </c>
      <c r="DV18">
        <v>0.39833333333333343</v>
      </c>
      <c r="DW18">
        <v>-8.2715328467153277</v>
      </c>
      <c r="DX18">
        <v>0.31509279475982521</v>
      </c>
      <c r="DY18">
        <v>-8.0258208172632521</v>
      </c>
      <c r="DZ18">
        <v>869</v>
      </c>
      <c r="EA18">
        <v>-8.0214297624292463</v>
      </c>
      <c r="EB18" s="14">
        <v>8</v>
      </c>
      <c r="EC18" s="14">
        <v>2.5312720565465921E-2</v>
      </c>
      <c r="ED18">
        <v>0.26618967955877143</v>
      </c>
      <c r="EE18">
        <v>-1.06891</v>
      </c>
      <c r="EF18">
        <v>-1.1049100000000001</v>
      </c>
      <c r="EG18">
        <v>22.095092794759825</v>
      </c>
      <c r="EH18" s="10" t="s">
        <v>426</v>
      </c>
      <c r="EI18">
        <v>0</v>
      </c>
      <c r="EJ18">
        <v>1</v>
      </c>
      <c r="EK18">
        <v>45470</v>
      </c>
      <c r="EL18">
        <v>1.39</v>
      </c>
      <c r="EM18">
        <v>-6.45</v>
      </c>
      <c r="EN18" s="15">
        <v>-2.29</v>
      </c>
      <c r="EO18" s="15">
        <v>4.34</v>
      </c>
      <c r="EP18" s="15">
        <v>-3.6</v>
      </c>
    </row>
    <row r="19" spans="1:146" ht="108" x14ac:dyDescent="0.25">
      <c r="A19" s="7"/>
      <c r="B19" s="7"/>
      <c r="C19" s="7" t="str">
        <f>""&amp;CHAR(10)&amp;Basic_Fundamental_Information_Constructure(F19)&amp;CHAR(10)&amp;Basic_Fundamental_Information_Concatenate("")</f>
        <v xml:space="preserve">
市值24.46791亿, 利润4147.90万; PE221.3; 平均PE54.53; 平均PEG10.56, PB1.02; ROIC1.94%; ROE-1.61%; 股利率.4487%; 毛利23.4533%; 净利-2.8067%; 上一年度营收增6.74%, 利润增34.87%; 当季营收增-37.43%, 利润增-145.73%; 过往5年营收增5.16%, 利润增-23.08%
Income profile:
</v>
      </c>
      <c r="D19" t="s">
        <v>206</v>
      </c>
      <c r="E19" t="s">
        <v>207</v>
      </c>
      <c r="F19">
        <v>7.8</v>
      </c>
      <c r="G19">
        <v>1.69</v>
      </c>
      <c r="H19" t="s">
        <v>1207</v>
      </c>
      <c r="I19">
        <v>2446791000</v>
      </c>
      <c r="J19">
        <v>221.3</v>
      </c>
      <c r="K19">
        <v>1.02</v>
      </c>
      <c r="L19" t="s">
        <v>107</v>
      </c>
      <c r="M19" t="s">
        <v>1208</v>
      </c>
      <c r="N19" t="s">
        <v>1209</v>
      </c>
      <c r="O19" t="s">
        <v>38</v>
      </c>
      <c r="P19">
        <v>-37.53</v>
      </c>
      <c r="Q19" t="s">
        <v>1210</v>
      </c>
      <c r="R19">
        <v>-9547325</v>
      </c>
      <c r="S19" s="5">
        <v>-1.4570000000000001</v>
      </c>
      <c r="T19" t="s">
        <v>1211</v>
      </c>
      <c r="U19">
        <v>281436800</v>
      </c>
      <c r="V19">
        <v>313691160</v>
      </c>
      <c r="W19">
        <v>1.79</v>
      </c>
      <c r="X19">
        <v>0.02</v>
      </c>
      <c r="Y19">
        <v>-9.26</v>
      </c>
      <c r="Z19" t="s">
        <v>1212</v>
      </c>
      <c r="AA19" t="s">
        <v>1213</v>
      </c>
      <c r="AB19" t="s">
        <v>1214</v>
      </c>
      <c r="AC19" t="s">
        <v>1215</v>
      </c>
      <c r="AD19" t="s">
        <v>5</v>
      </c>
      <c r="AE19">
        <v>7615937</v>
      </c>
      <c r="AF19" t="s">
        <v>1216</v>
      </c>
      <c r="AG19" t="s">
        <v>1217</v>
      </c>
      <c r="AH19" t="s">
        <v>1218</v>
      </c>
      <c r="AI19" t="s">
        <v>562</v>
      </c>
      <c r="AJ19" t="s">
        <v>1219</v>
      </c>
      <c r="AK19" t="s">
        <v>1220</v>
      </c>
      <c r="AL19" t="s">
        <v>1221</v>
      </c>
      <c r="AM19" t="s">
        <v>5</v>
      </c>
      <c r="AN19">
        <v>0</v>
      </c>
      <c r="AO19" t="s">
        <v>1222</v>
      </c>
      <c r="AP19" t="s">
        <v>30</v>
      </c>
      <c r="AQ19" t="s">
        <v>822</v>
      </c>
      <c r="AR19" t="s">
        <v>1223</v>
      </c>
      <c r="AS19" t="s">
        <v>1224</v>
      </c>
      <c r="AT19" t="s">
        <v>1225</v>
      </c>
      <c r="AU19" t="s">
        <v>1226</v>
      </c>
      <c r="AV19" t="s">
        <v>1227</v>
      </c>
      <c r="AW19" t="s">
        <v>1228</v>
      </c>
      <c r="AX19" t="s">
        <v>607</v>
      </c>
      <c r="AY19" t="s">
        <v>335</v>
      </c>
      <c r="AZ19" t="s">
        <v>208</v>
      </c>
      <c r="BA19" t="s">
        <v>209</v>
      </c>
      <c r="BB19" t="s">
        <v>210</v>
      </c>
      <c r="BC19" t="s">
        <v>608</v>
      </c>
      <c r="BD19" t="s">
        <v>336</v>
      </c>
      <c r="BE19" t="s">
        <v>32</v>
      </c>
      <c r="BF19" t="s">
        <v>27</v>
      </c>
      <c r="BG19" t="s">
        <v>28</v>
      </c>
      <c r="BH19" t="s">
        <v>1210</v>
      </c>
      <c r="BI19" t="s">
        <v>753</v>
      </c>
      <c r="BJ19" t="s">
        <v>607</v>
      </c>
      <c r="BK19" t="s">
        <v>1211</v>
      </c>
      <c r="BL19" t="s">
        <v>1229</v>
      </c>
      <c r="BM19" t="s">
        <v>608</v>
      </c>
      <c r="BN19">
        <v>1.82</v>
      </c>
      <c r="BO19">
        <v>2.06</v>
      </c>
      <c r="BP19" t="s">
        <v>5</v>
      </c>
      <c r="BQ19">
        <v>1.45</v>
      </c>
      <c r="BR19">
        <v>1.31</v>
      </c>
      <c r="BS19">
        <v>-7.59</v>
      </c>
      <c r="BT19" t="s">
        <v>1230</v>
      </c>
      <c r="BU19" t="s">
        <v>879</v>
      </c>
      <c r="BV19">
        <v>21.37</v>
      </c>
      <c r="BW19">
        <v>23.08</v>
      </c>
      <c r="BX19">
        <v>25.91</v>
      </c>
      <c r="BY19">
        <v>3.44</v>
      </c>
      <c r="BZ19">
        <v>2.85</v>
      </c>
      <c r="CA19">
        <v>-14.71</v>
      </c>
      <c r="CB19">
        <v>-4.29</v>
      </c>
      <c r="CC19">
        <v>-4.76</v>
      </c>
      <c r="CD19" t="s">
        <v>1231</v>
      </c>
      <c r="CE19" t="s">
        <v>627</v>
      </c>
      <c r="CF19" s="11">
        <v>-0.37430167597765357</v>
      </c>
      <c r="CG19" s="12">
        <v>-1.4573284058956808</v>
      </c>
      <c r="CH19" s="11">
        <v>6.735345721244812E-2</v>
      </c>
      <c r="CI19" s="11">
        <v>3.0204135924577713E-2</v>
      </c>
      <c r="CJ19" s="11">
        <v>-0.13549754023551941</v>
      </c>
      <c r="CK19" s="11">
        <v>9.2592136934399605E-3</v>
      </c>
      <c r="CL19" s="11">
        <v>0.28689268231391907</v>
      </c>
      <c r="CM19" s="12">
        <v>0.34869566559791565</v>
      </c>
      <c r="CN19" s="12">
        <v>1.1662427186965942</v>
      </c>
      <c r="CO19" s="12">
        <v>-2.7289719581604004</v>
      </c>
      <c r="CP19" s="12">
        <v>-0.33125001192092896</v>
      </c>
      <c r="CQ19" s="12">
        <v>0.39130434393882751</v>
      </c>
      <c r="CR19">
        <v>54.527851061846228</v>
      </c>
      <c r="CS19">
        <v>10.558738914342719</v>
      </c>
      <c r="CT19">
        <v>0.44871794871794868</v>
      </c>
      <c r="CU19" s="11">
        <v>5.1642389781773088E-2</v>
      </c>
      <c r="CV19" s="12">
        <v>-0.23079584836959838</v>
      </c>
      <c r="CW19">
        <v>0.06</v>
      </c>
      <c r="CX19">
        <v>51.802906651856709</v>
      </c>
      <c r="CY19">
        <v>41151957.250715248</v>
      </c>
      <c r="CZ19">
        <v>5.1642389781773088E-2</v>
      </c>
      <c r="DA19">
        <v>17.490022292487463</v>
      </c>
      <c r="DB19">
        <v>121886122.51887603</v>
      </c>
      <c r="DC19">
        <v>4.9060270292684428E-2</v>
      </c>
      <c r="DD19">
        <v>8.9879357182365212</v>
      </c>
      <c r="DE19">
        <v>237183605.53854388</v>
      </c>
      <c r="DF19">
        <v>4.5445303007960319E-2</v>
      </c>
      <c r="DG19">
        <v>5.6602143467771953</v>
      </c>
      <c r="DH19">
        <v>376627256.38893801</v>
      </c>
      <c r="DI19">
        <v>4.1313911825418471E-2</v>
      </c>
      <c r="DJ19">
        <v>3.2354070023874599</v>
      </c>
      <c r="DK19">
        <v>658894228.27697301</v>
      </c>
      <c r="DL19">
        <v>3.614967284724116E-2</v>
      </c>
      <c r="DM19">
        <v>41479000</v>
      </c>
      <c r="DN19">
        <v>5.1642389781773088E-2</v>
      </c>
      <c r="DO19">
        <v>2131791000</v>
      </c>
      <c r="DP19">
        <v>835916200</v>
      </c>
      <c r="DQ19">
        <v>1984</v>
      </c>
      <c r="DR19">
        <v>-0.42594406575942667</v>
      </c>
      <c r="DS19">
        <v>-1.2265325575260824</v>
      </c>
      <c r="DT19" s="13">
        <v>-0.34</v>
      </c>
      <c r="DU19">
        <v>-1.1316666666666666</v>
      </c>
      <c r="DV19">
        <v>-1.4716666666666667</v>
      </c>
      <c r="DW19">
        <v>-8.9012605042016801</v>
      </c>
      <c r="DX19">
        <v>0.24804870466321391</v>
      </c>
      <c r="DY19">
        <v>-8.0703422149170549</v>
      </c>
      <c r="DZ19">
        <v>3994</v>
      </c>
      <c r="EA19">
        <v>-8.0153624093634903</v>
      </c>
      <c r="EB19">
        <v>8</v>
      </c>
      <c r="EC19">
        <v>9.6039684382562773E-2</v>
      </c>
      <c r="ED19">
        <v>1.2305096515948999</v>
      </c>
      <c r="EE19" s="14">
        <v>-2.0823100000000001</v>
      </c>
      <c r="EF19">
        <v>-2.09361</v>
      </c>
      <c r="EG19">
        <v>17.078048704663214</v>
      </c>
      <c r="EH19" t="s">
        <v>526</v>
      </c>
      <c r="EI19">
        <v>0</v>
      </c>
      <c r="EJ19">
        <v>0</v>
      </c>
      <c r="EK19" s="10">
        <v>45470</v>
      </c>
      <c r="EL19" s="15">
        <v>-1.82</v>
      </c>
      <c r="EM19" s="15">
        <v>-6.04</v>
      </c>
      <c r="EN19" s="15">
        <v>-1.44</v>
      </c>
      <c r="EO19" s="15">
        <v>5.99</v>
      </c>
      <c r="EP19" s="15">
        <v>-1.1299999999999999</v>
      </c>
    </row>
    <row r="20" spans="1:146" ht="108" x14ac:dyDescent="0.25">
      <c r="A20" s="7"/>
      <c r="B20" s="7"/>
      <c r="C20" s="7" t="str">
        <f>""&amp;CHAR(10)&amp;Basic_Fundamental_Information_Constructure(F20)&amp;CHAR(10)&amp;Basic_Fundamental_Information_Concatenate("")</f>
        <v xml:space="preserve">
市值24.352824亿, 利润-5281.76万; PE; 平均PE57.53; 平均PEG3.04, PB2.24; ROIC3.3233%; ROE4.0033%; 股利率.1226%; 毛利22.9667%; 净利2.3367%; 上一年度营收增21.88%, 利润增-247.89%; 当季营收增26.55%, 利润增-28.12%; 过往5年营收增18.9%, 利润增-53.61%
Income profile:
</v>
      </c>
      <c r="D20" t="s">
        <v>211</v>
      </c>
      <c r="E20" t="s">
        <v>212</v>
      </c>
      <c r="F20">
        <v>10.6</v>
      </c>
      <c r="G20">
        <v>3.01</v>
      </c>
      <c r="H20" t="s">
        <v>1232</v>
      </c>
      <c r="I20">
        <v>2435282400</v>
      </c>
      <c r="K20">
        <v>2.2400000000000002</v>
      </c>
      <c r="L20" t="s">
        <v>107</v>
      </c>
      <c r="M20" t="s">
        <v>1233</v>
      </c>
      <c r="N20" t="s">
        <v>1234</v>
      </c>
      <c r="O20" t="s">
        <v>1235</v>
      </c>
      <c r="P20">
        <v>26.6</v>
      </c>
      <c r="Q20" t="s">
        <v>834</v>
      </c>
      <c r="R20">
        <v>10919622</v>
      </c>
      <c r="S20" s="5">
        <v>-0.28120000000000001</v>
      </c>
      <c r="T20" t="s">
        <v>1236</v>
      </c>
      <c r="U20">
        <v>186955250</v>
      </c>
      <c r="V20">
        <v>229743620</v>
      </c>
      <c r="W20">
        <v>2.46</v>
      </c>
      <c r="X20">
        <v>0.13</v>
      </c>
      <c r="Y20">
        <v>2.67</v>
      </c>
      <c r="Z20" t="s">
        <v>1237</v>
      </c>
      <c r="AA20" t="s">
        <v>762</v>
      </c>
      <c r="AB20" t="s">
        <v>1238</v>
      </c>
      <c r="AC20" t="s">
        <v>1239</v>
      </c>
      <c r="AD20" t="s">
        <v>5</v>
      </c>
      <c r="AE20">
        <v>6956066</v>
      </c>
      <c r="AF20" t="s">
        <v>1240</v>
      </c>
      <c r="AG20" t="s">
        <v>5</v>
      </c>
      <c r="AH20" t="s">
        <v>1241</v>
      </c>
      <c r="AI20" t="s">
        <v>1242</v>
      </c>
      <c r="AJ20" t="s">
        <v>1243</v>
      </c>
      <c r="AK20" t="s">
        <v>1244</v>
      </c>
      <c r="AL20" t="s">
        <v>1245</v>
      </c>
      <c r="AM20" t="s">
        <v>5</v>
      </c>
      <c r="AN20" t="s">
        <v>1246</v>
      </c>
      <c r="AO20" t="s">
        <v>1247</v>
      </c>
      <c r="AP20" t="s">
        <v>1248</v>
      </c>
      <c r="AQ20" t="s">
        <v>48</v>
      </c>
      <c r="AR20" t="s">
        <v>5</v>
      </c>
      <c r="AS20" t="s">
        <v>549</v>
      </c>
      <c r="AT20" t="s">
        <v>1249</v>
      </c>
      <c r="AU20" t="s">
        <v>1250</v>
      </c>
      <c r="AV20" t="s">
        <v>1251</v>
      </c>
      <c r="AW20" t="s">
        <v>1252</v>
      </c>
      <c r="AX20" t="s">
        <v>612</v>
      </c>
      <c r="AY20" t="s">
        <v>337</v>
      </c>
      <c r="AZ20" t="s">
        <v>41</v>
      </c>
      <c r="BA20" t="s">
        <v>214</v>
      </c>
      <c r="BB20" t="s">
        <v>215</v>
      </c>
      <c r="BC20" t="s">
        <v>1253</v>
      </c>
      <c r="BD20" t="s">
        <v>338</v>
      </c>
      <c r="BE20" t="s">
        <v>213</v>
      </c>
      <c r="BF20" t="s">
        <v>216</v>
      </c>
      <c r="BG20" t="s">
        <v>217</v>
      </c>
      <c r="BH20" t="s">
        <v>834</v>
      </c>
      <c r="BI20" t="s">
        <v>1254</v>
      </c>
      <c r="BJ20" t="s">
        <v>612</v>
      </c>
      <c r="BK20" t="s">
        <v>1236</v>
      </c>
      <c r="BL20" t="s">
        <v>1255</v>
      </c>
      <c r="BM20" t="s">
        <v>1253</v>
      </c>
      <c r="BN20">
        <v>1.79</v>
      </c>
      <c r="BO20">
        <v>2.73</v>
      </c>
      <c r="BP20">
        <v>5.45</v>
      </c>
      <c r="BQ20">
        <v>1.87</v>
      </c>
      <c r="BR20">
        <v>3.28</v>
      </c>
      <c r="BS20">
        <v>6.86</v>
      </c>
      <c r="BT20" t="s">
        <v>1256</v>
      </c>
      <c r="BU20" t="s">
        <v>879</v>
      </c>
      <c r="BV20">
        <v>15.72</v>
      </c>
      <c r="BW20">
        <v>24.64</v>
      </c>
      <c r="BX20">
        <v>28.54</v>
      </c>
      <c r="BY20">
        <v>-4.1399999999999997</v>
      </c>
      <c r="BZ20">
        <v>3.47</v>
      </c>
      <c r="CA20">
        <v>7.68</v>
      </c>
      <c r="CB20">
        <v>-2.0299999999999998</v>
      </c>
      <c r="CC20">
        <v>-16.54</v>
      </c>
      <c r="CD20" t="s">
        <v>1257</v>
      </c>
      <c r="CE20" t="s">
        <v>58</v>
      </c>
      <c r="CF20" s="11">
        <v>0.26551724137931032</v>
      </c>
      <c r="CG20" s="12">
        <v>-0.28124443800847793</v>
      </c>
      <c r="CH20" s="11">
        <v>0.21875005960464478</v>
      </c>
      <c r="CI20" s="11">
        <v>8.0859772861003876E-2</v>
      </c>
      <c r="CJ20" s="11">
        <v>0.23047858476638794</v>
      </c>
      <c r="CK20" s="11">
        <v>0.11204481869935989</v>
      </c>
      <c r="CL20" s="11">
        <v>0.30291971564292908</v>
      </c>
      <c r="CM20" s="12">
        <v>-2.4789047241210938</v>
      </c>
      <c r="CN20" s="12">
        <v>-0.51034921407699585</v>
      </c>
      <c r="CO20" s="12">
        <v>-0.11878113448619843</v>
      </c>
      <c r="CP20" s="12">
        <v>0.45547544956207275</v>
      </c>
      <c r="CQ20" s="12">
        <v>-2.8009045869112015E-2</v>
      </c>
      <c r="CR20">
        <v>57.531633413616291</v>
      </c>
      <c r="CS20">
        <v>3.0438312116679107</v>
      </c>
      <c r="CT20">
        <v>0.12264150943396228</v>
      </c>
      <c r="CU20" s="11">
        <v>0.18901059031486511</v>
      </c>
      <c r="CV20" s="12">
        <v>-0.53611373379826543</v>
      </c>
      <c r="CW20">
        <v>0.06</v>
      </c>
      <c r="CX20" t="e">
        <v>#VALUE!</v>
      </c>
      <c r="CY20" t="s">
        <v>413</v>
      </c>
      <c r="CZ20">
        <v>0.18901059031486511</v>
      </c>
      <c r="DA20" t="e">
        <v>#VALUE!</v>
      </c>
      <c r="DB20" t="s">
        <v>413</v>
      </c>
      <c r="DC20">
        <v>0.17956006079912185</v>
      </c>
      <c r="DD20" t="e">
        <v>#VALUE!</v>
      </c>
      <c r="DE20" t="s">
        <v>413</v>
      </c>
      <c r="DF20">
        <v>0.16632931947708129</v>
      </c>
      <c r="DG20" t="e">
        <v>#VALUE!</v>
      </c>
      <c r="DH20" t="s">
        <v>413</v>
      </c>
      <c r="DI20">
        <v>0.1512084722518921</v>
      </c>
      <c r="DJ20" t="e">
        <v>#VALUE!</v>
      </c>
      <c r="DK20" t="s">
        <v>413</v>
      </c>
      <c r="DL20">
        <v>0.13230741322040557</v>
      </c>
      <c r="DM20">
        <v>-52817600</v>
      </c>
      <c r="DN20">
        <v>0.18901059031486511</v>
      </c>
      <c r="DO20">
        <v>2947282400</v>
      </c>
      <c r="DP20">
        <v>585487400</v>
      </c>
      <c r="DQ20">
        <v>2028</v>
      </c>
      <c r="DR20">
        <v>7.6506651064445208E-2</v>
      </c>
      <c r="DS20">
        <v>0.25486929578978751</v>
      </c>
      <c r="DT20" s="13">
        <v>-4.0000000000000036E-2</v>
      </c>
      <c r="DU20">
        <v>-1.0033333333333334</v>
      </c>
      <c r="DV20">
        <v>-1.0433333333333334</v>
      </c>
      <c r="DW20">
        <v>-3.0061071428571426</v>
      </c>
      <c r="DX20">
        <v>0.37455656565656681</v>
      </c>
      <c r="DY20">
        <v>-3.0008217561688313</v>
      </c>
      <c r="DZ20">
        <v>3605</v>
      </c>
      <c r="EA20">
        <v>-3.0002420240771217</v>
      </c>
      <c r="EB20">
        <v>3</v>
      </c>
      <c r="EC20">
        <v>0.11596491776354877</v>
      </c>
      <c r="ED20">
        <v>0.86183024364289207</v>
      </c>
      <c r="EE20" s="14">
        <v>-5.1048</v>
      </c>
      <c r="EF20">
        <v>-5.0993000000000004</v>
      </c>
      <c r="EG20">
        <v>24.134556565656567</v>
      </c>
      <c r="EH20" t="s">
        <v>810</v>
      </c>
      <c r="EI20">
        <v>0</v>
      </c>
      <c r="EJ20">
        <v>0</v>
      </c>
      <c r="EK20" s="10">
        <v>45470</v>
      </c>
      <c r="EL20" s="15">
        <v>-0.27</v>
      </c>
      <c r="EM20" s="15">
        <v>-5.6</v>
      </c>
      <c r="EN20" s="15">
        <v>-1.82</v>
      </c>
      <c r="EO20" s="15">
        <v>6.24</v>
      </c>
      <c r="EP20" s="15">
        <v>-0.55000000000000004</v>
      </c>
    </row>
    <row r="21" spans="1:146" ht="108" x14ac:dyDescent="0.25">
      <c r="A21" s="7"/>
      <c r="B21" s="7"/>
      <c r="C21" s="7" t="str">
        <f>""&amp;CHAR(10)&amp;Basic_Fundamental_Information_Constructure(F21)&amp;CHAR(10)&amp;Basic_Fundamental_Information_Concatenate("")</f>
        <v xml:space="preserve">
市值29.799942亿, 利润-5.01亿; PE; 平均PE-36.28; 平均PEG-1.31, PB2.57; ROIC.75%; ROE-5.5133%; 股利率0%; 毛利39.53%; 净利-47.86%; 上一年度营收增-32.09%, 利润增-3066.99%; 当季营收增-25.54%, 利润增1037.65%; 过往5年营收增27.78%, 利润增-552.69%
Income profile:
</v>
      </c>
      <c r="D21" t="s">
        <v>218</v>
      </c>
      <c r="E21" t="s">
        <v>219</v>
      </c>
      <c r="F21">
        <v>15.03</v>
      </c>
      <c r="G21">
        <v>8.0500000000000007</v>
      </c>
      <c r="H21" t="s">
        <v>1258</v>
      </c>
      <c r="I21">
        <v>2979994200</v>
      </c>
      <c r="K21">
        <v>2.57</v>
      </c>
      <c r="L21" t="s">
        <v>107</v>
      </c>
      <c r="M21" t="s">
        <v>761</v>
      </c>
      <c r="N21" t="s">
        <v>1259</v>
      </c>
      <c r="O21" t="s">
        <v>1260</v>
      </c>
      <c r="P21">
        <v>-25.5</v>
      </c>
      <c r="Q21" t="s">
        <v>1261</v>
      </c>
      <c r="R21">
        <v>15830429</v>
      </c>
      <c r="S21" s="5">
        <v>10.38</v>
      </c>
      <c r="T21" t="s">
        <v>1262</v>
      </c>
      <c r="U21">
        <v>193987990</v>
      </c>
      <c r="V21">
        <v>198269740</v>
      </c>
      <c r="W21">
        <v>1.1399999999999999</v>
      </c>
      <c r="X21">
        <v>7.0000000000000007E-2</v>
      </c>
      <c r="Y21">
        <v>15.5</v>
      </c>
      <c r="Z21" t="s">
        <v>24</v>
      </c>
      <c r="AA21" t="s">
        <v>1263</v>
      </c>
      <c r="AB21" t="s">
        <v>1264</v>
      </c>
      <c r="AC21" t="s">
        <v>1265</v>
      </c>
      <c r="AD21" t="s">
        <v>5</v>
      </c>
      <c r="AE21">
        <v>-1802622</v>
      </c>
      <c r="AF21" t="s">
        <v>1266</v>
      </c>
      <c r="AG21">
        <v>6158.96</v>
      </c>
      <c r="AH21" t="s">
        <v>1267</v>
      </c>
      <c r="AI21" t="s">
        <v>1268</v>
      </c>
      <c r="AJ21" t="s">
        <v>1269</v>
      </c>
      <c r="AK21" t="s">
        <v>1270</v>
      </c>
      <c r="AL21" t="s">
        <v>1271</v>
      </c>
      <c r="AM21" t="s">
        <v>5</v>
      </c>
      <c r="AN21" t="s">
        <v>1272</v>
      </c>
      <c r="AO21" t="s">
        <v>1273</v>
      </c>
      <c r="AP21" t="s">
        <v>5</v>
      </c>
      <c r="AQ21" t="s">
        <v>1274</v>
      </c>
      <c r="AR21" t="s">
        <v>5</v>
      </c>
      <c r="AS21" t="s">
        <v>752</v>
      </c>
      <c r="AT21" t="s">
        <v>5</v>
      </c>
      <c r="AU21" t="s">
        <v>1275</v>
      </c>
      <c r="AV21" t="s">
        <v>1276</v>
      </c>
      <c r="AW21" t="s">
        <v>1277</v>
      </c>
      <c r="AX21" t="s">
        <v>613</v>
      </c>
      <c r="AY21" t="s">
        <v>339</v>
      </c>
      <c r="AZ21" t="s">
        <v>78</v>
      </c>
      <c r="BA21" t="s">
        <v>99</v>
      </c>
      <c r="BB21" t="s">
        <v>29</v>
      </c>
      <c r="BC21" t="s">
        <v>614</v>
      </c>
      <c r="BD21" t="s">
        <v>340</v>
      </c>
      <c r="BE21" t="s">
        <v>48</v>
      </c>
      <c r="BF21" t="s">
        <v>220</v>
      </c>
      <c r="BG21" t="s">
        <v>221</v>
      </c>
      <c r="BH21" t="s">
        <v>1261</v>
      </c>
      <c r="BI21" t="s">
        <v>539</v>
      </c>
      <c r="BJ21" t="s">
        <v>613</v>
      </c>
      <c r="BK21" t="s">
        <v>1262</v>
      </c>
      <c r="BL21" t="s">
        <v>1278</v>
      </c>
      <c r="BM21" t="s">
        <v>614</v>
      </c>
      <c r="BN21" t="s">
        <v>5</v>
      </c>
      <c r="BO21">
        <v>0.75</v>
      </c>
      <c r="BP21" t="s">
        <v>5</v>
      </c>
      <c r="BQ21">
        <v>-0.31</v>
      </c>
      <c r="BR21">
        <v>1.03</v>
      </c>
      <c r="BS21">
        <v>-17.260000000000002</v>
      </c>
      <c r="BT21" t="s">
        <v>519</v>
      </c>
      <c r="BU21" t="s">
        <v>858</v>
      </c>
      <c r="BV21">
        <v>36.61</v>
      </c>
      <c r="BW21">
        <v>39.590000000000003</v>
      </c>
      <c r="BX21">
        <v>42.39</v>
      </c>
      <c r="BY21">
        <v>-110.84</v>
      </c>
      <c r="BZ21">
        <v>2.15</v>
      </c>
      <c r="CA21">
        <v>-34.89</v>
      </c>
      <c r="CB21">
        <v>1.55</v>
      </c>
      <c r="CC21">
        <v>13.61</v>
      </c>
      <c r="CD21" t="s">
        <v>1279</v>
      </c>
      <c r="CE21" t="s">
        <v>57</v>
      </c>
      <c r="CF21" s="11">
        <v>-0.25540895522388068</v>
      </c>
      <c r="CG21" s="12">
        <v>10.376549783806194</v>
      </c>
      <c r="CH21" s="11">
        <v>-0.32089552283287048</v>
      </c>
      <c r="CI21" s="11">
        <v>-1.1799409985542297E-2</v>
      </c>
      <c r="CJ21" s="11">
        <v>-0.13959391415119171</v>
      </c>
      <c r="CK21" s="11">
        <v>0.47289720177650452</v>
      </c>
      <c r="CL21" s="11">
        <v>1.3883928060531616</v>
      </c>
      <c r="CM21" s="12">
        <v>-30.669898986816406</v>
      </c>
      <c r="CN21" s="12">
        <v>1.0718544721603394</v>
      </c>
      <c r="CO21" s="12">
        <v>-2.9583332538604736</v>
      </c>
      <c r="CP21" s="12">
        <v>0.33042117953300476</v>
      </c>
      <c r="CQ21" s="12">
        <v>4.5916361808776855</v>
      </c>
      <c r="CR21">
        <v>-36.283390880229064</v>
      </c>
      <c r="CS21">
        <v>-1.3060964923082783</v>
      </c>
      <c r="CT21">
        <v>0</v>
      </c>
      <c r="CU21" s="11">
        <v>0.27780023217201233</v>
      </c>
      <c r="CV21" s="12">
        <v>-5.52686408162117</v>
      </c>
      <c r="CW21">
        <v>0.06</v>
      </c>
      <c r="CX21" t="e">
        <v>#VALUE!</v>
      </c>
      <c r="CY21" t="s">
        <v>413</v>
      </c>
      <c r="CZ21">
        <v>0.27780023217201233</v>
      </c>
      <c r="DA21" t="e">
        <v>#VALUE!</v>
      </c>
      <c r="DB21" t="s">
        <v>413</v>
      </c>
      <c r="DC21">
        <v>0.26391022056341168</v>
      </c>
      <c r="DD21" t="e">
        <v>#VALUE!</v>
      </c>
      <c r="DE21" t="s">
        <v>413</v>
      </c>
      <c r="DF21">
        <v>0.24446420431137086</v>
      </c>
      <c r="DG21" t="e">
        <v>#VALUE!</v>
      </c>
      <c r="DH21" t="s">
        <v>413</v>
      </c>
      <c r="DI21">
        <v>0.22224018573760987</v>
      </c>
      <c r="DJ21" t="e">
        <v>#VALUE!</v>
      </c>
      <c r="DK21" t="s">
        <v>413</v>
      </c>
      <c r="DL21">
        <v>0.19446016252040862</v>
      </c>
      <c r="DM21">
        <v>-501000000</v>
      </c>
      <c r="DN21">
        <v>0.27780023217201233</v>
      </c>
      <c r="DO21">
        <v>2019994200</v>
      </c>
      <c r="DP21">
        <v>588326820</v>
      </c>
      <c r="DQ21">
        <v>2045</v>
      </c>
      <c r="DR21">
        <v>-0.53320918739589307</v>
      </c>
      <c r="DS21">
        <v>15.903413865427364</v>
      </c>
      <c r="DT21" s="13">
        <v>-0.29000000000000004</v>
      </c>
      <c r="DU21">
        <v>-1.8333333333333496E-2</v>
      </c>
      <c r="DV21">
        <v>-0.30833333333333351</v>
      </c>
      <c r="DW21">
        <v>2.1360999999999999</v>
      </c>
      <c r="DX21">
        <v>0.68339333333333174</v>
      </c>
      <c r="DY21">
        <v>2.0562628326666665</v>
      </c>
      <c r="DZ21">
        <v>2474</v>
      </c>
      <c r="EA21">
        <v>2.0290232537983037</v>
      </c>
      <c r="EB21">
        <v>2</v>
      </c>
      <c r="EC21">
        <v>0.50040112021128391</v>
      </c>
      <c r="ED21">
        <v>1.21047215777859</v>
      </c>
      <c r="EE21" s="14">
        <v>-1.0871</v>
      </c>
      <c r="EF21">
        <v>-1.1299999999999999</v>
      </c>
      <c r="EG21">
        <v>27.413393333333332</v>
      </c>
      <c r="EH21" t="s">
        <v>427</v>
      </c>
      <c r="EI21">
        <v>1</v>
      </c>
      <c r="EJ21">
        <v>0</v>
      </c>
      <c r="EK21" s="10">
        <v>45470</v>
      </c>
      <c r="EL21" s="15">
        <v>-0.08</v>
      </c>
      <c r="EM21" s="15">
        <v>-5.5</v>
      </c>
      <c r="EN21" s="15">
        <v>-1.33</v>
      </c>
      <c r="EO21" s="15">
        <v>19.98</v>
      </c>
      <c r="EP21" s="15">
        <v>4.29</v>
      </c>
    </row>
    <row r="22" spans="1:146" ht="108" x14ac:dyDescent="0.25">
      <c r="A22" s="7"/>
      <c r="B22" s="7"/>
      <c r="C22" s="7" t="str">
        <f>""&amp;CHAR(10)&amp;Basic_Fundamental_Information_Constructure(F22)&amp;CHAR(10)&amp;Basic_Fundamental_Information_Concatenate("")</f>
        <v xml:space="preserve">
市值18.698304亿, 利润375.82万; PE1039; 平均PE63.68; 平均PEG11.75, PB1.8; ROIC2.1067%; ROE2.5667%; 股利率.0585%; 毛利20.7333%; 净利3.74%; 上一年度营收增5.11%, 利润增-83.24%; 当季营收增4.25%, 利润增-38.18%; 过往5年营收增5.42%, 利润增-27.51%
Income profile:
</v>
      </c>
      <c r="D22" t="s">
        <v>222</v>
      </c>
      <c r="E22" t="s">
        <v>223</v>
      </c>
      <c r="F22">
        <v>6.86</v>
      </c>
      <c r="G22">
        <v>-4.59</v>
      </c>
      <c r="H22" t="s">
        <v>1280</v>
      </c>
      <c r="I22">
        <v>1869830400</v>
      </c>
      <c r="J22">
        <v>1039</v>
      </c>
      <c r="K22">
        <v>1.8</v>
      </c>
      <c r="L22" t="s">
        <v>107</v>
      </c>
      <c r="M22" t="s">
        <v>1281</v>
      </c>
      <c r="N22" t="s">
        <v>612</v>
      </c>
      <c r="O22" t="s">
        <v>1282</v>
      </c>
      <c r="P22">
        <v>4.25</v>
      </c>
      <c r="Q22" t="s">
        <v>1283</v>
      </c>
      <c r="R22">
        <v>3172639</v>
      </c>
      <c r="S22" s="5">
        <v>-0.38179999999999997</v>
      </c>
      <c r="T22" t="s">
        <v>1284</v>
      </c>
      <c r="U22">
        <v>271372240</v>
      </c>
      <c r="V22">
        <v>272570030</v>
      </c>
      <c r="W22">
        <v>1.27</v>
      </c>
      <c r="X22">
        <v>7.0000000000000007E-2</v>
      </c>
      <c r="Y22">
        <v>3.21</v>
      </c>
      <c r="Z22" t="s">
        <v>1285</v>
      </c>
      <c r="AA22" t="s">
        <v>1286</v>
      </c>
      <c r="AB22" t="s">
        <v>1287</v>
      </c>
      <c r="AC22" t="s">
        <v>1288</v>
      </c>
      <c r="AD22" t="s">
        <v>5</v>
      </c>
      <c r="AE22">
        <v>-680313</v>
      </c>
      <c r="AF22" t="s">
        <v>1289</v>
      </c>
      <c r="AG22">
        <v>0.02</v>
      </c>
      <c r="AH22" t="s">
        <v>1290</v>
      </c>
      <c r="AI22" t="s">
        <v>1291</v>
      </c>
      <c r="AJ22" t="s">
        <v>1292</v>
      </c>
      <c r="AK22" t="s">
        <v>1293</v>
      </c>
      <c r="AL22" t="s">
        <v>1294</v>
      </c>
      <c r="AM22" t="s">
        <v>5</v>
      </c>
      <c r="AN22" t="s">
        <v>1295</v>
      </c>
      <c r="AO22" t="s">
        <v>566</v>
      </c>
      <c r="AP22" t="s">
        <v>5</v>
      </c>
      <c r="AQ22" t="s">
        <v>1296</v>
      </c>
      <c r="AR22" t="s">
        <v>5</v>
      </c>
      <c r="AS22" t="s">
        <v>779</v>
      </c>
      <c r="AT22" t="s">
        <v>5</v>
      </c>
      <c r="AU22" t="s">
        <v>1297</v>
      </c>
      <c r="AV22" t="s">
        <v>1298</v>
      </c>
      <c r="AW22" t="s">
        <v>1299</v>
      </c>
      <c r="AX22" t="s">
        <v>518</v>
      </c>
      <c r="AY22" t="s">
        <v>341</v>
      </c>
      <c r="AZ22" t="s">
        <v>224</v>
      </c>
      <c r="BA22" t="s">
        <v>140</v>
      </c>
      <c r="BB22" t="s">
        <v>226</v>
      </c>
      <c r="BC22" t="s">
        <v>615</v>
      </c>
      <c r="BD22" t="s">
        <v>342</v>
      </c>
      <c r="BE22" t="s">
        <v>225</v>
      </c>
      <c r="BF22" t="s">
        <v>228</v>
      </c>
      <c r="BG22" t="s">
        <v>229</v>
      </c>
      <c r="BH22" t="s">
        <v>1283</v>
      </c>
      <c r="BI22" t="s">
        <v>1300</v>
      </c>
      <c r="BJ22" t="s">
        <v>518</v>
      </c>
      <c r="BK22" t="s">
        <v>1284</v>
      </c>
      <c r="BL22" t="s">
        <v>1301</v>
      </c>
      <c r="BM22" t="s">
        <v>615</v>
      </c>
      <c r="BN22">
        <v>0.85</v>
      </c>
      <c r="BO22">
        <v>1.84</v>
      </c>
      <c r="BP22">
        <v>3.63</v>
      </c>
      <c r="BQ22">
        <v>1.1399999999999999</v>
      </c>
      <c r="BR22">
        <v>2.5499999999999998</v>
      </c>
      <c r="BS22">
        <v>4.01</v>
      </c>
      <c r="BT22" t="s">
        <v>1302</v>
      </c>
      <c r="BU22" t="s">
        <v>879</v>
      </c>
      <c r="BV22">
        <v>21.18</v>
      </c>
      <c r="BW22">
        <v>18.61</v>
      </c>
      <c r="BX22">
        <v>22.41</v>
      </c>
      <c r="BY22">
        <v>0.66</v>
      </c>
      <c r="BZ22">
        <v>4.0599999999999996</v>
      </c>
      <c r="CA22">
        <v>6.5</v>
      </c>
      <c r="CB22">
        <v>-5.12</v>
      </c>
      <c r="CC22">
        <v>-3.92</v>
      </c>
      <c r="CD22" t="s">
        <v>1303</v>
      </c>
      <c r="CE22" t="s">
        <v>1304</v>
      </c>
      <c r="CF22" s="11">
        <v>4.2535486399825385E-2</v>
      </c>
      <c r="CG22" s="12">
        <v>-0.38175672779001113</v>
      </c>
      <c r="CH22" s="11">
        <v>5.1136363297700882E-2</v>
      </c>
      <c r="CI22" s="11">
        <v>2.7237353846430779E-2</v>
      </c>
      <c r="CJ22" s="11">
        <v>4.2596347630023956E-2</v>
      </c>
      <c r="CK22" s="11">
        <v>-1.9880715757608414E-2</v>
      </c>
      <c r="CL22" s="11">
        <v>0.16976743936538696</v>
      </c>
      <c r="CM22" s="12">
        <v>-0.83242893218994141</v>
      </c>
      <c r="CN22" s="12">
        <v>-0.33684119582176208</v>
      </c>
      <c r="CO22" s="12">
        <v>0.11420730501413345</v>
      </c>
      <c r="CP22" s="12">
        <v>-0.2764018177986145</v>
      </c>
      <c r="CQ22" s="12">
        <v>-4.4099986553192139E-2</v>
      </c>
      <c r="CR22">
        <v>63.676706401054339</v>
      </c>
      <c r="CS22">
        <v>11.754681649563098</v>
      </c>
      <c r="CT22">
        <v>5.8472303206997082E-2</v>
      </c>
      <c r="CU22" s="11">
        <v>5.4171357676386832E-2</v>
      </c>
      <c r="CV22" s="12">
        <v>-0.27511292546987531</v>
      </c>
      <c r="CW22">
        <v>0.06</v>
      </c>
      <c r="CX22">
        <v>311.92496908639293</v>
      </c>
      <c r="CY22">
        <v>3737534.7136032046</v>
      </c>
      <c r="CZ22">
        <v>5.4171357676386832E-2</v>
      </c>
      <c r="DA22">
        <v>105.08692417092061</v>
      </c>
      <c r="DB22">
        <v>11093962.538134746</v>
      </c>
      <c r="DC22">
        <v>5.1462789792567486E-2</v>
      </c>
      <c r="DD22">
        <v>53.851914367368813</v>
      </c>
      <c r="DE22">
        <v>21648819.985245068</v>
      </c>
      <c r="DF22">
        <v>4.7670794755220409E-2</v>
      </c>
      <c r="DG22">
        <v>33.810574078873906</v>
      </c>
      <c r="DH22">
        <v>34481236.469996937</v>
      </c>
      <c r="DI22">
        <v>4.3337086141109468E-2</v>
      </c>
      <c r="DJ22">
        <v>19.20533707176827</v>
      </c>
      <c r="DK22">
        <v>60703459.441686332</v>
      </c>
      <c r="DL22">
        <v>3.7919950373470783E-2</v>
      </c>
      <c r="DM22">
        <v>3758200</v>
      </c>
      <c r="DN22">
        <v>5.4171357676386832E-2</v>
      </c>
      <c r="DO22">
        <v>1165830400</v>
      </c>
      <c r="DP22">
        <v>809097150</v>
      </c>
      <c r="DQ22">
        <v>2064</v>
      </c>
      <c r="DR22">
        <v>-1.1635871276561446E-2</v>
      </c>
      <c r="DS22">
        <v>-0.10664380232013582</v>
      </c>
      <c r="DT22" s="13">
        <v>-0.34</v>
      </c>
      <c r="DU22">
        <v>-0.82</v>
      </c>
      <c r="DV22">
        <v>-1.1599999999999999</v>
      </c>
      <c r="DW22">
        <v>-4.765625</v>
      </c>
      <c r="DX22">
        <v>0.46810333554817318</v>
      </c>
      <c r="DY22">
        <v>-4.1746416162790698</v>
      </c>
      <c r="DZ22">
        <v>3719</v>
      </c>
      <c r="EA22">
        <v>-4.0475394301847718</v>
      </c>
      <c r="EB22">
        <v>4</v>
      </c>
      <c r="EC22">
        <v>0.2518952652278022</v>
      </c>
      <c r="ED22">
        <v>1.1043033601309726</v>
      </c>
      <c r="EE22" s="14">
        <v>1.0663</v>
      </c>
      <c r="EF22">
        <v>1.0286</v>
      </c>
      <c r="EG22">
        <v>24.228103335548173</v>
      </c>
      <c r="EH22" t="s">
        <v>414</v>
      </c>
      <c r="EI22">
        <v>0</v>
      </c>
      <c r="EJ22">
        <v>0</v>
      </c>
      <c r="EK22" s="10">
        <v>45470</v>
      </c>
      <c r="EL22" s="15">
        <v>11.95</v>
      </c>
      <c r="EM22" s="15">
        <v>2.11</v>
      </c>
      <c r="EN22" s="15">
        <v>-1.42</v>
      </c>
      <c r="EO22" s="15">
        <v>0.79</v>
      </c>
      <c r="EP22" s="15">
        <v>-3.77</v>
      </c>
    </row>
    <row r="23" spans="1:146" ht="96" x14ac:dyDescent="0.25">
      <c r="A23" s="7"/>
      <c r="B23" s="7"/>
      <c r="C23" s="7" t="str">
        <f>""&amp;CHAR(10)&amp;Basic_Fundamental_Information_Constructure(F23)&amp;CHAR(10)&amp;Basic_Fundamental_Information_Concatenate("")</f>
        <v xml:space="preserve">
市值31.65276亿, 利润745.15万; PE; 平均PE-11.74; 平均PEG-1.19, PB2.24; ROIC.22%; ROE-30.3%; 股利率0%; 毛利15.1533%; 净利-33.18%; 上一年度营收增-4.49%, 利润增102.27%; 当季营收增-14.46%, 利润增-205.32%; 过往5年营收增9.86%, 利润增-94.19%
Income profile:
</v>
      </c>
      <c r="D23" t="s">
        <v>230</v>
      </c>
      <c r="E23" t="s">
        <v>231</v>
      </c>
      <c r="F23">
        <v>6.81</v>
      </c>
      <c r="G23">
        <v>1.95</v>
      </c>
      <c r="H23" t="s">
        <v>1305</v>
      </c>
      <c r="I23">
        <v>3165276000</v>
      </c>
      <c r="K23">
        <v>2.2400000000000002</v>
      </c>
      <c r="L23" t="s">
        <v>107</v>
      </c>
      <c r="M23" t="s">
        <v>1306</v>
      </c>
      <c r="N23" t="s">
        <v>1307</v>
      </c>
      <c r="O23" t="s">
        <v>316</v>
      </c>
      <c r="P23">
        <v>-14.27</v>
      </c>
      <c r="Q23" t="s">
        <v>290</v>
      </c>
      <c r="R23">
        <v>-24222878</v>
      </c>
      <c r="S23" s="5">
        <v>-2.0529999999999999</v>
      </c>
      <c r="T23" t="s">
        <v>1308</v>
      </c>
      <c r="U23">
        <v>357005580</v>
      </c>
      <c r="V23">
        <v>464798230</v>
      </c>
      <c r="W23">
        <v>1.57</v>
      </c>
      <c r="X23">
        <v>0.06</v>
      </c>
      <c r="Y23">
        <v>-16.18</v>
      </c>
      <c r="Z23" t="s">
        <v>50</v>
      </c>
      <c r="AA23" t="s">
        <v>540</v>
      </c>
      <c r="AB23" t="s">
        <v>1309</v>
      </c>
      <c r="AC23" t="s">
        <v>1310</v>
      </c>
      <c r="AD23" t="s">
        <v>5</v>
      </c>
      <c r="AE23">
        <v>1039922</v>
      </c>
      <c r="AF23" t="s">
        <v>1311</v>
      </c>
      <c r="AG23">
        <v>39.08</v>
      </c>
      <c r="AH23" t="s">
        <v>1312</v>
      </c>
      <c r="AI23" t="s">
        <v>1222</v>
      </c>
      <c r="AJ23" t="s">
        <v>1313</v>
      </c>
      <c r="AK23" t="s">
        <v>1314</v>
      </c>
      <c r="AL23" t="s">
        <v>1315</v>
      </c>
      <c r="AM23" t="s">
        <v>5</v>
      </c>
      <c r="AN23" t="s">
        <v>753</v>
      </c>
      <c r="AO23" t="s">
        <v>56</v>
      </c>
      <c r="AP23" t="s">
        <v>1316</v>
      </c>
      <c r="AQ23" t="s">
        <v>1317</v>
      </c>
      <c r="AR23" t="s">
        <v>5</v>
      </c>
      <c r="AS23" t="s">
        <v>718</v>
      </c>
      <c r="AT23" t="s">
        <v>5</v>
      </c>
      <c r="AU23" t="s">
        <v>1318</v>
      </c>
      <c r="AV23" t="s">
        <v>720</v>
      </c>
      <c r="AW23" t="s">
        <v>1319</v>
      </c>
      <c r="AX23" t="s">
        <v>616</v>
      </c>
      <c r="AY23" t="s">
        <v>343</v>
      </c>
      <c r="AZ23" t="s">
        <v>232</v>
      </c>
      <c r="BA23" t="s">
        <v>96</v>
      </c>
      <c r="BB23" t="s">
        <v>80</v>
      </c>
      <c r="BC23" t="s">
        <v>617</v>
      </c>
      <c r="BD23" t="s">
        <v>344</v>
      </c>
      <c r="BE23" t="s">
        <v>233</v>
      </c>
      <c r="BF23" t="s">
        <v>25</v>
      </c>
      <c r="BG23" t="s">
        <v>234</v>
      </c>
      <c r="BH23" t="s">
        <v>290</v>
      </c>
      <c r="BI23" t="s">
        <v>424</v>
      </c>
      <c r="BJ23" t="s">
        <v>616</v>
      </c>
      <c r="BK23" t="s">
        <v>1308</v>
      </c>
      <c r="BL23" t="s">
        <v>1320</v>
      </c>
      <c r="BM23" t="s">
        <v>617</v>
      </c>
      <c r="BN23">
        <v>0.22</v>
      </c>
      <c r="BO23" t="s">
        <v>5</v>
      </c>
      <c r="BP23" t="s">
        <v>5</v>
      </c>
      <c r="BQ23">
        <v>0.08</v>
      </c>
      <c r="BR23">
        <v>-44.98</v>
      </c>
      <c r="BS23">
        <v>-46</v>
      </c>
      <c r="BT23" t="s">
        <v>519</v>
      </c>
      <c r="BU23" t="s">
        <v>879</v>
      </c>
      <c r="BV23">
        <v>17.09</v>
      </c>
      <c r="BW23">
        <v>11.13</v>
      </c>
      <c r="BX23">
        <v>17.239999999999998</v>
      </c>
      <c r="BY23">
        <v>1.33</v>
      </c>
      <c r="BZ23">
        <v>-44.86</v>
      </c>
      <c r="CA23">
        <v>-56.01</v>
      </c>
      <c r="CB23">
        <v>-1.45</v>
      </c>
      <c r="CC23">
        <v>-11.67</v>
      </c>
      <c r="CD23" t="s">
        <v>1321</v>
      </c>
      <c r="CE23" t="s">
        <v>653</v>
      </c>
      <c r="CF23" s="11">
        <v>-0.14457831325301204</v>
      </c>
      <c r="CG23" s="12">
        <v>-2.0532327185133008</v>
      </c>
      <c r="CH23" s="11">
        <v>-4.4914133846759796E-2</v>
      </c>
      <c r="CI23" s="11">
        <v>-0.2179751992225647</v>
      </c>
      <c r="CJ23" s="11">
        <v>-3.7773359566926956E-2</v>
      </c>
      <c r="CK23" s="11">
        <v>-0.27206945419311523</v>
      </c>
      <c r="CL23" s="11">
        <v>1.0657697916030884</v>
      </c>
      <c r="CM23" s="12">
        <v>1.0227179527282715</v>
      </c>
      <c r="CN23" s="12">
        <v>0.40036562085151672</v>
      </c>
      <c r="CO23" s="12">
        <v>0.40087622404098511</v>
      </c>
      <c r="CP23" s="12">
        <v>-8.4836063385009766</v>
      </c>
      <c r="CQ23" s="12">
        <v>1.9501733779907227</v>
      </c>
      <c r="CR23">
        <v>-11.74357823268066</v>
      </c>
      <c r="CS23">
        <v>-1.190941336545442</v>
      </c>
      <c r="CT23">
        <v>0</v>
      </c>
      <c r="CU23" s="11">
        <v>9.8607528954744339E-2</v>
      </c>
      <c r="CV23" s="12">
        <v>-0.94189463257789607</v>
      </c>
      <c r="CW23">
        <v>0.06</v>
      </c>
      <c r="CX23">
        <v>335.66095629422756</v>
      </c>
      <c r="CY23">
        <v>7722900.0018927138</v>
      </c>
      <c r="CZ23">
        <v>9.8607528954744339E-2</v>
      </c>
      <c r="DA23">
        <v>108.89504743050047</v>
      </c>
      <c r="DB23">
        <v>23805269.947234791</v>
      </c>
      <c r="DC23">
        <v>9.3677152507007116E-2</v>
      </c>
      <c r="DD23">
        <v>53.085334761530468</v>
      </c>
      <c r="DE23">
        <v>48832243.625193328</v>
      </c>
      <c r="DF23">
        <v>8.6774625480175019E-2</v>
      </c>
      <c r="DG23">
        <v>31.527940177932724</v>
      </c>
      <c r="DH23">
        <v>82221546.519376025</v>
      </c>
      <c r="DI23">
        <v>7.8886023163795477E-2</v>
      </c>
      <c r="DJ23">
        <v>15.893756099816857</v>
      </c>
      <c r="DK23">
        <v>163100275.58745983</v>
      </c>
      <c r="DL23">
        <v>6.9025270268321032E-2</v>
      </c>
      <c r="DM23">
        <v>7451500</v>
      </c>
      <c r="DN23">
        <v>9.8607528954744339E-2</v>
      </c>
      <c r="DO23">
        <v>2592276000</v>
      </c>
      <c r="DP23">
        <v>877000300</v>
      </c>
      <c r="DQ23">
        <v>2070</v>
      </c>
      <c r="DR23">
        <v>-0.24318584220775638</v>
      </c>
      <c r="DS23">
        <v>-1.1113380859354047</v>
      </c>
      <c r="DT23" s="13">
        <v>-0.50666666666666671</v>
      </c>
      <c r="DU23">
        <v>-1.3516666666666668</v>
      </c>
      <c r="DV23">
        <v>-1.8583333333333334</v>
      </c>
      <c r="DW23">
        <v>-2.1166999999999998</v>
      </c>
      <c r="DX23">
        <v>0.37385591397849449</v>
      </c>
      <c r="DY23">
        <v>-2.0191219851612905</v>
      </c>
      <c r="DZ23">
        <v>4297</v>
      </c>
      <c r="EA23">
        <v>-2.0030423040970899</v>
      </c>
      <c r="EB23">
        <v>2</v>
      </c>
      <c r="EC23">
        <v>6.5570817685773025E-2</v>
      </c>
      <c r="ED23">
        <v>0.40017364093662749</v>
      </c>
      <c r="EE23" s="14">
        <v>-1.0223</v>
      </c>
      <c r="EF23">
        <v>-1.0108999999999999</v>
      </c>
      <c r="EG23">
        <v>21.163855913978495</v>
      </c>
      <c r="EH23" t="s">
        <v>427</v>
      </c>
      <c r="EI23">
        <v>0</v>
      </c>
      <c r="EJ23">
        <v>0</v>
      </c>
      <c r="EK23" s="10">
        <v>45470</v>
      </c>
      <c r="EL23" s="15">
        <v>-0.28000000000000003</v>
      </c>
      <c r="EM23" s="15">
        <v>-4.6900000000000004</v>
      </c>
      <c r="EN23" s="15">
        <v>-0.75</v>
      </c>
      <c r="EO23" s="15">
        <v>5.41</v>
      </c>
      <c r="EP23" s="15">
        <v>-1.1399999999999999</v>
      </c>
    </row>
    <row r="24" spans="1:146" ht="192" x14ac:dyDescent="0.25">
      <c r="C24" s="7" t="str">
        <f>"公司主营业务为向客户提供互联网数据中心（IDC）业务及其增值服务。公司主要为客户提供IDC服务及其他互联网综合服务、系统集成项目。业务已覆盖中国30多个城市及全球10多个国家和地区。"&amp;CHAR(10)&amp;Basic_Fundamental_Information_Constructure(F24)&amp;CHAR(10)&amp;Basic_Fundamental_Information_Concatenate("IDC服务 5.83亿 87.37%  1.67亿 90.25% 28.67%
其他互联网综合服务 6513.84万 9.76% 708.59万 3.83% 10.88%
分布式光伏节能服务 1527.05万 2.29% 1047.06万 5.65% 68.57%")</f>
        <v>公司主营业务为向客户提供互联网数据中心（IDC）业务及其增值服务。公司主要为客户提供IDC服务及其他互联网综合服务、系统集成项目。业务已覆盖中国30多个城市及全球10多个国家和地区。
市值95.615484亿, 利润1.41亿; PE64.75; 平均PE74.42; 平均PEG2.24, PB3.07; ROIC4.6%; ROE8.4867%; 股利率.2119%; 毛利28.2233%; 净利12.5867%; 上一年度营收增21.7%, 利润增-15.06%; 当季营收增19.06%, 利润增14.35%; 过往5年营收增33.22%, 利润增24.45%
Income profile:
IDC服务 5.83亿 87.37%  1.67亿 90.25% 28.67%
其他互联网综合服务 6513.84万 9.76% 708.59万 3.83% 10.88%
分布式光伏节能服务 1527.05万 2.29% 1047.06万 5.65% 68.57%</v>
      </c>
      <c r="D24" s="5" t="s">
        <v>619</v>
      </c>
      <c r="E24" t="s">
        <v>620</v>
      </c>
      <c r="F24">
        <v>9.91</v>
      </c>
      <c r="G24">
        <v>1.1200000000000001</v>
      </c>
      <c r="H24" t="s">
        <v>1322</v>
      </c>
      <c r="I24">
        <v>9561548400</v>
      </c>
      <c r="J24">
        <v>64.75</v>
      </c>
      <c r="K24">
        <v>3.07</v>
      </c>
      <c r="L24" t="s">
        <v>107</v>
      </c>
      <c r="M24" t="s">
        <v>1323</v>
      </c>
      <c r="N24" t="s">
        <v>1324</v>
      </c>
      <c r="O24" t="s">
        <v>45</v>
      </c>
      <c r="P24" s="5">
        <v>19.07</v>
      </c>
      <c r="Q24" t="s">
        <v>1325</v>
      </c>
      <c r="R24">
        <v>50500520</v>
      </c>
      <c r="S24">
        <v>0.14349999999999999</v>
      </c>
      <c r="T24" t="s">
        <v>451</v>
      </c>
      <c r="U24">
        <v>964559420</v>
      </c>
      <c r="V24">
        <v>964838380</v>
      </c>
      <c r="W24">
        <v>2.85</v>
      </c>
      <c r="X24">
        <v>0.04</v>
      </c>
      <c r="Y24">
        <v>12.99</v>
      </c>
      <c r="Z24" t="s">
        <v>1326</v>
      </c>
      <c r="AA24" t="s">
        <v>420</v>
      </c>
      <c r="AB24" t="s">
        <v>1327</v>
      </c>
      <c r="AC24" t="s">
        <v>1328</v>
      </c>
      <c r="AD24" t="s">
        <v>5</v>
      </c>
      <c r="AE24">
        <v>52641225</v>
      </c>
      <c r="AF24" t="s">
        <v>1329</v>
      </c>
      <c r="AG24">
        <v>4003.12</v>
      </c>
      <c r="AH24" t="s">
        <v>1330</v>
      </c>
      <c r="AI24" t="s">
        <v>1331</v>
      </c>
      <c r="AJ24" t="s">
        <v>1332</v>
      </c>
      <c r="AK24" t="s">
        <v>1333</v>
      </c>
      <c r="AL24" t="s">
        <v>1334</v>
      </c>
      <c r="AM24" t="s">
        <v>5</v>
      </c>
      <c r="AN24" t="s">
        <v>1335</v>
      </c>
      <c r="AO24" t="s">
        <v>1336</v>
      </c>
      <c r="AP24" t="s">
        <v>1337</v>
      </c>
      <c r="AQ24" t="s">
        <v>611</v>
      </c>
      <c r="AR24" t="s">
        <v>5</v>
      </c>
      <c r="AS24" t="s">
        <v>1338</v>
      </c>
      <c r="AT24" t="s">
        <v>765</v>
      </c>
      <c r="AU24" t="s">
        <v>1339</v>
      </c>
      <c r="AV24" t="s">
        <v>1340</v>
      </c>
      <c r="AW24" t="s">
        <v>1317</v>
      </c>
      <c r="AX24" t="s">
        <v>621</v>
      </c>
      <c r="AY24" t="s">
        <v>622</v>
      </c>
      <c r="AZ24" t="s">
        <v>544</v>
      </c>
      <c r="BA24" t="s">
        <v>623</v>
      </c>
      <c r="BB24" t="s">
        <v>624</v>
      </c>
      <c r="BC24" t="s">
        <v>424</v>
      </c>
      <c r="BD24" t="s">
        <v>575</v>
      </c>
      <c r="BE24" t="s">
        <v>428</v>
      </c>
      <c r="BF24" t="s">
        <v>52</v>
      </c>
      <c r="BG24" t="s">
        <v>626</v>
      </c>
      <c r="BH24" t="s">
        <v>1325</v>
      </c>
      <c r="BI24" t="s">
        <v>1331</v>
      </c>
      <c r="BJ24" t="s">
        <v>621</v>
      </c>
      <c r="BK24" t="s">
        <v>451</v>
      </c>
      <c r="BL24" t="s">
        <v>1341</v>
      </c>
      <c r="BM24" t="s">
        <v>424</v>
      </c>
      <c r="BN24">
        <v>2.99</v>
      </c>
      <c r="BO24">
        <v>4.6900000000000004</v>
      </c>
      <c r="BP24">
        <v>6.12</v>
      </c>
      <c r="BQ24">
        <v>4.96</v>
      </c>
      <c r="BR24">
        <v>10.08</v>
      </c>
      <c r="BS24">
        <v>10.42</v>
      </c>
      <c r="BT24" t="s">
        <v>1342</v>
      </c>
      <c r="BU24" t="s">
        <v>858</v>
      </c>
      <c r="BV24">
        <v>27.23</v>
      </c>
      <c r="BW24">
        <v>28.19</v>
      </c>
      <c r="BX24">
        <v>29.25</v>
      </c>
      <c r="BY24">
        <v>10.85</v>
      </c>
      <c r="BZ24">
        <v>15.01</v>
      </c>
      <c r="CA24">
        <v>11.9</v>
      </c>
      <c r="CB24">
        <v>-1.87</v>
      </c>
      <c r="CC24" s="11">
        <v>-14.86</v>
      </c>
      <c r="CD24" s="12" t="s">
        <v>748</v>
      </c>
      <c r="CE24" s="11" t="s">
        <v>103</v>
      </c>
      <c r="CF24" s="11">
        <v>0.19062499999999999</v>
      </c>
      <c r="CG24" s="12">
        <v>0.14353400450162809</v>
      </c>
      <c r="CH24" s="11">
        <v>0.21695546805858612</v>
      </c>
      <c r="CI24" s="11">
        <v>-8.9626558125019073E-2</v>
      </c>
      <c r="CJ24" s="11">
        <v>0.43281799554824829</v>
      </c>
      <c r="CK24" s="11">
        <v>-4.7565117478370667E-2</v>
      </c>
      <c r="CL24" s="11">
        <v>1.1484185457229614</v>
      </c>
      <c r="CM24" s="12">
        <v>-0.15060241520404816</v>
      </c>
      <c r="CN24" s="12">
        <v>0.14482758939266205</v>
      </c>
      <c r="CO24" s="12">
        <v>-7.6433122158050537E-2</v>
      </c>
      <c r="CP24" s="12">
        <v>0.50961536169052124</v>
      </c>
      <c r="CQ24" s="12">
        <v>0.79532283544540405</v>
      </c>
      <c r="CR24" s="1">
        <v>74.415857350158248</v>
      </c>
      <c r="CS24" s="1">
        <v>2.2400915833414805</v>
      </c>
      <c r="CT24">
        <v>0.2119071644803229</v>
      </c>
      <c r="CU24" s="11">
        <v>0.33220006674528124</v>
      </c>
      <c r="CV24" s="12">
        <v>0.24454604983329772</v>
      </c>
      <c r="CW24">
        <v>0.06</v>
      </c>
      <c r="CX24">
        <v>66.828616425399005</v>
      </c>
      <c r="CY24">
        <v>177207744.72743833</v>
      </c>
      <c r="CZ24">
        <v>0.33220006674528124</v>
      </c>
      <c r="DA24">
        <v>17.895600780483569</v>
      </c>
      <c r="DB24">
        <v>661757520.48040462</v>
      </c>
      <c r="DC24">
        <v>0.31559006340801715</v>
      </c>
      <c r="DD24">
        <v>6.6107443091303386</v>
      </c>
      <c r="DE24">
        <v>1791409234.1529269</v>
      </c>
      <c r="DF24">
        <v>0.2923360587358475</v>
      </c>
      <c r="DG24">
        <v>2.7894429884608622</v>
      </c>
      <c r="DH24">
        <v>4245488597.1820459</v>
      </c>
      <c r="DI24">
        <v>0.26576005339622499</v>
      </c>
      <c r="DJ24">
        <v>0.6056557000930507</v>
      </c>
      <c r="DK24">
        <v>19553268297.781322</v>
      </c>
      <c r="DL24">
        <v>0.23254004672169684</v>
      </c>
      <c r="DM24">
        <v>141000000</v>
      </c>
      <c r="DN24">
        <v>0.33220006674528124</v>
      </c>
      <c r="DO24">
        <v>11842548400</v>
      </c>
      <c r="DP24">
        <v>-867638000</v>
      </c>
      <c r="DQ24" s="13">
        <v>2200</v>
      </c>
      <c r="DR24">
        <v>-0.14157506674528125</v>
      </c>
      <c r="DS24">
        <v>-0.10101204533166963</v>
      </c>
      <c r="DT24">
        <v>5.9999999999999977E-2</v>
      </c>
      <c r="DU24">
        <v>0.15</v>
      </c>
      <c r="DV24">
        <v>0.20999999999999996</v>
      </c>
      <c r="DW24">
        <v>-2.1486000000000001</v>
      </c>
      <c r="DX24">
        <v>0.30252268602540738</v>
      </c>
      <c r="DY24">
        <v>-2.0167208711433755</v>
      </c>
      <c r="DZ24">
        <v>1245</v>
      </c>
      <c r="EA24">
        <v>-2.0126469994068779</v>
      </c>
      <c r="EB24" s="14">
        <v>2</v>
      </c>
      <c r="EC24" s="14">
        <v>0.12851893391720176</v>
      </c>
      <c r="ED24">
        <v>1.1421602030383575</v>
      </c>
      <c r="EE24">
        <v>-3.07131</v>
      </c>
      <c r="EF24">
        <v>-3.10331</v>
      </c>
      <c r="EG24">
        <v>19.112522686025407</v>
      </c>
      <c r="EH24" s="10" t="s">
        <v>1343</v>
      </c>
      <c r="EI24">
        <v>0</v>
      </c>
      <c r="EJ24">
        <v>1</v>
      </c>
      <c r="EK24">
        <v>45470</v>
      </c>
      <c r="EL24">
        <v>1.0900000000000001</v>
      </c>
      <c r="EM24">
        <v>-4.42</v>
      </c>
      <c r="EN24" s="15">
        <v>-1.54</v>
      </c>
      <c r="EO24" s="15">
        <v>7.63</v>
      </c>
      <c r="EP24" s="15">
        <v>-3.2</v>
      </c>
    </row>
    <row r="25" spans="1:146" ht="96" x14ac:dyDescent="0.25">
      <c r="C25" s="7" t="str">
        <f>""&amp;CHAR(10)&amp;Basic_Fundamental_Information_Constructure(F25)&amp;CHAR(10)&amp;Basic_Fundamental_Information_Concatenate("")</f>
        <v xml:space="preserve">
市值46.693119亿, 利润9541.68万; PE; 平均PE302.28; 平均PEG22.34, PB3.99; ROIC5.01%; ROE-8.16%; 股利率0%; 毛利13.3533%; 净利-13.6967%; 上一年度营收增-12.59%, 利润增150.49%; 当季营收增28.57%, 利润增-312.75%; 过往5年营收增13.53%, 利润增-176.83%
Income profile:
</v>
      </c>
      <c r="D25" s="5" t="s">
        <v>628</v>
      </c>
      <c r="E25" t="s">
        <v>629</v>
      </c>
      <c r="F25">
        <v>9.33</v>
      </c>
      <c r="G25">
        <v>2.08</v>
      </c>
      <c r="H25" t="s">
        <v>1344</v>
      </c>
      <c r="I25">
        <v>4669311900</v>
      </c>
      <c r="K25">
        <v>3.99</v>
      </c>
      <c r="L25" t="s">
        <v>107</v>
      </c>
      <c r="M25" t="s">
        <v>798</v>
      </c>
      <c r="N25" t="s">
        <v>820</v>
      </c>
      <c r="O25" t="s">
        <v>1345</v>
      </c>
      <c r="P25" s="5">
        <v>19.559999999999999</v>
      </c>
      <c r="Q25" t="s">
        <v>1346</v>
      </c>
      <c r="R25">
        <v>-46498289</v>
      </c>
      <c r="S25">
        <v>0.18840000000000001</v>
      </c>
      <c r="T25" t="s">
        <v>1347</v>
      </c>
      <c r="U25">
        <v>356425520</v>
      </c>
      <c r="V25">
        <v>500462150</v>
      </c>
      <c r="W25">
        <v>1.91</v>
      </c>
      <c r="X25">
        <v>0.15</v>
      </c>
      <c r="Y25">
        <v>-13.75</v>
      </c>
      <c r="Z25" t="s">
        <v>531</v>
      </c>
      <c r="AA25" t="s">
        <v>658</v>
      </c>
      <c r="AB25" t="s">
        <v>1348</v>
      </c>
      <c r="AC25" t="s">
        <v>1349</v>
      </c>
      <c r="AD25" t="s">
        <v>5</v>
      </c>
      <c r="AE25">
        <v>6999050</v>
      </c>
      <c r="AF25" t="s">
        <v>1350</v>
      </c>
      <c r="AG25">
        <v>52.06</v>
      </c>
      <c r="AH25" t="s">
        <v>1351</v>
      </c>
      <c r="AI25" t="s">
        <v>658</v>
      </c>
      <c r="AJ25" t="s">
        <v>1352</v>
      </c>
      <c r="AK25" t="s">
        <v>5</v>
      </c>
      <c r="AL25" t="s">
        <v>1353</v>
      </c>
      <c r="AM25" t="s">
        <v>5</v>
      </c>
      <c r="AN25" t="s">
        <v>440</v>
      </c>
      <c r="AO25" t="s">
        <v>226</v>
      </c>
      <c r="AP25" t="s">
        <v>1354</v>
      </c>
      <c r="AQ25" t="s">
        <v>420</v>
      </c>
      <c r="AR25" t="s">
        <v>5</v>
      </c>
      <c r="AS25" t="s">
        <v>1355</v>
      </c>
      <c r="AT25" t="s">
        <v>1356</v>
      </c>
      <c r="AU25" t="s">
        <v>1357</v>
      </c>
      <c r="AV25" t="s">
        <v>1358</v>
      </c>
      <c r="AW25" t="s">
        <v>1359</v>
      </c>
      <c r="AX25" t="s">
        <v>630</v>
      </c>
      <c r="AY25" t="s">
        <v>631</v>
      </c>
      <c r="AZ25" t="s">
        <v>632</v>
      </c>
      <c r="BA25" t="s">
        <v>568</v>
      </c>
      <c r="BB25" t="s">
        <v>633</v>
      </c>
      <c r="BC25" t="s">
        <v>351</v>
      </c>
      <c r="BD25" t="s">
        <v>634</v>
      </c>
      <c r="BE25" t="s">
        <v>635</v>
      </c>
      <c r="BF25" t="s">
        <v>636</v>
      </c>
      <c r="BG25" t="s">
        <v>637</v>
      </c>
      <c r="BH25" t="s">
        <v>1360</v>
      </c>
      <c r="BI25" t="s">
        <v>1361</v>
      </c>
      <c r="BJ25" t="s">
        <v>630</v>
      </c>
      <c r="BK25" t="s">
        <v>1362</v>
      </c>
      <c r="BL25" t="s">
        <v>1363</v>
      </c>
      <c r="BM25" t="s">
        <v>351</v>
      </c>
      <c r="BN25" t="s">
        <v>5</v>
      </c>
      <c r="BO25" t="s">
        <v>5</v>
      </c>
      <c r="BP25">
        <v>5.01</v>
      </c>
      <c r="BQ25">
        <v>-12.87</v>
      </c>
      <c r="BR25">
        <v>-14.88</v>
      </c>
      <c r="BS25">
        <v>3.27</v>
      </c>
      <c r="BT25" t="s">
        <v>519</v>
      </c>
      <c r="BU25" t="s">
        <v>858</v>
      </c>
      <c r="BV25">
        <v>4.29</v>
      </c>
      <c r="BW25">
        <v>13.96</v>
      </c>
      <c r="BX25">
        <v>21.81</v>
      </c>
      <c r="BY25">
        <v>-26.7</v>
      </c>
      <c r="BZ25">
        <v>-16.38</v>
      </c>
      <c r="CA25">
        <v>1.99</v>
      </c>
      <c r="CB25">
        <v>-0.32</v>
      </c>
      <c r="CC25" s="11">
        <v>-11.23</v>
      </c>
      <c r="CD25" s="12" t="s">
        <v>1364</v>
      </c>
      <c r="CE25" s="11" t="s">
        <v>43</v>
      </c>
      <c r="CF25" s="11">
        <v>0.2857142857142857</v>
      </c>
      <c r="CG25" s="12">
        <v>-3.1274936744769146</v>
      </c>
      <c r="CH25" s="11">
        <v>-0.12591990828514099</v>
      </c>
      <c r="CI25" s="11">
        <v>2.4590687826275826E-3</v>
      </c>
      <c r="CJ25" s="11">
        <v>0.20911793410778046</v>
      </c>
      <c r="CK25" s="11">
        <v>0.36535859107971191</v>
      </c>
      <c r="CL25" s="11">
        <v>0.22553896903991699</v>
      </c>
      <c r="CM25" s="12">
        <v>1.5048507452011108</v>
      </c>
      <c r="CN25" s="12">
        <v>-9.6449794769287109</v>
      </c>
      <c r="CO25" s="12">
        <v>-0.45455408096313477</v>
      </c>
      <c r="CP25" s="12">
        <v>-0.39742171764373779</v>
      </c>
      <c r="CQ25" s="12">
        <v>0.1507633775472641</v>
      </c>
      <c r="CR25" s="1">
        <v>302.2847484473524</v>
      </c>
      <c r="CS25" s="1">
        <v>22.34000951262902</v>
      </c>
      <c r="CT25">
        <v>0</v>
      </c>
      <c r="CU25" s="11">
        <v>0.1353109309449792</v>
      </c>
      <c r="CV25" s="12">
        <v>-1.7682682305574418</v>
      </c>
      <c r="CW25">
        <v>0.06</v>
      </c>
      <c r="CX25">
        <v>45.259236400732426</v>
      </c>
      <c r="CY25">
        <v>102195977.39225554</v>
      </c>
      <c r="CZ25">
        <v>0.1353109309449792</v>
      </c>
      <c r="DA25">
        <v>14.2364065737336</v>
      </c>
      <c r="DB25">
        <v>324893214.87444556</v>
      </c>
      <c r="DC25">
        <v>0.12854538439773022</v>
      </c>
      <c r="DD25">
        <v>6.6537897933001933</v>
      </c>
      <c r="DE25">
        <v>695139468.43606329</v>
      </c>
      <c r="DF25">
        <v>0.1190736192315817</v>
      </c>
      <c r="DG25">
        <v>3.7640032135328285</v>
      </c>
      <c r="DH25">
        <v>1228827829.7347047</v>
      </c>
      <c r="DI25">
        <v>0.10824874475598337</v>
      </c>
      <c r="DJ25">
        <v>1.6984485384478414</v>
      </c>
      <c r="DK25">
        <v>2723257016.7989469</v>
      </c>
      <c r="DL25">
        <v>9.4717651661485436E-2</v>
      </c>
      <c r="DM25">
        <v>95416800</v>
      </c>
      <c r="DN25">
        <v>0.1353109309449792</v>
      </c>
      <c r="DO25">
        <v>4625311900</v>
      </c>
      <c r="DP25">
        <v>81553720</v>
      </c>
      <c r="DQ25" s="13">
        <v>2303</v>
      </c>
      <c r="DR25">
        <v>0.1504033547693065</v>
      </c>
      <c r="DS25">
        <v>-1.3592254439194729</v>
      </c>
      <c r="DT25">
        <v>-9.000000000000008E-2</v>
      </c>
      <c r="DU25">
        <v>-1.4316666666666666</v>
      </c>
      <c r="DV25">
        <v>-1.5216666666666667</v>
      </c>
      <c r="DW25">
        <v>-2.1122999999999998</v>
      </c>
      <c r="DX25">
        <v>0.37022869565217231</v>
      </c>
      <c r="DY25">
        <v>-2.0179936825217393</v>
      </c>
      <c r="DZ25">
        <v>3251</v>
      </c>
      <c r="EA25">
        <v>-2.0065460383185743</v>
      </c>
      <c r="EB25" s="14">
        <v>2</v>
      </c>
      <c r="EC25" s="14">
        <v>7.3637137194091498E-2</v>
      </c>
      <c r="ED25">
        <v>0.45957521462911827</v>
      </c>
      <c r="EE25">
        <v>2.0482999999999998</v>
      </c>
      <c r="EF25">
        <v>2.008</v>
      </c>
      <c r="EG25">
        <v>21.160228695652172</v>
      </c>
      <c r="EH25" s="10" t="s">
        <v>429</v>
      </c>
      <c r="EI25">
        <v>0</v>
      </c>
      <c r="EJ25">
        <v>0</v>
      </c>
      <c r="EK25">
        <v>45470</v>
      </c>
      <c r="EL25">
        <v>3.88</v>
      </c>
      <c r="EM25">
        <v>-4.92</v>
      </c>
      <c r="EN25" s="15">
        <v>-5.89</v>
      </c>
      <c r="EO25" s="15">
        <v>5.78</v>
      </c>
      <c r="EP25" s="15">
        <v>-4.03</v>
      </c>
    </row>
    <row r="26" spans="1:146" ht="108" x14ac:dyDescent="0.25">
      <c r="C26" s="7" t="str">
        <f>""&amp;CHAR(10)&amp;Basic_Fundamental_Information_Constructure(F26)&amp;CHAR(10)&amp;Basic_Fundamental_Information_Concatenate("")</f>
        <v xml:space="preserve">
市值35.538086亿, 利润18.58亿; PE; 平均PE10.7; 平均PEG.08, PB3.73; ROIC3.44%; ROE-.5267%; 股利率0%; 毛利19.89%; 净利-15.6567%; 上一年度营收增550.57%, 利润增2942.67%; 当季营收增-91.96%, 利润增-103.67%; 过往5年营收增127.6%, 利润增544.13%
Income profile:
</v>
      </c>
      <c r="D26" s="5" t="s">
        <v>638</v>
      </c>
      <c r="E26" t="s">
        <v>639</v>
      </c>
      <c r="F26">
        <v>25.24</v>
      </c>
      <c r="G26">
        <v>1.57</v>
      </c>
      <c r="H26" t="s">
        <v>1365</v>
      </c>
      <c r="I26">
        <v>3553808600</v>
      </c>
      <c r="K26">
        <v>3.73</v>
      </c>
      <c r="L26" t="s">
        <v>107</v>
      </c>
      <c r="M26" t="s">
        <v>1366</v>
      </c>
      <c r="N26" t="s">
        <v>554</v>
      </c>
      <c r="O26" t="s">
        <v>1367</v>
      </c>
      <c r="P26" s="5">
        <v>-23.04</v>
      </c>
      <c r="Q26" t="s">
        <v>1368</v>
      </c>
      <c r="R26">
        <v>-15195141</v>
      </c>
      <c r="S26">
        <v>-23.28</v>
      </c>
      <c r="T26" t="s">
        <v>1369</v>
      </c>
      <c r="U26">
        <v>137421920</v>
      </c>
      <c r="V26">
        <v>140800660</v>
      </c>
      <c r="W26">
        <v>1.1100000000000001</v>
      </c>
      <c r="X26">
        <v>0.05</v>
      </c>
      <c r="Y26">
        <v>-35.18</v>
      </c>
      <c r="Z26" t="s">
        <v>1370</v>
      </c>
      <c r="AA26" t="s">
        <v>1371</v>
      </c>
      <c r="AB26" t="s">
        <v>1372</v>
      </c>
      <c r="AC26" t="s">
        <v>1373</v>
      </c>
      <c r="AD26" t="s">
        <v>5</v>
      </c>
      <c r="AE26">
        <v>-392219</v>
      </c>
      <c r="AF26" t="s">
        <v>21</v>
      </c>
      <c r="AG26">
        <v>0.17</v>
      </c>
      <c r="AH26" t="s">
        <v>1374</v>
      </c>
      <c r="AI26" t="s">
        <v>422</v>
      </c>
      <c r="AJ26" t="s">
        <v>1375</v>
      </c>
      <c r="AK26" t="s">
        <v>1376</v>
      </c>
      <c r="AL26" t="s">
        <v>1377</v>
      </c>
      <c r="AM26" t="s">
        <v>5</v>
      </c>
      <c r="AN26" t="s">
        <v>1378</v>
      </c>
      <c r="AO26" t="s">
        <v>416</v>
      </c>
      <c r="AP26" t="s">
        <v>5</v>
      </c>
      <c r="AQ26" t="s">
        <v>1379</v>
      </c>
      <c r="AR26" t="s">
        <v>5</v>
      </c>
      <c r="AS26" t="s">
        <v>52</v>
      </c>
      <c r="AT26" t="s">
        <v>5</v>
      </c>
      <c r="AU26" t="s">
        <v>1380</v>
      </c>
      <c r="AV26" t="s">
        <v>1381</v>
      </c>
      <c r="AW26" t="s">
        <v>1382</v>
      </c>
      <c r="AX26" t="s">
        <v>551</v>
      </c>
      <c r="AY26" t="s">
        <v>324</v>
      </c>
      <c r="AZ26" t="s">
        <v>640</v>
      </c>
      <c r="BA26" t="s">
        <v>323</v>
      </c>
      <c r="BB26" t="s">
        <v>455</v>
      </c>
      <c r="BC26" t="s">
        <v>1383</v>
      </c>
      <c r="BD26" t="s">
        <v>641</v>
      </c>
      <c r="BE26" t="s">
        <v>642</v>
      </c>
      <c r="BF26" t="s">
        <v>643</v>
      </c>
      <c r="BG26" t="s">
        <v>644</v>
      </c>
      <c r="BH26" t="s">
        <v>1384</v>
      </c>
      <c r="BI26" t="s">
        <v>1385</v>
      </c>
      <c r="BJ26" t="s">
        <v>551</v>
      </c>
      <c r="BK26" t="s">
        <v>767</v>
      </c>
      <c r="BL26" t="s">
        <v>60</v>
      </c>
      <c r="BM26" t="s">
        <v>1383</v>
      </c>
      <c r="BN26" t="s">
        <v>5</v>
      </c>
      <c r="BO26" t="s">
        <v>5</v>
      </c>
      <c r="BP26">
        <v>3.44</v>
      </c>
      <c r="BQ26">
        <v>-0.35</v>
      </c>
      <c r="BR26">
        <v>-5.82</v>
      </c>
      <c r="BS26">
        <v>4.59</v>
      </c>
      <c r="BT26" t="s">
        <v>519</v>
      </c>
      <c r="BU26" t="s">
        <v>858</v>
      </c>
      <c r="BV26">
        <v>13.1</v>
      </c>
      <c r="BW26">
        <v>16.149999999999999</v>
      </c>
      <c r="BX26">
        <v>30.42</v>
      </c>
      <c r="BY26">
        <v>-46.8</v>
      </c>
      <c r="BZ26">
        <v>-15.52</v>
      </c>
      <c r="CA26">
        <v>15.35</v>
      </c>
      <c r="CB26">
        <v>1.65</v>
      </c>
      <c r="CC26" s="11">
        <v>-4.03</v>
      </c>
      <c r="CD26" s="12" t="s">
        <v>1386</v>
      </c>
      <c r="CE26" s="11" t="s">
        <v>1387</v>
      </c>
      <c r="CF26" s="11">
        <v>-0.91959222222222226</v>
      </c>
      <c r="CG26" s="12">
        <v>-1.0367032391304347</v>
      </c>
      <c r="CH26" s="11">
        <v>5.505669116973877</v>
      </c>
      <c r="CI26" s="11">
        <v>0.4699999988079071</v>
      </c>
      <c r="CJ26" s="11">
        <v>-3.2258063554763794E-2</v>
      </c>
      <c r="CK26" s="11">
        <v>0.18320611119270325</v>
      </c>
      <c r="CL26" s="11">
        <v>0.25358852744102478</v>
      </c>
      <c r="CM26" s="12">
        <v>29.426738739013672</v>
      </c>
      <c r="CN26" s="12">
        <v>-2.3453221321105957</v>
      </c>
      <c r="CO26" s="12">
        <v>-0.12512673437595367</v>
      </c>
      <c r="CP26" s="12">
        <v>5.0560064613819122E-2</v>
      </c>
      <c r="CQ26" s="12">
        <v>0.19941504299640656</v>
      </c>
      <c r="CR26" s="1">
        <v>10.695186761290028</v>
      </c>
      <c r="CS26" s="1">
        <v>8.3815375863275254E-2</v>
      </c>
      <c r="CT26">
        <v>0</v>
      </c>
      <c r="CU26" s="11">
        <v>1.2760411381721497</v>
      </c>
      <c r="CV26" s="12">
        <v>5.4412529960274698</v>
      </c>
      <c r="CW26">
        <v>0.06</v>
      </c>
      <c r="CX26">
        <v>0.66945719602878395</v>
      </c>
      <c r="CY26">
        <v>3989513617.6640124</v>
      </c>
      <c r="CZ26">
        <v>1.2760411381721497</v>
      </c>
      <c r="DA26">
        <v>9.2542783229508235E-2</v>
      </c>
      <c r="DB26">
        <v>28860257999.549606</v>
      </c>
      <c r="DC26">
        <v>1.2122390812635422</v>
      </c>
      <c r="DD26">
        <v>1.1328805488467543E-2</v>
      </c>
      <c r="DE26">
        <v>235753769690.79575</v>
      </c>
      <c r="DF26">
        <v>1.1229162015914917</v>
      </c>
      <c r="DG26">
        <v>1.0793304115308366E-3</v>
      </c>
      <c r="DH26">
        <v>2474505092663.8276</v>
      </c>
      <c r="DI26">
        <v>1.0208329105377199</v>
      </c>
      <c r="DJ26">
        <v>5.797189247055289E-6</v>
      </c>
      <c r="DK26">
        <v>460707506030901.19</v>
      </c>
      <c r="DL26">
        <v>0.8932287967205047</v>
      </c>
      <c r="DM26">
        <v>1857999999.9999998</v>
      </c>
      <c r="DN26">
        <v>1.2760411381721497</v>
      </c>
      <c r="DO26">
        <v>2670808600</v>
      </c>
      <c r="DP26">
        <v>259613480</v>
      </c>
      <c r="DQ26" s="13">
        <v>2351</v>
      </c>
      <c r="DR26">
        <v>-2.1956333603943721</v>
      </c>
      <c r="DS26">
        <v>-6.4779562351579045</v>
      </c>
      <c r="DT26">
        <v>0.22666666666666657</v>
      </c>
      <c r="DU26">
        <v>-1.2150000000000001</v>
      </c>
      <c r="DV26">
        <v>-0.98833333333333351</v>
      </c>
      <c r="DW26">
        <v>-1.0403</v>
      </c>
      <c r="DX26">
        <v>0.51423841626869238</v>
      </c>
      <c r="DY26">
        <v>-1.0086338081756283</v>
      </c>
      <c r="DZ26">
        <v>2437</v>
      </c>
      <c r="EA26">
        <v>-1.0045162757834549</v>
      </c>
      <c r="EB26" s="14">
        <v>1</v>
      </c>
      <c r="EC26" s="14">
        <v>0.11652857309049545</v>
      </c>
      <c r="ED26">
        <v>0.54392003560210589</v>
      </c>
      <c r="EE26">
        <v>5.0685099999999998</v>
      </c>
      <c r="EF26">
        <v>5.0880099999999997</v>
      </c>
      <c r="EG26">
        <v>30.214238416268692</v>
      </c>
      <c r="EH26" s="10" t="s">
        <v>827</v>
      </c>
      <c r="EI26">
        <v>0</v>
      </c>
      <c r="EJ26">
        <v>0</v>
      </c>
      <c r="EK26">
        <v>45470</v>
      </c>
      <c r="EL26">
        <v>-0.3</v>
      </c>
      <c r="EM26">
        <v>-4.08</v>
      </c>
      <c r="EN26" s="15">
        <v>2.68</v>
      </c>
      <c r="EO26" s="15">
        <v>2.46</v>
      </c>
      <c r="EP26" s="15">
        <v>-1.95</v>
      </c>
    </row>
    <row r="27" spans="1:146" ht="108" x14ac:dyDescent="0.25">
      <c r="A27" s="7"/>
      <c r="B27" s="7"/>
      <c r="C27" s="7" t="str">
        <f>""&amp;CHAR(10)&amp;Basic_Fundamental_Information_Constructure(F27)&amp;CHAR(10)&amp;Basic_Fundamental_Information_Concatenate("")</f>
        <v xml:space="preserve">
市值22.878509亿, 利润3218.89万; PE76.94; 平均PE38.63; 平均PEG4.83, PB2.74; ROIC5.0367%; ROE5.5367%; 股利率1.1527%; 毛利34.1533%; 净利8.7%; 上一年度营收增-72.66%, 利润增-43.83%; 当季营收增525.23%, 利润增-84.75%; 过往5年营收增-8%, 利润增-6.74%
Income profile:
</v>
      </c>
      <c r="D27" t="s">
        <v>235</v>
      </c>
      <c r="E27" t="s">
        <v>236</v>
      </c>
      <c r="F27">
        <v>17.350000000000001</v>
      </c>
      <c r="G27">
        <v>6.31</v>
      </c>
      <c r="H27" t="s">
        <v>1388</v>
      </c>
      <c r="I27">
        <v>2287850900</v>
      </c>
      <c r="J27">
        <v>76.94</v>
      </c>
      <c r="K27">
        <v>2.74</v>
      </c>
      <c r="L27" t="s">
        <v>107</v>
      </c>
      <c r="M27" t="s">
        <v>806</v>
      </c>
      <c r="N27" t="s">
        <v>1389</v>
      </c>
      <c r="O27" t="s">
        <v>55</v>
      </c>
      <c r="P27">
        <v>22.83</v>
      </c>
      <c r="Q27" t="s">
        <v>422</v>
      </c>
      <c r="R27">
        <v>1211680</v>
      </c>
      <c r="S27" s="5">
        <v>-0.86539999999999995</v>
      </c>
      <c r="T27" t="s">
        <v>1390</v>
      </c>
      <c r="U27">
        <v>79417105</v>
      </c>
      <c r="V27">
        <v>131864605</v>
      </c>
      <c r="W27">
        <v>1.19</v>
      </c>
      <c r="X27">
        <v>0.17</v>
      </c>
      <c r="Y27">
        <v>0.37</v>
      </c>
      <c r="Z27" t="s">
        <v>522</v>
      </c>
      <c r="AA27" t="s">
        <v>610</v>
      </c>
      <c r="AB27" t="s">
        <v>1391</v>
      </c>
      <c r="AC27" t="s">
        <v>1392</v>
      </c>
      <c r="AD27" t="s">
        <v>5</v>
      </c>
      <c r="AE27">
        <v>-70440</v>
      </c>
      <c r="AF27" t="s">
        <v>1393</v>
      </c>
      <c r="AG27" t="s">
        <v>1394</v>
      </c>
      <c r="AH27" t="s">
        <v>1395</v>
      </c>
      <c r="AI27" t="s">
        <v>35</v>
      </c>
      <c r="AJ27" t="s">
        <v>1396</v>
      </c>
      <c r="AK27" t="s">
        <v>1397</v>
      </c>
      <c r="AL27" t="s">
        <v>1398</v>
      </c>
      <c r="AM27" t="s">
        <v>5</v>
      </c>
      <c r="AN27" t="s">
        <v>1399</v>
      </c>
      <c r="AO27" t="s">
        <v>5</v>
      </c>
      <c r="AP27" t="s">
        <v>1400</v>
      </c>
      <c r="AQ27" t="s">
        <v>1401</v>
      </c>
      <c r="AR27" t="s">
        <v>5</v>
      </c>
      <c r="AS27" t="s">
        <v>829</v>
      </c>
      <c r="AT27" t="s">
        <v>5</v>
      </c>
      <c r="AU27" t="s">
        <v>1402</v>
      </c>
      <c r="AV27" t="s">
        <v>1403</v>
      </c>
      <c r="AW27" t="s">
        <v>1404</v>
      </c>
      <c r="AX27" t="s">
        <v>647</v>
      </c>
      <c r="AY27" t="s">
        <v>346</v>
      </c>
      <c r="AZ27" t="s">
        <v>237</v>
      </c>
      <c r="BA27" t="s">
        <v>239</v>
      </c>
      <c r="BB27" t="s">
        <v>240</v>
      </c>
      <c r="BC27" t="s">
        <v>1405</v>
      </c>
      <c r="BD27" t="s">
        <v>347</v>
      </c>
      <c r="BE27" t="s">
        <v>238</v>
      </c>
      <c r="BF27" t="s">
        <v>241</v>
      </c>
      <c r="BG27" t="s">
        <v>242</v>
      </c>
      <c r="BH27" t="s">
        <v>801</v>
      </c>
      <c r="BI27" t="s">
        <v>1406</v>
      </c>
      <c r="BJ27" t="s">
        <v>647</v>
      </c>
      <c r="BK27" t="s">
        <v>1407</v>
      </c>
      <c r="BL27" t="s">
        <v>1408</v>
      </c>
      <c r="BM27" t="s">
        <v>1405</v>
      </c>
      <c r="BN27">
        <v>1.53</v>
      </c>
      <c r="BO27">
        <v>6.43</v>
      </c>
      <c r="BP27">
        <v>7.15</v>
      </c>
      <c r="BQ27">
        <v>1.87</v>
      </c>
      <c r="BR27">
        <v>6.92</v>
      </c>
      <c r="BS27">
        <v>7.82</v>
      </c>
      <c r="BT27" t="s">
        <v>523</v>
      </c>
      <c r="BU27" t="s">
        <v>858</v>
      </c>
      <c r="BV27">
        <v>32.1</v>
      </c>
      <c r="BW27">
        <v>36.520000000000003</v>
      </c>
      <c r="BX27">
        <v>33.840000000000003</v>
      </c>
      <c r="BY27">
        <v>5.69</v>
      </c>
      <c r="BZ27">
        <v>9.6199999999999992</v>
      </c>
      <c r="CA27">
        <v>10.79</v>
      </c>
      <c r="CB27">
        <v>0.17</v>
      </c>
      <c r="CC27">
        <v>-1.98</v>
      </c>
      <c r="CD27" t="s">
        <v>1409</v>
      </c>
      <c r="CE27" t="s">
        <v>1410</v>
      </c>
      <c r="CF27" s="11">
        <v>5.2522851919561244</v>
      </c>
      <c r="CG27" s="12">
        <v>-0.84745886470358667</v>
      </c>
      <c r="CH27" s="11">
        <v>-0.72663140296936035</v>
      </c>
      <c r="CI27" s="11">
        <v>-1.7331022769212723E-2</v>
      </c>
      <c r="CJ27" s="11">
        <v>0.16565656661987305</v>
      </c>
      <c r="CK27" s="11">
        <v>-1.3944223523139954E-2</v>
      </c>
      <c r="CL27" s="11">
        <v>0.19239905476570129</v>
      </c>
      <c r="CM27" s="12">
        <v>-0.43830576539039612</v>
      </c>
      <c r="CN27" s="12">
        <v>-8.7760403752326965E-2</v>
      </c>
      <c r="CO27" s="12">
        <v>-0.17416562139987946</v>
      </c>
      <c r="CP27" s="12">
        <v>5.7957306504249573E-2</v>
      </c>
      <c r="CQ27" s="12">
        <v>0.30532944202423096</v>
      </c>
      <c r="CR27">
        <v>38.627860133720539</v>
      </c>
      <c r="CS27">
        <v>4.8302814599349029</v>
      </c>
      <c r="CT27">
        <v>1.1527377521613833</v>
      </c>
      <c r="CU27" s="11">
        <v>-7.9970205575227743E-2</v>
      </c>
      <c r="CV27" s="12">
        <v>-6.7389008402824399E-2</v>
      </c>
      <c r="CW27">
        <v>0.06</v>
      </c>
      <c r="CX27">
        <v>50.261142816312457</v>
      </c>
      <c r="CY27" t="s">
        <v>1411</v>
      </c>
      <c r="CZ27">
        <v>-7.9970205575227743E-2</v>
      </c>
      <c r="DA27">
        <v>16.753714272104151</v>
      </c>
      <c r="DB27" t="s">
        <v>1412</v>
      </c>
      <c r="DC27">
        <v>-7.5971695296466357E-2</v>
      </c>
      <c r="DD27">
        <v>8.3768571360520756</v>
      </c>
      <c r="DE27" t="s">
        <v>1413</v>
      </c>
      <c r="DF27">
        <v>-7.0373780906200417E-2</v>
      </c>
      <c r="DG27">
        <v>5.0261142816312452</v>
      </c>
      <c r="DH27" t="s">
        <v>1414</v>
      </c>
      <c r="DI27">
        <v>-6.39761644601822E-2</v>
      </c>
      <c r="DJ27">
        <v>2.5130571408156226</v>
      </c>
      <c r="DK27" t="s">
        <v>1415</v>
      </c>
      <c r="DL27">
        <v>-5.5979143902659415E-2</v>
      </c>
      <c r="DM27">
        <v>32188900</v>
      </c>
      <c r="DN27">
        <v>-7.9970205575227743E-2</v>
      </c>
      <c r="DO27">
        <v>1617850900</v>
      </c>
      <c r="DP27">
        <v>731728960</v>
      </c>
      <c r="DQ27">
        <v>2376</v>
      </c>
      <c r="DR27">
        <v>5.3322553975313518</v>
      </c>
      <c r="DS27">
        <v>-0.78006985630076231</v>
      </c>
      <c r="DT27" s="13">
        <v>-0.54</v>
      </c>
      <c r="DU27">
        <v>-0.64</v>
      </c>
      <c r="DV27">
        <v>-1.1800000000000002</v>
      </c>
      <c r="DW27">
        <v>-1.9799999999999998E-2</v>
      </c>
      <c r="DX27">
        <v>0.56699027314245543</v>
      </c>
      <c r="DY27">
        <v>-5.8804074082206212E-3</v>
      </c>
      <c r="DZ27">
        <v>2890</v>
      </c>
      <c r="EA27">
        <v>-2.5546975432974126E-3</v>
      </c>
      <c r="EB27">
        <v>0</v>
      </c>
      <c r="EC27">
        <v>0.16412137282783351</v>
      </c>
      <c r="ED27">
        <v>0.5526153132601429</v>
      </c>
      <c r="EE27" s="14">
        <v>6.7210000000000006E-2</v>
      </c>
      <c r="EF27">
        <v>3.9100000000000003E-3</v>
      </c>
      <c r="EG27">
        <v>27.296990273142455</v>
      </c>
      <c r="EH27">
        <v>-1</v>
      </c>
      <c r="EI27">
        <v>0</v>
      </c>
      <c r="EJ27">
        <v>0</v>
      </c>
      <c r="EK27" s="10">
        <v>45470</v>
      </c>
      <c r="EL27" s="15">
        <v>-1.63</v>
      </c>
      <c r="EM27" s="15">
        <v>3.17</v>
      </c>
      <c r="EN27" s="15">
        <v>-5.01</v>
      </c>
      <c r="EO27" s="15">
        <v>2.25</v>
      </c>
      <c r="EP27" s="15">
        <v>6.33</v>
      </c>
    </row>
    <row r="28" spans="1:146" ht="120" x14ac:dyDescent="0.25">
      <c r="A28" s="7" t="s">
        <v>300</v>
      </c>
      <c r="B28" s="7" t="s">
        <v>301</v>
      </c>
      <c r="C28" s="7" t="str">
        <f>""&amp;CHAR(10)&amp;Basic_Fundamental_Information_Constructure(F28)&amp;CHAR(10)&amp;Basic_Fundamental_Information_Concatenate("移动信息服务 11.02亿 99.99%（毛利12.30%）其他业务0.01%")</f>
        <v xml:space="preserve">
市值20.149075亿, 利润3584.44万; PE206.8; 平均PE32.7; 平均PEG1.5, PB1.7; ROIC5.19%; ROE5.3667%; 股利率1.0878%; 毛利7.78%; 净利3.54%; 上一年度营收增-81.47%, 利润增-28.48%; 当季营收增860.92%, 利润增40.24%; 过往5年营收增21.73%, 利润增-4.03%
Income profile:
移动信息服务 11.02亿 99.99%（毛利12.30%）其他业务0.01%</v>
      </c>
      <c r="D28" t="s">
        <v>243</v>
      </c>
      <c r="E28" t="s">
        <v>244</v>
      </c>
      <c r="F28">
        <v>24.82</v>
      </c>
      <c r="G28">
        <v>1.93</v>
      </c>
      <c r="H28" t="s">
        <v>1416</v>
      </c>
      <c r="I28">
        <v>2014907500</v>
      </c>
      <c r="J28">
        <v>206.8</v>
      </c>
      <c r="K28">
        <v>1.7</v>
      </c>
      <c r="L28" t="s">
        <v>107</v>
      </c>
      <c r="M28" t="s">
        <v>575</v>
      </c>
      <c r="N28" t="s">
        <v>1417</v>
      </c>
      <c r="O28" t="s">
        <v>814</v>
      </c>
      <c r="P28">
        <v>-23.86</v>
      </c>
      <c r="Q28" t="s">
        <v>1418</v>
      </c>
      <c r="R28">
        <v>-3974568</v>
      </c>
      <c r="S28" s="5">
        <v>-1.3140000000000001</v>
      </c>
      <c r="T28" t="s">
        <v>1419</v>
      </c>
      <c r="U28">
        <v>38355996</v>
      </c>
      <c r="V28">
        <v>81180800</v>
      </c>
      <c r="W28">
        <v>1.1399999999999999</v>
      </c>
      <c r="X28">
        <v>0.28000000000000003</v>
      </c>
      <c r="Y28">
        <v>-1.1299999999999999</v>
      </c>
      <c r="Z28" t="s">
        <v>1420</v>
      </c>
      <c r="AA28" t="s">
        <v>970</v>
      </c>
      <c r="AB28" t="s">
        <v>1421</v>
      </c>
      <c r="AC28" t="s">
        <v>1422</v>
      </c>
      <c r="AD28" t="s">
        <v>5</v>
      </c>
      <c r="AE28">
        <v>-2421678</v>
      </c>
      <c r="AF28" t="s">
        <v>1423</v>
      </c>
      <c r="AG28" t="s">
        <v>5</v>
      </c>
      <c r="AH28" t="s">
        <v>1424</v>
      </c>
      <c r="AI28" t="s">
        <v>113</v>
      </c>
      <c r="AJ28" t="s">
        <v>1425</v>
      </c>
      <c r="AK28" t="s">
        <v>1426</v>
      </c>
      <c r="AL28" t="s">
        <v>1427</v>
      </c>
      <c r="AM28" t="s">
        <v>5</v>
      </c>
      <c r="AN28">
        <v>0</v>
      </c>
      <c r="AO28" t="s">
        <v>1428</v>
      </c>
      <c r="AP28" t="s">
        <v>5</v>
      </c>
      <c r="AQ28" t="s">
        <v>1429</v>
      </c>
      <c r="AR28" t="s">
        <v>5</v>
      </c>
      <c r="AS28" t="s">
        <v>424</v>
      </c>
      <c r="AT28" t="s">
        <v>5</v>
      </c>
      <c r="AU28" t="s">
        <v>1430</v>
      </c>
      <c r="AV28" t="s">
        <v>1431</v>
      </c>
      <c r="AW28" t="s">
        <v>1432</v>
      </c>
      <c r="AX28" t="s">
        <v>648</v>
      </c>
      <c r="AY28" t="s">
        <v>348</v>
      </c>
      <c r="AZ28" t="s">
        <v>103</v>
      </c>
      <c r="BA28" t="s">
        <v>246</v>
      </c>
      <c r="BB28" t="s">
        <v>247</v>
      </c>
      <c r="BC28" t="s">
        <v>649</v>
      </c>
      <c r="BD28" t="s">
        <v>349</v>
      </c>
      <c r="BE28" t="s">
        <v>245</v>
      </c>
      <c r="BF28" t="s">
        <v>248</v>
      </c>
      <c r="BG28" t="s">
        <v>249</v>
      </c>
      <c r="BH28" t="s">
        <v>1433</v>
      </c>
      <c r="BI28" t="s">
        <v>1434</v>
      </c>
      <c r="BJ28" t="s">
        <v>648</v>
      </c>
      <c r="BK28" t="s">
        <v>1435</v>
      </c>
      <c r="BL28" t="s">
        <v>1436</v>
      </c>
      <c r="BM28" t="s">
        <v>649</v>
      </c>
      <c r="BN28">
        <v>1.65</v>
      </c>
      <c r="BO28">
        <v>3.52</v>
      </c>
      <c r="BP28">
        <v>10.4</v>
      </c>
      <c r="BQ28">
        <v>2.4500000000000002</v>
      </c>
      <c r="BR28">
        <v>4.37</v>
      </c>
      <c r="BS28">
        <v>9.2799999999999994</v>
      </c>
      <c r="BT28" t="s">
        <v>1437</v>
      </c>
      <c r="BU28" t="s">
        <v>858</v>
      </c>
      <c r="BV28">
        <v>6.03</v>
      </c>
      <c r="BW28">
        <v>6.96</v>
      </c>
      <c r="BX28">
        <v>10.35</v>
      </c>
      <c r="BY28">
        <v>1.52</v>
      </c>
      <c r="BZ28">
        <v>2.54</v>
      </c>
      <c r="CA28">
        <v>6.56</v>
      </c>
      <c r="CB28">
        <v>-11.7</v>
      </c>
      <c r="CC28">
        <v>-5.3</v>
      </c>
      <c r="CD28" t="s">
        <v>1438</v>
      </c>
      <c r="CE28" t="s">
        <v>1439</v>
      </c>
      <c r="CF28" s="11">
        <v>8.6092329556230442</v>
      </c>
      <c r="CG28" s="12">
        <v>0.40240147949901517</v>
      </c>
      <c r="CH28" s="11">
        <v>-0.81466180086135864</v>
      </c>
      <c r="CI28" s="11">
        <v>0.49575278162956238</v>
      </c>
      <c r="CJ28" s="11">
        <v>0.17513617873191833</v>
      </c>
      <c r="CK28" s="11">
        <v>1.0714285373687744</v>
      </c>
      <c r="CL28" s="11">
        <v>0.1590413898229599</v>
      </c>
      <c r="CM28" s="12">
        <v>-0.28481128811836243</v>
      </c>
      <c r="CN28" s="12">
        <v>-0.4096502959728241</v>
      </c>
      <c r="CO28" s="12">
        <v>1.8938129767775536E-2</v>
      </c>
      <c r="CP28" s="12">
        <v>0.37981286644935608</v>
      </c>
      <c r="CQ28" s="12">
        <v>9.4275474548339844E-2</v>
      </c>
      <c r="CR28">
        <v>32.696709894657133</v>
      </c>
      <c r="CS28">
        <v>1.5044077275569527</v>
      </c>
      <c r="CT28">
        <v>1.0878323932312652</v>
      </c>
      <c r="CU28" s="11">
        <v>0.21733941733837128</v>
      </c>
      <c r="CV28" s="12">
        <v>-4.0287022665143016E-2</v>
      </c>
      <c r="CW28">
        <v>0.06</v>
      </c>
      <c r="CX28">
        <v>23.707268648777152</v>
      </c>
      <c r="CY28">
        <v>41164906.614003316</v>
      </c>
      <c r="CZ28">
        <v>0.21733941733837128</v>
      </c>
      <c r="DA28">
        <v>6.9666050436711027</v>
      </c>
      <c r="DB28">
        <v>140083655.36475691</v>
      </c>
      <c r="DC28">
        <v>0.20647244647145271</v>
      </c>
      <c r="DD28">
        <v>2.9565805213756056</v>
      </c>
      <c r="DE28">
        <v>330079797.57166916</v>
      </c>
      <c r="DF28">
        <v>0.19125868725776674</v>
      </c>
      <c r="DG28">
        <v>1.4885548290283375</v>
      </c>
      <c r="DH28">
        <v>655607358.87507021</v>
      </c>
      <c r="DI28">
        <v>0.17387153387069704</v>
      </c>
      <c r="DJ28">
        <v>0.50679098098347009</v>
      </c>
      <c r="DK28">
        <v>1925660748.946578</v>
      </c>
      <c r="DL28">
        <v>0.1521375921368599</v>
      </c>
      <c r="DM28">
        <v>35844400</v>
      </c>
      <c r="DN28">
        <v>0.21733941733837128</v>
      </c>
      <c r="DO28">
        <v>975907500</v>
      </c>
      <c r="DP28">
        <v>939469590</v>
      </c>
      <c r="DQ28">
        <v>2410</v>
      </c>
      <c r="DR28">
        <v>8.3918935382846733</v>
      </c>
      <c r="DS28">
        <v>0.44268850216415817</v>
      </c>
      <c r="DT28" s="13">
        <v>-0.15666666666666673</v>
      </c>
      <c r="DU28">
        <v>-0.65833333333333333</v>
      </c>
      <c r="DV28">
        <v>-0.81500000000000006</v>
      </c>
      <c r="DW28">
        <v>-5.4529914529914532</v>
      </c>
      <c r="DX28">
        <v>0.5821493377051622</v>
      </c>
      <c r="DY28">
        <v>-5.2002898709262704</v>
      </c>
      <c r="DZ28">
        <v>3714</v>
      </c>
      <c r="EA28">
        <v>-5.0547171545622449</v>
      </c>
      <c r="EB28">
        <v>5</v>
      </c>
      <c r="EC28">
        <v>0.2338804249280618</v>
      </c>
      <c r="ED28">
        <v>0.5289625133036383</v>
      </c>
      <c r="EE28" s="14">
        <v>0.14000000000000001</v>
      </c>
      <c r="EF28">
        <v>0.12790000000000001</v>
      </c>
      <c r="EG28">
        <v>14.442149337705162</v>
      </c>
      <c r="EH28" t="s">
        <v>417</v>
      </c>
      <c r="EI28">
        <v>0</v>
      </c>
      <c r="EJ28">
        <v>0</v>
      </c>
      <c r="EK28" s="10">
        <v>45470</v>
      </c>
      <c r="EL28" s="15">
        <v>2.27</v>
      </c>
      <c r="EM28" s="15">
        <v>-5.36</v>
      </c>
      <c r="EN28" s="15">
        <v>1.07</v>
      </c>
      <c r="EO28" s="15">
        <v>3.57</v>
      </c>
      <c r="EP28" s="15">
        <v>-1.21</v>
      </c>
    </row>
    <row r="29" spans="1:146" ht="108" x14ac:dyDescent="0.25">
      <c r="A29" s="7"/>
      <c r="B29" s="7"/>
      <c r="C29" s="7" t="str">
        <f>""&amp;CHAR(10)&amp;Basic_Fundamental_Information_Constructure(F29)&amp;CHAR(10)&amp;Basic_Fundamental_Information_Concatenate("")</f>
        <v xml:space="preserve">
市值25.288806亿, 利润4813.20万; PE37.09; 平均PE32.57; 平均PEG1.46, PB1.31; ROIC9.0833%; ROE10.6067%; 股利率.274%; 毛利15.91%; 净利5.4667%; 上一年度营收增-77.03%, 利润增-61.49%; 当季营收增267.54%, 利润增55.14%; 过往5年营收增22.24%, 利润增18.45%
Income profile:
</v>
      </c>
      <c r="D29" t="s">
        <v>432</v>
      </c>
      <c r="E29" t="s">
        <v>433</v>
      </c>
      <c r="F29">
        <v>20.8</v>
      </c>
      <c r="G29">
        <v>1.96</v>
      </c>
      <c r="H29" t="s">
        <v>1440</v>
      </c>
      <c r="I29">
        <v>2528880600</v>
      </c>
      <c r="J29">
        <v>37.090000000000003</v>
      </c>
      <c r="K29">
        <v>1.31</v>
      </c>
      <c r="L29" t="s">
        <v>107</v>
      </c>
      <c r="M29" t="s">
        <v>1441</v>
      </c>
      <c r="N29" t="s">
        <v>1442</v>
      </c>
      <c r="O29" t="s">
        <v>1443</v>
      </c>
      <c r="P29">
        <v>-4.6100000000000003</v>
      </c>
      <c r="Q29" t="s">
        <v>1444</v>
      </c>
      <c r="R29">
        <v>20323398</v>
      </c>
      <c r="S29" s="5">
        <v>-5.11E-2</v>
      </c>
      <c r="T29" t="s">
        <v>1445</v>
      </c>
      <c r="U29">
        <v>71723517</v>
      </c>
      <c r="V29">
        <v>121580800</v>
      </c>
      <c r="W29">
        <v>1.47</v>
      </c>
      <c r="X29">
        <v>0.15</v>
      </c>
      <c r="Y29">
        <v>4.84</v>
      </c>
      <c r="Z29" t="s">
        <v>1082</v>
      </c>
      <c r="AA29" t="s">
        <v>1446</v>
      </c>
      <c r="AB29" t="s">
        <v>1447</v>
      </c>
      <c r="AC29" t="s">
        <v>1448</v>
      </c>
      <c r="AD29" t="s">
        <v>5</v>
      </c>
      <c r="AE29">
        <v>2038951</v>
      </c>
      <c r="AF29" t="s">
        <v>1449</v>
      </c>
      <c r="AG29" t="s">
        <v>1450</v>
      </c>
      <c r="AH29" t="s">
        <v>1451</v>
      </c>
      <c r="AI29" t="s">
        <v>226</v>
      </c>
      <c r="AJ29" t="s">
        <v>1452</v>
      </c>
      <c r="AK29" t="s">
        <v>1453</v>
      </c>
      <c r="AL29" t="s">
        <v>1454</v>
      </c>
      <c r="AM29" t="s">
        <v>5</v>
      </c>
      <c r="AN29" t="s">
        <v>40</v>
      </c>
      <c r="AO29" t="s">
        <v>31</v>
      </c>
      <c r="AP29" t="s">
        <v>921</v>
      </c>
      <c r="AQ29" t="s">
        <v>1455</v>
      </c>
      <c r="AR29" t="s">
        <v>5</v>
      </c>
      <c r="AS29" t="s">
        <v>1456</v>
      </c>
      <c r="AT29" t="s">
        <v>5</v>
      </c>
      <c r="AU29" t="s">
        <v>590</v>
      </c>
      <c r="AV29" t="s">
        <v>1457</v>
      </c>
      <c r="AW29" t="s">
        <v>1458</v>
      </c>
      <c r="AX29" t="s">
        <v>650</v>
      </c>
      <c r="AY29" t="s">
        <v>434</v>
      </c>
      <c r="AZ29" t="s">
        <v>335</v>
      </c>
      <c r="BA29" t="s">
        <v>435</v>
      </c>
      <c r="BB29" t="s">
        <v>436</v>
      </c>
      <c r="BC29" t="s">
        <v>610</v>
      </c>
      <c r="BD29" t="s">
        <v>32</v>
      </c>
      <c r="BE29" t="s">
        <v>437</v>
      </c>
      <c r="BF29" t="s">
        <v>438</v>
      </c>
      <c r="BG29" t="s">
        <v>439</v>
      </c>
      <c r="BH29" t="s">
        <v>1459</v>
      </c>
      <c r="BI29" t="s">
        <v>36</v>
      </c>
      <c r="BJ29" t="s">
        <v>650</v>
      </c>
      <c r="BK29" t="s">
        <v>1460</v>
      </c>
      <c r="BL29" t="s">
        <v>1461</v>
      </c>
      <c r="BM29" t="s">
        <v>610</v>
      </c>
      <c r="BN29">
        <v>2.88</v>
      </c>
      <c r="BO29">
        <v>9.2899999999999991</v>
      </c>
      <c r="BP29">
        <v>15.08</v>
      </c>
      <c r="BQ29">
        <v>3.36</v>
      </c>
      <c r="BR29">
        <v>10.78</v>
      </c>
      <c r="BS29">
        <v>17.68</v>
      </c>
      <c r="BT29" t="s">
        <v>1462</v>
      </c>
      <c r="BU29" t="s">
        <v>879</v>
      </c>
      <c r="BV29">
        <v>15.05</v>
      </c>
      <c r="BW29">
        <v>15.69</v>
      </c>
      <c r="BX29">
        <v>16.989999999999998</v>
      </c>
      <c r="BY29">
        <v>3.89</v>
      </c>
      <c r="BZ29">
        <v>5.94</v>
      </c>
      <c r="CA29">
        <v>6.57</v>
      </c>
      <c r="CB29">
        <v>-3.3</v>
      </c>
      <c r="CC29">
        <v>-9.93</v>
      </c>
      <c r="CD29" t="s">
        <v>1463</v>
      </c>
      <c r="CE29" t="s">
        <v>313</v>
      </c>
      <c r="CF29" s="11">
        <v>2.6754385964912291</v>
      </c>
      <c r="CG29" s="12">
        <v>0.55138074227874379</v>
      </c>
      <c r="CH29" s="11">
        <v>-0.77025109529495239</v>
      </c>
      <c r="CI29" s="11">
        <v>0.29907700419425964</v>
      </c>
      <c r="CJ29" s="11">
        <v>0.32653063535690308</v>
      </c>
      <c r="CK29" s="11">
        <v>0.62682592868804932</v>
      </c>
      <c r="CL29" s="11">
        <v>0.62987011671066284</v>
      </c>
      <c r="CM29" s="12">
        <v>-0.6149439811706543</v>
      </c>
      <c r="CN29" s="12">
        <v>0.16822430491447449</v>
      </c>
      <c r="CO29" s="12">
        <v>0.22050395607948303</v>
      </c>
      <c r="CP29" s="12">
        <v>0.40792548656463623</v>
      </c>
      <c r="CQ29" s="12">
        <v>0.74098306894302368</v>
      </c>
      <c r="CR29">
        <v>32.572248482133254</v>
      </c>
      <c r="CS29">
        <v>1.464510257210077</v>
      </c>
      <c r="CT29">
        <v>0.27403846153846151</v>
      </c>
      <c r="CU29" s="11">
        <v>0.22241051793098449</v>
      </c>
      <c r="CV29" s="12">
        <v>0.18453856706619262</v>
      </c>
      <c r="CW29">
        <v>0.06</v>
      </c>
      <c r="CX29">
        <v>27.832344973349677</v>
      </c>
      <c r="CY29">
        <v>55506663.253824666</v>
      </c>
      <c r="CZ29">
        <v>0.22241051793098449</v>
      </c>
      <c r="DA29">
        <v>8.1448335672760255</v>
      </c>
      <c r="DB29">
        <v>189676140.98426238</v>
      </c>
      <c r="DC29">
        <v>0.21128999203443524</v>
      </c>
      <c r="DD29">
        <v>3.4357605000336369</v>
      </c>
      <c r="DE29">
        <v>449647348.81400365</v>
      </c>
      <c r="DF29">
        <v>0.19572125577926636</v>
      </c>
      <c r="DG29">
        <v>1.7168713031543861</v>
      </c>
      <c r="DH29">
        <v>899823182.53069437</v>
      </c>
      <c r="DI29">
        <v>0.17792841434478759</v>
      </c>
      <c r="DJ29">
        <v>0.57368493486128869</v>
      </c>
      <c r="DK29">
        <v>2692907737.5433207</v>
      </c>
      <c r="DL29">
        <v>0.15568736255168913</v>
      </c>
      <c r="DM29">
        <v>48132000</v>
      </c>
      <c r="DN29">
        <v>0.22241051793098449</v>
      </c>
      <c r="DO29">
        <v>1544880600.0000002</v>
      </c>
      <c r="DP29">
        <v>1354770400</v>
      </c>
      <c r="DQ29">
        <v>2577</v>
      </c>
      <c r="DR29">
        <v>2.4530280785602447</v>
      </c>
      <c r="DS29">
        <v>0.36684217521255114</v>
      </c>
      <c r="DT29" s="13">
        <v>-5.6666666666666719E-2</v>
      </c>
      <c r="DU29">
        <v>0.48666666666666664</v>
      </c>
      <c r="DV29">
        <v>0.42999999999999994</v>
      </c>
      <c r="DW29">
        <v>-8.332326283987916</v>
      </c>
      <c r="DX29">
        <v>0.32634380165289212</v>
      </c>
      <c r="DY29">
        <v>-8.0386641032683332</v>
      </c>
      <c r="DZ29">
        <v>1971</v>
      </c>
      <c r="EA29">
        <v>-8.0237508062934051</v>
      </c>
      <c r="EB29">
        <v>8</v>
      </c>
      <c r="EC29">
        <v>0.11578801916092014</v>
      </c>
      <c r="ED29">
        <v>0.99522292993630568</v>
      </c>
      <c r="EE29" s="14">
        <v>4.5610000000000005E-2</v>
      </c>
      <c r="EF29">
        <v>3.5210000000000005E-2</v>
      </c>
      <c r="EG29">
        <v>21.116343801652892</v>
      </c>
      <c r="EH29">
        <v>-1</v>
      </c>
      <c r="EI29">
        <v>0</v>
      </c>
      <c r="EJ29">
        <v>0</v>
      </c>
      <c r="EK29" s="10">
        <v>45470</v>
      </c>
      <c r="EL29" s="15">
        <v>-0.6</v>
      </c>
      <c r="EM29" s="15">
        <v>-5.4</v>
      </c>
      <c r="EN29" s="15">
        <v>3.41</v>
      </c>
      <c r="EO29" s="15">
        <v>4.0599999999999996</v>
      </c>
      <c r="EP29" s="15">
        <v>1.04</v>
      </c>
    </row>
    <row r="30" spans="1:146" ht="108" x14ac:dyDescent="0.25">
      <c r="C30" s="7" t="str">
        <f>""&amp;CHAR(10)&amp;Basic_Fundamental_Information_Constructure(F30)&amp;CHAR(10)&amp;Basic_Fundamental_Information_Concatenate("")</f>
        <v xml:space="preserve">
市值22.397239亿, 利润3.36亿; PE38.7; 平均PE19.24; 平均PEG.09, PB3.15; ROIC12.1667%; ROE12.2633%; 股利率1.7796%; 毛利17.6467%; 净利9.94%; 上一年度营收增905.21%, 利润增605.91%; 当季营收增-84.97%, 利润增-75.96%; 过往5年营收增210.92%, 利润增123.99%
Income profile:
</v>
      </c>
      <c r="D30" s="5" t="s">
        <v>532</v>
      </c>
      <c r="E30" t="s">
        <v>533</v>
      </c>
      <c r="F30">
        <v>32.03</v>
      </c>
      <c r="G30">
        <v>2.23</v>
      </c>
      <c r="H30" t="s">
        <v>1464</v>
      </c>
      <c r="I30">
        <v>2239723900</v>
      </c>
      <c r="J30">
        <v>38.700000000000003</v>
      </c>
      <c r="K30">
        <v>3.15</v>
      </c>
      <c r="L30" t="s">
        <v>107</v>
      </c>
      <c r="M30" t="s">
        <v>1465</v>
      </c>
      <c r="N30" t="s">
        <v>548</v>
      </c>
      <c r="O30" t="s">
        <v>555</v>
      </c>
      <c r="P30" s="5">
        <v>14.87</v>
      </c>
      <c r="Q30" t="s">
        <v>1466</v>
      </c>
      <c r="R30">
        <v>12491255</v>
      </c>
      <c r="S30">
        <v>-8.77E-2</v>
      </c>
      <c r="T30" t="s">
        <v>1036</v>
      </c>
      <c r="U30">
        <v>30156897</v>
      </c>
      <c r="V30">
        <v>69925816</v>
      </c>
      <c r="W30">
        <v>1.7</v>
      </c>
      <c r="X30">
        <v>0.16</v>
      </c>
      <c r="Y30">
        <v>6.91</v>
      </c>
      <c r="Z30" t="s">
        <v>522</v>
      </c>
      <c r="AA30" t="s">
        <v>27</v>
      </c>
      <c r="AB30" t="s">
        <v>1467</v>
      </c>
      <c r="AC30" t="s">
        <v>1468</v>
      </c>
      <c r="AD30" t="s">
        <v>5</v>
      </c>
      <c r="AE30">
        <v>-853523</v>
      </c>
      <c r="AF30" t="s">
        <v>1469</v>
      </c>
      <c r="AG30">
        <v>556.22</v>
      </c>
      <c r="AH30" t="s">
        <v>1470</v>
      </c>
      <c r="AI30" t="s">
        <v>749</v>
      </c>
      <c r="AJ30" t="s">
        <v>1471</v>
      </c>
      <c r="AK30" t="s">
        <v>5</v>
      </c>
      <c r="AL30" t="s">
        <v>1472</v>
      </c>
      <c r="AM30" t="s">
        <v>5</v>
      </c>
      <c r="AN30">
        <v>0</v>
      </c>
      <c r="AO30" t="s">
        <v>47</v>
      </c>
      <c r="AP30" t="s">
        <v>5</v>
      </c>
      <c r="AQ30" t="s">
        <v>1473</v>
      </c>
      <c r="AR30" t="s">
        <v>5</v>
      </c>
      <c r="AS30" t="s">
        <v>1326</v>
      </c>
      <c r="AT30" t="s">
        <v>5</v>
      </c>
      <c r="AU30" t="s">
        <v>1474</v>
      </c>
      <c r="AV30" t="s">
        <v>653</v>
      </c>
      <c r="AW30" t="s">
        <v>1475</v>
      </c>
      <c r="AX30" t="s">
        <v>651</v>
      </c>
      <c r="AY30" t="s">
        <v>534</v>
      </c>
      <c r="AZ30" t="s">
        <v>297</v>
      </c>
      <c r="BA30" t="s">
        <v>345</v>
      </c>
      <c r="BB30" t="s">
        <v>445</v>
      </c>
      <c r="BC30" t="s">
        <v>652</v>
      </c>
      <c r="BD30" t="s">
        <v>535</v>
      </c>
      <c r="BE30" t="s">
        <v>536</v>
      </c>
      <c r="BF30" t="s">
        <v>537</v>
      </c>
      <c r="BG30" t="s">
        <v>538</v>
      </c>
      <c r="BH30" t="s">
        <v>1476</v>
      </c>
      <c r="BI30" t="s">
        <v>172</v>
      </c>
      <c r="BJ30" t="s">
        <v>651</v>
      </c>
      <c r="BK30" t="s">
        <v>1477</v>
      </c>
      <c r="BL30" t="s">
        <v>1478</v>
      </c>
      <c r="BM30" t="s">
        <v>652</v>
      </c>
      <c r="BN30">
        <v>5.19</v>
      </c>
      <c r="BO30">
        <v>8.59</v>
      </c>
      <c r="BP30">
        <v>22.72</v>
      </c>
      <c r="BQ30">
        <v>4.45</v>
      </c>
      <c r="BR30">
        <v>10.72</v>
      </c>
      <c r="BS30">
        <v>21.62</v>
      </c>
      <c r="BT30" t="s">
        <v>1479</v>
      </c>
      <c r="BU30" t="s">
        <v>858</v>
      </c>
      <c r="BV30">
        <v>16.88</v>
      </c>
      <c r="BW30">
        <v>17.73</v>
      </c>
      <c r="BX30">
        <v>18.329999999999998</v>
      </c>
      <c r="BY30">
        <v>9.0299999999999994</v>
      </c>
      <c r="BZ30">
        <v>8.99</v>
      </c>
      <c r="CA30">
        <v>11.8</v>
      </c>
      <c r="CB30">
        <v>-0.03</v>
      </c>
      <c r="CC30" s="11">
        <v>-5.32</v>
      </c>
      <c r="CD30" s="12" t="s">
        <v>1480</v>
      </c>
      <c r="CE30" s="11" t="s">
        <v>1481</v>
      </c>
      <c r="CF30" s="11">
        <v>-0.84967845659163987</v>
      </c>
      <c r="CG30" s="12">
        <v>-0.75962916565640237</v>
      </c>
      <c r="CH30" s="11">
        <v>9.0520668029785156</v>
      </c>
      <c r="CI30" s="11">
        <v>-2.2455090656876564E-2</v>
      </c>
      <c r="CJ30" s="11">
        <v>0.30724069476127625</v>
      </c>
      <c r="CK30" s="11">
        <v>0.98062014579772949</v>
      </c>
      <c r="CL30" s="11">
        <v>0.22857142984867096</v>
      </c>
      <c r="CM30" s="12">
        <v>6.0590901374816895</v>
      </c>
      <c r="CN30" s="12">
        <v>-0.26938468217849731</v>
      </c>
      <c r="CO30" s="12">
        <v>-9.7390510141849518E-2</v>
      </c>
      <c r="CP30" s="12">
        <v>-0.37778013944625854</v>
      </c>
      <c r="CQ30" s="12">
        <v>0.88496512174606323</v>
      </c>
      <c r="CR30" s="1">
        <v>19.239867686696254</v>
      </c>
      <c r="CS30" s="1">
        <v>9.1218411938184321E-2</v>
      </c>
      <c r="CT30" s="1">
        <v>1.7795816422104278</v>
      </c>
      <c r="CU30" s="11">
        <v>2.1092087965458632</v>
      </c>
      <c r="CV30" s="12">
        <v>1.2398999854922295</v>
      </c>
      <c r="CW30">
        <v>0.06</v>
      </c>
      <c r="CX30">
        <v>1.8707363523095735</v>
      </c>
      <c r="CY30">
        <v>985560524.18812275</v>
      </c>
      <c r="CZ30">
        <v>2.1092087965458632</v>
      </c>
      <c r="DA30">
        <v>0.163221733102278</v>
      </c>
      <c r="DB30">
        <v>11295823570.533257</v>
      </c>
      <c r="DC30">
        <v>2.0037483567185701</v>
      </c>
      <c r="DD30">
        <v>9.0415274107686645E-3</v>
      </c>
      <c r="DE30">
        <v>203917304702.75223</v>
      </c>
      <c r="DF30">
        <v>1.8561037409603596</v>
      </c>
      <c r="DG30">
        <v>3.0293086269823005E-4</v>
      </c>
      <c r="DH30">
        <v>6086286103627.0781</v>
      </c>
      <c r="DI30">
        <v>1.6873670372366907</v>
      </c>
      <c r="DJ30">
        <v>1.3374184525438671E-7</v>
      </c>
      <c r="DK30">
        <v>1.3785692103268824E+16</v>
      </c>
      <c r="DL30">
        <v>1.4764461575821042</v>
      </c>
      <c r="DM30">
        <v>336000000</v>
      </c>
      <c r="DN30">
        <v>2.1092087965458632</v>
      </c>
      <c r="DO30">
        <v>1843723900</v>
      </c>
      <c r="DP30">
        <v>618384040</v>
      </c>
      <c r="DQ30" s="13">
        <v>2768</v>
      </c>
      <c r="DR30">
        <v>-2.9588872531375032</v>
      </c>
      <c r="DS30">
        <v>-1.9995291511486317</v>
      </c>
      <c r="DT30">
        <v>0.32666666666666661</v>
      </c>
      <c r="DU30">
        <v>-0.20666666666666669</v>
      </c>
      <c r="DV30">
        <v>0.11999999999999991</v>
      </c>
      <c r="DW30">
        <v>-1.0531999999999999</v>
      </c>
      <c r="DX30">
        <v>0.42170248055729598</v>
      </c>
      <c r="DY30">
        <v>-1.0112625719656481</v>
      </c>
      <c r="DZ30">
        <v>935</v>
      </c>
      <c r="EA30">
        <v>-1.0092018078192917</v>
      </c>
      <c r="EB30" s="14">
        <v>1</v>
      </c>
      <c r="EC30">
        <v>8.2139906669090573E-2</v>
      </c>
      <c r="ED30">
        <v>0.38799690231716422</v>
      </c>
      <c r="EE30">
        <v>-2.0333100000000002</v>
      </c>
      <c r="EF30">
        <v>-2.0243099999999998</v>
      </c>
      <c r="EG30">
        <v>21.211702480557296</v>
      </c>
      <c r="EH30" s="10" t="s">
        <v>526</v>
      </c>
      <c r="EI30" s="15">
        <v>0</v>
      </c>
      <c r="EJ30" s="15">
        <v>1</v>
      </c>
      <c r="EK30" s="15">
        <v>45470</v>
      </c>
      <c r="EL30" s="15">
        <v>-3.86</v>
      </c>
      <c r="EM30" s="15">
        <v>-4.63</v>
      </c>
      <c r="EN30" s="15">
        <v>-0.06</v>
      </c>
      <c r="EO30" s="15">
        <v>3.57</v>
      </c>
      <c r="EP30" s="15">
        <v>0.9</v>
      </c>
    </row>
    <row r="31" spans="1:146" ht="252" x14ac:dyDescent="0.25">
      <c r="C31" s="7" t="str">
        <f>"公司是一家互联网数字化虚拟商品综合服务提供商，主要为移动互联网相关场景客户提供移动互联网数字化虚拟商品聚合运营、融合运营、分发运营等综合运营服务，为物联网相关场景提供物联网流量接入、硬件方案、场景应用等综合解决方案，并根据客户需求提供定制化的运营支撑服务及技术服务。公司主要从事的业务包括数字化虚拟商品综合运营服务、物联网应用解决方案及技术服务三大板块。"&amp;CHAR(10)&amp;Basic_Fundamental_Information_Constructure(F31)&amp;CHAR(10)&amp;Basic_Fundamental_Information_Concatenate("数字商品综合运营 4.32亿 88.02% 1.14亿 82.48% 26.41%
物联网流量运营及解决方案 4377.55万 8.91% 1548.17万 11.18% 35.37%
云终端技术及云算力运营 908.63万 1.85% 703.66万 5.08% 77.44%")</f>
        <v>公司是一家互联网数字化虚拟商品综合服务提供商，主要为移动互联网相关场景客户提供移动互联网数字化虚拟商品聚合运营、融合运营、分发运营等综合运营服务，为物联网相关场景提供物联网流量接入、硬件方案、场景应用等综合解决方案，并根据客户需求提供定制化的运营支撑服务及技术服务。公司主要从事的业务包括数字化虚拟商品综合运营服务、物联网应用解决方案及技术服务三大板块。
市值38.12669亿, 利润1.36亿; PE26.26; 平均PE41.1; 平均PEG.9, PB2.22; ROIC13.6333%; ROE14.965%; 股利率.9249%; 毛利27.0433%; 净利13.69%; 上一年度营收增99.77%, 利润增7.94%; 当季营收增27.21%, 利润增70.22%; 过往5年营收增45.82%, 利润增27.79%
Income profile:
数字商品综合运营 4.32亿 88.02% 1.14亿 82.48% 26.41%
物联网流量运营及解决方案 4377.55万 8.91% 1548.17万 11.18% 35.37%
云终端技术及云算力运营 908.63万 1.85% 703.66万 5.08% 77.44%</v>
      </c>
      <c r="D31" s="5" t="s">
        <v>654</v>
      </c>
      <c r="E31" t="s">
        <v>655</v>
      </c>
      <c r="F31">
        <v>17.3</v>
      </c>
      <c r="G31">
        <v>1.65</v>
      </c>
      <c r="H31" t="s">
        <v>1482</v>
      </c>
      <c r="I31">
        <v>3812669000</v>
      </c>
      <c r="J31">
        <v>26.26</v>
      </c>
      <c r="K31">
        <v>2.2200000000000002</v>
      </c>
      <c r="L31" t="s">
        <v>107</v>
      </c>
      <c r="M31" t="s">
        <v>756</v>
      </c>
      <c r="N31" t="s">
        <v>800</v>
      </c>
      <c r="O31" t="s">
        <v>1093</v>
      </c>
      <c r="P31">
        <v>64</v>
      </c>
      <c r="Q31" t="s">
        <v>1483</v>
      </c>
      <c r="R31">
        <v>32510970</v>
      </c>
      <c r="S31">
        <v>0.1061</v>
      </c>
      <c r="T31" t="s">
        <v>423</v>
      </c>
      <c r="U31">
        <v>137121680</v>
      </c>
      <c r="V31">
        <v>220385490</v>
      </c>
      <c r="W31">
        <v>1.25</v>
      </c>
      <c r="X31">
        <v>0.16</v>
      </c>
      <c r="Y31">
        <v>9.35</v>
      </c>
      <c r="Z31" t="s">
        <v>762</v>
      </c>
      <c r="AA31" t="s">
        <v>1484</v>
      </c>
      <c r="AB31" t="s">
        <v>1485</v>
      </c>
      <c r="AC31" t="s">
        <v>1486</v>
      </c>
      <c r="AD31" t="s">
        <v>5</v>
      </c>
      <c r="AE31">
        <v>1040290</v>
      </c>
      <c r="AF31" t="s">
        <v>1487</v>
      </c>
      <c r="AG31">
        <v>3437.14</v>
      </c>
      <c r="AH31" t="s">
        <v>1488</v>
      </c>
      <c r="AI31" t="s">
        <v>531</v>
      </c>
      <c r="AJ31" t="s">
        <v>1489</v>
      </c>
      <c r="AK31" t="s">
        <v>5</v>
      </c>
      <c r="AL31" t="s">
        <v>1490</v>
      </c>
      <c r="AM31" t="s">
        <v>5</v>
      </c>
      <c r="AN31">
        <v>0</v>
      </c>
      <c r="AO31" t="s">
        <v>43</v>
      </c>
      <c r="AP31" t="s">
        <v>5</v>
      </c>
      <c r="AQ31" t="s">
        <v>1491</v>
      </c>
      <c r="AR31" t="s">
        <v>5</v>
      </c>
      <c r="AS31" t="s">
        <v>627</v>
      </c>
      <c r="AT31" t="s">
        <v>1492</v>
      </c>
      <c r="AU31" t="s">
        <v>1493</v>
      </c>
      <c r="AV31" t="s">
        <v>1494</v>
      </c>
      <c r="AW31" t="s">
        <v>1495</v>
      </c>
      <c r="AX31" t="s">
        <v>656</v>
      </c>
      <c r="AY31" t="s">
        <v>618</v>
      </c>
      <c r="AZ31" t="s">
        <v>657</v>
      </c>
      <c r="BA31" t="s">
        <v>227</v>
      </c>
      <c r="BB31" t="s">
        <v>658</v>
      </c>
      <c r="BC31" t="s">
        <v>540</v>
      </c>
      <c r="BD31" t="s">
        <v>47</v>
      </c>
      <c r="BE31" t="s">
        <v>659</v>
      </c>
      <c r="BF31" t="s">
        <v>660</v>
      </c>
      <c r="BG31" t="s">
        <v>661</v>
      </c>
      <c r="BH31" t="s">
        <v>1496</v>
      </c>
      <c r="BI31" t="s">
        <v>542</v>
      </c>
      <c r="BJ31" t="s">
        <v>656</v>
      </c>
      <c r="BK31" t="s">
        <v>316</v>
      </c>
      <c r="BL31" t="s">
        <v>1497</v>
      </c>
      <c r="BM31" t="s">
        <v>540</v>
      </c>
      <c r="BN31">
        <v>6.83</v>
      </c>
      <c r="BO31">
        <v>16.260000000000002</v>
      </c>
      <c r="BP31">
        <v>17.809999999999999</v>
      </c>
      <c r="BQ31">
        <v>8.26</v>
      </c>
      <c r="BR31">
        <v>21.67</v>
      </c>
      <c r="BS31" t="s">
        <v>5</v>
      </c>
      <c r="BT31" t="s">
        <v>1498</v>
      </c>
      <c r="BU31" t="s">
        <v>858</v>
      </c>
      <c r="BV31">
        <v>24.05</v>
      </c>
      <c r="BW31">
        <v>28.24</v>
      </c>
      <c r="BX31">
        <v>28.84</v>
      </c>
      <c r="BY31">
        <v>12.1</v>
      </c>
      <c r="BZ31">
        <v>14.23</v>
      </c>
      <c r="CA31">
        <v>14.74</v>
      </c>
      <c r="CB31">
        <v>-4.37</v>
      </c>
      <c r="CC31" s="11">
        <v>-12.05</v>
      </c>
      <c r="CD31" s="12" t="s">
        <v>1499</v>
      </c>
      <c r="CE31" s="11" t="s">
        <v>539</v>
      </c>
      <c r="CF31" s="11">
        <v>0.27205882352941174</v>
      </c>
      <c r="CG31" s="12">
        <v>0.70216284987277355</v>
      </c>
      <c r="CH31" s="11">
        <v>0.99772471189498901</v>
      </c>
      <c r="CI31" s="11">
        <v>0.22937062382698059</v>
      </c>
      <c r="CJ31" s="11">
        <v>0.41865080595016479</v>
      </c>
      <c r="CK31" s="11">
        <v>0.19148936867713928</v>
      </c>
      <c r="CL31" s="11">
        <v>0.45360824465751648</v>
      </c>
      <c r="CM31" s="12">
        <v>7.9365082085132599E-2</v>
      </c>
      <c r="CN31" s="12">
        <v>0.20000000298023224</v>
      </c>
      <c r="CO31" s="12">
        <v>0.2228199690580368</v>
      </c>
      <c r="CP31" s="12">
        <v>0.37518271803855896</v>
      </c>
      <c r="CQ31" s="12">
        <v>0.51192408800125122</v>
      </c>
      <c r="CR31" s="1">
        <v>41.099092841744692</v>
      </c>
      <c r="CS31" s="1">
        <v>0.89702959339588118</v>
      </c>
      <c r="CT31" s="1">
        <v>0.92485549132947975</v>
      </c>
      <c r="CU31" s="11">
        <v>0.45816875100135801</v>
      </c>
      <c r="CV31" s="12">
        <v>0.27785837203264235</v>
      </c>
      <c r="CW31">
        <v>0.06</v>
      </c>
      <c r="CX31">
        <v>13.040374917391604</v>
      </c>
      <c r="CY31">
        <v>187085802.01526856</v>
      </c>
      <c r="CZ31">
        <v>0.45816875100135801</v>
      </c>
      <c r="DA31">
        <v>3.1639097138179517</v>
      </c>
      <c r="DB31">
        <v>771093116.00930727</v>
      </c>
      <c r="DC31">
        <v>0.43526031345129007</v>
      </c>
      <c r="DD31">
        <v>1.0014701604865417</v>
      </c>
      <c r="DE31">
        <v>2436087560.3270516</v>
      </c>
      <c r="DF31">
        <v>0.40318850088119507</v>
      </c>
      <c r="DG31">
        <v>0.3444896948709954</v>
      </c>
      <c r="DH31">
        <v>7081979624.7130356</v>
      </c>
      <c r="DI31">
        <v>0.36653500080108642</v>
      </c>
      <c r="DJ31">
        <v>4.410041655514961E-2</v>
      </c>
      <c r="DK31">
        <v>55320769973.88633</v>
      </c>
      <c r="DL31">
        <v>0.3207181257009506</v>
      </c>
      <c r="DM31">
        <v>136000000</v>
      </c>
      <c r="DN31">
        <v>0.45816875100135801</v>
      </c>
      <c r="DO31">
        <v>2439669000</v>
      </c>
      <c r="DP31">
        <v>1505876500</v>
      </c>
      <c r="DQ31" s="13">
        <v>2770</v>
      </c>
      <c r="DR31">
        <v>-0.18610992747194627</v>
      </c>
      <c r="DS31">
        <v>0.4243044778401312</v>
      </c>
      <c r="DT31">
        <v>0.39333333333333331</v>
      </c>
      <c r="DU31">
        <v>0.71999999999999986</v>
      </c>
      <c r="DV31">
        <v>1.1133333333333333</v>
      </c>
      <c r="DW31">
        <v>-8.3626556016597515</v>
      </c>
      <c r="DX31">
        <v>0.32763059701492608</v>
      </c>
      <c r="DY31">
        <v>-8.0499125069672388</v>
      </c>
      <c r="DZ31">
        <v>50</v>
      </c>
      <c r="EA31">
        <v>-8.049424126272843</v>
      </c>
      <c r="EB31" s="14">
        <v>8</v>
      </c>
      <c r="EC31" s="14">
        <v>8.3682913970425182E-2</v>
      </c>
      <c r="ED31">
        <v>0.60802551020940632</v>
      </c>
      <c r="EE31">
        <v>7.05891</v>
      </c>
      <c r="EF31">
        <v>7.0708099999999998</v>
      </c>
      <c r="EG31">
        <v>19.137630597014926</v>
      </c>
      <c r="EH31" s="10" t="s">
        <v>766</v>
      </c>
      <c r="EI31">
        <v>0</v>
      </c>
      <c r="EJ31">
        <v>1</v>
      </c>
      <c r="EK31">
        <v>45470</v>
      </c>
      <c r="EL31">
        <v>-2.15</v>
      </c>
      <c r="EM31">
        <v>-5.5</v>
      </c>
      <c r="EN31" s="15">
        <v>-1.75</v>
      </c>
      <c r="EO31" s="15">
        <v>4.5</v>
      </c>
      <c r="EP31" s="15">
        <v>-1.19</v>
      </c>
    </row>
    <row r="32" spans="1:146" ht="108" x14ac:dyDescent="0.25">
      <c r="C32" s="7" t="str">
        <f>""&amp;CHAR(10)&amp;Basic_Fundamental_Information_Constructure(F32)&amp;CHAR(10)&amp;Basic_Fundamental_Information_Concatenate("")</f>
        <v xml:space="preserve">
市值25.554667亿, 利润4762.09万; PE30.62; 平均PE42.1; 平均PEG2.07, PB2.03; ROIC9.37%; ROE10.445%; 股利率1.1583%; 毛利23.8067%; 净利8%; 上一年度营收增-32.68%, 利润增-39.12%; 当季营收增64.41%, 利润增20.71%; 过往5年营收增20.33%, 利润增9%
Income profile:
</v>
      </c>
      <c r="D32" s="5" t="s">
        <v>662</v>
      </c>
      <c r="E32" t="s">
        <v>663</v>
      </c>
      <c r="F32">
        <v>25.9</v>
      </c>
      <c r="G32">
        <v>-2.19</v>
      </c>
      <c r="H32" t="s">
        <v>1500</v>
      </c>
      <c r="I32">
        <v>2555466700</v>
      </c>
      <c r="J32">
        <v>30.62</v>
      </c>
      <c r="K32">
        <v>2.0299999999999998</v>
      </c>
      <c r="L32" t="s">
        <v>107</v>
      </c>
      <c r="M32" t="s">
        <v>98</v>
      </c>
      <c r="N32" t="s">
        <v>1501</v>
      </c>
      <c r="O32" t="s">
        <v>658</v>
      </c>
      <c r="P32">
        <v>17.510000000000002</v>
      </c>
      <c r="Q32" t="s">
        <v>1502</v>
      </c>
      <c r="R32">
        <v>20261231</v>
      </c>
      <c r="S32">
        <v>0.13969999999999999</v>
      </c>
      <c r="T32" t="s">
        <v>1503</v>
      </c>
      <c r="U32">
        <v>61196667</v>
      </c>
      <c r="V32">
        <v>98666667</v>
      </c>
      <c r="W32">
        <v>1.56</v>
      </c>
      <c r="X32">
        <v>0.15</v>
      </c>
      <c r="Y32">
        <v>6.81</v>
      </c>
      <c r="Z32" t="s">
        <v>1504</v>
      </c>
      <c r="AA32" t="s">
        <v>29</v>
      </c>
      <c r="AB32" t="s">
        <v>1505</v>
      </c>
      <c r="AC32" t="s">
        <v>1506</v>
      </c>
      <c r="AD32" t="s">
        <v>5</v>
      </c>
      <c r="AE32">
        <v>3602521</v>
      </c>
      <c r="AF32" t="s">
        <v>1507</v>
      </c>
      <c r="AG32">
        <v>0</v>
      </c>
      <c r="AH32" t="s">
        <v>1508</v>
      </c>
      <c r="AI32" t="s">
        <v>1326</v>
      </c>
      <c r="AJ32" t="s">
        <v>1509</v>
      </c>
      <c r="AK32" t="s">
        <v>1510</v>
      </c>
      <c r="AL32" t="s">
        <v>1511</v>
      </c>
      <c r="AM32" t="s">
        <v>5</v>
      </c>
      <c r="AN32" t="s">
        <v>1512</v>
      </c>
      <c r="AO32" t="s">
        <v>752</v>
      </c>
      <c r="AP32" t="s">
        <v>416</v>
      </c>
      <c r="AQ32" t="s">
        <v>1513</v>
      </c>
      <c r="AR32" t="s">
        <v>5</v>
      </c>
      <c r="AS32" t="s">
        <v>346</v>
      </c>
      <c r="AT32" t="s">
        <v>919</v>
      </c>
      <c r="AU32" t="s">
        <v>1514</v>
      </c>
      <c r="AV32" t="s">
        <v>1515</v>
      </c>
      <c r="AW32" t="s">
        <v>1516</v>
      </c>
      <c r="AX32" t="s">
        <v>664</v>
      </c>
      <c r="AY32" t="s">
        <v>665</v>
      </c>
      <c r="AZ32" t="s">
        <v>666</v>
      </c>
      <c r="BA32" t="s">
        <v>646</v>
      </c>
      <c r="BB32" t="s">
        <v>524</v>
      </c>
      <c r="BC32" t="s">
        <v>1517</v>
      </c>
      <c r="BD32" t="s">
        <v>668</v>
      </c>
      <c r="BE32" t="s">
        <v>669</v>
      </c>
      <c r="BF32" t="s">
        <v>670</v>
      </c>
      <c r="BG32" t="s">
        <v>671</v>
      </c>
      <c r="BH32" t="s">
        <v>1518</v>
      </c>
      <c r="BI32" t="s">
        <v>757</v>
      </c>
      <c r="BJ32" t="s">
        <v>664</v>
      </c>
      <c r="BK32" t="s">
        <v>1519</v>
      </c>
      <c r="BL32" t="s">
        <v>1520</v>
      </c>
      <c r="BM32" t="s">
        <v>1517</v>
      </c>
      <c r="BN32">
        <v>5.65</v>
      </c>
      <c r="BO32">
        <v>10.77</v>
      </c>
      <c r="BP32">
        <v>11.69</v>
      </c>
      <c r="BQ32">
        <v>6.8</v>
      </c>
      <c r="BR32">
        <v>14.09</v>
      </c>
      <c r="BS32" t="s">
        <v>5</v>
      </c>
      <c r="BT32" t="s">
        <v>1521</v>
      </c>
      <c r="BU32" t="s">
        <v>858</v>
      </c>
      <c r="BV32">
        <v>23.81</v>
      </c>
      <c r="BW32">
        <v>23.32</v>
      </c>
      <c r="BX32">
        <v>24.29</v>
      </c>
      <c r="BY32">
        <v>7.43</v>
      </c>
      <c r="BZ32">
        <v>8.61</v>
      </c>
      <c r="CA32">
        <v>7.96</v>
      </c>
      <c r="CB32">
        <v>-9.76</v>
      </c>
      <c r="CC32" s="11">
        <v>-6.5</v>
      </c>
      <c r="CD32" s="12" t="s">
        <v>1522</v>
      </c>
      <c r="CE32" s="11" t="s">
        <v>1142</v>
      </c>
      <c r="CF32" s="11">
        <v>0.64406779661016944</v>
      </c>
      <c r="CG32" s="12">
        <v>0.20713219260512614</v>
      </c>
      <c r="CH32" s="11">
        <v>-0.32677596807479858</v>
      </c>
      <c r="CI32" s="11">
        <v>1.7797552049160004E-2</v>
      </c>
      <c r="CJ32" s="11">
        <v>-0.1168958768248558</v>
      </c>
      <c r="CK32" s="11">
        <v>0.21624851226806641</v>
      </c>
      <c r="CL32" s="11">
        <v>1.2260638475418091</v>
      </c>
      <c r="CM32" s="12">
        <v>-0.39122316241264343</v>
      </c>
      <c r="CN32" s="12">
        <v>9.4233445823192596E-2</v>
      </c>
      <c r="CO32" s="12">
        <v>-7.2878137230873108E-2</v>
      </c>
      <c r="CP32" s="12">
        <v>0.51917815208435059</v>
      </c>
      <c r="CQ32" s="12">
        <v>0.30048194527626038</v>
      </c>
      <c r="CR32" s="1">
        <v>42.097298659694381</v>
      </c>
      <c r="CS32" s="1">
        <v>2.0708245798795271</v>
      </c>
      <c r="CT32" s="1">
        <v>1.1583011583011584</v>
      </c>
      <c r="CU32" s="11">
        <v>0.20328761339187623</v>
      </c>
      <c r="CV32" s="12">
        <v>8.9958448708057401E-2</v>
      </c>
      <c r="CW32">
        <v>0.06</v>
      </c>
      <c r="CX32">
        <v>34.896989564489111</v>
      </c>
      <c r="CY32">
        <v>54058150.102427542</v>
      </c>
      <c r="CZ32">
        <v>0.20328761339187623</v>
      </c>
      <c r="DA32">
        <v>10.374032796852129</v>
      </c>
      <c r="DB32">
        <v>181845068.05997613</v>
      </c>
      <c r="DC32">
        <v>0.19312323272228241</v>
      </c>
      <c r="DD32">
        <v>4.4769016171056411</v>
      </c>
      <c r="DE32">
        <v>421377743.21241808</v>
      </c>
      <c r="DF32">
        <v>0.17889309978485107</v>
      </c>
      <c r="DG32">
        <v>2.3009829604870919</v>
      </c>
      <c r="DH32">
        <v>819852529.28629088</v>
      </c>
      <c r="DI32">
        <v>0.16263009071350099</v>
      </c>
      <c r="DJ32">
        <v>0.82450534233167994</v>
      </c>
      <c r="DK32">
        <v>2287998152.5227242</v>
      </c>
      <c r="DL32">
        <v>0.14230132937431336</v>
      </c>
      <c r="DM32">
        <v>47620900</v>
      </c>
      <c r="DN32">
        <v>0.20328761339187623</v>
      </c>
      <c r="DO32">
        <v>1886466700</v>
      </c>
      <c r="DP32">
        <v>1058860200</v>
      </c>
      <c r="DQ32" s="13">
        <v>2790</v>
      </c>
      <c r="DR32">
        <v>0.44078018321829321</v>
      </c>
      <c r="DS32">
        <v>0.11717374389706874</v>
      </c>
      <c r="DT32">
        <v>-0.29000000000000004</v>
      </c>
      <c r="DU32">
        <v>4.9999999999999968E-2</v>
      </c>
      <c r="DV32">
        <v>-0.24000000000000007</v>
      </c>
      <c r="DW32">
        <v>-5.6659836065573774</v>
      </c>
      <c r="DX32">
        <v>0.27022195121951265</v>
      </c>
      <c r="DY32">
        <v>-5.08672568472611</v>
      </c>
      <c r="DZ32">
        <v>1304</v>
      </c>
      <c r="EA32">
        <v>-5.0645945119506015</v>
      </c>
      <c r="EB32" s="14">
        <v>5</v>
      </c>
      <c r="EC32" s="14">
        <v>0.16233749945156251</v>
      </c>
      <c r="ED32">
        <v>1.2466216174100622</v>
      </c>
      <c r="EE32">
        <v>-6.0083099999999998</v>
      </c>
      <c r="EF32">
        <v>-6.0447100000000002</v>
      </c>
      <c r="EG32">
        <v>14.130221951219513</v>
      </c>
      <c r="EH32" s="10" t="s">
        <v>1523</v>
      </c>
      <c r="EI32">
        <v>0</v>
      </c>
      <c r="EJ32">
        <v>1</v>
      </c>
      <c r="EK32">
        <v>45470</v>
      </c>
      <c r="EL32">
        <v>-5.68</v>
      </c>
      <c r="EM32">
        <v>-4.83</v>
      </c>
      <c r="EN32" s="15">
        <v>-3.58</v>
      </c>
      <c r="EO32" s="15">
        <v>3.92</v>
      </c>
      <c r="EP32" s="15">
        <v>-3.64</v>
      </c>
    </row>
    <row r="33" spans="1:146" ht="108" x14ac:dyDescent="0.25">
      <c r="A33" s="7"/>
      <c r="B33" s="7"/>
      <c r="C33" s="7" t="str">
        <f>""&amp;CHAR(10)&amp;Basic_Fundamental_Information_Constructure(F33)&amp;CHAR(10)&amp;Basic_Fundamental_Information_Concatenate("")</f>
        <v xml:space="preserve">
市值1500.9874亿, 利润1.06亿; PE17.97; 平均PE40.54; 平均PEG1.28, PB.927; ROIC4.4067%; ROE4.5067%; 股利率1.1102%; 毛利24.44%; 净利4.7033%; 上一年度营收增-99.5%, 利润增-98.55%; 当季营收增13183.85%, 利润增21712.51%; 过往5年营收增-31.68%, 利润增-98.55%
Income profile:
</v>
      </c>
      <c r="D33" t="s">
        <v>250</v>
      </c>
      <c r="E33" t="s">
        <v>251</v>
      </c>
      <c r="F33">
        <v>4.72</v>
      </c>
      <c r="G33">
        <v>0</v>
      </c>
      <c r="H33" t="s">
        <v>1066</v>
      </c>
      <c r="I33">
        <v>150098740000</v>
      </c>
      <c r="J33">
        <v>17.97</v>
      </c>
      <c r="K33">
        <v>0.92700000000000005</v>
      </c>
      <c r="L33" t="s">
        <v>107</v>
      </c>
      <c r="M33" t="s">
        <v>1524</v>
      </c>
      <c r="N33" t="s">
        <v>1525</v>
      </c>
      <c r="O33" t="s">
        <v>1526</v>
      </c>
      <c r="P33">
        <v>2.34</v>
      </c>
      <c r="Q33" t="s">
        <v>1527</v>
      </c>
      <c r="R33">
        <v>2446512500</v>
      </c>
      <c r="S33" s="5">
        <v>7.9799999999999996E-2</v>
      </c>
      <c r="T33" t="s">
        <v>563</v>
      </c>
      <c r="U33">
        <v>30965652000</v>
      </c>
      <c r="V33">
        <v>31800581000</v>
      </c>
      <c r="W33">
        <v>1.83</v>
      </c>
      <c r="X33" t="s">
        <v>5</v>
      </c>
      <c r="Y33">
        <v>5.59</v>
      </c>
      <c r="Z33" t="s">
        <v>5</v>
      </c>
      <c r="AA33" t="s">
        <v>5</v>
      </c>
      <c r="AB33" t="s">
        <v>5</v>
      </c>
      <c r="AC33" t="s">
        <v>5</v>
      </c>
      <c r="AD33" t="s">
        <v>5</v>
      </c>
      <c r="AE33">
        <v>-45952014</v>
      </c>
      <c r="AF33" t="s">
        <v>1528</v>
      </c>
      <c r="AG33" t="s">
        <v>36</v>
      </c>
      <c r="AH33" t="s">
        <v>1529</v>
      </c>
      <c r="AI33" t="s">
        <v>1530</v>
      </c>
      <c r="AJ33" t="s">
        <v>1531</v>
      </c>
      <c r="AK33" t="s">
        <v>5</v>
      </c>
      <c r="AL33" t="s">
        <v>1532</v>
      </c>
      <c r="AM33" t="s">
        <v>5</v>
      </c>
      <c r="AN33" t="s">
        <v>1533</v>
      </c>
      <c r="AO33" t="s">
        <v>5</v>
      </c>
      <c r="AP33" t="s">
        <v>1534</v>
      </c>
      <c r="AQ33" t="s">
        <v>1535</v>
      </c>
      <c r="AR33" t="s">
        <v>716</v>
      </c>
      <c r="AS33" t="s">
        <v>5</v>
      </c>
      <c r="AT33" t="s">
        <v>5</v>
      </c>
      <c r="AU33" t="s">
        <v>1536</v>
      </c>
      <c r="AV33" t="s">
        <v>1537</v>
      </c>
      <c r="AW33" t="s">
        <v>1538</v>
      </c>
      <c r="AX33" t="s">
        <v>672</v>
      </c>
      <c r="AY33" t="s">
        <v>5</v>
      </c>
      <c r="AZ33" t="s">
        <v>252</v>
      </c>
      <c r="BA33" t="s">
        <v>253</v>
      </c>
      <c r="BB33" t="s">
        <v>254</v>
      </c>
      <c r="BC33" t="s">
        <v>673</v>
      </c>
      <c r="BD33" t="s">
        <v>5</v>
      </c>
      <c r="BE33" t="s">
        <v>5</v>
      </c>
      <c r="BF33" t="s">
        <v>5</v>
      </c>
      <c r="BG33" t="s">
        <v>5</v>
      </c>
      <c r="BH33" t="s">
        <v>1539</v>
      </c>
      <c r="BI33" t="s">
        <v>826</v>
      </c>
      <c r="BJ33" t="s">
        <v>672</v>
      </c>
      <c r="BK33" t="s">
        <v>1540</v>
      </c>
      <c r="BL33" t="s">
        <v>1541</v>
      </c>
      <c r="BM33" t="s">
        <v>673</v>
      </c>
      <c r="BN33">
        <v>4.66</v>
      </c>
      <c r="BO33">
        <v>4.47</v>
      </c>
      <c r="BP33">
        <v>4.09</v>
      </c>
      <c r="BQ33">
        <v>4.68</v>
      </c>
      <c r="BR33">
        <v>4.67</v>
      </c>
      <c r="BS33">
        <v>4.17</v>
      </c>
      <c r="BT33" t="s">
        <v>1542</v>
      </c>
      <c r="BU33" t="s">
        <v>1543</v>
      </c>
      <c r="BV33">
        <v>24.52</v>
      </c>
      <c r="BW33">
        <v>24.25</v>
      </c>
      <c r="BX33">
        <v>24.55</v>
      </c>
      <c r="BY33">
        <v>5.0199999999999996</v>
      </c>
      <c r="BZ33">
        <v>4.6900000000000004</v>
      </c>
      <c r="CA33">
        <v>4.4000000000000004</v>
      </c>
      <c r="CB33">
        <v>0.43</v>
      </c>
      <c r="CC33">
        <v>1.72</v>
      </c>
      <c r="CD33" t="s">
        <v>830</v>
      </c>
      <c r="CE33" t="s">
        <v>1544</v>
      </c>
      <c r="CF33" s="11">
        <v>131.8384512683578</v>
      </c>
      <c r="CG33" s="12">
        <v>217.12506129581587</v>
      </c>
      <c r="CH33" s="11">
        <v>-0.99503308534622192</v>
      </c>
      <c r="CI33" s="11" t="s">
        <v>5</v>
      </c>
      <c r="CJ33" s="11" t="s">
        <v>5</v>
      </c>
      <c r="CK33" s="11">
        <v>4.5859973877668381E-2</v>
      </c>
      <c r="CL33" s="11">
        <v>-1.2445839820429683E-3</v>
      </c>
      <c r="CM33" s="12">
        <v>-0.9854775071144104</v>
      </c>
      <c r="CN33" s="12" t="s">
        <v>5</v>
      </c>
      <c r="CO33" s="12" t="s">
        <v>5</v>
      </c>
      <c r="CP33" s="12" t="s">
        <v>5</v>
      </c>
      <c r="CQ33" s="12" t="s">
        <v>5</v>
      </c>
      <c r="CR33">
        <v>40.539835246455105</v>
      </c>
      <c r="CS33">
        <v>1.2796426910139238</v>
      </c>
      <c r="CT33">
        <v>1.1101694915254239</v>
      </c>
      <c r="CU33" s="11">
        <v>-0.31680589848353219</v>
      </c>
      <c r="CV33" s="12">
        <v>-0.9854775071144104</v>
      </c>
      <c r="CW33">
        <v>0.06</v>
      </c>
      <c r="CX33">
        <v>859.50698113207545</v>
      </c>
      <c r="CY33" t="s">
        <v>1545</v>
      </c>
      <c r="CZ33">
        <v>-0.31680589848353219</v>
      </c>
      <c r="DA33">
        <v>286.50232704402515</v>
      </c>
      <c r="DB33" t="s">
        <v>1546</v>
      </c>
      <c r="DC33">
        <v>-0.30096560355935559</v>
      </c>
      <c r="DD33">
        <v>143.25116352201258</v>
      </c>
      <c r="DE33" t="s">
        <v>1547</v>
      </c>
      <c r="DF33">
        <v>-0.27878919066550834</v>
      </c>
      <c r="DG33">
        <v>85.950698113207551</v>
      </c>
      <c r="DH33" t="s">
        <v>1548</v>
      </c>
      <c r="DI33">
        <v>-0.25344471878682578</v>
      </c>
      <c r="DJ33">
        <v>42.975349056603775</v>
      </c>
      <c r="DK33" t="s">
        <v>1549</v>
      </c>
      <c r="DL33">
        <v>-0.22176412893847253</v>
      </c>
      <c r="DM33">
        <v>106000000</v>
      </c>
      <c r="DN33">
        <v>-0.31680589848353219</v>
      </c>
      <c r="DO33">
        <v>91107740000</v>
      </c>
      <c r="DP33">
        <v>165711430000</v>
      </c>
      <c r="DQ33">
        <v>2879</v>
      </c>
      <c r="DR33">
        <v>132.15525716684132</v>
      </c>
      <c r="DS33">
        <v>218.11053880293028</v>
      </c>
      <c r="DT33" s="13">
        <v>-1.1599999999999999</v>
      </c>
      <c r="DU33">
        <v>-2.3199999999999998</v>
      </c>
      <c r="DV33">
        <v>-3.4799999999999995</v>
      </c>
      <c r="DW33">
        <v>1.72E-2</v>
      </c>
      <c r="DX33">
        <v>0.41798664915881245</v>
      </c>
      <c r="DY33">
        <v>3.2333703655315453E-3</v>
      </c>
      <c r="DZ33">
        <v>2850</v>
      </c>
      <c r="EA33">
        <v>1.4300229013896853E-3</v>
      </c>
      <c r="EB33">
        <v>0</v>
      </c>
      <c r="EC33">
        <v>2.657184156478147E-2</v>
      </c>
      <c r="ED33">
        <v>0.1413496187380979</v>
      </c>
      <c r="EE33" s="14">
        <v>2.05091</v>
      </c>
      <c r="EF33">
        <v>2.0801099999999999</v>
      </c>
      <c r="EG33">
        <v>23.187986649158812</v>
      </c>
      <c r="EH33" t="s">
        <v>441</v>
      </c>
      <c r="EI33">
        <v>0</v>
      </c>
      <c r="EJ33">
        <v>0</v>
      </c>
      <c r="EK33" s="10">
        <v>45470</v>
      </c>
      <c r="EL33" s="15">
        <v>0.53</v>
      </c>
      <c r="EM33" s="15">
        <v>-1.8</v>
      </c>
      <c r="EN33" s="15">
        <v>1.19</v>
      </c>
      <c r="EO33" s="15">
        <v>-1.49</v>
      </c>
      <c r="EP33" s="15">
        <v>-2.92</v>
      </c>
    </row>
    <row r="34" spans="1:146" ht="96" x14ac:dyDescent="0.25">
      <c r="A34" s="7"/>
      <c r="B34" s="7"/>
      <c r="C34" s="7" t="str">
        <f>""&amp;CHAR(10)&amp;Basic_Fundamental_Information_Constructure(F34)&amp;CHAR(10)&amp;Basic_Fundamental_Information_Concatenate("")</f>
        <v xml:space="preserve">
市值7.7619404亿, 利润5401.17万; PE; 平均PE-5.84; 平均PEG-.02, PB1.9; ROIC0%; ROE-39.6667%; 股利率0%; 毛利62.04%; 净利-241.2933%; 上一年度营收增1529.12%, 利润增115.43%; 当季营收增-93.91%, 利润增-148.42%; 过往5年营收增280.12%, 利润增32.08%
Income profile:
</v>
      </c>
      <c r="D34" t="s">
        <v>255</v>
      </c>
      <c r="E34" t="s">
        <v>1550</v>
      </c>
      <c r="F34">
        <v>1.23</v>
      </c>
      <c r="G34">
        <v>2.5</v>
      </c>
      <c r="H34" t="s">
        <v>1551</v>
      </c>
      <c r="I34">
        <v>776194040</v>
      </c>
      <c r="K34">
        <v>1.9</v>
      </c>
      <c r="L34" t="s">
        <v>107</v>
      </c>
      <c r="M34" t="s">
        <v>835</v>
      </c>
      <c r="N34" t="s">
        <v>1552</v>
      </c>
      <c r="O34" t="s">
        <v>1553</v>
      </c>
      <c r="P34">
        <v>1.88</v>
      </c>
      <c r="Q34" t="s">
        <v>1554</v>
      </c>
      <c r="R34">
        <v>-14473580</v>
      </c>
      <c r="S34" s="5">
        <v>0.70630000000000004</v>
      </c>
      <c r="T34" t="s">
        <v>1555</v>
      </c>
      <c r="U34">
        <v>565922680</v>
      </c>
      <c r="V34">
        <v>631052070</v>
      </c>
      <c r="W34">
        <v>3.02</v>
      </c>
      <c r="X34">
        <v>0.04</v>
      </c>
      <c r="Y34">
        <v>-29.56</v>
      </c>
      <c r="Z34" t="s">
        <v>1556</v>
      </c>
      <c r="AA34" t="s">
        <v>1557</v>
      </c>
      <c r="AB34" t="s">
        <v>1558</v>
      </c>
      <c r="AC34" t="s">
        <v>1559</v>
      </c>
      <c r="AD34" t="s">
        <v>5</v>
      </c>
      <c r="AE34">
        <v>-608911</v>
      </c>
      <c r="AF34" t="s">
        <v>21</v>
      </c>
      <c r="AG34">
        <v>3000</v>
      </c>
      <c r="AH34" t="s">
        <v>1560</v>
      </c>
      <c r="AI34" t="s">
        <v>453</v>
      </c>
      <c r="AJ34" t="s">
        <v>5</v>
      </c>
      <c r="AK34" t="s">
        <v>5</v>
      </c>
      <c r="AL34" t="s">
        <v>1561</v>
      </c>
      <c r="AM34" t="s">
        <v>5</v>
      </c>
      <c r="AN34">
        <v>0</v>
      </c>
      <c r="AO34" t="s">
        <v>5</v>
      </c>
      <c r="AP34" t="s">
        <v>5</v>
      </c>
      <c r="AQ34" t="s">
        <v>44</v>
      </c>
      <c r="AR34" t="s">
        <v>5</v>
      </c>
      <c r="AS34" t="s">
        <v>1326</v>
      </c>
      <c r="AT34" t="s">
        <v>5</v>
      </c>
      <c r="AU34" t="s">
        <v>1562</v>
      </c>
      <c r="AV34" t="s">
        <v>1563</v>
      </c>
      <c r="AW34" t="s">
        <v>1564</v>
      </c>
      <c r="AX34" t="s">
        <v>675</v>
      </c>
      <c r="AY34" t="s">
        <v>42</v>
      </c>
      <c r="AZ34" t="s">
        <v>261</v>
      </c>
      <c r="BA34" t="s">
        <v>256</v>
      </c>
      <c r="BB34" t="s">
        <v>257</v>
      </c>
      <c r="BC34" t="s">
        <v>676</v>
      </c>
      <c r="BD34" t="s">
        <v>350</v>
      </c>
      <c r="BE34" t="s">
        <v>352</v>
      </c>
      <c r="BF34" t="s">
        <v>258</v>
      </c>
      <c r="BG34" t="s">
        <v>259</v>
      </c>
      <c r="BH34" t="s">
        <v>750</v>
      </c>
      <c r="BI34" t="s">
        <v>815</v>
      </c>
      <c r="BJ34" t="s">
        <v>675</v>
      </c>
      <c r="BK34" t="s">
        <v>1565</v>
      </c>
      <c r="BL34" t="s">
        <v>1566</v>
      </c>
      <c r="BM34" t="s">
        <v>676</v>
      </c>
      <c r="BN34" t="s">
        <v>5</v>
      </c>
      <c r="BO34" t="s">
        <v>5</v>
      </c>
      <c r="BP34" t="s">
        <v>5</v>
      </c>
      <c r="BQ34">
        <v>-83.92</v>
      </c>
      <c r="BR34">
        <v>-22.84</v>
      </c>
      <c r="BS34">
        <v>-12.24</v>
      </c>
      <c r="BT34" t="s">
        <v>519</v>
      </c>
      <c r="BU34" t="s">
        <v>879</v>
      </c>
      <c r="BV34">
        <v>62.32</v>
      </c>
      <c r="BW34">
        <v>61.66</v>
      </c>
      <c r="BX34">
        <v>62.14</v>
      </c>
      <c r="BY34">
        <v>-538.57000000000005</v>
      </c>
      <c r="BZ34">
        <v>-134.12</v>
      </c>
      <c r="CA34">
        <v>-51.19</v>
      </c>
      <c r="CB34">
        <v>-3.15</v>
      </c>
      <c r="CC34">
        <v>-6.11</v>
      </c>
      <c r="CD34" t="s">
        <v>1567</v>
      </c>
      <c r="CE34" t="s">
        <v>1568</v>
      </c>
      <c r="CF34" s="11">
        <v>-0.93905527950310563</v>
      </c>
      <c r="CG34" s="12">
        <v>-1.484184432988656</v>
      </c>
      <c r="CH34" s="11">
        <v>15.29118824005127</v>
      </c>
      <c r="CI34" s="11">
        <v>-0.33587786555290222</v>
      </c>
      <c r="CJ34" s="11">
        <v>-0.30319148302078247</v>
      </c>
      <c r="CK34" s="11">
        <v>-0.23160763084888458</v>
      </c>
      <c r="CL34" s="11">
        <v>-0.41467306017875671</v>
      </c>
      <c r="CM34" s="12">
        <v>1.154319167137146</v>
      </c>
      <c r="CN34" s="12">
        <v>-0.74129354953765869</v>
      </c>
      <c r="CO34" s="12">
        <v>0.3909091055393219</v>
      </c>
      <c r="CP34" s="12">
        <v>-1.2195608615875244</v>
      </c>
      <c r="CQ34" s="12">
        <v>2.0196743011474609</v>
      </c>
      <c r="CR34">
        <v>-5.8361309808677646</v>
      </c>
      <c r="CS34">
        <v>-2.083463658990533E-2</v>
      </c>
      <c r="CT34">
        <v>0</v>
      </c>
      <c r="CU34" s="11">
        <v>2.8011676400899885</v>
      </c>
      <c r="CV34" s="12">
        <v>0.32080963253974915</v>
      </c>
      <c r="CW34">
        <v>0.06</v>
      </c>
      <c r="CX34">
        <v>6.2172376525220994</v>
      </c>
      <c r="CY34">
        <v>193686345.49646077</v>
      </c>
      <c r="CZ34">
        <v>2.8011676400899885</v>
      </c>
      <c r="DA34">
        <v>0.39400763992059507</v>
      </c>
      <c r="DB34">
        <v>3056270787.6494045</v>
      </c>
      <c r="DC34">
        <v>2.6611092580854891</v>
      </c>
      <c r="DD34">
        <v>1.2693258852272371E-2</v>
      </c>
      <c r="DE34">
        <v>94868784605.65097</v>
      </c>
      <c r="DF34">
        <v>2.4650275232791898</v>
      </c>
      <c r="DG34">
        <v>2.1015691594377728E-4</v>
      </c>
      <c r="DH34">
        <v>5729975787816.3516</v>
      </c>
      <c r="DI34">
        <v>2.240934112071991</v>
      </c>
      <c r="DJ34">
        <v>1.7124676195050514E-8</v>
      </c>
      <c r="DK34">
        <v>7.031922976435864E+16</v>
      </c>
      <c r="DL34">
        <v>1.9608173480629918</v>
      </c>
      <c r="DM34">
        <v>54011700</v>
      </c>
      <c r="DN34">
        <v>2.8011676400899885</v>
      </c>
      <c r="DO34">
        <v>1204194040</v>
      </c>
      <c r="DP34">
        <v>464640970</v>
      </c>
      <c r="DQ34">
        <v>3071</v>
      </c>
      <c r="DR34">
        <v>-3.7402229195930943</v>
      </c>
      <c r="DS34">
        <v>-1.8049940655284051</v>
      </c>
      <c r="DT34" s="13">
        <v>-0.64</v>
      </c>
      <c r="DU34">
        <v>-1.8466666666666669</v>
      </c>
      <c r="DV34">
        <v>-2.4866666666666668</v>
      </c>
      <c r="DW34">
        <v>-8.515548281505728</v>
      </c>
      <c r="DX34">
        <v>0.24599107743076132</v>
      </c>
      <c r="DY34">
        <v>-8.0649544834544837</v>
      </c>
      <c r="DZ34">
        <v>4036</v>
      </c>
      <c r="EA34">
        <v>-8.0136518816497286</v>
      </c>
      <c r="EB34">
        <v>8</v>
      </c>
      <c r="EC34">
        <v>1.4179653986397667E-2</v>
      </c>
      <c r="ED34">
        <v>0.11254491249826659</v>
      </c>
      <c r="EE34" s="14">
        <v>-3.07531</v>
      </c>
      <c r="EF34">
        <v>-3.1008100000000001</v>
      </c>
      <c r="EG34">
        <v>12.125991077430761</v>
      </c>
      <c r="EH34" t="s">
        <v>1343</v>
      </c>
      <c r="EI34">
        <v>0</v>
      </c>
      <c r="EJ34">
        <v>0</v>
      </c>
      <c r="EK34" s="10">
        <v>45470</v>
      </c>
      <c r="EL34" s="15">
        <v>-1.33</v>
      </c>
      <c r="EM34" s="15">
        <v>-6</v>
      </c>
      <c r="EN34">
        <v>-0.96</v>
      </c>
      <c r="EO34">
        <v>7.25</v>
      </c>
      <c r="EP34">
        <v>-2.5499999999999998</v>
      </c>
    </row>
    <row r="35" spans="1:146" ht="108" x14ac:dyDescent="0.25">
      <c r="A35" s="7"/>
      <c r="B35" s="7"/>
      <c r="C35" s="7" t="str">
        <f>""&amp;CHAR(10)&amp;Basic_Fundamental_Information_Constructure(F35)&amp;CHAR(10)&amp;Basic_Fundamental_Information_Concatenate("")</f>
        <v xml:space="preserve">
市值21.215538亿, 利润3834.41万; PE; 平均PE-1.86; 平均PEG-.13, PB2.61; ROIC5.5%; ROE-98.6767%; 股利率0%; 毛利26.6767%; 净利-17.1633%; 上一年度营收增-15.6%, 利润增108.45%; 当季营收增-18.43%, 利润增-2189.39%; 过往5年营收增-14.33%, 利润增-518.91%
Income profile:
</v>
      </c>
      <c r="D35" t="s">
        <v>260</v>
      </c>
      <c r="E35" t="s">
        <v>1569</v>
      </c>
      <c r="F35">
        <v>1.28</v>
      </c>
      <c r="G35">
        <v>3.23</v>
      </c>
      <c r="H35" t="s">
        <v>1570</v>
      </c>
      <c r="I35">
        <v>2121553800</v>
      </c>
      <c r="K35">
        <v>2.61</v>
      </c>
      <c r="L35" t="s">
        <v>107</v>
      </c>
      <c r="M35" t="s">
        <v>1571</v>
      </c>
      <c r="N35" t="s">
        <v>287</v>
      </c>
      <c r="O35" t="s">
        <v>1572</v>
      </c>
      <c r="P35">
        <v>-46.45</v>
      </c>
      <c r="Q35" t="s">
        <v>1573</v>
      </c>
      <c r="R35">
        <v>-127530195</v>
      </c>
      <c r="S35" s="5">
        <v>-4.5129999999999999</v>
      </c>
      <c r="T35" t="s">
        <v>1574</v>
      </c>
      <c r="U35">
        <v>1392630000</v>
      </c>
      <c r="V35">
        <v>1657463900</v>
      </c>
      <c r="W35">
        <v>10.71</v>
      </c>
      <c r="X35">
        <v>7.0000000000000007E-2</v>
      </c>
      <c r="Y35">
        <v>-25.58</v>
      </c>
      <c r="Z35" t="s">
        <v>755</v>
      </c>
      <c r="AA35" t="s">
        <v>803</v>
      </c>
      <c r="AB35" t="s">
        <v>1575</v>
      </c>
      <c r="AC35" t="s">
        <v>1576</v>
      </c>
      <c r="AD35" t="s">
        <v>5</v>
      </c>
      <c r="AE35">
        <v>10088224</v>
      </c>
      <c r="AF35" t="s">
        <v>1577</v>
      </c>
      <c r="AG35" t="s">
        <v>1578</v>
      </c>
      <c r="AH35" t="s">
        <v>1579</v>
      </c>
      <c r="AI35" t="s">
        <v>423</v>
      </c>
      <c r="AJ35" t="s">
        <v>5</v>
      </c>
      <c r="AK35" t="s">
        <v>5</v>
      </c>
      <c r="AL35" t="s">
        <v>1580</v>
      </c>
      <c r="AM35" t="s">
        <v>5</v>
      </c>
      <c r="AN35" t="s">
        <v>208</v>
      </c>
      <c r="AO35" t="s">
        <v>1581</v>
      </c>
      <c r="AP35" t="s">
        <v>5</v>
      </c>
      <c r="AQ35" t="s">
        <v>1582</v>
      </c>
      <c r="AR35" t="s">
        <v>5</v>
      </c>
      <c r="AS35" t="s">
        <v>747</v>
      </c>
      <c r="AT35" t="s">
        <v>5</v>
      </c>
      <c r="AU35" t="s">
        <v>1583</v>
      </c>
      <c r="AV35" t="s">
        <v>1584</v>
      </c>
      <c r="AW35" t="s">
        <v>1585</v>
      </c>
      <c r="AX35" t="s">
        <v>677</v>
      </c>
      <c r="AY35" t="s">
        <v>353</v>
      </c>
      <c r="AZ35" t="s">
        <v>102</v>
      </c>
      <c r="BA35" t="s">
        <v>262</v>
      </c>
      <c r="BB35" t="s">
        <v>263</v>
      </c>
      <c r="BC35" t="s">
        <v>1586</v>
      </c>
      <c r="BD35" t="s">
        <v>354</v>
      </c>
      <c r="BE35" t="s">
        <v>24</v>
      </c>
      <c r="BF35" t="s">
        <v>264</v>
      </c>
      <c r="BG35" t="s">
        <v>45</v>
      </c>
      <c r="BH35" t="s">
        <v>1587</v>
      </c>
      <c r="BI35" t="s">
        <v>1588</v>
      </c>
      <c r="BJ35" t="s">
        <v>677</v>
      </c>
      <c r="BK35" t="s">
        <v>1589</v>
      </c>
      <c r="BL35" t="s">
        <v>1590</v>
      </c>
      <c r="BM35" t="s">
        <v>1586</v>
      </c>
      <c r="BN35">
        <v>5.5</v>
      </c>
      <c r="BO35" t="s">
        <v>5</v>
      </c>
      <c r="BP35" t="s">
        <v>5</v>
      </c>
      <c r="BQ35">
        <v>8.8699999999999992</v>
      </c>
      <c r="BR35">
        <v>-37.25</v>
      </c>
      <c r="BS35">
        <v>-267.64999999999998</v>
      </c>
      <c r="BT35" t="s">
        <v>519</v>
      </c>
      <c r="BU35" t="s">
        <v>1543</v>
      </c>
      <c r="BV35">
        <v>29.32</v>
      </c>
      <c r="BW35">
        <v>18.66</v>
      </c>
      <c r="BX35">
        <v>32.049999999999997</v>
      </c>
      <c r="BY35">
        <v>-4.01</v>
      </c>
      <c r="BZ35">
        <v>-12.86</v>
      </c>
      <c r="CA35">
        <v>-34.619999999999997</v>
      </c>
      <c r="CB35">
        <v>9.4</v>
      </c>
      <c r="CC35">
        <v>-18.989999999999998</v>
      </c>
      <c r="CD35" t="s">
        <v>921</v>
      </c>
      <c r="CE35" t="s">
        <v>1169</v>
      </c>
      <c r="CF35" s="11">
        <v>-0.18433931484502447</v>
      </c>
      <c r="CG35" s="12">
        <v>-21.893915985385913</v>
      </c>
      <c r="CH35" s="11">
        <v>-0.1560053676366806</v>
      </c>
      <c r="CI35" s="11">
        <v>-6.2500014901161194E-2</v>
      </c>
      <c r="CJ35" s="11">
        <v>-0.24580152332782745</v>
      </c>
      <c r="CK35" s="11">
        <v>-0.13388428092002869</v>
      </c>
      <c r="CL35" s="11">
        <v>-0.11807578802108765</v>
      </c>
      <c r="CM35" s="12">
        <v>1.0844583511352539</v>
      </c>
      <c r="CN35" s="12">
        <v>0.61130136251449585</v>
      </c>
      <c r="CO35" s="12">
        <v>-12.564355850219727</v>
      </c>
      <c r="CP35" s="12">
        <v>1.0175621509552002</v>
      </c>
      <c r="CQ35" s="12">
        <v>-16.094488143920898</v>
      </c>
      <c r="CR35">
        <v>-1.857575075380627</v>
      </c>
      <c r="CS35">
        <v>-0.1296705795965053</v>
      </c>
      <c r="CT35">
        <v>0</v>
      </c>
      <c r="CU35" s="11">
        <v>-0.14325339496135711</v>
      </c>
      <c r="CV35" s="12">
        <v>-5.1891044259071348</v>
      </c>
      <c r="CW35">
        <v>0.06</v>
      </c>
      <c r="CX35" t="e">
        <v>#VALUE!</v>
      </c>
      <c r="CY35" t="s">
        <v>576</v>
      </c>
      <c r="CZ35">
        <v>-0.14325339496135711</v>
      </c>
      <c r="DA35">
        <v>67.203331585998015</v>
      </c>
      <c r="DB35" t="s">
        <v>1591</v>
      </c>
      <c r="DC35">
        <v>-0.13609072521328924</v>
      </c>
      <c r="DD35">
        <v>33.601665792999007</v>
      </c>
      <c r="DE35" t="s">
        <v>1592</v>
      </c>
      <c r="DF35">
        <v>-0.12606298756599427</v>
      </c>
      <c r="DG35">
        <v>20.160999475799407</v>
      </c>
      <c r="DH35" t="s">
        <v>1593</v>
      </c>
      <c r="DI35">
        <v>-0.11460271596908569</v>
      </c>
      <c r="DJ35">
        <v>10.080499737899704</v>
      </c>
      <c r="DK35" t="s">
        <v>1594</v>
      </c>
      <c r="DL35">
        <v>-0.10027737647294997</v>
      </c>
      <c r="DM35">
        <v>38344100</v>
      </c>
      <c r="DN35">
        <v>-0.14325339496135711</v>
      </c>
      <c r="DO35">
        <v>7730553800</v>
      </c>
      <c r="DP35">
        <v>-1826441699.9999995</v>
      </c>
      <c r="DQ35">
        <v>3478</v>
      </c>
      <c r="DR35">
        <v>-4.108591988366736E-2</v>
      </c>
      <c r="DS35">
        <v>-16.704811559478777</v>
      </c>
      <c r="DT35" s="13">
        <v>-0.7400000000000001</v>
      </c>
      <c r="DU35">
        <v>-1.7483333333333333</v>
      </c>
      <c r="DV35">
        <v>-2.4883333333333333</v>
      </c>
      <c r="DW35">
        <v>7.3311025008805917</v>
      </c>
      <c r="DX35">
        <v>0.34208092485549091</v>
      </c>
      <c r="DY35">
        <v>7.0602874495823045</v>
      </c>
      <c r="DZ35">
        <v>331</v>
      </c>
      <c r="EA35">
        <v>7.0563823329850948</v>
      </c>
      <c r="EB35">
        <v>7</v>
      </c>
      <c r="EC35">
        <v>0.11402963286259206</v>
      </c>
      <c r="ED35">
        <v>0.6262579836580453</v>
      </c>
      <c r="EE35" s="14">
        <v>1.0989</v>
      </c>
      <c r="EF35">
        <v>1.0849</v>
      </c>
      <c r="EG35">
        <v>16.182080924855491</v>
      </c>
      <c r="EH35" t="s">
        <v>414</v>
      </c>
      <c r="EI35">
        <v>1</v>
      </c>
      <c r="EJ35">
        <v>1</v>
      </c>
      <c r="EK35" s="10">
        <v>45470</v>
      </c>
      <c r="EL35" s="15">
        <v>-0.05</v>
      </c>
      <c r="EM35" s="15">
        <v>-1.18</v>
      </c>
      <c r="EN35">
        <v>-0.33</v>
      </c>
      <c r="EO35">
        <v>-0.38</v>
      </c>
      <c r="EP35">
        <v>-1.4</v>
      </c>
    </row>
    <row r="36" spans="1:146" ht="108" x14ac:dyDescent="0.25">
      <c r="A36" s="7"/>
      <c r="B36" s="7"/>
      <c r="C36" s="7" t="str">
        <f>""&amp;CHAR(10)&amp;Basic_Fundamental_Information_Constructure(F36)&amp;CHAR(10)&amp;Basic_Fundamental_Information_Concatenate("")</f>
        <v xml:space="preserve">
市值23157.956亿, 利润9861.54万; PE17.37; 平均PE24.28; 平均PEG1.64, PB1.73; ROIC8.93%; ROE9.4633%; 股利率2.0231%; 毛利28.2733%; 净利13.3867%; 上一年度营收增-99.25%, 利润增-99.92%; 当季营收增15476.31%, 利润增113399.67%; 过往5年营收增-14.82%, 利润增-18.33%
Income profile:
</v>
      </c>
      <c r="D36" t="s">
        <v>355</v>
      </c>
      <c r="E36" t="s">
        <v>356</v>
      </c>
      <c r="F36">
        <v>108</v>
      </c>
      <c r="G36">
        <v>-1.05</v>
      </c>
      <c r="H36" t="s">
        <v>1595</v>
      </c>
      <c r="I36">
        <v>2315795600000</v>
      </c>
      <c r="J36">
        <v>17.37</v>
      </c>
      <c r="K36">
        <v>1.73</v>
      </c>
      <c r="L36" t="s">
        <v>107</v>
      </c>
      <c r="M36" t="s">
        <v>1596</v>
      </c>
      <c r="N36" t="s">
        <v>1597</v>
      </c>
      <c r="O36" t="s">
        <v>1598</v>
      </c>
      <c r="P36">
        <v>5.17</v>
      </c>
      <c r="Q36" t="s">
        <v>1599</v>
      </c>
      <c r="R36">
        <v>29609000000</v>
      </c>
      <c r="S36" s="5">
        <v>5.4899999999999997E-2</v>
      </c>
      <c r="T36" t="s">
        <v>1600</v>
      </c>
      <c r="U36">
        <v>758622870</v>
      </c>
      <c r="V36">
        <v>21442551000</v>
      </c>
      <c r="W36">
        <v>1.49</v>
      </c>
      <c r="X36">
        <v>0.13</v>
      </c>
      <c r="Y36">
        <v>11.24</v>
      </c>
      <c r="Z36" t="s">
        <v>1601</v>
      </c>
      <c r="AA36" t="s">
        <v>1602</v>
      </c>
      <c r="AB36" t="s">
        <v>1603</v>
      </c>
      <c r="AC36" t="s">
        <v>1604</v>
      </c>
      <c r="AD36" t="s">
        <v>5</v>
      </c>
      <c r="AE36">
        <v>-579000000</v>
      </c>
      <c r="AF36" t="s">
        <v>1605</v>
      </c>
      <c r="AG36" t="s">
        <v>1606</v>
      </c>
      <c r="AH36" t="s">
        <v>1607</v>
      </c>
      <c r="AI36" t="s">
        <v>1608</v>
      </c>
      <c r="AJ36" t="s">
        <v>1609</v>
      </c>
      <c r="AK36" t="s">
        <v>825</v>
      </c>
      <c r="AL36" t="s">
        <v>1610</v>
      </c>
      <c r="AM36" t="s">
        <v>5</v>
      </c>
      <c r="AN36" t="s">
        <v>1611</v>
      </c>
      <c r="AO36" t="s">
        <v>5</v>
      </c>
      <c r="AP36" t="s">
        <v>1612</v>
      </c>
      <c r="AQ36" t="s">
        <v>1613</v>
      </c>
      <c r="AR36" t="s">
        <v>1614</v>
      </c>
      <c r="AS36" t="s">
        <v>1615</v>
      </c>
      <c r="AT36" t="s">
        <v>5</v>
      </c>
      <c r="AU36" t="s">
        <v>1616</v>
      </c>
      <c r="AV36" t="s">
        <v>1617</v>
      </c>
      <c r="AW36" t="s">
        <v>1618</v>
      </c>
      <c r="AX36" t="s">
        <v>678</v>
      </c>
      <c r="AY36" t="s">
        <v>357</v>
      </c>
      <c r="AZ36" t="s">
        <v>359</v>
      </c>
      <c r="BA36" t="s">
        <v>360</v>
      </c>
      <c r="BB36" t="s">
        <v>361</v>
      </c>
      <c r="BC36" t="s">
        <v>679</v>
      </c>
      <c r="BD36" t="s">
        <v>358</v>
      </c>
      <c r="BE36" t="s">
        <v>362</v>
      </c>
      <c r="BF36" t="s">
        <v>363</v>
      </c>
      <c r="BG36" t="s">
        <v>364</v>
      </c>
      <c r="BH36" t="s">
        <v>1619</v>
      </c>
      <c r="BI36" t="s">
        <v>1620</v>
      </c>
      <c r="BJ36" t="s">
        <v>678</v>
      </c>
      <c r="BK36" t="s">
        <v>1621</v>
      </c>
      <c r="BL36" t="s">
        <v>1622</v>
      </c>
      <c r="BM36" t="s">
        <v>679</v>
      </c>
      <c r="BN36">
        <v>7.89</v>
      </c>
      <c r="BO36">
        <v>9.5299999999999994</v>
      </c>
      <c r="BP36">
        <v>9.3699999999999992</v>
      </c>
      <c r="BQ36">
        <v>8.1999999999999993</v>
      </c>
      <c r="BR36">
        <v>10.08</v>
      </c>
      <c r="BS36">
        <v>10.11</v>
      </c>
      <c r="BT36" t="s">
        <v>1623</v>
      </c>
      <c r="BU36" t="s">
        <v>1543</v>
      </c>
      <c r="BV36">
        <v>28.23</v>
      </c>
      <c r="BW36">
        <v>27.78</v>
      </c>
      <c r="BX36">
        <v>28.81</v>
      </c>
      <c r="BY36">
        <v>13.07</v>
      </c>
      <c r="BZ36">
        <v>13.4</v>
      </c>
      <c r="CA36">
        <v>13.69</v>
      </c>
      <c r="CB36">
        <v>0.47</v>
      </c>
      <c r="CC36">
        <v>12.38</v>
      </c>
      <c r="CD36" t="s">
        <v>1624</v>
      </c>
      <c r="CE36" t="s">
        <v>1331</v>
      </c>
      <c r="CF36" s="11">
        <v>154.7631423508565</v>
      </c>
      <c r="CG36" s="12">
        <v>1133.9967225431533</v>
      </c>
      <c r="CH36" s="11">
        <v>-0.99247807264328003</v>
      </c>
      <c r="CI36" s="11">
        <v>0.10492204874753952</v>
      </c>
      <c r="CJ36" s="11">
        <v>0.10440196096897125</v>
      </c>
      <c r="CK36" s="11">
        <v>2.9699020087718964E-2</v>
      </c>
      <c r="CL36" s="11">
        <v>1.234763115644455E-2</v>
      </c>
      <c r="CM36" s="12">
        <v>-0.99921399354934692</v>
      </c>
      <c r="CN36" s="12">
        <v>8.2130774855613708E-2</v>
      </c>
      <c r="CO36" s="12">
        <v>7.5113400816917419E-2</v>
      </c>
      <c r="CP36" s="12">
        <v>1.4220526441931725E-2</v>
      </c>
      <c r="CQ36" s="12">
        <v>-8.8895335793495178E-2</v>
      </c>
      <c r="CR36">
        <v>24.276469429393842</v>
      </c>
      <c r="CS36">
        <v>1.6378509408154946</v>
      </c>
      <c r="CT36">
        <v>2.0230555555555556</v>
      </c>
      <c r="CU36" s="11">
        <v>-0.14822148233652116</v>
      </c>
      <c r="CV36" s="12">
        <v>-0.18332892544567586</v>
      </c>
      <c r="CW36">
        <v>0.06</v>
      </c>
      <c r="CX36">
        <v>16433.920057110754</v>
      </c>
      <c r="CY36" t="s">
        <v>1625</v>
      </c>
      <c r="CZ36">
        <v>-0.14822148233652116</v>
      </c>
      <c r="DA36">
        <v>5477.9733523702516</v>
      </c>
      <c r="DB36" t="s">
        <v>1626</v>
      </c>
      <c r="DC36">
        <v>-0.14081040821969509</v>
      </c>
      <c r="DD36">
        <v>2738.9866761851258</v>
      </c>
      <c r="DE36" t="s">
        <v>1627</v>
      </c>
      <c r="DF36">
        <v>-0.13043490445613862</v>
      </c>
      <c r="DG36">
        <v>1643.3920057110756</v>
      </c>
      <c r="DH36" t="s">
        <v>1628</v>
      </c>
      <c r="DI36">
        <v>-0.11857718586921694</v>
      </c>
      <c r="DJ36">
        <v>821.69600285553781</v>
      </c>
      <c r="DK36" t="s">
        <v>1629</v>
      </c>
      <c r="DL36">
        <v>-0.1037550376355648</v>
      </c>
      <c r="DM36">
        <v>98615400.000000015</v>
      </c>
      <c r="DN36">
        <v>-0.14822148233652116</v>
      </c>
      <c r="DO36">
        <v>1620637600000</v>
      </c>
      <c r="DP36">
        <v>-8153000000</v>
      </c>
      <c r="DQ36">
        <v>3580</v>
      </c>
      <c r="DR36">
        <v>154.91136383319301</v>
      </c>
      <c r="DS36">
        <v>1134.180051468599</v>
      </c>
      <c r="DT36" s="13">
        <v>-0.77333333333333332</v>
      </c>
      <c r="DU36">
        <v>-0.55333333333333334</v>
      </c>
      <c r="DV36">
        <v>-1.3266666666666667</v>
      </c>
      <c r="DW36">
        <v>2.1238000000000001</v>
      </c>
      <c r="DX36">
        <v>0.42197343750000016</v>
      </c>
      <c r="DY36">
        <v>2.0212903115624998</v>
      </c>
      <c r="DZ36">
        <v>3722</v>
      </c>
      <c r="EA36">
        <v>2.0057829652541583</v>
      </c>
      <c r="EB36">
        <v>2</v>
      </c>
      <c r="EC36">
        <v>2.566462357953585E-3</v>
      </c>
      <c r="ED36">
        <v>1.4923597476811412E-2</v>
      </c>
      <c r="EE36" s="14">
        <v>1.0843</v>
      </c>
      <c r="EF36">
        <v>1.0323</v>
      </c>
      <c r="EG36">
        <v>25.1719734375</v>
      </c>
      <c r="EH36" t="s">
        <v>414</v>
      </c>
      <c r="EI36">
        <v>1</v>
      </c>
      <c r="EJ36">
        <v>0</v>
      </c>
      <c r="EK36" s="10">
        <v>45470</v>
      </c>
      <c r="EL36" s="15">
        <v>0.86</v>
      </c>
      <c r="EM36" s="15">
        <v>-2.56</v>
      </c>
      <c r="EN36">
        <v>-0.44</v>
      </c>
      <c r="EO36">
        <v>10.130000000000001</v>
      </c>
      <c r="EP36">
        <v>-5.2</v>
      </c>
    </row>
    <row r="37" spans="1:146" ht="108" x14ac:dyDescent="0.25">
      <c r="A37" s="7"/>
      <c r="B37" s="7"/>
      <c r="C37" s="7" t="str">
        <f>""&amp;CHAR(10)&amp;Basic_Fundamental_Information_Constructure(F37)&amp;CHAR(10)&amp;Basic_Fundamental_Information_Concatenate("")</f>
        <v xml:space="preserve">
市值5655.1412亿, 利润117.12亿; PE18.21; 平均PE26.7; 平均PEG5.15, PB1.25; ROIC6.0433%; ROE6.4233%; 股利率1.4563%; 毛利28.8233%; 净利5.9467%; 上一年度营收增-50.68%, 利润增-57.55%; 当季营收增315.38%, 利润增1297.9%; 过往5年营收增-5.18%, 利润增-4.95%
Income profile:
</v>
      </c>
      <c r="D37" t="s">
        <v>265</v>
      </c>
      <c r="E37" t="s">
        <v>266</v>
      </c>
      <c r="F37">
        <v>6.18</v>
      </c>
      <c r="G37">
        <v>0.16</v>
      </c>
      <c r="H37" t="s">
        <v>1043</v>
      </c>
      <c r="I37">
        <v>565514120000</v>
      </c>
      <c r="J37">
        <v>18.21</v>
      </c>
      <c r="K37">
        <v>1.25</v>
      </c>
      <c r="L37" t="s">
        <v>107</v>
      </c>
      <c r="M37" t="s">
        <v>1630</v>
      </c>
      <c r="N37" t="s">
        <v>1631</v>
      </c>
      <c r="O37" t="s">
        <v>1632</v>
      </c>
      <c r="P37">
        <v>3.65</v>
      </c>
      <c r="Q37" t="s">
        <v>1633</v>
      </c>
      <c r="R37">
        <v>8597086300</v>
      </c>
      <c r="S37" s="5">
        <v>7.6799999999999993E-2</v>
      </c>
      <c r="T37" t="s">
        <v>1634</v>
      </c>
      <c r="U37">
        <v>19590425000</v>
      </c>
      <c r="V37">
        <v>91507139000</v>
      </c>
      <c r="W37">
        <v>1.86</v>
      </c>
      <c r="X37">
        <v>0.16</v>
      </c>
      <c r="Y37">
        <v>6.42</v>
      </c>
      <c r="Z37" t="s">
        <v>1635</v>
      </c>
      <c r="AA37" t="s">
        <v>1636</v>
      </c>
      <c r="AB37" t="s">
        <v>1637</v>
      </c>
      <c r="AC37" t="s">
        <v>1638</v>
      </c>
      <c r="AD37" t="s">
        <v>5</v>
      </c>
      <c r="AE37">
        <v>144373690</v>
      </c>
      <c r="AF37" t="s">
        <v>1639</v>
      </c>
      <c r="AG37" t="s">
        <v>323</v>
      </c>
      <c r="AH37" t="s">
        <v>1640</v>
      </c>
      <c r="AI37" t="s">
        <v>1641</v>
      </c>
      <c r="AJ37" t="s">
        <v>1642</v>
      </c>
      <c r="AK37" t="s">
        <v>1643</v>
      </c>
      <c r="AL37" t="s">
        <v>1644</v>
      </c>
      <c r="AM37" t="s">
        <v>5</v>
      </c>
      <c r="AN37" t="s">
        <v>1645</v>
      </c>
      <c r="AO37" t="s">
        <v>1646</v>
      </c>
      <c r="AP37" t="s">
        <v>1647</v>
      </c>
      <c r="AQ37" t="s">
        <v>1648</v>
      </c>
      <c r="AR37" t="s">
        <v>1649</v>
      </c>
      <c r="AS37" t="s">
        <v>1650</v>
      </c>
      <c r="AT37" t="s">
        <v>1651</v>
      </c>
      <c r="AU37" t="s">
        <v>1652</v>
      </c>
      <c r="AV37" t="s">
        <v>1653</v>
      </c>
      <c r="AW37" t="s">
        <v>1654</v>
      </c>
      <c r="AX37" t="s">
        <v>680</v>
      </c>
      <c r="AY37" t="s">
        <v>682</v>
      </c>
      <c r="AZ37" t="s">
        <v>267</v>
      </c>
      <c r="BA37" t="s">
        <v>269</v>
      </c>
      <c r="BB37" t="s">
        <v>270</v>
      </c>
      <c r="BC37" t="s">
        <v>681</v>
      </c>
      <c r="BD37" t="s">
        <v>683</v>
      </c>
      <c r="BE37" t="s">
        <v>268</v>
      </c>
      <c r="BF37" t="s">
        <v>271</v>
      </c>
      <c r="BG37" t="s">
        <v>272</v>
      </c>
      <c r="BH37" t="s">
        <v>1655</v>
      </c>
      <c r="BI37" t="s">
        <v>1656</v>
      </c>
      <c r="BJ37" t="s">
        <v>680</v>
      </c>
      <c r="BK37" t="s">
        <v>1657</v>
      </c>
      <c r="BL37" t="s">
        <v>1222</v>
      </c>
      <c r="BM37" t="s">
        <v>681</v>
      </c>
      <c r="BN37">
        <v>5.96</v>
      </c>
      <c r="BO37">
        <v>6.01</v>
      </c>
      <c r="BP37">
        <v>6.16</v>
      </c>
      <c r="BQ37">
        <v>6.16</v>
      </c>
      <c r="BR37">
        <v>6.41</v>
      </c>
      <c r="BS37">
        <v>6.7</v>
      </c>
      <c r="BT37" t="s">
        <v>1658</v>
      </c>
      <c r="BU37" t="s">
        <v>1543</v>
      </c>
      <c r="BV37">
        <v>28.83</v>
      </c>
      <c r="BW37">
        <v>28.43</v>
      </c>
      <c r="BX37">
        <v>29.21</v>
      </c>
      <c r="BY37">
        <v>5.99</v>
      </c>
      <c r="BZ37">
        <v>5.83</v>
      </c>
      <c r="CA37">
        <v>6.02</v>
      </c>
      <c r="CB37">
        <v>0.49</v>
      </c>
      <c r="CC37">
        <v>5.46</v>
      </c>
      <c r="CD37" t="s">
        <v>1659</v>
      </c>
      <c r="CE37" t="s">
        <v>802</v>
      </c>
      <c r="CF37" s="11">
        <v>3.1537725068717375</v>
      </c>
      <c r="CG37" s="12">
        <v>12.979002113821139</v>
      </c>
      <c r="CH37" s="11">
        <v>-0.50678259134292603</v>
      </c>
      <c r="CI37" s="11">
        <v>9.3990705907344818E-2</v>
      </c>
      <c r="CJ37" s="11">
        <v>0.11340492963790894</v>
      </c>
      <c r="CK37" s="11">
        <v>4.7659829258918762E-2</v>
      </c>
      <c r="CL37" s="11">
        <v>-7.2786705568432808E-3</v>
      </c>
      <c r="CM37" s="12">
        <v>-0.57554453611373901</v>
      </c>
      <c r="CN37" s="12">
        <v>6.3191212713718414E-2</v>
      </c>
      <c r="CO37" s="12">
        <v>0.24444980919361115</v>
      </c>
      <c r="CP37" s="12">
        <v>1.6275916248559952E-2</v>
      </c>
      <c r="CQ37" s="12">
        <v>4.3560094200074673E-3</v>
      </c>
      <c r="CR37">
        <v>26.703325201076606</v>
      </c>
      <c r="CS37">
        <v>5.1549667035484612</v>
      </c>
      <c r="CT37">
        <v>1.4563106796116505</v>
      </c>
      <c r="CU37" s="11">
        <v>-5.1801159419119357E-2</v>
      </c>
      <c r="CV37" s="12">
        <v>-4.9454317707568404E-2</v>
      </c>
      <c r="CW37">
        <v>0.06</v>
      </c>
      <c r="CX37">
        <v>42.564474043715848</v>
      </c>
      <c r="CY37" t="s">
        <v>1660</v>
      </c>
      <c r="CZ37">
        <v>-5.1801159419119357E-2</v>
      </c>
      <c r="DA37">
        <v>14.188158014571949</v>
      </c>
      <c r="DB37" t="s">
        <v>1661</v>
      </c>
      <c r="DC37">
        <v>-4.9211101448163388E-2</v>
      </c>
      <c r="DD37">
        <v>7.0940790072859743</v>
      </c>
      <c r="DE37" t="s">
        <v>1662</v>
      </c>
      <c r="DF37">
        <v>-4.5585020288825037E-2</v>
      </c>
      <c r="DG37">
        <v>4.2564474043715848</v>
      </c>
      <c r="DH37" t="s">
        <v>1663</v>
      </c>
      <c r="DI37">
        <v>-4.1440927535295491E-2</v>
      </c>
      <c r="DJ37">
        <v>2.1282237021857924</v>
      </c>
      <c r="DK37" t="s">
        <v>1664</v>
      </c>
      <c r="DL37">
        <v>-3.6260811593383548E-2</v>
      </c>
      <c r="DM37">
        <v>11712000000</v>
      </c>
      <c r="DN37">
        <v>-5.1801159419119357E-2</v>
      </c>
      <c r="DO37">
        <v>498515120000</v>
      </c>
      <c r="DP37">
        <v>-123379180000</v>
      </c>
      <c r="DQ37">
        <v>3776</v>
      </c>
      <c r="DR37">
        <v>3.2055736662908569</v>
      </c>
      <c r="DS37">
        <v>13.028456431528706</v>
      </c>
      <c r="DT37" s="13">
        <v>-0.60666666666666669</v>
      </c>
      <c r="DU37">
        <v>-3.3333333333333326E-2</v>
      </c>
      <c r="DV37">
        <v>-0.64</v>
      </c>
      <c r="DW37">
        <v>1.0546</v>
      </c>
      <c r="DX37">
        <v>0.44882978723404165</v>
      </c>
      <c r="DY37">
        <v>1.0103101063829787</v>
      </c>
      <c r="DZ37">
        <v>3709</v>
      </c>
      <c r="EA37">
        <v>1.0028267043136112</v>
      </c>
      <c r="EB37">
        <v>1</v>
      </c>
      <c r="EC37">
        <v>6.2071659786019535E-3</v>
      </c>
      <c r="ED37">
        <v>3.2871752224708936E-2</v>
      </c>
      <c r="EE37" s="14">
        <v>0.13251000000000002</v>
      </c>
      <c r="EF37">
        <v>0.14851000000000003</v>
      </c>
      <c r="EG37">
        <v>26.188829787234042</v>
      </c>
      <c r="EH37">
        <v>-1</v>
      </c>
      <c r="EI37">
        <v>0</v>
      </c>
      <c r="EJ37">
        <v>0</v>
      </c>
      <c r="EK37" s="10">
        <v>45470</v>
      </c>
      <c r="EL37" s="15">
        <v>-1.04</v>
      </c>
      <c r="EM37" s="15">
        <v>-2.9</v>
      </c>
      <c r="EN37">
        <v>0.27</v>
      </c>
      <c r="EO37">
        <v>1.36</v>
      </c>
      <c r="EP37">
        <v>-1.6</v>
      </c>
    </row>
    <row r="38" spans="1:146" ht="108" x14ac:dyDescent="0.25">
      <c r="C38" s="7" t="str">
        <f>""&amp;CHAR(10)&amp;Basic_Fundamental_Information_Constructure(F38)&amp;CHAR(10)&amp;Basic_Fundamental_Information_Concatenate("")</f>
        <v xml:space="preserve">
市值20.766084亿, 利润1.74亿; PE37.83; 平均PE207.93; 平均PEG8.14, PB.558; ROIC1.29%; ROE-.5633%; 股利率1.1628%; 毛利2.9067%; 净利.1433%; 上一年度营收增-92.57%, 利润增436.88%; 当季营收增179.17%, 利润增-62.77%; 过往5年营收增-25.56%, 利润增-156.65%
Income profile:
</v>
      </c>
      <c r="D38" s="5" t="s">
        <v>684</v>
      </c>
      <c r="E38" t="s">
        <v>1665</v>
      </c>
      <c r="F38">
        <v>5.16</v>
      </c>
      <c r="G38">
        <v>-4.97</v>
      </c>
      <c r="H38" t="s">
        <v>1666</v>
      </c>
      <c r="I38">
        <v>2076608400</v>
      </c>
      <c r="J38">
        <v>37.83</v>
      </c>
      <c r="K38">
        <v>0.55800000000000005</v>
      </c>
      <c r="L38" t="s">
        <v>107</v>
      </c>
      <c r="M38" t="s">
        <v>823</v>
      </c>
      <c r="N38" t="s">
        <v>1667</v>
      </c>
      <c r="O38" t="s">
        <v>831</v>
      </c>
      <c r="P38" s="5">
        <v>-70.22</v>
      </c>
      <c r="Q38" t="s">
        <v>79</v>
      </c>
      <c r="R38">
        <v>17990402</v>
      </c>
      <c r="S38">
        <v>-0.38069999999999998</v>
      </c>
      <c r="T38" t="s">
        <v>1178</v>
      </c>
      <c r="U38">
        <v>402443490</v>
      </c>
      <c r="V38">
        <v>402443490</v>
      </c>
      <c r="W38">
        <v>1.28</v>
      </c>
      <c r="X38">
        <v>0.11</v>
      </c>
      <c r="Y38">
        <v>3.27</v>
      </c>
      <c r="Z38" t="s">
        <v>215</v>
      </c>
      <c r="AA38" t="s">
        <v>297</v>
      </c>
      <c r="AB38" t="s">
        <v>1668</v>
      </c>
      <c r="AC38" t="s">
        <v>1669</v>
      </c>
      <c r="AD38" t="s">
        <v>5</v>
      </c>
      <c r="AE38">
        <v>3195516</v>
      </c>
      <c r="AF38" t="s">
        <v>1670</v>
      </c>
      <c r="AG38" t="s">
        <v>5</v>
      </c>
      <c r="AH38" t="s">
        <v>1671</v>
      </c>
      <c r="AI38" t="s">
        <v>287</v>
      </c>
      <c r="AJ38" t="s">
        <v>5</v>
      </c>
      <c r="AK38" t="s">
        <v>5</v>
      </c>
      <c r="AL38" t="s">
        <v>1672</v>
      </c>
      <c r="AM38" t="s">
        <v>5</v>
      </c>
      <c r="AN38" t="s">
        <v>1673</v>
      </c>
      <c r="AO38" t="s">
        <v>419</v>
      </c>
      <c r="AP38" t="s">
        <v>720</v>
      </c>
      <c r="AQ38" t="s">
        <v>758</v>
      </c>
      <c r="AR38" t="s">
        <v>5</v>
      </c>
      <c r="AS38" t="s">
        <v>854</v>
      </c>
      <c r="AT38" t="s">
        <v>1254</v>
      </c>
      <c r="AU38" t="s">
        <v>166</v>
      </c>
      <c r="AV38" t="s">
        <v>1674</v>
      </c>
      <c r="AW38" t="s">
        <v>1675</v>
      </c>
      <c r="AX38" t="s">
        <v>685</v>
      </c>
      <c r="AY38" t="s">
        <v>687</v>
      </c>
      <c r="AZ38" t="s">
        <v>688</v>
      </c>
      <c r="BA38" t="s">
        <v>689</v>
      </c>
      <c r="BB38" t="s">
        <v>690</v>
      </c>
      <c r="BC38" t="s">
        <v>686</v>
      </c>
      <c r="BD38" t="s">
        <v>543</v>
      </c>
      <c r="BE38" t="s">
        <v>691</v>
      </c>
      <c r="BF38" t="s">
        <v>692</v>
      </c>
      <c r="BG38" t="s">
        <v>693</v>
      </c>
      <c r="BH38" t="s">
        <v>1676</v>
      </c>
      <c r="BI38" t="s">
        <v>828</v>
      </c>
      <c r="BJ38" t="s">
        <v>685</v>
      </c>
      <c r="BK38" t="s">
        <v>1677</v>
      </c>
      <c r="BL38" t="s">
        <v>1678</v>
      </c>
      <c r="BM38" t="s">
        <v>686</v>
      </c>
      <c r="BN38">
        <v>1.76</v>
      </c>
      <c r="BO38">
        <v>0.82</v>
      </c>
      <c r="BP38" t="s">
        <v>5</v>
      </c>
      <c r="BQ38">
        <v>1.49</v>
      </c>
      <c r="BR38">
        <v>0.9</v>
      </c>
      <c r="BS38">
        <v>-4.08</v>
      </c>
      <c r="BT38" t="s">
        <v>1679</v>
      </c>
      <c r="BU38" t="s">
        <v>858</v>
      </c>
      <c r="BV38">
        <v>4.96</v>
      </c>
      <c r="BW38">
        <v>1.75</v>
      </c>
      <c r="BX38">
        <v>2.0099999999999998</v>
      </c>
      <c r="BY38">
        <v>1.98</v>
      </c>
      <c r="BZ38">
        <v>0.3</v>
      </c>
      <c r="CA38">
        <v>-1.85</v>
      </c>
      <c r="CB38">
        <v>9.7899999999999991</v>
      </c>
      <c r="CC38" s="11">
        <v>11.93</v>
      </c>
      <c r="CD38" s="12" t="s">
        <v>1680</v>
      </c>
      <c r="CE38" s="11" t="s">
        <v>1681</v>
      </c>
      <c r="CF38" s="11">
        <v>1.791666666666667</v>
      </c>
      <c r="CG38" s="12">
        <v>-0.62768515989106055</v>
      </c>
      <c r="CH38" s="11">
        <v>-0.92568111419677734</v>
      </c>
      <c r="CI38" s="11">
        <v>0.25175526738166809</v>
      </c>
      <c r="CJ38" s="11">
        <v>-0.10812921822071075</v>
      </c>
      <c r="CK38" s="11">
        <v>-0.33745744824409485</v>
      </c>
      <c r="CL38" s="11">
        <v>-0.15826885402202606</v>
      </c>
      <c r="CM38" s="12">
        <v>4.3688459396362305</v>
      </c>
      <c r="CN38" s="12">
        <v>1.2175114154815674</v>
      </c>
      <c r="CO38" s="12">
        <v>-1.2052543163299561</v>
      </c>
      <c r="CP38" s="12">
        <v>-11.31682300567627</v>
      </c>
      <c r="CQ38" s="12">
        <v>-0.8969111442565918</v>
      </c>
      <c r="CR38" s="1">
        <v>207.93427356974422</v>
      </c>
      <c r="CS38" s="1">
        <v>8.1365356738923698</v>
      </c>
      <c r="CT38" s="1">
        <v>1.1627906976744184</v>
      </c>
      <c r="CU38" s="11">
        <v>-0.25555627346038817</v>
      </c>
      <c r="CV38" s="12">
        <v>-1.566526222229004</v>
      </c>
      <c r="CW38">
        <v>0.06</v>
      </c>
      <c r="CX38" t="s">
        <v>1682</v>
      </c>
      <c r="CY38" t="s">
        <v>1683</v>
      </c>
      <c r="CZ38">
        <v>-0.25555627346038817</v>
      </c>
      <c r="DA38" t="s">
        <v>1682</v>
      </c>
      <c r="DB38" t="s">
        <v>1684</v>
      </c>
      <c r="DC38">
        <v>-0.24277845978736876</v>
      </c>
      <c r="DD38" t="s">
        <v>1682</v>
      </c>
      <c r="DE38" t="s">
        <v>1685</v>
      </c>
      <c r="DF38">
        <v>-0.22488952064514159</v>
      </c>
      <c r="DG38" t="s">
        <v>1682</v>
      </c>
      <c r="DH38" t="s">
        <v>1686</v>
      </c>
      <c r="DI38">
        <v>-0.20444501876831056</v>
      </c>
      <c r="DJ38" t="s">
        <v>1682</v>
      </c>
      <c r="DK38" t="s">
        <v>1687</v>
      </c>
      <c r="DL38">
        <v>-0.1788893914222717</v>
      </c>
      <c r="DM38">
        <v>174000000</v>
      </c>
      <c r="DN38">
        <v>-0.25555627346038817</v>
      </c>
      <c r="DO38">
        <v>-222391600</v>
      </c>
      <c r="DP38">
        <v>1815144600</v>
      </c>
      <c r="DQ38" s="13">
        <v>3847</v>
      </c>
      <c r="DR38">
        <v>2.047222940127055</v>
      </c>
      <c r="DS38">
        <v>0.9388410623379434</v>
      </c>
      <c r="DT38">
        <v>-0.84</v>
      </c>
      <c r="DU38">
        <v>-1.3733333333333333</v>
      </c>
      <c r="DV38">
        <v>-2.2133333333333334</v>
      </c>
      <c r="DW38">
        <v>9.8206202849958082</v>
      </c>
      <c r="DX38">
        <v>0.62992039215686502</v>
      </c>
      <c r="DY38">
        <v>9.1230277149384484</v>
      </c>
      <c r="DZ38">
        <v>1450</v>
      </c>
      <c r="EA38">
        <v>9.0881176979793974</v>
      </c>
      <c r="EB38" s="14">
        <v>9</v>
      </c>
      <c r="EC38" s="14">
        <v>0.18998791606742105</v>
      </c>
      <c r="ED38">
        <v>1.2672586653097555</v>
      </c>
      <c r="EE38">
        <v>-3.0148999999999999</v>
      </c>
      <c r="EF38">
        <v>-3.01471</v>
      </c>
      <c r="EG38">
        <v>48.149920392156865</v>
      </c>
      <c r="EH38" s="10" t="s">
        <v>1343</v>
      </c>
      <c r="EI38">
        <v>1</v>
      </c>
      <c r="EJ38">
        <v>1</v>
      </c>
      <c r="EK38">
        <v>45470</v>
      </c>
      <c r="EL38">
        <v>2.4</v>
      </c>
      <c r="EM38">
        <v>-4.8899999999999997</v>
      </c>
      <c r="EN38">
        <v>-5.14</v>
      </c>
      <c r="EO38">
        <v>2.6</v>
      </c>
      <c r="EP38">
        <v>-2.96</v>
      </c>
    </row>
    <row r="39" spans="1:146" ht="108" x14ac:dyDescent="0.25">
      <c r="A39" s="7"/>
      <c r="B39" s="7"/>
      <c r="C39" s="7" t="str">
        <f>""&amp;CHAR(10)&amp;Basic_Fundamental_Information_Constructure(F39)&amp;CHAR(10)&amp;Basic_Fundamental_Information_Concatenate("")</f>
        <v xml:space="preserve">
市值37.844799亿, 利润3.90亿; PE21.24; 平均PE20.21; 平均PEG1.26, PB1.7; ROIC13.0967%; ROE14.8933%; 股利率1.5323%; 毛利15.4%; 净利5.2%; 上一年度营收增-4.93%, 利润增82.24%; 当季营收增28.15%, 利润增-56.25%; 过往5年营收增16.08%, 利润增51.08%
Income profile:
</v>
      </c>
      <c r="D39" t="s">
        <v>442</v>
      </c>
      <c r="E39" t="s">
        <v>443</v>
      </c>
      <c r="F39">
        <v>12.4</v>
      </c>
      <c r="G39">
        <v>2.48</v>
      </c>
      <c r="H39" t="s">
        <v>1688</v>
      </c>
      <c r="I39">
        <v>3784479900</v>
      </c>
      <c r="J39">
        <v>21.24</v>
      </c>
      <c r="K39">
        <v>1.7</v>
      </c>
      <c r="L39" t="s">
        <v>107</v>
      </c>
      <c r="M39" t="s">
        <v>1689</v>
      </c>
      <c r="N39" t="s">
        <v>1690</v>
      </c>
      <c r="O39" t="s">
        <v>115</v>
      </c>
      <c r="P39">
        <v>4.24</v>
      </c>
      <c r="Q39" t="s">
        <v>1691</v>
      </c>
      <c r="R39">
        <v>25596504</v>
      </c>
      <c r="S39" s="5">
        <v>-0.22439999999999999</v>
      </c>
      <c r="T39" t="s">
        <v>141</v>
      </c>
      <c r="U39">
        <v>87199988</v>
      </c>
      <c r="V39">
        <v>305199990</v>
      </c>
      <c r="W39">
        <v>2.84</v>
      </c>
      <c r="X39">
        <v>0.14000000000000001</v>
      </c>
      <c r="Y39">
        <v>2.87</v>
      </c>
      <c r="Z39" t="s">
        <v>1692</v>
      </c>
      <c r="AA39" t="s">
        <v>819</v>
      </c>
      <c r="AB39" t="s">
        <v>1693</v>
      </c>
      <c r="AC39" t="s">
        <v>1694</v>
      </c>
      <c r="AD39" t="s">
        <v>5</v>
      </c>
      <c r="AE39">
        <v>5380347</v>
      </c>
      <c r="AF39" t="s">
        <v>1695</v>
      </c>
      <c r="AG39">
        <v>184.39</v>
      </c>
      <c r="AH39" t="s">
        <v>1696</v>
      </c>
      <c r="AI39" t="s">
        <v>59</v>
      </c>
      <c r="AJ39" t="s">
        <v>1697</v>
      </c>
      <c r="AK39" t="s">
        <v>308</v>
      </c>
      <c r="AL39" t="s">
        <v>1698</v>
      </c>
      <c r="AM39" t="s">
        <v>5</v>
      </c>
      <c r="AN39">
        <v>0</v>
      </c>
      <c r="AO39" t="s">
        <v>126</v>
      </c>
      <c r="AP39" t="s">
        <v>1066</v>
      </c>
      <c r="AQ39" t="s">
        <v>1699</v>
      </c>
      <c r="AR39" t="s">
        <v>1700</v>
      </c>
      <c r="AS39" t="s">
        <v>1701</v>
      </c>
      <c r="AT39" t="s">
        <v>5</v>
      </c>
      <c r="AU39" t="s">
        <v>1702</v>
      </c>
      <c r="AV39" t="s">
        <v>1703</v>
      </c>
      <c r="AW39" t="s">
        <v>1704</v>
      </c>
      <c r="AX39" t="s">
        <v>694</v>
      </c>
      <c r="AY39" t="s">
        <v>444</v>
      </c>
      <c r="AZ39" t="s">
        <v>446</v>
      </c>
      <c r="BA39" t="s">
        <v>447</v>
      </c>
      <c r="BB39" t="s">
        <v>448</v>
      </c>
      <c r="BC39" t="s">
        <v>695</v>
      </c>
      <c r="BD39" t="s">
        <v>445</v>
      </c>
      <c r="BE39" t="s">
        <v>289</v>
      </c>
      <c r="BF39" t="s">
        <v>449</v>
      </c>
      <c r="BG39" t="s">
        <v>450</v>
      </c>
      <c r="BH39" t="s">
        <v>1186</v>
      </c>
      <c r="BI39" t="s">
        <v>1705</v>
      </c>
      <c r="BJ39" t="s">
        <v>694</v>
      </c>
      <c r="BK39" t="s">
        <v>653</v>
      </c>
      <c r="BL39" t="s">
        <v>1706</v>
      </c>
      <c r="BM39" t="s">
        <v>695</v>
      </c>
      <c r="BN39">
        <v>4.58</v>
      </c>
      <c r="BO39">
        <v>12.81</v>
      </c>
      <c r="BP39">
        <v>21.9</v>
      </c>
      <c r="BQ39">
        <v>5.25</v>
      </c>
      <c r="BR39">
        <v>12.83</v>
      </c>
      <c r="BS39">
        <v>26.6</v>
      </c>
      <c r="BT39" t="s">
        <v>1707</v>
      </c>
      <c r="BU39" t="s">
        <v>879</v>
      </c>
      <c r="BV39">
        <v>15.03</v>
      </c>
      <c r="BW39">
        <v>15.19</v>
      </c>
      <c r="BX39">
        <v>15.98</v>
      </c>
      <c r="BY39">
        <v>4.26</v>
      </c>
      <c r="BZ39">
        <v>5.43</v>
      </c>
      <c r="CA39">
        <v>5.91</v>
      </c>
      <c r="CB39">
        <v>-1.82</v>
      </c>
      <c r="CC39">
        <v>-7.46</v>
      </c>
      <c r="CD39" t="s">
        <v>1708</v>
      </c>
      <c r="CE39" t="s">
        <v>1709</v>
      </c>
      <c r="CF39" s="11">
        <v>0.28152492668621704</v>
      </c>
      <c r="CG39" s="12">
        <v>-0.56245965446685431</v>
      </c>
      <c r="CH39" s="11">
        <v>-4.9338728189468384E-2</v>
      </c>
      <c r="CI39" s="11">
        <v>0.10604780167341232</v>
      </c>
      <c r="CJ39" s="11">
        <v>0.214969202876091</v>
      </c>
      <c r="CK39" s="11">
        <v>0.2918323278427124</v>
      </c>
      <c r="CL39" s="11">
        <v>0.24041616916656494</v>
      </c>
      <c r="CM39" s="12">
        <v>0.82242989540100098</v>
      </c>
      <c r="CN39" s="12">
        <v>1.904761977493763E-2</v>
      </c>
      <c r="CO39" s="12">
        <v>0.28048780560493469</v>
      </c>
      <c r="CP39" s="12">
        <v>0.83551543951034546</v>
      </c>
      <c r="CQ39" s="12">
        <v>0.59652137756347656</v>
      </c>
      <c r="CR39">
        <v>20.214214121181772</v>
      </c>
      <c r="CS39">
        <v>1.2572173729494425</v>
      </c>
      <c r="CT39">
        <v>1.532258064516129</v>
      </c>
      <c r="CU39" s="11">
        <v>0.16078535467386246</v>
      </c>
      <c r="CV39" s="12">
        <v>0.51080042757093902</v>
      </c>
      <c r="CW39">
        <v>0.06</v>
      </c>
      <c r="CX39">
        <v>13.211719934703387</v>
      </c>
      <c r="CY39">
        <v>427081404.07811922</v>
      </c>
      <c r="CZ39">
        <v>0.16078535467386246</v>
      </c>
      <c r="DA39">
        <v>4.0682784934231195</v>
      </c>
      <c r="DB39">
        <v>1386945340.4239099</v>
      </c>
      <c r="DC39">
        <v>0.15274608694016933</v>
      </c>
      <c r="DD39">
        <v>1.845874801623667</v>
      </c>
      <c r="DE39">
        <v>3056805312.6012478</v>
      </c>
      <c r="DF39">
        <v>0.14149111211299897</v>
      </c>
      <c r="DG39">
        <v>1.0081620460063796</v>
      </c>
      <c r="DH39">
        <v>5596798572.5623074</v>
      </c>
      <c r="DI39">
        <v>0.12862828373908997</v>
      </c>
      <c r="DJ39">
        <v>0.41875468003935301</v>
      </c>
      <c r="DK39">
        <v>13474428272.58609</v>
      </c>
      <c r="DL39">
        <v>0.11254974827170371</v>
      </c>
      <c r="DM39">
        <v>390000000</v>
      </c>
      <c r="DN39">
        <v>0.16078535467386246</v>
      </c>
      <c r="DO39">
        <v>5642479900</v>
      </c>
      <c r="DP39">
        <v>2069103700</v>
      </c>
      <c r="DQ39">
        <v>4008</v>
      </c>
      <c r="DR39">
        <v>0.12073957201235458</v>
      </c>
      <c r="DS39">
        <v>-1.0732600820377933</v>
      </c>
      <c r="DT39" s="13">
        <v>-9.000000000000008E-2</v>
      </c>
      <c r="DU39">
        <v>0.57999999999999996</v>
      </c>
      <c r="DV39">
        <v>0.48999999999999988</v>
      </c>
      <c r="DW39">
        <v>-2.0746000000000002</v>
      </c>
      <c r="DX39">
        <v>0.39818717960888406</v>
      </c>
      <c r="DY39">
        <v>-2.0118007635988229</v>
      </c>
      <c r="DZ39">
        <v>1886</v>
      </c>
      <c r="EA39">
        <v>-2.007445334998553</v>
      </c>
      <c r="EB39">
        <v>2</v>
      </c>
      <c r="EC39">
        <v>3.4942989349377111E-2</v>
      </c>
      <c r="ED39">
        <v>0.22089646857458942</v>
      </c>
      <c r="EE39" s="14">
        <v>-1.0867</v>
      </c>
      <c r="EF39">
        <v>-1.0810999999999999</v>
      </c>
      <c r="EG39">
        <v>24.158187179608884</v>
      </c>
      <c r="EH39" t="s">
        <v>427</v>
      </c>
      <c r="EI39">
        <v>0</v>
      </c>
      <c r="EJ39">
        <v>0</v>
      </c>
      <c r="EK39" s="10">
        <v>45470</v>
      </c>
      <c r="EL39" s="15">
        <v>0.21</v>
      </c>
      <c r="EM39" s="15">
        <v>-3.58</v>
      </c>
      <c r="EN39">
        <v>1.68</v>
      </c>
      <c r="EO39">
        <v>1.61</v>
      </c>
      <c r="EP39">
        <v>-0.56000000000000005</v>
      </c>
    </row>
    <row r="40" spans="1:146" ht="108" x14ac:dyDescent="0.25">
      <c r="A40" s="7"/>
      <c r="B40" s="7"/>
      <c r="C40" s="7" t="str">
        <f>""&amp;CHAR(10)&amp;Basic_Fundamental_Information_Constructure(F40)&amp;CHAR(10)&amp;Basic_Fundamental_Information_Concatenate("")</f>
        <v xml:space="preserve">
市值88.268724亿, 利润7788.91万; PE52.72; 平均PE73.17; 平均PEG35.85, PB4.65; ROIC6.5633%; ROE7.5933%; 股利率.5697%; 毛利17.73%; 净利5.64%; 上一年度营收增-55.51%, 利润增-28.54%; 当季营收增352.8%, 利润增412.13%; 过往5年营收增-2.04%, 利润增18.52%
Income profile:
</v>
      </c>
      <c r="D40" t="s">
        <v>273</v>
      </c>
      <c r="E40" t="s">
        <v>274</v>
      </c>
      <c r="F40">
        <v>26.33</v>
      </c>
      <c r="G40">
        <v>1.54</v>
      </c>
      <c r="H40" t="s">
        <v>1710</v>
      </c>
      <c r="I40">
        <v>8826872400</v>
      </c>
      <c r="J40">
        <v>52.72</v>
      </c>
      <c r="K40">
        <v>4.6500000000000004</v>
      </c>
      <c r="L40" t="s">
        <v>107</v>
      </c>
      <c r="M40" t="s">
        <v>1711</v>
      </c>
      <c r="N40" t="s">
        <v>1712</v>
      </c>
      <c r="O40" t="s">
        <v>1713</v>
      </c>
      <c r="P40">
        <v>30.55</v>
      </c>
      <c r="Q40" t="s">
        <v>804</v>
      </c>
      <c r="R40">
        <v>46454227</v>
      </c>
      <c r="S40" s="5">
        <v>1.032</v>
      </c>
      <c r="T40" t="s">
        <v>1714</v>
      </c>
      <c r="U40">
        <v>333824890</v>
      </c>
      <c r="V40">
        <v>335240120</v>
      </c>
      <c r="W40">
        <v>2.96</v>
      </c>
      <c r="X40">
        <v>0.12</v>
      </c>
      <c r="Y40">
        <v>6.56</v>
      </c>
      <c r="Z40" t="s">
        <v>170</v>
      </c>
      <c r="AA40" t="s">
        <v>801</v>
      </c>
      <c r="AB40" t="s">
        <v>1715</v>
      </c>
      <c r="AC40" t="s">
        <v>1716</v>
      </c>
      <c r="AD40" t="s">
        <v>5</v>
      </c>
      <c r="AE40">
        <v>14802328</v>
      </c>
      <c r="AF40" t="s">
        <v>1717</v>
      </c>
      <c r="AG40" t="s">
        <v>5</v>
      </c>
      <c r="AH40" t="s">
        <v>1718</v>
      </c>
      <c r="AI40" t="s">
        <v>1420</v>
      </c>
      <c r="AJ40" t="s">
        <v>1719</v>
      </c>
      <c r="AK40" t="s">
        <v>1720</v>
      </c>
      <c r="AL40" t="s">
        <v>1721</v>
      </c>
      <c r="AM40" t="s">
        <v>5</v>
      </c>
      <c r="AN40" t="s">
        <v>851</v>
      </c>
      <c r="AO40" t="s">
        <v>1722</v>
      </c>
      <c r="AP40" t="s">
        <v>1723</v>
      </c>
      <c r="AQ40" t="s">
        <v>1724</v>
      </c>
      <c r="AR40" t="s">
        <v>5</v>
      </c>
      <c r="AS40" t="s">
        <v>1725</v>
      </c>
      <c r="AT40" t="s">
        <v>1206</v>
      </c>
      <c r="AU40" t="s">
        <v>1726</v>
      </c>
      <c r="AV40" t="s">
        <v>1727</v>
      </c>
      <c r="AW40" t="s">
        <v>1728</v>
      </c>
      <c r="AX40" t="s">
        <v>696</v>
      </c>
      <c r="AY40" t="s">
        <v>365</v>
      </c>
      <c r="AZ40" t="s">
        <v>49</v>
      </c>
      <c r="BA40" t="s">
        <v>276</v>
      </c>
      <c r="BB40" t="s">
        <v>277</v>
      </c>
      <c r="BC40" t="s">
        <v>454</v>
      </c>
      <c r="BD40" t="s">
        <v>330</v>
      </c>
      <c r="BE40" t="s">
        <v>275</v>
      </c>
      <c r="BF40" t="s">
        <v>53</v>
      </c>
      <c r="BG40" t="s">
        <v>39</v>
      </c>
      <c r="BH40" t="s">
        <v>1729</v>
      </c>
      <c r="BI40" t="s">
        <v>1066</v>
      </c>
      <c r="BJ40" t="s">
        <v>696</v>
      </c>
      <c r="BK40" t="s">
        <v>720</v>
      </c>
      <c r="BL40" t="s">
        <v>1730</v>
      </c>
      <c r="BM40" t="s">
        <v>454</v>
      </c>
      <c r="BN40">
        <v>3.94</v>
      </c>
      <c r="BO40">
        <v>5.5</v>
      </c>
      <c r="BP40">
        <v>10.25</v>
      </c>
      <c r="BQ40">
        <v>5.58</v>
      </c>
      <c r="BR40">
        <v>6.24</v>
      </c>
      <c r="BS40">
        <v>10.96</v>
      </c>
      <c r="BT40" t="s">
        <v>1731</v>
      </c>
      <c r="BU40" t="s">
        <v>879</v>
      </c>
      <c r="BV40">
        <v>16.309999999999999</v>
      </c>
      <c r="BW40">
        <v>16.96</v>
      </c>
      <c r="BX40">
        <v>19.920000000000002</v>
      </c>
      <c r="BY40">
        <v>5.09</v>
      </c>
      <c r="BZ40">
        <v>4.2</v>
      </c>
      <c r="CA40">
        <v>7.63</v>
      </c>
      <c r="CB40">
        <v>-3.06</v>
      </c>
      <c r="CC40">
        <v>-7.78</v>
      </c>
      <c r="CD40" t="s">
        <v>1732</v>
      </c>
      <c r="CE40" t="s">
        <v>863</v>
      </c>
      <c r="CF40" s="11">
        <v>3.5279503105590062</v>
      </c>
      <c r="CG40" s="12">
        <v>4.1213155366225669</v>
      </c>
      <c r="CH40" s="11">
        <v>-0.55505108833312988</v>
      </c>
      <c r="CI40" s="11">
        <v>7.5733737321570516E-4</v>
      </c>
      <c r="CJ40" s="11">
        <v>0.27769708633422852</v>
      </c>
      <c r="CK40" s="11">
        <v>0.12827514111995697</v>
      </c>
      <c r="CL40" s="11">
        <v>4.6259243041276932E-2</v>
      </c>
      <c r="CM40" s="12">
        <v>-0.28542107343673706</v>
      </c>
      <c r="CN40" s="12">
        <v>-0.40109890699386597</v>
      </c>
      <c r="CO40" s="12">
        <v>2.1968860626220703</v>
      </c>
      <c r="CP40" s="12">
        <v>-0.62545788288116455</v>
      </c>
      <c r="CQ40" s="12">
        <v>4.109589010477066E-2</v>
      </c>
      <c r="CR40">
        <v>73.169117991432955</v>
      </c>
      <c r="CS40">
        <v>35.845327803016183</v>
      </c>
      <c r="CT40">
        <v>0.56969236612229401</v>
      </c>
      <c r="CU40" s="11">
        <v>-2.0412456092890351E-2</v>
      </c>
      <c r="CV40" s="12">
        <v>0.18520081788301468</v>
      </c>
      <c r="CW40">
        <v>0.06</v>
      </c>
      <c r="CX40">
        <v>139.90240482943057</v>
      </c>
      <c r="CY40" t="s">
        <v>1733</v>
      </c>
      <c r="CZ40">
        <v>-2.0412456092890351E-2</v>
      </c>
      <c r="DA40">
        <v>46.634134943143522</v>
      </c>
      <c r="DB40" t="s">
        <v>1734</v>
      </c>
      <c r="DC40">
        <v>-1.9391833288245831E-2</v>
      </c>
      <c r="DD40">
        <v>23.317067471571761</v>
      </c>
      <c r="DE40" t="s">
        <v>1735</v>
      </c>
      <c r="DF40">
        <v>-1.796296136174351E-2</v>
      </c>
      <c r="DG40">
        <v>13.990240482943056</v>
      </c>
      <c r="DH40" t="s">
        <v>1736</v>
      </c>
      <c r="DI40">
        <v>-1.6329964874312281E-2</v>
      </c>
      <c r="DJ40">
        <v>6.9951202414715281</v>
      </c>
      <c r="DK40" t="s">
        <v>1737</v>
      </c>
      <c r="DL40">
        <v>-1.4288719265023245E-2</v>
      </c>
      <c r="DM40">
        <v>77889100</v>
      </c>
      <c r="DN40">
        <v>-2.0412456092890351E-2</v>
      </c>
      <c r="DO40">
        <v>10896872400</v>
      </c>
      <c r="DP40">
        <v>25290900</v>
      </c>
      <c r="DQ40">
        <v>4020</v>
      </c>
      <c r="DR40">
        <v>3.5483627666518966</v>
      </c>
      <c r="DS40">
        <v>3.9361147187395522</v>
      </c>
      <c r="DT40" s="13">
        <v>-0.47333333333333333</v>
      </c>
      <c r="DU40">
        <v>3.833333333333333E-2</v>
      </c>
      <c r="DV40">
        <v>-0.435</v>
      </c>
      <c r="DW40">
        <v>-8.3933161953727513</v>
      </c>
      <c r="DX40">
        <v>0.33310243243243076</v>
      </c>
      <c r="DY40">
        <v>-8.0444850184117271</v>
      </c>
      <c r="DZ40">
        <v>1050</v>
      </c>
      <c r="EA40">
        <v>-8.0353442612038375</v>
      </c>
      <c r="EB40">
        <v>8</v>
      </c>
      <c r="EC40">
        <v>0.12482962958013498</v>
      </c>
      <c r="ED40">
        <v>1.1036865158024642</v>
      </c>
      <c r="EE40" s="14">
        <v>2.0722999999999998</v>
      </c>
      <c r="EF40">
        <v>2.0093100000000002</v>
      </c>
      <c r="EG40">
        <v>22.113102432432431</v>
      </c>
      <c r="EH40" t="s">
        <v>441</v>
      </c>
      <c r="EI40">
        <v>0</v>
      </c>
      <c r="EJ40">
        <v>1</v>
      </c>
      <c r="EK40" s="10">
        <v>45470</v>
      </c>
      <c r="EL40" s="15">
        <v>3.51</v>
      </c>
      <c r="EM40" s="15">
        <v>-3.4</v>
      </c>
      <c r="EN40">
        <v>0.96</v>
      </c>
      <c r="EO40">
        <v>4.75</v>
      </c>
      <c r="EP40">
        <v>-8.16</v>
      </c>
    </row>
    <row r="41" spans="1:146" ht="108" x14ac:dyDescent="0.25">
      <c r="A41" s="7"/>
      <c r="B41" s="7"/>
      <c r="C41" s="7" t="str">
        <f>""&amp;CHAR(10)&amp;Basic_Fundamental_Information_Constructure(F41)&amp;CHAR(10)&amp;Basic_Fundamental_Information_Concatenate("")</f>
        <v xml:space="preserve">
市值46.825586亿, 利润17.43亿; PE76.84; 平均PE18.75; 平均PEG.65, PB14.75; ROIC0%; ROE-25.6033%; 股利率0%; 毛利9.0433%; 净利-7.5933%; 上一年度营收增99.7%, 利润增11374.96%; 当季营收增-17.86%, 利润增-93.8%; 过往5年营收增28.82%, 利润增2092.98%
Income profile:
</v>
      </c>
      <c r="D41" t="s">
        <v>278</v>
      </c>
      <c r="E41" t="s">
        <v>279</v>
      </c>
      <c r="F41">
        <v>29.71</v>
      </c>
      <c r="G41">
        <v>5.17</v>
      </c>
      <c r="H41" t="s">
        <v>1738</v>
      </c>
      <c r="I41">
        <v>4682558600</v>
      </c>
      <c r="J41">
        <v>76.84</v>
      </c>
      <c r="K41">
        <v>14.75</v>
      </c>
      <c r="L41" t="s">
        <v>107</v>
      </c>
      <c r="M41" t="s">
        <v>799</v>
      </c>
      <c r="N41" t="s">
        <v>1739</v>
      </c>
      <c r="O41" t="s">
        <v>1740</v>
      </c>
      <c r="P41">
        <v>215.26</v>
      </c>
      <c r="Q41" t="s">
        <v>1741</v>
      </c>
      <c r="R41">
        <v>22202185</v>
      </c>
      <c r="S41" s="5">
        <v>2.113</v>
      </c>
      <c r="T41" t="s">
        <v>1742</v>
      </c>
      <c r="U41">
        <v>157586800</v>
      </c>
      <c r="V41">
        <v>157608840</v>
      </c>
      <c r="W41">
        <v>6.47</v>
      </c>
      <c r="X41">
        <v>0.36</v>
      </c>
      <c r="Y41">
        <v>2.66</v>
      </c>
      <c r="Z41" t="s">
        <v>1743</v>
      </c>
      <c r="AA41" t="s">
        <v>1744</v>
      </c>
      <c r="AB41" t="s">
        <v>1745</v>
      </c>
      <c r="AC41" t="s">
        <v>1746</v>
      </c>
      <c r="AD41" t="s">
        <v>5</v>
      </c>
      <c r="AE41">
        <v>4010224</v>
      </c>
      <c r="AF41" t="s">
        <v>1747</v>
      </c>
      <c r="AG41">
        <v>1259.0899999999999</v>
      </c>
      <c r="AH41" t="s">
        <v>1748</v>
      </c>
      <c r="AI41" t="s">
        <v>813</v>
      </c>
      <c r="AJ41" t="s">
        <v>1749</v>
      </c>
      <c r="AK41" t="s">
        <v>1750</v>
      </c>
      <c r="AL41" t="s">
        <v>1751</v>
      </c>
      <c r="AM41" t="s">
        <v>5</v>
      </c>
      <c r="AN41" t="s">
        <v>1752</v>
      </c>
      <c r="AO41" t="s">
        <v>958</v>
      </c>
      <c r="AP41" t="s">
        <v>1212</v>
      </c>
      <c r="AQ41" t="s">
        <v>1753</v>
      </c>
      <c r="AR41" t="s">
        <v>5</v>
      </c>
      <c r="AS41" t="s">
        <v>1754</v>
      </c>
      <c r="AT41" t="s">
        <v>24</v>
      </c>
      <c r="AU41" t="s">
        <v>1755</v>
      </c>
      <c r="AV41" t="s">
        <v>1756</v>
      </c>
      <c r="AW41" t="s">
        <v>1757</v>
      </c>
      <c r="AX41" t="s">
        <v>697</v>
      </c>
      <c r="AY41" t="s">
        <v>368</v>
      </c>
      <c r="AZ41" t="s">
        <v>280</v>
      </c>
      <c r="BA41" t="s">
        <v>282</v>
      </c>
      <c r="BB41" t="s">
        <v>283</v>
      </c>
      <c r="BC41" t="s">
        <v>698</v>
      </c>
      <c r="BD41" t="s">
        <v>369</v>
      </c>
      <c r="BE41" t="s">
        <v>281</v>
      </c>
      <c r="BF41" t="s">
        <v>284</v>
      </c>
      <c r="BG41" t="s">
        <v>285</v>
      </c>
      <c r="BH41" t="s">
        <v>1758</v>
      </c>
      <c r="BI41" t="s">
        <v>1759</v>
      </c>
      <c r="BJ41" t="s">
        <v>697</v>
      </c>
      <c r="BK41" t="s">
        <v>1760</v>
      </c>
      <c r="BL41" t="s">
        <v>808</v>
      </c>
      <c r="BM41" t="s">
        <v>698</v>
      </c>
      <c r="BN41" t="s">
        <v>5</v>
      </c>
      <c r="BO41" t="s">
        <v>5</v>
      </c>
      <c r="BP41" t="s">
        <v>5</v>
      </c>
      <c r="BQ41">
        <v>-14.25</v>
      </c>
      <c r="BR41">
        <v>7.55</v>
      </c>
      <c r="BS41">
        <v>-70.11</v>
      </c>
      <c r="BT41" t="s">
        <v>519</v>
      </c>
      <c r="BU41" t="s">
        <v>879</v>
      </c>
      <c r="BV41">
        <v>8.0299999999999994</v>
      </c>
      <c r="BW41">
        <v>8.2899999999999991</v>
      </c>
      <c r="BX41">
        <v>10.81</v>
      </c>
      <c r="BY41">
        <v>-0.36</v>
      </c>
      <c r="BZ41">
        <v>-3.21</v>
      </c>
      <c r="CA41">
        <v>-19.21</v>
      </c>
      <c r="CB41">
        <v>12.07</v>
      </c>
      <c r="CC41">
        <v>-0.97</v>
      </c>
      <c r="CD41" t="s">
        <v>1761</v>
      </c>
      <c r="CE41" t="s">
        <v>26</v>
      </c>
      <c r="CF41" s="11">
        <v>-0.17860746720484358</v>
      </c>
      <c r="CG41" s="12">
        <v>-0.93798272346368716</v>
      </c>
      <c r="CH41" s="11">
        <v>0.99703854322433472</v>
      </c>
      <c r="CI41" s="11">
        <v>0.36522909998893738</v>
      </c>
      <c r="CJ41" s="11">
        <v>4.0595401078462601E-3</v>
      </c>
      <c r="CK41" s="11">
        <v>0.16653506457805634</v>
      </c>
      <c r="CL41" s="11">
        <v>-9.1756269335746765E-2</v>
      </c>
      <c r="CM41" s="12">
        <v>113.74956512451172</v>
      </c>
      <c r="CN41" s="12">
        <v>1.0657558441162109</v>
      </c>
      <c r="CO41" s="12">
        <v>-6.833127498626709</v>
      </c>
      <c r="CP41" s="12">
        <v>1.4242653846740723</v>
      </c>
      <c r="CQ41" s="12">
        <v>-4.7572698593139648</v>
      </c>
      <c r="CR41">
        <v>18.751577445448408</v>
      </c>
      <c r="CS41">
        <v>0.65059675431160835</v>
      </c>
      <c r="CT41">
        <v>0</v>
      </c>
      <c r="CU41" s="11">
        <v>0.28822119571268556</v>
      </c>
      <c r="CV41" s="12">
        <v>20.929837799072267</v>
      </c>
      <c r="CW41">
        <v>0.06</v>
      </c>
      <c r="CX41">
        <v>2.9191507175928146</v>
      </c>
      <c r="CY41">
        <v>2118273154.8369918</v>
      </c>
      <c r="CZ41">
        <v>0.28822119571268556</v>
      </c>
      <c r="DA41">
        <v>0.80974512953271427</v>
      </c>
      <c r="DB41">
        <v>7636425801.7438068</v>
      </c>
      <c r="DC41">
        <v>0.27381013592705128</v>
      </c>
      <c r="DD41">
        <v>0.31556281999796693</v>
      </c>
      <c r="DE41">
        <v>19595333189.251633</v>
      </c>
      <c r="DF41">
        <v>0.2536346522271633</v>
      </c>
      <c r="DG41">
        <v>0.14267911809052841</v>
      </c>
      <c r="DH41">
        <v>43338918005.342567</v>
      </c>
      <c r="DI41">
        <v>0.23057695657014846</v>
      </c>
      <c r="DJ41">
        <v>3.7005253882018162E-2</v>
      </c>
      <c r="DK41">
        <v>167099477812.38586</v>
      </c>
      <c r="DL41">
        <v>0.20175483699887989</v>
      </c>
      <c r="DM41">
        <v>1743000000</v>
      </c>
      <c r="DN41">
        <v>0.28822119571268556</v>
      </c>
      <c r="DO41">
        <v>6183558600</v>
      </c>
      <c r="DP41">
        <v>-62946500</v>
      </c>
      <c r="DQ41">
        <v>4088</v>
      </c>
      <c r="DR41">
        <v>-0.46682866291752911</v>
      </c>
      <c r="DS41">
        <v>-21.867820522535954</v>
      </c>
      <c r="DT41" s="13">
        <v>0.16</v>
      </c>
      <c r="DU41">
        <v>-0.90666666666666673</v>
      </c>
      <c r="DV41">
        <v>-0.7466666666666667</v>
      </c>
      <c r="DW41">
        <v>5.0803645401822699</v>
      </c>
      <c r="DX41">
        <v>0.56379047619047484</v>
      </c>
      <c r="DY41">
        <v>5.0244139819308007</v>
      </c>
      <c r="DZ41">
        <v>1734</v>
      </c>
      <c r="EA41">
        <v>5.0161294722110341</v>
      </c>
      <c r="EB41">
        <v>5</v>
      </c>
      <c r="EC41">
        <v>0.3238193999778185</v>
      </c>
      <c r="ED41">
        <v>1.0659300582378501</v>
      </c>
      <c r="EE41" s="14">
        <v>-2.0807000000000002</v>
      </c>
      <c r="EF41">
        <v>-2.0539000000000001</v>
      </c>
      <c r="EG41">
        <v>26.303790476190475</v>
      </c>
      <c r="EH41" t="s">
        <v>452</v>
      </c>
      <c r="EI41">
        <v>1</v>
      </c>
      <c r="EJ41">
        <v>0</v>
      </c>
      <c r="EK41" s="10">
        <v>45470</v>
      </c>
      <c r="EL41" s="15">
        <v>-1.47</v>
      </c>
      <c r="EM41" s="15">
        <v>-2.68</v>
      </c>
      <c r="EN41">
        <v>-2.99</v>
      </c>
      <c r="EO41">
        <v>7.37</v>
      </c>
      <c r="EP41">
        <v>-2.68</v>
      </c>
    </row>
    <row r="42" spans="1:146" ht="96" x14ac:dyDescent="0.25">
      <c r="A42" s="7"/>
      <c r="B42" s="7"/>
      <c r="C42" s="7" t="str">
        <f>""&amp;CHAR(10)&amp;Basic_Fundamental_Information_Constructure(F42)&amp;CHAR(10)&amp;Basic_Fundamental_Information_Concatenate("")</f>
        <v xml:space="preserve">
市值5.7325283亿, 利润17.17亿; PE; 平均PE2.7; 平均PEG0, PB4.89; ROIC0%; ROE-34.56%; 股利率0%; 毛利6.76%; 净利-61.5%; 上一年度营收增2904.59%, 利润增1229.61%; 当季营收增-99.14%, 利润增-101.76%; 过往5年营收增570.83%, 利润增-6931.46%
Income profile:
</v>
      </c>
      <c r="D42" t="s">
        <v>286</v>
      </c>
      <c r="E42" t="s">
        <v>1762</v>
      </c>
      <c r="F42">
        <v>4</v>
      </c>
      <c r="G42">
        <v>4.99</v>
      </c>
      <c r="H42" t="s">
        <v>1763</v>
      </c>
      <c r="I42">
        <v>573252830</v>
      </c>
      <c r="K42">
        <v>4.8899999999999997</v>
      </c>
      <c r="L42" t="s">
        <v>107</v>
      </c>
      <c r="M42" t="s">
        <v>832</v>
      </c>
      <c r="N42" t="s">
        <v>308</v>
      </c>
      <c r="O42" t="s">
        <v>1764</v>
      </c>
      <c r="P42">
        <v>-41.4</v>
      </c>
      <c r="Q42" t="s">
        <v>1765</v>
      </c>
      <c r="R42">
        <v>-10746321</v>
      </c>
      <c r="S42" s="5">
        <v>0.50780000000000003</v>
      </c>
      <c r="T42" t="s">
        <v>1766</v>
      </c>
      <c r="U42">
        <v>143313210</v>
      </c>
      <c r="V42">
        <v>143313210</v>
      </c>
      <c r="W42">
        <v>10.39</v>
      </c>
      <c r="X42">
        <v>0.02</v>
      </c>
      <c r="Y42">
        <v>-41.14</v>
      </c>
      <c r="Z42" t="s">
        <v>1767</v>
      </c>
      <c r="AA42" t="s">
        <v>1768</v>
      </c>
      <c r="AB42" t="s">
        <v>1769</v>
      </c>
      <c r="AC42" t="s">
        <v>1770</v>
      </c>
      <c r="AD42" t="s">
        <v>5</v>
      </c>
      <c r="AE42">
        <v>1332796</v>
      </c>
      <c r="AF42" t="s">
        <v>21</v>
      </c>
      <c r="AG42">
        <v>0.01</v>
      </c>
      <c r="AH42" t="s">
        <v>1771</v>
      </c>
      <c r="AI42" t="s">
        <v>1772</v>
      </c>
      <c r="AJ42" t="s">
        <v>5</v>
      </c>
      <c r="AK42" t="s">
        <v>1773</v>
      </c>
      <c r="AL42" t="s">
        <v>1774</v>
      </c>
      <c r="AM42" t="s">
        <v>5</v>
      </c>
      <c r="AN42">
        <v>0</v>
      </c>
      <c r="AO42" t="s">
        <v>1775</v>
      </c>
      <c r="AP42" t="s">
        <v>5</v>
      </c>
      <c r="AQ42" t="s">
        <v>1776</v>
      </c>
      <c r="AR42" t="s">
        <v>5</v>
      </c>
      <c r="AS42" t="s">
        <v>1777</v>
      </c>
      <c r="AT42" t="s">
        <v>5</v>
      </c>
      <c r="AU42" t="s">
        <v>1778</v>
      </c>
      <c r="AV42" t="s">
        <v>5</v>
      </c>
      <c r="AW42" t="s">
        <v>1779</v>
      </c>
      <c r="AX42" t="s">
        <v>60</v>
      </c>
      <c r="AY42" t="s">
        <v>370</v>
      </c>
      <c r="AZ42" t="s">
        <v>287</v>
      </c>
      <c r="BA42" t="s">
        <v>214</v>
      </c>
      <c r="BB42" t="s">
        <v>290</v>
      </c>
      <c r="BC42" t="s">
        <v>699</v>
      </c>
      <c r="BD42" t="s">
        <v>371</v>
      </c>
      <c r="BE42" t="s">
        <v>288</v>
      </c>
      <c r="BF42" t="s">
        <v>291</v>
      </c>
      <c r="BG42" t="s">
        <v>292</v>
      </c>
      <c r="BH42" t="s">
        <v>1780</v>
      </c>
      <c r="BI42" t="s">
        <v>1781</v>
      </c>
      <c r="BJ42" t="s">
        <v>60</v>
      </c>
      <c r="BK42" t="s">
        <v>719</v>
      </c>
      <c r="BL42" t="s">
        <v>821</v>
      </c>
      <c r="BM42" t="s">
        <v>699</v>
      </c>
      <c r="BN42" t="s">
        <v>5</v>
      </c>
      <c r="BO42" t="s">
        <v>5</v>
      </c>
      <c r="BP42" t="s">
        <v>5</v>
      </c>
      <c r="BQ42">
        <v>-18.57</v>
      </c>
      <c r="BR42">
        <v>-34.11</v>
      </c>
      <c r="BS42">
        <v>-51</v>
      </c>
      <c r="BT42" t="s">
        <v>519</v>
      </c>
      <c r="BU42" t="s">
        <v>879</v>
      </c>
      <c r="BV42">
        <v>2.17</v>
      </c>
      <c r="BW42">
        <v>7.06</v>
      </c>
      <c r="BX42">
        <v>11.05</v>
      </c>
      <c r="BY42">
        <v>-78.38</v>
      </c>
      <c r="BZ42">
        <v>-36.950000000000003</v>
      </c>
      <c r="CA42">
        <v>-69.17</v>
      </c>
      <c r="CB42">
        <v>4.17</v>
      </c>
      <c r="CC42">
        <v>-13.61</v>
      </c>
      <c r="CD42" t="s">
        <v>1782</v>
      </c>
      <c r="CE42" t="s">
        <v>1783</v>
      </c>
      <c r="CF42" s="11">
        <v>-0.99139189456342669</v>
      </c>
      <c r="CG42" s="12">
        <v>-1.0176169196721312</v>
      </c>
      <c r="CH42" s="11">
        <v>29.045892715454102</v>
      </c>
      <c r="CI42" s="11">
        <v>-0.20077219605445862</v>
      </c>
      <c r="CJ42" s="11">
        <v>-0.21156772971153259</v>
      </c>
      <c r="CK42" s="11">
        <v>-7.9831935465335846E-2</v>
      </c>
      <c r="CL42" s="11">
        <v>-1.244813296943903E-2</v>
      </c>
      <c r="CM42" s="12">
        <v>12.296052932739258</v>
      </c>
      <c r="CN42" s="12">
        <v>0.57303369045257568</v>
      </c>
      <c r="CO42" s="12">
        <v>-357.72634887695312</v>
      </c>
      <c r="CP42" s="12">
        <v>-1.0587351322174072</v>
      </c>
      <c r="CQ42" s="12">
        <v>-0.65711516141891479</v>
      </c>
      <c r="CR42">
        <v>2.699395611484841</v>
      </c>
      <c r="CS42">
        <v>4.7289334954476797E-3</v>
      </c>
      <c r="CT42">
        <v>0</v>
      </c>
      <c r="CU42" s="11">
        <v>5.7082545442506669</v>
      </c>
      <c r="CV42" s="12">
        <v>-69.31462250947952</v>
      </c>
      <c r="CW42">
        <v>0.06</v>
      </c>
      <c r="CX42">
        <v>0.13457007893056228</v>
      </c>
      <c r="CY42">
        <v>10866106653.281506</v>
      </c>
      <c r="CZ42">
        <v>5.7082545442506669</v>
      </c>
      <c r="DA42">
        <v>3.2107939483267292E-3</v>
      </c>
      <c r="DB42">
        <v>455417835442.86218</v>
      </c>
      <c r="DC42">
        <v>5.4228418170381332</v>
      </c>
      <c r="DD42">
        <v>2.0847037800084801E-5</v>
      </c>
      <c r="DE42">
        <v>70141995425079.141</v>
      </c>
      <c r="DF42">
        <v>5.0232639989405872</v>
      </c>
      <c r="DG42">
        <v>4.3218225397981963E-8</v>
      </c>
      <c r="DH42">
        <v>3.3834171036284116E+16</v>
      </c>
      <c r="DI42">
        <v>4.5666036354005337</v>
      </c>
      <c r="DJ42">
        <v>2.2947427674181477E-14</v>
      </c>
      <c r="DK42">
        <v>6.372186245716788E+22</v>
      </c>
      <c r="DL42">
        <v>3.9957781809754667</v>
      </c>
      <c r="DM42">
        <v>1717000000.0000002</v>
      </c>
      <c r="DN42">
        <v>5.7082545442506669</v>
      </c>
      <c r="DO42">
        <v>1462252830</v>
      </c>
      <c r="DP42">
        <v>113926110.00000012</v>
      </c>
      <c r="DQ42">
        <v>4183</v>
      </c>
      <c r="DR42">
        <v>-6.6996464388140939</v>
      </c>
      <c r="DS42">
        <v>68.297005589807384</v>
      </c>
      <c r="DT42" s="13">
        <v>-0.42333333333333339</v>
      </c>
      <c r="DU42">
        <v>-2.398333333333333</v>
      </c>
      <c r="DV42">
        <v>-2.8216666666666663</v>
      </c>
      <c r="DW42">
        <v>6.234533183352081</v>
      </c>
      <c r="DX42">
        <v>0.33556320940609524</v>
      </c>
      <c r="DY42">
        <v>6.0341394028809567</v>
      </c>
      <c r="DZ42">
        <v>1623</v>
      </c>
      <c r="EA42">
        <v>6.0232963009483163</v>
      </c>
      <c r="EB42">
        <v>6</v>
      </c>
      <c r="EC42">
        <v>3.1185541095618472E-2</v>
      </c>
      <c r="ED42">
        <v>0.21424054349211771</v>
      </c>
      <c r="EE42" s="14">
        <v>2.0264099999999998</v>
      </c>
      <c r="EF42">
        <v>2.0590099999999998</v>
      </c>
      <c r="EG42">
        <v>19.145563209406095</v>
      </c>
      <c r="EH42" t="s">
        <v>441</v>
      </c>
      <c r="EI42">
        <v>0</v>
      </c>
      <c r="EJ42">
        <v>0</v>
      </c>
      <c r="EK42" s="10">
        <v>45470</v>
      </c>
      <c r="EL42" s="15">
        <v>0.45</v>
      </c>
      <c r="EM42" s="15">
        <v>-1.9</v>
      </c>
      <c r="EN42">
        <v>1.37</v>
      </c>
      <c r="EO42">
        <v>-0.11</v>
      </c>
      <c r="EP42">
        <v>-3.26</v>
      </c>
    </row>
    <row r="43" spans="1:146" ht="108" x14ac:dyDescent="0.25">
      <c r="A43" s="7"/>
      <c r="B43" s="7"/>
      <c r="C43" s="7" t="str">
        <f>""&amp;CHAR(10)&amp;Basic_Fundamental_Information_Constructure(F43)&amp;CHAR(10)&amp;Basic_Fundamental_Information_Concatenate("")</f>
        <v xml:space="preserve">
市值24.626694亿, 利润11.94亿; PE61.61; 平均PE11.08; 平均PEG.07, PB3.45; ROIC2.5867%; ROE2.8833%; 股利率.5013%; 毛利12.6833%; 净利1.97%; 上一年度营收增685.27%, 利润增5346.78%; 当季营收增-74.78%, 利润增-100.59%; 过往5年营收增153.05%, 利润增1061.36%
Income profile:
</v>
      </c>
      <c r="D43" t="s">
        <v>293</v>
      </c>
      <c r="E43" t="s">
        <v>294</v>
      </c>
      <c r="F43">
        <v>11.97</v>
      </c>
      <c r="G43">
        <v>3.37</v>
      </c>
      <c r="H43" t="s">
        <v>1784</v>
      </c>
      <c r="I43">
        <v>2462669400</v>
      </c>
      <c r="J43">
        <v>61.61</v>
      </c>
      <c r="K43">
        <v>3.45</v>
      </c>
      <c r="L43" t="s">
        <v>107</v>
      </c>
      <c r="M43" t="s">
        <v>956</v>
      </c>
      <c r="N43" t="s">
        <v>1785</v>
      </c>
      <c r="O43" t="s">
        <v>952</v>
      </c>
      <c r="P43">
        <v>92.41</v>
      </c>
      <c r="Q43" t="s">
        <v>1786</v>
      </c>
      <c r="R43">
        <v>-1223409</v>
      </c>
      <c r="S43" s="5">
        <v>0.85329999999999995</v>
      </c>
      <c r="T43" t="s">
        <v>1787</v>
      </c>
      <c r="U43">
        <v>205736790</v>
      </c>
      <c r="V43">
        <v>205736790</v>
      </c>
      <c r="W43">
        <v>2.2400000000000002</v>
      </c>
      <c r="X43">
        <v>0.24</v>
      </c>
      <c r="Y43">
        <v>2.1</v>
      </c>
      <c r="Z43" t="s">
        <v>1788</v>
      </c>
      <c r="AA43" t="s">
        <v>6</v>
      </c>
      <c r="AB43" t="s">
        <v>1789</v>
      </c>
      <c r="AC43" t="s">
        <v>1790</v>
      </c>
      <c r="AD43" t="s">
        <v>5</v>
      </c>
      <c r="AE43">
        <v>3736054</v>
      </c>
      <c r="AF43" t="s">
        <v>1791</v>
      </c>
      <c r="AG43">
        <v>3386.89</v>
      </c>
      <c r="AH43" t="s">
        <v>1792</v>
      </c>
      <c r="AI43" t="s">
        <v>829</v>
      </c>
      <c r="AJ43" t="s">
        <v>1793</v>
      </c>
      <c r="AK43" t="s">
        <v>5</v>
      </c>
      <c r="AL43" t="s">
        <v>1794</v>
      </c>
      <c r="AM43" t="s">
        <v>5</v>
      </c>
      <c r="AN43" t="s">
        <v>1795</v>
      </c>
      <c r="AO43" t="s">
        <v>34</v>
      </c>
      <c r="AP43" t="s">
        <v>5</v>
      </c>
      <c r="AQ43" t="s">
        <v>625</v>
      </c>
      <c r="AR43" t="s">
        <v>1796</v>
      </c>
      <c r="AS43" t="s">
        <v>805</v>
      </c>
      <c r="AT43" t="s">
        <v>5</v>
      </c>
      <c r="AU43" t="s">
        <v>1797</v>
      </c>
      <c r="AV43" t="s">
        <v>1798</v>
      </c>
      <c r="AW43" t="s">
        <v>1799</v>
      </c>
      <c r="AX43" t="s">
        <v>700</v>
      </c>
      <c r="AY43" t="s">
        <v>372</v>
      </c>
      <c r="AZ43" t="s">
        <v>101</v>
      </c>
      <c r="BA43" t="s">
        <v>126</v>
      </c>
      <c r="BB43" t="s">
        <v>296</v>
      </c>
      <c r="BC43" t="s">
        <v>1800</v>
      </c>
      <c r="BD43" t="s">
        <v>373</v>
      </c>
      <c r="BE43" t="s">
        <v>295</v>
      </c>
      <c r="BF43" t="s">
        <v>298</v>
      </c>
      <c r="BG43" t="s">
        <v>299</v>
      </c>
      <c r="BH43" t="s">
        <v>1801</v>
      </c>
      <c r="BI43" t="s">
        <v>1233</v>
      </c>
      <c r="BJ43" t="s">
        <v>700</v>
      </c>
      <c r="BK43" t="s">
        <v>1802</v>
      </c>
      <c r="BL43" t="s">
        <v>717</v>
      </c>
      <c r="BM43" t="s">
        <v>1800</v>
      </c>
      <c r="BN43">
        <v>3.32</v>
      </c>
      <c r="BO43">
        <v>2.62</v>
      </c>
      <c r="BP43">
        <v>1.82</v>
      </c>
      <c r="BQ43">
        <v>3.32</v>
      </c>
      <c r="BR43">
        <v>2.91</v>
      </c>
      <c r="BS43">
        <v>2.42</v>
      </c>
      <c r="BT43" t="s">
        <v>1679</v>
      </c>
      <c r="BU43" t="s">
        <v>879</v>
      </c>
      <c r="BV43">
        <v>14.29</v>
      </c>
      <c r="BW43">
        <v>12.48</v>
      </c>
      <c r="BX43">
        <v>11.28</v>
      </c>
      <c r="BY43">
        <v>2.64</v>
      </c>
      <c r="BZ43">
        <v>1.8</v>
      </c>
      <c r="CA43">
        <v>1.47</v>
      </c>
      <c r="CB43">
        <v>-3.55</v>
      </c>
      <c r="CC43">
        <v>-7.35</v>
      </c>
      <c r="CD43" t="s">
        <v>1803</v>
      </c>
      <c r="CE43" t="s">
        <v>539</v>
      </c>
      <c r="CF43" s="11">
        <v>-0.74784217016029597</v>
      </c>
      <c r="CG43" s="12">
        <v>-1.0058817740384616</v>
      </c>
      <c r="CH43" s="11">
        <v>6.8527336120605469</v>
      </c>
      <c r="CI43" s="11">
        <v>0.28280544281005859</v>
      </c>
      <c r="CJ43" s="11">
        <v>0.13624678552150726</v>
      </c>
      <c r="CK43" s="11">
        <v>-0.10057803243398666</v>
      </c>
      <c r="CL43" s="11">
        <v>0.48116439580917358</v>
      </c>
      <c r="CM43" s="12">
        <v>53.467823028564453</v>
      </c>
      <c r="CN43" s="12">
        <v>0.23638331890106201</v>
      </c>
      <c r="CO43" s="12">
        <v>6.7473843693733215E-2</v>
      </c>
      <c r="CP43" s="12">
        <v>-0.56865090131759644</v>
      </c>
      <c r="CQ43" s="12">
        <v>-0.13514065742492676</v>
      </c>
      <c r="CR43">
        <v>11.082381620367499</v>
      </c>
      <c r="CS43">
        <v>7.2411412600341035E-2</v>
      </c>
      <c r="CT43">
        <v>0.50125313283208017</v>
      </c>
      <c r="CU43" s="11">
        <v>1.5304744407534598</v>
      </c>
      <c r="CV43" s="12">
        <v>10.613577726483346</v>
      </c>
      <c r="CW43">
        <v>0.06</v>
      </c>
      <c r="CX43">
        <v>0.91660884175559099</v>
      </c>
      <c r="CY43">
        <v>2850364605.9053125</v>
      </c>
      <c r="CZ43">
        <v>1.5304744407534598</v>
      </c>
      <c r="DA43">
        <v>0.10896223184009043</v>
      </c>
      <c r="DB43">
        <v>23977752253.040043</v>
      </c>
      <c r="DC43">
        <v>1.4539507187157867</v>
      </c>
      <c r="DD43">
        <v>1.0274965945311246E-2</v>
      </c>
      <c r="DE43">
        <v>254275236911.34314</v>
      </c>
      <c r="DF43">
        <v>1.3468175078630447</v>
      </c>
      <c r="DG43">
        <v>6.921462512904028E-4</v>
      </c>
      <c r="DH43">
        <v>3774736040438.0869</v>
      </c>
      <c r="DI43">
        <v>1.2243795526027679</v>
      </c>
      <c r="DJ43">
        <v>1.6212403600608249E-6</v>
      </c>
      <c r="DK43">
        <v>1611525017735173.5</v>
      </c>
      <c r="DL43">
        <v>1.0713321085274219</v>
      </c>
      <c r="DM43">
        <v>1194000000</v>
      </c>
      <c r="DN43">
        <v>1.5304744407534598</v>
      </c>
      <c r="DO43">
        <v>2612669400</v>
      </c>
      <c r="DP43">
        <v>455061400</v>
      </c>
      <c r="DQ43">
        <v>4206</v>
      </c>
      <c r="DR43">
        <v>-2.2783166109137558</v>
      </c>
      <c r="DS43">
        <v>-11.619459500521808</v>
      </c>
      <c r="DT43" s="13">
        <v>0.10999999999999995</v>
      </c>
      <c r="DU43">
        <v>-0.56500000000000006</v>
      </c>
      <c r="DV43">
        <v>-0.45500000000000013</v>
      </c>
      <c r="DW43">
        <v>-8.4829931972789119</v>
      </c>
      <c r="DX43">
        <v>0.30226641791044795</v>
      </c>
      <c r="DY43">
        <v>-8.0445640521880399</v>
      </c>
      <c r="DZ43">
        <v>153</v>
      </c>
      <c r="EA43">
        <v>-8.0432297469072633</v>
      </c>
      <c r="EB43">
        <v>8</v>
      </c>
      <c r="EC43">
        <v>6.009474532970014E-2</v>
      </c>
      <c r="ED43">
        <v>0.65131763745317506</v>
      </c>
      <c r="EE43" s="14">
        <v>1.0358000000000001</v>
      </c>
      <c r="EF43">
        <v>1.0237000000000001</v>
      </c>
      <c r="EG43">
        <v>21.092266417910448</v>
      </c>
      <c r="EH43" t="s">
        <v>414</v>
      </c>
      <c r="EI43">
        <v>0</v>
      </c>
      <c r="EJ43">
        <v>1</v>
      </c>
      <c r="EK43" s="10">
        <v>45470</v>
      </c>
      <c r="EL43" s="15">
        <v>-0.87</v>
      </c>
      <c r="EM43" s="15">
        <v>4.8899999999999997</v>
      </c>
      <c r="EN43">
        <v>-0.69</v>
      </c>
      <c r="EO43">
        <v>2.99</v>
      </c>
      <c r="EP43">
        <v>-1.21</v>
      </c>
    </row>
    <row r="44" spans="1:146" ht="108" x14ac:dyDescent="0.25">
      <c r="C44" s="7" t="str">
        <f>""&amp;CHAR(10)&amp;Basic_Fundamental_Information_Constructure(F44)&amp;CHAR(10)&amp;Basic_Fundamental_Information_Concatenate("")</f>
        <v xml:space="preserve">
市值75.48945亿, 利润6.43亿; PE61.05; 平均PE35.61; 平均PEG.33, PB2.37; ROIC3.1967%; ROE3.65%; 股利率.6423%; 毛利30.3033%; 净利7.8567%; 上一年度营收增486.94%, 利润增444.92%; 当季营收增-82.01%, 利润增-76.16%; 过往5年营收增109.14%, 利润增86.38%
Income profile:
</v>
      </c>
      <c r="D44" s="5" t="s">
        <v>701</v>
      </c>
      <c r="E44" t="s">
        <v>702</v>
      </c>
      <c r="F44">
        <v>12.61</v>
      </c>
      <c r="G44">
        <v>1.53</v>
      </c>
      <c r="H44" t="s">
        <v>1804</v>
      </c>
      <c r="I44">
        <v>7548945000</v>
      </c>
      <c r="J44">
        <v>61.05</v>
      </c>
      <c r="K44">
        <v>2.37</v>
      </c>
      <c r="L44" t="s">
        <v>107</v>
      </c>
      <c r="M44" t="s">
        <v>1805</v>
      </c>
      <c r="N44" t="s">
        <v>1806</v>
      </c>
      <c r="O44" t="s">
        <v>45</v>
      </c>
      <c r="P44" s="5">
        <v>2.5099999999999998</v>
      </c>
      <c r="Q44" t="s">
        <v>1807</v>
      </c>
      <c r="R44">
        <v>35753890</v>
      </c>
      <c r="S44">
        <v>1.9099999999999999E-2</v>
      </c>
      <c r="T44" t="s">
        <v>1808</v>
      </c>
      <c r="U44">
        <v>598647500</v>
      </c>
      <c r="V44">
        <v>598647500</v>
      </c>
      <c r="W44">
        <v>2.27</v>
      </c>
      <c r="X44">
        <v>0.05</v>
      </c>
      <c r="Y44">
        <v>9.3699999999999992</v>
      </c>
      <c r="Z44" t="s">
        <v>1056</v>
      </c>
      <c r="AA44" t="s">
        <v>1384</v>
      </c>
      <c r="AB44" t="s">
        <v>1809</v>
      </c>
      <c r="AC44" t="s">
        <v>1810</v>
      </c>
      <c r="AD44" t="s">
        <v>5</v>
      </c>
      <c r="AE44">
        <v>28030567</v>
      </c>
      <c r="AF44" t="s">
        <v>1811</v>
      </c>
      <c r="AG44" t="s">
        <v>5</v>
      </c>
      <c r="AH44" t="s">
        <v>1812</v>
      </c>
      <c r="AI44" t="s">
        <v>812</v>
      </c>
      <c r="AJ44" t="s">
        <v>1813</v>
      </c>
      <c r="AK44" t="s">
        <v>1814</v>
      </c>
      <c r="AL44" t="s">
        <v>1815</v>
      </c>
      <c r="AM44" t="s">
        <v>5</v>
      </c>
      <c r="AN44" t="s">
        <v>816</v>
      </c>
      <c r="AO44" t="s">
        <v>1816</v>
      </c>
      <c r="AP44" t="s">
        <v>5</v>
      </c>
      <c r="AQ44" t="s">
        <v>545</v>
      </c>
      <c r="AR44" t="s">
        <v>5</v>
      </c>
      <c r="AS44" t="s">
        <v>1817</v>
      </c>
      <c r="AT44" t="s">
        <v>1818</v>
      </c>
      <c r="AU44" t="s">
        <v>575</v>
      </c>
      <c r="AV44" t="s">
        <v>715</v>
      </c>
      <c r="AW44" t="s">
        <v>1819</v>
      </c>
      <c r="AX44" t="s">
        <v>703</v>
      </c>
      <c r="AY44" t="s">
        <v>704</v>
      </c>
      <c r="AZ44" t="s">
        <v>705</v>
      </c>
      <c r="BA44" t="s">
        <v>706</v>
      </c>
      <c r="BB44" t="s">
        <v>705</v>
      </c>
      <c r="BC44" t="s">
        <v>44</v>
      </c>
      <c r="BD44" t="s">
        <v>25</v>
      </c>
      <c r="BE44" t="s">
        <v>423</v>
      </c>
      <c r="BF44" t="s">
        <v>308</v>
      </c>
      <c r="BG44" t="s">
        <v>572</v>
      </c>
      <c r="BH44" t="s">
        <v>1820</v>
      </c>
      <c r="BI44" t="s">
        <v>1821</v>
      </c>
      <c r="BJ44" t="s">
        <v>703</v>
      </c>
      <c r="BK44" t="s">
        <v>1142</v>
      </c>
      <c r="BL44" t="s">
        <v>419</v>
      </c>
      <c r="BM44" t="s">
        <v>44</v>
      </c>
      <c r="BN44">
        <v>2.75</v>
      </c>
      <c r="BO44">
        <v>3.44</v>
      </c>
      <c r="BP44">
        <v>3.4</v>
      </c>
      <c r="BQ44">
        <v>3.32</v>
      </c>
      <c r="BR44">
        <v>3.85</v>
      </c>
      <c r="BS44">
        <v>3.78</v>
      </c>
      <c r="BT44" t="s">
        <v>1822</v>
      </c>
      <c r="BU44" t="s">
        <v>858</v>
      </c>
      <c r="BV44">
        <v>28.98</v>
      </c>
      <c r="BW44">
        <v>28.84</v>
      </c>
      <c r="BX44">
        <v>33.090000000000003</v>
      </c>
      <c r="BY44">
        <v>7.97</v>
      </c>
      <c r="BZ44">
        <v>7.36</v>
      </c>
      <c r="CA44">
        <v>8.24</v>
      </c>
      <c r="CB44">
        <v>-0.79</v>
      </c>
      <c r="CC44" s="11">
        <v>-7.38</v>
      </c>
      <c r="CD44" s="12" t="s">
        <v>1823</v>
      </c>
      <c r="CE44" s="11" t="s">
        <v>28</v>
      </c>
      <c r="CF44" s="11">
        <v>-0.82011331444759206</v>
      </c>
      <c r="CG44" s="12">
        <v>-0.76164073333333338</v>
      </c>
      <c r="CH44" s="11">
        <v>4.8694157600402832</v>
      </c>
      <c r="CI44" s="11">
        <v>0.16867481172084808</v>
      </c>
      <c r="CJ44" s="11">
        <v>0.36813178658485413</v>
      </c>
      <c r="CK44" s="11">
        <v>0.25171938538551331</v>
      </c>
      <c r="CL44" s="11">
        <v>-0.20109890401363373</v>
      </c>
      <c r="CM44" s="12">
        <v>4.4491524696350098</v>
      </c>
      <c r="CN44" s="12">
        <v>-3.2786883413791656E-2</v>
      </c>
      <c r="CO44" s="12">
        <v>-0.10294117778539658</v>
      </c>
      <c r="CP44" s="12">
        <v>0.23636363446712494</v>
      </c>
      <c r="CQ44" s="12">
        <v>-0.23076923191547394</v>
      </c>
      <c r="CR44" s="1">
        <v>35.608231132075474</v>
      </c>
      <c r="CS44" s="1">
        <v>0.32627136402847662</v>
      </c>
      <c r="CT44" s="1">
        <v>0.64234734337827126</v>
      </c>
      <c r="CU44" s="11">
        <v>1.091368567943573</v>
      </c>
      <c r="CV44" s="12">
        <v>0.86380376219749455</v>
      </c>
      <c r="CW44">
        <v>0.06</v>
      </c>
      <c r="CX44">
        <v>6.5038124337765817</v>
      </c>
      <c r="CY44">
        <v>1268632065.2714314</v>
      </c>
      <c r="CZ44">
        <v>1.091368567943573</v>
      </c>
      <c r="DA44">
        <v>1.0097296611760602</v>
      </c>
      <c r="DB44">
        <v>8171439660.7799902</v>
      </c>
      <c r="DC44">
        <v>1.0368001395463942</v>
      </c>
      <c r="DD44">
        <v>0.15105555664278147</v>
      </c>
      <c r="DE44">
        <v>54621923108.144661</v>
      </c>
      <c r="DF44">
        <v>0.96040433979034423</v>
      </c>
      <c r="DG44">
        <v>1.8827843453266806E-2</v>
      </c>
      <c r="DH44">
        <v>438231017826.33447</v>
      </c>
      <c r="DI44">
        <v>0.87309485435485845</v>
      </c>
      <c r="DJ44">
        <v>1.9307236265443822E-4</v>
      </c>
      <c r="DK44">
        <v>42734987476004.414</v>
      </c>
      <c r="DL44">
        <v>0.76395799756050098</v>
      </c>
      <c r="DM44">
        <v>643000000</v>
      </c>
      <c r="DN44">
        <v>1.091368567943573</v>
      </c>
      <c r="DO44">
        <v>8250945000</v>
      </c>
      <c r="DP44">
        <v>-224862800</v>
      </c>
      <c r="DQ44" s="13">
        <v>4354</v>
      </c>
      <c r="DR44">
        <v>-1.911481882391165</v>
      </c>
      <c r="DS44">
        <v>-1.6254444955308278</v>
      </c>
      <c r="DT44">
        <v>0.16</v>
      </c>
      <c r="DU44">
        <v>-0.12333333333333336</v>
      </c>
      <c r="DV44">
        <v>3.6666666666666639E-2</v>
      </c>
      <c r="DW44">
        <v>-2.0737999999999999</v>
      </c>
      <c r="DX44">
        <v>0.40543217391304465</v>
      </c>
      <c r="DY44">
        <v>-2.0129468944347826</v>
      </c>
      <c r="DZ44">
        <v>2704</v>
      </c>
      <c r="EA44">
        <v>-2.0060959350313281</v>
      </c>
      <c r="EB44" s="14">
        <v>2</v>
      </c>
      <c r="EC44" s="14">
        <v>3.3700466468163652E-2</v>
      </c>
      <c r="ED44">
        <v>0.19209969138766969</v>
      </c>
      <c r="EE44">
        <v>-4.0068099999999998</v>
      </c>
      <c r="EF44">
        <v>-4.0475099999999999</v>
      </c>
      <c r="EG44">
        <v>23.175432173913045</v>
      </c>
      <c r="EH44" s="10" t="s">
        <v>751</v>
      </c>
      <c r="EI44">
        <v>0</v>
      </c>
      <c r="EJ44">
        <v>0</v>
      </c>
      <c r="EK44">
        <v>45470</v>
      </c>
      <c r="EL44">
        <v>-1.23</v>
      </c>
      <c r="EM44">
        <v>-4.13</v>
      </c>
      <c r="EN44">
        <v>-0.45</v>
      </c>
      <c r="EO44">
        <v>8.0500000000000007</v>
      </c>
      <c r="EP44">
        <v>-4.07</v>
      </c>
    </row>
    <row r="45" spans="1:146" ht="108" x14ac:dyDescent="0.25">
      <c r="C45" s="7" t="str">
        <f>""&amp;CHAR(10)&amp;Basic_Fundamental_Information_Constructure(F45)&amp;CHAR(10)&amp;Basic_Fundamental_Information_Concatenate("")</f>
        <v xml:space="preserve">
市值26.797342亿, 利润2.74亿; PE; 平均PE34.48; 平均PEG1.56, PB1.08; ROIC1.07%; ROE-5.31%; 股利率0%; 毛利22.3167%; 净利-15.64%; 上一年度营收增-22.43%, 利润增24784.21%; 当季营收增-25.23%, 利润增-277.68%; 过往5年营收增22.08%, 利润增5001.55%
Income profile:
</v>
      </c>
      <c r="D45" s="5" t="s">
        <v>707</v>
      </c>
      <c r="E45" t="s">
        <v>708</v>
      </c>
      <c r="F45">
        <v>5.77</v>
      </c>
      <c r="G45">
        <v>4.34</v>
      </c>
      <c r="H45" t="s">
        <v>1824</v>
      </c>
      <c r="I45">
        <v>2679734200</v>
      </c>
      <c r="K45">
        <v>1.08</v>
      </c>
      <c r="L45" t="s">
        <v>107</v>
      </c>
      <c r="M45" t="s">
        <v>1825</v>
      </c>
      <c r="N45" t="s">
        <v>1826</v>
      </c>
      <c r="O45" t="s">
        <v>1455</v>
      </c>
      <c r="P45" s="5">
        <v>-54.99</v>
      </c>
      <c r="Q45" t="s">
        <v>1827</v>
      </c>
      <c r="R45">
        <v>-45873206</v>
      </c>
      <c r="S45">
        <v>-2.2050000000000001</v>
      </c>
      <c r="T45" t="s">
        <v>1504</v>
      </c>
      <c r="U45">
        <v>450760340</v>
      </c>
      <c r="V45">
        <v>464425340</v>
      </c>
      <c r="W45">
        <v>2.61</v>
      </c>
      <c r="X45">
        <v>0.03</v>
      </c>
      <c r="Y45">
        <v>-18.84</v>
      </c>
      <c r="Z45" t="s">
        <v>1828</v>
      </c>
      <c r="AA45" t="s">
        <v>828</v>
      </c>
      <c r="AB45" t="s">
        <v>1829</v>
      </c>
      <c r="AC45" t="s">
        <v>1830</v>
      </c>
      <c r="AD45" t="s">
        <v>5</v>
      </c>
      <c r="AE45">
        <v>35275781</v>
      </c>
      <c r="AF45" t="s">
        <v>21</v>
      </c>
      <c r="AG45" t="s">
        <v>5</v>
      </c>
      <c r="AH45" t="s">
        <v>1831</v>
      </c>
      <c r="AI45" t="s">
        <v>1832</v>
      </c>
      <c r="AJ45" t="s">
        <v>1833</v>
      </c>
      <c r="AK45" t="s">
        <v>1834</v>
      </c>
      <c r="AL45" t="s">
        <v>1835</v>
      </c>
      <c r="AM45" t="s">
        <v>5</v>
      </c>
      <c r="AN45" t="s">
        <v>1836</v>
      </c>
      <c r="AO45" t="s">
        <v>556</v>
      </c>
      <c r="AP45" t="s">
        <v>658</v>
      </c>
      <c r="AQ45" t="s">
        <v>256</v>
      </c>
      <c r="AR45" t="s">
        <v>5</v>
      </c>
      <c r="AS45" t="s">
        <v>1837</v>
      </c>
      <c r="AT45" t="s">
        <v>1054</v>
      </c>
      <c r="AU45" t="s">
        <v>1838</v>
      </c>
      <c r="AV45" t="s">
        <v>1839</v>
      </c>
      <c r="AW45" t="s">
        <v>539</v>
      </c>
      <c r="AX45" t="s">
        <v>709</v>
      </c>
      <c r="AY45" t="s">
        <v>710</v>
      </c>
      <c r="AZ45" t="s">
        <v>711</v>
      </c>
      <c r="BA45" t="s">
        <v>712</v>
      </c>
      <c r="BB45" t="s">
        <v>525</v>
      </c>
      <c r="BC45" t="s">
        <v>1840</v>
      </c>
      <c r="BD45" t="s">
        <v>418</v>
      </c>
      <c r="BE45" t="s">
        <v>42</v>
      </c>
      <c r="BF45" t="s">
        <v>713</v>
      </c>
      <c r="BG45" t="s">
        <v>714</v>
      </c>
      <c r="BH45" t="s">
        <v>1841</v>
      </c>
      <c r="BI45" t="s">
        <v>541</v>
      </c>
      <c r="BJ45" t="s">
        <v>709</v>
      </c>
      <c r="BK45" t="s">
        <v>1842</v>
      </c>
      <c r="BL45" t="s">
        <v>1843</v>
      </c>
      <c r="BM45" t="s">
        <v>1840</v>
      </c>
      <c r="BN45">
        <v>1.07</v>
      </c>
      <c r="BO45" t="s">
        <v>5</v>
      </c>
      <c r="BP45" t="s">
        <v>5</v>
      </c>
      <c r="BQ45">
        <v>0.19</v>
      </c>
      <c r="BR45">
        <v>0.08</v>
      </c>
      <c r="BS45">
        <v>-16.2</v>
      </c>
      <c r="BT45" t="s">
        <v>519</v>
      </c>
      <c r="BU45" t="s">
        <v>858</v>
      </c>
      <c r="BV45">
        <v>20.309999999999999</v>
      </c>
      <c r="BW45">
        <v>23.57</v>
      </c>
      <c r="BX45">
        <v>23.07</v>
      </c>
      <c r="BY45">
        <v>-26.2</v>
      </c>
      <c r="BZ45">
        <v>0.1</v>
      </c>
      <c r="CA45">
        <v>-20.82</v>
      </c>
      <c r="CB45">
        <v>10.75</v>
      </c>
      <c r="CC45" s="11">
        <v>11.61</v>
      </c>
      <c r="CD45" s="12" t="s">
        <v>39</v>
      </c>
      <c r="CE45" s="11" t="s">
        <v>970</v>
      </c>
      <c r="CF45" s="11">
        <v>-0.25230769230769223</v>
      </c>
      <c r="CG45" s="12">
        <v>-2.776819146628656</v>
      </c>
      <c r="CH45" s="11">
        <v>-0.2242920994758606</v>
      </c>
      <c r="CI45" s="11">
        <v>-7.6711408793926239E-2</v>
      </c>
      <c r="CJ45" s="11">
        <v>-0.26086953282356262</v>
      </c>
      <c r="CK45" s="11">
        <v>0.34507521986961365</v>
      </c>
      <c r="CL45" s="11">
        <v>1.3206349611282349</v>
      </c>
      <c r="CM45" s="12">
        <v>247.84207153320312</v>
      </c>
      <c r="CN45" s="12">
        <v>1.0018200874328613</v>
      </c>
      <c r="CO45" s="12">
        <v>-2.5394401550292969</v>
      </c>
      <c r="CP45" s="12">
        <v>0.18731117248535156</v>
      </c>
      <c r="CQ45" s="12">
        <v>3.5857639312744141</v>
      </c>
      <c r="CR45" s="1">
        <v>34.482222522470359</v>
      </c>
      <c r="CS45" s="1">
        <v>1.5619252730277613</v>
      </c>
      <c r="CT45" s="1">
        <v>0</v>
      </c>
      <c r="CU45" s="11">
        <v>0.22076742798089982</v>
      </c>
      <c r="CV45" s="12">
        <v>50.015505313873291</v>
      </c>
      <c r="CW45">
        <v>0.06</v>
      </c>
      <c r="CX45">
        <v>14.129732914449185</v>
      </c>
      <c r="CY45">
        <v>315556863.45921373</v>
      </c>
      <c r="CZ45">
        <v>0.22076742798089982</v>
      </c>
      <c r="DA45">
        <v>4.1404894444662768</v>
      </c>
      <c r="DB45">
        <v>1076861627.0617607</v>
      </c>
      <c r="DC45">
        <v>0.20972905658185481</v>
      </c>
      <c r="DD45">
        <v>1.7500248409956887</v>
      </c>
      <c r="DE45">
        <v>2547811948.4653559</v>
      </c>
      <c r="DF45">
        <v>0.19427533662319185</v>
      </c>
      <c r="DG45">
        <v>0.87663122069255839</v>
      </c>
      <c r="DH45">
        <v>5086214242.3783398</v>
      </c>
      <c r="DI45">
        <v>0.17661394238471986</v>
      </c>
      <c r="DJ45">
        <v>0.29470842117505819</v>
      </c>
      <c r="DK45">
        <v>15129307069.754519</v>
      </c>
      <c r="DL45">
        <v>0.15453719958662987</v>
      </c>
      <c r="DM45">
        <v>274000000</v>
      </c>
      <c r="DN45">
        <v>0.22076742798089982</v>
      </c>
      <c r="DO45">
        <v>4458734200</v>
      </c>
      <c r="DP45">
        <v>2026815400</v>
      </c>
      <c r="DQ45" s="13">
        <v>4359</v>
      </c>
      <c r="DR45">
        <v>-0.47307512028859205</v>
      </c>
      <c r="DS45">
        <v>-52.792324460501945</v>
      </c>
      <c r="DT45">
        <v>-0.42333333333333334</v>
      </c>
      <c r="DU45">
        <v>-0.39166666666666677</v>
      </c>
      <c r="DV45">
        <v>-0.81500000000000017</v>
      </c>
      <c r="DW45">
        <v>9.9259259259259256</v>
      </c>
      <c r="DX45">
        <v>0.65673913043478138</v>
      </c>
      <c r="DY45">
        <v>9.3673510466988734</v>
      </c>
      <c r="DZ45">
        <v>2423</v>
      </c>
      <c r="EA45">
        <v>9.193164826317</v>
      </c>
      <c r="EB45" s="14">
        <v>9</v>
      </c>
      <c r="EC45" s="14">
        <v>0.31436699814872288</v>
      </c>
      <c r="ED45">
        <v>0.79237709122417821</v>
      </c>
      <c r="EE45">
        <v>1.1194999999999999</v>
      </c>
      <c r="EF45">
        <v>1.1223000000000001</v>
      </c>
      <c r="EG45">
        <v>26.396739130434781</v>
      </c>
      <c r="EH45" s="10" t="s">
        <v>414</v>
      </c>
      <c r="EI45">
        <v>1</v>
      </c>
      <c r="EJ45">
        <v>0</v>
      </c>
      <c r="EK45">
        <v>45470</v>
      </c>
      <c r="EL45">
        <v>0.05</v>
      </c>
      <c r="EM45">
        <v>-4.96</v>
      </c>
      <c r="EN45">
        <v>-0.51</v>
      </c>
      <c r="EO45">
        <v>9.98</v>
      </c>
      <c r="EP45">
        <v>0.28000000000000003</v>
      </c>
    </row>
    <row r="46" spans="1:146" x14ac:dyDescent="0.25">
      <c r="A46" s="7"/>
      <c r="B46" s="7"/>
      <c r="C46" s="7"/>
      <c r="Q46" s="5"/>
    </row>
    <row r="47" spans="1:146" x14ac:dyDescent="0.25">
      <c r="A47" s="7"/>
      <c r="B47" s="7"/>
      <c r="C47" s="7"/>
      <c r="Q47" s="5"/>
    </row>
    <row r="48" spans="1:146" x14ac:dyDescent="0.25">
      <c r="A48" s="7"/>
      <c r="B48" s="7"/>
      <c r="C48" s="7"/>
      <c r="Q48" s="5"/>
    </row>
    <row r="49" spans="1:17" x14ac:dyDescent="0.25">
      <c r="A49" s="7"/>
      <c r="B49" s="7"/>
      <c r="C49" s="7"/>
      <c r="Q49" s="5"/>
    </row>
    <row r="50" spans="1:17" x14ac:dyDescent="0.25">
      <c r="A50" s="7"/>
      <c r="B50" s="7"/>
      <c r="C50" s="7"/>
      <c r="Q50" s="5"/>
    </row>
    <row r="51" spans="1:17" x14ac:dyDescent="0.25">
      <c r="A51" s="7"/>
      <c r="B51" s="7"/>
      <c r="C51" s="7"/>
      <c r="Q51" s="5"/>
    </row>
    <row r="52" spans="1:17" x14ac:dyDescent="0.25">
      <c r="A52" s="7"/>
      <c r="B52" s="7"/>
      <c r="C52" s="7"/>
      <c r="Q52" s="5"/>
    </row>
    <row r="53" spans="1:17" x14ac:dyDescent="0.25">
      <c r="A53" s="7"/>
      <c r="B53" s="7"/>
      <c r="C53" s="7"/>
      <c r="Q53" s="5"/>
    </row>
    <row r="54" spans="1:17" x14ac:dyDescent="0.25">
      <c r="A54" s="7"/>
      <c r="B54" s="7"/>
      <c r="C54" s="7"/>
      <c r="Q54" s="5"/>
    </row>
    <row r="55" spans="1:17" x14ac:dyDescent="0.25">
      <c r="A55" s="7"/>
      <c r="B55" s="7"/>
      <c r="C55" s="7"/>
      <c r="Q55" s="5"/>
    </row>
    <row r="56" spans="1:17" x14ac:dyDescent="0.25">
      <c r="A56" s="7"/>
      <c r="B56" s="7"/>
      <c r="C56" s="7"/>
      <c r="Q56" s="5"/>
    </row>
    <row r="57" spans="1:17" x14ac:dyDescent="0.25">
      <c r="A57" s="7"/>
      <c r="B57" s="7"/>
      <c r="C57" s="7"/>
      <c r="Q57" s="5"/>
    </row>
    <row r="58" spans="1:17" x14ac:dyDescent="0.25">
      <c r="A58" s="7"/>
      <c r="B58" s="7"/>
      <c r="C58" s="7"/>
      <c r="Q58" s="5"/>
    </row>
    <row r="59" spans="1:17" x14ac:dyDescent="0.25">
      <c r="A59" s="7"/>
      <c r="B59" s="7"/>
      <c r="C59" s="7"/>
      <c r="Q59" s="5"/>
    </row>
    <row r="60" spans="1:17" x14ac:dyDescent="0.25">
      <c r="A60" s="7"/>
      <c r="B60" s="7"/>
      <c r="C60" s="7"/>
      <c r="Q60" s="5"/>
    </row>
    <row r="61" spans="1:17" x14ac:dyDescent="0.25">
      <c r="A61" s="7"/>
      <c r="B61" s="7"/>
      <c r="C61" s="7"/>
      <c r="Q61" s="5"/>
    </row>
    <row r="62" spans="1:17" x14ac:dyDescent="0.25">
      <c r="A62" s="7"/>
      <c r="B62" s="7"/>
      <c r="C62" s="7"/>
      <c r="Q62" s="5"/>
    </row>
    <row r="63" spans="1:17" x14ac:dyDescent="0.25">
      <c r="A63" s="7"/>
      <c r="B63" s="7"/>
      <c r="C63" s="7"/>
      <c r="Q63" s="5"/>
    </row>
    <row r="64" spans="1:17" x14ac:dyDescent="0.25">
      <c r="A64" s="7"/>
      <c r="B64" s="7"/>
      <c r="C64" s="7"/>
      <c r="Q64" s="5"/>
    </row>
    <row r="65" spans="1:17" x14ac:dyDescent="0.25">
      <c r="A65" s="7"/>
      <c r="B65" s="7"/>
      <c r="C65" s="7"/>
      <c r="Q65" s="5"/>
    </row>
    <row r="66" spans="1:17" x14ac:dyDescent="0.25">
      <c r="Q66" s="5"/>
    </row>
    <row r="67" spans="1:17" x14ac:dyDescent="0.25">
      <c r="A67" s="7"/>
      <c r="B67" s="7"/>
      <c r="C67" s="7"/>
      <c r="Q67" s="5"/>
    </row>
    <row r="68" spans="1:17" x14ac:dyDescent="0.25">
      <c r="A68" s="7"/>
      <c r="B68" s="7"/>
      <c r="C68" s="7"/>
      <c r="Q68" s="5"/>
    </row>
    <row r="69" spans="1:17" x14ac:dyDescent="0.25">
      <c r="A69" s="7"/>
      <c r="B69" s="7"/>
      <c r="C69" s="7"/>
      <c r="Q69" s="5"/>
    </row>
    <row r="70" spans="1:17" x14ac:dyDescent="0.25">
      <c r="A70" s="7"/>
      <c r="B70" s="7"/>
      <c r="C70" s="7"/>
      <c r="Q70" s="5"/>
    </row>
    <row r="71" spans="1:17" x14ac:dyDescent="0.25">
      <c r="A71" s="7"/>
      <c r="B71" s="7"/>
      <c r="C71" s="7"/>
      <c r="Q71" s="5"/>
    </row>
    <row r="72" spans="1:17" x14ac:dyDescent="0.25">
      <c r="A72" s="7"/>
      <c r="B72" s="7"/>
      <c r="C72" s="7"/>
      <c r="Q72" s="5"/>
    </row>
    <row r="73" spans="1:17" x14ac:dyDescent="0.25">
      <c r="A73" s="7"/>
      <c r="B73" s="7"/>
      <c r="C73" s="7"/>
      <c r="Q73" s="5"/>
    </row>
    <row r="74" spans="1:17" x14ac:dyDescent="0.25">
      <c r="A74" s="7"/>
      <c r="B74" s="7"/>
      <c r="C74" s="7"/>
      <c r="Q74" s="5"/>
    </row>
    <row r="75" spans="1:17" x14ac:dyDescent="0.25">
      <c r="A75" s="7"/>
      <c r="B75" s="7"/>
      <c r="C75" s="7"/>
      <c r="Q75" s="5"/>
    </row>
    <row r="76" spans="1:17" x14ac:dyDescent="0.25">
      <c r="A76" s="7"/>
      <c r="B76" s="7"/>
      <c r="C76" s="7"/>
      <c r="Q76" s="5"/>
    </row>
    <row r="77" spans="1:17" x14ac:dyDescent="0.25">
      <c r="A77" s="7"/>
      <c r="B77" s="7"/>
      <c r="C77" s="7"/>
      <c r="Q77" s="5"/>
    </row>
    <row r="78" spans="1:17" x14ac:dyDescent="0.25">
      <c r="A78" s="7"/>
      <c r="B78" s="7"/>
      <c r="C78" s="7"/>
      <c r="Q78" s="5"/>
    </row>
    <row r="79" spans="1:17" x14ac:dyDescent="0.25">
      <c r="A79" s="7"/>
      <c r="B79" s="7"/>
      <c r="C79" s="7"/>
      <c r="Q79" s="5"/>
    </row>
    <row r="80" spans="1:17" x14ac:dyDescent="0.25">
      <c r="A80" s="7"/>
      <c r="B80" s="7"/>
      <c r="C80" s="7"/>
      <c r="Q80" s="5"/>
    </row>
    <row r="81" spans="1:17" x14ac:dyDescent="0.25">
      <c r="A81" s="7"/>
      <c r="B81" s="7"/>
      <c r="C81" s="7"/>
      <c r="Q81" s="5"/>
    </row>
    <row r="82" spans="1:17" x14ac:dyDescent="0.25">
      <c r="A82" s="7"/>
      <c r="B82" s="7"/>
      <c r="C82" s="7"/>
      <c r="Q82" s="5"/>
    </row>
    <row r="83" spans="1:17" x14ac:dyDescent="0.25">
      <c r="A83" s="7"/>
      <c r="B83" s="7"/>
      <c r="C83" s="7"/>
      <c r="Q83" s="5"/>
    </row>
    <row r="84" spans="1:17" x14ac:dyDescent="0.25">
      <c r="A84" s="7"/>
      <c r="B84" s="7"/>
      <c r="C84" s="7"/>
      <c r="Q84" s="5"/>
    </row>
    <row r="85" spans="1:17" x14ac:dyDescent="0.25">
      <c r="A85" s="7"/>
      <c r="B85" s="7"/>
      <c r="C85" s="7"/>
      <c r="Q85" s="5"/>
    </row>
    <row r="86" spans="1:17" x14ac:dyDescent="0.25">
      <c r="A86" s="7"/>
      <c r="B86" s="7"/>
      <c r="C86" s="7"/>
      <c r="Q86" s="5"/>
    </row>
    <row r="87" spans="1:17" x14ac:dyDescent="0.25">
      <c r="A87" s="7"/>
      <c r="B87" s="7"/>
      <c r="C87" s="7"/>
      <c r="Q87" s="5"/>
    </row>
    <row r="88" spans="1:17" x14ac:dyDescent="0.25">
      <c r="A88" s="7"/>
      <c r="B88" s="7"/>
      <c r="C88" s="7"/>
      <c r="Q88" s="6"/>
    </row>
    <row r="89" spans="1:17" x14ac:dyDescent="0.25">
      <c r="A89" s="7"/>
      <c r="B89" s="7"/>
      <c r="C89" s="7"/>
      <c r="Q89" s="5"/>
    </row>
    <row r="90" spans="1:17" x14ac:dyDescent="0.25">
      <c r="A90" s="7"/>
      <c r="B90" s="7"/>
      <c r="C90" s="7"/>
      <c r="Q90" s="5"/>
    </row>
    <row r="91" spans="1:17" x14ac:dyDescent="0.25">
      <c r="A91" s="7"/>
      <c r="B91" s="7"/>
      <c r="C91" s="7"/>
      <c r="Q91" s="5"/>
    </row>
    <row r="92" spans="1:17" x14ac:dyDescent="0.25">
      <c r="A92" s="7"/>
      <c r="B92" s="7"/>
      <c r="C92" s="7"/>
      <c r="Q92" s="5"/>
    </row>
    <row r="93" spans="1:17" x14ac:dyDescent="0.25">
      <c r="A93" s="7"/>
      <c r="B93" s="7"/>
      <c r="C93" s="7"/>
      <c r="Q93" s="5"/>
    </row>
    <row r="94" spans="1:17" x14ac:dyDescent="0.25">
      <c r="A94" s="7"/>
      <c r="B94" s="7"/>
      <c r="C94" s="7"/>
      <c r="Q94" s="5"/>
    </row>
    <row r="95" spans="1:17" x14ac:dyDescent="0.25">
      <c r="A95" s="7"/>
      <c r="B95" s="7"/>
      <c r="C95" s="7"/>
      <c r="Q95" s="5"/>
    </row>
    <row r="96" spans="1:17" x14ac:dyDescent="0.25">
      <c r="A96" s="7"/>
      <c r="B96" s="7"/>
      <c r="C96" s="7"/>
      <c r="Q96" s="5"/>
    </row>
    <row r="97" spans="1:17" x14ac:dyDescent="0.25">
      <c r="A97" s="7"/>
      <c r="B97" s="7"/>
      <c r="C97" s="7"/>
      <c r="Q97" s="5"/>
    </row>
    <row r="98" spans="1:17" x14ac:dyDescent="0.25">
      <c r="A98" s="7"/>
      <c r="B98" s="7"/>
      <c r="C98" s="7"/>
      <c r="Q98" s="5"/>
    </row>
    <row r="99" spans="1:17" x14ac:dyDescent="0.25">
      <c r="A99" s="7"/>
      <c r="B99" s="7"/>
      <c r="C99" s="7"/>
      <c r="Q99" s="5"/>
    </row>
    <row r="100" spans="1:17" x14ac:dyDescent="0.25">
      <c r="A100" s="7"/>
      <c r="B100" s="7"/>
      <c r="C100" s="7"/>
      <c r="Q100" s="5"/>
    </row>
    <row r="101" spans="1:17" x14ac:dyDescent="0.25">
      <c r="A101" s="7"/>
      <c r="B101" s="7"/>
      <c r="C101" s="7"/>
      <c r="Q101" s="5"/>
    </row>
    <row r="102" spans="1:17" x14ac:dyDescent="0.25">
      <c r="A102" s="7"/>
      <c r="B102" s="7"/>
      <c r="C102" s="7"/>
      <c r="Q102" s="6"/>
    </row>
    <row r="103" spans="1:17" x14ac:dyDescent="0.25">
      <c r="A103" s="7"/>
      <c r="B103" s="7"/>
      <c r="C103" s="7"/>
      <c r="Q103" s="5"/>
    </row>
    <row r="104" spans="1:17" x14ac:dyDescent="0.25">
      <c r="A104" s="7"/>
      <c r="B104" s="7"/>
      <c r="C104" s="7"/>
      <c r="Q104" s="5"/>
    </row>
    <row r="105" spans="1:17" x14ac:dyDescent="0.25">
      <c r="A105" s="7"/>
      <c r="B105" s="7"/>
      <c r="C105" s="7"/>
      <c r="Q105" s="5"/>
    </row>
    <row r="106" spans="1:17" x14ac:dyDescent="0.25">
      <c r="A106" s="7"/>
      <c r="B106" s="7"/>
      <c r="C106" s="7"/>
      <c r="Q106" s="5"/>
    </row>
    <row r="107" spans="1:17" x14ac:dyDescent="0.25">
      <c r="A107" s="7"/>
      <c r="B107" s="7"/>
      <c r="C107" s="7"/>
      <c r="Q107" s="5"/>
    </row>
    <row r="108" spans="1:17" x14ac:dyDescent="0.25">
      <c r="A108" s="7"/>
      <c r="B108" s="7"/>
      <c r="C108" s="7"/>
      <c r="Q108" s="5"/>
    </row>
    <row r="109" spans="1:17" x14ac:dyDescent="0.25">
      <c r="A109" s="7"/>
      <c r="B109" s="7"/>
      <c r="C109" s="7"/>
      <c r="Q109" s="5"/>
    </row>
    <row r="110" spans="1:17" x14ac:dyDescent="0.25">
      <c r="A110" s="7"/>
      <c r="B110" s="7"/>
      <c r="C110" s="7"/>
      <c r="Q110" s="5"/>
    </row>
    <row r="111" spans="1:17" x14ac:dyDescent="0.25">
      <c r="A111" s="7"/>
      <c r="B111" s="7"/>
      <c r="C111" s="7"/>
      <c r="Q111" s="5"/>
    </row>
    <row r="112" spans="1:17" x14ac:dyDescent="0.25">
      <c r="A112" s="7"/>
      <c r="B112" s="7"/>
      <c r="C112" s="7"/>
      <c r="Q112" s="5"/>
    </row>
    <row r="113" spans="1:17" x14ac:dyDescent="0.25">
      <c r="A113" s="7"/>
      <c r="B113" s="7"/>
      <c r="C113" s="7"/>
      <c r="Q113" s="5"/>
    </row>
    <row r="114" spans="1:17" x14ac:dyDescent="0.25">
      <c r="A114" s="7"/>
      <c r="B114" s="7"/>
      <c r="C114" s="7"/>
      <c r="Q114" s="5"/>
    </row>
    <row r="115" spans="1:17" x14ac:dyDescent="0.25">
      <c r="A115" s="7"/>
      <c r="B115" s="7"/>
      <c r="C115" s="7"/>
      <c r="Q115" s="5"/>
    </row>
    <row r="116" spans="1:17" x14ac:dyDescent="0.25">
      <c r="A116" s="7"/>
      <c r="B116" s="7"/>
      <c r="C116" s="7"/>
      <c r="Q116" s="5"/>
    </row>
    <row r="117" spans="1:17" x14ac:dyDescent="0.25">
      <c r="A117" s="7"/>
      <c r="B117" s="7"/>
      <c r="C117" s="7"/>
      <c r="Q117" s="5"/>
    </row>
    <row r="118" spans="1:17" x14ac:dyDescent="0.25">
      <c r="A118" s="7"/>
      <c r="B118" s="7"/>
      <c r="C118" s="7"/>
      <c r="Q118" s="5"/>
    </row>
    <row r="119" spans="1:17" x14ac:dyDescent="0.25">
      <c r="A119" s="7"/>
      <c r="B119" s="7"/>
      <c r="C119" s="7"/>
      <c r="Q119" s="5"/>
    </row>
    <row r="120" spans="1:17" x14ac:dyDescent="0.25">
      <c r="A120" s="7"/>
      <c r="B120" s="7"/>
      <c r="C120" s="7"/>
      <c r="Q120" s="6"/>
    </row>
    <row r="121" spans="1:17" x14ac:dyDescent="0.25">
      <c r="A121" s="7"/>
      <c r="B121" s="7"/>
      <c r="C121" s="7"/>
      <c r="Q121" s="5"/>
    </row>
    <row r="122" spans="1:17" x14ac:dyDescent="0.25">
      <c r="A122" s="7"/>
      <c r="B122" s="7"/>
      <c r="C122" s="7"/>
      <c r="Q122" s="5"/>
    </row>
    <row r="123" spans="1:17" x14ac:dyDescent="0.25">
      <c r="A123" s="7"/>
      <c r="B123" s="7"/>
      <c r="C123" s="7"/>
      <c r="Q123" s="5"/>
    </row>
    <row r="124" spans="1:17" x14ac:dyDescent="0.25">
      <c r="A124" s="7"/>
      <c r="B124" s="7"/>
      <c r="C124" s="7"/>
      <c r="Q124" s="5"/>
    </row>
    <row r="125" spans="1:17" x14ac:dyDescent="0.25">
      <c r="A125" s="7"/>
      <c r="B125" s="7"/>
      <c r="C125" s="7"/>
      <c r="Q125" s="5"/>
    </row>
    <row r="126" spans="1:17" x14ac:dyDescent="0.25">
      <c r="A126" s="7"/>
      <c r="B126" s="7"/>
      <c r="C126" s="7"/>
      <c r="Q126" s="5"/>
    </row>
    <row r="127" spans="1:17" x14ac:dyDescent="0.25">
      <c r="A127" s="7"/>
      <c r="B127" s="7"/>
      <c r="C127" s="7"/>
      <c r="Q127" s="5"/>
    </row>
    <row r="128" spans="1:17" x14ac:dyDescent="0.25">
      <c r="A128" s="7"/>
      <c r="B128" s="7"/>
      <c r="C128" s="7"/>
      <c r="Q128" s="5"/>
    </row>
    <row r="129" spans="1:17" x14ac:dyDescent="0.25">
      <c r="A129" s="7"/>
      <c r="B129" s="7"/>
      <c r="C129" s="7"/>
      <c r="Q129" s="5"/>
    </row>
    <row r="130" spans="1:17" x14ac:dyDescent="0.25">
      <c r="A130" s="7"/>
      <c r="B130" s="7"/>
      <c r="C130" s="7"/>
      <c r="Q130" s="5"/>
    </row>
    <row r="131" spans="1:17" x14ac:dyDescent="0.25">
      <c r="A131" s="7"/>
      <c r="B131" s="7"/>
      <c r="C131" s="7"/>
      <c r="Q131" s="5"/>
    </row>
    <row r="132" spans="1:17" x14ac:dyDescent="0.25">
      <c r="A132" s="7"/>
      <c r="B132" s="7"/>
      <c r="C132" s="7"/>
      <c r="Q132" s="5"/>
    </row>
    <row r="133" spans="1:17" x14ac:dyDescent="0.25">
      <c r="A133" s="7"/>
      <c r="B133" s="7"/>
      <c r="C133" s="7"/>
      <c r="Q133" s="5"/>
    </row>
    <row r="134" spans="1:17" x14ac:dyDescent="0.25">
      <c r="A134" s="7"/>
      <c r="B134" s="7"/>
      <c r="C134" s="7"/>
      <c r="Q134" s="5"/>
    </row>
    <row r="135" spans="1:17" x14ac:dyDescent="0.25">
      <c r="A135" s="7"/>
      <c r="B135" s="7"/>
      <c r="C135" s="7"/>
      <c r="Q135" s="5"/>
    </row>
    <row r="136" spans="1:17" x14ac:dyDescent="0.25">
      <c r="A136" s="7"/>
      <c r="B136" s="7"/>
      <c r="C136" s="7"/>
      <c r="Q136" s="5"/>
    </row>
    <row r="137" spans="1:17" x14ac:dyDescent="0.25">
      <c r="A137" s="7"/>
      <c r="B137" s="7"/>
      <c r="C137" s="7"/>
      <c r="Q137" s="5"/>
    </row>
    <row r="138" spans="1:17" x14ac:dyDescent="0.25">
      <c r="A138" s="7"/>
      <c r="B138" s="7"/>
      <c r="C138" s="7"/>
      <c r="Q138" s="5"/>
    </row>
    <row r="139" spans="1:17" x14ac:dyDescent="0.25">
      <c r="A139" s="7"/>
      <c r="B139" s="7"/>
      <c r="C139" s="7"/>
      <c r="Q139" s="5"/>
    </row>
    <row r="140" spans="1:17" x14ac:dyDescent="0.25">
      <c r="A140" s="7"/>
      <c r="B140" s="7"/>
      <c r="C140" s="7"/>
      <c r="Q140" s="5"/>
    </row>
    <row r="141" spans="1:17" x14ac:dyDescent="0.25">
      <c r="A141" s="7"/>
      <c r="B141" s="7"/>
      <c r="C141" s="7"/>
      <c r="Q141" s="5"/>
    </row>
    <row r="142" spans="1:17" x14ac:dyDescent="0.25">
      <c r="A142" s="7"/>
      <c r="B142" s="7"/>
      <c r="C142" s="7"/>
      <c r="Q142" s="5"/>
    </row>
    <row r="143" spans="1:17" x14ac:dyDescent="0.25">
      <c r="A143" s="7"/>
      <c r="B143" s="7"/>
      <c r="C143" s="7"/>
      <c r="Q143" s="5"/>
    </row>
    <row r="144" spans="1:17" x14ac:dyDescent="0.25">
      <c r="A144" s="7"/>
      <c r="B144" s="7"/>
      <c r="C144" s="7"/>
      <c r="Q144" s="5"/>
    </row>
    <row r="145" spans="1:17" x14ac:dyDescent="0.25">
      <c r="A145" s="7"/>
      <c r="B145" s="7"/>
      <c r="C145" s="7"/>
      <c r="Q145" s="5"/>
    </row>
    <row r="146" spans="1:17" x14ac:dyDescent="0.25">
      <c r="A146" s="7"/>
      <c r="B146" s="7"/>
      <c r="C146" s="7"/>
      <c r="Q146" s="5"/>
    </row>
    <row r="147" spans="1:17" x14ac:dyDescent="0.25">
      <c r="A147" s="7"/>
      <c r="B147" s="7"/>
      <c r="C147" s="7"/>
      <c r="Q147" s="5"/>
    </row>
    <row r="148" spans="1:17" x14ac:dyDescent="0.25">
      <c r="A148" s="7"/>
      <c r="B148" s="7"/>
      <c r="C148" s="7"/>
      <c r="Q148" s="5"/>
    </row>
    <row r="149" spans="1:17" x14ac:dyDescent="0.25">
      <c r="A149" s="7"/>
      <c r="B149" s="7"/>
      <c r="C149" s="7"/>
      <c r="Q149" s="5"/>
    </row>
    <row r="150" spans="1:17" x14ac:dyDescent="0.25">
      <c r="A150" s="7"/>
      <c r="B150" s="7"/>
      <c r="C150" s="7"/>
      <c r="Q150" s="5"/>
    </row>
    <row r="151" spans="1:17" x14ac:dyDescent="0.25">
      <c r="A151" s="7"/>
      <c r="B151" s="7"/>
      <c r="C151" s="7"/>
      <c r="Q151" s="5"/>
    </row>
    <row r="152" spans="1:17" x14ac:dyDescent="0.25">
      <c r="A152" s="7"/>
      <c r="B152" s="7"/>
      <c r="C152" s="7"/>
      <c r="Q152" s="5"/>
    </row>
    <row r="153" spans="1:17" x14ac:dyDescent="0.25">
      <c r="A153" s="7"/>
      <c r="B153" s="7"/>
      <c r="C153" s="7"/>
    </row>
    <row r="154" spans="1:17" x14ac:dyDescent="0.25">
      <c r="A154" s="7"/>
      <c r="B154" s="7"/>
      <c r="C154" s="7"/>
      <c r="Q154" s="5"/>
    </row>
    <row r="155" spans="1:17" x14ac:dyDescent="0.25">
      <c r="A155" s="7"/>
      <c r="B155" s="7"/>
      <c r="C155" s="7"/>
      <c r="Q155" s="5"/>
    </row>
    <row r="156" spans="1:17" x14ac:dyDescent="0.25">
      <c r="A156" s="7"/>
      <c r="B156" s="7"/>
      <c r="C156" s="7"/>
      <c r="Q156" s="5"/>
    </row>
    <row r="157" spans="1:17" x14ac:dyDescent="0.25">
      <c r="A157" s="7"/>
      <c r="B157" s="7"/>
      <c r="C157" s="7"/>
      <c r="Q157" s="5"/>
    </row>
    <row r="158" spans="1:17" x14ac:dyDescent="0.25">
      <c r="A158" s="7"/>
      <c r="B158" s="7"/>
      <c r="C158" s="7"/>
      <c r="Q158" s="5"/>
    </row>
    <row r="159" spans="1:17" x14ac:dyDescent="0.25">
      <c r="A159" s="7"/>
      <c r="B159" s="7"/>
      <c r="C159" s="7"/>
      <c r="Q159" s="5"/>
    </row>
    <row r="160" spans="1:17" x14ac:dyDescent="0.25">
      <c r="A160" s="7"/>
      <c r="B160" s="7"/>
      <c r="C160" s="7"/>
      <c r="Q160" s="5"/>
    </row>
    <row r="161" spans="1:17" x14ac:dyDescent="0.25">
      <c r="A161" s="7"/>
      <c r="B161" s="7"/>
      <c r="C161" s="7"/>
      <c r="Q161" s="5"/>
    </row>
    <row r="162" spans="1:17" x14ac:dyDescent="0.25">
      <c r="A162" s="7"/>
      <c r="B162" s="7"/>
      <c r="C162" s="7"/>
      <c r="Q162" s="6"/>
    </row>
    <row r="163" spans="1:17" x14ac:dyDescent="0.25">
      <c r="A163" s="7"/>
      <c r="B163" s="7"/>
      <c r="C163" s="7"/>
      <c r="Q163" s="5"/>
    </row>
    <row r="164" spans="1:17" x14ac:dyDescent="0.25">
      <c r="A164" s="7"/>
      <c r="B164" s="7"/>
      <c r="C164" s="7"/>
      <c r="Q164" s="5"/>
    </row>
    <row r="165" spans="1:17" x14ac:dyDescent="0.25">
      <c r="A165" s="7"/>
      <c r="B165" s="7"/>
      <c r="C165" s="7"/>
      <c r="Q165" s="5"/>
    </row>
    <row r="166" spans="1:17" x14ac:dyDescent="0.25">
      <c r="A166" s="7"/>
      <c r="B166" s="7"/>
      <c r="C166" s="7"/>
      <c r="Q166" s="5"/>
    </row>
    <row r="167" spans="1:17" x14ac:dyDescent="0.25">
      <c r="A167" s="7"/>
      <c r="B167" s="7"/>
      <c r="C167" s="7"/>
      <c r="Q167" s="5"/>
    </row>
    <row r="168" spans="1:17" x14ac:dyDescent="0.25">
      <c r="A168" s="7"/>
      <c r="B168" s="7"/>
      <c r="C168" s="7"/>
      <c r="Q168" s="5"/>
    </row>
    <row r="169" spans="1:17" x14ac:dyDescent="0.25">
      <c r="A169" s="7"/>
      <c r="B169" s="7"/>
      <c r="C169" s="7"/>
      <c r="Q169" s="5"/>
    </row>
    <row r="170" spans="1:17" x14ac:dyDescent="0.25">
      <c r="A170" s="7"/>
      <c r="B170" s="7"/>
      <c r="C170" s="7"/>
      <c r="Q170" s="5"/>
    </row>
    <row r="171" spans="1:17" x14ac:dyDescent="0.25">
      <c r="A171" s="7"/>
      <c r="B171" s="7"/>
      <c r="C171" s="7"/>
      <c r="Q171" s="5"/>
    </row>
    <row r="172" spans="1:17" x14ac:dyDescent="0.25">
      <c r="A172" s="7"/>
      <c r="B172" s="7"/>
      <c r="C172" s="7"/>
      <c r="Q172" s="5"/>
    </row>
    <row r="173" spans="1:17" x14ac:dyDescent="0.25">
      <c r="A173" s="7"/>
      <c r="B173" s="7"/>
      <c r="C173" s="7"/>
      <c r="Q173" s="5"/>
    </row>
    <row r="174" spans="1:17" x14ac:dyDescent="0.25">
      <c r="A174" s="7"/>
      <c r="B174" s="7"/>
      <c r="C174" s="7"/>
      <c r="Q174" s="5"/>
    </row>
    <row r="175" spans="1:17" x14ac:dyDescent="0.25">
      <c r="A175" s="7"/>
      <c r="B175" s="7"/>
      <c r="C175" s="7"/>
      <c r="Q175" s="5"/>
    </row>
    <row r="176" spans="1:17" x14ac:dyDescent="0.25">
      <c r="A176" s="7"/>
      <c r="B176" s="7"/>
      <c r="C176" s="7"/>
      <c r="Q176" s="5"/>
    </row>
    <row r="177" spans="1:17" x14ac:dyDescent="0.25">
      <c r="A177" s="7"/>
      <c r="B177" s="7"/>
      <c r="C177" s="7"/>
      <c r="Q177" s="5"/>
    </row>
    <row r="178" spans="1:17" x14ac:dyDescent="0.25">
      <c r="A178" s="7"/>
      <c r="B178" s="7"/>
      <c r="C178" s="7"/>
      <c r="Q178" s="5"/>
    </row>
    <row r="179" spans="1:17" x14ac:dyDescent="0.25">
      <c r="A179" s="7"/>
      <c r="B179" s="7"/>
      <c r="C179" s="7"/>
      <c r="Q179" s="5"/>
    </row>
    <row r="180" spans="1:17" x14ac:dyDescent="0.25">
      <c r="A180" s="7"/>
      <c r="B180" s="7"/>
      <c r="C180" s="7"/>
      <c r="Q180" s="5"/>
    </row>
    <row r="181" spans="1:17" x14ac:dyDescent="0.25">
      <c r="A181" s="7"/>
      <c r="B181" s="7"/>
      <c r="C181" s="7"/>
      <c r="Q181" s="5"/>
    </row>
    <row r="182" spans="1:17" x14ac:dyDescent="0.25">
      <c r="A182" s="7"/>
      <c r="B182" s="7"/>
      <c r="C182" s="7"/>
      <c r="Q182" s="5"/>
    </row>
    <row r="183" spans="1:17" x14ac:dyDescent="0.25">
      <c r="A183" s="7"/>
      <c r="B183" s="7"/>
      <c r="C183" s="7"/>
      <c r="Q183" s="5"/>
    </row>
    <row r="184" spans="1:17" x14ac:dyDescent="0.25">
      <c r="A184" s="7"/>
      <c r="B184" s="7"/>
      <c r="C184" s="7"/>
      <c r="Q184" s="5"/>
    </row>
    <row r="185" spans="1:17" x14ac:dyDescent="0.25">
      <c r="A185" s="7"/>
      <c r="B185" s="7"/>
      <c r="C185" s="7"/>
      <c r="Q185" s="5"/>
    </row>
    <row r="186" spans="1:17" x14ac:dyDescent="0.25">
      <c r="A186" s="7"/>
      <c r="B186" s="7"/>
      <c r="C186" s="7"/>
      <c r="Q186" s="5"/>
    </row>
    <row r="187" spans="1:17" x14ac:dyDescent="0.25">
      <c r="A187" s="7"/>
      <c r="B187" s="7"/>
      <c r="C187" s="7"/>
      <c r="Q187" s="5"/>
    </row>
    <row r="188" spans="1:17" x14ac:dyDescent="0.25">
      <c r="A188" s="7"/>
      <c r="B188" s="7"/>
      <c r="C188" s="7"/>
      <c r="Q188" s="5"/>
    </row>
    <row r="189" spans="1:17" x14ac:dyDescent="0.25">
      <c r="A189" s="7"/>
      <c r="B189" s="7"/>
      <c r="C189" s="7"/>
      <c r="Q189" s="5"/>
    </row>
    <row r="190" spans="1:17" x14ac:dyDescent="0.25">
      <c r="A190" s="7"/>
      <c r="B190" s="7"/>
      <c r="C190" s="7"/>
      <c r="Q190" s="5"/>
    </row>
    <row r="191" spans="1:17" x14ac:dyDescent="0.25">
      <c r="A191" s="7"/>
      <c r="B191" s="7"/>
      <c r="C191" s="7"/>
      <c r="Q191" s="5"/>
    </row>
    <row r="192" spans="1:17" x14ac:dyDescent="0.25">
      <c r="A192" s="7"/>
      <c r="B192" s="7"/>
      <c r="C192" s="7"/>
      <c r="Q192" s="5"/>
    </row>
    <row r="193" spans="1:17" x14ac:dyDescent="0.25">
      <c r="A193" s="7"/>
      <c r="B193" s="7"/>
      <c r="C193" s="7"/>
      <c r="Q193" s="5"/>
    </row>
    <row r="194" spans="1:17" x14ac:dyDescent="0.25">
      <c r="A194" s="7"/>
      <c r="B194" s="7"/>
      <c r="C194" s="7"/>
      <c r="Q194" s="5"/>
    </row>
    <row r="195" spans="1:17" x14ac:dyDescent="0.25">
      <c r="A195" s="7"/>
      <c r="B195" s="7"/>
      <c r="C195" s="7"/>
      <c r="Q195" s="5"/>
    </row>
    <row r="196" spans="1:17" x14ac:dyDescent="0.25">
      <c r="A196" s="7"/>
      <c r="B196" s="7"/>
      <c r="C196" s="7"/>
      <c r="Q196" s="5"/>
    </row>
    <row r="197" spans="1:17" x14ac:dyDescent="0.25">
      <c r="A197" s="7"/>
      <c r="B197" s="7"/>
      <c r="C197" s="7"/>
      <c r="Q197" s="5"/>
    </row>
    <row r="198" spans="1:17" x14ac:dyDescent="0.25">
      <c r="A198" s="7"/>
      <c r="B198" s="7"/>
      <c r="C198" s="7"/>
      <c r="Q198" s="5"/>
    </row>
    <row r="199" spans="1:17" x14ac:dyDescent="0.25">
      <c r="A199" s="7"/>
      <c r="B199" s="7"/>
      <c r="C199" s="7"/>
      <c r="Q199" s="5"/>
    </row>
    <row r="200" spans="1:17" x14ac:dyDescent="0.25">
      <c r="A200" s="7"/>
      <c r="B200" s="7"/>
      <c r="C200" s="7"/>
      <c r="Q200" s="5"/>
    </row>
    <row r="201" spans="1:17" x14ac:dyDescent="0.25">
      <c r="A201" s="7"/>
      <c r="B201" s="7"/>
      <c r="C201" s="7"/>
      <c r="Q201" s="5"/>
    </row>
    <row r="202" spans="1:17" x14ac:dyDescent="0.25">
      <c r="A202" s="7"/>
      <c r="B202" s="7"/>
      <c r="C202" s="7"/>
      <c r="Q202" s="5"/>
    </row>
    <row r="203" spans="1:17" x14ac:dyDescent="0.25">
      <c r="A203" s="7"/>
      <c r="B203" s="7"/>
      <c r="C203" s="7"/>
      <c r="Q203" s="5"/>
    </row>
    <row r="204" spans="1:17" x14ac:dyDescent="0.25">
      <c r="A204" s="7"/>
      <c r="B204" s="7"/>
      <c r="C204" s="7"/>
      <c r="Q204" s="5"/>
    </row>
    <row r="205" spans="1:17" x14ac:dyDescent="0.25">
      <c r="A205" s="7"/>
      <c r="B205" s="7"/>
      <c r="C205" s="7"/>
      <c r="Q205" s="5"/>
    </row>
    <row r="206" spans="1:17" x14ac:dyDescent="0.25">
      <c r="A206" s="7"/>
      <c r="B206" s="7"/>
      <c r="C206" s="7"/>
      <c r="Q206" s="5"/>
    </row>
    <row r="207" spans="1:17" x14ac:dyDescent="0.25">
      <c r="A207" s="7"/>
      <c r="B207" s="7"/>
      <c r="C207" s="7"/>
      <c r="Q207" s="5"/>
    </row>
    <row r="208" spans="1:17" x14ac:dyDescent="0.25">
      <c r="A208" s="7"/>
      <c r="B208" s="7"/>
      <c r="C208" s="7"/>
      <c r="Q208" s="5"/>
    </row>
    <row r="209" spans="1:17" x14ac:dyDescent="0.25">
      <c r="A209" s="7"/>
      <c r="B209" s="7"/>
      <c r="C209" s="7"/>
      <c r="Q209" s="5"/>
    </row>
    <row r="210" spans="1:17" x14ac:dyDescent="0.25">
      <c r="A210" s="7"/>
      <c r="B210" s="7"/>
      <c r="C210" s="7"/>
      <c r="Q210" s="5"/>
    </row>
    <row r="211" spans="1:17" x14ac:dyDescent="0.25">
      <c r="A211" s="7"/>
      <c r="B211" s="7"/>
      <c r="C211" s="7"/>
      <c r="Q211" s="5"/>
    </row>
    <row r="212" spans="1:17" x14ac:dyDescent="0.25">
      <c r="A212" s="7"/>
      <c r="B212" s="7"/>
      <c r="C212" s="7"/>
      <c r="Q212" s="5"/>
    </row>
    <row r="213" spans="1:17" x14ac:dyDescent="0.25">
      <c r="A213" s="7"/>
      <c r="B213" s="7"/>
      <c r="C213" s="7"/>
      <c r="Q213" s="5"/>
    </row>
    <row r="214" spans="1:17" x14ac:dyDescent="0.25">
      <c r="A214" s="7"/>
      <c r="B214" s="7"/>
      <c r="C214" s="7"/>
      <c r="Q214" s="5"/>
    </row>
    <row r="215" spans="1:17" x14ac:dyDescent="0.25">
      <c r="A215" s="7"/>
      <c r="B215" s="7"/>
      <c r="C215" s="7"/>
      <c r="Q215" s="5"/>
    </row>
    <row r="216" spans="1:17" x14ac:dyDescent="0.25">
      <c r="A216" s="7"/>
      <c r="B216" s="7"/>
      <c r="C216" s="7"/>
      <c r="Q216" s="5"/>
    </row>
    <row r="217" spans="1:17" x14ac:dyDescent="0.25">
      <c r="A217" s="7"/>
      <c r="B217" s="7"/>
      <c r="C217" s="7"/>
      <c r="Q217" s="5"/>
    </row>
    <row r="218" spans="1:17" x14ac:dyDescent="0.25">
      <c r="A218" s="7"/>
      <c r="B218" s="7"/>
      <c r="C218" s="7"/>
      <c r="Q218" s="5"/>
    </row>
    <row r="219" spans="1:17" x14ac:dyDescent="0.25">
      <c r="A219" s="7"/>
      <c r="B219" s="7"/>
      <c r="C219" s="7"/>
      <c r="Q219" s="5"/>
    </row>
    <row r="220" spans="1:17" x14ac:dyDescent="0.25">
      <c r="A220" s="7"/>
      <c r="B220" s="7"/>
      <c r="C220" s="7"/>
      <c r="Q220" s="5"/>
    </row>
    <row r="221" spans="1:17" x14ac:dyDescent="0.25">
      <c r="A221" s="8"/>
      <c r="B221" s="8"/>
      <c r="C221" s="8"/>
      <c r="Q221" s="5"/>
    </row>
    <row r="222" spans="1:17" x14ac:dyDescent="0.25">
      <c r="A222" s="8"/>
      <c r="B222" s="8"/>
      <c r="C222" s="8"/>
      <c r="Q222" s="5"/>
    </row>
    <row r="223" spans="1:17" x14ac:dyDescent="0.25">
      <c r="A223" s="8"/>
      <c r="B223" s="8"/>
      <c r="C223" s="8"/>
      <c r="Q223" s="5"/>
    </row>
    <row r="224" spans="1:17" x14ac:dyDescent="0.25">
      <c r="A224" s="8"/>
      <c r="B224" s="8"/>
      <c r="C224" s="8"/>
      <c r="Q224" s="5"/>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通信服务&quot;,&quot;&quot;'" altText="更新基本面按钮_x000a_">
                <anchor moveWithCells="1" sizeWithCells="1">
                  <from>
                    <xdr:col>147</xdr:col>
                    <xdr:colOff>285750</xdr:colOff>
                    <xdr:row>0</xdr:row>
                    <xdr:rowOff>165100</xdr:rowOff>
                  </from>
                  <to>
                    <xdr:col>147</xdr:col>
                    <xdr:colOff>1727200</xdr:colOff>
                    <xdr:row>0</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通信服务</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2024-07-10T23:02:11Z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