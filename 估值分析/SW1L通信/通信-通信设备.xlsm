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通信\"/>
    </mc:Choice>
  </mc:AlternateContent>
  <bookViews>
    <workbookView xWindow="-110" yWindow="-110" windowWidth="23260" windowHeight="12460"/>
  </bookViews>
  <sheets>
    <sheet name="通信设备" sheetId="18" r:id="rId1"/>
    <sheet name="估值-增速与年化收益" sheetId="14" r:id="rId2"/>
  </sheets>
  <functionGroups builtInGroupCount="18"/>
  <definedNames>
    <definedName name="_xlnm._FilterDatabase" localSheetId="0" hidden="1">通信设备!$BU$1:$BU$224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14" l="1"/>
  <c r="A7" i="14"/>
  <c r="B5" i="14"/>
  <c r="C5" i="14" s="1"/>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4" i="18"/>
  <c r="C43" i="18"/>
  <c r="A9" i="14" l="1"/>
  <c r="D5" i="14"/>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7" i="14"/>
  <c r="B9" i="14" s="1"/>
  <c r="C7" i="14"/>
  <c r="C9" i="14" s="1"/>
  <c r="AD7" i="14" l="1"/>
  <c r="AD9" i="14" s="1"/>
  <c r="D7" i="14"/>
  <c r="D9" i="14" s="1"/>
  <c r="Z7" i="14"/>
  <c r="Z9" i="14" s="1"/>
  <c r="M7" i="14"/>
  <c r="M9" i="14" s="1"/>
  <c r="P7" i="14"/>
  <c r="P9" i="14" s="1"/>
  <c r="W7" i="14"/>
  <c r="W9" i="14" s="1"/>
  <c r="G7" i="14"/>
  <c r="G9" i="14" s="1"/>
  <c r="V7" i="14"/>
  <c r="V9" i="14" s="1"/>
  <c r="F7" i="14"/>
  <c r="F9" i="14" s="1"/>
  <c r="Y7" i="14"/>
  <c r="Y9" i="14" s="1"/>
  <c r="I7" i="14"/>
  <c r="I9" i="14" s="1"/>
  <c r="AA7" i="14"/>
  <c r="AA9" i="14" s="1"/>
  <c r="X7" i="14"/>
  <c r="X9" i="14" s="1"/>
  <c r="H7" i="14"/>
  <c r="H9" i="14" s="1"/>
  <c r="O7" i="14"/>
  <c r="O9" i="14" s="1"/>
  <c r="N7" i="14"/>
  <c r="N9" i="14" s="1"/>
  <c r="Q7" i="14"/>
  <c r="Q9" i="14" s="1"/>
  <c r="T7" i="14"/>
  <c r="T9" i="14" s="1"/>
  <c r="K7" i="14"/>
  <c r="K9" i="14" s="1"/>
  <c r="J7" i="14"/>
  <c r="J9" i="14" s="1"/>
  <c r="AC7" i="14"/>
  <c r="AC9" i="14" s="1"/>
  <c r="L7" i="14"/>
  <c r="L9" i="14" s="1"/>
  <c r="S7" i="14"/>
  <c r="S9" i="14" s="1"/>
  <c r="R7" i="14"/>
  <c r="R9" i="14" s="1"/>
  <c r="U7" i="14"/>
  <c r="U9" i="14" s="1"/>
  <c r="E7" i="14"/>
  <c r="E9" i="14" s="1"/>
  <c r="AB7" i="14"/>
  <c r="AB9" i="14" s="1"/>
  <c r="C87" i="18"/>
  <c r="C83" i="18"/>
  <c r="C79" i="18"/>
  <c r="C75" i="18"/>
  <c r="C71" i="18"/>
  <c r="C67" i="18"/>
  <c r="C63" i="18"/>
  <c r="C59" i="18"/>
  <c r="C55" i="18"/>
  <c r="C51" i="18"/>
  <c r="C47" i="18"/>
  <c r="C41" i="18"/>
  <c r="C37" i="18"/>
  <c r="C33" i="18"/>
  <c r="C29" i="18"/>
  <c r="C25" i="18"/>
  <c r="C20" i="18"/>
  <c r="C36" i="18"/>
  <c r="C28" i="18"/>
  <c r="C81" i="18"/>
  <c r="C73" i="18"/>
  <c r="C61" i="18"/>
  <c r="C53" i="18"/>
  <c r="C39" i="18"/>
  <c r="C31" i="18"/>
  <c r="C86" i="18"/>
  <c r="C82" i="18"/>
  <c r="C78" i="18"/>
  <c r="C74" i="18"/>
  <c r="C70" i="18"/>
  <c r="C66" i="18"/>
  <c r="C62" i="18"/>
  <c r="C58" i="18"/>
  <c r="C54" i="18"/>
  <c r="C50" i="18"/>
  <c r="C46" i="18"/>
  <c r="C40" i="18"/>
  <c r="C32" i="18"/>
  <c r="C19" i="18"/>
  <c r="C85" i="18"/>
  <c r="C69" i="18"/>
  <c r="C49" i="18"/>
  <c r="C35" i="18"/>
  <c r="C88" i="18"/>
  <c r="C84" i="18"/>
  <c r="C80" i="18"/>
  <c r="C76" i="18"/>
  <c r="C72" i="18"/>
  <c r="C68" i="18"/>
  <c r="C64" i="18"/>
  <c r="C60" i="18"/>
  <c r="C56" i="18"/>
  <c r="C52" i="18"/>
  <c r="C48" i="18"/>
  <c r="C42" i="18"/>
  <c r="C38" i="18"/>
  <c r="C34" i="18"/>
  <c r="C30" i="18"/>
  <c r="C26" i="18"/>
  <c r="C21" i="18"/>
  <c r="C24" i="18"/>
  <c r="C77" i="18"/>
  <c r="C65" i="18"/>
  <c r="C57" i="18"/>
  <c r="C45" i="18"/>
  <c r="C27" i="18"/>
  <c r="C22" i="18"/>
  <c r="C17" i="18"/>
  <c r="C16" i="18"/>
  <c r="C15" i="18"/>
  <c r="C13" i="18"/>
  <c r="C12" i="18"/>
  <c r="C11" i="18"/>
  <c r="C10" i="18"/>
  <c r="C9" i="18"/>
  <c r="C8" i="18"/>
  <c r="C7" i="18"/>
  <c r="C6" i="18"/>
  <c r="C5" i="18"/>
  <c r="C4" i="18"/>
  <c r="C3" i="18"/>
  <c r="C2" i="18"/>
</calcChain>
</file>

<file path=xl/sharedStrings.xml><?xml version="1.0" encoding="utf-8"?>
<sst xmlns="http://schemas.openxmlformats.org/spreadsheetml/2006/main" count="4911" uniqueCount="3203">
  <si>
    <t>现价</t>
  </si>
  <si>
    <t>市净率</t>
  </si>
  <si>
    <t>--</t>
  </si>
  <si>
    <t>3.96亿</t>
  </si>
  <si>
    <t>1.92亿</t>
  </si>
  <si>
    <t>总市值</t>
  </si>
  <si>
    <t>TTM市盈率</t>
  </si>
  <si>
    <t>所属行业</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</si>
  <si>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</si>
  <si>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</si>
  <si>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</si>
  <si>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</si>
  <si>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</si>
  <si>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</si>
  <si>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</si>
  <si>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</si>
  <si>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</si>
  <si>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</si>
  <si>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</si>
  <si>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1.08亿</t>
  </si>
  <si>
    <t>0亿</t>
  </si>
  <si>
    <t>1.00亿</t>
  </si>
  <si>
    <t>1.01亿</t>
  </si>
  <si>
    <t>1.22亿</t>
  </si>
  <si>
    <t>1.29亿</t>
  </si>
  <si>
    <t>1.68亿</t>
  </si>
  <si>
    <t>1.66亿</t>
  </si>
  <si>
    <t>1.53亿</t>
  </si>
  <si>
    <t>2.17亿</t>
  </si>
  <si>
    <t>2.76亿</t>
  </si>
  <si>
    <t>1.81亿</t>
  </si>
  <si>
    <t>2.27亿</t>
  </si>
  <si>
    <t>1.62亿</t>
  </si>
  <si>
    <t>1.70亿</t>
  </si>
  <si>
    <t>1.19亿</t>
  </si>
  <si>
    <t>1.27亿</t>
  </si>
  <si>
    <t>1.39亿</t>
  </si>
  <si>
    <t>3.02亿</t>
  </si>
  <si>
    <t>1.07亿</t>
  </si>
  <si>
    <t>1.73亿</t>
  </si>
  <si>
    <t>1.34亿</t>
  </si>
  <si>
    <t>1.55亿</t>
  </si>
  <si>
    <t>1.09亿</t>
  </si>
  <si>
    <t>2.92亿</t>
  </si>
  <si>
    <t>3.45亿</t>
  </si>
  <si>
    <t>1.49亿</t>
  </si>
  <si>
    <t>1.30亿</t>
  </si>
  <si>
    <t>1.42亿</t>
  </si>
  <si>
    <t>2.09亿</t>
  </si>
  <si>
    <t>1.80亿</t>
  </si>
  <si>
    <t>2.42亿</t>
  </si>
  <si>
    <t>1.10亿</t>
  </si>
  <si>
    <t>1.26亿</t>
  </si>
  <si>
    <t>1.48亿</t>
  </si>
  <si>
    <t>6.29亿</t>
  </si>
  <si>
    <t>3.12亿</t>
  </si>
  <si>
    <t>2.64亿</t>
  </si>
  <si>
    <t>1.03亿</t>
  </si>
  <si>
    <t>2.71亿</t>
  </si>
  <si>
    <t>3.55亿</t>
  </si>
  <si>
    <t>1.14亿</t>
  </si>
  <si>
    <t>2.50亿</t>
  </si>
  <si>
    <t>3.03亿</t>
  </si>
  <si>
    <t>2.43亿</t>
  </si>
  <si>
    <t>1.79亿</t>
  </si>
  <si>
    <t>3.98亿</t>
  </si>
  <si>
    <t>1.82亿</t>
  </si>
  <si>
    <t>1.13亿</t>
  </si>
  <si>
    <t>1.17亿</t>
  </si>
  <si>
    <t>3.01亿</t>
  </si>
  <si>
    <t>3.39亿</t>
  </si>
  <si>
    <t>4.77亿</t>
  </si>
  <si>
    <t>1.02亿</t>
  </si>
  <si>
    <t>1.25亿</t>
  </si>
  <si>
    <t>1.37亿</t>
  </si>
  <si>
    <t>2.65亿</t>
  </si>
  <si>
    <t>2.58亿</t>
  </si>
  <si>
    <t>7.94亿</t>
  </si>
  <si>
    <t>3.91亿</t>
  </si>
  <si>
    <t>1.78亿</t>
  </si>
  <si>
    <t>3.87亿</t>
  </si>
  <si>
    <t>1.06亿</t>
  </si>
  <si>
    <t>2.16亿</t>
  </si>
  <si>
    <t>1.96亿</t>
  </si>
  <si>
    <t>3.28亿</t>
  </si>
  <si>
    <t>1.31亿</t>
  </si>
  <si>
    <t>3.70亿</t>
  </si>
  <si>
    <t>2.13亿</t>
  </si>
  <si>
    <t>2.30亿</t>
  </si>
  <si>
    <t>1.18亿</t>
  </si>
  <si>
    <t>2.33亿</t>
  </si>
  <si>
    <t>2.32亿</t>
  </si>
  <si>
    <t>1.47亿</t>
  </si>
  <si>
    <t>1.41亿</t>
  </si>
  <si>
    <t>2.67亿</t>
  </si>
  <si>
    <t>1.05亿</t>
  </si>
  <si>
    <t>1.23亿</t>
  </si>
  <si>
    <t>2.60亿</t>
  </si>
  <si>
    <t>1.20亿</t>
  </si>
  <si>
    <t>1.85亿</t>
  </si>
  <si>
    <t>1.56亿</t>
  </si>
  <si>
    <t>1.57亿</t>
  </si>
  <si>
    <t>1.72亿</t>
  </si>
  <si>
    <t>1.35亿</t>
  </si>
  <si>
    <t>1.04亿</t>
  </si>
  <si>
    <t>1.36亿</t>
  </si>
  <si>
    <t>11.79亿</t>
  </si>
  <si>
    <t>1.87亿</t>
  </si>
  <si>
    <t>1.67亿</t>
  </si>
  <si>
    <t>1.52亿</t>
  </si>
  <si>
    <t>4.50亿</t>
  </si>
  <si>
    <t>2.39亿</t>
  </si>
  <si>
    <t>2.97亿</t>
  </si>
  <si>
    <t>1.24亿</t>
  </si>
  <si>
    <t>2.38亿</t>
  </si>
  <si>
    <t>1.71亿</t>
  </si>
  <si>
    <t>1.11亿</t>
  </si>
  <si>
    <t>1.94亿</t>
  </si>
  <si>
    <t>5.42亿</t>
  </si>
  <si>
    <t>2.79亿</t>
  </si>
  <si>
    <t>2.28亿</t>
  </si>
  <si>
    <t>3.33亿</t>
  </si>
  <si>
    <t>1.76亿</t>
  </si>
  <si>
    <t>1.32亿</t>
  </si>
  <si>
    <t>1.38亿</t>
  </si>
  <si>
    <t>1.90亿</t>
  </si>
  <si>
    <t>1.21亿</t>
  </si>
  <si>
    <t>1.16亿</t>
  </si>
  <si>
    <t>6.23亿</t>
  </si>
  <si>
    <t>5.00亿</t>
  </si>
  <si>
    <t>2.31亿</t>
  </si>
  <si>
    <t>1.98亿</t>
  </si>
  <si>
    <t>6.21亿</t>
  </si>
  <si>
    <t>1.33亿</t>
  </si>
  <si>
    <t>2.29亿</t>
  </si>
  <si>
    <t>2.25亿</t>
  </si>
  <si>
    <t>3.47亿</t>
  </si>
  <si>
    <t>3.44亿</t>
  </si>
  <si>
    <t>3.00亿</t>
  </si>
  <si>
    <t>2.44亿</t>
  </si>
  <si>
    <t>2.05亿</t>
  </si>
  <si>
    <t>1.97亿</t>
  </si>
  <si>
    <t>3.80亿</t>
  </si>
  <si>
    <t>2.94亿</t>
  </si>
  <si>
    <t>1.63亿</t>
  </si>
  <si>
    <t>1.77亿</t>
  </si>
  <si>
    <t>3.15亿</t>
  </si>
  <si>
    <t>4.79亿</t>
  </si>
  <si>
    <t>3.08亿</t>
  </si>
  <si>
    <t>4.58亿</t>
  </si>
  <si>
    <t>3.34亿</t>
  </si>
  <si>
    <t>流动资产</t>
  </si>
  <si>
    <t>营业收入[20191231]</t>
  </si>
  <si>
    <t>营业收入[20181231]</t>
  </si>
  <si>
    <t>营业收入[20171231]</t>
  </si>
  <si>
    <t>净利润[20191231]</t>
  </si>
  <si>
    <t>净利润[20181231]</t>
  </si>
  <si>
    <t>净利润[20171231]</t>
  </si>
  <si>
    <t>2.88亿</t>
  </si>
  <si>
    <t>2.54亿</t>
  </si>
  <si>
    <t>11.42亿</t>
  </si>
  <si>
    <t>14.49亿</t>
  </si>
  <si>
    <t>7.90亿</t>
  </si>
  <si>
    <t>2.70亿</t>
  </si>
  <si>
    <t>3.07亿</t>
  </si>
  <si>
    <t>5.74亿</t>
  </si>
  <si>
    <t>3.36亿</t>
  </si>
  <si>
    <t>2.03亿</t>
  </si>
  <si>
    <t>9.21亿</t>
  </si>
  <si>
    <t>12.68亿</t>
  </si>
  <si>
    <t>10.97亿</t>
  </si>
  <si>
    <t>1.88亿</t>
  </si>
  <si>
    <t>3.11亿</t>
  </si>
  <si>
    <t>3.62亿</t>
  </si>
  <si>
    <t>4.46亿</t>
  </si>
  <si>
    <t>5.43亿</t>
  </si>
  <si>
    <t>2.84亿</t>
  </si>
  <si>
    <t>3.77亿</t>
  </si>
  <si>
    <t>4.69亿</t>
  </si>
  <si>
    <t>2.37亿</t>
  </si>
  <si>
    <t>4.43亿</t>
  </si>
  <si>
    <t>3.49亿</t>
  </si>
  <si>
    <t>4.34亿</t>
  </si>
  <si>
    <t>8.44亿</t>
  </si>
  <si>
    <t>4.24亿</t>
  </si>
  <si>
    <t>4.90亿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</si>
  <si>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</si>
  <si>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</si>
  <si>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</si>
  <si>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</si>
  <si>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</si>
  <si>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</si>
  <si>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</si>
  <si>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</si>
  <si>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</si>
  <si>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</si>
  <si>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</si>
  <si>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</si>
  <si>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</si>
  <si>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</si>
  <si>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</si>
  <si>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9.37亿</t>
  </si>
  <si>
    <t>5.35亿</t>
  </si>
  <si>
    <t>246.62亿</t>
  </si>
  <si>
    <t>5.77亿</t>
  </si>
  <si>
    <t>-1.22亿</t>
  </si>
  <si>
    <t>8.77亿</t>
  </si>
  <si>
    <t>4.07亿</t>
  </si>
  <si>
    <t>5.63亿</t>
  </si>
  <si>
    <t>代码</t>
  </si>
  <si>
    <t>SZ000063</t>
  </si>
  <si>
    <t>中兴通讯</t>
  </si>
  <si>
    <t>通信设备</t>
  </si>
  <si>
    <t>1014.51亿</t>
  </si>
  <si>
    <t>42.60亿</t>
  </si>
  <si>
    <t>907.37亿</t>
  </si>
  <si>
    <t>855.13亿</t>
  </si>
  <si>
    <t>51.48亿</t>
  </si>
  <si>
    <t>-69.84亿</t>
  </si>
  <si>
    <t>SZ000851</t>
  </si>
  <si>
    <t>70.18亿</t>
  </si>
  <si>
    <t>6.72亿</t>
  </si>
  <si>
    <t>18.00万</t>
  </si>
  <si>
    <t>114.10亿</t>
  </si>
  <si>
    <t>92.65亿</t>
  </si>
  <si>
    <t>2311.65万</t>
  </si>
  <si>
    <t>3396.49万</t>
  </si>
  <si>
    <t>8.51亿</t>
  </si>
  <si>
    <t>16.05亿</t>
  </si>
  <si>
    <t>SZ002194</t>
  </si>
  <si>
    <t>武汉凡谷</t>
  </si>
  <si>
    <t>14.92亿</t>
  </si>
  <si>
    <t>6.38亿</t>
  </si>
  <si>
    <t>17.13亿</t>
  </si>
  <si>
    <t>11.95亿</t>
  </si>
  <si>
    <t>1.89亿</t>
  </si>
  <si>
    <t>3.92亿</t>
  </si>
  <si>
    <t>2.66亿</t>
  </si>
  <si>
    <t>6.71亿</t>
  </si>
  <si>
    <t>SZ002281</t>
  </si>
  <si>
    <t>光迅科技</t>
  </si>
  <si>
    <t>60.46亿</t>
  </si>
  <si>
    <t>4.87亿</t>
  </si>
  <si>
    <t>4.76亿</t>
  </si>
  <si>
    <t>53.38亿</t>
  </si>
  <si>
    <t>49.29亿</t>
  </si>
  <si>
    <t>3.58亿</t>
  </si>
  <si>
    <t>2.75亿</t>
  </si>
  <si>
    <t>SZ002296</t>
  </si>
  <si>
    <t>辉煌科技</t>
  </si>
  <si>
    <t>8525.68万</t>
  </si>
  <si>
    <t>5.04亿</t>
  </si>
  <si>
    <t>5.29亿</t>
  </si>
  <si>
    <t>6703.40万</t>
  </si>
  <si>
    <t>2773.30万</t>
  </si>
  <si>
    <t>SZ002396</t>
  </si>
  <si>
    <t>星网锐捷</t>
  </si>
  <si>
    <t>103.04亿</t>
  </si>
  <si>
    <t>92.66亿</t>
  </si>
  <si>
    <t>91.32亿</t>
  </si>
  <si>
    <t>5.64亿</t>
  </si>
  <si>
    <t>2.62亿</t>
  </si>
  <si>
    <t>SZ002583</t>
  </si>
  <si>
    <t>海能达</t>
  </si>
  <si>
    <t>61.09亿</t>
  </si>
  <si>
    <t>9529.85万</t>
  </si>
  <si>
    <t>78.44亿</t>
  </si>
  <si>
    <t>69.35亿</t>
  </si>
  <si>
    <t>8080.65万</t>
  </si>
  <si>
    <t>SZ002792</t>
  </si>
  <si>
    <t>通宇通讯</t>
  </si>
  <si>
    <t>15.09亿</t>
  </si>
  <si>
    <t>7100.33万</t>
  </si>
  <si>
    <t>8.01亿</t>
  </si>
  <si>
    <t>16.38亿</t>
  </si>
  <si>
    <t>12.65亿</t>
  </si>
  <si>
    <t>2521.42万</t>
  </si>
  <si>
    <t>4442.45万</t>
  </si>
  <si>
    <t>7.53亿</t>
  </si>
  <si>
    <t>SZ002796</t>
  </si>
  <si>
    <t>世嘉科技</t>
  </si>
  <si>
    <t>6.46亿</t>
  </si>
  <si>
    <t>16.41亿</t>
  </si>
  <si>
    <t>3772.84万</t>
  </si>
  <si>
    <t>7.09亿</t>
  </si>
  <si>
    <t>18.71亿</t>
  </si>
  <si>
    <t>12.80亿</t>
  </si>
  <si>
    <t>9546.01万</t>
  </si>
  <si>
    <t>4860.87万</t>
  </si>
  <si>
    <t>SZ002897</t>
  </si>
  <si>
    <t>意华股份</t>
  </si>
  <si>
    <t>32.68亿</t>
  </si>
  <si>
    <t>16.23亿</t>
  </si>
  <si>
    <t>13.88亿</t>
  </si>
  <si>
    <t>4391.94万</t>
  </si>
  <si>
    <t>7773.70万</t>
  </si>
  <si>
    <t>SZ002902</t>
  </si>
  <si>
    <t>铭普光磁</t>
  </si>
  <si>
    <t>16.89亿</t>
  </si>
  <si>
    <t>434.36万</t>
  </si>
  <si>
    <t>9.55亿</t>
  </si>
  <si>
    <t>14.01亿</t>
  </si>
  <si>
    <t>14.07亿</t>
  </si>
  <si>
    <t>2697.05万</t>
  </si>
  <si>
    <t>2575.60万</t>
  </si>
  <si>
    <t>SZ300134</t>
  </si>
  <si>
    <t>大富科技</t>
  </si>
  <si>
    <t>21.86亿</t>
  </si>
  <si>
    <t>3555.22万</t>
  </si>
  <si>
    <t>2.99亿</t>
  </si>
  <si>
    <t>5.92亿</t>
  </si>
  <si>
    <t>-1.50亿</t>
  </si>
  <si>
    <t>23.38亿</t>
  </si>
  <si>
    <t>18.21亿</t>
  </si>
  <si>
    <t>-3.55亿</t>
  </si>
  <si>
    <t>2470.66万</t>
  </si>
  <si>
    <t>SZ300308</t>
  </si>
  <si>
    <t>中际旭创</t>
  </si>
  <si>
    <t>70.50亿</t>
  </si>
  <si>
    <t>8.65亿</t>
  </si>
  <si>
    <t>47.58亿</t>
  </si>
  <si>
    <t>51.56亿</t>
  </si>
  <si>
    <t>5.13亿</t>
  </si>
  <si>
    <t>SZ300394</t>
  </si>
  <si>
    <t>天孚通信</t>
  </si>
  <si>
    <t>2.01亿</t>
  </si>
  <si>
    <t>8.73亿</t>
  </si>
  <si>
    <t>4.73亿</t>
  </si>
  <si>
    <t>5.23亿</t>
  </si>
  <si>
    <t>SZ300502</t>
  </si>
  <si>
    <t>新易盛</t>
  </si>
  <si>
    <t>19.98亿</t>
  </si>
  <si>
    <t>4.92亿</t>
  </si>
  <si>
    <t>4.27亿</t>
  </si>
  <si>
    <t>11.65亿</t>
  </si>
  <si>
    <t>7.60亿</t>
  </si>
  <si>
    <t>7.14亿</t>
  </si>
  <si>
    <t>3183.23万</t>
  </si>
  <si>
    <t>SZ300548</t>
  </si>
  <si>
    <t>博创科技</t>
  </si>
  <si>
    <t>14.30亿</t>
  </si>
  <si>
    <t>7.77亿</t>
  </si>
  <si>
    <t>8845.89万</t>
  </si>
  <si>
    <t>778.36万</t>
  </si>
  <si>
    <t>233.10万</t>
  </si>
  <si>
    <t>SZ300565</t>
  </si>
  <si>
    <t>科信技术</t>
  </si>
  <si>
    <t>1242.43万</t>
  </si>
  <si>
    <t>-8202.81万</t>
  </si>
  <si>
    <t>1670.25万</t>
  </si>
  <si>
    <t>SZ300570</t>
  </si>
  <si>
    <t>太辰光</t>
  </si>
  <si>
    <t>7561.64万</t>
  </si>
  <si>
    <t>SZ300620</t>
  </si>
  <si>
    <t>光库科技</t>
  </si>
  <si>
    <t>5920.54万</t>
  </si>
  <si>
    <t>2.89亿</t>
  </si>
  <si>
    <t>5748.42万</t>
  </si>
  <si>
    <t>7991.72万</t>
  </si>
  <si>
    <t>1.45亿</t>
  </si>
  <si>
    <t>SZ300698</t>
  </si>
  <si>
    <t>万马科技</t>
  </si>
  <si>
    <t>4.82亿</t>
  </si>
  <si>
    <t>-1060.70万</t>
  </si>
  <si>
    <t>3.41亿</t>
  </si>
  <si>
    <t>394.35万</t>
  </si>
  <si>
    <t>428.63万</t>
  </si>
  <si>
    <t>SZ300710</t>
  </si>
  <si>
    <t>万隆光电</t>
  </si>
  <si>
    <t>6040.98万</t>
  </si>
  <si>
    <t>3.46亿</t>
  </si>
  <si>
    <t>3.72亿</t>
  </si>
  <si>
    <t>1223.55万</t>
  </si>
  <si>
    <t>1444.30万</t>
  </si>
  <si>
    <t>SH600498</t>
  </si>
  <si>
    <t>烽火通信</t>
  </si>
  <si>
    <t>210.74亿</t>
  </si>
  <si>
    <t>242.35亿</t>
  </si>
  <si>
    <t>9.79亿</t>
  </si>
  <si>
    <t>8.25亿</t>
  </si>
  <si>
    <t>SH603421</t>
  </si>
  <si>
    <t>鼎信通讯</t>
  </si>
  <si>
    <t>21.02亿</t>
  </si>
  <si>
    <t>18.10亿</t>
  </si>
  <si>
    <t>17.44亿</t>
  </si>
  <si>
    <t>2.04亿</t>
  </si>
  <si>
    <t>SH688313</t>
  </si>
  <si>
    <t>仕佳光子</t>
  </si>
  <si>
    <t>3806.78万</t>
  </si>
  <si>
    <t>5.46亿</t>
  </si>
  <si>
    <t>5.18亿</t>
  </si>
  <si>
    <t>-158.33万</t>
  </si>
  <si>
    <t>-1196.80万</t>
  </si>
  <si>
    <t>SH688618</t>
  </si>
  <si>
    <t>三旺通信</t>
  </si>
  <si>
    <t>6443.21万</t>
  </si>
  <si>
    <t>5798.93万</t>
  </si>
  <si>
    <t>5137.96万</t>
  </si>
  <si>
    <t>SH688668</t>
  </si>
  <si>
    <t>鼎通科技</t>
  </si>
  <si>
    <t>7273.24万</t>
  </si>
  <si>
    <t>5393.81万</t>
  </si>
  <si>
    <t>4572.50万</t>
  </si>
  <si>
    <t>SZ000070</t>
  </si>
  <si>
    <t>47.22亿</t>
  </si>
  <si>
    <t>1144.55万</t>
  </si>
  <si>
    <t>57.06亿</t>
  </si>
  <si>
    <t>SZ000586</t>
  </si>
  <si>
    <t>汇源通信</t>
  </si>
  <si>
    <t>4.85亿</t>
  </si>
  <si>
    <t>2436.79万</t>
  </si>
  <si>
    <t>3.90亿</t>
  </si>
  <si>
    <t>838.11万</t>
  </si>
  <si>
    <t>-289.70万</t>
  </si>
  <si>
    <t>SZ000836</t>
  </si>
  <si>
    <t>10.52亿</t>
  </si>
  <si>
    <t>1179.91万</t>
  </si>
  <si>
    <t>26.64亿</t>
  </si>
  <si>
    <t>4078.48万</t>
  </si>
  <si>
    <t>6666.92万</t>
  </si>
  <si>
    <t>SZ002491</t>
  </si>
  <si>
    <t>通鼎互联</t>
  </si>
  <si>
    <t>35.86亿</t>
  </si>
  <si>
    <t>35.39亿</t>
  </si>
  <si>
    <t>SZ300563</t>
  </si>
  <si>
    <t>神宇股份</t>
  </si>
  <si>
    <t>6184.19万</t>
  </si>
  <si>
    <t>4.71亿</t>
  </si>
  <si>
    <t>5363.96万</t>
  </si>
  <si>
    <t>4413.85万</t>
  </si>
  <si>
    <t>SZ300913</t>
  </si>
  <si>
    <t>兆龙互连</t>
  </si>
  <si>
    <t>11.61亿</t>
  </si>
  <si>
    <t>7299.03万</t>
  </si>
  <si>
    <t>11.50亿</t>
  </si>
  <si>
    <t>7526.02万</t>
  </si>
  <si>
    <t>7243.24万</t>
  </si>
  <si>
    <t>SH600105</t>
  </si>
  <si>
    <t>永鼎股份</t>
  </si>
  <si>
    <t>32.85亿</t>
  </si>
  <si>
    <t>33.71亿</t>
  </si>
  <si>
    <t>32.21亿</t>
  </si>
  <si>
    <t>SH600487</t>
  </si>
  <si>
    <t>亨通光电</t>
  </si>
  <si>
    <t>323.84亿</t>
  </si>
  <si>
    <t>10.62亿</t>
  </si>
  <si>
    <t>13.62亿</t>
  </si>
  <si>
    <t>25.32亿</t>
  </si>
  <si>
    <t>SH600522</t>
  </si>
  <si>
    <t>22.75亿</t>
  </si>
  <si>
    <t>339.24亿</t>
  </si>
  <si>
    <t>21.22亿</t>
  </si>
  <si>
    <t>SH601869</t>
  </si>
  <si>
    <t>长飞光纤</t>
  </si>
  <si>
    <t>82.22亿</t>
  </si>
  <si>
    <t>5.44亿</t>
  </si>
  <si>
    <t>77.69亿</t>
  </si>
  <si>
    <t>113.60亿</t>
  </si>
  <si>
    <t>14.89亿</t>
  </si>
  <si>
    <t>SH603042</t>
  </si>
  <si>
    <t>华脉科技</t>
  </si>
  <si>
    <t>11.62亿</t>
  </si>
  <si>
    <t>3177.05万</t>
  </si>
  <si>
    <t>11.54亿</t>
  </si>
  <si>
    <t>10.30亿</t>
  </si>
  <si>
    <t>8.76亿</t>
  </si>
  <si>
    <t>2365.74万</t>
  </si>
  <si>
    <t>5.57亿</t>
  </si>
  <si>
    <t>39.52亿</t>
  </si>
  <si>
    <t>4.64亿</t>
  </si>
  <si>
    <t>SZ002017</t>
  </si>
  <si>
    <t>东信和平</t>
  </si>
  <si>
    <t>10.63亿</t>
  </si>
  <si>
    <t>3546.06万</t>
  </si>
  <si>
    <t>11.53亿</t>
  </si>
  <si>
    <t>3951.36万</t>
  </si>
  <si>
    <t>3920.69万</t>
  </si>
  <si>
    <t>4.23亿</t>
  </si>
  <si>
    <t>SZ002104</t>
  </si>
  <si>
    <t>恒宝股份</t>
  </si>
  <si>
    <t>172.44万</t>
  </si>
  <si>
    <t>13.68亿</t>
  </si>
  <si>
    <t>8676.92万</t>
  </si>
  <si>
    <t>SZ002313</t>
  </si>
  <si>
    <t>44.20亿</t>
  </si>
  <si>
    <t>7169.70万</t>
  </si>
  <si>
    <t>SZ003031</t>
  </si>
  <si>
    <t>中瓷电子</t>
  </si>
  <si>
    <t>8.16亿</t>
  </si>
  <si>
    <t>9814.45万</t>
  </si>
  <si>
    <t>5.90亿</t>
  </si>
  <si>
    <t>7641.59万</t>
  </si>
  <si>
    <t>5868.69万</t>
  </si>
  <si>
    <t>SZ003040</t>
  </si>
  <si>
    <t>楚天龙</t>
  </si>
  <si>
    <t>10.25亿</t>
  </si>
  <si>
    <t>11.82亿</t>
  </si>
  <si>
    <t>10.11亿</t>
  </si>
  <si>
    <t>5805.85万</t>
  </si>
  <si>
    <t>SZ300205</t>
  </si>
  <si>
    <t>16.94亿</t>
  </si>
  <si>
    <t>-6073.71万</t>
  </si>
  <si>
    <t>22.12亿</t>
  </si>
  <si>
    <t>23.97亿</t>
  </si>
  <si>
    <t>SZ300504</t>
  </si>
  <si>
    <t>天邑股份</t>
  </si>
  <si>
    <t>19.06亿</t>
  </si>
  <si>
    <t>21.38亿</t>
  </si>
  <si>
    <t>27.75亿</t>
  </si>
  <si>
    <t>SZ300555</t>
  </si>
  <si>
    <t>340.71万</t>
  </si>
  <si>
    <t>495.60万</t>
  </si>
  <si>
    <t>1025.66万</t>
  </si>
  <si>
    <t>SZ300590</t>
  </si>
  <si>
    <t>移为通信</t>
  </si>
  <si>
    <t>9046.83万</t>
  </si>
  <si>
    <t>SZ300615</t>
  </si>
  <si>
    <t>欣天科技</t>
  </si>
  <si>
    <t>551.89万</t>
  </si>
  <si>
    <t>1716.74万</t>
  </si>
  <si>
    <t>1557.19万</t>
  </si>
  <si>
    <t>SZ300628</t>
  </si>
  <si>
    <t>亿联网络</t>
  </si>
  <si>
    <t>27.54亿</t>
  </si>
  <si>
    <t>12.79亿</t>
  </si>
  <si>
    <t>24.89亿</t>
  </si>
  <si>
    <t>18.15亿</t>
  </si>
  <si>
    <t>6.62亿</t>
  </si>
  <si>
    <t>12.35亿</t>
  </si>
  <si>
    <t>SZ300638</t>
  </si>
  <si>
    <t>广和通</t>
  </si>
  <si>
    <t>27.44亿</t>
  </si>
  <si>
    <t>19.15亿</t>
  </si>
  <si>
    <t>12.49亿</t>
  </si>
  <si>
    <t>8679.69万</t>
  </si>
  <si>
    <t>SZ300689</t>
  </si>
  <si>
    <t>澄天伟业</t>
  </si>
  <si>
    <t>2359.43万</t>
  </si>
  <si>
    <t>4768.61万</t>
  </si>
  <si>
    <t>5481.79万</t>
  </si>
  <si>
    <t>SH600355</t>
  </si>
  <si>
    <t>精伦电子</t>
  </si>
  <si>
    <t>-3548.28万</t>
  </si>
  <si>
    <t>3.42亿</t>
  </si>
  <si>
    <t>-6764.41万</t>
  </si>
  <si>
    <t>1101.16万</t>
  </si>
  <si>
    <t>SH600775</t>
  </si>
  <si>
    <t>南京熊猫</t>
  </si>
  <si>
    <t>7731.82万</t>
  </si>
  <si>
    <t>46.60亿</t>
  </si>
  <si>
    <t>45.01亿</t>
  </si>
  <si>
    <t>41.92亿</t>
  </si>
  <si>
    <t>5265.79万</t>
  </si>
  <si>
    <t>SH603083</t>
  </si>
  <si>
    <t>剑桥科技</t>
  </si>
  <si>
    <t>27.09亿</t>
  </si>
  <si>
    <t>-2.66亿</t>
  </si>
  <si>
    <t>29.74亿</t>
  </si>
  <si>
    <t>31.56亿</t>
  </si>
  <si>
    <t>2174.62万</t>
  </si>
  <si>
    <t>7677.75万</t>
  </si>
  <si>
    <t>SH603118</t>
  </si>
  <si>
    <t>共进股份</t>
  </si>
  <si>
    <t>88.42亿</t>
  </si>
  <si>
    <t>78.41亿</t>
  </si>
  <si>
    <t>83.34亿</t>
  </si>
  <si>
    <t>SH603236</t>
  </si>
  <si>
    <t>移远通信</t>
  </si>
  <si>
    <t>61.06亿</t>
  </si>
  <si>
    <t>41.30亿</t>
  </si>
  <si>
    <t>27.01亿</t>
  </si>
  <si>
    <t>SH603803</t>
  </si>
  <si>
    <t>瑞斯康达</t>
  </si>
  <si>
    <t>24.13亿</t>
  </si>
  <si>
    <t>SH688027</t>
  </si>
  <si>
    <t>国盾量子</t>
  </si>
  <si>
    <t>2948.86万</t>
  </si>
  <si>
    <t>4930.61万</t>
  </si>
  <si>
    <t>7249.06万</t>
  </si>
  <si>
    <t>SH688100</t>
  </si>
  <si>
    <t>威胜信息</t>
  </si>
  <si>
    <t>12.44亿</t>
  </si>
  <si>
    <t>10.39亿</t>
  </si>
  <si>
    <t>SH688159</t>
  </si>
  <si>
    <t>有方科技</t>
  </si>
  <si>
    <t>-7506.48万</t>
  </si>
  <si>
    <t>7.82亿</t>
  </si>
  <si>
    <t>5456.05万</t>
  </si>
  <si>
    <t>4349.52万</t>
  </si>
  <si>
    <t>SZ300183</t>
  </si>
  <si>
    <t>东软载波</t>
  </si>
  <si>
    <t>8.28亿</t>
  </si>
  <si>
    <t>10.13亿</t>
  </si>
  <si>
    <t>SZ300213</t>
  </si>
  <si>
    <t>佳讯飞鸿</t>
  </si>
  <si>
    <t>9.61亿</t>
  </si>
  <si>
    <t>13.39亿</t>
  </si>
  <si>
    <t>12.16亿</t>
  </si>
  <si>
    <t>SZ300353</t>
  </si>
  <si>
    <t>东土科技</t>
  </si>
  <si>
    <t>-9.13亿</t>
  </si>
  <si>
    <t>-4.41亿</t>
  </si>
  <si>
    <t>9491.11万</t>
  </si>
  <si>
    <t>SZ300414</t>
  </si>
  <si>
    <t>中光防雷</t>
  </si>
  <si>
    <t>3175.29万</t>
  </si>
  <si>
    <t>4.01亿</t>
  </si>
  <si>
    <t>4994.36万</t>
  </si>
  <si>
    <t>5358.46万</t>
  </si>
  <si>
    <t>SZ300711</t>
  </si>
  <si>
    <t>广哈通信</t>
  </si>
  <si>
    <t>3082.31万</t>
  </si>
  <si>
    <t>1703.34万</t>
  </si>
  <si>
    <t>1561.95万</t>
  </si>
  <si>
    <t>SH600345</t>
  </si>
  <si>
    <t>长江通信</t>
  </si>
  <si>
    <t>8343.69万</t>
  </si>
  <si>
    <t>SH600776</t>
  </si>
  <si>
    <t>东方通信</t>
  </si>
  <si>
    <t>29.67亿</t>
  </si>
  <si>
    <t>26.83亿</t>
  </si>
  <si>
    <t>24.05亿</t>
  </si>
  <si>
    <t>SH688080</t>
  </si>
  <si>
    <t>映翰通</t>
  </si>
  <si>
    <t>4041.93万</t>
  </si>
  <si>
    <t>5176.64万</t>
  </si>
  <si>
    <t>4654.60万</t>
  </si>
  <si>
    <t>SH688418</t>
  </si>
  <si>
    <t>震有科技</t>
  </si>
  <si>
    <t>4311.06万</t>
  </si>
  <si>
    <t>6106.69万</t>
  </si>
  <si>
    <t>6023.10万</t>
  </si>
  <si>
    <t>1.自2019年以来，国内外5G基站的规模部署和数据中心建设加速，国内外客户对与5G基站和数据中心建设相关的高速率光模块产品的需求大幅度增加；2.公司完成了向特定对象发行股票，共募集资金净额人民币1,631,762,592.47元。此次募集资金将用于公司高速率光模块生产线项目建设及补充流动资金</t>
    <phoneticPr fontId="1" type="noConversion"/>
  </si>
  <si>
    <t>1.今年5G建设增速比去年有所下降，需求偏淡。公司无线光模块业务今年将继续拓展产品线，扩大营收规模;</t>
    <phoneticPr fontId="1" type="noConversion"/>
  </si>
  <si>
    <t>净利率高于移远通信，侧重于PC</t>
    <phoneticPr fontId="1" type="noConversion"/>
  </si>
  <si>
    <r>
      <t>1.无线前传25G硅光模块、数通400G DR4</t>
    </r>
    <r>
      <rPr>
        <sz val="9"/>
        <color rgb="FFFF0000"/>
        <rFont val="宋体"/>
        <family val="3"/>
        <charset val="134"/>
        <scheme val="minor"/>
      </rPr>
      <t>硅光</t>
    </r>
    <r>
      <rPr>
        <sz val="9"/>
        <color theme="1"/>
        <rFont val="宋体"/>
        <family val="2"/>
        <charset val="134"/>
        <scheme val="minor"/>
      </rPr>
      <t>模块已实现量产；2.问：5、公司数通产品与同业公司相比，竞争优势在哪里？答：公司通过设计差异化产品、持续降低成本等方式参与市场竞争。</t>
    </r>
    <phoneticPr fontId="1" type="noConversion"/>
  </si>
  <si>
    <t>公司的主要产品包括智慧网络、智慧云、智慧通讯、智慧金融、智慧娱乐、智慧社区等领域。
2021H1:
企业级网络设备 32.46亿 61.41% 利润占比72.89% 毛利39.18%
其它 7.92亿 14.97% 利润占比11.25% 毛利24.80%
通讯产品 7.46亿 14.10% 利润占比9.69% 毛利22.68%
网络终端 5.03亿 9.52% 利润占比6.16% 毛利21.37%</t>
    <phoneticPr fontId="1" type="noConversion"/>
  </si>
  <si>
    <t xml:space="preserve">1.核心部件供应链风险；部分业务存在客户集中度较高、季节性较强的风险；
</t>
    <phoneticPr fontId="1" type="noConversion"/>
  </si>
  <si>
    <t>1.高毅晓峰通过定增进入10大股东，成本价27.7元</t>
    <phoneticPr fontId="1" type="noConversion"/>
  </si>
  <si>
    <t>流通股本</t>
  </si>
  <si>
    <t>净利润[20201231]</t>
  </si>
  <si>
    <t>投入资本回报率roic%[20201231]</t>
  </si>
  <si>
    <t>净资产收益率%[20201231]</t>
  </si>
  <si>
    <t>1145.22亿</t>
  </si>
  <si>
    <t>68.13亿</t>
  </si>
  <si>
    <t>45.91亿</t>
  </si>
  <si>
    <t>-6.18亿</t>
  </si>
  <si>
    <t>2614.14万</t>
  </si>
  <si>
    <t>651.94万</t>
  </si>
  <si>
    <t>85.48亿</t>
  </si>
  <si>
    <t>1535.85万</t>
  </si>
  <si>
    <t>1.69亿</t>
  </si>
  <si>
    <t>10.72亿</t>
  </si>
  <si>
    <t>4345.90万</t>
  </si>
  <si>
    <t>9.60亿</t>
  </si>
  <si>
    <t>5308.27万</t>
  </si>
  <si>
    <t>18.38亿</t>
  </si>
  <si>
    <t>13.87亿</t>
  </si>
  <si>
    <t>2.24亿</t>
  </si>
  <si>
    <t>14.36亿</t>
  </si>
  <si>
    <t>64.86亿</t>
  </si>
  <si>
    <t>5.67亿</t>
  </si>
  <si>
    <t>7.37亿</t>
  </si>
  <si>
    <t>135.49亿</t>
  </si>
  <si>
    <t>29.77亿</t>
  </si>
  <si>
    <t>57.19亿</t>
  </si>
  <si>
    <t>-6.62亿</t>
  </si>
  <si>
    <t>10.32亿</t>
  </si>
  <si>
    <t>4112.02万</t>
  </si>
  <si>
    <t>3.61亿</t>
  </si>
  <si>
    <t>12.98亿</t>
  </si>
  <si>
    <t>-6.67亿</t>
  </si>
  <si>
    <t>44.90亿</t>
  </si>
  <si>
    <t>22.34亿</t>
  </si>
  <si>
    <t>-5799.14万</t>
  </si>
  <si>
    <t>1.65亿</t>
  </si>
  <si>
    <t>10.14亿</t>
  </si>
  <si>
    <t>13.09亿</t>
  </si>
  <si>
    <t>6274.48万</t>
  </si>
  <si>
    <t>9.06亿</t>
  </si>
  <si>
    <t>10.33亿</t>
  </si>
  <si>
    <t>76.95亿</t>
  </si>
  <si>
    <t>2.36亿</t>
  </si>
  <si>
    <t>9.41亿</t>
  </si>
  <si>
    <t>518.78万</t>
  </si>
  <si>
    <t>2.15亿</t>
  </si>
  <si>
    <t>3.06亿</t>
  </si>
  <si>
    <t>5.20亿</t>
  </si>
  <si>
    <t>2.77亿</t>
  </si>
  <si>
    <t>2912.16万</t>
  </si>
  <si>
    <t>29.08亿</t>
  </si>
  <si>
    <t>23.98亿</t>
  </si>
  <si>
    <t>8.40亿</t>
  </si>
  <si>
    <t>6969.43万</t>
  </si>
  <si>
    <t>7.05亿</t>
  </si>
  <si>
    <t>-1.20亿</t>
  </si>
  <si>
    <t>7175.68万</t>
  </si>
  <si>
    <t>692.70万</t>
  </si>
  <si>
    <t>6.68亿</t>
  </si>
  <si>
    <t>SZ300627</t>
  </si>
  <si>
    <t>华测导航</t>
  </si>
  <si>
    <t>19.03亿</t>
  </si>
  <si>
    <t>14.10亿</t>
  </si>
  <si>
    <t>11.46亿</t>
  </si>
  <si>
    <t>9.52亿</t>
  </si>
  <si>
    <t>36.84亿</t>
  </si>
  <si>
    <t>16.16亿</t>
  </si>
  <si>
    <t>41.09亿</t>
  </si>
  <si>
    <t>1685.55万</t>
  </si>
  <si>
    <t>4.98亿</t>
  </si>
  <si>
    <t>405.97万</t>
  </si>
  <si>
    <t>7.29亿</t>
  </si>
  <si>
    <t>3138.23万</t>
  </si>
  <si>
    <t>4371.10万</t>
  </si>
  <si>
    <t>14.65亿</t>
  </si>
  <si>
    <t>8826.71万</t>
  </si>
  <si>
    <t>9145.24万</t>
  </si>
  <si>
    <t>-933.96万</t>
  </si>
  <si>
    <t>412.71亿</t>
  </si>
  <si>
    <t>420.82亿</t>
  </si>
  <si>
    <t>45.32亿</t>
  </si>
  <si>
    <t>4192.85万</t>
  </si>
  <si>
    <t>30.37亿</t>
  </si>
  <si>
    <t>95.36亿</t>
  </si>
  <si>
    <t>11.84亿</t>
  </si>
  <si>
    <t>841.40万</t>
  </si>
  <si>
    <t>29.20亿</t>
  </si>
  <si>
    <t>6725.98万</t>
  </si>
  <si>
    <t>108.08亿</t>
  </si>
  <si>
    <t>112.62亿</t>
  </si>
  <si>
    <t>28.21亿</t>
  </si>
  <si>
    <t>18.53亿</t>
  </si>
  <si>
    <t>-8.10亿</t>
  </si>
  <si>
    <t>17.24亿</t>
  </si>
  <si>
    <t>-3713.62万</t>
  </si>
  <si>
    <t>18.26亿</t>
  </si>
  <si>
    <t>-1296.40万</t>
  </si>
  <si>
    <t>SH688182</t>
  </si>
  <si>
    <t>灿勤科技</t>
  </si>
  <si>
    <t>8749.94万</t>
  </si>
  <si>
    <t>10.42亿</t>
  </si>
  <si>
    <t>14.08亿</t>
  </si>
  <si>
    <t>7.45亿</t>
  </si>
  <si>
    <t>7794.42万</t>
  </si>
  <si>
    <t>SH688283</t>
  </si>
  <si>
    <t>坤恒顺维</t>
  </si>
  <si>
    <t>5071.60万</t>
  </si>
  <si>
    <t>5773.19万</t>
  </si>
  <si>
    <t>4487.05万</t>
  </si>
  <si>
    <t>3163.59万</t>
  </si>
  <si>
    <t>1705.43万</t>
  </si>
  <si>
    <t>8.17亿</t>
  </si>
  <si>
    <t>5016.42万</t>
  </si>
  <si>
    <t>-1.02亿</t>
  </si>
  <si>
    <t>6042.24万</t>
  </si>
  <si>
    <t>5.68亿</t>
  </si>
  <si>
    <t>其他通信设备</t>
  </si>
  <si>
    <t>通信网络设备及器件</t>
  </si>
  <si>
    <t xml:space="preserve">    名称</t>
  </si>
  <si>
    <t>净利润?</t>
  </si>
  <si>
    <t>投入资本回报率roic%[20211231]</t>
  </si>
  <si>
    <t>净资产收益率%[20211231]</t>
  </si>
  <si>
    <t>单季营收增速</t>
  </si>
  <si>
    <t>单季利润增速</t>
  </si>
  <si>
    <t>43.28亿</t>
  </si>
  <si>
    <t>扭亏</t>
  </si>
  <si>
    <t/>
  </si>
  <si>
    <t>开始亏损</t>
  </si>
  <si>
    <t>亏损</t>
  </si>
  <si>
    <t>1.93亿</t>
  </si>
  <si>
    <t>5.17亿</t>
  </si>
  <si>
    <t>SZ301191</t>
  </si>
  <si>
    <t>22.08亿</t>
  </si>
  <si>
    <t>15.13亿</t>
  </si>
  <si>
    <t>10.40亿</t>
  </si>
  <si>
    <t>9.03亿</t>
  </si>
  <si>
    <t>9619.48万</t>
  </si>
  <si>
    <t>5507.08万</t>
  </si>
  <si>
    <t>984.31万</t>
  </si>
  <si>
    <t>2.87亿</t>
  </si>
  <si>
    <t>298.70亿</t>
  </si>
  <si>
    <t>299.95亿</t>
  </si>
  <si>
    <t>387.32亿</t>
  </si>
  <si>
    <t>19.69亿</t>
  </si>
  <si>
    <t>3.21亿</t>
  </si>
  <si>
    <t>23.73亿</t>
  </si>
  <si>
    <t>1.86亿</t>
  </si>
  <si>
    <t>1.43亿</t>
  </si>
  <si>
    <t>细分行业</t>
  </si>
  <si>
    <t>通信线缆及配套</t>
  </si>
  <si>
    <t>通信终端及配件</t>
  </si>
  <si>
    <t>4.25亿</t>
  </si>
  <si>
    <t>6.06亿</t>
  </si>
  <si>
    <t>5.78亿</t>
  </si>
  <si>
    <t>2.48亿</t>
  </si>
  <si>
    <t>3.31亿</t>
  </si>
  <si>
    <t>3.67亿</t>
  </si>
  <si>
    <t>菲菱科思</t>
  </si>
  <si>
    <t>SZ301205</t>
  </si>
  <si>
    <t>6.98亿</t>
  </si>
  <si>
    <t>4315.42万</t>
  </si>
  <si>
    <t>5641.74万</t>
  </si>
  <si>
    <t>4809.56万</t>
  </si>
  <si>
    <t>SH600198</t>
  </si>
  <si>
    <t>大唐电信</t>
  </si>
  <si>
    <t>16.26亿</t>
  </si>
  <si>
    <t>14.31亿</t>
  </si>
  <si>
    <t>23.44亿</t>
  </si>
  <si>
    <t>43.48亿</t>
  </si>
  <si>
    <t>3.83亿</t>
  </si>
  <si>
    <t>-2.59亿</t>
  </si>
  <si>
    <t>SH688205</t>
  </si>
  <si>
    <t>德科立</t>
  </si>
  <si>
    <t>7.31亿</t>
  </si>
  <si>
    <t>6.65亿</t>
  </si>
  <si>
    <t>4665.49万</t>
  </si>
  <si>
    <t>1415.71万</t>
  </si>
  <si>
    <t>SH688292</t>
  </si>
  <si>
    <t>浩瀚深度</t>
  </si>
  <si>
    <t>4.10亿</t>
  </si>
  <si>
    <t>5845.62万</t>
  </si>
  <si>
    <t>5336.22万</t>
  </si>
  <si>
    <t>3597.83万</t>
  </si>
  <si>
    <t>1535.59万</t>
  </si>
  <si>
    <t>3.52亿</t>
  </si>
  <si>
    <t>联特科技</t>
  </si>
  <si>
    <t>SH688387</t>
  </si>
  <si>
    <t>56.66亿</t>
  </si>
  <si>
    <t>-11.84亿</t>
  </si>
  <si>
    <t>45.27亿</t>
  </si>
  <si>
    <t>44.88亿</t>
  </si>
  <si>
    <t>51.50亿</t>
  </si>
  <si>
    <t>-17.52亿</t>
  </si>
  <si>
    <t>-16.37亿</t>
  </si>
  <si>
    <t>-6.05亿</t>
  </si>
  <si>
    <r>
      <t>1.公司专注于在能源和通信两大领域为客户创造价值，提供行业领先的</t>
    </r>
    <r>
      <rPr>
        <sz val="9"/>
        <color rgb="FFFF0000"/>
        <rFont val="宋体"/>
        <family val="3"/>
        <charset val="134"/>
        <scheme val="minor"/>
      </rPr>
      <t>海上风电、海洋通信、智慧城市、光通信</t>
    </r>
    <r>
      <rPr>
        <sz val="9"/>
        <color theme="1"/>
        <rFont val="宋体"/>
        <family val="2"/>
        <charset val="134"/>
        <scheme val="minor"/>
      </rPr>
      <t>等产品与解决方案。2.截至 2022 年 7 月末，公司拥有海底电缆、海洋工程及陆缆产品等</t>
    </r>
    <r>
      <rPr>
        <sz val="9"/>
        <color rgb="FFFF0000"/>
        <rFont val="宋体"/>
        <family val="3"/>
        <charset val="134"/>
        <scheme val="minor"/>
      </rPr>
      <t>能源互联领域在手订单 135.36 亿元</t>
    </r>
    <r>
      <rPr>
        <sz val="9"/>
        <color theme="1"/>
        <rFont val="宋体"/>
        <family val="2"/>
        <charset val="134"/>
        <scheme val="minor"/>
      </rPr>
      <t>。2022 年，公司持续中标国内外海上风电项目，体现了公司在海洋能源领域的综合技术实力</t>
    </r>
    <phoneticPr fontId="1" type="noConversion"/>
  </si>
  <si>
    <t>不分配不转增</t>
  </si>
  <si>
    <t>11.15亿</t>
  </si>
  <si>
    <t>10派0.5元(含税)</t>
  </si>
  <si>
    <t>3.14亿</t>
  </si>
  <si>
    <t>6.60亿</t>
  </si>
  <si>
    <t>10派1.7元(含税)</t>
  </si>
  <si>
    <t>10派1元(含税)</t>
  </si>
  <si>
    <t>9.36亿</t>
  </si>
  <si>
    <t>10.94亿</t>
  </si>
  <si>
    <t>4.48亿</t>
  </si>
  <si>
    <t>10.95亿</t>
  </si>
  <si>
    <t>10派1.5元(含税)</t>
  </si>
  <si>
    <t>17.92亿</t>
  </si>
  <si>
    <t>10派2.2元(含税)</t>
  </si>
  <si>
    <t>2.07亿</t>
  </si>
  <si>
    <t>3.84亿</t>
  </si>
  <si>
    <t>10派2元(含税)</t>
  </si>
  <si>
    <t>5.31亿</t>
  </si>
  <si>
    <t>10派8元(含税)</t>
  </si>
  <si>
    <t>10派1.1元(含税)</t>
  </si>
  <si>
    <t>SZ301165</t>
  </si>
  <si>
    <t>锐捷网络</t>
  </si>
  <si>
    <t>91.89亿</t>
  </si>
  <si>
    <t>66.98亿</t>
  </si>
  <si>
    <t>52.20亿</t>
  </si>
  <si>
    <t>42.82亿</t>
  </si>
  <si>
    <t>8.39亿</t>
  </si>
  <si>
    <t>10派0.8元(含税)</t>
  </si>
  <si>
    <t>5.25亿</t>
  </si>
  <si>
    <t>6.19亿</t>
  </si>
  <si>
    <t>SH688143</t>
  </si>
  <si>
    <t>长盈通</t>
  </si>
  <si>
    <t>7658.86万</t>
  </si>
  <si>
    <t>5409.80万</t>
  </si>
  <si>
    <t>4660.55万</t>
  </si>
  <si>
    <t>2196.71万</t>
  </si>
  <si>
    <t>信科移动-U</t>
  </si>
  <si>
    <t>2.14亿</t>
  </si>
  <si>
    <t>1000.00万</t>
  </si>
  <si>
    <t>2.69亿</t>
  </si>
  <si>
    <t>1.报告期内，公司主要会计数据和财务指标较上年同期大幅提升，主要系海洋产品毛利持续释放、光通信产品毛利大幅提升及上年同期受大额资产减值准备计提影响所致。</t>
    <phoneticPr fontId="1" type="noConversion"/>
  </si>
  <si>
    <t>1-0</t>
  </si>
  <si>
    <t>SZ301419</t>
  </si>
  <si>
    <t>阿莱德</t>
  </si>
  <si>
    <t>1.预计年报业绩：净利润30.00亿元至33.00亿元，增长幅度为15.47倍至17.11倍.原因：（一）聚焦主营业务，提升可持续发展能力报告期内，公司践行“绿色驱动，合规稳进”的经营方针，顺应“清洁低碳”新经济秩序，制胜高质量发展。 2022年，得益于数字经济驱动下5G、千兆宽带、“东数西算”工程等“新基建”提速带来的发展机遇，公司精准识别客户需求，通信产业向高端延伸、布局绿色能源产品提升盈利能力；海洋产业从系统设计、海缆结构设计、材料选型等多个方向以创新助力海上风电“平价上网”；公司布局新型电力系统的技术新需求，研发新一代输配电产品，提供传输损耗更低的解决方案，成为特高压输电线路节能建设的主力军；公司紧抓国家大力推广新能源配储应用的契机，积极扩充产能、壮大产业优势，海内外订单持续放量，加速了储能业务的拓展。 此外，公司进一步加强成本管控，深挖内部潜能，多措并举降本增效，不断强化生产过程精细化管理，增强核心竞争力，提升整体可持续发展能力。 （二）上年同期计提资产减值准备2021年，公司基于谨慎性原则，100%计提高端通信业务相关资产减值准备共36.19亿元，导致上年比较基数较没有重叠，其风险未影响公司其他主营业务的整体运营。2022年，公司聚焦主业高质量发展，经营业绩增长比例较大。</t>
    <phoneticPr fontId="1" type="noConversion"/>
  </si>
  <si>
    <t>1-1</t>
  </si>
  <si>
    <t>SZ301314</t>
  </si>
  <si>
    <t>科瑞思</t>
  </si>
  <si>
    <t>6186.93万</t>
  </si>
  <si>
    <t>2-1</t>
  </si>
  <si>
    <t>1.最近最大的负面事件是：2020年的年度财报预告55%~75%，实际才27%；表明了公司财务管理存在很大问题；董事长疫情后一直在澳大利亚从不回国；</t>
    <phoneticPr fontId="1" type="noConversion"/>
  </si>
  <si>
    <t>2.40亿</t>
  </si>
  <si>
    <t>1.44亿</t>
  </si>
  <si>
    <t>SZ301307</t>
  </si>
  <si>
    <t>31.70亿</t>
  </si>
  <si>
    <t>1229.54亿</t>
  </si>
  <si>
    <t>80.80亿</t>
  </si>
  <si>
    <t>1820.44万</t>
  </si>
  <si>
    <t>13.31亿</t>
  </si>
  <si>
    <t>11.45亿</t>
  </si>
  <si>
    <t>12.86亿</t>
  </si>
  <si>
    <t>10.34亿</t>
  </si>
  <si>
    <t>8191.25万</t>
  </si>
  <si>
    <t>2.74亿</t>
  </si>
  <si>
    <t>20.73亿</t>
  </si>
  <si>
    <t>69.12亿</t>
  </si>
  <si>
    <t>6.08亿</t>
  </si>
  <si>
    <t>6.52亿</t>
  </si>
  <si>
    <t>33.61亿</t>
  </si>
  <si>
    <t>47.15亿</t>
  </si>
  <si>
    <t>39.40亿</t>
  </si>
  <si>
    <t>47.73亿</t>
  </si>
  <si>
    <t>157.41亿</t>
  </si>
  <si>
    <t>43.25亿</t>
  </si>
  <si>
    <t>-6.10亿</t>
  </si>
  <si>
    <t>4911.58万</t>
  </si>
  <si>
    <t>-20.23亿</t>
  </si>
  <si>
    <t>4.22亿</t>
  </si>
  <si>
    <t>56.53亿</t>
  </si>
  <si>
    <t>8153.06万</t>
  </si>
  <si>
    <t>2.46亿</t>
  </si>
  <si>
    <t>50.11亿</t>
  </si>
  <si>
    <t>23.23亿</t>
  </si>
  <si>
    <t>17.19亿</t>
  </si>
  <si>
    <t>25.92亿</t>
  </si>
  <si>
    <t>24.51亿</t>
  </si>
  <si>
    <t>6231.83万</t>
  </si>
  <si>
    <t>2.06亿</t>
  </si>
  <si>
    <t>96.42亿</t>
  </si>
  <si>
    <t>12.24亿</t>
  </si>
  <si>
    <t>11.05亿</t>
  </si>
  <si>
    <t>2.20亿</t>
  </si>
  <si>
    <t>11.96亿</t>
  </si>
  <si>
    <t>4.03亿</t>
  </si>
  <si>
    <t>10派5元(含税)</t>
  </si>
  <si>
    <t>5.55亿</t>
  </si>
  <si>
    <t>2475.58万</t>
  </si>
  <si>
    <t>5.09亿</t>
  </si>
  <si>
    <t>33.11亿</t>
  </si>
  <si>
    <t>9.04亿</t>
  </si>
  <si>
    <t>3.05亿</t>
  </si>
  <si>
    <t>29.92亿</t>
  </si>
  <si>
    <t>ST路通</t>
  </si>
  <si>
    <t>-1880.81万</t>
  </si>
  <si>
    <t>-1626.13万</t>
  </si>
  <si>
    <t>7.68亿</t>
  </si>
  <si>
    <t>8.34亿</t>
  </si>
  <si>
    <t>9.34亿</t>
  </si>
  <si>
    <t>10.02亿</t>
  </si>
  <si>
    <t>10派1.2元(含税)</t>
  </si>
  <si>
    <t>4648.34万</t>
  </si>
  <si>
    <t>6.42亿</t>
  </si>
  <si>
    <t>22.36亿</t>
  </si>
  <si>
    <t>3.26亿</t>
  </si>
  <si>
    <t>48.11亿</t>
  </si>
  <si>
    <t>21.78亿</t>
  </si>
  <si>
    <t>56.46亿</t>
  </si>
  <si>
    <t>3074.82万</t>
  </si>
  <si>
    <t>4881.52万</t>
  </si>
  <si>
    <t>16.11亿</t>
  </si>
  <si>
    <t>113.26亿</t>
  </si>
  <si>
    <t>23.52亿</t>
  </si>
  <si>
    <t>5.81亿</t>
  </si>
  <si>
    <t>22.81亿</t>
  </si>
  <si>
    <t>18.34亿</t>
  </si>
  <si>
    <t>13.76亿</t>
  </si>
  <si>
    <t>9932.53万</t>
  </si>
  <si>
    <t>9274.33万</t>
  </si>
  <si>
    <t>-2542.58万</t>
  </si>
  <si>
    <t>-2526.31万</t>
  </si>
  <si>
    <t>6.50亿</t>
  </si>
  <si>
    <t>2.52亿</t>
  </si>
  <si>
    <t>6433.03万</t>
  </si>
  <si>
    <t>9508.27万</t>
  </si>
  <si>
    <t>7426.98万</t>
  </si>
  <si>
    <t>7020.37万</t>
  </si>
  <si>
    <t>6936.72万</t>
  </si>
  <si>
    <t>5135.30万</t>
  </si>
  <si>
    <t>6029.14万</t>
  </si>
  <si>
    <t>42.28亿</t>
  </si>
  <si>
    <t>10.75亿</t>
  </si>
  <si>
    <t>464.64亿</t>
  </si>
  <si>
    <t>309.18亿</t>
  </si>
  <si>
    <t>4.06亿</t>
  </si>
  <si>
    <t>263.41亿</t>
  </si>
  <si>
    <t>402.71亿</t>
  </si>
  <si>
    <t>32.14亿</t>
  </si>
  <si>
    <t>463.40亿</t>
  </si>
  <si>
    <t>41.54亿</t>
  </si>
  <si>
    <t>1.40亿</t>
  </si>
  <si>
    <t>32.30亿</t>
  </si>
  <si>
    <t>138.30亿</t>
  </si>
  <si>
    <t>11.67亿</t>
  </si>
  <si>
    <t>-9547.15万</t>
  </si>
  <si>
    <t>-1.04亿</t>
  </si>
  <si>
    <t>37.86亿</t>
  </si>
  <si>
    <t>31.15亿</t>
  </si>
  <si>
    <t>109.74亿</t>
  </si>
  <si>
    <t>10派1.3元(含税)</t>
  </si>
  <si>
    <t>142.30亿</t>
  </si>
  <si>
    <t>10转4股派10元(含税)</t>
  </si>
  <si>
    <t>-1.01亿</t>
  </si>
  <si>
    <t>21.56亿</t>
  </si>
  <si>
    <t>8006.83万</t>
  </si>
  <si>
    <t>7034.99万</t>
  </si>
  <si>
    <t>20.04亿</t>
  </si>
  <si>
    <t>4.00亿</t>
  </si>
  <si>
    <t>7860.86万</t>
  </si>
  <si>
    <t>4.49亿</t>
  </si>
  <si>
    <t>4750.35万</t>
  </si>
  <si>
    <t>69.19亿</t>
  </si>
  <si>
    <t>-6.74亿</t>
  </si>
  <si>
    <t>5.32亿</t>
  </si>
  <si>
    <t>-2.15亿</t>
  </si>
  <si>
    <t>6.32亿</t>
  </si>
  <si>
    <t>68.58亿</t>
  </si>
  <si>
    <t>1.54亿</t>
  </si>
  <si>
    <t>33.16亿</t>
  </si>
  <si>
    <t>3.32亿</t>
  </si>
  <si>
    <t>1.91亿</t>
  </si>
  <si>
    <t>3.10亿</t>
  </si>
  <si>
    <t>5.19亿</t>
  </si>
  <si>
    <t>3.48亿</t>
  </si>
  <si>
    <t>6.02亿</t>
  </si>
  <si>
    <t>3.69亿</t>
  </si>
  <si>
    <t>美利信</t>
  </si>
  <si>
    <t>4.29亿</t>
  </si>
  <si>
    <t>2.78亿</t>
  </si>
  <si>
    <t>2.08亿</t>
  </si>
  <si>
    <t>涨幅%</t>
  </si>
  <si>
    <t>成交量[20230512]</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</si>
  <si>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</si>
  <si>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</si>
  <si>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</si>
  <si>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</si>
  <si>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</si>
  <si>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</si>
  <si>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</si>
  <si>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</si>
  <si>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</si>
  <si>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</si>
  <si>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</si>
  <si>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</si>
  <si>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</si>
  <si>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</si>
  <si>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</si>
  <si>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</si>
  <si>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</si>
  <si>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</si>
  <si>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</si>
  <si>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</si>
  <si>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</si>
  <si>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</si>
  <si>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</si>
  <si>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</si>
  <si>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</si>
  <si>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</si>
  <si>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</si>
  <si>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</si>
  <si>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</si>
  <si>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</si>
  <si>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</si>
  <si>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</si>
  <si>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</si>
  <si>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</si>
  <si>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</si>
  <si>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</si>
  <si>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</si>
  <si>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</si>
  <si>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</si>
  <si>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</si>
  <si>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</si>
  <si>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</si>
  <si>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区间涨跌幅:前复权%[20230508-20230512]</t>
  </si>
  <si>
    <t>区间涨跌幅:前复权%[20230328-20230512]</t>
  </si>
  <si>
    <t>区间成交量[20230508-20230512]</t>
  </si>
  <si>
    <t>区间成交量[20230328-20230512]</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</si>
  <si>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</si>
  <si>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</si>
  <si>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</si>
  <si>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</si>
  <si>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</si>
  <si>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</si>
  <si>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</si>
  <si>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</si>
  <si>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</si>
  <si>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</si>
  <si>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</si>
  <si>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</si>
  <si>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</si>
  <si>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</si>
  <si>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</si>
  <si>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</si>
  <si>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</si>
  <si>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</si>
  <si>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</si>
  <si>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</si>
  <si>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</si>
  <si>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</si>
  <si>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</si>
  <si>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</si>
  <si>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</si>
  <si>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</si>
  <si>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</si>
  <si>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</si>
  <si>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</si>
  <si>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</si>
  <si>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</si>
  <si>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</si>
  <si>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</si>
  <si>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</si>
  <si>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</si>
  <si>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</si>
  <si>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</si>
  <si>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</si>
  <si>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</si>
  <si>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</si>
  <si>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</si>
  <si>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</si>
  <si>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3.57亿</t>
  </si>
  <si>
    <t>SZ301202</t>
  </si>
  <si>
    <t>朗威股份</t>
  </si>
  <si>
    <t>8.94亿</t>
  </si>
  <si>
    <t>5780.49万</t>
  </si>
  <si>
    <t>5964.52万</t>
  </si>
  <si>
    <t>1.60亿</t>
  </si>
  <si>
    <t>2.41亿</t>
  </si>
  <si>
    <t>1.通讯模组以及生态，重点在蜂窝模组，wifi&amp;bt模组，gnss模组，物联网云平台，以及无线通讯的各种天线;2.问：公司最大的下游客户行业是什么？
答：现阶段是车载行业，未来要看市场环境及客户需求的变化情况。</t>
    <phoneticPr fontId="1" type="noConversion"/>
  </si>
  <si>
    <t>2.21亿</t>
  </si>
  <si>
    <t>2.86亿</t>
  </si>
  <si>
    <t>2.12亿</t>
  </si>
  <si>
    <t>3.99亿</t>
  </si>
  <si>
    <t>-2-0</t>
  </si>
  <si>
    <t>SH688592</t>
  </si>
  <si>
    <t>司南导航</t>
  </si>
  <si>
    <t>2915.12万</t>
  </si>
  <si>
    <t>6.91亿</t>
  </si>
  <si>
    <t>9.72亿</t>
  </si>
  <si>
    <t>7.00亿</t>
  </si>
  <si>
    <t>6.00亿</t>
  </si>
  <si>
    <t>5.72亿</t>
  </si>
  <si>
    <t>8.08亿</t>
  </si>
  <si>
    <t>5.01亿</t>
  </si>
  <si>
    <t>2.34亿</t>
  </si>
  <si>
    <t>12.96亿</t>
  </si>
  <si>
    <t>6.39亿</t>
  </si>
  <si>
    <t>7.98亿</t>
  </si>
  <si>
    <t>5.16亿</t>
  </si>
  <si>
    <t>1.74亿</t>
  </si>
  <si>
    <t>2.35亿</t>
  </si>
  <si>
    <t>5.11亿</t>
  </si>
  <si>
    <t>6.66亿</t>
  </si>
  <si>
    <t>6.15亿</t>
  </si>
  <si>
    <t>5.61亿</t>
  </si>
  <si>
    <t>11.71亿</t>
  </si>
  <si>
    <t>2.23亿</t>
  </si>
  <si>
    <t>3.94亿</t>
  </si>
  <si>
    <t>7.72亿</t>
  </si>
  <si>
    <t>7.26亿</t>
  </si>
  <si>
    <t>3.25亿</t>
  </si>
  <si>
    <t>3.23亿</t>
  </si>
  <si>
    <t>6.64亿</t>
  </si>
  <si>
    <t>2.57亿</t>
  </si>
  <si>
    <t>2.53亿</t>
  </si>
  <si>
    <t>8.75亿</t>
  </si>
  <si>
    <t>2.02亿</t>
  </si>
  <si>
    <t>2.91亿</t>
  </si>
  <si>
    <t>11.37亿</t>
  </si>
  <si>
    <t>1.61亿</t>
  </si>
  <si>
    <t>7.32亿</t>
  </si>
  <si>
    <t>7.16亿</t>
  </si>
  <si>
    <t>5828.79万</t>
  </si>
  <si>
    <t>5154.59万</t>
  </si>
  <si>
    <t>3274.49万</t>
  </si>
  <si>
    <t>4.19亿</t>
  </si>
  <si>
    <t>1.15亿</t>
  </si>
  <si>
    <t>中天科技</t>
  </si>
  <si>
    <t>12.62亿</t>
  </si>
  <si>
    <t>2.98亿</t>
  </si>
  <si>
    <t>11.35亿</t>
  </si>
  <si>
    <t>4.33亿</t>
  </si>
  <si>
    <t>2.72亿</t>
  </si>
  <si>
    <t>2820.30万</t>
  </si>
  <si>
    <t>1214.75万</t>
  </si>
  <si>
    <t>912.22万</t>
  </si>
  <si>
    <t>1.中际旭创、华工科技专注于模块生产，而新易盛、
光迅科技同时从事组件生产;</t>
    <phoneticPr fontId="1" type="noConversion"/>
  </si>
  <si>
    <r>
      <t>1.中际旭创 2021 年光模块</t>
    </r>
    <r>
      <rPr>
        <sz val="9"/>
        <color rgb="FFFF0000"/>
        <rFont val="宋体"/>
        <family val="3"/>
        <charset val="134"/>
        <scheme val="minor"/>
      </rPr>
      <t>市占率 10%</t>
    </r>
    <r>
      <rPr>
        <sz val="9"/>
        <color theme="1"/>
        <rFont val="宋体"/>
        <family val="2"/>
        <charset val="134"/>
        <scheme val="minor"/>
      </rPr>
      <t>，位居行业第
二，海信宽带、光迅科技位列前五位，中国企业在光模块行业具备显著优势。</t>
    </r>
    <r>
      <rPr>
        <sz val="9"/>
        <color theme="1"/>
        <rFont val="宋体"/>
        <family val="3"/>
        <charset val="134"/>
        <scheme val="minor"/>
      </rPr>
      <t>2.细分市场来看，互联网云厂商等专业服务领域行业客户仍是主要需求方，其次为地方政府、银行和通讯领域，预计到 2026 年占比分别为29.3%、8.9%、7.8%和 7%。其中</t>
    </r>
    <r>
      <rPr>
        <sz val="9"/>
        <color rgb="FFFF0000"/>
        <rFont val="宋体"/>
        <family val="3"/>
        <charset val="134"/>
        <scheme val="minor"/>
      </rPr>
      <t>银行和地方政府增速最快，五年 CAGR 超 23%</t>
    </r>
    <r>
      <rPr>
        <sz val="9"/>
        <color theme="1"/>
        <rFont val="宋体"/>
        <family val="3"/>
        <charset val="134"/>
        <scheme val="minor"/>
      </rPr>
      <t>。3.</t>
    </r>
    <phoneticPr fontId="1" type="noConversion"/>
  </si>
  <si>
    <t>-2-1</t>
  </si>
  <si>
    <t>6.16亿</t>
  </si>
  <si>
    <t>3.40亿</t>
  </si>
  <si>
    <t>-3-1</t>
  </si>
  <si>
    <t>2.85亿</t>
  </si>
  <si>
    <t>6.96亿</t>
  </si>
  <si>
    <t>15.88亿</t>
  </si>
  <si>
    <t>8.85亿</t>
  </si>
  <si>
    <t>9.54亿</t>
  </si>
  <si>
    <t>11.08亿</t>
  </si>
  <si>
    <t>19.64亿</t>
  </si>
  <si>
    <t>日海智能</t>
  </si>
  <si>
    <t>-3.39亿</t>
  </si>
  <si>
    <t>3000.00万</t>
  </si>
  <si>
    <t>3.56亿</t>
  </si>
  <si>
    <t>7.41亿</t>
  </si>
  <si>
    <t>11.23亿</t>
  </si>
  <si>
    <t>5.83亿</t>
  </si>
  <si>
    <t>7.59亿</t>
  </si>
  <si>
    <t>6.85亿</t>
  </si>
  <si>
    <t>1.64亿</t>
  </si>
  <si>
    <t>9.93亿</t>
  </si>
  <si>
    <t>16.81亿</t>
  </si>
  <si>
    <t>10.67亿</t>
  </si>
  <si>
    <t>15.56亿</t>
  </si>
  <si>
    <t>5.30亿</t>
  </si>
  <si>
    <t>17.22亿</t>
  </si>
  <si>
    <t>4000.00万</t>
  </si>
  <si>
    <t>5385.00万</t>
  </si>
  <si>
    <t>9.53亿</t>
  </si>
  <si>
    <t>5.85亿</t>
  </si>
  <si>
    <t>14.20亿</t>
  </si>
  <si>
    <t>6.34亿</t>
  </si>
  <si>
    <t>13.01亿</t>
  </si>
  <si>
    <t>5.06亿</t>
  </si>
  <si>
    <t>13.21亿</t>
  </si>
  <si>
    <t>6.51亿</t>
  </si>
  <si>
    <t>7.93亿</t>
  </si>
  <si>
    <t>7.02亿</t>
  </si>
  <si>
    <t>-1.11亿</t>
  </si>
  <si>
    <t>14.99亿</t>
  </si>
  <si>
    <t>7.62亿</t>
  </si>
  <si>
    <t>2.11亿</t>
  </si>
  <si>
    <t>4.57亿</t>
  </si>
  <si>
    <t>6.88亿</t>
  </si>
  <si>
    <t>1.50亿</t>
  </si>
  <si>
    <t>3.86亿</t>
  </si>
  <si>
    <t>5.24亿</t>
  </si>
  <si>
    <t>7.27亿</t>
  </si>
  <si>
    <t>12.00亿</t>
  </si>
  <si>
    <t>5.26亿</t>
  </si>
  <si>
    <t>3.17亿</t>
  </si>
  <si>
    <t>2.59亿</t>
  </si>
  <si>
    <t>15.17亿</t>
  </si>
  <si>
    <t>14.90亿</t>
  </si>
  <si>
    <t>14.17亿</t>
  </si>
  <si>
    <t>7.79亿</t>
  </si>
  <si>
    <t>SZ301577</t>
  </si>
  <si>
    <t>美信科技</t>
  </si>
  <si>
    <t>16.85亿</t>
  </si>
  <si>
    <t>5.66亿</t>
  </si>
  <si>
    <t>1.84亿</t>
  </si>
  <si>
    <t>8.35亿</t>
  </si>
  <si>
    <t>2.00亿</t>
  </si>
  <si>
    <t>2.96亿</t>
  </si>
  <si>
    <t>21.54亿</t>
  </si>
  <si>
    <t>22.49亿</t>
  </si>
  <si>
    <t>4.51亿</t>
  </si>
  <si>
    <t>9.86亿</t>
  </si>
  <si>
    <t>21.64亿</t>
  </si>
  <si>
    <t>-2.74亿</t>
  </si>
  <si>
    <t>-4-1</t>
  </si>
  <si>
    <t>ST天喻</t>
  </si>
  <si>
    <t>4-0</t>
  </si>
  <si>
    <t>1.在光模块领域，硅光方案现在得到了很大的市场关注度，这块目前还是海外厂商占主导地位，英特尔大概占了53%、Cisco大概占了30%。</t>
    <phoneticPr fontId="1" type="noConversion"/>
  </si>
  <si>
    <t>-3-0</t>
  </si>
  <si>
    <t>-1-0</t>
  </si>
  <si>
    <t>3-1</t>
  </si>
  <si>
    <t>&lt;-折合年化收益</t>
    <phoneticPr fontId="1" type="noConversion"/>
  </si>
  <si>
    <t>&lt;-增速</t>
    <phoneticPr fontId="1" type="noConversion"/>
  </si>
  <si>
    <t>&lt;-估值</t>
    <phoneticPr fontId="1" type="noConversion"/>
  </si>
  <si>
    <t>&lt;-PEG</t>
    <phoneticPr fontId="1" type="noConversion"/>
  </si>
  <si>
    <r>
      <t>0.</t>
    </r>
    <r>
      <rPr>
        <sz val="9"/>
        <color rgb="FFFF0000"/>
        <rFont val="宋体"/>
        <family val="3"/>
        <charset val="134"/>
        <scheme val="minor"/>
      </rPr>
      <t>SIP话机市场占有率为全球第一</t>
    </r>
    <r>
      <rPr>
        <sz val="9"/>
        <color theme="1"/>
        <rFont val="宋体"/>
        <family val="2"/>
        <charset val="134"/>
        <scheme val="minor"/>
      </rPr>
      <t>;1.SIP电话机竞争对手：亿联网络、思科、Poly、潮流网络、广州亿景、 深圳方位；2.视频会议电话：国内基于硬件的传统视频会议市场格局稳定，以华为、苏州科达、中兴通讯、 Poly 等企业为主。其中</t>
    </r>
    <r>
      <rPr>
        <sz val="9"/>
        <color rgb="FFFF0000"/>
        <rFont val="宋体"/>
        <family val="3"/>
        <charset val="134"/>
        <scheme val="minor"/>
      </rPr>
      <t>华为位居国内榜首，份额达到了 36.5%</t>
    </r>
    <r>
      <rPr>
        <sz val="9"/>
        <color theme="1"/>
        <rFont val="宋体"/>
        <family val="2"/>
        <charset val="134"/>
        <scheme val="minor"/>
      </rPr>
      <t>。</t>
    </r>
    <phoneticPr fontId="1" type="noConversion"/>
  </si>
  <si>
    <t>3-0</t>
  </si>
  <si>
    <r>
      <t>1.一季度营业总收入：11.64亿元同比增长30.95%，</t>
    </r>
    <r>
      <rPr>
        <sz val="9"/>
        <color rgb="FFFF0000"/>
        <rFont val="宋体"/>
        <family val="3"/>
        <charset val="134"/>
        <scheme val="minor"/>
      </rPr>
      <t>净利润：5.69亿元 同比增长34.45%</t>
    </r>
    <r>
      <rPr>
        <sz val="9"/>
        <color theme="1"/>
        <rFont val="宋体"/>
        <family val="2"/>
        <charset val="134"/>
        <scheme val="minor"/>
      </rPr>
      <t>;原因：2024年第一季度，公司实现了较为快速的业绩增长，表明公司业务向好的趋势延续。从业务层面来看，目前经销商整体库存量已回归至健康、合理的水平，同时下游需求恢复增长，使得三条产品线均得到较好的恢复。其中，会议产品、云办公终端增长较为明显，公司第二、三增长曲线的竞争力持续提升、发展节奏保持稳健。2.公司拥有自主品牌 Yealink，客户覆盖美国、英国、澳大利亚等 140多个国家和地区，包括美国 Verizon、英国电信、德国电信等全球知名电信运营商。</t>
    </r>
    <phoneticPr fontId="1" type="noConversion"/>
  </si>
  <si>
    <t>-4-0</t>
  </si>
  <si>
    <t>10.83亿</t>
  </si>
  <si>
    <t>2-0</t>
  </si>
  <si>
    <t>5.60亿</t>
  </si>
  <si>
    <t>5-0</t>
  </si>
  <si>
    <t>3.19亿</t>
  </si>
  <si>
    <t>4.96亿</t>
  </si>
  <si>
    <t>1.75亿</t>
  </si>
  <si>
    <t>7.07亿</t>
  </si>
  <si>
    <t>1326.27亿</t>
  </si>
  <si>
    <t>712.49亿</t>
  </si>
  <si>
    <t>305.78亿</t>
  </si>
  <si>
    <t>1242.51亿</t>
  </si>
  <si>
    <t>93.26亿</t>
  </si>
  <si>
    <t>275.08亿</t>
  </si>
  <si>
    <t>177.29亿</t>
  </si>
  <si>
    <t>20.38亿</t>
  </si>
  <si>
    <t>-131304000亿</t>
  </si>
  <si>
    <t>872.60万</t>
  </si>
  <si>
    <t>2649236000亿</t>
  </si>
  <si>
    <t>868.79亿</t>
  </si>
  <si>
    <t>19819165000亿</t>
  </si>
  <si>
    <t>166076860000亿</t>
  </si>
  <si>
    <t>10.46亿</t>
  </si>
  <si>
    <t>90.37亿</t>
  </si>
  <si>
    <t>117.60亿</t>
  </si>
  <si>
    <t>191.22亿</t>
  </si>
  <si>
    <t>849.44亿</t>
  </si>
  <si>
    <t>450.50亿</t>
  </si>
  <si>
    <t>29.83亿</t>
  </si>
  <si>
    <t>-150.61亿</t>
  </si>
  <si>
    <t>59.59亿</t>
  </si>
  <si>
    <t>291.43亿</t>
  </si>
  <si>
    <t>26.42亿</t>
  </si>
  <si>
    <t>10派6.83元(含税)</t>
  </si>
  <si>
    <t>ST特信</t>
  </si>
  <si>
    <t>55.99亿</t>
  </si>
  <si>
    <t>24.99亿</t>
  </si>
  <si>
    <t>10.70亿</t>
  </si>
  <si>
    <t>49.37亿</t>
  </si>
  <si>
    <t>-2.72亿</t>
  </si>
  <si>
    <t>2877.52万</t>
  </si>
  <si>
    <t>3955.38万</t>
  </si>
  <si>
    <t>51325655亿</t>
  </si>
  <si>
    <t>115.47万</t>
  </si>
  <si>
    <t>-39071107亿</t>
  </si>
  <si>
    <t>2168929300亿</t>
  </si>
  <si>
    <t>5899703900亿</t>
  </si>
  <si>
    <t>3339.05万</t>
  </si>
  <si>
    <t>11.64亿</t>
  </si>
  <si>
    <t>15.63亿</t>
  </si>
  <si>
    <t>90.92万</t>
  </si>
  <si>
    <t>39.07亿</t>
  </si>
  <si>
    <t>13.47亿</t>
  </si>
  <si>
    <t>-1.73亿</t>
  </si>
  <si>
    <t>1334.90万</t>
  </si>
  <si>
    <t>-1035.88万</t>
  </si>
  <si>
    <t>-7-1</t>
  </si>
  <si>
    <t>6026.36万</t>
  </si>
  <si>
    <t>1993.91万</t>
  </si>
  <si>
    <t>6780.98万</t>
  </si>
  <si>
    <t>4251.13万</t>
  </si>
  <si>
    <t>884.41万</t>
  </si>
  <si>
    <t>1032.73万</t>
  </si>
  <si>
    <t>-2209322亿</t>
  </si>
  <si>
    <t>227849210亿</t>
  </si>
  <si>
    <t>398.64万</t>
  </si>
  <si>
    <t>465022450亿</t>
  </si>
  <si>
    <t>90.14万</t>
  </si>
  <si>
    <t>3003.85万</t>
  </si>
  <si>
    <t>6130.23万</t>
  </si>
  <si>
    <t>17.56万</t>
  </si>
  <si>
    <t>1947.82万</t>
  </si>
  <si>
    <t>-71.91万</t>
  </si>
  <si>
    <t>342.16万</t>
  </si>
  <si>
    <t>507.68万</t>
  </si>
  <si>
    <t>ST富通</t>
  </si>
  <si>
    <t>13.98亿</t>
  </si>
  <si>
    <t>5662.15万</t>
  </si>
  <si>
    <t>-2.28亿</t>
  </si>
  <si>
    <t>8710.54万</t>
  </si>
  <si>
    <t>3576.07万</t>
  </si>
  <si>
    <t>107.85万</t>
  </si>
  <si>
    <t>3540.58万</t>
  </si>
  <si>
    <t>4881亿</t>
  </si>
  <si>
    <t>1.95万</t>
  </si>
  <si>
    <t>-34194235亿</t>
  </si>
  <si>
    <t>2711.49万</t>
  </si>
  <si>
    <t>438843040亿</t>
  </si>
  <si>
    <t>1469286100亿</t>
  </si>
  <si>
    <t>1011.12万</t>
  </si>
  <si>
    <t>5.95亿</t>
  </si>
  <si>
    <t>12.43亿</t>
  </si>
  <si>
    <t>617.10万</t>
  </si>
  <si>
    <t>-92.63万</t>
  </si>
  <si>
    <t>-403.48万</t>
  </si>
  <si>
    <t>1267.42万</t>
  </si>
  <si>
    <t>6745.19万</t>
  </si>
  <si>
    <t>-3121.52万</t>
  </si>
  <si>
    <t>-11-1</t>
  </si>
  <si>
    <t>ST高鸿</t>
  </si>
  <si>
    <t>48.01亿</t>
  </si>
  <si>
    <t>32.91亿</t>
  </si>
  <si>
    <t>8.45亿</t>
  </si>
  <si>
    <t>59.31亿</t>
  </si>
  <si>
    <t>-15.56亿</t>
  </si>
  <si>
    <t>8.15亿</t>
  </si>
  <si>
    <t>2567.96万</t>
  </si>
  <si>
    <t>2263.60万</t>
  </si>
  <si>
    <t>166067940亿</t>
  </si>
  <si>
    <t>2.48万</t>
  </si>
  <si>
    <t>-60162201亿</t>
  </si>
  <si>
    <t>8.56亿</t>
  </si>
  <si>
    <t>1311717500亿</t>
  </si>
  <si>
    <t>1983.04万</t>
  </si>
  <si>
    <t>4465754000亿</t>
  </si>
  <si>
    <t>8.05亿</t>
  </si>
  <si>
    <t>7.66亿</t>
  </si>
  <si>
    <t>31.87亿</t>
  </si>
  <si>
    <t>3709.50万</t>
  </si>
  <si>
    <t>-1.56亿</t>
  </si>
  <si>
    <t>1945.25万</t>
  </si>
  <si>
    <t>1924.44万</t>
  </si>
  <si>
    <t>12.26亿</t>
  </si>
  <si>
    <t>794.67万</t>
  </si>
  <si>
    <t>17.09亿</t>
  </si>
  <si>
    <t>3.60亿</t>
  </si>
  <si>
    <t>13.82亿</t>
  </si>
  <si>
    <t>1805.85万</t>
  </si>
  <si>
    <t>1151.63万</t>
  </si>
  <si>
    <t>-427114亿</t>
  </si>
  <si>
    <t>2.35万</t>
  </si>
  <si>
    <t>42326210亿</t>
  </si>
  <si>
    <t>18.13亿</t>
  </si>
  <si>
    <t>160222940亿</t>
  </si>
  <si>
    <t>240.09万</t>
  </si>
  <si>
    <t>2748963700亿</t>
  </si>
  <si>
    <t>1305.92万</t>
  </si>
  <si>
    <t>7312.50万</t>
  </si>
  <si>
    <t>12.66亿</t>
  </si>
  <si>
    <t>954.18万</t>
  </si>
  <si>
    <t>-310.91万</t>
  </si>
  <si>
    <t>-11.23万</t>
  </si>
  <si>
    <t>9174.31万</t>
  </si>
  <si>
    <t>3.50亿</t>
  </si>
  <si>
    <t>3557.61万</t>
  </si>
  <si>
    <t>1.58亿</t>
  </si>
  <si>
    <t>1324.28万</t>
  </si>
  <si>
    <t>1606.63万</t>
  </si>
  <si>
    <t>2733162亿</t>
  </si>
  <si>
    <t>17201646亿</t>
  </si>
  <si>
    <t>210171830亿</t>
  </si>
  <si>
    <t>2016135700亿</t>
  </si>
  <si>
    <t>23.17万</t>
  </si>
  <si>
    <t>1500.00万</t>
  </si>
  <si>
    <t>1770.16万</t>
  </si>
  <si>
    <t>5310.00万</t>
  </si>
  <si>
    <t>-9385.64万</t>
  </si>
  <si>
    <t>4170.49万</t>
  </si>
  <si>
    <t>8725.28万</t>
  </si>
  <si>
    <t>11.36亿</t>
  </si>
  <si>
    <t>9.47亿</t>
  </si>
  <si>
    <t>3.04亿</t>
  </si>
  <si>
    <t>3427.34万</t>
  </si>
  <si>
    <t>4.88亿</t>
  </si>
  <si>
    <t>25.74亿</t>
  </si>
  <si>
    <t>8414.95万</t>
  </si>
  <si>
    <t>263.58万</t>
  </si>
  <si>
    <t>1517.06万</t>
  </si>
  <si>
    <t>-143921亿</t>
  </si>
  <si>
    <t>2.71万</t>
  </si>
  <si>
    <t>296119亿</t>
  </si>
  <si>
    <t>15.04亿</t>
  </si>
  <si>
    <t>312556330亿</t>
  </si>
  <si>
    <t>123.53万</t>
  </si>
  <si>
    <t>2174012000亿</t>
  </si>
  <si>
    <t>1088.47万</t>
  </si>
  <si>
    <t>4386.85万</t>
  </si>
  <si>
    <t>124.26万</t>
  </si>
  <si>
    <t>317.85万</t>
  </si>
  <si>
    <t>-1602.93万</t>
  </si>
  <si>
    <t>-105.98万</t>
  </si>
  <si>
    <t>4468.34万</t>
  </si>
  <si>
    <t>35.95亿</t>
  </si>
  <si>
    <t>85.38亿</t>
  </si>
  <si>
    <t>12.91亿</t>
  </si>
  <si>
    <t>60.61亿</t>
  </si>
  <si>
    <t>12.09亿</t>
  </si>
  <si>
    <t>10.00亿</t>
  </si>
  <si>
    <t>4296.45万</t>
  </si>
  <si>
    <t>3872.37万</t>
  </si>
  <si>
    <t>-2633050亿</t>
  </si>
  <si>
    <t>8.60万</t>
  </si>
  <si>
    <t>73315846亿</t>
  </si>
  <si>
    <t>37.03亿</t>
  </si>
  <si>
    <t>1654922000亿</t>
  </si>
  <si>
    <t>9086916600亿</t>
  </si>
  <si>
    <t>8.69亿</t>
  </si>
  <si>
    <t>15.11亿</t>
  </si>
  <si>
    <t>30.48亿</t>
  </si>
  <si>
    <t>-6717.27万</t>
  </si>
  <si>
    <t>9113.79万</t>
  </si>
  <si>
    <t>-5536.66万</t>
  </si>
  <si>
    <t>10派2.4元(含税)</t>
  </si>
  <si>
    <t>21.50亿</t>
  </si>
  <si>
    <t>7.40亿</t>
  </si>
  <si>
    <t>7099.27万</t>
  </si>
  <si>
    <t>662.62万</t>
  </si>
  <si>
    <t>1710.55万</t>
  </si>
  <si>
    <t>4522490亿</t>
  </si>
  <si>
    <t>1.64万</t>
  </si>
  <si>
    <t>79507742亿</t>
  </si>
  <si>
    <t>492257650亿</t>
  </si>
  <si>
    <t>5174.13万</t>
  </si>
  <si>
    <t>1635266500亿</t>
  </si>
  <si>
    <t>2441.92万</t>
  </si>
  <si>
    <t>4.83亿</t>
  </si>
  <si>
    <t>561.95万</t>
  </si>
  <si>
    <t>-5584.64万</t>
  </si>
  <si>
    <t>4519.34万</t>
  </si>
  <si>
    <t>2383.18万</t>
  </si>
  <si>
    <t>34.59亿</t>
  </si>
  <si>
    <t>8.07亿</t>
  </si>
  <si>
    <t>28.30亿</t>
  </si>
  <si>
    <t>-3.65亿</t>
  </si>
  <si>
    <t>2400.23万</t>
  </si>
  <si>
    <t>4983.68万</t>
  </si>
  <si>
    <t>-17945亿</t>
  </si>
  <si>
    <t>99.70万</t>
  </si>
  <si>
    <t>-8183766亿</t>
  </si>
  <si>
    <t>1096038610亿</t>
  </si>
  <si>
    <t>2830.32万</t>
  </si>
  <si>
    <t>2358504700亿</t>
  </si>
  <si>
    <t>13.91亿</t>
  </si>
  <si>
    <t>430.09万</t>
  </si>
  <si>
    <t>11.97亿</t>
  </si>
  <si>
    <t>32.47亿</t>
  </si>
  <si>
    <t>-8729.13万</t>
  </si>
  <si>
    <t>-2070.84万</t>
  </si>
  <si>
    <t>-12.75亿</t>
  </si>
  <si>
    <t>-1.64亿</t>
  </si>
  <si>
    <t>-7.66亿</t>
  </si>
  <si>
    <t>6274.29万</t>
  </si>
  <si>
    <t>6.35亿</t>
  </si>
  <si>
    <t>-7265.35万</t>
  </si>
  <si>
    <t>63.03亿</t>
  </si>
  <si>
    <t>91.18亿</t>
  </si>
  <si>
    <t>31.39亿</t>
  </si>
  <si>
    <t>159.08亿</t>
  </si>
  <si>
    <t>32.51亿</t>
  </si>
  <si>
    <t>20.48亿</t>
  </si>
  <si>
    <t>4.89亿</t>
  </si>
  <si>
    <t>-809112亿</t>
  </si>
  <si>
    <t>221.21万</t>
  </si>
  <si>
    <t>330483亿</t>
  </si>
  <si>
    <t>33.03亿</t>
  </si>
  <si>
    <t>2495152400亿</t>
  </si>
  <si>
    <t>5899.09万</t>
  </si>
  <si>
    <t>10717108300亿</t>
  </si>
  <si>
    <t>9518.32万</t>
  </si>
  <si>
    <t>11.77亿</t>
  </si>
  <si>
    <t>16.44亿</t>
  </si>
  <si>
    <t>54.78亿</t>
  </si>
  <si>
    <t>-19.00亿</t>
  </si>
  <si>
    <t>-2.65亿</t>
  </si>
  <si>
    <t>33.53亿</t>
  </si>
  <si>
    <t>8088.59万</t>
  </si>
  <si>
    <t>10派2.5元(含税)</t>
  </si>
  <si>
    <t>34.08亿</t>
  </si>
  <si>
    <t>24.52亿</t>
  </si>
  <si>
    <t>33.49亿</t>
  </si>
  <si>
    <t>6.20亿</t>
  </si>
  <si>
    <t>2346.13万</t>
  </si>
  <si>
    <t>3922.98万</t>
  </si>
  <si>
    <t>-352821亿</t>
  </si>
  <si>
    <t>57.65万</t>
  </si>
  <si>
    <t>25673072亿</t>
  </si>
  <si>
    <t>1222412670亿</t>
  </si>
  <si>
    <t>3726653400亿</t>
  </si>
  <si>
    <t>2264.04万</t>
  </si>
  <si>
    <t>17.51亿</t>
  </si>
  <si>
    <t>6.89亿</t>
  </si>
  <si>
    <t>-8364.56万</t>
  </si>
  <si>
    <t>-5259.93万</t>
  </si>
  <si>
    <t>2699.78万</t>
  </si>
  <si>
    <t>7.44亿</t>
  </si>
  <si>
    <t>0711000000</t>
  </si>
  <si>
    <t>01422000000</t>
  </si>
  <si>
    <t>02370000000</t>
  </si>
  <si>
    <t>04740000000</t>
  </si>
  <si>
    <t>57.79亿</t>
  </si>
  <si>
    <t>61.20亿</t>
  </si>
  <si>
    <t>-3.88亿</t>
  </si>
  <si>
    <t>11.99亿</t>
  </si>
  <si>
    <t>105873亿</t>
  </si>
  <si>
    <t>86316255亿</t>
  </si>
  <si>
    <t>2501124000亿</t>
  </si>
  <si>
    <t>7105432700亿</t>
  </si>
  <si>
    <t>19.62亿</t>
  </si>
  <si>
    <t>9.78亿</t>
  </si>
  <si>
    <t>46.23亿</t>
  </si>
  <si>
    <t>2141.21万</t>
  </si>
  <si>
    <t>-5327.42万</t>
  </si>
  <si>
    <t>8.57亿</t>
  </si>
  <si>
    <t>-5632.52万</t>
  </si>
  <si>
    <t>-1-1</t>
  </si>
  <si>
    <t>9.12亿</t>
  </si>
  <si>
    <t>28.09亿</t>
  </si>
  <si>
    <t>12.94亿</t>
  </si>
  <si>
    <t>8118.76万</t>
  </si>
  <si>
    <t>1734.83万</t>
  </si>
  <si>
    <t>1655.05万</t>
  </si>
  <si>
    <t>1858954亿</t>
  </si>
  <si>
    <t>1499821亿</t>
  </si>
  <si>
    <t>568428810亿</t>
  </si>
  <si>
    <t>2877360300亿</t>
  </si>
  <si>
    <t>156.65万</t>
  </si>
  <si>
    <t>6328.70万</t>
  </si>
  <si>
    <t>7.67亿</t>
  </si>
  <si>
    <t>-8233.35万</t>
  </si>
  <si>
    <t>7778.53万</t>
  </si>
  <si>
    <t>-51.25万</t>
  </si>
  <si>
    <t>3429.51万</t>
  </si>
  <si>
    <t>10转3股派2元(含税)</t>
  </si>
  <si>
    <t>6.09亿</t>
  </si>
  <si>
    <t>8.43亿</t>
  </si>
  <si>
    <t>10.48亿</t>
  </si>
  <si>
    <t>-1468.95万</t>
  </si>
  <si>
    <t>265.16万</t>
  </si>
  <si>
    <t>1163.21万</t>
  </si>
  <si>
    <t>-202683亿</t>
  </si>
  <si>
    <t>3.00万</t>
  </si>
  <si>
    <t>-9812445亿</t>
  </si>
  <si>
    <t>207021270亿</t>
  </si>
  <si>
    <t>761941650亿</t>
  </si>
  <si>
    <t>2158.71万</t>
  </si>
  <si>
    <t>6978.90万</t>
  </si>
  <si>
    <t>9617.00万</t>
  </si>
  <si>
    <t>-1.06亿</t>
  </si>
  <si>
    <t>-919.93万</t>
  </si>
  <si>
    <t>8249.56万</t>
  </si>
  <si>
    <t>-3120.69万</t>
  </si>
  <si>
    <t>-510.29万</t>
  </si>
  <si>
    <t>37.87亿</t>
  </si>
  <si>
    <t>23.67亿</t>
  </si>
  <si>
    <t>15.29亿</t>
  </si>
  <si>
    <t>50.59亿</t>
  </si>
  <si>
    <t>14.21亿</t>
  </si>
  <si>
    <t>12.57亿</t>
  </si>
  <si>
    <t>2943.75万</t>
  </si>
  <si>
    <t>6973.17万</t>
  </si>
  <si>
    <t>-232448亿</t>
  </si>
  <si>
    <t>54.40万</t>
  </si>
  <si>
    <t>81598487亿</t>
  </si>
  <si>
    <t>1384149300亿</t>
  </si>
  <si>
    <t>2761.24万</t>
  </si>
  <si>
    <t>4800188300亿</t>
  </si>
  <si>
    <t>2944.72万</t>
  </si>
  <si>
    <t>5427.66万</t>
  </si>
  <si>
    <t>30.86亿</t>
  </si>
  <si>
    <t>8.64亿</t>
  </si>
  <si>
    <t>690.90万</t>
  </si>
  <si>
    <t>-3386.65万</t>
  </si>
  <si>
    <t>1558.64万</t>
  </si>
  <si>
    <t>17.31亿</t>
  </si>
  <si>
    <t>4.02亿</t>
  </si>
  <si>
    <t>19.16亿</t>
  </si>
  <si>
    <t>1532.22万</t>
  </si>
  <si>
    <t>2483.55万</t>
  </si>
  <si>
    <t>-26915246亿</t>
  </si>
  <si>
    <t>449604820亿</t>
  </si>
  <si>
    <t>1830321600亿</t>
  </si>
  <si>
    <t>8750.09万</t>
  </si>
  <si>
    <t>4.42亿</t>
  </si>
  <si>
    <t>1.28亿</t>
  </si>
  <si>
    <t>148.97万</t>
  </si>
  <si>
    <t>-2735.38万</t>
  </si>
  <si>
    <t>6866.45万</t>
  </si>
  <si>
    <t>567.52万</t>
  </si>
  <si>
    <t>13.42亿</t>
  </si>
  <si>
    <t>60.17亿</t>
  </si>
  <si>
    <t>5.48亿</t>
  </si>
  <si>
    <t>26.76亿</t>
  </si>
  <si>
    <t>4.66亿</t>
  </si>
  <si>
    <t>3.65亿</t>
  </si>
  <si>
    <t>339.06万</t>
  </si>
  <si>
    <t>2305.73万</t>
  </si>
  <si>
    <t>4411822亿</t>
  </si>
  <si>
    <t>16.23万</t>
  </si>
  <si>
    <t>67316430亿</t>
  </si>
  <si>
    <t>16.99亿</t>
  </si>
  <si>
    <t>716146380亿</t>
  </si>
  <si>
    <t>8774.80万</t>
  </si>
  <si>
    <t>5604945700亿</t>
  </si>
  <si>
    <t>9009.49万</t>
  </si>
  <si>
    <t>4.62亿</t>
  </si>
  <si>
    <t>6.47亿</t>
  </si>
  <si>
    <t>78.32万</t>
  </si>
  <si>
    <t>12.97亿</t>
  </si>
  <si>
    <t>-20.61亿</t>
  </si>
  <si>
    <t>-126.05万</t>
  </si>
  <si>
    <t>25.12亿</t>
  </si>
  <si>
    <t>5.87亿</t>
  </si>
  <si>
    <t>8635.78万</t>
  </si>
  <si>
    <t>10转4股派3.9元(含税)</t>
  </si>
  <si>
    <t>15.18亿</t>
  </si>
  <si>
    <t>2.56亿</t>
  </si>
  <si>
    <t>13.36亿</t>
  </si>
  <si>
    <t>7039.60万</t>
  </si>
  <si>
    <t>3359.62万</t>
  </si>
  <si>
    <t>1932.80万</t>
  </si>
  <si>
    <t>658872亿</t>
  </si>
  <si>
    <t>18410565亿</t>
  </si>
  <si>
    <t>731092140亿</t>
  </si>
  <si>
    <t>235.07万</t>
  </si>
  <si>
    <t>1671657800亿</t>
  </si>
  <si>
    <t>9478.96万</t>
  </si>
  <si>
    <t>-4782.30万</t>
  </si>
  <si>
    <t>-8784.28万</t>
  </si>
  <si>
    <t>-257.05万</t>
  </si>
  <si>
    <t>4323.27万</t>
  </si>
  <si>
    <t>10派1.52元(含税)</t>
  </si>
  <si>
    <t>18.93亿</t>
  </si>
  <si>
    <t>45.47亿</t>
  </si>
  <si>
    <t>5.33亿</t>
  </si>
  <si>
    <t>24.95亿</t>
  </si>
  <si>
    <t>-1.70亿</t>
  </si>
  <si>
    <t>4.28亿</t>
  </si>
  <si>
    <t>1453.86万</t>
  </si>
  <si>
    <t>6778.72万</t>
  </si>
  <si>
    <t>-7121137亿</t>
  </si>
  <si>
    <t>31.59万</t>
  </si>
  <si>
    <t>-64469185亿</t>
  </si>
  <si>
    <t>610856270亿</t>
  </si>
  <si>
    <t>1685.79万</t>
  </si>
  <si>
    <t>2391349400亿</t>
  </si>
  <si>
    <t>3464.36万</t>
  </si>
  <si>
    <t>12.53亿</t>
  </si>
  <si>
    <t>7707.27万</t>
  </si>
  <si>
    <t>-5445.55万</t>
  </si>
  <si>
    <t>-8044.58万</t>
  </si>
  <si>
    <t>9377.17万</t>
  </si>
  <si>
    <t>-2028.32万</t>
  </si>
  <si>
    <t>31.48亿</t>
  </si>
  <si>
    <t>6109.32万</t>
  </si>
  <si>
    <t>1328.69万</t>
  </si>
  <si>
    <t>2603.40万</t>
  </si>
  <si>
    <t>461122亿</t>
  </si>
  <si>
    <t>19.63万</t>
  </si>
  <si>
    <t>2809108亿</t>
  </si>
  <si>
    <t>14.24亿</t>
  </si>
  <si>
    <t>289589910亿</t>
  </si>
  <si>
    <t>963.11万</t>
  </si>
  <si>
    <t>2689780400亿</t>
  </si>
  <si>
    <t>1169.71万</t>
  </si>
  <si>
    <t>7518.90万</t>
  </si>
  <si>
    <t>2259.78万</t>
  </si>
  <si>
    <t>22.83万</t>
  </si>
  <si>
    <t>1369.23万</t>
  </si>
  <si>
    <t>061093200</t>
  </si>
  <si>
    <t>0183279600</t>
  </si>
  <si>
    <t>0366559200</t>
  </si>
  <si>
    <t>0610932000</t>
  </si>
  <si>
    <t>01221864000</t>
  </si>
  <si>
    <t>15.06亿</t>
  </si>
  <si>
    <t>14.84亿</t>
  </si>
  <si>
    <t>17.00亿</t>
  </si>
  <si>
    <t>1970.68万</t>
  </si>
  <si>
    <t>2699.83万</t>
  </si>
  <si>
    <t>2309.89万</t>
  </si>
  <si>
    <t>-1033725亿</t>
  </si>
  <si>
    <t>26.60万</t>
  </si>
  <si>
    <t>899283亿</t>
  </si>
  <si>
    <t>663975300亿</t>
  </si>
  <si>
    <t>1524871000亿</t>
  </si>
  <si>
    <t>2543.46万</t>
  </si>
  <si>
    <t>9.63亿</t>
  </si>
  <si>
    <t>6950.00万</t>
  </si>
  <si>
    <t>6560.84万</t>
  </si>
  <si>
    <t>1536.98万</t>
  </si>
  <si>
    <t>-3.00亿</t>
  </si>
  <si>
    <t>8642.64万</t>
  </si>
  <si>
    <t>1825.16万</t>
  </si>
  <si>
    <t>10派0.2元(含税)</t>
  </si>
  <si>
    <t>019706800</t>
  </si>
  <si>
    <t>059120400</t>
  </si>
  <si>
    <t>0118240800</t>
  </si>
  <si>
    <t>0197068000</t>
  </si>
  <si>
    <t>0394136000</t>
  </si>
  <si>
    <t>9.43亿</t>
  </si>
  <si>
    <t>22.06亿</t>
  </si>
  <si>
    <t>6709.53万</t>
  </si>
  <si>
    <t>2421.90万</t>
  </si>
  <si>
    <t>3003.58万</t>
  </si>
  <si>
    <t>1093747亿</t>
  </si>
  <si>
    <t>50.57万</t>
  </si>
  <si>
    <t>-7014266亿</t>
  </si>
  <si>
    <t>1061218370亿</t>
  </si>
  <si>
    <t>7992.23万</t>
  </si>
  <si>
    <t>1937758900亿</t>
  </si>
  <si>
    <t>1495.85万</t>
  </si>
  <si>
    <t>7.89亿</t>
  </si>
  <si>
    <t>-3051.97万</t>
  </si>
  <si>
    <t>-3618.83万</t>
  </si>
  <si>
    <t>-2616.24万</t>
  </si>
  <si>
    <t>-659.85万</t>
  </si>
  <si>
    <t>0201285900</t>
  </si>
  <si>
    <t>0402571800</t>
  </si>
  <si>
    <t>0670953000</t>
  </si>
  <si>
    <t>01341906000</t>
  </si>
  <si>
    <t>52.32亿</t>
  </si>
  <si>
    <t>166.56亿</t>
  </si>
  <si>
    <t>48.43亿</t>
  </si>
  <si>
    <t>107.18亿</t>
  </si>
  <si>
    <t>21.74亿</t>
  </si>
  <si>
    <t>36.98亿</t>
  </si>
  <si>
    <t>32.56亿</t>
  </si>
  <si>
    <t>4482.64万</t>
  </si>
  <si>
    <t>3307359亿</t>
  </si>
  <si>
    <t>562.25万</t>
  </si>
  <si>
    <t>990216570亿</t>
  </si>
  <si>
    <t>36.54亿</t>
  </si>
  <si>
    <t>3295720100亿</t>
  </si>
  <si>
    <t>13324109500亿</t>
  </si>
  <si>
    <t>27.02亿</t>
  </si>
  <si>
    <t>45.38亿</t>
  </si>
  <si>
    <t>-6.66亿</t>
  </si>
  <si>
    <t>18.37亿</t>
  </si>
  <si>
    <t>10转4股派4.5元(含税)</t>
  </si>
  <si>
    <t>7.30亿</t>
  </si>
  <si>
    <t>21.15亿</t>
  </si>
  <si>
    <t>11.63亿</t>
  </si>
  <si>
    <t>7513.89万</t>
  </si>
  <si>
    <t>3862.25万</t>
  </si>
  <si>
    <t>3326.41万</t>
  </si>
  <si>
    <t>-1618768亿</t>
  </si>
  <si>
    <t>1.20万</t>
  </si>
  <si>
    <t>-91236355亿</t>
  </si>
  <si>
    <t>7.70亿</t>
  </si>
  <si>
    <t>773650220亿</t>
  </si>
  <si>
    <t>2258.67万</t>
  </si>
  <si>
    <t>2256224400亿</t>
  </si>
  <si>
    <t>7621.69万</t>
  </si>
  <si>
    <t>3.37亿</t>
  </si>
  <si>
    <t>4.76万</t>
  </si>
  <si>
    <t>12.73亿</t>
  </si>
  <si>
    <t>-6851.86万</t>
  </si>
  <si>
    <t>-2228.18万</t>
  </si>
  <si>
    <t>7234.47万</t>
  </si>
  <si>
    <t>2003.34万</t>
  </si>
  <si>
    <t>-6080.13万</t>
  </si>
  <si>
    <t>36.61亿</t>
  </si>
  <si>
    <t>19.39亿</t>
  </si>
  <si>
    <t>566.85万</t>
  </si>
  <si>
    <t>3364.47万</t>
  </si>
  <si>
    <t>1802585亿</t>
  </si>
  <si>
    <t>10.94万</t>
  </si>
  <si>
    <t>269257760亿</t>
  </si>
  <si>
    <t>22.73亿</t>
  </si>
  <si>
    <t>544628480亿</t>
  </si>
  <si>
    <t>240.35万</t>
  </si>
  <si>
    <t>3250490400亿</t>
  </si>
  <si>
    <t>5558.28万</t>
  </si>
  <si>
    <t>4.93亿</t>
  </si>
  <si>
    <t>9213.68万</t>
  </si>
  <si>
    <t>9.82亿</t>
  </si>
  <si>
    <t>7580.60万</t>
  </si>
  <si>
    <t>2560.80万</t>
  </si>
  <si>
    <t>7776.99万</t>
  </si>
  <si>
    <t>5721.24万</t>
  </si>
  <si>
    <t>778.99万</t>
  </si>
  <si>
    <t>646.59万</t>
  </si>
  <si>
    <t>1468814亿</t>
  </si>
  <si>
    <t>1177217亿</t>
  </si>
  <si>
    <t>189058750亿</t>
  </si>
  <si>
    <t>2525.40万</t>
  </si>
  <si>
    <t>980789340亿</t>
  </si>
  <si>
    <t>4020.56万</t>
  </si>
  <si>
    <t>9734.10万</t>
  </si>
  <si>
    <t>2346.60万</t>
  </si>
  <si>
    <t>317.83万</t>
  </si>
  <si>
    <t>728.97万</t>
  </si>
  <si>
    <t>10派0.15元(含税)</t>
  </si>
  <si>
    <t>9.74亿</t>
  </si>
  <si>
    <t>57.97亿</t>
  </si>
  <si>
    <t>11.13亿</t>
  </si>
  <si>
    <t>30.98亿</t>
  </si>
  <si>
    <t>6.45亿</t>
  </si>
  <si>
    <t>2042.67万</t>
  </si>
  <si>
    <t>2860.88万</t>
  </si>
  <si>
    <t>62.47万</t>
  </si>
  <si>
    <t>324732120亿</t>
  </si>
  <si>
    <t>828938110亿</t>
  </si>
  <si>
    <t>5120516700亿</t>
  </si>
  <si>
    <t>8556.50万</t>
  </si>
  <si>
    <t>9.59亿</t>
  </si>
  <si>
    <t>73.92万</t>
  </si>
  <si>
    <t>14.34亿</t>
  </si>
  <si>
    <t>-1.54亿</t>
  </si>
  <si>
    <t>10派1.55元(含税)</t>
  </si>
  <si>
    <t>22.77亿</t>
  </si>
  <si>
    <t>5.38亿</t>
  </si>
  <si>
    <t>25.54亿</t>
  </si>
  <si>
    <t>2181.80万</t>
  </si>
  <si>
    <t>1477.39万</t>
  </si>
  <si>
    <t>31160亿</t>
  </si>
  <si>
    <t>1.65万</t>
  </si>
  <si>
    <t>22877044亿</t>
  </si>
  <si>
    <t>596247130亿</t>
  </si>
  <si>
    <t>8663.07万</t>
  </si>
  <si>
    <t>2284662400亿</t>
  </si>
  <si>
    <t>3.66亿</t>
  </si>
  <si>
    <t>-2.02亿</t>
  </si>
  <si>
    <t>-8266.44万</t>
  </si>
  <si>
    <t>-48.66万</t>
  </si>
  <si>
    <t>7.58亿</t>
  </si>
  <si>
    <t>6171.48万</t>
  </si>
  <si>
    <t>21.73亿</t>
  </si>
  <si>
    <t>3.13亿</t>
  </si>
  <si>
    <t>16.75亿</t>
  </si>
  <si>
    <t>8147.02万</t>
  </si>
  <si>
    <t>905.88万</t>
  </si>
  <si>
    <t>2418.18万</t>
  </si>
  <si>
    <t>305318亿</t>
  </si>
  <si>
    <t>-765426亿</t>
  </si>
  <si>
    <t>12.84亿</t>
  </si>
  <si>
    <t>305292180亿</t>
  </si>
  <si>
    <t>2312642900亿</t>
  </si>
  <si>
    <t>4766.23万</t>
  </si>
  <si>
    <t>-4.22亿</t>
  </si>
  <si>
    <t>5.08亿</t>
  </si>
  <si>
    <t>4204.18万</t>
  </si>
  <si>
    <t>3558.76万</t>
  </si>
  <si>
    <t>-3445.70万</t>
  </si>
  <si>
    <t>4084.67万</t>
  </si>
  <si>
    <t>2899.89万</t>
  </si>
  <si>
    <t>277.32万</t>
  </si>
  <si>
    <t>561.33万</t>
  </si>
  <si>
    <t>54204亿</t>
  </si>
  <si>
    <t>17.68万</t>
  </si>
  <si>
    <t>-4921517亿</t>
  </si>
  <si>
    <t>1367.79万</t>
  </si>
  <si>
    <t>268103980亿</t>
  </si>
  <si>
    <t>1433.82万</t>
  </si>
  <si>
    <t>507558420亿</t>
  </si>
  <si>
    <t>578.68万</t>
  </si>
  <si>
    <t>4427.38万</t>
  </si>
  <si>
    <t>9361.57万</t>
  </si>
  <si>
    <t>280.94万</t>
  </si>
  <si>
    <t>-2910.40万</t>
  </si>
  <si>
    <t>-20.40万</t>
  </si>
  <si>
    <t>4929.95万</t>
  </si>
  <si>
    <t>67.87万</t>
  </si>
  <si>
    <t>7.55亿</t>
  </si>
  <si>
    <t>5044.65万</t>
  </si>
  <si>
    <t>509.99万</t>
  </si>
  <si>
    <t>1492.26万</t>
  </si>
  <si>
    <t>50392354亿</t>
  </si>
  <si>
    <t>10.05万</t>
  </si>
  <si>
    <t>7466435亿</t>
  </si>
  <si>
    <t>178092110亿</t>
  </si>
  <si>
    <t>7511.00万</t>
  </si>
  <si>
    <t>856750850亿</t>
  </si>
  <si>
    <t>939.48万</t>
  </si>
  <si>
    <t>9399.82万</t>
  </si>
  <si>
    <t>9069.29万</t>
  </si>
  <si>
    <t>4858.87万</t>
  </si>
  <si>
    <t>2809.12万</t>
  </si>
  <si>
    <t>-3000.98万</t>
  </si>
  <si>
    <t>4320.05万</t>
  </si>
  <si>
    <t>926.00万</t>
  </si>
  <si>
    <t>7006.20万</t>
  </si>
  <si>
    <t>5.12亿</t>
  </si>
  <si>
    <t>-2.24亿</t>
  </si>
  <si>
    <t>6252.75万</t>
  </si>
  <si>
    <t>975.73万</t>
  </si>
  <si>
    <t>2126.21万</t>
  </si>
  <si>
    <t>-47080227亿</t>
  </si>
  <si>
    <t>133468493亿</t>
  </si>
  <si>
    <t>50.00万</t>
  </si>
  <si>
    <t>808233580亿</t>
  </si>
  <si>
    <t>1832.24万</t>
  </si>
  <si>
    <t>-2572.21万</t>
  </si>
  <si>
    <t>4.56亿</t>
  </si>
  <si>
    <t>-1312.69万</t>
  </si>
  <si>
    <t>-3930.14万</t>
  </si>
  <si>
    <t>349.13万</t>
  </si>
  <si>
    <t>1481.64万</t>
  </si>
  <si>
    <t>22304亿</t>
  </si>
  <si>
    <t>172.59万</t>
  </si>
  <si>
    <t>26027009亿</t>
  </si>
  <si>
    <t>4.80亿</t>
  </si>
  <si>
    <t>405725730亿</t>
  </si>
  <si>
    <t>193.69万</t>
  </si>
  <si>
    <t>1400076900亿</t>
  </si>
  <si>
    <t>581.30万</t>
  </si>
  <si>
    <t>879.58万</t>
  </si>
  <si>
    <t>3.75亿</t>
  </si>
  <si>
    <t>4414.95万</t>
  </si>
  <si>
    <t>3429.63万</t>
  </si>
  <si>
    <t>3036.24万</t>
  </si>
  <si>
    <t>2865.32万</t>
  </si>
  <si>
    <t>17.97亿</t>
  </si>
  <si>
    <t>10.16亿</t>
  </si>
  <si>
    <t>1625.47万</t>
  </si>
  <si>
    <t>1066.74万</t>
  </si>
  <si>
    <t>-2960593亿</t>
  </si>
  <si>
    <t>34074187亿</t>
  </si>
  <si>
    <t>178875860亿</t>
  </si>
  <si>
    <t>570.00万</t>
  </si>
  <si>
    <t>1578996000亿</t>
  </si>
  <si>
    <t>2091.16万</t>
  </si>
  <si>
    <t>8708.67万</t>
  </si>
  <si>
    <t>5772.30万</t>
  </si>
  <si>
    <t>-1.08亿</t>
  </si>
  <si>
    <t>-593.13万</t>
  </si>
  <si>
    <t>1935.73万</t>
  </si>
  <si>
    <t>4006.00万</t>
  </si>
  <si>
    <t>6033.76万</t>
  </si>
  <si>
    <t>4892.28万</t>
  </si>
  <si>
    <t>3269.15万</t>
  </si>
  <si>
    <t>201.91万</t>
  </si>
  <si>
    <t>833.31万</t>
  </si>
  <si>
    <t>14.81万</t>
  </si>
  <si>
    <t>-9743845亿</t>
  </si>
  <si>
    <t>91127269亿</t>
  </si>
  <si>
    <t>920.60万</t>
  </si>
  <si>
    <t>483494070亿</t>
  </si>
  <si>
    <t>250.67万</t>
  </si>
  <si>
    <t>163.35万</t>
  </si>
  <si>
    <t>3833.74万</t>
  </si>
  <si>
    <t>-2477.58万</t>
  </si>
  <si>
    <t>-425.40万</t>
  </si>
  <si>
    <t>2735.77万</t>
  </si>
  <si>
    <t>2373.60万</t>
  </si>
  <si>
    <t>19.05亿</t>
  </si>
  <si>
    <t>7.10亿</t>
  </si>
  <si>
    <t>5963.61万</t>
  </si>
  <si>
    <t>281.71万</t>
  </si>
  <si>
    <t>2237.74万</t>
  </si>
  <si>
    <t>2955162亿</t>
  </si>
  <si>
    <t>252844430亿</t>
  </si>
  <si>
    <t>4427.90万</t>
  </si>
  <si>
    <t>1302127460亿</t>
  </si>
  <si>
    <t>799.74万</t>
  </si>
  <si>
    <t>4.65亿</t>
  </si>
  <si>
    <t>1549.97万</t>
  </si>
  <si>
    <t>31.84亿</t>
  </si>
  <si>
    <t>6.17亿</t>
  </si>
  <si>
    <t>26.78亿</t>
  </si>
  <si>
    <t>4847.35万</t>
  </si>
  <si>
    <t>3597715亿</t>
  </si>
  <si>
    <t>260.41万</t>
  </si>
  <si>
    <t>86805497亿</t>
  </si>
  <si>
    <t>937215240亿</t>
  </si>
  <si>
    <t>4541.66万</t>
  </si>
  <si>
    <t>3201443000亿</t>
  </si>
  <si>
    <t>8670.02万</t>
  </si>
  <si>
    <t>9.20亿</t>
  </si>
  <si>
    <t>-2.27亿</t>
  </si>
  <si>
    <t>-474.73万</t>
  </si>
  <si>
    <t>-153.66万</t>
  </si>
  <si>
    <t>7906.68万</t>
  </si>
  <si>
    <t>10派3.5元(含税)</t>
  </si>
  <si>
    <t>86.94亿</t>
  </si>
  <si>
    <t>20.10亿</t>
  </si>
  <si>
    <t>6.01亿</t>
  </si>
  <si>
    <t>4.12亿</t>
  </si>
  <si>
    <t>5863.38万</t>
  </si>
  <si>
    <t>2863.19万</t>
  </si>
  <si>
    <t>10115282亿</t>
  </si>
  <si>
    <t>19.44万</t>
  </si>
  <si>
    <t>519711920亿</t>
  </si>
  <si>
    <t>895667220亿</t>
  </si>
  <si>
    <t>7417300600亿</t>
  </si>
  <si>
    <t>822.67万</t>
  </si>
  <si>
    <t>-2.34亿</t>
  </si>
  <si>
    <t>-173.41万</t>
  </si>
  <si>
    <t>8.89亿</t>
  </si>
  <si>
    <t>10派9元(含税)</t>
  </si>
  <si>
    <t>39.67亿</t>
  </si>
  <si>
    <t>33.24亿</t>
  </si>
  <si>
    <t>21.23亿</t>
  </si>
  <si>
    <t>77.16亿</t>
  </si>
  <si>
    <t>16.66亿</t>
  </si>
  <si>
    <t>5373.72万</t>
  </si>
  <si>
    <t>4317.63万</t>
  </si>
  <si>
    <t>1951335亿</t>
  </si>
  <si>
    <t>250.23万</t>
  </si>
  <si>
    <t>173979360亿</t>
  </si>
  <si>
    <t>9.81亿</t>
  </si>
  <si>
    <t>2316365400亿</t>
  </si>
  <si>
    <t>5145.39万</t>
  </si>
  <si>
    <t>5603944400亿</t>
  </si>
  <si>
    <t>6926.07万</t>
  </si>
  <si>
    <t>32.12亿</t>
  </si>
  <si>
    <t>-1.72亿</t>
  </si>
  <si>
    <t>3558.46万</t>
  </si>
  <si>
    <t>10派3.8元(含税)</t>
  </si>
  <si>
    <t>9119.71万</t>
  </si>
  <si>
    <t>6984.96万</t>
  </si>
  <si>
    <t>891.76万</t>
  </si>
  <si>
    <t>7190.05万</t>
  </si>
  <si>
    <t>5824.12万</t>
  </si>
  <si>
    <t>28.53万</t>
  </si>
  <si>
    <t>1057.42万</t>
  </si>
  <si>
    <t>758297亿</t>
  </si>
  <si>
    <t>-2132628亿</t>
  </si>
  <si>
    <t>66812801亿</t>
  </si>
  <si>
    <t>108.25万</t>
  </si>
  <si>
    <t>409758180亿</t>
  </si>
  <si>
    <t>1898.98万</t>
  </si>
  <si>
    <t>147.01万</t>
  </si>
  <si>
    <t>4311.20万</t>
  </si>
  <si>
    <t>6625.43万</t>
  </si>
  <si>
    <t>-167.77万</t>
  </si>
  <si>
    <t>2992.10万</t>
  </si>
  <si>
    <t>-2481.03万</t>
  </si>
  <si>
    <t>4234.47万</t>
  </si>
  <si>
    <t>679.74万</t>
  </si>
  <si>
    <t>10派0.42元(含税)</t>
  </si>
  <si>
    <t>4.75亿</t>
  </si>
  <si>
    <t>8393.36万</t>
  </si>
  <si>
    <t>5.21亿</t>
  </si>
  <si>
    <t>6445.82万</t>
  </si>
  <si>
    <t>9058.67万</t>
  </si>
  <si>
    <t>5531.56万</t>
  </si>
  <si>
    <t>1275.63万</t>
  </si>
  <si>
    <t>892.70万</t>
  </si>
  <si>
    <t>280492亿</t>
  </si>
  <si>
    <t>1.05万</t>
  </si>
  <si>
    <t>736571亿</t>
  </si>
  <si>
    <t>7429.00万</t>
  </si>
  <si>
    <t>249122690亿</t>
  </si>
  <si>
    <t>1709.73万</t>
  </si>
  <si>
    <t>510882400亿</t>
  </si>
  <si>
    <t>513.99万</t>
  </si>
  <si>
    <t>6653.91万</t>
  </si>
  <si>
    <t>4485.65万</t>
  </si>
  <si>
    <t>-6865.29万</t>
  </si>
  <si>
    <t>1073.30万</t>
  </si>
  <si>
    <t>-1995.09万</t>
  </si>
  <si>
    <t>8868.51万</t>
  </si>
  <si>
    <t>210.22万</t>
  </si>
  <si>
    <t>8664.57万</t>
  </si>
  <si>
    <t>-993.02万</t>
  </si>
  <si>
    <t>8087.87万</t>
  </si>
  <si>
    <t>6082.85万</t>
  </si>
  <si>
    <t>306.82万</t>
  </si>
  <si>
    <t>922.48万</t>
  </si>
  <si>
    <t>52953亿</t>
  </si>
  <si>
    <t>1184165亿</t>
  </si>
  <si>
    <t>7158.80万</t>
  </si>
  <si>
    <t>227467550亿</t>
  </si>
  <si>
    <t>850.69万</t>
  </si>
  <si>
    <t>444270500亿</t>
  </si>
  <si>
    <t>4504.97万</t>
  </si>
  <si>
    <t>7382.30万</t>
  </si>
  <si>
    <t>3556.54万</t>
  </si>
  <si>
    <t>-5886.65万</t>
  </si>
  <si>
    <t>-450.28万</t>
  </si>
  <si>
    <t>-2150.70万</t>
  </si>
  <si>
    <t>8475.62万</t>
  </si>
  <si>
    <t>-80.70万</t>
  </si>
  <si>
    <t>7.06亿</t>
  </si>
  <si>
    <t>5442.60万</t>
  </si>
  <si>
    <t>6121.06万</t>
  </si>
  <si>
    <t>5524.33万</t>
  </si>
  <si>
    <t>2348.08万</t>
  </si>
  <si>
    <t>1081.88万</t>
  </si>
  <si>
    <t>983.14万</t>
  </si>
  <si>
    <t>177500亿</t>
  </si>
  <si>
    <t>241.90万</t>
  </si>
  <si>
    <t>-1313643亿</t>
  </si>
  <si>
    <t>219353730亿</t>
  </si>
  <si>
    <t>45.90万</t>
  </si>
  <si>
    <t>872325700亿</t>
  </si>
  <si>
    <t>137.49万</t>
  </si>
  <si>
    <t>1501.11万</t>
  </si>
  <si>
    <t>4.16万</t>
  </si>
  <si>
    <t>-3129.76万</t>
  </si>
  <si>
    <t>-222.24万</t>
  </si>
  <si>
    <t>4679.22万</t>
  </si>
  <si>
    <t>-79.98万</t>
  </si>
  <si>
    <t>10.93亿</t>
  </si>
  <si>
    <t>1085.93万</t>
  </si>
  <si>
    <t>1444.86万</t>
  </si>
  <si>
    <t>2.72万</t>
  </si>
  <si>
    <t>15417329亿</t>
  </si>
  <si>
    <t>288240950亿</t>
  </si>
  <si>
    <t>802732240亿</t>
  </si>
  <si>
    <t>1696.36万</t>
  </si>
  <si>
    <t>8769.38万</t>
  </si>
  <si>
    <t>-1730.47万</t>
  </si>
  <si>
    <t>-1453.12万</t>
  </si>
  <si>
    <t>-168.27万</t>
  </si>
  <si>
    <t>9815.36万</t>
  </si>
  <si>
    <t>40.80亿</t>
  </si>
  <si>
    <t>42.91亿</t>
  </si>
  <si>
    <t>21.47亿</t>
  </si>
  <si>
    <t>22.61亿</t>
  </si>
  <si>
    <t>13.20亿</t>
  </si>
  <si>
    <t>218.40万</t>
  </si>
  <si>
    <t>-13130721亿</t>
  </si>
  <si>
    <t>17.87亿</t>
  </si>
  <si>
    <t>1319980840亿</t>
  </si>
  <si>
    <t>5861.62万</t>
  </si>
  <si>
    <t>6314768100亿</t>
  </si>
  <si>
    <t>9494.45万</t>
  </si>
  <si>
    <t>9.71亿</t>
  </si>
  <si>
    <t>37.24亿</t>
  </si>
  <si>
    <t>-15.44亿</t>
  </si>
  <si>
    <t>-1.13亿</t>
  </si>
  <si>
    <t>11.75亿</t>
  </si>
  <si>
    <t>5.52亿</t>
  </si>
  <si>
    <t>115.42亿</t>
  </si>
  <si>
    <t>10派5.6元(含税)</t>
  </si>
  <si>
    <t>17.04亿</t>
  </si>
  <si>
    <t>545.52万</t>
  </si>
  <si>
    <t>816.52万</t>
  </si>
  <si>
    <t>1532346亿</t>
  </si>
  <si>
    <t>32230343亿</t>
  </si>
  <si>
    <t>12.17亿</t>
  </si>
  <si>
    <t>177573220亿</t>
  </si>
  <si>
    <t>1955654200亿</t>
  </si>
  <si>
    <t>7349.92万</t>
  </si>
  <si>
    <t>4105.30万</t>
  </si>
  <si>
    <t>-1135.95万</t>
  </si>
  <si>
    <t>20.75亿</t>
  </si>
  <si>
    <t>10派10元(含税)</t>
  </si>
  <si>
    <t>11.93亿</t>
  </si>
  <si>
    <t>817.94万</t>
  </si>
  <si>
    <t>913.64万</t>
  </si>
  <si>
    <t>1813062亿</t>
  </si>
  <si>
    <t>10.00万</t>
  </si>
  <si>
    <t>9461730亿</t>
  </si>
  <si>
    <t>6978.21万</t>
  </si>
  <si>
    <t>235736110亿</t>
  </si>
  <si>
    <t>38.00万</t>
  </si>
  <si>
    <t>1070195590亿</t>
  </si>
  <si>
    <t>69.76万</t>
  </si>
  <si>
    <t>8998.19万</t>
  </si>
  <si>
    <t>5252.74万</t>
  </si>
  <si>
    <t>874.11万</t>
  </si>
  <si>
    <t>880.86万</t>
  </si>
  <si>
    <t>899.15万</t>
  </si>
  <si>
    <t>1159.18万</t>
  </si>
  <si>
    <t>329.20万</t>
  </si>
  <si>
    <t>9.17亿</t>
  </si>
  <si>
    <t>6191.89万</t>
  </si>
  <si>
    <t>571.32万</t>
  </si>
  <si>
    <t>961.15万</t>
  </si>
  <si>
    <t>453464亿</t>
  </si>
  <si>
    <t>35.97万</t>
  </si>
  <si>
    <t>-6747420亿</t>
  </si>
  <si>
    <t>130479253亿</t>
  </si>
  <si>
    <t>699.83万</t>
  </si>
  <si>
    <t>983688190亿</t>
  </si>
  <si>
    <t>4084.77万</t>
  </si>
  <si>
    <t>8122.43万</t>
  </si>
  <si>
    <t>827.11万</t>
  </si>
  <si>
    <t>6003.72万</t>
  </si>
  <si>
    <t>2863.93万</t>
  </si>
  <si>
    <t>2648.27万</t>
  </si>
  <si>
    <t>24.30亿</t>
  </si>
  <si>
    <t>32.74亿</t>
  </si>
  <si>
    <t>738.27万</t>
  </si>
  <si>
    <t>3851.11万</t>
  </si>
  <si>
    <t>1122478亿</t>
  </si>
  <si>
    <t>20.41万</t>
  </si>
  <si>
    <t>2784799亿</t>
  </si>
  <si>
    <t>827910190亿</t>
  </si>
  <si>
    <t>2357.10万</t>
  </si>
  <si>
    <t>2232377500亿</t>
  </si>
  <si>
    <t>17.99亿</t>
  </si>
  <si>
    <t>-2.61亿</t>
  </si>
  <si>
    <t>31.89亿</t>
  </si>
  <si>
    <t>7626.90万</t>
  </si>
  <si>
    <t>10.89亿</t>
  </si>
  <si>
    <t>3555.81万</t>
  </si>
  <si>
    <t>3397.09万</t>
  </si>
  <si>
    <t>2675.78万</t>
  </si>
  <si>
    <t>146.49万</t>
  </si>
  <si>
    <t>623.81万</t>
  </si>
  <si>
    <t>3360330亿</t>
  </si>
  <si>
    <t>100.88万</t>
  </si>
  <si>
    <t>4476615亿</t>
  </si>
  <si>
    <t>97441971亿</t>
  </si>
  <si>
    <t>3254.36万</t>
  </si>
  <si>
    <t>631940540亿</t>
  </si>
  <si>
    <t>1823.23万</t>
  </si>
  <si>
    <t>1545.41万</t>
  </si>
  <si>
    <t>4530.85万</t>
  </si>
  <si>
    <t>1016.96万</t>
  </si>
  <si>
    <t>4007.50万</t>
  </si>
  <si>
    <t>-85.10万</t>
  </si>
  <si>
    <t>2.18亿</t>
  </si>
  <si>
    <t>3516.83万</t>
  </si>
  <si>
    <t>10派3.6元(含税)</t>
  </si>
  <si>
    <t>9899.13万</t>
  </si>
  <si>
    <t>9.56亿</t>
  </si>
  <si>
    <t>6373.18万</t>
  </si>
  <si>
    <t>5805.37万</t>
  </si>
  <si>
    <t>4065.93万</t>
  </si>
  <si>
    <t>293.24万</t>
  </si>
  <si>
    <t>1052.43万</t>
  </si>
  <si>
    <t>4174131亿</t>
  </si>
  <si>
    <t>80219217亿</t>
  </si>
  <si>
    <t>14.36万</t>
  </si>
  <si>
    <t>668153840亿</t>
  </si>
  <si>
    <t>76.22万</t>
  </si>
  <si>
    <t>2009.54万</t>
  </si>
  <si>
    <t>3409.63万</t>
  </si>
  <si>
    <t>29.21万</t>
  </si>
  <si>
    <t>7085.42万</t>
  </si>
  <si>
    <t>2143.22万</t>
  </si>
  <si>
    <t>-1811.44万</t>
  </si>
  <si>
    <t>-126.40万</t>
  </si>
  <si>
    <t>5671.38万</t>
  </si>
  <si>
    <t>9865.83万</t>
  </si>
  <si>
    <t>8324.50万</t>
  </si>
  <si>
    <t>217.05万</t>
  </si>
  <si>
    <t>760.35万</t>
  </si>
  <si>
    <t>500740亿</t>
  </si>
  <si>
    <t>1.02万</t>
  </si>
  <si>
    <t>6289825亿</t>
  </si>
  <si>
    <t>156992920亿</t>
  </si>
  <si>
    <t>7719.03万</t>
  </si>
  <si>
    <t>784826910亿</t>
  </si>
  <si>
    <t>2510.82万</t>
  </si>
  <si>
    <t>8327.39万</t>
  </si>
  <si>
    <t>869.66万</t>
  </si>
  <si>
    <t>-1.94亿</t>
  </si>
  <si>
    <t>6686.74万</t>
  </si>
  <si>
    <t>6397.20万</t>
  </si>
  <si>
    <t>4568.11万</t>
  </si>
  <si>
    <t>2147.58万</t>
  </si>
  <si>
    <t>2081.41万</t>
  </si>
  <si>
    <t>4.36亿</t>
  </si>
  <si>
    <t>5498.87万</t>
  </si>
  <si>
    <t>52.68亿</t>
  </si>
  <si>
    <t>31.24亿</t>
  </si>
  <si>
    <t>25523620亿</t>
  </si>
  <si>
    <t>8.61万</t>
  </si>
  <si>
    <t>21832428亿</t>
  </si>
  <si>
    <t>14.55亿</t>
  </si>
  <si>
    <t>1105591920亿</t>
  </si>
  <si>
    <t>3829363900亿</t>
  </si>
  <si>
    <t>3.27亿</t>
  </si>
  <si>
    <t>11.51亿</t>
  </si>
  <si>
    <t>-2.55亿</t>
  </si>
  <si>
    <t>-6907.03万</t>
  </si>
  <si>
    <t>449.15万</t>
  </si>
  <si>
    <t>43.45亿</t>
  </si>
  <si>
    <t>4325.03万</t>
  </si>
  <si>
    <t>10派0.36元(含税)</t>
  </si>
  <si>
    <t>5.54亿</t>
  </si>
  <si>
    <t>6890.33万</t>
  </si>
  <si>
    <t>-7580733亿</t>
  </si>
  <si>
    <t>-75033625亿</t>
  </si>
  <si>
    <t>766496820亿</t>
  </si>
  <si>
    <t>2181264200亿</t>
  </si>
  <si>
    <t>2881.98万</t>
  </si>
  <si>
    <t>-1.21亿</t>
  </si>
  <si>
    <t>-2735.97万</t>
  </si>
  <si>
    <t>3764.50万</t>
  </si>
  <si>
    <t>3909.36万</t>
  </si>
  <si>
    <t>10.17亿</t>
  </si>
  <si>
    <t>34.19亿</t>
  </si>
  <si>
    <t>6495.21万</t>
  </si>
  <si>
    <t>4632.08万</t>
  </si>
  <si>
    <t>2244.22万</t>
  </si>
  <si>
    <t>1426.10万</t>
  </si>
  <si>
    <t>11164761亿</t>
  </si>
  <si>
    <t>-34277668亿</t>
  </si>
  <si>
    <t>8.29亿</t>
  </si>
  <si>
    <t>518143390亿</t>
  </si>
  <si>
    <t>279.06万</t>
  </si>
  <si>
    <t>1810208200亿</t>
  </si>
  <si>
    <t>2300.18万</t>
  </si>
  <si>
    <t>8373.12万</t>
  </si>
  <si>
    <t>4.95亿</t>
  </si>
  <si>
    <t>9.22亿</t>
  </si>
  <si>
    <t>8080.00万</t>
  </si>
  <si>
    <t>-1.24亿</t>
  </si>
  <si>
    <t>-3224.52万</t>
  </si>
  <si>
    <t>1956.14万</t>
  </si>
  <si>
    <t>10.20亿</t>
  </si>
  <si>
    <t>2.93亿</t>
  </si>
  <si>
    <t>2958.65万</t>
  </si>
  <si>
    <t>3760.22万</t>
  </si>
  <si>
    <t>2156.48万</t>
  </si>
  <si>
    <t>264.16万</t>
  </si>
  <si>
    <t>544.02万</t>
  </si>
  <si>
    <t>-1301757亿</t>
  </si>
  <si>
    <t>-9446534亿</t>
  </si>
  <si>
    <t>4481.79万</t>
  </si>
  <si>
    <t>17275633亿</t>
  </si>
  <si>
    <t>291.11万</t>
  </si>
  <si>
    <t>129470023亿</t>
  </si>
  <si>
    <t>1225.16万</t>
  </si>
  <si>
    <t>2577.39万</t>
  </si>
  <si>
    <t>1602.06万</t>
  </si>
  <si>
    <t>-32.57万</t>
  </si>
  <si>
    <t>3.13万</t>
  </si>
  <si>
    <t>-38.14万</t>
  </si>
  <si>
    <t>-3227.28万</t>
  </si>
  <si>
    <t>-4336.04万</t>
  </si>
  <si>
    <t>343.72亿</t>
  </si>
  <si>
    <t>287.37亿</t>
  </si>
  <si>
    <t>117.85亿</t>
  </si>
  <si>
    <t>113.03亿</t>
  </si>
  <si>
    <t>100.12亿</t>
  </si>
  <si>
    <t>54488306亿</t>
  </si>
  <si>
    <t>577.67万</t>
  </si>
  <si>
    <t>411303400亿</t>
  </si>
  <si>
    <t>99.16亿</t>
  </si>
  <si>
    <t>16924054000亿</t>
  </si>
  <si>
    <t>43753285000亿</t>
  </si>
  <si>
    <t>24.62亿</t>
  </si>
  <si>
    <t>88.00亿</t>
  </si>
  <si>
    <t>36.28亿</t>
  </si>
  <si>
    <t>57.55亿</t>
  </si>
  <si>
    <t>240.00万</t>
  </si>
  <si>
    <t>277.25亿</t>
  </si>
  <si>
    <t>58.58亿</t>
  </si>
  <si>
    <t>-6.12亿</t>
  </si>
  <si>
    <t>-9.40亿</t>
  </si>
  <si>
    <t>15.86亿</t>
  </si>
  <si>
    <t>476.22亿</t>
  </si>
  <si>
    <t>10派1.50元(含税)</t>
  </si>
  <si>
    <t>270.19亿</t>
  </si>
  <si>
    <t>149.47亿</t>
  </si>
  <si>
    <t>51.43亿</t>
  </si>
  <si>
    <t>38.03亿</t>
  </si>
  <si>
    <t>9410.08万</t>
  </si>
  <si>
    <t>38112574亿</t>
  </si>
  <si>
    <t>274.39万</t>
  </si>
  <si>
    <t>41832239亿</t>
  </si>
  <si>
    <t>36.01亿</t>
  </si>
  <si>
    <t>12046109800亿</t>
  </si>
  <si>
    <t>11.68亿</t>
  </si>
  <si>
    <t>30307933000亿</t>
  </si>
  <si>
    <t>27.39亿</t>
  </si>
  <si>
    <t>82.51亿</t>
  </si>
  <si>
    <t>53.25亿</t>
  </si>
  <si>
    <t>596.20万</t>
  </si>
  <si>
    <t>216.83亿</t>
  </si>
  <si>
    <t>-18.62亿</t>
  </si>
  <si>
    <t>-8123.57万</t>
  </si>
  <si>
    <t>311.30亿</t>
  </si>
  <si>
    <t>5.05亿</t>
  </si>
  <si>
    <t>10派1.28元(含税)</t>
  </si>
  <si>
    <t>201.04亿</t>
  </si>
  <si>
    <t>346.31亿</t>
  </si>
  <si>
    <t>82.42亿</t>
  </si>
  <si>
    <t>76.14亿</t>
  </si>
  <si>
    <t>67.56亿</t>
  </si>
  <si>
    <t>299363540亿</t>
  </si>
  <si>
    <t>317.66万</t>
  </si>
  <si>
    <t>495578130亿</t>
  </si>
  <si>
    <t>129.37亿</t>
  </si>
  <si>
    <t>14009672000亿</t>
  </si>
  <si>
    <t>37190980000亿</t>
  </si>
  <si>
    <t>11.80亿</t>
  </si>
  <si>
    <t>30.00亿</t>
  </si>
  <si>
    <t>41.42亿</t>
  </si>
  <si>
    <t>58.98亿</t>
  </si>
  <si>
    <t>11.28万</t>
  </si>
  <si>
    <t>172.50亿</t>
  </si>
  <si>
    <t>-15.59亿</t>
  </si>
  <si>
    <t>-9.42亿</t>
  </si>
  <si>
    <t>450.65亿</t>
  </si>
  <si>
    <t>31.17亿</t>
  </si>
  <si>
    <t>35.36亿</t>
  </si>
  <si>
    <t>4.84亿</t>
  </si>
  <si>
    <t>29.40亿</t>
  </si>
  <si>
    <t>5.58亿</t>
  </si>
  <si>
    <t>1074.46万</t>
  </si>
  <si>
    <t>6141.83万</t>
  </si>
  <si>
    <t>37555266亿</t>
  </si>
  <si>
    <t>41.93万</t>
  </si>
  <si>
    <t>-50083776亿</t>
  </si>
  <si>
    <t>10.82亿</t>
  </si>
  <si>
    <t>1032098390亿</t>
  </si>
  <si>
    <t>3660826000亿</t>
  </si>
  <si>
    <t>295.04万</t>
  </si>
  <si>
    <t>2635.61万</t>
  </si>
  <si>
    <t>7849.28万</t>
  </si>
  <si>
    <t>12.88亿</t>
  </si>
  <si>
    <t>13.03万</t>
  </si>
  <si>
    <t>-2298.73万</t>
  </si>
  <si>
    <t>-576.96万</t>
  </si>
  <si>
    <t>3987.32万</t>
  </si>
  <si>
    <t>29.12亿</t>
  </si>
  <si>
    <t>-2.38亿</t>
  </si>
  <si>
    <t>1348.95万</t>
  </si>
  <si>
    <t>8.87亿</t>
  </si>
  <si>
    <t>36.02亿</t>
  </si>
  <si>
    <t>912.49万</t>
  </si>
  <si>
    <t>1523.46万</t>
  </si>
  <si>
    <t>108216509亿</t>
  </si>
  <si>
    <t>8090904亿</t>
  </si>
  <si>
    <t>8.74亿</t>
  </si>
  <si>
    <t>927333320亿</t>
  </si>
  <si>
    <t>5591.34万</t>
  </si>
  <si>
    <t>2818648100亿</t>
  </si>
  <si>
    <t>242.07万</t>
  </si>
  <si>
    <t>646.16万</t>
  </si>
  <si>
    <t>-1.62亿</t>
  </si>
  <si>
    <t>-1697.39万</t>
  </si>
  <si>
    <t>-165.20万</t>
  </si>
  <si>
    <t>10派0.61元(含税)</t>
  </si>
  <si>
    <t>147.45亿</t>
  </si>
  <si>
    <t>144.75亿</t>
  </si>
  <si>
    <t>23.87亿</t>
  </si>
  <si>
    <t>23.13亿</t>
  </si>
  <si>
    <t>17.47亿</t>
  </si>
  <si>
    <t>-44737463亿</t>
  </si>
  <si>
    <t>419.76万</t>
  </si>
  <si>
    <t>24424437亿</t>
  </si>
  <si>
    <t>42.03亿</t>
  </si>
  <si>
    <t>4888709300亿</t>
  </si>
  <si>
    <t>14784513000亿</t>
  </si>
  <si>
    <t>11.56亿</t>
  </si>
  <si>
    <t>21.88亿</t>
  </si>
  <si>
    <t>12.87亿</t>
  </si>
  <si>
    <t>15.95亿</t>
  </si>
  <si>
    <t>83.30亿</t>
  </si>
  <si>
    <t>56.49亿</t>
  </si>
  <si>
    <t>133.53亿</t>
  </si>
  <si>
    <t>11.22亿</t>
  </si>
  <si>
    <t>10派5.14元(含税)</t>
  </si>
  <si>
    <t>1511.31万</t>
  </si>
  <si>
    <t>1627.11万</t>
  </si>
  <si>
    <t>823352亿</t>
  </si>
  <si>
    <t>-7409399亿</t>
  </si>
  <si>
    <t>464418480亿</t>
  </si>
  <si>
    <t>1172.83万</t>
  </si>
  <si>
    <t>1041079560亿</t>
  </si>
  <si>
    <t>9274.69万</t>
  </si>
  <si>
    <t>60.87万</t>
  </si>
  <si>
    <t>-313.47万</t>
  </si>
  <si>
    <t>489.07万</t>
  </si>
  <si>
    <t>-5157.19万</t>
  </si>
  <si>
    <t>9.40亿</t>
  </si>
  <si>
    <t>-8420.21万</t>
  </si>
  <si>
    <t>24.48亿</t>
  </si>
  <si>
    <t>23.19亿</t>
  </si>
  <si>
    <t>8.50亿</t>
  </si>
  <si>
    <t>2315.36万</t>
  </si>
  <si>
    <t>4584.64万</t>
  </si>
  <si>
    <t>1.32万</t>
  </si>
  <si>
    <t>15446742亿</t>
  </si>
  <si>
    <t>1187547780亿</t>
  </si>
  <si>
    <t>3760097900亿</t>
  </si>
  <si>
    <t>4746.11万</t>
  </si>
  <si>
    <t>14.29亿</t>
  </si>
  <si>
    <t>26.43亿</t>
  </si>
  <si>
    <t>5000.00万</t>
  </si>
  <si>
    <t>5699.76万</t>
  </si>
  <si>
    <t>-7013.38万</t>
  </si>
  <si>
    <t>30.87亿</t>
  </si>
  <si>
    <t>9501.82万</t>
  </si>
  <si>
    <t>10派1.33元(含税)</t>
  </si>
  <si>
    <t>4.47亿</t>
  </si>
  <si>
    <t>50.81亿</t>
  </si>
  <si>
    <t>51.27亿</t>
  </si>
  <si>
    <t>19.21亿</t>
  </si>
  <si>
    <t>19.34亿</t>
  </si>
  <si>
    <t>17.14亿</t>
  </si>
  <si>
    <t>3519.17万</t>
  </si>
  <si>
    <t>7150.32万</t>
  </si>
  <si>
    <t>1288161亿</t>
  </si>
  <si>
    <t>196.41万</t>
  </si>
  <si>
    <t>-7420351亿</t>
  </si>
  <si>
    <t>19.94亿</t>
  </si>
  <si>
    <t>1649075400亿</t>
  </si>
  <si>
    <t>5995134900亿</t>
  </si>
  <si>
    <t>11.86亿</t>
  </si>
  <si>
    <t>16.08亿</t>
  </si>
  <si>
    <t>42.23亿</t>
  </si>
  <si>
    <t>-3.12亿</t>
  </si>
  <si>
    <t>-4496.70万</t>
  </si>
  <si>
    <t>-7342.62万</t>
  </si>
  <si>
    <t>85.30亿</t>
  </si>
  <si>
    <t>6471.61万</t>
  </si>
  <si>
    <t>10派1.27元(含税)</t>
  </si>
  <si>
    <t>76.09亿</t>
  </si>
  <si>
    <t>36.11亿</t>
  </si>
  <si>
    <t>39.54亿</t>
  </si>
  <si>
    <t>38.93亿</t>
  </si>
  <si>
    <t>9592.80万</t>
  </si>
  <si>
    <t>-2537亿</t>
  </si>
  <si>
    <t>26.17万</t>
  </si>
  <si>
    <t>51338916亿</t>
  </si>
  <si>
    <t>15.00亿</t>
  </si>
  <si>
    <t>1984283700亿</t>
  </si>
  <si>
    <t>9111855800亿</t>
  </si>
  <si>
    <t>11.21亿</t>
  </si>
  <si>
    <t>11.26亿</t>
  </si>
  <si>
    <t>31.74亿</t>
  </si>
  <si>
    <t>61.65亿</t>
  </si>
  <si>
    <t>-7.09亿</t>
  </si>
  <si>
    <t>-2052.97万</t>
  </si>
  <si>
    <t>138.61亿</t>
  </si>
  <si>
    <t>9070.61万</t>
  </si>
  <si>
    <t>25.00亿</t>
  </si>
  <si>
    <t>33.14亿</t>
  </si>
  <si>
    <t>4.68亿</t>
  </si>
  <si>
    <t>3967.22万</t>
  </si>
  <si>
    <t>193672亿</t>
  </si>
  <si>
    <t>26.71万</t>
  </si>
  <si>
    <t>-105463226亿</t>
  </si>
  <si>
    <t>1482746600亿</t>
  </si>
  <si>
    <t>548.40万</t>
  </si>
  <si>
    <t>3958104200亿</t>
  </si>
  <si>
    <t>6.13亿</t>
  </si>
  <si>
    <t>-1.05亿</t>
  </si>
  <si>
    <t>-1617.15万</t>
  </si>
  <si>
    <t>-1346.24万</t>
  </si>
  <si>
    <t>36.33亿</t>
  </si>
  <si>
    <t>17.67亿</t>
  </si>
  <si>
    <t>5491.41万</t>
  </si>
  <si>
    <t>2670.00万</t>
  </si>
  <si>
    <t>8119135亿</t>
  </si>
  <si>
    <t>7.33万</t>
  </si>
  <si>
    <t>4652493亿</t>
  </si>
  <si>
    <t>745986950亿</t>
  </si>
  <si>
    <t>4669.65万</t>
  </si>
  <si>
    <t>2312452500亿</t>
  </si>
  <si>
    <t>5420.84万</t>
  </si>
  <si>
    <t>6140.12万</t>
  </si>
  <si>
    <t>775.41万</t>
  </si>
  <si>
    <t>-5582.19万</t>
  </si>
  <si>
    <t>14.81亿</t>
  </si>
  <si>
    <t>947.63万</t>
  </si>
  <si>
    <t>5523.11万</t>
  </si>
  <si>
    <t>518.76万</t>
  </si>
  <si>
    <t>772.55万</t>
  </si>
  <si>
    <t>2170.66万</t>
  </si>
  <si>
    <t>-1346181亿</t>
  </si>
  <si>
    <t>-45658142亿</t>
  </si>
  <si>
    <t>114145322亿</t>
  </si>
  <si>
    <t>1217058930亿</t>
  </si>
  <si>
    <t>562.41万</t>
  </si>
  <si>
    <t>6564.98万</t>
  </si>
  <si>
    <t>65.87万</t>
  </si>
  <si>
    <t>-5173.40万</t>
  </si>
  <si>
    <t>892.93万</t>
  </si>
  <si>
    <t>-8618.46万</t>
  </si>
  <si>
    <t>9.35亿</t>
  </si>
  <si>
    <t>8603.68万</t>
  </si>
  <si>
    <t>5008.24万</t>
  </si>
  <si>
    <t>1778.87万</t>
  </si>
  <si>
    <t>762.05万</t>
  </si>
  <si>
    <t>632576亿</t>
  </si>
  <si>
    <t>14752630亿</t>
  </si>
  <si>
    <t>7.28亿</t>
  </si>
  <si>
    <t>91505558亿</t>
  </si>
  <si>
    <t>972166200亿</t>
  </si>
  <si>
    <t>1419.40万</t>
  </si>
  <si>
    <t>6612.67万</t>
  </si>
  <si>
    <t>2016.07万</t>
  </si>
  <si>
    <t>-2051.26万</t>
  </si>
  <si>
    <t>-98.25万</t>
  </si>
  <si>
    <t>9395.07万</t>
  </si>
  <si>
    <t>28.74亿</t>
  </si>
  <si>
    <t>2074.01万</t>
  </si>
  <si>
    <t>1147.96万</t>
  </si>
  <si>
    <t>-8173544亿</t>
  </si>
  <si>
    <t>108320794亿</t>
  </si>
  <si>
    <t>12.55亿</t>
  </si>
  <si>
    <t>1424728100亿</t>
  </si>
  <si>
    <t>1157.47万</t>
  </si>
  <si>
    <t>3934001800亿</t>
  </si>
  <si>
    <t>15.79亿</t>
  </si>
  <si>
    <t>5774.82万</t>
  </si>
  <si>
    <t>-4.91亿</t>
  </si>
  <si>
    <t>7689.29万</t>
  </si>
  <si>
    <t>22.25亿</t>
  </si>
  <si>
    <t>10派4.3元(含税)</t>
  </si>
  <si>
    <t>11.88亿</t>
  </si>
  <si>
    <t>5704.69万</t>
  </si>
  <si>
    <t>5350.42万</t>
  </si>
  <si>
    <t>3015.73万</t>
  </si>
  <si>
    <t>416.78万</t>
  </si>
  <si>
    <t>1339.98万</t>
  </si>
  <si>
    <t>1833772亿</t>
  </si>
  <si>
    <t>3.65万</t>
  </si>
  <si>
    <t>2967351亿</t>
  </si>
  <si>
    <t>7493.21万</t>
  </si>
  <si>
    <t>275977130亿</t>
  </si>
  <si>
    <t>3371.32万</t>
  </si>
  <si>
    <t>1041233050亿</t>
  </si>
  <si>
    <t>4680.41万</t>
  </si>
  <si>
    <t>1800.00万</t>
  </si>
  <si>
    <t>1031.55万</t>
  </si>
  <si>
    <t>3278.49万</t>
  </si>
  <si>
    <t>9549.95万</t>
  </si>
  <si>
    <t>1910.00万</t>
  </si>
  <si>
    <t>-3593.62万</t>
  </si>
  <si>
    <t>-7866.58万</t>
  </si>
  <si>
    <t>-2673.97万</t>
  </si>
  <si>
    <t>8072.27万</t>
  </si>
  <si>
    <t>1556.28万</t>
  </si>
  <si>
    <t>8.22亿</t>
  </si>
  <si>
    <t>8.62亿</t>
  </si>
  <si>
    <t>8.02亿</t>
  </si>
  <si>
    <t>7.50亿</t>
  </si>
  <si>
    <t>944.58万</t>
  </si>
  <si>
    <t>1270.39万</t>
  </si>
  <si>
    <t>-672874亿</t>
  </si>
  <si>
    <t>55274648亿</t>
  </si>
  <si>
    <t>399467920亿</t>
  </si>
  <si>
    <t>2492.23万</t>
  </si>
  <si>
    <t>1249590950亿</t>
  </si>
  <si>
    <t>190.84万</t>
  </si>
  <si>
    <t>4.72亿</t>
  </si>
  <si>
    <t>-1873.91万</t>
  </si>
  <si>
    <t>-801.61万</t>
  </si>
  <si>
    <t>3551.51万</t>
  </si>
  <si>
    <t>-5653.19万</t>
  </si>
  <si>
    <t>9.32亿</t>
  </si>
  <si>
    <t>-3843.16万</t>
  </si>
  <si>
    <t>21.51亿</t>
  </si>
  <si>
    <t>8160.97万</t>
  </si>
  <si>
    <t>7445.68万</t>
  </si>
  <si>
    <t>5840.72万</t>
  </si>
  <si>
    <t>99.76万</t>
  </si>
  <si>
    <t>855.63万</t>
  </si>
  <si>
    <t>2562321亿</t>
  </si>
  <si>
    <t>9419596亿</t>
  </si>
  <si>
    <t>5.71亿</t>
  </si>
  <si>
    <t>108418272亿</t>
  </si>
  <si>
    <t>799.46万</t>
  </si>
  <si>
    <t>1483703300亿</t>
  </si>
  <si>
    <t>1504.83万</t>
  </si>
  <si>
    <t>3654.21万</t>
  </si>
  <si>
    <t>-7929.47万</t>
  </si>
  <si>
    <t>4673.56万</t>
  </si>
  <si>
    <t>10派0.5875元(含税)</t>
  </si>
  <si>
    <t>21.96亿</t>
  </si>
  <si>
    <t>977.86万</t>
  </si>
  <si>
    <t>720.29万</t>
  </si>
  <si>
    <t>1458471亿</t>
  </si>
  <si>
    <t>17138217亿</t>
  </si>
  <si>
    <t>171053030亿</t>
  </si>
  <si>
    <t>2219137300亿</t>
  </si>
  <si>
    <t>4616.48万</t>
  </si>
  <si>
    <t>2824.85万</t>
  </si>
  <si>
    <t>6996.85万</t>
  </si>
  <si>
    <t>3658.29万</t>
  </si>
  <si>
    <t>-8.56亿</t>
  </si>
  <si>
    <t>-2013.24万</t>
  </si>
  <si>
    <t>8.19亿</t>
  </si>
  <si>
    <t>9210.45万</t>
  </si>
  <si>
    <t>10转2股派3元(含税)</t>
  </si>
  <si>
    <t>9.70亿</t>
  </si>
  <si>
    <t>2481.05万</t>
  </si>
  <si>
    <t>2496.04万</t>
  </si>
  <si>
    <t>770.88万</t>
  </si>
  <si>
    <t>469.15万</t>
  </si>
  <si>
    <t>449.85万</t>
  </si>
  <si>
    <t>736989亿</t>
  </si>
  <si>
    <t>195931040亿</t>
  </si>
  <si>
    <t>1350.37万</t>
  </si>
  <si>
    <t>911634010亿</t>
  </si>
  <si>
    <t>4239.06万</t>
  </si>
  <si>
    <t>6126.03万</t>
  </si>
  <si>
    <t>-2588.37万</t>
  </si>
  <si>
    <t>-7132.18万</t>
  </si>
  <si>
    <t>-15.54万</t>
  </si>
  <si>
    <t>8124.84万</t>
  </si>
  <si>
    <t>8709.90万</t>
  </si>
  <si>
    <t>10转4.5股派2.18元(含税)</t>
  </si>
  <si>
    <t>8682.44万</t>
  </si>
  <si>
    <t>8460.58万</t>
  </si>
  <si>
    <t>4071.62万</t>
  </si>
  <si>
    <t>1277.04万</t>
  </si>
  <si>
    <t>1410910亿</t>
  </si>
  <si>
    <t>3.82万</t>
  </si>
  <si>
    <t>130725亿</t>
  </si>
  <si>
    <t>183563870亿</t>
  </si>
  <si>
    <t>1142084270亿</t>
  </si>
  <si>
    <t>9904.96万</t>
  </si>
  <si>
    <t>71.69万</t>
  </si>
  <si>
    <t>-7620.67万</t>
  </si>
  <si>
    <t>-2539.42万</t>
  </si>
  <si>
    <t>6290.98万</t>
  </si>
  <si>
    <t>624.26万</t>
  </si>
  <si>
    <t>1507.40万</t>
  </si>
  <si>
    <t>4269975亿</t>
  </si>
  <si>
    <t>8.65万</t>
  </si>
  <si>
    <t>-811749亿</t>
  </si>
  <si>
    <t>239099580亿</t>
  </si>
  <si>
    <t>6558.19万</t>
  </si>
  <si>
    <t>933413970亿</t>
  </si>
  <si>
    <t>164.05万</t>
  </si>
  <si>
    <t>139.08万</t>
  </si>
  <si>
    <t>987.83万</t>
  </si>
  <si>
    <t>602.55万</t>
  </si>
  <si>
    <t>2956.16万</t>
  </si>
  <si>
    <t>-1067.21万</t>
  </si>
  <si>
    <t>6428.16万</t>
  </si>
  <si>
    <t>-4754.67万</t>
  </si>
  <si>
    <t>77.68亿</t>
  </si>
  <si>
    <t>64.93亿</t>
  </si>
  <si>
    <t>9.69亿</t>
  </si>
  <si>
    <t>11.39亿</t>
  </si>
  <si>
    <t>7698.69万</t>
  </si>
  <si>
    <t>3144.31万</t>
  </si>
  <si>
    <t>998671亿</t>
  </si>
  <si>
    <t>11.09万</t>
  </si>
  <si>
    <t>-176572710亿</t>
  </si>
  <si>
    <t>28.11亿</t>
  </si>
  <si>
    <t>5472299800亿</t>
  </si>
  <si>
    <t>12609113600亿</t>
  </si>
  <si>
    <t>1719.20万</t>
  </si>
  <si>
    <t>34.06亿</t>
  </si>
  <si>
    <t>2.08万</t>
  </si>
  <si>
    <t>64.37亿</t>
  </si>
  <si>
    <t>-9.82亿</t>
  </si>
  <si>
    <t>78.48亿</t>
  </si>
  <si>
    <t>-3.57亿</t>
  </si>
  <si>
    <t>8.97亿</t>
  </si>
  <si>
    <t>7292.67万</t>
  </si>
  <si>
    <t>1966.00万</t>
  </si>
  <si>
    <t>2296.26万</t>
  </si>
  <si>
    <t>94707亿</t>
  </si>
  <si>
    <t>4803111亿</t>
  </si>
  <si>
    <t>469005130亿</t>
  </si>
  <si>
    <t>2298.19万</t>
  </si>
  <si>
    <t>1669776300亿</t>
  </si>
  <si>
    <t>-7172.45万</t>
  </si>
  <si>
    <t>-939.00万</t>
  </si>
  <si>
    <t>6407.28万</t>
  </si>
  <si>
    <t>8.84亿</t>
  </si>
  <si>
    <t>-8655.88万</t>
  </si>
  <si>
    <t>10.15亿</t>
  </si>
  <si>
    <t>3867.36万</t>
  </si>
  <si>
    <t>5056.86万</t>
  </si>
  <si>
    <t>1658.29万</t>
  </si>
  <si>
    <t>1518.40万</t>
  </si>
  <si>
    <t>594.46万</t>
  </si>
  <si>
    <t>2377159亿</t>
  </si>
  <si>
    <t>1.08万</t>
  </si>
  <si>
    <t>-11021551亿</t>
  </si>
  <si>
    <t>289973250亿</t>
  </si>
  <si>
    <t>432.69万</t>
  </si>
  <si>
    <t>1122076800亿</t>
  </si>
  <si>
    <t>644.79万</t>
  </si>
  <si>
    <t>20.00万</t>
  </si>
  <si>
    <t>99.42万</t>
  </si>
  <si>
    <t>5658.16万</t>
  </si>
  <si>
    <t>-6522.49万</t>
  </si>
  <si>
    <t>167.72万</t>
  </si>
  <si>
    <t>-274.57万</t>
  </si>
  <si>
    <t>3618.64万</t>
  </si>
  <si>
    <t>4182.10万</t>
  </si>
  <si>
    <t>10派1.30元(含税)</t>
  </si>
  <si>
    <t>7549.61万</t>
  </si>
  <si>
    <t>6689.44万</t>
  </si>
  <si>
    <t>2701.05万</t>
  </si>
  <si>
    <t>1443.62万</t>
  </si>
  <si>
    <t>826.76万</t>
  </si>
  <si>
    <t>4703621亿</t>
  </si>
  <si>
    <t>11896196亿</t>
  </si>
  <si>
    <t>180078950亿</t>
  </si>
  <si>
    <t>3921.52万</t>
  </si>
  <si>
    <t>815198360亿</t>
  </si>
  <si>
    <t>9010.03万</t>
  </si>
  <si>
    <t>2868.44万</t>
  </si>
  <si>
    <t>1594.20万</t>
  </si>
  <si>
    <t>96.07万</t>
  </si>
  <si>
    <t>-1974.32万</t>
  </si>
  <si>
    <t>9611.31万</t>
  </si>
  <si>
    <t>4.39亿</t>
  </si>
  <si>
    <t>10转4.8股派5.2元(含税)</t>
  </si>
  <si>
    <t>17.49亿</t>
  </si>
  <si>
    <t>307.19万</t>
  </si>
  <si>
    <t>1390.42万</t>
  </si>
  <si>
    <t>2689886亿</t>
  </si>
  <si>
    <t>3.29万</t>
  </si>
  <si>
    <t>15771687亿</t>
  </si>
  <si>
    <t>291071180亿</t>
  </si>
  <si>
    <t>204.10万</t>
  </si>
  <si>
    <t>1199635370亿</t>
  </si>
  <si>
    <t>30.07万</t>
  </si>
  <si>
    <t>-330.00万</t>
  </si>
  <si>
    <t>-1800.63万</t>
  </si>
  <si>
    <t>137.31万</t>
  </si>
  <si>
    <t>6.83亿</t>
  </si>
  <si>
    <t>6657.04万</t>
  </si>
  <si>
    <t>10转4股派5元(含税)</t>
  </si>
  <si>
    <t>-5-1</t>
  </si>
  <si>
    <t>3662.85万</t>
  </si>
  <si>
    <t>21.84亿</t>
  </si>
  <si>
    <t>1166.14万</t>
  </si>
  <si>
    <t>8006.25万</t>
  </si>
  <si>
    <t>182.32万</t>
  </si>
  <si>
    <t>1232.45万</t>
  </si>
  <si>
    <t>8079.01万</t>
  </si>
  <si>
    <t>-6-0</t>
  </si>
  <si>
    <t>4989.45万</t>
  </si>
  <si>
    <t>4.59亿</t>
  </si>
  <si>
    <t>20.87亿</t>
  </si>
  <si>
    <t>466.96万</t>
  </si>
  <si>
    <t>2558.31万</t>
  </si>
  <si>
    <t>595.81万</t>
  </si>
  <si>
    <t>3537.49万</t>
  </si>
  <si>
    <t>1522.18万</t>
  </si>
  <si>
    <t>4481.13万</t>
  </si>
  <si>
    <t>-9-1</t>
  </si>
  <si>
    <t>1765.42万</t>
  </si>
  <si>
    <t>1319.40万</t>
  </si>
  <si>
    <t>7.34亿</t>
  </si>
  <si>
    <t>2350.57万</t>
  </si>
  <si>
    <t>362.98万</t>
  </si>
  <si>
    <t>2206.37万</t>
  </si>
  <si>
    <t>6-0</t>
  </si>
  <si>
    <t>748.64万</t>
  </si>
  <si>
    <t>3027.05万</t>
  </si>
  <si>
    <t>-5-0</t>
  </si>
  <si>
    <t>6087.24万</t>
  </si>
  <si>
    <t>1.95亿</t>
  </si>
  <si>
    <t>9.96亿</t>
  </si>
  <si>
    <t>2740.20万</t>
  </si>
  <si>
    <t>6326.23万</t>
  </si>
  <si>
    <t>1994.00万</t>
  </si>
  <si>
    <t>7220.46万</t>
  </si>
  <si>
    <t>SZ002881</t>
  </si>
  <si>
    <t>美格智能</t>
  </si>
  <si>
    <t>311.53万</t>
  </si>
  <si>
    <t>14.60亿</t>
  </si>
  <si>
    <t>6450.90万</t>
  </si>
  <si>
    <t>1312.56万</t>
  </si>
  <si>
    <t>1254.86万</t>
  </si>
  <si>
    <t>-2525522亿</t>
  </si>
  <si>
    <t>5098971亿</t>
  </si>
  <si>
    <t>595242320亿</t>
  </si>
  <si>
    <t>583.68万</t>
  </si>
  <si>
    <t>2062717100亿</t>
  </si>
  <si>
    <t>3.79亿</t>
  </si>
  <si>
    <t>4508.61万</t>
  </si>
  <si>
    <t>5.22亿</t>
  </si>
  <si>
    <t>1725.69万</t>
  </si>
  <si>
    <t>-214.21万</t>
  </si>
  <si>
    <t>23.06亿</t>
  </si>
  <si>
    <t>9.33亿</t>
  </si>
  <si>
    <t>9.90亿</t>
  </si>
  <si>
    <t>2744.00万</t>
  </si>
  <si>
    <t>2445.33万</t>
  </si>
  <si>
    <t>4665.56万</t>
  </si>
  <si>
    <t>1813.20万</t>
  </si>
  <si>
    <t>1517.42万</t>
  </si>
  <si>
    <t>9198.47万</t>
  </si>
  <si>
    <t>570.18万</t>
  </si>
  <si>
    <t>4377.99万</t>
  </si>
  <si>
    <t>1569.63万</t>
  </si>
  <si>
    <t>7207.55万</t>
  </si>
  <si>
    <t>128.34万</t>
  </si>
  <si>
    <t>863.16万</t>
  </si>
  <si>
    <t>6623.87万</t>
  </si>
  <si>
    <t>436.50万</t>
  </si>
  <si>
    <t>2569.91万</t>
  </si>
  <si>
    <t>SZ300098</t>
  </si>
  <si>
    <t>高新兴</t>
  </si>
  <si>
    <t>8745.05万</t>
  </si>
  <si>
    <t>21.63亿</t>
  </si>
  <si>
    <t>30.60亿</t>
  </si>
  <si>
    <t>-1.03亿</t>
  </si>
  <si>
    <t>5267.71万</t>
  </si>
  <si>
    <t>4065.47万</t>
  </si>
  <si>
    <t>47345882亿</t>
  </si>
  <si>
    <t>2.59万</t>
  </si>
  <si>
    <t>-45276287亿</t>
  </si>
  <si>
    <t>3.78亿</t>
  </si>
  <si>
    <t>1548110400亿</t>
  </si>
  <si>
    <t>2879.11万</t>
  </si>
  <si>
    <t>3030301900亿</t>
  </si>
  <si>
    <t>9117.40万</t>
  </si>
  <si>
    <t>9482.61万</t>
  </si>
  <si>
    <t>8.11亿</t>
  </si>
  <si>
    <t>15.92亿</t>
  </si>
  <si>
    <t>674.28万</t>
  </si>
  <si>
    <t>-1.12亿</t>
  </si>
  <si>
    <t>-9307.39万</t>
  </si>
  <si>
    <t>-2817.51万</t>
  </si>
  <si>
    <t>23.33亿</t>
  </si>
  <si>
    <t>26.73亿</t>
  </si>
  <si>
    <t>23.26亿</t>
  </si>
  <si>
    <t>26.93亿</t>
  </si>
  <si>
    <t>35.63亿</t>
  </si>
  <si>
    <t>-2.73亿</t>
  </si>
  <si>
    <t>4329.27万</t>
  </si>
  <si>
    <t>-11.03亿</t>
  </si>
  <si>
    <t>-11.57亿</t>
  </si>
  <si>
    <t>5.40亿</t>
  </si>
  <si>
    <t>-2232.74万</t>
  </si>
  <si>
    <t>6.82亿</t>
  </si>
  <si>
    <t>53.15亿</t>
  </si>
  <si>
    <t>995.67万</t>
  </si>
  <si>
    <t>3764.53万</t>
  </si>
  <si>
    <t>577.55万</t>
  </si>
  <si>
    <t>3247.67万</t>
  </si>
  <si>
    <t>315.39万</t>
  </si>
  <si>
    <t>1662.14万</t>
  </si>
  <si>
    <t>4632.74万</t>
  </si>
  <si>
    <t>2063.53万</t>
  </si>
  <si>
    <t>4-1</t>
  </si>
  <si>
    <t>2608.88万</t>
  </si>
  <si>
    <t>6913.77万</t>
  </si>
  <si>
    <t>1469.94万</t>
  </si>
  <si>
    <t>719.06万</t>
  </si>
  <si>
    <t>2258.37万</t>
  </si>
  <si>
    <t>2640.59万</t>
  </si>
  <si>
    <t>7.56亿</t>
  </si>
  <si>
    <t>334.67万</t>
  </si>
  <si>
    <t>1245.64万</t>
  </si>
  <si>
    <t>6335.05万</t>
  </si>
  <si>
    <t>782.37万</t>
  </si>
  <si>
    <t>3921.77万</t>
  </si>
  <si>
    <t>172.61万</t>
  </si>
  <si>
    <t>981.14万</t>
  </si>
  <si>
    <t>2265.20万</t>
  </si>
  <si>
    <t>2950.67万</t>
  </si>
  <si>
    <t>9.92亿</t>
  </si>
  <si>
    <t>1510.14万</t>
  </si>
  <si>
    <t>4538.98万</t>
  </si>
  <si>
    <t>1605.83万</t>
  </si>
  <si>
    <t>4697.20万</t>
  </si>
  <si>
    <t>2063.35万</t>
  </si>
  <si>
    <t>8523.89万</t>
  </si>
  <si>
    <t>1353.19万</t>
  </si>
  <si>
    <t>2980.67万</t>
  </si>
  <si>
    <t>8262.65万</t>
  </si>
  <si>
    <t>521.99万</t>
  </si>
  <si>
    <t>2064.40万</t>
  </si>
  <si>
    <t>951.72万</t>
  </si>
  <si>
    <t>4742.03万</t>
  </si>
  <si>
    <t>2.82亿</t>
  </si>
  <si>
    <t>483.87万</t>
  </si>
  <si>
    <t>2686.30万</t>
  </si>
  <si>
    <t>2010.59万</t>
  </si>
  <si>
    <t>1.51亿</t>
  </si>
  <si>
    <t>8.13亿</t>
  </si>
  <si>
    <t>214.11万</t>
  </si>
  <si>
    <t>1096.77万</t>
  </si>
  <si>
    <t>101.78万</t>
  </si>
  <si>
    <t>378.27万</t>
  </si>
  <si>
    <t>4694.68万</t>
  </si>
  <si>
    <t>933.45万</t>
  </si>
  <si>
    <t>2931.71万</t>
  </si>
  <si>
    <t>3565.99万</t>
  </si>
  <si>
    <t>429.78万</t>
  </si>
  <si>
    <t>1573.26万</t>
  </si>
  <si>
    <t>2114.57万</t>
  </si>
  <si>
    <t>399.81万</t>
  </si>
  <si>
    <t>21.52亿</t>
  </si>
  <si>
    <t>1352.56万</t>
  </si>
  <si>
    <t>7520.51万</t>
  </si>
  <si>
    <t>98.37万</t>
  </si>
  <si>
    <t>5525.32万</t>
  </si>
  <si>
    <t>548.56万</t>
  </si>
  <si>
    <t>3297.55万</t>
  </si>
  <si>
    <t>209.34万</t>
  </si>
  <si>
    <t>757.80万</t>
  </si>
  <si>
    <t>1100.27万</t>
  </si>
  <si>
    <t>7493.95万</t>
  </si>
  <si>
    <t>220.68万</t>
  </si>
  <si>
    <t>1038.71万</t>
  </si>
  <si>
    <t>6692.46万</t>
  </si>
  <si>
    <t>188.11万</t>
  </si>
  <si>
    <t>8.23亿</t>
  </si>
  <si>
    <t>5564.81万</t>
  </si>
  <si>
    <t>1050.84万</t>
  </si>
  <si>
    <t>7533.31万</t>
  </si>
  <si>
    <t>103.46万</t>
  </si>
  <si>
    <t>7076.26万</t>
  </si>
  <si>
    <t>1731.23万</t>
  </si>
  <si>
    <t>483.23万</t>
  </si>
  <si>
    <t>6114.66万</t>
  </si>
  <si>
    <t>153.04万</t>
  </si>
  <si>
    <t>9293.94万</t>
  </si>
  <si>
    <t>1025.52万</t>
  </si>
  <si>
    <t>532.72万</t>
  </si>
  <si>
    <t>2896.45万</t>
  </si>
  <si>
    <t>144.19万</t>
  </si>
  <si>
    <t>9831.24万</t>
  </si>
  <si>
    <t>878.46万</t>
  </si>
  <si>
    <t>754.03万</t>
  </si>
  <si>
    <t>8512.84万</t>
  </si>
  <si>
    <t>21-1</t>
  </si>
  <si>
    <t>3716.10万</t>
  </si>
  <si>
    <t>6.75亿</t>
  </si>
  <si>
    <t>1849.56万</t>
  </si>
  <si>
    <t>5068.06万</t>
  </si>
  <si>
    <t>5420.34万</t>
  </si>
  <si>
    <t>20.22亿</t>
  </si>
  <si>
    <t>40.42亿</t>
  </si>
  <si>
    <t>39.10亿</t>
  </si>
  <si>
    <t>-5.71亿</t>
  </si>
  <si>
    <t>460.18万</t>
  </si>
  <si>
    <t>2415.01万</t>
  </si>
  <si>
    <t>1037.04万</t>
  </si>
  <si>
    <t>4163.39万</t>
  </si>
  <si>
    <t>1391.74万</t>
  </si>
  <si>
    <t>2357.02万</t>
  </si>
  <si>
    <t>7451.58万</t>
  </si>
  <si>
    <t>23.20亿</t>
  </si>
  <si>
    <t>5007.13万</t>
  </si>
  <si>
    <t>13.11亿</t>
  </si>
  <si>
    <t>-5095.03万</t>
  </si>
  <si>
    <t>-13.20亿</t>
  </si>
  <si>
    <t>-8.99亿</t>
  </si>
  <si>
    <t>8676.95万</t>
  </si>
  <si>
    <t>-6740.42万</t>
  </si>
  <si>
    <t>3486.97万</t>
  </si>
  <si>
    <t>0117280800</t>
  </si>
  <si>
    <t>0234561600</t>
  </si>
  <si>
    <t>0390936000</t>
  </si>
  <si>
    <t>0781872000</t>
  </si>
  <si>
    <t>884.59万</t>
  </si>
  <si>
    <t>4716.01万</t>
  </si>
  <si>
    <t>-180.23万</t>
  </si>
  <si>
    <t>3284.30万</t>
  </si>
  <si>
    <t>5754.56万</t>
  </si>
  <si>
    <t>2636.31万</t>
  </si>
  <si>
    <t>-1201.75万</t>
  </si>
  <si>
    <t>7.12亿</t>
  </si>
  <si>
    <t>4062.57万</t>
  </si>
  <si>
    <t>108.67亿</t>
  </si>
  <si>
    <t>3.95亿</t>
  </si>
  <si>
    <t>11.28亿</t>
  </si>
  <si>
    <t>1811.41万</t>
  </si>
  <si>
    <t>50.16亿</t>
  </si>
  <si>
    <t>3739.04万</t>
  </si>
  <si>
    <t>7342.66万</t>
  </si>
  <si>
    <t>3942.73万</t>
  </si>
  <si>
    <t>82.75亿</t>
  </si>
  <si>
    <t>4978.29万</t>
  </si>
  <si>
    <t>-3039.24万</t>
  </si>
  <si>
    <t>5.02亿</t>
  </si>
  <si>
    <t>996.66万</t>
  </si>
  <si>
    <t>3971.03万</t>
  </si>
  <si>
    <t>315.44万</t>
  </si>
  <si>
    <t>31.95亿</t>
  </si>
  <si>
    <t>852.84万</t>
  </si>
  <si>
    <t>4355.86万</t>
  </si>
  <si>
    <t>505.50万</t>
  </si>
  <si>
    <t>-1973.47万</t>
  </si>
  <si>
    <t>3164.50万</t>
  </si>
  <si>
    <t>3.38亿</t>
  </si>
  <si>
    <t>886.97万</t>
  </si>
  <si>
    <t>10.74亿</t>
  </si>
  <si>
    <t>7147.25万</t>
  </si>
  <si>
    <t>4998.32万</t>
  </si>
  <si>
    <t>780.18万</t>
  </si>
  <si>
    <t>7642.88万</t>
  </si>
  <si>
    <t>4153.20万</t>
  </si>
  <si>
    <t>494.36万</t>
  </si>
  <si>
    <t>31.37亿</t>
  </si>
  <si>
    <t>-1.35亿</t>
  </si>
  <si>
    <t>3398.84万</t>
  </si>
  <si>
    <t>2317.86万</t>
  </si>
  <si>
    <t>-5817.77万</t>
  </si>
  <si>
    <t>7923.78万</t>
  </si>
  <si>
    <t>1203.51万</t>
  </si>
  <si>
    <t>-2754.74万</t>
  </si>
  <si>
    <t>3989.59万</t>
  </si>
  <si>
    <t>141.40万</t>
  </si>
  <si>
    <t>3051.46万</t>
  </si>
  <si>
    <t>-1622.53万</t>
  </si>
  <si>
    <t>700.47万</t>
  </si>
  <si>
    <t>3766.76万</t>
  </si>
  <si>
    <t>102.66万</t>
  </si>
  <si>
    <t>9430.37万</t>
  </si>
  <si>
    <t>932.71万</t>
  </si>
  <si>
    <t>676.91万</t>
  </si>
  <si>
    <t>3382.06万</t>
  </si>
  <si>
    <t>111.39万</t>
  </si>
  <si>
    <t>9117.72万</t>
  </si>
  <si>
    <t>741.36万</t>
  </si>
  <si>
    <t>4104.44万</t>
  </si>
  <si>
    <t>324.33万</t>
  </si>
  <si>
    <t>2301.98万</t>
  </si>
  <si>
    <t>-844.40万</t>
  </si>
  <si>
    <t>1200.68万</t>
  </si>
  <si>
    <t>5149.41万</t>
  </si>
  <si>
    <t>114.89万</t>
  </si>
  <si>
    <t>-1955.37万</t>
  </si>
  <si>
    <t>853.45万</t>
  </si>
  <si>
    <t>6189.65万</t>
  </si>
  <si>
    <t>323.43万</t>
  </si>
  <si>
    <t>8663.70万</t>
  </si>
  <si>
    <t>1018.88万</t>
  </si>
  <si>
    <t>1725.03万</t>
  </si>
  <si>
    <t>289.87万</t>
  </si>
  <si>
    <t>2184.12万</t>
  </si>
  <si>
    <t>827.71万</t>
  </si>
  <si>
    <t>4193.53万</t>
  </si>
  <si>
    <t>126.87万</t>
  </si>
  <si>
    <t>1927.12万</t>
  </si>
  <si>
    <t>273.89万</t>
  </si>
  <si>
    <t>506.80万</t>
  </si>
  <si>
    <t>2991.43万</t>
  </si>
  <si>
    <t>164.74万</t>
  </si>
  <si>
    <t>7607.11万</t>
  </si>
  <si>
    <t>-172.27万</t>
  </si>
  <si>
    <t>869.46万</t>
  </si>
  <si>
    <t>5394.55万</t>
  </si>
  <si>
    <t>688.12万</t>
  </si>
  <si>
    <t>-319.32万</t>
  </si>
  <si>
    <t>3750.04万</t>
  </si>
  <si>
    <t>1745.70万</t>
  </si>
  <si>
    <t>13.59亿</t>
  </si>
  <si>
    <t>3737.44万</t>
  </si>
  <si>
    <t>6729.85万</t>
  </si>
  <si>
    <t>1221.99万</t>
  </si>
  <si>
    <t>476.25万</t>
  </si>
  <si>
    <t>4053.29万</t>
  </si>
  <si>
    <t>77.80万</t>
  </si>
  <si>
    <t>2961.93万</t>
  </si>
  <si>
    <t>-1297.98万</t>
  </si>
  <si>
    <t>380.49万</t>
  </si>
  <si>
    <t>2141.29万</t>
  </si>
  <si>
    <t>94.13万</t>
  </si>
  <si>
    <t>7170.79万</t>
  </si>
  <si>
    <t>1162.91万</t>
  </si>
  <si>
    <t>515.59万</t>
  </si>
  <si>
    <t>2769.19万</t>
  </si>
  <si>
    <t>338.09万</t>
  </si>
  <si>
    <t>3321.77万</t>
  </si>
  <si>
    <t>2795.93万</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</si>
</sst>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2" borderId="0" xfId="0" applyFill="1">
      <alignment vertical="center"/>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3" fillId="0" borderId="0" xfId="0" applyFont="1">
      <alignment vertical="center"/>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14" fontId="0" fillId="0" borderId="0" xfId="0" applyNumberFormat="1">
      <alignment vertical="center"/>
    </xf>
    <xf numFmtId="0" fontId="0" fillId="0" borderId="0" xfId="0" applyFill="1">
      <alignment vertical="center"/>
    </xf>
    <xf numFmtId="0" fontId="6"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692150</xdr:colOff>
          <xdr:row>0</xdr:row>
          <xdr:rowOff>88900</xdr:rowOff>
        </xdr:from>
        <xdr:to>
          <xdr:col>147</xdr:col>
          <xdr:colOff>2133600</xdr:colOff>
          <xdr:row>0</xdr:row>
          <xdr:rowOff>406400</xdr:rowOff>
        </xdr:to>
        <xdr:sp macro="" textlink="">
          <xdr:nvSpPr>
            <xdr:cNvPr id="2049" name="Button 1" descr="更新基本面按钮&#10;" hidden="1">
              <a:extLst>
                <a:ext uri="{63B3BB69-23CF-44E3-9099-C40C66FF867C}">
                  <a14:compatExt spid="_x0000_s2049"/>
                </a:ext>
                <a:ext uri="{FF2B5EF4-FFF2-40B4-BE49-F238E27FC236}">
                  <a16:creationId xmlns=""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24"/>
  <sheetViews>
    <sheetView tabSelected="1" zoomScale="85" zoomScaleNormal="85" workbookViewId="0">
      <pane xSplit="5" ySplit="1" topLeftCell="F84" activePane="bottomRight" state="frozen"/>
      <selection pane="topRight" activeCell="F1" sqref="F1"/>
      <selection pane="bottomLeft" activeCell="A2" sqref="A2"/>
      <selection pane="bottomRight" activeCell="D88" sqref="D88:EP88"/>
    </sheetView>
  </sheetViews>
  <sheetFormatPr defaultRowHeight="14" x14ac:dyDescent="0.25"/>
  <cols>
    <col min="1" max="1" width="38.81640625" customWidth="1"/>
    <col min="2" max="2" width="44.1796875" customWidth="1"/>
    <col min="3" max="3" width="39.1796875" customWidth="1"/>
    <col min="9" max="9" width="13.1796875" customWidth="1"/>
    <col min="16" max="16" width="12.453125" customWidth="1"/>
    <col min="81" max="83" width="8.81640625"/>
    <col min="96" max="98" width="8.81640625"/>
    <col min="148" max="148" width="37.453125" customWidth="1"/>
  </cols>
  <sheetData>
    <row r="1" spans="1:146" ht="45" customHeight="1" x14ac:dyDescent="0.25">
      <c r="A1" s="2" t="s">
        <v>8</v>
      </c>
      <c r="B1" s="3" t="s">
        <v>9</v>
      </c>
      <c r="C1" s="2" t="s">
        <v>10</v>
      </c>
      <c r="D1" t="s">
        <v>209</v>
      </c>
      <c r="E1" t="s">
        <v>758</v>
      </c>
      <c r="F1" t="s">
        <v>0</v>
      </c>
      <c r="G1" t="s">
        <v>1025</v>
      </c>
      <c r="H1" t="s">
        <v>1026</v>
      </c>
      <c r="I1" t="s">
        <v>5</v>
      </c>
      <c r="J1" t="s">
        <v>6</v>
      </c>
      <c r="K1" t="s">
        <v>1</v>
      </c>
      <c r="L1" t="s">
        <v>7</v>
      </c>
      <c r="M1" t="s">
        <v>11</v>
      </c>
      <c r="N1" t="s">
        <v>12</v>
      </c>
      <c r="O1" t="s">
        <v>13</v>
      </c>
      <c r="P1" t="s">
        <v>1027</v>
      </c>
      <c r="Q1" t="s">
        <v>1028</v>
      </c>
      <c r="R1" t="s">
        <v>759</v>
      </c>
      <c r="S1" t="s">
        <v>14</v>
      </c>
      <c r="T1" t="s">
        <v>1029</v>
      </c>
      <c r="U1" t="s">
        <v>639</v>
      </c>
      <c r="V1" t="s">
        <v>15</v>
      </c>
      <c r="W1" t="s">
        <v>1030</v>
      </c>
      <c r="X1" t="s">
        <v>1031</v>
      </c>
      <c r="Y1" t="s">
        <v>1032</v>
      </c>
      <c r="Z1" t="s">
        <v>1033</v>
      </c>
      <c r="AA1" t="s">
        <v>1034</v>
      </c>
      <c r="AB1" t="s">
        <v>1035</v>
      </c>
      <c r="AC1" t="s">
        <v>1036</v>
      </c>
      <c r="AD1" t="s">
        <v>1037</v>
      </c>
      <c r="AE1" t="s">
        <v>16</v>
      </c>
      <c r="AF1" t="s">
        <v>17</v>
      </c>
      <c r="AG1" t="s">
        <v>1038</v>
      </c>
      <c r="AH1" t="s">
        <v>1039</v>
      </c>
      <c r="AI1" t="s">
        <v>1040</v>
      </c>
      <c r="AJ1" t="s">
        <v>18</v>
      </c>
      <c r="AK1" t="s">
        <v>1041</v>
      </c>
      <c r="AL1" t="s">
        <v>151</v>
      </c>
      <c r="AM1" t="s">
        <v>1042</v>
      </c>
      <c r="AN1" t="s">
        <v>1043</v>
      </c>
      <c r="AO1" t="s">
        <v>1044</v>
      </c>
      <c r="AP1" t="s">
        <v>1045</v>
      </c>
      <c r="AQ1" t="s">
        <v>1046</v>
      </c>
      <c r="AR1" t="s">
        <v>1047</v>
      </c>
      <c r="AS1" t="s">
        <v>1048</v>
      </c>
      <c r="AT1" t="s">
        <v>1049</v>
      </c>
      <c r="AU1" t="s">
        <v>1050</v>
      </c>
      <c r="AV1" t="s">
        <v>1051</v>
      </c>
      <c r="AW1" t="s">
        <v>1052</v>
      </c>
      <c r="AX1" t="s">
        <v>1053</v>
      </c>
      <c r="AY1" t="s">
        <v>1054</v>
      </c>
      <c r="AZ1" t="s">
        <v>152</v>
      </c>
      <c r="BA1" t="s">
        <v>153</v>
      </c>
      <c r="BB1" t="s">
        <v>154</v>
      </c>
      <c r="BC1" t="s">
        <v>1055</v>
      </c>
      <c r="BD1" t="s">
        <v>640</v>
      </c>
      <c r="BE1" t="s">
        <v>155</v>
      </c>
      <c r="BF1" t="s">
        <v>156</v>
      </c>
      <c r="BG1" t="s">
        <v>157</v>
      </c>
      <c r="BH1" t="s">
        <v>1056</v>
      </c>
      <c r="BI1" t="s">
        <v>1057</v>
      </c>
      <c r="BJ1" t="s">
        <v>1058</v>
      </c>
      <c r="BK1" t="s">
        <v>1059</v>
      </c>
      <c r="BL1" t="s">
        <v>1060</v>
      </c>
      <c r="BM1" t="s">
        <v>1061</v>
      </c>
      <c r="BN1" t="s">
        <v>1062</v>
      </c>
      <c r="BO1" t="s">
        <v>760</v>
      </c>
      <c r="BP1" t="s">
        <v>641</v>
      </c>
      <c r="BQ1" t="s">
        <v>1063</v>
      </c>
      <c r="BR1" t="s">
        <v>761</v>
      </c>
      <c r="BS1" t="s">
        <v>642</v>
      </c>
      <c r="BT1" t="s">
        <v>1064</v>
      </c>
      <c r="BU1" t="s">
        <v>788</v>
      </c>
      <c r="BV1" t="s">
        <v>1065</v>
      </c>
      <c r="BW1" t="s">
        <v>1066</v>
      </c>
      <c r="BX1" t="s">
        <v>199</v>
      </c>
      <c r="BY1" t="s">
        <v>1067</v>
      </c>
      <c r="BZ1" t="s">
        <v>1068</v>
      </c>
      <c r="CA1" t="s">
        <v>200</v>
      </c>
      <c r="CB1" t="s">
        <v>1069</v>
      </c>
      <c r="CC1" t="s">
        <v>1070</v>
      </c>
      <c r="CD1" t="s">
        <v>1071</v>
      </c>
      <c r="CE1" t="s">
        <v>1072</v>
      </c>
      <c r="CF1" t="s">
        <v>762</v>
      </c>
      <c r="CG1" t="s">
        <v>763</v>
      </c>
      <c r="CH1" t="s">
        <v>186</v>
      </c>
      <c r="CI1" t="s">
        <v>187</v>
      </c>
      <c r="CJ1" t="s">
        <v>188</v>
      </c>
      <c r="CK1" t="s">
        <v>189</v>
      </c>
      <c r="CL1" t="s">
        <v>190</v>
      </c>
      <c r="CM1" t="s">
        <v>191</v>
      </c>
      <c r="CN1" t="s">
        <v>192</v>
      </c>
      <c r="CO1" t="s">
        <v>193</v>
      </c>
      <c r="CP1" t="s">
        <v>194</v>
      </c>
      <c r="CQ1" t="s">
        <v>195</v>
      </c>
      <c r="CR1" t="s">
        <v>1073</v>
      </c>
      <c r="CS1" t="s">
        <v>1074</v>
      </c>
      <c r="CT1" t="s">
        <v>1075</v>
      </c>
      <c r="CU1" t="s">
        <v>1076</v>
      </c>
      <c r="CV1" t="s">
        <v>1077</v>
      </c>
      <c r="CW1" t="s">
        <v>1078</v>
      </c>
      <c r="CX1">
        <v>1</v>
      </c>
      <c r="CY1" t="s">
        <v>1079</v>
      </c>
      <c r="CZ1" t="s">
        <v>1080</v>
      </c>
      <c r="DA1">
        <v>3</v>
      </c>
      <c r="DB1" t="s">
        <v>1081</v>
      </c>
      <c r="DC1" t="s">
        <v>1082</v>
      </c>
      <c r="DD1">
        <v>6</v>
      </c>
      <c r="DE1" t="s">
        <v>1083</v>
      </c>
      <c r="DF1" t="s">
        <v>1084</v>
      </c>
      <c r="DG1">
        <v>10</v>
      </c>
      <c r="DH1" t="s">
        <v>1085</v>
      </c>
      <c r="DI1" t="s">
        <v>1086</v>
      </c>
      <c r="DJ1">
        <v>20</v>
      </c>
      <c r="DK1" t="s">
        <v>1087</v>
      </c>
      <c r="DL1" t="s">
        <v>196</v>
      </c>
      <c r="DM1" t="s">
        <v>197</v>
      </c>
      <c r="DN1" s="1" t="s">
        <v>198</v>
      </c>
      <c r="DO1" t="s">
        <v>1088</v>
      </c>
      <c r="DP1" t="s">
        <v>1089</v>
      </c>
      <c r="DQ1" s="10" t="s">
        <v>1090</v>
      </c>
      <c r="DR1" t="s">
        <v>1091</v>
      </c>
      <c r="DS1" t="s">
        <v>1092</v>
      </c>
      <c r="DT1" t="s">
        <v>1093</v>
      </c>
      <c r="DU1" t="s">
        <v>1094</v>
      </c>
      <c r="DV1" t="s">
        <v>1095</v>
      </c>
      <c r="DW1" t="s">
        <v>1096</v>
      </c>
      <c r="DX1" t="s">
        <v>1097</v>
      </c>
      <c r="DY1" t="s">
        <v>1098</v>
      </c>
      <c r="DZ1" t="s">
        <v>1099</v>
      </c>
      <c r="EA1" t="s">
        <v>1100</v>
      </c>
      <c r="EB1" t="s">
        <v>1101</v>
      </c>
      <c r="EC1" t="s">
        <v>1102</v>
      </c>
      <c r="ED1" t="s">
        <v>1103</v>
      </c>
      <c r="EE1" t="s">
        <v>1104</v>
      </c>
      <c r="EF1" t="s">
        <v>1105</v>
      </c>
      <c r="EG1" t="s">
        <v>1106</v>
      </c>
      <c r="EH1" t="s">
        <v>1107</v>
      </c>
      <c r="EI1" t="s">
        <v>1108</v>
      </c>
      <c r="EK1" s="12" t="s">
        <v>1109</v>
      </c>
      <c r="EL1" t="s">
        <v>1110</v>
      </c>
      <c r="EM1" t="s">
        <v>1111</v>
      </c>
      <c r="EN1" t="s">
        <v>1112</v>
      </c>
      <c r="EO1" t="s">
        <v>1113</v>
      </c>
      <c r="EP1" t="s">
        <v>1114</v>
      </c>
    </row>
    <row r="2" spans="1:146" ht="156" x14ac:dyDescent="0.25">
      <c r="A2" s="6"/>
      <c r="B2" s="6"/>
      <c r="C2" s="6" t="str">
        <f>"公司致力于为客户提供满意的ICT产品及解决方案，集“设计、开发、生产、销售、服务”等一体，聚焦于“运营商网络、政企业务、消费者业务”。"&amp;CHAR(10)&amp;Basic_Fundamental_Information_Constructure(F2)&amp;CHAR(10)&amp;Basic_Fundamental_Information_Concatenate("运营商网络	408.12亿	67.23%	84.32%	54.20%
消费者业务	140.18亿	23.09%	9.52%	17.82%
政企业务	58.76亿	9.68%	6.16%	27.51%")</f>
        <v>公司致力于为客户提供满意的ICT产品及解决方案，集“设计、开发、生产、销售、服务”等一体，聚焦于“运营商网络、政企业务、消费者业务”。
市值1245.5587亿, 利润93.26亿; PE13.22; 平均PE28.05; 平均PEG3.58, PB1.76; ROIC7.0167%; ROE13.9167%; 股利率2.6229%; 毛利37.9867%; 净利6.64%; 上一年度营收增1.05%, 利润增15.42%; 当季营收增4.92%, 利润增3.75%; 过往5年营收增7.84%, 利润增50.08%
Income profile:
运营商网络	408.12亿	67.23%	84.32%	54.20%
消费者业务	140.18亿	23.09%	9.52%	17.82%
政企业务	58.76亿	9.68%	6.16%	27.51%</v>
      </c>
      <c r="D2" t="s">
        <v>210</v>
      </c>
      <c r="E2" t="s">
        <v>211</v>
      </c>
      <c r="F2">
        <v>26.04</v>
      </c>
      <c r="G2">
        <v>-0.04</v>
      </c>
      <c r="H2" t="s">
        <v>2864</v>
      </c>
      <c r="I2">
        <v>124555870000</v>
      </c>
      <c r="J2">
        <v>13.22</v>
      </c>
      <c r="K2">
        <v>1.76</v>
      </c>
      <c r="L2" t="s">
        <v>212</v>
      </c>
      <c r="M2" t="s">
        <v>1277</v>
      </c>
      <c r="N2" t="s">
        <v>1278</v>
      </c>
      <c r="O2" t="s">
        <v>1279</v>
      </c>
      <c r="P2">
        <v>4.93</v>
      </c>
      <c r="Q2" t="s">
        <v>1280</v>
      </c>
      <c r="R2">
        <v>2740979000</v>
      </c>
      <c r="S2" s="4">
        <v>3.7400000000000003E-2</v>
      </c>
      <c r="T2" t="s">
        <v>1281</v>
      </c>
      <c r="U2">
        <v>4027020800</v>
      </c>
      <c r="V2">
        <v>4783251600</v>
      </c>
      <c r="W2">
        <v>2.93</v>
      </c>
      <c r="X2">
        <v>0.15</v>
      </c>
      <c r="Y2">
        <v>9.0299999999999994</v>
      </c>
      <c r="Z2" t="s">
        <v>1282</v>
      </c>
      <c r="AA2" t="s">
        <v>1283</v>
      </c>
      <c r="AB2" t="s">
        <v>1284</v>
      </c>
      <c r="AC2" t="s">
        <v>1163</v>
      </c>
      <c r="AD2" t="s">
        <v>2</v>
      </c>
      <c r="AE2">
        <v>-63793000</v>
      </c>
      <c r="AF2" t="s">
        <v>1285</v>
      </c>
      <c r="AG2" t="s">
        <v>1286</v>
      </c>
      <c r="AH2" t="s">
        <v>1287</v>
      </c>
      <c r="AI2" t="s">
        <v>1288</v>
      </c>
      <c r="AJ2" t="s">
        <v>1289</v>
      </c>
      <c r="AK2" t="s">
        <v>2</v>
      </c>
      <c r="AL2" t="s">
        <v>1290</v>
      </c>
      <c r="AM2" t="s">
        <v>2</v>
      </c>
      <c r="AN2" t="s">
        <v>1291</v>
      </c>
      <c r="AO2" t="s">
        <v>1292</v>
      </c>
      <c r="AP2" t="s">
        <v>1293</v>
      </c>
      <c r="AQ2" t="s">
        <v>1294</v>
      </c>
      <c r="AR2" t="s">
        <v>2</v>
      </c>
      <c r="AS2" t="s">
        <v>1295</v>
      </c>
      <c r="AT2" t="s">
        <v>1296</v>
      </c>
      <c r="AU2" t="s">
        <v>1297</v>
      </c>
      <c r="AV2" t="s">
        <v>1298</v>
      </c>
      <c r="AW2" t="s">
        <v>1299</v>
      </c>
      <c r="AX2" t="s">
        <v>891</v>
      </c>
      <c r="AY2" t="s">
        <v>643</v>
      </c>
      <c r="AZ2" t="s">
        <v>213</v>
      </c>
      <c r="BA2" t="s">
        <v>215</v>
      </c>
      <c r="BB2" t="s">
        <v>216</v>
      </c>
      <c r="BC2" t="s">
        <v>892</v>
      </c>
      <c r="BD2" t="s">
        <v>644</v>
      </c>
      <c r="BE2" t="s">
        <v>214</v>
      </c>
      <c r="BF2" t="s">
        <v>217</v>
      </c>
      <c r="BG2" t="s">
        <v>218</v>
      </c>
      <c r="BH2" t="s">
        <v>1280</v>
      </c>
      <c r="BI2" t="s">
        <v>1300</v>
      </c>
      <c r="BJ2" t="s">
        <v>891</v>
      </c>
      <c r="BK2" t="s">
        <v>1281</v>
      </c>
      <c r="BL2" t="s">
        <v>1301</v>
      </c>
      <c r="BM2" t="s">
        <v>892</v>
      </c>
      <c r="BN2">
        <v>6.04</v>
      </c>
      <c r="BO2">
        <v>7.2</v>
      </c>
      <c r="BP2">
        <v>7.81</v>
      </c>
      <c r="BQ2">
        <v>12.6</v>
      </c>
      <c r="BR2">
        <v>14.66</v>
      </c>
      <c r="BS2">
        <v>14.49</v>
      </c>
      <c r="BT2" t="s">
        <v>1302</v>
      </c>
      <c r="BU2" t="s">
        <v>757</v>
      </c>
      <c r="BV2">
        <v>41.53</v>
      </c>
      <c r="BW2">
        <v>37.19</v>
      </c>
      <c r="BX2">
        <v>35.24</v>
      </c>
      <c r="BY2">
        <v>7.44</v>
      </c>
      <c r="BZ2">
        <v>6.34</v>
      </c>
      <c r="CA2">
        <v>6.14</v>
      </c>
      <c r="CB2">
        <v>-5.03</v>
      </c>
      <c r="CC2">
        <v>-2.61</v>
      </c>
      <c r="CD2" t="s">
        <v>75</v>
      </c>
      <c r="CE2" t="s">
        <v>2865</v>
      </c>
      <c r="CF2" s="8">
        <v>4.9239954706104254E-2</v>
      </c>
      <c r="CG2" s="9">
        <v>3.7463663890991671E-2</v>
      </c>
      <c r="CH2" s="8">
        <v>1.0548647493124008E-2</v>
      </c>
      <c r="CI2" s="8">
        <v>7.3627784848213196E-2</v>
      </c>
      <c r="CJ2" s="8">
        <v>0.12884052097797394</v>
      </c>
      <c r="CK2" s="8">
        <v>0.11807749420404434</v>
      </c>
      <c r="CL2" s="8">
        <v>6.1090093106031418E-2</v>
      </c>
      <c r="CM2" s="9">
        <v>0.15420792996883392</v>
      </c>
      <c r="CN2" s="9">
        <v>0.18596796691417694</v>
      </c>
      <c r="CO2" s="9">
        <v>0.59929579496383667</v>
      </c>
      <c r="CP2" s="9">
        <v>-0.17249421775341034</v>
      </c>
      <c r="CQ2" s="9">
        <v>1.737113356590271</v>
      </c>
      <c r="CR2">
        <v>28.049965094020944</v>
      </c>
      <c r="CS2">
        <v>3.5761181520574099</v>
      </c>
      <c r="CT2">
        <v>2.6228878648233489</v>
      </c>
      <c r="CU2" s="8">
        <v>7.8436908125877378E-2</v>
      </c>
      <c r="CV2" s="9">
        <v>0.50081816613674168</v>
      </c>
      <c r="CW2">
        <v>0.06</v>
      </c>
      <c r="CX2">
        <v>19.59630635327435</v>
      </c>
      <c r="CY2">
        <v>9488210004.8886147</v>
      </c>
      <c r="CZ2">
        <v>7.8436908125877378E-2</v>
      </c>
      <c r="DA2">
        <v>6.4669839071231312</v>
      </c>
      <c r="DB2">
        <v>28751249836.140938</v>
      </c>
      <c r="DC2">
        <v>7.4515062719583511E-2</v>
      </c>
      <c r="DD2">
        <v>3.2253740155366946</v>
      </c>
      <c r="DE2">
        <v>57647227609.682671</v>
      </c>
      <c r="DF2">
        <v>6.9024479150772089E-2</v>
      </c>
      <c r="DG2">
        <v>1.9654557633214438</v>
      </c>
      <c r="DH2">
        <v>94600892815.714386</v>
      </c>
      <c r="DI2">
        <v>6.274952650070191E-2</v>
      </c>
      <c r="DJ2">
        <v>1.0481739064805964</v>
      </c>
      <c r="DK2">
        <v>177388378827.61392</v>
      </c>
      <c r="DL2">
        <v>5.4905835688114163E-2</v>
      </c>
      <c r="DM2">
        <v>9326000000</v>
      </c>
      <c r="DN2">
        <v>7.8436908125877378E-2</v>
      </c>
      <c r="DO2">
        <v>185933870000</v>
      </c>
      <c r="DP2">
        <v>81132860000</v>
      </c>
      <c r="DQ2">
        <v>44</v>
      </c>
      <c r="DR2">
        <v>-2.9196953419773124E-2</v>
      </c>
      <c r="DS2">
        <v>-0.46335450224575003</v>
      </c>
      <c r="DT2" s="10">
        <v>-0.44</v>
      </c>
      <c r="DU2">
        <v>0.53333333333333333</v>
      </c>
      <c r="DV2">
        <v>9.3333333333333324E-2</v>
      </c>
      <c r="DW2">
        <v>-4.5188866799204774</v>
      </c>
      <c r="DX2">
        <v>0.28133699633699638</v>
      </c>
      <c r="DY2">
        <v>-4.0629601511808273</v>
      </c>
      <c r="DZ2">
        <v>1572</v>
      </c>
      <c r="EA2">
        <v>-4.0435802103826557</v>
      </c>
      <c r="EB2">
        <v>4</v>
      </c>
      <c r="EC2">
        <v>5.5401643517978438E-2</v>
      </c>
      <c r="ED2">
        <v>0.45659316771043362</v>
      </c>
      <c r="EE2" s="11">
        <v>-4.0074100000000001</v>
      </c>
      <c r="EF2">
        <v>-4.0078100000000001</v>
      </c>
      <c r="EG2">
        <v>16.121336996336996</v>
      </c>
      <c r="EH2" t="s">
        <v>1254</v>
      </c>
      <c r="EI2">
        <v>0</v>
      </c>
      <c r="EJ2">
        <v>0</v>
      </c>
      <c r="EK2" s="12">
        <v>45511</v>
      </c>
      <c r="EL2">
        <v>-0.95</v>
      </c>
      <c r="EM2">
        <v>-2.0299999999999998</v>
      </c>
      <c r="EN2">
        <v>-2.93</v>
      </c>
      <c r="EO2">
        <v>0.85</v>
      </c>
      <c r="EP2">
        <v>-0.04</v>
      </c>
    </row>
    <row r="3" spans="1:146" ht="108" x14ac:dyDescent="0.25">
      <c r="A3" s="6"/>
      <c r="B3" s="6"/>
      <c r="C3" s="6" t="str">
        <f>""&amp;CHAR(10)&amp;Basic_Fundamental_Information_Constructure(F3)&amp;CHAR(10)&amp;Basic_Fundamental_Information_Concatenate("")</f>
        <v xml:space="preserve">
市值39.345066亿, 利润-2.72亿; PE; 平均PE-91.78; 平均PEG-52.51, PB2.05; ROIC1.465%; ROE-9.6%; 股利率0%; 毛利14.0967%; 净利-5.46%; 上一年度营收增17.77%, 利润增-2137.61%; 当季营收增10.08%, 利润增236.88%; 过往5年营收增-1.75%, 利润增-1520.26%
Income profile:
</v>
      </c>
      <c r="D3" t="s">
        <v>403</v>
      </c>
      <c r="E3" t="s">
        <v>1303</v>
      </c>
      <c r="F3">
        <v>4.37</v>
      </c>
      <c r="G3">
        <v>1.1599999999999999</v>
      </c>
      <c r="H3" t="s">
        <v>2866</v>
      </c>
      <c r="I3">
        <v>3934506600</v>
      </c>
      <c r="K3">
        <v>2.0499999999999998</v>
      </c>
      <c r="L3" t="s">
        <v>212</v>
      </c>
      <c r="M3" t="s">
        <v>1304</v>
      </c>
      <c r="N3" t="s">
        <v>1305</v>
      </c>
      <c r="O3" t="s">
        <v>1306</v>
      </c>
      <c r="P3">
        <v>10.02</v>
      </c>
      <c r="Q3" t="s">
        <v>1307</v>
      </c>
      <c r="R3">
        <v>14179051</v>
      </c>
      <c r="S3" s="4">
        <v>2.3690000000000002</v>
      </c>
      <c r="T3" t="s">
        <v>1308</v>
      </c>
      <c r="U3">
        <v>888578630</v>
      </c>
      <c r="V3">
        <v>900344760</v>
      </c>
      <c r="W3">
        <v>3.46</v>
      </c>
      <c r="X3">
        <v>0.13</v>
      </c>
      <c r="Y3">
        <v>1.89</v>
      </c>
      <c r="Z3" t="s">
        <v>1192</v>
      </c>
      <c r="AA3" t="s">
        <v>201</v>
      </c>
      <c r="AB3" t="s">
        <v>1309</v>
      </c>
      <c r="AC3" t="s">
        <v>1310</v>
      </c>
      <c r="AD3" t="s">
        <v>2</v>
      </c>
      <c r="AE3">
        <v>27798409</v>
      </c>
      <c r="AF3" t="s">
        <v>1311</v>
      </c>
      <c r="AG3" t="s">
        <v>1312</v>
      </c>
      <c r="AH3" t="s">
        <v>1313</v>
      </c>
      <c r="AI3" t="s">
        <v>1232</v>
      </c>
      <c r="AJ3" t="s">
        <v>1314</v>
      </c>
      <c r="AK3" t="s">
        <v>60</v>
      </c>
      <c r="AL3" t="s">
        <v>1315</v>
      </c>
      <c r="AM3" t="s">
        <v>2</v>
      </c>
      <c r="AN3" t="s">
        <v>1316</v>
      </c>
      <c r="AO3" t="s">
        <v>1317</v>
      </c>
      <c r="AP3" t="s">
        <v>90</v>
      </c>
      <c r="AQ3" t="s">
        <v>1318</v>
      </c>
      <c r="AR3" t="s">
        <v>1319</v>
      </c>
      <c r="AS3" t="s">
        <v>1320</v>
      </c>
      <c r="AT3" t="s">
        <v>1321</v>
      </c>
      <c r="AU3" t="s">
        <v>1322</v>
      </c>
      <c r="AV3" t="s">
        <v>81</v>
      </c>
      <c r="AW3" t="s">
        <v>958</v>
      </c>
      <c r="AX3" t="s">
        <v>551</v>
      </c>
      <c r="AY3" t="s">
        <v>645</v>
      </c>
      <c r="AZ3" t="s">
        <v>404</v>
      </c>
      <c r="BA3" t="s">
        <v>764</v>
      </c>
      <c r="BB3" t="s">
        <v>406</v>
      </c>
      <c r="BC3" t="s">
        <v>1323</v>
      </c>
      <c r="BD3" t="s">
        <v>646</v>
      </c>
      <c r="BE3" t="s">
        <v>405</v>
      </c>
      <c r="BF3" t="s">
        <v>137</v>
      </c>
      <c r="BG3" t="s">
        <v>56</v>
      </c>
      <c r="BH3" t="s">
        <v>1307</v>
      </c>
      <c r="BI3" t="s">
        <v>1133</v>
      </c>
      <c r="BJ3" t="s">
        <v>551</v>
      </c>
      <c r="BK3" t="s">
        <v>1308</v>
      </c>
      <c r="BL3" t="s">
        <v>1324</v>
      </c>
      <c r="BM3" t="s">
        <v>1323</v>
      </c>
      <c r="BN3">
        <v>0.81</v>
      </c>
      <c r="BO3">
        <v>2.12</v>
      </c>
      <c r="BP3" t="s">
        <v>2</v>
      </c>
      <c r="BQ3">
        <v>-0.95</v>
      </c>
      <c r="BR3">
        <v>0.67</v>
      </c>
      <c r="BS3">
        <v>-28.52</v>
      </c>
      <c r="BT3" t="s">
        <v>836</v>
      </c>
      <c r="BU3" t="s">
        <v>789</v>
      </c>
      <c r="BV3">
        <v>14.96</v>
      </c>
      <c r="BW3">
        <v>15.92</v>
      </c>
      <c r="BX3">
        <v>11.41</v>
      </c>
      <c r="BY3">
        <v>-4.55</v>
      </c>
      <c r="BZ3">
        <v>1.29</v>
      </c>
      <c r="CA3">
        <v>-13.12</v>
      </c>
      <c r="CB3">
        <v>-2.89</v>
      </c>
      <c r="CC3">
        <v>4.55</v>
      </c>
      <c r="CD3" t="s">
        <v>2867</v>
      </c>
      <c r="CE3" t="s">
        <v>490</v>
      </c>
      <c r="CF3" s="8">
        <v>0.10082304526748946</v>
      </c>
      <c r="CG3" s="9">
        <v>2.3687928138394403</v>
      </c>
      <c r="CH3" s="8">
        <v>0.17771944403648376</v>
      </c>
      <c r="CI3" s="8">
        <v>-8.6909182369709015E-2</v>
      </c>
      <c r="CJ3" s="8">
        <v>-2.7742441743612289E-2</v>
      </c>
      <c r="CK3" s="8">
        <v>9.1035090386867523E-2</v>
      </c>
      <c r="CL3" s="8">
        <v>-0.24150015413761139</v>
      </c>
      <c r="CM3" s="9">
        <v>-21.376056671142578</v>
      </c>
      <c r="CN3" s="9">
        <v>1.0216003656387329</v>
      </c>
      <c r="CO3" s="9">
        <v>-54.995021820068359</v>
      </c>
      <c r="CP3" s="9">
        <v>-0.96672821044921875</v>
      </c>
      <c r="CQ3" s="9">
        <v>0.30303031206130981</v>
      </c>
      <c r="CR3">
        <v>-91.782794691404334</v>
      </c>
      <c r="CS3">
        <v>-52.508975496112214</v>
      </c>
      <c r="CT3">
        <v>0</v>
      </c>
      <c r="CU3" s="8">
        <v>-1.747944876551628E-2</v>
      </c>
      <c r="CV3" s="9">
        <v>-15.202635204792022</v>
      </c>
      <c r="CW3">
        <v>0.06</v>
      </c>
      <c r="CX3" t="e">
        <v>#VALUE!</v>
      </c>
      <c r="CY3" t="s">
        <v>765</v>
      </c>
      <c r="CZ3">
        <v>-1.747944876551628E-2</v>
      </c>
      <c r="DA3" t="e">
        <v>#VALUE!</v>
      </c>
      <c r="DB3" t="s">
        <v>765</v>
      </c>
      <c r="DC3">
        <v>-1.6605476327240465E-2</v>
      </c>
      <c r="DD3" t="e">
        <v>#VALUE!</v>
      </c>
      <c r="DE3" t="s">
        <v>765</v>
      </c>
      <c r="DF3">
        <v>-1.5381914913654328E-2</v>
      </c>
      <c r="DG3" t="e">
        <v>#VALUE!</v>
      </c>
      <c r="DH3" t="s">
        <v>765</v>
      </c>
      <c r="DI3">
        <v>-1.3983559012413025E-2</v>
      </c>
      <c r="DJ3" t="e">
        <v>#VALUE!</v>
      </c>
      <c r="DK3" t="s">
        <v>765</v>
      </c>
      <c r="DL3">
        <v>-1.2235614135861396E-2</v>
      </c>
      <c r="DM3">
        <v>-272000000</v>
      </c>
      <c r="DN3">
        <v>-1.747944876551628E-2</v>
      </c>
      <c r="DO3">
        <v>7034506600</v>
      </c>
      <c r="DP3">
        <v>1992703900</v>
      </c>
      <c r="DQ3">
        <v>49</v>
      </c>
      <c r="DR3">
        <v>0.11830249403300575</v>
      </c>
      <c r="DS3">
        <v>17.571428018631462</v>
      </c>
      <c r="DT3" s="10">
        <v>-0.37333333333333335</v>
      </c>
      <c r="DU3">
        <v>-0.66666666666666685</v>
      </c>
      <c r="DV3">
        <v>-1.0400000000000003</v>
      </c>
      <c r="DW3">
        <v>-6.388440860215054</v>
      </c>
      <c r="DX3">
        <v>0.30569914576271107</v>
      </c>
      <c r="DY3">
        <v>-6.0527110929105161</v>
      </c>
      <c r="DZ3">
        <v>3643</v>
      </c>
      <c r="EA3">
        <v>-6.0151104444920689</v>
      </c>
      <c r="EB3">
        <v>6</v>
      </c>
      <c r="EC3">
        <v>8.8924269409864726E-2</v>
      </c>
      <c r="ED3">
        <v>0.65530453023350743</v>
      </c>
      <c r="EE3" s="11">
        <v>-7.0685099999999998</v>
      </c>
      <c r="EF3">
        <v>-7.0569100000000002</v>
      </c>
      <c r="EG3">
        <v>17.135699145762711</v>
      </c>
      <c r="EH3" t="s">
        <v>1325</v>
      </c>
      <c r="EI3">
        <v>0</v>
      </c>
      <c r="EJ3">
        <v>0</v>
      </c>
      <c r="EK3" s="12">
        <v>45511</v>
      </c>
      <c r="EL3">
        <v>0</v>
      </c>
      <c r="EM3">
        <v>-2.44</v>
      </c>
      <c r="EN3">
        <v>-3.42</v>
      </c>
      <c r="EO3">
        <v>1.89</v>
      </c>
      <c r="EP3">
        <v>1.1599999999999999</v>
      </c>
    </row>
    <row r="4" spans="1:146" ht="108" x14ac:dyDescent="0.25">
      <c r="A4" s="6"/>
      <c r="B4" s="6"/>
      <c r="C4" s="6" t="str">
        <f>""&amp;CHAR(10)&amp;Basic_Fundamental_Information_Constructure(F4)&amp;CHAR(10)&amp;Basic_Fundamental_Information_Concatenate("")</f>
        <v xml:space="preserve">
市值15.107664亿, 利润1993.91万; PE117.5; 平均PE96.29; 平均PEG29.19, PB4.56; ROIC6.8933%; ROE7.0833%; 股利率0%; 毛利29.89%; 净利4.9033%; 上一年度营收增11.21%, 利润增9.53%; 当季营收增-41.49%, 利润增-223.11%; 过往5年营收增3.3%, 利润增113.3%
Income profile:
</v>
      </c>
      <c r="D4" t="s">
        <v>407</v>
      </c>
      <c r="E4" t="s">
        <v>408</v>
      </c>
      <c r="F4">
        <v>7.81</v>
      </c>
      <c r="G4">
        <v>10</v>
      </c>
      <c r="H4" t="s">
        <v>2868</v>
      </c>
      <c r="I4">
        <v>1510766400</v>
      </c>
      <c r="J4">
        <v>117.5</v>
      </c>
      <c r="K4">
        <v>4.5599999999999996</v>
      </c>
      <c r="L4" t="s">
        <v>212</v>
      </c>
      <c r="M4" t="s">
        <v>179</v>
      </c>
      <c r="N4" t="s">
        <v>70</v>
      </c>
      <c r="O4" t="s">
        <v>1326</v>
      </c>
      <c r="P4">
        <v>-41.67</v>
      </c>
      <c r="Q4" t="s">
        <v>1274</v>
      </c>
      <c r="R4">
        <v>-6250000</v>
      </c>
      <c r="S4" s="4">
        <v>-1.3939999999999999</v>
      </c>
      <c r="T4" t="s">
        <v>1327</v>
      </c>
      <c r="U4">
        <v>193440000</v>
      </c>
      <c r="V4">
        <v>193440000</v>
      </c>
      <c r="W4">
        <v>1.62</v>
      </c>
      <c r="X4">
        <v>0.11</v>
      </c>
      <c r="Y4">
        <v>-2.79</v>
      </c>
      <c r="Z4" t="s">
        <v>1328</v>
      </c>
      <c r="AA4" t="s">
        <v>1329</v>
      </c>
      <c r="AB4" t="s">
        <v>1330</v>
      </c>
      <c r="AC4" t="s">
        <v>1331</v>
      </c>
      <c r="AD4" t="s">
        <v>2</v>
      </c>
      <c r="AE4">
        <v>504665</v>
      </c>
      <c r="AF4" t="s">
        <v>20</v>
      </c>
      <c r="AG4">
        <v>741.59</v>
      </c>
      <c r="AH4" t="s">
        <v>1332</v>
      </c>
      <c r="AI4" t="s">
        <v>1171</v>
      </c>
      <c r="AJ4" t="s">
        <v>1333</v>
      </c>
      <c r="AK4" t="s">
        <v>1334</v>
      </c>
      <c r="AL4" t="s">
        <v>1335</v>
      </c>
      <c r="AM4" t="s">
        <v>2</v>
      </c>
      <c r="AN4" t="s">
        <v>1336</v>
      </c>
      <c r="AO4" t="s">
        <v>1337</v>
      </c>
      <c r="AP4" t="s">
        <v>2</v>
      </c>
      <c r="AQ4" t="s">
        <v>1338</v>
      </c>
      <c r="AR4" t="s">
        <v>1339</v>
      </c>
      <c r="AS4" t="s">
        <v>167</v>
      </c>
      <c r="AT4" t="s">
        <v>2</v>
      </c>
      <c r="AU4" t="s">
        <v>1340</v>
      </c>
      <c r="AV4" t="s">
        <v>1341</v>
      </c>
      <c r="AW4" t="s">
        <v>1342</v>
      </c>
      <c r="AX4" t="s">
        <v>174</v>
      </c>
      <c r="AY4" t="s">
        <v>110</v>
      </c>
      <c r="AZ4" t="s">
        <v>409</v>
      </c>
      <c r="BA4" t="s">
        <v>182</v>
      </c>
      <c r="BB4" t="s">
        <v>333</v>
      </c>
      <c r="BC4" t="s">
        <v>893</v>
      </c>
      <c r="BD4" t="s">
        <v>647</v>
      </c>
      <c r="BE4" t="s">
        <v>410</v>
      </c>
      <c r="BF4" t="s">
        <v>412</v>
      </c>
      <c r="BG4" t="s">
        <v>413</v>
      </c>
      <c r="BH4" t="s">
        <v>1274</v>
      </c>
      <c r="BI4" t="s">
        <v>57</v>
      </c>
      <c r="BJ4" t="s">
        <v>174</v>
      </c>
      <c r="BK4" t="s">
        <v>1327</v>
      </c>
      <c r="BL4" t="s">
        <v>1343</v>
      </c>
      <c r="BM4" t="s">
        <v>893</v>
      </c>
      <c r="BN4">
        <v>5.74</v>
      </c>
      <c r="BO4">
        <v>5.75</v>
      </c>
      <c r="BP4">
        <v>9.19</v>
      </c>
      <c r="BQ4">
        <v>6</v>
      </c>
      <c r="BR4">
        <v>5.98</v>
      </c>
      <c r="BS4">
        <v>9.27</v>
      </c>
      <c r="BT4" t="s">
        <v>836</v>
      </c>
      <c r="BU4" t="s">
        <v>789</v>
      </c>
      <c r="BV4">
        <v>29.42</v>
      </c>
      <c r="BW4">
        <v>30.08</v>
      </c>
      <c r="BX4">
        <v>30.17</v>
      </c>
      <c r="BY4">
        <v>4.16</v>
      </c>
      <c r="BZ4">
        <v>4.3099999999999996</v>
      </c>
      <c r="CA4">
        <v>6.24</v>
      </c>
      <c r="CB4">
        <v>5.68</v>
      </c>
      <c r="CC4">
        <v>-0.13</v>
      </c>
      <c r="CD4" t="s">
        <v>2869</v>
      </c>
      <c r="CE4" t="s">
        <v>2870</v>
      </c>
      <c r="CF4" s="8">
        <v>-0.41491650485436893</v>
      </c>
      <c r="CG4" s="9">
        <v>-2.2310904506775922</v>
      </c>
      <c r="CH4" s="8">
        <v>0.11210761964321136</v>
      </c>
      <c r="CI4" s="8">
        <v>-8.8888891041278839E-3</v>
      </c>
      <c r="CJ4" s="8">
        <v>-7.2164945304393768E-2</v>
      </c>
      <c r="CK4" s="8">
        <v>0.11751151829957962</v>
      </c>
      <c r="CL4" s="8">
        <v>1.6393441706895828E-2</v>
      </c>
      <c r="CM4" s="9">
        <v>9.5290146768093109E-2</v>
      </c>
      <c r="CN4" s="9">
        <v>-0.30361801385879517</v>
      </c>
      <c r="CO4" s="9">
        <v>7.2780176997184753E-2</v>
      </c>
      <c r="CP4" s="9">
        <v>1.9074822664260864</v>
      </c>
      <c r="CQ4" s="9">
        <v>3.8930273056030273</v>
      </c>
      <c r="CR4">
        <v>96.291660337232258</v>
      </c>
      <c r="CS4">
        <v>29.186588500190307</v>
      </c>
      <c r="CT4">
        <v>0</v>
      </c>
      <c r="CU4" s="8">
        <v>3.2991749048233029E-2</v>
      </c>
      <c r="CV4" s="9">
        <v>1.1329923763871192</v>
      </c>
      <c r="CW4">
        <v>0.06</v>
      </c>
      <c r="CX4">
        <v>72.500741115456151</v>
      </c>
      <c r="CY4">
        <v>19431062.059856247</v>
      </c>
      <c r="CZ4">
        <v>3.2991749048233029E-2</v>
      </c>
      <c r="DA4">
        <v>24.871937940269241</v>
      </c>
      <c r="DB4">
        <v>56640797.487642407</v>
      </c>
      <c r="DC4">
        <v>3.1342161595821379E-2</v>
      </c>
      <c r="DD4">
        <v>13.046496864397358</v>
      </c>
      <c r="DE4">
        <v>107980434.49076271</v>
      </c>
      <c r="DF4">
        <v>2.9032739162445066E-2</v>
      </c>
      <c r="DG4">
        <v>8.3990781057251063</v>
      </c>
      <c r="DH4">
        <v>167728693.82411569</v>
      </c>
      <c r="DI4">
        <v>2.6393399238586426E-2</v>
      </c>
      <c r="DJ4">
        <v>5.0196280919203522</v>
      </c>
      <c r="DK4">
        <v>280651549.1192596</v>
      </c>
      <c r="DL4">
        <v>2.3094224333763118E-2</v>
      </c>
      <c r="DM4">
        <v>19939100</v>
      </c>
      <c r="DN4">
        <v>3.2991749048233029E-2</v>
      </c>
      <c r="DO4">
        <v>1408766400</v>
      </c>
      <c r="DP4">
        <v>262022450.00000003</v>
      </c>
      <c r="DQ4">
        <v>156</v>
      </c>
      <c r="DR4">
        <v>-0.44790825390260197</v>
      </c>
      <c r="DS4">
        <v>-3.3640828270647116</v>
      </c>
      <c r="DT4" s="10">
        <v>-0.44</v>
      </c>
      <c r="DU4">
        <v>-0.12983333333333344</v>
      </c>
      <c r="DV4">
        <v>-0.56983333333333341</v>
      </c>
      <c r="DW4">
        <v>4.022887323943662</v>
      </c>
      <c r="DX4">
        <v>0.32254963925281122</v>
      </c>
      <c r="DY4">
        <v>4.0034914530110681</v>
      </c>
      <c r="DZ4">
        <v>3050</v>
      </c>
      <c r="EA4">
        <v>4.0014062891802951</v>
      </c>
      <c r="EB4">
        <v>4</v>
      </c>
      <c r="EC4">
        <v>6.3712262200165432E-2</v>
      </c>
      <c r="ED4">
        <v>0.41764940033085196</v>
      </c>
      <c r="EE4" s="11">
        <v>-6.0363100000000003</v>
      </c>
      <c r="EF4">
        <v>-6.0636999999999999</v>
      </c>
      <c r="EG4">
        <v>17.152549639252811</v>
      </c>
      <c r="EH4" t="s">
        <v>2871</v>
      </c>
      <c r="EI4">
        <v>0</v>
      </c>
      <c r="EJ4">
        <v>0</v>
      </c>
      <c r="EK4" s="12">
        <v>45511</v>
      </c>
      <c r="EL4">
        <v>0.27</v>
      </c>
      <c r="EM4">
        <v>-2.83</v>
      </c>
      <c r="EN4">
        <v>-4.03</v>
      </c>
      <c r="EO4">
        <v>2.75</v>
      </c>
      <c r="EP4">
        <v>10</v>
      </c>
    </row>
    <row r="5" spans="1:146" ht="108" x14ac:dyDescent="0.25">
      <c r="A5" s="6"/>
      <c r="B5" s="6"/>
      <c r="C5" s="6" t="str">
        <f>""&amp;CHAR(10)&amp;Basic_Fundamental_Information_Constructure(F5)&amp;CHAR(10)&amp;Basic_Fundamental_Information_Concatenate("")</f>
        <v xml:space="preserve">
市值4.4712843亿, 利润-2.28亿; PE; 平均PE-29.96; 平均PEG-1.32, PB.444; ROIC1.625%; ROE-3.1467%; 股利率0%; 毛利6.9533%; 净利-24.62%; 上一年度营收增-77.61%, 利润增-1898.93%; 当季营收增-16.06%, 利润增-7.62%; 过往5年营收增-22.72%, 利润增-391.83%
Income profile:
</v>
      </c>
      <c r="D5" t="s">
        <v>414</v>
      </c>
      <c r="E5" t="s">
        <v>1344</v>
      </c>
      <c r="F5" t="s">
        <v>2</v>
      </c>
      <c r="G5">
        <v>0</v>
      </c>
      <c r="H5">
        <v>0</v>
      </c>
      <c r="I5">
        <v>447128430</v>
      </c>
      <c r="K5">
        <v>0.44400000000000001</v>
      </c>
      <c r="L5" t="s">
        <v>212</v>
      </c>
      <c r="M5" t="s">
        <v>1345</v>
      </c>
      <c r="N5" t="s">
        <v>1206</v>
      </c>
      <c r="O5" t="s">
        <v>1346</v>
      </c>
      <c r="P5">
        <v>-16.059999999999999</v>
      </c>
      <c r="Q5" t="s">
        <v>1174</v>
      </c>
      <c r="R5">
        <v>-33594582</v>
      </c>
      <c r="S5" s="4">
        <v>-7.6200000000000004E-2</v>
      </c>
      <c r="T5" t="s">
        <v>1347</v>
      </c>
      <c r="U5">
        <v>1208455220</v>
      </c>
      <c r="V5">
        <v>1208455220</v>
      </c>
      <c r="W5">
        <v>2.2999999999999998</v>
      </c>
      <c r="X5">
        <v>0.02</v>
      </c>
      <c r="Y5">
        <v>-58.23</v>
      </c>
      <c r="Z5" t="s">
        <v>1348</v>
      </c>
      <c r="AA5" t="s">
        <v>1349</v>
      </c>
      <c r="AB5" t="s">
        <v>1350</v>
      </c>
      <c r="AC5" t="s">
        <v>1351</v>
      </c>
      <c r="AD5" t="s">
        <v>2</v>
      </c>
      <c r="AE5">
        <v>7870251</v>
      </c>
      <c r="AF5" t="s">
        <v>1352</v>
      </c>
      <c r="AG5" t="s">
        <v>1353</v>
      </c>
      <c r="AH5" t="s">
        <v>1354</v>
      </c>
      <c r="AI5" t="s">
        <v>1355</v>
      </c>
      <c r="AJ5" t="s">
        <v>1356</v>
      </c>
      <c r="AK5" t="s">
        <v>1244</v>
      </c>
      <c r="AL5" t="s">
        <v>1357</v>
      </c>
      <c r="AM5" t="s">
        <v>2</v>
      </c>
      <c r="AN5" t="s">
        <v>1358</v>
      </c>
      <c r="AO5" t="s">
        <v>1359</v>
      </c>
      <c r="AP5" t="s">
        <v>2</v>
      </c>
      <c r="AQ5" t="s">
        <v>39</v>
      </c>
      <c r="AR5" t="s">
        <v>2</v>
      </c>
      <c r="AS5" t="s">
        <v>1360</v>
      </c>
      <c r="AT5" t="s">
        <v>2</v>
      </c>
      <c r="AU5" t="s">
        <v>1361</v>
      </c>
      <c r="AV5" t="s">
        <v>1362</v>
      </c>
      <c r="AW5" t="s">
        <v>1363</v>
      </c>
      <c r="AX5" t="s">
        <v>894</v>
      </c>
      <c r="AY5" t="s">
        <v>340</v>
      </c>
      <c r="AZ5" t="s">
        <v>415</v>
      </c>
      <c r="BA5" t="s">
        <v>160</v>
      </c>
      <c r="BB5" t="s">
        <v>417</v>
      </c>
      <c r="BC5" t="s">
        <v>1364</v>
      </c>
      <c r="BD5" t="s">
        <v>648</v>
      </c>
      <c r="BE5" t="s">
        <v>416</v>
      </c>
      <c r="BF5" t="s">
        <v>418</v>
      </c>
      <c r="BG5" t="s">
        <v>419</v>
      </c>
      <c r="BH5" t="s">
        <v>1174</v>
      </c>
      <c r="BI5" t="s">
        <v>1365</v>
      </c>
      <c r="BJ5" t="s">
        <v>894</v>
      </c>
      <c r="BK5" t="s">
        <v>1347</v>
      </c>
      <c r="BL5" t="s">
        <v>1366</v>
      </c>
      <c r="BM5" t="s">
        <v>1364</v>
      </c>
      <c r="BN5" t="s">
        <v>2</v>
      </c>
      <c r="BO5">
        <v>1.97</v>
      </c>
      <c r="BP5">
        <v>1.28</v>
      </c>
      <c r="BQ5">
        <v>-10.89</v>
      </c>
      <c r="BR5">
        <v>0.95</v>
      </c>
      <c r="BS5">
        <v>0.5</v>
      </c>
      <c r="BT5" t="s">
        <v>836</v>
      </c>
      <c r="BU5" t="s">
        <v>789</v>
      </c>
      <c r="BV5">
        <v>-10.79</v>
      </c>
      <c r="BW5">
        <v>17.61</v>
      </c>
      <c r="BX5">
        <v>14.04</v>
      </c>
      <c r="BY5">
        <v>-75.56</v>
      </c>
      <c r="BZ5">
        <v>1.1499999999999999</v>
      </c>
      <c r="CA5">
        <v>0.55000000000000004</v>
      </c>
      <c r="CB5" t="s">
        <v>2</v>
      </c>
      <c r="CC5" t="s">
        <v>2</v>
      </c>
      <c r="CD5">
        <v>0</v>
      </c>
      <c r="CE5">
        <v>0</v>
      </c>
      <c r="CF5" s="8">
        <v>-0.16056478764868001</v>
      </c>
      <c r="CG5" s="9">
        <v>-7.6225108280581252E-2</v>
      </c>
      <c r="CH5" s="8">
        <v>-0.77610820531845093</v>
      </c>
      <c r="CI5" s="8">
        <v>-6.9230727851390839E-2</v>
      </c>
      <c r="CJ5" s="8">
        <v>0.35931560397148132</v>
      </c>
      <c r="CK5" s="8">
        <v>-7.8809104859828949E-2</v>
      </c>
      <c r="CL5" s="8">
        <v>-0.57132130861282349</v>
      </c>
      <c r="CM5" s="9">
        <v>-18.989301681518555</v>
      </c>
      <c r="CN5" s="9">
        <v>0.94407463073730469</v>
      </c>
      <c r="CO5" s="9">
        <v>-0.44746634364128113</v>
      </c>
      <c r="CP5" s="9">
        <v>-0.71069860458374023</v>
      </c>
      <c r="CQ5" s="9">
        <v>-0.38825124502182007</v>
      </c>
      <c r="CR5">
        <v>-29.957249816589684</v>
      </c>
      <c r="CS5">
        <v>-1.3183625019868535</v>
      </c>
      <c r="CT5">
        <v>0</v>
      </c>
      <c r="CU5" s="8">
        <v>-0.22723074853420258</v>
      </c>
      <c r="CV5" s="9">
        <v>-3.9183286488056184</v>
      </c>
      <c r="CW5">
        <v>0.06</v>
      </c>
      <c r="CX5" t="e">
        <v>#VALUE!</v>
      </c>
      <c r="CY5" t="s">
        <v>768</v>
      </c>
      <c r="CZ5">
        <v>-0.22723074853420258</v>
      </c>
      <c r="DA5" t="e">
        <v>#VALUE!</v>
      </c>
      <c r="DB5" t="s">
        <v>765</v>
      </c>
      <c r="DC5">
        <v>-0.21586921110749244</v>
      </c>
      <c r="DD5" t="e">
        <v>#VALUE!</v>
      </c>
      <c r="DE5" t="s">
        <v>765</v>
      </c>
      <c r="DF5">
        <v>-0.19996305871009828</v>
      </c>
      <c r="DG5" t="e">
        <v>#VALUE!</v>
      </c>
      <c r="DH5" t="s">
        <v>765</v>
      </c>
      <c r="DI5">
        <v>-0.18178459882736209</v>
      </c>
      <c r="DJ5" t="e">
        <v>#VALUE!</v>
      </c>
      <c r="DK5" t="s">
        <v>765</v>
      </c>
      <c r="DL5">
        <v>-0.1590615239739418</v>
      </c>
      <c r="DM5">
        <v>-227999999.99999997</v>
      </c>
      <c r="DN5">
        <v>-0.22723074853420258</v>
      </c>
      <c r="DO5">
        <v>778128430</v>
      </c>
      <c r="DP5">
        <v>226286100</v>
      </c>
      <c r="DQ5">
        <v>318</v>
      </c>
      <c r="DR5">
        <v>6.6665960885522568E-2</v>
      </c>
      <c r="DS5">
        <v>3.842103540525037</v>
      </c>
      <c r="DT5" s="10">
        <v>-0.73999999999999988</v>
      </c>
      <c r="DU5">
        <v>-1.8150000000000002</v>
      </c>
      <c r="DV5">
        <v>-2.5550000000000002</v>
      </c>
      <c r="DW5" t="e">
        <v>#VALUE!</v>
      </c>
      <c r="DX5" t="e">
        <v>#VALUE!</v>
      </c>
      <c r="DY5" t="e">
        <v>#VALUE!</v>
      </c>
      <c r="DZ5">
        <v>4683</v>
      </c>
      <c r="EA5" t="e">
        <v>#VALUE!</v>
      </c>
      <c r="EB5" t="e">
        <v>#VALUE!</v>
      </c>
      <c r="EC5">
        <v>0</v>
      </c>
      <c r="ED5">
        <v>0</v>
      </c>
      <c r="EE5" s="11">
        <v>-11.01871</v>
      </c>
      <c r="EF5">
        <v>-11.01871</v>
      </c>
      <c r="EG5" t="e">
        <v>#VALUE!</v>
      </c>
      <c r="EH5" t="s">
        <v>1367</v>
      </c>
      <c r="EI5" t="e">
        <v>#VALUE!</v>
      </c>
      <c r="EJ5">
        <v>0</v>
      </c>
      <c r="EK5" s="12">
        <v>45511</v>
      </c>
      <c r="EL5">
        <v>0</v>
      </c>
      <c r="EM5">
        <v>0</v>
      </c>
      <c r="EN5">
        <v>0</v>
      </c>
      <c r="EO5">
        <v>0</v>
      </c>
      <c r="EP5">
        <v>0</v>
      </c>
    </row>
    <row r="6" spans="1:146" ht="108" x14ac:dyDescent="0.25">
      <c r="A6" s="6"/>
      <c r="B6" s="6"/>
      <c r="C6" s="6" t="str">
        <f>""&amp;CHAR(10)&amp;Basic_Fundamental_Information_Constructure(F6)&amp;CHAR(10)&amp;Basic_Fundamental_Information_Concatenate("")</f>
        <v xml:space="preserve">
市值27.093924亿, 利润-15.56亿; PE; 平均PE-10.25; 平均PEG-1.91, PB.9; ROIC1.5367%; ROE.3033%; 股利率0%; 毛利6.6%; 净利-8.35%; 上一年度营收增-13.52%, 利润增-8185.47%; 当季营收增-31.08%, 利润增1240.42%; 过往5年营收增-5.37%, 利润增-1741.46%
Income profile:
</v>
      </c>
      <c r="D6" t="s">
        <v>219</v>
      </c>
      <c r="E6" t="s">
        <v>1368</v>
      </c>
      <c r="F6">
        <v>2.34</v>
      </c>
      <c r="G6">
        <v>4.93</v>
      </c>
      <c r="H6" t="s">
        <v>2872</v>
      </c>
      <c r="I6">
        <v>2709392400</v>
      </c>
      <c r="K6">
        <v>0.9</v>
      </c>
      <c r="L6" t="s">
        <v>212</v>
      </c>
      <c r="M6" t="s">
        <v>1369</v>
      </c>
      <c r="N6" t="s">
        <v>1370</v>
      </c>
      <c r="O6" t="s">
        <v>1371</v>
      </c>
      <c r="P6">
        <v>-31.12</v>
      </c>
      <c r="Q6" t="s">
        <v>1372</v>
      </c>
      <c r="R6">
        <v>106519196</v>
      </c>
      <c r="S6" s="5">
        <v>12.4</v>
      </c>
      <c r="T6" t="s">
        <v>1373</v>
      </c>
      <c r="U6">
        <v>1131674300</v>
      </c>
      <c r="V6">
        <v>1157860020</v>
      </c>
      <c r="W6">
        <v>2.09</v>
      </c>
      <c r="X6">
        <v>0.11</v>
      </c>
      <c r="Y6">
        <v>11.93</v>
      </c>
      <c r="Z6" t="s">
        <v>679</v>
      </c>
      <c r="AA6" t="s">
        <v>1374</v>
      </c>
      <c r="AB6" t="s">
        <v>1375</v>
      </c>
      <c r="AC6" t="s">
        <v>1376</v>
      </c>
      <c r="AD6" t="s">
        <v>2</v>
      </c>
      <c r="AE6">
        <v>16610997</v>
      </c>
      <c r="AF6" t="s">
        <v>1377</v>
      </c>
      <c r="AG6" t="s">
        <v>1378</v>
      </c>
      <c r="AH6" t="s">
        <v>1379</v>
      </c>
      <c r="AI6" t="s">
        <v>1380</v>
      </c>
      <c r="AJ6" t="s">
        <v>1381</v>
      </c>
      <c r="AK6" t="s">
        <v>1382</v>
      </c>
      <c r="AL6" t="s">
        <v>1383</v>
      </c>
      <c r="AM6" t="s">
        <v>2</v>
      </c>
      <c r="AN6" t="s">
        <v>1142</v>
      </c>
      <c r="AO6" t="s">
        <v>1384</v>
      </c>
      <c r="AP6" t="s">
        <v>1239</v>
      </c>
      <c r="AQ6" t="s">
        <v>1385</v>
      </c>
      <c r="AR6" t="s">
        <v>222</v>
      </c>
      <c r="AS6" t="s">
        <v>1386</v>
      </c>
      <c r="AT6" t="s">
        <v>1387</v>
      </c>
      <c r="AU6" t="s">
        <v>1388</v>
      </c>
      <c r="AV6" t="s">
        <v>98</v>
      </c>
      <c r="AW6" t="s">
        <v>1389</v>
      </c>
      <c r="AX6" t="s">
        <v>1011</v>
      </c>
      <c r="AY6" t="s">
        <v>649</v>
      </c>
      <c r="AZ6" t="s">
        <v>220</v>
      </c>
      <c r="BA6" t="s">
        <v>223</v>
      </c>
      <c r="BB6" t="s">
        <v>224</v>
      </c>
      <c r="BC6" t="s">
        <v>1390</v>
      </c>
      <c r="BD6" t="s">
        <v>650</v>
      </c>
      <c r="BE6" t="s">
        <v>205</v>
      </c>
      <c r="BF6" t="s">
        <v>225</v>
      </c>
      <c r="BG6" t="s">
        <v>226</v>
      </c>
      <c r="BH6" t="s">
        <v>1372</v>
      </c>
      <c r="BI6" t="s">
        <v>1391</v>
      </c>
      <c r="BJ6" t="s">
        <v>1011</v>
      </c>
      <c r="BK6" t="s">
        <v>1373</v>
      </c>
      <c r="BL6" t="s">
        <v>1392</v>
      </c>
      <c r="BM6" t="s">
        <v>1390</v>
      </c>
      <c r="BN6">
        <v>0.74</v>
      </c>
      <c r="BO6">
        <v>2.0499999999999998</v>
      </c>
      <c r="BP6">
        <v>1.82</v>
      </c>
      <c r="BQ6">
        <v>0.03</v>
      </c>
      <c r="BR6">
        <v>0.5</v>
      </c>
      <c r="BS6">
        <v>0.38</v>
      </c>
      <c r="BT6" t="s">
        <v>836</v>
      </c>
      <c r="BU6" t="s">
        <v>757</v>
      </c>
      <c r="BV6">
        <v>7.68</v>
      </c>
      <c r="BW6">
        <v>7.01</v>
      </c>
      <c r="BX6">
        <v>5.1100000000000003</v>
      </c>
      <c r="BY6">
        <v>-26.09</v>
      </c>
      <c r="BZ6">
        <v>0.63</v>
      </c>
      <c r="CA6">
        <v>0.41</v>
      </c>
      <c r="CB6">
        <v>6.36</v>
      </c>
      <c r="CC6">
        <v>37.65</v>
      </c>
      <c r="CD6" t="s">
        <v>2873</v>
      </c>
      <c r="CE6" t="s">
        <v>2874</v>
      </c>
      <c r="CF6" s="8">
        <v>-0.31076672104404579</v>
      </c>
      <c r="CG6" s="9">
        <v>12.404205015918558</v>
      </c>
      <c r="CH6" s="8">
        <v>-0.13517060875892639</v>
      </c>
      <c r="CI6" s="8">
        <v>-0.19770705699920654</v>
      </c>
      <c r="CJ6" s="8">
        <v>0.21801081299781799</v>
      </c>
      <c r="CK6" s="8">
        <v>-0.38492551445960999</v>
      </c>
      <c r="CL6" s="8">
        <v>0.23151639103889465</v>
      </c>
      <c r="CM6" s="9">
        <v>-81.854690551757813</v>
      </c>
      <c r="CN6" s="9">
        <v>0.25301298499107361</v>
      </c>
      <c r="CO6" s="9">
        <v>1.1258893013000488</v>
      </c>
      <c r="CP6" s="9">
        <v>-6.2776155471801758</v>
      </c>
      <c r="CQ6" s="9">
        <v>-0.31940031051635742</v>
      </c>
      <c r="CR6">
        <v>-10.247868315241412</v>
      </c>
      <c r="CS6">
        <v>-1.90994893786655</v>
      </c>
      <c r="CT6">
        <v>0</v>
      </c>
      <c r="CU6" s="8">
        <v>-5.3655195236206057E-2</v>
      </c>
      <c r="CV6" s="9">
        <v>-17.414560824632645</v>
      </c>
      <c r="CW6">
        <v>0.06</v>
      </c>
      <c r="CX6" t="e">
        <v>#VALUE!</v>
      </c>
      <c r="CY6" t="s">
        <v>765</v>
      </c>
      <c r="CZ6">
        <v>-5.3655195236206057E-2</v>
      </c>
      <c r="DA6" t="e">
        <v>#VALUE!</v>
      </c>
      <c r="DB6" t="s">
        <v>765</v>
      </c>
      <c r="DC6">
        <v>-5.0972435474395755E-2</v>
      </c>
      <c r="DD6" t="e">
        <v>#VALUE!</v>
      </c>
      <c r="DE6" t="s">
        <v>765</v>
      </c>
      <c r="DF6">
        <v>-4.7216571807861332E-2</v>
      </c>
      <c r="DG6" t="e">
        <v>#VALUE!</v>
      </c>
      <c r="DH6" t="s">
        <v>765</v>
      </c>
      <c r="DI6">
        <v>-4.2924156188964849E-2</v>
      </c>
      <c r="DJ6" t="e">
        <v>#VALUE!</v>
      </c>
      <c r="DK6" t="s">
        <v>765</v>
      </c>
      <c r="DL6">
        <v>-3.7558636665344237E-2</v>
      </c>
      <c r="DM6">
        <v>-1556000000</v>
      </c>
      <c r="DN6">
        <v>-5.3655195236206057E-2</v>
      </c>
      <c r="DO6">
        <v>4219392400.0000005</v>
      </c>
      <c r="DP6">
        <v>1278754000</v>
      </c>
      <c r="DQ6">
        <v>324</v>
      </c>
      <c r="DR6">
        <v>-0.25711152580783975</v>
      </c>
      <c r="DS6">
        <v>29.818765840551201</v>
      </c>
      <c r="DT6" s="10">
        <v>-0.47333333333333333</v>
      </c>
      <c r="DU6">
        <v>-0.48333333333333339</v>
      </c>
      <c r="DV6">
        <v>-0.95666666666666678</v>
      </c>
      <c r="DW6">
        <v>9.1689243027888452</v>
      </c>
      <c r="DX6">
        <v>0.33993291131973791</v>
      </c>
      <c r="DY6">
        <v>9.0371520137050076</v>
      </c>
      <c r="DZ6">
        <v>3566</v>
      </c>
      <c r="EA6">
        <v>9.0112103491520301</v>
      </c>
      <c r="EB6">
        <v>9</v>
      </c>
      <c r="EC6">
        <v>0.39642097669112025</v>
      </c>
      <c r="ED6">
        <v>1.8024631336696468</v>
      </c>
      <c r="EE6" s="11">
        <v>-5.0561100000000003</v>
      </c>
      <c r="EF6">
        <v>-5.0068099999999998</v>
      </c>
      <c r="EG6">
        <v>12.219932911319738</v>
      </c>
      <c r="EH6" t="s">
        <v>2863</v>
      </c>
      <c r="EI6">
        <v>1</v>
      </c>
      <c r="EJ6">
        <v>0</v>
      </c>
      <c r="EK6" s="12">
        <v>45511</v>
      </c>
      <c r="EL6">
        <v>5</v>
      </c>
      <c r="EM6">
        <v>5.19</v>
      </c>
      <c r="EN6">
        <v>-4.53</v>
      </c>
      <c r="EO6">
        <v>-3.88</v>
      </c>
      <c r="EP6">
        <v>4.93</v>
      </c>
    </row>
    <row r="7" spans="1:146" ht="108" x14ac:dyDescent="0.25">
      <c r="A7" s="6"/>
      <c r="B7" s="6"/>
      <c r="C7" s="6" t="str">
        <f>""&amp;CHAR(10)&amp;Basic_Fundamental_Information_Constructure(F7)&amp;CHAR(10)&amp;Basic_Fundamental_Information_Concatenate("")</f>
        <v xml:space="preserve">
市值46.492596亿, 利润1.72亿; PE25.83; 平均PE66.2; 平均PEG16, PB2.74; ROIC3.7333%; ROE5.32%; 股利率1.8727%; 毛利29.4667%; 净利8.3733%; 上一年度营收增7.47%, 利润增87.48%; 当季营收增2.86%, 利润增22.85%; 过往5年营收增4.14%, 利润增42.33%
Income profile:
</v>
      </c>
      <c r="D7" t="s">
        <v>470</v>
      </c>
      <c r="E7" t="s">
        <v>471</v>
      </c>
      <c r="F7">
        <v>8.01</v>
      </c>
      <c r="G7">
        <v>1.91</v>
      </c>
      <c r="H7" t="s">
        <v>2875</v>
      </c>
      <c r="I7">
        <v>4649259600</v>
      </c>
      <c r="J7">
        <v>25.83</v>
      </c>
      <c r="K7">
        <v>2.74</v>
      </c>
      <c r="L7" t="s">
        <v>212</v>
      </c>
      <c r="M7" t="s">
        <v>1216</v>
      </c>
      <c r="N7" t="s">
        <v>1393</v>
      </c>
      <c r="O7" t="s">
        <v>1394</v>
      </c>
      <c r="P7">
        <v>2.88</v>
      </c>
      <c r="Q7" t="s">
        <v>1395</v>
      </c>
      <c r="R7">
        <v>43704510</v>
      </c>
      <c r="S7" s="4">
        <v>0.22850000000000001</v>
      </c>
      <c r="T7" t="s">
        <v>102</v>
      </c>
      <c r="U7">
        <v>579090410</v>
      </c>
      <c r="V7">
        <v>580431910</v>
      </c>
      <c r="W7">
        <v>1.77</v>
      </c>
      <c r="X7">
        <v>0.12</v>
      </c>
      <c r="Y7">
        <v>12.28</v>
      </c>
      <c r="Z7" t="s">
        <v>164</v>
      </c>
      <c r="AA7" t="s">
        <v>794</v>
      </c>
      <c r="AB7" t="s">
        <v>1396</v>
      </c>
      <c r="AC7" t="s">
        <v>1397</v>
      </c>
      <c r="AD7" t="s">
        <v>2</v>
      </c>
      <c r="AE7">
        <v>-4213960</v>
      </c>
      <c r="AF7" t="s">
        <v>1398</v>
      </c>
      <c r="AG7" t="s">
        <v>1399</v>
      </c>
      <c r="AH7" t="s">
        <v>1400</v>
      </c>
      <c r="AI7" t="s">
        <v>1401</v>
      </c>
      <c r="AJ7" t="s">
        <v>1402</v>
      </c>
      <c r="AK7" t="s">
        <v>1403</v>
      </c>
      <c r="AL7" t="s">
        <v>1404</v>
      </c>
      <c r="AM7" t="s">
        <v>2</v>
      </c>
      <c r="AN7" t="s">
        <v>1405</v>
      </c>
      <c r="AO7" t="s">
        <v>2</v>
      </c>
      <c r="AP7" t="s">
        <v>1406</v>
      </c>
      <c r="AQ7" t="s">
        <v>1170</v>
      </c>
      <c r="AR7" t="s">
        <v>2</v>
      </c>
      <c r="AS7" t="s">
        <v>1407</v>
      </c>
      <c r="AT7" t="s">
        <v>2</v>
      </c>
      <c r="AU7" t="s">
        <v>1408</v>
      </c>
      <c r="AV7" t="s">
        <v>1409</v>
      </c>
      <c r="AW7" t="s">
        <v>1410</v>
      </c>
      <c r="AX7" t="s">
        <v>896</v>
      </c>
      <c r="AY7" t="s">
        <v>652</v>
      </c>
      <c r="AZ7" t="s">
        <v>472</v>
      </c>
      <c r="BA7" t="s">
        <v>106</v>
      </c>
      <c r="BB7" t="s">
        <v>474</v>
      </c>
      <c r="BC7" t="s">
        <v>1411</v>
      </c>
      <c r="BD7" t="s">
        <v>653</v>
      </c>
      <c r="BE7" t="s">
        <v>473</v>
      </c>
      <c r="BF7" t="s">
        <v>475</v>
      </c>
      <c r="BG7" t="s">
        <v>476</v>
      </c>
      <c r="BH7" t="s">
        <v>1395</v>
      </c>
      <c r="BI7" t="s">
        <v>1412</v>
      </c>
      <c r="BJ7" t="s">
        <v>896</v>
      </c>
      <c r="BK7" t="s">
        <v>102</v>
      </c>
      <c r="BL7" t="s">
        <v>1413</v>
      </c>
      <c r="BM7" t="s">
        <v>1411</v>
      </c>
      <c r="BN7">
        <v>6.16</v>
      </c>
      <c r="BO7">
        <v>4.2300000000000004</v>
      </c>
      <c r="BP7">
        <v>0.81</v>
      </c>
      <c r="BQ7">
        <v>6.71</v>
      </c>
      <c r="BR7">
        <v>6.21</v>
      </c>
      <c r="BS7">
        <v>3.04</v>
      </c>
      <c r="BT7" t="s">
        <v>847</v>
      </c>
      <c r="BU7" t="s">
        <v>790</v>
      </c>
      <c r="BV7">
        <v>33.71</v>
      </c>
      <c r="BW7">
        <v>30.41</v>
      </c>
      <c r="BX7">
        <v>24.28</v>
      </c>
      <c r="BY7">
        <v>13.03</v>
      </c>
      <c r="BZ7">
        <v>7.88</v>
      </c>
      <c r="CA7">
        <v>4.21</v>
      </c>
      <c r="CB7">
        <v>-2.5499999999999998</v>
      </c>
      <c r="CC7">
        <v>-4.9800000000000004</v>
      </c>
      <c r="CD7" t="s">
        <v>2876</v>
      </c>
      <c r="CE7" t="s">
        <v>93</v>
      </c>
      <c r="CF7" s="8">
        <v>2.8571428571428571E-2</v>
      </c>
      <c r="CG7" s="9">
        <v>0.22847951293143431</v>
      </c>
      <c r="CH7" s="8">
        <v>7.4650079011917114E-2</v>
      </c>
      <c r="CI7" s="8">
        <v>0.1996268630027771</v>
      </c>
      <c r="CJ7" s="8">
        <v>8.4666041657328606E-3</v>
      </c>
      <c r="CK7" s="8">
        <v>-9.8388515412807465E-2</v>
      </c>
      <c r="CL7" s="8">
        <v>2.2549981251358986E-2</v>
      </c>
      <c r="CM7" s="9">
        <v>0.87480032444000244</v>
      </c>
      <c r="CN7" s="9">
        <v>1.1110265254974365</v>
      </c>
      <c r="CO7" s="9">
        <v>0.22555737197399139</v>
      </c>
      <c r="CP7" s="9">
        <v>-0.10257227718830109</v>
      </c>
      <c r="CQ7" s="9">
        <v>7.8226029872894287E-3</v>
      </c>
      <c r="CR7">
        <v>66.199975699078664</v>
      </c>
      <c r="CS7">
        <v>15.997673292952033</v>
      </c>
      <c r="CT7">
        <v>1.8726591760299627</v>
      </c>
      <c r="CU7" s="8">
        <v>4.1381002403795719E-2</v>
      </c>
      <c r="CV7" s="9">
        <v>0.42332690954208374</v>
      </c>
      <c r="CW7">
        <v>0.06</v>
      </c>
      <c r="CX7">
        <v>25.099358591109876</v>
      </c>
      <c r="CY7">
        <v>168978804.16363478</v>
      </c>
      <c r="CZ7">
        <v>4.1381002403795719E-2</v>
      </c>
      <c r="DA7">
        <v>8.5488717923136317</v>
      </c>
      <c r="DB7">
        <v>496119219.35867083</v>
      </c>
      <c r="DC7">
        <v>3.9311952283605935E-2</v>
      </c>
      <c r="DD7">
        <v>4.4432090675647808</v>
      </c>
      <c r="DE7">
        <v>954548736.17381585</v>
      </c>
      <c r="DF7">
        <v>3.6415282115340231E-2</v>
      </c>
      <c r="DG7">
        <v>2.8325133443421056</v>
      </c>
      <c r="DH7">
        <v>1497348497.3943157</v>
      </c>
      <c r="DI7">
        <v>3.3104801923036574E-2</v>
      </c>
      <c r="DJ7">
        <v>1.6598853419314326</v>
      </c>
      <c r="DK7">
        <v>2555152149.8857841</v>
      </c>
      <c r="DL7">
        <v>2.8966701682657001E-2</v>
      </c>
      <c r="DM7">
        <v>172000000</v>
      </c>
      <c r="DN7">
        <v>4.1381002403795719E-2</v>
      </c>
      <c r="DO7">
        <v>4241259600</v>
      </c>
      <c r="DP7">
        <v>1482963700</v>
      </c>
      <c r="DQ7">
        <v>534</v>
      </c>
      <c r="DR7">
        <v>-1.2809573832367149E-2</v>
      </c>
      <c r="DS7">
        <v>-0.19484739661064943</v>
      </c>
      <c r="DT7" s="10">
        <v>-0.28999999999999998</v>
      </c>
      <c r="DU7">
        <v>0.98666666666666669</v>
      </c>
      <c r="DV7">
        <v>0.69666666666666677</v>
      </c>
      <c r="DW7">
        <v>-8.5120481927710845</v>
      </c>
      <c r="DX7">
        <v>0.40144042553191395</v>
      </c>
      <c r="DY7">
        <v>-8.0929062419892333</v>
      </c>
      <c r="DZ7">
        <v>508</v>
      </c>
      <c r="EA7">
        <v>-8.0836647360306415</v>
      </c>
      <c r="EB7">
        <v>8</v>
      </c>
      <c r="EC7">
        <v>4.40759709437753E-2</v>
      </c>
      <c r="ED7">
        <v>0.2429225505537764</v>
      </c>
      <c r="EE7" s="11">
        <v>5.6000000000000008E-3</v>
      </c>
      <c r="EF7">
        <v>2.47E-2</v>
      </c>
      <c r="EG7">
        <v>22.181440425531914</v>
      </c>
      <c r="EH7" t="s">
        <v>766</v>
      </c>
      <c r="EI7">
        <v>0</v>
      </c>
      <c r="EJ7">
        <v>1</v>
      </c>
      <c r="EK7" s="12">
        <v>45511</v>
      </c>
      <c r="EL7">
        <v>0.24</v>
      </c>
      <c r="EM7">
        <v>-2.31</v>
      </c>
      <c r="EN7">
        <v>-4.0999999999999996</v>
      </c>
      <c r="EO7">
        <v>1.81</v>
      </c>
      <c r="EP7">
        <v>1.91</v>
      </c>
    </row>
    <row r="8" spans="1:146" ht="108" x14ac:dyDescent="0.25">
      <c r="A8" s="6"/>
      <c r="B8" s="6"/>
      <c r="C8" s="6" t="str">
        <f>""&amp;CHAR(10)&amp;Basic_Fundamental_Information_Constructure(F8)&amp;CHAR(10)&amp;Basic_Fundamental_Information_Concatenate("")</f>
        <v xml:space="preserve">
市值36.249828亿, 利润1.58亿; PE24.24; 平均PE41.31; 平均PEG6.11, PB1.67; ROIC4.4933%; ROE4.6167%; 股利率2.5243%; 毛利28.0467%; 净利8.6433%; 上一年度营收增22.05%, 利润增92.89%; 当季营收增-22.04%, 利润增-23.47%; 过往5年营收增6.76%, 利润增597.47%
Income profile:
</v>
      </c>
      <c r="D8" t="s">
        <v>478</v>
      </c>
      <c r="E8" t="s">
        <v>479</v>
      </c>
      <c r="F8">
        <v>5.15</v>
      </c>
      <c r="G8">
        <v>1.18</v>
      </c>
      <c r="H8" t="s">
        <v>2877</v>
      </c>
      <c r="I8">
        <v>3624982800</v>
      </c>
      <c r="J8">
        <v>24.24</v>
      </c>
      <c r="K8">
        <v>1.67</v>
      </c>
      <c r="L8" t="s">
        <v>212</v>
      </c>
      <c r="M8" t="s">
        <v>899</v>
      </c>
      <c r="N8" t="s">
        <v>1252</v>
      </c>
      <c r="O8" t="s">
        <v>179</v>
      </c>
      <c r="P8">
        <v>-22.14</v>
      </c>
      <c r="Q8" t="s">
        <v>1173</v>
      </c>
      <c r="R8">
        <v>26229832</v>
      </c>
      <c r="S8" s="4">
        <v>-0.23469999999999999</v>
      </c>
      <c r="T8" t="s">
        <v>1414</v>
      </c>
      <c r="U8">
        <v>595353780</v>
      </c>
      <c r="V8">
        <v>703880150</v>
      </c>
      <c r="W8">
        <v>1.1499999999999999</v>
      </c>
      <c r="X8">
        <v>0.1</v>
      </c>
      <c r="Y8">
        <v>11.06</v>
      </c>
      <c r="Z8" t="s">
        <v>28</v>
      </c>
      <c r="AA8" t="s">
        <v>32</v>
      </c>
      <c r="AB8" t="s">
        <v>1415</v>
      </c>
      <c r="AC8" t="s">
        <v>1416</v>
      </c>
      <c r="AD8" t="s">
        <v>2</v>
      </c>
      <c r="AE8">
        <v>-147565</v>
      </c>
      <c r="AF8" t="s">
        <v>1417</v>
      </c>
      <c r="AG8">
        <v>102.35</v>
      </c>
      <c r="AH8" t="s">
        <v>1418</v>
      </c>
      <c r="AI8" t="s">
        <v>101</v>
      </c>
      <c r="AJ8" t="s">
        <v>1419</v>
      </c>
      <c r="AK8" t="s">
        <v>2</v>
      </c>
      <c r="AL8" t="s">
        <v>1420</v>
      </c>
      <c r="AM8" t="s">
        <v>2</v>
      </c>
      <c r="AN8" t="s">
        <v>1421</v>
      </c>
      <c r="AO8" t="s">
        <v>1422</v>
      </c>
      <c r="AP8" t="s">
        <v>1423</v>
      </c>
      <c r="AQ8" t="s">
        <v>67</v>
      </c>
      <c r="AR8" t="s">
        <v>2</v>
      </c>
      <c r="AS8" t="s">
        <v>94</v>
      </c>
      <c r="AT8" t="s">
        <v>1424</v>
      </c>
      <c r="AU8" t="s">
        <v>1425</v>
      </c>
      <c r="AV8" t="s">
        <v>1426</v>
      </c>
      <c r="AW8" t="s">
        <v>1427</v>
      </c>
      <c r="AX8" t="s">
        <v>897</v>
      </c>
      <c r="AY8" t="s">
        <v>654</v>
      </c>
      <c r="AZ8" t="s">
        <v>1204</v>
      </c>
      <c r="BA8" t="s">
        <v>1428</v>
      </c>
      <c r="BB8" t="s">
        <v>1429</v>
      </c>
      <c r="BC8" t="s">
        <v>898</v>
      </c>
      <c r="BD8" t="s">
        <v>655</v>
      </c>
      <c r="BE8" t="s">
        <v>480</v>
      </c>
      <c r="BF8" t="s">
        <v>482</v>
      </c>
      <c r="BG8" t="s">
        <v>359</v>
      </c>
      <c r="BH8" t="s">
        <v>1173</v>
      </c>
      <c r="BI8" t="s">
        <v>1430</v>
      </c>
      <c r="BJ8" t="s">
        <v>897</v>
      </c>
      <c r="BK8" t="s">
        <v>1414</v>
      </c>
      <c r="BL8" t="s">
        <v>1431</v>
      </c>
      <c r="BM8" t="s">
        <v>898</v>
      </c>
      <c r="BN8">
        <v>6.45</v>
      </c>
      <c r="BO8">
        <v>4.29</v>
      </c>
      <c r="BP8">
        <v>2.74</v>
      </c>
      <c r="BQ8">
        <v>6.78</v>
      </c>
      <c r="BR8">
        <v>4.32</v>
      </c>
      <c r="BS8">
        <v>2.75</v>
      </c>
      <c r="BT8" t="s">
        <v>994</v>
      </c>
      <c r="BU8" t="s">
        <v>790</v>
      </c>
      <c r="BV8">
        <v>31.2</v>
      </c>
      <c r="BW8">
        <v>27.99</v>
      </c>
      <c r="BX8">
        <v>24.95</v>
      </c>
      <c r="BY8">
        <v>12.48</v>
      </c>
      <c r="BZ8">
        <v>7.92</v>
      </c>
      <c r="CA8">
        <v>5.53</v>
      </c>
      <c r="CB8">
        <v>-2.65</v>
      </c>
      <c r="CC8">
        <v>-2.2799999999999998</v>
      </c>
      <c r="CD8" t="s">
        <v>2878</v>
      </c>
      <c r="CE8" t="s">
        <v>87</v>
      </c>
      <c r="CF8" s="8">
        <v>-0.22039473684210525</v>
      </c>
      <c r="CG8" s="9">
        <v>-0.23468835890223905</v>
      </c>
      <c r="CH8" s="8">
        <v>0.22050289809703827</v>
      </c>
      <c r="CI8" s="8">
        <v>7.708333432674408E-2</v>
      </c>
      <c r="CJ8" s="8">
        <v>-3.3232629299163818E-2</v>
      </c>
      <c r="CK8" s="8">
        <v>-0.12588028609752655</v>
      </c>
      <c r="CL8" s="8">
        <v>0.19957761466503143</v>
      </c>
      <c r="CM8" s="9">
        <v>0.92888760566711426</v>
      </c>
      <c r="CN8" s="9">
        <v>0.54311096668243408</v>
      </c>
      <c r="CO8" s="9">
        <v>29.783287048339844</v>
      </c>
      <c r="CP8" s="9">
        <v>-0.98012655973434448</v>
      </c>
      <c r="CQ8" s="9">
        <v>-0.4015917181968689</v>
      </c>
      <c r="CR8">
        <v>41.311224094415685</v>
      </c>
      <c r="CS8">
        <v>6.1102071051292768</v>
      </c>
      <c r="CT8">
        <v>2.5242718446601939</v>
      </c>
      <c r="CU8" s="8">
        <v>6.761018633842468E-2</v>
      </c>
      <c r="CV8" s="9">
        <v>5.9747134685516361</v>
      </c>
      <c r="CW8">
        <v>0.06</v>
      </c>
      <c r="CX8">
        <v>10.902629231402573</v>
      </c>
      <c r="CY8">
        <v>159134348.5296897</v>
      </c>
      <c r="CZ8">
        <v>6.761018633842468E-2</v>
      </c>
      <c r="DA8">
        <v>3.6312448670885087</v>
      </c>
      <c r="DB8">
        <v>477792840.61090863</v>
      </c>
      <c r="DC8">
        <v>6.4229677021503437E-2</v>
      </c>
      <c r="DD8">
        <v>1.8331931008233973</v>
      </c>
      <c r="DE8">
        <v>946426647.15501869</v>
      </c>
      <c r="DF8">
        <v>5.9496963977813719E-2</v>
      </c>
      <c r="DG8">
        <v>1.1322470348173568</v>
      </c>
      <c r="DH8">
        <v>1532335918.4419243</v>
      </c>
      <c r="DI8">
        <v>5.4088149070739749E-2</v>
      </c>
      <c r="DJ8">
        <v>0.62145685078956003</v>
      </c>
      <c r="DK8">
        <v>2791799298.3675485</v>
      </c>
      <c r="DL8">
        <v>4.732713043689727E-2</v>
      </c>
      <c r="DM8">
        <v>158000000</v>
      </c>
      <c r="DN8">
        <v>6.761018633842468E-2</v>
      </c>
      <c r="DO8">
        <v>1734982800</v>
      </c>
      <c r="DP8">
        <v>1749135700</v>
      </c>
      <c r="DQ8">
        <v>616</v>
      </c>
      <c r="DR8">
        <v>-0.28800492318052995</v>
      </c>
      <c r="DS8">
        <v>-6.2094018274538749</v>
      </c>
      <c r="DT8" s="10">
        <v>-0.17333333333333334</v>
      </c>
      <c r="DU8">
        <v>0.37833333333333347</v>
      </c>
      <c r="DV8">
        <v>0.20500000000000013</v>
      </c>
      <c r="DW8">
        <v>-4.8603773584905658</v>
      </c>
      <c r="DX8">
        <v>0.36607934272300541</v>
      </c>
      <c r="DY8">
        <v>-4.1428909061918686</v>
      </c>
      <c r="DZ8">
        <v>1343</v>
      </c>
      <c r="EA8">
        <v>-4.1053145429618549</v>
      </c>
      <c r="EB8">
        <v>4</v>
      </c>
      <c r="EC8">
        <v>5.0256993324786899E-2</v>
      </c>
      <c r="ED8">
        <v>0.30260833467174775</v>
      </c>
      <c r="EE8" s="11">
        <v>-2.0474999999999999</v>
      </c>
      <c r="EF8">
        <v>-2.0592999999999999</v>
      </c>
      <c r="EG8">
        <v>20.166079342723005</v>
      </c>
      <c r="EH8" t="s">
        <v>1128</v>
      </c>
      <c r="EI8">
        <v>0</v>
      </c>
      <c r="EJ8">
        <v>1</v>
      </c>
      <c r="EK8" s="12">
        <v>45511</v>
      </c>
      <c r="EL8">
        <v>-0.19</v>
      </c>
      <c r="EM8">
        <v>-2.27</v>
      </c>
      <c r="EN8">
        <v>-2.91</v>
      </c>
      <c r="EO8">
        <v>1.6</v>
      </c>
      <c r="EP8">
        <v>1.18</v>
      </c>
    </row>
    <row r="9" spans="1:146" ht="208" customHeight="1" x14ac:dyDescent="0.25">
      <c r="A9" s="6"/>
      <c r="B9" s="6"/>
      <c r="C9" s="6" t="str">
        <f>"公司主要从事射频器件和射频子系统的研发、生产、销售和服务，其主要产品为滤波器、双工器、射频等子系统，应用于2G、3G、4G、5G等通信网络。"&amp;CHAR(10)&amp;Basic_Fundamental_Information_Constructure(F9)&amp;CHAR(10)&amp;Basic_Fundamental_Information_Concatenate("双工器 7.38亿 79.04% 1.67亿 75.49% 22.68%
滤波器 9682.36万 10.37% 1653.54万 7.46% 17.08%
其他 9049.02万 9.69% 3545.54万 15.99% 39.18%
射频子系统 834.19万 0.89% 234.77万 1.06% 28.14%")</f>
        <v>公司主要从事射频器件和射频子系统的研发、生产、销售和服务，其主要产品为滤波器、双工器、射频等子系统，应用于2G、3G、4G、5G等通信网络。
市值53.296293亿, 利润8414.95万; PE126.7; 平均PE26.02; 平均PEG3.02, PB2.07; ROIC6.8167%; ROE8.2467%; 股利率1.5385%; 毛利23.7733%; 净利10.34%; 上一年度营收增-23.4%, 利润增-69.51%; 当季营收增-39.52%, 利润增-32.86%; 过往5年营收增8.61%, 利润增-3.66%
Income profile:
双工器 7.38亿 79.04% 1.67亿 75.49% 22.68%
滤波器 9682.36万 10.37% 1653.54万 7.46% 17.08%
其他 9049.02万 9.69% 3545.54万 15.99% 39.18%
射频子系统 834.19万 0.89% 234.77万 1.06% 28.14%</v>
      </c>
      <c r="D9" t="s">
        <v>229</v>
      </c>
      <c r="E9" t="s">
        <v>230</v>
      </c>
      <c r="F9">
        <v>7.8</v>
      </c>
      <c r="G9">
        <v>2.9</v>
      </c>
      <c r="H9" t="s">
        <v>2879</v>
      </c>
      <c r="I9">
        <v>5329629300</v>
      </c>
      <c r="J9">
        <v>126.7</v>
      </c>
      <c r="K9">
        <v>2.0699999999999998</v>
      </c>
      <c r="L9" t="s">
        <v>212</v>
      </c>
      <c r="M9" t="s">
        <v>1432</v>
      </c>
      <c r="N9" t="s">
        <v>1433</v>
      </c>
      <c r="O9" t="s">
        <v>62</v>
      </c>
      <c r="P9">
        <v>-39.47</v>
      </c>
      <c r="Q9" t="s">
        <v>1189</v>
      </c>
      <c r="R9">
        <v>30000000</v>
      </c>
      <c r="S9" s="4">
        <v>-0.94189999999999996</v>
      </c>
      <c r="T9" t="s">
        <v>1434</v>
      </c>
      <c r="U9">
        <v>509075510</v>
      </c>
      <c r="V9">
        <v>683285810</v>
      </c>
      <c r="W9">
        <v>1.18</v>
      </c>
      <c r="X9">
        <v>0.1</v>
      </c>
      <c r="Y9">
        <v>0.86</v>
      </c>
      <c r="Z9" t="s">
        <v>1177</v>
      </c>
      <c r="AA9" t="s">
        <v>134</v>
      </c>
      <c r="AB9" t="s">
        <v>1435</v>
      </c>
      <c r="AC9" t="s">
        <v>1436</v>
      </c>
      <c r="AD9" t="s">
        <v>2</v>
      </c>
      <c r="AE9">
        <v>-8259910</v>
      </c>
      <c r="AF9" t="s">
        <v>1437</v>
      </c>
      <c r="AG9" t="s">
        <v>1438</v>
      </c>
      <c r="AH9" t="s">
        <v>1439</v>
      </c>
      <c r="AI9" t="s">
        <v>1440</v>
      </c>
      <c r="AJ9" t="s">
        <v>1441</v>
      </c>
      <c r="AK9" t="s">
        <v>1442</v>
      </c>
      <c r="AL9" t="s">
        <v>1443</v>
      </c>
      <c r="AM9" t="s">
        <v>2</v>
      </c>
      <c r="AN9" t="s">
        <v>1444</v>
      </c>
      <c r="AO9" t="s">
        <v>2</v>
      </c>
      <c r="AP9" t="s">
        <v>1445</v>
      </c>
      <c r="AQ9" t="s">
        <v>90</v>
      </c>
      <c r="AR9" t="s">
        <v>1446</v>
      </c>
      <c r="AS9" t="s">
        <v>1185</v>
      </c>
      <c r="AT9" t="s">
        <v>2</v>
      </c>
      <c r="AU9" t="s">
        <v>1447</v>
      </c>
      <c r="AV9" t="s">
        <v>1448</v>
      </c>
      <c r="AW9" t="s">
        <v>1449</v>
      </c>
      <c r="AX9" t="s">
        <v>900</v>
      </c>
      <c r="AY9" t="s">
        <v>656</v>
      </c>
      <c r="AZ9" t="s">
        <v>231</v>
      </c>
      <c r="BA9" t="s">
        <v>233</v>
      </c>
      <c r="BB9" t="s">
        <v>234</v>
      </c>
      <c r="BC9" t="s">
        <v>29</v>
      </c>
      <c r="BD9" t="s">
        <v>120</v>
      </c>
      <c r="BE9" t="s">
        <v>4</v>
      </c>
      <c r="BF9" t="s">
        <v>97</v>
      </c>
      <c r="BG9" t="s">
        <v>235</v>
      </c>
      <c r="BH9" t="s">
        <v>1189</v>
      </c>
      <c r="BI9" t="s">
        <v>1138</v>
      </c>
      <c r="BJ9" t="s">
        <v>900</v>
      </c>
      <c r="BK9" t="s">
        <v>1434</v>
      </c>
      <c r="BL9" t="s">
        <v>1450</v>
      </c>
      <c r="BM9" t="s">
        <v>29</v>
      </c>
      <c r="BN9">
        <v>2.42</v>
      </c>
      <c r="BO9">
        <v>9.58</v>
      </c>
      <c r="BP9">
        <v>8.4499999999999993</v>
      </c>
      <c r="BQ9">
        <v>3.4</v>
      </c>
      <c r="BR9">
        <v>11.04</v>
      </c>
      <c r="BS9">
        <v>10.3</v>
      </c>
      <c r="BT9" t="s">
        <v>945</v>
      </c>
      <c r="BU9" t="s">
        <v>757</v>
      </c>
      <c r="BV9">
        <v>22.48</v>
      </c>
      <c r="BW9">
        <v>24.35</v>
      </c>
      <c r="BX9">
        <v>24.49</v>
      </c>
      <c r="BY9">
        <v>5.3</v>
      </c>
      <c r="BZ9">
        <v>13.33</v>
      </c>
      <c r="CA9">
        <v>12.39</v>
      </c>
      <c r="CB9">
        <v>-1.89</v>
      </c>
      <c r="CC9">
        <v>-4.6500000000000004</v>
      </c>
      <c r="CD9" t="s">
        <v>2880</v>
      </c>
      <c r="CE9" t="s">
        <v>916</v>
      </c>
      <c r="CF9" s="8">
        <v>-0.39520958083832336</v>
      </c>
      <c r="CG9" s="9">
        <v>-0.3286097297877959</v>
      </c>
      <c r="CH9" s="8">
        <v>-0.23396041989326477</v>
      </c>
      <c r="CI9" s="8">
        <v>0.12785632908344269</v>
      </c>
      <c r="CJ9" s="8">
        <v>0.23190347850322723</v>
      </c>
      <c r="CK9" s="8">
        <v>-0.12901338934898376</v>
      </c>
      <c r="CL9" s="8">
        <v>0.43347266316413879</v>
      </c>
      <c r="CM9" s="9">
        <v>-0.6951104998588562</v>
      </c>
      <c r="CN9" s="9">
        <v>0.21052631735801697</v>
      </c>
      <c r="CO9" s="9">
        <v>0.1875</v>
      </c>
      <c r="CP9" s="9">
        <v>-0.26153847575187683</v>
      </c>
      <c r="CQ9" s="9">
        <v>0.37566137313842773</v>
      </c>
      <c r="CR9">
        <v>26.016180944628786</v>
      </c>
      <c r="CS9">
        <v>3.0233186768874822</v>
      </c>
      <c r="CT9">
        <v>1.5384615384615385</v>
      </c>
      <c r="CU9" s="8">
        <v>8.6051732301712036E-2</v>
      </c>
      <c r="CV9" s="9">
        <v>-3.6592257022857663E-2</v>
      </c>
      <c r="CW9">
        <v>0.06</v>
      </c>
      <c r="CX9">
        <v>37.621406472226383</v>
      </c>
      <c r="CY9">
        <v>86217651.176719725</v>
      </c>
      <c r="CZ9">
        <v>8.6051732301712036E-2</v>
      </c>
      <c r="DA9">
        <v>12.335515796219077</v>
      </c>
      <c r="DB9">
        <v>262950439.49392009</v>
      </c>
      <c r="DC9">
        <v>8.1749145686626432E-2</v>
      </c>
      <c r="DD9">
        <v>6.0996715827777939</v>
      </c>
      <c r="DE9">
        <v>531771138.1639418</v>
      </c>
      <c r="DF9">
        <v>7.5725524425506591E-2</v>
      </c>
      <c r="DG9">
        <v>3.6814202810578895</v>
      </c>
      <c r="DH9">
        <v>881080955.81738734</v>
      </c>
      <c r="DI9">
        <v>6.8841385841369632E-2</v>
      </c>
      <c r="DJ9">
        <v>1.9227961931249087</v>
      </c>
      <c r="DK9">
        <v>1686933493.8345633</v>
      </c>
      <c r="DL9">
        <v>6.0236212611198423E-2</v>
      </c>
      <c r="DM9">
        <v>84149500</v>
      </c>
      <c r="DN9">
        <v>8.6051732301712036E-2</v>
      </c>
      <c r="DO9">
        <v>3243629300</v>
      </c>
      <c r="DP9">
        <v>1834012000</v>
      </c>
      <c r="DQ9">
        <v>702</v>
      </c>
      <c r="DR9">
        <v>-0.4812613131400354</v>
      </c>
      <c r="DS9">
        <v>-0.29201747276493822</v>
      </c>
      <c r="DT9" s="10">
        <v>-0.37333333333333335</v>
      </c>
      <c r="DU9">
        <v>-0.28666666666666668</v>
      </c>
      <c r="DV9">
        <v>-0.66</v>
      </c>
      <c r="DW9">
        <v>-1.0465</v>
      </c>
      <c r="DX9">
        <v>0.69215975609756186</v>
      </c>
      <c r="DY9">
        <v>-1.0084704286585366</v>
      </c>
      <c r="DZ9">
        <v>3199</v>
      </c>
      <c r="EA9">
        <v>-1.0031645932799076</v>
      </c>
      <c r="EB9">
        <v>1</v>
      </c>
      <c r="EC9">
        <v>6.558207318837779E-2</v>
      </c>
      <c r="ED9">
        <v>0.36002503842425765</v>
      </c>
      <c r="EE9" s="11">
        <v>-9.0947099999999992</v>
      </c>
      <c r="EF9">
        <v>-9.0657099999999993</v>
      </c>
      <c r="EG9">
        <v>51.182159756097562</v>
      </c>
      <c r="EH9" t="s">
        <v>2881</v>
      </c>
      <c r="EI9">
        <v>0</v>
      </c>
      <c r="EJ9">
        <v>0</v>
      </c>
      <c r="EK9" s="12">
        <v>45511</v>
      </c>
      <c r="EL9">
        <v>0</v>
      </c>
      <c r="EM9">
        <v>-2.0099999999999998</v>
      </c>
      <c r="EN9">
        <v>-4.24</v>
      </c>
      <c r="EO9">
        <v>1.61</v>
      </c>
      <c r="EP9">
        <v>2.9</v>
      </c>
    </row>
    <row r="10" spans="1:146" ht="108" x14ac:dyDescent="0.25">
      <c r="A10" s="6"/>
      <c r="B10" s="6"/>
      <c r="C10" s="6" t="str">
        <f>""&amp;CHAR(10)&amp;Basic_Fundamental_Information_Constructure(F10)&amp;CHAR(10)&amp;Basic_Fundamental_Information_Concatenate("")</f>
        <v xml:space="preserve">
市值241.35797亿, 利润6.19亿; PE40.59; 平均PE48.73; 平均PEG10.55, PB2.82; ROIC7.0133%; ROE8.91%; 股利率.7897%; 毛利23.48%; 净利9.2733%; 上一年度营收增-12.31%, 利润增1.81%; 当季营收增1.81%, 利润增-24.09%; 过往5年营收增4.62%, 利润增13.8%
Income profile:
</v>
      </c>
      <c r="D10" t="s">
        <v>239</v>
      </c>
      <c r="E10" t="s">
        <v>240</v>
      </c>
      <c r="F10">
        <v>30.39</v>
      </c>
      <c r="G10">
        <v>0.66</v>
      </c>
      <c r="H10" t="s">
        <v>2882</v>
      </c>
      <c r="I10">
        <v>24135797000</v>
      </c>
      <c r="J10">
        <v>40.590000000000003</v>
      </c>
      <c r="K10">
        <v>2.82</v>
      </c>
      <c r="L10" t="s">
        <v>212</v>
      </c>
      <c r="M10" t="s">
        <v>1451</v>
      </c>
      <c r="N10" t="s">
        <v>1452</v>
      </c>
      <c r="O10" t="s">
        <v>1453</v>
      </c>
      <c r="P10">
        <v>1.79</v>
      </c>
      <c r="Q10" t="s">
        <v>1454</v>
      </c>
      <c r="R10">
        <v>77431637</v>
      </c>
      <c r="S10" s="4">
        <v>-0.24210000000000001</v>
      </c>
      <c r="T10" t="s">
        <v>865</v>
      </c>
      <c r="U10">
        <v>756041920</v>
      </c>
      <c r="V10">
        <v>794201950</v>
      </c>
      <c r="W10">
        <v>1.41</v>
      </c>
      <c r="X10">
        <v>0.11</v>
      </c>
      <c r="Y10">
        <v>6.02</v>
      </c>
      <c r="Z10" t="s">
        <v>1455</v>
      </c>
      <c r="AA10" t="s">
        <v>1456</v>
      </c>
      <c r="AB10" t="s">
        <v>1457</v>
      </c>
      <c r="AC10" t="s">
        <v>1458</v>
      </c>
      <c r="AD10" t="s">
        <v>2</v>
      </c>
      <c r="AE10">
        <v>-25947129</v>
      </c>
      <c r="AF10" t="s">
        <v>1459</v>
      </c>
      <c r="AG10" t="s">
        <v>1460</v>
      </c>
      <c r="AH10" t="s">
        <v>1461</v>
      </c>
      <c r="AI10" t="s">
        <v>1462</v>
      </c>
      <c r="AJ10" t="s">
        <v>1463</v>
      </c>
      <c r="AK10" t="s">
        <v>1127</v>
      </c>
      <c r="AL10" t="s">
        <v>1464</v>
      </c>
      <c r="AM10" t="s">
        <v>2</v>
      </c>
      <c r="AN10" t="s">
        <v>1271</v>
      </c>
      <c r="AO10" t="s">
        <v>2</v>
      </c>
      <c r="AP10" t="s">
        <v>1465</v>
      </c>
      <c r="AQ10" t="s">
        <v>1466</v>
      </c>
      <c r="AR10" t="s">
        <v>2</v>
      </c>
      <c r="AS10" t="s">
        <v>1467</v>
      </c>
      <c r="AT10" t="s">
        <v>107</v>
      </c>
      <c r="AU10" t="s">
        <v>1468</v>
      </c>
      <c r="AV10" t="s">
        <v>1469</v>
      </c>
      <c r="AW10" t="s">
        <v>1470</v>
      </c>
      <c r="AX10" t="s">
        <v>901</v>
      </c>
      <c r="AY10" t="s">
        <v>660</v>
      </c>
      <c r="AZ10" t="s">
        <v>241</v>
      </c>
      <c r="BA10" t="s">
        <v>244</v>
      </c>
      <c r="BB10" t="s">
        <v>245</v>
      </c>
      <c r="BC10" t="s">
        <v>902</v>
      </c>
      <c r="BD10" t="s">
        <v>661</v>
      </c>
      <c r="BE10" t="s">
        <v>242</v>
      </c>
      <c r="BF10" t="s">
        <v>246</v>
      </c>
      <c r="BG10" t="s">
        <v>121</v>
      </c>
      <c r="BH10" t="s">
        <v>1454</v>
      </c>
      <c r="BI10" t="s">
        <v>169</v>
      </c>
      <c r="BJ10" t="s">
        <v>901</v>
      </c>
      <c r="BK10" t="s">
        <v>865</v>
      </c>
      <c r="BL10" t="s">
        <v>72</v>
      </c>
      <c r="BM10" t="s">
        <v>902</v>
      </c>
      <c r="BN10">
        <v>3.67</v>
      </c>
      <c r="BO10">
        <v>8.52</v>
      </c>
      <c r="BP10">
        <v>8.85</v>
      </c>
      <c r="BQ10">
        <v>5.59</v>
      </c>
      <c r="BR10">
        <v>10.41</v>
      </c>
      <c r="BS10">
        <v>10.73</v>
      </c>
      <c r="BT10" t="s">
        <v>1471</v>
      </c>
      <c r="BU10" t="s">
        <v>757</v>
      </c>
      <c r="BV10">
        <v>22.63</v>
      </c>
      <c r="BW10">
        <v>23.61</v>
      </c>
      <c r="BX10">
        <v>24.2</v>
      </c>
      <c r="BY10">
        <v>10.220000000000001</v>
      </c>
      <c r="BZ10">
        <v>8.8800000000000008</v>
      </c>
      <c r="CA10">
        <v>8.7200000000000006</v>
      </c>
      <c r="CB10">
        <v>-10.35</v>
      </c>
      <c r="CC10">
        <v>-18.61</v>
      </c>
      <c r="CD10" t="s">
        <v>51</v>
      </c>
      <c r="CE10" t="s">
        <v>1142</v>
      </c>
      <c r="CF10" s="8">
        <v>1.8138801261829655E-2</v>
      </c>
      <c r="CG10" s="9">
        <v>-0.24086630392156863</v>
      </c>
      <c r="CH10" s="8">
        <v>-0.12311918288469315</v>
      </c>
      <c r="CI10" s="8">
        <v>6.567990779876709E-2</v>
      </c>
      <c r="CJ10" s="8">
        <v>7.2775386273860931E-2</v>
      </c>
      <c r="CK10" s="8">
        <v>0.1326339989900589</v>
      </c>
      <c r="CL10" s="8">
        <v>8.2978278398513794E-2</v>
      </c>
      <c r="CM10" s="9">
        <v>1.809210516512394E-2</v>
      </c>
      <c r="CN10" s="9">
        <v>7.2310402989387512E-2</v>
      </c>
      <c r="CO10" s="9">
        <v>0.1642710417509079</v>
      </c>
      <c r="CP10" s="9">
        <v>0.36033520102500916</v>
      </c>
      <c r="CQ10" s="9">
        <v>7.5075075030326843E-2</v>
      </c>
      <c r="CR10">
        <v>48.726373485868102</v>
      </c>
      <c r="CS10">
        <v>10.549191052209105</v>
      </c>
      <c r="CT10">
        <v>0.7897334649555775</v>
      </c>
      <c r="CU10" s="8">
        <v>4.6189677715301511E-2</v>
      </c>
      <c r="CV10" s="9">
        <v>0.13801676519215106</v>
      </c>
      <c r="CW10">
        <v>0.06</v>
      </c>
      <c r="CX10">
        <v>31.41543338894963</v>
      </c>
      <c r="CY10">
        <v>610935292.92997313</v>
      </c>
      <c r="CZ10">
        <v>4.6189677715301511E-2</v>
      </c>
      <c r="DA10">
        <v>10.656210406282636</v>
      </c>
      <c r="DB10">
        <v>1801090281.4648261</v>
      </c>
      <c r="DC10">
        <v>4.388019382953643E-2</v>
      </c>
      <c r="DD10">
        <v>5.5092182209479699</v>
      </c>
      <c r="DE10">
        <v>3483760531.9430423</v>
      </c>
      <c r="DF10">
        <v>4.0646916389465333E-2</v>
      </c>
      <c r="DG10">
        <v>3.492146549953123</v>
      </c>
      <c r="DH10">
        <v>5495988420.1473837</v>
      </c>
      <c r="DI10">
        <v>3.695174217224121E-2</v>
      </c>
      <c r="DJ10">
        <v>2.0229425282758644</v>
      </c>
      <c r="DK10">
        <v>9487564145.659565</v>
      </c>
      <c r="DL10">
        <v>3.2332774400711056E-2</v>
      </c>
      <c r="DM10">
        <v>619000000</v>
      </c>
      <c r="DN10">
        <v>4.6189677715301511E-2</v>
      </c>
      <c r="DO10">
        <v>19192797000</v>
      </c>
      <c r="DP10">
        <v>6038916600</v>
      </c>
      <c r="DQ10">
        <v>786</v>
      </c>
      <c r="DR10">
        <v>-2.8050876453471856E-2</v>
      </c>
      <c r="DS10">
        <v>-0.37888306911371972</v>
      </c>
      <c r="DT10" s="10">
        <v>-0.44</v>
      </c>
      <c r="DU10">
        <v>2.9999999999999988E-2</v>
      </c>
      <c r="DV10">
        <v>-0.41000000000000003</v>
      </c>
      <c r="DW10">
        <v>-9.5561526061257389</v>
      </c>
      <c r="DX10">
        <v>0.32784461152882344</v>
      </c>
      <c r="DY10">
        <v>-9.0766626399421444</v>
      </c>
      <c r="DZ10">
        <v>2767</v>
      </c>
      <c r="EA10">
        <v>-9.0351264103122411</v>
      </c>
      <c r="EB10">
        <v>9</v>
      </c>
      <c r="EC10">
        <v>0.13850381505610759</v>
      </c>
      <c r="ED10">
        <v>1.0047822219524896</v>
      </c>
      <c r="EE10" s="11">
        <v>-9.0365099999999998</v>
      </c>
      <c r="EF10">
        <v>-9.0299099999999992</v>
      </c>
      <c r="EG10">
        <v>19.137844611528823</v>
      </c>
      <c r="EH10" t="s">
        <v>2881</v>
      </c>
      <c r="EI10">
        <v>0</v>
      </c>
      <c r="EJ10">
        <v>0</v>
      </c>
      <c r="EK10" s="12">
        <v>45511</v>
      </c>
      <c r="EL10">
        <v>-1.21</v>
      </c>
      <c r="EM10">
        <v>-4.42</v>
      </c>
      <c r="EN10">
        <v>-7.72</v>
      </c>
      <c r="EO10">
        <v>2.2000000000000002</v>
      </c>
      <c r="EP10">
        <v>0.66</v>
      </c>
    </row>
    <row r="11" spans="1:146" ht="108" x14ac:dyDescent="0.25">
      <c r="A11" s="6"/>
      <c r="B11" s="6"/>
      <c r="C11" s="6" t="str">
        <f>""&amp;CHAR(10)&amp;Basic_Fundamental_Information_Constructure(F11)&amp;CHAR(10)&amp;Basic_Fundamental_Information_Concatenate("")</f>
        <v xml:space="preserve">
市值32.646839亿, 利润1.64亿; PE15.1; 平均PE34.48; 平均PEG4.38, PB1.53; ROIC6.1%; ROE6.6967%; 股利率1.1933%; 毛利46.3567%; 净利17.8933%; 上一年度营收增13.5%, 利润增57.69%; 当季营收增58.02%, 利润增371.33%; 过往5年营收增7.87%, 利润增50.8%
Income profile:
</v>
      </c>
      <c r="D11" t="s">
        <v>248</v>
      </c>
      <c r="E11" t="s">
        <v>249</v>
      </c>
      <c r="F11">
        <v>8.3800000000000008</v>
      </c>
      <c r="G11">
        <v>0.6</v>
      </c>
      <c r="H11" t="s">
        <v>2883</v>
      </c>
      <c r="I11">
        <v>3264683900</v>
      </c>
      <c r="J11">
        <v>15.1</v>
      </c>
      <c r="K11">
        <v>1.53</v>
      </c>
      <c r="L11" t="s">
        <v>212</v>
      </c>
      <c r="M11" t="s">
        <v>128</v>
      </c>
      <c r="N11" t="s">
        <v>1472</v>
      </c>
      <c r="O11" t="s">
        <v>850</v>
      </c>
      <c r="P11">
        <v>58.29</v>
      </c>
      <c r="Q11" t="s">
        <v>1473</v>
      </c>
      <c r="R11">
        <v>112327150</v>
      </c>
      <c r="S11" s="4">
        <v>2.3940000000000001</v>
      </c>
      <c r="T11" t="s">
        <v>1203</v>
      </c>
      <c r="U11">
        <v>347415440</v>
      </c>
      <c r="V11">
        <v>389580420</v>
      </c>
      <c r="W11">
        <v>1.26</v>
      </c>
      <c r="X11">
        <v>0.08</v>
      </c>
      <c r="Y11">
        <v>38.94</v>
      </c>
      <c r="Z11" t="s">
        <v>127</v>
      </c>
      <c r="AA11" t="s">
        <v>1474</v>
      </c>
      <c r="AB11" t="s">
        <v>1475</v>
      </c>
      <c r="AC11" t="s">
        <v>1476</v>
      </c>
      <c r="AD11" t="s">
        <v>2</v>
      </c>
      <c r="AE11">
        <v>-1306890</v>
      </c>
      <c r="AF11" t="s">
        <v>1477</v>
      </c>
      <c r="AG11" t="s">
        <v>1478</v>
      </c>
      <c r="AH11" t="s">
        <v>1479</v>
      </c>
      <c r="AI11" t="s">
        <v>58</v>
      </c>
      <c r="AJ11" t="s">
        <v>1480</v>
      </c>
      <c r="AK11" t="s">
        <v>1481</v>
      </c>
      <c r="AL11" t="s">
        <v>1482</v>
      </c>
      <c r="AM11" t="s">
        <v>2</v>
      </c>
      <c r="AN11" t="s">
        <v>1483</v>
      </c>
      <c r="AO11" t="s">
        <v>2</v>
      </c>
      <c r="AP11" t="s">
        <v>2</v>
      </c>
      <c r="AQ11" t="s">
        <v>873</v>
      </c>
      <c r="AR11" t="s">
        <v>2</v>
      </c>
      <c r="AS11" t="s">
        <v>1484</v>
      </c>
      <c r="AT11" t="s">
        <v>2</v>
      </c>
      <c r="AU11" t="s">
        <v>1485</v>
      </c>
      <c r="AV11" t="s">
        <v>1486</v>
      </c>
      <c r="AW11" t="s">
        <v>1487</v>
      </c>
      <c r="AX11" t="s">
        <v>903</v>
      </c>
      <c r="AY11" t="s">
        <v>662</v>
      </c>
      <c r="AZ11" t="s">
        <v>232</v>
      </c>
      <c r="BA11" t="s">
        <v>251</v>
      </c>
      <c r="BB11" t="s">
        <v>252</v>
      </c>
      <c r="BC11" t="s">
        <v>104</v>
      </c>
      <c r="BD11" t="s">
        <v>98</v>
      </c>
      <c r="BE11" t="s">
        <v>250</v>
      </c>
      <c r="BF11" t="s">
        <v>253</v>
      </c>
      <c r="BG11" t="s">
        <v>254</v>
      </c>
      <c r="BH11" t="s">
        <v>1473</v>
      </c>
      <c r="BI11" t="s">
        <v>85</v>
      </c>
      <c r="BJ11" t="s">
        <v>903</v>
      </c>
      <c r="BK11" t="s">
        <v>1203</v>
      </c>
      <c r="BL11" t="s">
        <v>1488</v>
      </c>
      <c r="BM11" t="s">
        <v>104</v>
      </c>
      <c r="BN11">
        <v>5.72</v>
      </c>
      <c r="BO11">
        <v>5.77</v>
      </c>
      <c r="BP11">
        <v>6.81</v>
      </c>
      <c r="BQ11">
        <v>5.97</v>
      </c>
      <c r="BR11">
        <v>6.32</v>
      </c>
      <c r="BS11">
        <v>7.8</v>
      </c>
      <c r="BT11" t="s">
        <v>842</v>
      </c>
      <c r="BU11" t="s">
        <v>757</v>
      </c>
      <c r="BV11">
        <v>43.57</v>
      </c>
      <c r="BW11">
        <v>47.85</v>
      </c>
      <c r="BX11">
        <v>47.65</v>
      </c>
      <c r="BY11">
        <v>22.03</v>
      </c>
      <c r="BZ11">
        <v>15.74</v>
      </c>
      <c r="CA11">
        <v>15.91</v>
      </c>
      <c r="CB11">
        <v>-3.23</v>
      </c>
      <c r="CC11">
        <v>-13.16</v>
      </c>
      <c r="CD11" t="s">
        <v>98</v>
      </c>
      <c r="CE11" t="s">
        <v>2884</v>
      </c>
      <c r="CF11" s="8">
        <v>0.58015267175572494</v>
      </c>
      <c r="CG11" s="9">
        <v>3.7133305079767371</v>
      </c>
      <c r="CH11" s="8">
        <v>0.1349693238735199</v>
      </c>
      <c r="CI11" s="8">
        <v>-0.11533243209123611</v>
      </c>
      <c r="CJ11" s="8">
        <v>0.15517240762710571</v>
      </c>
      <c r="CK11" s="8">
        <v>0.2658730149269104</v>
      </c>
      <c r="CL11" s="8">
        <v>-4.7258980572223663E-2</v>
      </c>
      <c r="CM11" s="9">
        <v>0.57692307233810425</v>
      </c>
      <c r="CN11" s="9">
        <v>-0.13333334028720856</v>
      </c>
      <c r="CO11" s="9">
        <v>0.407512366771698</v>
      </c>
      <c r="CP11" s="9">
        <v>0.27184414863586426</v>
      </c>
      <c r="CQ11" s="9">
        <v>1.4171204566955566</v>
      </c>
      <c r="CR11">
        <v>34.484652579698249</v>
      </c>
      <c r="CS11">
        <v>4.3826394649456191</v>
      </c>
      <c r="CT11">
        <v>1.1933174224343674</v>
      </c>
      <c r="CU11" s="8">
        <v>7.8684666752815241E-2</v>
      </c>
      <c r="CV11" s="9">
        <v>0.50801334083080296</v>
      </c>
      <c r="CW11">
        <v>0.06</v>
      </c>
      <c r="CX11">
        <v>10.412099008128575</v>
      </c>
      <c r="CY11">
        <v>166890835.23345441</v>
      </c>
      <c r="CZ11">
        <v>7.8684666752815241E-2</v>
      </c>
      <c r="DA11">
        <v>3.4353777647791182</v>
      </c>
      <c r="DB11">
        <v>505820325.73402494</v>
      </c>
      <c r="DC11">
        <v>7.4750433415174469E-2</v>
      </c>
      <c r="DD11">
        <v>1.7128988572334205</v>
      </c>
      <c r="DE11">
        <v>1014469647.557948</v>
      </c>
      <c r="DF11">
        <v>6.9242506742477408E-2</v>
      </c>
      <c r="DG11">
        <v>1.0434697578773191</v>
      </c>
      <c r="DH11">
        <v>1665293974.1491768</v>
      </c>
      <c r="DI11">
        <v>6.2947733402252196E-2</v>
      </c>
      <c r="DJ11">
        <v>0.55610753248435141</v>
      </c>
      <c r="DK11">
        <v>3124726421.5916686</v>
      </c>
      <c r="DL11">
        <v>5.5079266726970666E-2</v>
      </c>
      <c r="DM11">
        <v>164000000</v>
      </c>
      <c r="DN11">
        <v>7.8684666752815241E-2</v>
      </c>
      <c r="DO11">
        <v>1737683900</v>
      </c>
      <c r="DP11">
        <v>1152266500</v>
      </c>
      <c r="DQ11">
        <v>801</v>
      </c>
      <c r="DR11">
        <v>0.50146800500290967</v>
      </c>
      <c r="DS11">
        <v>3.2053171671459344</v>
      </c>
      <c r="DT11" s="10">
        <v>-0.19000000000000003</v>
      </c>
      <c r="DU11">
        <v>1.0566666666666666</v>
      </c>
      <c r="DV11">
        <v>0.86666666666666659</v>
      </c>
      <c r="DW11">
        <v>-8.245440729483283</v>
      </c>
      <c r="DX11">
        <v>0.28348773841961872</v>
      </c>
      <c r="DY11">
        <v>-8.0401265497792824</v>
      </c>
      <c r="DZ11">
        <v>335</v>
      </c>
      <c r="EA11">
        <v>-8.0374943989713596</v>
      </c>
      <c r="EB11">
        <v>8</v>
      </c>
      <c r="EC11">
        <v>0.30802369379857436</v>
      </c>
      <c r="ED11">
        <v>1.88407826040128</v>
      </c>
      <c r="EE11" s="11">
        <v>7.7210000000000001E-2</v>
      </c>
      <c r="EF11">
        <v>7.1209999999999996E-2</v>
      </c>
      <c r="EG11">
        <v>12.163487738419619</v>
      </c>
      <c r="EH11">
        <v>-1</v>
      </c>
      <c r="EI11">
        <v>0</v>
      </c>
      <c r="EJ11">
        <v>1</v>
      </c>
      <c r="EK11" s="12">
        <v>45511</v>
      </c>
      <c r="EL11">
        <v>3.93</v>
      </c>
      <c r="EM11">
        <v>-3.44</v>
      </c>
      <c r="EN11">
        <v>-5.0599999999999996</v>
      </c>
      <c r="EO11">
        <v>0.97</v>
      </c>
      <c r="EP11">
        <v>0.6</v>
      </c>
    </row>
    <row r="12" spans="1:146" ht="96" x14ac:dyDescent="0.25">
      <c r="A12" s="6"/>
      <c r="B12" s="6"/>
      <c r="C12" s="6" t="str">
        <f>""&amp;CHAR(10)&amp;Basic_Fundamental_Information_Constructure(F12)&amp;CHAR(10)&amp;Basic_Fundamental_Information_Concatenate("")</f>
        <v xml:space="preserve">
市值22.95072亿, 利润-3.65亿; PE; 平均PE-5.65; 平均PEG-.82, PB12.03; ROIC0%; ROE-42.1367%; 股利率0%; 毛利15.6067%; 净利-18.2867%; 上一年度营收增-15.8%, 利润增71.37%; 当季营收增27.09%, 利润增44.94%; 过往5年营收增-6.86%, 利润增-372.16%
Income profile:
</v>
      </c>
      <c r="D12" t="s">
        <v>483</v>
      </c>
      <c r="E12" t="s">
        <v>1194</v>
      </c>
      <c r="F12">
        <v>6.13</v>
      </c>
      <c r="G12">
        <v>-4.96</v>
      </c>
      <c r="H12" t="s">
        <v>2885</v>
      </c>
      <c r="I12">
        <v>2295072000</v>
      </c>
      <c r="K12">
        <v>12.03</v>
      </c>
      <c r="L12" t="s">
        <v>212</v>
      </c>
      <c r="M12" t="s">
        <v>1489</v>
      </c>
      <c r="N12" t="s">
        <v>99</v>
      </c>
      <c r="O12" t="s">
        <v>1490</v>
      </c>
      <c r="P12">
        <v>27.15</v>
      </c>
      <c r="Q12" t="s">
        <v>1491</v>
      </c>
      <c r="R12">
        <v>-40000000</v>
      </c>
      <c r="S12" s="5">
        <v>0.87490000000000001</v>
      </c>
      <c r="T12" t="s">
        <v>1492</v>
      </c>
      <c r="U12">
        <v>374396180</v>
      </c>
      <c r="V12">
        <v>374400000</v>
      </c>
      <c r="W12">
        <v>19.73</v>
      </c>
      <c r="X12">
        <v>0.22</v>
      </c>
      <c r="Y12">
        <v>-1.1299999999999999</v>
      </c>
      <c r="Z12" t="s">
        <v>1374</v>
      </c>
      <c r="AA12" t="s">
        <v>1157</v>
      </c>
      <c r="AB12" t="s">
        <v>1493</v>
      </c>
      <c r="AC12" t="s">
        <v>1494</v>
      </c>
      <c r="AD12" t="s">
        <v>2</v>
      </c>
      <c r="AE12">
        <v>24598049</v>
      </c>
      <c r="AF12" t="s">
        <v>1495</v>
      </c>
      <c r="AG12" t="s">
        <v>1496</v>
      </c>
      <c r="AH12" t="s">
        <v>1497</v>
      </c>
      <c r="AI12" t="s">
        <v>1125</v>
      </c>
      <c r="AJ12" t="s">
        <v>1498</v>
      </c>
      <c r="AK12" t="s">
        <v>1499</v>
      </c>
      <c r="AL12" t="s">
        <v>1500</v>
      </c>
      <c r="AM12" t="s">
        <v>2</v>
      </c>
      <c r="AN12">
        <v>0</v>
      </c>
      <c r="AO12" t="s">
        <v>1501</v>
      </c>
      <c r="AP12" t="s">
        <v>1502</v>
      </c>
      <c r="AQ12" t="s">
        <v>1503</v>
      </c>
      <c r="AR12">
        <v>1979.17</v>
      </c>
      <c r="AS12" t="s">
        <v>1504</v>
      </c>
      <c r="AT12" t="s">
        <v>53</v>
      </c>
      <c r="AU12" t="s">
        <v>1505</v>
      </c>
      <c r="AV12" t="s">
        <v>1506</v>
      </c>
      <c r="AW12" t="s">
        <v>126</v>
      </c>
      <c r="AX12" t="s">
        <v>904</v>
      </c>
      <c r="AY12" t="s">
        <v>905</v>
      </c>
      <c r="AZ12" t="s">
        <v>906</v>
      </c>
      <c r="BA12" t="s">
        <v>907</v>
      </c>
      <c r="BB12" t="s">
        <v>484</v>
      </c>
      <c r="BC12" t="s">
        <v>1507</v>
      </c>
      <c r="BD12" t="s">
        <v>1508</v>
      </c>
      <c r="BE12" t="s">
        <v>1509</v>
      </c>
      <c r="BF12" t="s">
        <v>1510</v>
      </c>
      <c r="BG12" t="s">
        <v>485</v>
      </c>
      <c r="BH12" t="s">
        <v>1491</v>
      </c>
      <c r="BI12" t="s">
        <v>1511</v>
      </c>
      <c r="BJ12" t="s">
        <v>904</v>
      </c>
      <c r="BK12" t="s">
        <v>1492</v>
      </c>
      <c r="BL12" t="s">
        <v>1512</v>
      </c>
      <c r="BM12" t="s">
        <v>1507</v>
      </c>
      <c r="BN12" t="s">
        <v>2</v>
      </c>
      <c r="BO12" t="s">
        <v>2</v>
      </c>
      <c r="BP12" t="s">
        <v>2</v>
      </c>
      <c r="BQ12">
        <v>-30.41</v>
      </c>
      <c r="BR12">
        <v>-96.83</v>
      </c>
      <c r="BS12">
        <v>0.83</v>
      </c>
      <c r="BT12" t="s">
        <v>836</v>
      </c>
      <c r="BU12" t="s">
        <v>790</v>
      </c>
      <c r="BV12">
        <v>17.149999999999999</v>
      </c>
      <c r="BW12">
        <v>12.18</v>
      </c>
      <c r="BX12">
        <v>17.489999999999998</v>
      </c>
      <c r="BY12">
        <v>-12.89</v>
      </c>
      <c r="BZ12">
        <v>-38.17</v>
      </c>
      <c r="CA12">
        <v>-3.8</v>
      </c>
      <c r="CB12">
        <v>-19.13</v>
      </c>
      <c r="CC12">
        <v>-11.8</v>
      </c>
      <c r="CD12" t="s">
        <v>127</v>
      </c>
      <c r="CE12" t="s">
        <v>75</v>
      </c>
      <c r="CF12" s="8">
        <v>0.27086614173228346</v>
      </c>
      <c r="CG12" s="9">
        <v>0.44944152724920339</v>
      </c>
      <c r="CH12" s="8">
        <v>-0.15798863768577576</v>
      </c>
      <c r="CI12" s="8">
        <v>-0.28716859221458435</v>
      </c>
      <c r="CJ12" s="8">
        <v>0.19670045375823975</v>
      </c>
      <c r="CK12" s="8">
        <v>-0.17452339828014374</v>
      </c>
      <c r="CL12" s="8">
        <v>7.9864360392093658E-2</v>
      </c>
      <c r="CM12" s="9">
        <v>0.7137255072593689</v>
      </c>
      <c r="CN12" s="9">
        <v>-6.774390697479248</v>
      </c>
      <c r="CO12" s="9">
        <v>0.7859007716178894</v>
      </c>
      <c r="CP12" s="9">
        <v>-13.208553314208984</v>
      </c>
      <c r="CQ12" s="9">
        <v>-0.12488806992769241</v>
      </c>
      <c r="CR12">
        <v>-5.6539076986849972</v>
      </c>
      <c r="CS12">
        <v>-0.82390660346944034</v>
      </c>
      <c r="CT12">
        <v>0</v>
      </c>
      <c r="CU12" s="8">
        <v>-6.8623162806034088E-2</v>
      </c>
      <c r="CV12" s="9">
        <v>-3.7216411605477333</v>
      </c>
      <c r="CW12">
        <v>0.06</v>
      </c>
      <c r="CX12" t="e">
        <v>#VALUE!</v>
      </c>
      <c r="CY12" t="s">
        <v>768</v>
      </c>
      <c r="CZ12">
        <v>-6.8623162806034088E-2</v>
      </c>
      <c r="DA12" t="e">
        <v>#VALUE!</v>
      </c>
      <c r="DB12" t="s">
        <v>765</v>
      </c>
      <c r="DC12">
        <v>-6.5192004665732384E-2</v>
      </c>
      <c r="DD12" t="e">
        <v>#VALUE!</v>
      </c>
      <c r="DE12" t="s">
        <v>765</v>
      </c>
      <c r="DF12">
        <v>-6.0388383269309995E-2</v>
      </c>
      <c r="DG12" t="e">
        <v>#VALUE!</v>
      </c>
      <c r="DH12" t="s">
        <v>765</v>
      </c>
      <c r="DI12">
        <v>-5.4898530244827271E-2</v>
      </c>
      <c r="DJ12" t="e">
        <v>#VALUE!</v>
      </c>
      <c r="DK12" t="s">
        <v>765</v>
      </c>
      <c r="DL12">
        <v>-4.8036213964223862E-2</v>
      </c>
      <c r="DM12">
        <v>-365000000</v>
      </c>
      <c r="DN12">
        <v>-6.8623162806034088E-2</v>
      </c>
      <c r="DO12">
        <v>5569072000</v>
      </c>
      <c r="DP12">
        <v>-888495300</v>
      </c>
      <c r="DQ12">
        <v>818</v>
      </c>
      <c r="DR12">
        <v>0.33948930453831755</v>
      </c>
      <c r="DS12">
        <v>4.1710826877969369</v>
      </c>
      <c r="DT12" s="10">
        <v>-0.73999999999999988</v>
      </c>
      <c r="DU12">
        <v>-1.8383333333333336</v>
      </c>
      <c r="DV12">
        <v>-2.5783333333333336</v>
      </c>
      <c r="DW12">
        <v>-5.6168322007318352</v>
      </c>
      <c r="DX12">
        <v>0.68773584905660456</v>
      </c>
      <c r="DY12">
        <v>-5.2700095671128029</v>
      </c>
      <c r="DZ12">
        <v>4701</v>
      </c>
      <c r="EA12">
        <v>-5.021465416927315</v>
      </c>
      <c r="EB12">
        <v>5</v>
      </c>
      <c r="EC12">
        <v>0.30982905982905978</v>
      </c>
      <c r="ED12">
        <v>0.70779914529914534</v>
      </c>
      <c r="EE12" s="11">
        <v>1.0503100000000001</v>
      </c>
      <c r="EF12">
        <v>1.0999099999999999</v>
      </c>
      <c r="EG12">
        <v>25.437735849056605</v>
      </c>
      <c r="EH12" t="s">
        <v>881</v>
      </c>
      <c r="EI12">
        <v>0</v>
      </c>
      <c r="EJ12">
        <v>0</v>
      </c>
      <c r="EK12" s="12">
        <v>45511</v>
      </c>
      <c r="EL12">
        <v>-3.56</v>
      </c>
      <c r="EM12">
        <v>-2.87</v>
      </c>
      <c r="EN12">
        <v>-10</v>
      </c>
      <c r="EO12">
        <v>0.94</v>
      </c>
      <c r="EP12">
        <v>-4.96</v>
      </c>
    </row>
    <row r="13" spans="1:146" ht="132" x14ac:dyDescent="0.25">
      <c r="A13" s="6"/>
      <c r="C13" s="6" t="str">
        <f>""&amp;CHAR(10)&amp;Basic_Fundamental_Information_Constructure(F13)&amp;CHAR(10)&amp;Basic_Fundamental_Information_Concatenate("工程服务 13.96亿 36.90%（毛利6.40%）无线通信模组32.40%（毛利13.42%）基础设备19.57%（毛利20.01%）AI物联网产品与方案10.74%（毛利10.37%）")</f>
        <v xml:space="preserve">
市值76.046935亿, 利润4.25亿; PE21.39; 平均PE14.47; 平均PEG1.18, PB1.18; ROIC10.47%; ROE9.5%; 股利率1.9486%; 毛利35.6467%; 净利5.3133%; 上一年度营收增1.06%, 利润增-26.34%; 当季营收增-6.38%, 利润增-85.72%; 过往5年营收增12.28%, 利润增-3.48%
Income profile:
工程服务 13.96亿 36.90%（毛利6.40%）无线通信模组32.40%（毛利13.42%）基础设备19.57%（毛利20.01%）AI物联网产品与方案10.74%（毛利10.37%）</v>
      </c>
      <c r="D13" t="s">
        <v>255</v>
      </c>
      <c r="E13" t="s">
        <v>256</v>
      </c>
      <c r="F13">
        <v>12.83</v>
      </c>
      <c r="G13">
        <v>0.71</v>
      </c>
      <c r="H13" t="s">
        <v>2886</v>
      </c>
      <c r="I13">
        <v>7604693500</v>
      </c>
      <c r="J13">
        <v>21.39</v>
      </c>
      <c r="K13">
        <v>1.18</v>
      </c>
      <c r="L13" t="s">
        <v>212</v>
      </c>
      <c r="M13" t="s">
        <v>1513</v>
      </c>
      <c r="N13" t="s">
        <v>1514</v>
      </c>
      <c r="O13" t="s">
        <v>1515</v>
      </c>
      <c r="P13">
        <v>-6.37</v>
      </c>
      <c r="Q13" t="s">
        <v>1516</v>
      </c>
      <c r="R13">
        <v>11551867</v>
      </c>
      <c r="S13" s="4">
        <v>-0.85719999999999996</v>
      </c>
      <c r="T13" t="s">
        <v>791</v>
      </c>
      <c r="U13">
        <v>580449430</v>
      </c>
      <c r="V13">
        <v>592727480</v>
      </c>
      <c r="W13">
        <v>1.64</v>
      </c>
      <c r="X13">
        <v>0.21</v>
      </c>
      <c r="Y13">
        <v>0.77</v>
      </c>
      <c r="Z13" t="s">
        <v>1517</v>
      </c>
      <c r="AA13" t="s">
        <v>1518</v>
      </c>
      <c r="AB13" t="s">
        <v>1519</v>
      </c>
      <c r="AC13" t="s">
        <v>107</v>
      </c>
      <c r="AD13" t="s">
        <v>2</v>
      </c>
      <c r="AE13">
        <v>-14417957</v>
      </c>
      <c r="AF13" t="s">
        <v>1520</v>
      </c>
      <c r="AG13" t="s">
        <v>1521</v>
      </c>
      <c r="AH13" t="s">
        <v>1522</v>
      </c>
      <c r="AI13" t="s">
        <v>1523</v>
      </c>
      <c r="AJ13" t="s">
        <v>1524</v>
      </c>
      <c r="AK13" t="s">
        <v>1525</v>
      </c>
      <c r="AL13" t="s">
        <v>1526</v>
      </c>
      <c r="AM13" t="s">
        <v>2</v>
      </c>
      <c r="AN13" t="s">
        <v>1527</v>
      </c>
      <c r="AO13" t="s">
        <v>733</v>
      </c>
      <c r="AP13" t="s">
        <v>1528</v>
      </c>
      <c r="AQ13" t="s">
        <v>1529</v>
      </c>
      <c r="AR13" t="s">
        <v>2</v>
      </c>
      <c r="AS13" t="s">
        <v>1530</v>
      </c>
      <c r="AT13" t="s">
        <v>2</v>
      </c>
      <c r="AU13" t="s">
        <v>1531</v>
      </c>
      <c r="AV13" t="s">
        <v>1532</v>
      </c>
      <c r="AW13" t="s">
        <v>334</v>
      </c>
      <c r="AX13" t="s">
        <v>908</v>
      </c>
      <c r="AY13" t="s">
        <v>663</v>
      </c>
      <c r="AZ13" t="s">
        <v>257</v>
      </c>
      <c r="BA13" t="s">
        <v>258</v>
      </c>
      <c r="BB13" t="s">
        <v>259</v>
      </c>
      <c r="BC13" t="s">
        <v>204</v>
      </c>
      <c r="BD13" t="s">
        <v>118</v>
      </c>
      <c r="BE13" t="s">
        <v>791</v>
      </c>
      <c r="BF13" t="s">
        <v>792</v>
      </c>
      <c r="BG13" t="s">
        <v>793</v>
      </c>
      <c r="BH13" t="s">
        <v>1516</v>
      </c>
      <c r="BI13" t="s">
        <v>1533</v>
      </c>
      <c r="BJ13" t="s">
        <v>908</v>
      </c>
      <c r="BK13" t="s">
        <v>791</v>
      </c>
      <c r="BL13" t="s">
        <v>1534</v>
      </c>
      <c r="BM13" t="s">
        <v>204</v>
      </c>
      <c r="BN13">
        <v>5.31</v>
      </c>
      <c r="BO13">
        <v>11.85</v>
      </c>
      <c r="BP13">
        <v>14.25</v>
      </c>
      <c r="BQ13">
        <v>4.87</v>
      </c>
      <c r="BR13">
        <v>11.44</v>
      </c>
      <c r="BS13">
        <v>12.19</v>
      </c>
      <c r="BT13" t="s">
        <v>1535</v>
      </c>
      <c r="BU13" t="s">
        <v>757</v>
      </c>
      <c r="BV13">
        <v>36.26</v>
      </c>
      <c r="BW13">
        <v>36.58</v>
      </c>
      <c r="BX13">
        <v>34.1</v>
      </c>
      <c r="BY13">
        <v>4.5</v>
      </c>
      <c r="BZ13">
        <v>5.65</v>
      </c>
      <c r="CA13">
        <v>5.79</v>
      </c>
      <c r="CB13">
        <v>-3.39</v>
      </c>
      <c r="CC13">
        <v>-4.82</v>
      </c>
      <c r="CD13" t="s">
        <v>2887</v>
      </c>
      <c r="CE13" t="s">
        <v>52</v>
      </c>
      <c r="CF13" s="8">
        <v>-6.3823441694005362E-2</v>
      </c>
      <c r="CG13" s="9">
        <v>-0.85718318025762219</v>
      </c>
      <c r="CH13" s="8">
        <v>1.060924120247364E-2</v>
      </c>
      <c r="CI13" s="8">
        <v>0.16178315877914429</v>
      </c>
      <c r="CJ13" s="8">
        <v>0.31492620706558228</v>
      </c>
      <c r="CK13" s="8">
        <v>0.11202245950698853</v>
      </c>
      <c r="CL13" s="8">
        <v>1.4673632569611073E-2</v>
      </c>
      <c r="CM13" s="9">
        <v>-0.26343154907226563</v>
      </c>
      <c r="CN13" s="9">
        <v>6.4575642347335815E-2</v>
      </c>
      <c r="CO13" s="9">
        <v>0.27529412508010864</v>
      </c>
      <c r="CP13" s="9">
        <v>-0.29867985844612122</v>
      </c>
      <c r="CQ13" s="9">
        <v>4.8442907631397247E-2</v>
      </c>
      <c r="CR13">
        <v>14.471348239771647</v>
      </c>
      <c r="CS13">
        <v>1.1784203424138127</v>
      </c>
      <c r="CT13">
        <v>1.9485580670303975</v>
      </c>
      <c r="CU13" s="8">
        <v>0.12280293982475995</v>
      </c>
      <c r="CV13" s="9">
        <v>-3.4759746491909028E-2</v>
      </c>
      <c r="CW13">
        <v>0.06</v>
      </c>
      <c r="CX13">
        <v>10.639497509881307</v>
      </c>
      <c r="CY13">
        <v>450180423.98634231</v>
      </c>
      <c r="CZ13">
        <v>0.12280293982475995</v>
      </c>
      <c r="DA13">
        <v>3.3819928245453044</v>
      </c>
      <c r="DB13">
        <v>1416234081.0536625</v>
      </c>
      <c r="DC13">
        <v>0.11666279283352195</v>
      </c>
      <c r="DD13">
        <v>1.6036614910383931</v>
      </c>
      <c r="DE13">
        <v>2986723524.1139369</v>
      </c>
      <c r="DF13">
        <v>0.10806658704578877</v>
      </c>
      <c r="DG13">
        <v>0.92259916267457776</v>
      </c>
      <c r="DH13">
        <v>5191521620.4129992</v>
      </c>
      <c r="DI13">
        <v>9.8242351859807966E-2</v>
      </c>
      <c r="DJ13">
        <v>0.43283990233376612</v>
      </c>
      <c r="DK13">
        <v>11065739258.73089</v>
      </c>
      <c r="DL13">
        <v>8.5962057877331965E-2</v>
      </c>
      <c r="DM13">
        <v>425000000</v>
      </c>
      <c r="DN13">
        <v>0.12280293982475995</v>
      </c>
      <c r="DO13">
        <v>4789693500</v>
      </c>
      <c r="DP13">
        <v>5239108300</v>
      </c>
      <c r="DQ13">
        <v>900</v>
      </c>
      <c r="DR13">
        <v>-0.18662638151876532</v>
      </c>
      <c r="DS13">
        <v>-0.82242343376571314</v>
      </c>
      <c r="DT13" s="10">
        <v>-0.15666666666666665</v>
      </c>
      <c r="DU13">
        <v>-0.59</v>
      </c>
      <c r="DV13">
        <v>-0.74666666666666659</v>
      </c>
      <c r="DW13">
        <v>-8.7033195020746881</v>
      </c>
      <c r="DX13">
        <v>0.36510873015872974</v>
      </c>
      <c r="DY13">
        <v>-8.1231573849041698</v>
      </c>
      <c r="DZ13">
        <v>3330</v>
      </c>
      <c r="EA13">
        <v>-8.0428530787105359</v>
      </c>
      <c r="EB13">
        <v>8</v>
      </c>
      <c r="EC13">
        <v>3.7224020725342442E-2</v>
      </c>
      <c r="ED13">
        <v>0.21257661277995749</v>
      </c>
      <c r="EE13" s="11">
        <v>6.0050100000000004</v>
      </c>
      <c r="EF13">
        <v>6.0021000000000004</v>
      </c>
      <c r="EG13">
        <v>19.17510873015873</v>
      </c>
      <c r="EH13" t="s">
        <v>2888</v>
      </c>
      <c r="EI13">
        <v>0</v>
      </c>
      <c r="EJ13">
        <v>0</v>
      </c>
      <c r="EK13" s="12">
        <v>45511</v>
      </c>
      <c r="EL13">
        <v>0</v>
      </c>
      <c r="EM13">
        <v>-1.81</v>
      </c>
      <c r="EN13">
        <v>-3.91</v>
      </c>
      <c r="EO13">
        <v>1.68</v>
      </c>
      <c r="EP13">
        <v>0.71</v>
      </c>
    </row>
    <row r="14" spans="1:146" ht="111.5" customHeight="1" x14ac:dyDescent="0.25">
      <c r="A14" s="6"/>
      <c r="B14" s="6" t="s">
        <v>637</v>
      </c>
      <c r="C14" s="6" t="s">
        <v>636</v>
      </c>
      <c r="D14" t="s">
        <v>420</v>
      </c>
      <c r="E14" t="s">
        <v>421</v>
      </c>
      <c r="F14">
        <v>3.54</v>
      </c>
      <c r="G14">
        <v>9.94</v>
      </c>
      <c r="H14" t="s">
        <v>2889</v>
      </c>
      <c r="I14">
        <v>4354180500</v>
      </c>
      <c r="J14">
        <v>48.22</v>
      </c>
      <c r="K14">
        <v>1.79</v>
      </c>
      <c r="L14" t="s">
        <v>212</v>
      </c>
      <c r="M14" t="s">
        <v>1536</v>
      </c>
      <c r="N14" t="s">
        <v>1537</v>
      </c>
      <c r="O14" t="s">
        <v>1239</v>
      </c>
      <c r="P14">
        <v>4.75</v>
      </c>
      <c r="Q14" t="s">
        <v>1538</v>
      </c>
      <c r="R14">
        <v>-40000000</v>
      </c>
      <c r="S14" s="4">
        <v>-1.2290000000000001</v>
      </c>
      <c r="T14" t="s">
        <v>179</v>
      </c>
      <c r="U14">
        <v>1176446930</v>
      </c>
      <c r="V14">
        <v>1229994500</v>
      </c>
      <c r="W14">
        <v>2.33</v>
      </c>
      <c r="X14">
        <v>0.13</v>
      </c>
      <c r="Y14">
        <v>-3.54</v>
      </c>
      <c r="Z14" t="s">
        <v>662</v>
      </c>
      <c r="AA14" t="s">
        <v>1539</v>
      </c>
      <c r="AB14" t="s">
        <v>1540</v>
      </c>
      <c r="AC14" t="s">
        <v>1541</v>
      </c>
      <c r="AD14" t="s">
        <v>2</v>
      </c>
      <c r="AE14">
        <v>25401839</v>
      </c>
      <c r="AF14" t="s">
        <v>1542</v>
      </c>
      <c r="AG14" t="s">
        <v>1543</v>
      </c>
      <c r="AH14" t="s">
        <v>1544</v>
      </c>
      <c r="AI14" t="s">
        <v>495</v>
      </c>
      <c r="AJ14" t="s">
        <v>1545</v>
      </c>
      <c r="AK14" t="s">
        <v>685</v>
      </c>
      <c r="AL14" t="s">
        <v>1546</v>
      </c>
      <c r="AM14" t="s">
        <v>2</v>
      </c>
      <c r="AN14" t="s">
        <v>1547</v>
      </c>
      <c r="AO14" t="s">
        <v>1548</v>
      </c>
      <c r="AP14" t="s">
        <v>1549</v>
      </c>
      <c r="AQ14" t="s">
        <v>839</v>
      </c>
      <c r="AR14" t="s">
        <v>2</v>
      </c>
      <c r="AS14" t="s">
        <v>1386</v>
      </c>
      <c r="AT14" t="s">
        <v>2</v>
      </c>
      <c r="AU14" t="s">
        <v>1550</v>
      </c>
      <c r="AV14" t="s">
        <v>1551</v>
      </c>
      <c r="AW14" t="s">
        <v>1552</v>
      </c>
      <c r="AX14" t="s">
        <v>1013</v>
      </c>
      <c r="AY14" t="s">
        <v>664</v>
      </c>
      <c r="AZ14" t="s">
        <v>422</v>
      </c>
      <c r="BA14" t="s">
        <v>423</v>
      </c>
      <c r="BB14" t="s">
        <v>909</v>
      </c>
      <c r="BC14" t="s">
        <v>73</v>
      </c>
      <c r="BD14" t="s">
        <v>910</v>
      </c>
      <c r="BE14" t="s">
        <v>911</v>
      </c>
      <c r="BF14" t="s">
        <v>912</v>
      </c>
      <c r="BG14" t="s">
        <v>913</v>
      </c>
      <c r="BH14" t="s">
        <v>1538</v>
      </c>
      <c r="BI14" t="s">
        <v>1553</v>
      </c>
      <c r="BJ14" t="s">
        <v>1013</v>
      </c>
      <c r="BK14" t="s">
        <v>179</v>
      </c>
      <c r="BL14" t="s">
        <v>34</v>
      </c>
      <c r="BM14" t="s">
        <v>73</v>
      </c>
      <c r="BN14">
        <v>5.89</v>
      </c>
      <c r="BO14">
        <v>4.3899999999999997</v>
      </c>
      <c r="BP14" t="s">
        <v>2</v>
      </c>
      <c r="BQ14">
        <v>8.85</v>
      </c>
      <c r="BR14">
        <v>5.77</v>
      </c>
      <c r="BS14">
        <v>-25.81</v>
      </c>
      <c r="BT14" t="s">
        <v>836</v>
      </c>
      <c r="BU14" t="s">
        <v>789</v>
      </c>
      <c r="BV14">
        <v>22.39</v>
      </c>
      <c r="BW14">
        <v>19.32</v>
      </c>
      <c r="BX14">
        <v>14.16</v>
      </c>
      <c r="BY14">
        <v>7.08</v>
      </c>
      <c r="BZ14">
        <v>3.84</v>
      </c>
      <c r="CA14">
        <v>-20.49</v>
      </c>
      <c r="CB14">
        <v>7.6</v>
      </c>
      <c r="CC14">
        <v>2.61</v>
      </c>
      <c r="CD14" t="s">
        <v>2890</v>
      </c>
      <c r="CE14" t="s">
        <v>117</v>
      </c>
      <c r="CF14" s="8">
        <v>4.7043010752688172E-2</v>
      </c>
      <c r="CG14" s="9">
        <v>-1.3361344537815125</v>
      </c>
      <c r="CH14" s="8">
        <v>9.9517302587628365E-3</v>
      </c>
      <c r="CI14" s="8">
        <v>0.11387304961681366</v>
      </c>
      <c r="CJ14" s="8">
        <v>-0.16982708871364594</v>
      </c>
      <c r="CK14" s="8">
        <v>1.3280533254146576E-2</v>
      </c>
      <c r="CL14" s="8">
        <v>-0.18173412978649139</v>
      </c>
      <c r="CM14" s="9">
        <v>0.89600002765655518</v>
      </c>
      <c r="CN14" s="9">
        <v>1.2049180269241333</v>
      </c>
      <c r="CO14" s="9">
        <v>-13.419628143310547</v>
      </c>
      <c r="CP14" s="9">
        <v>1.0242786407470703</v>
      </c>
      <c r="CQ14" s="9">
        <v>-5.7938394546508789</v>
      </c>
      <c r="CR14">
        <v>-14.51486878989215</v>
      </c>
      <c r="CS14">
        <v>-3.3841149687208802</v>
      </c>
      <c r="CT14">
        <v>0</v>
      </c>
      <c r="CU14" s="8">
        <v>-4.2891181074082851E-2</v>
      </c>
      <c r="CV14" s="9">
        <v>-3.2176541805267336</v>
      </c>
      <c r="CW14">
        <v>0.06</v>
      </c>
      <c r="CX14" t="e">
        <v>#VALUE!</v>
      </c>
      <c r="CY14" t="s">
        <v>767</v>
      </c>
      <c r="CZ14">
        <v>-4.2891181074082851E-2</v>
      </c>
      <c r="DA14">
        <v>7.4686082981715893</v>
      </c>
      <c r="DB14" t="s">
        <v>1554</v>
      </c>
      <c r="DC14">
        <v>-4.0746622020378709E-2</v>
      </c>
      <c r="DD14">
        <v>3.7343041490857947</v>
      </c>
      <c r="DE14" t="s">
        <v>1555</v>
      </c>
      <c r="DF14">
        <v>-3.7744239345192908E-2</v>
      </c>
      <c r="DG14">
        <v>2.240582489451477</v>
      </c>
      <c r="DH14" t="s">
        <v>1556</v>
      </c>
      <c r="DI14">
        <v>-3.4312944859266281E-2</v>
      </c>
      <c r="DJ14">
        <v>1.1202912447257385</v>
      </c>
      <c r="DK14" t="s">
        <v>1557</v>
      </c>
      <c r="DL14">
        <v>-3.0023826751857993E-2</v>
      </c>
      <c r="DM14">
        <v>237000000</v>
      </c>
      <c r="DN14">
        <v>-4.2891181074082851E-2</v>
      </c>
      <c r="DO14">
        <v>5310180500</v>
      </c>
      <c r="DP14">
        <v>539653400</v>
      </c>
      <c r="DQ14">
        <v>987</v>
      </c>
      <c r="DR14">
        <v>8.9934191826771023E-2</v>
      </c>
      <c r="DS14">
        <v>1.8815197267452211</v>
      </c>
      <c r="DT14" s="10">
        <v>-0.67333333333333334</v>
      </c>
      <c r="DU14">
        <v>-1.3316666666666668</v>
      </c>
      <c r="DV14">
        <v>-2.0049999999999999</v>
      </c>
      <c r="DW14">
        <v>5.3434210526315793</v>
      </c>
      <c r="DX14">
        <v>0.47603350515463888</v>
      </c>
      <c r="DY14">
        <v>5.0535851905860012</v>
      </c>
      <c r="DZ14">
        <v>4381</v>
      </c>
      <c r="EA14">
        <v>5.0076175540171208</v>
      </c>
      <c r="EB14">
        <v>5</v>
      </c>
      <c r="EC14">
        <v>2.4610272647560619E-2</v>
      </c>
      <c r="ED14">
        <v>0.15772428250695431</v>
      </c>
      <c r="EE14" s="11">
        <v>-5.0079000000000002</v>
      </c>
      <c r="EF14">
        <v>-5.1073000000000004</v>
      </c>
      <c r="EG14">
        <v>32.156033505154639</v>
      </c>
      <c r="EH14" t="s">
        <v>2891</v>
      </c>
      <c r="EI14">
        <v>1</v>
      </c>
      <c r="EJ14">
        <v>0</v>
      </c>
      <c r="EK14" s="12">
        <v>45511</v>
      </c>
      <c r="EL14">
        <v>0</v>
      </c>
      <c r="EM14">
        <v>-1.82</v>
      </c>
      <c r="EN14">
        <v>-2.48</v>
      </c>
      <c r="EO14">
        <v>2.2200000000000002</v>
      </c>
      <c r="EP14">
        <v>9.94</v>
      </c>
    </row>
    <row r="15" spans="1:146" ht="108" x14ac:dyDescent="0.25">
      <c r="A15" s="6"/>
      <c r="B15" s="6"/>
      <c r="C15" s="6" t="str">
        <f>""&amp;CHAR(10)&amp;Basic_Fundamental_Information_Constructure(F15)&amp;CHAR(10)&amp;Basic_Fundamental_Information_Concatenate("")</f>
        <v xml:space="preserve">
市值74.001325亿, 利润-3.88亿; PE; 平均PE4393.94; 平均PEG1327.52, PB1.23; ROIC4.165%; ROE-.6433%; 股利率0%; 毛利46.3033%; 净利-3.6433%; 上一年度营收增0%, 利润增-195.33%; 当季营收增47.72%, 利润增299.31%; 过往5年营收增-3.31%, 利润增-178.73%
Income profile:
</v>
      </c>
      <c r="D15" t="s">
        <v>262</v>
      </c>
      <c r="E15" t="s">
        <v>263</v>
      </c>
      <c r="F15">
        <v>4.07</v>
      </c>
      <c r="G15">
        <v>3.3</v>
      </c>
      <c r="H15" t="s">
        <v>2892</v>
      </c>
      <c r="I15">
        <v>7400132500</v>
      </c>
      <c r="K15">
        <v>1.23</v>
      </c>
      <c r="L15" t="s">
        <v>212</v>
      </c>
      <c r="M15" t="s">
        <v>1558</v>
      </c>
      <c r="N15" t="s">
        <v>1559</v>
      </c>
      <c r="O15" t="s">
        <v>1407</v>
      </c>
      <c r="P15">
        <v>47.68</v>
      </c>
      <c r="Q15" t="s">
        <v>914</v>
      </c>
      <c r="R15">
        <v>112263012</v>
      </c>
      <c r="S15" s="4">
        <v>2.9929999999999999</v>
      </c>
      <c r="T15" t="s">
        <v>1560</v>
      </c>
      <c r="U15">
        <v>1281960040</v>
      </c>
      <c r="V15">
        <v>1818214400</v>
      </c>
      <c r="W15">
        <v>1.95</v>
      </c>
      <c r="X15">
        <v>0.11</v>
      </c>
      <c r="Y15">
        <v>7.94</v>
      </c>
      <c r="Z15" t="s">
        <v>1561</v>
      </c>
      <c r="AA15" t="s">
        <v>903</v>
      </c>
      <c r="AB15" t="s">
        <v>1228</v>
      </c>
      <c r="AC15" t="s">
        <v>133</v>
      </c>
      <c r="AD15" t="s">
        <v>2</v>
      </c>
      <c r="AE15">
        <v>37217479</v>
      </c>
      <c r="AF15" t="s">
        <v>1562</v>
      </c>
      <c r="AG15" t="s">
        <v>1442</v>
      </c>
      <c r="AH15" t="s">
        <v>1563</v>
      </c>
      <c r="AI15" t="s">
        <v>1218</v>
      </c>
      <c r="AJ15" t="s">
        <v>1564</v>
      </c>
      <c r="AK15" t="s">
        <v>92</v>
      </c>
      <c r="AL15" t="s">
        <v>1565</v>
      </c>
      <c r="AM15" t="s">
        <v>2</v>
      </c>
      <c r="AN15" t="s">
        <v>1148</v>
      </c>
      <c r="AO15" t="s">
        <v>1566</v>
      </c>
      <c r="AP15" t="s">
        <v>82</v>
      </c>
      <c r="AQ15" t="s">
        <v>1567</v>
      </c>
      <c r="AR15" t="s">
        <v>2</v>
      </c>
      <c r="AS15" t="s">
        <v>1568</v>
      </c>
      <c r="AT15" t="s">
        <v>1024</v>
      </c>
      <c r="AU15" t="s">
        <v>1569</v>
      </c>
      <c r="AV15" t="s">
        <v>1570</v>
      </c>
      <c r="AW15" t="s">
        <v>171</v>
      </c>
      <c r="AX15" t="s">
        <v>914</v>
      </c>
      <c r="AY15" t="s">
        <v>665</v>
      </c>
      <c r="AZ15" t="s">
        <v>264</v>
      </c>
      <c r="BA15" t="s">
        <v>266</v>
      </c>
      <c r="BB15" t="s">
        <v>267</v>
      </c>
      <c r="BC15" t="s">
        <v>207</v>
      </c>
      <c r="BD15" t="s">
        <v>666</v>
      </c>
      <c r="BE15" t="s">
        <v>265</v>
      </c>
      <c r="BF15" t="s">
        <v>268</v>
      </c>
      <c r="BG15" t="s">
        <v>71</v>
      </c>
      <c r="BH15" t="s">
        <v>914</v>
      </c>
      <c r="BI15" t="s">
        <v>1571</v>
      </c>
      <c r="BJ15" t="s">
        <v>914</v>
      </c>
      <c r="BK15" t="s">
        <v>1560</v>
      </c>
      <c r="BL15" t="s">
        <v>1572</v>
      </c>
      <c r="BM15" t="s">
        <v>207</v>
      </c>
      <c r="BN15">
        <v>2.5</v>
      </c>
      <c r="BO15">
        <v>5.83</v>
      </c>
      <c r="BP15" t="s">
        <v>2</v>
      </c>
      <c r="BQ15">
        <v>2.34</v>
      </c>
      <c r="BR15">
        <v>6.9</v>
      </c>
      <c r="BS15">
        <v>-11.17</v>
      </c>
      <c r="BT15" t="s">
        <v>836</v>
      </c>
      <c r="BU15" t="s">
        <v>757</v>
      </c>
      <c r="BV15">
        <v>49.16</v>
      </c>
      <c r="BW15">
        <v>46.72</v>
      </c>
      <c r="BX15">
        <v>43.03</v>
      </c>
      <c r="BY15">
        <v>-6.68</v>
      </c>
      <c r="BZ15">
        <v>7.2</v>
      </c>
      <c r="CA15">
        <v>-11.45</v>
      </c>
      <c r="CB15">
        <v>-2.4</v>
      </c>
      <c r="CC15">
        <v>2.0099999999999998</v>
      </c>
      <c r="CD15" t="s">
        <v>2893</v>
      </c>
      <c r="CE15" t="s">
        <v>2894</v>
      </c>
      <c r="CF15" s="8">
        <v>0.47724620770128356</v>
      </c>
      <c r="CG15" s="9">
        <v>2.9931222969470146</v>
      </c>
      <c r="CH15" s="8">
        <v>0</v>
      </c>
      <c r="CI15" s="8">
        <v>-1.1540456674993038E-2</v>
      </c>
      <c r="CJ15" s="8">
        <v>-6.384025514125824E-2</v>
      </c>
      <c r="CK15" s="8">
        <v>-0.22118811309337616</v>
      </c>
      <c r="CL15" s="8">
        <v>0.1310742199420929</v>
      </c>
      <c r="CM15" s="9">
        <v>-1.9533169269561768</v>
      </c>
      <c r="CN15" s="9">
        <v>1.614803671836853</v>
      </c>
      <c r="CO15" s="9">
        <v>-7.94659423828125</v>
      </c>
      <c r="CP15" s="9">
        <v>0.17934201657772064</v>
      </c>
      <c r="CQ15" s="9">
        <v>-0.83059436082839966</v>
      </c>
      <c r="CR15">
        <v>4393.9430974765228</v>
      </c>
      <c r="CS15">
        <v>1327.5185309933497</v>
      </c>
      <c r="CT15">
        <v>0</v>
      </c>
      <c r="CU15" s="8">
        <v>-3.3098920993506906E-2</v>
      </c>
      <c r="CV15" s="9">
        <v>-1.7872719675302506</v>
      </c>
      <c r="CW15">
        <v>0.06</v>
      </c>
      <c r="CX15" t="e">
        <v>#VALUE!</v>
      </c>
      <c r="CY15" t="s">
        <v>765</v>
      </c>
      <c r="CZ15">
        <v>-3.3098920993506906E-2</v>
      </c>
      <c r="DA15" t="e">
        <v>#VALUE!</v>
      </c>
      <c r="DB15" t="s">
        <v>765</v>
      </c>
      <c r="DC15">
        <v>-3.1443974943831561E-2</v>
      </c>
      <c r="DD15" t="e">
        <v>#VALUE!</v>
      </c>
      <c r="DE15" t="s">
        <v>765</v>
      </c>
      <c r="DF15">
        <v>-2.9127050474286077E-2</v>
      </c>
      <c r="DG15" t="e">
        <v>#VALUE!</v>
      </c>
      <c r="DH15" t="s">
        <v>765</v>
      </c>
      <c r="DI15">
        <v>-2.6479136794805527E-2</v>
      </c>
      <c r="DJ15" t="e">
        <v>#VALUE!</v>
      </c>
      <c r="DK15" t="s">
        <v>765</v>
      </c>
      <c r="DL15">
        <v>-2.3169244695454831E-2</v>
      </c>
      <c r="DM15">
        <v>-388000000</v>
      </c>
      <c r="DN15">
        <v>-3.3098920993506906E-2</v>
      </c>
      <c r="DO15">
        <v>7059132500</v>
      </c>
      <c r="DP15">
        <v>2482432700</v>
      </c>
      <c r="DQ15">
        <v>1074</v>
      </c>
      <c r="DR15">
        <v>0.51034512869479043</v>
      </c>
      <c r="DS15">
        <v>4.7803942644772652</v>
      </c>
      <c r="DT15" s="10">
        <v>-0.55666666666666664</v>
      </c>
      <c r="DU15">
        <v>-1.6566666666666665</v>
      </c>
      <c r="DV15">
        <v>-2.2133333333333329</v>
      </c>
      <c r="DW15">
        <v>2.0099999999999996E-2</v>
      </c>
      <c r="DX15">
        <v>0.6457831325301171</v>
      </c>
      <c r="DY15">
        <v>3.9352409638554204E-3</v>
      </c>
      <c r="DZ15">
        <v>4511</v>
      </c>
      <c r="EA15">
        <v>4.5925271479495408E-4</v>
      </c>
      <c r="EB15">
        <v>0</v>
      </c>
      <c r="EC15">
        <v>0.10724807811444019</v>
      </c>
      <c r="ED15">
        <v>0.54779018359990994</v>
      </c>
      <c r="EE15" s="11">
        <v>5.5009999999999996E-2</v>
      </c>
      <c r="EF15">
        <v>2.2009999999999998E-2</v>
      </c>
      <c r="EG15">
        <v>45.195783132530117</v>
      </c>
      <c r="EH15">
        <v>-1</v>
      </c>
      <c r="EI15">
        <v>0</v>
      </c>
      <c r="EJ15">
        <v>0</v>
      </c>
      <c r="EK15" s="12">
        <v>45511</v>
      </c>
      <c r="EL15">
        <v>-0.24</v>
      </c>
      <c r="EM15">
        <v>-2.64</v>
      </c>
      <c r="EN15">
        <v>-4.2</v>
      </c>
      <c r="EO15">
        <v>1.55</v>
      </c>
      <c r="EP15">
        <v>3.3</v>
      </c>
    </row>
    <row r="16" spans="1:146" ht="108" x14ac:dyDescent="0.25">
      <c r="A16" s="6"/>
      <c r="B16" s="6"/>
      <c r="C16" s="6" t="str">
        <f>""&amp;CHAR(10)&amp;Basic_Fundamental_Information_Constructure(F16)&amp;CHAR(10)&amp;Basic_Fundamental_Information_Concatenate("")</f>
        <v xml:space="preserve">
市值57.524927亿, 利润8118.76万; PE111.1; 平均PE100.19; 平均PEG72.22, PB2.05; ROIC1.8%; ROE2.3433%; 股利率1.8165%; 毛利20.86%; 净利5.0233%; 上一年度营收增-8.03%, 利润增-.42%; 当季营收增-2.88%, 利润增-24.19%; 过往5年营收增1.39%, 利润增38.82%
Income profile:
</v>
      </c>
      <c r="D16" t="s">
        <v>269</v>
      </c>
      <c r="E16" t="s">
        <v>270</v>
      </c>
      <c r="F16">
        <v>11.01</v>
      </c>
      <c r="G16">
        <v>9.99</v>
      </c>
      <c r="H16" t="s">
        <v>2895</v>
      </c>
      <c r="I16">
        <v>5752492700</v>
      </c>
      <c r="J16">
        <v>111.1</v>
      </c>
      <c r="K16">
        <v>2.0499999999999998</v>
      </c>
      <c r="L16" t="s">
        <v>212</v>
      </c>
      <c r="M16" t="s">
        <v>1574</v>
      </c>
      <c r="N16" t="s">
        <v>1575</v>
      </c>
      <c r="O16" t="s">
        <v>682</v>
      </c>
      <c r="P16">
        <v>-2.8</v>
      </c>
      <c r="Q16" t="s">
        <v>1576</v>
      </c>
      <c r="R16">
        <v>26000000</v>
      </c>
      <c r="S16" s="4">
        <v>-0.85719999999999996</v>
      </c>
      <c r="T16" t="s">
        <v>1577</v>
      </c>
      <c r="U16">
        <v>311729830</v>
      </c>
      <c r="V16">
        <v>522478910</v>
      </c>
      <c r="W16">
        <v>1.29</v>
      </c>
      <c r="X16">
        <v>0.06</v>
      </c>
      <c r="Y16">
        <v>2.0699999999999998</v>
      </c>
      <c r="Z16" t="s">
        <v>1139</v>
      </c>
      <c r="AA16" t="s">
        <v>39</v>
      </c>
      <c r="AB16" t="s">
        <v>1578</v>
      </c>
      <c r="AC16" t="s">
        <v>1579</v>
      </c>
      <c r="AD16" t="s">
        <v>2</v>
      </c>
      <c r="AE16">
        <v>2503760</v>
      </c>
      <c r="AF16" t="s">
        <v>1580</v>
      </c>
      <c r="AG16">
        <v>5207.6899999999996</v>
      </c>
      <c r="AH16" t="s">
        <v>1581</v>
      </c>
      <c r="AI16" t="s">
        <v>1226</v>
      </c>
      <c r="AJ16" t="s">
        <v>1582</v>
      </c>
      <c r="AK16" t="s">
        <v>1012</v>
      </c>
      <c r="AL16" t="s">
        <v>1583</v>
      </c>
      <c r="AM16" t="s">
        <v>2</v>
      </c>
      <c r="AN16" t="s">
        <v>1584</v>
      </c>
      <c r="AO16" t="s">
        <v>1585</v>
      </c>
      <c r="AP16" t="s">
        <v>1185</v>
      </c>
      <c r="AQ16" t="s">
        <v>50</v>
      </c>
      <c r="AR16" t="s">
        <v>2</v>
      </c>
      <c r="AS16" t="s">
        <v>1586</v>
      </c>
      <c r="AT16" t="s">
        <v>2</v>
      </c>
      <c r="AU16" t="s">
        <v>1587</v>
      </c>
      <c r="AV16" t="s">
        <v>1588</v>
      </c>
      <c r="AW16" t="s">
        <v>1589</v>
      </c>
      <c r="AX16" t="s">
        <v>302</v>
      </c>
      <c r="AY16" t="s">
        <v>657</v>
      </c>
      <c r="AZ16" t="s">
        <v>271</v>
      </c>
      <c r="BA16" t="s">
        <v>274</v>
      </c>
      <c r="BB16" t="s">
        <v>275</v>
      </c>
      <c r="BC16" t="s">
        <v>915</v>
      </c>
      <c r="BD16" t="s">
        <v>668</v>
      </c>
      <c r="BE16" t="s">
        <v>272</v>
      </c>
      <c r="BF16" t="s">
        <v>276</v>
      </c>
      <c r="BG16" t="s">
        <v>277</v>
      </c>
      <c r="BH16" t="s">
        <v>1576</v>
      </c>
      <c r="BI16" t="s">
        <v>63</v>
      </c>
      <c r="BJ16" t="s">
        <v>302</v>
      </c>
      <c r="BK16" t="s">
        <v>1577</v>
      </c>
      <c r="BL16" t="s">
        <v>1590</v>
      </c>
      <c r="BM16" t="s">
        <v>915</v>
      </c>
      <c r="BN16">
        <v>1.72</v>
      </c>
      <c r="BO16">
        <v>2.5499999999999998</v>
      </c>
      <c r="BP16">
        <v>1.1299999999999999</v>
      </c>
      <c r="BQ16">
        <v>2.0499999999999998</v>
      </c>
      <c r="BR16">
        <v>2.97</v>
      </c>
      <c r="BS16">
        <v>2.0099999999999998</v>
      </c>
      <c r="BT16" t="s">
        <v>1591</v>
      </c>
      <c r="BU16" t="s">
        <v>757</v>
      </c>
      <c r="BV16">
        <v>20.81</v>
      </c>
      <c r="BW16">
        <v>20.39</v>
      </c>
      <c r="BX16">
        <v>21.38</v>
      </c>
      <c r="BY16">
        <v>6.27</v>
      </c>
      <c r="BZ16">
        <v>5.8</v>
      </c>
      <c r="CA16">
        <v>3</v>
      </c>
      <c r="CB16">
        <v>5.16</v>
      </c>
      <c r="CC16">
        <v>5.66</v>
      </c>
      <c r="CD16" t="s">
        <v>2896</v>
      </c>
      <c r="CE16" t="s">
        <v>1674</v>
      </c>
      <c r="CF16" s="8">
        <v>-2.8806584362140036E-2</v>
      </c>
      <c r="CG16" s="9">
        <v>-0.24187420360343023</v>
      </c>
      <c r="CH16" s="8">
        <v>-8.0312766134738922E-2</v>
      </c>
      <c r="CI16" s="8">
        <v>1.4419609680771828E-2</v>
      </c>
      <c r="CJ16" s="8">
        <v>-8.0848164856433868E-2</v>
      </c>
      <c r="CK16" s="8">
        <v>-7.8754618763923645E-2</v>
      </c>
      <c r="CL16" s="8">
        <v>0.29486173391342163</v>
      </c>
      <c r="CM16" s="9">
        <v>-4.2070094496011734E-3</v>
      </c>
      <c r="CN16" s="9">
        <v>0.9827384352684021</v>
      </c>
      <c r="CO16" s="9">
        <v>-0.4208691418170929</v>
      </c>
      <c r="CP16" s="9">
        <v>1.8160042762756348</v>
      </c>
      <c r="CQ16" s="9">
        <v>-0.43242579698562622</v>
      </c>
      <c r="CR16">
        <v>100.19425256124877</v>
      </c>
      <c r="CS16">
        <v>72.2216578344525</v>
      </c>
      <c r="CT16">
        <v>1.8165304268846503</v>
      </c>
      <c r="CU16" s="8">
        <v>1.3873158767819405E-2</v>
      </c>
      <c r="CV16" s="9">
        <v>0.38824815265834334</v>
      </c>
      <c r="CW16">
        <v>0.06</v>
      </c>
      <c r="CX16">
        <v>49.649219010956749</v>
      </c>
      <c r="CY16">
        <v>77654649.49507378</v>
      </c>
      <c r="CZ16">
        <v>1.3873158767819405E-2</v>
      </c>
      <c r="DA16">
        <v>17.314600653815752</v>
      </c>
      <c r="DB16">
        <v>222672920.79591426</v>
      </c>
      <c r="DC16">
        <v>1.3179500829428434E-2</v>
      </c>
      <c r="DD16">
        <v>9.272942957754891</v>
      </c>
      <c r="DE16">
        <v>415778757.35509419</v>
      </c>
      <c r="DF16">
        <v>1.2208379715681077E-2</v>
      </c>
      <c r="DG16">
        <v>6.1012576046493718</v>
      </c>
      <c r="DH16">
        <v>631917704.48472452</v>
      </c>
      <c r="DI16">
        <v>1.1098527014255524E-2</v>
      </c>
      <c r="DJ16">
        <v>3.8043212198512495</v>
      </c>
      <c r="DK16">
        <v>1013450883.1382939</v>
      </c>
      <c r="DL16">
        <v>9.7112111374735837E-3</v>
      </c>
      <c r="DM16">
        <v>81187600</v>
      </c>
      <c r="DN16">
        <v>1.3873158767819405E-2</v>
      </c>
      <c r="DO16">
        <v>3855492700</v>
      </c>
      <c r="DP16">
        <v>2110360300</v>
      </c>
      <c r="DQ16">
        <v>1263</v>
      </c>
      <c r="DR16">
        <v>-4.2679743129959438E-2</v>
      </c>
      <c r="DS16">
        <v>-0.6301223562617736</v>
      </c>
      <c r="DT16" s="10">
        <v>-0.34</v>
      </c>
      <c r="DU16">
        <v>0.31333333333333335</v>
      </c>
      <c r="DV16">
        <v>-2.6666666666666672E-2</v>
      </c>
      <c r="DW16">
        <v>8.9116607773851584</v>
      </c>
      <c r="DX16">
        <v>1.0071183593749942</v>
      </c>
      <c r="DY16">
        <v>8.2252881156139583</v>
      </c>
      <c r="DZ16">
        <v>1852</v>
      </c>
      <c r="EA16">
        <v>8.1435897427694215</v>
      </c>
      <c r="EB16">
        <v>8</v>
      </c>
      <c r="EC16">
        <v>0.12108105952066082</v>
      </c>
      <c r="ED16">
        <v>0.48997193015886514</v>
      </c>
      <c r="EE16" s="11">
        <v>3.5000000000000031E-3</v>
      </c>
      <c r="EF16">
        <v>0.10340000000000001</v>
      </c>
      <c r="EG16">
        <v>76.247118359374994</v>
      </c>
      <c r="EH16" t="s">
        <v>766</v>
      </c>
      <c r="EI16">
        <v>0</v>
      </c>
      <c r="EJ16">
        <v>0</v>
      </c>
      <c r="EK16" s="12">
        <v>45511</v>
      </c>
      <c r="EL16">
        <v>0.86</v>
      </c>
      <c r="EM16">
        <v>-1.99</v>
      </c>
      <c r="EN16">
        <v>-4.83</v>
      </c>
      <c r="EO16">
        <v>1.62</v>
      </c>
      <c r="EP16">
        <v>9.99</v>
      </c>
    </row>
    <row r="17" spans="1:146" ht="108" x14ac:dyDescent="0.25">
      <c r="A17" s="6"/>
      <c r="B17" s="6"/>
      <c r="C17" s="6" t="str">
        <f>""&amp;CHAR(10)&amp;Basic_Fundamental_Information_Constructure(F17)&amp;CHAR(10)&amp;Basic_Fundamental_Information_Concatenate("")</f>
        <v xml:space="preserve">
市值22.541726亿, 利润-1468.95万; PE; 平均PE-25.47; 平均PEG-18.31, PB2.67; ROIC0%; ROE-20.0233%; 股利率0%; 毛利7.9367%; 净利-19.0767%; 上一年度营收增-4.29%, 利润增52.93%; 当季营收增-15.74%, 利润增-67.74%; 过往5年营收增-1.39%, 利润增-336.75%
Income profile:
</v>
      </c>
      <c r="D17" t="s">
        <v>279</v>
      </c>
      <c r="E17" t="s">
        <v>280</v>
      </c>
      <c r="F17">
        <v>8.93</v>
      </c>
      <c r="G17">
        <v>9.98</v>
      </c>
      <c r="H17" t="s">
        <v>2897</v>
      </c>
      <c r="I17">
        <v>2254172600</v>
      </c>
      <c r="K17">
        <v>2.67</v>
      </c>
      <c r="L17" t="s">
        <v>212</v>
      </c>
      <c r="M17" t="s">
        <v>1592</v>
      </c>
      <c r="N17" t="s">
        <v>1593</v>
      </c>
      <c r="O17" t="s">
        <v>131</v>
      </c>
      <c r="P17">
        <v>-15.96</v>
      </c>
      <c r="Q17" t="s">
        <v>1594</v>
      </c>
      <c r="R17">
        <v>-8559566</v>
      </c>
      <c r="S17" s="4">
        <v>-0.6774</v>
      </c>
      <c r="T17" t="s">
        <v>1595</v>
      </c>
      <c r="U17">
        <v>231835780</v>
      </c>
      <c r="V17">
        <v>252426950</v>
      </c>
      <c r="W17">
        <v>1.65</v>
      </c>
      <c r="X17">
        <v>0.14000000000000001</v>
      </c>
      <c r="Y17">
        <v>-5.23</v>
      </c>
      <c r="Z17" t="s">
        <v>48</v>
      </c>
      <c r="AA17" t="s">
        <v>49</v>
      </c>
      <c r="AB17" t="s">
        <v>1596</v>
      </c>
      <c r="AC17" t="s">
        <v>1597</v>
      </c>
      <c r="AD17" t="s">
        <v>2</v>
      </c>
      <c r="AE17">
        <v>63067</v>
      </c>
      <c r="AF17" t="s">
        <v>1598</v>
      </c>
      <c r="AG17" t="s">
        <v>1599</v>
      </c>
      <c r="AH17" t="s">
        <v>1600</v>
      </c>
      <c r="AI17" t="s">
        <v>1164</v>
      </c>
      <c r="AJ17" t="s">
        <v>1601</v>
      </c>
      <c r="AK17" t="s">
        <v>145</v>
      </c>
      <c r="AL17" t="s">
        <v>1602</v>
      </c>
      <c r="AM17" t="s">
        <v>2</v>
      </c>
      <c r="AN17" t="s">
        <v>1603</v>
      </c>
      <c r="AO17" t="s">
        <v>1604</v>
      </c>
      <c r="AP17" t="s">
        <v>1605</v>
      </c>
      <c r="AQ17" t="s">
        <v>1187</v>
      </c>
      <c r="AR17" t="s">
        <v>2</v>
      </c>
      <c r="AS17" t="s">
        <v>1146</v>
      </c>
      <c r="AT17" t="s">
        <v>2</v>
      </c>
      <c r="AU17" t="s">
        <v>1606</v>
      </c>
      <c r="AV17" t="s">
        <v>1607</v>
      </c>
      <c r="AW17" t="s">
        <v>1608</v>
      </c>
      <c r="AX17" t="s">
        <v>846</v>
      </c>
      <c r="AY17" t="s">
        <v>670</v>
      </c>
      <c r="AZ17" t="s">
        <v>282</v>
      </c>
      <c r="BA17" t="s">
        <v>285</v>
      </c>
      <c r="BB17" t="s">
        <v>286</v>
      </c>
      <c r="BC17" t="s">
        <v>1609</v>
      </c>
      <c r="BD17" t="s">
        <v>671</v>
      </c>
      <c r="BE17" t="s">
        <v>283</v>
      </c>
      <c r="BF17" t="s">
        <v>287</v>
      </c>
      <c r="BG17" t="s">
        <v>288</v>
      </c>
      <c r="BH17" t="s">
        <v>1594</v>
      </c>
      <c r="BI17" t="s">
        <v>1145</v>
      </c>
      <c r="BJ17" t="s">
        <v>846</v>
      </c>
      <c r="BK17" t="s">
        <v>1595</v>
      </c>
      <c r="BL17" t="s">
        <v>1610</v>
      </c>
      <c r="BM17" t="s">
        <v>1609</v>
      </c>
      <c r="BN17" t="s">
        <v>2</v>
      </c>
      <c r="BO17" t="s">
        <v>2</v>
      </c>
      <c r="BP17" t="s">
        <v>2</v>
      </c>
      <c r="BQ17">
        <v>-2.13</v>
      </c>
      <c r="BR17">
        <v>-3.67</v>
      </c>
      <c r="BS17">
        <v>-54.27</v>
      </c>
      <c r="BT17" t="s">
        <v>836</v>
      </c>
      <c r="BU17" t="s">
        <v>757</v>
      </c>
      <c r="BV17">
        <v>9.9600000000000009</v>
      </c>
      <c r="BW17">
        <v>8.42</v>
      </c>
      <c r="BX17">
        <v>5.43</v>
      </c>
      <c r="BY17">
        <v>-2.15</v>
      </c>
      <c r="BZ17">
        <v>-3.34</v>
      </c>
      <c r="CA17">
        <v>-51.74</v>
      </c>
      <c r="CB17">
        <v>8.64</v>
      </c>
      <c r="CC17">
        <v>11.35</v>
      </c>
      <c r="CD17" t="s">
        <v>2898</v>
      </c>
      <c r="CE17" t="s">
        <v>43</v>
      </c>
      <c r="CF17" s="8">
        <v>-0.1574468085106383</v>
      </c>
      <c r="CG17" s="9">
        <v>-0.67739246310921242</v>
      </c>
      <c r="CH17" s="8">
        <v>-4.2922429740428925E-2</v>
      </c>
      <c r="CI17" s="8">
        <v>-0.15639440715312958</v>
      </c>
      <c r="CJ17" s="8">
        <v>-0.20901885628700256</v>
      </c>
      <c r="CK17" s="8">
        <v>-0.12292897701263428</v>
      </c>
      <c r="CL17" s="8">
        <v>0.46171879768371582</v>
      </c>
      <c r="CM17" s="9">
        <v>0.52928680181503296</v>
      </c>
      <c r="CN17" s="9">
        <v>0.95321303606033325</v>
      </c>
      <c r="CO17" s="9">
        <v>-18.678989410400391</v>
      </c>
      <c r="CP17" s="9">
        <v>-0.60477310419082642</v>
      </c>
      <c r="CQ17" s="9">
        <v>0.96384793519973755</v>
      </c>
      <c r="CR17">
        <v>-25.4661193238476</v>
      </c>
      <c r="CS17">
        <v>-18.308864642093901</v>
      </c>
      <c r="CT17">
        <v>0</v>
      </c>
      <c r="CU17" s="8">
        <v>-1.3909174501895905E-2</v>
      </c>
      <c r="CV17" s="9">
        <v>-3.3674829483032225</v>
      </c>
      <c r="CW17">
        <v>0.06</v>
      </c>
      <c r="CX17" t="e">
        <v>#VALUE!</v>
      </c>
      <c r="CY17" t="s">
        <v>768</v>
      </c>
      <c r="CZ17">
        <v>-1.3909174501895905E-2</v>
      </c>
      <c r="DA17" t="e">
        <v>#VALUE!</v>
      </c>
      <c r="DB17" t="s">
        <v>765</v>
      </c>
      <c r="DC17">
        <v>-1.3213715776801109E-2</v>
      </c>
      <c r="DD17" t="e">
        <v>#VALUE!</v>
      </c>
      <c r="DE17" t="s">
        <v>765</v>
      </c>
      <c r="DF17">
        <v>-1.2240073561668396E-2</v>
      </c>
      <c r="DG17" t="e">
        <v>#VALUE!</v>
      </c>
      <c r="DH17" t="s">
        <v>765</v>
      </c>
      <c r="DI17">
        <v>-1.1127339601516725E-2</v>
      </c>
      <c r="DJ17" t="e">
        <v>#VALUE!</v>
      </c>
      <c r="DK17" t="s">
        <v>765</v>
      </c>
      <c r="DL17">
        <v>-9.7364221513271329E-3</v>
      </c>
      <c r="DM17">
        <v>-14689500</v>
      </c>
      <c r="DN17">
        <v>-1.3909174501895905E-2</v>
      </c>
      <c r="DO17">
        <v>2020172600</v>
      </c>
      <c r="DP17">
        <v>250941649.99999994</v>
      </c>
      <c r="DQ17">
        <v>1266</v>
      </c>
      <c r="DR17">
        <v>-0.14353763400874239</v>
      </c>
      <c r="DS17">
        <v>2.69009048519401</v>
      </c>
      <c r="DT17" s="10">
        <v>-0.62333333333333341</v>
      </c>
      <c r="DU17">
        <v>-1.9816666666666671</v>
      </c>
      <c r="DV17">
        <v>-2.6050000000000004</v>
      </c>
      <c r="DW17">
        <v>9.7612334801762124</v>
      </c>
      <c r="DX17">
        <v>0.62727602739726251</v>
      </c>
      <c r="DY17">
        <v>9.1882347908997648</v>
      </c>
      <c r="DZ17">
        <v>4717</v>
      </c>
      <c r="EA17">
        <v>9.0143746952126307</v>
      </c>
      <c r="EB17">
        <v>9</v>
      </c>
      <c r="EC17">
        <v>0.28604156568860811</v>
      </c>
      <c r="ED17">
        <v>1.1567703052308798</v>
      </c>
      <c r="EE17" s="11">
        <v>-4.0746000000000002</v>
      </c>
      <c r="EF17">
        <v>-3.0244</v>
      </c>
      <c r="EG17">
        <v>38.247276027397263</v>
      </c>
      <c r="EH17" t="s">
        <v>1258</v>
      </c>
      <c r="EI17">
        <v>1</v>
      </c>
      <c r="EJ17">
        <v>0</v>
      </c>
      <c r="EK17" s="12">
        <v>45511</v>
      </c>
      <c r="EL17">
        <v>2.4300000000000002</v>
      </c>
      <c r="EM17">
        <v>-2.2599999999999998</v>
      </c>
      <c r="EN17">
        <v>-4.25</v>
      </c>
      <c r="EO17">
        <v>3.05</v>
      </c>
      <c r="EP17">
        <v>9.98</v>
      </c>
    </row>
    <row r="18" spans="1:146" x14ac:dyDescent="0.25">
      <c r="D18" t="s">
        <v>2899</v>
      </c>
      <c r="E18" t="s">
        <v>2900</v>
      </c>
      <c r="F18">
        <v>18.7</v>
      </c>
      <c r="G18">
        <v>1.36</v>
      </c>
      <c r="H18" t="s">
        <v>2901</v>
      </c>
      <c r="I18">
        <v>4895694500</v>
      </c>
      <c r="J18">
        <v>92.64</v>
      </c>
      <c r="K18">
        <v>3.35</v>
      </c>
      <c r="L18" t="s">
        <v>212</v>
      </c>
      <c r="M18" t="s">
        <v>814</v>
      </c>
      <c r="N18" t="s">
        <v>2902</v>
      </c>
      <c r="O18" t="s">
        <v>165</v>
      </c>
      <c r="P18" s="4">
        <v>29.65</v>
      </c>
      <c r="Q18" t="s">
        <v>2167</v>
      </c>
      <c r="R18">
        <v>6466908</v>
      </c>
      <c r="S18">
        <v>-0.64329999999999998</v>
      </c>
      <c r="T18" t="s">
        <v>2903</v>
      </c>
      <c r="U18">
        <v>184470050</v>
      </c>
      <c r="V18">
        <v>261702140</v>
      </c>
      <c r="W18">
        <v>1.78</v>
      </c>
      <c r="X18">
        <v>0.24</v>
      </c>
      <c r="Y18">
        <v>1.01</v>
      </c>
      <c r="Z18" t="s">
        <v>661</v>
      </c>
      <c r="AA18" t="s">
        <v>2443</v>
      </c>
      <c r="AB18" t="s">
        <v>2904</v>
      </c>
      <c r="AC18" t="s">
        <v>2905</v>
      </c>
      <c r="AD18" t="s">
        <v>2</v>
      </c>
      <c r="AE18">
        <v>7023030</v>
      </c>
      <c r="AF18" t="s">
        <v>2906</v>
      </c>
      <c r="AG18">
        <v>60</v>
      </c>
      <c r="AH18" t="s">
        <v>2907</v>
      </c>
      <c r="AI18" t="s">
        <v>1898</v>
      </c>
      <c r="AJ18" t="s">
        <v>2908</v>
      </c>
      <c r="AK18" t="s">
        <v>2909</v>
      </c>
      <c r="AL18" t="s">
        <v>2910</v>
      </c>
      <c r="AM18" t="s">
        <v>2</v>
      </c>
      <c r="AN18">
        <v>0</v>
      </c>
      <c r="AO18" t="s">
        <v>2911</v>
      </c>
      <c r="AP18" t="s">
        <v>2912</v>
      </c>
      <c r="AQ18" t="s">
        <v>2913</v>
      </c>
      <c r="AR18" t="s">
        <v>2</v>
      </c>
      <c r="AS18" t="s">
        <v>170</v>
      </c>
      <c r="AT18" t="s">
        <v>2</v>
      </c>
      <c r="AU18" t="s">
        <v>2914</v>
      </c>
      <c r="AV18" t="s">
        <v>2915</v>
      </c>
      <c r="AW18" t="s">
        <v>795</v>
      </c>
      <c r="AX18" t="s">
        <v>2916</v>
      </c>
      <c r="AY18" t="s">
        <v>783</v>
      </c>
      <c r="AZ18" t="s">
        <v>2567</v>
      </c>
      <c r="BA18" t="s">
        <v>2917</v>
      </c>
      <c r="BB18" t="s">
        <v>2918</v>
      </c>
      <c r="BC18" t="s">
        <v>1642</v>
      </c>
      <c r="BD18" t="s">
        <v>89</v>
      </c>
      <c r="BE18" t="s">
        <v>2919</v>
      </c>
      <c r="BF18" t="s">
        <v>2920</v>
      </c>
      <c r="BG18" t="s">
        <v>2921</v>
      </c>
      <c r="BH18" t="s">
        <v>2167</v>
      </c>
      <c r="BI18" t="s">
        <v>180</v>
      </c>
      <c r="BJ18" t="s">
        <v>2916</v>
      </c>
      <c r="BK18" t="s">
        <v>2903</v>
      </c>
      <c r="BL18" t="s">
        <v>2922</v>
      </c>
      <c r="BM18" t="s">
        <v>1642</v>
      </c>
      <c r="BN18">
        <v>5.66</v>
      </c>
      <c r="BO18">
        <v>12.45</v>
      </c>
      <c r="BP18">
        <v>15.83</v>
      </c>
      <c r="BQ18">
        <v>5.25</v>
      </c>
      <c r="BR18">
        <v>16.97</v>
      </c>
      <c r="BS18">
        <v>19.05</v>
      </c>
      <c r="BT18" t="s">
        <v>842</v>
      </c>
      <c r="BU18" t="s">
        <v>790</v>
      </c>
      <c r="BV18">
        <v>19.16</v>
      </c>
      <c r="BW18">
        <v>17.86</v>
      </c>
      <c r="BX18">
        <v>18.87</v>
      </c>
      <c r="BY18">
        <v>2.92</v>
      </c>
      <c r="BZ18">
        <v>5.49</v>
      </c>
      <c r="CA18">
        <v>5.98</v>
      </c>
      <c r="CB18">
        <v>-5.22</v>
      </c>
      <c r="CC18" s="8">
        <v>-6.22</v>
      </c>
      <c r="CD18" s="9" t="s">
        <v>2923</v>
      </c>
      <c r="CE18" s="8" t="s">
        <v>2924</v>
      </c>
      <c r="CF18" s="8">
        <v>0.29571106094808125</v>
      </c>
      <c r="CG18" s="8">
        <v>-0.64334281932495041</v>
      </c>
      <c r="CH18" s="8">
        <v>-6.8950481712818146E-2</v>
      </c>
      <c r="CI18" s="8">
        <v>0.17115277051925659</v>
      </c>
      <c r="CJ18" s="9">
        <v>0.75646758079528809</v>
      </c>
      <c r="CK18" s="9">
        <v>0.20150046050548553</v>
      </c>
      <c r="CL18" s="9">
        <v>-5.7575758546590805E-2</v>
      </c>
      <c r="CM18" s="9">
        <v>-0.49602344632148743</v>
      </c>
      <c r="CN18" s="9">
        <v>8.474576473236084E-2</v>
      </c>
      <c r="CO18">
        <v>3.3002915382385254</v>
      </c>
      <c r="CP18">
        <v>0.12213893234729767</v>
      </c>
      <c r="CQ18">
        <v>-0.47587642073631287</v>
      </c>
      <c r="CR18" s="8">
        <v>71.809313547055311</v>
      </c>
      <c r="CS18" s="9">
        <v>3.5811740649701593</v>
      </c>
      <c r="CT18">
        <v>0.53475935828877008</v>
      </c>
      <c r="CU18">
        <v>0.20051891431212426</v>
      </c>
      <c r="CV18">
        <v>0.5070552736520767</v>
      </c>
      <c r="CW18">
        <v>0.06</v>
      </c>
      <c r="CX18">
        <v>56.12727590279831</v>
      </c>
      <c r="CY18">
        <v>73060636.456000775</v>
      </c>
      <c r="CZ18">
        <v>0.20051891431212426</v>
      </c>
      <c r="DA18">
        <v>16.723409816189584</v>
      </c>
      <c r="DB18">
        <v>245206841.49175146</v>
      </c>
      <c r="DC18">
        <v>0.19049296859651804</v>
      </c>
      <c r="DD18">
        <v>7.2407219374373</v>
      </c>
      <c r="DE18">
        <v>566337795.51702464</v>
      </c>
      <c r="DF18">
        <v>0.17645664459466937</v>
      </c>
      <c r="DG18">
        <v>3.7365449755369808</v>
      </c>
      <c r="DH18">
        <v>1097456213.3861876</v>
      </c>
      <c r="DI18">
        <v>0.16041513144969943</v>
      </c>
      <c r="DJ18">
        <v>1.35229770711913</v>
      </c>
      <c r="DK18">
        <v>3032390337.1365781</v>
      </c>
      <c r="DL18">
        <v>0.14036324001848696</v>
      </c>
      <c r="DM18">
        <v>64509000</v>
      </c>
      <c r="DN18">
        <v>0.20051891431212426</v>
      </c>
      <c r="DO18">
        <v>4100694500</v>
      </c>
      <c r="DP18">
        <v>965717100</v>
      </c>
      <c r="DQ18" s="10">
        <v>1345</v>
      </c>
      <c r="DR18">
        <v>9.5192146635956987E-2</v>
      </c>
      <c r="DS18">
        <v>-1.150398092977027</v>
      </c>
      <c r="DT18">
        <v>9.3333333333333268E-2</v>
      </c>
      <c r="DU18">
        <v>-0.32333333333333331</v>
      </c>
      <c r="DV18">
        <v>-0.23000000000000004</v>
      </c>
      <c r="DW18">
        <v>-8.839228295819936</v>
      </c>
      <c r="DX18">
        <v>0.41496438364361055</v>
      </c>
      <c r="DY18">
        <v>-8.1384427785562146</v>
      </c>
      <c r="DZ18">
        <v>2365</v>
      </c>
      <c r="EA18">
        <v>-8.0743313293129315</v>
      </c>
      <c r="EB18" s="11">
        <v>8</v>
      </c>
      <c r="EC18" s="11">
        <v>5.7982712713010295E-2</v>
      </c>
      <c r="ED18">
        <v>0.35148623545837265</v>
      </c>
      <c r="EE18">
        <v>-1.0218</v>
      </c>
      <c r="EF18">
        <v>-1.0354000000000001</v>
      </c>
      <c r="EG18">
        <v>25.164964383643611</v>
      </c>
      <c r="EH18" s="12" t="s">
        <v>1259</v>
      </c>
      <c r="EI18">
        <v>0</v>
      </c>
      <c r="EJ18">
        <v>0</v>
      </c>
      <c r="EK18">
        <v>45511</v>
      </c>
      <c r="EL18">
        <v>0.61</v>
      </c>
      <c r="EM18">
        <v>-3.48</v>
      </c>
      <c r="EN18">
        <v>-4.75</v>
      </c>
      <c r="EO18">
        <v>1.1000000000000001</v>
      </c>
      <c r="EP18">
        <v>1.36</v>
      </c>
    </row>
    <row r="19" spans="1:146" ht="108" x14ac:dyDescent="0.25">
      <c r="A19" s="6"/>
      <c r="B19" s="6"/>
      <c r="C19" s="6" t="str">
        <f>""&amp;CHAR(10)&amp;Basic_Fundamental_Information_Constructure(F19)&amp;CHAR(10)&amp;Basic_Fundamental_Information_Concatenate("")</f>
        <v xml:space="preserve">
市值67.471079亿, 利润1.22亿; PE34.91; 平均PE50.63; 平均PEG1.5, PB2.62; ROIC6.16%; ROE10.71%; 股利率.2876%; 毛利17.4%; 净利2.9567%; 上一年度营收增.96%, 利润增-49.17%; 当季营收增63.18%, 利润增1022.77%; 过往5年营收增33.65%, 利润增53.84%
Income profile:
</v>
      </c>
      <c r="D19" t="s">
        <v>289</v>
      </c>
      <c r="E19" t="s">
        <v>290</v>
      </c>
      <c r="F19">
        <v>34.770000000000003</v>
      </c>
      <c r="G19">
        <v>1.1299999999999999</v>
      </c>
      <c r="H19" t="s">
        <v>2925</v>
      </c>
      <c r="I19">
        <v>6747107900</v>
      </c>
      <c r="J19">
        <v>34.909999999999997</v>
      </c>
      <c r="K19">
        <v>2.62</v>
      </c>
      <c r="L19" t="s">
        <v>212</v>
      </c>
      <c r="M19" t="s">
        <v>1611</v>
      </c>
      <c r="N19" t="s">
        <v>1612</v>
      </c>
      <c r="O19" t="s">
        <v>1613</v>
      </c>
      <c r="P19">
        <v>63.18</v>
      </c>
      <c r="Q19" t="s">
        <v>1614</v>
      </c>
      <c r="R19">
        <v>175000000</v>
      </c>
      <c r="S19" s="4">
        <v>4.5609999999999999</v>
      </c>
      <c r="T19" t="s">
        <v>23</v>
      </c>
      <c r="U19">
        <v>163235440</v>
      </c>
      <c r="V19">
        <v>194049700</v>
      </c>
      <c r="W19">
        <v>2.72</v>
      </c>
      <c r="X19">
        <v>0.26</v>
      </c>
      <c r="Y19">
        <v>5.85</v>
      </c>
      <c r="Z19" t="s">
        <v>1615</v>
      </c>
      <c r="AA19" t="s">
        <v>1616</v>
      </c>
      <c r="AB19" t="s">
        <v>1617</v>
      </c>
      <c r="AC19" t="s">
        <v>1618</v>
      </c>
      <c r="AD19" t="s">
        <v>2</v>
      </c>
      <c r="AE19">
        <v>12933019</v>
      </c>
      <c r="AF19" t="s">
        <v>1619</v>
      </c>
      <c r="AG19" t="s">
        <v>1620</v>
      </c>
      <c r="AH19" t="s">
        <v>1621</v>
      </c>
      <c r="AI19" t="s">
        <v>1407</v>
      </c>
      <c r="AJ19" t="s">
        <v>1622</v>
      </c>
      <c r="AK19" t="s">
        <v>1623</v>
      </c>
      <c r="AL19" t="s">
        <v>1624</v>
      </c>
      <c r="AM19" t="s">
        <v>2</v>
      </c>
      <c r="AN19" t="s">
        <v>1625</v>
      </c>
      <c r="AO19" t="s">
        <v>1391</v>
      </c>
      <c r="AP19" t="s">
        <v>1626</v>
      </c>
      <c r="AQ19" t="s">
        <v>1221</v>
      </c>
      <c r="AR19">
        <v>1906.6</v>
      </c>
      <c r="AS19" t="s">
        <v>1627</v>
      </c>
      <c r="AT19" t="s">
        <v>1628</v>
      </c>
      <c r="AU19" t="s">
        <v>1629</v>
      </c>
      <c r="AV19" t="s">
        <v>1630</v>
      </c>
      <c r="AW19" t="s">
        <v>840</v>
      </c>
      <c r="AX19" t="s">
        <v>917</v>
      </c>
      <c r="AY19" t="s">
        <v>672</v>
      </c>
      <c r="AZ19" t="s">
        <v>291</v>
      </c>
      <c r="BA19" t="s">
        <v>292</v>
      </c>
      <c r="BB19" t="s">
        <v>293</v>
      </c>
      <c r="BC19" t="s">
        <v>887</v>
      </c>
      <c r="BD19" t="s">
        <v>105</v>
      </c>
      <c r="BE19" t="s">
        <v>49</v>
      </c>
      <c r="BF19" t="s">
        <v>294</v>
      </c>
      <c r="BG19" t="s">
        <v>295</v>
      </c>
      <c r="BH19" t="s">
        <v>1614</v>
      </c>
      <c r="BI19" t="s">
        <v>201</v>
      </c>
      <c r="BJ19" t="s">
        <v>917</v>
      </c>
      <c r="BK19" t="s">
        <v>23</v>
      </c>
      <c r="BL19" t="s">
        <v>1631</v>
      </c>
      <c r="BM19" t="s">
        <v>887</v>
      </c>
      <c r="BN19">
        <v>2.69</v>
      </c>
      <c r="BO19">
        <v>9.34</v>
      </c>
      <c r="BP19">
        <v>6.45</v>
      </c>
      <c r="BQ19">
        <v>6</v>
      </c>
      <c r="BR19">
        <v>16</v>
      </c>
      <c r="BS19">
        <v>10.130000000000001</v>
      </c>
      <c r="BT19" t="s">
        <v>842</v>
      </c>
      <c r="BU19" t="s">
        <v>757</v>
      </c>
      <c r="BV19">
        <v>17.600000000000001</v>
      </c>
      <c r="BW19">
        <v>17.48</v>
      </c>
      <c r="BX19">
        <v>17.12</v>
      </c>
      <c r="BY19">
        <v>1.83</v>
      </c>
      <c r="BZ19">
        <v>4.34</v>
      </c>
      <c r="CA19">
        <v>2.7</v>
      </c>
      <c r="CB19">
        <v>-7.77</v>
      </c>
      <c r="CC19">
        <v>-6.46</v>
      </c>
      <c r="CD19" t="s">
        <v>2926</v>
      </c>
      <c r="CE19" t="s">
        <v>261</v>
      </c>
      <c r="CF19" s="8">
        <v>0.63180362860192119</v>
      </c>
      <c r="CG19" s="9">
        <v>10.227737001488476</v>
      </c>
      <c r="CH19" s="8">
        <v>9.5789264887571335E-3</v>
      </c>
      <c r="CI19" s="8">
        <v>0.11603562533855438</v>
      </c>
      <c r="CJ19" s="8">
        <v>0.37392896413803101</v>
      </c>
      <c r="CK19" s="8">
        <v>1.0135550498962402</v>
      </c>
      <c r="CL19" s="8">
        <v>0.16930840909481049</v>
      </c>
      <c r="CM19" s="9">
        <v>-0.49166667461395264</v>
      </c>
      <c r="CN19" s="9">
        <v>0.76470589637756348</v>
      </c>
      <c r="CO19" s="9">
        <v>-0.24444444477558136</v>
      </c>
      <c r="CP19" s="9">
        <v>3.098416805267334</v>
      </c>
      <c r="CQ19" s="9">
        <v>-0.43502578139305115</v>
      </c>
      <c r="CR19">
        <v>50.625052710139002</v>
      </c>
      <c r="CS19">
        <v>1.5045424045347637</v>
      </c>
      <c r="CT19">
        <v>0.28760425654299682</v>
      </c>
      <c r="CU19" s="8">
        <v>0.33648139499127866</v>
      </c>
      <c r="CV19" s="9">
        <v>0.53839716017246242</v>
      </c>
      <c r="CW19">
        <v>0.06</v>
      </c>
      <c r="CX19">
        <v>53.094729253702184</v>
      </c>
      <c r="CY19">
        <v>153821443.5744679</v>
      </c>
      <c r="CZ19">
        <v>0.33648139499127866</v>
      </c>
      <c r="DA19">
        <v>14.169502203173277</v>
      </c>
      <c r="DB19">
        <v>576386367.20568538</v>
      </c>
      <c r="DC19">
        <v>0.3196573252417147</v>
      </c>
      <c r="DD19">
        <v>5.2070192892161673</v>
      </c>
      <c r="DE19">
        <v>1568480438.8787708</v>
      </c>
      <c r="DF19">
        <v>0.29610362759232522</v>
      </c>
      <c r="DG19">
        <v>2.1822323870193614</v>
      </c>
      <c r="DH19">
        <v>3742547287.1636648</v>
      </c>
      <c r="DI19">
        <v>0.26918511599302292</v>
      </c>
      <c r="DJ19">
        <v>0.46556325313347863</v>
      </c>
      <c r="DK19">
        <v>17542423816.809402</v>
      </c>
      <c r="DL19">
        <v>0.23553697649389504</v>
      </c>
      <c r="DM19">
        <v>122000000</v>
      </c>
      <c r="DN19">
        <v>0.33648139499127866</v>
      </c>
      <c r="DO19">
        <v>8167107900</v>
      </c>
      <c r="DP19">
        <v>1714188300</v>
      </c>
      <c r="DQ19">
        <v>1360</v>
      </c>
      <c r="DR19">
        <v>0.29532223361064253</v>
      </c>
      <c r="DS19">
        <v>9.6893398413160146</v>
      </c>
      <c r="DT19" s="10">
        <v>2.6666666666666616E-2</v>
      </c>
      <c r="DU19">
        <v>0.56999999999999995</v>
      </c>
      <c r="DV19">
        <v>0.59666666666666657</v>
      </c>
      <c r="DW19">
        <v>-5.8314028314028317</v>
      </c>
      <c r="DX19">
        <v>0.3070988549618322</v>
      </c>
      <c r="DY19">
        <v>-5.1389264611394383</v>
      </c>
      <c r="DZ19">
        <v>635</v>
      </c>
      <c r="EA19">
        <v>-5.1216524641111354</v>
      </c>
      <c r="EB19">
        <v>5</v>
      </c>
      <c r="EC19">
        <v>0.22561178914473973</v>
      </c>
      <c r="ED19">
        <v>1.3501695699606853</v>
      </c>
      <c r="EE19" s="11">
        <v>1.0356099999999999</v>
      </c>
      <c r="EF19">
        <v>1.0243100000000001</v>
      </c>
      <c r="EG19">
        <v>14.167098854961832</v>
      </c>
      <c r="EH19" t="s">
        <v>881</v>
      </c>
      <c r="EI19">
        <v>0</v>
      </c>
      <c r="EJ19">
        <v>1</v>
      </c>
      <c r="EK19" s="12">
        <v>45511</v>
      </c>
      <c r="EL19">
        <v>-2.36</v>
      </c>
      <c r="EM19">
        <v>-4.4800000000000004</v>
      </c>
      <c r="EN19">
        <v>-3.64</v>
      </c>
      <c r="EO19">
        <v>1.48</v>
      </c>
      <c r="EP19">
        <v>1.1299999999999999</v>
      </c>
    </row>
    <row r="20" spans="1:146" ht="180" x14ac:dyDescent="0.25">
      <c r="A20" s="6"/>
      <c r="B20" s="6" t="s">
        <v>1257</v>
      </c>
      <c r="C20" s="6" t="str">
        <f>"公司主要从事磁性元器件、光通信产品、各类电源产品等研发、生产及销售。公司主要生产通信磁性元器件、通信光电部件、通信供电系统设备及通信电源四大类产品。"&amp;CHAR(10)&amp;Basic_Fundamental_Information_Constructure(F20)&amp;CHAR(10)&amp;Basic_Fundamental_Information_Concatenate("磁性元器件 6.25亿 55.90% 76.10% 20.87%
光通信产品 3.15亿 28.18% 11.18% 6.08%
电源适配器 1.18亿 10.54% 5.98% 8.70%
通信供电系统设备 5532.11万 4.95% 6.15% 19.04%")</f>
        <v>公司主要从事磁性元器件、光通信产品、各类电源产品等研发、生产及销售。公司主要生产通信磁性元器件、通信光电部件、通信供电系统设备及通信电源四大类产品。
市值44.55226亿, 利润-2.59亿; PE; 平均PE-139.77; 平均PEG-26.29, PB3.65; ROIC5.5%; ROE-.9967%; 股利率0%; 毛利13.4133%; 净利-4.7233%; 上一年度营收增-17.52%, 利润增-477.2%; 当季营收增-24.01%, 利润增-1421.54%; 过往5年营收增5.32%, 利润增-354.61%
Income profile:
磁性元器件 6.25亿 55.90% 76.10% 20.87%
光通信产品 3.15亿 28.18% 11.18% 6.08%
电源适配器 1.18亿 10.54% 5.98% 8.70%
通信供电系统设备 5532.11万 4.95% 6.15% 19.04%</v>
      </c>
      <c r="D20" t="s">
        <v>296</v>
      </c>
      <c r="E20" t="s">
        <v>297</v>
      </c>
      <c r="F20">
        <v>18.920000000000002</v>
      </c>
      <c r="G20">
        <v>2.5499999999999998</v>
      </c>
      <c r="H20" t="s">
        <v>2927</v>
      </c>
      <c r="I20">
        <v>4455226000</v>
      </c>
      <c r="K20">
        <v>3.65</v>
      </c>
      <c r="L20" t="s">
        <v>212</v>
      </c>
      <c r="M20" t="s">
        <v>1632</v>
      </c>
      <c r="N20" t="s">
        <v>528</v>
      </c>
      <c r="O20" t="s">
        <v>1633</v>
      </c>
      <c r="P20">
        <v>-23.88</v>
      </c>
      <c r="Q20" t="s">
        <v>1634</v>
      </c>
      <c r="R20">
        <v>-75000000</v>
      </c>
      <c r="S20" s="5">
        <v>-5.0129999999999999</v>
      </c>
      <c r="T20" t="s">
        <v>810</v>
      </c>
      <c r="U20">
        <v>153941990</v>
      </c>
      <c r="V20">
        <v>235477060</v>
      </c>
      <c r="W20">
        <v>2.33</v>
      </c>
      <c r="X20">
        <v>0.15</v>
      </c>
      <c r="Y20">
        <v>-6.09</v>
      </c>
      <c r="Z20" t="s">
        <v>1176</v>
      </c>
      <c r="AA20" t="s">
        <v>1197</v>
      </c>
      <c r="AB20" t="s">
        <v>1635</v>
      </c>
      <c r="AC20" t="s">
        <v>1636</v>
      </c>
      <c r="AD20" t="s">
        <v>2</v>
      </c>
      <c r="AE20">
        <v>5907116</v>
      </c>
      <c r="AF20" t="s">
        <v>20</v>
      </c>
      <c r="AG20">
        <v>3040.38</v>
      </c>
      <c r="AH20" t="s">
        <v>1637</v>
      </c>
      <c r="AI20" t="s">
        <v>1141</v>
      </c>
      <c r="AJ20" t="s">
        <v>1638</v>
      </c>
      <c r="AK20" t="s">
        <v>53</v>
      </c>
      <c r="AL20" t="s">
        <v>1639</v>
      </c>
      <c r="AM20" t="s">
        <v>2</v>
      </c>
      <c r="AN20" t="s">
        <v>1640</v>
      </c>
      <c r="AO20" t="s">
        <v>1176</v>
      </c>
      <c r="AP20" t="s">
        <v>107</v>
      </c>
      <c r="AQ20" t="s">
        <v>1641</v>
      </c>
      <c r="AR20" t="s">
        <v>2</v>
      </c>
      <c r="AS20" t="s">
        <v>1214</v>
      </c>
      <c r="AT20" t="s">
        <v>1642</v>
      </c>
      <c r="AU20" t="s">
        <v>1643</v>
      </c>
      <c r="AV20" t="s">
        <v>1644</v>
      </c>
      <c r="AW20" t="s">
        <v>174</v>
      </c>
      <c r="AX20" t="s">
        <v>918</v>
      </c>
      <c r="AY20" t="s">
        <v>673</v>
      </c>
      <c r="AZ20" t="s">
        <v>298</v>
      </c>
      <c r="BA20" t="s">
        <v>301</v>
      </c>
      <c r="BB20" t="s">
        <v>228</v>
      </c>
      <c r="BC20" t="s">
        <v>1645</v>
      </c>
      <c r="BD20" t="s">
        <v>674</v>
      </c>
      <c r="BE20" t="s">
        <v>299</v>
      </c>
      <c r="BF20" t="s">
        <v>303</v>
      </c>
      <c r="BG20" t="s">
        <v>304</v>
      </c>
      <c r="BH20" t="s">
        <v>1634</v>
      </c>
      <c r="BI20" t="s">
        <v>252</v>
      </c>
      <c r="BJ20" t="s">
        <v>918</v>
      </c>
      <c r="BK20" t="s">
        <v>810</v>
      </c>
      <c r="BL20" t="s">
        <v>1646</v>
      </c>
      <c r="BM20" t="s">
        <v>1645</v>
      </c>
      <c r="BN20" t="s">
        <v>2</v>
      </c>
      <c r="BO20">
        <v>5.5</v>
      </c>
      <c r="BP20" t="s">
        <v>2</v>
      </c>
      <c r="BQ20">
        <v>-4.01</v>
      </c>
      <c r="BR20">
        <v>6.62</v>
      </c>
      <c r="BS20">
        <v>-5.6</v>
      </c>
      <c r="BT20" t="s">
        <v>836</v>
      </c>
      <c r="BU20" t="s">
        <v>757</v>
      </c>
      <c r="BV20">
        <v>13.63</v>
      </c>
      <c r="BW20">
        <v>14.63</v>
      </c>
      <c r="BX20">
        <v>11.98</v>
      </c>
      <c r="BY20">
        <v>-13.93</v>
      </c>
      <c r="BZ20">
        <v>2.81</v>
      </c>
      <c r="CA20">
        <v>-3.05</v>
      </c>
      <c r="CB20">
        <v>-5.07</v>
      </c>
      <c r="CC20">
        <v>-14.54</v>
      </c>
      <c r="CD20" t="s">
        <v>2928</v>
      </c>
      <c r="CE20" t="s">
        <v>44</v>
      </c>
      <c r="CF20" s="8">
        <v>-0.24007561436672978</v>
      </c>
      <c r="CG20" s="9">
        <v>-14.215393290104313</v>
      </c>
      <c r="CH20" s="8">
        <v>-0.17520450055599213</v>
      </c>
      <c r="CI20" s="8">
        <v>3.9838943630456924E-2</v>
      </c>
      <c r="CJ20" s="8">
        <v>0.32267612218856812</v>
      </c>
      <c r="CK20" s="8">
        <v>0.20556746423244476</v>
      </c>
      <c r="CL20" s="8">
        <v>-0.1271028071641922</v>
      </c>
      <c r="CM20" s="9">
        <v>-4.7719640731811523</v>
      </c>
      <c r="CN20" s="9">
        <v>2.1840462684631348</v>
      </c>
      <c r="CO20" s="9">
        <v>-14.350998878479004</v>
      </c>
      <c r="CP20" s="9">
        <v>-0.83894997835159302</v>
      </c>
      <c r="CQ20" s="9">
        <v>4.7154061496257782E-2</v>
      </c>
      <c r="CR20">
        <v>-139.76682659126368</v>
      </c>
      <c r="CS20">
        <v>-26.294179225075784</v>
      </c>
      <c r="CT20">
        <v>0</v>
      </c>
      <c r="CU20" s="8">
        <v>5.3155044466257094E-2</v>
      </c>
      <c r="CV20" s="9">
        <v>-3.5461425200104713</v>
      </c>
      <c r="CW20">
        <v>0.06</v>
      </c>
      <c r="CX20" t="e">
        <v>#VALUE!</v>
      </c>
      <c r="CY20" t="s">
        <v>768</v>
      </c>
      <c r="CZ20">
        <v>5.3155044466257094E-2</v>
      </c>
      <c r="DA20" t="e">
        <v>#VALUE!</v>
      </c>
      <c r="DB20" t="s">
        <v>765</v>
      </c>
      <c r="DC20">
        <v>5.049729224294424E-2</v>
      </c>
      <c r="DD20" t="e">
        <v>#VALUE!</v>
      </c>
      <c r="DE20" t="s">
        <v>765</v>
      </c>
      <c r="DF20">
        <v>4.6776439130306241E-2</v>
      </c>
      <c r="DG20" t="e">
        <v>#VALUE!</v>
      </c>
      <c r="DH20" t="s">
        <v>765</v>
      </c>
      <c r="DI20">
        <v>4.2524035573005679E-2</v>
      </c>
      <c r="DJ20" t="e">
        <v>#VALUE!</v>
      </c>
      <c r="DK20" t="s">
        <v>765</v>
      </c>
      <c r="DL20">
        <v>3.7208531126379965E-2</v>
      </c>
      <c r="DM20">
        <v>-259000000</v>
      </c>
      <c r="DN20">
        <v>5.3155044466257094E-2</v>
      </c>
      <c r="DO20">
        <v>4951226000</v>
      </c>
      <c r="DP20">
        <v>410321600</v>
      </c>
      <c r="DQ20">
        <v>1365</v>
      </c>
      <c r="DR20">
        <v>-0.29323065883298688</v>
      </c>
      <c r="DS20">
        <v>-10.669250770093841</v>
      </c>
      <c r="DT20" s="10">
        <v>-0.35666666666666669</v>
      </c>
      <c r="DU20">
        <v>-2.2900000000000005</v>
      </c>
      <c r="DV20">
        <v>-2.6466666666666674</v>
      </c>
      <c r="DW20">
        <v>-8.3486932599724906</v>
      </c>
      <c r="DX20">
        <v>0.47891450434782756</v>
      </c>
      <c r="DY20">
        <v>-8.0728470795765812</v>
      </c>
      <c r="DZ20">
        <v>4739</v>
      </c>
      <c r="EA20">
        <v>-8.0052492119217113</v>
      </c>
      <c r="EB20">
        <v>8</v>
      </c>
      <c r="EC20">
        <v>0.30608289401948541</v>
      </c>
      <c r="ED20">
        <v>1.4651108689738186</v>
      </c>
      <c r="EE20" s="11">
        <v>-1.0036</v>
      </c>
      <c r="EF20">
        <v>-1.0290999999999999</v>
      </c>
      <c r="EG20">
        <v>27.208914504347828</v>
      </c>
      <c r="EH20" t="s">
        <v>1259</v>
      </c>
      <c r="EI20">
        <v>0</v>
      </c>
      <c r="EJ20">
        <v>0</v>
      </c>
      <c r="EK20" s="12">
        <v>45511</v>
      </c>
      <c r="EL20">
        <v>-1.4</v>
      </c>
      <c r="EM20">
        <v>-2.9</v>
      </c>
      <c r="EN20">
        <v>-4.72</v>
      </c>
      <c r="EO20">
        <v>1.49</v>
      </c>
      <c r="EP20">
        <v>2.5499999999999998</v>
      </c>
    </row>
    <row r="21" spans="1:146" ht="108" x14ac:dyDescent="0.25">
      <c r="A21" s="6"/>
      <c r="B21" s="6"/>
      <c r="C21" s="6" t="str">
        <f>""&amp;CHAR(10)&amp;Basic_Fundamental_Information_Constructure(F21)&amp;CHAR(10)&amp;Basic_Fundamental_Information_Concatenate("")</f>
        <v xml:space="preserve">
市值185.83378亿, 利润4.90亿; PE38.22; 平均PE85.62; 平均PEG1.64, PB3.26; ROIC9.7567%; ROE12.1367%; 股利率.9466%; 毛利30.6367%; 净利14.8867%; 上一年度营收增6.53%, 利润增7.22%; 当季营收增-6.64%, 利润增-4.38%; 过往5年营收增52.36%, 利润增72.95%
Income profile:
</v>
      </c>
      <c r="D21" t="s">
        <v>486</v>
      </c>
      <c r="E21" t="s">
        <v>487</v>
      </c>
      <c r="F21">
        <v>41.2</v>
      </c>
      <c r="G21">
        <v>0.05</v>
      </c>
      <c r="H21" t="s">
        <v>2929</v>
      </c>
      <c r="I21">
        <v>18583378000</v>
      </c>
      <c r="J21">
        <v>38.22</v>
      </c>
      <c r="K21">
        <v>3.26</v>
      </c>
      <c r="L21" t="s">
        <v>212</v>
      </c>
      <c r="M21" t="s">
        <v>1647</v>
      </c>
      <c r="N21" t="s">
        <v>1648</v>
      </c>
      <c r="O21" t="s">
        <v>1649</v>
      </c>
      <c r="P21">
        <v>-6.63</v>
      </c>
      <c r="Q21" t="s">
        <v>1650</v>
      </c>
      <c r="R21">
        <v>82573664</v>
      </c>
      <c r="S21" s="4">
        <v>-4.3799999999999999E-2</v>
      </c>
      <c r="T21" t="s">
        <v>185</v>
      </c>
      <c r="U21">
        <v>159664640</v>
      </c>
      <c r="V21">
        <v>451052860</v>
      </c>
      <c r="W21">
        <v>1.26</v>
      </c>
      <c r="X21">
        <v>7.0000000000000007E-2</v>
      </c>
      <c r="Y21">
        <v>18.14</v>
      </c>
      <c r="Z21" t="s">
        <v>1651</v>
      </c>
      <c r="AA21" t="s">
        <v>1652</v>
      </c>
      <c r="AB21" t="s">
        <v>1653</v>
      </c>
      <c r="AC21" t="s">
        <v>1654</v>
      </c>
      <c r="AD21" t="s">
        <v>2</v>
      </c>
      <c r="AE21">
        <v>-3335361</v>
      </c>
      <c r="AF21" t="s">
        <v>1655</v>
      </c>
      <c r="AG21" t="s">
        <v>1656</v>
      </c>
      <c r="AH21" t="s">
        <v>1657</v>
      </c>
      <c r="AI21" t="s">
        <v>1658</v>
      </c>
      <c r="AJ21" t="s">
        <v>1659</v>
      </c>
      <c r="AK21" t="s">
        <v>1660</v>
      </c>
      <c r="AL21" t="s">
        <v>1661</v>
      </c>
      <c r="AM21" t="s">
        <v>2</v>
      </c>
      <c r="AN21" t="s">
        <v>112</v>
      </c>
      <c r="AO21" t="s">
        <v>1662</v>
      </c>
      <c r="AP21" t="s">
        <v>1663</v>
      </c>
      <c r="AQ21" t="s">
        <v>1664</v>
      </c>
      <c r="AR21" t="s">
        <v>1665</v>
      </c>
      <c r="AS21" t="s">
        <v>1666</v>
      </c>
      <c r="AT21" t="s">
        <v>1211</v>
      </c>
      <c r="AU21" t="s">
        <v>1159</v>
      </c>
      <c r="AV21" t="s">
        <v>1667</v>
      </c>
      <c r="AW21" t="s">
        <v>1668</v>
      </c>
      <c r="AX21" t="s">
        <v>1669</v>
      </c>
      <c r="AY21" t="s">
        <v>676</v>
      </c>
      <c r="AZ21" t="s">
        <v>488</v>
      </c>
      <c r="BA21" t="s">
        <v>490</v>
      </c>
      <c r="BB21" t="s">
        <v>207</v>
      </c>
      <c r="BC21" t="s">
        <v>1226</v>
      </c>
      <c r="BD21" t="s">
        <v>23</v>
      </c>
      <c r="BE21" t="s">
        <v>489</v>
      </c>
      <c r="BF21" t="s">
        <v>491</v>
      </c>
      <c r="BG21" t="s">
        <v>492</v>
      </c>
      <c r="BH21" t="s">
        <v>1650</v>
      </c>
      <c r="BI21" t="s">
        <v>1670</v>
      </c>
      <c r="BJ21" t="s">
        <v>1669</v>
      </c>
      <c r="BK21" t="s">
        <v>185</v>
      </c>
      <c r="BL21" t="s">
        <v>1671</v>
      </c>
      <c r="BM21" t="s">
        <v>1226</v>
      </c>
      <c r="BN21">
        <v>11.74</v>
      </c>
      <c r="BO21">
        <v>6.66</v>
      </c>
      <c r="BP21">
        <v>10.87</v>
      </c>
      <c r="BQ21">
        <v>12.66</v>
      </c>
      <c r="BR21">
        <v>12.49</v>
      </c>
      <c r="BS21">
        <v>11.26</v>
      </c>
      <c r="BT21" t="s">
        <v>1672</v>
      </c>
      <c r="BU21" t="s">
        <v>790</v>
      </c>
      <c r="BV21">
        <v>35.61</v>
      </c>
      <c r="BW21">
        <v>27.39</v>
      </c>
      <c r="BX21">
        <v>28.91</v>
      </c>
      <c r="BY21">
        <v>21.27</v>
      </c>
      <c r="BZ21">
        <v>11.39</v>
      </c>
      <c r="CA21">
        <v>12</v>
      </c>
      <c r="CB21">
        <v>-6.24</v>
      </c>
      <c r="CC21">
        <v>-13.54</v>
      </c>
      <c r="CD21" t="s">
        <v>2930</v>
      </c>
      <c r="CE21" t="s">
        <v>2931</v>
      </c>
      <c r="CF21" s="8">
        <v>-6.6439522998296419E-2</v>
      </c>
      <c r="CG21" s="9">
        <v>-4.3819272839280297E-2</v>
      </c>
      <c r="CH21" s="8">
        <v>6.5286621451377869E-2</v>
      </c>
      <c r="CI21" s="8">
        <v>1.4773175716400146</v>
      </c>
      <c r="CJ21" s="8">
        <v>0.24264705181121826</v>
      </c>
      <c r="CK21" s="8">
        <v>0.38305085897445679</v>
      </c>
      <c r="CL21" s="8">
        <v>0.4496314525604248</v>
      </c>
      <c r="CM21" s="9">
        <v>7.2210066020488739E-2</v>
      </c>
      <c r="CN21" s="9">
        <v>2.7459015846252441</v>
      </c>
      <c r="CO21" s="9">
        <v>0.24306511878967285</v>
      </c>
      <c r="CP21" s="9">
        <v>0.28434646129608154</v>
      </c>
      <c r="CQ21" s="9">
        <v>0.30209475755691528</v>
      </c>
      <c r="CR21">
        <v>85.621423826334677</v>
      </c>
      <c r="CS21">
        <v>1.6352864192406984</v>
      </c>
      <c r="CT21">
        <v>0.94660194174757273</v>
      </c>
      <c r="CU21" s="8">
        <v>0.52358671128749845</v>
      </c>
      <c r="CV21" s="9">
        <v>0.72952359765768049</v>
      </c>
      <c r="CW21">
        <v>0.06</v>
      </c>
      <c r="CX21">
        <v>19.747817022118451</v>
      </c>
      <c r="CY21">
        <v>704299517.48195696</v>
      </c>
      <c r="CZ21">
        <v>0.52358671128749845</v>
      </c>
      <c r="DA21">
        <v>4.5580872287457339</v>
      </c>
      <c r="DB21">
        <v>3051362841.9145503</v>
      </c>
      <c r="DC21">
        <v>0.49740737572312349</v>
      </c>
      <c r="DD21">
        <v>1.3313627125028442</v>
      </c>
      <c r="DE21">
        <v>10446723398.053923</v>
      </c>
      <c r="DF21">
        <v>0.46075630593299866</v>
      </c>
      <c r="DG21">
        <v>0.41104436705378494</v>
      </c>
      <c r="DH21">
        <v>33836683129.099045</v>
      </c>
      <c r="DI21">
        <v>0.41886936902999877</v>
      </c>
      <c r="DJ21">
        <v>3.9854719266053287E-2</v>
      </c>
      <c r="DK21">
        <v>348976940651.70898</v>
      </c>
      <c r="DL21">
        <v>0.36651069790124891</v>
      </c>
      <c r="DM21">
        <v>490000000.00000006</v>
      </c>
      <c r="DN21">
        <v>0.52358671128749845</v>
      </c>
      <c r="DO21">
        <v>13908378000</v>
      </c>
      <c r="DP21">
        <v>4307945700</v>
      </c>
      <c r="DQ21">
        <v>1483</v>
      </c>
      <c r="DR21">
        <v>-0.59002623428579493</v>
      </c>
      <c r="DS21">
        <v>-0.77334287049696082</v>
      </c>
      <c r="DT21" s="10">
        <v>0.20999999999999988</v>
      </c>
      <c r="DU21">
        <v>0.69999999999999984</v>
      </c>
      <c r="DV21">
        <v>0.9099999999999997</v>
      </c>
      <c r="DW21">
        <v>-9.460856720827179</v>
      </c>
      <c r="DX21">
        <v>0.30031052843730255</v>
      </c>
      <c r="DY21">
        <v>-9.0600544828248726</v>
      </c>
      <c r="DZ21">
        <v>306</v>
      </c>
      <c r="EA21">
        <v>-9.0564561527398109</v>
      </c>
      <c r="EB21">
        <v>9</v>
      </c>
      <c r="EC21">
        <v>1.9136559737144777E-2</v>
      </c>
      <c r="ED21">
        <v>0.14685351956309511</v>
      </c>
      <c r="EE21" s="11">
        <v>-3.0965099999999999</v>
      </c>
      <c r="EF21">
        <v>-3.0960100000000002</v>
      </c>
      <c r="EG21">
        <v>17.130310528437303</v>
      </c>
      <c r="EH21" t="s">
        <v>1186</v>
      </c>
      <c r="EI21">
        <v>0</v>
      </c>
      <c r="EJ21">
        <v>1</v>
      </c>
      <c r="EK21" s="12">
        <v>45511</v>
      </c>
      <c r="EL21">
        <v>-0.75</v>
      </c>
      <c r="EM21">
        <v>-2.41</v>
      </c>
      <c r="EN21">
        <v>-4.0199999999999996</v>
      </c>
      <c r="EO21">
        <v>0.81</v>
      </c>
      <c r="EP21">
        <v>0.05</v>
      </c>
    </row>
    <row r="22" spans="1:146" ht="108" x14ac:dyDescent="0.25">
      <c r="A22" s="6"/>
      <c r="B22" s="6"/>
      <c r="C22" s="6" t="str">
        <f>""&amp;CHAR(10)&amp;Basic_Fundamental_Information_Constructure(F22)&amp;CHAR(10)&amp;Basic_Fundamental_Information_Concatenate("")</f>
        <v xml:space="preserve">
市值49.249322亿, 利润7039.60万; PE106.5; 平均PE50.24; 平均PEG6.22, PB3.23; ROIC6.5667%; ROE7.0133%; 股利率1.4232%; 毛利28.52%; 净利6.46%; 上一年度营收增-22.28%, 利润增-57.59%; 当季营收增-21.47%, 利润增-133.54%; 过往5年营收增8.08%, 利润增33.59%
Income profile:
</v>
      </c>
      <c r="D22" t="s">
        <v>493</v>
      </c>
      <c r="E22" t="s">
        <v>494</v>
      </c>
      <c r="F22">
        <v>10.68</v>
      </c>
      <c r="G22">
        <v>1.23</v>
      </c>
      <c r="H22" t="s">
        <v>2932</v>
      </c>
      <c r="I22">
        <v>4924932200</v>
      </c>
      <c r="J22">
        <v>106.5</v>
      </c>
      <c r="K22">
        <v>3.23</v>
      </c>
      <c r="L22" t="s">
        <v>212</v>
      </c>
      <c r="M22" t="s">
        <v>1230</v>
      </c>
      <c r="N22" t="s">
        <v>1673</v>
      </c>
      <c r="O22" t="s">
        <v>1674</v>
      </c>
      <c r="P22">
        <v>-21.37</v>
      </c>
      <c r="Q22" t="s">
        <v>1675</v>
      </c>
      <c r="R22">
        <v>-14500000</v>
      </c>
      <c r="S22" s="4">
        <v>-0.55910000000000004</v>
      </c>
      <c r="T22" t="s">
        <v>1676</v>
      </c>
      <c r="U22">
        <v>456850260</v>
      </c>
      <c r="V22">
        <v>461135970</v>
      </c>
      <c r="W22">
        <v>1.33</v>
      </c>
      <c r="X22">
        <v>0.13</v>
      </c>
      <c r="Y22">
        <v>7.42</v>
      </c>
      <c r="Z22" t="s">
        <v>111</v>
      </c>
      <c r="AA22" t="s">
        <v>144</v>
      </c>
      <c r="AB22" t="s">
        <v>1677</v>
      </c>
      <c r="AC22" t="s">
        <v>1678</v>
      </c>
      <c r="AD22" t="s">
        <v>2</v>
      </c>
      <c r="AE22">
        <v>-2112</v>
      </c>
      <c r="AF22" t="s">
        <v>1679</v>
      </c>
      <c r="AG22" t="s">
        <v>2</v>
      </c>
      <c r="AH22" t="s">
        <v>1680</v>
      </c>
      <c r="AI22" t="s">
        <v>1230</v>
      </c>
      <c r="AJ22" t="s">
        <v>1681</v>
      </c>
      <c r="AK22" t="s">
        <v>1682</v>
      </c>
      <c r="AL22" t="s">
        <v>1683</v>
      </c>
      <c r="AM22" t="s">
        <v>2</v>
      </c>
      <c r="AN22" t="s">
        <v>1684</v>
      </c>
      <c r="AO22" t="s">
        <v>2</v>
      </c>
      <c r="AP22" t="s">
        <v>2</v>
      </c>
      <c r="AQ22" t="s">
        <v>371</v>
      </c>
      <c r="AR22" t="s">
        <v>2</v>
      </c>
      <c r="AS22" t="s">
        <v>409</v>
      </c>
      <c r="AT22" t="s">
        <v>2</v>
      </c>
      <c r="AU22" t="s">
        <v>1685</v>
      </c>
      <c r="AV22" t="s">
        <v>1686</v>
      </c>
      <c r="AW22" t="s">
        <v>1687</v>
      </c>
      <c r="AX22" t="s">
        <v>919</v>
      </c>
      <c r="AY22" t="s">
        <v>677</v>
      </c>
      <c r="AZ22" t="s">
        <v>495</v>
      </c>
      <c r="BA22" t="s">
        <v>496</v>
      </c>
      <c r="BB22" t="s">
        <v>497</v>
      </c>
      <c r="BC22" t="s">
        <v>26</v>
      </c>
      <c r="BD22" t="s">
        <v>678</v>
      </c>
      <c r="BE22" t="s">
        <v>104</v>
      </c>
      <c r="BF22" t="s">
        <v>35</v>
      </c>
      <c r="BG22" t="s">
        <v>498</v>
      </c>
      <c r="BH22" t="s">
        <v>1675</v>
      </c>
      <c r="BI22" t="s">
        <v>949</v>
      </c>
      <c r="BJ22" t="s">
        <v>919</v>
      </c>
      <c r="BK22" t="s">
        <v>1676</v>
      </c>
      <c r="BL22" t="s">
        <v>1688</v>
      </c>
      <c r="BM22" t="s">
        <v>26</v>
      </c>
      <c r="BN22">
        <v>4.53</v>
      </c>
      <c r="BO22">
        <v>11.01</v>
      </c>
      <c r="BP22">
        <v>4.16</v>
      </c>
      <c r="BQ22">
        <v>4.71</v>
      </c>
      <c r="BR22">
        <v>11.46</v>
      </c>
      <c r="BS22">
        <v>4.87</v>
      </c>
      <c r="BT22" t="s">
        <v>1689</v>
      </c>
      <c r="BU22" t="s">
        <v>790</v>
      </c>
      <c r="BV22">
        <v>30.22</v>
      </c>
      <c r="BW22">
        <v>29.91</v>
      </c>
      <c r="BX22">
        <v>25.43</v>
      </c>
      <c r="BY22">
        <v>5.26</v>
      </c>
      <c r="BZ22">
        <v>9.6300000000000008</v>
      </c>
      <c r="CA22">
        <v>4.49</v>
      </c>
      <c r="CB22">
        <v>-3.87</v>
      </c>
      <c r="CC22">
        <v>-17.32</v>
      </c>
      <c r="CD22" t="s">
        <v>2933</v>
      </c>
      <c r="CE22" t="s">
        <v>111</v>
      </c>
      <c r="CF22" s="8">
        <v>-0.21472392638036811</v>
      </c>
      <c r="CG22" s="9">
        <v>-1.3353942733162629</v>
      </c>
      <c r="CH22" s="8">
        <v>-0.22280398011207581</v>
      </c>
      <c r="CI22" s="8">
        <v>0.31321629881858826</v>
      </c>
      <c r="CJ22" s="8">
        <v>0.27707311511039734</v>
      </c>
      <c r="CK22" s="8">
        <v>-0.13282571732997894</v>
      </c>
      <c r="CL22" s="8">
        <v>0.16913945972919464</v>
      </c>
      <c r="CM22" s="9">
        <v>-0.575927734375</v>
      </c>
      <c r="CN22" s="9">
        <v>1.6456375122070312</v>
      </c>
      <c r="CO22" s="9">
        <v>-0.39668461680412292</v>
      </c>
      <c r="CP22" s="9">
        <v>-0.18110236525535583</v>
      </c>
      <c r="CQ22" s="9">
        <v>1.1874489784240723</v>
      </c>
      <c r="CR22">
        <v>50.237382465433058</v>
      </c>
      <c r="CS22">
        <v>6.2205900140995452</v>
      </c>
      <c r="CT22">
        <v>1.4232209737827717</v>
      </c>
      <c r="CU22" s="8">
        <v>8.0759835243225095E-2</v>
      </c>
      <c r="CV22" s="9">
        <v>0.33587435483932493</v>
      </c>
      <c r="CW22">
        <v>0.06</v>
      </c>
      <c r="CX22">
        <v>54.767666782118454</v>
      </c>
      <c r="CY22">
        <v>71774688.077152893</v>
      </c>
      <c r="CZ22">
        <v>8.0759835243225095E-2</v>
      </c>
      <c r="DA22">
        <v>18.038297017953088</v>
      </c>
      <c r="DB22">
        <v>217921469.86423591</v>
      </c>
      <c r="DC22">
        <v>7.6721843481063839E-2</v>
      </c>
      <c r="DD22">
        <v>8.9730052554366413</v>
      </c>
      <c r="DE22">
        <v>438084241.35473377</v>
      </c>
      <c r="DF22">
        <v>7.1068655014038085E-2</v>
      </c>
      <c r="DG22">
        <v>5.4519633790823532</v>
      </c>
      <c r="DH22">
        <v>721012216.45799732</v>
      </c>
      <c r="DI22">
        <v>6.4607868194580073E-2</v>
      </c>
      <c r="DJ22">
        <v>2.8892441048928088</v>
      </c>
      <c r="DK22">
        <v>1360540008.8359227</v>
      </c>
      <c r="DL22">
        <v>5.6531884670257562E-2</v>
      </c>
      <c r="DM22">
        <v>70396000</v>
      </c>
      <c r="DN22">
        <v>8.0759835243225095E-2</v>
      </c>
      <c r="DO22">
        <v>3930932200</v>
      </c>
      <c r="DP22">
        <v>1186657800</v>
      </c>
      <c r="DQ22">
        <v>1491</v>
      </c>
      <c r="DR22">
        <v>-0.29548376162359319</v>
      </c>
      <c r="DS22">
        <v>-1.671268628155588</v>
      </c>
      <c r="DT22" s="10">
        <v>-0.22333333333333338</v>
      </c>
      <c r="DU22">
        <v>-0.81499999999999995</v>
      </c>
      <c r="DV22">
        <v>-1.0383333333333333</v>
      </c>
      <c r="DW22">
        <v>-8.2234411085450354</v>
      </c>
      <c r="DX22">
        <v>0.30752761506276088</v>
      </c>
      <c r="DY22">
        <v>-8.024026089508828</v>
      </c>
      <c r="DZ22">
        <v>3637</v>
      </c>
      <c r="EA22">
        <v>-8.0069156748733068</v>
      </c>
      <c r="EB22">
        <v>8</v>
      </c>
      <c r="EC22">
        <v>5.5729983501395478E-2</v>
      </c>
      <c r="ED22">
        <v>0.51828531181378024</v>
      </c>
      <c r="EE22" s="11">
        <v>3.2110000000000007E-2</v>
      </c>
      <c r="EF22">
        <v>1.9809999999999998E-2</v>
      </c>
      <c r="EG22">
        <v>20.107527615062761</v>
      </c>
      <c r="EH22">
        <v>-1</v>
      </c>
      <c r="EI22">
        <v>0</v>
      </c>
      <c r="EJ22">
        <v>0</v>
      </c>
      <c r="EK22" s="12">
        <v>45511</v>
      </c>
      <c r="EL22">
        <v>-0.09</v>
      </c>
      <c r="EM22">
        <v>-1.8</v>
      </c>
      <c r="EN22">
        <v>-4.3099999999999996</v>
      </c>
      <c r="EO22">
        <v>1.1499999999999999</v>
      </c>
      <c r="EP22">
        <v>1.23</v>
      </c>
    </row>
    <row r="23" spans="1:146" x14ac:dyDescent="0.25">
      <c r="D23" t="s">
        <v>2934</v>
      </c>
      <c r="E23" t="s">
        <v>2935</v>
      </c>
      <c r="F23">
        <v>4.2300000000000004</v>
      </c>
      <c r="G23">
        <v>1.44</v>
      </c>
      <c r="H23" t="s">
        <v>2936</v>
      </c>
      <c r="I23">
        <v>7350819000</v>
      </c>
      <c r="K23">
        <v>2.56</v>
      </c>
      <c r="L23" t="s">
        <v>212</v>
      </c>
      <c r="M23" t="s">
        <v>2937</v>
      </c>
      <c r="N23" t="s">
        <v>2938</v>
      </c>
      <c r="O23" t="s">
        <v>936</v>
      </c>
      <c r="P23" s="4">
        <v>-12.64</v>
      </c>
      <c r="Q23" t="s">
        <v>2242</v>
      </c>
      <c r="R23">
        <v>7804517</v>
      </c>
      <c r="S23">
        <v>1.35</v>
      </c>
      <c r="T23" t="s">
        <v>2939</v>
      </c>
      <c r="U23">
        <v>1541743600</v>
      </c>
      <c r="V23">
        <v>1737782300</v>
      </c>
      <c r="W23">
        <v>1.65</v>
      </c>
      <c r="X23">
        <v>0.06</v>
      </c>
      <c r="Y23">
        <v>2.12</v>
      </c>
      <c r="Z23" t="s">
        <v>824</v>
      </c>
      <c r="AA23" t="s">
        <v>385</v>
      </c>
      <c r="AB23" t="s">
        <v>2940</v>
      </c>
      <c r="AC23" t="s">
        <v>2941</v>
      </c>
      <c r="AD23" t="s">
        <v>2</v>
      </c>
      <c r="AE23">
        <v>-7860605</v>
      </c>
      <c r="AF23" t="s">
        <v>2942</v>
      </c>
      <c r="AG23" t="s">
        <v>2943</v>
      </c>
      <c r="AH23" t="s">
        <v>2944</v>
      </c>
      <c r="AI23" t="s">
        <v>2945</v>
      </c>
      <c r="AJ23" t="s">
        <v>2946</v>
      </c>
      <c r="AK23" t="s">
        <v>2947</v>
      </c>
      <c r="AL23" t="s">
        <v>2948</v>
      </c>
      <c r="AM23" t="s">
        <v>2</v>
      </c>
      <c r="AN23" t="s">
        <v>2013</v>
      </c>
      <c r="AO23" t="s">
        <v>2949</v>
      </c>
      <c r="AP23" t="s">
        <v>2950</v>
      </c>
      <c r="AQ23" t="s">
        <v>2951</v>
      </c>
      <c r="AR23" t="s">
        <v>2</v>
      </c>
      <c r="AS23" t="s">
        <v>2952</v>
      </c>
      <c r="AT23" t="s">
        <v>2953</v>
      </c>
      <c r="AU23" t="s">
        <v>2954</v>
      </c>
      <c r="AV23" t="s">
        <v>2955</v>
      </c>
      <c r="AW23" t="s">
        <v>2956</v>
      </c>
      <c r="AX23" t="s">
        <v>2957</v>
      </c>
      <c r="AY23" t="s">
        <v>2958</v>
      </c>
      <c r="AZ23" t="s">
        <v>2959</v>
      </c>
      <c r="BA23" t="s">
        <v>2960</v>
      </c>
      <c r="BB23" t="s">
        <v>2961</v>
      </c>
      <c r="BC23" t="s">
        <v>2962</v>
      </c>
      <c r="BD23" t="s">
        <v>2963</v>
      </c>
      <c r="BE23" t="s">
        <v>2964</v>
      </c>
      <c r="BF23" t="s">
        <v>2965</v>
      </c>
      <c r="BG23" t="s">
        <v>2966</v>
      </c>
      <c r="BH23" t="s">
        <v>2242</v>
      </c>
      <c r="BI23" t="s">
        <v>181</v>
      </c>
      <c r="BJ23" t="s">
        <v>2957</v>
      </c>
      <c r="BK23" t="s">
        <v>2939</v>
      </c>
      <c r="BL23" t="s">
        <v>2967</v>
      </c>
      <c r="BM23" t="s">
        <v>2962</v>
      </c>
      <c r="BN23" t="s">
        <v>2</v>
      </c>
      <c r="BO23" t="s">
        <v>2</v>
      </c>
      <c r="BP23">
        <v>1.53</v>
      </c>
      <c r="BQ23">
        <v>-2.17</v>
      </c>
      <c r="BR23">
        <v>-8.42</v>
      </c>
      <c r="BS23">
        <v>1.29</v>
      </c>
      <c r="BT23" t="s">
        <v>836</v>
      </c>
      <c r="BU23" t="s">
        <v>757</v>
      </c>
      <c r="BV23">
        <v>31.52</v>
      </c>
      <c r="BW23">
        <v>26.23</v>
      </c>
      <c r="BX23">
        <v>28.03</v>
      </c>
      <c r="BY23">
        <v>-6.06</v>
      </c>
      <c r="BZ23">
        <v>-12</v>
      </c>
      <c r="CA23">
        <v>1.19</v>
      </c>
      <c r="CB23">
        <v>-4.9400000000000004</v>
      </c>
      <c r="CC23" s="8">
        <v>-6.21</v>
      </c>
      <c r="CD23" s="9" t="s">
        <v>2968</v>
      </c>
      <c r="CE23" s="8" t="s">
        <v>2969</v>
      </c>
      <c r="CF23" s="8">
        <v>-0.12607449856733524</v>
      </c>
      <c r="CG23" s="8">
        <v>1.34954885029157</v>
      </c>
      <c r="CH23" s="8">
        <v>-0.22888985276222229</v>
      </c>
      <c r="CI23" s="8">
        <v>-0.12719790637493134</v>
      </c>
      <c r="CJ23" s="9">
        <v>0.14918304979801178</v>
      </c>
      <c r="CK23" s="9">
        <v>-0.13627918064594269</v>
      </c>
      <c r="CL23" s="9">
        <v>-0.24417628347873688</v>
      </c>
      <c r="CM23" s="9">
        <v>0.62271064519882202</v>
      </c>
      <c r="CN23" s="9">
        <v>-7.305912971496582</v>
      </c>
      <c r="CO23">
        <v>1.0392498970031738</v>
      </c>
      <c r="CP23">
        <v>4.6672321856021881E-2</v>
      </c>
      <c r="CQ23">
        <v>-3.1425924301147461</v>
      </c>
      <c r="CR23" s="8">
        <v>-21.486216763588263</v>
      </c>
      <c r="CS23" s="9">
        <v>-1.8290495112120257</v>
      </c>
      <c r="CT23">
        <v>0</v>
      </c>
      <c r="CU23">
        <v>-0.11747203469276428</v>
      </c>
      <c r="CV23">
        <v>-1.7479745075106621</v>
      </c>
      <c r="CW23">
        <v>0.06</v>
      </c>
      <c r="CX23" t="e">
        <v>#VALUE!</v>
      </c>
      <c r="CY23" t="s">
        <v>765</v>
      </c>
      <c r="CZ23">
        <v>-0.11747203469276428</v>
      </c>
      <c r="DA23" t="e">
        <v>#VALUE!</v>
      </c>
      <c r="DB23" t="s">
        <v>765</v>
      </c>
      <c r="DC23">
        <v>-0.11159843295812606</v>
      </c>
      <c r="DD23" t="e">
        <v>#VALUE!</v>
      </c>
      <c r="DE23" t="s">
        <v>765</v>
      </c>
      <c r="DF23">
        <v>-0.10337539052963257</v>
      </c>
      <c r="DG23" t="e">
        <v>#VALUE!</v>
      </c>
      <c r="DH23" t="s">
        <v>765</v>
      </c>
      <c r="DI23">
        <v>-9.3977627754211424E-2</v>
      </c>
      <c r="DJ23" t="e">
        <v>#VALUE!</v>
      </c>
      <c r="DK23" t="s">
        <v>765</v>
      </c>
      <c r="DL23">
        <v>-8.2230424284934989E-2</v>
      </c>
      <c r="DM23">
        <v>-103000000</v>
      </c>
      <c r="DN23">
        <v>-0.11747203469276428</v>
      </c>
      <c r="DO23">
        <v>6453819000</v>
      </c>
      <c r="DP23">
        <v>1438301900</v>
      </c>
      <c r="DQ23" s="10">
        <v>1586</v>
      </c>
      <c r="DR23">
        <v>-8.602463874570962E-3</v>
      </c>
      <c r="DS23">
        <v>3.0975233578022321</v>
      </c>
      <c r="DT23">
        <v>-0.70666666666666667</v>
      </c>
      <c r="DU23">
        <v>-1.1266666666666667</v>
      </c>
      <c r="DV23">
        <v>-1.8333333333333335</v>
      </c>
      <c r="DW23">
        <v>-8.7954911433172303</v>
      </c>
      <c r="DX23">
        <v>0.26831609118281941</v>
      </c>
      <c r="DY23">
        <v>-8.102074314081019</v>
      </c>
      <c r="DZ23">
        <v>4279</v>
      </c>
      <c r="EA23">
        <v>-8.0165493503150742</v>
      </c>
      <c r="EB23" s="11">
        <v>8</v>
      </c>
      <c r="EC23" s="11">
        <v>0.39245422168242822</v>
      </c>
      <c r="ED23">
        <v>3.058495877187839</v>
      </c>
      <c r="EE23">
        <v>6.8999999999999999E-3</v>
      </c>
      <c r="EF23">
        <v>2.1299999999999999E-2</v>
      </c>
      <c r="EG23">
        <v>14.128316091182819</v>
      </c>
      <c r="EH23" s="12" t="s">
        <v>766</v>
      </c>
      <c r="EI23">
        <v>0</v>
      </c>
      <c r="EJ23">
        <v>0</v>
      </c>
      <c r="EK23">
        <v>45511</v>
      </c>
      <c r="EL23">
        <v>3.82</v>
      </c>
      <c r="EM23">
        <v>-5.19</v>
      </c>
      <c r="EN23">
        <v>-6.62</v>
      </c>
      <c r="EO23">
        <v>1.96</v>
      </c>
      <c r="EP23">
        <v>1.44</v>
      </c>
    </row>
    <row r="24" spans="1:146" ht="252" x14ac:dyDescent="0.25">
      <c r="A24" s="6"/>
      <c r="B24" s="6"/>
      <c r="C24" s="6" t="str">
        <f>"公司是国内领先的移动通信基站射频器件、射频结构件的研发、生产与服务提供商。公司主要从事为移动通信射频器件、射频结构件的研发、生产和销售.公司的主要产品移动通信基站射频器件、射频结构件是移动通信系统的核心部件。其中,射频器件主要包括滤波器、双工器、合路器、塔放等;射频结构件主要为射频器件的腔体、盖板、外壳等。"&amp;CHAR(10)&amp;Basic_Fundamental_Information_Constructure(F24)&amp;CHAR(10)&amp;Basic_Fundamental_Information_Concatenate("射频产品 14.74亿 56.86% 1.63亿 28.46% 11.08%
智能终端结构件 8.36亿 32.25% 3.15亿 54.86% 37.67%
汽车零部件 1.93亿 7.46% 4132.01万 7.20% 21.36%
其他业务收入 5723.43万 2.21% 4214.07万 7.34% 73.63%
智能装备系列 3160.18万 1.22% 1230.23万 2.14% 38.93%")</f>
        <v>公司是国内领先的移动通信基站射频器件、射频结构件的研发、生产与服务提供商。公司主要从事为移动通信射频器件、射频结构件的研发、生产和销售.公司的主要产品移动通信基站射频器件、射频结构件是移动通信系统的核心部件。其中,射频器件主要包括滤波器、双工器、合路器、塔放等;射频结构件主要为射频器件的腔体、盖板、外壳等。
市值51.192117亿, 利润-1.70亿; PE; 平均PE-48.76; 平均PEG-6.77, PB1.17; ROIC2.33%; ROE-1.5167%; 股利率0%; 毛利17.7%; 净利-4.6367%; 上一年度营收增-3.74%, 利润增-281.29%; 当季营收增2.7%, 利润增-202.66%; 过往5年营收增7.2%, 利润增-480.09%
Income profile:
射频产品 14.74亿 56.86% 1.63亿 28.46% 11.08%
智能终端结构件 8.36亿 32.25% 3.15亿 54.86% 37.67%
汽车零部件 1.93亿 7.46% 4132.01万 7.20% 21.36%
其他业务收入 5723.43万 2.21% 4214.07万 7.34% 73.63%
智能装备系列 3160.18万 1.22% 1230.23万 2.14% 38.93%</v>
      </c>
      <c r="D24" t="s">
        <v>305</v>
      </c>
      <c r="E24" t="s">
        <v>306</v>
      </c>
      <c r="F24">
        <v>6.67</v>
      </c>
      <c r="G24">
        <v>1.21</v>
      </c>
      <c r="H24" t="s">
        <v>2970</v>
      </c>
      <c r="I24">
        <v>5119211700</v>
      </c>
      <c r="K24">
        <v>1.17</v>
      </c>
      <c r="L24" t="s">
        <v>212</v>
      </c>
      <c r="M24" t="s">
        <v>1690</v>
      </c>
      <c r="N24" t="s">
        <v>1691</v>
      </c>
      <c r="O24" t="s">
        <v>1692</v>
      </c>
      <c r="P24">
        <v>2.64</v>
      </c>
      <c r="Q24" t="s">
        <v>1693</v>
      </c>
      <c r="R24">
        <v>-61389239</v>
      </c>
      <c r="S24" s="4">
        <v>-2.0270000000000001</v>
      </c>
      <c r="T24" t="s">
        <v>1694</v>
      </c>
      <c r="U24">
        <v>712418010</v>
      </c>
      <c r="V24">
        <v>767498010</v>
      </c>
      <c r="W24">
        <v>1.37</v>
      </c>
      <c r="X24">
        <v>0.08</v>
      </c>
      <c r="Y24">
        <v>-11.83</v>
      </c>
      <c r="Z24" t="s">
        <v>490</v>
      </c>
      <c r="AA24" t="s">
        <v>1695</v>
      </c>
      <c r="AB24" t="s">
        <v>1696</v>
      </c>
      <c r="AC24" t="s">
        <v>1697</v>
      </c>
      <c r="AD24" t="s">
        <v>2</v>
      </c>
      <c r="AE24">
        <v>6269000</v>
      </c>
      <c r="AF24" t="s">
        <v>1698</v>
      </c>
      <c r="AG24" t="s">
        <v>1699</v>
      </c>
      <c r="AH24" t="s">
        <v>1700</v>
      </c>
      <c r="AI24" t="s">
        <v>1134</v>
      </c>
      <c r="AJ24" t="s">
        <v>1701</v>
      </c>
      <c r="AK24" t="s">
        <v>1702</v>
      </c>
      <c r="AL24" t="s">
        <v>1703</v>
      </c>
      <c r="AM24" t="s">
        <v>2</v>
      </c>
      <c r="AN24" t="s">
        <v>127</v>
      </c>
      <c r="AO24" t="s">
        <v>1023</v>
      </c>
      <c r="AP24" t="s">
        <v>1704</v>
      </c>
      <c r="AQ24" t="s">
        <v>698</v>
      </c>
      <c r="AR24" t="s">
        <v>2</v>
      </c>
      <c r="AS24" t="s">
        <v>1705</v>
      </c>
      <c r="AT24" t="s">
        <v>682</v>
      </c>
      <c r="AU24" t="s">
        <v>1706</v>
      </c>
      <c r="AV24" t="s">
        <v>1707</v>
      </c>
      <c r="AW24" t="s">
        <v>1708</v>
      </c>
      <c r="AX24" t="s">
        <v>920</v>
      </c>
      <c r="AY24" t="s">
        <v>921</v>
      </c>
      <c r="AZ24" t="s">
        <v>307</v>
      </c>
      <c r="BA24" t="s">
        <v>312</v>
      </c>
      <c r="BB24" t="s">
        <v>313</v>
      </c>
      <c r="BC24" t="s">
        <v>1709</v>
      </c>
      <c r="BD24" t="s">
        <v>810</v>
      </c>
      <c r="BE24" t="s">
        <v>308</v>
      </c>
      <c r="BF24" t="s">
        <v>314</v>
      </c>
      <c r="BG24" t="s">
        <v>315</v>
      </c>
      <c r="BH24" t="s">
        <v>1693</v>
      </c>
      <c r="BI24" t="s">
        <v>1017</v>
      </c>
      <c r="BJ24" t="s">
        <v>920</v>
      </c>
      <c r="BK24" t="s">
        <v>1694</v>
      </c>
      <c r="BL24" t="s">
        <v>1710</v>
      </c>
      <c r="BM24" t="s">
        <v>1709</v>
      </c>
      <c r="BN24" t="s">
        <v>2</v>
      </c>
      <c r="BO24">
        <v>2.33</v>
      </c>
      <c r="BP24" t="s">
        <v>2</v>
      </c>
      <c r="BQ24">
        <v>-0.43</v>
      </c>
      <c r="BR24">
        <v>1.86</v>
      </c>
      <c r="BS24">
        <v>-5.98</v>
      </c>
      <c r="BT24" t="s">
        <v>836</v>
      </c>
      <c r="BU24" t="s">
        <v>757</v>
      </c>
      <c r="BV24">
        <v>20.57</v>
      </c>
      <c r="BW24">
        <v>22.14</v>
      </c>
      <c r="BX24">
        <v>10.39</v>
      </c>
      <c r="BY24">
        <v>-6.97</v>
      </c>
      <c r="BZ24">
        <v>4.0999999999999996</v>
      </c>
      <c r="CA24">
        <v>-11.04</v>
      </c>
      <c r="CB24">
        <v>-4.8499999999999996</v>
      </c>
      <c r="CC24">
        <v>-3.33</v>
      </c>
      <c r="CD24" t="s">
        <v>2971</v>
      </c>
      <c r="CE24" t="s">
        <v>850</v>
      </c>
      <c r="CF24" s="8">
        <v>2.6974951830443041E-2</v>
      </c>
      <c r="CG24" s="9">
        <v>-2.0266052200836162</v>
      </c>
      <c r="CH24" s="8">
        <v>-3.7422813475131989E-2</v>
      </c>
      <c r="CI24" s="8">
        <v>5.7527512311935425E-2</v>
      </c>
      <c r="CJ24" s="8">
        <v>0.12122607976198196</v>
      </c>
      <c r="CK24" s="8">
        <v>-6.5012834966182709E-2</v>
      </c>
      <c r="CL24" s="8">
        <v>0.28390991687774658</v>
      </c>
      <c r="CM24" s="9">
        <v>-2.8129138946533203</v>
      </c>
      <c r="CN24" s="9">
        <v>1.3620529174804687</v>
      </c>
      <c r="CO24" s="9">
        <v>-8.2850618362426758</v>
      </c>
      <c r="CP24" s="9">
        <v>1.100147008895874</v>
      </c>
      <c r="CQ24" s="9">
        <v>-15.368629455566406</v>
      </c>
      <c r="CR24">
        <v>-48.756757589057884</v>
      </c>
      <c r="CS24">
        <v>-6.76748843356844</v>
      </c>
      <c r="CT24">
        <v>0</v>
      </c>
      <c r="CU24" s="8">
        <v>7.2045572102069855E-2</v>
      </c>
      <c r="CV24" s="9">
        <v>-4.8008810520172123</v>
      </c>
      <c r="CW24">
        <v>0.06</v>
      </c>
      <c r="CX24" t="e">
        <v>#VALUE!</v>
      </c>
      <c r="CY24" t="s">
        <v>768</v>
      </c>
      <c r="CZ24">
        <v>7.2045572102069855E-2</v>
      </c>
      <c r="DA24" t="e">
        <v>#VALUE!</v>
      </c>
      <c r="DB24" t="s">
        <v>765</v>
      </c>
      <c r="DC24">
        <v>6.8443293496966359E-2</v>
      </c>
      <c r="DD24" t="e">
        <v>#VALUE!</v>
      </c>
      <c r="DE24" t="s">
        <v>765</v>
      </c>
      <c r="DF24">
        <v>6.3400103449821471E-2</v>
      </c>
      <c r="DG24" t="e">
        <v>#VALUE!</v>
      </c>
      <c r="DH24" t="s">
        <v>765</v>
      </c>
      <c r="DI24">
        <v>5.7636457681655887E-2</v>
      </c>
      <c r="DJ24" t="e">
        <v>#VALUE!</v>
      </c>
      <c r="DK24" t="s">
        <v>765</v>
      </c>
      <c r="DL24">
        <v>5.0431900471448896E-2</v>
      </c>
      <c r="DM24">
        <v>-170000000</v>
      </c>
      <c r="DN24">
        <v>7.2045572102069855E-2</v>
      </c>
      <c r="DO24">
        <v>2465211700</v>
      </c>
      <c r="DP24">
        <v>1138349400</v>
      </c>
      <c r="DQ24">
        <v>1620</v>
      </c>
      <c r="DR24">
        <v>-4.507062027162681E-2</v>
      </c>
      <c r="DS24">
        <v>2.7742758319335961</v>
      </c>
      <c r="DT24" s="10">
        <v>-0.34</v>
      </c>
      <c r="DU24">
        <v>-2.4150000000000005</v>
      </c>
      <c r="DV24">
        <v>-2.7550000000000003</v>
      </c>
      <c r="DW24">
        <v>-4.6865979381443301</v>
      </c>
      <c r="DX24">
        <v>0.53186135265700185</v>
      </c>
      <c r="DY24">
        <v>-4.1248656297624384</v>
      </c>
      <c r="DZ24">
        <v>4791</v>
      </c>
      <c r="EA24">
        <v>-4.0077261678098548</v>
      </c>
      <c r="EB24">
        <v>4</v>
      </c>
      <c r="EC24">
        <v>4.904937799122111E-2</v>
      </c>
      <c r="ED24">
        <v>0.26970753969772504</v>
      </c>
      <c r="EE24" s="11">
        <v>5.0113099999999999</v>
      </c>
      <c r="EF24">
        <v>5.0007999999999999</v>
      </c>
      <c r="EG24">
        <v>35.181861352657002</v>
      </c>
      <c r="EH24" t="s">
        <v>1272</v>
      </c>
      <c r="EI24">
        <v>0</v>
      </c>
      <c r="EJ24">
        <v>0</v>
      </c>
      <c r="EK24" s="12">
        <v>45511</v>
      </c>
      <c r="EL24">
        <v>-1.1399999999999999</v>
      </c>
      <c r="EM24">
        <v>-1.73</v>
      </c>
      <c r="EN24">
        <v>-6.31</v>
      </c>
      <c r="EO24">
        <v>3.29</v>
      </c>
      <c r="EP24">
        <v>1.21</v>
      </c>
    </row>
    <row r="25" spans="1:146" ht="108" x14ac:dyDescent="0.25">
      <c r="A25" s="6"/>
      <c r="B25" s="6"/>
      <c r="C25" s="6" t="str">
        <f>""&amp;CHAR(10)&amp;Basic_Fundamental_Information_Constructure(F25)&amp;CHAR(10)&amp;Basic_Fundamental_Information_Concatenate("")</f>
        <v xml:space="preserve">
市值50.563179亿, 利润6109.32万; PE92.34; 平均PE33.01; 平均PEG425.71, PB1.61; ROIC2.9333%; ROE3.8567%; 股利率.9149%; 毛利44.4533%; 净利12.6767%; 上一年度营收增5.34%, 利润增-62.52%; 当季营收增43.06%, 利润增-46.27%; 过往5年营收增-.08%, 利润增-12.8%
Income profile:
</v>
      </c>
      <c r="D25" t="s">
        <v>589</v>
      </c>
      <c r="E25" t="s">
        <v>590</v>
      </c>
      <c r="F25">
        <v>10.93</v>
      </c>
      <c r="G25">
        <v>2.82</v>
      </c>
      <c r="H25" t="s">
        <v>2972</v>
      </c>
      <c r="I25">
        <v>5056317900</v>
      </c>
      <c r="J25">
        <v>92.34</v>
      </c>
      <c r="K25">
        <v>1.61</v>
      </c>
      <c r="L25" t="s">
        <v>212</v>
      </c>
      <c r="M25" t="s">
        <v>142</v>
      </c>
      <c r="N25" t="s">
        <v>1711</v>
      </c>
      <c r="O25" t="s">
        <v>923</v>
      </c>
      <c r="P25">
        <v>43.41</v>
      </c>
      <c r="Q25" t="s">
        <v>1251</v>
      </c>
      <c r="R25">
        <v>7357428</v>
      </c>
      <c r="S25" s="4">
        <v>-0.4627</v>
      </c>
      <c r="T25" t="s">
        <v>1712</v>
      </c>
      <c r="U25">
        <v>370904010</v>
      </c>
      <c r="V25">
        <v>462609140</v>
      </c>
      <c r="W25">
        <v>1.1100000000000001</v>
      </c>
      <c r="X25">
        <v>0.06</v>
      </c>
      <c r="Y25">
        <v>3.46</v>
      </c>
      <c r="Z25" t="s">
        <v>923</v>
      </c>
      <c r="AA25" t="s">
        <v>133</v>
      </c>
      <c r="AB25" t="s">
        <v>1713</v>
      </c>
      <c r="AC25" t="s">
        <v>1714</v>
      </c>
      <c r="AD25" t="s">
        <v>2</v>
      </c>
      <c r="AE25">
        <v>-8421236</v>
      </c>
      <c r="AF25" t="s">
        <v>1715</v>
      </c>
      <c r="AG25" t="s">
        <v>1716</v>
      </c>
      <c r="AH25" t="s">
        <v>1717</v>
      </c>
      <c r="AI25" t="s">
        <v>1718</v>
      </c>
      <c r="AJ25" t="s">
        <v>1719</v>
      </c>
      <c r="AK25" t="s">
        <v>1720</v>
      </c>
      <c r="AL25" t="s">
        <v>1721</v>
      </c>
      <c r="AM25" t="s">
        <v>2</v>
      </c>
      <c r="AN25" t="s">
        <v>1722</v>
      </c>
      <c r="AO25" t="s">
        <v>2</v>
      </c>
      <c r="AP25" t="s">
        <v>1723</v>
      </c>
      <c r="AQ25" t="s">
        <v>787</v>
      </c>
      <c r="AR25" t="s">
        <v>2</v>
      </c>
      <c r="AS25" t="s">
        <v>1016</v>
      </c>
      <c r="AT25" t="s">
        <v>2</v>
      </c>
      <c r="AU25" t="s">
        <v>1724</v>
      </c>
      <c r="AV25" t="s">
        <v>79</v>
      </c>
      <c r="AW25" t="s">
        <v>1725</v>
      </c>
      <c r="AX25" t="s">
        <v>843</v>
      </c>
      <c r="AY25" t="s">
        <v>679</v>
      </c>
      <c r="AZ25" t="s">
        <v>465</v>
      </c>
      <c r="BA25" t="s">
        <v>591</v>
      </c>
      <c r="BB25" t="s">
        <v>592</v>
      </c>
      <c r="BC25" t="s">
        <v>144</v>
      </c>
      <c r="BD25" t="s">
        <v>133</v>
      </c>
      <c r="BE25" t="s">
        <v>99</v>
      </c>
      <c r="BF25" t="s">
        <v>131</v>
      </c>
      <c r="BG25" t="s">
        <v>64</v>
      </c>
      <c r="BH25" t="s">
        <v>1251</v>
      </c>
      <c r="BI25" t="s">
        <v>888</v>
      </c>
      <c r="BJ25" t="s">
        <v>843</v>
      </c>
      <c r="BK25" t="s">
        <v>1712</v>
      </c>
      <c r="BL25" t="s">
        <v>1726</v>
      </c>
      <c r="BM25" t="s">
        <v>144</v>
      </c>
      <c r="BN25">
        <v>1.47</v>
      </c>
      <c r="BO25">
        <v>4.18</v>
      </c>
      <c r="BP25">
        <v>3.15</v>
      </c>
      <c r="BQ25">
        <v>2.1</v>
      </c>
      <c r="BR25">
        <v>5.14</v>
      </c>
      <c r="BS25">
        <v>4.33</v>
      </c>
      <c r="BT25" t="s">
        <v>842</v>
      </c>
      <c r="BU25" t="s">
        <v>756</v>
      </c>
      <c r="BV25">
        <v>38.840000000000003</v>
      </c>
      <c r="BW25">
        <v>47.63</v>
      </c>
      <c r="BX25">
        <v>46.89</v>
      </c>
      <c r="BY25">
        <v>6.15</v>
      </c>
      <c r="BZ25">
        <v>17.239999999999998</v>
      </c>
      <c r="CA25">
        <v>14.64</v>
      </c>
      <c r="CB25">
        <v>-3.7</v>
      </c>
      <c r="CC25">
        <v>-5.45</v>
      </c>
      <c r="CD25" t="s">
        <v>2973</v>
      </c>
      <c r="CE25" t="s">
        <v>79</v>
      </c>
      <c r="CF25" s="8">
        <v>0.43055555555555558</v>
      </c>
      <c r="CG25" s="9">
        <v>-0.46265945093227578</v>
      </c>
      <c r="CH25" s="8">
        <v>5.3418803960084915E-2</v>
      </c>
      <c r="CI25" s="8">
        <v>3.3112581819295883E-2</v>
      </c>
      <c r="CJ25" s="8">
        <v>3.4246575087308884E-2</v>
      </c>
      <c r="CK25" s="8">
        <v>5.7971015572547913E-2</v>
      </c>
      <c r="CL25" s="8">
        <v>-0.18262585997581482</v>
      </c>
      <c r="CM25" s="9">
        <v>-0.62519508600234985</v>
      </c>
      <c r="CN25" s="9">
        <v>0.22556391358375549</v>
      </c>
      <c r="CO25" s="9">
        <v>-0.28108108043670654</v>
      </c>
      <c r="CP25" s="9">
        <v>-6.5656565129756927E-2</v>
      </c>
      <c r="CQ25" s="9">
        <v>0.10614524781703949</v>
      </c>
      <c r="CR25">
        <v>33.008521225050956</v>
      </c>
      <c r="CS25">
        <v>425.70947661472843</v>
      </c>
      <c r="CT25">
        <v>0.91491308325709064</v>
      </c>
      <c r="CU25" s="8">
        <v>-7.7537670731544497E-4</v>
      </c>
      <c r="CV25" s="9">
        <v>-0.12804471403360368</v>
      </c>
      <c r="CW25">
        <v>0.06</v>
      </c>
      <c r="CX25">
        <v>37.456180065866576</v>
      </c>
      <c r="CY25" t="s">
        <v>1727</v>
      </c>
      <c r="CZ25">
        <v>-7.7537670731544497E-4</v>
      </c>
      <c r="DA25">
        <v>12.48539335528886</v>
      </c>
      <c r="DB25" t="s">
        <v>1728</v>
      </c>
      <c r="DC25">
        <v>-7.3660787194967264E-4</v>
      </c>
      <c r="DD25">
        <v>6.2426966776444299</v>
      </c>
      <c r="DE25" t="s">
        <v>1729</v>
      </c>
      <c r="DF25">
        <v>-6.8233150243759153E-4</v>
      </c>
      <c r="DG25">
        <v>3.7456180065866578</v>
      </c>
      <c r="DH25" t="s">
        <v>1730</v>
      </c>
      <c r="DI25">
        <v>-6.2030136585235597E-4</v>
      </c>
      <c r="DJ25">
        <v>1.8728090032933289</v>
      </c>
      <c r="DK25" t="s">
        <v>1731</v>
      </c>
      <c r="DL25">
        <v>-5.4276369512081142E-4</v>
      </c>
      <c r="DM25">
        <v>61093200</v>
      </c>
      <c r="DN25">
        <v>-7.7537670731544497E-4</v>
      </c>
      <c r="DO25">
        <v>2288317900</v>
      </c>
      <c r="DP25">
        <v>2379780400</v>
      </c>
      <c r="DQ25">
        <v>1667</v>
      </c>
      <c r="DR25">
        <v>0.431330932262871</v>
      </c>
      <c r="DS25">
        <v>-0.3346147368986721</v>
      </c>
      <c r="DT25" s="10">
        <v>-0.54</v>
      </c>
      <c r="DU25">
        <v>-0.53666666666666663</v>
      </c>
      <c r="DV25">
        <v>-1.0766666666666667</v>
      </c>
      <c r="DW25">
        <v>-8.6788990825688082</v>
      </c>
      <c r="DX25">
        <v>0.39245337078651854</v>
      </c>
      <c r="DY25">
        <v>-8.1238674260385526</v>
      </c>
      <c r="DZ25">
        <v>3676</v>
      </c>
      <c r="EA25">
        <v>-8.0347081039085904</v>
      </c>
      <c r="EB25">
        <v>8</v>
      </c>
      <c r="EC25">
        <v>7.0203325425001337E-2</v>
      </c>
      <c r="ED25">
        <v>0.38477406650460905</v>
      </c>
      <c r="EE25" s="11">
        <v>1.08301</v>
      </c>
      <c r="EF25">
        <v>1.05481</v>
      </c>
      <c r="EG25">
        <v>21.182453370786519</v>
      </c>
      <c r="EH25" t="s">
        <v>881</v>
      </c>
      <c r="EI25">
        <v>0</v>
      </c>
      <c r="EJ25">
        <v>0</v>
      </c>
      <c r="EK25" s="12">
        <v>45511</v>
      </c>
      <c r="EL25">
        <v>1.23</v>
      </c>
      <c r="EM25">
        <v>-3.22</v>
      </c>
      <c r="EN25">
        <v>-5.94</v>
      </c>
      <c r="EO25">
        <v>1.63</v>
      </c>
      <c r="EP25">
        <v>2.82</v>
      </c>
    </row>
    <row r="26" spans="1:146" ht="108" x14ac:dyDescent="0.25">
      <c r="A26" s="6"/>
      <c r="B26" s="6"/>
      <c r="C26" s="6" t="str">
        <f>""&amp;CHAR(10)&amp;Basic_Fundamental_Information_Constructure(F26)&amp;CHAR(10)&amp;Basic_Fundamental_Information_Concatenate("")</f>
        <v xml:space="preserve">
市值28.813752亿, 利润1970.68万; PE465.1; 平均PE91.77; 平均PEG17.29, PB1.94; ROIC3.5%; ROE-1.1833%; 股利率.2985%; 毛利27.4367%; 净利-1.5867%; 上一年度营收增-5.13%, 利润增-77.2%; 当季营收增-28.36%, 利润增-74.03%; 过往5年营收增-5.31%, 利润增-21.62%
Income profile:
</v>
      </c>
      <c r="D26" t="s">
        <v>499</v>
      </c>
      <c r="E26" t="s">
        <v>1255</v>
      </c>
      <c r="F26">
        <v>6.7</v>
      </c>
      <c r="G26">
        <v>0.15</v>
      </c>
      <c r="H26" t="s">
        <v>2974</v>
      </c>
      <c r="I26">
        <v>2881375200</v>
      </c>
      <c r="J26">
        <v>465.1</v>
      </c>
      <c r="K26">
        <v>1.94</v>
      </c>
      <c r="L26" t="s">
        <v>212</v>
      </c>
      <c r="M26" t="s">
        <v>1732</v>
      </c>
      <c r="N26" t="s">
        <v>1733</v>
      </c>
      <c r="O26" t="s">
        <v>166</v>
      </c>
      <c r="P26">
        <v>-28.39</v>
      </c>
      <c r="Q26" t="s">
        <v>1734</v>
      </c>
      <c r="R26">
        <v>4739877</v>
      </c>
      <c r="S26" s="4">
        <v>-0.74029999999999996</v>
      </c>
      <c r="T26" t="s">
        <v>1735</v>
      </c>
      <c r="U26">
        <v>425991220</v>
      </c>
      <c r="V26">
        <v>430056000</v>
      </c>
      <c r="W26">
        <v>1.81</v>
      </c>
      <c r="X26">
        <v>0.12</v>
      </c>
      <c r="Y26">
        <v>1.41</v>
      </c>
      <c r="Z26" t="s">
        <v>150</v>
      </c>
      <c r="AA26" t="s">
        <v>50</v>
      </c>
      <c r="AB26" t="s">
        <v>1736</v>
      </c>
      <c r="AC26" t="s">
        <v>1737</v>
      </c>
      <c r="AD26" t="s">
        <v>2</v>
      </c>
      <c r="AE26">
        <v>1045869</v>
      </c>
      <c r="AF26" t="s">
        <v>1738</v>
      </c>
      <c r="AG26" t="s">
        <v>1739</v>
      </c>
      <c r="AH26" t="s">
        <v>1740</v>
      </c>
      <c r="AI26" t="s">
        <v>184</v>
      </c>
      <c r="AJ26" t="s">
        <v>1741</v>
      </c>
      <c r="AK26" t="s">
        <v>2</v>
      </c>
      <c r="AL26" t="s">
        <v>1742</v>
      </c>
      <c r="AM26" t="s">
        <v>2</v>
      </c>
      <c r="AN26">
        <v>0</v>
      </c>
      <c r="AO26" t="s">
        <v>68</v>
      </c>
      <c r="AP26" t="s">
        <v>1743</v>
      </c>
      <c r="AQ26" t="s">
        <v>1200</v>
      </c>
      <c r="AR26" t="s">
        <v>2</v>
      </c>
      <c r="AS26" t="s">
        <v>1744</v>
      </c>
      <c r="AT26" t="s">
        <v>1745</v>
      </c>
      <c r="AU26" t="s">
        <v>1746</v>
      </c>
      <c r="AV26" t="s">
        <v>1747</v>
      </c>
      <c r="AW26" t="s">
        <v>1748</v>
      </c>
      <c r="AX26" t="s">
        <v>848</v>
      </c>
      <c r="AY26" t="s">
        <v>340</v>
      </c>
      <c r="AZ26" t="s">
        <v>500</v>
      </c>
      <c r="BA26" t="s">
        <v>502</v>
      </c>
      <c r="BB26" t="s">
        <v>503</v>
      </c>
      <c r="BC26" t="s">
        <v>1749</v>
      </c>
      <c r="BD26" t="s">
        <v>311</v>
      </c>
      <c r="BE26" t="s">
        <v>501</v>
      </c>
      <c r="BF26" t="s">
        <v>4</v>
      </c>
      <c r="BG26" t="s">
        <v>22</v>
      </c>
      <c r="BH26" t="s">
        <v>1734</v>
      </c>
      <c r="BI26" t="s">
        <v>178</v>
      </c>
      <c r="BJ26" t="s">
        <v>848</v>
      </c>
      <c r="BK26" t="s">
        <v>1735</v>
      </c>
      <c r="BL26" t="s">
        <v>1750</v>
      </c>
      <c r="BM26" t="s">
        <v>1749</v>
      </c>
      <c r="BN26">
        <v>2.15</v>
      </c>
      <c r="BO26">
        <v>4.8499999999999996</v>
      </c>
      <c r="BP26" t="s">
        <v>2</v>
      </c>
      <c r="BQ26">
        <v>2.4300000000000002</v>
      </c>
      <c r="BR26">
        <v>5.99</v>
      </c>
      <c r="BS26">
        <v>-11.97</v>
      </c>
      <c r="BT26" t="s">
        <v>1751</v>
      </c>
      <c r="BU26" t="s">
        <v>790</v>
      </c>
      <c r="BV26">
        <v>27.37</v>
      </c>
      <c r="BW26">
        <v>30.2</v>
      </c>
      <c r="BX26">
        <v>24.74</v>
      </c>
      <c r="BY26">
        <v>1.1599999999999999</v>
      </c>
      <c r="BZ26">
        <v>4.82</v>
      </c>
      <c r="CA26">
        <v>-10.74</v>
      </c>
      <c r="CB26">
        <v>1.52</v>
      </c>
      <c r="CC26">
        <v>-1.33</v>
      </c>
      <c r="CD26" t="s">
        <v>2975</v>
      </c>
      <c r="CE26" t="s">
        <v>133</v>
      </c>
      <c r="CF26" s="8">
        <v>-0.2835820895522389</v>
      </c>
      <c r="CG26" s="9">
        <v>-0.74030348024282799</v>
      </c>
      <c r="CH26" s="8">
        <v>-5.1339287310838699E-2</v>
      </c>
      <c r="CI26" s="8">
        <v>0.25314685702323914</v>
      </c>
      <c r="CJ26" s="8">
        <v>-0.15584415197372437</v>
      </c>
      <c r="CK26" s="8">
        <v>-0.23417721688747406</v>
      </c>
      <c r="CL26" s="8">
        <v>-7.7179782092571259E-2</v>
      </c>
      <c r="CM26" s="9">
        <v>-0.77198171615600586</v>
      </c>
      <c r="CN26" s="9">
        <v>1.5761760473251343</v>
      </c>
      <c r="CO26" s="9">
        <v>-1.4696601629257202</v>
      </c>
      <c r="CP26" s="9">
        <v>-1.3163391351699829</v>
      </c>
      <c r="CQ26" s="9">
        <v>0.90099012851715088</v>
      </c>
      <c r="CR26">
        <v>91.765441004351999</v>
      </c>
      <c r="CS26">
        <v>17.288556975478144</v>
      </c>
      <c r="CT26">
        <v>0.29850746268656719</v>
      </c>
      <c r="CU26" s="8">
        <v>-5.3078716248273851E-2</v>
      </c>
      <c r="CV26" s="9">
        <v>-0.21616296768188475</v>
      </c>
      <c r="CW26">
        <v>0.06</v>
      </c>
      <c r="CX26">
        <v>147.32859723547202</v>
      </c>
      <c r="CY26" t="s">
        <v>1752</v>
      </c>
      <c r="CZ26">
        <v>-5.3078716248273851E-2</v>
      </c>
      <c r="DA26">
        <v>49.109532411824006</v>
      </c>
      <c r="DB26" t="s">
        <v>1753</v>
      </c>
      <c r="DC26">
        <v>-5.0424780435860156E-2</v>
      </c>
      <c r="DD26">
        <v>24.554766205912003</v>
      </c>
      <c r="DE26" t="s">
        <v>1754</v>
      </c>
      <c r="DF26">
        <v>-4.6709270298480987E-2</v>
      </c>
      <c r="DG26">
        <v>14.732859723547202</v>
      </c>
      <c r="DH26" t="s">
        <v>1755</v>
      </c>
      <c r="DI26">
        <v>-4.2462972998619085E-2</v>
      </c>
      <c r="DJ26">
        <v>7.366429861773601</v>
      </c>
      <c r="DK26" t="s">
        <v>1756</v>
      </c>
      <c r="DL26">
        <v>-3.7155101373791695E-2</v>
      </c>
      <c r="DM26">
        <v>19706800</v>
      </c>
      <c r="DN26">
        <v>-5.3078716248273851E-2</v>
      </c>
      <c r="DO26">
        <v>2903375200</v>
      </c>
      <c r="DP26">
        <v>561870999.99999988</v>
      </c>
      <c r="DQ26">
        <v>1687</v>
      </c>
      <c r="DR26">
        <v>-0.23050337330396506</v>
      </c>
      <c r="DS26">
        <v>-0.52414051256094329</v>
      </c>
      <c r="DT26" s="10">
        <v>-0.54</v>
      </c>
      <c r="DU26">
        <v>-1.6066666666666667</v>
      </c>
      <c r="DV26">
        <v>-2.1466666666666665</v>
      </c>
      <c r="DW26">
        <v>-1.3300000000000001E-2</v>
      </c>
      <c r="DX26">
        <v>0.35497293233082727</v>
      </c>
      <c r="DY26">
        <v>-1.6621400000000001E-3</v>
      </c>
      <c r="DZ26">
        <v>4473</v>
      </c>
      <c r="EA26">
        <v>-2.063435989817897E-4</v>
      </c>
      <c r="EB26">
        <v>0</v>
      </c>
      <c r="EC26">
        <v>3.8649385196346524E-2</v>
      </c>
      <c r="ED26">
        <v>0.30926204959354131</v>
      </c>
      <c r="EE26" s="11">
        <v>-4.0297999999999998</v>
      </c>
      <c r="EF26">
        <v>-4.0312999999999999</v>
      </c>
      <c r="EG26">
        <v>23.124972932330827</v>
      </c>
      <c r="EH26" t="s">
        <v>1268</v>
      </c>
      <c r="EI26">
        <v>0</v>
      </c>
      <c r="EJ26">
        <v>0</v>
      </c>
      <c r="EK26" s="12">
        <v>45511</v>
      </c>
      <c r="EL26">
        <v>-0.3</v>
      </c>
      <c r="EM26">
        <v>2.74</v>
      </c>
      <c r="EN26">
        <v>-2.0699999999999998</v>
      </c>
      <c r="EO26">
        <v>1.06</v>
      </c>
      <c r="EP26">
        <v>0.15</v>
      </c>
    </row>
    <row r="27" spans="1:146" ht="108" x14ac:dyDescent="0.25">
      <c r="A27" s="6"/>
      <c r="B27" s="6"/>
      <c r="C27" s="6" t="str">
        <f>""&amp;CHAR(10)&amp;Basic_Fundamental_Information_Constructure(F27)&amp;CHAR(10)&amp;Basic_Fundamental_Information_Concatenate("")</f>
        <v xml:space="preserve">
市值36.394948亿, 利润6709.53万; PE53.94; 平均PE33.73; 平均PEG99.1, PB1.66; ROIC2.99%; ROE3.2567%; 股利率.8157%; 毛利41.6033%; 净利7.4767%; 上一年度营收增-1.92%, 利润增7.67%; 当季营收增-1.71%, 利润增5.73%; 过往5年营收增-.34%, 利润增-8.9%
Income profile:
</v>
      </c>
      <c r="D27" t="s">
        <v>593</v>
      </c>
      <c r="E27" t="s">
        <v>594</v>
      </c>
      <c r="F27">
        <v>6.13</v>
      </c>
      <c r="G27">
        <v>2.85</v>
      </c>
      <c r="H27" t="s">
        <v>2976</v>
      </c>
      <c r="I27">
        <v>3639494800</v>
      </c>
      <c r="J27">
        <v>53.94</v>
      </c>
      <c r="K27">
        <v>1.66</v>
      </c>
      <c r="L27" t="s">
        <v>212</v>
      </c>
      <c r="M27" t="s">
        <v>1757</v>
      </c>
      <c r="N27" t="s">
        <v>1758</v>
      </c>
      <c r="O27" t="s">
        <v>102</v>
      </c>
      <c r="P27">
        <v>-1.23</v>
      </c>
      <c r="Q27" t="s">
        <v>1199</v>
      </c>
      <c r="R27">
        <v>-6220602</v>
      </c>
      <c r="S27" s="4">
        <v>5.7299999999999997E-2</v>
      </c>
      <c r="T27" t="s">
        <v>1759</v>
      </c>
      <c r="U27">
        <v>544823270</v>
      </c>
      <c r="V27">
        <v>593718560</v>
      </c>
      <c r="W27">
        <v>1.37</v>
      </c>
      <c r="X27">
        <v>0.06</v>
      </c>
      <c r="Y27">
        <v>-4.6399999999999997</v>
      </c>
      <c r="Z27" t="s">
        <v>117</v>
      </c>
      <c r="AA27" t="s">
        <v>81</v>
      </c>
      <c r="AB27" t="s">
        <v>1760</v>
      </c>
      <c r="AC27" t="s">
        <v>1761</v>
      </c>
      <c r="AD27" t="s">
        <v>2</v>
      </c>
      <c r="AE27">
        <v>1193028</v>
      </c>
      <c r="AF27" t="s">
        <v>1762</v>
      </c>
      <c r="AG27" t="s">
        <v>1763</v>
      </c>
      <c r="AH27" t="s">
        <v>1764</v>
      </c>
      <c r="AI27" t="s">
        <v>207</v>
      </c>
      <c r="AJ27" t="s">
        <v>1765</v>
      </c>
      <c r="AK27" t="s">
        <v>1766</v>
      </c>
      <c r="AL27" t="s">
        <v>1767</v>
      </c>
      <c r="AM27" t="s">
        <v>2</v>
      </c>
      <c r="AN27">
        <v>0</v>
      </c>
      <c r="AO27" t="s">
        <v>1162</v>
      </c>
      <c r="AP27" t="s">
        <v>1768</v>
      </c>
      <c r="AQ27" t="s">
        <v>1185</v>
      </c>
      <c r="AR27" t="s">
        <v>2</v>
      </c>
      <c r="AS27" t="s">
        <v>1769</v>
      </c>
      <c r="AT27" t="s">
        <v>2</v>
      </c>
      <c r="AU27" t="s">
        <v>1770</v>
      </c>
      <c r="AV27" t="s">
        <v>1771</v>
      </c>
      <c r="AW27" t="s">
        <v>1772</v>
      </c>
      <c r="AX27" t="s">
        <v>895</v>
      </c>
      <c r="AY27" t="s">
        <v>680</v>
      </c>
      <c r="AZ27" t="s">
        <v>595</v>
      </c>
      <c r="BA27" t="s">
        <v>596</v>
      </c>
      <c r="BB27" t="s">
        <v>597</v>
      </c>
      <c r="BC27" t="s">
        <v>922</v>
      </c>
      <c r="BD27" t="s">
        <v>89</v>
      </c>
      <c r="BE27" t="s">
        <v>68</v>
      </c>
      <c r="BF27" t="s">
        <v>27</v>
      </c>
      <c r="BG27" t="s">
        <v>46</v>
      </c>
      <c r="BH27" t="s">
        <v>1199</v>
      </c>
      <c r="BI27" t="s">
        <v>1275</v>
      </c>
      <c r="BJ27" t="s">
        <v>895</v>
      </c>
      <c r="BK27" t="s">
        <v>1759</v>
      </c>
      <c r="BL27" t="s">
        <v>1773</v>
      </c>
      <c r="BM27" t="s">
        <v>922</v>
      </c>
      <c r="BN27">
        <v>1.35</v>
      </c>
      <c r="BO27">
        <v>2.69</v>
      </c>
      <c r="BP27">
        <v>4.93</v>
      </c>
      <c r="BQ27">
        <v>1.48</v>
      </c>
      <c r="BR27">
        <v>2.84</v>
      </c>
      <c r="BS27">
        <v>5.45</v>
      </c>
      <c r="BT27" t="s">
        <v>838</v>
      </c>
      <c r="BU27" t="s">
        <v>756</v>
      </c>
      <c r="BV27">
        <v>39.99</v>
      </c>
      <c r="BW27">
        <v>40.14</v>
      </c>
      <c r="BX27">
        <v>44.68</v>
      </c>
      <c r="BY27">
        <v>5.65</v>
      </c>
      <c r="BZ27">
        <v>5.33</v>
      </c>
      <c r="CA27">
        <v>11.45</v>
      </c>
      <c r="CB27">
        <v>6.06</v>
      </c>
      <c r="CC27">
        <v>6.98</v>
      </c>
      <c r="CD27" t="s">
        <v>1156</v>
      </c>
      <c r="CE27" t="s">
        <v>1138</v>
      </c>
      <c r="CF27" s="8">
        <v>-1.7142857142857144E-2</v>
      </c>
      <c r="CG27" s="9">
        <v>5.7270288701977722E-2</v>
      </c>
      <c r="CH27" s="8">
        <v>-1.9213862717151642E-2</v>
      </c>
      <c r="CI27" s="8">
        <v>0.10842201113700867</v>
      </c>
      <c r="CJ27" s="8">
        <v>7.4921958148479462E-2</v>
      </c>
      <c r="CK27" s="8">
        <v>-0.28230026364326477</v>
      </c>
      <c r="CL27" s="8">
        <v>0.10115136951208115</v>
      </c>
      <c r="CM27" s="9">
        <v>7.665485143661499E-2</v>
      </c>
      <c r="CN27" s="9">
        <v>-0.47187882661819458</v>
      </c>
      <c r="CO27" s="9">
        <v>8.5470089688897133E-3</v>
      </c>
      <c r="CP27" s="9">
        <v>-0.23529411852359772</v>
      </c>
      <c r="CQ27" s="9">
        <v>0.17692308127880096</v>
      </c>
      <c r="CR27">
        <v>33.72954908577762</v>
      </c>
      <c r="CS27">
        <v>99.095041174998002</v>
      </c>
      <c r="CT27">
        <v>0.81566068515497558</v>
      </c>
      <c r="CU27" s="8">
        <v>-3.4037575125694273E-3</v>
      </c>
      <c r="CV27" s="9">
        <v>-8.9009600691497326E-2</v>
      </c>
      <c r="CW27">
        <v>0.06</v>
      </c>
      <c r="CX27" t="e">
        <v>#VALUE!</v>
      </c>
      <c r="CY27" t="s">
        <v>767</v>
      </c>
      <c r="CZ27">
        <v>-3.4037575125694273E-3</v>
      </c>
      <c r="DA27">
        <v>11.806563698699213</v>
      </c>
      <c r="DB27" t="s">
        <v>1774</v>
      </c>
      <c r="DC27">
        <v>-3.2335696369409556E-3</v>
      </c>
      <c r="DD27">
        <v>5.9032818493496064</v>
      </c>
      <c r="DE27" t="s">
        <v>1775</v>
      </c>
      <c r="DF27">
        <v>-2.9953066110610959E-3</v>
      </c>
      <c r="DG27">
        <v>3.5419691096097639</v>
      </c>
      <c r="DH27" t="s">
        <v>1776</v>
      </c>
      <c r="DI27">
        <v>-2.7230060100555419E-3</v>
      </c>
      <c r="DJ27">
        <v>1.7709845548048819</v>
      </c>
      <c r="DK27" t="s">
        <v>1777</v>
      </c>
      <c r="DL27">
        <v>-2.382630258798599E-3</v>
      </c>
      <c r="DM27">
        <v>67095300</v>
      </c>
      <c r="DN27">
        <v>-3.4037575125694273E-3</v>
      </c>
      <c r="DO27">
        <v>2376494800</v>
      </c>
      <c r="DP27">
        <v>1148758900</v>
      </c>
      <c r="DQ27">
        <v>1695</v>
      </c>
      <c r="DR27">
        <v>-1.3739099630287716E-2</v>
      </c>
      <c r="DS27">
        <v>0.14627988939347505</v>
      </c>
      <c r="DT27" s="10">
        <v>-0.55666666666666664</v>
      </c>
      <c r="DU27">
        <v>-0.625</v>
      </c>
      <c r="DV27">
        <v>-1.1816666666666666</v>
      </c>
      <c r="DW27">
        <v>9.8681948424068775</v>
      </c>
      <c r="DX27">
        <v>0.80471057884231445</v>
      </c>
      <c r="DY27">
        <v>9.5597343993960511</v>
      </c>
      <c r="DZ27">
        <v>3780</v>
      </c>
      <c r="EA27">
        <v>9.14544107068701</v>
      </c>
      <c r="EB27">
        <v>9</v>
      </c>
      <c r="EC27">
        <v>0.54402880718433322</v>
      </c>
      <c r="ED27">
        <v>0.84383415603514234</v>
      </c>
      <c r="EE27" s="11">
        <v>-2.0645099999999998</v>
      </c>
      <c r="EF27">
        <v>-2.0360100000000001</v>
      </c>
      <c r="EG27">
        <v>16.644710578842314</v>
      </c>
      <c r="EH27" t="s">
        <v>1183</v>
      </c>
      <c r="EI27">
        <v>1</v>
      </c>
      <c r="EJ27">
        <v>0</v>
      </c>
      <c r="EK27" s="12">
        <v>45511</v>
      </c>
      <c r="EL27">
        <v>12.11</v>
      </c>
      <c r="EM27">
        <v>-7.72</v>
      </c>
      <c r="EN27">
        <v>-4.5199999999999996</v>
      </c>
      <c r="EO27">
        <v>4.38</v>
      </c>
      <c r="EP27">
        <v>2.85</v>
      </c>
    </row>
    <row r="28" spans="1:146" ht="156" x14ac:dyDescent="0.25">
      <c r="A28" s="6" t="s">
        <v>1182</v>
      </c>
      <c r="B28" s="6" t="s">
        <v>1181</v>
      </c>
      <c r="C28" s="6" t="str">
        <f>"公司主要业务是高端光通信收发模块以及光器件的研发、生产及销售。公司主要产品为中低速光通信模块、高速光通信模块、光组件、电机绕组装备。"&amp;CHAR(10)&amp;Basic_Fundamental_Information_Constructure(F28)&amp;CHAR(10)&amp;Basic_Fundamental_Information_Concatenate("高速光通信模块 87.46亿 90.71% 95.17% 30.75%
中低速光通信模块 6.66亿 6.91% 4.08% 17.30%
光组件 2.29亿 2.38% 0.75% 9.29%")</f>
        <v>公司主要业务是高端光通信收发模块以及光器件的研发、生产及销售。公司主要产品为中低速光通信模块、高速光通信模块、光组件、电机绕组装备。
市值1270.50589亿, 利润21.74亿; PE43.32; 平均PE121.46; 平均PEG7.06, PB8.09; ROIC8.3433%; ROE10.1167%; 股利率.3971%; 毛利29.29%; 净利14.9733%; 上一年度营收增11.16%, 利润增77.61%; 当季营收增163.64%, 利润增303.71%; 过往5年营收增17.21%, 利润增33.91%
Income profile:
高速光通信模块 87.46亿 90.71% 95.17% 30.75%
中低速光通信模块 6.66亿 6.91% 4.08% 17.30%
光组件 2.29亿 2.38% 0.75% 9.29%</v>
      </c>
      <c r="D28" t="s">
        <v>316</v>
      </c>
      <c r="E28" t="s">
        <v>317</v>
      </c>
      <c r="F28">
        <v>113.32</v>
      </c>
      <c r="G28">
        <v>-1.01</v>
      </c>
      <c r="H28" t="s">
        <v>2977</v>
      </c>
      <c r="I28">
        <v>127050589000</v>
      </c>
      <c r="J28">
        <v>43.32</v>
      </c>
      <c r="K28">
        <v>8.09</v>
      </c>
      <c r="L28" t="s">
        <v>212</v>
      </c>
      <c r="M28" t="s">
        <v>1778</v>
      </c>
      <c r="N28" t="s">
        <v>1779</v>
      </c>
      <c r="O28" t="s">
        <v>1780</v>
      </c>
      <c r="P28">
        <v>163.59</v>
      </c>
      <c r="Q28" t="s">
        <v>1781</v>
      </c>
      <c r="R28">
        <v>1009266300</v>
      </c>
      <c r="S28" s="4">
        <v>3.0379999999999998</v>
      </c>
      <c r="T28" t="s">
        <v>1782</v>
      </c>
      <c r="U28">
        <v>1115714560</v>
      </c>
      <c r="V28">
        <v>1121166510</v>
      </c>
      <c r="W28">
        <v>1.34</v>
      </c>
      <c r="X28">
        <v>0.23</v>
      </c>
      <c r="Y28">
        <v>21.22</v>
      </c>
      <c r="Z28" t="s">
        <v>1783</v>
      </c>
      <c r="AA28" t="s">
        <v>1784</v>
      </c>
      <c r="AB28" t="s">
        <v>1785</v>
      </c>
      <c r="AC28" t="s">
        <v>24</v>
      </c>
      <c r="AD28" t="s">
        <v>2</v>
      </c>
      <c r="AE28">
        <v>-25476236</v>
      </c>
      <c r="AF28" t="s">
        <v>1786</v>
      </c>
      <c r="AG28" t="s">
        <v>1787</v>
      </c>
      <c r="AH28" t="s">
        <v>1788</v>
      </c>
      <c r="AI28" t="s">
        <v>1789</v>
      </c>
      <c r="AJ28" t="s">
        <v>1790</v>
      </c>
      <c r="AK28" t="s">
        <v>112</v>
      </c>
      <c r="AL28" t="s">
        <v>1791</v>
      </c>
      <c r="AM28" t="s">
        <v>2</v>
      </c>
      <c r="AN28" t="s">
        <v>1156</v>
      </c>
      <c r="AO28" t="s">
        <v>38</v>
      </c>
      <c r="AP28" t="s">
        <v>795</v>
      </c>
      <c r="AQ28" t="s">
        <v>1792</v>
      </c>
      <c r="AR28" t="s">
        <v>2</v>
      </c>
      <c r="AS28" t="s">
        <v>1793</v>
      </c>
      <c r="AT28" t="s">
        <v>1149</v>
      </c>
      <c r="AU28" t="s">
        <v>1219</v>
      </c>
      <c r="AV28" t="s">
        <v>1794</v>
      </c>
      <c r="AW28" t="s">
        <v>543</v>
      </c>
      <c r="AX28" t="s">
        <v>924</v>
      </c>
      <c r="AY28" t="s">
        <v>681</v>
      </c>
      <c r="AZ28" t="s">
        <v>318</v>
      </c>
      <c r="BA28" t="s">
        <v>320</v>
      </c>
      <c r="BB28" t="s">
        <v>321</v>
      </c>
      <c r="BC28" t="s">
        <v>925</v>
      </c>
      <c r="BD28" t="s">
        <v>206</v>
      </c>
      <c r="BE28" t="s">
        <v>319</v>
      </c>
      <c r="BF28" t="s">
        <v>322</v>
      </c>
      <c r="BG28" t="s">
        <v>128</v>
      </c>
      <c r="BH28" t="s">
        <v>1781</v>
      </c>
      <c r="BI28" t="s">
        <v>1795</v>
      </c>
      <c r="BJ28" t="s">
        <v>924</v>
      </c>
      <c r="BK28" t="s">
        <v>1782</v>
      </c>
      <c r="BL28" t="s">
        <v>61</v>
      </c>
      <c r="BM28" t="s">
        <v>925</v>
      </c>
      <c r="BN28">
        <v>8.5399999999999991</v>
      </c>
      <c r="BO28">
        <v>8.91</v>
      </c>
      <c r="BP28">
        <v>7.58</v>
      </c>
      <c r="BQ28">
        <v>10.09</v>
      </c>
      <c r="BR28">
        <v>10.28</v>
      </c>
      <c r="BS28">
        <v>9.98</v>
      </c>
      <c r="BT28" t="s">
        <v>1796</v>
      </c>
      <c r="BU28" t="s">
        <v>757</v>
      </c>
      <c r="BV28">
        <v>32.99</v>
      </c>
      <c r="BW28">
        <v>29.31</v>
      </c>
      <c r="BX28">
        <v>25.57</v>
      </c>
      <c r="BY28">
        <v>20.6</v>
      </c>
      <c r="BZ28">
        <v>12.8</v>
      </c>
      <c r="CA28">
        <v>11.52</v>
      </c>
      <c r="CB28">
        <v>-12.49</v>
      </c>
      <c r="CC28">
        <v>-19.059999999999999</v>
      </c>
      <c r="CD28" t="s">
        <v>108</v>
      </c>
      <c r="CE28" t="s">
        <v>278</v>
      </c>
      <c r="CF28" s="8">
        <v>1.6363636363636365</v>
      </c>
      <c r="CG28" s="9">
        <v>3.0370651999999998</v>
      </c>
      <c r="CH28" s="8">
        <v>0.11159507185220718</v>
      </c>
      <c r="CI28" s="8">
        <v>0.2530214786529541</v>
      </c>
      <c r="CJ28" s="8">
        <v>9.1489389538764954E-2</v>
      </c>
      <c r="CK28" s="8">
        <v>0.48171493411064148</v>
      </c>
      <c r="CL28" s="8">
        <v>-7.7191554009914398E-2</v>
      </c>
      <c r="CM28" s="9">
        <v>0.77614390850067139</v>
      </c>
      <c r="CN28" s="9">
        <v>0.39566704630851746</v>
      </c>
      <c r="CO28" s="9">
        <v>1.3872832059860229E-2</v>
      </c>
      <c r="CP28" s="9">
        <v>0.68615984916687012</v>
      </c>
      <c r="CQ28" s="9">
        <v>-0.17656500637531281</v>
      </c>
      <c r="CR28">
        <v>121.46327820267686</v>
      </c>
      <c r="CS28">
        <v>7.0566546688335858</v>
      </c>
      <c r="CT28">
        <v>0.39710554182845043</v>
      </c>
      <c r="CU28" s="8">
        <v>0.17212586402893065</v>
      </c>
      <c r="CV28" s="9">
        <v>0.3390557259321213</v>
      </c>
      <c r="CW28">
        <v>0.06</v>
      </c>
      <c r="CX28">
        <v>48.098307046844802</v>
      </c>
      <c r="CY28">
        <v>2403963800.3763165</v>
      </c>
      <c r="CZ28">
        <v>0.17212586402893065</v>
      </c>
      <c r="DA28">
        <v>14.671862020494387</v>
      </c>
      <c r="DB28">
        <v>7880839448.9047823</v>
      </c>
      <c r="DC28">
        <v>0.16351957082748411</v>
      </c>
      <c r="DD28">
        <v>6.5690457943815517</v>
      </c>
      <c r="DE28">
        <v>17601732826.842892</v>
      </c>
      <c r="DF28">
        <v>0.15147076034545898</v>
      </c>
      <c r="DG28">
        <v>3.5310098081466021</v>
      </c>
      <c r="DH28">
        <v>32746040164.836426</v>
      </c>
      <c r="DI28">
        <v>0.13770069122314452</v>
      </c>
      <c r="DJ28">
        <v>1.4115356954996703</v>
      </c>
      <c r="DK28">
        <v>81915455180.2314</v>
      </c>
      <c r="DL28">
        <v>0.12048810482025145</v>
      </c>
      <c r="DM28">
        <v>2174000000</v>
      </c>
      <c r="DN28">
        <v>0.17212586402893065</v>
      </c>
      <c r="DO28">
        <v>115626589000</v>
      </c>
      <c r="DP28">
        <v>8786109500</v>
      </c>
      <c r="DQ28">
        <v>1786</v>
      </c>
      <c r="DR28">
        <v>1.4642377723347058</v>
      </c>
      <c r="DS28">
        <v>2.6980094740678786</v>
      </c>
      <c r="DT28" s="10">
        <v>-0.17333333333333334</v>
      </c>
      <c r="DU28">
        <v>1.0566666666666666</v>
      </c>
      <c r="DV28">
        <v>0.8833333333333333</v>
      </c>
      <c r="DW28">
        <v>-9.6552990556138507</v>
      </c>
      <c r="DX28">
        <v>0.36177954847277627</v>
      </c>
      <c r="DY28">
        <v>-9.1453319286686767</v>
      </c>
      <c r="DZ28">
        <v>322</v>
      </c>
      <c r="EA28">
        <v>-9.1361686466966159</v>
      </c>
      <c r="EB28">
        <v>9</v>
      </c>
      <c r="EC28">
        <v>0.14895200535378103</v>
      </c>
      <c r="ED28">
        <v>0.67162191635567137</v>
      </c>
      <c r="EE28" s="11">
        <v>4.0011999999999999</v>
      </c>
      <c r="EF28">
        <v>4.0089100000000002</v>
      </c>
      <c r="EG28">
        <v>14.221779548472776</v>
      </c>
      <c r="EH28" t="s">
        <v>2978</v>
      </c>
      <c r="EI28">
        <v>0</v>
      </c>
      <c r="EJ28">
        <v>1</v>
      </c>
      <c r="EK28" s="12">
        <v>45511</v>
      </c>
      <c r="EL28">
        <v>0.31</v>
      </c>
      <c r="EM28">
        <v>-8.41</v>
      </c>
      <c r="EN28">
        <v>-7.45</v>
      </c>
      <c r="EO28">
        <v>3.96</v>
      </c>
      <c r="EP28">
        <v>-1.01</v>
      </c>
    </row>
    <row r="29" spans="1:146" ht="108" x14ac:dyDescent="0.25">
      <c r="A29" s="6"/>
      <c r="B29" s="6"/>
      <c r="C29" s="6" t="str">
        <f>""&amp;CHAR(10)&amp;Basic_Fundamental_Information_Constructure(F29)&amp;CHAR(10)&amp;Basic_Fundamental_Information_Concatenate("")</f>
        <v xml:space="preserve">
市值47.46973亿, 利润2.60亿; PE20.46; 平均PE-29.25; 平均PEG-2.95, PB2.33; ROIC1.85%; ROE-3.7333%; 股利率0%; 毛利40.1267%; 净利7.8733%; 上一年度营收增5.25%, 利润增1197.83%; 当季营收增-21.84%, 利润增-46.57%; 过往5年营收增9.91%, 利润增182.58%
Income profile:
</v>
      </c>
      <c r="D29" t="s">
        <v>598</v>
      </c>
      <c r="E29" t="s">
        <v>599</v>
      </c>
      <c r="F29">
        <v>7.72</v>
      </c>
      <c r="G29">
        <v>6.34</v>
      </c>
      <c r="H29" t="s">
        <v>2979</v>
      </c>
      <c r="I29">
        <v>4746973000</v>
      </c>
      <c r="J29">
        <v>20.46</v>
      </c>
      <c r="K29">
        <v>2.33</v>
      </c>
      <c r="L29" t="s">
        <v>212</v>
      </c>
      <c r="M29" t="s">
        <v>1236</v>
      </c>
      <c r="N29" t="s">
        <v>1798</v>
      </c>
      <c r="O29" t="s">
        <v>105</v>
      </c>
      <c r="P29">
        <v>-22.02</v>
      </c>
      <c r="Q29" t="s">
        <v>1799</v>
      </c>
      <c r="R29">
        <v>-89119201</v>
      </c>
      <c r="S29" s="4">
        <v>-0.4657</v>
      </c>
      <c r="T29" t="s">
        <v>97</v>
      </c>
      <c r="U29">
        <v>522202550</v>
      </c>
      <c r="V29">
        <v>614892880</v>
      </c>
      <c r="W29">
        <v>1.76</v>
      </c>
      <c r="X29">
        <v>0.04</v>
      </c>
      <c r="Y29">
        <v>-70.22</v>
      </c>
      <c r="Z29" t="s">
        <v>134</v>
      </c>
      <c r="AA29" t="s">
        <v>1800</v>
      </c>
      <c r="AB29" t="s">
        <v>1801</v>
      </c>
      <c r="AC29" t="s">
        <v>1802</v>
      </c>
      <c r="AD29" t="s">
        <v>2</v>
      </c>
      <c r="AE29">
        <v>7145751</v>
      </c>
      <c r="AF29" t="s">
        <v>1803</v>
      </c>
      <c r="AG29" t="s">
        <v>1804</v>
      </c>
      <c r="AH29" t="s">
        <v>1805</v>
      </c>
      <c r="AI29" t="s">
        <v>1806</v>
      </c>
      <c r="AJ29" t="s">
        <v>1807</v>
      </c>
      <c r="AK29" t="s">
        <v>1808</v>
      </c>
      <c r="AL29" t="s">
        <v>1809</v>
      </c>
      <c r="AM29" t="s">
        <v>2</v>
      </c>
      <c r="AN29">
        <v>0</v>
      </c>
      <c r="AO29" t="s">
        <v>853</v>
      </c>
      <c r="AP29" t="s">
        <v>1810</v>
      </c>
      <c r="AQ29" t="s">
        <v>1811</v>
      </c>
      <c r="AR29" t="s">
        <v>1812</v>
      </c>
      <c r="AS29" t="s">
        <v>1813</v>
      </c>
      <c r="AT29" t="s">
        <v>874</v>
      </c>
      <c r="AU29" t="s">
        <v>1814</v>
      </c>
      <c r="AV29" t="s">
        <v>1815</v>
      </c>
      <c r="AW29" t="s">
        <v>1816</v>
      </c>
      <c r="AX29" t="s">
        <v>926</v>
      </c>
      <c r="AY29" t="s">
        <v>683</v>
      </c>
      <c r="AZ29" t="s">
        <v>202</v>
      </c>
      <c r="BA29" t="s">
        <v>488</v>
      </c>
      <c r="BB29" t="s">
        <v>300</v>
      </c>
      <c r="BC29" t="s">
        <v>1817</v>
      </c>
      <c r="BD29" t="s">
        <v>684</v>
      </c>
      <c r="BE29" t="s">
        <v>600</v>
      </c>
      <c r="BF29" t="s">
        <v>601</v>
      </c>
      <c r="BG29" t="s">
        <v>602</v>
      </c>
      <c r="BH29" t="s">
        <v>1799</v>
      </c>
      <c r="BI29" t="s">
        <v>1144</v>
      </c>
      <c r="BJ29" t="s">
        <v>926</v>
      </c>
      <c r="BK29" t="s">
        <v>97</v>
      </c>
      <c r="BL29" t="s">
        <v>1818</v>
      </c>
      <c r="BM29" t="s">
        <v>1817</v>
      </c>
      <c r="BN29" t="s">
        <v>2</v>
      </c>
      <c r="BO29">
        <v>1.85</v>
      </c>
      <c r="BP29" t="s">
        <v>2</v>
      </c>
      <c r="BQ29">
        <v>-13.88</v>
      </c>
      <c r="BR29">
        <v>2.04</v>
      </c>
      <c r="BS29">
        <v>0.64</v>
      </c>
      <c r="BT29" t="s">
        <v>836</v>
      </c>
      <c r="BU29" t="s">
        <v>756</v>
      </c>
      <c r="BV29">
        <v>39.22</v>
      </c>
      <c r="BW29">
        <v>37.6</v>
      </c>
      <c r="BX29">
        <v>43.56</v>
      </c>
      <c r="BY29">
        <v>22.44</v>
      </c>
      <c r="BZ29">
        <v>1.29</v>
      </c>
      <c r="CA29">
        <v>-0.11</v>
      </c>
      <c r="CB29">
        <v>0.65</v>
      </c>
      <c r="CC29">
        <v>2.25</v>
      </c>
      <c r="CD29" t="s">
        <v>2980</v>
      </c>
      <c r="CE29" t="s">
        <v>1020</v>
      </c>
      <c r="CF29" s="8">
        <v>-0.21839080459770116</v>
      </c>
      <c r="CG29" s="9">
        <v>-0.46574499229457267</v>
      </c>
      <c r="CH29" s="8">
        <v>5.2488807588815689E-2</v>
      </c>
      <c r="CI29" s="8">
        <v>0.17428261041641235</v>
      </c>
      <c r="CJ29" s="8">
        <v>0.75887852907180786</v>
      </c>
      <c r="CK29" s="8">
        <v>-0.34436273574829102</v>
      </c>
      <c r="CL29" s="8">
        <v>-0.14554974436759949</v>
      </c>
      <c r="CM29" s="9">
        <v>11.978325843811035</v>
      </c>
      <c r="CN29" s="9">
        <v>2.8616368770599365</v>
      </c>
      <c r="CO29" s="9">
        <v>1.005682110786438</v>
      </c>
      <c r="CP29" s="9">
        <v>-1.0702947378158569</v>
      </c>
      <c r="CQ29" s="9">
        <v>-5.6464533805847168</v>
      </c>
      <c r="CR29">
        <v>-29.246106016248408</v>
      </c>
      <c r="CS29">
        <v>-2.9497574790469328</v>
      </c>
      <c r="CT29">
        <v>0</v>
      </c>
      <c r="CU29" s="8">
        <v>9.9147493392229086E-2</v>
      </c>
      <c r="CV29" s="9">
        <v>1.8257793426513671</v>
      </c>
      <c r="CW29">
        <v>0.06</v>
      </c>
      <c r="CX29">
        <v>15.3892392703612</v>
      </c>
      <c r="CY29">
        <v>269602215.36035806</v>
      </c>
      <c r="CZ29">
        <v>9.9147493392229086E-2</v>
      </c>
      <c r="DA29">
        <v>4.9902957000074792</v>
      </c>
      <c r="DB29">
        <v>831408247.00904632</v>
      </c>
      <c r="DC29">
        <v>9.4190118722617622E-2</v>
      </c>
      <c r="DD29">
        <v>2.4312292066633225</v>
      </c>
      <c r="DE29">
        <v>1706533052.7573543</v>
      </c>
      <c r="DF29">
        <v>8.72497941851616E-2</v>
      </c>
      <c r="DG29">
        <v>1.4429242837795107</v>
      </c>
      <c r="DH29">
        <v>2875392040.0677056</v>
      </c>
      <c r="DI29">
        <v>7.9317994713783271E-2</v>
      </c>
      <c r="DJ29">
        <v>0.72627331152756602</v>
      </c>
      <c r="DK29">
        <v>5712688232.0286446</v>
      </c>
      <c r="DL29">
        <v>6.9403245374560357E-2</v>
      </c>
      <c r="DM29">
        <v>260000000</v>
      </c>
      <c r="DN29">
        <v>9.9147493392229086E-2</v>
      </c>
      <c r="DO29">
        <v>4148973000</v>
      </c>
      <c r="DP29">
        <v>983224400</v>
      </c>
      <c r="DQ29">
        <v>1826</v>
      </c>
      <c r="DR29">
        <v>-0.31753829798993027</v>
      </c>
      <c r="DS29">
        <v>-2.2915243349459398</v>
      </c>
      <c r="DT29" s="10">
        <v>-0.13999999999999999</v>
      </c>
      <c r="DU29">
        <v>-1.0283333333333335</v>
      </c>
      <c r="DV29">
        <v>-1.1683333333333334</v>
      </c>
      <c r="DW29">
        <v>2.2499999999999999E-2</v>
      </c>
      <c r="DX29">
        <v>0.78736502981030154</v>
      </c>
      <c r="DY29">
        <v>4.2157131707317068E-3</v>
      </c>
      <c r="DZ29">
        <v>3764</v>
      </c>
      <c r="EA29">
        <v>1.1086161715865835E-3</v>
      </c>
      <c r="EB29">
        <v>0</v>
      </c>
      <c r="EC29">
        <v>0.11243860881914912</v>
      </c>
      <c r="ED29">
        <v>0.60010452552320981</v>
      </c>
      <c r="EE29" s="11">
        <v>-3.0586000000000002</v>
      </c>
      <c r="EF29">
        <v>-3.1219999999999999</v>
      </c>
      <c r="EG29">
        <v>60.187365029810302</v>
      </c>
      <c r="EH29" t="s">
        <v>1258</v>
      </c>
      <c r="EI29">
        <v>0</v>
      </c>
      <c r="EJ29">
        <v>0</v>
      </c>
      <c r="EK29" s="12">
        <v>45511</v>
      </c>
      <c r="EL29">
        <v>0.91</v>
      </c>
      <c r="EM29">
        <v>-3.88</v>
      </c>
      <c r="EN29">
        <v>-4.17</v>
      </c>
      <c r="EO29">
        <v>1.82</v>
      </c>
      <c r="EP29">
        <v>6.34</v>
      </c>
    </row>
    <row r="30" spans="1:146" ht="108" x14ac:dyDescent="0.25">
      <c r="A30" s="6"/>
      <c r="B30" s="6"/>
      <c r="C30" s="6" t="str">
        <f>""&amp;CHAR(10)&amp;Basic_Fundamental_Information_Constructure(F30)&amp;CHAR(10)&amp;Basic_Fundamental_Information_Concatenate("")</f>
        <v xml:space="preserve">
市值466.94755亿, 利润7.30亿; PE50.94; 平均PE138.63; 平均PEG3.83, PB13.38; ROIC15.3833%; ROE15.3933%; 股利率1.1862%; 毛利51.8667%; 净利33.7967%; 上一年度营收增62.12%, 利润增81.14%; 当季营收增155.05%, 利润增202.68%; 过往5年营收增36.24%, 利润增42.48%
Income profile:
</v>
      </c>
      <c r="D30" t="s">
        <v>323</v>
      </c>
      <c r="E30" t="s">
        <v>324</v>
      </c>
      <c r="F30">
        <v>84.3</v>
      </c>
      <c r="G30">
        <v>-1.9</v>
      </c>
      <c r="H30" t="s">
        <v>2981</v>
      </c>
      <c r="I30">
        <v>46694755000</v>
      </c>
      <c r="J30">
        <v>50.94</v>
      </c>
      <c r="K30">
        <v>13.38</v>
      </c>
      <c r="L30" t="s">
        <v>212</v>
      </c>
      <c r="M30" t="s">
        <v>202</v>
      </c>
      <c r="N30" t="s">
        <v>1819</v>
      </c>
      <c r="O30" t="s">
        <v>1165</v>
      </c>
      <c r="P30">
        <v>154.94999999999999</v>
      </c>
      <c r="Q30" t="s">
        <v>1820</v>
      </c>
      <c r="R30">
        <v>278877190</v>
      </c>
      <c r="S30" s="4">
        <v>2.0270000000000001</v>
      </c>
      <c r="T30" t="s">
        <v>1797</v>
      </c>
      <c r="U30">
        <v>552743990</v>
      </c>
      <c r="V30">
        <v>553911680</v>
      </c>
      <c r="W30">
        <v>1.1399999999999999</v>
      </c>
      <c r="X30">
        <v>0.18</v>
      </c>
      <c r="Y30">
        <v>38.24</v>
      </c>
      <c r="Z30" t="s">
        <v>207</v>
      </c>
      <c r="AA30" t="s">
        <v>1155</v>
      </c>
      <c r="AB30" t="s">
        <v>1821</v>
      </c>
      <c r="AC30" t="s">
        <v>1822</v>
      </c>
      <c r="AD30" t="s">
        <v>2</v>
      </c>
      <c r="AE30">
        <v>-18274687</v>
      </c>
      <c r="AF30" t="s">
        <v>1823</v>
      </c>
      <c r="AG30" t="s">
        <v>1824</v>
      </c>
      <c r="AH30" t="s">
        <v>1825</v>
      </c>
      <c r="AI30" t="s">
        <v>1826</v>
      </c>
      <c r="AJ30" t="s">
        <v>1827</v>
      </c>
      <c r="AK30" t="s">
        <v>1828</v>
      </c>
      <c r="AL30" t="s">
        <v>1829</v>
      </c>
      <c r="AM30" t="s">
        <v>2</v>
      </c>
      <c r="AN30" t="s">
        <v>1830</v>
      </c>
      <c r="AO30" t="s">
        <v>1210</v>
      </c>
      <c r="AP30" t="s">
        <v>104</v>
      </c>
      <c r="AQ30" t="s">
        <v>1171</v>
      </c>
      <c r="AR30" t="s">
        <v>2</v>
      </c>
      <c r="AS30" t="s">
        <v>1831</v>
      </c>
      <c r="AT30" t="s">
        <v>2</v>
      </c>
      <c r="AU30" t="s">
        <v>105</v>
      </c>
      <c r="AV30" t="s">
        <v>88</v>
      </c>
      <c r="AW30" t="s">
        <v>1210</v>
      </c>
      <c r="AX30" t="s">
        <v>928</v>
      </c>
      <c r="AY30" t="s">
        <v>667</v>
      </c>
      <c r="AZ30" t="s">
        <v>326</v>
      </c>
      <c r="BA30" t="s">
        <v>328</v>
      </c>
      <c r="BB30" t="s">
        <v>180</v>
      </c>
      <c r="BC30" t="s">
        <v>929</v>
      </c>
      <c r="BD30" t="s">
        <v>686</v>
      </c>
      <c r="BE30" t="s">
        <v>119</v>
      </c>
      <c r="BF30" t="s">
        <v>108</v>
      </c>
      <c r="BG30" t="s">
        <v>105</v>
      </c>
      <c r="BH30" t="s">
        <v>1820</v>
      </c>
      <c r="BI30" t="s">
        <v>779</v>
      </c>
      <c r="BJ30" t="s">
        <v>928</v>
      </c>
      <c r="BK30" t="s">
        <v>1797</v>
      </c>
      <c r="BL30" t="s">
        <v>1832</v>
      </c>
      <c r="BM30" t="s">
        <v>929</v>
      </c>
      <c r="BN30">
        <v>13.83</v>
      </c>
      <c r="BO30">
        <v>16.010000000000002</v>
      </c>
      <c r="BP30">
        <v>16.309999999999999</v>
      </c>
      <c r="BQ30">
        <v>15.75</v>
      </c>
      <c r="BR30">
        <v>16.3</v>
      </c>
      <c r="BS30">
        <v>14.13</v>
      </c>
      <c r="BT30" t="s">
        <v>996</v>
      </c>
      <c r="BU30" t="s">
        <v>757</v>
      </c>
      <c r="BV30">
        <v>54.3</v>
      </c>
      <c r="BW30">
        <v>51.62</v>
      </c>
      <c r="BX30">
        <v>49.68</v>
      </c>
      <c r="BY30">
        <v>37.65</v>
      </c>
      <c r="BZ30">
        <v>33.85</v>
      </c>
      <c r="CA30">
        <v>29.89</v>
      </c>
      <c r="CB30">
        <v>-15.73</v>
      </c>
      <c r="CC30">
        <v>-5.46</v>
      </c>
      <c r="CD30" t="s">
        <v>68</v>
      </c>
      <c r="CE30" t="s">
        <v>814</v>
      </c>
      <c r="CF30" s="8">
        <v>1.5505226480836236</v>
      </c>
      <c r="CG30" s="9">
        <v>2.0267731243108074</v>
      </c>
      <c r="CH30" s="8">
        <v>0.62123751640319824</v>
      </c>
      <c r="CI30" s="8">
        <v>0.15891472995281219</v>
      </c>
      <c r="CJ30" s="8">
        <v>0.1821305900812149</v>
      </c>
      <c r="CK30" s="8">
        <v>0.66921603679656982</v>
      </c>
      <c r="CL30" s="8">
        <v>0.18058690428733826</v>
      </c>
      <c r="CM30" s="9">
        <v>0.81141442060470581</v>
      </c>
      <c r="CN30" s="9">
        <v>0.31699347496032715</v>
      </c>
      <c r="CO30" s="9">
        <v>9.6774190664291382E-2</v>
      </c>
      <c r="CP30" s="9">
        <v>0.67065870761871338</v>
      </c>
      <c r="CQ30" s="9">
        <v>0.22794117033481598</v>
      </c>
      <c r="CR30">
        <v>138.62866402770905</v>
      </c>
      <c r="CS30">
        <v>3.825113185793775</v>
      </c>
      <c r="CT30">
        <v>1.1862396204033214</v>
      </c>
      <c r="CU30" s="8">
        <v>0.36241715550422671</v>
      </c>
      <c r="CV30" s="9">
        <v>0.42475639283657074</v>
      </c>
      <c r="CW30">
        <v>0.06</v>
      </c>
      <c r="CX30">
        <v>46.435278162382794</v>
      </c>
      <c r="CY30">
        <v>938268418.41328812</v>
      </c>
      <c r="CZ30">
        <v>0.36241715550422671</v>
      </c>
      <c r="DA30">
        <v>12.139988014753019</v>
      </c>
      <c r="DB30">
        <v>3588863098.3040047</v>
      </c>
      <c r="DC30">
        <v>0.34429629772901538</v>
      </c>
      <c r="DD30">
        <v>4.3219665537425911</v>
      </c>
      <c r="DE30">
        <v>10080770977.339424</v>
      </c>
      <c r="DF30">
        <v>0.3189270968437195</v>
      </c>
      <c r="DG30">
        <v>1.7377156416590533</v>
      </c>
      <c r="DH30">
        <v>25072430698.962635</v>
      </c>
      <c r="DI30">
        <v>0.28993372440338139</v>
      </c>
      <c r="DJ30">
        <v>0.33302895095898571</v>
      </c>
      <c r="DK30">
        <v>130825728137.26852</v>
      </c>
      <c r="DL30">
        <v>0.25369200885295867</v>
      </c>
      <c r="DM30">
        <v>730000000</v>
      </c>
      <c r="DN30">
        <v>0.36241715550422671</v>
      </c>
      <c r="DO30">
        <v>43568755000</v>
      </c>
      <c r="DP30">
        <v>2757490400</v>
      </c>
      <c r="DQ30">
        <v>1861</v>
      </c>
      <c r="DR30">
        <v>1.188105492579397</v>
      </c>
      <c r="DS30">
        <v>1.6020167314742366</v>
      </c>
      <c r="DT30" s="10">
        <v>0.5099999999999999</v>
      </c>
      <c r="DU30">
        <v>1.0366666666666668</v>
      </c>
      <c r="DV30">
        <v>1.5466666666666669</v>
      </c>
      <c r="DW30">
        <v>-5.3471074380165291</v>
      </c>
      <c r="DX30">
        <v>0.31593984962405963</v>
      </c>
      <c r="DY30">
        <v>-5.061070030448021</v>
      </c>
      <c r="DZ30">
        <v>54</v>
      </c>
      <c r="EA30">
        <v>-5.0604242929026535</v>
      </c>
      <c r="EB30">
        <v>5</v>
      </c>
      <c r="EC30">
        <v>0.21122500973440386</v>
      </c>
      <c r="ED30">
        <v>1.2005524057553725</v>
      </c>
      <c r="EE30" s="11">
        <v>-2.0493100000000002</v>
      </c>
      <c r="EF30">
        <v>-2.0683099999999999</v>
      </c>
      <c r="EG30">
        <v>14.17593984962406</v>
      </c>
      <c r="EH30" t="s">
        <v>1183</v>
      </c>
      <c r="EI30">
        <v>0</v>
      </c>
      <c r="EJ30">
        <v>1</v>
      </c>
      <c r="EK30" s="12">
        <v>45511</v>
      </c>
      <c r="EL30">
        <v>0.53</v>
      </c>
      <c r="EM30">
        <v>-9.51</v>
      </c>
      <c r="EN30">
        <v>-7.64</v>
      </c>
      <c r="EO30">
        <v>2.2400000000000002</v>
      </c>
      <c r="EP30">
        <v>-1.9</v>
      </c>
    </row>
    <row r="31" spans="1:146" ht="108" x14ac:dyDescent="0.25">
      <c r="A31" s="6"/>
      <c r="B31" s="6"/>
      <c r="C31" s="6" t="str">
        <f>""&amp;CHAR(10)&amp;Basic_Fundamental_Information_Constructure(F31)&amp;CHAR(10)&amp;Basic_Fundamental_Information_Concatenate("")</f>
        <v xml:space="preserve">
市值21.582489亿, 利润2560.80万; PE100.9; 平均PE60.3; 平均PEG6.97, PB2.2; ROIC3.42%; ROE4.0033%; 股利率.2266%; 毛利28.0633%; 净利4.3033%; 上一年度营收增0%, 利润增3.44%; 当季营收增-36.83%, 利润增-57.91%; 过往5年营收增8.65%, 利润增-12.61%
Income profile:
</v>
      </c>
      <c r="D31" t="s">
        <v>603</v>
      </c>
      <c r="E31" t="s">
        <v>604</v>
      </c>
      <c r="F31">
        <v>6.62</v>
      </c>
      <c r="G31">
        <v>3.6</v>
      </c>
      <c r="H31" t="s">
        <v>2982</v>
      </c>
      <c r="I31">
        <v>2158248900</v>
      </c>
      <c r="J31">
        <v>100.9</v>
      </c>
      <c r="K31">
        <v>2.2000000000000002</v>
      </c>
      <c r="L31" t="s">
        <v>212</v>
      </c>
      <c r="M31" t="s">
        <v>83</v>
      </c>
      <c r="N31" t="s">
        <v>1833</v>
      </c>
      <c r="O31" t="s">
        <v>1834</v>
      </c>
      <c r="P31">
        <v>-36.72</v>
      </c>
      <c r="Q31" t="s">
        <v>931</v>
      </c>
      <c r="R31">
        <v>3068502</v>
      </c>
      <c r="S31" s="4">
        <v>-0.57909999999999995</v>
      </c>
      <c r="T31" t="s">
        <v>1835</v>
      </c>
      <c r="U31">
        <v>311299740</v>
      </c>
      <c r="V31">
        <v>326019470</v>
      </c>
      <c r="W31">
        <v>1.17</v>
      </c>
      <c r="X31">
        <v>7.0000000000000007E-2</v>
      </c>
      <c r="Y31">
        <v>3.97</v>
      </c>
      <c r="Z31" t="s">
        <v>1836</v>
      </c>
      <c r="AA31" t="s">
        <v>1837</v>
      </c>
      <c r="AB31" t="s">
        <v>1838</v>
      </c>
      <c r="AC31" t="s">
        <v>1839</v>
      </c>
      <c r="AD31" t="s">
        <v>2</v>
      </c>
      <c r="AE31">
        <v>-2039806</v>
      </c>
      <c r="AF31" t="s">
        <v>1840</v>
      </c>
      <c r="AG31">
        <v>9133.27</v>
      </c>
      <c r="AH31" t="s">
        <v>1841</v>
      </c>
      <c r="AI31" t="s">
        <v>146</v>
      </c>
      <c r="AJ31" t="s">
        <v>1842</v>
      </c>
      <c r="AK31" t="s">
        <v>1843</v>
      </c>
      <c r="AL31" t="s">
        <v>1844</v>
      </c>
      <c r="AM31" t="s">
        <v>2</v>
      </c>
      <c r="AN31">
        <v>0</v>
      </c>
      <c r="AO31" t="s">
        <v>2</v>
      </c>
      <c r="AP31" t="s">
        <v>1845</v>
      </c>
      <c r="AQ31" t="s">
        <v>1846</v>
      </c>
      <c r="AR31" t="s">
        <v>2</v>
      </c>
      <c r="AS31" t="s">
        <v>675</v>
      </c>
      <c r="AT31" t="s">
        <v>2</v>
      </c>
      <c r="AU31" t="s">
        <v>1847</v>
      </c>
      <c r="AV31" t="s">
        <v>1848</v>
      </c>
      <c r="AW31" t="s">
        <v>2</v>
      </c>
      <c r="AX31" t="s">
        <v>931</v>
      </c>
      <c r="AY31" t="s">
        <v>310</v>
      </c>
      <c r="AZ31" t="s">
        <v>174</v>
      </c>
      <c r="BA31" t="s">
        <v>606</v>
      </c>
      <c r="BB31" t="s">
        <v>142</v>
      </c>
      <c r="BC31" t="s">
        <v>932</v>
      </c>
      <c r="BD31" t="s">
        <v>689</v>
      </c>
      <c r="BE31" t="s">
        <v>605</v>
      </c>
      <c r="BF31" t="s">
        <v>607</v>
      </c>
      <c r="BG31" t="s">
        <v>608</v>
      </c>
      <c r="BH31" t="s">
        <v>931</v>
      </c>
      <c r="BI31" t="s">
        <v>98</v>
      </c>
      <c r="BJ31" t="s">
        <v>931</v>
      </c>
      <c r="BK31" t="s">
        <v>1835</v>
      </c>
      <c r="BL31" t="s">
        <v>1849</v>
      </c>
      <c r="BM31" t="s">
        <v>932</v>
      </c>
      <c r="BN31">
        <v>5.03</v>
      </c>
      <c r="BO31">
        <v>2.83</v>
      </c>
      <c r="BP31">
        <v>2.4</v>
      </c>
      <c r="BQ31">
        <v>6.15</v>
      </c>
      <c r="BR31">
        <v>2.65</v>
      </c>
      <c r="BS31">
        <v>3.21</v>
      </c>
      <c r="BT31" t="s">
        <v>1850</v>
      </c>
      <c r="BU31" t="s">
        <v>756</v>
      </c>
      <c r="BV31">
        <v>27.24</v>
      </c>
      <c r="BW31">
        <v>28.89</v>
      </c>
      <c r="BX31">
        <v>28.06</v>
      </c>
      <c r="BY31">
        <v>3.84</v>
      </c>
      <c r="BZ31">
        <v>5.48</v>
      </c>
      <c r="CA31">
        <v>3.59</v>
      </c>
      <c r="CB31">
        <v>2.48</v>
      </c>
      <c r="CC31">
        <v>1.53</v>
      </c>
      <c r="CD31" t="s">
        <v>2983</v>
      </c>
      <c r="CE31" t="s">
        <v>127</v>
      </c>
      <c r="CF31" s="8">
        <v>-0.36828333333333335</v>
      </c>
      <c r="CG31" s="9">
        <v>-0.57906333593975057</v>
      </c>
      <c r="CH31" s="8">
        <v>0</v>
      </c>
      <c r="CI31" s="8">
        <v>-6.25E-2</v>
      </c>
      <c r="CJ31" s="8">
        <v>0.32735425233840942</v>
      </c>
      <c r="CK31" s="8">
        <v>0.11221945285797119</v>
      </c>
      <c r="CL31" s="8">
        <v>5.5263157933950424E-2</v>
      </c>
      <c r="CM31" s="9">
        <v>3.4424256533384323E-2</v>
      </c>
      <c r="CN31" s="9">
        <v>-0.14991621673107147</v>
      </c>
      <c r="CO31" s="9">
        <v>-8.2868024706840515E-2</v>
      </c>
      <c r="CP31" s="9">
        <v>-0.36422485113143921</v>
      </c>
      <c r="CQ31" s="9">
        <v>-6.7948624491691589E-2</v>
      </c>
      <c r="CR31">
        <v>60.295685779672347</v>
      </c>
      <c r="CS31">
        <v>6.9732297800263892</v>
      </c>
      <c r="CT31">
        <v>0.22658610271903323</v>
      </c>
      <c r="CU31" s="8">
        <v>8.6467372626066213E-2</v>
      </c>
      <c r="CV31" s="9">
        <v>-0.12610669210553169</v>
      </c>
      <c r="CW31">
        <v>0.06</v>
      </c>
      <c r="CX31">
        <v>52.281303464343303</v>
      </c>
      <c r="CY31">
        <v>26247411.77189463</v>
      </c>
      <c r="CZ31">
        <v>8.6467372626066213E-2</v>
      </c>
      <c r="DA31">
        <v>17.136246892942363</v>
      </c>
      <c r="DB31">
        <v>80078730.691325799</v>
      </c>
      <c r="DC31">
        <v>8.2144003994762904E-2</v>
      </c>
      <c r="DD31">
        <v>8.4695599707859603</v>
      </c>
      <c r="DE31">
        <v>162021274.39126661</v>
      </c>
      <c r="DF31">
        <v>7.6091287910938263E-2</v>
      </c>
      <c r="DG31">
        <v>5.10905469515661</v>
      </c>
      <c r="DH31">
        <v>268591546.16232502</v>
      </c>
      <c r="DI31">
        <v>6.9173898100852976E-2</v>
      </c>
      <c r="DJ31">
        <v>2.6653741496537799</v>
      </c>
      <c r="DK31">
        <v>514842878.69237757</v>
      </c>
      <c r="DL31">
        <v>6.0527160838246344E-2</v>
      </c>
      <c r="DM31">
        <v>25608000</v>
      </c>
      <c r="DN31">
        <v>8.6467372626066213E-2</v>
      </c>
      <c r="DO31">
        <v>1372248900</v>
      </c>
      <c r="DP31">
        <v>815789340</v>
      </c>
      <c r="DQ31">
        <v>1881</v>
      </c>
      <c r="DR31">
        <v>-0.45475070595939959</v>
      </c>
      <c r="DS31">
        <v>-0.45295664383421885</v>
      </c>
      <c r="DT31" s="10">
        <v>-0.3066666666666667</v>
      </c>
      <c r="DU31">
        <v>-0.33666666666666667</v>
      </c>
      <c r="DV31">
        <v>-0.64333333333333331</v>
      </c>
      <c r="DW31">
        <v>1.5300000000000001E-2</v>
      </c>
      <c r="DX31">
        <v>0.65468706896551421</v>
      </c>
      <c r="DY31">
        <v>2.9787121551724141E-3</v>
      </c>
      <c r="DZ31">
        <v>3169</v>
      </c>
      <c r="EA31">
        <v>1.1303591456283803E-3</v>
      </c>
      <c r="EB31">
        <v>0</v>
      </c>
      <c r="EC31">
        <v>6.9271016237159089E-2</v>
      </c>
      <c r="ED31">
        <v>0.35580697066957379</v>
      </c>
      <c r="EE31" s="11">
        <v>9.3799999999999994E-2</v>
      </c>
      <c r="EF31">
        <v>0.1298</v>
      </c>
      <c r="EG31">
        <v>46.194687068965514</v>
      </c>
      <c r="EH31" t="s">
        <v>766</v>
      </c>
      <c r="EI31">
        <v>0</v>
      </c>
      <c r="EJ31">
        <v>0</v>
      </c>
      <c r="EK31" s="12">
        <v>45511</v>
      </c>
      <c r="EL31">
        <v>1.24</v>
      </c>
      <c r="EM31">
        <v>-2.6</v>
      </c>
      <c r="EN31">
        <v>-2.83</v>
      </c>
      <c r="EO31">
        <v>3.23</v>
      </c>
      <c r="EP31">
        <v>3.6</v>
      </c>
    </row>
    <row r="32" spans="1:146" ht="144" x14ac:dyDescent="0.25">
      <c r="A32" s="6"/>
      <c r="B32" s="6"/>
      <c r="C32" s="6" t="str">
        <f>"公司主要从事高性能光模块的研发、设计、测试和销售。公司目前主要产品为点对点光模块和PON光模块。"&amp;CHAR(10)&amp;Basic_Fundamental_Information_Constructure(F32)&amp;CHAR(10)&amp;Basic_Fundamental_Information_Concatenate("点对点光模块 32.48亿 98.12% 98.15% 36.67%
组件等 3574.86万 1.08% 1.69% 57.39%
PON光模块 2633.77万 0.80% 0.16% 7.28%")</f>
        <v>公司主要从事高性能光模块的研发、设计、测试和销售。公司目前主要产品为点对点光模块和PON光模块。
市值649.76691亿, 利润6.88亿; PE71.79; 平均PE130.35; 平均PEG3.67, PB11.23; ROIC14.5667%; ROE15.6967%; 股利率.1691%; 毛利33.2733%; 净利24.09%; 上一年度营收增-6.43%, 利润增-23.89%; 当季营收增85.5%, 利润增200.5%; 过往5年营收增35.55%, 利润增149.47%
Income profile:
点对点光模块 32.48亿 98.12% 98.15% 36.67%
组件等 3574.86万 1.08% 1.69% 57.39%
PON光模块 2633.77万 0.80% 0.16% 7.28%</v>
      </c>
      <c r="D32" t="s">
        <v>329</v>
      </c>
      <c r="E32" t="s">
        <v>330</v>
      </c>
      <c r="F32">
        <v>91.67</v>
      </c>
      <c r="G32">
        <v>1.3</v>
      </c>
      <c r="H32" t="s">
        <v>2984</v>
      </c>
      <c r="I32">
        <v>64976691000</v>
      </c>
      <c r="J32">
        <v>71.790000000000006</v>
      </c>
      <c r="K32">
        <v>11.23</v>
      </c>
      <c r="L32" t="s">
        <v>212</v>
      </c>
      <c r="M32" t="s">
        <v>1851</v>
      </c>
      <c r="N32" t="s">
        <v>1852</v>
      </c>
      <c r="O32" t="s">
        <v>1853</v>
      </c>
      <c r="P32">
        <v>85.41</v>
      </c>
      <c r="Q32" t="s">
        <v>1854</v>
      </c>
      <c r="R32">
        <v>324540530</v>
      </c>
      <c r="S32" s="4">
        <v>2.0099999999999998</v>
      </c>
      <c r="T32" t="s">
        <v>1227</v>
      </c>
      <c r="U32">
        <v>626402230</v>
      </c>
      <c r="V32">
        <v>708810850</v>
      </c>
      <c r="W32">
        <v>1.27</v>
      </c>
      <c r="X32">
        <v>0.16</v>
      </c>
      <c r="Y32">
        <v>29.16</v>
      </c>
      <c r="Z32" t="s">
        <v>711</v>
      </c>
      <c r="AA32" t="s">
        <v>1855</v>
      </c>
      <c r="AB32" t="s">
        <v>1856</v>
      </c>
      <c r="AC32" t="s">
        <v>1857</v>
      </c>
      <c r="AD32" t="s">
        <v>2</v>
      </c>
      <c r="AE32">
        <v>-20797820</v>
      </c>
      <c r="AF32" t="s">
        <v>20</v>
      </c>
      <c r="AG32" t="s">
        <v>1858</v>
      </c>
      <c r="AH32" t="s">
        <v>1859</v>
      </c>
      <c r="AI32" t="s">
        <v>447</v>
      </c>
      <c r="AJ32" t="s">
        <v>1860</v>
      </c>
      <c r="AK32" t="s">
        <v>116</v>
      </c>
      <c r="AL32" t="s">
        <v>1861</v>
      </c>
      <c r="AM32" t="s">
        <v>2</v>
      </c>
      <c r="AN32" t="s">
        <v>1862</v>
      </c>
      <c r="AO32" t="s">
        <v>2</v>
      </c>
      <c r="AP32" t="s">
        <v>46</v>
      </c>
      <c r="AQ32" t="s">
        <v>1863</v>
      </c>
      <c r="AR32" t="s">
        <v>1864</v>
      </c>
      <c r="AS32" t="s">
        <v>1865</v>
      </c>
      <c r="AT32" t="s">
        <v>2</v>
      </c>
      <c r="AU32" t="s">
        <v>675</v>
      </c>
      <c r="AV32" t="s">
        <v>1866</v>
      </c>
      <c r="AW32">
        <v>0</v>
      </c>
      <c r="AX32" t="s">
        <v>934</v>
      </c>
      <c r="AY32" t="s">
        <v>690</v>
      </c>
      <c r="AZ32" t="s">
        <v>331</v>
      </c>
      <c r="BA32" t="s">
        <v>334</v>
      </c>
      <c r="BB32" t="s">
        <v>335</v>
      </c>
      <c r="BC32" t="s">
        <v>935</v>
      </c>
      <c r="BD32" t="s">
        <v>527</v>
      </c>
      <c r="BE32" t="s">
        <v>332</v>
      </c>
      <c r="BF32" t="s">
        <v>87</v>
      </c>
      <c r="BG32" t="s">
        <v>337</v>
      </c>
      <c r="BH32" t="s">
        <v>1854</v>
      </c>
      <c r="BI32" t="s">
        <v>1135</v>
      </c>
      <c r="BJ32" t="s">
        <v>934</v>
      </c>
      <c r="BK32" t="s">
        <v>1227</v>
      </c>
      <c r="BL32" t="s">
        <v>19</v>
      </c>
      <c r="BM32" t="s">
        <v>935</v>
      </c>
      <c r="BN32">
        <v>6.61</v>
      </c>
      <c r="BO32">
        <v>19.95</v>
      </c>
      <c r="BP32">
        <v>17.14</v>
      </c>
      <c r="BQ32">
        <v>8.51</v>
      </c>
      <c r="BR32">
        <v>20.73</v>
      </c>
      <c r="BS32">
        <v>17.850000000000001</v>
      </c>
      <c r="BT32" t="s">
        <v>1867</v>
      </c>
      <c r="BU32" t="s">
        <v>757</v>
      </c>
      <c r="BV32">
        <v>30.99</v>
      </c>
      <c r="BW32">
        <v>36.659999999999997</v>
      </c>
      <c r="BX32">
        <v>32.17</v>
      </c>
      <c r="BY32">
        <v>22.22</v>
      </c>
      <c r="BZ32">
        <v>27.29</v>
      </c>
      <c r="CA32">
        <v>22.76</v>
      </c>
      <c r="CB32">
        <v>-8.1199999999999992</v>
      </c>
      <c r="CC32">
        <v>-15.48</v>
      </c>
      <c r="CD32" t="s">
        <v>25</v>
      </c>
      <c r="CE32" t="s">
        <v>2985</v>
      </c>
      <c r="CF32" s="8">
        <v>0.85499999999999998</v>
      </c>
      <c r="CG32" s="9">
        <v>2.0050049074074074</v>
      </c>
      <c r="CH32" s="8">
        <v>-6.4331077039241791E-2</v>
      </c>
      <c r="CI32" s="8">
        <v>0.13858324289321899</v>
      </c>
      <c r="CJ32" s="8">
        <v>0.45545545220375061</v>
      </c>
      <c r="CK32" s="8">
        <v>0.71502155065536499</v>
      </c>
      <c r="CL32" s="8">
        <v>0.53289467096328735</v>
      </c>
      <c r="CM32" s="9">
        <v>-0.23893804848194122</v>
      </c>
      <c r="CN32" s="9">
        <v>0.365558922290802</v>
      </c>
      <c r="CO32" s="9">
        <v>0.34552845358848572</v>
      </c>
      <c r="CP32" s="9">
        <v>1.3098591566085815</v>
      </c>
      <c r="CQ32" s="9">
        <v>5.6913166046142578</v>
      </c>
      <c r="CR32">
        <v>130.35172383286084</v>
      </c>
      <c r="CS32">
        <v>3.6664597122131202</v>
      </c>
      <c r="CT32">
        <v>0.16908476055416166</v>
      </c>
      <c r="CU32" s="8">
        <v>0.35552476793527604</v>
      </c>
      <c r="CV32" s="9">
        <v>1.4946650177240373</v>
      </c>
      <c r="CW32">
        <v>0.06</v>
      </c>
      <c r="CX32">
        <v>68.371050108189991</v>
      </c>
      <c r="CY32">
        <v>879812302.20704699</v>
      </c>
      <c r="CZ32">
        <v>0.35552476793527604</v>
      </c>
      <c r="DA32">
        <v>17.972573347416745</v>
      </c>
      <c r="DB32">
        <v>3346971512.493289</v>
      </c>
      <c r="DC32">
        <v>0.3377485295385122</v>
      </c>
      <c r="DD32">
        <v>6.4526294719122603</v>
      </c>
      <c r="DE32">
        <v>9322353199.0863304</v>
      </c>
      <c r="DF32">
        <v>0.31286179578304291</v>
      </c>
      <c r="DG32">
        <v>2.6232467245575504</v>
      </c>
      <c r="DH32">
        <v>22931007761.058319</v>
      </c>
      <c r="DI32">
        <v>0.28441981434822083</v>
      </c>
      <c r="DJ32">
        <v>0.51733698129947914</v>
      </c>
      <c r="DK32">
        <v>116275644646.36227</v>
      </c>
      <c r="DL32">
        <v>0.2488673375546932</v>
      </c>
      <c r="DM32">
        <v>688000000</v>
      </c>
      <c r="DN32">
        <v>0.35552476793527604</v>
      </c>
      <c r="DO32">
        <v>60153691000</v>
      </c>
      <c r="DP32">
        <v>3686516700</v>
      </c>
      <c r="DQ32">
        <v>1968</v>
      </c>
      <c r="DR32">
        <v>0.49947523206472394</v>
      </c>
      <c r="DS32">
        <v>0.51033988968337018</v>
      </c>
      <c r="DT32" s="10">
        <v>2.6666666666666616E-2</v>
      </c>
      <c r="DU32">
        <v>1.4850000000000001</v>
      </c>
      <c r="DV32">
        <v>1.5116666666666667</v>
      </c>
      <c r="DW32">
        <v>-9.5245478036175708</v>
      </c>
      <c r="DX32">
        <v>0.40222222222222143</v>
      </c>
      <c r="DY32">
        <v>-9.1165661785816816</v>
      </c>
      <c r="DZ32">
        <v>58</v>
      </c>
      <c r="EA32">
        <v>-9.115242341033662</v>
      </c>
      <c r="EB32">
        <v>9</v>
      </c>
      <c r="EC32">
        <v>0.23701668787942509</v>
      </c>
      <c r="ED32">
        <v>1.0665750954574129</v>
      </c>
      <c r="EE32" s="11">
        <v>2.0100000000000018E-3</v>
      </c>
      <c r="EF32">
        <v>1.1000000000000001E-2</v>
      </c>
      <c r="EG32">
        <v>18.222222222222221</v>
      </c>
      <c r="EH32" t="s">
        <v>766</v>
      </c>
      <c r="EI32">
        <v>0</v>
      </c>
      <c r="EJ32">
        <v>1</v>
      </c>
      <c r="EK32" s="12">
        <v>45511</v>
      </c>
      <c r="EL32">
        <v>1.99</v>
      </c>
      <c r="EM32">
        <v>-9.19</v>
      </c>
      <c r="EN32">
        <v>-7.48</v>
      </c>
      <c r="EO32">
        <v>5.84</v>
      </c>
      <c r="EP32">
        <v>1.3</v>
      </c>
    </row>
    <row r="33" spans="1:146" ht="163.5" customHeight="1" x14ac:dyDescent="0.25">
      <c r="A33" s="6" t="s">
        <v>632</v>
      </c>
      <c r="B33" s="6" t="s">
        <v>638</v>
      </c>
      <c r="C33" s="6" t="str">
        <f>""&amp;CHAR(10)&amp;Basic_Fundamental_Information_Constructure(F33)&amp;CHAR(10)&amp;Basic_Fundamental_Information_Concatenate("")</f>
        <v xml:space="preserve">
市值31.249134亿, 利润1.01亿; PE54.5; 平均PE22.19; 平均PEG51.88, PB1.38; ROIC7.8533%; ROE7.9833%; 股利率1.7346%; 毛利18.9367%; 净利5.98%; 上一年度营收增-14.64%, 利润增-47.67%; 当季营收增-29.02%, 利润增-70.26%; 过往5年营收增.43%, 利润增-.72%
Income profile:
</v>
      </c>
      <c r="D33" t="s">
        <v>504</v>
      </c>
      <c r="E33" t="s">
        <v>505</v>
      </c>
      <c r="F33">
        <v>11.53</v>
      </c>
      <c r="G33">
        <v>3.59</v>
      </c>
      <c r="H33" t="s">
        <v>2986</v>
      </c>
      <c r="I33">
        <v>3124913400</v>
      </c>
      <c r="J33">
        <v>54.5</v>
      </c>
      <c r="K33">
        <v>1.38</v>
      </c>
      <c r="L33" t="s">
        <v>212</v>
      </c>
      <c r="M33" t="s">
        <v>941</v>
      </c>
      <c r="N33" t="s">
        <v>1868</v>
      </c>
      <c r="O33" t="s">
        <v>1869</v>
      </c>
      <c r="P33">
        <v>-28.95</v>
      </c>
      <c r="Q33" t="s">
        <v>1870</v>
      </c>
      <c r="R33">
        <v>18353040</v>
      </c>
      <c r="S33" s="4">
        <v>-0.7026</v>
      </c>
      <c r="T33" t="s">
        <v>22</v>
      </c>
      <c r="U33">
        <v>218078770</v>
      </c>
      <c r="V33">
        <v>272432480</v>
      </c>
      <c r="W33">
        <v>1.27</v>
      </c>
      <c r="X33">
        <v>0.18</v>
      </c>
      <c r="Y33">
        <v>3.41</v>
      </c>
      <c r="Z33" t="s">
        <v>1217</v>
      </c>
      <c r="AA33" t="s">
        <v>1641</v>
      </c>
      <c r="AB33" t="s">
        <v>1871</v>
      </c>
      <c r="AC33" t="s">
        <v>1872</v>
      </c>
      <c r="AD33" t="s">
        <v>2</v>
      </c>
      <c r="AE33">
        <v>2174725</v>
      </c>
      <c r="AF33" t="s">
        <v>1873</v>
      </c>
      <c r="AG33" t="s">
        <v>1874</v>
      </c>
      <c r="AH33" t="s">
        <v>1875</v>
      </c>
      <c r="AI33" t="s">
        <v>1430</v>
      </c>
      <c r="AJ33" t="s">
        <v>1876</v>
      </c>
      <c r="AK33" t="s">
        <v>1877</v>
      </c>
      <c r="AL33" t="s">
        <v>1878</v>
      </c>
      <c r="AM33" t="s">
        <v>2</v>
      </c>
      <c r="AN33" t="s">
        <v>916</v>
      </c>
      <c r="AO33" t="s">
        <v>2</v>
      </c>
      <c r="AP33" t="s">
        <v>145</v>
      </c>
      <c r="AQ33" t="s">
        <v>1879</v>
      </c>
      <c r="AR33" t="s">
        <v>2</v>
      </c>
      <c r="AS33" t="s">
        <v>865</v>
      </c>
      <c r="AT33" t="s">
        <v>2</v>
      </c>
      <c r="AU33" t="s">
        <v>1880</v>
      </c>
      <c r="AV33" t="s">
        <v>1881</v>
      </c>
      <c r="AW33" t="s">
        <v>1882</v>
      </c>
      <c r="AX33" t="s">
        <v>937</v>
      </c>
      <c r="AY33" t="s">
        <v>691</v>
      </c>
      <c r="AZ33" t="s">
        <v>506</v>
      </c>
      <c r="BA33" t="s">
        <v>507</v>
      </c>
      <c r="BB33" t="s">
        <v>508</v>
      </c>
      <c r="BC33" t="s">
        <v>769</v>
      </c>
      <c r="BD33" t="s">
        <v>30</v>
      </c>
      <c r="BE33" t="s">
        <v>51</v>
      </c>
      <c r="BF33" t="s">
        <v>19</v>
      </c>
      <c r="BG33" t="s">
        <v>109</v>
      </c>
      <c r="BH33" t="s">
        <v>1870</v>
      </c>
      <c r="BI33" t="s">
        <v>1883</v>
      </c>
      <c r="BJ33" t="s">
        <v>937</v>
      </c>
      <c r="BK33" t="s">
        <v>22</v>
      </c>
      <c r="BL33" t="s">
        <v>1884</v>
      </c>
      <c r="BM33" t="s">
        <v>769</v>
      </c>
      <c r="BN33">
        <v>5.57</v>
      </c>
      <c r="BO33">
        <v>8.92</v>
      </c>
      <c r="BP33">
        <v>9.07</v>
      </c>
      <c r="BQ33">
        <v>5.5</v>
      </c>
      <c r="BR33">
        <v>9.17</v>
      </c>
      <c r="BS33">
        <v>9.2799999999999994</v>
      </c>
      <c r="BT33" t="s">
        <v>852</v>
      </c>
      <c r="BU33" t="s">
        <v>790</v>
      </c>
      <c r="BV33">
        <v>16.77</v>
      </c>
      <c r="BW33">
        <v>19.559999999999999</v>
      </c>
      <c r="BX33">
        <v>20.48</v>
      </c>
      <c r="BY33">
        <v>3.94</v>
      </c>
      <c r="BZ33">
        <v>6.46</v>
      </c>
      <c r="CA33">
        <v>7.54</v>
      </c>
      <c r="CB33">
        <v>-1.1100000000000001</v>
      </c>
      <c r="CC33">
        <v>-5.18</v>
      </c>
      <c r="CD33" t="s">
        <v>2987</v>
      </c>
      <c r="CE33" t="s">
        <v>2988</v>
      </c>
      <c r="CF33" s="8">
        <v>-0.29023746701846964</v>
      </c>
      <c r="CG33" s="9">
        <v>-0.70261525598397789</v>
      </c>
      <c r="CH33" s="8">
        <v>-0.14639042317867279</v>
      </c>
      <c r="CI33" s="8">
        <v>0.24770635366439819</v>
      </c>
      <c r="CJ33" s="8">
        <v>0.25813227891921997</v>
      </c>
      <c r="CK33" s="8">
        <v>-0.10851262509822845</v>
      </c>
      <c r="CL33" s="8">
        <v>-0.22954957187175751</v>
      </c>
      <c r="CM33" s="9">
        <v>-0.47668394446372986</v>
      </c>
      <c r="CN33" s="9">
        <v>6.6298343241214752E-2</v>
      </c>
      <c r="CO33" s="9">
        <v>0.6454545259475708</v>
      </c>
      <c r="CP33" s="9">
        <v>1.8518518656492233E-2</v>
      </c>
      <c r="CQ33" s="9">
        <v>-0.28947368264198303</v>
      </c>
      <c r="CR33">
        <v>22.188734201183429</v>
      </c>
      <c r="CS33">
        <v>51.876744831850516</v>
      </c>
      <c r="CT33">
        <v>1.7346053772766696</v>
      </c>
      <c r="CU33" s="8">
        <v>4.2772024869918825E-3</v>
      </c>
      <c r="CV33" s="9">
        <v>-7.177247852087021E-3</v>
      </c>
      <c r="CW33">
        <v>0.06</v>
      </c>
      <c r="CX33">
        <v>16.886862598011167</v>
      </c>
      <c r="CY33">
        <v>95690563.633194506</v>
      </c>
      <c r="CZ33">
        <v>4.2772024869918825E-3</v>
      </c>
      <c r="DA33">
        <v>5.9379916406745057</v>
      </c>
      <c r="DB33">
        <v>272131302.59921449</v>
      </c>
      <c r="DC33">
        <v>4.0633423626422879E-3</v>
      </c>
      <c r="DD33">
        <v>3.2131064918825651</v>
      </c>
      <c r="DE33">
        <v>502913116.66213506</v>
      </c>
      <c r="DF33">
        <v>3.7639381885528566E-3</v>
      </c>
      <c r="DG33">
        <v>2.1366971365224763</v>
      </c>
      <c r="DH33">
        <v>756266937.5922581</v>
      </c>
      <c r="DI33">
        <v>3.4217619895935063E-3</v>
      </c>
      <c r="DJ33">
        <v>1.3592622520603683</v>
      </c>
      <c r="DK33">
        <v>1188816505.0935535</v>
      </c>
      <c r="DL33">
        <v>2.9940417408943175E-3</v>
      </c>
      <c r="DM33">
        <v>101000000</v>
      </c>
      <c r="DN33">
        <v>4.2772024869918825E-3</v>
      </c>
      <c r="DO33">
        <v>1615913400</v>
      </c>
      <c r="DP33">
        <v>1665662400</v>
      </c>
      <c r="DQ33">
        <v>1970</v>
      </c>
      <c r="DR33">
        <v>-0.29451466950546151</v>
      </c>
      <c r="DS33">
        <v>-0.69543800813189083</v>
      </c>
      <c r="DT33" s="10">
        <v>-0.25666666666666665</v>
      </c>
      <c r="DU33">
        <v>-0.44</v>
      </c>
      <c r="DV33">
        <v>-0.69666666666666666</v>
      </c>
      <c r="DW33">
        <v>-1.0518000000000001</v>
      </c>
      <c r="DX33">
        <v>0.55662670381449486</v>
      </c>
      <c r="DY33">
        <v>-1.0101852632575907</v>
      </c>
      <c r="DZ33">
        <v>3261</v>
      </c>
      <c r="EA33">
        <v>-1.0036816126832804</v>
      </c>
      <c r="EB33">
        <v>1</v>
      </c>
      <c r="EC33">
        <v>4.5722888842035285E-2</v>
      </c>
      <c r="ED33">
        <v>0.23253651693806848</v>
      </c>
      <c r="EE33" s="11">
        <v>4.0293000000000001</v>
      </c>
      <c r="EF33">
        <v>4.0651999999999999</v>
      </c>
      <c r="EG33">
        <v>36.196626703814495</v>
      </c>
      <c r="EH33" t="s">
        <v>1256</v>
      </c>
      <c r="EI33">
        <v>0</v>
      </c>
      <c r="EJ33">
        <v>0</v>
      </c>
      <c r="EK33" s="12">
        <v>45511</v>
      </c>
      <c r="EL33">
        <v>0.6</v>
      </c>
      <c r="EM33">
        <v>-3.07</v>
      </c>
      <c r="EN33">
        <v>-4.13</v>
      </c>
      <c r="EO33">
        <v>2.11</v>
      </c>
      <c r="EP33">
        <v>3.59</v>
      </c>
    </row>
    <row r="34" spans="1:146" ht="108" x14ac:dyDescent="0.25">
      <c r="A34" s="6"/>
      <c r="B34" s="6"/>
      <c r="C34" s="6" t="str">
        <f>""&amp;CHAR(10)&amp;Basic_Fundamental_Information_Constructure(F34)&amp;CHAR(10)&amp;Basic_Fundamental_Information_Concatenate("")</f>
        <v xml:space="preserve">
市值51.490142亿, 利润8147.02万; PE130.5; 平均PE56.89; 平均PEG1.22, PB3.12; ROIC8.6967%; ROE9.4733%; 股利率.4459%; 毛利20.35%; 净利11.3733%; 上一年度营收增-.59%, 利润增-59.47%; 当季营收增-38.39%, 利润增-99.93%; 过往5年营收增46.57%, 利润增263.63%
Income profile:
</v>
      </c>
      <c r="D34" t="s">
        <v>338</v>
      </c>
      <c r="E34" t="s">
        <v>339</v>
      </c>
      <c r="F34">
        <v>17.940000000000001</v>
      </c>
      <c r="G34">
        <v>2.0499999999999998</v>
      </c>
      <c r="H34" t="s">
        <v>2989</v>
      </c>
      <c r="I34">
        <v>5149014200</v>
      </c>
      <c r="J34">
        <v>130.5</v>
      </c>
      <c r="K34">
        <v>3.12</v>
      </c>
      <c r="L34" t="s">
        <v>212</v>
      </c>
      <c r="M34" t="s">
        <v>1269</v>
      </c>
      <c r="N34" t="s">
        <v>1885</v>
      </c>
      <c r="O34" t="s">
        <v>1886</v>
      </c>
      <c r="P34">
        <v>-38.46</v>
      </c>
      <c r="Q34" t="s">
        <v>1887</v>
      </c>
      <c r="R34">
        <v>27793</v>
      </c>
      <c r="S34" s="4">
        <v>-0.99929999999999997</v>
      </c>
      <c r="T34" t="s">
        <v>1888</v>
      </c>
      <c r="U34">
        <v>222370590</v>
      </c>
      <c r="V34">
        <v>287013050</v>
      </c>
      <c r="W34">
        <v>1.49</v>
      </c>
      <c r="X34">
        <v>0.1</v>
      </c>
      <c r="Y34">
        <v>4.1500000000000004</v>
      </c>
      <c r="Z34" t="s">
        <v>839</v>
      </c>
      <c r="AA34" t="s">
        <v>1158</v>
      </c>
      <c r="AB34" t="s">
        <v>1889</v>
      </c>
      <c r="AC34" t="s">
        <v>1890</v>
      </c>
      <c r="AD34" t="s">
        <v>2</v>
      </c>
      <c r="AE34">
        <v>-6947630</v>
      </c>
      <c r="AF34" t="s">
        <v>1891</v>
      </c>
      <c r="AG34" t="s">
        <v>2</v>
      </c>
      <c r="AH34" t="s">
        <v>1892</v>
      </c>
      <c r="AI34" t="s">
        <v>1893</v>
      </c>
      <c r="AJ34" t="s">
        <v>1894</v>
      </c>
      <c r="AK34" t="s">
        <v>41</v>
      </c>
      <c r="AL34" t="s">
        <v>1895</v>
      </c>
      <c r="AM34" t="s">
        <v>2</v>
      </c>
      <c r="AN34" t="s">
        <v>107</v>
      </c>
      <c r="AO34" t="s">
        <v>2</v>
      </c>
      <c r="AP34" t="s">
        <v>51</v>
      </c>
      <c r="AQ34" t="s">
        <v>56</v>
      </c>
      <c r="AR34" t="s">
        <v>2</v>
      </c>
      <c r="AS34" t="s">
        <v>175</v>
      </c>
      <c r="AT34" t="s">
        <v>1004</v>
      </c>
      <c r="AU34" t="s">
        <v>1896</v>
      </c>
      <c r="AV34" t="s">
        <v>1897</v>
      </c>
      <c r="AW34" t="s">
        <v>390</v>
      </c>
      <c r="AX34" t="s">
        <v>1242</v>
      </c>
      <c r="AY34" t="s">
        <v>463</v>
      </c>
      <c r="AZ34" t="s">
        <v>341</v>
      </c>
      <c r="BA34" t="s">
        <v>207</v>
      </c>
      <c r="BB34" t="s">
        <v>247</v>
      </c>
      <c r="BC34" t="s">
        <v>325</v>
      </c>
      <c r="BD34" t="s">
        <v>32</v>
      </c>
      <c r="BE34" t="s">
        <v>342</v>
      </c>
      <c r="BF34" t="s">
        <v>343</v>
      </c>
      <c r="BG34" t="s">
        <v>344</v>
      </c>
      <c r="BH34" t="s">
        <v>1887</v>
      </c>
      <c r="BI34" t="s">
        <v>1898</v>
      </c>
      <c r="BJ34" t="s">
        <v>1242</v>
      </c>
      <c r="BK34" t="s">
        <v>1888</v>
      </c>
      <c r="BL34" t="s">
        <v>1899</v>
      </c>
      <c r="BM34" t="s">
        <v>325</v>
      </c>
      <c r="BN34">
        <v>4.22</v>
      </c>
      <c r="BO34">
        <v>8.64</v>
      </c>
      <c r="BP34">
        <v>13.23</v>
      </c>
      <c r="BQ34">
        <v>3.58</v>
      </c>
      <c r="BR34">
        <v>12.14</v>
      </c>
      <c r="BS34">
        <v>12.7</v>
      </c>
      <c r="BT34" t="s">
        <v>863</v>
      </c>
      <c r="BU34" t="s">
        <v>757</v>
      </c>
      <c r="BV34">
        <v>19.45</v>
      </c>
      <c r="BW34">
        <v>18.670000000000002</v>
      </c>
      <c r="BX34">
        <v>22.93</v>
      </c>
      <c r="BY34">
        <v>6.81</v>
      </c>
      <c r="BZ34">
        <v>13.24</v>
      </c>
      <c r="CA34">
        <v>14.07</v>
      </c>
      <c r="CB34">
        <v>-5.68</v>
      </c>
      <c r="CC34">
        <v>-9.39</v>
      </c>
      <c r="CD34" t="s">
        <v>2990</v>
      </c>
      <c r="CE34" t="s">
        <v>685</v>
      </c>
      <c r="CF34" s="8">
        <v>-0.38385826771653542</v>
      </c>
      <c r="CG34" s="9">
        <v>-0.99933891983692424</v>
      </c>
      <c r="CH34" s="8">
        <v>-5.9347180649638176E-3</v>
      </c>
      <c r="CI34" s="8">
        <v>0.4601387083530426</v>
      </c>
      <c r="CJ34" s="8">
        <v>0.48519948124885559</v>
      </c>
      <c r="CK34" s="8">
        <v>0.90909093618392944</v>
      </c>
      <c r="CL34" s="8">
        <v>0.47999998927116394</v>
      </c>
      <c r="CM34" s="9">
        <v>-0.59467560052871704</v>
      </c>
      <c r="CN34" s="9">
        <v>0.24074074625968933</v>
      </c>
      <c r="CO34" s="9">
        <v>0.83135902881622314</v>
      </c>
      <c r="CP34" s="9">
        <v>10.364779472351074</v>
      </c>
      <c r="CQ34" s="9">
        <v>2.3391678333282471</v>
      </c>
      <c r="CR34">
        <v>56.890606041465908</v>
      </c>
      <c r="CS34">
        <v>1.2216178427347251</v>
      </c>
      <c r="CT34">
        <v>0.44593088071348941</v>
      </c>
      <c r="CU34" s="8">
        <v>0.46569887939840554</v>
      </c>
      <c r="CV34" s="9">
        <v>2.6362742960453032</v>
      </c>
      <c r="CW34">
        <v>0.06</v>
      </c>
      <c r="CX34">
        <v>36.031546076294461</v>
      </c>
      <c r="CY34">
        <v>112651680.0418528</v>
      </c>
      <c r="CZ34">
        <v>0.46569887939840554</v>
      </c>
      <c r="DA34">
        <v>8.6916505857559834</v>
      </c>
      <c r="DB34">
        <v>467001539.00019604</v>
      </c>
      <c r="DC34">
        <v>0.44241393542848523</v>
      </c>
      <c r="DD34">
        <v>2.7258153708636792</v>
      </c>
      <c r="DE34">
        <v>1489100928.6200829</v>
      </c>
      <c r="DF34">
        <v>0.40981501387059688</v>
      </c>
      <c r="DG34">
        <v>0.92607858709719482</v>
      </c>
      <c r="DH34">
        <v>4383012690.8808374</v>
      </c>
      <c r="DI34">
        <v>0.37255910351872445</v>
      </c>
      <c r="DJ34">
        <v>0.11482181691206068</v>
      </c>
      <c r="DK34">
        <v>35350548433.741501</v>
      </c>
      <c r="DL34">
        <v>0.32598921557888388</v>
      </c>
      <c r="DM34">
        <v>81470200</v>
      </c>
      <c r="DN34">
        <v>0.46569887939840554</v>
      </c>
      <c r="DO34">
        <v>4059014200</v>
      </c>
      <c r="DP34">
        <v>1769642900</v>
      </c>
      <c r="DQ34">
        <v>2011</v>
      </c>
      <c r="DR34">
        <v>-0.84955714711494101</v>
      </c>
      <c r="DS34">
        <v>-3.6356132158822274</v>
      </c>
      <c r="DT34" s="10">
        <v>0.17666666666666661</v>
      </c>
      <c r="DU34">
        <v>0.81250000000000033</v>
      </c>
      <c r="DV34">
        <v>0.98916666666666697</v>
      </c>
      <c r="DW34">
        <v>-8.6048988285410015</v>
      </c>
      <c r="DX34">
        <v>0.42240790697674568</v>
      </c>
      <c r="DY34">
        <v>-8.1103383292468489</v>
      </c>
      <c r="DZ34">
        <v>240</v>
      </c>
      <c r="EA34">
        <v>-8.1051530543262995</v>
      </c>
      <c r="EB34">
        <v>8</v>
      </c>
      <c r="EC34">
        <v>0.13664082521683246</v>
      </c>
      <c r="ED34">
        <v>0.74909485823031396</v>
      </c>
      <c r="EE34" s="11">
        <v>3.06711</v>
      </c>
      <c r="EF34">
        <v>3.0466099999999998</v>
      </c>
      <c r="EG34">
        <v>24.182407906976746</v>
      </c>
      <c r="EH34" t="s">
        <v>1260</v>
      </c>
      <c r="EI34">
        <v>0</v>
      </c>
      <c r="EJ34">
        <v>1</v>
      </c>
      <c r="EK34" s="12">
        <v>45511</v>
      </c>
      <c r="EL34">
        <v>-1.89</v>
      </c>
      <c r="EM34">
        <v>-3.43</v>
      </c>
      <c r="EN34">
        <v>-4.2699999999999996</v>
      </c>
      <c r="EO34">
        <v>1.91</v>
      </c>
      <c r="EP34">
        <v>2.0499999999999998</v>
      </c>
    </row>
    <row r="35" spans="1:146" ht="156" x14ac:dyDescent="0.25">
      <c r="A35" s="6" t="s">
        <v>635</v>
      </c>
      <c r="B35" s="6" t="s">
        <v>633</v>
      </c>
      <c r="C35" s="6" t="str">
        <f>"公司主营业务是光通信领域集成光电子器件的研发、生产和销售"&amp;CHAR(10)&amp;Basic_Fundamental_Information_Constructure(F35)&amp;CHAR(10)&amp;Basic_Fundamental_Information_Concatenate("光有源器件 5.13亿 66.08% 利润占比48.62%（毛利18.91%）
光无源器件 2.63亿 33.92% 利润占比51.38%（毛利38.93%）")</f>
        <v>公司主营业务是光通信领域集成光电子器件的研发、生产和销售
市值12.46亿, 利润-3445.70万; PE; 平均PE-146.86; 平均PEG-14.05, PB2.2; ROIC0%; ROE-2.9367%; 股利率0%; 毛利20.0533%; 净利-12.18%; 上一年度营收增-14.95%, 利润增-83.2%; 当季营收增-27.81%, 利润增-646.87%; 过往5年营收增-10.46%, 利润增-151.81%
Income profile:
光有源器件 5.13亿 66.08% 利润占比48.62%（毛利18.91%）
光无源器件 2.63亿 33.92% 利润占比51.38%（毛利38.93%）</v>
      </c>
      <c r="D35" t="s">
        <v>509</v>
      </c>
      <c r="E35" t="s">
        <v>938</v>
      </c>
      <c r="F35">
        <v>6.23</v>
      </c>
      <c r="G35">
        <v>4.01</v>
      </c>
      <c r="H35" t="s">
        <v>2991</v>
      </c>
      <c r="I35">
        <v>1246000000</v>
      </c>
      <c r="K35">
        <v>2.2000000000000002</v>
      </c>
      <c r="L35" t="s">
        <v>212</v>
      </c>
      <c r="M35" t="s">
        <v>60</v>
      </c>
      <c r="N35" t="s">
        <v>1136</v>
      </c>
      <c r="O35" t="s">
        <v>1900</v>
      </c>
      <c r="P35">
        <v>-27.81</v>
      </c>
      <c r="Q35" t="s">
        <v>66</v>
      </c>
      <c r="R35">
        <v>-3711623</v>
      </c>
      <c r="S35" s="4">
        <v>-6.468</v>
      </c>
      <c r="T35" t="s">
        <v>1901</v>
      </c>
      <c r="U35">
        <v>197582710</v>
      </c>
      <c r="V35">
        <v>200000000</v>
      </c>
      <c r="W35">
        <v>1.17</v>
      </c>
      <c r="X35">
        <v>0.05</v>
      </c>
      <c r="Y35">
        <v>-11.44</v>
      </c>
      <c r="Z35" t="s">
        <v>1902</v>
      </c>
      <c r="AA35" t="s">
        <v>1903</v>
      </c>
      <c r="AB35" t="s">
        <v>1904</v>
      </c>
      <c r="AC35" t="s">
        <v>1905</v>
      </c>
      <c r="AD35" t="s">
        <v>2</v>
      </c>
      <c r="AE35">
        <v>-1053679</v>
      </c>
      <c r="AF35" t="s">
        <v>1906</v>
      </c>
      <c r="AG35" t="s">
        <v>1907</v>
      </c>
      <c r="AH35" t="s">
        <v>1908</v>
      </c>
      <c r="AI35" t="s">
        <v>1909</v>
      </c>
      <c r="AJ35" t="s">
        <v>1910</v>
      </c>
      <c r="AK35" t="s">
        <v>1911</v>
      </c>
      <c r="AL35" t="s">
        <v>1912</v>
      </c>
      <c r="AM35" t="s">
        <v>2</v>
      </c>
      <c r="AN35">
        <v>0</v>
      </c>
      <c r="AO35" t="s">
        <v>2</v>
      </c>
      <c r="AP35" t="s">
        <v>1913</v>
      </c>
      <c r="AQ35" t="s">
        <v>1914</v>
      </c>
      <c r="AR35" t="s">
        <v>2</v>
      </c>
      <c r="AS35" t="s">
        <v>1915</v>
      </c>
      <c r="AT35" t="s">
        <v>2</v>
      </c>
      <c r="AU35" t="s">
        <v>1916</v>
      </c>
      <c r="AV35" t="s">
        <v>1917</v>
      </c>
      <c r="AW35" t="s">
        <v>1918</v>
      </c>
      <c r="AX35" t="s">
        <v>873</v>
      </c>
      <c r="AY35" t="s">
        <v>4</v>
      </c>
      <c r="AZ35" t="s">
        <v>171</v>
      </c>
      <c r="BA35" t="s">
        <v>56</v>
      </c>
      <c r="BB35" t="s">
        <v>70</v>
      </c>
      <c r="BC35" t="s">
        <v>939</v>
      </c>
      <c r="BD35" t="s">
        <v>940</v>
      </c>
      <c r="BE35" t="s">
        <v>510</v>
      </c>
      <c r="BF35" t="s">
        <v>511</v>
      </c>
      <c r="BG35" t="s">
        <v>512</v>
      </c>
      <c r="BH35" t="s">
        <v>66</v>
      </c>
      <c r="BI35" t="s">
        <v>1919</v>
      </c>
      <c r="BJ35" t="s">
        <v>873</v>
      </c>
      <c r="BK35" t="s">
        <v>1901</v>
      </c>
      <c r="BL35" t="s">
        <v>1920</v>
      </c>
      <c r="BM35" t="s">
        <v>939</v>
      </c>
      <c r="BN35" t="s">
        <v>2</v>
      </c>
      <c r="BO35" t="s">
        <v>2</v>
      </c>
      <c r="BP35" t="s">
        <v>2</v>
      </c>
      <c r="BQ35">
        <v>-3.36</v>
      </c>
      <c r="BR35">
        <v>-3.05</v>
      </c>
      <c r="BS35">
        <v>-2.4</v>
      </c>
      <c r="BT35" t="s">
        <v>836</v>
      </c>
      <c r="BU35" t="s">
        <v>790</v>
      </c>
      <c r="BV35">
        <v>19.84</v>
      </c>
      <c r="BW35">
        <v>22.22</v>
      </c>
      <c r="BX35">
        <v>18.100000000000001</v>
      </c>
      <c r="BY35">
        <v>-20.29</v>
      </c>
      <c r="BZ35">
        <v>-8.4499999999999993</v>
      </c>
      <c r="CA35">
        <v>-7.8</v>
      </c>
      <c r="CB35">
        <v>16.010000000000002</v>
      </c>
      <c r="CC35">
        <v>14.1</v>
      </c>
      <c r="CD35" t="s">
        <v>2992</v>
      </c>
      <c r="CE35" t="s">
        <v>2993</v>
      </c>
      <c r="CF35" s="8">
        <v>-0.27813466668018944</v>
      </c>
      <c r="CG35" s="9">
        <v>-6.4687240312361869</v>
      </c>
      <c r="CH35" s="8">
        <v>-0.14953270554542542</v>
      </c>
      <c r="CI35" s="8">
        <v>0.1145833358168602</v>
      </c>
      <c r="CJ35" s="8">
        <v>2.1276595070958138E-2</v>
      </c>
      <c r="CK35" s="8">
        <v>-0.28787878155708313</v>
      </c>
      <c r="CL35" s="8">
        <v>-0.22123894095420837</v>
      </c>
      <c r="CM35" s="9">
        <v>-0.83202981948852539</v>
      </c>
      <c r="CN35" s="9">
        <v>-0.15661723911762238</v>
      </c>
      <c r="CO35" s="9">
        <v>-5.772768497467041</v>
      </c>
      <c r="CP35" s="9">
        <v>-0.3125302791595459</v>
      </c>
      <c r="CQ35" s="9">
        <v>-0.51679891347885132</v>
      </c>
      <c r="CR35">
        <v>-146.85689702927121</v>
      </c>
      <c r="CS35">
        <v>-14.045482638318306</v>
      </c>
      <c r="CT35">
        <v>0</v>
      </c>
      <c r="CU35" s="8">
        <v>-0.10455809943377972</v>
      </c>
      <c r="CV35" s="9">
        <v>-1.5181489497423173</v>
      </c>
      <c r="CW35">
        <v>0.06</v>
      </c>
      <c r="CX35" t="e">
        <v>#VALUE!</v>
      </c>
      <c r="CY35" t="s">
        <v>768</v>
      </c>
      <c r="CZ35">
        <v>-0.10455809943377972</v>
      </c>
      <c r="DA35" t="e">
        <v>#VALUE!</v>
      </c>
      <c r="DB35" t="s">
        <v>765</v>
      </c>
      <c r="DC35">
        <v>-9.9330194462090737E-2</v>
      </c>
      <c r="DD35" t="e">
        <v>#VALUE!</v>
      </c>
      <c r="DE35" t="s">
        <v>765</v>
      </c>
      <c r="DF35">
        <v>-9.2011127501726159E-2</v>
      </c>
      <c r="DG35" t="e">
        <v>#VALUE!</v>
      </c>
      <c r="DH35" t="s">
        <v>765</v>
      </c>
      <c r="DI35">
        <v>-8.3646479547023783E-2</v>
      </c>
      <c r="DJ35" t="e">
        <v>#VALUE!</v>
      </c>
      <c r="DK35" t="s">
        <v>765</v>
      </c>
      <c r="DL35">
        <v>-7.31906696036458E-2</v>
      </c>
      <c r="DM35">
        <v>-34457000</v>
      </c>
      <c r="DN35">
        <v>-0.10455809943377972</v>
      </c>
      <c r="DO35">
        <v>788000000</v>
      </c>
      <c r="DP35">
        <v>413942720</v>
      </c>
      <c r="DQ35">
        <v>2018</v>
      </c>
      <c r="DR35">
        <v>-0.17357656724640971</v>
      </c>
      <c r="DS35">
        <v>-4.95057508149387</v>
      </c>
      <c r="DT35" s="10">
        <v>-0.65666666666666662</v>
      </c>
      <c r="DU35">
        <v>-3.1150000000000002</v>
      </c>
      <c r="DV35">
        <v>-3.7716666666666669</v>
      </c>
      <c r="DW35">
        <v>5.880699562773267</v>
      </c>
      <c r="DX35">
        <v>0.64313614691859566</v>
      </c>
      <c r="DY35">
        <v>5.3814628152125037</v>
      </c>
      <c r="DZ35">
        <v>5058</v>
      </c>
      <c r="EA35">
        <v>5.0036600113462724</v>
      </c>
      <c r="EB35">
        <v>5</v>
      </c>
      <c r="EC35">
        <v>4.9057000000000003E-2</v>
      </c>
      <c r="ED35">
        <v>0.11326</v>
      </c>
      <c r="EE35" s="11">
        <v>9.9400000000000002E-2</v>
      </c>
      <c r="EF35">
        <v>0.13950000000000001</v>
      </c>
      <c r="EG35">
        <v>21.433136146918596</v>
      </c>
      <c r="EH35" t="s">
        <v>766</v>
      </c>
      <c r="EI35">
        <v>1</v>
      </c>
      <c r="EJ35">
        <v>0</v>
      </c>
      <c r="EK35" s="12">
        <v>45511</v>
      </c>
      <c r="EL35">
        <v>-0.37</v>
      </c>
      <c r="EM35">
        <v>9.5299999999999994</v>
      </c>
      <c r="EN35">
        <v>3.92</v>
      </c>
      <c r="EO35">
        <v>-1.64</v>
      </c>
      <c r="EP35">
        <v>4.01</v>
      </c>
    </row>
    <row r="36" spans="1:146" ht="108" x14ac:dyDescent="0.25">
      <c r="A36" s="6"/>
      <c r="B36" s="6"/>
      <c r="C36" s="6" t="str">
        <f>""&amp;CHAR(10)&amp;Basic_Fundamental_Information_Constructure(F36)&amp;CHAR(10)&amp;Basic_Fundamental_Information_Concatenate("")</f>
        <v xml:space="preserve">
市值62.455408亿, 利润5044.65万; PE68.31; 平均PE116.03; 平均PEG6.89, PB6.01; ROIC5.36%; ROE5.4367%; 股利率.569%; 毛利15.5033%; 净利6.8667%; 上一年度营收增-1.69%, 利润增16.77%; 当季营收增32.86%, 利润增442.54%; 过往5年营收增16.83%, 利润增5.65%
Income profile:
</v>
      </c>
      <c r="D36" t="s">
        <v>424</v>
      </c>
      <c r="E36" t="s">
        <v>425</v>
      </c>
      <c r="F36">
        <v>35.15</v>
      </c>
      <c r="G36">
        <v>-5.31</v>
      </c>
      <c r="H36" t="s">
        <v>2994</v>
      </c>
      <c r="I36">
        <v>6245540800</v>
      </c>
      <c r="J36">
        <v>68.31</v>
      </c>
      <c r="K36">
        <v>6.01</v>
      </c>
      <c r="L36" t="s">
        <v>212</v>
      </c>
      <c r="M36" t="s">
        <v>90</v>
      </c>
      <c r="N36" t="s">
        <v>740</v>
      </c>
      <c r="O36" t="s">
        <v>786</v>
      </c>
      <c r="P36">
        <v>33.270000000000003</v>
      </c>
      <c r="Q36" t="s">
        <v>1921</v>
      </c>
      <c r="R36">
        <v>50239368</v>
      </c>
      <c r="S36" s="4">
        <v>4.4249999999999998</v>
      </c>
      <c r="T36" t="s">
        <v>1922</v>
      </c>
      <c r="U36">
        <v>123039000</v>
      </c>
      <c r="V36">
        <v>177682530</v>
      </c>
      <c r="W36">
        <v>1.24</v>
      </c>
      <c r="X36">
        <v>0.14000000000000001</v>
      </c>
      <c r="Y36">
        <v>27</v>
      </c>
      <c r="Z36" t="s">
        <v>49</v>
      </c>
      <c r="AA36" t="s">
        <v>101</v>
      </c>
      <c r="AB36" t="s">
        <v>1923</v>
      </c>
      <c r="AC36" t="s">
        <v>1924</v>
      </c>
      <c r="AD36" t="s">
        <v>2</v>
      </c>
      <c r="AE36">
        <v>-1630458</v>
      </c>
      <c r="AF36" t="s">
        <v>1925</v>
      </c>
      <c r="AG36" t="s">
        <v>1926</v>
      </c>
      <c r="AH36" t="s">
        <v>1927</v>
      </c>
      <c r="AI36" t="s">
        <v>138</v>
      </c>
      <c r="AJ36" t="s">
        <v>1928</v>
      </c>
      <c r="AK36" t="s">
        <v>1929</v>
      </c>
      <c r="AL36" t="s">
        <v>1930</v>
      </c>
      <c r="AM36" t="s">
        <v>2</v>
      </c>
      <c r="AN36" t="s">
        <v>1931</v>
      </c>
      <c r="AO36" t="s">
        <v>2</v>
      </c>
      <c r="AP36" t="s">
        <v>1932</v>
      </c>
      <c r="AQ36" t="s">
        <v>1933</v>
      </c>
      <c r="AR36" t="s">
        <v>2</v>
      </c>
      <c r="AS36" t="s">
        <v>1151</v>
      </c>
      <c r="AT36" t="s">
        <v>2</v>
      </c>
      <c r="AU36" t="s">
        <v>1934</v>
      </c>
      <c r="AV36" t="s">
        <v>1935</v>
      </c>
      <c r="AW36" t="s">
        <v>1936</v>
      </c>
      <c r="AX36" t="s">
        <v>941</v>
      </c>
      <c r="AY36" t="s">
        <v>692</v>
      </c>
      <c r="AZ36" t="s">
        <v>132</v>
      </c>
      <c r="BA36" t="s">
        <v>427</v>
      </c>
      <c r="BB36" t="s">
        <v>86</v>
      </c>
      <c r="BC36" t="s">
        <v>1937</v>
      </c>
      <c r="BD36" t="s">
        <v>693</v>
      </c>
      <c r="BE36" t="s">
        <v>426</v>
      </c>
      <c r="BF36" t="s">
        <v>428</v>
      </c>
      <c r="BG36" t="s">
        <v>429</v>
      </c>
      <c r="BH36" t="s">
        <v>1921</v>
      </c>
      <c r="BI36" t="s">
        <v>985</v>
      </c>
      <c r="BJ36" t="s">
        <v>941</v>
      </c>
      <c r="BK36" t="s">
        <v>1922</v>
      </c>
      <c r="BL36" t="s">
        <v>1938</v>
      </c>
      <c r="BM36" t="s">
        <v>1937</v>
      </c>
      <c r="BN36">
        <v>3.97</v>
      </c>
      <c r="BO36">
        <v>4.6100000000000003</v>
      </c>
      <c r="BP36">
        <v>7.5</v>
      </c>
      <c r="BQ36">
        <v>4.12</v>
      </c>
      <c r="BR36">
        <v>4.54</v>
      </c>
      <c r="BS36">
        <v>7.65</v>
      </c>
      <c r="BT36" t="s">
        <v>852</v>
      </c>
      <c r="BU36" t="s">
        <v>789</v>
      </c>
      <c r="BV36">
        <v>16.559999999999999</v>
      </c>
      <c r="BW36">
        <v>13.9</v>
      </c>
      <c r="BX36">
        <v>16.05</v>
      </c>
      <c r="BY36">
        <v>6.68</v>
      </c>
      <c r="BZ36">
        <v>5.62</v>
      </c>
      <c r="CA36">
        <v>8.3000000000000007</v>
      </c>
      <c r="CB36">
        <v>-11.93</v>
      </c>
      <c r="CC36">
        <v>44.71</v>
      </c>
      <c r="CD36" t="s">
        <v>1164</v>
      </c>
      <c r="CE36" t="s">
        <v>2995</v>
      </c>
      <c r="CF36" s="8">
        <v>0.32857142857142857</v>
      </c>
      <c r="CG36" s="9">
        <v>4.4254177105831536</v>
      </c>
      <c r="CH36" s="8">
        <v>-1.692708395421505E-2</v>
      </c>
      <c r="CI36" s="8">
        <v>-8.5714288055896759E-2</v>
      </c>
      <c r="CJ36" s="8">
        <v>0.35265699028968811</v>
      </c>
      <c r="CK36" s="8">
        <v>0.31847134232521057</v>
      </c>
      <c r="CL36" s="8">
        <v>0.27297297120094299</v>
      </c>
      <c r="CM36" s="9">
        <v>0.16772954165935516</v>
      </c>
      <c r="CN36" s="9">
        <v>-0.38014304637908936</v>
      </c>
      <c r="CO36" s="9">
        <v>0.12697546184062958</v>
      </c>
      <c r="CP36" s="9">
        <v>0.15291501581668854</v>
      </c>
      <c r="CQ36" s="9">
        <v>0.21525652706623077</v>
      </c>
      <c r="CR36">
        <v>116.03013983409157</v>
      </c>
      <c r="CS36">
        <v>6.8945730775972205</v>
      </c>
      <c r="CT36">
        <v>0.56899004267425324</v>
      </c>
      <c r="CU36" s="8">
        <v>0.16829198636114598</v>
      </c>
      <c r="CV36" s="9">
        <v>5.6546700000762937E-2</v>
      </c>
      <c r="CW36">
        <v>0.06</v>
      </c>
      <c r="CX36">
        <v>97.779109810135097</v>
      </c>
      <c r="CY36">
        <v>55600228.009403355</v>
      </c>
      <c r="CZ36">
        <v>0.16829198636114598</v>
      </c>
      <c r="DA36">
        <v>29.921608645567265</v>
      </c>
      <c r="DB36">
        <v>181692798.15125835</v>
      </c>
      <c r="DC36">
        <v>0.15987738704308868</v>
      </c>
      <c r="DD36">
        <v>13.457268830231911</v>
      </c>
      <c r="DE36">
        <v>403985449.69145209</v>
      </c>
      <c r="DF36">
        <v>0.14809694799780845</v>
      </c>
      <c r="DG36">
        <v>7.2728773242910671</v>
      </c>
      <c r="DH36">
        <v>747508937.32831299</v>
      </c>
      <c r="DI36">
        <v>0.13463358908891679</v>
      </c>
      <c r="DJ36">
        <v>2.9455373554129753</v>
      </c>
      <c r="DK36">
        <v>1845687269.9337323</v>
      </c>
      <c r="DL36">
        <v>0.11780439045280218</v>
      </c>
      <c r="DM36">
        <v>50446500</v>
      </c>
      <c r="DN36">
        <v>0.16829198636114598</v>
      </c>
      <c r="DO36">
        <v>5436540800</v>
      </c>
      <c r="DP36">
        <v>633750850</v>
      </c>
      <c r="DQ36">
        <v>2026</v>
      </c>
      <c r="DR36">
        <v>0.16027944221028259</v>
      </c>
      <c r="DS36">
        <v>4.3688710105823905</v>
      </c>
      <c r="DT36" s="10">
        <v>-9.000000000000008E-2</v>
      </c>
      <c r="DU36">
        <v>0.83333333333333337</v>
      </c>
      <c r="DV36">
        <v>0.74333333333333329</v>
      </c>
      <c r="DW36">
        <v>-7.2106285310734464</v>
      </c>
      <c r="DX36">
        <v>0.38229838709677577</v>
      </c>
      <c r="DY36">
        <v>-7.0341846708697835</v>
      </c>
      <c r="DZ36">
        <v>459</v>
      </c>
      <c r="EA36">
        <v>-7.0311122675157147</v>
      </c>
      <c r="EB36">
        <v>7</v>
      </c>
      <c r="EC36">
        <v>0.90611046567155473</v>
      </c>
      <c r="ED36">
        <v>5.5829911922123125</v>
      </c>
      <c r="EE36" s="11">
        <v>4.0393100000000004</v>
      </c>
      <c r="EF36">
        <v>4.0924100000000001</v>
      </c>
      <c r="EG36">
        <v>22.162298387096776</v>
      </c>
      <c r="EH36" t="s">
        <v>2978</v>
      </c>
      <c r="EI36">
        <v>0</v>
      </c>
      <c r="EJ36">
        <v>1</v>
      </c>
      <c r="EK36" s="12">
        <v>45511</v>
      </c>
      <c r="EL36">
        <v>-2.56</v>
      </c>
      <c r="EM36">
        <v>2.8</v>
      </c>
      <c r="EN36">
        <v>-15.13</v>
      </c>
      <c r="EO36">
        <v>9.4</v>
      </c>
      <c r="EP36">
        <v>-5.31</v>
      </c>
    </row>
    <row r="37" spans="1:146" ht="108" x14ac:dyDescent="0.25">
      <c r="A37" s="6"/>
      <c r="B37" s="6"/>
      <c r="C37" s="6" t="str">
        <f>""&amp;CHAR(10)&amp;Basic_Fundamental_Information_Constructure(F37)&amp;CHAR(10)&amp;Basic_Fundamental_Information_Concatenate("")</f>
        <v xml:space="preserve">
市值26.768334亿, 利润-2.24亿; PE; 平均PE-39.17; 平均PEG-3.04, PB3.42; ROIC0%; ROE-14.7533%; 股利率0%; 毛利20.2933%; 净利-22.1033%; 上一年度营收增-38.61%, 利润增-1606.42%; 当季营收增-35.13%, 利润增-22.34%; 过往5年营收增12.88%, 利润增-611.83%
Income profile:
</v>
      </c>
      <c r="D37" t="s">
        <v>345</v>
      </c>
      <c r="E37" t="s">
        <v>346</v>
      </c>
      <c r="F37">
        <v>10.72</v>
      </c>
      <c r="G37">
        <v>4.28</v>
      </c>
      <c r="H37" t="s">
        <v>2996</v>
      </c>
      <c r="I37">
        <v>2676833400</v>
      </c>
      <c r="K37">
        <v>3.42</v>
      </c>
      <c r="L37" t="s">
        <v>212</v>
      </c>
      <c r="M37" t="s">
        <v>1150</v>
      </c>
      <c r="N37" t="s">
        <v>1224</v>
      </c>
      <c r="O37" t="s">
        <v>1939</v>
      </c>
      <c r="P37">
        <v>-35.130000000000003</v>
      </c>
      <c r="Q37" t="s">
        <v>1940</v>
      </c>
      <c r="R37">
        <v>-48079599</v>
      </c>
      <c r="S37" s="4">
        <v>-0.22339999999999999</v>
      </c>
      <c r="T37" t="s">
        <v>1941</v>
      </c>
      <c r="U37">
        <v>188291940</v>
      </c>
      <c r="V37">
        <v>249704610</v>
      </c>
      <c r="W37">
        <v>2.44</v>
      </c>
      <c r="X37">
        <v>0.04</v>
      </c>
      <c r="Y37">
        <v>-70.91</v>
      </c>
      <c r="Z37" t="s">
        <v>98</v>
      </c>
      <c r="AA37" t="s">
        <v>1942</v>
      </c>
      <c r="AB37" t="s">
        <v>1943</v>
      </c>
      <c r="AC37" t="s">
        <v>1944</v>
      </c>
      <c r="AD37" t="s">
        <v>2</v>
      </c>
      <c r="AE37">
        <v>8039828</v>
      </c>
      <c r="AF37" t="s">
        <v>20</v>
      </c>
      <c r="AG37">
        <v>1986.75</v>
      </c>
      <c r="AH37" t="s">
        <v>1945</v>
      </c>
      <c r="AI37" t="s">
        <v>235</v>
      </c>
      <c r="AJ37" t="s">
        <v>1946</v>
      </c>
      <c r="AK37" t="s">
        <v>1947</v>
      </c>
      <c r="AL37" t="s">
        <v>1948</v>
      </c>
      <c r="AM37" t="s">
        <v>2</v>
      </c>
      <c r="AN37">
        <v>0</v>
      </c>
      <c r="AO37" t="s">
        <v>1127</v>
      </c>
      <c r="AP37" t="s">
        <v>1949</v>
      </c>
      <c r="AQ37" t="s">
        <v>79</v>
      </c>
      <c r="AR37" t="s">
        <v>2</v>
      </c>
      <c r="AS37" t="s">
        <v>1231</v>
      </c>
      <c r="AT37" t="s">
        <v>70</v>
      </c>
      <c r="AU37" t="s">
        <v>1950</v>
      </c>
      <c r="AV37" t="s">
        <v>1195</v>
      </c>
      <c r="AW37" t="s">
        <v>1951</v>
      </c>
      <c r="AX37" t="s">
        <v>942</v>
      </c>
      <c r="AY37" t="s">
        <v>694</v>
      </c>
      <c r="AZ37" t="s">
        <v>162</v>
      </c>
      <c r="BA37" t="s">
        <v>70</v>
      </c>
      <c r="BB37" t="s">
        <v>175</v>
      </c>
      <c r="BC37" t="s">
        <v>1952</v>
      </c>
      <c r="BD37" t="s">
        <v>695</v>
      </c>
      <c r="BE37" t="s">
        <v>347</v>
      </c>
      <c r="BF37" t="s">
        <v>348</v>
      </c>
      <c r="BG37" t="s">
        <v>349</v>
      </c>
      <c r="BH37" t="s">
        <v>1940</v>
      </c>
      <c r="BI37" t="s">
        <v>19</v>
      </c>
      <c r="BJ37" t="s">
        <v>942</v>
      </c>
      <c r="BK37" t="s">
        <v>1941</v>
      </c>
      <c r="BL37" t="s">
        <v>1953</v>
      </c>
      <c r="BM37" t="s">
        <v>1952</v>
      </c>
      <c r="BN37" t="s">
        <v>2</v>
      </c>
      <c r="BO37" t="s">
        <v>2</v>
      </c>
      <c r="BP37" t="s">
        <v>2</v>
      </c>
      <c r="BQ37">
        <v>-22.46</v>
      </c>
      <c r="BR37">
        <v>-2.42</v>
      </c>
      <c r="BS37">
        <v>-19.38</v>
      </c>
      <c r="BT37" t="s">
        <v>836</v>
      </c>
      <c r="BU37" t="s">
        <v>757</v>
      </c>
      <c r="BV37">
        <v>15.75</v>
      </c>
      <c r="BW37">
        <v>25.78</v>
      </c>
      <c r="BX37">
        <v>19.350000000000001</v>
      </c>
      <c r="BY37">
        <v>-46.38</v>
      </c>
      <c r="BZ37">
        <v>-2.81</v>
      </c>
      <c r="CA37">
        <v>-17.12</v>
      </c>
      <c r="CB37">
        <v>3.28</v>
      </c>
      <c r="CC37">
        <v>5.62</v>
      </c>
      <c r="CD37" t="s">
        <v>2997</v>
      </c>
      <c r="CE37" t="s">
        <v>1126</v>
      </c>
      <c r="CF37" s="8">
        <v>-0.3512777777777778</v>
      </c>
      <c r="CG37" s="9">
        <v>-0.2233558855409731</v>
      </c>
      <c r="CH37" s="8">
        <v>-0.38609111309051514</v>
      </c>
      <c r="CI37" s="8">
        <v>0.18297871947288513</v>
      </c>
      <c r="CJ37" s="8">
        <v>-0.10759493708610535</v>
      </c>
      <c r="CK37" s="8">
        <v>1.3303835391998291</v>
      </c>
      <c r="CL37" s="8">
        <v>-0.37569060921669006</v>
      </c>
      <c r="CM37" s="9">
        <v>-16.064197540283203</v>
      </c>
      <c r="CN37" s="9">
        <v>0.89060920476913452</v>
      </c>
      <c r="CO37" s="9">
        <v>-10.658492088317871</v>
      </c>
      <c r="CP37" s="9">
        <v>1.1514639854431152</v>
      </c>
      <c r="CQ37" s="9">
        <v>-5.9111266136169434</v>
      </c>
      <c r="CR37">
        <v>-39.170477542764132</v>
      </c>
      <c r="CS37">
        <v>-3.041254151225933</v>
      </c>
      <c r="CT37">
        <v>0</v>
      </c>
      <c r="CU37" s="8">
        <v>0.12879711985588074</v>
      </c>
      <c r="CV37" s="9">
        <v>-6.1183486104011537</v>
      </c>
      <c r="CW37">
        <v>0.06</v>
      </c>
      <c r="CX37" t="e">
        <v>#VALUE!</v>
      </c>
      <c r="CY37" t="s">
        <v>768</v>
      </c>
      <c r="CZ37">
        <v>0.12879711985588074</v>
      </c>
      <c r="DA37" t="e">
        <v>#VALUE!</v>
      </c>
      <c r="DB37" t="s">
        <v>765</v>
      </c>
      <c r="DC37">
        <v>0.12235726386308669</v>
      </c>
      <c r="DD37" t="e">
        <v>#VALUE!</v>
      </c>
      <c r="DE37" t="s">
        <v>765</v>
      </c>
      <c r="DF37">
        <v>0.11334146547317506</v>
      </c>
      <c r="DG37" t="e">
        <v>#VALUE!</v>
      </c>
      <c r="DH37" t="s">
        <v>765</v>
      </c>
      <c r="DI37">
        <v>0.1030376958847046</v>
      </c>
      <c r="DJ37" t="e">
        <v>#VALUE!</v>
      </c>
      <c r="DK37" t="s">
        <v>765</v>
      </c>
      <c r="DL37">
        <v>9.0157983899116514E-2</v>
      </c>
      <c r="DM37">
        <v>-224000000.00000003</v>
      </c>
      <c r="DN37">
        <v>0.12879711985588074</v>
      </c>
      <c r="DO37">
        <v>3085833400</v>
      </c>
      <c r="DP37">
        <v>81233580</v>
      </c>
      <c r="DQ37">
        <v>2028</v>
      </c>
      <c r="DR37">
        <v>-0.48007489763365851</v>
      </c>
      <c r="DS37">
        <v>5.894992724860181</v>
      </c>
      <c r="DT37" s="10">
        <v>-0.32333333333333336</v>
      </c>
      <c r="DU37">
        <v>-2.831666666666667</v>
      </c>
      <c r="DV37">
        <v>-3.1550000000000002</v>
      </c>
      <c r="DW37">
        <v>8.5836298932384345</v>
      </c>
      <c r="DX37">
        <v>0.70410283018867914</v>
      </c>
      <c r="DY37">
        <v>8.124956811925065</v>
      </c>
      <c r="DZ37">
        <v>4931</v>
      </c>
      <c r="EA37">
        <v>8.0043063244368149</v>
      </c>
      <c r="EB37">
        <v>8</v>
      </c>
      <c r="EC37">
        <v>0.1817739768600988</v>
      </c>
      <c r="ED37">
        <v>0.84900314815973965</v>
      </c>
      <c r="EE37" s="11">
        <v>-2.0175000000000001</v>
      </c>
      <c r="EF37">
        <v>-2.0602999999999998</v>
      </c>
      <c r="EG37">
        <v>49.214102830188679</v>
      </c>
      <c r="EH37" t="s">
        <v>1128</v>
      </c>
      <c r="EI37">
        <v>0</v>
      </c>
      <c r="EJ37">
        <v>0</v>
      </c>
      <c r="EK37" s="12">
        <v>45511</v>
      </c>
      <c r="EL37">
        <v>0.1</v>
      </c>
      <c r="EM37">
        <v>-0.38</v>
      </c>
      <c r="EN37">
        <v>-3.19</v>
      </c>
      <c r="EO37">
        <v>2.59</v>
      </c>
      <c r="EP37">
        <v>4.28</v>
      </c>
    </row>
    <row r="38" spans="1:146" ht="108" x14ac:dyDescent="0.25">
      <c r="A38" s="6"/>
      <c r="B38" s="6"/>
      <c r="C38" s="6" t="str">
        <f>""&amp;CHAR(10)&amp;Basic_Fundamental_Information_Constructure(F38)&amp;CHAR(10)&amp;Basic_Fundamental_Information_Concatenate("")</f>
        <v xml:space="preserve">
市值71.658527亿, 利润1.55亿; PE45.3; 平均PE53.52; 平均PEG11.66, PB5.13; ROIC8.1967%; ROE9.4267%; 股利率1.5848%; 毛利30.0333%; 净利15.73%; 上一年度营收增-5.25%, 利润增-13.89%; 当季营收增17.37%, 利润增10.8%; 过往5年营收增4.59%, 利润增17.33%
Income profile:
</v>
      </c>
      <c r="D38" t="s">
        <v>350</v>
      </c>
      <c r="E38" t="s">
        <v>351</v>
      </c>
      <c r="F38">
        <v>31.55</v>
      </c>
      <c r="G38">
        <v>6.7</v>
      </c>
      <c r="H38" t="s">
        <v>2998</v>
      </c>
      <c r="I38">
        <v>7165852700</v>
      </c>
      <c r="J38">
        <v>45.3</v>
      </c>
      <c r="K38">
        <v>5.13</v>
      </c>
      <c r="L38" t="s">
        <v>212</v>
      </c>
      <c r="M38" t="s">
        <v>1430</v>
      </c>
      <c r="N38" t="s">
        <v>302</v>
      </c>
      <c r="O38" t="s">
        <v>1151</v>
      </c>
      <c r="P38">
        <v>17.53</v>
      </c>
      <c r="Q38" t="s">
        <v>1190</v>
      </c>
      <c r="R38">
        <v>31749073</v>
      </c>
      <c r="S38" s="4">
        <v>0.108</v>
      </c>
      <c r="T38" t="s">
        <v>41</v>
      </c>
      <c r="U38">
        <v>192467180</v>
      </c>
      <c r="V38">
        <v>227126870</v>
      </c>
      <c r="W38">
        <v>1.28</v>
      </c>
      <c r="X38">
        <v>0.13</v>
      </c>
      <c r="Y38">
        <v>14.46</v>
      </c>
      <c r="Z38" t="s">
        <v>171</v>
      </c>
      <c r="AA38" t="s">
        <v>1012</v>
      </c>
      <c r="AB38" t="s">
        <v>1954</v>
      </c>
      <c r="AC38" t="s">
        <v>1955</v>
      </c>
      <c r="AD38" t="s">
        <v>2</v>
      </c>
      <c r="AE38">
        <v>-4606696</v>
      </c>
      <c r="AF38" t="s">
        <v>1956</v>
      </c>
      <c r="AG38" t="s">
        <v>1957</v>
      </c>
      <c r="AH38" t="s">
        <v>1958</v>
      </c>
      <c r="AI38" t="s">
        <v>1959</v>
      </c>
      <c r="AJ38" t="s">
        <v>1960</v>
      </c>
      <c r="AK38" t="s">
        <v>1961</v>
      </c>
      <c r="AL38" t="s">
        <v>1962</v>
      </c>
      <c r="AM38" t="s">
        <v>2</v>
      </c>
      <c r="AN38" t="s">
        <v>1963</v>
      </c>
      <c r="AO38" t="s">
        <v>2</v>
      </c>
      <c r="AP38" t="s">
        <v>1964</v>
      </c>
      <c r="AQ38" t="s">
        <v>1139</v>
      </c>
      <c r="AR38" t="s">
        <v>2</v>
      </c>
      <c r="AS38" t="s">
        <v>1965</v>
      </c>
      <c r="AT38" t="s">
        <v>2</v>
      </c>
      <c r="AU38" t="s">
        <v>1966</v>
      </c>
      <c r="AV38" t="s">
        <v>1967</v>
      </c>
      <c r="AW38" t="s">
        <v>1968</v>
      </c>
      <c r="AX38" t="s">
        <v>943</v>
      </c>
      <c r="AY38" t="s">
        <v>281</v>
      </c>
      <c r="AZ38" t="s">
        <v>165</v>
      </c>
      <c r="BA38" t="s">
        <v>278</v>
      </c>
      <c r="BB38" t="s">
        <v>77</v>
      </c>
      <c r="BC38" t="s">
        <v>49</v>
      </c>
      <c r="BD38" t="s">
        <v>696</v>
      </c>
      <c r="BE38" t="s">
        <v>352</v>
      </c>
      <c r="BF38" t="s">
        <v>25</v>
      </c>
      <c r="BG38" t="s">
        <v>27</v>
      </c>
      <c r="BH38" t="s">
        <v>1190</v>
      </c>
      <c r="BI38" t="s">
        <v>125</v>
      </c>
      <c r="BJ38" t="s">
        <v>943</v>
      </c>
      <c r="BK38" t="s">
        <v>41</v>
      </c>
      <c r="BL38" t="s">
        <v>1969</v>
      </c>
      <c r="BM38" t="s">
        <v>49</v>
      </c>
      <c r="BN38">
        <v>5.69</v>
      </c>
      <c r="BO38">
        <v>13.74</v>
      </c>
      <c r="BP38">
        <v>5.16</v>
      </c>
      <c r="BQ38">
        <v>7.84</v>
      </c>
      <c r="BR38">
        <v>14.44</v>
      </c>
      <c r="BS38">
        <v>6</v>
      </c>
      <c r="BT38" t="s">
        <v>930</v>
      </c>
      <c r="BU38" t="s">
        <v>757</v>
      </c>
      <c r="BV38">
        <v>29.4</v>
      </c>
      <c r="BW38">
        <v>32.78</v>
      </c>
      <c r="BX38">
        <v>27.92</v>
      </c>
      <c r="BY38">
        <v>17.149999999999999</v>
      </c>
      <c r="BZ38">
        <v>19.11</v>
      </c>
      <c r="CA38">
        <v>10.93</v>
      </c>
      <c r="CB38">
        <v>-3.31</v>
      </c>
      <c r="CC38">
        <v>-2.02</v>
      </c>
      <c r="CD38" t="s">
        <v>2999</v>
      </c>
      <c r="CE38" t="s">
        <v>130</v>
      </c>
      <c r="CF38" s="8">
        <v>0.1736842105263158</v>
      </c>
      <c r="CG38" s="9">
        <v>0.1080463264138037</v>
      </c>
      <c r="CH38" s="8">
        <v>-5.246252566576004E-2</v>
      </c>
      <c r="CI38" s="8">
        <v>0.44582042098045349</v>
      </c>
      <c r="CJ38" s="8">
        <v>0.12543554604053497</v>
      </c>
      <c r="CK38" s="8">
        <v>-0.23771581053733826</v>
      </c>
      <c r="CL38" s="8">
        <v>-5.1637280732393265E-2</v>
      </c>
      <c r="CM38" s="9">
        <v>-0.1388888955116272</v>
      </c>
      <c r="CN38" s="9">
        <v>1.5084730386734009</v>
      </c>
      <c r="CO38" s="9">
        <v>-5.1041837781667709E-2</v>
      </c>
      <c r="CP38" s="9">
        <v>-0.54990237951278687</v>
      </c>
      <c r="CQ38" s="9">
        <v>9.8039217293262482E-2</v>
      </c>
      <c r="CR38">
        <v>53.518235609552328</v>
      </c>
      <c r="CS38">
        <v>11.662777621636669</v>
      </c>
      <c r="CT38">
        <v>1.5847860538827259</v>
      </c>
      <c r="CU38" s="8">
        <v>4.588807001709938E-2</v>
      </c>
      <c r="CV38" s="9">
        <v>0.17333582863211633</v>
      </c>
      <c r="CW38">
        <v>0.06</v>
      </c>
      <c r="CX38">
        <v>39.642950924547975</v>
      </c>
      <c r="CY38">
        <v>152936463.0685381</v>
      </c>
      <c r="CZ38">
        <v>4.588807001709938E-2</v>
      </c>
      <c r="DA38">
        <v>13.450477481570013</v>
      </c>
      <c r="DB38">
        <v>450753715.49503613</v>
      </c>
      <c r="DC38">
        <v>4.3593666516244411E-2</v>
      </c>
      <c r="DD38">
        <v>6.956157546118245</v>
      </c>
      <c r="DE38">
        <v>871580705.26784754</v>
      </c>
      <c r="DF38">
        <v>4.0381501615047458E-2</v>
      </c>
      <c r="DG38">
        <v>4.4109040902593568</v>
      </c>
      <c r="DH38">
        <v>1374514742.5419333</v>
      </c>
      <c r="DI38">
        <v>3.6710456013679504E-2</v>
      </c>
      <c r="DJ38">
        <v>2.5570303701915371</v>
      </c>
      <c r="DK38">
        <v>2371052284.1955357</v>
      </c>
      <c r="DL38">
        <v>3.2121649011969566E-2</v>
      </c>
      <c r="DM38">
        <v>155000000</v>
      </c>
      <c r="DN38">
        <v>4.588807001709938E-2</v>
      </c>
      <c r="DO38">
        <v>6062852700</v>
      </c>
      <c r="DP38">
        <v>1025076900</v>
      </c>
      <c r="DQ38">
        <v>2033</v>
      </c>
      <c r="DR38">
        <v>0.12779614050921642</v>
      </c>
      <c r="DS38">
        <v>-6.5289502218312631E-2</v>
      </c>
      <c r="DT38" s="10">
        <v>-0.40666666666666668</v>
      </c>
      <c r="DU38">
        <v>0.18333333333333335</v>
      </c>
      <c r="DV38">
        <v>-0.22333333333333333</v>
      </c>
      <c r="DW38">
        <v>-4.6102719033232624</v>
      </c>
      <c r="DX38">
        <v>0.71334199134199339</v>
      </c>
      <c r="DY38">
        <v>-4.1240939040818194</v>
      </c>
      <c r="DZ38">
        <v>2336</v>
      </c>
      <c r="EA38">
        <v>-4.0673319381654043</v>
      </c>
      <c r="EB38">
        <v>4</v>
      </c>
      <c r="EC38">
        <v>0.20680952456219734</v>
      </c>
      <c r="ED38">
        <v>1.0170527159556242</v>
      </c>
      <c r="EE38" s="11">
        <v>-6.0649100000000002</v>
      </c>
      <c r="EF38">
        <v>-6.0021000000000004</v>
      </c>
      <c r="EG38">
        <v>51.203341991341993</v>
      </c>
      <c r="EH38" t="s">
        <v>2871</v>
      </c>
      <c r="EI38">
        <v>0</v>
      </c>
      <c r="EJ38">
        <v>0</v>
      </c>
      <c r="EK38" s="12">
        <v>45511</v>
      </c>
      <c r="EL38">
        <v>-1.84</v>
      </c>
      <c r="EM38">
        <v>-4.4000000000000004</v>
      </c>
      <c r="EN38">
        <v>-5.65</v>
      </c>
      <c r="EO38">
        <v>2.35</v>
      </c>
      <c r="EP38">
        <v>6.7</v>
      </c>
    </row>
    <row r="39" spans="1:146" ht="108" x14ac:dyDescent="0.25">
      <c r="A39" s="6"/>
      <c r="B39" s="6"/>
      <c r="C39" s="6" t="str">
        <f>""&amp;CHAR(10)&amp;Basic_Fundamental_Information_Constructure(F39)&amp;CHAR(10)&amp;Basic_Fundamental_Information_Concatenate("")</f>
        <v xml:space="preserve">
市值51.203331亿, 利润1.47亿; PE27.91; 平均PE36.29; 平均PEG1.62, PB2.86; ROIC8.9467%; ROE9.4433%; 股利率1.3441%; 毛利37.0533%; 净利15.95%; 上一年度营收增1.4%, 利润增-11.45%; 当季营收增20.45%, 利润增83.06%; 过往5年营收增22.45%, 利润增10.57%
Income profile:
</v>
      </c>
      <c r="D39" t="s">
        <v>513</v>
      </c>
      <c r="E39" t="s">
        <v>514</v>
      </c>
      <c r="F39">
        <v>11.16</v>
      </c>
      <c r="G39">
        <v>4.0999999999999996</v>
      </c>
      <c r="H39" t="s">
        <v>3000</v>
      </c>
      <c r="I39">
        <v>5120333100</v>
      </c>
      <c r="J39">
        <v>27.91</v>
      </c>
      <c r="K39">
        <v>2.86</v>
      </c>
      <c r="L39" t="s">
        <v>212</v>
      </c>
      <c r="M39" t="s">
        <v>261</v>
      </c>
      <c r="N39" t="s">
        <v>1970</v>
      </c>
      <c r="O39" t="s">
        <v>1126</v>
      </c>
      <c r="P39">
        <v>20.49</v>
      </c>
      <c r="Q39" t="s">
        <v>1971</v>
      </c>
      <c r="R39">
        <v>35436403</v>
      </c>
      <c r="S39" s="4">
        <v>0.8306</v>
      </c>
      <c r="T39" t="s">
        <v>92</v>
      </c>
      <c r="U39">
        <v>353221210</v>
      </c>
      <c r="V39">
        <v>458811210</v>
      </c>
      <c r="W39">
        <v>1.1000000000000001</v>
      </c>
      <c r="X39">
        <v>0.11</v>
      </c>
      <c r="Y39">
        <v>16.7</v>
      </c>
      <c r="Z39" t="s">
        <v>145</v>
      </c>
      <c r="AA39" t="s">
        <v>73</v>
      </c>
      <c r="AB39" t="s">
        <v>1972</v>
      </c>
      <c r="AC39" t="s">
        <v>1973</v>
      </c>
      <c r="AD39" t="s">
        <v>2</v>
      </c>
      <c r="AE39">
        <v>-4883828</v>
      </c>
      <c r="AF39" t="s">
        <v>1974</v>
      </c>
      <c r="AG39" t="s">
        <v>2</v>
      </c>
      <c r="AH39" t="s">
        <v>1975</v>
      </c>
      <c r="AI39" t="s">
        <v>543</v>
      </c>
      <c r="AJ39" t="s">
        <v>1976</v>
      </c>
      <c r="AK39" t="s">
        <v>1977</v>
      </c>
      <c r="AL39" t="s">
        <v>1978</v>
      </c>
      <c r="AM39" t="s">
        <v>2</v>
      </c>
      <c r="AN39">
        <v>0</v>
      </c>
      <c r="AO39" t="s">
        <v>2</v>
      </c>
      <c r="AP39" t="s">
        <v>1979</v>
      </c>
      <c r="AQ39" t="s">
        <v>1980</v>
      </c>
      <c r="AR39" t="s">
        <v>2</v>
      </c>
      <c r="AS39" t="s">
        <v>1203</v>
      </c>
      <c r="AT39" t="s">
        <v>2</v>
      </c>
      <c r="AU39" t="s">
        <v>1981</v>
      </c>
      <c r="AV39" t="s">
        <v>1982</v>
      </c>
      <c r="AW39" t="s">
        <v>1983</v>
      </c>
      <c r="AX39" t="s">
        <v>944</v>
      </c>
      <c r="AY39" t="s">
        <v>168</v>
      </c>
      <c r="AZ39" t="s">
        <v>327</v>
      </c>
      <c r="BA39" t="s">
        <v>54</v>
      </c>
      <c r="BB39" t="s">
        <v>243</v>
      </c>
      <c r="BC39" t="s">
        <v>26</v>
      </c>
      <c r="BD39" t="s">
        <v>100</v>
      </c>
      <c r="BE39" t="s">
        <v>515</v>
      </c>
      <c r="BF39" t="s">
        <v>32</v>
      </c>
      <c r="BG39" t="s">
        <v>73</v>
      </c>
      <c r="BH39" t="s">
        <v>1971</v>
      </c>
      <c r="BI39" t="s">
        <v>122</v>
      </c>
      <c r="BJ39" t="s">
        <v>944</v>
      </c>
      <c r="BK39" t="s">
        <v>92</v>
      </c>
      <c r="BL39" t="s">
        <v>1984</v>
      </c>
      <c r="BM39" t="s">
        <v>26</v>
      </c>
      <c r="BN39">
        <v>5.04</v>
      </c>
      <c r="BO39">
        <v>10.14</v>
      </c>
      <c r="BP39">
        <v>11.66</v>
      </c>
      <c r="BQ39">
        <v>5.7</v>
      </c>
      <c r="BR39">
        <v>10.24</v>
      </c>
      <c r="BS39">
        <v>12.39</v>
      </c>
      <c r="BT39" t="s">
        <v>847</v>
      </c>
      <c r="BU39" t="s">
        <v>790</v>
      </c>
      <c r="BV39">
        <v>40.4</v>
      </c>
      <c r="BW39">
        <v>34.71</v>
      </c>
      <c r="BX39">
        <v>36.049999999999997</v>
      </c>
      <c r="BY39">
        <v>14.45</v>
      </c>
      <c r="BZ39">
        <v>16.510000000000002</v>
      </c>
      <c r="CA39">
        <v>16.89</v>
      </c>
      <c r="CB39">
        <v>-7</v>
      </c>
      <c r="CC39">
        <v>0.54</v>
      </c>
      <c r="CD39" t="s">
        <v>3001</v>
      </c>
      <c r="CE39" t="s">
        <v>2701</v>
      </c>
      <c r="CF39" s="8">
        <v>0.20454545454545456</v>
      </c>
      <c r="CG39" s="9">
        <v>0.83064802425958162</v>
      </c>
      <c r="CH39" s="8">
        <v>1.3972056098282337E-2</v>
      </c>
      <c r="CI39" s="8">
        <v>8.794788271188736E-2</v>
      </c>
      <c r="CJ39" s="8">
        <v>0.94714587926864624</v>
      </c>
      <c r="CK39" s="8">
        <v>-0.2480127215385437</v>
      </c>
      <c r="CL39" s="8">
        <v>0.3214285671710968</v>
      </c>
      <c r="CM39" s="9">
        <v>-0.11445783078670502</v>
      </c>
      <c r="CN39" s="9">
        <v>6.4102567732334137E-2</v>
      </c>
      <c r="CO39" s="9">
        <v>0.72436082363128662</v>
      </c>
      <c r="CP39" s="9">
        <v>-0.44155368208885193</v>
      </c>
      <c r="CQ39" s="9">
        <v>0.29600000381469727</v>
      </c>
      <c r="CR39">
        <v>36.294328564932677</v>
      </c>
      <c r="CS39">
        <v>1.6167002873316099</v>
      </c>
      <c r="CT39">
        <v>1.3440860215053763</v>
      </c>
      <c r="CU39" s="8">
        <v>0.22449633274227382</v>
      </c>
      <c r="CV39" s="9">
        <v>0.10569037646055221</v>
      </c>
      <c r="CW39">
        <v>0.06</v>
      </c>
      <c r="CX39">
        <v>21.113515543033486</v>
      </c>
      <c r="CY39">
        <v>169812227.27652285</v>
      </c>
      <c r="CZ39">
        <v>0.22449633274227382</v>
      </c>
      <c r="DA39">
        <v>6.168084246308692</v>
      </c>
      <c r="DB39">
        <v>581271746.10911858</v>
      </c>
      <c r="DC39">
        <v>0.21327151610516012</v>
      </c>
      <c r="DD39">
        <v>2.5954281420511331</v>
      </c>
      <c r="DE39">
        <v>1381403338.3974013</v>
      </c>
      <c r="DF39">
        <v>0.19755677281320097</v>
      </c>
      <c r="DG39">
        <v>1.292941627902948</v>
      </c>
      <c r="DH39">
        <v>2773004614.14885</v>
      </c>
      <c r="DI39">
        <v>0.17959706619381907</v>
      </c>
      <c r="DJ39">
        <v>0.42870139144034941</v>
      </c>
      <c r="DK39">
        <v>8363241108.1149292</v>
      </c>
      <c r="DL39">
        <v>0.15714743291959166</v>
      </c>
      <c r="DM39">
        <v>147000000</v>
      </c>
      <c r="DN39">
        <v>0.22449633274227382</v>
      </c>
      <c r="DO39">
        <v>3585333100</v>
      </c>
      <c r="DP39">
        <v>1414996000</v>
      </c>
      <c r="DQ39">
        <v>2052</v>
      </c>
      <c r="DR39">
        <v>-1.9950878196819261E-2</v>
      </c>
      <c r="DS39">
        <v>0.72495764779902938</v>
      </c>
      <c r="DT39" s="10">
        <v>-0.19000000000000003</v>
      </c>
      <c r="DU39">
        <v>0.25</v>
      </c>
      <c r="DV39">
        <v>5.999999999999997E-2</v>
      </c>
      <c r="DW39">
        <v>-5.0771428571428574</v>
      </c>
      <c r="DX39">
        <v>0.45928002802101403</v>
      </c>
      <c r="DY39">
        <v>-5.0115158878759072</v>
      </c>
      <c r="DZ39">
        <v>1655</v>
      </c>
      <c r="EA39">
        <v>-5.00778399156993</v>
      </c>
      <c r="EB39">
        <v>5</v>
      </c>
      <c r="EC39">
        <v>0.18578207799238383</v>
      </c>
      <c r="ED39">
        <v>1.2445205948651517</v>
      </c>
      <c r="EE39" s="11">
        <v>-2.0836100000000002</v>
      </c>
      <c r="EF39">
        <v>-2.0426099999999998</v>
      </c>
      <c r="EG39">
        <v>31.149280028021014</v>
      </c>
      <c r="EH39" t="s">
        <v>1183</v>
      </c>
      <c r="EI39">
        <v>0</v>
      </c>
      <c r="EJ39">
        <v>0</v>
      </c>
      <c r="EK39" s="12">
        <v>45511</v>
      </c>
      <c r="EL39">
        <v>0</v>
      </c>
      <c r="EM39">
        <v>-2.83</v>
      </c>
      <c r="EN39">
        <v>-9.09</v>
      </c>
      <c r="EO39">
        <v>1.1299999999999999</v>
      </c>
      <c r="EP39">
        <v>4.0999999999999996</v>
      </c>
    </row>
    <row r="40" spans="1:146" ht="108" x14ac:dyDescent="0.25">
      <c r="A40" s="6"/>
      <c r="B40" s="6"/>
      <c r="C40" s="6" t="str">
        <f>""&amp;CHAR(10)&amp;Basic_Fundamental_Information_Constructure(F40)&amp;CHAR(10)&amp;Basic_Fundamental_Information_Concatenate("")</f>
        <v xml:space="preserve">
市值21.719883亿, 利润6033.76万; PE77.08; 平均PE85.73; 平均PEG3.46, PB4.07; ROIC9.1767%; ROE7.8633%; 股利率.8857%; 毛利26.7033%; 净利8.3067%; 上一年度营收增19.15%, 利润增29.8%; 当季营收增-79.35%, 利润增-135.49%; 过往5年营收增24.76%, 利润增113.75%
Income profile:
</v>
      </c>
      <c r="D40" t="s">
        <v>516</v>
      </c>
      <c r="E40" t="s">
        <v>517</v>
      </c>
      <c r="F40">
        <v>11.29</v>
      </c>
      <c r="G40">
        <v>19.98</v>
      </c>
      <c r="H40" t="s">
        <v>3002</v>
      </c>
      <c r="I40">
        <v>2171988300</v>
      </c>
      <c r="J40">
        <v>77.08</v>
      </c>
      <c r="K40">
        <v>4.07</v>
      </c>
      <c r="L40" t="s">
        <v>212</v>
      </c>
      <c r="M40" t="s">
        <v>1414</v>
      </c>
      <c r="N40" t="s">
        <v>853</v>
      </c>
      <c r="O40" t="s">
        <v>1985</v>
      </c>
      <c r="P40">
        <v>-79.36</v>
      </c>
      <c r="Q40" t="s">
        <v>1184</v>
      </c>
      <c r="R40">
        <v>-8424616</v>
      </c>
      <c r="S40" s="4">
        <v>-1.355</v>
      </c>
      <c r="T40" t="s">
        <v>1986</v>
      </c>
      <c r="U40">
        <v>131076097</v>
      </c>
      <c r="V40">
        <v>192381600</v>
      </c>
      <c r="W40">
        <v>1.28</v>
      </c>
      <c r="X40">
        <v>0.06</v>
      </c>
      <c r="Y40">
        <v>-21.03</v>
      </c>
      <c r="Z40" t="s">
        <v>1987</v>
      </c>
      <c r="AA40" t="s">
        <v>1988</v>
      </c>
      <c r="AB40" t="s">
        <v>1989</v>
      </c>
      <c r="AC40" t="s">
        <v>1990</v>
      </c>
      <c r="AD40" t="s">
        <v>2</v>
      </c>
      <c r="AE40">
        <v>-82589</v>
      </c>
      <c r="AF40" t="s">
        <v>20</v>
      </c>
      <c r="AG40" t="s">
        <v>1991</v>
      </c>
      <c r="AH40" t="s">
        <v>1992</v>
      </c>
      <c r="AI40" t="s">
        <v>51</v>
      </c>
      <c r="AJ40" t="s">
        <v>1993</v>
      </c>
      <c r="AK40" t="s">
        <v>1994</v>
      </c>
      <c r="AL40" t="s">
        <v>1995</v>
      </c>
      <c r="AM40" t="s">
        <v>2</v>
      </c>
      <c r="AN40" t="s">
        <v>1996</v>
      </c>
      <c r="AO40" t="s">
        <v>1196</v>
      </c>
      <c r="AP40" t="s">
        <v>1997</v>
      </c>
      <c r="AQ40" t="s">
        <v>1998</v>
      </c>
      <c r="AR40" t="s">
        <v>2</v>
      </c>
      <c r="AS40" t="s">
        <v>60</v>
      </c>
      <c r="AT40" t="s">
        <v>2</v>
      </c>
      <c r="AU40" t="s">
        <v>1999</v>
      </c>
      <c r="AV40" t="s">
        <v>2000</v>
      </c>
      <c r="AW40" t="s">
        <v>2001</v>
      </c>
      <c r="AX40" t="s">
        <v>770</v>
      </c>
      <c r="AY40" t="s">
        <v>688</v>
      </c>
      <c r="AZ40" t="s">
        <v>135</v>
      </c>
      <c r="BA40" t="s">
        <v>134</v>
      </c>
      <c r="BB40" t="s">
        <v>179</v>
      </c>
      <c r="BC40" t="s">
        <v>946</v>
      </c>
      <c r="BD40" t="s">
        <v>697</v>
      </c>
      <c r="BE40" t="s">
        <v>518</v>
      </c>
      <c r="BF40" t="s">
        <v>519</v>
      </c>
      <c r="BG40" t="s">
        <v>520</v>
      </c>
      <c r="BH40" t="s">
        <v>1184</v>
      </c>
      <c r="BI40" t="s">
        <v>117</v>
      </c>
      <c r="BJ40" t="s">
        <v>770</v>
      </c>
      <c r="BK40" t="s">
        <v>1986</v>
      </c>
      <c r="BL40" t="s">
        <v>2002</v>
      </c>
      <c r="BM40" t="s">
        <v>946</v>
      </c>
      <c r="BN40">
        <v>15.8</v>
      </c>
      <c r="BO40">
        <v>10.42</v>
      </c>
      <c r="BP40">
        <v>1.31</v>
      </c>
      <c r="BQ40">
        <v>13.26</v>
      </c>
      <c r="BR40">
        <v>8.89</v>
      </c>
      <c r="BS40">
        <v>1.44</v>
      </c>
      <c r="BT40" t="s">
        <v>842</v>
      </c>
      <c r="BU40" t="s">
        <v>790</v>
      </c>
      <c r="BV40">
        <v>29.02</v>
      </c>
      <c r="BW40">
        <v>28.24</v>
      </c>
      <c r="BX40">
        <v>22.85</v>
      </c>
      <c r="BY40">
        <v>11.76</v>
      </c>
      <c r="BZ40">
        <v>10.54</v>
      </c>
      <c r="CA40">
        <v>2.62</v>
      </c>
      <c r="CB40">
        <v>20.23</v>
      </c>
      <c r="CC40">
        <v>18.97</v>
      </c>
      <c r="CD40" t="s">
        <v>3003</v>
      </c>
      <c r="CE40" t="s">
        <v>3004</v>
      </c>
      <c r="CF40" s="8">
        <v>-0.79350515463917526</v>
      </c>
      <c r="CG40" s="9">
        <v>-1.3549298955173577</v>
      </c>
      <c r="CH40" s="8">
        <v>0.19148936867713928</v>
      </c>
      <c r="CI40" s="8">
        <v>0.86642599105834961</v>
      </c>
      <c r="CJ40" s="8">
        <v>0.23111110925674438</v>
      </c>
      <c r="CK40" s="8">
        <v>-1.7467249184846878E-2</v>
      </c>
      <c r="CL40" s="8">
        <v>-3.3755272626876831E-2</v>
      </c>
      <c r="CM40" s="9">
        <v>0.29804617166519165</v>
      </c>
      <c r="CN40" s="9">
        <v>5.7104663848876953</v>
      </c>
      <c r="CO40" s="9">
        <v>0.25514143705368042</v>
      </c>
      <c r="CP40" s="9">
        <v>-0.6785244345664978</v>
      </c>
      <c r="CQ40" s="9">
        <v>0.10246019810438156</v>
      </c>
      <c r="CR40">
        <v>85.732883263972127</v>
      </c>
      <c r="CS40">
        <v>3.4631042928589748</v>
      </c>
      <c r="CT40">
        <v>0.88573959255978751</v>
      </c>
      <c r="CU40" s="8">
        <v>0.24756078943610191</v>
      </c>
      <c r="CV40" s="9">
        <v>1.1375179514288902</v>
      </c>
      <c r="CW40">
        <v>0.06</v>
      </c>
      <c r="CX40">
        <v>25.332873588918147</v>
      </c>
      <c r="CY40">
        <v>71013984.800641268</v>
      </c>
      <c r="CZ40">
        <v>0.24756078943610191</v>
      </c>
      <c r="DA40">
        <v>7.2625367110748575</v>
      </c>
      <c r="DB40">
        <v>247707980.22358626</v>
      </c>
      <c r="DC40">
        <v>0.23518274996429681</v>
      </c>
      <c r="DD40">
        <v>2.9726465751106788</v>
      </c>
      <c r="DE40">
        <v>605180688.16607285</v>
      </c>
      <c r="DF40">
        <v>0.21785349470376969</v>
      </c>
      <c r="DG40">
        <v>1.4305190260902219</v>
      </c>
      <c r="DH40">
        <v>1257577331.8561504</v>
      </c>
      <c r="DI40">
        <v>0.19804863154888153</v>
      </c>
      <c r="DJ40">
        <v>0.43482570006331028</v>
      </c>
      <c r="DK40">
        <v>4137263045.2571425</v>
      </c>
      <c r="DL40">
        <v>0.17329255260527132</v>
      </c>
      <c r="DM40">
        <v>60337600</v>
      </c>
      <c r="DN40">
        <v>0.24756078943610191</v>
      </c>
      <c r="DO40">
        <v>1798988300</v>
      </c>
      <c r="DP40">
        <v>369494070</v>
      </c>
      <c r="DQ40">
        <v>2077</v>
      </c>
      <c r="DR40">
        <v>-1.0410659440752772</v>
      </c>
      <c r="DS40">
        <v>-2.4924478469462477</v>
      </c>
      <c r="DT40" s="10">
        <v>0.16</v>
      </c>
      <c r="DU40">
        <v>-0.46500000000000002</v>
      </c>
      <c r="DV40">
        <v>-0.30500000000000005</v>
      </c>
      <c r="DW40">
        <v>5.937716262975778</v>
      </c>
      <c r="DX40">
        <v>1.1907402158261693</v>
      </c>
      <c r="DY40">
        <v>5.3382719670895904</v>
      </c>
      <c r="DZ40">
        <v>2536</v>
      </c>
      <c r="EA40">
        <v>5.1702951297018478</v>
      </c>
      <c r="EB40">
        <v>5</v>
      </c>
      <c r="EC40">
        <v>0.15493529526732286</v>
      </c>
      <c r="ED40">
        <v>0.42949273735118121</v>
      </c>
      <c r="EE40" s="11">
        <v>-4.0236000000000001</v>
      </c>
      <c r="EF40">
        <v>-3.0733999999999999</v>
      </c>
      <c r="EG40">
        <v>83.360740215826169</v>
      </c>
      <c r="EH40" t="s">
        <v>1258</v>
      </c>
      <c r="EI40">
        <v>1</v>
      </c>
      <c r="EJ40">
        <v>0</v>
      </c>
      <c r="EK40" s="12">
        <v>45511</v>
      </c>
      <c r="EL40">
        <v>-0.11</v>
      </c>
      <c r="EM40">
        <v>-2.77</v>
      </c>
      <c r="EN40">
        <v>-4.6100000000000003</v>
      </c>
      <c r="EO40">
        <v>8.16</v>
      </c>
      <c r="EP40">
        <v>19.98</v>
      </c>
    </row>
    <row r="41" spans="1:146" ht="108" x14ac:dyDescent="0.25">
      <c r="A41" s="6"/>
      <c r="B41" s="6"/>
      <c r="C41" s="6" t="str">
        <f>""&amp;CHAR(10)&amp;Basic_Fundamental_Information_Constructure(F41)&amp;CHAR(10)&amp;Basic_Fundamental_Information_Concatenate("")</f>
        <v xml:space="preserve">
市值81.955481亿, 利润5963.61万; PE161.9; 平均PE97.33; 平均PEG4.7, PB4.38; ROIC5.49%; ROE6.3867%; 股利率.304%; 毛利37.8267%; 净利15.4433%; 上一年度营收增10.59%, 利润增-49.46%; 当季营收增3.23%, 利润增-58.1%; 过往5年营收增20.72%, 利润增7.36%
Income profile:
</v>
      </c>
      <c r="D41" t="s">
        <v>353</v>
      </c>
      <c r="E41" t="s">
        <v>354</v>
      </c>
      <c r="F41">
        <v>32.89</v>
      </c>
      <c r="G41">
        <v>2.59</v>
      </c>
      <c r="H41" t="s">
        <v>3005</v>
      </c>
      <c r="I41">
        <v>8195548100</v>
      </c>
      <c r="J41">
        <v>161.9</v>
      </c>
      <c r="K41">
        <v>4.38</v>
      </c>
      <c r="L41" t="s">
        <v>212</v>
      </c>
      <c r="M41" t="s">
        <v>112</v>
      </c>
      <c r="N41" t="s">
        <v>2003</v>
      </c>
      <c r="O41" t="s">
        <v>1121</v>
      </c>
      <c r="P41">
        <v>3.38</v>
      </c>
      <c r="Q41" t="s">
        <v>2004</v>
      </c>
      <c r="R41">
        <v>6494860</v>
      </c>
      <c r="S41" s="4">
        <v>-0.58099999999999996</v>
      </c>
      <c r="T41" t="s">
        <v>2005</v>
      </c>
      <c r="U41">
        <v>242508080</v>
      </c>
      <c r="V41">
        <v>249799390</v>
      </c>
      <c r="W41">
        <v>1.32</v>
      </c>
      <c r="X41">
        <v>7.0000000000000007E-2</v>
      </c>
      <c r="Y41">
        <v>4.05</v>
      </c>
      <c r="Z41" t="s">
        <v>32</v>
      </c>
      <c r="AA41" t="s">
        <v>95</v>
      </c>
      <c r="AB41" t="s">
        <v>2006</v>
      </c>
      <c r="AC41" t="s">
        <v>2007</v>
      </c>
      <c r="AD41" t="s">
        <v>2</v>
      </c>
      <c r="AE41">
        <v>-1799909</v>
      </c>
      <c r="AF41" t="s">
        <v>20</v>
      </c>
      <c r="AG41">
        <v>9000</v>
      </c>
      <c r="AH41" t="s">
        <v>2008</v>
      </c>
      <c r="AI41" t="s">
        <v>1147</v>
      </c>
      <c r="AJ41" t="s">
        <v>2009</v>
      </c>
      <c r="AK41" t="s">
        <v>2010</v>
      </c>
      <c r="AL41" t="s">
        <v>2011</v>
      </c>
      <c r="AM41" t="s">
        <v>2</v>
      </c>
      <c r="AN41" t="s">
        <v>45</v>
      </c>
      <c r="AO41" t="s">
        <v>27</v>
      </c>
      <c r="AP41" t="s">
        <v>2012</v>
      </c>
      <c r="AQ41" t="s">
        <v>96</v>
      </c>
      <c r="AR41" t="s">
        <v>2</v>
      </c>
      <c r="AS41" t="s">
        <v>2013</v>
      </c>
      <c r="AT41" t="s">
        <v>2</v>
      </c>
      <c r="AU41" t="s">
        <v>1171</v>
      </c>
      <c r="AV41" t="s">
        <v>1222</v>
      </c>
      <c r="AW41" t="s">
        <v>158</v>
      </c>
      <c r="AX41" t="s">
        <v>947</v>
      </c>
      <c r="AY41" t="s">
        <v>698</v>
      </c>
      <c r="AZ41" t="s">
        <v>332</v>
      </c>
      <c r="BA41" t="s">
        <v>78</v>
      </c>
      <c r="BB41" t="s">
        <v>356</v>
      </c>
      <c r="BC41" t="s">
        <v>89</v>
      </c>
      <c r="BD41" t="s">
        <v>85</v>
      </c>
      <c r="BE41" t="s">
        <v>355</v>
      </c>
      <c r="BF41" t="s">
        <v>357</v>
      </c>
      <c r="BG41" t="s">
        <v>358</v>
      </c>
      <c r="BH41" t="s">
        <v>2004</v>
      </c>
      <c r="BI41" t="s">
        <v>41</v>
      </c>
      <c r="BJ41" t="s">
        <v>947</v>
      </c>
      <c r="BK41" t="s">
        <v>2005</v>
      </c>
      <c r="BL41" t="s">
        <v>2014</v>
      </c>
      <c r="BM41" t="s">
        <v>89</v>
      </c>
      <c r="BN41">
        <v>1.86</v>
      </c>
      <c r="BO41">
        <v>6.84</v>
      </c>
      <c r="BP41">
        <v>7.77</v>
      </c>
      <c r="BQ41">
        <v>2.81</v>
      </c>
      <c r="BR41">
        <v>7.41</v>
      </c>
      <c r="BS41">
        <v>8.94</v>
      </c>
      <c r="BT41" t="s">
        <v>842</v>
      </c>
      <c r="BU41" t="s">
        <v>757</v>
      </c>
      <c r="BV41">
        <v>34.47</v>
      </c>
      <c r="BW41">
        <v>37.020000000000003</v>
      </c>
      <c r="BX41">
        <v>41.99</v>
      </c>
      <c r="BY41">
        <v>8.4</v>
      </c>
      <c r="BZ41">
        <v>18.34</v>
      </c>
      <c r="CA41">
        <v>19.59</v>
      </c>
      <c r="CB41">
        <v>-5.0199999999999996</v>
      </c>
      <c r="CC41">
        <v>-11.35</v>
      </c>
      <c r="CD41" t="s">
        <v>3006</v>
      </c>
      <c r="CE41" t="s">
        <v>42</v>
      </c>
      <c r="CF41" s="8">
        <v>3.2258064516129031E-2</v>
      </c>
      <c r="CG41" s="9">
        <v>-0.58096866390962409</v>
      </c>
      <c r="CH41" s="8">
        <v>0.1059190034866333</v>
      </c>
      <c r="CI41" s="8">
        <v>-3.8922157138586044E-2</v>
      </c>
      <c r="CJ41" s="8">
        <v>0.35772356390953064</v>
      </c>
      <c r="CK41" s="8">
        <v>0.25831201672554016</v>
      </c>
      <c r="CL41" s="8">
        <v>0.35294118523597717</v>
      </c>
      <c r="CM41" s="9">
        <v>-0.49460932612419128</v>
      </c>
      <c r="CN41" s="9">
        <v>-9.9236644804477692E-2</v>
      </c>
      <c r="CO41" s="9">
        <v>1.2126359939575195</v>
      </c>
      <c r="CP41" s="9">
        <v>2.9942139983177185E-2</v>
      </c>
      <c r="CQ41" s="9">
        <v>-0.28070303797721863</v>
      </c>
      <c r="CR41">
        <v>97.326035853249991</v>
      </c>
      <c r="CS41">
        <v>4.697322147268495</v>
      </c>
      <c r="CT41">
        <v>0.30404378230465184</v>
      </c>
      <c r="CU41" s="8">
        <v>0.20719472244381903</v>
      </c>
      <c r="CV41" s="9">
        <v>7.360582500696182E-2</v>
      </c>
      <c r="CW41">
        <v>0.06</v>
      </c>
      <c r="CX41">
        <v>96.993605196569163</v>
      </c>
      <c r="CY41">
        <v>67917344.516162112</v>
      </c>
      <c r="CZ41">
        <v>0.20719472244381903</v>
      </c>
      <c r="DA41">
        <v>28.741217180226979</v>
      </c>
      <c r="DB41">
        <v>229202126.64243108</v>
      </c>
      <c r="DC41">
        <v>0.19683498632162807</v>
      </c>
      <c r="DD41">
        <v>12.345796730604039</v>
      </c>
      <c r="DE41">
        <v>533586308.25907767</v>
      </c>
      <c r="DF41">
        <v>0.18233135575056075</v>
      </c>
      <c r="DG41">
        <v>6.3092026918086219</v>
      </c>
      <c r="DH41">
        <v>1044117366.6131792</v>
      </c>
      <c r="DI41">
        <v>0.16575577795505525</v>
      </c>
      <c r="DJ41">
        <v>2.22907107764529</v>
      </c>
      <c r="DK41">
        <v>2955288490.3781748</v>
      </c>
      <c r="DL41">
        <v>0.1450363057106733</v>
      </c>
      <c r="DM41">
        <v>59636100</v>
      </c>
      <c r="DN41">
        <v>0.20719472244381903</v>
      </c>
      <c r="DO41">
        <v>6587548100</v>
      </c>
      <c r="DP41">
        <v>837127460</v>
      </c>
      <c r="DQ41">
        <v>2082</v>
      </c>
      <c r="DR41">
        <v>-0.17493665792769</v>
      </c>
      <c r="DS41">
        <v>-0.65457448891658587</v>
      </c>
      <c r="DT41" s="10">
        <v>-9.000000000000008E-2</v>
      </c>
      <c r="DU41">
        <v>-0.22</v>
      </c>
      <c r="DV41">
        <v>-0.31000000000000005</v>
      </c>
      <c r="DW41">
        <v>-8.442290748898678</v>
      </c>
      <c r="DX41">
        <v>0.51939449541284155</v>
      </c>
      <c r="DY41">
        <v>-8.0837674332134348</v>
      </c>
      <c r="DZ41">
        <v>2563</v>
      </c>
      <c r="EA41">
        <v>-8.0417278931065166</v>
      </c>
      <c r="EB41">
        <v>8</v>
      </c>
      <c r="EC41">
        <v>8.2642315499649538E-2</v>
      </c>
      <c r="ED41">
        <v>0.43635014481020157</v>
      </c>
      <c r="EE41" s="11">
        <v>-3.1105100000000001</v>
      </c>
      <c r="EF41">
        <v>-3.0846100000000001</v>
      </c>
      <c r="EG41">
        <v>33.189394495412841</v>
      </c>
      <c r="EH41" t="s">
        <v>1186</v>
      </c>
      <c r="EI41">
        <v>0</v>
      </c>
      <c r="EJ41">
        <v>0</v>
      </c>
      <c r="EK41" s="12">
        <v>45511</v>
      </c>
      <c r="EL41">
        <v>-0.4</v>
      </c>
      <c r="EM41">
        <v>-3.02</v>
      </c>
      <c r="EN41">
        <v>-6.4</v>
      </c>
      <c r="EO41">
        <v>2.4</v>
      </c>
      <c r="EP41">
        <v>2.59</v>
      </c>
    </row>
    <row r="42" spans="1:146" ht="108" x14ac:dyDescent="0.25">
      <c r="A42" s="6"/>
      <c r="B42" s="6"/>
      <c r="C42" s="6" t="str">
        <f>""&amp;CHAR(10)&amp;Basic_Fundamental_Information_Constructure(F42)&amp;CHAR(10)&amp;Basic_Fundamental_Information_Concatenate("")</f>
        <v xml:space="preserve">
市值158.20191亿, 利润4.49亿; PE30.15; 平均PE61.44; 平均PEG2.66, PB5.02; ROIC12.91%; ROE14.5867%; 股利率1.2069%; 毛利56.35%; 净利15.97%; 上一年度营收增19.77%, 利润增24.38%; 当季营收增20.51%, 利润增213.66%; 过往5年营收增23.13%, 利润增34.1%
Income profile:
</v>
      </c>
      <c r="D42" t="s">
        <v>699</v>
      </c>
      <c r="E42" t="s">
        <v>700</v>
      </c>
      <c r="F42">
        <v>29</v>
      </c>
      <c r="G42">
        <v>2.65</v>
      </c>
      <c r="H42" t="s">
        <v>3007</v>
      </c>
      <c r="I42">
        <v>15820191000</v>
      </c>
      <c r="J42">
        <v>30.15</v>
      </c>
      <c r="K42">
        <v>5.0199999999999996</v>
      </c>
      <c r="L42" t="s">
        <v>212</v>
      </c>
      <c r="M42" t="s">
        <v>481</v>
      </c>
      <c r="N42" t="s">
        <v>2015</v>
      </c>
      <c r="O42" t="s">
        <v>2016</v>
      </c>
      <c r="P42">
        <v>20.53</v>
      </c>
      <c r="Q42" t="s">
        <v>2017</v>
      </c>
      <c r="R42">
        <v>248000000</v>
      </c>
      <c r="S42" s="4">
        <v>0.30349999999999999</v>
      </c>
      <c r="T42" t="s">
        <v>1004</v>
      </c>
      <c r="U42">
        <v>450177280</v>
      </c>
      <c r="V42">
        <v>545523830</v>
      </c>
      <c r="W42">
        <v>1.35</v>
      </c>
      <c r="X42">
        <v>0.14000000000000001</v>
      </c>
      <c r="Y42">
        <v>16.29</v>
      </c>
      <c r="Z42" t="s">
        <v>1208</v>
      </c>
      <c r="AA42" t="s">
        <v>159</v>
      </c>
      <c r="AB42" t="s">
        <v>60</v>
      </c>
      <c r="AC42" t="s">
        <v>2018</v>
      </c>
      <c r="AD42" t="s">
        <v>2</v>
      </c>
      <c r="AE42">
        <v>3143833</v>
      </c>
      <c r="AF42" t="s">
        <v>2019</v>
      </c>
      <c r="AG42" t="s">
        <v>2020</v>
      </c>
      <c r="AH42" t="s">
        <v>2021</v>
      </c>
      <c r="AI42" t="s">
        <v>378</v>
      </c>
      <c r="AJ42" t="s">
        <v>2022</v>
      </c>
      <c r="AK42" t="s">
        <v>2023</v>
      </c>
      <c r="AL42" t="s">
        <v>2024</v>
      </c>
      <c r="AM42" t="s">
        <v>2</v>
      </c>
      <c r="AN42">
        <v>0</v>
      </c>
      <c r="AO42" t="s">
        <v>2025</v>
      </c>
      <c r="AP42" t="s">
        <v>850</v>
      </c>
      <c r="AQ42" t="s">
        <v>247</v>
      </c>
      <c r="AR42" t="s">
        <v>2</v>
      </c>
      <c r="AS42" t="s">
        <v>2026</v>
      </c>
      <c r="AT42" t="s">
        <v>34</v>
      </c>
      <c r="AU42" t="s">
        <v>2027</v>
      </c>
      <c r="AV42" t="s">
        <v>2028</v>
      </c>
      <c r="AW42" t="s">
        <v>2029</v>
      </c>
      <c r="AX42" t="s">
        <v>948</v>
      </c>
      <c r="AY42" t="s">
        <v>701</v>
      </c>
      <c r="AZ42" t="s">
        <v>702</v>
      </c>
      <c r="BA42" t="s">
        <v>703</v>
      </c>
      <c r="BB42" t="s">
        <v>704</v>
      </c>
      <c r="BC42" t="s">
        <v>669</v>
      </c>
      <c r="BD42" t="s">
        <v>143</v>
      </c>
      <c r="BE42" t="s">
        <v>141</v>
      </c>
      <c r="BF42" t="s">
        <v>36</v>
      </c>
      <c r="BG42" t="s">
        <v>95</v>
      </c>
      <c r="BH42" t="s">
        <v>2017</v>
      </c>
      <c r="BI42" t="s">
        <v>1940</v>
      </c>
      <c r="BJ42" t="s">
        <v>948</v>
      </c>
      <c r="BK42" t="s">
        <v>1004</v>
      </c>
      <c r="BL42" t="s">
        <v>2030</v>
      </c>
      <c r="BM42" t="s">
        <v>669</v>
      </c>
      <c r="BN42">
        <v>9.43</v>
      </c>
      <c r="BO42">
        <v>13.46</v>
      </c>
      <c r="BP42">
        <v>15.84</v>
      </c>
      <c r="BQ42">
        <v>10.64</v>
      </c>
      <c r="BR42">
        <v>15.3</v>
      </c>
      <c r="BS42">
        <v>17.82</v>
      </c>
      <c r="BT42" t="s">
        <v>2031</v>
      </c>
      <c r="BU42" t="s">
        <v>790</v>
      </c>
      <c r="BV42">
        <v>57.77</v>
      </c>
      <c r="BW42">
        <v>56.64</v>
      </c>
      <c r="BX42">
        <v>54.64</v>
      </c>
      <c r="BY42">
        <v>16.57</v>
      </c>
      <c r="BZ42">
        <v>16.12</v>
      </c>
      <c r="CA42">
        <v>15.22</v>
      </c>
      <c r="CB42">
        <v>-5.41</v>
      </c>
      <c r="CC42">
        <v>-3.01</v>
      </c>
      <c r="CD42" t="s">
        <v>3008</v>
      </c>
      <c r="CE42" t="s">
        <v>3009</v>
      </c>
      <c r="CF42" s="8">
        <v>0.205078125</v>
      </c>
      <c r="CG42" s="9">
        <v>2.1365883025492369</v>
      </c>
      <c r="CH42" s="8">
        <v>0.19767448306083679</v>
      </c>
      <c r="CI42" s="8">
        <v>0.1749868243932724</v>
      </c>
      <c r="CJ42" s="8">
        <v>0.34964543581008911</v>
      </c>
      <c r="CK42" s="8">
        <v>0.23036649823188782</v>
      </c>
      <c r="CL42" s="8">
        <v>0.20378151535987854</v>
      </c>
      <c r="CM42" s="9">
        <v>0.24376730620861053</v>
      </c>
      <c r="CN42" s="9">
        <v>0.22789116203784943</v>
      </c>
      <c r="CO42" s="9">
        <v>0.49238577485084534</v>
      </c>
      <c r="CP42" s="9">
        <v>0.41726619005203247</v>
      </c>
      <c r="CQ42" s="9">
        <v>0.32380953431129456</v>
      </c>
      <c r="CR42">
        <v>61.43763495145631</v>
      </c>
      <c r="CS42">
        <v>2.6562921976509415</v>
      </c>
      <c r="CT42">
        <v>1.2068965517241379</v>
      </c>
      <c r="CU42" s="8">
        <v>0.23129095137119293</v>
      </c>
      <c r="CV42" s="9">
        <v>0.34102399349212648</v>
      </c>
      <c r="CW42">
        <v>0.06</v>
      </c>
      <c r="CX42">
        <v>26.850777249496051</v>
      </c>
      <c r="CY42">
        <v>521556261.47704303</v>
      </c>
      <c r="CZ42">
        <v>0.23129095137119293</v>
      </c>
      <c r="DA42">
        <v>7.8006370527152917</v>
      </c>
      <c r="DB42">
        <v>1795262477.328738</v>
      </c>
      <c r="DC42">
        <v>0.21972640380263328</v>
      </c>
      <c r="DD42">
        <v>3.255817171792037</v>
      </c>
      <c r="DE42">
        <v>4301282983.9864569</v>
      </c>
      <c r="DF42">
        <v>0.20353603720664978</v>
      </c>
      <c r="DG42">
        <v>1.605583903041732</v>
      </c>
      <c r="DH42">
        <v>8722179497.1097221</v>
      </c>
      <c r="DI42">
        <v>0.18503276109695435</v>
      </c>
      <c r="DJ42">
        <v>0.51903879947182108</v>
      </c>
      <c r="DK42">
        <v>26981009924.982105</v>
      </c>
      <c r="DL42">
        <v>0.16190366595983505</v>
      </c>
      <c r="DM42">
        <v>449000000</v>
      </c>
      <c r="DN42">
        <v>0.23129095137119293</v>
      </c>
      <c r="DO42">
        <v>14004191000</v>
      </c>
      <c r="DP42">
        <v>2281443000</v>
      </c>
      <c r="DQ42">
        <v>2089</v>
      </c>
      <c r="DR42">
        <v>-2.6212826371192932E-2</v>
      </c>
      <c r="DS42">
        <v>1.7955643090571105</v>
      </c>
      <c r="DT42" s="10">
        <v>0.22666666666666657</v>
      </c>
      <c r="DU42">
        <v>1.1066666666666667</v>
      </c>
      <c r="DV42">
        <v>1.3333333333333333</v>
      </c>
      <c r="DW42">
        <v>-4.5563770794824396</v>
      </c>
      <c r="DX42">
        <v>0.41815709219858022</v>
      </c>
      <c r="DY42">
        <v>-4.093558751851706</v>
      </c>
      <c r="DZ42">
        <v>92</v>
      </c>
      <c r="EA42">
        <v>-4.0918733386599389</v>
      </c>
      <c r="EB42">
        <v>4</v>
      </c>
      <c r="EC42">
        <v>8.6926175159021013E-2</v>
      </c>
      <c r="ED42">
        <v>0.5169343381388124</v>
      </c>
      <c r="EE42" s="11">
        <v>-4.0454100000000004</v>
      </c>
      <c r="EF42">
        <v>-4.01891</v>
      </c>
      <c r="EG42">
        <v>25.16815709219858</v>
      </c>
      <c r="EH42" t="s">
        <v>1254</v>
      </c>
      <c r="EI42">
        <v>0</v>
      </c>
      <c r="EJ42">
        <v>1</v>
      </c>
      <c r="EK42" s="12">
        <v>45511</v>
      </c>
      <c r="EL42">
        <v>-0.49</v>
      </c>
      <c r="EM42">
        <v>-2.29</v>
      </c>
      <c r="EN42">
        <v>-5.74</v>
      </c>
      <c r="EO42">
        <v>0.53</v>
      </c>
      <c r="EP42">
        <v>2.65</v>
      </c>
    </row>
    <row r="43" spans="1:146" ht="192" x14ac:dyDescent="0.25">
      <c r="A43" s="6" t="s">
        <v>1267</v>
      </c>
      <c r="B43" s="6" t="s">
        <v>1265</v>
      </c>
      <c r="C43" s="6" t="str">
        <f>"公司的主营业务为从桌面通信终端，到会议产品，再到云办公终端，为企业用户提供个人办公桌面、会议室及远程办公、移动办公不同场景下的解决方案,主要产品包括桌面通信终端、会议产品等。"&amp;CHAR(10)&amp;Basic_Fundamental_Information_Constructure(F43)&amp;CHAR(10)&amp;Basic_Fundamental_Information_Concatenate("(欧洲40%，美洲40%）
桌面通信终端 12.55亿 61.43% 8.39亿 62.93% 66.79%
会议产品 6.28亿 30.74% 4.08亿 30.64% 64.99%
云办公终端 1.55亿 7.58% 8408.98万 6.31% 54.25%")</f>
        <v>公司的主营业务为从桌面通信终端，到会议产品，再到云办公终端，为企业用户提供个人办公桌面、会议室及远程办公、移动办公不同场景下的解决方案,主要产品包括桌面通信终端、会议产品等。
市值411.62461亿, 利润20.10亿; PE19.09; 平均PE26.94; 平均PEG1.31, PB4.73; ROIC26.2767%; ROE26.3233%; 股利率2.7633%; 毛利63.4267%; 净利45.12%; 上一年度营收增-9.62%, 利润增-7.71%; 当季营收增30.93%, 利润增34.42%; 过往5年营收增20.5%, 利润增20.42%
Income profile:
(欧洲40%，美洲40%）
桌面通信终端 12.55亿 61.43% 8.39亿 62.93% 66.79%
会议产品 6.28亿 30.74% 4.08亿 30.64% 64.99%
云办公终端 1.55亿 7.58% 8408.98万 6.31% 54.25%</v>
      </c>
      <c r="D43" t="s">
        <v>521</v>
      </c>
      <c r="E43" t="s">
        <v>522</v>
      </c>
      <c r="F43">
        <v>32.57</v>
      </c>
      <c r="G43">
        <v>1.5</v>
      </c>
      <c r="H43" t="s">
        <v>3010</v>
      </c>
      <c r="I43">
        <v>41162461000</v>
      </c>
      <c r="J43">
        <v>19.09</v>
      </c>
      <c r="K43">
        <v>4.7300000000000004</v>
      </c>
      <c r="L43" t="s">
        <v>212</v>
      </c>
      <c r="M43" t="s">
        <v>1201</v>
      </c>
      <c r="N43" t="s">
        <v>2032</v>
      </c>
      <c r="O43" t="s">
        <v>1317</v>
      </c>
      <c r="P43">
        <v>30.95</v>
      </c>
      <c r="Q43" t="s">
        <v>808</v>
      </c>
      <c r="R43">
        <v>568607200</v>
      </c>
      <c r="S43" s="4">
        <v>0.34449999999999997</v>
      </c>
      <c r="T43" t="s">
        <v>2033</v>
      </c>
      <c r="U43">
        <v>723001800</v>
      </c>
      <c r="V43">
        <v>1263815200</v>
      </c>
      <c r="W43">
        <v>1.06</v>
      </c>
      <c r="X43">
        <v>0.13</v>
      </c>
      <c r="Y43">
        <v>48.87</v>
      </c>
      <c r="Z43" t="s">
        <v>2034</v>
      </c>
      <c r="AA43" t="s">
        <v>2035</v>
      </c>
      <c r="AB43" t="s">
        <v>2036</v>
      </c>
      <c r="AC43" t="s">
        <v>2037</v>
      </c>
      <c r="AD43" t="s">
        <v>2</v>
      </c>
      <c r="AE43">
        <v>-13175016</v>
      </c>
      <c r="AF43" t="s">
        <v>2038</v>
      </c>
      <c r="AG43" t="s">
        <v>2039</v>
      </c>
      <c r="AH43" t="s">
        <v>2040</v>
      </c>
      <c r="AI43" t="s">
        <v>322</v>
      </c>
      <c r="AJ43" t="s">
        <v>2041</v>
      </c>
      <c r="AK43" t="s">
        <v>2</v>
      </c>
      <c r="AL43" t="s">
        <v>2042</v>
      </c>
      <c r="AM43" t="s">
        <v>2</v>
      </c>
      <c r="AN43" t="s">
        <v>2043</v>
      </c>
      <c r="AO43" t="s">
        <v>2</v>
      </c>
      <c r="AP43" t="s">
        <v>2</v>
      </c>
      <c r="AQ43" t="s">
        <v>207</v>
      </c>
      <c r="AR43">
        <v>6402.38</v>
      </c>
      <c r="AS43" t="s">
        <v>1143</v>
      </c>
      <c r="AT43" t="s">
        <v>2</v>
      </c>
      <c r="AU43" t="s">
        <v>795</v>
      </c>
      <c r="AV43" t="s">
        <v>2044</v>
      </c>
      <c r="AW43" t="s">
        <v>2045</v>
      </c>
      <c r="AX43" t="s">
        <v>950</v>
      </c>
      <c r="AY43" t="s">
        <v>705</v>
      </c>
      <c r="AZ43" t="s">
        <v>523</v>
      </c>
      <c r="BA43" t="s">
        <v>525</v>
      </c>
      <c r="BB43" t="s">
        <v>526</v>
      </c>
      <c r="BC43" t="s">
        <v>951</v>
      </c>
      <c r="BD43" t="s">
        <v>706</v>
      </c>
      <c r="BE43" t="s">
        <v>524</v>
      </c>
      <c r="BF43" t="s">
        <v>528</v>
      </c>
      <c r="BG43" t="s">
        <v>227</v>
      </c>
      <c r="BH43" t="s">
        <v>808</v>
      </c>
      <c r="BI43" t="s">
        <v>2046</v>
      </c>
      <c r="BJ43" t="s">
        <v>950</v>
      </c>
      <c r="BK43" t="s">
        <v>2033</v>
      </c>
      <c r="BL43" t="s">
        <v>477</v>
      </c>
      <c r="BM43" t="s">
        <v>951</v>
      </c>
      <c r="BN43">
        <v>20.28</v>
      </c>
      <c r="BO43">
        <v>30.56</v>
      </c>
      <c r="BP43">
        <v>27.99</v>
      </c>
      <c r="BQ43">
        <v>19.809999999999999</v>
      </c>
      <c r="BR43">
        <v>30.9</v>
      </c>
      <c r="BS43">
        <v>28.26</v>
      </c>
      <c r="BT43" t="s">
        <v>2047</v>
      </c>
      <c r="BU43" t="s">
        <v>790</v>
      </c>
      <c r="BV43">
        <v>65.72</v>
      </c>
      <c r="BW43">
        <v>63.01</v>
      </c>
      <c r="BX43">
        <v>61.55</v>
      </c>
      <c r="BY43">
        <v>46.23</v>
      </c>
      <c r="BZ43">
        <v>45.27</v>
      </c>
      <c r="CA43">
        <v>43.86</v>
      </c>
      <c r="CB43">
        <v>-3.27</v>
      </c>
      <c r="CC43">
        <v>-10.47</v>
      </c>
      <c r="CD43" t="s">
        <v>3011</v>
      </c>
      <c r="CE43" t="s">
        <v>92</v>
      </c>
      <c r="CF43" s="8">
        <v>0.3093363329583802</v>
      </c>
      <c r="CG43" s="9">
        <v>0.34422505910165468</v>
      </c>
      <c r="CH43" s="8">
        <v>-9.6237696707248688E-2</v>
      </c>
      <c r="CI43" s="8">
        <v>0.30591744184494019</v>
      </c>
      <c r="CJ43" s="8">
        <v>0.33769068121910095</v>
      </c>
      <c r="CK43" s="8">
        <v>0.10646843910217285</v>
      </c>
      <c r="CL43" s="8">
        <v>0.37134987115859985</v>
      </c>
      <c r="CM43" s="9">
        <v>-7.7134929597377777E-2</v>
      </c>
      <c r="CN43" s="9">
        <v>0.34777221083641052</v>
      </c>
      <c r="CO43" s="9">
        <v>0.26348704099655151</v>
      </c>
      <c r="CP43" s="9">
        <v>3.562752902507782E-2</v>
      </c>
      <c r="CQ43" s="9">
        <v>0.45123392343521118</v>
      </c>
      <c r="CR43">
        <v>26.935845348456755</v>
      </c>
      <c r="CS43">
        <v>1.3137017793097772</v>
      </c>
      <c r="CT43">
        <v>2.7632790911882101</v>
      </c>
      <c r="CU43" s="8">
        <v>0.20503774732351304</v>
      </c>
      <c r="CV43" s="9">
        <v>0.20419715493917465</v>
      </c>
      <c r="CW43">
        <v>0.06</v>
      </c>
      <c r="CX43">
        <v>14.541403097754133</v>
      </c>
      <c r="CY43">
        <v>2285024407.660624</v>
      </c>
      <c r="CZ43">
        <v>0.20503774732351304</v>
      </c>
      <c r="DA43">
        <v>4.3165796792312268</v>
      </c>
      <c r="DB43">
        <v>7697636431.8885317</v>
      </c>
      <c r="DC43">
        <v>0.19478585995733738</v>
      </c>
      <c r="DD43">
        <v>1.8589468393610284</v>
      </c>
      <c r="DE43">
        <v>17874347074.616291</v>
      </c>
      <c r="DF43">
        <v>0.18043321764469147</v>
      </c>
      <c r="DG43">
        <v>0.95299975465199382</v>
      </c>
      <c r="DH43">
        <v>34866180015.055351</v>
      </c>
      <c r="DI43">
        <v>0.16403019785881046</v>
      </c>
      <c r="DJ43">
        <v>0.33933703144180738</v>
      </c>
      <c r="DK43">
        <v>97918758995.503708</v>
      </c>
      <c r="DL43">
        <v>0.14352642312645911</v>
      </c>
      <c r="DM43">
        <v>2010000000.0000002</v>
      </c>
      <c r="DN43">
        <v>0.20503774732351304</v>
      </c>
      <c r="DO43">
        <v>33227461000</v>
      </c>
      <c r="DP43">
        <v>6901300600</v>
      </c>
      <c r="DQ43">
        <v>2090</v>
      </c>
      <c r="DR43">
        <v>0.10429858563486716</v>
      </c>
      <c r="DS43">
        <v>0.14002790416248004</v>
      </c>
      <c r="DT43" s="10">
        <v>-5.6666666666666719E-2</v>
      </c>
      <c r="DU43">
        <v>0.60333333333333328</v>
      </c>
      <c r="DV43">
        <v>0.54666666666666652</v>
      </c>
      <c r="DW43">
        <v>-8.3123209169054437</v>
      </c>
      <c r="DX43">
        <v>0.39274149659863777</v>
      </c>
      <c r="DY43">
        <v>-8.0570739917743595</v>
      </c>
      <c r="DZ43">
        <v>703</v>
      </c>
      <c r="EA43">
        <v>-8.0492175170891489</v>
      </c>
      <c r="EB43">
        <v>8</v>
      </c>
      <c r="EC43">
        <v>2.1255481022858406E-2</v>
      </c>
      <c r="ED43">
        <v>0.11631447382497061</v>
      </c>
      <c r="EE43" s="11">
        <v>-1.04931</v>
      </c>
      <c r="EF43">
        <v>-1.0343100000000001</v>
      </c>
      <c r="EG43">
        <v>21.182741496598638</v>
      </c>
      <c r="EH43" t="s">
        <v>1573</v>
      </c>
      <c r="EI43">
        <v>0</v>
      </c>
      <c r="EJ43">
        <v>1</v>
      </c>
      <c r="EK43" s="12">
        <v>45511</v>
      </c>
      <c r="EL43">
        <v>-1.19</v>
      </c>
      <c r="EM43">
        <v>0.69</v>
      </c>
      <c r="EN43">
        <v>-3.01</v>
      </c>
      <c r="EO43">
        <v>-1.23</v>
      </c>
      <c r="EP43">
        <v>1.5</v>
      </c>
    </row>
    <row r="44" spans="1:146" ht="180" x14ac:dyDescent="0.25">
      <c r="A44" s="6"/>
      <c r="B44" s="6"/>
      <c r="C44" s="6" t="str">
        <f>"公司致力于无线通信模块及其应用行业的通信解决方案的设计，研发与销售服务，公司主要产品包括2G、3G、4G、5G、NB-IOT的无线通信模块以及基于其行业应用的通信解决方案。"&amp;CHAR(10)&amp;Basic_Fundamental_Information_Constructure(F44)&amp;CHAR(10)&amp;Basic_Fundamental_Information_Concatenate("(境外65%）
通信模块 75.11亿 97.35% 17.37亿 97.29% 23.13%
终端及物料 1.33亿 1.72% 3901.08万 2.18% 29.44%
其他业务 6301.07万 0.82% 811.88万 0.45% 12.88%")</f>
        <v>公司致力于无线通信模块及其应用行业的通信解决方案的设计，研发与销售服务，公司主要产品包括2G、3G、4G、5G、NB-IOT的无线通信模块以及基于其行业应用的通信解决方案。
市值92.808176亿, 利润5.64亿; PE15.19; 平均PE29.77; 平均PEG.68, PB2.79; ROIC14.5067%; ROE18.27%; 股利率3.1353%; 毛利22.47%; 净利7.8467%; 上一年度营收增36.66%, 利润增54.52%; 当季营收增17.1%, 利润增34.2%; 过往5年营收增44.09%, 利润增49.93%
Income profile:
(境外65%）
通信模块 75.11亿 97.35% 17.37亿 97.29% 23.13%
终端及物料 1.33亿 1.72% 3901.08万 2.18% 29.44%
其他业务 6301.07万 0.82% 811.88万 0.45% 12.88%</v>
      </c>
      <c r="D44" t="s">
        <v>529</v>
      </c>
      <c r="E44" t="s">
        <v>530</v>
      </c>
      <c r="F44">
        <v>12.12</v>
      </c>
      <c r="G44">
        <v>0.5</v>
      </c>
      <c r="H44" t="s">
        <v>3012</v>
      </c>
      <c r="I44">
        <v>9280817600</v>
      </c>
      <c r="J44">
        <v>15.19</v>
      </c>
      <c r="K44">
        <v>2.79</v>
      </c>
      <c r="L44" t="s">
        <v>212</v>
      </c>
      <c r="M44" t="s">
        <v>2048</v>
      </c>
      <c r="N44" t="s">
        <v>2049</v>
      </c>
      <c r="O44" t="s">
        <v>2050</v>
      </c>
      <c r="P44">
        <v>17.11</v>
      </c>
      <c r="Q44" t="s">
        <v>2051</v>
      </c>
      <c r="R44">
        <v>187879450</v>
      </c>
      <c r="S44" s="4">
        <v>0.33779999999999999</v>
      </c>
      <c r="T44" t="s">
        <v>260</v>
      </c>
      <c r="U44">
        <v>531816090</v>
      </c>
      <c r="V44">
        <v>765744030</v>
      </c>
      <c r="W44">
        <v>2.19</v>
      </c>
      <c r="X44">
        <v>0.3</v>
      </c>
      <c r="Y44">
        <v>8.9600000000000009</v>
      </c>
      <c r="Z44" t="s">
        <v>1566</v>
      </c>
      <c r="AA44" t="s">
        <v>2052</v>
      </c>
      <c r="AB44" t="s">
        <v>2053</v>
      </c>
      <c r="AC44" t="s">
        <v>2054</v>
      </c>
      <c r="AD44" t="s">
        <v>2</v>
      </c>
      <c r="AE44">
        <v>10541521</v>
      </c>
      <c r="AF44" t="s">
        <v>2055</v>
      </c>
      <c r="AG44" t="s">
        <v>2056</v>
      </c>
      <c r="AH44" t="s">
        <v>2057</v>
      </c>
      <c r="AI44" t="s">
        <v>2058</v>
      </c>
      <c r="AJ44" t="s">
        <v>2059</v>
      </c>
      <c r="AK44" t="s">
        <v>2060</v>
      </c>
      <c r="AL44" t="s">
        <v>2061</v>
      </c>
      <c r="AM44" t="s">
        <v>2</v>
      </c>
      <c r="AN44" t="s">
        <v>2062</v>
      </c>
      <c r="AO44" t="s">
        <v>30</v>
      </c>
      <c r="AP44" t="s">
        <v>76</v>
      </c>
      <c r="AQ44" t="s">
        <v>706</v>
      </c>
      <c r="AR44" t="s">
        <v>2</v>
      </c>
      <c r="AS44" t="s">
        <v>2063</v>
      </c>
      <c r="AT44" t="s">
        <v>409</v>
      </c>
      <c r="AU44" t="s">
        <v>42</v>
      </c>
      <c r="AV44" t="s">
        <v>2064</v>
      </c>
      <c r="AW44" t="s">
        <v>2065</v>
      </c>
      <c r="AX44" t="s">
        <v>952</v>
      </c>
      <c r="AY44" t="s">
        <v>707</v>
      </c>
      <c r="AZ44" t="s">
        <v>531</v>
      </c>
      <c r="BA44" t="s">
        <v>532</v>
      </c>
      <c r="BB44" t="s">
        <v>533</v>
      </c>
      <c r="BC44" t="s">
        <v>1652</v>
      </c>
      <c r="BD44" t="s">
        <v>606</v>
      </c>
      <c r="BE44" t="s">
        <v>176</v>
      </c>
      <c r="BF44" t="s">
        <v>33</v>
      </c>
      <c r="BG44" t="s">
        <v>534</v>
      </c>
      <c r="BH44" t="s">
        <v>2051</v>
      </c>
      <c r="BI44" t="s">
        <v>1401</v>
      </c>
      <c r="BJ44" t="s">
        <v>952</v>
      </c>
      <c r="BK44" t="s">
        <v>260</v>
      </c>
      <c r="BL44" t="s">
        <v>985</v>
      </c>
      <c r="BM44" t="s">
        <v>1652</v>
      </c>
      <c r="BN44">
        <v>11.57</v>
      </c>
      <c r="BO44">
        <v>12.2</v>
      </c>
      <c r="BP44">
        <v>19.75</v>
      </c>
      <c r="BQ44">
        <v>16.62</v>
      </c>
      <c r="BR44">
        <v>16.440000000000001</v>
      </c>
      <c r="BS44">
        <v>21.75</v>
      </c>
      <c r="BT44" t="s">
        <v>2066</v>
      </c>
      <c r="BU44" t="s">
        <v>790</v>
      </c>
      <c r="BV44">
        <v>23.14</v>
      </c>
      <c r="BW44">
        <v>20.170000000000002</v>
      </c>
      <c r="BX44">
        <v>24.1</v>
      </c>
      <c r="BY44">
        <v>7.32</v>
      </c>
      <c r="BZ44">
        <v>6.45</v>
      </c>
      <c r="CA44">
        <v>9.77</v>
      </c>
      <c r="CB44">
        <v>-2.65</v>
      </c>
      <c r="CC44">
        <v>-27.03</v>
      </c>
      <c r="CD44" t="s">
        <v>3013</v>
      </c>
      <c r="CE44" t="s">
        <v>3014</v>
      </c>
      <c r="CF44" s="8">
        <v>0.1709873138444567</v>
      </c>
      <c r="CG44" s="9">
        <v>0.34199607142857141</v>
      </c>
      <c r="CH44" s="8">
        <v>0.36663118004798889</v>
      </c>
      <c r="CI44" s="8">
        <v>0.37405699491500854</v>
      </c>
      <c r="CJ44" s="8">
        <v>0.49744895100593567</v>
      </c>
      <c r="CK44" s="8">
        <v>0.43289822340011597</v>
      </c>
      <c r="CL44" s="8">
        <v>0.5332266092300415</v>
      </c>
      <c r="CM44" s="9">
        <v>0.54520547389984131</v>
      </c>
      <c r="CN44" s="9">
        <v>-8.9775562286376953E-2</v>
      </c>
      <c r="CO44" s="9">
        <v>0.41197183728218079</v>
      </c>
      <c r="CP44" s="9">
        <v>0.67058825492858887</v>
      </c>
      <c r="CQ44" s="9">
        <v>0.9585953950881958</v>
      </c>
      <c r="CR44">
        <v>29.765339893389818</v>
      </c>
      <c r="CS44">
        <v>0.67517700827870419</v>
      </c>
      <c r="CT44">
        <v>3.1353135313531353</v>
      </c>
      <c r="CU44" s="8">
        <v>0.4408523917198181</v>
      </c>
      <c r="CV44" s="9">
        <v>0.49931707978248596</v>
      </c>
      <c r="CW44">
        <v>0.06</v>
      </c>
      <c r="CX44">
        <v>12.944522742492216</v>
      </c>
      <c r="CY44">
        <v>766642215.97167683</v>
      </c>
      <c r="CZ44">
        <v>0.4408523917198181</v>
      </c>
      <c r="DA44">
        <v>3.1828981810910264</v>
      </c>
      <c r="DB44">
        <v>3117855814.2247381</v>
      </c>
      <c r="DC44">
        <v>0.4188097721338272</v>
      </c>
      <c r="DD44">
        <v>1.0291541354625271</v>
      </c>
      <c r="DE44">
        <v>9642693215.7640247</v>
      </c>
      <c r="DF44">
        <v>0.38795010471343994</v>
      </c>
      <c r="DG44">
        <v>0.3642352889847133</v>
      </c>
      <c r="DH44">
        <v>27245623639.769005</v>
      </c>
      <c r="DI44">
        <v>0.35268191337585453</v>
      </c>
      <c r="DJ44">
        <v>5.0183611793275913E-2</v>
      </c>
      <c r="DK44">
        <v>197750166745.26581</v>
      </c>
      <c r="DL44">
        <v>0.30859667420387266</v>
      </c>
      <c r="DM44">
        <v>564000000</v>
      </c>
      <c r="DN44">
        <v>0.4408523917198181</v>
      </c>
      <c r="DO44">
        <v>9923817600</v>
      </c>
      <c r="DP44">
        <v>2391944400.0000005</v>
      </c>
      <c r="DQ44">
        <v>2100</v>
      </c>
      <c r="DR44">
        <v>-0.2698650778753614</v>
      </c>
      <c r="DS44">
        <v>-0.15732100835391455</v>
      </c>
      <c r="DT44" s="10">
        <v>0.22666666666666657</v>
      </c>
      <c r="DU44">
        <v>0.95333333333333325</v>
      </c>
      <c r="DV44">
        <v>1.1799999999999997</v>
      </c>
      <c r="DW44">
        <v>-8.0980392156862742</v>
      </c>
      <c r="DX44">
        <v>0.33573185731857402</v>
      </c>
      <c r="DY44">
        <v>-8.0182090056194681</v>
      </c>
      <c r="DZ44">
        <v>153</v>
      </c>
      <c r="EA44">
        <v>-8.0176634842057659</v>
      </c>
      <c r="EB44">
        <v>8</v>
      </c>
      <c r="EC44">
        <v>0.19719383251345754</v>
      </c>
      <c r="ED44">
        <v>1.0617124889631855</v>
      </c>
      <c r="EE44" s="11">
        <v>3.0499100000000001</v>
      </c>
      <c r="EF44">
        <v>3.0449099999999998</v>
      </c>
      <c r="EG44">
        <v>15.185731857318574</v>
      </c>
      <c r="EH44" t="s">
        <v>1260</v>
      </c>
      <c r="EI44">
        <v>0</v>
      </c>
      <c r="EJ44">
        <v>1</v>
      </c>
      <c r="EK44" s="12">
        <v>45511</v>
      </c>
      <c r="EL44">
        <v>3.05</v>
      </c>
      <c r="EM44">
        <v>-4.4400000000000004</v>
      </c>
      <c r="EN44">
        <v>-4</v>
      </c>
      <c r="EO44">
        <v>2.46</v>
      </c>
      <c r="EP44">
        <v>0.5</v>
      </c>
    </row>
    <row r="45" spans="1:146" ht="108" x14ac:dyDescent="0.25">
      <c r="A45" s="6" t="s">
        <v>634</v>
      </c>
      <c r="C45" s="6" t="str">
        <f>""&amp;CHAR(10)&amp;Basic_Fundamental_Information_Constructure(F45)&amp;CHAR(10)&amp;Basic_Fundamental_Information_Concatenate("")</f>
        <v xml:space="preserve">
市值15.7794亿, 利润891.76万; PE978.5; 平均PE48.75; 平均PEG12.41, PB2.37; ROIC3.4167%; ROE3.6833%; 股利率.3077%; 毛利19.0733%; 净利4.7633%; 上一年度营收增-26.36%, 利润增-78.94%; 当季营收增-45.43%, 利润增-107.47%; 过往5年营收增3.93%, 利润增-3.96%
Income profile:
</v>
      </c>
      <c r="D45" t="s">
        <v>535</v>
      </c>
      <c r="E45" t="s">
        <v>536</v>
      </c>
      <c r="F45">
        <v>13.65</v>
      </c>
      <c r="G45">
        <v>3.33</v>
      </c>
      <c r="H45" t="s">
        <v>3015</v>
      </c>
      <c r="I45">
        <v>1577940000</v>
      </c>
      <c r="J45">
        <v>978.5</v>
      </c>
      <c r="K45">
        <v>2.37</v>
      </c>
      <c r="L45" t="s">
        <v>212</v>
      </c>
      <c r="M45" t="s">
        <v>2067</v>
      </c>
      <c r="N45" t="s">
        <v>238</v>
      </c>
      <c r="O45" t="s">
        <v>2068</v>
      </c>
      <c r="P45">
        <v>-45.4</v>
      </c>
      <c r="Q45" t="s">
        <v>1152</v>
      </c>
      <c r="R45">
        <v>-507704</v>
      </c>
      <c r="S45" s="4">
        <v>-1.075</v>
      </c>
      <c r="T45" t="s">
        <v>2069</v>
      </c>
      <c r="U45">
        <v>101182924</v>
      </c>
      <c r="V45">
        <v>115600000</v>
      </c>
      <c r="W45">
        <v>1.1200000000000001</v>
      </c>
      <c r="X45">
        <v>0.09</v>
      </c>
      <c r="Y45">
        <v>-1.22</v>
      </c>
      <c r="Z45" t="s">
        <v>2070</v>
      </c>
      <c r="AA45" t="s">
        <v>2071</v>
      </c>
      <c r="AB45" t="s">
        <v>2072</v>
      </c>
      <c r="AC45" t="s">
        <v>2073</v>
      </c>
      <c r="AD45" t="s">
        <v>2</v>
      </c>
      <c r="AE45">
        <v>-980701</v>
      </c>
      <c r="AF45" t="s">
        <v>2074</v>
      </c>
      <c r="AG45">
        <v>0.01</v>
      </c>
      <c r="AH45" t="s">
        <v>2075</v>
      </c>
      <c r="AI45" t="s">
        <v>1164</v>
      </c>
      <c r="AJ45" t="s">
        <v>2076</v>
      </c>
      <c r="AK45" t="s">
        <v>2077</v>
      </c>
      <c r="AL45" t="s">
        <v>2078</v>
      </c>
      <c r="AM45" t="s">
        <v>2</v>
      </c>
      <c r="AN45" t="s">
        <v>2079</v>
      </c>
      <c r="AO45" t="s">
        <v>2</v>
      </c>
      <c r="AP45" t="s">
        <v>2080</v>
      </c>
      <c r="AQ45" t="s">
        <v>2081</v>
      </c>
      <c r="AR45" t="s">
        <v>2</v>
      </c>
      <c r="AS45" t="s">
        <v>2082</v>
      </c>
      <c r="AT45" t="s">
        <v>2</v>
      </c>
      <c r="AU45" t="s">
        <v>2083</v>
      </c>
      <c r="AV45" t="s">
        <v>2084</v>
      </c>
      <c r="AW45" t="s">
        <v>2085</v>
      </c>
      <c r="AX45" t="s">
        <v>202</v>
      </c>
      <c r="AY45" t="s">
        <v>477</v>
      </c>
      <c r="AZ45" t="s">
        <v>181</v>
      </c>
      <c r="BA45" t="s">
        <v>181</v>
      </c>
      <c r="BB45" t="s">
        <v>59</v>
      </c>
      <c r="BC45" t="s">
        <v>2086</v>
      </c>
      <c r="BD45" t="s">
        <v>708</v>
      </c>
      <c r="BE45" t="s">
        <v>537</v>
      </c>
      <c r="BF45" t="s">
        <v>538</v>
      </c>
      <c r="BG45" t="s">
        <v>539</v>
      </c>
      <c r="BH45" t="s">
        <v>1152</v>
      </c>
      <c r="BI45" t="s">
        <v>1642</v>
      </c>
      <c r="BJ45" t="s">
        <v>202</v>
      </c>
      <c r="BK45" t="s">
        <v>2069</v>
      </c>
      <c r="BL45" t="s">
        <v>2087</v>
      </c>
      <c r="BM45" t="s">
        <v>2086</v>
      </c>
      <c r="BN45">
        <v>1.23</v>
      </c>
      <c r="BO45">
        <v>6.42</v>
      </c>
      <c r="BP45">
        <v>2.6</v>
      </c>
      <c r="BQ45">
        <v>1.86</v>
      </c>
      <c r="BR45">
        <v>6.48</v>
      </c>
      <c r="BS45">
        <v>2.71</v>
      </c>
      <c r="BT45" t="s">
        <v>2088</v>
      </c>
      <c r="BU45" t="s">
        <v>790</v>
      </c>
      <c r="BV45">
        <v>17.260000000000002</v>
      </c>
      <c r="BW45">
        <v>20.62</v>
      </c>
      <c r="BX45">
        <v>19.34</v>
      </c>
      <c r="BY45">
        <v>2.2000000000000002</v>
      </c>
      <c r="BZ45">
        <v>7.97</v>
      </c>
      <c r="CA45">
        <v>4.12</v>
      </c>
      <c r="CB45">
        <v>-2.2200000000000002</v>
      </c>
      <c r="CC45">
        <v>-10.84</v>
      </c>
      <c r="CD45" t="s">
        <v>3016</v>
      </c>
      <c r="CE45" t="s">
        <v>81</v>
      </c>
      <c r="CF45" s="8">
        <v>-0.45429999999999998</v>
      </c>
      <c r="CG45" s="9">
        <v>-1.0746909112307648</v>
      </c>
      <c r="CH45" s="8">
        <v>-0.26355141401290894</v>
      </c>
      <c r="CI45" s="8">
        <v>0.26477542519569397</v>
      </c>
      <c r="CJ45" s="8">
        <v>0.21203438937664032</v>
      </c>
      <c r="CK45" s="8">
        <v>0</v>
      </c>
      <c r="CL45" s="8">
        <v>-1.690140925347805E-2</v>
      </c>
      <c r="CM45" s="9">
        <v>-0.78940457105636597</v>
      </c>
      <c r="CN45" s="9">
        <v>1.5122185945510864</v>
      </c>
      <c r="CO45" s="9">
        <v>-0.2856113612651825</v>
      </c>
      <c r="CP45" s="9">
        <v>-0.50521641969680786</v>
      </c>
      <c r="CQ45" s="9">
        <v>-0.1300998330116272</v>
      </c>
      <c r="CR45">
        <v>48.747966826643108</v>
      </c>
      <c r="CS45">
        <v>12.413096804556361</v>
      </c>
      <c r="CT45">
        <v>0.30769230769230765</v>
      </c>
      <c r="CU45" s="8">
        <v>3.9271398261189458E-2</v>
      </c>
      <c r="CV45" s="9">
        <v>-3.962271809577942E-2</v>
      </c>
      <c r="CW45">
        <v>0.06</v>
      </c>
      <c r="CX45">
        <v>114.16135114292481</v>
      </c>
      <c r="CY45">
        <v>8743213.7935226243</v>
      </c>
      <c r="CZ45">
        <v>3.9271398261189458E-2</v>
      </c>
      <c r="DA45">
        <v>38.953777991716279</v>
      </c>
      <c r="DB45">
        <v>25623627.577593602</v>
      </c>
      <c r="DC45">
        <v>3.7307828348129984E-2</v>
      </c>
      <c r="DD45">
        <v>20.292922176040317</v>
      </c>
      <c r="DE45">
        <v>49186464.686613351</v>
      </c>
      <c r="DF45">
        <v>3.4558830469846723E-2</v>
      </c>
      <c r="DG45">
        <v>12.968742272060489</v>
      </c>
      <c r="DH45">
        <v>76964834.296257079</v>
      </c>
      <c r="DI45">
        <v>3.1417118608951571E-2</v>
      </c>
      <c r="DJ45">
        <v>7.6379315910065486</v>
      </c>
      <c r="DK45">
        <v>130681597.25013492</v>
      </c>
      <c r="DL45">
        <v>2.748997878283262E-2</v>
      </c>
      <c r="DM45">
        <v>8917600</v>
      </c>
      <c r="DN45">
        <v>3.9271398261189458E-2</v>
      </c>
      <c r="DO45">
        <v>998137100</v>
      </c>
      <c r="DP45">
        <v>343503880</v>
      </c>
      <c r="DQ45">
        <v>2150</v>
      </c>
      <c r="DR45">
        <v>-0.49357139826118945</v>
      </c>
      <c r="DS45">
        <v>-1.0350681931349854</v>
      </c>
      <c r="DT45" s="10">
        <v>-0.32333333333333331</v>
      </c>
      <c r="DU45">
        <v>-1.1816666666666666</v>
      </c>
      <c r="DV45">
        <v>-1.5049999999999999</v>
      </c>
      <c r="DW45">
        <v>-2.1084000000000001</v>
      </c>
      <c r="DX45">
        <v>0.34346886792452991</v>
      </c>
      <c r="DY45">
        <v>-2.0112160252830189</v>
      </c>
      <c r="DZ45">
        <v>4026</v>
      </c>
      <c r="EA45">
        <v>-2.0023740989486867</v>
      </c>
      <c r="EB45">
        <v>2</v>
      </c>
      <c r="EC45">
        <v>9.4876297577854665E-2</v>
      </c>
      <c r="ED45">
        <v>0.91695501730103801</v>
      </c>
      <c r="EE45" s="11">
        <v>-2.0270100000000002</v>
      </c>
      <c r="EF45">
        <v>-2.0063</v>
      </c>
      <c r="EG45">
        <v>24.10346886792453</v>
      </c>
      <c r="EH45" t="s">
        <v>1128</v>
      </c>
      <c r="EI45">
        <v>0</v>
      </c>
      <c r="EJ45">
        <v>0</v>
      </c>
      <c r="EK45" s="12">
        <v>45511</v>
      </c>
      <c r="EL45">
        <v>0.64</v>
      </c>
      <c r="EM45">
        <v>-3.63</v>
      </c>
      <c r="EN45">
        <v>-5.47</v>
      </c>
      <c r="EO45">
        <v>3.2</v>
      </c>
      <c r="EP45">
        <v>3.33</v>
      </c>
    </row>
    <row r="46" spans="1:146" ht="108" x14ac:dyDescent="0.25">
      <c r="A46" s="6"/>
      <c r="B46" s="6"/>
      <c r="C46" s="6" t="str">
        <f>""&amp;CHAR(10)&amp;Basic_Fundamental_Information_Constructure(F46)&amp;CHAR(10)&amp;Basic_Fundamental_Information_Concatenate("")</f>
        <v xml:space="preserve">
市值43.8984亿, 利润6445.82万; PE68.76; 平均PE271.85; 平均PEG20.13, PB9.23; ROIC5.2333%; ROE6.0933%; 股利率0%; 毛利32.6133%; 净利6.0767%; 上一年度营收增2.36%, 利润增109.63%; 当季营收增-5.36%, 利润增-29.47%; 过往5年营收增13.5%, 利润增105.67%
Income profile:
</v>
      </c>
      <c r="D46" t="s">
        <v>360</v>
      </c>
      <c r="E46" t="s">
        <v>361</v>
      </c>
      <c r="F46">
        <v>32.76</v>
      </c>
      <c r="G46">
        <v>3.74</v>
      </c>
      <c r="H46" t="s">
        <v>3017</v>
      </c>
      <c r="I46">
        <v>4389840000</v>
      </c>
      <c r="J46">
        <v>68.760000000000005</v>
      </c>
      <c r="K46">
        <v>9.23</v>
      </c>
      <c r="L46" t="s">
        <v>212</v>
      </c>
      <c r="M46" t="s">
        <v>184</v>
      </c>
      <c r="N46" t="s">
        <v>2089</v>
      </c>
      <c r="O46" t="s">
        <v>2090</v>
      </c>
      <c r="P46">
        <v>-5.36</v>
      </c>
      <c r="Q46" t="s">
        <v>2091</v>
      </c>
      <c r="R46">
        <v>1482676</v>
      </c>
      <c r="S46" s="4">
        <v>-0.29470000000000002</v>
      </c>
      <c r="T46" t="s">
        <v>2092</v>
      </c>
      <c r="U46">
        <v>123570943</v>
      </c>
      <c r="V46">
        <v>134000000</v>
      </c>
      <c r="W46">
        <v>1.73</v>
      </c>
      <c r="X46">
        <v>0.1</v>
      </c>
      <c r="Y46">
        <v>1.77</v>
      </c>
      <c r="Z46" t="s">
        <v>2093</v>
      </c>
      <c r="AA46" t="s">
        <v>2094</v>
      </c>
      <c r="AB46" t="s">
        <v>2095</v>
      </c>
      <c r="AC46" t="s">
        <v>2096</v>
      </c>
      <c r="AD46" t="s">
        <v>2</v>
      </c>
      <c r="AE46">
        <v>892553</v>
      </c>
      <c r="AF46" t="s">
        <v>2097</v>
      </c>
      <c r="AG46" t="s">
        <v>2098</v>
      </c>
      <c r="AH46" t="s">
        <v>2099</v>
      </c>
      <c r="AI46" t="s">
        <v>2100</v>
      </c>
      <c r="AJ46" t="s">
        <v>2101</v>
      </c>
      <c r="AK46" t="s">
        <v>2102</v>
      </c>
      <c r="AL46" t="s">
        <v>2103</v>
      </c>
      <c r="AM46" t="s">
        <v>2</v>
      </c>
      <c r="AN46" t="s">
        <v>2104</v>
      </c>
      <c r="AO46" t="s">
        <v>2105</v>
      </c>
      <c r="AP46" t="s">
        <v>2106</v>
      </c>
      <c r="AQ46" t="s">
        <v>81</v>
      </c>
      <c r="AR46" t="s">
        <v>2</v>
      </c>
      <c r="AS46" t="s">
        <v>795</v>
      </c>
      <c r="AT46" t="s">
        <v>2</v>
      </c>
      <c r="AU46" t="s">
        <v>2107</v>
      </c>
      <c r="AV46" t="s">
        <v>2108</v>
      </c>
      <c r="AW46" t="s">
        <v>2109</v>
      </c>
      <c r="AX46" t="s">
        <v>933</v>
      </c>
      <c r="AY46" t="s">
        <v>709</v>
      </c>
      <c r="AZ46" t="s">
        <v>362</v>
      </c>
      <c r="BA46" t="s">
        <v>178</v>
      </c>
      <c r="BB46" t="s">
        <v>309</v>
      </c>
      <c r="BC46" t="s">
        <v>953</v>
      </c>
      <c r="BD46" t="s">
        <v>710</v>
      </c>
      <c r="BE46" t="s">
        <v>363</v>
      </c>
      <c r="BF46" t="s">
        <v>365</v>
      </c>
      <c r="BG46" t="s">
        <v>366</v>
      </c>
      <c r="BH46" t="s">
        <v>2091</v>
      </c>
      <c r="BI46" t="s">
        <v>2110</v>
      </c>
      <c r="BJ46" t="s">
        <v>933</v>
      </c>
      <c r="BK46" t="s">
        <v>2092</v>
      </c>
      <c r="BL46" t="s">
        <v>2111</v>
      </c>
      <c r="BM46" t="s">
        <v>953</v>
      </c>
      <c r="BN46">
        <v>8.6999999999999993</v>
      </c>
      <c r="BO46">
        <v>5.86</v>
      </c>
      <c r="BP46">
        <v>1.1399999999999999</v>
      </c>
      <c r="BQ46">
        <v>9.4</v>
      </c>
      <c r="BR46">
        <v>7.8</v>
      </c>
      <c r="BS46">
        <v>1.08</v>
      </c>
      <c r="BT46" t="s">
        <v>836</v>
      </c>
      <c r="BU46" t="s">
        <v>757</v>
      </c>
      <c r="BV46">
        <v>39.770000000000003</v>
      </c>
      <c r="BW46">
        <v>30.9</v>
      </c>
      <c r="BX46">
        <v>27.17</v>
      </c>
      <c r="BY46">
        <v>12.29</v>
      </c>
      <c r="BZ46">
        <v>5.36</v>
      </c>
      <c r="CA46">
        <v>0.57999999999999996</v>
      </c>
      <c r="CB46">
        <v>1.2</v>
      </c>
      <c r="CC46">
        <v>-8.2100000000000009</v>
      </c>
      <c r="CD46" t="s">
        <v>3018</v>
      </c>
      <c r="CE46" t="s">
        <v>3019</v>
      </c>
      <c r="CF46" s="8">
        <v>-5.3577207445219092E-2</v>
      </c>
      <c r="CG46" s="9">
        <v>-0.29470269241746744</v>
      </c>
      <c r="CH46" s="8">
        <v>2.3575639352202415E-2</v>
      </c>
      <c r="CI46" s="8">
        <v>2.2088352590799332E-2</v>
      </c>
      <c r="CJ46" s="8">
        <v>3.3195022493600845E-2</v>
      </c>
      <c r="CK46" s="8">
        <v>2.7718549594283104E-2</v>
      </c>
      <c r="CL46" s="8">
        <v>0.568561851978302</v>
      </c>
      <c r="CM46" s="9">
        <v>1.0963243246078491</v>
      </c>
      <c r="CN46" s="9">
        <v>6.5740079879760742</v>
      </c>
      <c r="CO46" s="9">
        <v>1.3827377557754517</v>
      </c>
      <c r="CP46" s="9">
        <v>-3.6897425651550293</v>
      </c>
      <c r="CQ46" s="9">
        <v>-7.9975739121437073E-2</v>
      </c>
      <c r="CR46">
        <v>271.84785873304372</v>
      </c>
      <c r="CS46">
        <v>20.132720167633071</v>
      </c>
      <c r="CT46">
        <v>0</v>
      </c>
      <c r="CU46" s="8">
        <v>0.13502788320183753</v>
      </c>
      <c r="CV46" s="9">
        <v>1.0566703528165817</v>
      </c>
      <c r="CW46">
        <v>0.06</v>
      </c>
      <c r="CX46">
        <v>62.862955619990274</v>
      </c>
      <c r="CY46">
        <v>69020617.265094981</v>
      </c>
      <c r="CZ46">
        <v>0.13502788320183753</v>
      </c>
      <c r="DA46">
        <v>19.778391111101037</v>
      </c>
      <c r="DB46">
        <v>219372747.54187337</v>
      </c>
      <c r="DC46">
        <v>0.12827648904174566</v>
      </c>
      <c r="DD46">
        <v>9.24702344827746</v>
      </c>
      <c r="DE46">
        <v>469214772.11223477</v>
      </c>
      <c r="DF46">
        <v>0.11882453721761703</v>
      </c>
      <c r="DG46">
        <v>5.2329884001567128</v>
      </c>
      <c r="DH46">
        <v>829132355.78165329</v>
      </c>
      <c r="DI46">
        <v>0.10802230656147004</v>
      </c>
      <c r="DJ46">
        <v>2.3634178483957919</v>
      </c>
      <c r="DK46">
        <v>1835832797.380733</v>
      </c>
      <c r="DL46">
        <v>9.4519518241286266E-2</v>
      </c>
      <c r="DM46">
        <v>64458200</v>
      </c>
      <c r="DN46">
        <v>0.13502788320183753</v>
      </c>
      <c r="DO46">
        <v>4338840000</v>
      </c>
      <c r="DP46">
        <v>179882400</v>
      </c>
      <c r="DQ46">
        <v>2159</v>
      </c>
      <c r="DR46">
        <v>-0.18860509064705663</v>
      </c>
      <c r="DS46">
        <v>-1.3513730452340491</v>
      </c>
      <c r="DT46" s="10">
        <v>-0.34</v>
      </c>
      <c r="DU46">
        <v>0.11333333333333333</v>
      </c>
      <c r="DV46">
        <v>-0.22666666666666668</v>
      </c>
      <c r="DW46">
        <v>-2.0821000000000001</v>
      </c>
      <c r="DX46">
        <v>0.44057418183987151</v>
      </c>
      <c r="DY46">
        <v>-2.0066151403290533</v>
      </c>
      <c r="DZ46">
        <v>2356</v>
      </c>
      <c r="EA46">
        <v>-2.0035633935862984</v>
      </c>
      <c r="EB46">
        <v>2</v>
      </c>
      <c r="EC46">
        <v>2.8229104477611941E-2</v>
      </c>
      <c r="ED46">
        <v>0.35034925373134329</v>
      </c>
      <c r="EE46" s="11">
        <v>4.1410000000000002E-2</v>
      </c>
      <c r="EF46">
        <v>4.0099999999999962E-3</v>
      </c>
      <c r="EG46">
        <v>36.080574181839872</v>
      </c>
      <c r="EH46">
        <v>-1</v>
      </c>
      <c r="EI46">
        <v>0</v>
      </c>
      <c r="EJ46">
        <v>0</v>
      </c>
      <c r="EK46" s="12">
        <v>45511</v>
      </c>
      <c r="EL46">
        <v>0.99</v>
      </c>
      <c r="EM46">
        <v>-2.42</v>
      </c>
      <c r="EN46">
        <v>-2.73</v>
      </c>
      <c r="EO46">
        <v>1.77</v>
      </c>
      <c r="EP46">
        <v>3.74</v>
      </c>
    </row>
    <row r="47" spans="1:146" ht="108" x14ac:dyDescent="0.25">
      <c r="A47" s="6"/>
      <c r="B47" s="6"/>
      <c r="C47" s="6" t="str">
        <f>""&amp;CHAR(10)&amp;Basic_Fundamental_Information_Constructure(F47)&amp;CHAR(10)&amp;Basic_Fundamental_Information_Concatenate("")</f>
        <v xml:space="preserve">
市值16.047785亿, 利润-993.02万; PE; 平均PE110.63; 平均PEG19.47, PB2.41; ROIC4.31%; ROE.1167%; 股利率0%; 毛利25.2033%; 净利-.3%; 上一年度营收增-32.58%, 利润增53.83%; 当季营收增2.23%, 利润增877.88%; 过往5年营收增5.68%, 利润增43.14%
Income profile:
</v>
      </c>
      <c r="D47" t="s">
        <v>367</v>
      </c>
      <c r="E47" t="s">
        <v>368</v>
      </c>
      <c r="F47">
        <v>16.13</v>
      </c>
      <c r="G47">
        <v>4.2</v>
      </c>
      <c r="H47" t="s">
        <v>3020</v>
      </c>
      <c r="I47">
        <v>1604778500</v>
      </c>
      <c r="K47">
        <v>2.41</v>
      </c>
      <c r="L47" t="s">
        <v>212</v>
      </c>
      <c r="M47" t="s">
        <v>1126</v>
      </c>
      <c r="N47" t="s">
        <v>1202</v>
      </c>
      <c r="O47" t="s">
        <v>2112</v>
      </c>
      <c r="P47">
        <v>2.23</v>
      </c>
      <c r="Q47" t="s">
        <v>246</v>
      </c>
      <c r="R47">
        <v>6277509</v>
      </c>
      <c r="S47" s="4">
        <v>8.7789999999999999</v>
      </c>
      <c r="T47" t="s">
        <v>2113</v>
      </c>
      <c r="U47">
        <v>89135188</v>
      </c>
      <c r="V47">
        <v>99490300</v>
      </c>
      <c r="W47">
        <v>1.34</v>
      </c>
      <c r="X47">
        <v>0.1</v>
      </c>
      <c r="Y47">
        <v>7.56</v>
      </c>
      <c r="Z47" t="s">
        <v>2114</v>
      </c>
      <c r="AA47" t="s">
        <v>2115</v>
      </c>
      <c r="AB47" t="s">
        <v>2116</v>
      </c>
      <c r="AC47" t="s">
        <v>2117</v>
      </c>
      <c r="AD47" t="s">
        <v>2</v>
      </c>
      <c r="AE47">
        <v>1341480</v>
      </c>
      <c r="AF47" t="s">
        <v>2118</v>
      </c>
      <c r="AG47">
        <v>3668.09</v>
      </c>
      <c r="AH47" t="s">
        <v>2119</v>
      </c>
      <c r="AI47" t="s">
        <v>2120</v>
      </c>
      <c r="AJ47" t="s">
        <v>2121</v>
      </c>
      <c r="AK47" t="s">
        <v>2122</v>
      </c>
      <c r="AL47" t="s">
        <v>2123</v>
      </c>
      <c r="AM47" t="s">
        <v>2</v>
      </c>
      <c r="AN47" t="s">
        <v>2124</v>
      </c>
      <c r="AO47" t="s">
        <v>60</v>
      </c>
      <c r="AP47" t="s">
        <v>2</v>
      </c>
      <c r="AQ47" t="s">
        <v>2125</v>
      </c>
      <c r="AR47" t="s">
        <v>2</v>
      </c>
      <c r="AS47" t="s">
        <v>31</v>
      </c>
      <c r="AT47" t="s">
        <v>2</v>
      </c>
      <c r="AU47" t="s">
        <v>2126</v>
      </c>
      <c r="AV47" t="s">
        <v>2127</v>
      </c>
      <c r="AW47" t="s">
        <v>2128</v>
      </c>
      <c r="AX47" t="s">
        <v>853</v>
      </c>
      <c r="AY47" t="s">
        <v>711</v>
      </c>
      <c r="AZ47" t="s">
        <v>322</v>
      </c>
      <c r="BA47" t="s">
        <v>371</v>
      </c>
      <c r="BB47" t="s">
        <v>137</v>
      </c>
      <c r="BC47" t="s">
        <v>2129</v>
      </c>
      <c r="BD47" t="s">
        <v>712</v>
      </c>
      <c r="BE47" t="s">
        <v>369</v>
      </c>
      <c r="BF47" t="s">
        <v>372</v>
      </c>
      <c r="BG47" t="s">
        <v>373</v>
      </c>
      <c r="BH47" t="s">
        <v>246</v>
      </c>
      <c r="BI47" t="s">
        <v>2130</v>
      </c>
      <c r="BJ47" t="s">
        <v>853</v>
      </c>
      <c r="BK47" t="s">
        <v>2113</v>
      </c>
      <c r="BL47" t="s">
        <v>2131</v>
      </c>
      <c r="BM47" t="s">
        <v>2129</v>
      </c>
      <c r="BN47" t="s">
        <v>2</v>
      </c>
      <c r="BO47" t="s">
        <v>2</v>
      </c>
      <c r="BP47">
        <v>4.3099999999999996</v>
      </c>
      <c r="BQ47">
        <v>-1.1599999999999999</v>
      </c>
      <c r="BR47">
        <v>-3.26</v>
      </c>
      <c r="BS47">
        <v>4.7699999999999996</v>
      </c>
      <c r="BT47" t="s">
        <v>836</v>
      </c>
      <c r="BU47" t="s">
        <v>757</v>
      </c>
      <c r="BV47">
        <v>26.96</v>
      </c>
      <c r="BW47">
        <v>28.05</v>
      </c>
      <c r="BX47">
        <v>20.6</v>
      </c>
      <c r="BY47">
        <v>-2.16</v>
      </c>
      <c r="BZ47">
        <v>-2.93</v>
      </c>
      <c r="CA47">
        <v>4.1900000000000004</v>
      </c>
      <c r="CB47">
        <v>-1.04</v>
      </c>
      <c r="CC47">
        <v>8.0399999999999991</v>
      </c>
      <c r="CD47" t="s">
        <v>3021</v>
      </c>
      <c r="CE47" t="s">
        <v>103</v>
      </c>
      <c r="CF47" s="8">
        <v>2.2293354350478016E-2</v>
      </c>
      <c r="CG47" s="9">
        <v>8.7788215613382903</v>
      </c>
      <c r="CH47" s="8">
        <v>-0.32580038905143738</v>
      </c>
      <c r="CI47" s="8">
        <v>-0.27160492539405823</v>
      </c>
      <c r="CJ47" s="8">
        <v>0.42105263471603394</v>
      </c>
      <c r="CK47" s="8">
        <v>0.37903225421905518</v>
      </c>
      <c r="CL47" s="8">
        <v>8.1395350396633148E-2</v>
      </c>
      <c r="CM47" s="9">
        <v>0.53828054666519165</v>
      </c>
      <c r="CN47" s="9">
        <v>-1.685322642326355</v>
      </c>
      <c r="CO47" s="9">
        <v>-0.48050978779792786</v>
      </c>
      <c r="CP47" s="9">
        <v>3.9372563362121582</v>
      </c>
      <c r="CQ47" s="9">
        <v>-0.1528422087430954</v>
      </c>
      <c r="CR47">
        <v>110.63190683117057</v>
      </c>
      <c r="CS47">
        <v>19.472311200201702</v>
      </c>
      <c r="CT47">
        <v>0</v>
      </c>
      <c r="CU47" s="8">
        <v>5.6814984977245332E-2</v>
      </c>
      <c r="CV47" s="9">
        <v>0.43137244880199432</v>
      </c>
      <c r="CW47">
        <v>0.06</v>
      </c>
      <c r="CX47" t="e">
        <v>#VALUE!</v>
      </c>
      <c r="CY47" t="s">
        <v>765</v>
      </c>
      <c r="CZ47">
        <v>5.6814984977245332E-2</v>
      </c>
      <c r="DA47" t="e">
        <v>#VALUE!</v>
      </c>
      <c r="DB47" t="s">
        <v>765</v>
      </c>
      <c r="DC47">
        <v>5.3974235728383065E-2</v>
      </c>
      <c r="DD47" t="e">
        <v>#VALUE!</v>
      </c>
      <c r="DE47" t="s">
        <v>765</v>
      </c>
      <c r="DF47">
        <v>4.9997186779975895E-2</v>
      </c>
      <c r="DG47" t="e">
        <v>#VALUE!</v>
      </c>
      <c r="DH47" t="s">
        <v>765</v>
      </c>
      <c r="DI47">
        <v>4.5451987981796269E-2</v>
      </c>
      <c r="DJ47" t="e">
        <v>#VALUE!</v>
      </c>
      <c r="DK47" t="s">
        <v>765</v>
      </c>
      <c r="DL47">
        <v>3.9770489484071733E-2</v>
      </c>
      <c r="DM47">
        <v>-9930200</v>
      </c>
      <c r="DN47">
        <v>5.6814984977245332E-2</v>
      </c>
      <c r="DO47">
        <v>1131778500</v>
      </c>
      <c r="DP47">
        <v>217270500</v>
      </c>
      <c r="DQ47">
        <v>2170</v>
      </c>
      <c r="DR47">
        <v>-3.4521630626767316E-2</v>
      </c>
      <c r="DS47">
        <v>8.347449112536296</v>
      </c>
      <c r="DT47" s="10">
        <v>-0.50666666666666671</v>
      </c>
      <c r="DU47">
        <v>-0.26000000000000006</v>
      </c>
      <c r="DV47">
        <v>-0.76666666666666683</v>
      </c>
      <c r="DW47">
        <v>2.0804</v>
      </c>
      <c r="DX47">
        <v>0.67716370370370438</v>
      </c>
      <c r="DY47">
        <v>2.017459961777778</v>
      </c>
      <c r="DZ47">
        <v>3358</v>
      </c>
      <c r="EA47">
        <v>2.0059795326315517</v>
      </c>
      <c r="EB47">
        <v>2</v>
      </c>
      <c r="EC47">
        <v>0.29467294801603772</v>
      </c>
      <c r="ED47">
        <v>1.3569162018809875</v>
      </c>
      <c r="EE47" s="11">
        <v>-5.0359999999999996</v>
      </c>
      <c r="EF47">
        <v>-5.0780000000000003</v>
      </c>
      <c r="EG47">
        <v>46.217163703703704</v>
      </c>
      <c r="EH47" t="s">
        <v>2891</v>
      </c>
      <c r="EI47">
        <v>1</v>
      </c>
      <c r="EJ47">
        <v>0</v>
      </c>
      <c r="EK47" s="12">
        <v>45511</v>
      </c>
      <c r="EL47">
        <v>-1.29</v>
      </c>
      <c r="EM47">
        <v>-2.73</v>
      </c>
      <c r="EN47">
        <v>-3.07</v>
      </c>
      <c r="EO47">
        <v>2.04</v>
      </c>
      <c r="EP47">
        <v>4.2</v>
      </c>
    </row>
    <row r="48" spans="1:146" ht="108" x14ac:dyDescent="0.25">
      <c r="A48" s="6"/>
      <c r="B48" s="6"/>
      <c r="C48" s="6" t="str">
        <f>""&amp;CHAR(10)&amp;Basic_Fundamental_Information_Constructure(F48)&amp;CHAR(10)&amp;Basic_Fundamental_Information_Concatenate("")</f>
        <v xml:space="preserve">
市值44.601538亿, 利润6121.06万; PE71.02; 平均PE123.2; 平均PEG6.92, PB6.32; ROIC4.57%; ROE5.7433%; 股利率.5587%; 毛利53.62%; 净利12.9833%; 上一年度营收增17.75%, 利润增25.39%; 当季营收增16.31%, 利润增199.43%; 过往5年营收增17.8%, 利润增33.78%
Income profile:
</v>
      </c>
      <c r="D48" t="s">
        <v>609</v>
      </c>
      <c r="E48" t="s">
        <v>610</v>
      </c>
      <c r="F48">
        <v>17.899999999999999</v>
      </c>
      <c r="G48">
        <v>13.87</v>
      </c>
      <c r="H48" t="s">
        <v>3022</v>
      </c>
      <c r="I48">
        <v>4460153800</v>
      </c>
      <c r="J48">
        <v>71.02</v>
      </c>
      <c r="K48">
        <v>6.32</v>
      </c>
      <c r="L48" t="s">
        <v>212</v>
      </c>
      <c r="M48" t="s">
        <v>936</v>
      </c>
      <c r="N48" t="s">
        <v>2132</v>
      </c>
      <c r="O48" t="s">
        <v>2133</v>
      </c>
      <c r="P48">
        <v>16.309999999999999</v>
      </c>
      <c r="Q48" t="s">
        <v>1250</v>
      </c>
      <c r="R48">
        <v>795240</v>
      </c>
      <c r="S48" s="4">
        <v>1.994</v>
      </c>
      <c r="T48" t="s">
        <v>2134</v>
      </c>
      <c r="U48">
        <v>248040890</v>
      </c>
      <c r="V48">
        <v>249170610</v>
      </c>
      <c r="W48">
        <v>1.38</v>
      </c>
      <c r="X48">
        <v>0.05</v>
      </c>
      <c r="Y48">
        <v>1.46</v>
      </c>
      <c r="Z48" t="s">
        <v>2135</v>
      </c>
      <c r="AA48" t="s">
        <v>2136</v>
      </c>
      <c r="AB48" t="s">
        <v>2137</v>
      </c>
      <c r="AC48" t="s">
        <v>2138</v>
      </c>
      <c r="AD48" t="s">
        <v>2</v>
      </c>
      <c r="AE48">
        <v>-2487615</v>
      </c>
      <c r="AF48" t="s">
        <v>2139</v>
      </c>
      <c r="AG48" t="s">
        <v>2140</v>
      </c>
      <c r="AH48" t="s">
        <v>2141</v>
      </c>
      <c r="AI48" t="s">
        <v>913</v>
      </c>
      <c r="AJ48" t="s">
        <v>2142</v>
      </c>
      <c r="AK48" t="s">
        <v>2143</v>
      </c>
      <c r="AL48" t="s">
        <v>2144</v>
      </c>
      <c r="AM48" t="s">
        <v>2</v>
      </c>
      <c r="AN48" t="s">
        <v>2145</v>
      </c>
      <c r="AO48" t="s">
        <v>2</v>
      </c>
      <c r="AP48" t="s">
        <v>2146</v>
      </c>
      <c r="AQ48" t="s">
        <v>21</v>
      </c>
      <c r="AR48" t="s">
        <v>2147</v>
      </c>
      <c r="AS48" t="s">
        <v>139</v>
      </c>
      <c r="AT48" t="s">
        <v>2</v>
      </c>
      <c r="AU48" t="s">
        <v>2148</v>
      </c>
      <c r="AV48" t="s">
        <v>2149</v>
      </c>
      <c r="AW48" t="s">
        <v>2</v>
      </c>
      <c r="AX48" t="s">
        <v>809</v>
      </c>
      <c r="AY48" t="s">
        <v>370</v>
      </c>
      <c r="AZ48" t="s">
        <v>148</v>
      </c>
      <c r="BA48" t="s">
        <v>94</v>
      </c>
      <c r="BB48" t="s">
        <v>325</v>
      </c>
      <c r="BC48" t="s">
        <v>954</v>
      </c>
      <c r="BD48" t="s">
        <v>713</v>
      </c>
      <c r="BE48" t="s">
        <v>611</v>
      </c>
      <c r="BF48" t="s">
        <v>612</v>
      </c>
      <c r="BG48" t="s">
        <v>613</v>
      </c>
      <c r="BH48" t="s">
        <v>1250</v>
      </c>
      <c r="BI48" t="s">
        <v>2150</v>
      </c>
      <c r="BJ48" t="s">
        <v>809</v>
      </c>
      <c r="BK48" t="s">
        <v>2134</v>
      </c>
      <c r="BL48" t="s">
        <v>2151</v>
      </c>
      <c r="BM48" t="s">
        <v>954</v>
      </c>
      <c r="BN48">
        <v>1.54</v>
      </c>
      <c r="BO48">
        <v>6.19</v>
      </c>
      <c r="BP48">
        <v>5.98</v>
      </c>
      <c r="BQ48">
        <v>2.5499999999999998</v>
      </c>
      <c r="BR48">
        <v>7.58</v>
      </c>
      <c r="BS48">
        <v>7.1</v>
      </c>
      <c r="BT48" t="s">
        <v>842</v>
      </c>
      <c r="BU48" t="s">
        <v>756</v>
      </c>
      <c r="BV48">
        <v>49.75</v>
      </c>
      <c r="BW48">
        <v>57.83</v>
      </c>
      <c r="BX48">
        <v>53.28</v>
      </c>
      <c r="BY48">
        <v>13.58</v>
      </c>
      <c r="BZ48">
        <v>12.73</v>
      </c>
      <c r="CA48">
        <v>12.64</v>
      </c>
      <c r="CB48">
        <v>11.87</v>
      </c>
      <c r="CC48">
        <v>17.61</v>
      </c>
      <c r="CD48" t="s">
        <v>68</v>
      </c>
      <c r="CE48" t="s">
        <v>1965</v>
      </c>
      <c r="CF48" s="8">
        <v>0.1631425750445587</v>
      </c>
      <c r="CG48" s="9">
        <v>1.994298574643661</v>
      </c>
      <c r="CH48" s="8">
        <v>0.1775456964969635</v>
      </c>
      <c r="CI48" s="8">
        <v>0.10693641752004623</v>
      </c>
      <c r="CJ48" s="8">
        <v>0.12337662279605865</v>
      </c>
      <c r="CK48" s="8">
        <v>0.15355804562568665</v>
      </c>
      <c r="CL48" s="8">
        <v>0.32835820317268372</v>
      </c>
      <c r="CM48" s="9">
        <v>0.25392499566078186</v>
      </c>
      <c r="CN48" s="9">
        <v>0.11677151918411255</v>
      </c>
      <c r="CO48" s="9">
        <v>0.41812470555305481</v>
      </c>
      <c r="CP48" s="9">
        <v>0.80956828594207764</v>
      </c>
      <c r="CQ48" s="9">
        <v>9.0521462261676788E-2</v>
      </c>
      <c r="CR48">
        <v>123.20140802015349</v>
      </c>
      <c r="CS48">
        <v>6.9231777703601942</v>
      </c>
      <c r="CT48">
        <v>0.55865921787709505</v>
      </c>
      <c r="CU48" s="8">
        <v>0.17795499712228774</v>
      </c>
      <c r="CV48" s="9">
        <v>0.33778219372034074</v>
      </c>
      <c r="CW48">
        <v>0.06</v>
      </c>
      <c r="CX48">
        <v>59.6741218455292</v>
      </c>
      <c r="CY48">
        <v>68022011.459295779</v>
      </c>
      <c r="CZ48">
        <v>0.17795499712228774</v>
      </c>
      <c r="DA48">
        <v>18.115094197529285</v>
      </c>
      <c r="DB48">
        <v>224075776.57275596</v>
      </c>
      <c r="DC48">
        <v>0.16905724726617335</v>
      </c>
      <c r="DD48">
        <v>8.055269541284817</v>
      </c>
      <c r="DE48">
        <v>503912846.01912457</v>
      </c>
      <c r="DF48">
        <v>0.1566003974676132</v>
      </c>
      <c r="DG48">
        <v>4.2941934386081098</v>
      </c>
      <c r="DH48">
        <v>945265707.75901198</v>
      </c>
      <c r="DI48">
        <v>0.1423639976978302</v>
      </c>
      <c r="DJ48">
        <v>1.6826055218780829</v>
      </c>
      <c r="DK48">
        <v>2412421537.4434719</v>
      </c>
      <c r="DL48">
        <v>0.12456849798560141</v>
      </c>
      <c r="DM48">
        <v>61210600.000000007</v>
      </c>
      <c r="DN48">
        <v>0.17795499712228774</v>
      </c>
      <c r="DO48">
        <v>4059153800</v>
      </c>
      <c r="DP48">
        <v>628325700</v>
      </c>
      <c r="DQ48">
        <v>2171</v>
      </c>
      <c r="DR48">
        <v>-1.4812422077729037E-2</v>
      </c>
      <c r="DS48">
        <v>1.6565163809233203</v>
      </c>
      <c r="DT48" s="10">
        <v>-5.6666666666666719E-2</v>
      </c>
      <c r="DU48">
        <v>0.75333333333333341</v>
      </c>
      <c r="DV48">
        <v>0.69666666666666666</v>
      </c>
      <c r="DW48">
        <v>9.6740488358886996</v>
      </c>
      <c r="DX48">
        <v>0.74199999999999755</v>
      </c>
      <c r="DY48">
        <v>9.2103032367972748</v>
      </c>
      <c r="DZ48">
        <v>512</v>
      </c>
      <c r="EA48">
        <v>9.1892193798871116</v>
      </c>
      <c r="EB48">
        <v>9</v>
      </c>
      <c r="EC48">
        <v>0.46955778612894994</v>
      </c>
      <c r="ED48">
        <v>1.504992904259455</v>
      </c>
      <c r="EE48" s="11">
        <v>-3.0697999999999999</v>
      </c>
      <c r="EF48">
        <v>-2.0585</v>
      </c>
      <c r="EG48">
        <v>43.311999999999998</v>
      </c>
      <c r="EH48" t="s">
        <v>1128</v>
      </c>
      <c r="EI48">
        <v>1</v>
      </c>
      <c r="EJ48">
        <v>1</v>
      </c>
      <c r="EK48" s="12">
        <v>45511</v>
      </c>
      <c r="EL48">
        <v>3.81</v>
      </c>
      <c r="EM48">
        <v>1.99</v>
      </c>
      <c r="EN48">
        <v>-8.0299999999999994</v>
      </c>
      <c r="EO48">
        <v>0.9</v>
      </c>
      <c r="EP48">
        <v>13.87</v>
      </c>
    </row>
    <row r="49" spans="1:146" ht="108" x14ac:dyDescent="0.25">
      <c r="A49" s="6"/>
      <c r="B49" s="6"/>
      <c r="C49" s="6" t="str">
        <f>""&amp;CHAR(10)&amp;Basic_Fundamental_Information_Constructure(F49)&amp;CHAR(10)&amp;Basic_Fundamental_Information_Concatenate("")</f>
        <v xml:space="preserve">
市值75.610334亿, 利润9815.36万; PE75.59; 平均PE84.46; 平均PEG12.44, PB6.88; ROIC9.8267%; ROE10.6733%; 股利率.4119%; 毛利15.11%; 净利6.8133%; 上一年度营收增-3.41%, 利润增-24.5%; 当季营收增12.5%, 利润增11.91%; 过往5年营收增6.79%, 利润增8.92%
Income profile:
</v>
      </c>
      <c r="D49" t="s">
        <v>430</v>
      </c>
      <c r="E49" t="s">
        <v>431</v>
      </c>
      <c r="F49">
        <v>29.13</v>
      </c>
      <c r="G49">
        <v>0.9</v>
      </c>
      <c r="H49" t="s">
        <v>3023</v>
      </c>
      <c r="I49">
        <v>7561033400</v>
      </c>
      <c r="J49">
        <v>75.59</v>
      </c>
      <c r="K49">
        <v>6.88</v>
      </c>
      <c r="L49" t="s">
        <v>212</v>
      </c>
      <c r="M49" t="s">
        <v>1244</v>
      </c>
      <c r="N49" t="s">
        <v>2152</v>
      </c>
      <c r="O49" t="s">
        <v>1020</v>
      </c>
      <c r="P49">
        <v>12.43</v>
      </c>
      <c r="Q49" t="s">
        <v>1207</v>
      </c>
      <c r="R49">
        <v>17606218</v>
      </c>
      <c r="S49" s="4">
        <v>0.1191</v>
      </c>
      <c r="T49" t="s">
        <v>2164</v>
      </c>
      <c r="U49">
        <v>210862850</v>
      </c>
      <c r="V49">
        <v>258169550</v>
      </c>
      <c r="W49">
        <v>1.1599999999999999</v>
      </c>
      <c r="X49">
        <v>0.28999999999999998</v>
      </c>
      <c r="Y49">
        <v>4.78</v>
      </c>
      <c r="Z49" t="s">
        <v>824</v>
      </c>
      <c r="AA49" t="s">
        <v>1234</v>
      </c>
      <c r="AB49" t="s">
        <v>2153</v>
      </c>
      <c r="AC49" t="s">
        <v>2154</v>
      </c>
      <c r="AD49" t="s">
        <v>2</v>
      </c>
      <c r="AE49">
        <v>-4316675</v>
      </c>
      <c r="AF49" t="s">
        <v>20</v>
      </c>
      <c r="AG49" t="s">
        <v>2155</v>
      </c>
      <c r="AH49" t="s">
        <v>2156</v>
      </c>
      <c r="AI49" t="s">
        <v>120</v>
      </c>
      <c r="AJ49" t="s">
        <v>2157</v>
      </c>
      <c r="AK49" t="s">
        <v>2</v>
      </c>
      <c r="AL49" t="s">
        <v>2158</v>
      </c>
      <c r="AM49" t="s">
        <v>2</v>
      </c>
      <c r="AN49" t="s">
        <v>103</v>
      </c>
      <c r="AO49" t="s">
        <v>2</v>
      </c>
      <c r="AP49" t="s">
        <v>2159</v>
      </c>
      <c r="AQ49" t="s">
        <v>2160</v>
      </c>
      <c r="AR49" t="s">
        <v>2</v>
      </c>
      <c r="AS49" t="s">
        <v>100</v>
      </c>
      <c r="AT49" t="s">
        <v>2</v>
      </c>
      <c r="AU49" t="s">
        <v>2161</v>
      </c>
      <c r="AV49" t="s">
        <v>2162</v>
      </c>
      <c r="AW49" t="s">
        <v>2163</v>
      </c>
      <c r="AX49" t="s">
        <v>955</v>
      </c>
      <c r="AY49" t="s">
        <v>714</v>
      </c>
      <c r="AZ49" t="s">
        <v>432</v>
      </c>
      <c r="BA49" t="s">
        <v>170</v>
      </c>
      <c r="BB49" t="s">
        <v>434</v>
      </c>
      <c r="BC49" t="s">
        <v>46</v>
      </c>
      <c r="BD49" t="s">
        <v>715</v>
      </c>
      <c r="BE49" t="s">
        <v>433</v>
      </c>
      <c r="BF49" t="s">
        <v>435</v>
      </c>
      <c r="BG49" t="s">
        <v>436</v>
      </c>
      <c r="BH49" t="s">
        <v>1207</v>
      </c>
      <c r="BI49" t="s">
        <v>84</v>
      </c>
      <c r="BJ49" t="s">
        <v>955</v>
      </c>
      <c r="BK49" t="s">
        <v>2164</v>
      </c>
      <c r="BL49" t="s">
        <v>3024</v>
      </c>
      <c r="BM49" t="s">
        <v>46</v>
      </c>
      <c r="BN49">
        <v>5.34</v>
      </c>
      <c r="BO49">
        <v>13.94</v>
      </c>
      <c r="BP49">
        <v>10.199999999999999</v>
      </c>
      <c r="BQ49">
        <v>6.95</v>
      </c>
      <c r="BR49">
        <v>14.29</v>
      </c>
      <c r="BS49">
        <v>10.78</v>
      </c>
      <c r="BT49" t="s">
        <v>945</v>
      </c>
      <c r="BU49" t="s">
        <v>789</v>
      </c>
      <c r="BV49">
        <v>15.07</v>
      </c>
      <c r="BW49">
        <v>16.170000000000002</v>
      </c>
      <c r="BX49">
        <v>14.09</v>
      </c>
      <c r="BY49">
        <v>6.31</v>
      </c>
      <c r="BZ49">
        <v>8.1</v>
      </c>
      <c r="CA49">
        <v>6.03</v>
      </c>
      <c r="CB49">
        <v>-6.39</v>
      </c>
      <c r="CC49">
        <v>-12.99</v>
      </c>
      <c r="CD49" t="s">
        <v>3025</v>
      </c>
      <c r="CE49" t="s">
        <v>41</v>
      </c>
      <c r="CF49" s="8">
        <v>0.125</v>
      </c>
      <c r="CG49" s="9">
        <v>0.11909144070274462</v>
      </c>
      <c r="CH49" s="8">
        <v>-3.4140322357416153E-2</v>
      </c>
      <c r="CI49" s="8">
        <v>9.9658794701099396E-2</v>
      </c>
      <c r="CJ49" s="8">
        <v>0.26184326410293579</v>
      </c>
      <c r="CK49" s="8">
        <v>5.8340933173894882E-2</v>
      </c>
      <c r="CL49" s="8">
        <v>-4.6087011694908142E-2</v>
      </c>
      <c r="CM49" s="9">
        <v>-0.24497230350971222</v>
      </c>
      <c r="CN49" s="9">
        <v>0.47280248999595642</v>
      </c>
      <c r="CO49" s="9">
        <v>0.20929892361164093</v>
      </c>
      <c r="CP49" s="9">
        <v>-3.016064316034317E-2</v>
      </c>
      <c r="CQ49" s="9">
        <v>3.9040539413690567E-2</v>
      </c>
      <c r="CR49">
        <v>84.464524907299065</v>
      </c>
      <c r="CS49">
        <v>12.435310760289116</v>
      </c>
      <c r="CT49">
        <v>0.41194644696189497</v>
      </c>
      <c r="CU49" s="8">
        <v>6.7923131585121158E-2</v>
      </c>
      <c r="CV49" s="9">
        <v>8.9201801270246503E-2</v>
      </c>
      <c r="CW49">
        <v>0.06</v>
      </c>
      <c r="CX49">
        <v>67.268858777723267</v>
      </c>
      <c r="CY49">
        <v>98887264.045616373</v>
      </c>
      <c r="CZ49">
        <v>6.7923131585121158E-2</v>
      </c>
      <c r="DA49">
        <v>22.39869381518297</v>
      </c>
      <c r="DB49">
        <v>296983094.41110867</v>
      </c>
      <c r="DC49">
        <v>6.45269750058651E-2</v>
      </c>
      <c r="DD49">
        <v>11.303771853404724</v>
      </c>
      <c r="DE49">
        <v>588479092.31257093</v>
      </c>
      <c r="DF49">
        <v>5.9772355794906619E-2</v>
      </c>
      <c r="DG49">
        <v>6.9789276807282583</v>
      </c>
      <c r="DH49">
        <v>953159812.55530846</v>
      </c>
      <c r="DI49">
        <v>5.4338505268096929E-2</v>
      </c>
      <c r="DJ49">
        <v>3.827395609546234</v>
      </c>
      <c r="DK49">
        <v>1738005181.2278292</v>
      </c>
      <c r="DL49">
        <v>4.7546192109584808E-2</v>
      </c>
      <c r="DM49">
        <v>98153600</v>
      </c>
      <c r="DN49">
        <v>6.7923131585121158E-2</v>
      </c>
      <c r="DO49">
        <v>6652033400</v>
      </c>
      <c r="DP49">
        <v>646732240</v>
      </c>
      <c r="DQ49">
        <v>2363</v>
      </c>
      <c r="DR49">
        <v>5.7076868414878842E-2</v>
      </c>
      <c r="DS49">
        <v>2.9889639432498116E-2</v>
      </c>
      <c r="DT49" s="10">
        <v>-0.3066666666666667</v>
      </c>
      <c r="DU49">
        <v>0.1166666666666667</v>
      </c>
      <c r="DV49">
        <v>-0.19</v>
      </c>
      <c r="DW49">
        <v>-9.4919168591224015</v>
      </c>
      <c r="DX49">
        <v>0.386423870967743</v>
      </c>
      <c r="DY49">
        <v>-9.0671092021157715</v>
      </c>
      <c r="DZ49">
        <v>2250</v>
      </c>
      <c r="EA49">
        <v>-9.0375427825425412</v>
      </c>
      <c r="EB49">
        <v>9</v>
      </c>
      <c r="EC49">
        <v>8.1906251143870373E-2</v>
      </c>
      <c r="ED49">
        <v>0.60038064132660107</v>
      </c>
      <c r="EE49" s="11">
        <v>-2.0154000000000001</v>
      </c>
      <c r="EF49">
        <v>-2.0244</v>
      </c>
      <c r="EG49">
        <v>25.136423870967743</v>
      </c>
      <c r="EH49" t="s">
        <v>1128</v>
      </c>
      <c r="EI49">
        <v>0</v>
      </c>
      <c r="EJ49">
        <v>0</v>
      </c>
      <c r="EK49" s="12">
        <v>45511</v>
      </c>
      <c r="EL49">
        <v>-0.71</v>
      </c>
      <c r="EM49">
        <v>-3.33</v>
      </c>
      <c r="EN49">
        <v>-5.26</v>
      </c>
      <c r="EO49">
        <v>2.0099999999999998</v>
      </c>
      <c r="EP49">
        <v>0.9</v>
      </c>
    </row>
    <row r="50" spans="1:146" ht="108" x14ac:dyDescent="0.25">
      <c r="C50" s="6" t="str">
        <f>""&amp;CHAR(10)&amp;Basic_Fundamental_Information_Constructure(F50)&amp;CHAR(10)&amp;Basic_Fundamental_Information_Concatenate("")</f>
        <v xml:space="preserve">
市值167.67045亿, 利润4.01亿; PE59.01; 平均PE41.43; 平均PEG1.84, PB3.91; ROIC17.7%; ROE22.7433%; 股利率1.8977%; 毛利38.6833%; 净利4.44%; 上一年度营收增1.91%, 利润增-27.36%; 当季营收增-.23%, 利润增-98.06%; 过往5年营收增22.51%, 利润增8.53%
Income profile:
</v>
      </c>
      <c r="D50" s="4" t="s">
        <v>856</v>
      </c>
      <c r="E50" t="s">
        <v>857</v>
      </c>
      <c r="F50">
        <v>29.51</v>
      </c>
      <c r="G50">
        <v>2.64</v>
      </c>
      <c r="H50" t="s">
        <v>3026</v>
      </c>
      <c r="I50">
        <v>16767045000</v>
      </c>
      <c r="J50">
        <v>59.01</v>
      </c>
      <c r="K50">
        <v>3.91</v>
      </c>
      <c r="L50" t="s">
        <v>212</v>
      </c>
      <c r="M50" t="s">
        <v>2165</v>
      </c>
      <c r="N50" t="s">
        <v>2166</v>
      </c>
      <c r="O50" t="s">
        <v>2167</v>
      </c>
      <c r="P50" s="4">
        <v>-0.24</v>
      </c>
      <c r="Q50" t="s">
        <v>2183</v>
      </c>
      <c r="R50">
        <v>2310151</v>
      </c>
      <c r="S50">
        <v>-0.98060000000000003</v>
      </c>
      <c r="T50" t="s">
        <v>606</v>
      </c>
      <c r="U50">
        <v>68181818</v>
      </c>
      <c r="V50">
        <v>568181820</v>
      </c>
      <c r="W50">
        <v>1.92</v>
      </c>
      <c r="X50">
        <v>0.26</v>
      </c>
      <c r="Y50">
        <v>0.11</v>
      </c>
      <c r="Z50" t="s">
        <v>2168</v>
      </c>
      <c r="AA50" t="s">
        <v>2169</v>
      </c>
      <c r="AB50" t="s">
        <v>411</v>
      </c>
      <c r="AC50" t="s">
        <v>105</v>
      </c>
      <c r="AD50" t="s">
        <v>2</v>
      </c>
      <c r="AE50">
        <v>-8248324</v>
      </c>
      <c r="AF50" t="s">
        <v>20</v>
      </c>
      <c r="AG50" t="s">
        <v>2170</v>
      </c>
      <c r="AH50" t="s">
        <v>2171</v>
      </c>
      <c r="AI50" t="s">
        <v>2172</v>
      </c>
      <c r="AJ50" t="s">
        <v>2173</v>
      </c>
      <c r="AK50" t="s">
        <v>2174</v>
      </c>
      <c r="AL50" t="s">
        <v>2175</v>
      </c>
      <c r="AM50" t="s">
        <v>2</v>
      </c>
      <c r="AN50" t="s">
        <v>2176</v>
      </c>
      <c r="AO50" t="s">
        <v>1237</v>
      </c>
      <c r="AP50" t="s">
        <v>1855</v>
      </c>
      <c r="AQ50" t="s">
        <v>2177</v>
      </c>
      <c r="AR50" t="s">
        <v>2</v>
      </c>
      <c r="AS50" t="s">
        <v>2178</v>
      </c>
      <c r="AT50" t="s">
        <v>2</v>
      </c>
      <c r="AU50" t="s">
        <v>2179</v>
      </c>
      <c r="AV50" t="s">
        <v>2180</v>
      </c>
      <c r="AW50" t="s">
        <v>2181</v>
      </c>
      <c r="AX50" t="s">
        <v>956</v>
      </c>
      <c r="AY50" t="s">
        <v>858</v>
      </c>
      <c r="AZ50" t="s">
        <v>859</v>
      </c>
      <c r="BA50" t="s">
        <v>860</v>
      </c>
      <c r="BB50" t="s">
        <v>861</v>
      </c>
      <c r="BC50" t="s">
        <v>2182</v>
      </c>
      <c r="BD50" t="s">
        <v>149</v>
      </c>
      <c r="BE50" t="s">
        <v>112</v>
      </c>
      <c r="BF50" t="s">
        <v>236</v>
      </c>
      <c r="BG50" t="s">
        <v>84</v>
      </c>
      <c r="BH50" t="s">
        <v>2183</v>
      </c>
      <c r="BI50" t="s">
        <v>3027</v>
      </c>
      <c r="BJ50" t="s">
        <v>956</v>
      </c>
      <c r="BK50" t="s">
        <v>606</v>
      </c>
      <c r="BL50" t="s">
        <v>34</v>
      </c>
      <c r="BM50" t="s">
        <v>2182</v>
      </c>
      <c r="BN50">
        <v>6.56</v>
      </c>
      <c r="BO50">
        <v>17</v>
      </c>
      <c r="BP50">
        <v>29.54</v>
      </c>
      <c r="BQ50">
        <v>6.56</v>
      </c>
      <c r="BR50">
        <v>26.79</v>
      </c>
      <c r="BS50">
        <v>34.880000000000003</v>
      </c>
      <c r="BT50" t="s">
        <v>2184</v>
      </c>
      <c r="BU50" t="s">
        <v>757</v>
      </c>
      <c r="BV50">
        <v>38.94</v>
      </c>
      <c r="BW50">
        <v>39.659999999999997</v>
      </c>
      <c r="BX50">
        <v>37.450000000000003</v>
      </c>
      <c r="BY50">
        <v>3.48</v>
      </c>
      <c r="BZ50">
        <v>4.8600000000000003</v>
      </c>
      <c r="CA50">
        <v>4.9800000000000004</v>
      </c>
      <c r="CB50">
        <v>-4.68</v>
      </c>
      <c r="CC50">
        <v>-2.16</v>
      </c>
      <c r="CD50" t="s">
        <v>3028</v>
      </c>
      <c r="CE50" t="s">
        <v>3029</v>
      </c>
      <c r="CF50" s="8">
        <v>-2.3234200743494425E-3</v>
      </c>
      <c r="CG50" s="9">
        <v>-0.98058696638655463</v>
      </c>
      <c r="CH50" s="8">
        <v>1.9071118906140327E-2</v>
      </c>
      <c r="CI50" s="8">
        <v>0.2325606644153595</v>
      </c>
      <c r="CJ50" s="8">
        <v>0.37190210819244385</v>
      </c>
      <c r="CK50" s="8">
        <v>0.28314179182052612</v>
      </c>
      <c r="CL50" s="8">
        <v>0.21905648708343506</v>
      </c>
      <c r="CM50" s="9">
        <v>-0.27355071902275085</v>
      </c>
      <c r="CN50" s="9">
        <v>0.20524017512798309</v>
      </c>
      <c r="CO50" s="9">
        <v>0.54208755493164063</v>
      </c>
      <c r="CP50" s="9">
        <v>-0.24234694242477417</v>
      </c>
      <c r="CQ50" s="9">
        <v>0.19512194395065308</v>
      </c>
      <c r="CR50">
        <v>41.434213344316305</v>
      </c>
      <c r="CS50">
        <v>1.8403228775515363</v>
      </c>
      <c r="CT50">
        <v>1.8976618095560824</v>
      </c>
      <c r="CU50" s="8">
        <v>0.22514643408358098</v>
      </c>
      <c r="CV50" s="9">
        <v>8.5310402512550357E-2</v>
      </c>
      <c r="CW50">
        <v>0.06</v>
      </c>
      <c r="CX50">
        <v>35.72153316537382</v>
      </c>
      <c r="CY50">
        <v>463475207.6108641</v>
      </c>
      <c r="CZ50">
        <v>0.22514643408358098</v>
      </c>
      <c r="DA50">
        <v>10.43009927473601</v>
      </c>
      <c r="DB50">
        <v>1587333405.3590817</v>
      </c>
      <c r="DC50">
        <v>0.21388911237940192</v>
      </c>
      <c r="DD50">
        <v>4.3854059986636855</v>
      </c>
      <c r="DE50">
        <v>3775259349.9997339</v>
      </c>
      <c r="DF50">
        <v>0.19812886199355126</v>
      </c>
      <c r="DG50">
        <v>2.1825291772890814</v>
      </c>
      <c r="DH50">
        <v>7585715312.4359398</v>
      </c>
      <c r="DI50">
        <v>0.18011714726686479</v>
      </c>
      <c r="DJ50">
        <v>0.7219164731115878</v>
      </c>
      <c r="DK50">
        <v>22933463380.660252</v>
      </c>
      <c r="DL50">
        <v>0.15760250385850669</v>
      </c>
      <c r="DM50">
        <v>401000000</v>
      </c>
      <c r="DN50">
        <v>0.22514643408358098</v>
      </c>
      <c r="DO50">
        <v>16556045000</v>
      </c>
      <c r="DP50">
        <v>2590768100</v>
      </c>
      <c r="DQ50" s="10">
        <v>2588</v>
      </c>
      <c r="DR50">
        <v>-0.22746985415793042</v>
      </c>
      <c r="DS50">
        <v>-1.0658973688991049</v>
      </c>
      <c r="DT50">
        <v>5.9999999999999908E-2</v>
      </c>
      <c r="DU50">
        <v>-0.34</v>
      </c>
      <c r="DV50">
        <v>-0.28000000000000014</v>
      </c>
      <c r="DW50">
        <v>-4.4615384615384617</v>
      </c>
      <c r="DX50">
        <v>0.58984949532149122</v>
      </c>
      <c r="DY50">
        <v>-4.0830074593791483</v>
      </c>
      <c r="DZ50">
        <v>2478</v>
      </c>
      <c r="EA50">
        <v>-4.042730881282119</v>
      </c>
      <c r="EB50" s="11">
        <v>4</v>
      </c>
      <c r="EC50">
        <v>2.3805055923823822E-2</v>
      </c>
      <c r="ED50">
        <v>0.13236097557644488</v>
      </c>
      <c r="EE50">
        <v>9.1509999999999994E-2</v>
      </c>
      <c r="EF50">
        <v>6.5109999999999987E-2</v>
      </c>
      <c r="EG50">
        <v>41.179849495321491</v>
      </c>
      <c r="EH50" s="12">
        <v>-1</v>
      </c>
      <c r="EI50">
        <v>0</v>
      </c>
      <c r="EJ50">
        <v>0</v>
      </c>
      <c r="EK50">
        <v>45511</v>
      </c>
      <c r="EL50">
        <v>-1.1299999999999999</v>
      </c>
      <c r="EM50">
        <v>-3.79</v>
      </c>
      <c r="EN50">
        <v>-5.0599999999999996</v>
      </c>
      <c r="EO50">
        <v>2.83</v>
      </c>
      <c r="EP50">
        <v>2.64</v>
      </c>
    </row>
    <row r="51" spans="1:146" ht="108" x14ac:dyDescent="0.25">
      <c r="A51" s="6"/>
      <c r="B51" s="6"/>
      <c r="C51" s="6" t="str">
        <f>""&amp;CHAR(10)&amp;Basic_Fundamental_Information_Constructure(F51)&amp;CHAR(10)&amp;Basic_Fundamental_Information_Concatenate("")</f>
        <v xml:space="preserve">
市值42.229278亿, 利润1.44亿; PE34.25; 平均PE37.81; 平均PEG1.87, PB2.48; ROIC18.8567%; ROE21.7733%; 股利率1.642%; 毛利15.9967%; 净利7.6267%; 上一年度营收增-11.78%, 利润增-26.53%; 当季营收增-19.41%, 利润增-38.12%; 过往5年营收增20.27%, 利润增119.86%
Income profile:
</v>
      </c>
      <c r="D51" t="s">
        <v>771</v>
      </c>
      <c r="E51" t="s">
        <v>797</v>
      </c>
      <c r="F51">
        <v>60.9</v>
      </c>
      <c r="G51">
        <v>1.7</v>
      </c>
      <c r="H51" t="s">
        <v>3030</v>
      </c>
      <c r="I51">
        <v>4222927800</v>
      </c>
      <c r="J51">
        <v>34.25</v>
      </c>
      <c r="K51">
        <v>2.48</v>
      </c>
      <c r="L51" t="s">
        <v>212</v>
      </c>
      <c r="M51" t="s">
        <v>1132</v>
      </c>
      <c r="N51" t="s">
        <v>2185</v>
      </c>
      <c r="O51" t="s">
        <v>207</v>
      </c>
      <c r="P51">
        <v>-19.45</v>
      </c>
      <c r="Q51" t="s">
        <v>2196</v>
      </c>
      <c r="R51">
        <v>34192415</v>
      </c>
      <c r="S51" s="4">
        <v>-0.38119999999999998</v>
      </c>
      <c r="T51" t="s">
        <v>888</v>
      </c>
      <c r="U51">
        <v>26139425</v>
      </c>
      <c r="V51">
        <v>69342000</v>
      </c>
      <c r="W51">
        <v>1.34</v>
      </c>
      <c r="X51">
        <v>0.18</v>
      </c>
      <c r="Y51">
        <v>8.36</v>
      </c>
      <c r="Z51" t="s">
        <v>1229</v>
      </c>
      <c r="AA51" t="s">
        <v>1185</v>
      </c>
      <c r="AB51" t="s">
        <v>2186</v>
      </c>
      <c r="AC51" t="s">
        <v>2187</v>
      </c>
      <c r="AD51" t="s">
        <v>2</v>
      </c>
      <c r="AE51">
        <v>-2582839</v>
      </c>
      <c r="AF51" t="s">
        <v>2188</v>
      </c>
      <c r="AG51" t="s">
        <v>2</v>
      </c>
      <c r="AH51" t="s">
        <v>2189</v>
      </c>
      <c r="AI51" t="s">
        <v>2190</v>
      </c>
      <c r="AJ51" t="s">
        <v>2191</v>
      </c>
      <c r="AK51" t="s">
        <v>2</v>
      </c>
      <c r="AL51" t="s">
        <v>2192</v>
      </c>
      <c r="AM51" t="s">
        <v>2</v>
      </c>
      <c r="AN51">
        <v>0</v>
      </c>
      <c r="AO51" t="s">
        <v>2</v>
      </c>
      <c r="AP51" t="s">
        <v>2193</v>
      </c>
      <c r="AQ51" t="s">
        <v>686</v>
      </c>
      <c r="AR51" t="s">
        <v>2</v>
      </c>
      <c r="AS51" t="s">
        <v>427</v>
      </c>
      <c r="AT51" t="s">
        <v>2</v>
      </c>
      <c r="AU51" t="s">
        <v>30</v>
      </c>
      <c r="AV51" t="s">
        <v>2194</v>
      </c>
      <c r="AW51" t="s">
        <v>2195</v>
      </c>
      <c r="AX51" t="s">
        <v>957</v>
      </c>
      <c r="AY51" t="s">
        <v>772</v>
      </c>
      <c r="AZ51" t="s">
        <v>773</v>
      </c>
      <c r="BA51" t="s">
        <v>774</v>
      </c>
      <c r="BB51" t="s">
        <v>775</v>
      </c>
      <c r="BC51" t="s">
        <v>83</v>
      </c>
      <c r="BD51" t="s">
        <v>651</v>
      </c>
      <c r="BE51" t="s">
        <v>776</v>
      </c>
      <c r="BF51" t="s">
        <v>777</v>
      </c>
      <c r="BG51" t="s">
        <v>778</v>
      </c>
      <c r="BH51" t="s">
        <v>2196</v>
      </c>
      <c r="BI51" t="s">
        <v>2419</v>
      </c>
      <c r="BJ51" t="s">
        <v>957</v>
      </c>
      <c r="BK51" t="s">
        <v>888</v>
      </c>
      <c r="BL51" t="s">
        <v>3031</v>
      </c>
      <c r="BM51" t="s">
        <v>83</v>
      </c>
      <c r="BN51">
        <v>6.85</v>
      </c>
      <c r="BO51">
        <v>16.829999999999998</v>
      </c>
      <c r="BP51">
        <v>32.89</v>
      </c>
      <c r="BQ51">
        <v>7.4</v>
      </c>
      <c r="BR51">
        <v>17.53</v>
      </c>
      <c r="BS51">
        <v>40.39</v>
      </c>
      <c r="BT51" t="s">
        <v>2197</v>
      </c>
      <c r="BU51" t="s">
        <v>790</v>
      </c>
      <c r="BV51">
        <v>16.440000000000001</v>
      </c>
      <c r="BW51">
        <v>15.47</v>
      </c>
      <c r="BX51">
        <v>16.079999999999998</v>
      </c>
      <c r="BY51">
        <v>6.93</v>
      </c>
      <c r="BZ51">
        <v>8.3000000000000007</v>
      </c>
      <c r="CA51">
        <v>7.65</v>
      </c>
      <c r="CB51">
        <v>-6.81</v>
      </c>
      <c r="CC51">
        <v>-14.09</v>
      </c>
      <c r="CD51" t="s">
        <v>3032</v>
      </c>
      <c r="CE51" t="s">
        <v>3033</v>
      </c>
      <c r="CF51" s="8">
        <v>-0.19405940594059407</v>
      </c>
      <c r="CG51" s="9">
        <v>-0.38116860199952218</v>
      </c>
      <c r="CH51" s="8">
        <v>-0.11777208000421524</v>
      </c>
      <c r="CI51" s="8">
        <v>6.5217390656471252E-2</v>
      </c>
      <c r="CJ51" s="8">
        <v>0.45935234427452087</v>
      </c>
      <c r="CK51" s="8">
        <v>0.45480763912200928</v>
      </c>
      <c r="CL51" s="8">
        <v>0.15171650052070618</v>
      </c>
      <c r="CM51" s="9">
        <v>-0.26530611515045166</v>
      </c>
      <c r="CN51" s="9">
        <v>0.15976330637931824</v>
      </c>
      <c r="CO51" s="9">
        <v>0.75685173273086548</v>
      </c>
      <c r="CP51" s="9">
        <v>0.74674785137176514</v>
      </c>
      <c r="CQ51" s="9">
        <v>4.5948634147644043</v>
      </c>
      <c r="CR51">
        <v>37.811129448102974</v>
      </c>
      <c r="CS51">
        <v>1.8657019739798923</v>
      </c>
      <c r="CT51">
        <v>1.6420361247947455</v>
      </c>
      <c r="CU51" s="8">
        <v>0.20266435891389847</v>
      </c>
      <c r="CV51" s="9">
        <v>1.1985840380191803</v>
      </c>
      <c r="CW51">
        <v>0.06</v>
      </c>
      <c r="CX51">
        <v>19.64690731816729</v>
      </c>
      <c r="CY51">
        <v>163380818.56943527</v>
      </c>
      <c r="CZ51">
        <v>0.20266435891389847</v>
      </c>
      <c r="DA51">
        <v>5.8435520804273011</v>
      </c>
      <c r="DB51">
        <v>549311062.14514625</v>
      </c>
      <c r="DC51">
        <v>0.19253114096820353</v>
      </c>
      <c r="DD51">
        <v>2.5236447037943863</v>
      </c>
      <c r="DE51">
        <v>1271941250.3565829</v>
      </c>
      <c r="DF51">
        <v>0.17834463584423066</v>
      </c>
      <c r="DG51">
        <v>1.298251837002711</v>
      </c>
      <c r="DH51">
        <v>2472500102.4537716</v>
      </c>
      <c r="DI51">
        <v>0.1621314871311188</v>
      </c>
      <c r="DJ51">
        <v>0.46624433155654493</v>
      </c>
      <c r="DK51">
        <v>6884647346.3467903</v>
      </c>
      <c r="DL51">
        <v>0.14186505123972892</v>
      </c>
      <c r="DM51">
        <v>144000000</v>
      </c>
      <c r="DN51">
        <v>0.20266435891389847</v>
      </c>
      <c r="DO51">
        <v>3209927800</v>
      </c>
      <c r="DP51">
        <v>1484654200</v>
      </c>
      <c r="DQ51">
        <v>2611</v>
      </c>
      <c r="DR51">
        <v>-0.39672376485449257</v>
      </c>
      <c r="DS51">
        <v>-1.5797526400187025</v>
      </c>
      <c r="DT51" s="10">
        <v>-9.000000000000008E-2</v>
      </c>
      <c r="DU51">
        <v>0.81166666666666687</v>
      </c>
      <c r="DV51">
        <v>0.72166666666666679</v>
      </c>
      <c r="DW51">
        <v>-9.4833215046132011</v>
      </c>
      <c r="DX51">
        <v>0.37635380813027819</v>
      </c>
      <c r="DY51">
        <v>-9.0804023728436611</v>
      </c>
      <c r="DZ51">
        <v>483</v>
      </c>
      <c r="EA51">
        <v>-9.0727982322359679</v>
      </c>
      <c r="EB51">
        <v>9</v>
      </c>
      <c r="EC51">
        <v>7.9109342101468069E-2</v>
      </c>
      <c r="ED51">
        <v>0.47554872948573734</v>
      </c>
      <c r="EE51" s="11">
        <v>4.1364099999999997</v>
      </c>
      <c r="EF51">
        <v>4.1194100000000002</v>
      </c>
      <c r="EG51">
        <v>21.166353808130278</v>
      </c>
      <c r="EH51" t="s">
        <v>2978</v>
      </c>
      <c r="EI51">
        <v>0</v>
      </c>
      <c r="EJ51">
        <v>1</v>
      </c>
      <c r="EK51" s="12">
        <v>45511</v>
      </c>
      <c r="EL51">
        <v>-0.34</v>
      </c>
      <c r="EM51">
        <v>-3.06</v>
      </c>
      <c r="EN51">
        <v>-5.92</v>
      </c>
      <c r="EO51">
        <v>0.81</v>
      </c>
      <c r="EP51">
        <v>1.7</v>
      </c>
    </row>
    <row r="52" spans="1:146" ht="108" x14ac:dyDescent="0.25">
      <c r="C52" s="6" t="str">
        <f>""&amp;CHAR(10)&amp;Basic_Fundamental_Information_Constructure(F52)&amp;CHAR(10)&amp;Basic_Fundamental_Information_Concatenate("")</f>
        <v xml:space="preserve">
市值35.9414亿, 利润6191.89万; PE56.13; 平均PE66.98; 平均PEG6.55, PB3.01; ROIC8.4033%; ROE10.26%; 股利率.759%; 毛利18.0533%; 净利6.3467%; 上一年度营收增2.57%, 利润增7.12%; 当季营收增32.05%, 利润增27.89%; 过往5年营收增10.23%, 利润增15.37%
Income profile:
</v>
      </c>
      <c r="D52" s="4" t="s">
        <v>1116</v>
      </c>
      <c r="E52" t="s">
        <v>1117</v>
      </c>
      <c r="F52">
        <v>26.35</v>
      </c>
      <c r="G52">
        <v>2.65</v>
      </c>
      <c r="H52" t="s">
        <v>3034</v>
      </c>
      <c r="I52">
        <v>3594140000</v>
      </c>
      <c r="J52">
        <v>56.13</v>
      </c>
      <c r="K52">
        <v>3.01</v>
      </c>
      <c r="L52" t="s">
        <v>212</v>
      </c>
      <c r="M52" t="s">
        <v>172</v>
      </c>
      <c r="N52" t="s">
        <v>2198</v>
      </c>
      <c r="O52" t="s">
        <v>923</v>
      </c>
      <c r="P52" s="4">
        <v>31.84</v>
      </c>
      <c r="Q52" t="s">
        <v>2216</v>
      </c>
      <c r="R52">
        <v>9691411</v>
      </c>
      <c r="S52">
        <v>0.27889999999999998</v>
      </c>
      <c r="T52" t="s">
        <v>2217</v>
      </c>
      <c r="U52">
        <v>37180000</v>
      </c>
      <c r="V52">
        <v>136400000</v>
      </c>
      <c r="W52">
        <v>1.29</v>
      </c>
      <c r="X52">
        <v>0.14000000000000001</v>
      </c>
      <c r="Y52">
        <v>4.71</v>
      </c>
      <c r="Z52" t="s">
        <v>83</v>
      </c>
      <c r="AA52" t="s">
        <v>26</v>
      </c>
      <c r="AB52" t="s">
        <v>2199</v>
      </c>
      <c r="AC52" t="s">
        <v>2200</v>
      </c>
      <c r="AD52" t="s">
        <v>2</v>
      </c>
      <c r="AE52">
        <v>-13827</v>
      </c>
      <c r="AF52" t="s">
        <v>2201</v>
      </c>
      <c r="AG52" t="s">
        <v>2202</v>
      </c>
      <c r="AH52" t="s">
        <v>2203</v>
      </c>
      <c r="AI52" t="s">
        <v>2204</v>
      </c>
      <c r="AJ52" t="s">
        <v>2205</v>
      </c>
      <c r="AK52" t="s">
        <v>2206</v>
      </c>
      <c r="AL52" t="s">
        <v>2207</v>
      </c>
      <c r="AM52" t="s">
        <v>2</v>
      </c>
      <c r="AN52" t="s">
        <v>2208</v>
      </c>
      <c r="AO52" t="s">
        <v>2209</v>
      </c>
      <c r="AP52" t="s">
        <v>2210</v>
      </c>
      <c r="AQ52" t="s">
        <v>60</v>
      </c>
      <c r="AR52" t="s">
        <v>2211</v>
      </c>
      <c r="AS52" t="s">
        <v>784</v>
      </c>
      <c r="AT52" t="s">
        <v>2212</v>
      </c>
      <c r="AU52" t="s">
        <v>2213</v>
      </c>
      <c r="AV52" t="s">
        <v>2214</v>
      </c>
      <c r="AW52" t="s">
        <v>2215</v>
      </c>
      <c r="AX52" t="s">
        <v>1118</v>
      </c>
      <c r="AY52" t="s">
        <v>495</v>
      </c>
      <c r="AZ52" t="s">
        <v>1166</v>
      </c>
      <c r="BA52" t="s">
        <v>232</v>
      </c>
      <c r="BB52" t="s">
        <v>1019</v>
      </c>
      <c r="BC52" t="s">
        <v>1119</v>
      </c>
      <c r="BD52" t="s">
        <v>1120</v>
      </c>
      <c r="BE52" t="s">
        <v>1167</v>
      </c>
      <c r="BF52" t="s">
        <v>1168</v>
      </c>
      <c r="BG52" t="s">
        <v>1169</v>
      </c>
      <c r="BH52" t="s">
        <v>2216</v>
      </c>
      <c r="BI52" t="s">
        <v>100</v>
      </c>
      <c r="BJ52" t="s">
        <v>1118</v>
      </c>
      <c r="BK52" t="s">
        <v>2217</v>
      </c>
      <c r="BL52" t="s">
        <v>3035</v>
      </c>
      <c r="BM52" t="s">
        <v>1119</v>
      </c>
      <c r="BN52">
        <v>4.45</v>
      </c>
      <c r="BO52">
        <v>9.66</v>
      </c>
      <c r="BP52">
        <v>11.1</v>
      </c>
      <c r="BQ52">
        <v>6.19</v>
      </c>
      <c r="BR52">
        <v>14.33</v>
      </c>
      <c r="BS52" t="s">
        <v>2</v>
      </c>
      <c r="BT52" t="s">
        <v>852</v>
      </c>
      <c r="BU52" t="s">
        <v>756</v>
      </c>
      <c r="BV52">
        <v>20.36</v>
      </c>
      <c r="BW52">
        <v>17.36</v>
      </c>
      <c r="BX52">
        <v>16.440000000000001</v>
      </c>
      <c r="BY52">
        <v>6.76</v>
      </c>
      <c r="BZ52">
        <v>6.46</v>
      </c>
      <c r="CA52">
        <v>5.82</v>
      </c>
      <c r="CB52">
        <v>-6.46</v>
      </c>
      <c r="CC52" s="8">
        <v>-3.87</v>
      </c>
      <c r="CD52" s="9" t="s">
        <v>3036</v>
      </c>
      <c r="CE52" s="8" t="s">
        <v>3037</v>
      </c>
      <c r="CF52" s="8">
        <v>0.32051282051282054</v>
      </c>
      <c r="CG52" s="8">
        <v>0.27888770124043283</v>
      </c>
      <c r="CH52" s="8">
        <v>2.572706900537014E-2</v>
      </c>
      <c r="CI52" s="8">
        <v>-0.12780487537384033</v>
      </c>
      <c r="CJ52" s="9">
        <v>0.43156424164772034</v>
      </c>
      <c r="CK52" s="9">
        <v>0.1222570538520813</v>
      </c>
      <c r="CL52" s="9">
        <v>5.9800665825605392E-2</v>
      </c>
      <c r="CM52" s="9">
        <v>7.1170434355735779E-2</v>
      </c>
      <c r="CN52" s="9">
        <v>-3.0854117125272751E-2</v>
      </c>
      <c r="CO52">
        <v>2.3286135867238045E-2</v>
      </c>
      <c r="CP52">
        <v>0.13079604506492615</v>
      </c>
      <c r="CQ52">
        <v>0.57416576147079468</v>
      </c>
      <c r="CR52" s="8">
        <v>66.982432239770617</v>
      </c>
      <c r="CS52" s="9">
        <v>6.5470821619894553</v>
      </c>
      <c r="CT52">
        <v>0.75901328273244772</v>
      </c>
      <c r="CU52">
        <v>0.10230883099138736</v>
      </c>
      <c r="CV52">
        <v>0.15371285192668438</v>
      </c>
      <c r="CW52">
        <v>0.06</v>
      </c>
      <c r="CX52">
        <v>42.120299447362754</v>
      </c>
      <c r="CY52">
        <v>64390330.448370382</v>
      </c>
      <c r="CZ52">
        <v>0.10230883099138736</v>
      </c>
      <c r="DA52">
        <v>13.621998488333707</v>
      </c>
      <c r="DB52">
        <v>199100007.41247761</v>
      </c>
      <c r="DC52">
        <v>9.719338944181799E-2</v>
      </c>
      <c r="DD52">
        <v>6.6126703941096547</v>
      </c>
      <c r="DE52">
        <v>410142928.40240204</v>
      </c>
      <c r="DF52">
        <v>9.0031771272420888E-2</v>
      </c>
      <c r="DG52">
        <v>3.9085304285051752</v>
      </c>
      <c r="DH52">
        <v>693902746.7255162</v>
      </c>
      <c r="DI52">
        <v>8.1847064793109894E-2</v>
      </c>
      <c r="DJ52">
        <v>1.9493995623280418</v>
      </c>
      <c r="DK52">
        <v>1391269420.8062029</v>
      </c>
      <c r="DL52">
        <v>7.1616181693971145E-2</v>
      </c>
      <c r="DM52">
        <v>61918900</v>
      </c>
      <c r="DN52">
        <v>0.10230883099138736</v>
      </c>
      <c r="DO52">
        <v>2712140000</v>
      </c>
      <c r="DP52">
        <v>749195590</v>
      </c>
      <c r="DQ52" s="10">
        <v>2621</v>
      </c>
      <c r="DR52">
        <v>0.21820398952143316</v>
      </c>
      <c r="DS52">
        <v>0.12517484931374845</v>
      </c>
      <c r="DT52">
        <v>-0.3066666666666667</v>
      </c>
      <c r="DU52">
        <v>0.32</v>
      </c>
      <c r="DV52">
        <v>1.3333333333333308E-2</v>
      </c>
      <c r="DW52">
        <v>-5.5990712074303408</v>
      </c>
      <c r="DX52">
        <v>0.37682109451911883</v>
      </c>
      <c r="DY52">
        <v>-5.0879562903698137</v>
      </c>
      <c r="DZ52">
        <v>1760</v>
      </c>
      <c r="EA52">
        <v>-5.0576443516482801</v>
      </c>
      <c r="EB52" s="11">
        <v>5</v>
      </c>
      <c r="EC52" s="11">
        <v>8.066495601173021E-2</v>
      </c>
      <c r="ED52">
        <v>0.54940982404692085</v>
      </c>
      <c r="EE52">
        <v>-2.0636100000000002</v>
      </c>
      <c r="EF52">
        <v>-2.0371100000000002</v>
      </c>
      <c r="EG52">
        <v>23.146821094519119</v>
      </c>
      <c r="EH52" s="12" t="s">
        <v>1183</v>
      </c>
      <c r="EI52">
        <v>0</v>
      </c>
      <c r="EJ52">
        <v>0</v>
      </c>
      <c r="EK52">
        <v>45511</v>
      </c>
      <c r="EL52">
        <v>-0.71</v>
      </c>
      <c r="EM52">
        <v>-4.47</v>
      </c>
      <c r="EN52">
        <v>-5.31</v>
      </c>
      <c r="EO52">
        <v>1.46</v>
      </c>
      <c r="EP52">
        <v>2.65</v>
      </c>
    </row>
    <row r="53" spans="1:146" ht="108" x14ac:dyDescent="0.25">
      <c r="A53" s="6"/>
      <c r="B53" s="6"/>
      <c r="C53" s="6" t="str">
        <f>""&amp;CHAR(10)&amp;Basic_Fundamental_Information_Constructure(F53)&amp;CHAR(10)&amp;Basic_Fundamental_Information_Concatenate("")</f>
        <v xml:space="preserve">
市值69.516835亿, 利润2648.27万; PE; 平均PE106.09; 平均PEG6.83, PB4.91; ROIC9.7867%; ROE11.35%; 股利率.0933%; 毛利31.2167%; 净利11.0867%; 上一年度营收增-26.55%, 利润增-76.56%; 当季营收增0%, 利润增-117.66%; 过往5年营收增15.54%, 利润增13.89%
Income profile:
</v>
      </c>
      <c r="D53" t="s">
        <v>798</v>
      </c>
      <c r="E53" t="s">
        <v>825</v>
      </c>
      <c r="F53">
        <v>53.58</v>
      </c>
      <c r="G53">
        <v>0.92</v>
      </c>
      <c r="H53" t="s">
        <v>3038</v>
      </c>
      <c r="I53">
        <v>6951683500</v>
      </c>
      <c r="K53">
        <v>4.91</v>
      </c>
      <c r="L53" t="s">
        <v>212</v>
      </c>
      <c r="M53" t="s">
        <v>1273</v>
      </c>
      <c r="N53" t="s">
        <v>1238</v>
      </c>
      <c r="O53" t="s">
        <v>49</v>
      </c>
      <c r="P53">
        <v>0.27</v>
      </c>
      <c r="Q53" t="s">
        <v>792</v>
      </c>
      <c r="R53">
        <v>-4676658</v>
      </c>
      <c r="S53">
        <v>-1.177</v>
      </c>
      <c r="T53" t="s">
        <v>2231</v>
      </c>
      <c r="U53">
        <v>67958280</v>
      </c>
      <c r="V53">
        <v>129744000</v>
      </c>
      <c r="W53">
        <v>1.23</v>
      </c>
      <c r="X53">
        <v>0.1</v>
      </c>
      <c r="Y53">
        <v>-2.6</v>
      </c>
      <c r="Z53" t="s">
        <v>99</v>
      </c>
      <c r="AA53" t="s">
        <v>100</v>
      </c>
      <c r="AB53" t="s">
        <v>2218</v>
      </c>
      <c r="AC53" t="s">
        <v>2219</v>
      </c>
      <c r="AD53" t="s">
        <v>2</v>
      </c>
      <c r="AE53">
        <v>2280928</v>
      </c>
      <c r="AF53" t="s">
        <v>2220</v>
      </c>
      <c r="AG53" t="s">
        <v>2221</v>
      </c>
      <c r="AH53" t="s">
        <v>2222</v>
      </c>
      <c r="AI53" t="s">
        <v>43</v>
      </c>
      <c r="AJ53" t="s">
        <v>2223</v>
      </c>
      <c r="AK53" t="s">
        <v>2224</v>
      </c>
      <c r="AL53" t="s">
        <v>2225</v>
      </c>
      <c r="AM53" t="s">
        <v>2</v>
      </c>
      <c r="AN53" t="s">
        <v>37</v>
      </c>
      <c r="AO53" t="s">
        <v>64</v>
      </c>
      <c r="AP53" t="s">
        <v>2226</v>
      </c>
      <c r="AQ53" t="s">
        <v>2227</v>
      </c>
      <c r="AR53" t="s">
        <v>2</v>
      </c>
      <c r="AS53" t="s">
        <v>1234</v>
      </c>
      <c r="AT53" t="s">
        <v>2</v>
      </c>
      <c r="AU53" t="s">
        <v>2228</v>
      </c>
      <c r="AV53" t="s">
        <v>2229</v>
      </c>
      <c r="AW53" t="s">
        <v>2230</v>
      </c>
      <c r="AX53" t="s">
        <v>379</v>
      </c>
      <c r="AY53" t="s">
        <v>799</v>
      </c>
      <c r="AZ53" t="s">
        <v>770</v>
      </c>
      <c r="BA53" t="s">
        <v>177</v>
      </c>
      <c r="BB53" t="s">
        <v>795</v>
      </c>
      <c r="BC53" t="s">
        <v>67</v>
      </c>
      <c r="BD53" t="s">
        <v>81</v>
      </c>
      <c r="BE53" t="s">
        <v>800</v>
      </c>
      <c r="BF53" t="s">
        <v>801</v>
      </c>
      <c r="BG53" t="s">
        <v>802</v>
      </c>
      <c r="BH53" t="s">
        <v>792</v>
      </c>
      <c r="BI53" t="s">
        <v>49</v>
      </c>
      <c r="BJ53" t="s">
        <v>379</v>
      </c>
      <c r="BK53" t="s">
        <v>2231</v>
      </c>
      <c r="BL53" t="s">
        <v>2231</v>
      </c>
      <c r="BM53" t="s">
        <v>67</v>
      </c>
      <c r="BN53">
        <v>0.89</v>
      </c>
      <c r="BO53">
        <v>10.65</v>
      </c>
      <c r="BP53">
        <v>17.82</v>
      </c>
      <c r="BQ53">
        <v>1.51</v>
      </c>
      <c r="BR53">
        <v>13.27</v>
      </c>
      <c r="BS53">
        <v>19.27</v>
      </c>
      <c r="BT53" t="s">
        <v>838</v>
      </c>
      <c r="BU53" t="s">
        <v>757</v>
      </c>
      <c r="BV53">
        <v>25.17</v>
      </c>
      <c r="BW53">
        <v>31.66</v>
      </c>
      <c r="BX53">
        <v>36.82</v>
      </c>
      <c r="BY53">
        <v>4.37</v>
      </c>
      <c r="BZ53">
        <v>13.73</v>
      </c>
      <c r="CA53">
        <v>15.16</v>
      </c>
      <c r="CB53">
        <v>-8.61</v>
      </c>
      <c r="CC53">
        <v>-15.22</v>
      </c>
      <c r="CD53" t="s">
        <v>3039</v>
      </c>
      <c r="CE53" t="s">
        <v>3040</v>
      </c>
      <c r="CF53" s="8">
        <v>0</v>
      </c>
      <c r="CG53" s="9">
        <v>-1.176592945583343</v>
      </c>
      <c r="CH53" s="8">
        <v>-0.26545453071594238</v>
      </c>
      <c r="CI53" s="8">
        <v>0.18194842338562012</v>
      </c>
      <c r="CJ53" s="8">
        <v>0.35009670257568359</v>
      </c>
      <c r="CK53" s="8">
        <v>0.37135279178619385</v>
      </c>
      <c r="CL53" s="8">
        <v>0.13897280395030975</v>
      </c>
      <c r="CM53" s="9">
        <v>-0.7656397819519043</v>
      </c>
      <c r="CN53" s="9">
        <v>6.6037736833095551E-2</v>
      </c>
      <c r="CO53" s="9">
        <v>1.4563078880310059</v>
      </c>
      <c r="CP53" s="9">
        <v>-0.23509059846401215</v>
      </c>
      <c r="CQ53" s="9">
        <v>0.17302621901035309</v>
      </c>
      <c r="CR53">
        <v>106.0921063441705</v>
      </c>
      <c r="CS53">
        <v>6.8277703293898107</v>
      </c>
      <c r="CT53">
        <v>9.3318402388951102E-2</v>
      </c>
      <c r="CU53" s="8">
        <v>0.15538323819637298</v>
      </c>
      <c r="CV53" s="9">
        <v>0.13892829269170762</v>
      </c>
      <c r="CW53">
        <v>0.06</v>
      </c>
      <c r="CX53">
        <v>202.79011375802</v>
      </c>
      <c r="CY53">
        <v>28865724.22847461</v>
      </c>
      <c r="CZ53">
        <v>0.15538323819637298</v>
      </c>
      <c r="DA53">
        <v>62.726806447053974</v>
      </c>
      <c r="DB53">
        <v>93320285.720921218</v>
      </c>
      <c r="DC53">
        <v>0.14761407628655432</v>
      </c>
      <c r="DD53">
        <v>28.640899182387528</v>
      </c>
      <c r="DE53">
        <v>204381973.5799242</v>
      </c>
      <c r="DF53">
        <v>0.13673724961280823</v>
      </c>
      <c r="DG53">
        <v>15.761105073400266</v>
      </c>
      <c r="DH53">
        <v>371400575.83139628</v>
      </c>
      <c r="DI53">
        <v>0.12430659055709839</v>
      </c>
      <c r="DJ53">
        <v>6.6651430853629225</v>
      </c>
      <c r="DK53">
        <v>878253238.53212702</v>
      </c>
      <c r="DL53">
        <v>0.10876826673746108</v>
      </c>
      <c r="DM53">
        <v>26482700</v>
      </c>
      <c r="DN53">
        <v>0.15538323819637298</v>
      </c>
      <c r="DO53">
        <v>5853683500</v>
      </c>
      <c r="DP53">
        <v>666688190</v>
      </c>
      <c r="DQ53">
        <v>2623</v>
      </c>
      <c r="DR53">
        <v>-0.15538323819637298</v>
      </c>
      <c r="DS53">
        <v>-1.3155212382750507</v>
      </c>
      <c r="DT53" s="10">
        <v>-0.20666666666666669</v>
      </c>
      <c r="DU53">
        <v>-0.98166666666666658</v>
      </c>
      <c r="DV53">
        <v>-1.1883333333333332</v>
      </c>
      <c r="DW53">
        <v>-9.5657030223390276</v>
      </c>
      <c r="DX53">
        <v>0.415206007955222</v>
      </c>
      <c r="DY53">
        <v>-9.0878005077854436</v>
      </c>
      <c r="DZ53">
        <v>3783</v>
      </c>
      <c r="EA53">
        <v>-9.0227624578633101</v>
      </c>
      <c r="EB53">
        <v>9</v>
      </c>
      <c r="EC53">
        <v>8.0058422740165253E-2</v>
      </c>
      <c r="ED53">
        <v>0.51582038475767666</v>
      </c>
      <c r="EE53" s="11">
        <v>1.0024</v>
      </c>
      <c r="EF53">
        <v>1.0116000000000001</v>
      </c>
      <c r="EG53">
        <v>26.155206007955222</v>
      </c>
      <c r="EH53" t="s">
        <v>877</v>
      </c>
      <c r="EI53">
        <v>0</v>
      </c>
      <c r="EJ53">
        <v>0</v>
      </c>
      <c r="EK53" s="12">
        <v>45511</v>
      </c>
      <c r="EL53">
        <v>-1.33</v>
      </c>
      <c r="EM53">
        <v>-4.2699999999999996</v>
      </c>
      <c r="EN53">
        <v>-6.1</v>
      </c>
      <c r="EO53">
        <v>2.1</v>
      </c>
      <c r="EP53">
        <v>0.92</v>
      </c>
    </row>
    <row r="54" spans="1:146" ht="108" x14ac:dyDescent="0.25">
      <c r="C54" s="6" t="str">
        <f>""&amp;CHAR(10)&amp;Basic_Fundamental_Information_Constructure(F54)&amp;CHAR(10)&amp;Basic_Fundamental_Information_Concatenate("")</f>
        <v xml:space="preserve">
市值39.92976亿, 利润1.36亿; PE46.22; 平均PE47.78; 平均PEG1.98, PB1.22; ROIC7.2%; ROE10.595%; 股利率.6329%; 毛利16.3533%; 净利5.2367%; 上一年度营收增.6%, 利润增-39.29%; 当季营收增-6.44%, 利润增-88.93%; 过往5年营收增24.13%, 利润增111.49%
Income profile:
</v>
      </c>
      <c r="D54" t="s">
        <v>889</v>
      </c>
      <c r="E54" t="s">
        <v>1021</v>
      </c>
      <c r="F54">
        <v>18.96</v>
      </c>
      <c r="G54">
        <v>1.88</v>
      </c>
      <c r="H54" t="s">
        <v>3041</v>
      </c>
      <c r="I54">
        <v>3992976000</v>
      </c>
      <c r="J54">
        <v>46.22</v>
      </c>
      <c r="K54">
        <v>1.22</v>
      </c>
      <c r="L54" t="s">
        <v>212</v>
      </c>
      <c r="M54" t="s">
        <v>2232</v>
      </c>
      <c r="N54" t="s">
        <v>2233</v>
      </c>
      <c r="O54" t="s">
        <v>1806</v>
      </c>
      <c r="P54" s="4">
        <v>-6.38</v>
      </c>
      <c r="Q54" t="s">
        <v>2244</v>
      </c>
      <c r="R54">
        <v>6158005</v>
      </c>
      <c r="S54">
        <v>-0.88929999999999998</v>
      </c>
      <c r="T54" t="s">
        <v>105</v>
      </c>
      <c r="U54">
        <v>107007560</v>
      </c>
      <c r="V54">
        <v>210600000</v>
      </c>
      <c r="W54">
        <v>1.79</v>
      </c>
      <c r="X54">
        <v>0.13</v>
      </c>
      <c r="Y54">
        <v>0.84</v>
      </c>
      <c r="Z54" t="s">
        <v>1201</v>
      </c>
      <c r="AA54" t="s">
        <v>698</v>
      </c>
      <c r="AB54" t="s">
        <v>2234</v>
      </c>
      <c r="AC54" t="s">
        <v>2235</v>
      </c>
      <c r="AD54" t="s">
        <v>2</v>
      </c>
      <c r="AE54">
        <v>5821766</v>
      </c>
      <c r="AF54" t="s">
        <v>2236</v>
      </c>
      <c r="AG54" t="s">
        <v>2237</v>
      </c>
      <c r="AH54" t="s">
        <v>2238</v>
      </c>
      <c r="AI54" t="s">
        <v>110</v>
      </c>
      <c r="AJ54" t="s">
        <v>2239</v>
      </c>
      <c r="AK54" t="s">
        <v>2240</v>
      </c>
      <c r="AL54" t="s">
        <v>2241</v>
      </c>
      <c r="AM54" t="s">
        <v>2</v>
      </c>
      <c r="AN54" t="s">
        <v>1115</v>
      </c>
      <c r="AO54" t="s">
        <v>97</v>
      </c>
      <c r="AP54" t="s">
        <v>1235</v>
      </c>
      <c r="AQ54" t="s">
        <v>1191</v>
      </c>
      <c r="AR54" t="s">
        <v>2</v>
      </c>
      <c r="AS54" t="s">
        <v>2242</v>
      </c>
      <c r="AT54" t="s">
        <v>687</v>
      </c>
      <c r="AU54" t="s">
        <v>99</v>
      </c>
      <c r="AV54" t="s">
        <v>2243</v>
      </c>
      <c r="AW54" t="s">
        <v>82</v>
      </c>
      <c r="AX54" t="s">
        <v>890</v>
      </c>
      <c r="AY54" t="s">
        <v>959</v>
      </c>
      <c r="AZ54" t="s">
        <v>960</v>
      </c>
      <c r="BA54" t="s">
        <v>961</v>
      </c>
      <c r="BB54" t="s">
        <v>837</v>
      </c>
      <c r="BC54" t="s">
        <v>658</v>
      </c>
      <c r="BD54" t="s">
        <v>962</v>
      </c>
      <c r="BE54" t="s">
        <v>963</v>
      </c>
      <c r="BF54" t="s">
        <v>964</v>
      </c>
      <c r="BG54" t="s">
        <v>965</v>
      </c>
      <c r="BH54" t="s">
        <v>2244</v>
      </c>
      <c r="BI54" t="s">
        <v>3042</v>
      </c>
      <c r="BJ54" t="s">
        <v>890</v>
      </c>
      <c r="BK54" t="s">
        <v>105</v>
      </c>
      <c r="BL54" t="s">
        <v>3043</v>
      </c>
      <c r="BM54" t="s">
        <v>658</v>
      </c>
      <c r="BN54">
        <v>4.43</v>
      </c>
      <c r="BO54">
        <v>10.67</v>
      </c>
      <c r="BP54">
        <v>6.5</v>
      </c>
      <c r="BQ54">
        <v>5.62</v>
      </c>
      <c r="BR54">
        <v>15.57</v>
      </c>
      <c r="BS54" t="s">
        <v>2</v>
      </c>
      <c r="BT54" t="s">
        <v>945</v>
      </c>
      <c r="BU54" t="s">
        <v>757</v>
      </c>
      <c r="BV54">
        <v>15.54</v>
      </c>
      <c r="BW54">
        <v>17.28</v>
      </c>
      <c r="BX54">
        <v>16.239999999999998</v>
      </c>
      <c r="BY54">
        <v>4.26</v>
      </c>
      <c r="BZ54">
        <v>7.08</v>
      </c>
      <c r="CA54">
        <v>4.37</v>
      </c>
      <c r="CB54">
        <v>-2.87</v>
      </c>
      <c r="CC54">
        <v>-14.9</v>
      </c>
      <c r="CD54" t="s">
        <v>3044</v>
      </c>
      <c r="CE54" t="s">
        <v>3045</v>
      </c>
      <c r="CF54" s="8">
        <v>-6.4398541919805583E-2</v>
      </c>
      <c r="CG54" s="9">
        <v>-0.88934024701651992</v>
      </c>
      <c r="CH54" s="8">
        <v>5.9937112964689732E-3</v>
      </c>
      <c r="CI54" s="8">
        <v>0.38974133133888245</v>
      </c>
      <c r="CJ54" s="8">
        <v>0.24372951686382294</v>
      </c>
      <c r="CK54" s="8">
        <v>0.33284884691238403</v>
      </c>
      <c r="CL54" s="8">
        <v>0.23408064246177673</v>
      </c>
      <c r="CM54" s="9">
        <v>-0.3928571343421936</v>
      </c>
      <c r="CN54" s="9">
        <v>1.2552160024642944</v>
      </c>
      <c r="CO54" s="9">
        <v>7.0970088243484497E-2</v>
      </c>
      <c r="CP54" s="9">
        <v>4.6476058959960938</v>
      </c>
      <c r="CQ54" s="9">
        <v>-6.4402231946587563E-3</v>
      </c>
      <c r="CR54">
        <v>47.783857224375062</v>
      </c>
      <c r="CS54">
        <v>1.9804415178026176</v>
      </c>
      <c r="CT54">
        <v>0.63291139240506322</v>
      </c>
      <c r="CU54" s="8">
        <v>0.24127880977466704</v>
      </c>
      <c r="CV54" s="9">
        <v>1.1148989258334041</v>
      </c>
      <c r="CW54">
        <v>0.06</v>
      </c>
      <c r="CX54">
        <v>19.772745025930284</v>
      </c>
      <c r="CY54">
        <v>159258413.32957989</v>
      </c>
      <c r="CZ54">
        <v>0.24127880977466704</v>
      </c>
      <c r="DA54">
        <v>5.6976476716838764</v>
      </c>
      <c r="DB54">
        <v>552680014.88574934</v>
      </c>
      <c r="DC54">
        <v>0.22921486928593368</v>
      </c>
      <c r="DD54">
        <v>2.3497784584091037</v>
      </c>
      <c r="DE54">
        <v>1340116124.0247242</v>
      </c>
      <c r="DF54">
        <v>0.21232535260170698</v>
      </c>
      <c r="DG54">
        <v>1.1415479749260944</v>
      </c>
      <c r="DH54">
        <v>2758513938.2371292</v>
      </c>
      <c r="DI54">
        <v>0.19302304781973365</v>
      </c>
      <c r="DJ54">
        <v>0.35538938221083949</v>
      </c>
      <c r="DK54">
        <v>8860636129.3366604</v>
      </c>
      <c r="DL54">
        <v>0.16889516684226691</v>
      </c>
      <c r="DM54">
        <v>136000000</v>
      </c>
      <c r="DN54">
        <v>0.24127880977466704</v>
      </c>
      <c r="DO54">
        <v>3148976000</v>
      </c>
      <c r="DP54">
        <v>433377500.00000024</v>
      </c>
      <c r="DQ54" s="10">
        <v>2705</v>
      </c>
      <c r="DR54">
        <v>-0.30567735169447263</v>
      </c>
      <c r="DS54">
        <v>-2.0042391728499238</v>
      </c>
      <c r="DT54">
        <v>5.9999999999999908E-2</v>
      </c>
      <c r="DU54">
        <v>-0.26</v>
      </c>
      <c r="DV54">
        <v>-0.20000000000000009</v>
      </c>
      <c r="DW54">
        <v>-8.1926174496644304</v>
      </c>
      <c r="DX54">
        <v>0.34949246004784396</v>
      </c>
      <c r="DY54">
        <v>-8.0268686819018331</v>
      </c>
      <c r="DZ54">
        <v>2285</v>
      </c>
      <c r="EA54">
        <v>-8.0148469591398026</v>
      </c>
      <c r="EB54" s="11">
        <v>8</v>
      </c>
      <c r="EC54" s="11">
        <v>4.98974358974359E-2</v>
      </c>
      <c r="ED54">
        <v>0.35770702754036088</v>
      </c>
      <c r="EE54">
        <v>-2.0096099999999999</v>
      </c>
      <c r="EF54">
        <v>-2.0091999999999999</v>
      </c>
      <c r="EG54">
        <v>21.139492460047844</v>
      </c>
      <c r="EH54" s="12" t="s">
        <v>1128</v>
      </c>
      <c r="EI54">
        <v>0</v>
      </c>
      <c r="EJ54">
        <v>0</v>
      </c>
      <c r="EK54">
        <v>45511</v>
      </c>
      <c r="EL54">
        <v>1.59</v>
      </c>
      <c r="EM54">
        <v>-3.98</v>
      </c>
      <c r="EN54">
        <v>-3.26</v>
      </c>
      <c r="EO54">
        <v>1.03</v>
      </c>
      <c r="EP54">
        <v>1.88</v>
      </c>
    </row>
    <row r="55" spans="1:146" ht="108" x14ac:dyDescent="0.25">
      <c r="C55" s="6" t="str">
        <f>""&amp;CHAR(10)&amp;Basic_Fundamental_Information_Constructure(F55)&amp;CHAR(10)&amp;Basic_Fundamental_Information_Concatenate("")</f>
        <v xml:space="preserve">
市值17.088825亿, 利润3516.83万; PE66.86; 平均PE21.16; 平均PEG43, PB1.63; ROIC22.0067%; ROE13.465%; 股利率1.1639%; 毛利48.77%; 净利31.48%; 上一年度营收增-28.99%, 利润增-65.86%; 当季营收增-49.75%, 利润增-55.5%; 过往5年营收增.49%, 利润增-3.52%
Income profile:
</v>
      </c>
      <c r="D55" t="s">
        <v>882</v>
      </c>
      <c r="E55" t="s">
        <v>883</v>
      </c>
      <c r="F55">
        <v>30.93</v>
      </c>
      <c r="G55">
        <v>2.1800000000000002</v>
      </c>
      <c r="H55" t="s">
        <v>3046</v>
      </c>
      <c r="I55">
        <v>1708882500</v>
      </c>
      <c r="J55">
        <v>66.86</v>
      </c>
      <c r="K55">
        <v>1.63</v>
      </c>
      <c r="L55" t="s">
        <v>212</v>
      </c>
      <c r="M55" t="s">
        <v>2245</v>
      </c>
      <c r="N55" t="s">
        <v>2246</v>
      </c>
      <c r="O55" t="s">
        <v>2247</v>
      </c>
      <c r="P55">
        <v>-49.75</v>
      </c>
      <c r="Q55" t="s">
        <v>2264</v>
      </c>
      <c r="R55">
        <v>7703491</v>
      </c>
      <c r="S55">
        <v>-0.55500000000000005</v>
      </c>
      <c r="T55" t="s">
        <v>2265</v>
      </c>
      <c r="U55">
        <v>16250000</v>
      </c>
      <c r="V55">
        <v>55250000</v>
      </c>
      <c r="W55">
        <v>1.06</v>
      </c>
      <c r="X55">
        <v>0.03</v>
      </c>
      <c r="Y55">
        <v>21.7</v>
      </c>
      <c r="Z55" t="s">
        <v>2248</v>
      </c>
      <c r="AA55" t="s">
        <v>2249</v>
      </c>
      <c r="AB55" t="s">
        <v>2250</v>
      </c>
      <c r="AC55" t="s">
        <v>2251</v>
      </c>
      <c r="AD55" t="s">
        <v>2</v>
      </c>
      <c r="AE55">
        <v>-5370022</v>
      </c>
      <c r="AF55" t="s">
        <v>2252</v>
      </c>
      <c r="AG55" t="s">
        <v>2253</v>
      </c>
      <c r="AH55" t="s">
        <v>2254</v>
      </c>
      <c r="AI55" t="s">
        <v>74</v>
      </c>
      <c r="AJ55" t="s">
        <v>2255</v>
      </c>
      <c r="AK55" t="s">
        <v>2256</v>
      </c>
      <c r="AL55" t="s">
        <v>2257</v>
      </c>
      <c r="AM55" t="s">
        <v>2</v>
      </c>
      <c r="AN55" t="s">
        <v>2258</v>
      </c>
      <c r="AO55" t="s">
        <v>2</v>
      </c>
      <c r="AP55" t="s">
        <v>2</v>
      </c>
      <c r="AQ55" t="s">
        <v>2259</v>
      </c>
      <c r="AR55" t="s">
        <v>2</v>
      </c>
      <c r="AS55" t="s">
        <v>2260</v>
      </c>
      <c r="AT55" t="s">
        <v>2</v>
      </c>
      <c r="AU55" t="s">
        <v>2261</v>
      </c>
      <c r="AV55" t="s">
        <v>2262</v>
      </c>
      <c r="AW55" t="s">
        <v>2263</v>
      </c>
      <c r="AX55" t="s">
        <v>164</v>
      </c>
      <c r="AY55" t="s">
        <v>177</v>
      </c>
      <c r="AZ55" t="s">
        <v>61</v>
      </c>
      <c r="BA55" t="s">
        <v>794</v>
      </c>
      <c r="BB55" t="s">
        <v>967</v>
      </c>
      <c r="BC55" t="s">
        <v>57</v>
      </c>
      <c r="BD55" t="s">
        <v>73</v>
      </c>
      <c r="BE55" t="s">
        <v>884</v>
      </c>
      <c r="BF55" t="s">
        <v>968</v>
      </c>
      <c r="BG55" t="s">
        <v>969</v>
      </c>
      <c r="BH55" t="s">
        <v>2264</v>
      </c>
      <c r="BI55" t="s">
        <v>3047</v>
      </c>
      <c r="BJ55" t="s">
        <v>164</v>
      </c>
      <c r="BK55" t="s">
        <v>2265</v>
      </c>
      <c r="BL55" t="s">
        <v>3048</v>
      </c>
      <c r="BM55" t="s">
        <v>57</v>
      </c>
      <c r="BN55">
        <v>1.1299999999999999</v>
      </c>
      <c r="BO55">
        <v>23.78</v>
      </c>
      <c r="BP55">
        <v>41.11</v>
      </c>
      <c r="BQ55">
        <v>2.1800000000000002</v>
      </c>
      <c r="BR55">
        <v>24.75</v>
      </c>
      <c r="BS55" t="s">
        <v>2</v>
      </c>
      <c r="BT55" t="s">
        <v>2266</v>
      </c>
      <c r="BU55" t="s">
        <v>757</v>
      </c>
      <c r="BV55">
        <v>37.270000000000003</v>
      </c>
      <c r="BW55">
        <v>51.46</v>
      </c>
      <c r="BX55">
        <v>57.58</v>
      </c>
      <c r="BY55">
        <v>17.86</v>
      </c>
      <c r="BZ55">
        <v>37.700000000000003</v>
      </c>
      <c r="CA55">
        <v>38.880000000000003</v>
      </c>
      <c r="CB55">
        <v>-3.43</v>
      </c>
      <c r="CC55">
        <v>-19.87</v>
      </c>
      <c r="CD55" t="s">
        <v>3049</v>
      </c>
      <c r="CE55" t="s">
        <v>3050</v>
      </c>
      <c r="CF55" s="8">
        <v>-0.49750150503231932</v>
      </c>
      <c r="CG55" s="9">
        <v>-0.55502787035806911</v>
      </c>
      <c r="CH55" s="8">
        <v>-0.28990226984024048</v>
      </c>
      <c r="CI55" s="8">
        <v>-0.18567639589309692</v>
      </c>
      <c r="CJ55" s="8">
        <v>0.50800001621246338</v>
      </c>
      <c r="CK55" s="8">
        <v>8.0645158886909485E-3</v>
      </c>
      <c r="CL55" s="8">
        <v>-1.587301678955555E-2</v>
      </c>
      <c r="CM55" s="9">
        <v>-0.65856015682220459</v>
      </c>
      <c r="CN55" s="9">
        <v>-0.17599999904632568</v>
      </c>
      <c r="CO55" s="9">
        <v>1.020388126373291</v>
      </c>
      <c r="CP55" s="9">
        <v>-3.8255691528320313E-2</v>
      </c>
      <c r="CQ55" s="9">
        <v>-0.3234279453754425</v>
      </c>
      <c r="CR55">
        <v>21.164789557490483</v>
      </c>
      <c r="CS55">
        <v>42.995406708583033</v>
      </c>
      <c r="CT55">
        <v>1.1639185257032008</v>
      </c>
      <c r="CU55" s="8">
        <v>4.9225699156522753E-3</v>
      </c>
      <c r="CV55" s="9">
        <v>-3.5171133279800412E-2</v>
      </c>
      <c r="CW55">
        <v>0.06</v>
      </c>
      <c r="CX55">
        <v>20.87976722731123</v>
      </c>
      <c r="CY55">
        <v>33340960.769400597</v>
      </c>
      <c r="CZ55">
        <v>4.9225699156522753E-3</v>
      </c>
      <c r="DA55">
        <v>7.3379469900378673</v>
      </c>
      <c r="DB55">
        <v>94870063.921844646</v>
      </c>
      <c r="DC55">
        <v>4.6764414198696615E-3</v>
      </c>
      <c r="DD55">
        <v>3.9678916295300435</v>
      </c>
      <c r="DE55">
        <v>175446197.87976721</v>
      </c>
      <c r="DF55">
        <v>4.3318615257740027E-3</v>
      </c>
      <c r="DG55">
        <v>2.636756716626492</v>
      </c>
      <c r="DH55">
        <v>264018100.57420358</v>
      </c>
      <c r="DI55">
        <v>3.9380559325218204E-3</v>
      </c>
      <c r="DJ55">
        <v>1.6751605537127212</v>
      </c>
      <c r="DK55">
        <v>415573001.91739428</v>
      </c>
      <c r="DL55">
        <v>3.4457989409565925E-3</v>
      </c>
      <c r="DM55">
        <v>35168300</v>
      </c>
      <c r="DN55">
        <v>4.9225699156522753E-3</v>
      </c>
      <c r="DO55">
        <v>696151500</v>
      </c>
      <c r="DP55">
        <v>586632040</v>
      </c>
      <c r="DQ55" s="10">
        <v>2712</v>
      </c>
      <c r="DR55">
        <v>-0.50242407494797159</v>
      </c>
      <c r="DS55">
        <v>-0.51985673707826874</v>
      </c>
      <c r="DT55">
        <v>-0.62333333333333341</v>
      </c>
      <c r="DU55">
        <v>-0.53666666666666663</v>
      </c>
      <c r="DV55">
        <v>-1.1600000000000001</v>
      </c>
      <c r="DW55">
        <v>-8.1726220432813292</v>
      </c>
      <c r="DX55">
        <v>0.34902810622340441</v>
      </c>
      <c r="DY55">
        <v>-8.0136419931729375</v>
      </c>
      <c r="DZ55">
        <v>3755</v>
      </c>
      <c r="EA55">
        <v>-8.0036115086684578</v>
      </c>
      <c r="EB55" s="11">
        <v>8</v>
      </c>
      <c r="EC55" s="11">
        <v>8.7462443438914031E-2</v>
      </c>
      <c r="ED55">
        <v>1.1067257918552036</v>
      </c>
      <c r="EE55">
        <v>-3.0800100000000001</v>
      </c>
      <c r="EF55">
        <v>-3.0582099999999999</v>
      </c>
      <c r="EG55">
        <v>27.079028106223404</v>
      </c>
      <c r="EH55" s="12" t="s">
        <v>1186</v>
      </c>
      <c r="EI55">
        <v>0</v>
      </c>
      <c r="EJ55">
        <v>0</v>
      </c>
      <c r="EK55">
        <v>45511</v>
      </c>
      <c r="EL55">
        <v>-0.09</v>
      </c>
      <c r="EM55">
        <v>-4</v>
      </c>
      <c r="EN55">
        <v>-4.62</v>
      </c>
      <c r="EO55">
        <v>3.31</v>
      </c>
      <c r="EP55">
        <v>2.1800000000000002</v>
      </c>
    </row>
    <row r="56" spans="1:146" ht="108" x14ac:dyDescent="0.25">
      <c r="C56" s="6" t="str">
        <f>""&amp;CHAR(10)&amp;Basic_Fundamental_Information_Constructure(F56)&amp;CHAR(10)&amp;Basic_Fundamental_Information_Concatenate("")</f>
        <v xml:space="preserve">
市值22.7亿, 利润5671.38万; PE44.63; 平均PE35.64; 平均PEG4.31, PB2.37; ROIC12.5133%; ROE13.615%; 股利率2.2026%; 毛利39.1633%; 净利17.2533%; 上一年度营收增-2.76%, 利润增-23.64%; 当季营收增-31.43%, 利润增-57.04%; 过往5年营收增8.27%, 利润增.72%
Income profile:
</v>
      </c>
      <c r="D56" t="s">
        <v>878</v>
      </c>
      <c r="E56" t="s">
        <v>879</v>
      </c>
      <c r="F56">
        <v>22.7</v>
      </c>
      <c r="G56">
        <v>3.56</v>
      </c>
      <c r="H56" t="s">
        <v>3051</v>
      </c>
      <c r="I56">
        <v>2270000000</v>
      </c>
      <c r="J56">
        <v>44.63</v>
      </c>
      <c r="K56">
        <v>2.37</v>
      </c>
      <c r="L56" t="s">
        <v>212</v>
      </c>
      <c r="M56" t="s">
        <v>2267</v>
      </c>
      <c r="N56" t="s">
        <v>2268</v>
      </c>
      <c r="O56" t="s">
        <v>2269</v>
      </c>
      <c r="P56">
        <v>-31.43</v>
      </c>
      <c r="Q56" t="s">
        <v>80</v>
      </c>
      <c r="R56">
        <v>4405353</v>
      </c>
      <c r="S56">
        <v>-0.57040000000000002</v>
      </c>
      <c r="T56" t="s">
        <v>2286</v>
      </c>
      <c r="U56">
        <v>44800000</v>
      </c>
      <c r="V56">
        <v>100000000</v>
      </c>
      <c r="W56">
        <v>1.08</v>
      </c>
      <c r="X56">
        <v>0.06</v>
      </c>
      <c r="Y56">
        <v>6.34</v>
      </c>
      <c r="Z56" t="s">
        <v>2270</v>
      </c>
      <c r="AA56" t="s">
        <v>2271</v>
      </c>
      <c r="AB56" t="s">
        <v>2272</v>
      </c>
      <c r="AC56" t="s">
        <v>2273</v>
      </c>
      <c r="AD56" t="s">
        <v>2</v>
      </c>
      <c r="AE56">
        <v>-4335712</v>
      </c>
      <c r="AF56" t="s">
        <v>20</v>
      </c>
      <c r="AG56" t="s">
        <v>2</v>
      </c>
      <c r="AH56" t="s">
        <v>2274</v>
      </c>
      <c r="AI56" t="s">
        <v>1233</v>
      </c>
      <c r="AJ56" t="s">
        <v>2275</v>
      </c>
      <c r="AK56" t="s">
        <v>2276</v>
      </c>
      <c r="AL56" t="s">
        <v>2277</v>
      </c>
      <c r="AM56" t="s">
        <v>2</v>
      </c>
      <c r="AN56" t="s">
        <v>2278</v>
      </c>
      <c r="AO56" t="s">
        <v>2</v>
      </c>
      <c r="AP56" t="s">
        <v>2279</v>
      </c>
      <c r="AQ56" t="s">
        <v>2280</v>
      </c>
      <c r="AR56" t="s">
        <v>2281</v>
      </c>
      <c r="AS56" t="s">
        <v>2282</v>
      </c>
      <c r="AT56" t="s">
        <v>2</v>
      </c>
      <c r="AU56" t="s">
        <v>2283</v>
      </c>
      <c r="AV56" t="s">
        <v>2284</v>
      </c>
      <c r="AW56" t="s">
        <v>2285</v>
      </c>
      <c r="AX56" t="s">
        <v>65</v>
      </c>
      <c r="AY56" t="s">
        <v>371</v>
      </c>
      <c r="AZ56" t="s">
        <v>164</v>
      </c>
      <c r="BA56" t="s">
        <v>163</v>
      </c>
      <c r="BB56" t="s">
        <v>56</v>
      </c>
      <c r="BC56" t="s">
        <v>970</v>
      </c>
      <c r="BD56" t="s">
        <v>971</v>
      </c>
      <c r="BE56" t="s">
        <v>972</v>
      </c>
      <c r="BF56" t="s">
        <v>973</v>
      </c>
      <c r="BG56" t="s">
        <v>974</v>
      </c>
      <c r="BH56" t="s">
        <v>80</v>
      </c>
      <c r="BI56" t="s">
        <v>3052</v>
      </c>
      <c r="BJ56" t="s">
        <v>65</v>
      </c>
      <c r="BK56" t="s">
        <v>2286</v>
      </c>
      <c r="BL56" t="s">
        <v>3053</v>
      </c>
      <c r="BM56" t="s">
        <v>970</v>
      </c>
      <c r="BN56">
        <v>6.38</v>
      </c>
      <c r="BO56">
        <v>15.14</v>
      </c>
      <c r="BP56">
        <v>16.02</v>
      </c>
      <c r="BQ56">
        <v>6.89</v>
      </c>
      <c r="BR56">
        <v>20.34</v>
      </c>
      <c r="BS56" t="s">
        <v>2</v>
      </c>
      <c r="BT56" t="s">
        <v>930</v>
      </c>
      <c r="BU56" t="s">
        <v>757</v>
      </c>
      <c r="BV56">
        <v>40.31</v>
      </c>
      <c r="BW56">
        <v>37.869999999999997</v>
      </c>
      <c r="BX56">
        <v>39.31</v>
      </c>
      <c r="BY56">
        <v>14.33</v>
      </c>
      <c r="BZ56">
        <v>18.59</v>
      </c>
      <c r="CA56">
        <v>18.84</v>
      </c>
      <c r="CB56">
        <v>-4.18</v>
      </c>
      <c r="CC56">
        <v>-8.2799999999999994</v>
      </c>
      <c r="CD56" t="s">
        <v>3054</v>
      </c>
      <c r="CE56" t="s">
        <v>3055</v>
      </c>
      <c r="CF56" s="8">
        <v>-0.31426499417900267</v>
      </c>
      <c r="CG56" s="9">
        <v>-0.570427392932366</v>
      </c>
      <c r="CH56" s="8">
        <v>-2.7638191357254982E-2</v>
      </c>
      <c r="CI56" s="8">
        <v>6.9892473518848419E-2</v>
      </c>
      <c r="CJ56" s="8">
        <v>0.21172638237476349</v>
      </c>
      <c r="CK56" s="8">
        <v>0.13703703880310059</v>
      </c>
      <c r="CL56" s="8">
        <v>2.2727273404598236E-2</v>
      </c>
      <c r="CM56" s="9">
        <v>-0.2363814115524292</v>
      </c>
      <c r="CN56" s="9">
        <v>5.7918660342693329E-2</v>
      </c>
      <c r="CO56" s="9">
        <v>1.2058955617249012E-2</v>
      </c>
      <c r="CP56" s="9">
        <v>0.3507915735244751</v>
      </c>
      <c r="CQ56" s="9">
        <v>-0.14825332164764404</v>
      </c>
      <c r="CR56">
        <v>35.635895341404698</v>
      </c>
      <c r="CS56">
        <v>4.3065048936472285</v>
      </c>
      <c r="CT56">
        <v>2.2026431718061676</v>
      </c>
      <c r="CU56" s="8">
        <v>8.2748995348811152E-2</v>
      </c>
      <c r="CV56" s="9">
        <v>7.2268912568688396E-3</v>
      </c>
      <c r="CW56">
        <v>0.06</v>
      </c>
      <c r="CX56">
        <v>24.390955639494436</v>
      </c>
      <c r="CY56">
        <v>57930952.80416359</v>
      </c>
      <c r="CZ56">
        <v>8.2748995348811152E-2</v>
      </c>
      <c r="DA56">
        <v>8.0198681853627356</v>
      </c>
      <c r="DB56">
        <v>176186349.61842468</v>
      </c>
      <c r="DC56">
        <v>7.8611545581370595E-2</v>
      </c>
      <c r="DD56">
        <v>3.9804826948777672</v>
      </c>
      <c r="DE56">
        <v>354979887.69510031</v>
      </c>
      <c r="DF56">
        <v>7.2819115906953821E-2</v>
      </c>
      <c r="DG56">
        <v>2.4124657450053713</v>
      </c>
      <c r="DH56">
        <v>585704192.03894401</v>
      </c>
      <c r="DI56">
        <v>6.6199196279048925E-2</v>
      </c>
      <c r="DJ56">
        <v>1.2715439614529584</v>
      </c>
      <c r="DK56">
        <v>1111240619.9353213</v>
      </c>
      <c r="DL56">
        <v>5.7924296744167804E-2</v>
      </c>
      <c r="DM56">
        <v>56713800</v>
      </c>
      <c r="DN56">
        <v>8.2748995348811152E-2</v>
      </c>
      <c r="DO56">
        <v>1412991300</v>
      </c>
      <c r="DP56">
        <v>597299640</v>
      </c>
      <c r="DQ56" s="10">
        <v>2782</v>
      </c>
      <c r="DR56">
        <v>-0.3970139895278138</v>
      </c>
      <c r="DS56">
        <v>-0.57765428418923481</v>
      </c>
      <c r="DT56">
        <v>-0.3066666666666667</v>
      </c>
      <c r="DU56">
        <v>-0.27</v>
      </c>
      <c r="DV56">
        <v>-0.57666666666666666</v>
      </c>
      <c r="DW56">
        <v>-8.504830917874397</v>
      </c>
      <c r="DX56">
        <v>0.58392169725008503</v>
      </c>
      <c r="DY56">
        <v>-8.092849359239775</v>
      </c>
      <c r="DZ56">
        <v>3066</v>
      </c>
      <c r="EA56">
        <v>-8.0371070182511026</v>
      </c>
      <c r="EB56" s="11">
        <v>8</v>
      </c>
      <c r="EC56" s="11">
        <v>5.3272E-2</v>
      </c>
      <c r="ED56">
        <v>0.28964499999999999</v>
      </c>
      <c r="EE56">
        <v>-5.0748100000000003</v>
      </c>
      <c r="EF56">
        <v>-5.0392099999999997</v>
      </c>
      <c r="EG56">
        <v>40.183921697250085</v>
      </c>
      <c r="EH56" s="12" t="s">
        <v>2863</v>
      </c>
      <c r="EI56">
        <v>0</v>
      </c>
      <c r="EJ56">
        <v>0</v>
      </c>
      <c r="EK56">
        <v>45511</v>
      </c>
      <c r="EL56">
        <v>-1.01</v>
      </c>
      <c r="EM56">
        <v>-4.3499999999999996</v>
      </c>
      <c r="EN56">
        <v>-4.41</v>
      </c>
      <c r="EO56">
        <v>2.2400000000000002</v>
      </c>
      <c r="EP56">
        <v>3.56</v>
      </c>
    </row>
    <row r="57" spans="1:146" ht="108" x14ac:dyDescent="0.25">
      <c r="C57" s="6" t="str">
        <f>""&amp;CHAR(10)&amp;Basic_Fundamental_Information_Constructure(F57)&amp;CHAR(10)&amp;Basic_Fundamental_Information_Concatenate("")</f>
        <v xml:space="preserve">
市值24.03318亿, 利润5498.87万; PE45.42; 平均PE52.67; 平均PEG4.96, PB3.11; ROIC15.6967%; ROE10.49%; 股利率1.4733%; 毛利27.98%; 净利13.34%; 上一年度营收增-10.47%, 利润增-17.76%; 当季营收增7.82%, 利润增-23.66%; 过往5年营收增10.63%, 利润增28.54%
Income profile:
</v>
      </c>
      <c r="D57" t="s">
        <v>1240</v>
      </c>
      <c r="E57" t="s">
        <v>1241</v>
      </c>
      <c r="F57">
        <v>54.3</v>
      </c>
      <c r="G57">
        <v>2.2599999999999998</v>
      </c>
      <c r="H57" t="s">
        <v>3056</v>
      </c>
      <c r="I57">
        <v>2403318000</v>
      </c>
      <c r="J57">
        <v>45.42</v>
      </c>
      <c r="K57">
        <v>3.11</v>
      </c>
      <c r="L57" t="s">
        <v>212</v>
      </c>
      <c r="M57" t="s">
        <v>55</v>
      </c>
      <c r="N57" t="s">
        <v>1153</v>
      </c>
      <c r="O57" t="s">
        <v>81</v>
      </c>
      <c r="P57" s="4">
        <v>7.37</v>
      </c>
      <c r="Q57" t="s">
        <v>2306</v>
      </c>
      <c r="R57">
        <v>6706368</v>
      </c>
      <c r="S57">
        <v>-0.2366</v>
      </c>
      <c r="T57" t="s">
        <v>2307</v>
      </c>
      <c r="U57">
        <v>11095149</v>
      </c>
      <c r="V57">
        <v>44260000</v>
      </c>
      <c r="W57">
        <v>1.44</v>
      </c>
      <c r="X57">
        <v>0.11</v>
      </c>
      <c r="Y57">
        <v>6.35</v>
      </c>
      <c r="Z57" t="s">
        <v>2287</v>
      </c>
      <c r="AA57" t="s">
        <v>2288</v>
      </c>
      <c r="AB57" t="s">
        <v>2289</v>
      </c>
      <c r="AC57" t="s">
        <v>2290</v>
      </c>
      <c r="AD57" t="s">
        <v>2</v>
      </c>
      <c r="AE57">
        <v>-679180</v>
      </c>
      <c r="AF57" t="s">
        <v>2291</v>
      </c>
      <c r="AG57" t="s">
        <v>2292</v>
      </c>
      <c r="AH57" t="s">
        <v>2293</v>
      </c>
      <c r="AI57" t="s">
        <v>685</v>
      </c>
      <c r="AJ57" t="s">
        <v>2294</v>
      </c>
      <c r="AK57" t="s">
        <v>2295</v>
      </c>
      <c r="AL57" t="s">
        <v>2296</v>
      </c>
      <c r="AM57" t="s">
        <v>2</v>
      </c>
      <c r="AN57" t="s">
        <v>26</v>
      </c>
      <c r="AO57" t="s">
        <v>2</v>
      </c>
      <c r="AP57" t="s">
        <v>2297</v>
      </c>
      <c r="AQ57" t="s">
        <v>67</v>
      </c>
      <c r="AR57" t="s">
        <v>2</v>
      </c>
      <c r="AS57" t="s">
        <v>31</v>
      </c>
      <c r="AT57" t="s">
        <v>2298</v>
      </c>
      <c r="AU57" t="s">
        <v>2299</v>
      </c>
      <c r="AV57" t="s">
        <v>2300</v>
      </c>
      <c r="AW57" t="s">
        <v>364</v>
      </c>
      <c r="AX57" t="s">
        <v>242</v>
      </c>
      <c r="AY57" t="s">
        <v>1651</v>
      </c>
      <c r="AZ57" t="s">
        <v>70</v>
      </c>
      <c r="BA57" t="s">
        <v>356</v>
      </c>
      <c r="BB57" t="s">
        <v>688</v>
      </c>
      <c r="BC57" t="s">
        <v>2301</v>
      </c>
      <c r="BD57" t="s">
        <v>2302</v>
      </c>
      <c r="BE57" t="s">
        <v>2303</v>
      </c>
      <c r="BF57" t="s">
        <v>2304</v>
      </c>
      <c r="BG57" t="s">
        <v>2305</v>
      </c>
      <c r="BH57" t="s">
        <v>2306</v>
      </c>
      <c r="BI57" t="s">
        <v>3057</v>
      </c>
      <c r="BJ57" t="s">
        <v>242</v>
      </c>
      <c r="BK57" t="s">
        <v>2307</v>
      </c>
      <c r="BL57" t="s">
        <v>3058</v>
      </c>
      <c r="BM57" t="s">
        <v>2301</v>
      </c>
      <c r="BN57">
        <v>8.6999999999999993</v>
      </c>
      <c r="BO57">
        <v>17.12</v>
      </c>
      <c r="BP57">
        <v>21.27</v>
      </c>
      <c r="BQ57">
        <v>10.49</v>
      </c>
      <c r="BR57" t="s">
        <v>2</v>
      </c>
      <c r="BS57" t="s">
        <v>2</v>
      </c>
      <c r="BT57" t="s">
        <v>854</v>
      </c>
      <c r="BU57" t="s">
        <v>757</v>
      </c>
      <c r="BV57">
        <v>27.56</v>
      </c>
      <c r="BW57">
        <v>27.26</v>
      </c>
      <c r="BX57">
        <v>29.12</v>
      </c>
      <c r="BY57">
        <v>12.62</v>
      </c>
      <c r="BZ57">
        <v>13.68</v>
      </c>
      <c r="CA57">
        <v>13.72</v>
      </c>
      <c r="CB57">
        <v>-8.98</v>
      </c>
      <c r="CC57" s="8">
        <v>-19.440000000000001</v>
      </c>
      <c r="CD57" s="9" t="s">
        <v>3059</v>
      </c>
      <c r="CE57" s="8" t="s">
        <v>3060</v>
      </c>
      <c r="CF57" s="8">
        <v>7.8195629442471146E-2</v>
      </c>
      <c r="CG57" s="8">
        <v>-0.23657673656171027</v>
      </c>
      <c r="CH57" s="8">
        <v>-0.10472279042005539</v>
      </c>
      <c r="CI57" s="8">
        <v>4.5064378529787064E-2</v>
      </c>
      <c r="CJ57" s="9">
        <v>0.37463125586509705</v>
      </c>
      <c r="CK57" s="9">
        <v>0.17301037907600403</v>
      </c>
      <c r="CL57" s="9">
        <v>4.332130029797554E-2</v>
      </c>
      <c r="CM57" s="9">
        <v>-0.17764560878276825</v>
      </c>
      <c r="CN57" s="9">
        <v>4.526042565703392E-2</v>
      </c>
      <c r="CO57">
        <v>0.40040409564971924</v>
      </c>
      <c r="CP57">
        <v>1.1270965337753296</v>
      </c>
      <c r="CQ57">
        <v>3.1790949404239655E-2</v>
      </c>
      <c r="CR57" s="8">
        <v>52.666016798448204</v>
      </c>
      <c r="CS57" s="9">
        <v>4.956292905855074</v>
      </c>
      <c r="CT57">
        <v>1.4732965009208103</v>
      </c>
      <c r="CU57">
        <v>0.10626090466976165</v>
      </c>
      <c r="CV57">
        <v>0.28538127914071082</v>
      </c>
      <c r="CW57">
        <v>0.06</v>
      </c>
      <c r="CX57">
        <v>33.862476869777616</v>
      </c>
      <c r="CY57">
        <v>57388536.800579354</v>
      </c>
      <c r="CZ57">
        <v>0.10626090466976165</v>
      </c>
      <c r="DA57">
        <v>10.914892145255561</v>
      </c>
      <c r="DB57">
        <v>178042803.734411</v>
      </c>
      <c r="DC57">
        <v>0.10094785943627356</v>
      </c>
      <c r="DD57">
        <v>5.2746941823750966</v>
      </c>
      <c r="DE57">
        <v>368422875.8689779</v>
      </c>
      <c r="DF57">
        <v>9.3509596109390261E-2</v>
      </c>
      <c r="DG57">
        <v>3.1016743244704688</v>
      </c>
      <c r="DH57">
        <v>626538377.8910352</v>
      </c>
      <c r="DI57">
        <v>8.5008723735809325E-2</v>
      </c>
      <c r="DJ57">
        <v>1.5292273992029124</v>
      </c>
      <c r="DK57">
        <v>1270784188.8086274</v>
      </c>
      <c r="DL57">
        <v>7.4382633268833154E-2</v>
      </c>
      <c r="DM57">
        <v>54988700</v>
      </c>
      <c r="DN57">
        <v>0.10626090466976165</v>
      </c>
      <c r="DO57">
        <v>1943318000</v>
      </c>
      <c r="DP57">
        <v>557826910</v>
      </c>
      <c r="DQ57" s="10">
        <v>2833</v>
      </c>
      <c r="DR57">
        <v>-2.8065275227290506E-2</v>
      </c>
      <c r="DS57">
        <v>-0.52195801570242106</v>
      </c>
      <c r="DT57">
        <v>-0.19000000000000003</v>
      </c>
      <c r="DU57">
        <v>-1.999999999999998E-2</v>
      </c>
      <c r="DV57">
        <v>-0.21000000000000002</v>
      </c>
      <c r="DW57">
        <v>-9.4619341563786001</v>
      </c>
      <c r="DX57">
        <v>0.31857561048956695</v>
      </c>
      <c r="DY57">
        <v>-9.0409160999072178</v>
      </c>
      <c r="DZ57">
        <v>2314</v>
      </c>
      <c r="EA57">
        <v>-9.0223768684239012</v>
      </c>
      <c r="EB57" s="11">
        <v>9</v>
      </c>
      <c r="EC57" s="11">
        <v>0.17036375960234976</v>
      </c>
      <c r="ED57">
        <v>1.9233709896068685</v>
      </c>
      <c r="EE57">
        <v>21.055710000000001</v>
      </c>
      <c r="EF57">
        <v>21.033110000000001</v>
      </c>
      <c r="EG57">
        <v>23.088575610489567</v>
      </c>
      <c r="EH57" s="12" t="s">
        <v>3061</v>
      </c>
      <c r="EI57">
        <v>0</v>
      </c>
      <c r="EJ57">
        <v>0</v>
      </c>
      <c r="EK57">
        <v>45511</v>
      </c>
      <c r="EL57">
        <v>-0.85</v>
      </c>
      <c r="EM57">
        <v>-5.6</v>
      </c>
      <c r="EN57">
        <v>-5.78</v>
      </c>
      <c r="EO57">
        <v>0.93</v>
      </c>
      <c r="EP57">
        <v>2.2599999999999998</v>
      </c>
    </row>
    <row r="58" spans="1:146" ht="108" x14ac:dyDescent="0.25">
      <c r="A58" s="6"/>
      <c r="B58" s="6"/>
      <c r="C58" s="6" t="str">
        <f>""&amp;CHAR(10)&amp;Basic_Fundamental_Information_Constructure(F58)&amp;CHAR(10)&amp;Basic_Fundamental_Information_Concatenate("")</f>
        <v xml:space="preserve">
市值53.206846亿, 利润4325.03万; PE114.6; 平均PE-1584.49; 平均PEG-247.33, PB1.92; ROIC4.44%; ROE4.97%; 股利率.9424%; 毛利13.5567%; 净利3.9167%; 上一年度营收增2.77%, 利润增-79.79%; 当季营收增-12.73%, 利润增13.14%; 过往5年营收增6.41%, 利润增-2497.44%
Income profile:
</v>
      </c>
      <c r="D58" t="s">
        <v>437</v>
      </c>
      <c r="E58" t="s">
        <v>438</v>
      </c>
      <c r="F58">
        <v>3.82</v>
      </c>
      <c r="G58">
        <v>10.09</v>
      </c>
      <c r="H58" t="s">
        <v>3062</v>
      </c>
      <c r="I58">
        <v>5320684600</v>
      </c>
      <c r="J58">
        <v>114.6</v>
      </c>
      <c r="K58">
        <v>1.92</v>
      </c>
      <c r="L58" t="s">
        <v>212</v>
      </c>
      <c r="M58" t="s">
        <v>2308</v>
      </c>
      <c r="N58" t="s">
        <v>2309</v>
      </c>
      <c r="O58" t="s">
        <v>488</v>
      </c>
      <c r="P58">
        <v>-12.75</v>
      </c>
      <c r="Q58" t="s">
        <v>2321</v>
      </c>
      <c r="R58">
        <v>27323011</v>
      </c>
      <c r="S58" s="4">
        <v>0.13139999999999999</v>
      </c>
      <c r="T58" t="s">
        <v>2322</v>
      </c>
      <c r="U58">
        <v>1392848800</v>
      </c>
      <c r="V58">
        <v>1392848800</v>
      </c>
      <c r="W58">
        <v>2.61</v>
      </c>
      <c r="X58">
        <v>0.1</v>
      </c>
      <c r="Y58">
        <v>3.89</v>
      </c>
      <c r="Z58" t="s">
        <v>3042</v>
      </c>
      <c r="AA58" t="s">
        <v>3063</v>
      </c>
      <c r="AB58" t="s">
        <v>3064</v>
      </c>
      <c r="AC58" t="s">
        <v>3065</v>
      </c>
      <c r="AD58" t="s">
        <v>2</v>
      </c>
      <c r="AE58">
        <v>26263670</v>
      </c>
      <c r="AF58" t="s">
        <v>2310</v>
      </c>
      <c r="AG58" t="s">
        <v>2311</v>
      </c>
      <c r="AH58" t="s">
        <v>2312</v>
      </c>
      <c r="AI58" t="s">
        <v>2313</v>
      </c>
      <c r="AJ58" t="s">
        <v>2314</v>
      </c>
      <c r="AK58" t="s">
        <v>3066</v>
      </c>
      <c r="AL58" t="s">
        <v>2315</v>
      </c>
      <c r="AM58" t="s">
        <v>2</v>
      </c>
      <c r="AN58" t="s">
        <v>2316</v>
      </c>
      <c r="AO58" t="s">
        <v>3067</v>
      </c>
      <c r="AP58" t="s">
        <v>1161</v>
      </c>
      <c r="AQ58" t="s">
        <v>2317</v>
      </c>
      <c r="AR58" t="s">
        <v>2</v>
      </c>
      <c r="AS58" t="s">
        <v>3068</v>
      </c>
      <c r="AT58" t="s">
        <v>132</v>
      </c>
      <c r="AU58" t="s">
        <v>2318</v>
      </c>
      <c r="AV58" t="s">
        <v>2319</v>
      </c>
      <c r="AW58" t="s">
        <v>2320</v>
      </c>
      <c r="AX58" t="s">
        <v>975</v>
      </c>
      <c r="AY58" t="s">
        <v>3069</v>
      </c>
      <c r="AZ58" t="s">
        <v>439</v>
      </c>
      <c r="BA58" t="s">
        <v>440</v>
      </c>
      <c r="BB58" t="s">
        <v>441</v>
      </c>
      <c r="BC58" t="s">
        <v>873</v>
      </c>
      <c r="BD58" t="s">
        <v>126</v>
      </c>
      <c r="BE58" t="s">
        <v>3070</v>
      </c>
      <c r="BF58" t="s">
        <v>3071</v>
      </c>
      <c r="BG58" t="s">
        <v>25</v>
      </c>
      <c r="BH58" t="s">
        <v>2321</v>
      </c>
      <c r="BI58" t="s">
        <v>2619</v>
      </c>
      <c r="BJ58" t="s">
        <v>975</v>
      </c>
      <c r="BK58" t="s">
        <v>2322</v>
      </c>
      <c r="BL58" t="s">
        <v>3072</v>
      </c>
      <c r="BM58" t="s">
        <v>873</v>
      </c>
      <c r="BN58">
        <v>3.1</v>
      </c>
      <c r="BO58">
        <v>5.81</v>
      </c>
      <c r="BP58">
        <v>4.41</v>
      </c>
      <c r="BQ58">
        <v>2.87</v>
      </c>
      <c r="BR58">
        <v>7.79</v>
      </c>
      <c r="BS58">
        <v>4.25</v>
      </c>
      <c r="BT58" t="s">
        <v>2323</v>
      </c>
      <c r="BU58" t="s">
        <v>789</v>
      </c>
      <c r="BV58">
        <v>17.32</v>
      </c>
      <c r="BW58">
        <v>13.38</v>
      </c>
      <c r="BX58">
        <v>9.9700000000000006</v>
      </c>
      <c r="BY58">
        <v>2.62</v>
      </c>
      <c r="BZ58">
        <v>5.38</v>
      </c>
      <c r="CA58">
        <v>3.75</v>
      </c>
      <c r="CB58">
        <v>4.95</v>
      </c>
      <c r="CC58">
        <v>2.0299999999999998</v>
      </c>
      <c r="CD58" t="s">
        <v>38</v>
      </c>
      <c r="CE58" t="s">
        <v>2533</v>
      </c>
      <c r="CF58" s="8">
        <v>-0.12727272727272726</v>
      </c>
      <c r="CG58" s="9">
        <v>0.13138293423215622</v>
      </c>
      <c r="CH58" s="8">
        <v>2.7672642841935158E-2</v>
      </c>
      <c r="CI58" s="8">
        <v>8.1329889595508575E-2</v>
      </c>
      <c r="CJ58" s="8">
        <v>0.19025881588459015</v>
      </c>
      <c r="CK58" s="8">
        <v>-2.5511754676699638E-2</v>
      </c>
      <c r="CL58" s="8">
        <v>4.6569429337978363E-2</v>
      </c>
      <c r="CM58" s="9">
        <v>-0.79789578914642334</v>
      </c>
      <c r="CN58" s="9">
        <v>0.76859503984451294</v>
      </c>
      <c r="CO58" s="9">
        <v>1.2119089365005493</v>
      </c>
      <c r="CP58" s="9">
        <v>-125.08187866210937</v>
      </c>
      <c r="CQ58" s="9">
        <v>-0.97260838747024536</v>
      </c>
      <c r="CR58">
        <v>-1584.488090570233</v>
      </c>
      <c r="CS58">
        <v>-247.32968960335185</v>
      </c>
      <c r="CT58">
        <v>0.94240837696335078</v>
      </c>
      <c r="CU58" s="8">
        <v>6.4063804596662527E-2</v>
      </c>
      <c r="CV58" s="9">
        <v>-24.974375772476197</v>
      </c>
      <c r="CW58">
        <v>0.06</v>
      </c>
      <c r="CX58">
        <v>171.9335115088823</v>
      </c>
      <c r="CY58">
        <v>43416112.045233048</v>
      </c>
      <c r="CZ58">
        <v>6.4063804596662527E-2</v>
      </c>
      <c r="DA58">
        <v>57.437571142630539</v>
      </c>
      <c r="DB58">
        <v>129961703.66367847</v>
      </c>
      <c r="DC58">
        <v>6.0860614366829401E-2</v>
      </c>
      <c r="DD58">
        <v>29.111805108504328</v>
      </c>
      <c r="DE58">
        <v>256414350.54191706</v>
      </c>
      <c r="DF58">
        <v>5.6376148045063024E-2</v>
      </c>
      <c r="DG58">
        <v>18.059101028956633</v>
      </c>
      <c r="DH58">
        <v>413347518.68494713</v>
      </c>
      <c r="DI58">
        <v>5.1251043677330022E-2</v>
      </c>
      <c r="DJ58">
        <v>10.003788484761168</v>
      </c>
      <c r="DK58">
        <v>746185768.6586436</v>
      </c>
      <c r="DL58">
        <v>4.4844663217663769E-2</v>
      </c>
      <c r="DM58">
        <v>43250300</v>
      </c>
      <c r="DN58">
        <v>6.4063804596662527E-2</v>
      </c>
      <c r="DO58">
        <v>7464684600</v>
      </c>
      <c r="DP58">
        <v>-212636100</v>
      </c>
      <c r="DQ58">
        <v>2920</v>
      </c>
      <c r="DR58">
        <v>-0.19133653186938979</v>
      </c>
      <c r="DS58">
        <v>25.105758706708354</v>
      </c>
      <c r="DT58" s="10">
        <v>-0.3066666666666667</v>
      </c>
      <c r="DU58">
        <v>-1.0566666666666664</v>
      </c>
      <c r="DV58">
        <v>-1.3633333333333331</v>
      </c>
      <c r="DW58">
        <v>4.4101010101010099</v>
      </c>
      <c r="DX58">
        <v>0.76937360178970837</v>
      </c>
      <c r="DY58">
        <v>4.0981673558854768</v>
      </c>
      <c r="DZ58">
        <v>3927</v>
      </c>
      <c r="EA58">
        <v>4.0226820990688985</v>
      </c>
      <c r="EB58">
        <v>4</v>
      </c>
      <c r="EC58">
        <v>7.6820972958443159E-2</v>
      </c>
      <c r="ED58">
        <v>0.32092499918153355</v>
      </c>
      <c r="EE58" s="11">
        <v>-3.0977100000000002</v>
      </c>
      <c r="EF58">
        <v>-3.0032000000000001</v>
      </c>
      <c r="EG58">
        <v>53.239373601789708</v>
      </c>
      <c r="EH58" t="s">
        <v>1258</v>
      </c>
      <c r="EI58">
        <v>0</v>
      </c>
      <c r="EJ58">
        <v>0</v>
      </c>
      <c r="EK58" s="12">
        <v>45511</v>
      </c>
      <c r="EL58">
        <v>0.82</v>
      </c>
      <c r="EM58">
        <v>-2.1800000000000002</v>
      </c>
      <c r="EN58">
        <v>-4.46</v>
      </c>
      <c r="EO58">
        <v>1.17</v>
      </c>
      <c r="EP58">
        <v>10.09</v>
      </c>
    </row>
    <row r="59" spans="1:146" ht="108" x14ac:dyDescent="0.25">
      <c r="A59" s="6"/>
      <c r="B59" s="6"/>
      <c r="C59" s="6" t="str">
        <f>""&amp;CHAR(10)&amp;Basic_Fundamental_Information_Constructure(F59)&amp;CHAR(10)&amp;Basic_Fundamental_Information_Concatenate("")</f>
        <v xml:space="preserve">
市值68.100075亿, 利润3909.36万; PE212.7; 平均PE-25.08; 平均PEG-1.86, PB28.9; ROIC6.525%; ROE-10.54%; 股利率0%; 毛利44.3333%; 净利8.02%; 上一年度营收增-4.65%, 利润增3.85%; 当季营收增-20.59%, 利润增3.57%; 过往5年营收增-13.47%, 利润增-6.47%
Income profile:
</v>
      </c>
      <c r="D59" t="s">
        <v>803</v>
      </c>
      <c r="E59" t="s">
        <v>804</v>
      </c>
      <c r="F59">
        <v>5.2</v>
      </c>
      <c r="G59">
        <v>3.38</v>
      </c>
      <c r="H59" t="s">
        <v>3073</v>
      </c>
      <c r="I59">
        <v>6810007500</v>
      </c>
      <c r="J59">
        <v>212.7</v>
      </c>
      <c r="K59">
        <v>28.9</v>
      </c>
      <c r="L59" t="s">
        <v>212</v>
      </c>
      <c r="M59" t="s">
        <v>1249</v>
      </c>
      <c r="N59" t="s">
        <v>2324</v>
      </c>
      <c r="O59" t="s">
        <v>2325</v>
      </c>
      <c r="P59">
        <v>-20.59</v>
      </c>
      <c r="Q59" t="s">
        <v>495</v>
      </c>
      <c r="R59">
        <v>-65000000</v>
      </c>
      <c r="S59" s="4">
        <v>-0.1051</v>
      </c>
      <c r="T59" t="s">
        <v>2334</v>
      </c>
      <c r="U59">
        <v>880454740</v>
      </c>
      <c r="V59">
        <v>1309616830</v>
      </c>
      <c r="W59">
        <v>5.45</v>
      </c>
      <c r="X59">
        <v>0.02</v>
      </c>
      <c r="Y59">
        <v>-114.86</v>
      </c>
      <c r="Z59" t="s">
        <v>133</v>
      </c>
      <c r="AA59" t="s">
        <v>3074</v>
      </c>
      <c r="AB59" t="s">
        <v>3075</v>
      </c>
      <c r="AC59" t="s">
        <v>3076</v>
      </c>
      <c r="AD59" t="s">
        <v>2</v>
      </c>
      <c r="AE59">
        <v>1113897</v>
      </c>
      <c r="AF59" t="s">
        <v>2326</v>
      </c>
      <c r="AG59">
        <v>7089.08</v>
      </c>
      <c r="AH59" t="s">
        <v>2327</v>
      </c>
      <c r="AI59" t="s">
        <v>165</v>
      </c>
      <c r="AJ59" t="s">
        <v>2328</v>
      </c>
      <c r="AK59" t="s">
        <v>3077</v>
      </c>
      <c r="AL59" t="s">
        <v>2329</v>
      </c>
      <c r="AM59" t="s">
        <v>2</v>
      </c>
      <c r="AN59">
        <v>0</v>
      </c>
      <c r="AO59" t="s">
        <v>606</v>
      </c>
      <c r="AP59" t="s">
        <v>2330</v>
      </c>
      <c r="AQ59" t="s">
        <v>208</v>
      </c>
      <c r="AR59" t="s">
        <v>2</v>
      </c>
      <c r="AS59" t="s">
        <v>3078</v>
      </c>
      <c r="AT59" t="s">
        <v>3079</v>
      </c>
      <c r="AU59" t="s">
        <v>2331</v>
      </c>
      <c r="AV59" t="s">
        <v>2332</v>
      </c>
      <c r="AW59" t="s">
        <v>130</v>
      </c>
      <c r="AX59" t="s">
        <v>976</v>
      </c>
      <c r="AY59" t="s">
        <v>3080</v>
      </c>
      <c r="AZ59" t="s">
        <v>805</v>
      </c>
      <c r="BA59" t="s">
        <v>806</v>
      </c>
      <c r="BB59" t="s">
        <v>807</v>
      </c>
      <c r="BC59" t="s">
        <v>2333</v>
      </c>
      <c r="BD59" t="s">
        <v>3081</v>
      </c>
      <c r="BE59" t="s">
        <v>3082</v>
      </c>
      <c r="BF59" t="s">
        <v>3083</v>
      </c>
      <c r="BG59" t="s">
        <v>260</v>
      </c>
      <c r="BH59" t="s">
        <v>495</v>
      </c>
      <c r="BI59" t="s">
        <v>3084</v>
      </c>
      <c r="BJ59" t="s">
        <v>976</v>
      </c>
      <c r="BK59" t="s">
        <v>2334</v>
      </c>
      <c r="BL59" t="s">
        <v>3085</v>
      </c>
      <c r="BM59" t="s">
        <v>2333</v>
      </c>
      <c r="BN59" t="s">
        <v>2</v>
      </c>
      <c r="BO59">
        <v>5.9</v>
      </c>
      <c r="BP59">
        <v>7.15</v>
      </c>
      <c r="BQ59">
        <v>-29.49</v>
      </c>
      <c r="BR59">
        <v>8.41</v>
      </c>
      <c r="BS59" t="s">
        <v>2</v>
      </c>
      <c r="BT59" t="s">
        <v>836</v>
      </c>
      <c r="BU59" t="s">
        <v>790</v>
      </c>
      <c r="BV59">
        <v>45.45</v>
      </c>
      <c r="BW59">
        <v>47.6</v>
      </c>
      <c r="BX59">
        <v>39.950000000000003</v>
      </c>
      <c r="BY59">
        <v>8.2200000000000006</v>
      </c>
      <c r="BZ59">
        <v>10.35</v>
      </c>
      <c r="CA59">
        <v>5.49</v>
      </c>
      <c r="CB59">
        <v>0.19</v>
      </c>
      <c r="CC59">
        <v>0.19</v>
      </c>
      <c r="CD59" t="s">
        <v>3086</v>
      </c>
      <c r="CE59" t="s">
        <v>79</v>
      </c>
      <c r="CF59" s="8">
        <v>-0.20590414834705745</v>
      </c>
      <c r="CG59" s="9">
        <v>3.5668400485429692E-2</v>
      </c>
      <c r="CH59" s="8">
        <v>-4.6511683613061905E-2</v>
      </c>
      <c r="CI59" s="8">
        <v>-0.18001525104045868</v>
      </c>
      <c r="CJ59" s="8">
        <v>-0.19372689723968506</v>
      </c>
      <c r="CK59" s="8">
        <v>0.13626828789710999</v>
      </c>
      <c r="CL59" s="8">
        <v>-0.38950508832931519</v>
      </c>
      <c r="CM59" s="9">
        <v>3.8480542600154877E-2</v>
      </c>
      <c r="CN59" s="9">
        <v>1.7388571500778198</v>
      </c>
      <c r="CO59" s="9">
        <v>0.96140128374099731</v>
      </c>
      <c r="CP59" s="9">
        <v>-0.46829810738563538</v>
      </c>
      <c r="CQ59" s="9">
        <v>-2.5939717292785645</v>
      </c>
      <c r="CR59">
        <v>-25.079641276821178</v>
      </c>
      <c r="CS59">
        <v>-1.8619146334839765</v>
      </c>
      <c r="CT59">
        <v>0</v>
      </c>
      <c r="CU59" s="8">
        <v>-0.13469812646508217</v>
      </c>
      <c r="CV59" s="9">
        <v>-6.4706172049045566E-2</v>
      </c>
      <c r="CW59">
        <v>0.06</v>
      </c>
      <c r="CX59" t="e">
        <v>#VALUE!</v>
      </c>
      <c r="CY59" t="s">
        <v>767</v>
      </c>
      <c r="CZ59">
        <v>-0.13469812646508217</v>
      </c>
      <c r="DA59">
        <v>72.518327808132284</v>
      </c>
      <c r="DB59" t="s">
        <v>3087</v>
      </c>
      <c r="DC59">
        <v>-0.12796322014182807</v>
      </c>
      <c r="DD59">
        <v>36.259163904066142</v>
      </c>
      <c r="DE59" t="s">
        <v>3088</v>
      </c>
      <c r="DF59">
        <v>-0.11853435128927231</v>
      </c>
      <c r="DG59">
        <v>21.755498342439683</v>
      </c>
      <c r="DH59" t="s">
        <v>3089</v>
      </c>
      <c r="DI59">
        <v>-0.10775850117206574</v>
      </c>
      <c r="DJ59">
        <v>10.877749171219842</v>
      </c>
      <c r="DK59" t="s">
        <v>3090</v>
      </c>
      <c r="DL59">
        <v>-9.428868852555751E-2</v>
      </c>
      <c r="DM59">
        <v>39093600</v>
      </c>
      <c r="DN59">
        <v>-0.13469812646508217</v>
      </c>
      <c r="DO59">
        <v>8505007500</v>
      </c>
      <c r="DP59">
        <v>-138735800</v>
      </c>
      <c r="DQ59">
        <v>2997</v>
      </c>
      <c r="DR59">
        <v>-7.1206021881975279E-2</v>
      </c>
      <c r="DS59">
        <v>0.10037457253447526</v>
      </c>
      <c r="DT59" s="10">
        <v>-0.82333333333333325</v>
      </c>
      <c r="DU59">
        <v>-1.4583333333333337</v>
      </c>
      <c r="DV59">
        <v>-2.2816666666666672</v>
      </c>
      <c r="DW59">
        <v>1.9E-3</v>
      </c>
      <c r="DX59">
        <v>0.61589719101123386</v>
      </c>
      <c r="DY59">
        <v>3.722046629213483E-4</v>
      </c>
      <c r="DZ59">
        <v>4547</v>
      </c>
      <c r="EA59">
        <v>4.0813513067545538E-5</v>
      </c>
      <c r="EB59">
        <v>0</v>
      </c>
      <c r="EC59">
        <v>2.6625879571202517E-2</v>
      </c>
      <c r="ED59">
        <v>0.13591761797990945</v>
      </c>
      <c r="EE59" s="11">
        <v>-2.0026000000000002</v>
      </c>
      <c r="EF59">
        <v>-2.0364</v>
      </c>
      <c r="EG59">
        <v>42.195897191011234</v>
      </c>
      <c r="EH59" t="s">
        <v>1128</v>
      </c>
      <c r="EI59">
        <v>0</v>
      </c>
      <c r="EJ59">
        <v>0</v>
      </c>
      <c r="EK59" s="12">
        <v>45511</v>
      </c>
      <c r="EL59">
        <v>0.77</v>
      </c>
      <c r="EM59">
        <v>-1.91</v>
      </c>
      <c r="EN59">
        <v>-2.92</v>
      </c>
      <c r="EO59">
        <v>1</v>
      </c>
      <c r="EP59">
        <v>3.38</v>
      </c>
    </row>
    <row r="60" spans="1:146" ht="218" customHeight="1" x14ac:dyDescent="0.25">
      <c r="A60" s="6"/>
      <c r="B60" s="6"/>
      <c r="C60" s="6" t="str">
        <f>""&amp;CHAR(10)&amp;Basic_Fundamental_Information_Constructure(F60)&amp;CHAR(10)&amp;Basic_Fundamental_Information_Concatenate("")</f>
        <v xml:space="preserve">
市值58.868727亿, 利润2.21亿; PE30.1; 平均PE37.62; 平均PEG.4, PB1.72; ROIC0%; ROE5.89%; 股利率.4479%; 毛利20.2333%; 净利64.3433%; 上一年度营收增10.13%, 利润增11.62%; 当季营收增37.73%, 利润增918.95%; 过往5年营收增93.26%, 利润增12.05%
Income profile:
</v>
      </c>
      <c r="D60" t="s">
        <v>614</v>
      </c>
      <c r="E60" t="s">
        <v>615</v>
      </c>
      <c r="F60">
        <v>17.86</v>
      </c>
      <c r="G60">
        <v>9.98</v>
      </c>
      <c r="H60" t="s">
        <v>3091</v>
      </c>
      <c r="I60">
        <v>5886872700</v>
      </c>
      <c r="J60">
        <v>30.1</v>
      </c>
      <c r="K60">
        <v>1.72</v>
      </c>
      <c r="L60" t="s">
        <v>212</v>
      </c>
      <c r="M60" t="s">
        <v>2335</v>
      </c>
      <c r="N60" t="s">
        <v>2336</v>
      </c>
      <c r="O60" t="s">
        <v>2337</v>
      </c>
      <c r="P60">
        <v>37.729999999999997</v>
      </c>
      <c r="Q60" t="s">
        <v>1188</v>
      </c>
      <c r="R60">
        <v>14760000</v>
      </c>
      <c r="S60" s="4">
        <v>-14.16</v>
      </c>
      <c r="T60" t="s">
        <v>1124</v>
      </c>
      <c r="U60">
        <v>198000000</v>
      </c>
      <c r="V60">
        <v>329612130</v>
      </c>
      <c r="W60">
        <v>1.3</v>
      </c>
      <c r="X60">
        <v>0.01</v>
      </c>
      <c r="Y60">
        <v>-42.05</v>
      </c>
      <c r="Z60" t="s">
        <v>81</v>
      </c>
      <c r="AA60" t="s">
        <v>2338</v>
      </c>
      <c r="AB60" t="s">
        <v>2339</v>
      </c>
      <c r="AC60" t="s">
        <v>2340</v>
      </c>
      <c r="AD60" t="s">
        <v>2</v>
      </c>
      <c r="AE60">
        <v>-2852189</v>
      </c>
      <c r="AF60" t="s">
        <v>2341</v>
      </c>
      <c r="AG60" t="s">
        <v>2</v>
      </c>
      <c r="AH60" t="s">
        <v>2342</v>
      </c>
      <c r="AI60" t="s">
        <v>2343</v>
      </c>
      <c r="AJ60" t="s">
        <v>2344</v>
      </c>
      <c r="AK60" t="s">
        <v>2345</v>
      </c>
      <c r="AL60" t="s">
        <v>2346</v>
      </c>
      <c r="AM60" t="s">
        <v>2</v>
      </c>
      <c r="AN60" t="s">
        <v>50</v>
      </c>
      <c r="AO60" t="s">
        <v>2347</v>
      </c>
      <c r="AP60" t="s">
        <v>2348</v>
      </c>
      <c r="AQ60" t="s">
        <v>2349</v>
      </c>
      <c r="AR60">
        <v>3000</v>
      </c>
      <c r="AS60" t="s">
        <v>2350</v>
      </c>
      <c r="AT60" t="s">
        <v>2351</v>
      </c>
      <c r="AU60" t="s">
        <v>2352</v>
      </c>
      <c r="AV60" t="s">
        <v>2353</v>
      </c>
      <c r="AW60" t="s">
        <v>2354</v>
      </c>
      <c r="AX60" t="s">
        <v>1010</v>
      </c>
      <c r="AY60" t="s">
        <v>51</v>
      </c>
      <c r="AZ60" t="s">
        <v>145</v>
      </c>
      <c r="BA60" t="s">
        <v>122</v>
      </c>
      <c r="BB60" t="s">
        <v>53</v>
      </c>
      <c r="BC60" t="s">
        <v>131</v>
      </c>
      <c r="BD60" t="s">
        <v>716</v>
      </c>
      <c r="BE60" t="s">
        <v>616</v>
      </c>
      <c r="BF60" t="s">
        <v>67</v>
      </c>
      <c r="BG60" t="s">
        <v>91</v>
      </c>
      <c r="BH60" t="s">
        <v>1188</v>
      </c>
      <c r="BI60" t="s">
        <v>3092</v>
      </c>
      <c r="BJ60" t="s">
        <v>1010</v>
      </c>
      <c r="BK60" t="s">
        <v>1124</v>
      </c>
      <c r="BL60" t="s">
        <v>3093</v>
      </c>
      <c r="BM60" t="s">
        <v>131</v>
      </c>
      <c r="BN60" t="s">
        <v>2</v>
      </c>
      <c r="BO60" t="s">
        <v>2</v>
      </c>
      <c r="BP60" t="s">
        <v>2</v>
      </c>
      <c r="BQ60">
        <v>4.76</v>
      </c>
      <c r="BR60">
        <v>8.44</v>
      </c>
      <c r="BS60">
        <v>4.47</v>
      </c>
      <c r="BT60" t="s">
        <v>863</v>
      </c>
      <c r="BU60" t="s">
        <v>756</v>
      </c>
      <c r="BV60">
        <v>33.090000000000003</v>
      </c>
      <c r="BW60">
        <v>14.86</v>
      </c>
      <c r="BX60">
        <v>12.75</v>
      </c>
      <c r="BY60">
        <v>29.74</v>
      </c>
      <c r="BZ60">
        <v>80.06</v>
      </c>
      <c r="CA60">
        <v>83.23</v>
      </c>
      <c r="CB60">
        <v>5.74</v>
      </c>
      <c r="CC60">
        <v>-5.0999999999999996</v>
      </c>
      <c r="CD60" t="s">
        <v>3094</v>
      </c>
      <c r="CE60" t="s">
        <v>850</v>
      </c>
      <c r="CF60" s="8">
        <v>0.37726807195065321</v>
      </c>
      <c r="CG60" s="9">
        <v>9.1895355934084222</v>
      </c>
      <c r="CH60" s="8">
        <v>0.10126582533121109</v>
      </c>
      <c r="CI60" s="8">
        <v>4.7454543113708496</v>
      </c>
      <c r="CJ60" s="8">
        <v>-0.3785310685634613</v>
      </c>
      <c r="CK60" s="8">
        <v>5.681818351149559E-3</v>
      </c>
      <c r="CL60" s="8">
        <v>0.18918919563293457</v>
      </c>
      <c r="CM60" s="9">
        <v>0.11616161465644836</v>
      </c>
      <c r="CN60" s="9">
        <v>1.1650607585906982</v>
      </c>
      <c r="CO60" s="9">
        <v>9.6066661179065704E-2</v>
      </c>
      <c r="CP60" s="9">
        <v>-0.26162040233612061</v>
      </c>
      <c r="CQ60" s="9">
        <v>-0.51293104887008667</v>
      </c>
      <c r="CR60">
        <v>37.62023510119883</v>
      </c>
      <c r="CS60">
        <v>0.40338569993369705</v>
      </c>
      <c r="CT60">
        <v>0.44792833146696531</v>
      </c>
      <c r="CU60" s="8">
        <v>0.93261201642453673</v>
      </c>
      <c r="CV60" s="9">
        <v>0.12054751664400101</v>
      </c>
      <c r="CW60">
        <v>0.06</v>
      </c>
      <c r="CX60">
        <v>8.6487996008234305</v>
      </c>
      <c r="CY60">
        <v>402931373.23568165</v>
      </c>
      <c r="CZ60">
        <v>0.93261201642453673</v>
      </c>
      <c r="DA60">
        <v>1.490802358696016</v>
      </c>
      <c r="DB60">
        <v>2337581960.2594199</v>
      </c>
      <c r="DC60">
        <v>0.8859814156033099</v>
      </c>
      <c r="DD60">
        <v>0.26694759606436136</v>
      </c>
      <c r="DE60">
        <v>13054519880.97242</v>
      </c>
      <c r="DF60">
        <v>0.82069857445359229</v>
      </c>
      <c r="DG60">
        <v>4.2409663063216092E-2</v>
      </c>
      <c r="DH60">
        <v>82171666745.039413</v>
      </c>
      <c r="DI60">
        <v>0.7460896131396294</v>
      </c>
      <c r="DJ60">
        <v>7.8364247385061237E-4</v>
      </c>
      <c r="DK60">
        <v>4447018654918.3008</v>
      </c>
      <c r="DL60">
        <v>0.65282841149717563</v>
      </c>
      <c r="DM60">
        <v>221000000</v>
      </c>
      <c r="DN60">
        <v>0.93261201642453673</v>
      </c>
      <c r="DO60">
        <v>3484872700</v>
      </c>
      <c r="DP60">
        <v>888208199.99999988</v>
      </c>
      <c r="DQ60">
        <v>3108</v>
      </c>
      <c r="DR60">
        <v>-0.55534394447388347</v>
      </c>
      <c r="DS60">
        <v>9.0689880767644215</v>
      </c>
      <c r="DT60" s="10">
        <v>-0.12333333333333336</v>
      </c>
      <c r="DU60">
        <v>8.333333333333337E-2</v>
      </c>
      <c r="DV60">
        <v>-3.9999999999999994E-2</v>
      </c>
      <c r="DW60">
        <v>4.8885017421602788</v>
      </c>
      <c r="DX60">
        <v>0.51866183574879499</v>
      </c>
      <c r="DY60">
        <v>4.1409713174771499</v>
      </c>
      <c r="DZ60">
        <v>1876</v>
      </c>
      <c r="EA60">
        <v>4.0891870622221793</v>
      </c>
      <c r="EB60">
        <v>4</v>
      </c>
      <c r="EC60">
        <v>9.9641357252234622E-2</v>
      </c>
      <c r="ED60">
        <v>0.62801086841069831</v>
      </c>
      <c r="EE60" s="11">
        <v>3.0609099999999998</v>
      </c>
      <c r="EF60">
        <v>3.0388999999999999</v>
      </c>
      <c r="EG60">
        <v>36.158661835748795</v>
      </c>
      <c r="EH60" t="s">
        <v>1266</v>
      </c>
      <c r="EI60">
        <v>0</v>
      </c>
      <c r="EJ60">
        <v>0</v>
      </c>
      <c r="EK60" s="12">
        <v>45511</v>
      </c>
      <c r="EL60">
        <v>1.54</v>
      </c>
      <c r="EM60">
        <v>-2.92</v>
      </c>
      <c r="EN60">
        <v>-4.5599999999999996</v>
      </c>
      <c r="EO60">
        <v>2.2000000000000002</v>
      </c>
      <c r="EP60">
        <v>9.98</v>
      </c>
    </row>
    <row r="61" spans="1:146" ht="108" x14ac:dyDescent="0.25">
      <c r="A61" s="6"/>
      <c r="B61" s="6"/>
      <c r="C61" s="6" t="str">
        <f>""&amp;CHAR(10)&amp;Basic_Fundamental_Information_Constructure(F61)&amp;CHAR(10)&amp;Basic_Fundamental_Information_Concatenate("")</f>
        <v xml:space="preserve">
市值16.238944亿, 利润-4336.04万; PE; 平均PE-55.02; 平均PEG-3.51, PB9.82; ROIC0%; ROE-10.6333%; 股利率0%; 毛利23.7833%; 净利-17.46%; 上一年度营收增-21.23%, 利润增-34.36%; 当季营收增12.23%, 利润增-66.42%; 过往5年营收增-15.65%, 利润增-174.6%
Income profile:
</v>
      </c>
      <c r="D61" t="s">
        <v>540</v>
      </c>
      <c r="E61" t="s">
        <v>541</v>
      </c>
      <c r="F61">
        <v>3.3</v>
      </c>
      <c r="G61">
        <v>10</v>
      </c>
      <c r="H61" t="s">
        <v>3095</v>
      </c>
      <c r="I61">
        <v>1623894400</v>
      </c>
      <c r="K61">
        <v>9.82</v>
      </c>
      <c r="L61" t="s">
        <v>212</v>
      </c>
      <c r="M61" t="s">
        <v>113</v>
      </c>
      <c r="N61" t="s">
        <v>1203</v>
      </c>
      <c r="O61" t="s">
        <v>2357</v>
      </c>
      <c r="P61">
        <v>12.23</v>
      </c>
      <c r="Q61" t="s">
        <v>93</v>
      </c>
      <c r="R61">
        <v>-20000000</v>
      </c>
      <c r="S61" s="4">
        <v>0.23280000000000001</v>
      </c>
      <c r="T61" t="s">
        <v>2375</v>
      </c>
      <c r="U61">
        <v>492089200</v>
      </c>
      <c r="V61">
        <v>492089200</v>
      </c>
      <c r="W61">
        <v>1.74</v>
      </c>
      <c r="X61">
        <v>0.1</v>
      </c>
      <c r="Y61">
        <v>-31.16</v>
      </c>
      <c r="Z61" t="s">
        <v>2358</v>
      </c>
      <c r="AA61" t="s">
        <v>2359</v>
      </c>
      <c r="AB61" t="s">
        <v>2360</v>
      </c>
      <c r="AC61" t="s">
        <v>2361</v>
      </c>
      <c r="AD61" t="s">
        <v>2</v>
      </c>
      <c r="AE61">
        <v>297772</v>
      </c>
      <c r="AF61" t="s">
        <v>2362</v>
      </c>
      <c r="AG61" t="s">
        <v>2</v>
      </c>
      <c r="AH61" t="s">
        <v>2363</v>
      </c>
      <c r="AI61" t="s">
        <v>2364</v>
      </c>
      <c r="AJ61" t="s">
        <v>2365</v>
      </c>
      <c r="AK61" t="s">
        <v>2366</v>
      </c>
      <c r="AL61" t="s">
        <v>2367</v>
      </c>
      <c r="AM61" t="s">
        <v>2</v>
      </c>
      <c r="AN61">
        <v>0</v>
      </c>
      <c r="AO61" t="s">
        <v>1210</v>
      </c>
      <c r="AP61" t="s">
        <v>2368</v>
      </c>
      <c r="AQ61" t="s">
        <v>2369</v>
      </c>
      <c r="AR61" t="s">
        <v>2370</v>
      </c>
      <c r="AS61" t="s">
        <v>34</v>
      </c>
      <c r="AT61" t="s">
        <v>2</v>
      </c>
      <c r="AU61" t="s">
        <v>2371</v>
      </c>
      <c r="AV61" t="s">
        <v>2372</v>
      </c>
      <c r="AW61" t="s">
        <v>2373</v>
      </c>
      <c r="AX61" t="s">
        <v>64</v>
      </c>
      <c r="AY61" t="s">
        <v>56</v>
      </c>
      <c r="AZ61" t="s">
        <v>141</v>
      </c>
      <c r="BA61" t="s">
        <v>62</v>
      </c>
      <c r="BB61" t="s">
        <v>65</v>
      </c>
      <c r="BC61" t="s">
        <v>2374</v>
      </c>
      <c r="BD61" t="s">
        <v>717</v>
      </c>
      <c r="BE61" t="s">
        <v>542</v>
      </c>
      <c r="BF61" t="s">
        <v>544</v>
      </c>
      <c r="BG61" t="s">
        <v>545</v>
      </c>
      <c r="BH61" t="s">
        <v>93</v>
      </c>
      <c r="BI61" t="s">
        <v>3096</v>
      </c>
      <c r="BJ61" t="s">
        <v>64</v>
      </c>
      <c r="BK61" t="s">
        <v>2375</v>
      </c>
      <c r="BL61" t="s">
        <v>3097</v>
      </c>
      <c r="BM61" t="s">
        <v>2374</v>
      </c>
      <c r="BN61" t="s">
        <v>2</v>
      </c>
      <c r="BO61" t="s">
        <v>2</v>
      </c>
      <c r="BP61" t="s">
        <v>2</v>
      </c>
      <c r="BQ61">
        <v>-14.36</v>
      </c>
      <c r="BR61">
        <v>-13.87</v>
      </c>
      <c r="BS61">
        <v>-3.67</v>
      </c>
      <c r="BT61" t="s">
        <v>836</v>
      </c>
      <c r="BU61" t="s">
        <v>790</v>
      </c>
      <c r="BV61">
        <v>23.97</v>
      </c>
      <c r="BW61">
        <v>22.28</v>
      </c>
      <c r="BX61">
        <v>25.1</v>
      </c>
      <c r="BY61">
        <v>-30.76</v>
      </c>
      <c r="BZ61">
        <v>-18.079999999999998</v>
      </c>
      <c r="CA61">
        <v>-3.54</v>
      </c>
      <c r="CB61">
        <v>6.8</v>
      </c>
      <c r="CC61">
        <v>7.84</v>
      </c>
      <c r="CD61" t="s">
        <v>35</v>
      </c>
      <c r="CE61" t="s">
        <v>3098</v>
      </c>
      <c r="CF61" s="8">
        <v>0.12226938410126274</v>
      </c>
      <c r="CG61" s="9">
        <v>-0.66423965050967337</v>
      </c>
      <c r="CH61" s="8">
        <v>-0.21229049563407898</v>
      </c>
      <c r="CI61" s="8">
        <v>-0.32196968793869019</v>
      </c>
      <c r="CJ61" s="8">
        <v>0.34010151028633118</v>
      </c>
      <c r="CK61" s="8">
        <v>-0.34983497858047485</v>
      </c>
      <c r="CL61" s="8">
        <v>-0.23869346082210541</v>
      </c>
      <c r="CM61" s="9">
        <v>-0.343558669090271</v>
      </c>
      <c r="CN61" s="9">
        <v>-2.4554798603057861</v>
      </c>
      <c r="CO61" s="9">
        <v>0.7367851734161377</v>
      </c>
      <c r="CP61" s="9">
        <v>0.47544866800308228</v>
      </c>
      <c r="CQ61" s="9">
        <v>-7.1429853439331055</v>
      </c>
      <c r="CR61">
        <v>-55.019882194229879</v>
      </c>
      <c r="CS61">
        <v>-3.5148069581216355</v>
      </c>
      <c r="CT61">
        <v>0</v>
      </c>
      <c r="CU61" s="8">
        <v>-0.15653742253780364</v>
      </c>
      <c r="CV61" s="9">
        <v>-1.7459580063819886</v>
      </c>
      <c r="CW61">
        <v>0.06</v>
      </c>
      <c r="CX61" t="e">
        <v>#VALUE!</v>
      </c>
      <c r="CY61" t="s">
        <v>768</v>
      </c>
      <c r="CZ61">
        <v>-0.15653742253780364</v>
      </c>
      <c r="DA61" t="e">
        <v>#VALUE!</v>
      </c>
      <c r="DB61" t="s">
        <v>765</v>
      </c>
      <c r="DC61">
        <v>-0.14871055141091347</v>
      </c>
      <c r="DD61" t="e">
        <v>#VALUE!</v>
      </c>
      <c r="DE61" t="s">
        <v>765</v>
      </c>
      <c r="DF61">
        <v>-0.1377529318332672</v>
      </c>
      <c r="DG61" t="e">
        <v>#VALUE!</v>
      </c>
      <c r="DH61" t="s">
        <v>765</v>
      </c>
      <c r="DI61">
        <v>-0.12522993803024293</v>
      </c>
      <c r="DJ61" t="e">
        <v>#VALUE!</v>
      </c>
      <c r="DK61" t="s">
        <v>765</v>
      </c>
      <c r="DL61">
        <v>-0.10957619577646255</v>
      </c>
      <c r="DM61">
        <v>-43360400</v>
      </c>
      <c r="DN61">
        <v>-0.15653742253780364</v>
      </c>
      <c r="DO61">
        <v>1583894400</v>
      </c>
      <c r="DP61">
        <v>10470023</v>
      </c>
      <c r="DQ61">
        <v>3116</v>
      </c>
      <c r="DR61">
        <v>0.27880680663906637</v>
      </c>
      <c r="DS61">
        <v>1.0817183558723151</v>
      </c>
      <c r="DT61" s="10">
        <v>-0.84</v>
      </c>
      <c r="DU61">
        <v>-3.2650000000000006</v>
      </c>
      <c r="DV61">
        <v>-4.1050000000000004</v>
      </c>
      <c r="DW61">
        <v>9.8673469387755102</v>
      </c>
      <c r="DX61">
        <v>0.99837078651685085</v>
      </c>
      <c r="DY61">
        <v>9.1547093556523738</v>
      </c>
      <c r="DZ61">
        <v>5085</v>
      </c>
      <c r="EA61">
        <v>9.0006664589434795</v>
      </c>
      <c r="EB61">
        <v>9</v>
      </c>
      <c r="EC61">
        <v>0.25808329059040513</v>
      </c>
      <c r="ED61">
        <v>1.446892148821799</v>
      </c>
      <c r="EE61" s="11">
        <v>1.0826</v>
      </c>
      <c r="EF61">
        <v>2.0326</v>
      </c>
      <c r="EG61">
        <v>82.178370786516851</v>
      </c>
      <c r="EH61" t="s">
        <v>1270</v>
      </c>
      <c r="EI61">
        <v>1</v>
      </c>
      <c r="EJ61">
        <v>0</v>
      </c>
      <c r="EK61" s="12">
        <v>45511</v>
      </c>
      <c r="EL61">
        <v>0.65</v>
      </c>
      <c r="EM61">
        <v>-2.57</v>
      </c>
      <c r="EN61">
        <v>-1.98</v>
      </c>
      <c r="EO61">
        <v>1.01</v>
      </c>
      <c r="EP61">
        <v>10</v>
      </c>
    </row>
    <row r="62" spans="1:146" ht="228" x14ac:dyDescent="0.25">
      <c r="A62" s="6" t="s">
        <v>835</v>
      </c>
      <c r="B62" s="6"/>
      <c r="C62" s="6" t="str">
        <f>"公司专注于在通信和能源两大领域为客户创造价值，提供行业领先的海上风电、海洋通信、光通信、智能电网、智慧城市、储能等产品与解决方案，具备集“设计、研发、制造、销售与服务”一体化的综合能力，并通过全球化产业与营销网络布局，致力于成为全球领先的通信和能源两大领域的系统解决方案服务商。"&amp;CHAR(10)&amp;Basic_Fundamental_Information_Constructure(F62)&amp;CHAR(10)&amp;Basic_Fundamental_Information_Concatenate("智能电网 169.95亿 41.18% 34.42% 13.34%
铜导体 68.46亿 16.59% 1.09% 1.05%
光网络与系统集成 62.52亿 15.15% 14.44% 15.21%
海洋能源与通信 57.52亿 13.94% 41.16% 47.11%
工业智能 30.23亿 7.32% 6.73% 14.65%")</f>
        <v>公司专注于在通信和能源两大领域为客户创造价值，提供行业领先的海上风电、海洋通信、光通信、智能电网、智慧城市、储能等产品与解决方案，具备集“设计、研发、制造、销售与服务”一体化的综合能力，并通过全球化产业与营销网络布局，致力于成为全球领先的通信和能源两大领域的系统解决方案服务商。
市值355.70314亿, 利润21.54亿; PE15.66; 平均PE21.06; 平均PEG2.08, PB1.36; ROIC5.0067%; ROE7.3%; 股利率1.0402%; 毛利15.14%; 净利3.9733%; 上一年度营收增2.49%, 利润增35.81%; 当季营收增8.45%, 利润增29.89%; 过往5年营收增10.1%, 利润增2.65%
Income profile:
智能电网 169.95亿 41.18% 34.42% 13.34%
铜导体 68.46亿 16.59% 1.09% 1.05%
光网络与系统集成 62.52亿 15.15% 14.44% 15.21%
海洋能源与通信 57.52亿 13.94% 41.16% 47.11%
工业智能 30.23亿 7.32% 6.73% 14.65%</v>
      </c>
      <c r="D62" t="s">
        <v>442</v>
      </c>
      <c r="E62" t="s">
        <v>443</v>
      </c>
      <c r="F62">
        <v>14.42</v>
      </c>
      <c r="G62">
        <v>0.84</v>
      </c>
      <c r="H62" t="s">
        <v>3099</v>
      </c>
      <c r="I62">
        <v>35570314000</v>
      </c>
      <c r="J62">
        <v>15.66</v>
      </c>
      <c r="K62">
        <v>1.36</v>
      </c>
      <c r="L62" t="s">
        <v>212</v>
      </c>
      <c r="M62" t="s">
        <v>2376</v>
      </c>
      <c r="N62" t="s">
        <v>2377</v>
      </c>
      <c r="O62" t="s">
        <v>2378</v>
      </c>
      <c r="P62">
        <v>8.4499999999999993</v>
      </c>
      <c r="Q62" t="s">
        <v>2397</v>
      </c>
      <c r="R62">
        <v>513074860</v>
      </c>
      <c r="S62" s="4">
        <v>0.29870000000000002</v>
      </c>
      <c r="T62" t="s">
        <v>1248</v>
      </c>
      <c r="U62">
        <v>2466734700</v>
      </c>
      <c r="V62">
        <v>2466734700</v>
      </c>
      <c r="W62">
        <v>2.2000000000000002</v>
      </c>
      <c r="X62">
        <v>0.19</v>
      </c>
      <c r="Y62">
        <v>4.5999999999999996</v>
      </c>
      <c r="Z62" t="s">
        <v>2379</v>
      </c>
      <c r="AA62" t="s">
        <v>2380</v>
      </c>
      <c r="AB62" t="s">
        <v>686</v>
      </c>
      <c r="AC62" t="s">
        <v>164</v>
      </c>
      <c r="AD62" t="s">
        <v>2</v>
      </c>
      <c r="AE62">
        <v>162576540</v>
      </c>
      <c r="AF62" t="s">
        <v>2381</v>
      </c>
      <c r="AG62" t="s">
        <v>2382</v>
      </c>
      <c r="AH62" t="s">
        <v>2383</v>
      </c>
      <c r="AI62" t="s">
        <v>2384</v>
      </c>
      <c r="AJ62" t="s">
        <v>2385</v>
      </c>
      <c r="AK62" t="s">
        <v>298</v>
      </c>
      <c r="AL62" t="s">
        <v>2386</v>
      </c>
      <c r="AM62" t="s">
        <v>2</v>
      </c>
      <c r="AN62" t="s">
        <v>2387</v>
      </c>
      <c r="AO62" t="s">
        <v>2388</v>
      </c>
      <c r="AP62" t="s">
        <v>2389</v>
      </c>
      <c r="AQ62" t="s">
        <v>2390</v>
      </c>
      <c r="AR62" t="s">
        <v>2391</v>
      </c>
      <c r="AS62" t="s">
        <v>2392</v>
      </c>
      <c r="AT62" t="s">
        <v>2393</v>
      </c>
      <c r="AU62" t="s">
        <v>39</v>
      </c>
      <c r="AV62" t="s">
        <v>2394</v>
      </c>
      <c r="AW62" t="s">
        <v>2395</v>
      </c>
      <c r="AX62" t="s">
        <v>977</v>
      </c>
      <c r="AY62" t="s">
        <v>718</v>
      </c>
      <c r="AZ62" t="s">
        <v>444</v>
      </c>
      <c r="BA62" t="s">
        <v>780</v>
      </c>
      <c r="BB62" t="s">
        <v>781</v>
      </c>
      <c r="BC62" t="s">
        <v>2396</v>
      </c>
      <c r="BD62" t="s">
        <v>659</v>
      </c>
      <c r="BE62" t="s">
        <v>445</v>
      </c>
      <c r="BF62" t="s">
        <v>446</v>
      </c>
      <c r="BG62" t="s">
        <v>447</v>
      </c>
      <c r="BH62" t="s">
        <v>2397</v>
      </c>
      <c r="BI62" t="s">
        <v>3100</v>
      </c>
      <c r="BJ62" t="s">
        <v>977</v>
      </c>
      <c r="BK62" t="s">
        <v>1248</v>
      </c>
      <c r="BL62" t="s">
        <v>3101</v>
      </c>
      <c r="BM62" t="s">
        <v>2396</v>
      </c>
      <c r="BN62">
        <v>4.6900000000000004</v>
      </c>
      <c r="BO62">
        <v>4.91</v>
      </c>
      <c r="BP62">
        <v>5.42</v>
      </c>
      <c r="BQ62">
        <v>7.42</v>
      </c>
      <c r="BR62">
        <v>7.46</v>
      </c>
      <c r="BS62">
        <v>7.02</v>
      </c>
      <c r="BT62" t="s">
        <v>2398</v>
      </c>
      <c r="BU62" t="s">
        <v>789</v>
      </c>
      <c r="BV62">
        <v>15.3</v>
      </c>
      <c r="BW62">
        <v>14.17</v>
      </c>
      <c r="BX62">
        <v>15.95</v>
      </c>
      <c r="BY62">
        <v>4.68</v>
      </c>
      <c r="BZ62">
        <v>3.42</v>
      </c>
      <c r="CA62">
        <v>3.82</v>
      </c>
      <c r="CB62">
        <v>-7.27</v>
      </c>
      <c r="CC62">
        <v>-4.5</v>
      </c>
      <c r="CD62" t="s">
        <v>1275</v>
      </c>
      <c r="CE62" t="s">
        <v>3102</v>
      </c>
      <c r="CF62" s="8">
        <v>8.4475936320971751E-2</v>
      </c>
      <c r="CG62" s="9">
        <v>0.29892369620253162</v>
      </c>
      <c r="CH62" s="8">
        <v>2.4922534823417664E-2</v>
      </c>
      <c r="CI62" s="8">
        <v>0.12582682073116302</v>
      </c>
      <c r="CJ62" s="8">
        <v>0.2744256854057312</v>
      </c>
      <c r="CK62" s="8">
        <v>8.4164708852767944E-2</v>
      </c>
      <c r="CL62" s="8">
        <v>-4.1673504747450352E-3</v>
      </c>
      <c r="CM62" s="9">
        <v>0.35813358426094055</v>
      </c>
      <c r="CN62" s="9">
        <v>0.104456827044487</v>
      </c>
      <c r="CO62" s="9">
        <v>0.35216572880744934</v>
      </c>
      <c r="CP62" s="9">
        <v>-0.22026431560516357</v>
      </c>
      <c r="CQ62" s="9">
        <v>-0.4620853066444397</v>
      </c>
      <c r="CR62">
        <v>21.064141729174889</v>
      </c>
      <c r="CS62">
        <v>2.0848468519622512</v>
      </c>
      <c r="CT62">
        <v>1.0402219140083218</v>
      </c>
      <c r="CU62" s="8">
        <v>0.10103447986766696</v>
      </c>
      <c r="CV62" s="9">
        <v>2.6481303572654723E-2</v>
      </c>
      <c r="CW62">
        <v>0.06</v>
      </c>
      <c r="CX62">
        <v>18.416728034163185</v>
      </c>
      <c r="CY62">
        <v>2237385160.0329762</v>
      </c>
      <c r="CZ62">
        <v>0.10103447986766696</v>
      </c>
      <c r="DA62">
        <v>5.9625118148005214</v>
      </c>
      <c r="DB62">
        <v>6910730792.6363487</v>
      </c>
      <c r="DC62">
        <v>9.5982755874283607E-2</v>
      </c>
      <c r="DD62">
        <v>2.8986507476322414</v>
      </c>
      <c r="DE62">
        <v>14215342787.901751</v>
      </c>
      <c r="DF62">
        <v>8.8910342283546925E-2</v>
      </c>
      <c r="DG62">
        <v>1.7161348602468718</v>
      </c>
      <c r="DH62">
        <v>24010533760.774765</v>
      </c>
      <c r="DI62">
        <v>8.0827583894133581E-2</v>
      </c>
      <c r="DJ62">
        <v>0.85909863388224106</v>
      </c>
      <c r="DK62">
        <v>47963426287.613121</v>
      </c>
      <c r="DL62">
        <v>7.072413590736687E-2</v>
      </c>
      <c r="DM62">
        <v>2154000000</v>
      </c>
      <c r="DN62">
        <v>0.10103447986766696</v>
      </c>
      <c r="DO62">
        <v>41205314000</v>
      </c>
      <c r="DP62">
        <v>16028285000</v>
      </c>
      <c r="DQ62">
        <v>3205</v>
      </c>
      <c r="DR62">
        <v>-1.6558543546695212E-2</v>
      </c>
      <c r="DS62">
        <v>0.27244239262987691</v>
      </c>
      <c r="DT62" s="10">
        <v>-0.3066666666666667</v>
      </c>
      <c r="DU62">
        <v>8.333333333333337E-2</v>
      </c>
      <c r="DV62">
        <v>-0.22333333333333333</v>
      </c>
      <c r="DW62">
        <v>-5.61898211829436</v>
      </c>
      <c r="DX62">
        <v>0.45514184397163077</v>
      </c>
      <c r="DY62">
        <v>-5.0960300272176537</v>
      </c>
      <c r="DZ62">
        <v>2338</v>
      </c>
      <c r="EA62">
        <v>-5.0520671911818456</v>
      </c>
      <c r="EB62">
        <v>5</v>
      </c>
      <c r="EC62">
        <v>7.0943989234026672E-2</v>
      </c>
      <c r="ED62">
        <v>0.45728468489132618</v>
      </c>
      <c r="EE62" s="11">
        <v>1.0010000000000001</v>
      </c>
      <c r="EF62">
        <v>1.0094000000000001</v>
      </c>
      <c r="EG62">
        <v>30.155141843971631</v>
      </c>
      <c r="EH62" t="s">
        <v>877</v>
      </c>
      <c r="EI62">
        <v>0</v>
      </c>
      <c r="EJ62">
        <v>0</v>
      </c>
      <c r="EK62" s="12">
        <v>45511</v>
      </c>
      <c r="EL62">
        <v>1.1599999999999999</v>
      </c>
      <c r="EM62">
        <v>-2.1</v>
      </c>
      <c r="EN62">
        <v>-3.7</v>
      </c>
      <c r="EO62">
        <v>-3.57</v>
      </c>
      <c r="EP62">
        <v>0.84</v>
      </c>
    </row>
    <row r="63" spans="1:146" ht="108" x14ac:dyDescent="0.25">
      <c r="A63" s="6"/>
      <c r="B63" s="6"/>
      <c r="C63" s="6" t="str">
        <f>""&amp;CHAR(10)&amp;Basic_Fundamental_Information_Constructure(F63)&amp;CHAR(10)&amp;Basic_Fundamental_Information_Concatenate("")</f>
        <v xml:space="preserve">
市值176.87538亿, 利润5.05亿; PE34.72; 平均PE33.96; 平均PEG5.61, PB1.42; ROIC2.8867%; ROE2.8433%; 股利率.8579%; 毛利21.41%; 净利1.4133%; 上一年度营收增.69%, 利润增24.38%; 当季营收增.86%, 利润增10.93%; 过往5年营收增6.05%, 利润增34.92%
Income profile:
</v>
      </c>
      <c r="D63" t="s">
        <v>374</v>
      </c>
      <c r="E63" t="s">
        <v>375</v>
      </c>
      <c r="F63">
        <v>14.92</v>
      </c>
      <c r="G63">
        <v>2.2599999999999998</v>
      </c>
      <c r="H63" t="s">
        <v>3103</v>
      </c>
      <c r="I63">
        <v>17687538000</v>
      </c>
      <c r="J63">
        <v>34.72</v>
      </c>
      <c r="K63">
        <v>1.42</v>
      </c>
      <c r="L63" t="s">
        <v>212</v>
      </c>
      <c r="M63" t="s">
        <v>2399</v>
      </c>
      <c r="N63" t="s">
        <v>2400</v>
      </c>
      <c r="O63" t="s">
        <v>1614</v>
      </c>
      <c r="P63">
        <v>0.85</v>
      </c>
      <c r="Q63" t="s">
        <v>2418</v>
      </c>
      <c r="R63">
        <v>41476511</v>
      </c>
      <c r="S63" s="4">
        <v>0.10929999999999999</v>
      </c>
      <c r="T63" t="s">
        <v>2419</v>
      </c>
      <c r="U63">
        <v>1149319180</v>
      </c>
      <c r="V63">
        <v>1185491810</v>
      </c>
      <c r="W63">
        <v>2.74</v>
      </c>
      <c r="X63">
        <v>0.12</v>
      </c>
      <c r="Y63">
        <v>0.81</v>
      </c>
      <c r="Z63" t="s">
        <v>2401</v>
      </c>
      <c r="AA63" t="s">
        <v>2402</v>
      </c>
      <c r="AB63" t="s">
        <v>142</v>
      </c>
      <c r="AC63" t="s">
        <v>2403</v>
      </c>
      <c r="AD63" t="s">
        <v>2</v>
      </c>
      <c r="AE63">
        <v>93655516</v>
      </c>
      <c r="AF63" t="s">
        <v>2404</v>
      </c>
      <c r="AG63" t="s">
        <v>2405</v>
      </c>
      <c r="AH63" t="s">
        <v>2406</v>
      </c>
      <c r="AI63" t="s">
        <v>2407</v>
      </c>
      <c r="AJ63" t="s">
        <v>2408</v>
      </c>
      <c r="AK63" t="s">
        <v>2409</v>
      </c>
      <c r="AL63" t="s">
        <v>2410</v>
      </c>
      <c r="AM63" t="s">
        <v>2</v>
      </c>
      <c r="AN63" t="s">
        <v>202</v>
      </c>
      <c r="AO63" t="s">
        <v>2411</v>
      </c>
      <c r="AP63" t="s">
        <v>2412</v>
      </c>
      <c r="AQ63" t="s">
        <v>2413</v>
      </c>
      <c r="AR63" t="s">
        <v>2414</v>
      </c>
      <c r="AS63" t="s">
        <v>2415</v>
      </c>
      <c r="AT63" t="s">
        <v>1883</v>
      </c>
      <c r="AU63" t="s">
        <v>2416</v>
      </c>
      <c r="AV63" t="s">
        <v>2417</v>
      </c>
      <c r="AW63" t="s">
        <v>864</v>
      </c>
      <c r="AX63" t="s">
        <v>978</v>
      </c>
      <c r="AY63" t="s">
        <v>980</v>
      </c>
      <c r="AZ63" t="s">
        <v>376</v>
      </c>
      <c r="BA63" t="s">
        <v>203</v>
      </c>
      <c r="BB63" t="s">
        <v>377</v>
      </c>
      <c r="BC63" t="s">
        <v>979</v>
      </c>
      <c r="BD63" t="s">
        <v>356</v>
      </c>
      <c r="BE63" t="s">
        <v>72</v>
      </c>
      <c r="BF63" t="s">
        <v>378</v>
      </c>
      <c r="BG63" t="s">
        <v>183</v>
      </c>
      <c r="BH63" t="s">
        <v>2418</v>
      </c>
      <c r="BI63" t="s">
        <v>3104</v>
      </c>
      <c r="BJ63" t="s">
        <v>978</v>
      </c>
      <c r="BK63" t="s">
        <v>2419</v>
      </c>
      <c r="BL63" t="s">
        <v>3105</v>
      </c>
      <c r="BM63" t="s">
        <v>979</v>
      </c>
      <c r="BN63">
        <v>2.56</v>
      </c>
      <c r="BO63">
        <v>3.25</v>
      </c>
      <c r="BP63">
        <v>2.85</v>
      </c>
      <c r="BQ63">
        <v>2.67</v>
      </c>
      <c r="BR63">
        <v>3.38</v>
      </c>
      <c r="BS63">
        <v>2.48</v>
      </c>
      <c r="BT63" t="s">
        <v>2420</v>
      </c>
      <c r="BU63" t="s">
        <v>757</v>
      </c>
      <c r="BV63">
        <v>20.56</v>
      </c>
      <c r="BW63">
        <v>21.97</v>
      </c>
      <c r="BX63">
        <v>21.7</v>
      </c>
      <c r="BY63">
        <v>1.57</v>
      </c>
      <c r="BZ63">
        <v>1.32</v>
      </c>
      <c r="CA63">
        <v>1.35</v>
      </c>
      <c r="CB63">
        <v>-4.5999999999999996</v>
      </c>
      <c r="CC63">
        <v>-3</v>
      </c>
      <c r="CD63" t="s">
        <v>3106</v>
      </c>
      <c r="CE63" t="s">
        <v>136</v>
      </c>
      <c r="CF63" s="8">
        <v>8.5725677830940997E-3</v>
      </c>
      <c r="CG63" s="9">
        <v>0.10928235589884035</v>
      </c>
      <c r="CH63" s="8">
        <v>6.856805644929409E-3</v>
      </c>
      <c r="CI63" s="8">
        <v>0.17375959455966949</v>
      </c>
      <c r="CJ63" s="8">
        <v>0.2499287873506546</v>
      </c>
      <c r="CK63" s="8">
        <v>-0.145486980676651</v>
      </c>
      <c r="CL63" s="8">
        <v>1.7619138583540916E-2</v>
      </c>
      <c r="CM63" s="9">
        <v>0.24384236335754395</v>
      </c>
      <c r="CN63" s="9">
        <v>0.40484428405761719</v>
      </c>
      <c r="CO63" s="9">
        <v>1.8333333730697632</v>
      </c>
      <c r="CP63" s="9">
        <v>-0.89581203460693359</v>
      </c>
      <c r="CQ63" s="9">
        <v>0.15995261073112488</v>
      </c>
      <c r="CR63">
        <v>33.960072959999998</v>
      </c>
      <c r="CS63">
        <v>5.6099462792876027</v>
      </c>
      <c r="CT63">
        <v>0.85790884718498661</v>
      </c>
      <c r="CU63" s="8">
        <v>6.0535469092428684E-2</v>
      </c>
      <c r="CV63" s="9">
        <v>0.34923211932182313</v>
      </c>
      <c r="CW63">
        <v>0.06</v>
      </c>
      <c r="CX63">
        <v>58.900024309745206</v>
      </c>
      <c r="CY63">
        <v>505255105.5581854</v>
      </c>
      <c r="CZ63">
        <v>6.0535469092428684E-2</v>
      </c>
      <c r="DA63">
        <v>19.735884123011225</v>
      </c>
      <c r="DB63">
        <v>1507889781.6035316</v>
      </c>
      <c r="DC63">
        <v>5.750869563780725E-2</v>
      </c>
      <c r="DD63">
        <v>10.042403098716148</v>
      </c>
      <c r="DE63">
        <v>2963388116.1177998</v>
      </c>
      <c r="DF63">
        <v>5.3271212801337245E-2</v>
      </c>
      <c r="DG63">
        <v>6.2565947243669369</v>
      </c>
      <c r="DH63">
        <v>4756507223.3460302</v>
      </c>
      <c r="DI63">
        <v>4.8428375273942947E-2</v>
      </c>
      <c r="DJ63">
        <v>3.4973355131143626</v>
      </c>
      <c r="DK63">
        <v>8509203045.6921349</v>
      </c>
      <c r="DL63">
        <v>4.2374828364700079E-2</v>
      </c>
      <c r="DM63">
        <v>505000000</v>
      </c>
      <c r="DN63">
        <v>6.0535469092428684E-2</v>
      </c>
      <c r="DO63">
        <v>29759538000</v>
      </c>
      <c r="DP63">
        <v>8624933000</v>
      </c>
      <c r="DQ63">
        <v>3214</v>
      </c>
      <c r="DR63">
        <v>-5.1962901309334585E-2</v>
      </c>
      <c r="DS63">
        <v>-0.2399497634229828</v>
      </c>
      <c r="DT63" s="10">
        <v>-0.15666666666666665</v>
      </c>
      <c r="DU63">
        <v>0.6150000000000001</v>
      </c>
      <c r="DV63">
        <v>0.45833333333333348</v>
      </c>
      <c r="DW63">
        <v>-4.6521739130434785</v>
      </c>
      <c r="DX63">
        <v>0.53160403458213046</v>
      </c>
      <c r="DY63">
        <v>-4.1380026312492166</v>
      </c>
      <c r="DZ63">
        <v>843</v>
      </c>
      <c r="EA63">
        <v>-4.115222874416812</v>
      </c>
      <c r="EB63">
        <v>4</v>
      </c>
      <c r="EC63">
        <v>6.1937669565173971E-2</v>
      </c>
      <c r="ED63">
        <v>0.2927055227821439</v>
      </c>
      <c r="EE63" s="11">
        <v>5.5309999999999998E-2</v>
      </c>
      <c r="EF63">
        <v>3.271000000000001E-2</v>
      </c>
      <c r="EG63">
        <v>32.21160403458213</v>
      </c>
      <c r="EH63">
        <v>-1</v>
      </c>
      <c r="EI63">
        <v>0</v>
      </c>
      <c r="EJ63">
        <v>1</v>
      </c>
      <c r="EK63" s="12">
        <v>45511</v>
      </c>
      <c r="EL63">
        <v>-0.13</v>
      </c>
      <c r="EM63">
        <v>-2.82</v>
      </c>
      <c r="EN63">
        <v>-3.69</v>
      </c>
      <c r="EO63">
        <v>-0.21</v>
      </c>
      <c r="EP63">
        <v>2.2599999999999998</v>
      </c>
    </row>
    <row r="64" spans="1:146" ht="276" x14ac:dyDescent="0.25">
      <c r="A64" s="6" t="s">
        <v>880</v>
      </c>
      <c r="B64" s="6" t="s">
        <v>876</v>
      </c>
      <c r="C64" s="6" t="str">
        <f>"公司是国内光电缆品种最齐全的专业企业,主营光纤通信和电力传输。其主要产品包括光通信及网络、电力传输、海洋系列、新能源、铜产品、商品贸易。"&amp;CHAR(10)&amp;Basic_Fundamental_Information_Constructure(F64)&amp;CHAR(10)&amp;Basic_Fundamental_Information_Concatenate("电网建设 111.60亿 24.17% 20.82% 13.79%
商品贸易 101.42亿 21.97% 1.52% 1.10%
海洋系列 94.19亿 20.40% 45.30% 35.55%
光通信及网络 74.76亿 16.20% 22.73% 22.47%
铜产品 48.52亿 10.51% 2.81% 4.28%
新能源 20.88亿 4.52% 4.27% 15.13%")</f>
        <v>公司是国内光电缆品种最齐全的专业企业,主营光纤通信和电力传输。其主要产品包括光通信及网络、电力传输、海洋系列、新能源、铜产品、商品贸易。
市值480.88461亿, 利润31.17亿; PE16.11; 平均PE22.4; 平均PEG3.53, PB1.42; ROIC6.31%; ROE6.77%; 股利率1.5614%; 毛利16.8367%; 净利5.4267%; 上一年度营收增11.9%, 利润增-3.02%; 当季营收增-.4%, 利润增-17.18%; 过往5年营收增6.35%, 利润增315.85%
Income profile:
电网建设 111.60亿 24.17% 20.82% 13.79%
商品贸易 101.42亿 21.97% 1.52% 1.10%
海洋系列 94.19亿 20.40% 45.30% 35.55%
光通信及网络 74.76亿 16.20% 22.73% 22.47%
铜产品 48.52亿 10.51% 2.81% 4.28%
新能源 20.88亿 4.52% 4.27% 15.13%</v>
      </c>
      <c r="D64" t="s">
        <v>448</v>
      </c>
      <c r="E64" t="s">
        <v>1172</v>
      </c>
      <c r="F64">
        <v>14.09</v>
      </c>
      <c r="G64">
        <v>2.1800000000000002</v>
      </c>
      <c r="H64" t="s">
        <v>3107</v>
      </c>
      <c r="I64">
        <v>48088461000</v>
      </c>
      <c r="J64">
        <v>16.11</v>
      </c>
      <c r="K64">
        <v>1.42</v>
      </c>
      <c r="L64" t="s">
        <v>212</v>
      </c>
      <c r="M64" t="s">
        <v>2421</v>
      </c>
      <c r="N64" t="s">
        <v>2422</v>
      </c>
      <c r="O64" t="s">
        <v>2423</v>
      </c>
      <c r="P64">
        <v>-0.4</v>
      </c>
      <c r="Q64" t="s">
        <v>2440</v>
      </c>
      <c r="R64">
        <v>636050560</v>
      </c>
      <c r="S64" s="4">
        <v>-0.17199999999999999</v>
      </c>
      <c r="T64" t="s">
        <v>2441</v>
      </c>
      <c r="U64">
        <v>3412949700</v>
      </c>
      <c r="V64">
        <v>3412949700</v>
      </c>
      <c r="W64">
        <v>1.56</v>
      </c>
      <c r="X64">
        <v>0.15</v>
      </c>
      <c r="Y64">
        <v>7.67</v>
      </c>
      <c r="Z64" t="s">
        <v>2424</v>
      </c>
      <c r="AA64" t="s">
        <v>2425</v>
      </c>
      <c r="AB64" t="s">
        <v>94</v>
      </c>
      <c r="AC64" t="s">
        <v>32</v>
      </c>
      <c r="AD64" t="s">
        <v>2</v>
      </c>
      <c r="AE64">
        <v>-11348955</v>
      </c>
      <c r="AF64" t="s">
        <v>2426</v>
      </c>
      <c r="AG64" t="s">
        <v>2427</v>
      </c>
      <c r="AH64" t="s">
        <v>2428</v>
      </c>
      <c r="AI64" t="s">
        <v>2429</v>
      </c>
      <c r="AJ64" t="s">
        <v>2430</v>
      </c>
      <c r="AK64" t="s">
        <v>1649</v>
      </c>
      <c r="AL64" t="s">
        <v>2431</v>
      </c>
      <c r="AM64" t="s">
        <v>2</v>
      </c>
      <c r="AN64" t="s">
        <v>2432</v>
      </c>
      <c r="AO64" t="s">
        <v>2433</v>
      </c>
      <c r="AP64" t="s">
        <v>2434</v>
      </c>
      <c r="AQ64" t="s">
        <v>2435</v>
      </c>
      <c r="AR64" t="s">
        <v>2436</v>
      </c>
      <c r="AS64" t="s">
        <v>2437</v>
      </c>
      <c r="AT64" t="s">
        <v>160</v>
      </c>
      <c r="AU64" t="s">
        <v>2438</v>
      </c>
      <c r="AV64" t="s">
        <v>997</v>
      </c>
      <c r="AW64" t="s">
        <v>2439</v>
      </c>
      <c r="AX64" t="s">
        <v>981</v>
      </c>
      <c r="AY64" t="s">
        <v>983</v>
      </c>
      <c r="AZ64" t="s">
        <v>719</v>
      </c>
      <c r="BA64" t="s">
        <v>782</v>
      </c>
      <c r="BB64" t="s">
        <v>450</v>
      </c>
      <c r="BC64" t="s">
        <v>982</v>
      </c>
      <c r="BD64" t="s">
        <v>66</v>
      </c>
      <c r="BE64" t="s">
        <v>449</v>
      </c>
      <c r="BF64" t="s">
        <v>783</v>
      </c>
      <c r="BG64" t="s">
        <v>451</v>
      </c>
      <c r="BH64" t="s">
        <v>2440</v>
      </c>
      <c r="BI64" t="s">
        <v>3108</v>
      </c>
      <c r="BJ64" t="s">
        <v>981</v>
      </c>
      <c r="BK64" t="s">
        <v>2441</v>
      </c>
      <c r="BL64" t="s">
        <v>941</v>
      </c>
      <c r="BM64" t="s">
        <v>982</v>
      </c>
      <c r="BN64">
        <v>7.19</v>
      </c>
      <c r="BO64">
        <v>9.98</v>
      </c>
      <c r="BP64">
        <v>1.76</v>
      </c>
      <c r="BQ64">
        <v>8.42</v>
      </c>
      <c r="BR64">
        <v>11.16</v>
      </c>
      <c r="BS64">
        <v>0.73</v>
      </c>
      <c r="BT64" t="s">
        <v>849</v>
      </c>
      <c r="BU64" t="s">
        <v>789</v>
      </c>
      <c r="BV64">
        <v>16.22</v>
      </c>
      <c r="BW64">
        <v>18.28</v>
      </c>
      <c r="BX64">
        <v>16.010000000000002</v>
      </c>
      <c r="BY64">
        <v>7.19</v>
      </c>
      <c r="BZ64">
        <v>8.48</v>
      </c>
      <c r="CA64">
        <v>0.61</v>
      </c>
      <c r="CB64">
        <v>-5.88</v>
      </c>
      <c r="CC64">
        <v>-6.69</v>
      </c>
      <c r="CD64" t="s">
        <v>167</v>
      </c>
      <c r="CE64" t="s">
        <v>161</v>
      </c>
      <c r="CF64" s="8">
        <v>-3.9879154078549849E-3</v>
      </c>
      <c r="CG64" s="9">
        <v>-0.17180916666666668</v>
      </c>
      <c r="CH64" s="8">
        <v>0.11904346942901611</v>
      </c>
      <c r="CI64" s="8">
        <v>-0.13096681237220764</v>
      </c>
      <c r="CJ64" s="8">
        <v>0.10118342190980911</v>
      </c>
      <c r="CK64" s="8">
        <v>8.6491778492927551E-2</v>
      </c>
      <c r="CL64" s="8">
        <v>0.14172860980033875</v>
      </c>
      <c r="CM64" s="9">
        <v>-3.0180519446730614E-2</v>
      </c>
      <c r="CN64" s="9">
        <v>16.659339904785156</v>
      </c>
      <c r="CO64" s="9">
        <v>-0.92000001668930054</v>
      </c>
      <c r="CP64" s="9">
        <v>0.1554088294506073</v>
      </c>
      <c r="CQ64" s="9">
        <v>-7.2101756930351257E-2</v>
      </c>
      <c r="CR64">
        <v>22.403196366177497</v>
      </c>
      <c r="CS64">
        <v>3.5282794811812215</v>
      </c>
      <c r="CT64">
        <v>1.56139105748758</v>
      </c>
      <c r="CU64" s="8">
        <v>6.3496093451976779E-2</v>
      </c>
      <c r="CV64" s="9">
        <v>3.1584932882338763</v>
      </c>
      <c r="CW64">
        <v>0.06</v>
      </c>
      <c r="CX64">
        <v>10.731835877189928</v>
      </c>
      <c r="CY64">
        <v>3127280493.6696334</v>
      </c>
      <c r="CZ64">
        <v>6.3496093451976779E-2</v>
      </c>
      <c r="DA64">
        <v>3.5869023725544666</v>
      </c>
      <c r="DB64">
        <v>9356669770.77458</v>
      </c>
      <c r="DC64">
        <v>6.0321288779377938E-2</v>
      </c>
      <c r="DD64">
        <v>1.8191465558148507</v>
      </c>
      <c r="DE64">
        <v>18449014397.834927</v>
      </c>
      <c r="DF64">
        <v>5.5876562237739569E-2</v>
      </c>
      <c r="DG64">
        <v>1.129267558277167</v>
      </c>
      <c r="DH64">
        <v>29719671617.240143</v>
      </c>
      <c r="DI64">
        <v>5.0796874761581429E-2</v>
      </c>
      <c r="DJ64">
        <v>0.62647090000307748</v>
      </c>
      <c r="DK64">
        <v>53572258503.683304</v>
      </c>
      <c r="DL64">
        <v>4.444726541638374E-2</v>
      </c>
      <c r="DM64">
        <v>3117000000</v>
      </c>
      <c r="DN64">
        <v>6.3496093451976779E-2</v>
      </c>
      <c r="DO64">
        <v>33561461000</v>
      </c>
      <c r="DP64">
        <v>19940980000</v>
      </c>
      <c r="DQ64">
        <v>3236</v>
      </c>
      <c r="DR64">
        <v>-6.7484008859831759E-2</v>
      </c>
      <c r="DS64">
        <v>-3.3303024549005431</v>
      </c>
      <c r="DT64" s="10">
        <v>-0.44</v>
      </c>
      <c r="DU64">
        <v>-2.0000000000000056E-2</v>
      </c>
      <c r="DV64">
        <v>-0.46000000000000008</v>
      </c>
      <c r="DW64">
        <v>-8.8789237668161434</v>
      </c>
      <c r="DX64">
        <v>0.380096624545329</v>
      </c>
      <c r="DY64">
        <v>-8.1231342529636095</v>
      </c>
      <c r="DZ64">
        <v>2887</v>
      </c>
      <c r="EA64">
        <v>-8.0535261487329581</v>
      </c>
      <c r="EB64">
        <v>8</v>
      </c>
      <c r="EC64">
        <v>5.9479341286512361E-2</v>
      </c>
      <c r="ED64">
        <v>0.42455943607958829</v>
      </c>
      <c r="EE64" s="11">
        <v>-2.1095100000000002</v>
      </c>
      <c r="EF64">
        <v>-2.08771</v>
      </c>
      <c r="EG64">
        <v>24.140096624545329</v>
      </c>
      <c r="EH64" t="s">
        <v>1183</v>
      </c>
      <c r="EI64">
        <v>0</v>
      </c>
      <c r="EJ64">
        <v>0</v>
      </c>
      <c r="EK64" s="12">
        <v>45511</v>
      </c>
      <c r="EL64">
        <v>0.13</v>
      </c>
      <c r="EM64">
        <v>-2.8</v>
      </c>
      <c r="EN64">
        <v>-3.43</v>
      </c>
      <c r="EO64">
        <v>-1.99</v>
      </c>
      <c r="EP64">
        <v>2.1800000000000002</v>
      </c>
    </row>
    <row r="65" spans="1:146" ht="96" x14ac:dyDescent="0.25">
      <c r="A65" s="6"/>
      <c r="B65" s="6"/>
      <c r="C65" s="6" t="str">
        <f>""&amp;CHAR(10)&amp;Basic_Fundamental_Information_Constructure(F65)&amp;CHAR(10)&amp;Basic_Fundamental_Information_Concatenate("")</f>
        <v xml:space="preserve">
市值77.767659亿, 利润-2.38亿; PE; 平均PE343.65; 平均PEG48.78, PB2.39; ROIC1.2033%; ROE.4533%; 股利率0%; 毛利14.8133%; 净利-.98%; 上一年度营收增-29.9%, 利润增-696.89%; 当季营收增-13.26%, 利润增-130.32%; 过往5年营收增-7.04%, 利润增-153.65%
Income profile:
</v>
      </c>
      <c r="D65" t="s">
        <v>546</v>
      </c>
      <c r="E65" t="s">
        <v>547</v>
      </c>
      <c r="F65">
        <v>8.51</v>
      </c>
      <c r="G65">
        <v>9.9499999999999993</v>
      </c>
      <c r="H65" t="s">
        <v>3109</v>
      </c>
      <c r="I65">
        <v>7776765900</v>
      </c>
      <c r="K65">
        <v>2.39</v>
      </c>
      <c r="L65" t="s">
        <v>212</v>
      </c>
      <c r="M65" t="s">
        <v>1193</v>
      </c>
      <c r="N65" t="s">
        <v>2442</v>
      </c>
      <c r="O65" t="s">
        <v>2443</v>
      </c>
      <c r="P65">
        <v>-13.28</v>
      </c>
      <c r="Q65" t="s">
        <v>2462</v>
      </c>
      <c r="R65">
        <v>-70000000</v>
      </c>
      <c r="S65" s="4">
        <v>-0.51100000000000001</v>
      </c>
      <c r="T65" t="s">
        <v>2463</v>
      </c>
      <c r="U65">
        <v>671838530</v>
      </c>
      <c r="V65">
        <v>913838530</v>
      </c>
      <c r="W65">
        <v>1.5</v>
      </c>
      <c r="X65">
        <v>0.09</v>
      </c>
      <c r="Y65">
        <v>-7.23</v>
      </c>
      <c r="Z65" t="s">
        <v>2445</v>
      </c>
      <c r="AA65" t="s">
        <v>1022</v>
      </c>
      <c r="AB65" t="s">
        <v>2446</v>
      </c>
      <c r="AC65" t="s">
        <v>2447</v>
      </c>
      <c r="AD65" t="s">
        <v>2</v>
      </c>
      <c r="AE65">
        <v>-3434983</v>
      </c>
      <c r="AF65" t="s">
        <v>2448</v>
      </c>
      <c r="AG65" t="s">
        <v>2449</v>
      </c>
      <c r="AH65" t="s">
        <v>2450</v>
      </c>
      <c r="AI65" t="s">
        <v>2451</v>
      </c>
      <c r="AJ65" t="s">
        <v>2452</v>
      </c>
      <c r="AK65" t="s">
        <v>22</v>
      </c>
      <c r="AL65" t="s">
        <v>2453</v>
      </c>
      <c r="AM65" t="s">
        <v>2</v>
      </c>
      <c r="AN65" t="s">
        <v>2454</v>
      </c>
      <c r="AO65" t="s">
        <v>2455</v>
      </c>
      <c r="AP65" t="s">
        <v>2456</v>
      </c>
      <c r="AQ65" t="s">
        <v>2457</v>
      </c>
      <c r="AR65" t="s">
        <v>2458</v>
      </c>
      <c r="AS65" t="s">
        <v>1209</v>
      </c>
      <c r="AT65" t="s">
        <v>2</v>
      </c>
      <c r="AU65" t="s">
        <v>2459</v>
      </c>
      <c r="AV65" t="s">
        <v>130</v>
      </c>
      <c r="AW65" t="s">
        <v>2460</v>
      </c>
      <c r="AX65" t="s">
        <v>984</v>
      </c>
      <c r="AY65" t="s">
        <v>720</v>
      </c>
      <c r="AZ65" t="s">
        <v>468</v>
      </c>
      <c r="BA65" t="s">
        <v>549</v>
      </c>
      <c r="BB65" t="s">
        <v>550</v>
      </c>
      <c r="BC65" t="s">
        <v>2461</v>
      </c>
      <c r="BD65" t="s">
        <v>721</v>
      </c>
      <c r="BE65" t="s">
        <v>548</v>
      </c>
      <c r="BF65" t="s">
        <v>552</v>
      </c>
      <c r="BG65" t="s">
        <v>32</v>
      </c>
      <c r="BH65" t="s">
        <v>2462</v>
      </c>
      <c r="BI65" t="s">
        <v>2445</v>
      </c>
      <c r="BJ65" t="s">
        <v>984</v>
      </c>
      <c r="BK65" t="s">
        <v>2463</v>
      </c>
      <c r="BL65" t="s">
        <v>3110</v>
      </c>
      <c r="BM65" t="s">
        <v>2461</v>
      </c>
      <c r="BN65">
        <v>0</v>
      </c>
      <c r="BO65">
        <v>1.82</v>
      </c>
      <c r="BP65">
        <v>1.79</v>
      </c>
      <c r="BQ65">
        <v>-0.9</v>
      </c>
      <c r="BR65">
        <v>1.1399999999999999</v>
      </c>
      <c r="BS65">
        <v>1.1200000000000001</v>
      </c>
      <c r="BT65" t="s">
        <v>836</v>
      </c>
      <c r="BU65" t="s">
        <v>790</v>
      </c>
      <c r="BV65">
        <v>17.66</v>
      </c>
      <c r="BW65">
        <v>14.19</v>
      </c>
      <c r="BX65">
        <v>12.59</v>
      </c>
      <c r="BY65">
        <v>-6.67</v>
      </c>
      <c r="BZ65">
        <v>1.96</v>
      </c>
      <c r="CA65">
        <v>1.77</v>
      </c>
      <c r="CB65">
        <v>4.03</v>
      </c>
      <c r="CC65">
        <v>4.93</v>
      </c>
      <c r="CD65" t="s">
        <v>787</v>
      </c>
      <c r="CE65" t="s">
        <v>3111</v>
      </c>
      <c r="CF65" s="8">
        <v>-0.13261648745519714</v>
      </c>
      <c r="CG65" s="9">
        <v>-1.3032073807925668</v>
      </c>
      <c r="CH65" s="8">
        <v>-0.29898890852928162</v>
      </c>
      <c r="CI65" s="8">
        <v>-8.3406858146190643E-2</v>
      </c>
      <c r="CJ65" s="8">
        <v>0.14676107466220856</v>
      </c>
      <c r="CK65" s="8">
        <v>-0.1519312858581543</v>
      </c>
      <c r="CL65" s="8">
        <v>3.5325381904840469E-2</v>
      </c>
      <c r="CM65" s="9">
        <v>-6.9689216613769531</v>
      </c>
      <c r="CN65" s="9">
        <v>-4.9019165337085724E-2</v>
      </c>
      <c r="CO65" s="9">
        <v>-0.45771500468254089</v>
      </c>
      <c r="CP65" s="9">
        <v>0.46831148862838745</v>
      </c>
      <c r="CQ65" s="9">
        <v>-0.67495119571685791</v>
      </c>
      <c r="CR65">
        <v>343.65408336267052</v>
      </c>
      <c r="CS65">
        <v>48.781158006455087</v>
      </c>
      <c r="CT65">
        <v>0</v>
      </c>
      <c r="CU65" s="8">
        <v>-7.0448119193315506E-2</v>
      </c>
      <c r="CV65" s="9">
        <v>-1.53645910769701</v>
      </c>
      <c r="CW65">
        <v>0.06</v>
      </c>
      <c r="CX65" t="e">
        <v>#VALUE!</v>
      </c>
      <c r="CY65" t="s">
        <v>768</v>
      </c>
      <c r="CZ65">
        <v>-7.0448119193315506E-2</v>
      </c>
      <c r="DA65" t="e">
        <v>#VALUE!</v>
      </c>
      <c r="DB65" t="s">
        <v>765</v>
      </c>
      <c r="DC65">
        <v>-6.6925713233649722E-2</v>
      </c>
      <c r="DD65" t="e">
        <v>#VALUE!</v>
      </c>
      <c r="DE65" t="s">
        <v>765</v>
      </c>
      <c r="DF65">
        <v>-6.1994344890117646E-2</v>
      </c>
      <c r="DG65" t="e">
        <v>#VALUE!</v>
      </c>
      <c r="DH65" t="s">
        <v>765</v>
      </c>
      <c r="DI65">
        <v>-5.6358495354652406E-2</v>
      </c>
      <c r="DJ65" t="e">
        <v>#VALUE!</v>
      </c>
      <c r="DK65" t="s">
        <v>765</v>
      </c>
      <c r="DL65">
        <v>-4.9313683435320853E-2</v>
      </c>
      <c r="DM65">
        <v>-238000000</v>
      </c>
      <c r="DN65">
        <v>-7.0448119193315506E-2</v>
      </c>
      <c r="DO65">
        <v>6204765900</v>
      </c>
      <c r="DP65">
        <v>1938826000</v>
      </c>
      <c r="DQ65">
        <v>3448</v>
      </c>
      <c r="DR65">
        <v>-6.2168368261881629E-2</v>
      </c>
      <c r="DS65">
        <v>0.23325172690444318</v>
      </c>
      <c r="DT65" s="10">
        <v>-0.72333333333333327</v>
      </c>
      <c r="DU65">
        <v>-1.8650000000000002</v>
      </c>
      <c r="DV65">
        <v>-2.5883333333333334</v>
      </c>
      <c r="DW65">
        <v>8.8174442190669371</v>
      </c>
      <c r="DX65">
        <v>0.81486055776892274</v>
      </c>
      <c r="DY65">
        <v>8.2328576161883902</v>
      </c>
      <c r="DZ65">
        <v>4707</v>
      </c>
      <c r="EA65">
        <v>8.0182383094723626</v>
      </c>
      <c r="EB65">
        <v>8</v>
      </c>
      <c r="EC65">
        <v>0.15648278695362078</v>
      </c>
      <c r="ED65">
        <v>0.54933118217285049</v>
      </c>
      <c r="EE65" s="11">
        <v>-1.0544</v>
      </c>
      <c r="EF65">
        <v>3.8999999999999868E-3</v>
      </c>
      <c r="EG65">
        <v>53.284860557768923</v>
      </c>
      <c r="EH65" t="s">
        <v>766</v>
      </c>
      <c r="EI65">
        <v>0</v>
      </c>
      <c r="EJ65">
        <v>0</v>
      </c>
      <c r="EK65" s="12">
        <v>45511</v>
      </c>
      <c r="EL65">
        <v>0.73</v>
      </c>
      <c r="EM65">
        <v>-1.82</v>
      </c>
      <c r="EN65">
        <v>-5.32</v>
      </c>
      <c r="EO65">
        <v>1.04</v>
      </c>
      <c r="EP65">
        <v>9.9499999999999993</v>
      </c>
    </row>
    <row r="66" spans="1:146" ht="108" x14ac:dyDescent="0.25">
      <c r="A66" s="6"/>
      <c r="B66" s="6"/>
      <c r="C66" s="6" t="str">
        <f>""&amp;CHAR(10)&amp;Basic_Fundamental_Information_Constructure(F66)&amp;CHAR(10)&amp;Basic_Fundamental_Information_Concatenate("")</f>
        <v xml:space="preserve">
市值116.556806亿, 利润1.53亿; PE42.43; 平均PE91.18; 平均PEG20.84, PB3.27; ROIC2.83%; ROE3.6767%; 股利率.6573%; 毛利11.74%; 净利4.38%; 上一年度营收增-8.98%, 利润增13.33%; 当季营收增-5.49%, 利润增903.59%; 过往5年营收增4.38%, 利润增4.8%
Income profile:
</v>
      </c>
      <c r="D66" t="s">
        <v>617</v>
      </c>
      <c r="E66" t="s">
        <v>618</v>
      </c>
      <c r="F66">
        <v>9.2799999999999994</v>
      </c>
      <c r="G66">
        <v>2.4300000000000002</v>
      </c>
      <c r="H66" t="s">
        <v>3112</v>
      </c>
      <c r="I66">
        <v>11655680600</v>
      </c>
      <c r="J66">
        <v>42.43</v>
      </c>
      <c r="K66">
        <v>3.27</v>
      </c>
      <c r="L66" t="s">
        <v>212</v>
      </c>
      <c r="M66" t="s">
        <v>2465</v>
      </c>
      <c r="N66" t="s">
        <v>2466</v>
      </c>
      <c r="O66" t="s">
        <v>755</v>
      </c>
      <c r="P66">
        <v>-5.56</v>
      </c>
      <c r="Q66" t="s">
        <v>2444</v>
      </c>
      <c r="R66">
        <v>135379660</v>
      </c>
      <c r="S66" s="4">
        <v>9.0359999999999996</v>
      </c>
      <c r="T66" t="s">
        <v>27</v>
      </c>
      <c r="U66">
        <v>956000060</v>
      </c>
      <c r="V66">
        <v>1256000060</v>
      </c>
      <c r="W66">
        <v>1.24</v>
      </c>
      <c r="X66">
        <v>0.13</v>
      </c>
      <c r="Y66">
        <v>23.73</v>
      </c>
      <c r="Z66" t="s">
        <v>1213</v>
      </c>
      <c r="AA66" t="s">
        <v>322</v>
      </c>
      <c r="AB66" t="s">
        <v>2467</v>
      </c>
      <c r="AC66" t="s">
        <v>2468</v>
      </c>
      <c r="AD66" t="s">
        <v>2</v>
      </c>
      <c r="AE66">
        <v>-824060</v>
      </c>
      <c r="AF66" t="s">
        <v>2469</v>
      </c>
      <c r="AG66">
        <v>3761.89</v>
      </c>
      <c r="AH66" t="s">
        <v>2470</v>
      </c>
      <c r="AI66" t="s">
        <v>2471</v>
      </c>
      <c r="AJ66" t="s">
        <v>2472</v>
      </c>
      <c r="AK66" t="s">
        <v>2473</v>
      </c>
      <c r="AL66" t="s">
        <v>2474</v>
      </c>
      <c r="AM66" t="s">
        <v>2</v>
      </c>
      <c r="AN66" t="s">
        <v>135</v>
      </c>
      <c r="AO66" t="s">
        <v>2</v>
      </c>
      <c r="AP66" t="s">
        <v>2475</v>
      </c>
      <c r="AQ66" t="s">
        <v>1247</v>
      </c>
      <c r="AR66" t="s">
        <v>2476</v>
      </c>
      <c r="AS66" t="s">
        <v>1198</v>
      </c>
      <c r="AT66" t="s">
        <v>2</v>
      </c>
      <c r="AU66" t="s">
        <v>2477</v>
      </c>
      <c r="AV66" t="s">
        <v>2478</v>
      </c>
      <c r="AW66" t="s">
        <v>2479</v>
      </c>
      <c r="AX66" t="s">
        <v>986</v>
      </c>
      <c r="AY66" t="s">
        <v>722</v>
      </c>
      <c r="AZ66" t="s">
        <v>619</v>
      </c>
      <c r="BA66" t="s">
        <v>620</v>
      </c>
      <c r="BB66" t="s">
        <v>621</v>
      </c>
      <c r="BC66" t="s">
        <v>103</v>
      </c>
      <c r="BD66" t="s">
        <v>127</v>
      </c>
      <c r="BE66" t="s">
        <v>104</v>
      </c>
      <c r="BF66" t="s">
        <v>123</v>
      </c>
      <c r="BG66" t="s">
        <v>35</v>
      </c>
      <c r="BH66" t="s">
        <v>2444</v>
      </c>
      <c r="BI66" t="s">
        <v>2034</v>
      </c>
      <c r="BJ66" t="s">
        <v>986</v>
      </c>
      <c r="BK66" t="s">
        <v>27</v>
      </c>
      <c r="BL66" t="s">
        <v>2464</v>
      </c>
      <c r="BM66" t="s">
        <v>103</v>
      </c>
      <c r="BN66">
        <v>2.4700000000000002</v>
      </c>
      <c r="BO66">
        <v>3.09</v>
      </c>
      <c r="BP66">
        <v>2.93</v>
      </c>
      <c r="BQ66">
        <v>3.38</v>
      </c>
      <c r="BR66">
        <v>4.0599999999999996</v>
      </c>
      <c r="BS66">
        <v>3.59</v>
      </c>
      <c r="BT66" t="s">
        <v>2480</v>
      </c>
      <c r="BU66" t="s">
        <v>756</v>
      </c>
      <c r="BV66">
        <v>11.48</v>
      </c>
      <c r="BW66">
        <v>11.07</v>
      </c>
      <c r="BX66">
        <v>12.67</v>
      </c>
      <c r="BY66">
        <v>5.0999999999999996</v>
      </c>
      <c r="BZ66">
        <v>4.1399999999999997</v>
      </c>
      <c r="CA66">
        <v>3.9</v>
      </c>
      <c r="CB66">
        <v>-1.48</v>
      </c>
      <c r="CC66">
        <v>-5.97</v>
      </c>
      <c r="CD66" t="s">
        <v>3113</v>
      </c>
      <c r="CE66" t="s">
        <v>1225</v>
      </c>
      <c r="CF66" s="8">
        <v>-5.4908485856905158E-2</v>
      </c>
      <c r="CG66" s="9">
        <v>9.0359286852737313</v>
      </c>
      <c r="CH66" s="8">
        <v>-8.9783243834972382E-2</v>
      </c>
      <c r="CI66" s="8">
        <v>6.3549533486366272E-2</v>
      </c>
      <c r="CJ66" s="8">
        <v>2.3592811077833176E-2</v>
      </c>
      <c r="CK66" s="8">
        <v>0.10585165768861771</v>
      </c>
      <c r="CL66" s="8">
        <v>0.11559256911277771</v>
      </c>
      <c r="CM66" s="9">
        <v>0.13333334028720856</v>
      </c>
      <c r="CN66" s="9">
        <v>0.16379310190677643</v>
      </c>
      <c r="CO66" s="9">
        <v>0.11538461595773697</v>
      </c>
      <c r="CP66" s="9">
        <v>-0.21212121844291687</v>
      </c>
      <c r="CQ66" s="9">
        <v>3.9370078593492508E-2</v>
      </c>
      <c r="CR66">
        <v>91.178726988265979</v>
      </c>
      <c r="CS66">
        <v>20.835772475970483</v>
      </c>
      <c r="CT66">
        <v>0.65732758620689657</v>
      </c>
      <c r="CU66" s="8">
        <v>4.3760665506124494E-2</v>
      </c>
      <c r="CV66" s="9">
        <v>4.7951983660459517E-2</v>
      </c>
      <c r="CW66">
        <v>0.06</v>
      </c>
      <c r="CX66">
        <v>59.344993749020702</v>
      </c>
      <c r="CY66">
        <v>150656020.58720475</v>
      </c>
      <c r="CZ66">
        <v>4.3760665506124494E-2</v>
      </c>
      <c r="DA66">
        <v>20.171861765060836</v>
      </c>
      <c r="DB66">
        <v>443225355.40501887</v>
      </c>
      <c r="DC66">
        <v>4.1572632230818266E-2</v>
      </c>
      <c r="DD66">
        <v>10.456738843305288</v>
      </c>
      <c r="DE66">
        <v>855016151.20894849</v>
      </c>
      <c r="DF66">
        <v>3.8509385645389554E-2</v>
      </c>
      <c r="DG66">
        <v>6.6473793918706612</v>
      </c>
      <c r="DH66">
        <v>1344993278.2434392</v>
      </c>
      <c r="DI66">
        <v>3.5008532404899595E-2</v>
      </c>
      <c r="DJ66">
        <v>3.8733435765968718</v>
      </c>
      <c r="DK66">
        <v>2308259110.815907</v>
      </c>
      <c r="DL66">
        <v>3.0632465854287142E-2</v>
      </c>
      <c r="DM66">
        <v>153000000</v>
      </c>
      <c r="DN66">
        <v>4.3760665506124494E-2</v>
      </c>
      <c r="DO66">
        <v>8940680600</v>
      </c>
      <c r="DP66">
        <v>2077648100</v>
      </c>
      <c r="DQ66">
        <v>3449</v>
      </c>
      <c r="DR66">
        <v>-9.8669151363029645E-2</v>
      </c>
      <c r="DS66">
        <v>8.9879767016132721</v>
      </c>
      <c r="DT66" s="10">
        <v>-0.44</v>
      </c>
      <c r="DU66">
        <v>0.6333333333333333</v>
      </c>
      <c r="DV66">
        <v>0.1933333333333333</v>
      </c>
      <c r="DW66">
        <v>-1.0597000000000001</v>
      </c>
      <c r="DX66">
        <v>0.5182004739336481</v>
      </c>
      <c r="DY66">
        <v>-1.0112355682938388</v>
      </c>
      <c r="DZ66">
        <v>1360</v>
      </c>
      <c r="EA66">
        <v>-1.0082435234769951</v>
      </c>
      <c r="EB66">
        <v>1</v>
      </c>
      <c r="EC66">
        <v>3.1616479381378376E-2</v>
      </c>
      <c r="ED66">
        <v>0.16799362254807534</v>
      </c>
      <c r="EE66" s="11">
        <v>2.0584099999999999</v>
      </c>
      <c r="EF66">
        <v>2.0341100000000001</v>
      </c>
      <c r="EG66">
        <v>33.188200473933648</v>
      </c>
      <c r="EH66" t="s">
        <v>885</v>
      </c>
      <c r="EI66">
        <v>0</v>
      </c>
      <c r="EJ66">
        <v>1</v>
      </c>
      <c r="EK66" s="12">
        <v>45511</v>
      </c>
      <c r="EL66">
        <v>0.42</v>
      </c>
      <c r="EM66">
        <v>-1.89</v>
      </c>
      <c r="EN66">
        <v>-4.42</v>
      </c>
      <c r="EO66">
        <v>2.14</v>
      </c>
      <c r="EP66">
        <v>2.4300000000000002</v>
      </c>
    </row>
    <row r="67" spans="1:146" ht="168" x14ac:dyDescent="0.25">
      <c r="A67" s="6"/>
      <c r="B67" s="6"/>
      <c r="C67" s="6" t="str">
        <f>"公司成立于1988年5月31日，主要从事研究、开发、生产和销售光纤预制棒、光纤、光缆及相关产品。公司主要产品包括光纤、光纤预制棒、光缆、其他产品及服务。"&amp;CHAR(10)&amp;Basic_Fundamental_Information_Constructure(F67)&amp;CHAR(10)&amp;Basic_Fundamental_Information_Concatenate("光缆 39.21亿 41.12% 17.54% 8.37%
光纤及光纤预制棒 29.19亿 30.60% 62.97% 40.39%
其他产品及服务 25.71亿 26.96% 17.91% 13.04%")</f>
        <v>公司成立于1988年5月31日，主要从事研究、开发、生产和销售光纤预制棒、光纤、光缆及相关产品。公司主要产品包括光纤、光纤预制棒、光缆、其他产品及服务。
市值188.64258亿, 利润12.97亿; PE16.93; 平均PE18.84; 平均PEG2.96, PB1.66; ROIC5.7433%; ROE9.24%; 股利率2.0651%; 毛利22.5267%; 净利8.2567%; 上一年度营收增-3.45%, 利润增11.14%; 当季营收增-25.29%, 利润增-75.97%; 过往5年营收增6.36%, 利润增5.56%
Income profile:
光缆 39.21亿 41.12% 17.54% 8.37%
光纤及光纤预制棒 29.19亿 30.60% 62.97% 40.39%
其他产品及服务 25.71亿 26.96% 17.91% 13.04%</v>
      </c>
      <c r="D67" t="s">
        <v>452</v>
      </c>
      <c r="E67" t="s">
        <v>453</v>
      </c>
      <c r="F67">
        <v>24.89</v>
      </c>
      <c r="G67">
        <v>9.99</v>
      </c>
      <c r="H67" t="s">
        <v>3114</v>
      </c>
      <c r="I67">
        <v>18864258000</v>
      </c>
      <c r="J67">
        <v>16.93</v>
      </c>
      <c r="K67">
        <v>1.66</v>
      </c>
      <c r="L67" t="s">
        <v>212</v>
      </c>
      <c r="M67" t="s">
        <v>2481</v>
      </c>
      <c r="N67" t="s">
        <v>2482</v>
      </c>
      <c r="O67" t="s">
        <v>2483</v>
      </c>
      <c r="P67">
        <v>-25.29</v>
      </c>
      <c r="Q67" t="s">
        <v>2498</v>
      </c>
      <c r="R67">
        <v>57920130</v>
      </c>
      <c r="S67" s="4">
        <v>-0.75970000000000004</v>
      </c>
      <c r="T67" t="s">
        <v>1666</v>
      </c>
      <c r="U67">
        <v>406338310</v>
      </c>
      <c r="V67">
        <v>757905110</v>
      </c>
      <c r="W67">
        <v>2.02</v>
      </c>
      <c r="X67">
        <v>0.08</v>
      </c>
      <c r="Y67">
        <v>1.39</v>
      </c>
      <c r="Z67" t="s">
        <v>2484</v>
      </c>
      <c r="AA67" t="s">
        <v>2485</v>
      </c>
      <c r="AB67" t="s">
        <v>42</v>
      </c>
      <c r="AC67" t="s">
        <v>1122</v>
      </c>
      <c r="AD67" t="s">
        <v>2</v>
      </c>
      <c r="AE67">
        <v>37794730</v>
      </c>
      <c r="AF67" t="s">
        <v>2486</v>
      </c>
      <c r="AG67" t="s">
        <v>2487</v>
      </c>
      <c r="AH67" t="s">
        <v>2488</v>
      </c>
      <c r="AI67" t="s">
        <v>2489</v>
      </c>
      <c r="AJ67" t="s">
        <v>2490</v>
      </c>
      <c r="AK67" t="s">
        <v>966</v>
      </c>
      <c r="AL67" t="s">
        <v>2491</v>
      </c>
      <c r="AM67" t="s">
        <v>2</v>
      </c>
      <c r="AN67" t="s">
        <v>2492</v>
      </c>
      <c r="AO67" t="s">
        <v>2493</v>
      </c>
      <c r="AP67" t="s">
        <v>2494</v>
      </c>
      <c r="AQ67" t="s">
        <v>2495</v>
      </c>
      <c r="AR67" t="s">
        <v>2</v>
      </c>
      <c r="AS67" t="s">
        <v>2496</v>
      </c>
      <c r="AT67" t="s">
        <v>2497</v>
      </c>
      <c r="AU67" t="s">
        <v>104</v>
      </c>
      <c r="AV67" t="s">
        <v>2463</v>
      </c>
      <c r="AW67" t="s">
        <v>180</v>
      </c>
      <c r="AX67" t="s">
        <v>987</v>
      </c>
      <c r="AY67" t="s">
        <v>723</v>
      </c>
      <c r="AZ67" t="s">
        <v>454</v>
      </c>
      <c r="BA67" t="s">
        <v>456</v>
      </c>
      <c r="BB67" t="s">
        <v>457</v>
      </c>
      <c r="BC67" t="s">
        <v>988</v>
      </c>
      <c r="BD67" t="s">
        <v>284</v>
      </c>
      <c r="BE67" t="s">
        <v>455</v>
      </c>
      <c r="BF67" t="s">
        <v>273</v>
      </c>
      <c r="BG67" t="s">
        <v>458</v>
      </c>
      <c r="BH67" t="s">
        <v>2498</v>
      </c>
      <c r="BI67" t="s">
        <v>3115</v>
      </c>
      <c r="BJ67" t="s">
        <v>987</v>
      </c>
      <c r="BK67" t="s">
        <v>1666</v>
      </c>
      <c r="BL67" t="s">
        <v>1122</v>
      </c>
      <c r="BM67" t="s">
        <v>988</v>
      </c>
      <c r="BN67">
        <v>4.0999999999999996</v>
      </c>
      <c r="BO67">
        <v>7.05</v>
      </c>
      <c r="BP67">
        <v>6.08</v>
      </c>
      <c r="BQ67">
        <v>8.36</v>
      </c>
      <c r="BR67">
        <v>11.84</v>
      </c>
      <c r="BS67">
        <v>7.52</v>
      </c>
      <c r="BT67" t="s">
        <v>2500</v>
      </c>
      <c r="BU67" t="s">
        <v>789</v>
      </c>
      <c r="BV67">
        <v>24.5</v>
      </c>
      <c r="BW67">
        <v>23.45</v>
      </c>
      <c r="BX67">
        <v>19.63</v>
      </c>
      <c r="BY67">
        <v>8.81</v>
      </c>
      <c r="BZ67">
        <v>8.4</v>
      </c>
      <c r="CA67">
        <v>7.56</v>
      </c>
      <c r="CB67">
        <v>4.49</v>
      </c>
      <c r="CC67">
        <v>1.88</v>
      </c>
      <c r="CD67" t="s">
        <v>3116</v>
      </c>
      <c r="CE67" t="s">
        <v>3117</v>
      </c>
      <c r="CF67" s="8">
        <v>-0.25289514866979657</v>
      </c>
      <c r="CG67" s="9">
        <v>-0.75966751037344393</v>
      </c>
      <c r="CH67" s="8">
        <v>-3.449021652340889E-2</v>
      </c>
      <c r="CI67" s="8">
        <v>0.45029357075691223</v>
      </c>
      <c r="CJ67" s="8">
        <v>0.15981511771678925</v>
      </c>
      <c r="CK67" s="8">
        <v>5.8308687061071396E-2</v>
      </c>
      <c r="CL67" s="8">
        <v>-0.31610915064811707</v>
      </c>
      <c r="CM67" s="9">
        <v>0.11139662563800812</v>
      </c>
      <c r="CN67" s="9">
        <v>0.6459803581237793</v>
      </c>
      <c r="CO67" s="9">
        <v>0.30330881476402283</v>
      </c>
      <c r="CP67" s="9">
        <v>-0.32084894180297852</v>
      </c>
      <c r="CQ67" s="9">
        <v>-0.46205505728721619</v>
      </c>
      <c r="CR67">
        <v>18.84227534543033</v>
      </c>
      <c r="CS67">
        <v>2.9643183912811422</v>
      </c>
      <c r="CT67">
        <v>2.065086380072318</v>
      </c>
      <c r="CU67" s="8">
        <v>6.3563601672649378E-2</v>
      </c>
      <c r="CV67" s="9">
        <v>5.5556359887123111E-2</v>
      </c>
      <c r="CW67">
        <v>0.06</v>
      </c>
      <c r="CX67">
        <v>14.703273937503493</v>
      </c>
      <c r="CY67">
        <v>1301360369.2164397</v>
      </c>
      <c r="CZ67">
        <v>6.3563601672649378E-2</v>
      </c>
      <c r="DA67">
        <v>4.9139938599228188</v>
      </c>
      <c r="DB67">
        <v>3893830262.1933942</v>
      </c>
      <c r="DC67">
        <v>6.0385421589016906E-2</v>
      </c>
      <c r="DD67">
        <v>2.4920114760939609</v>
      </c>
      <c r="DE67">
        <v>7678238316.1378927</v>
      </c>
      <c r="DF67">
        <v>5.5935969471931454E-2</v>
      </c>
      <c r="DG67">
        <v>1.5468324852284243</v>
      </c>
      <c r="DH67">
        <v>12369961313.02117</v>
      </c>
      <c r="DI67">
        <v>5.0850881338119505E-2</v>
      </c>
      <c r="DJ67">
        <v>0.85796941944483429</v>
      </c>
      <c r="DK67">
        <v>22301794873.273212</v>
      </c>
      <c r="DL67">
        <v>4.4494521170854562E-2</v>
      </c>
      <c r="DM67">
        <v>1297000000</v>
      </c>
      <c r="DN67">
        <v>6.3563601672649378E-2</v>
      </c>
      <c r="DO67">
        <v>19134258000</v>
      </c>
      <c r="DP67">
        <v>6454513000</v>
      </c>
      <c r="DQ67">
        <v>3794</v>
      </c>
      <c r="DR67">
        <v>-0.31645875034244597</v>
      </c>
      <c r="DS67">
        <v>-0.81522387026056709</v>
      </c>
      <c r="DT67" s="10">
        <v>-0.25666666666666665</v>
      </c>
      <c r="DU67">
        <v>-0.2233333333333333</v>
      </c>
      <c r="DV67">
        <v>-0.48</v>
      </c>
      <c r="DW67">
        <v>4.4187082405345208</v>
      </c>
      <c r="DX67">
        <v>0.77579141662036644</v>
      </c>
      <c r="DY67">
        <v>4.0819794795648763</v>
      </c>
      <c r="DZ67">
        <v>2922</v>
      </c>
      <c r="EA67">
        <v>4.0350744395631981</v>
      </c>
      <c r="EB67">
        <v>4</v>
      </c>
      <c r="EC67">
        <v>1.1252595987906719E-2</v>
      </c>
      <c r="ED67">
        <v>5.7472366164677262E-2</v>
      </c>
      <c r="EE67" s="11">
        <v>-1.0576000000000001</v>
      </c>
      <c r="EF67">
        <v>7.5000000000000067E-3</v>
      </c>
      <c r="EG67">
        <v>58.195791416620366</v>
      </c>
      <c r="EH67" t="s">
        <v>766</v>
      </c>
      <c r="EI67">
        <v>0</v>
      </c>
      <c r="EJ67">
        <v>0</v>
      </c>
      <c r="EK67" s="12">
        <v>45511</v>
      </c>
      <c r="EL67">
        <v>-0.04</v>
      </c>
      <c r="EM67">
        <v>-2.44</v>
      </c>
      <c r="EN67">
        <v>-3.01</v>
      </c>
      <c r="EO67">
        <v>0.44</v>
      </c>
      <c r="EP67">
        <v>9.99</v>
      </c>
    </row>
    <row r="68" spans="1:146" ht="96" x14ac:dyDescent="0.25">
      <c r="A68" s="6"/>
      <c r="B68" s="6"/>
      <c r="C68" s="6" t="str">
        <f>""&amp;CHAR(10)&amp;Basic_Fundamental_Information_Constructure(F68)&amp;CHAR(10)&amp;Basic_Fundamental_Information_Concatenate("")</f>
        <v xml:space="preserve">
市值16.364105亿, 利润-8420.21万; PE; 平均PE-44.66; 平均PEG-31.66, PB1.86; ROIC0%; ROE-4.3933%; 股利率0%; 毛利16.9133%; 净利-6.17%; 上一年度营收增-14.08%, 利润增11.8%; 当季营收增-19.82%, 利润增78.21%; 过往5年营收增-1.41%, 利润增-227.87%
Income profile:
</v>
      </c>
      <c r="D68" t="s">
        <v>459</v>
      </c>
      <c r="E68" t="s">
        <v>460</v>
      </c>
      <c r="F68">
        <v>10.19</v>
      </c>
      <c r="G68">
        <v>10.039999999999999</v>
      </c>
      <c r="H68" t="s">
        <v>3118</v>
      </c>
      <c r="I68">
        <v>1636410500</v>
      </c>
      <c r="K68">
        <v>1.86</v>
      </c>
      <c r="L68" t="s">
        <v>212</v>
      </c>
      <c r="M68" t="s">
        <v>221</v>
      </c>
      <c r="N68" t="s">
        <v>1212</v>
      </c>
      <c r="O68" t="s">
        <v>1144</v>
      </c>
      <c r="P68">
        <v>-19.850000000000001</v>
      </c>
      <c r="Q68" t="s">
        <v>2513</v>
      </c>
      <c r="R68">
        <v>-4300000</v>
      </c>
      <c r="S68" s="4">
        <v>0.80610000000000004</v>
      </c>
      <c r="T68" t="s">
        <v>2514</v>
      </c>
      <c r="U68">
        <v>160589840</v>
      </c>
      <c r="V68">
        <v>160589840</v>
      </c>
      <c r="W68">
        <v>1.74</v>
      </c>
      <c r="X68">
        <v>0.11</v>
      </c>
      <c r="Y68">
        <v>-3.34</v>
      </c>
      <c r="Z68" t="s">
        <v>99</v>
      </c>
      <c r="AA68" t="s">
        <v>36</v>
      </c>
      <c r="AB68" t="s">
        <v>2501</v>
      </c>
      <c r="AC68" t="s">
        <v>2502</v>
      </c>
      <c r="AD68" t="s">
        <v>2</v>
      </c>
      <c r="AE68">
        <v>1661332</v>
      </c>
      <c r="AF68" t="s">
        <v>2503</v>
      </c>
      <c r="AG68">
        <v>197.64</v>
      </c>
      <c r="AH68" t="s">
        <v>2504</v>
      </c>
      <c r="AI68" t="s">
        <v>356</v>
      </c>
      <c r="AJ68" t="s">
        <v>2505</v>
      </c>
      <c r="AK68" t="s">
        <v>2506</v>
      </c>
      <c r="AL68" t="s">
        <v>2507</v>
      </c>
      <c r="AM68" t="s">
        <v>2</v>
      </c>
      <c r="AN68">
        <v>0</v>
      </c>
      <c r="AO68" t="s">
        <v>115</v>
      </c>
      <c r="AP68" t="s">
        <v>2508</v>
      </c>
      <c r="AQ68" t="s">
        <v>121</v>
      </c>
      <c r="AR68" t="s">
        <v>2509</v>
      </c>
      <c r="AS68" t="s">
        <v>1215</v>
      </c>
      <c r="AT68" t="s">
        <v>2</v>
      </c>
      <c r="AU68" t="s">
        <v>2510</v>
      </c>
      <c r="AV68" t="s">
        <v>2511</v>
      </c>
      <c r="AW68" t="s">
        <v>2512</v>
      </c>
      <c r="AX68" t="s">
        <v>844</v>
      </c>
      <c r="AY68" t="s">
        <v>724</v>
      </c>
      <c r="AZ68" t="s">
        <v>461</v>
      </c>
      <c r="BA68" t="s">
        <v>463</v>
      </c>
      <c r="BB68" t="s">
        <v>464</v>
      </c>
      <c r="BC68" t="s">
        <v>989</v>
      </c>
      <c r="BD68" t="s">
        <v>725</v>
      </c>
      <c r="BE68" t="s">
        <v>462</v>
      </c>
      <c r="BF68" t="s">
        <v>466</v>
      </c>
      <c r="BG68" t="s">
        <v>990</v>
      </c>
      <c r="BH68" t="s">
        <v>2513</v>
      </c>
      <c r="BI68" t="s">
        <v>28</v>
      </c>
      <c r="BJ68" t="s">
        <v>844</v>
      </c>
      <c r="BK68" t="s">
        <v>2514</v>
      </c>
      <c r="BL68" t="s">
        <v>3119</v>
      </c>
      <c r="BM68" t="s">
        <v>989</v>
      </c>
      <c r="BN68" t="s">
        <v>2</v>
      </c>
      <c r="BO68" t="s">
        <v>2</v>
      </c>
      <c r="BP68" t="s">
        <v>2</v>
      </c>
      <c r="BQ68">
        <v>-4.7</v>
      </c>
      <c r="BR68">
        <v>-9.3699999999999992</v>
      </c>
      <c r="BS68">
        <v>0.89</v>
      </c>
      <c r="BT68" t="s">
        <v>836</v>
      </c>
      <c r="BU68" t="s">
        <v>789</v>
      </c>
      <c r="BV68">
        <v>15.79</v>
      </c>
      <c r="BW68">
        <v>16.670000000000002</v>
      </c>
      <c r="BX68">
        <v>18.28</v>
      </c>
      <c r="BY68">
        <v>-8.7100000000000009</v>
      </c>
      <c r="BZ68">
        <v>-9.51</v>
      </c>
      <c r="CA68">
        <v>-0.28999999999999998</v>
      </c>
      <c r="CB68">
        <v>3.66</v>
      </c>
      <c r="CC68">
        <v>4.1900000000000004</v>
      </c>
      <c r="CD68" t="s">
        <v>3120</v>
      </c>
      <c r="CE68" t="s">
        <v>3121</v>
      </c>
      <c r="CF68" s="8">
        <v>-0.19815668202764977</v>
      </c>
      <c r="CG68" s="9">
        <v>0.78210968497114219</v>
      </c>
      <c r="CH68" s="8">
        <v>-0.14076782763004303</v>
      </c>
      <c r="CI68" s="8">
        <v>-7.6013512909412384E-2</v>
      </c>
      <c r="CJ68" s="8">
        <v>1.8932875245809555E-2</v>
      </c>
      <c r="CK68" s="8">
        <v>6.9324090145528316E-3</v>
      </c>
      <c r="CL68" s="8">
        <v>0.12038835138082504</v>
      </c>
      <c r="CM68" s="9">
        <v>0.11803949624300003</v>
      </c>
      <c r="CN68" s="9">
        <v>-12.346743583679199</v>
      </c>
      <c r="CO68" s="9">
        <v>-0.73516315221786499</v>
      </c>
      <c r="CP68" s="9">
        <v>0.34294131398200989</v>
      </c>
      <c r="CQ68" s="9">
        <v>1.2274750471115112</v>
      </c>
      <c r="CR68">
        <v>-44.663544884563969</v>
      </c>
      <c r="CS68">
        <v>-31.6638298020533</v>
      </c>
      <c r="CT68">
        <v>0</v>
      </c>
      <c r="CU68" s="8">
        <v>-1.4105540979653598E-2</v>
      </c>
      <c r="CV68" s="9">
        <v>-2.2786901757121085</v>
      </c>
      <c r="CW68">
        <v>0.06</v>
      </c>
      <c r="CX68" t="e">
        <v>#VALUE!</v>
      </c>
      <c r="CY68" t="s">
        <v>768</v>
      </c>
      <c r="CZ68">
        <v>-1.4105540979653598E-2</v>
      </c>
      <c r="DA68" t="e">
        <v>#VALUE!</v>
      </c>
      <c r="DB68" t="s">
        <v>765</v>
      </c>
      <c r="DC68">
        <v>-1.3400263930670918E-2</v>
      </c>
      <c r="DD68" t="e">
        <v>#VALUE!</v>
      </c>
      <c r="DE68" t="s">
        <v>765</v>
      </c>
      <c r="DF68">
        <v>-1.2412876062095166E-2</v>
      </c>
      <c r="DG68" t="e">
        <v>#VALUE!</v>
      </c>
      <c r="DH68" t="s">
        <v>765</v>
      </c>
      <c r="DI68">
        <v>-1.1284432783722879E-2</v>
      </c>
      <c r="DJ68" t="e">
        <v>#VALUE!</v>
      </c>
      <c r="DK68" t="s">
        <v>765</v>
      </c>
      <c r="DL68">
        <v>-9.8738786857575176E-3</v>
      </c>
      <c r="DM68">
        <v>-84202099.999999985</v>
      </c>
      <c r="DN68">
        <v>-1.4105540979653598E-2</v>
      </c>
      <c r="DO68">
        <v>1355410500</v>
      </c>
      <c r="DP68">
        <v>407079560</v>
      </c>
      <c r="DQ68">
        <v>3877</v>
      </c>
      <c r="DR68">
        <v>-0.18405114104799616</v>
      </c>
      <c r="DS68">
        <v>3.0607998606832507</v>
      </c>
      <c r="DT68" s="10">
        <v>-0.44</v>
      </c>
      <c r="DU68">
        <v>-1.1016666666666668</v>
      </c>
      <c r="DV68">
        <v>-1.5416666666666667</v>
      </c>
      <c r="DW68">
        <v>8.8735083532219576</v>
      </c>
      <c r="DX68">
        <v>0.28362426035502836</v>
      </c>
      <c r="DY68">
        <v>8.0817815734843457</v>
      </c>
      <c r="DZ68">
        <v>4052</v>
      </c>
      <c r="EA68">
        <v>8.0168943724350861</v>
      </c>
      <c r="EB68">
        <v>8</v>
      </c>
      <c r="EC68">
        <v>0.19705480745232701</v>
      </c>
      <c r="ED68">
        <v>2.1047408727725241</v>
      </c>
      <c r="EE68" s="11">
        <v>-1.0806100000000001</v>
      </c>
      <c r="EF68">
        <v>-1.0198</v>
      </c>
      <c r="EG68">
        <v>19.093624260355028</v>
      </c>
      <c r="EH68" t="s">
        <v>1259</v>
      </c>
      <c r="EI68">
        <v>0</v>
      </c>
      <c r="EJ68">
        <v>0</v>
      </c>
      <c r="EK68" s="12">
        <v>45511</v>
      </c>
      <c r="EL68">
        <v>0.31</v>
      </c>
      <c r="EM68">
        <v>-3.35</v>
      </c>
      <c r="EN68">
        <v>-5.46</v>
      </c>
      <c r="EO68">
        <v>2.77</v>
      </c>
      <c r="EP68">
        <v>10.039999999999999</v>
      </c>
    </row>
    <row r="69" spans="1:146" ht="163.75" customHeight="1" x14ac:dyDescent="0.25">
      <c r="A69" s="6"/>
      <c r="B69" s="6"/>
      <c r="C69" s="6" t="str">
        <f>"公司的主营业务是电信、数通和企业网络的终端设备（包括电信宽带、无线网络与小基站、交换机与工业物联网基础硬件）以及高速光模块产品的研发、生产和销售。公司主要产品有电信宽带接入终端、无线网络与小基站、交换机和工业物联网基础硬件、高速光组件与光模块。"&amp;CHAR(10)&amp;Basic_Fundamental_Information_Constructure(F69)&amp;CHAR(10)&amp;Basic_Fundamental_Information_Concatenate("电信宽带 20.59亿 54.40% 46.03% 15.79%
无线网络与小基站 10.56亿 27.90% 29.82% 19.94%
高速光模块 4.78亿 12.63% 18.67% 27.58%
交换机与工业物联网基础硬件 1.90亿 5.02% 5.61% 20.81%")</f>
        <v>公司的主营业务是电信、数通和企业网络的终端设备（包括电信宽带、无线网络与小基站、交换机与工业物联网基础硬件）以及高速光模块产品的研发、生产和销售。公司主要产品有电信宽带接入终端、无线网络与小基站、交换机和工业物联网基础硬件、高速光组件与光模块。
市值75.051715亿, 利润9501.82万; PE151.6; 平均PE271.6; 平均PEG315.35, PB3.47; ROIC5.3%; ROE6.4%; 股利率.475%; 毛利20.02%; 净利3.3033%; 上一年度营收增-18.46%, 利润增-44.43%; 当季营收增-20.86%, 利润增-63.69%; 过往5年营收增.86%, 利润增-231.96%
Income profile:
电信宽带 20.59亿 54.40% 46.03% 15.79%
无线网络与小基站 10.56亿 27.90% 29.82% 19.94%
高速光模块 4.78亿 12.63% 18.67% 27.58%
交换机与工业物联网基础硬件 1.90亿 5.02% 5.61% 20.81%</v>
      </c>
      <c r="D69" t="s">
        <v>553</v>
      </c>
      <c r="E69" t="s">
        <v>554</v>
      </c>
      <c r="F69">
        <v>28</v>
      </c>
      <c r="G69">
        <v>1.1599999999999999</v>
      </c>
      <c r="H69" t="s">
        <v>3122</v>
      </c>
      <c r="I69">
        <v>7505171500</v>
      </c>
      <c r="J69">
        <v>151.6</v>
      </c>
      <c r="K69">
        <v>3.47</v>
      </c>
      <c r="L69" t="s">
        <v>212</v>
      </c>
      <c r="M69" t="s">
        <v>2515</v>
      </c>
      <c r="N69" t="s">
        <v>2516</v>
      </c>
      <c r="O69" t="s">
        <v>2517</v>
      </c>
      <c r="P69">
        <v>-20.91</v>
      </c>
      <c r="Q69" t="s">
        <v>2530</v>
      </c>
      <c r="R69">
        <v>25954696</v>
      </c>
      <c r="S69" s="4">
        <v>-0.63690000000000002</v>
      </c>
      <c r="T69" t="s">
        <v>2531</v>
      </c>
      <c r="U69">
        <v>265077210</v>
      </c>
      <c r="V69">
        <v>268041840</v>
      </c>
      <c r="W69">
        <v>2.25</v>
      </c>
      <c r="X69">
        <v>0.17</v>
      </c>
      <c r="Y69">
        <v>3.67</v>
      </c>
      <c r="Z69" t="s">
        <v>1245</v>
      </c>
      <c r="AA69" t="s">
        <v>221</v>
      </c>
      <c r="AB69" t="s">
        <v>2518</v>
      </c>
      <c r="AC69" t="s">
        <v>2519</v>
      </c>
      <c r="AD69" t="s">
        <v>2</v>
      </c>
      <c r="AE69">
        <v>24999326</v>
      </c>
      <c r="AF69" t="s">
        <v>20</v>
      </c>
      <c r="AG69" t="s">
        <v>2520</v>
      </c>
      <c r="AH69" t="s">
        <v>2521</v>
      </c>
      <c r="AI69" t="s">
        <v>742</v>
      </c>
      <c r="AJ69" t="s">
        <v>2522</v>
      </c>
      <c r="AK69" t="s">
        <v>2</v>
      </c>
      <c r="AL69" t="s">
        <v>2523</v>
      </c>
      <c r="AM69" t="s">
        <v>2</v>
      </c>
      <c r="AN69" t="s">
        <v>2524</v>
      </c>
      <c r="AO69" t="s">
        <v>2525</v>
      </c>
      <c r="AP69" t="s">
        <v>57</v>
      </c>
      <c r="AQ69" t="s">
        <v>2471</v>
      </c>
      <c r="AR69" t="s">
        <v>2</v>
      </c>
      <c r="AS69" t="s">
        <v>2526</v>
      </c>
      <c r="AT69" t="s">
        <v>2527</v>
      </c>
      <c r="AU69" t="s">
        <v>2528</v>
      </c>
      <c r="AV69" t="s">
        <v>2529</v>
      </c>
      <c r="AW69" t="s">
        <v>146</v>
      </c>
      <c r="AX69" t="s">
        <v>991</v>
      </c>
      <c r="AY69" t="s">
        <v>726</v>
      </c>
      <c r="AZ69" t="s">
        <v>555</v>
      </c>
      <c r="BA69" t="s">
        <v>557</v>
      </c>
      <c r="BB69" t="s">
        <v>558</v>
      </c>
      <c r="BC69" t="s">
        <v>115</v>
      </c>
      <c r="BD69" t="s">
        <v>727</v>
      </c>
      <c r="BE69" t="s">
        <v>556</v>
      </c>
      <c r="BF69" t="s">
        <v>559</v>
      </c>
      <c r="BG69" t="s">
        <v>560</v>
      </c>
      <c r="BH69" t="s">
        <v>2530</v>
      </c>
      <c r="BI69" t="s">
        <v>3123</v>
      </c>
      <c r="BJ69" t="s">
        <v>991</v>
      </c>
      <c r="BK69" t="s">
        <v>2531</v>
      </c>
      <c r="BL69" t="s">
        <v>3124</v>
      </c>
      <c r="BM69" t="s">
        <v>115</v>
      </c>
      <c r="BN69">
        <v>3.89</v>
      </c>
      <c r="BO69">
        <v>7.79</v>
      </c>
      <c r="BP69">
        <v>4.22</v>
      </c>
      <c r="BQ69">
        <v>5.88</v>
      </c>
      <c r="BR69">
        <v>9.3699999999999992</v>
      </c>
      <c r="BS69">
        <v>3.95</v>
      </c>
      <c r="BT69" t="s">
        <v>2532</v>
      </c>
      <c r="BU69" t="s">
        <v>790</v>
      </c>
      <c r="BV69">
        <v>21.62</v>
      </c>
      <c r="BW69">
        <v>18.66</v>
      </c>
      <c r="BX69">
        <v>19.78</v>
      </c>
      <c r="BY69">
        <v>3.08</v>
      </c>
      <c r="BZ69">
        <v>4.53</v>
      </c>
      <c r="CA69">
        <v>2.2999999999999998</v>
      </c>
      <c r="CB69">
        <v>-8.0500000000000007</v>
      </c>
      <c r="CC69">
        <v>-14.91</v>
      </c>
      <c r="CD69" t="s">
        <v>3125</v>
      </c>
      <c r="CE69" t="s">
        <v>1023</v>
      </c>
      <c r="CF69" s="8">
        <v>-0.20856610800744879</v>
      </c>
      <c r="CG69" s="9">
        <v>-0.63685758858302144</v>
      </c>
      <c r="CH69" s="8">
        <v>-0.18462753295898438</v>
      </c>
      <c r="CI69" s="8">
        <v>0.29657530784606934</v>
      </c>
      <c r="CJ69" s="8">
        <v>7.7888548374176025E-2</v>
      </c>
      <c r="CK69" s="8">
        <v>-8.9105643332004547E-2</v>
      </c>
      <c r="CL69" s="8">
        <v>-5.7667892426252365E-2</v>
      </c>
      <c r="CM69" s="9">
        <v>-0.44433802366256714</v>
      </c>
      <c r="CN69" s="9">
        <v>1.5423804521560669</v>
      </c>
      <c r="CO69" s="9">
        <v>1.2528563737869263</v>
      </c>
      <c r="CP69" s="9">
        <v>-13.232022285461426</v>
      </c>
      <c r="CQ69" s="9">
        <v>-0.71676337718963623</v>
      </c>
      <c r="CR69">
        <v>271.59570137097506</v>
      </c>
      <c r="CS69">
        <v>315.34849126061391</v>
      </c>
      <c r="CT69">
        <v>0.47500000000000003</v>
      </c>
      <c r="CU69" s="8">
        <v>8.6125575006008141E-3</v>
      </c>
      <c r="CV69" s="9">
        <v>-2.3195773720741273</v>
      </c>
      <c r="CW69">
        <v>0.06</v>
      </c>
      <c r="CX69">
        <v>84.43774128340138</v>
      </c>
      <c r="CY69">
        <v>90411839.350097731</v>
      </c>
      <c r="CZ69">
        <v>8.6125575006008141E-3</v>
      </c>
      <c r="DA69">
        <v>29.580410168978368</v>
      </c>
      <c r="DB69">
        <v>258082002.79812634</v>
      </c>
      <c r="DC69">
        <v>8.1819296255707732E-3</v>
      </c>
      <c r="DD69">
        <v>15.931972034347226</v>
      </c>
      <c r="DE69">
        <v>479173041.70141244</v>
      </c>
      <c r="DF69">
        <v>7.5790506005287165E-3</v>
      </c>
      <c r="DG69">
        <v>10.544188387516876</v>
      </c>
      <c r="DH69">
        <v>724016986.36549342</v>
      </c>
      <c r="DI69">
        <v>6.8900460004806515E-3</v>
      </c>
      <c r="DJ69">
        <v>6.6479330295025845</v>
      </c>
      <c r="DK69">
        <v>1148352648.2773862</v>
      </c>
      <c r="DL69">
        <v>6.0287902504205697E-3</v>
      </c>
      <c r="DM69">
        <v>95018200</v>
      </c>
      <c r="DN69">
        <v>8.6125575006008141E-3</v>
      </c>
      <c r="DO69">
        <v>7634171500</v>
      </c>
      <c r="DP69">
        <v>1117097900</v>
      </c>
      <c r="DQ69">
        <v>3910</v>
      </c>
      <c r="DR69">
        <v>-0.2171786655080496</v>
      </c>
      <c r="DS69">
        <v>1.6827197834911058</v>
      </c>
      <c r="DT69" s="10">
        <v>-0.45666666666666672</v>
      </c>
      <c r="DU69">
        <v>-0.88999999999999979</v>
      </c>
      <c r="DV69">
        <v>-1.3466666666666665</v>
      </c>
      <c r="DW69">
        <v>-9.5399061032863841</v>
      </c>
      <c r="DX69">
        <v>0.38979568345323568</v>
      </c>
      <c r="DY69">
        <v>-9.0970727868409504</v>
      </c>
      <c r="DZ69">
        <v>3916</v>
      </c>
      <c r="EA69">
        <v>-9.0226382786621446</v>
      </c>
      <c r="EB69">
        <v>9</v>
      </c>
      <c r="EC69">
        <v>0.18647536518925553</v>
      </c>
      <c r="ED69">
        <v>1.0371515133607498</v>
      </c>
      <c r="EE69" s="11">
        <v>1.3299999999999999E-2</v>
      </c>
      <c r="EF69">
        <v>2.4899999999999999E-2</v>
      </c>
      <c r="EG69">
        <v>21.179795683453236</v>
      </c>
      <c r="EH69" t="s">
        <v>766</v>
      </c>
      <c r="EI69">
        <v>0</v>
      </c>
      <c r="EJ69">
        <v>0</v>
      </c>
      <c r="EK69" s="12">
        <v>45511</v>
      </c>
      <c r="EL69">
        <v>-2.0699999999999998</v>
      </c>
      <c r="EM69">
        <v>-3.09</v>
      </c>
      <c r="EN69">
        <v>-5.64</v>
      </c>
      <c r="EO69">
        <v>1.5</v>
      </c>
      <c r="EP69">
        <v>1.1599999999999999</v>
      </c>
    </row>
    <row r="70" spans="1:146" ht="96" x14ac:dyDescent="0.25">
      <c r="A70" s="6"/>
      <c r="B70" s="6"/>
      <c r="C70" s="6" t="str">
        <f>""&amp;CHAR(10)&amp;Basic_Fundamental_Information_Constructure(F70)&amp;CHAR(10)&amp;Basic_Fundamental_Information_Concatenate("")</f>
        <v xml:space="preserve">
市值45.425849亿, 利润6471.61万; PE; 平均PE17.72; 平均PEG10.61, PB.889; ROIC3.91%; ROE5.3667%; 股利率2.201%; 毛利13.06%; 净利2.1%; 上一年度营收增-22.27%, 利润增-71.49%; 当季营收增-9.51%, 利润增-121.59%; 过往5年营收增1.67%, 利润增-5.3%
Income profile:
</v>
      </c>
      <c r="D70" t="s">
        <v>561</v>
      </c>
      <c r="E70" t="s">
        <v>562</v>
      </c>
      <c r="F70">
        <v>5.77</v>
      </c>
      <c r="G70">
        <v>1.41</v>
      </c>
      <c r="H70" t="s">
        <v>3126</v>
      </c>
      <c r="I70">
        <v>4542584900</v>
      </c>
      <c r="K70">
        <v>0.88900000000000001</v>
      </c>
      <c r="L70" t="s">
        <v>212</v>
      </c>
      <c r="M70" t="s">
        <v>2534</v>
      </c>
      <c r="N70" t="s">
        <v>2535</v>
      </c>
      <c r="O70" t="s">
        <v>2536</v>
      </c>
      <c r="P70">
        <v>-9.5</v>
      </c>
      <c r="Q70" t="s">
        <v>2553</v>
      </c>
      <c r="R70">
        <v>-16500000</v>
      </c>
      <c r="S70" s="4">
        <v>-0.92059999999999997</v>
      </c>
      <c r="T70" t="s">
        <v>2554</v>
      </c>
      <c r="U70">
        <v>787276410</v>
      </c>
      <c r="V70">
        <v>787276410</v>
      </c>
      <c r="W70">
        <v>1.89</v>
      </c>
      <c r="X70">
        <v>0.19</v>
      </c>
      <c r="Y70">
        <v>0.12</v>
      </c>
      <c r="Z70" t="s">
        <v>2537</v>
      </c>
      <c r="AA70" t="s">
        <v>2538</v>
      </c>
      <c r="AB70" t="s">
        <v>2539</v>
      </c>
      <c r="AC70" t="s">
        <v>2540</v>
      </c>
      <c r="AD70" t="s">
        <v>2</v>
      </c>
      <c r="AE70">
        <v>8046935</v>
      </c>
      <c r="AF70" t="s">
        <v>2541</v>
      </c>
      <c r="AG70" t="s">
        <v>2542</v>
      </c>
      <c r="AH70" t="s">
        <v>2543</v>
      </c>
      <c r="AI70" t="s">
        <v>2544</v>
      </c>
      <c r="AJ70" t="s">
        <v>2545</v>
      </c>
      <c r="AK70" t="s">
        <v>184</v>
      </c>
      <c r="AL70" t="s">
        <v>2546</v>
      </c>
      <c r="AM70" t="s">
        <v>2</v>
      </c>
      <c r="AN70" t="s">
        <v>1018</v>
      </c>
      <c r="AO70" t="s">
        <v>2547</v>
      </c>
      <c r="AP70" t="s">
        <v>1140</v>
      </c>
      <c r="AQ70" t="s">
        <v>2548</v>
      </c>
      <c r="AR70" t="s">
        <v>2</v>
      </c>
      <c r="AS70" t="s">
        <v>2549</v>
      </c>
      <c r="AT70" t="s">
        <v>2356</v>
      </c>
      <c r="AU70" t="s">
        <v>2550</v>
      </c>
      <c r="AV70" t="s">
        <v>2551</v>
      </c>
      <c r="AW70" t="s">
        <v>2552</v>
      </c>
      <c r="AX70" t="s">
        <v>993</v>
      </c>
      <c r="AY70" t="s">
        <v>728</v>
      </c>
      <c r="AZ70" t="s">
        <v>563</v>
      </c>
      <c r="BA70" t="s">
        <v>564</v>
      </c>
      <c r="BB70" t="s">
        <v>565</v>
      </c>
      <c r="BC70" t="s">
        <v>31</v>
      </c>
      <c r="BD70" t="s">
        <v>3</v>
      </c>
      <c r="BE70" t="s">
        <v>136</v>
      </c>
      <c r="BF70" t="s">
        <v>172</v>
      </c>
      <c r="BG70" t="s">
        <v>4</v>
      </c>
      <c r="BH70" t="s">
        <v>2553</v>
      </c>
      <c r="BI70" t="s">
        <v>2050</v>
      </c>
      <c r="BJ70" t="s">
        <v>993</v>
      </c>
      <c r="BK70" t="s">
        <v>2554</v>
      </c>
      <c r="BL70" t="s">
        <v>3127</v>
      </c>
      <c r="BM70" t="s">
        <v>31</v>
      </c>
      <c r="BN70">
        <v>2.35</v>
      </c>
      <c r="BO70">
        <v>3.13</v>
      </c>
      <c r="BP70">
        <v>6.25</v>
      </c>
      <c r="BQ70">
        <v>3.45</v>
      </c>
      <c r="BR70">
        <v>4.49</v>
      </c>
      <c r="BS70">
        <v>8.16</v>
      </c>
      <c r="BT70" t="s">
        <v>2555</v>
      </c>
      <c r="BU70" t="s">
        <v>790</v>
      </c>
      <c r="BV70">
        <v>13.21</v>
      </c>
      <c r="BW70">
        <v>13.61</v>
      </c>
      <c r="BX70">
        <v>12.36</v>
      </c>
      <c r="BY70">
        <v>0.57999999999999996</v>
      </c>
      <c r="BZ70">
        <v>2.06</v>
      </c>
      <c r="CA70">
        <v>3.66</v>
      </c>
      <c r="CB70">
        <v>-4.63</v>
      </c>
      <c r="CC70">
        <v>-14.39</v>
      </c>
      <c r="CD70" t="s">
        <v>3128</v>
      </c>
      <c r="CE70" t="s">
        <v>163</v>
      </c>
      <c r="CF70" s="8">
        <v>-9.514837494112105E-2</v>
      </c>
      <c r="CG70" s="9">
        <v>-1.2158872048233127</v>
      </c>
      <c r="CH70" s="8">
        <v>-0.22270824015140533</v>
      </c>
      <c r="CI70" s="8">
        <v>1.5358957462012768E-2</v>
      </c>
      <c r="CJ70" s="8">
        <v>0.22234788537025452</v>
      </c>
      <c r="CK70" s="8">
        <v>0.12766234576702118</v>
      </c>
      <c r="CL70" s="8">
        <v>-5.9155289083719254E-2</v>
      </c>
      <c r="CM70" s="9">
        <v>-0.71490705013275146</v>
      </c>
      <c r="CN70" s="9">
        <v>-0.42676767706871033</v>
      </c>
      <c r="CO70" s="9">
        <v>0.14121037721633911</v>
      </c>
      <c r="CP70" s="9">
        <v>0.11575562506914139</v>
      </c>
      <c r="CQ70" s="9">
        <v>0.61979168653488159</v>
      </c>
      <c r="CR70">
        <v>17.7246693326551</v>
      </c>
      <c r="CS70">
        <v>10.612855145157726</v>
      </c>
      <c r="CT70">
        <v>2.2010398613518198</v>
      </c>
      <c r="CU70" s="8">
        <v>1.6701131872832776E-2</v>
      </c>
      <c r="CV70" s="9">
        <v>-5.2983407676219937E-2</v>
      </c>
      <c r="CW70">
        <v>0.06</v>
      </c>
      <c r="CX70">
        <v>72.440763427669594</v>
      </c>
      <c r="CY70">
        <v>62072577.472071156</v>
      </c>
      <c r="CZ70">
        <v>1.6701131872832776E-2</v>
      </c>
      <c r="DA70">
        <v>25.201491380950301</v>
      </c>
      <c r="DB70">
        <v>178425349.19972828</v>
      </c>
      <c r="DC70">
        <v>1.5866075279191136E-2</v>
      </c>
      <c r="DD70">
        <v>13.45565402311456</v>
      </c>
      <c r="DE70">
        <v>334178100.31943601</v>
      </c>
      <c r="DF70">
        <v>1.4696996048092843E-2</v>
      </c>
      <c r="DG70">
        <v>8.8252889246676247</v>
      </c>
      <c r="DH70">
        <v>509511352.92937154</v>
      </c>
      <c r="DI70">
        <v>1.3360905498266221E-2</v>
      </c>
      <c r="DJ70">
        <v>5.4695670643668226</v>
      </c>
      <c r="DK70">
        <v>822109839.24018157</v>
      </c>
      <c r="DL70">
        <v>1.1690792310982943E-2</v>
      </c>
      <c r="DM70">
        <v>64716100</v>
      </c>
      <c r="DN70">
        <v>1.6701131872832776E-2</v>
      </c>
      <c r="DO70">
        <v>4496584900</v>
      </c>
      <c r="DP70">
        <v>1772134900.0000005</v>
      </c>
      <c r="DQ70">
        <v>3939</v>
      </c>
      <c r="DR70">
        <v>-0.11184950681395382</v>
      </c>
      <c r="DS70">
        <v>-1.1629037971470928</v>
      </c>
      <c r="DT70" s="10">
        <v>-0.47333333333333333</v>
      </c>
      <c r="DU70">
        <v>-1.1816666666666666</v>
      </c>
      <c r="DV70">
        <v>-1.655</v>
      </c>
      <c r="DW70">
        <v>-8.3217512161223066</v>
      </c>
      <c r="DX70">
        <v>0.38382222222222095</v>
      </c>
      <c r="DY70">
        <v>-8.0494924870666349</v>
      </c>
      <c r="DZ70">
        <v>4131</v>
      </c>
      <c r="EA70">
        <v>-8.0094585211233671</v>
      </c>
      <c r="EB70">
        <v>8</v>
      </c>
      <c r="EC70">
        <v>5.2754025743004293E-2</v>
      </c>
      <c r="ED70">
        <v>0.34295451580976494</v>
      </c>
      <c r="EE70" s="11">
        <v>-2.0686100000000001</v>
      </c>
      <c r="EF70">
        <v>-2.0545100000000001</v>
      </c>
      <c r="EG70">
        <v>23.153822222222221</v>
      </c>
      <c r="EH70" t="s">
        <v>1183</v>
      </c>
      <c r="EI70">
        <v>0</v>
      </c>
      <c r="EJ70">
        <v>0</v>
      </c>
      <c r="EK70" s="12">
        <v>45511</v>
      </c>
      <c r="EL70">
        <v>0</v>
      </c>
      <c r="EM70">
        <v>-3.14</v>
      </c>
      <c r="EN70">
        <v>-4.78</v>
      </c>
      <c r="EO70">
        <v>1.97</v>
      </c>
      <c r="EP70">
        <v>1.41</v>
      </c>
    </row>
    <row r="71" spans="1:146" ht="168" x14ac:dyDescent="0.25">
      <c r="A71" s="6" t="s">
        <v>1123</v>
      </c>
      <c r="B71" s="6" t="s">
        <v>886</v>
      </c>
      <c r="C71" s="6" t="str">
        <f>"公司主营业务是从事物联网领域无线通信模组及其解决方案的设计、生产、研发与销售服务。主要产品类型包括GSM/GPRS模组(2G模组)、WCDMA/HSPA模组(3G模组)、LTE模组(4G模组)、LPWA模组、5G模组、GNSS定位模组、Wi-Fi模组以及天线等。"&amp;CHAR(10)&amp;Basic_Fundamental_Information_Constructure(F71)&amp;CHAR(10)&amp;Basic_Fundamental_Information_Concatenate("模组+天线	140.93亿	99.03%	99.17%	19.81%
其他	1.37亿	0.97%	0.83%	16.99%")</f>
        <v>公司主营业务是从事物联网领域无线通信模组及其解决方案的设计、生产、研发与销售服务。主要产品类型包括GSM/GPRS模组(2G模组)、WCDMA/HSPA模组(3G模组)、LTE模组(4G模组)、LPWA模组、5G模组、GNSS定位模组、Wi-Fi模组以及天线等。
市值113.264517亿, 利润9070.61万; PE40.4; 平均PE42.78; 平均PEG1.02, PB3.13; ROIC10.315%; ROE10.07%; 股利率.2569%; 毛利18.76%; 净利2.7167%; 上一年度营收增-2.59%, 利润增-85.44%; 当季营收增26.04%, 利润增248.15%; 过往5年营收增41.79%, 利润增17.58%
Income profile:
模组+天线	140.93亿	99.03%	99.17%	19.81%
其他	1.37亿	0.97%	0.83%	16.99%</v>
      </c>
      <c r="D71" t="s">
        <v>566</v>
      </c>
      <c r="E71" t="s">
        <v>567</v>
      </c>
      <c r="F71">
        <v>42.81</v>
      </c>
      <c r="G71">
        <v>0.68</v>
      </c>
      <c r="H71" t="s">
        <v>3129</v>
      </c>
      <c r="I71">
        <v>11326451700</v>
      </c>
      <c r="J71">
        <v>40.4</v>
      </c>
      <c r="K71">
        <v>3.13</v>
      </c>
      <c r="L71" t="s">
        <v>212</v>
      </c>
      <c r="M71" t="s">
        <v>2556</v>
      </c>
      <c r="N71" t="s">
        <v>2557</v>
      </c>
      <c r="O71" t="s">
        <v>2558</v>
      </c>
      <c r="P71">
        <v>26.06</v>
      </c>
      <c r="Q71" t="s">
        <v>2573</v>
      </c>
      <c r="R71">
        <v>200000000</v>
      </c>
      <c r="S71" s="4">
        <v>1.4059999999999999</v>
      </c>
      <c r="T71" t="s">
        <v>2574</v>
      </c>
      <c r="U71">
        <v>264574910</v>
      </c>
      <c r="V71">
        <v>264574910</v>
      </c>
      <c r="W71">
        <v>3.26</v>
      </c>
      <c r="X71">
        <v>0.34</v>
      </c>
      <c r="Y71">
        <v>1.33</v>
      </c>
      <c r="Z71" t="s">
        <v>2559</v>
      </c>
      <c r="AA71" t="s">
        <v>439</v>
      </c>
      <c r="AB71" t="s">
        <v>42</v>
      </c>
      <c r="AC71" t="s">
        <v>2560</v>
      </c>
      <c r="AD71" t="s">
        <v>2</v>
      </c>
      <c r="AE71">
        <v>20063431</v>
      </c>
      <c r="AF71" t="s">
        <v>2561</v>
      </c>
      <c r="AG71" t="s">
        <v>2562</v>
      </c>
      <c r="AH71" t="s">
        <v>2563</v>
      </c>
      <c r="AI71" t="s">
        <v>2564</v>
      </c>
      <c r="AJ71" t="s">
        <v>2565</v>
      </c>
      <c r="AK71" t="s">
        <v>243</v>
      </c>
      <c r="AL71" t="s">
        <v>2566</v>
      </c>
      <c r="AM71" t="s">
        <v>2</v>
      </c>
      <c r="AN71" t="s">
        <v>19</v>
      </c>
      <c r="AO71" t="s">
        <v>2567</v>
      </c>
      <c r="AP71" t="s">
        <v>2568</v>
      </c>
      <c r="AQ71" t="s">
        <v>2569</v>
      </c>
      <c r="AR71" t="s">
        <v>2</v>
      </c>
      <c r="AS71" t="s">
        <v>2570</v>
      </c>
      <c r="AT71" t="s">
        <v>1223</v>
      </c>
      <c r="AU71" t="s">
        <v>2571</v>
      </c>
      <c r="AV71" t="s">
        <v>2572</v>
      </c>
      <c r="AW71" t="s">
        <v>173</v>
      </c>
      <c r="AX71" t="s">
        <v>995</v>
      </c>
      <c r="AY71" t="s">
        <v>729</v>
      </c>
      <c r="AZ71" t="s">
        <v>568</v>
      </c>
      <c r="BA71" t="s">
        <v>569</v>
      </c>
      <c r="BB71" t="s">
        <v>570</v>
      </c>
      <c r="BC71" t="s">
        <v>128</v>
      </c>
      <c r="BD71" t="s">
        <v>246</v>
      </c>
      <c r="BE71" t="s">
        <v>235</v>
      </c>
      <c r="BF71" t="s">
        <v>53</v>
      </c>
      <c r="BG71" t="s">
        <v>49</v>
      </c>
      <c r="BH71" t="s">
        <v>2573</v>
      </c>
      <c r="BI71" t="s">
        <v>3130</v>
      </c>
      <c r="BJ71" t="s">
        <v>995</v>
      </c>
      <c r="BK71" t="s">
        <v>2574</v>
      </c>
      <c r="BL71" t="s">
        <v>3131</v>
      </c>
      <c r="BM71" t="s">
        <v>128</v>
      </c>
      <c r="BN71" t="s">
        <v>2</v>
      </c>
      <c r="BO71">
        <v>11.2</v>
      </c>
      <c r="BP71">
        <v>9.43</v>
      </c>
      <c r="BQ71">
        <v>-0.49</v>
      </c>
      <c r="BR71">
        <v>17.98</v>
      </c>
      <c r="BS71">
        <v>12.72</v>
      </c>
      <c r="BT71" t="s">
        <v>855</v>
      </c>
      <c r="BU71" t="s">
        <v>790</v>
      </c>
      <c r="BV71">
        <v>18.940000000000001</v>
      </c>
      <c r="BW71">
        <v>19.78</v>
      </c>
      <c r="BX71">
        <v>17.559999999999999</v>
      </c>
      <c r="BY71">
        <v>0.61</v>
      </c>
      <c r="BZ71">
        <v>4.3600000000000003</v>
      </c>
      <c r="CA71">
        <v>3.18</v>
      </c>
      <c r="CB71">
        <v>-7.78</v>
      </c>
      <c r="CC71">
        <v>-7.64</v>
      </c>
      <c r="CD71" t="s">
        <v>3132</v>
      </c>
      <c r="CE71" t="s">
        <v>923</v>
      </c>
      <c r="CF71" s="8">
        <v>0.26043991074274786</v>
      </c>
      <c r="CG71" s="9">
        <v>2.4814814814814814</v>
      </c>
      <c r="CH71" s="8">
        <v>-2.5931091979146004E-2</v>
      </c>
      <c r="CI71" s="8">
        <v>0.26354107260704041</v>
      </c>
      <c r="CJ71" s="8">
        <v>0.84441536664962769</v>
      </c>
      <c r="CK71" s="8">
        <v>0.47845038771629333</v>
      </c>
      <c r="CL71" s="8">
        <v>0.52906328439712524</v>
      </c>
      <c r="CM71" s="9">
        <v>-0.85440433025360107</v>
      </c>
      <c r="CN71" s="9">
        <v>0.7402234673500061</v>
      </c>
      <c r="CO71" s="9">
        <v>0.89417988061904907</v>
      </c>
      <c r="CP71" s="9">
        <v>0.27702704071998596</v>
      </c>
      <c r="CQ71" s="9">
        <v>-0.17777778208255768</v>
      </c>
      <c r="CR71">
        <v>42.776137260378114</v>
      </c>
      <c r="CS71">
        <v>1.0235783314744349</v>
      </c>
      <c r="CT71">
        <v>0.25694931090866618</v>
      </c>
      <c r="CU71" s="8">
        <v>0.41790780387818816</v>
      </c>
      <c r="CV71" s="9">
        <v>0.17584965527057647</v>
      </c>
      <c r="CW71">
        <v>0.06</v>
      </c>
      <c r="CX71">
        <v>126.30086435868888</v>
      </c>
      <c r="CY71">
        <v>121332912.31071256</v>
      </c>
      <c r="CZ71">
        <v>0.41790780387818816</v>
      </c>
      <c r="DA71">
        <v>31.613657259934712</v>
      </c>
      <c r="DB71">
        <v>484741501.87682676</v>
      </c>
      <c r="DC71">
        <v>0.39701241368427875</v>
      </c>
      <c r="DD71">
        <v>10.51421669843567</v>
      </c>
      <c r="DE71">
        <v>1457498179.8006892</v>
      </c>
      <c r="DF71">
        <v>0.36775886741280556</v>
      </c>
      <c r="DG71">
        <v>3.8636553643301066</v>
      </c>
      <c r="DH71">
        <v>3966309169.6733165</v>
      </c>
      <c r="DI71">
        <v>0.33432624310255055</v>
      </c>
      <c r="DJ71">
        <v>0.58663153003398449</v>
      </c>
      <c r="DK71">
        <v>26122789034.391369</v>
      </c>
      <c r="DL71">
        <v>0.29253546271473169</v>
      </c>
      <c r="DM71">
        <v>90706100</v>
      </c>
      <c r="DN71">
        <v>0.41790780387818816</v>
      </c>
      <c r="DO71">
        <v>15324451700</v>
      </c>
      <c r="DP71">
        <v>2946855800</v>
      </c>
      <c r="DQ71">
        <v>4028</v>
      </c>
      <c r="DR71">
        <v>-0.1574678931354403</v>
      </c>
      <c r="DS71">
        <v>2.305631826210905</v>
      </c>
      <c r="DT71" s="10">
        <v>0.19333333333333327</v>
      </c>
      <c r="DU71">
        <v>0.47</v>
      </c>
      <c r="DV71">
        <v>0.66333333333333322</v>
      </c>
      <c r="DW71">
        <v>-5.982005141388175</v>
      </c>
      <c r="DX71">
        <v>0.33499223300970915</v>
      </c>
      <c r="DY71">
        <v>-5.1620232211046497</v>
      </c>
      <c r="DZ71">
        <v>547</v>
      </c>
      <c r="EA71">
        <v>-5.1446692555780702</v>
      </c>
      <c r="EB71">
        <v>5</v>
      </c>
      <c r="EC71">
        <v>0.12846418430228324</v>
      </c>
      <c r="ED71">
        <v>0.77860746508427425</v>
      </c>
      <c r="EE71" s="11">
        <v>-4.0054100000000004</v>
      </c>
      <c r="EF71">
        <v>-4.0014000000000003</v>
      </c>
      <c r="EG71">
        <v>17.164992233009709</v>
      </c>
      <c r="EH71" t="s">
        <v>1268</v>
      </c>
      <c r="EI71">
        <v>0</v>
      </c>
      <c r="EJ71">
        <v>1</v>
      </c>
      <c r="EK71" s="12">
        <v>45511</v>
      </c>
      <c r="EL71">
        <v>-0.09</v>
      </c>
      <c r="EM71">
        <v>-4.29</v>
      </c>
      <c r="EN71">
        <v>-4.4800000000000004</v>
      </c>
      <c r="EO71">
        <v>0.28000000000000003</v>
      </c>
      <c r="EP71">
        <v>0.68</v>
      </c>
    </row>
    <row r="72" spans="1:146" ht="108" x14ac:dyDescent="0.25">
      <c r="A72" s="6"/>
      <c r="B72" s="6"/>
      <c r="C72" s="6" t="str">
        <f>""&amp;CHAR(10)&amp;Basic_Fundamental_Information_Constructure(F72)&amp;CHAR(10)&amp;Basic_Fundamental_Information_Concatenate("")</f>
        <v xml:space="preserve">
市值29.348573亿, 利润1.31亿; PE34.65; 平均PE18.46; 平均PEG1.14, PB.886; ROIC3.6967%; ROE3.3667%; 股利率1.3556%; 毛利41.9%; 净利4.3233%; 上一年度营收增16.63%, 利润增10.08%; 当季营收增.65%, 利润增-79.96%; 过往5年营收增16.23%, 利润增-7.25%
Income profile:
</v>
      </c>
      <c r="D72" t="s">
        <v>380</v>
      </c>
      <c r="E72" t="s">
        <v>381</v>
      </c>
      <c r="F72">
        <v>4.5</v>
      </c>
      <c r="G72">
        <v>10.02</v>
      </c>
      <c r="H72" t="s">
        <v>3133</v>
      </c>
      <c r="I72">
        <v>2934857300</v>
      </c>
      <c r="J72">
        <v>34.65</v>
      </c>
      <c r="K72">
        <v>0.88600000000000001</v>
      </c>
      <c r="L72" t="s">
        <v>212</v>
      </c>
      <c r="M72" t="s">
        <v>2575</v>
      </c>
      <c r="N72" t="s">
        <v>2576</v>
      </c>
      <c r="O72" t="s">
        <v>2577</v>
      </c>
      <c r="P72">
        <v>0.83</v>
      </c>
      <c r="Q72" t="s">
        <v>2589</v>
      </c>
      <c r="R72">
        <v>-104694272</v>
      </c>
      <c r="S72" s="4">
        <v>-0.79959999999999998</v>
      </c>
      <c r="T72" t="s">
        <v>85</v>
      </c>
      <c r="U72">
        <v>652190510</v>
      </c>
      <c r="V72">
        <v>652190510</v>
      </c>
      <c r="W72">
        <v>1.68</v>
      </c>
      <c r="X72">
        <v>0.08</v>
      </c>
      <c r="Y72">
        <v>-22.35</v>
      </c>
      <c r="Z72" t="s">
        <v>958</v>
      </c>
      <c r="AA72" t="s">
        <v>309</v>
      </c>
      <c r="AB72" t="s">
        <v>95</v>
      </c>
      <c r="AC72" t="s">
        <v>2578</v>
      </c>
      <c r="AD72" t="s">
        <v>2</v>
      </c>
      <c r="AE72">
        <v>6074171</v>
      </c>
      <c r="AF72" t="s">
        <v>2579</v>
      </c>
      <c r="AG72" t="s">
        <v>2580</v>
      </c>
      <c r="AH72" t="s">
        <v>2581</v>
      </c>
      <c r="AI72" t="s">
        <v>902</v>
      </c>
      <c r="AJ72" t="s">
        <v>2582</v>
      </c>
      <c r="AK72" t="s">
        <v>2583</v>
      </c>
      <c r="AL72" t="s">
        <v>2584</v>
      </c>
      <c r="AM72" t="s">
        <v>2</v>
      </c>
      <c r="AN72" t="s">
        <v>61</v>
      </c>
      <c r="AO72" t="s">
        <v>2</v>
      </c>
      <c r="AP72" t="s">
        <v>2585</v>
      </c>
      <c r="AQ72" t="s">
        <v>1226</v>
      </c>
      <c r="AR72" t="s">
        <v>2</v>
      </c>
      <c r="AS72" t="s">
        <v>1205</v>
      </c>
      <c r="AT72" t="s">
        <v>770</v>
      </c>
      <c r="AU72" t="s">
        <v>2586</v>
      </c>
      <c r="AV72" t="s">
        <v>2587</v>
      </c>
      <c r="AW72" t="s">
        <v>2588</v>
      </c>
      <c r="AX72" t="s">
        <v>992</v>
      </c>
      <c r="AY72" t="s">
        <v>730</v>
      </c>
      <c r="AZ72" t="s">
        <v>382</v>
      </c>
      <c r="BA72" t="s">
        <v>383</v>
      </c>
      <c r="BB72" t="s">
        <v>384</v>
      </c>
      <c r="BC72" t="s">
        <v>34</v>
      </c>
      <c r="BD72" t="s">
        <v>101</v>
      </c>
      <c r="BE72" t="s">
        <v>30</v>
      </c>
      <c r="BF72" t="s">
        <v>32</v>
      </c>
      <c r="BG72" t="s">
        <v>385</v>
      </c>
      <c r="BH72" t="s">
        <v>2589</v>
      </c>
      <c r="BI72" t="s">
        <v>2013</v>
      </c>
      <c r="BJ72" t="s">
        <v>992</v>
      </c>
      <c r="BK72" t="s">
        <v>85</v>
      </c>
      <c r="BL72" t="s">
        <v>3134</v>
      </c>
      <c r="BM72" t="s">
        <v>34</v>
      </c>
      <c r="BN72">
        <v>1.89</v>
      </c>
      <c r="BO72">
        <v>4.08</v>
      </c>
      <c r="BP72">
        <v>5.12</v>
      </c>
      <c r="BQ72">
        <v>1.61</v>
      </c>
      <c r="BR72">
        <v>3.61</v>
      </c>
      <c r="BS72">
        <v>4.88</v>
      </c>
      <c r="BT72" t="s">
        <v>2480</v>
      </c>
      <c r="BU72" t="s">
        <v>757</v>
      </c>
      <c r="BV72">
        <v>40.659999999999997</v>
      </c>
      <c r="BW72">
        <v>43.96</v>
      </c>
      <c r="BX72">
        <v>41.08</v>
      </c>
      <c r="BY72">
        <v>3.61</v>
      </c>
      <c r="BZ72">
        <v>3.81</v>
      </c>
      <c r="CA72">
        <v>5.55</v>
      </c>
      <c r="CB72">
        <v>7.4</v>
      </c>
      <c r="CC72">
        <v>-0.42</v>
      </c>
      <c r="CD72" t="s">
        <v>3135</v>
      </c>
      <c r="CE72" t="s">
        <v>120</v>
      </c>
      <c r="CF72" s="8">
        <v>6.4516129032256772E-3</v>
      </c>
      <c r="CG72" s="9">
        <v>-0.79956017511864486</v>
      </c>
      <c r="CH72" s="8">
        <v>0.16629208624362946</v>
      </c>
      <c r="CI72" s="8">
        <v>0.10421840846538544</v>
      </c>
      <c r="CJ72" s="8">
        <v>0.34205514192581177</v>
      </c>
      <c r="CK72" s="8">
        <v>0.16132596135139465</v>
      </c>
      <c r="CL72" s="8">
        <v>3.7844035774469376E-2</v>
      </c>
      <c r="CM72" s="9">
        <v>0.10084033757448196</v>
      </c>
      <c r="CN72" s="9">
        <v>-0.24203822016716003</v>
      </c>
      <c r="CO72" s="9">
        <v>-0.1325966864824295</v>
      </c>
      <c r="CP72" s="9">
        <v>0.11728394776582718</v>
      </c>
      <c r="CQ72" s="9">
        <v>-0.20588235557079315</v>
      </c>
      <c r="CR72">
        <v>18.458222012578616</v>
      </c>
      <c r="CS72">
        <v>1.1369601902939448</v>
      </c>
      <c r="CT72">
        <v>1.3555555555555556</v>
      </c>
      <c r="CU72" s="8">
        <v>0.16234712675213814</v>
      </c>
      <c r="CV72" s="9">
        <v>-7.2478595376014712E-2</v>
      </c>
      <c r="CW72">
        <v>0.06</v>
      </c>
      <c r="CX72">
        <v>14.764208565243557</v>
      </c>
      <c r="CY72">
        <v>143648560.00427365</v>
      </c>
      <c r="CZ72">
        <v>0.16234712675213814</v>
      </c>
      <c r="DA72">
        <v>4.540427493964545</v>
      </c>
      <c r="DB72">
        <v>467105201.61795169</v>
      </c>
      <c r="DC72">
        <v>0.15422977041453123</v>
      </c>
      <c r="DD72">
        <v>2.0563381846740145</v>
      </c>
      <c r="DE72">
        <v>1031375731.7774136</v>
      </c>
      <c r="DF72">
        <v>0.14286547154188156</v>
      </c>
      <c r="DG72">
        <v>1.1206579610666698</v>
      </c>
      <c r="DH72">
        <v>1892510804.9750664</v>
      </c>
      <c r="DI72">
        <v>0.12987770140171051</v>
      </c>
      <c r="DJ72">
        <v>0.46305575450745401</v>
      </c>
      <c r="DK72">
        <v>4580133772.9965725</v>
      </c>
      <c r="DL72">
        <v>0.11364298872649668</v>
      </c>
      <c r="DM72">
        <v>131000000</v>
      </c>
      <c r="DN72">
        <v>0.16234712675213814</v>
      </c>
      <c r="DO72">
        <v>2120857300</v>
      </c>
      <c r="DP72">
        <v>2277104200</v>
      </c>
      <c r="DQ72">
        <v>4140</v>
      </c>
      <c r="DR72">
        <v>-0.15589551384891245</v>
      </c>
      <c r="DS72">
        <v>-0.7270815797426301</v>
      </c>
      <c r="DT72" s="10">
        <v>-2.3333333333333355E-2</v>
      </c>
      <c r="DU72">
        <v>-1.1483333333333332</v>
      </c>
      <c r="DV72">
        <v>-1.1716666666666666</v>
      </c>
      <c r="DW72">
        <v>5.0567567567567568</v>
      </c>
      <c r="DX72">
        <v>0.75753421052631231</v>
      </c>
      <c r="DY72">
        <v>5.0197249146514933</v>
      </c>
      <c r="DZ72">
        <v>3768</v>
      </c>
      <c r="EA72">
        <v>5.0051716586485897</v>
      </c>
      <c r="EB72">
        <v>5</v>
      </c>
      <c r="EC72">
        <v>0.12149486811759956</v>
      </c>
      <c r="ED72">
        <v>0.34959110337254057</v>
      </c>
      <c r="EE72" s="11">
        <v>-2.03451</v>
      </c>
      <c r="EF72">
        <v>-2.0657000000000001</v>
      </c>
      <c r="EG72">
        <v>41.347534210526312</v>
      </c>
      <c r="EH72" t="s">
        <v>1128</v>
      </c>
      <c r="EI72">
        <v>1</v>
      </c>
      <c r="EJ72">
        <v>0</v>
      </c>
      <c r="EK72" s="12">
        <v>45511</v>
      </c>
      <c r="EL72">
        <v>3.1</v>
      </c>
      <c r="EM72">
        <v>-3.7</v>
      </c>
      <c r="EN72">
        <v>-3.85</v>
      </c>
      <c r="EO72">
        <v>2.25</v>
      </c>
      <c r="EP72">
        <v>10.02</v>
      </c>
    </row>
    <row r="73" spans="1:146" ht="108" x14ac:dyDescent="0.25">
      <c r="A73" s="6"/>
      <c r="B73" s="6"/>
      <c r="C73" s="6" t="str">
        <f>""&amp;CHAR(10)&amp;Basic_Fundamental_Information_Constructure(F73)&amp;CHAR(10)&amp;Basic_Fundamental_Information_Concatenate("")</f>
        <v xml:space="preserve">
市值25.410597亿, 利润-2.02亿; PE; 平均PE-30.99; 平均PEG-5.21, PB1.46; ROIC3.76%; ROE-11.8833%; 股利率0%; 毛利40.02%; 净利-17.5033%; 上一年度营收增-24.58%, 利润增-352.28%; 当季营收增23.87%, 利润增-41.57%; 过往5年营收增-5.95%, 利润增-181.96%
Income profile:
</v>
      </c>
      <c r="D73" t="s">
        <v>571</v>
      </c>
      <c r="E73" t="s">
        <v>572</v>
      </c>
      <c r="F73">
        <v>5.92</v>
      </c>
      <c r="G73">
        <v>4.2300000000000004</v>
      </c>
      <c r="H73" t="s">
        <v>3136</v>
      </c>
      <c r="I73">
        <v>2541059700</v>
      </c>
      <c r="K73">
        <v>1.46</v>
      </c>
      <c r="L73" t="s">
        <v>212</v>
      </c>
      <c r="M73" t="s">
        <v>1391</v>
      </c>
      <c r="N73" t="s">
        <v>2590</v>
      </c>
      <c r="O73" t="s">
        <v>851</v>
      </c>
      <c r="P73">
        <v>24.03</v>
      </c>
      <c r="Q73" t="s">
        <v>805</v>
      </c>
      <c r="R73">
        <v>-39000000</v>
      </c>
      <c r="S73" s="4">
        <v>1.7390000000000001</v>
      </c>
      <c r="T73" t="s">
        <v>1880</v>
      </c>
      <c r="U73">
        <v>424883560</v>
      </c>
      <c r="V73">
        <v>429233060</v>
      </c>
      <c r="W73">
        <v>1.67</v>
      </c>
      <c r="X73">
        <v>0.13</v>
      </c>
      <c r="Y73">
        <v>5.29</v>
      </c>
      <c r="Z73" t="s">
        <v>3</v>
      </c>
      <c r="AA73" t="s">
        <v>179</v>
      </c>
      <c r="AB73" t="s">
        <v>2591</v>
      </c>
      <c r="AC73" t="s">
        <v>2592</v>
      </c>
      <c r="AD73" t="s">
        <v>2</v>
      </c>
      <c r="AE73">
        <v>992376</v>
      </c>
      <c r="AF73" t="s">
        <v>2593</v>
      </c>
      <c r="AG73" t="s">
        <v>2594</v>
      </c>
      <c r="AH73" t="s">
        <v>2595</v>
      </c>
      <c r="AI73" t="s">
        <v>1220</v>
      </c>
      <c r="AJ73" t="s">
        <v>2596</v>
      </c>
      <c r="AK73" t="s">
        <v>2597</v>
      </c>
      <c r="AL73" t="s">
        <v>2598</v>
      </c>
      <c r="AM73" t="s">
        <v>2</v>
      </c>
      <c r="AN73">
        <v>0</v>
      </c>
      <c r="AO73" t="s">
        <v>967</v>
      </c>
      <c r="AP73" t="s">
        <v>144</v>
      </c>
      <c r="AQ73" t="s">
        <v>173</v>
      </c>
      <c r="AR73" t="s">
        <v>2</v>
      </c>
      <c r="AS73" t="s">
        <v>2499</v>
      </c>
      <c r="AT73" t="s">
        <v>2599</v>
      </c>
      <c r="AU73" t="s">
        <v>2600</v>
      </c>
      <c r="AV73" t="s">
        <v>2601</v>
      </c>
      <c r="AW73" t="s">
        <v>2602</v>
      </c>
      <c r="AX73" t="s">
        <v>998</v>
      </c>
      <c r="AY73" t="s">
        <v>731</v>
      </c>
      <c r="AZ73" t="s">
        <v>733</v>
      </c>
      <c r="BA73" t="s">
        <v>785</v>
      </c>
      <c r="BB73" t="s">
        <v>573</v>
      </c>
      <c r="BC73" t="s">
        <v>999</v>
      </c>
      <c r="BD73" t="s">
        <v>732</v>
      </c>
      <c r="BE73" t="s">
        <v>124</v>
      </c>
      <c r="BF73" t="s">
        <v>145</v>
      </c>
      <c r="BG73" t="s">
        <v>73</v>
      </c>
      <c r="BH73" t="s">
        <v>805</v>
      </c>
      <c r="BI73" t="s">
        <v>1016</v>
      </c>
      <c r="BJ73" t="s">
        <v>998</v>
      </c>
      <c r="BK73" t="s">
        <v>1880</v>
      </c>
      <c r="BL73" t="s">
        <v>3137</v>
      </c>
      <c r="BM73" t="s">
        <v>999</v>
      </c>
      <c r="BN73" t="s">
        <v>2</v>
      </c>
      <c r="BO73">
        <v>3.76</v>
      </c>
      <c r="BP73" t="s">
        <v>2</v>
      </c>
      <c r="BQ73">
        <v>-3.87</v>
      </c>
      <c r="BR73">
        <v>4.1900000000000004</v>
      </c>
      <c r="BS73">
        <v>-35.97</v>
      </c>
      <c r="BT73" t="s">
        <v>836</v>
      </c>
      <c r="BU73" t="s">
        <v>790</v>
      </c>
      <c r="BV73">
        <v>40.659999999999997</v>
      </c>
      <c r="BW73">
        <v>41.35</v>
      </c>
      <c r="BX73">
        <v>38.049999999999997</v>
      </c>
      <c r="BY73">
        <v>-12.44</v>
      </c>
      <c r="BZ73">
        <v>3.7</v>
      </c>
      <c r="CA73">
        <v>-43.77</v>
      </c>
      <c r="CB73">
        <v>-1.33</v>
      </c>
      <c r="CC73">
        <v>-15.06</v>
      </c>
      <c r="CD73" t="s">
        <v>3138</v>
      </c>
      <c r="CE73" t="s">
        <v>784</v>
      </c>
      <c r="CF73" s="8">
        <v>0.23870967741935484</v>
      </c>
      <c r="CG73" s="9">
        <v>-0.41574159448804626</v>
      </c>
      <c r="CH73" s="8">
        <v>-0.24582560360431671</v>
      </c>
      <c r="CI73" s="8">
        <v>0.16351865231990814</v>
      </c>
      <c r="CJ73" s="8">
        <v>7.4825949966907501E-2</v>
      </c>
      <c r="CK73" s="8">
        <v>-0.2734934389591217</v>
      </c>
      <c r="CL73" s="8">
        <v>-1.6576875001192093E-2</v>
      </c>
      <c r="CM73" s="9">
        <v>-3.5228457450866699</v>
      </c>
      <c r="CN73" s="9">
        <v>1.0988497734069824</v>
      </c>
      <c r="CO73" s="9">
        <v>-6.8695650100708008</v>
      </c>
      <c r="CP73" s="9">
        <v>-0.22033898532390594</v>
      </c>
      <c r="CQ73" s="9">
        <v>0.41600000858306885</v>
      </c>
      <c r="CR73">
        <v>-30.992835387514159</v>
      </c>
      <c r="CS73">
        <v>-5.2079815810219268</v>
      </c>
      <c r="CT73">
        <v>0</v>
      </c>
      <c r="CU73" s="8">
        <v>-5.9510263055562972E-2</v>
      </c>
      <c r="CV73" s="9">
        <v>-1.8195799916982651</v>
      </c>
      <c r="CW73">
        <v>0.06</v>
      </c>
      <c r="CX73" t="e">
        <v>#VALUE!</v>
      </c>
      <c r="CY73" t="s">
        <v>768</v>
      </c>
      <c r="CZ73">
        <v>-5.9510263055562972E-2</v>
      </c>
      <c r="DA73" t="e">
        <v>#VALUE!</v>
      </c>
      <c r="DB73" t="s">
        <v>765</v>
      </c>
      <c r="DC73">
        <v>-5.6534749902784821E-2</v>
      </c>
      <c r="DD73" t="e">
        <v>#VALUE!</v>
      </c>
      <c r="DE73" t="s">
        <v>765</v>
      </c>
      <c r="DF73">
        <v>-5.2369031488895414E-2</v>
      </c>
      <c r="DG73" t="e">
        <v>#VALUE!</v>
      </c>
      <c r="DH73" t="s">
        <v>765</v>
      </c>
      <c r="DI73">
        <v>-4.7608210444450377E-2</v>
      </c>
      <c r="DJ73" t="e">
        <v>#VALUE!</v>
      </c>
      <c r="DK73" t="s">
        <v>765</v>
      </c>
      <c r="DL73">
        <v>-4.1657184138894077E-2</v>
      </c>
      <c r="DM73">
        <v>-202000000</v>
      </c>
      <c r="DN73">
        <v>-5.9510263055562972E-2</v>
      </c>
      <c r="DO73">
        <v>2000059699.9999998</v>
      </c>
      <c r="DP73">
        <v>1190452500</v>
      </c>
      <c r="DQ73">
        <v>4308</v>
      </c>
      <c r="DR73">
        <v>0.29821994047491779</v>
      </c>
      <c r="DS73">
        <v>1.4038383972102189</v>
      </c>
      <c r="DT73" s="10">
        <v>-0.57333333333333336</v>
      </c>
      <c r="DU73">
        <v>-2.0483333333333333</v>
      </c>
      <c r="DV73">
        <v>-2.6216666666666666</v>
      </c>
      <c r="DW73">
        <v>-2.1505999999999998</v>
      </c>
      <c r="DX73">
        <v>0.55428629283488839</v>
      </c>
      <c r="DY73">
        <v>-2.0187175157009345</v>
      </c>
      <c r="DZ73">
        <v>4724</v>
      </c>
      <c r="EA73">
        <v>-2.0014037220508043</v>
      </c>
      <c r="EB73">
        <v>2</v>
      </c>
      <c r="EC73">
        <v>9.294694122582263E-2</v>
      </c>
      <c r="ED73">
        <v>0.74784547117596212</v>
      </c>
      <c r="EE73" s="11">
        <v>2.0807099999999998</v>
      </c>
      <c r="EF73">
        <v>2.0384099999999998</v>
      </c>
      <c r="EG73">
        <v>43.124286292834888</v>
      </c>
      <c r="EH73" t="s">
        <v>885</v>
      </c>
      <c r="EI73">
        <v>0</v>
      </c>
      <c r="EJ73">
        <v>0</v>
      </c>
      <c r="EK73" s="12">
        <v>45511</v>
      </c>
      <c r="EL73">
        <v>1.5</v>
      </c>
      <c r="EM73">
        <v>-3.61</v>
      </c>
      <c r="EN73">
        <v>-5.28</v>
      </c>
      <c r="EO73">
        <v>2.16</v>
      </c>
      <c r="EP73">
        <v>4.2300000000000004</v>
      </c>
    </row>
    <row r="74" spans="1:146" ht="108" x14ac:dyDescent="0.25">
      <c r="A74" s="6"/>
      <c r="B74" s="6"/>
      <c r="C74" s="6" t="str">
        <f>""&amp;CHAR(10)&amp;Basic_Fundamental_Information_Constructure(F74)&amp;CHAR(10)&amp;Basic_Fundamental_Information_Concatenate("")</f>
        <v xml:space="preserve">
市值127.248703亿, 利润-1.24亿; PE; 平均PE-795.01; 平均PEG-152.03, PB8.61; ROIC0%; ROE-4.14%; 股利率0%; 毛利47.5833%; 净利-55.52%; 上一年度营收增15.56%, 利润增-43.88%; 当季营收增-68.95%, 利润增-155.61%; 过往5年营收增-5.23%, 利润增-94.81%
Income profile:
</v>
      </c>
      <c r="D74" t="s">
        <v>574</v>
      </c>
      <c r="E74" t="s">
        <v>575</v>
      </c>
      <c r="F74">
        <v>158.32</v>
      </c>
      <c r="G74">
        <v>3.09</v>
      </c>
      <c r="H74" t="s">
        <v>3139</v>
      </c>
      <c r="I74">
        <v>12724870300</v>
      </c>
      <c r="K74">
        <v>8.61</v>
      </c>
      <c r="L74" t="s">
        <v>212</v>
      </c>
      <c r="M74" t="s">
        <v>875</v>
      </c>
      <c r="N74" t="s">
        <v>2603</v>
      </c>
      <c r="O74" t="s">
        <v>2604</v>
      </c>
      <c r="P74">
        <v>-68.95</v>
      </c>
      <c r="Q74" t="s">
        <v>100</v>
      </c>
      <c r="R74">
        <v>-41473614</v>
      </c>
      <c r="S74" s="4">
        <v>-1.556</v>
      </c>
      <c r="T74" t="s">
        <v>2352</v>
      </c>
      <c r="U74">
        <v>80374370</v>
      </c>
      <c r="V74">
        <v>80374370</v>
      </c>
      <c r="W74">
        <v>1.17</v>
      </c>
      <c r="X74">
        <v>0.01</v>
      </c>
      <c r="Y74">
        <v>-439.88</v>
      </c>
      <c r="Z74" t="s">
        <v>2605</v>
      </c>
      <c r="AA74" t="s">
        <v>2606</v>
      </c>
      <c r="AB74" t="s">
        <v>2607</v>
      </c>
      <c r="AC74" t="s">
        <v>2608</v>
      </c>
      <c r="AD74" t="s">
        <v>2</v>
      </c>
      <c r="AE74">
        <v>-1461964</v>
      </c>
      <c r="AF74" t="s">
        <v>2609</v>
      </c>
      <c r="AG74">
        <v>0.02</v>
      </c>
      <c r="AH74" t="s">
        <v>2610</v>
      </c>
      <c r="AI74" t="s">
        <v>1154</v>
      </c>
      <c r="AJ74" t="s">
        <v>2611</v>
      </c>
      <c r="AK74" t="s">
        <v>2</v>
      </c>
      <c r="AL74" t="s">
        <v>2612</v>
      </c>
      <c r="AM74" t="s">
        <v>2</v>
      </c>
      <c r="AN74" t="s">
        <v>2613</v>
      </c>
      <c r="AO74" t="s">
        <v>2</v>
      </c>
      <c r="AP74" t="s">
        <v>2</v>
      </c>
      <c r="AQ74" t="s">
        <v>2614</v>
      </c>
      <c r="AR74" t="s">
        <v>2615</v>
      </c>
      <c r="AS74" t="s">
        <v>53</v>
      </c>
      <c r="AT74" t="s">
        <v>2</v>
      </c>
      <c r="AU74" t="s">
        <v>2616</v>
      </c>
      <c r="AV74" t="s">
        <v>1430</v>
      </c>
      <c r="AW74" t="s">
        <v>2617</v>
      </c>
      <c r="AX74" t="s">
        <v>103</v>
      </c>
      <c r="AY74" t="s">
        <v>64</v>
      </c>
      <c r="AZ74" t="s">
        <v>40</v>
      </c>
      <c r="BA74" t="s">
        <v>76</v>
      </c>
      <c r="BB74" t="s">
        <v>75</v>
      </c>
      <c r="BC74" t="s">
        <v>2618</v>
      </c>
      <c r="BD74" t="s">
        <v>734</v>
      </c>
      <c r="BE74" t="s">
        <v>576</v>
      </c>
      <c r="BF74" t="s">
        <v>577</v>
      </c>
      <c r="BG74" t="s">
        <v>578</v>
      </c>
      <c r="BH74" t="s">
        <v>100</v>
      </c>
      <c r="BI74" t="s">
        <v>3140</v>
      </c>
      <c r="BJ74" t="s">
        <v>103</v>
      </c>
      <c r="BK74" t="s">
        <v>2352</v>
      </c>
      <c r="BL74" t="s">
        <v>3141</v>
      </c>
      <c r="BM74" t="s">
        <v>2618</v>
      </c>
      <c r="BN74" t="s">
        <v>2</v>
      </c>
      <c r="BO74" t="s">
        <v>2</v>
      </c>
      <c r="BP74" t="s">
        <v>2</v>
      </c>
      <c r="BQ74">
        <v>-4.95</v>
      </c>
      <c r="BR74">
        <v>-5.22</v>
      </c>
      <c r="BS74">
        <v>-2.25</v>
      </c>
      <c r="BT74" t="s">
        <v>836</v>
      </c>
      <c r="BU74" t="s">
        <v>790</v>
      </c>
      <c r="BV74">
        <v>47.45</v>
      </c>
      <c r="BW74">
        <v>37.57</v>
      </c>
      <c r="BX74">
        <v>57.73</v>
      </c>
      <c r="BY74">
        <v>-82.3</v>
      </c>
      <c r="BZ74">
        <v>-63.53</v>
      </c>
      <c r="CA74">
        <v>-20.73</v>
      </c>
      <c r="CB74">
        <v>-2.17</v>
      </c>
      <c r="CC74">
        <v>2.2200000000000002</v>
      </c>
      <c r="CD74" t="s">
        <v>3142</v>
      </c>
      <c r="CE74" t="s">
        <v>3143</v>
      </c>
      <c r="CF74" s="8">
        <v>-0.68945029592391838</v>
      </c>
      <c r="CG74" s="9">
        <v>-1.5561076836791923</v>
      </c>
      <c r="CH74" s="8">
        <v>0.15555556118488312</v>
      </c>
      <c r="CI74" s="8">
        <v>-0.24581006169319153</v>
      </c>
      <c r="CJ74" s="8">
        <v>0.33582088351249695</v>
      </c>
      <c r="CK74" s="8">
        <v>-0.48062014579772949</v>
      </c>
      <c r="CL74" s="8">
        <v>-2.641509473323822E-2</v>
      </c>
      <c r="CM74" s="9">
        <v>-0.43877211213111877</v>
      </c>
      <c r="CN74" s="9">
        <v>-1.3207706212997437</v>
      </c>
      <c r="CO74" s="9">
        <v>-2.2593410015106201</v>
      </c>
      <c r="CP74" s="9">
        <v>-0.40192794799804688</v>
      </c>
      <c r="CQ74" s="9">
        <v>-0.31982767581939697</v>
      </c>
      <c r="CR74">
        <v>-795.01040552712288</v>
      </c>
      <c r="CS74">
        <v>-152.02774300677459</v>
      </c>
      <c r="CT74">
        <v>0</v>
      </c>
      <c r="CU74" s="8">
        <v>-5.2293771505355836E-2</v>
      </c>
      <c r="CV74" s="9">
        <v>-0.94812787175178526</v>
      </c>
      <c r="CW74">
        <v>0.06</v>
      </c>
      <c r="CX74" t="e">
        <v>#VALUE!</v>
      </c>
      <c r="CY74" t="s">
        <v>768</v>
      </c>
      <c r="CZ74">
        <v>-5.2293771505355836E-2</v>
      </c>
      <c r="DA74" t="e">
        <v>#VALUE!</v>
      </c>
      <c r="DB74" t="s">
        <v>765</v>
      </c>
      <c r="DC74">
        <v>-4.9679082930088041E-2</v>
      </c>
      <c r="DD74" t="e">
        <v>#VALUE!</v>
      </c>
      <c r="DE74" t="s">
        <v>765</v>
      </c>
      <c r="DF74">
        <v>-4.6018518924713134E-2</v>
      </c>
      <c r="DG74" t="e">
        <v>#VALUE!</v>
      </c>
      <c r="DH74" t="s">
        <v>765</v>
      </c>
      <c r="DI74">
        <v>-4.1835017204284675E-2</v>
      </c>
      <c r="DJ74" t="e">
        <v>#VALUE!</v>
      </c>
      <c r="DK74" t="s">
        <v>765</v>
      </c>
      <c r="DL74">
        <v>-3.6605640053749083E-2</v>
      </c>
      <c r="DM74">
        <v>-124000000</v>
      </c>
      <c r="DN74">
        <v>-5.2293771505355836E-2</v>
      </c>
      <c r="DO74">
        <v>11512870300</v>
      </c>
      <c r="DP74">
        <v>1069058930</v>
      </c>
      <c r="DQ74">
        <v>4559</v>
      </c>
      <c r="DR74">
        <v>-0.63715652441856252</v>
      </c>
      <c r="DS74">
        <v>-0.60797981192740702</v>
      </c>
      <c r="DT74" s="10">
        <v>-0.40666666666666668</v>
      </c>
      <c r="DU74">
        <v>-3.0983333333333332</v>
      </c>
      <c r="DV74">
        <v>-3.5049999999999999</v>
      </c>
      <c r="DW74">
        <v>2.2200000000000001E-2</v>
      </c>
      <c r="DX74">
        <v>0.4359608788454814</v>
      </c>
      <c r="DY74">
        <v>4.1283315103696544E-3</v>
      </c>
      <c r="DZ74">
        <v>5030</v>
      </c>
      <c r="EA74">
        <v>6.2244277716558323E-5</v>
      </c>
      <c r="EB74">
        <v>0</v>
      </c>
      <c r="EC74">
        <v>8.7150916392874991E-2</v>
      </c>
      <c r="ED74">
        <v>0.46865188492301713</v>
      </c>
      <c r="EE74" s="11">
        <v>-2.0719099999999999</v>
      </c>
      <c r="EF74">
        <v>-2.04101</v>
      </c>
      <c r="EG74">
        <v>25.185960878845481</v>
      </c>
      <c r="EH74" t="s">
        <v>1183</v>
      </c>
      <c r="EI74">
        <v>0</v>
      </c>
      <c r="EJ74">
        <v>0</v>
      </c>
      <c r="EK74" s="12">
        <v>45511</v>
      </c>
      <c r="EL74">
        <v>1.83</v>
      </c>
      <c r="EM74">
        <v>-2.25</v>
      </c>
      <c r="EN74">
        <v>-5.95</v>
      </c>
      <c r="EO74">
        <v>1.36</v>
      </c>
      <c r="EP74">
        <v>3.09</v>
      </c>
    </row>
    <row r="75" spans="1:146" ht="108" x14ac:dyDescent="0.25">
      <c r="A75" s="6"/>
      <c r="B75" s="6"/>
      <c r="C75" s="6" t="str">
        <f>""&amp;CHAR(10)&amp;Basic_Fundamental_Information_Constructure(F75)&amp;CHAR(10)&amp;Basic_Fundamental_Information_Concatenate("")</f>
        <v xml:space="preserve">
市值17.921971亿, 利润9395.07万; PE17.76; 平均PE26.35; 平均PEG1.87, PB1.92; ROIC10.49%; ROE10.7167%; 股利率.6982%; 毛利48.2667%; 净利20.53%; 上一年度营收增27.39%, 利润增33.55%; 当季营收增12.4%, 利润增74.65%; 过往5年营收增14.08%, 利润增29.92%
Income profile:
</v>
      </c>
      <c r="D75" t="s">
        <v>622</v>
      </c>
      <c r="E75" t="s">
        <v>623</v>
      </c>
      <c r="F75">
        <v>24.35</v>
      </c>
      <c r="G75">
        <v>2.1800000000000002</v>
      </c>
      <c r="H75" t="s">
        <v>3144</v>
      </c>
      <c r="I75">
        <v>1792197100</v>
      </c>
      <c r="J75">
        <v>17.760000000000002</v>
      </c>
      <c r="K75">
        <v>1.92</v>
      </c>
      <c r="L75" t="s">
        <v>212</v>
      </c>
      <c r="M75" t="s">
        <v>102</v>
      </c>
      <c r="N75" t="s">
        <v>2619</v>
      </c>
      <c r="O75" t="s">
        <v>81</v>
      </c>
      <c r="P75">
        <v>12.58</v>
      </c>
      <c r="Q75" t="s">
        <v>1831</v>
      </c>
      <c r="R75">
        <v>16289839</v>
      </c>
      <c r="S75" s="4">
        <v>0.74650000000000005</v>
      </c>
      <c r="T75" t="s">
        <v>2634</v>
      </c>
      <c r="U75">
        <v>73601522</v>
      </c>
      <c r="V75">
        <v>73601522</v>
      </c>
      <c r="W75">
        <v>1.17</v>
      </c>
      <c r="X75">
        <v>0.1</v>
      </c>
      <c r="Y75">
        <v>15.38</v>
      </c>
      <c r="Z75" t="s">
        <v>2620</v>
      </c>
      <c r="AA75" t="s">
        <v>2621</v>
      </c>
      <c r="AB75" t="s">
        <v>2622</v>
      </c>
      <c r="AC75" t="s">
        <v>2623</v>
      </c>
      <c r="AD75" t="s">
        <v>2</v>
      </c>
      <c r="AE75">
        <v>-3107300</v>
      </c>
      <c r="AF75" t="s">
        <v>2624</v>
      </c>
      <c r="AG75">
        <v>2908.41</v>
      </c>
      <c r="AH75" t="s">
        <v>2625</v>
      </c>
      <c r="AI75" t="s">
        <v>2626</v>
      </c>
      <c r="AJ75" t="s">
        <v>2627</v>
      </c>
      <c r="AK75">
        <v>7861.55</v>
      </c>
      <c r="AL75" t="s">
        <v>2628</v>
      </c>
      <c r="AM75" t="s">
        <v>2</v>
      </c>
      <c r="AN75">
        <v>0</v>
      </c>
      <c r="AO75" t="s">
        <v>2</v>
      </c>
      <c r="AP75" t="s">
        <v>2629</v>
      </c>
      <c r="AQ75" t="s">
        <v>2630</v>
      </c>
      <c r="AR75" t="s">
        <v>2</v>
      </c>
      <c r="AS75" t="s">
        <v>27</v>
      </c>
      <c r="AT75" t="s">
        <v>2</v>
      </c>
      <c r="AU75" t="s">
        <v>2631</v>
      </c>
      <c r="AV75" t="s">
        <v>2632</v>
      </c>
      <c r="AW75" t="s">
        <v>2633</v>
      </c>
      <c r="AX75" t="s">
        <v>80</v>
      </c>
      <c r="AY75" t="s">
        <v>110</v>
      </c>
      <c r="AZ75" t="s">
        <v>172</v>
      </c>
      <c r="BA75" t="s">
        <v>112</v>
      </c>
      <c r="BB75" t="s">
        <v>29</v>
      </c>
      <c r="BC75" t="s">
        <v>1000</v>
      </c>
      <c r="BD75" t="s">
        <v>95</v>
      </c>
      <c r="BE75" t="s">
        <v>624</v>
      </c>
      <c r="BF75" t="s">
        <v>625</v>
      </c>
      <c r="BG75" t="s">
        <v>626</v>
      </c>
      <c r="BH75" t="s">
        <v>1831</v>
      </c>
      <c r="BI75" t="s">
        <v>3145</v>
      </c>
      <c r="BJ75" t="s">
        <v>80</v>
      </c>
      <c r="BK75" t="s">
        <v>2634</v>
      </c>
      <c r="BL75" t="s">
        <v>3146</v>
      </c>
      <c r="BM75" t="s">
        <v>1000</v>
      </c>
      <c r="BN75">
        <v>7.29</v>
      </c>
      <c r="BO75">
        <v>8.7899999999999991</v>
      </c>
      <c r="BP75">
        <v>15.39</v>
      </c>
      <c r="BQ75">
        <v>8.1300000000000008</v>
      </c>
      <c r="BR75">
        <v>8.9700000000000006</v>
      </c>
      <c r="BS75">
        <v>15.05</v>
      </c>
      <c r="BT75" t="s">
        <v>841</v>
      </c>
      <c r="BU75" t="s">
        <v>756</v>
      </c>
      <c r="BV75">
        <v>51.47</v>
      </c>
      <c r="BW75">
        <v>48.08</v>
      </c>
      <c r="BX75">
        <v>45.25</v>
      </c>
      <c r="BY75">
        <v>19.09</v>
      </c>
      <c r="BZ75">
        <v>18.190000000000001</v>
      </c>
      <c r="CA75">
        <v>24.31</v>
      </c>
      <c r="CB75">
        <v>-7.24</v>
      </c>
      <c r="CC75">
        <v>-20.5</v>
      </c>
      <c r="CD75" t="s">
        <v>3147</v>
      </c>
      <c r="CE75" t="s">
        <v>3148</v>
      </c>
      <c r="CF75" s="8">
        <v>0.12402800738465175</v>
      </c>
      <c r="CG75" s="9">
        <v>0.74650630957103492</v>
      </c>
      <c r="CH75" s="8">
        <v>0.27390182018280029</v>
      </c>
      <c r="CI75" s="8">
        <v>-0.14000000059604645</v>
      </c>
      <c r="CJ75" s="8">
        <v>0.44694533944129944</v>
      </c>
      <c r="CK75" s="8">
        <v>4.7138046473264694E-2</v>
      </c>
      <c r="CL75" s="8">
        <v>7.6086953282356262E-2</v>
      </c>
      <c r="CM75" s="9">
        <v>0.33547735214233398</v>
      </c>
      <c r="CN75" s="9">
        <v>-0.33000090718269348</v>
      </c>
      <c r="CO75" s="9">
        <v>1.5977689027786255</v>
      </c>
      <c r="CP75" s="9">
        <v>-0.21919816732406616</v>
      </c>
      <c r="CQ75" s="9">
        <v>0.1121557205915451</v>
      </c>
      <c r="CR75">
        <v>26.353753367074127</v>
      </c>
      <c r="CS75">
        <v>1.8715236100658894</v>
      </c>
      <c r="CT75">
        <v>0.69815195071868574</v>
      </c>
      <c r="CU75" s="8">
        <v>0.14081443175673486</v>
      </c>
      <c r="CV75" s="9">
        <v>0.29924058020114896</v>
      </c>
      <c r="CW75">
        <v>0.06</v>
      </c>
      <c r="CX75">
        <v>10.178631512369542</v>
      </c>
      <c r="CY75">
        <v>101113504.18268627</v>
      </c>
      <c r="CZ75">
        <v>0.14081443175673486</v>
      </c>
      <c r="DA75">
        <v>3.1869932693813792</v>
      </c>
      <c r="DB75">
        <v>322936703.34602726</v>
      </c>
      <c r="DC75">
        <v>0.13377371016889811</v>
      </c>
      <c r="DD75">
        <v>1.4800603950087683</v>
      </c>
      <c r="DE75">
        <v>695375069.47066355</v>
      </c>
      <c r="DF75">
        <v>0.12391669994592668</v>
      </c>
      <c r="DG75">
        <v>0.83100500562373614</v>
      </c>
      <c r="DH75">
        <v>1238496871.9021189</v>
      </c>
      <c r="DI75">
        <v>0.1126515454053879</v>
      </c>
      <c r="DJ75">
        <v>0.36847211723363932</v>
      </c>
      <c r="DK75">
        <v>2793147844.4742422</v>
      </c>
      <c r="DL75">
        <v>9.8570102229714393E-2</v>
      </c>
      <c r="DM75">
        <v>93950700</v>
      </c>
      <c r="DN75">
        <v>0.14081443175673486</v>
      </c>
      <c r="DO75">
        <v>1029197100</v>
      </c>
      <c r="DP75">
        <v>819166200</v>
      </c>
      <c r="DQ75">
        <v>4604</v>
      </c>
      <c r="DR75">
        <v>-1.6786424372083109E-2</v>
      </c>
      <c r="DS75">
        <v>0.44726572936988596</v>
      </c>
      <c r="DT75" s="10">
        <v>-0.14000000000000001</v>
      </c>
      <c r="DU75">
        <v>0.38666666666666666</v>
      </c>
      <c r="DV75">
        <v>0.24666666666666665</v>
      </c>
      <c r="DW75">
        <v>-9.3531707317073174</v>
      </c>
      <c r="DX75">
        <v>0.37014724753552575</v>
      </c>
      <c r="DY75">
        <v>-9.0706861498613272</v>
      </c>
      <c r="DZ75">
        <v>1238</v>
      </c>
      <c r="EA75">
        <v>-9.0535509523817268</v>
      </c>
      <c r="EB75">
        <v>9</v>
      </c>
      <c r="EC75">
        <v>9.1969565520669538E-2</v>
      </c>
      <c r="ED75">
        <v>0.45950951938194973</v>
      </c>
      <c r="EE75" s="11">
        <v>-3.07361</v>
      </c>
      <c r="EF75">
        <v>-3.0518100000000001</v>
      </c>
      <c r="EG75">
        <v>17.200147247535526</v>
      </c>
      <c r="EH75" t="s">
        <v>1186</v>
      </c>
      <c r="EI75">
        <v>0</v>
      </c>
      <c r="EJ75">
        <v>1</v>
      </c>
      <c r="EK75" s="12">
        <v>45511</v>
      </c>
      <c r="EL75">
        <v>-2.82</v>
      </c>
      <c r="EM75">
        <v>-5.14</v>
      </c>
      <c r="EN75">
        <v>-3.8</v>
      </c>
      <c r="EO75">
        <v>2.36</v>
      </c>
      <c r="EP75">
        <v>2.1800000000000002</v>
      </c>
    </row>
    <row r="76" spans="1:146" ht="108" x14ac:dyDescent="0.25">
      <c r="A76" s="6"/>
      <c r="B76" s="6"/>
      <c r="C76" s="6" t="str">
        <f>""&amp;CHAR(10)&amp;Basic_Fundamental_Information_Constructure(F76)&amp;CHAR(10)&amp;Basic_Fundamental_Information_Concatenate("")</f>
        <v xml:space="preserve">
市值190.35亿, 利润5.25亿; PE32.69; 平均PE59.02; 平均PEG3.56, PB6.33; ROIC12.8367%; ROE13.81%; 股利率1.1295%; 毛利37.6133%; 净利20.8267%; 上一年度营收增11.03%, 利润增31.25%; 当季营收增5.91%, 利润增21.96%; 过往5年营收增16.6%, 利润增24.38%
Income profile:
</v>
      </c>
      <c r="D76" t="s">
        <v>579</v>
      </c>
      <c r="E76" t="s">
        <v>580</v>
      </c>
      <c r="F76">
        <v>38.07</v>
      </c>
      <c r="G76">
        <v>2.4500000000000002</v>
      </c>
      <c r="H76" t="s">
        <v>3149</v>
      </c>
      <c r="I76">
        <v>19035000000</v>
      </c>
      <c r="J76">
        <v>32.69</v>
      </c>
      <c r="K76">
        <v>6.33</v>
      </c>
      <c r="L76" t="s">
        <v>212</v>
      </c>
      <c r="M76" t="s">
        <v>896</v>
      </c>
      <c r="N76" t="s">
        <v>2635</v>
      </c>
      <c r="O76" t="s">
        <v>845</v>
      </c>
      <c r="P76">
        <v>5.92</v>
      </c>
      <c r="Q76" t="s">
        <v>2648</v>
      </c>
      <c r="R76">
        <v>111200022</v>
      </c>
      <c r="S76" s="4">
        <v>0.21959999999999999</v>
      </c>
      <c r="T76" t="s">
        <v>864</v>
      </c>
      <c r="U76">
        <v>500000000</v>
      </c>
      <c r="V76">
        <v>500000000</v>
      </c>
      <c r="W76">
        <v>1.56</v>
      </c>
      <c r="X76">
        <v>0.1</v>
      </c>
      <c r="Y76">
        <v>24.79</v>
      </c>
      <c r="Z76" t="s">
        <v>150</v>
      </c>
      <c r="AA76" t="s">
        <v>97</v>
      </c>
      <c r="AB76" t="s">
        <v>2636</v>
      </c>
      <c r="AC76" t="s">
        <v>2637</v>
      </c>
      <c r="AD76" t="s">
        <v>2</v>
      </c>
      <c r="AE76">
        <v>-9185452</v>
      </c>
      <c r="AF76" t="s">
        <v>2638</v>
      </c>
      <c r="AG76" t="s">
        <v>2</v>
      </c>
      <c r="AH76" t="s">
        <v>2639</v>
      </c>
      <c r="AI76" t="s">
        <v>2640</v>
      </c>
      <c r="AJ76" t="s">
        <v>2641</v>
      </c>
      <c r="AK76" t="s">
        <v>2642</v>
      </c>
      <c r="AL76" t="s">
        <v>2643</v>
      </c>
      <c r="AM76" t="s">
        <v>2</v>
      </c>
      <c r="AN76">
        <v>0</v>
      </c>
      <c r="AO76" t="s">
        <v>2</v>
      </c>
      <c r="AP76" t="s">
        <v>979</v>
      </c>
      <c r="AQ76" t="s">
        <v>1276</v>
      </c>
      <c r="AR76" t="s">
        <v>2</v>
      </c>
      <c r="AS76" t="s">
        <v>2644</v>
      </c>
      <c r="AT76" t="s">
        <v>2</v>
      </c>
      <c r="AU76" t="s">
        <v>2645</v>
      </c>
      <c r="AV76" t="s">
        <v>2646</v>
      </c>
      <c r="AW76" t="s">
        <v>2647</v>
      </c>
      <c r="AX76" t="s">
        <v>1001</v>
      </c>
      <c r="AY76" t="s">
        <v>735</v>
      </c>
      <c r="AZ76" t="s">
        <v>161</v>
      </c>
      <c r="BA76" t="s">
        <v>581</v>
      </c>
      <c r="BB76" t="s">
        <v>582</v>
      </c>
      <c r="BC76" t="s">
        <v>1002</v>
      </c>
      <c r="BD76" t="s">
        <v>364</v>
      </c>
      <c r="BE76" t="s">
        <v>247</v>
      </c>
      <c r="BF76" t="s">
        <v>28</v>
      </c>
      <c r="BG76" t="s">
        <v>145</v>
      </c>
      <c r="BH76" t="s">
        <v>2648</v>
      </c>
      <c r="BI76" t="s">
        <v>477</v>
      </c>
      <c r="BJ76" t="s">
        <v>1001</v>
      </c>
      <c r="BK76" t="s">
        <v>864</v>
      </c>
      <c r="BL76" t="s">
        <v>3150</v>
      </c>
      <c r="BM76" t="s">
        <v>1002</v>
      </c>
      <c r="BN76">
        <v>11.63</v>
      </c>
      <c r="BO76">
        <v>14.22</v>
      </c>
      <c r="BP76">
        <v>12.66</v>
      </c>
      <c r="BQ76">
        <v>12.73</v>
      </c>
      <c r="BR76">
        <v>14.86</v>
      </c>
      <c r="BS76">
        <v>13.84</v>
      </c>
      <c r="BT76" t="s">
        <v>2649</v>
      </c>
      <c r="BU76" t="s">
        <v>790</v>
      </c>
      <c r="BV76">
        <v>40.79</v>
      </c>
      <c r="BW76">
        <v>37.119999999999997</v>
      </c>
      <c r="BX76">
        <v>34.93</v>
      </c>
      <c r="BY76">
        <v>23.65</v>
      </c>
      <c r="BZ76">
        <v>20.079999999999998</v>
      </c>
      <c r="CA76">
        <v>18.75</v>
      </c>
      <c r="CB76">
        <v>-3.67</v>
      </c>
      <c r="CC76">
        <v>1.63</v>
      </c>
      <c r="CD76" t="s">
        <v>3151</v>
      </c>
      <c r="CE76" t="s">
        <v>3152</v>
      </c>
      <c r="CF76" s="8">
        <v>5.9101654846335692E-2</v>
      </c>
      <c r="CG76" s="9">
        <v>0.21960338768902751</v>
      </c>
      <c r="CH76" s="8">
        <v>0.11027941107749939</v>
      </c>
      <c r="CI76" s="8">
        <v>9.7480833530426025E-2</v>
      </c>
      <c r="CJ76" s="8">
        <v>0.26017948985099792</v>
      </c>
      <c r="CK76" s="8">
        <v>0.16479094326496124</v>
      </c>
      <c r="CL76" s="8">
        <v>0.1973050981760025</v>
      </c>
      <c r="CM76" s="9">
        <v>0.3125</v>
      </c>
      <c r="CN76" s="9">
        <v>0.17302052676677704</v>
      </c>
      <c r="CO76" s="9">
        <v>0.23999999463558197</v>
      </c>
      <c r="CP76" s="9">
        <v>0.26728111505508423</v>
      </c>
      <c r="CQ76" s="9">
        <v>0.22598870098590851</v>
      </c>
      <c r="CR76">
        <v>59.02325581395349</v>
      </c>
      <c r="CS76">
        <v>3.5554645671726113</v>
      </c>
      <c r="CT76">
        <v>1.1294982926188599</v>
      </c>
      <c r="CU76" s="8">
        <v>0.16600715517997741</v>
      </c>
      <c r="CV76" s="9">
        <v>0.24375806748867035</v>
      </c>
      <c r="CW76">
        <v>0.06</v>
      </c>
      <c r="CX76">
        <v>30.211070020480708</v>
      </c>
      <c r="CY76">
        <v>577503543.8391397</v>
      </c>
      <c r="CZ76">
        <v>0.16600715517997741</v>
      </c>
      <c r="DA76">
        <v>9.2625388748206685</v>
      </c>
      <c r="DB76">
        <v>1883608828.6147993</v>
      </c>
      <c r="DC76">
        <v>0.15770679742097854</v>
      </c>
      <c r="DD76">
        <v>4.1770124343022292</v>
      </c>
      <c r="DE76">
        <v>4176908801.3056216</v>
      </c>
      <c r="DF76">
        <v>0.14608629655838012</v>
      </c>
      <c r="DG76">
        <v>2.2647104411853616</v>
      </c>
      <c r="DH76">
        <v>7703854622.0805807</v>
      </c>
      <c r="DI76">
        <v>0.13280572414398192</v>
      </c>
      <c r="DJ76">
        <v>0.92433083895257251</v>
      </c>
      <c r="DK76">
        <v>18875276323.973442</v>
      </c>
      <c r="DL76">
        <v>0.11620500862598418</v>
      </c>
      <c r="DM76">
        <v>525000000</v>
      </c>
      <c r="DN76">
        <v>0.16600715517997741</v>
      </c>
      <c r="DO76">
        <v>17447000000</v>
      </c>
      <c r="DP76">
        <v>2355001800</v>
      </c>
      <c r="DQ76">
        <v>4622</v>
      </c>
      <c r="DR76">
        <v>-0.10690550033364171</v>
      </c>
      <c r="DS76">
        <v>-2.4154679799642836E-2</v>
      </c>
      <c r="DT76" s="10">
        <v>-9.000000000000008E-2</v>
      </c>
      <c r="DU76">
        <v>0.8866666666666666</v>
      </c>
      <c r="DV76">
        <v>0.79666666666666652</v>
      </c>
      <c r="DW76">
        <v>-4.4441416893732972</v>
      </c>
      <c r="DX76">
        <v>0.35062390971728352</v>
      </c>
      <c r="DY76">
        <v>-4.0802226084030435</v>
      </c>
      <c r="DZ76">
        <v>400</v>
      </c>
      <c r="EA76">
        <v>-4.0739392633156699</v>
      </c>
      <c r="EB76">
        <v>4</v>
      </c>
      <c r="EC76">
        <v>1.48272E-2</v>
      </c>
      <c r="ED76">
        <v>8.208879999999999E-2</v>
      </c>
      <c r="EE76" s="11">
        <v>-4.0743</v>
      </c>
      <c r="EF76">
        <v>-4.0987999999999998</v>
      </c>
      <c r="EG76">
        <v>17.180623909717283</v>
      </c>
      <c r="EH76" t="s">
        <v>1268</v>
      </c>
      <c r="EI76">
        <v>0</v>
      </c>
      <c r="EJ76">
        <v>1</v>
      </c>
      <c r="EK76" s="12">
        <v>45511</v>
      </c>
      <c r="EL76">
        <v>-0.81</v>
      </c>
      <c r="EM76">
        <v>-0.13</v>
      </c>
      <c r="EN76">
        <v>-3.01</v>
      </c>
      <c r="EO76">
        <v>-2.13</v>
      </c>
      <c r="EP76">
        <v>2.4500000000000002</v>
      </c>
    </row>
    <row r="77" spans="1:146" ht="108" x14ac:dyDescent="0.25">
      <c r="C77" s="6" t="str">
        <f>""&amp;CHAR(10)&amp;Basic_Fundamental_Information_Constructure(F77)&amp;CHAR(10)&amp;Basic_Fundamental_Information_Concatenate("")</f>
        <v xml:space="preserve">
市值25.013333亿, 利润1556.28万; PE82.35; 平均PE50.78; 平均PEG4.19, PB2.13; ROIC8.9833%; ROE11.6333%; 股利率0%; 毛利55.85%; 净利20.7333%; 上一年度营收增-29.94%, 利润增-80.72%; 当季营收增147.82%, 利润增175.43%; 过往5年营收增12.12%, 利润增18.9%
Income profile:
</v>
      </c>
      <c r="D77" s="4" t="s">
        <v>866</v>
      </c>
      <c r="E77" t="s">
        <v>867</v>
      </c>
      <c r="F77">
        <v>20.440000000000001</v>
      </c>
      <c r="G77">
        <v>5.14</v>
      </c>
      <c r="H77" t="s">
        <v>3153</v>
      </c>
      <c r="I77">
        <v>2501333300</v>
      </c>
      <c r="J77">
        <v>82.35</v>
      </c>
      <c r="K77">
        <v>2.13</v>
      </c>
      <c r="L77" t="s">
        <v>212</v>
      </c>
      <c r="M77" t="s">
        <v>888</v>
      </c>
      <c r="N77" t="s">
        <v>2650</v>
      </c>
      <c r="O77" t="s">
        <v>2651</v>
      </c>
      <c r="P77">
        <v>147.82</v>
      </c>
      <c r="Q77" t="s">
        <v>927</v>
      </c>
      <c r="R77">
        <v>6369096</v>
      </c>
      <c r="S77">
        <v>1.754</v>
      </c>
      <c r="T77" t="s">
        <v>2673</v>
      </c>
      <c r="U77">
        <v>93064769</v>
      </c>
      <c r="V77">
        <v>122374426</v>
      </c>
      <c r="W77">
        <v>1.1200000000000001</v>
      </c>
      <c r="X77">
        <v>0.04</v>
      </c>
      <c r="Y77">
        <v>11.16</v>
      </c>
      <c r="Z77" t="s">
        <v>2652</v>
      </c>
      <c r="AA77" t="s">
        <v>2653</v>
      </c>
      <c r="AB77" t="s">
        <v>2654</v>
      </c>
      <c r="AC77" t="s">
        <v>2655</v>
      </c>
      <c r="AD77" t="s">
        <v>2</v>
      </c>
      <c r="AE77">
        <v>-334493</v>
      </c>
      <c r="AF77" t="s">
        <v>2656</v>
      </c>
      <c r="AG77" t="s">
        <v>2657</v>
      </c>
      <c r="AH77" t="s">
        <v>2658</v>
      </c>
      <c r="AI77" t="s">
        <v>2659</v>
      </c>
      <c r="AJ77" t="s">
        <v>2660</v>
      </c>
      <c r="AK77" t="s">
        <v>2661</v>
      </c>
      <c r="AL77" t="s">
        <v>2662</v>
      </c>
      <c r="AM77" t="s">
        <v>2</v>
      </c>
      <c r="AN77" t="s">
        <v>2663</v>
      </c>
      <c r="AO77" t="s">
        <v>2664</v>
      </c>
      <c r="AP77" t="s">
        <v>2665</v>
      </c>
      <c r="AQ77" t="s">
        <v>2666</v>
      </c>
      <c r="AR77" t="s">
        <v>2</v>
      </c>
      <c r="AS77" t="s">
        <v>2667</v>
      </c>
      <c r="AT77" t="s">
        <v>2668</v>
      </c>
      <c r="AU77" t="s">
        <v>2669</v>
      </c>
      <c r="AV77" t="s">
        <v>2670</v>
      </c>
      <c r="AW77" t="s">
        <v>2671</v>
      </c>
      <c r="AX77" t="s">
        <v>839</v>
      </c>
      <c r="AY77" t="s">
        <v>261</v>
      </c>
      <c r="AZ77" t="s">
        <v>685</v>
      </c>
      <c r="BA77" t="s">
        <v>79</v>
      </c>
      <c r="BB77" t="s">
        <v>36</v>
      </c>
      <c r="BC77" t="s">
        <v>2672</v>
      </c>
      <c r="BD77" t="s">
        <v>868</v>
      </c>
      <c r="BE77" t="s">
        <v>869</v>
      </c>
      <c r="BF77" t="s">
        <v>870</v>
      </c>
      <c r="BG77" t="s">
        <v>871</v>
      </c>
      <c r="BH77" t="s">
        <v>927</v>
      </c>
      <c r="BI77" t="s">
        <v>3154</v>
      </c>
      <c r="BJ77" t="s">
        <v>839</v>
      </c>
      <c r="BK77" t="s">
        <v>2673</v>
      </c>
      <c r="BL77" t="s">
        <v>3155</v>
      </c>
      <c r="BM77" t="s">
        <v>2672</v>
      </c>
      <c r="BN77">
        <v>0.06</v>
      </c>
      <c r="BO77">
        <v>9.3000000000000007</v>
      </c>
      <c r="BP77">
        <v>17.59</v>
      </c>
      <c r="BQ77">
        <v>0.23</v>
      </c>
      <c r="BR77">
        <v>16.170000000000002</v>
      </c>
      <c r="BS77">
        <v>18.5</v>
      </c>
      <c r="BT77" t="s">
        <v>836</v>
      </c>
      <c r="BU77" t="s">
        <v>789</v>
      </c>
      <c r="BV77">
        <v>52.37</v>
      </c>
      <c r="BW77">
        <v>54.23</v>
      </c>
      <c r="BX77">
        <v>60.95</v>
      </c>
      <c r="BY77">
        <v>7.1</v>
      </c>
      <c r="BZ77">
        <v>25.87</v>
      </c>
      <c r="CA77">
        <v>29.23</v>
      </c>
      <c r="CB77">
        <v>2.56</v>
      </c>
      <c r="CC77">
        <v>-2.67</v>
      </c>
      <c r="CD77" t="s">
        <v>3156</v>
      </c>
      <c r="CE77" t="s">
        <v>3157</v>
      </c>
      <c r="CF77" s="8">
        <v>1.4781666217777736</v>
      </c>
      <c r="CG77" s="9">
        <v>1.7542747513027002</v>
      </c>
      <c r="CH77" s="8">
        <v>-0.29936304688453674</v>
      </c>
      <c r="CI77" s="8">
        <v>0.19847328960895538</v>
      </c>
      <c r="CJ77" s="8">
        <v>0.21860465407371521</v>
      </c>
      <c r="CK77" s="8">
        <v>0.2078651636838913</v>
      </c>
      <c r="CL77" s="8">
        <v>0.28057554364204407</v>
      </c>
      <c r="CM77" s="9">
        <v>-0.80720663070678711</v>
      </c>
      <c r="CN77" s="9">
        <v>5.3978059440851212E-2</v>
      </c>
      <c r="CO77" s="9">
        <v>0.41573810577392578</v>
      </c>
      <c r="CP77" s="9">
        <v>0.16076429188251495</v>
      </c>
      <c r="CQ77" s="9">
        <v>1.1216045618057251</v>
      </c>
      <c r="CR77">
        <v>50.780811836585123</v>
      </c>
      <c r="CS77">
        <v>4.1887604017095912</v>
      </c>
      <c r="CT77">
        <v>0</v>
      </c>
      <c r="CU77" s="8">
        <v>0.12123112082481384</v>
      </c>
      <c r="CV77" s="9">
        <v>0.188975677639246</v>
      </c>
      <c r="CW77">
        <v>0.06</v>
      </c>
      <c r="CX77">
        <v>88.528248935905012</v>
      </c>
      <c r="CY77">
        <v>16461788.384124916</v>
      </c>
      <c r="CZ77">
        <v>0.12123112082481384</v>
      </c>
      <c r="DA77">
        <v>28.177809172287436</v>
      </c>
      <c r="DB77">
        <v>51719184.095876098</v>
      </c>
      <c r="DC77">
        <v>0.11516956478357314</v>
      </c>
      <c r="DD77">
        <v>13.385444526578112</v>
      </c>
      <c r="DE77">
        <v>108874479.07361776</v>
      </c>
      <c r="DF77">
        <v>0.10668338632583618</v>
      </c>
      <c r="DG77">
        <v>7.7169327828933296</v>
      </c>
      <c r="DH77">
        <v>188848774.63628733</v>
      </c>
      <c r="DI77">
        <v>9.6984896659851078E-2</v>
      </c>
      <c r="DJ77">
        <v>3.637874111517668</v>
      </c>
      <c r="DK77">
        <v>400600255.89836085</v>
      </c>
      <c r="DL77">
        <v>8.4861784577369689E-2</v>
      </c>
      <c r="DM77">
        <v>15562800</v>
      </c>
      <c r="DN77">
        <v>0.12123112082481384</v>
      </c>
      <c r="DO77">
        <v>1457333300</v>
      </c>
      <c r="DP77">
        <v>945733550</v>
      </c>
      <c r="DQ77" s="10">
        <v>4660</v>
      </c>
      <c r="DR77">
        <v>1.3569355009529598</v>
      </c>
      <c r="DS77">
        <v>1.5652990736634542</v>
      </c>
      <c r="DT77">
        <v>-0.10666666666666676</v>
      </c>
      <c r="DU77">
        <v>0.33666666666666667</v>
      </c>
      <c r="DV77">
        <v>0.22999999999999993</v>
      </c>
      <c r="DW77">
        <v>6.4894837476099427</v>
      </c>
      <c r="DX77">
        <v>0.60316846007600844</v>
      </c>
      <c r="DY77">
        <v>6.1141321716624439</v>
      </c>
      <c r="DZ77">
        <v>1283</v>
      </c>
      <c r="EA77">
        <v>6.0854594526017598</v>
      </c>
      <c r="EB77" s="11">
        <v>6</v>
      </c>
      <c r="EC77">
        <v>9.8115271241394839E-2</v>
      </c>
      <c r="ED77">
        <v>0.42079135063726469</v>
      </c>
      <c r="EE77">
        <v>4.0843999999999996</v>
      </c>
      <c r="EF77">
        <v>4.1357999999999997</v>
      </c>
      <c r="EG77">
        <v>37.233168460076008</v>
      </c>
      <c r="EH77" s="12" t="s">
        <v>1256</v>
      </c>
      <c r="EI77">
        <v>0</v>
      </c>
      <c r="EJ77">
        <v>1</v>
      </c>
      <c r="EK77">
        <v>45511</v>
      </c>
      <c r="EL77">
        <v>2.41</v>
      </c>
      <c r="EM77">
        <v>-2.65</v>
      </c>
      <c r="EN77">
        <v>-5.69</v>
      </c>
      <c r="EO77">
        <v>3.74</v>
      </c>
      <c r="EP77">
        <v>5.14</v>
      </c>
    </row>
    <row r="78" spans="1:146" ht="108" x14ac:dyDescent="0.25">
      <c r="A78" s="6"/>
      <c r="B78" s="6"/>
      <c r="C78" s="6" t="str">
        <f>""&amp;CHAR(10)&amp;Basic_Fundamental_Information_Constructure(F78)&amp;CHAR(10)&amp;Basic_Fundamental_Information_Concatenate("")</f>
        <v xml:space="preserve">
市值25.224891亿, 利润-3843.16万; PE63.3; 平均PE-178.19; 平均PEG-10.45, PB3.13; ROIC0%; ROE-4.8033%; 股利率0%; 毛利14.9767%; 净利-4.2167%; 上一年度营收增10.95%, 利润增32.02%; 当季营收增358.51%, 利润增400.35%; 过往5年营收增17.05%, 利润增-86.69%
Income profile:
</v>
      </c>
      <c r="D78" t="s">
        <v>583</v>
      </c>
      <c r="E78" t="s">
        <v>584</v>
      </c>
      <c r="F78">
        <v>27.42</v>
      </c>
      <c r="G78">
        <v>-1.54</v>
      </c>
      <c r="H78" t="s">
        <v>3158</v>
      </c>
      <c r="I78">
        <v>2522489100</v>
      </c>
      <c r="J78">
        <v>63.3</v>
      </c>
      <c r="K78">
        <v>3.13</v>
      </c>
      <c r="L78" t="s">
        <v>212</v>
      </c>
      <c r="M78" t="s">
        <v>2674</v>
      </c>
      <c r="N78" t="s">
        <v>1137</v>
      </c>
      <c r="O78" t="s">
        <v>2675</v>
      </c>
      <c r="P78">
        <v>358.74</v>
      </c>
      <c r="Q78" t="s">
        <v>2691</v>
      </c>
      <c r="R78">
        <v>58730403</v>
      </c>
      <c r="S78" s="4">
        <v>4.0039999999999996</v>
      </c>
      <c r="T78" t="s">
        <v>2692</v>
      </c>
      <c r="U78">
        <v>91679495</v>
      </c>
      <c r="V78">
        <v>91994495</v>
      </c>
      <c r="W78">
        <v>2.11</v>
      </c>
      <c r="X78">
        <v>0.53</v>
      </c>
      <c r="Y78">
        <v>6.67</v>
      </c>
      <c r="Z78" t="s">
        <v>2676</v>
      </c>
      <c r="AA78" t="s">
        <v>2677</v>
      </c>
      <c r="AB78" t="s">
        <v>2678</v>
      </c>
      <c r="AC78" t="s">
        <v>2679</v>
      </c>
      <c r="AD78" t="s">
        <v>2</v>
      </c>
      <c r="AE78">
        <v>6136009</v>
      </c>
      <c r="AF78" t="s">
        <v>2680</v>
      </c>
      <c r="AG78" t="s">
        <v>2</v>
      </c>
      <c r="AH78" t="s">
        <v>2681</v>
      </c>
      <c r="AI78" t="s">
        <v>1244</v>
      </c>
      <c r="AJ78" t="s">
        <v>2682</v>
      </c>
      <c r="AK78" t="s">
        <v>2683</v>
      </c>
      <c r="AL78" t="s">
        <v>2684</v>
      </c>
      <c r="AM78" t="s">
        <v>2</v>
      </c>
      <c r="AN78" t="s">
        <v>2685</v>
      </c>
      <c r="AO78" t="s">
        <v>2686</v>
      </c>
      <c r="AP78" t="s">
        <v>874</v>
      </c>
      <c r="AQ78" t="s">
        <v>923</v>
      </c>
      <c r="AR78" t="s">
        <v>2</v>
      </c>
      <c r="AS78" t="s">
        <v>1160</v>
      </c>
      <c r="AT78" t="s">
        <v>2</v>
      </c>
      <c r="AU78" t="s">
        <v>2687</v>
      </c>
      <c r="AV78" t="s">
        <v>2688</v>
      </c>
      <c r="AW78" t="s">
        <v>2689</v>
      </c>
      <c r="AX78" t="s">
        <v>692</v>
      </c>
      <c r="AY78" t="s">
        <v>495</v>
      </c>
      <c r="AZ78" t="s">
        <v>165</v>
      </c>
      <c r="BA78" t="s">
        <v>586</v>
      </c>
      <c r="BB78" t="s">
        <v>467</v>
      </c>
      <c r="BC78" t="s">
        <v>2690</v>
      </c>
      <c r="BD78" t="s">
        <v>736</v>
      </c>
      <c r="BE78" t="s">
        <v>585</v>
      </c>
      <c r="BF78" t="s">
        <v>587</v>
      </c>
      <c r="BG78" t="s">
        <v>588</v>
      </c>
      <c r="BH78" t="s">
        <v>2691</v>
      </c>
      <c r="BI78" t="s">
        <v>171</v>
      </c>
      <c r="BJ78" t="s">
        <v>692</v>
      </c>
      <c r="BK78" t="s">
        <v>2692</v>
      </c>
      <c r="BL78" t="s">
        <v>3159</v>
      </c>
      <c r="BM78" t="s">
        <v>2690</v>
      </c>
      <c r="BN78" t="s">
        <v>2</v>
      </c>
      <c r="BO78" t="s">
        <v>2</v>
      </c>
      <c r="BP78" t="s">
        <v>2</v>
      </c>
      <c r="BQ78">
        <v>-5.78</v>
      </c>
      <c r="BR78">
        <v>-7.08</v>
      </c>
      <c r="BS78">
        <v>-1.55</v>
      </c>
      <c r="BT78" t="s">
        <v>836</v>
      </c>
      <c r="BU78" t="s">
        <v>790</v>
      </c>
      <c r="BV78">
        <v>15.18</v>
      </c>
      <c r="BW78">
        <v>14.42</v>
      </c>
      <c r="BX78">
        <v>15.33</v>
      </c>
      <c r="BY78">
        <v>-4.46</v>
      </c>
      <c r="BZ78">
        <v>-6.83</v>
      </c>
      <c r="CA78">
        <v>-1.36</v>
      </c>
      <c r="CB78">
        <v>-11.32</v>
      </c>
      <c r="CC78">
        <v>-26.59</v>
      </c>
      <c r="CD78" t="s">
        <v>3160</v>
      </c>
      <c r="CE78" t="s">
        <v>3161</v>
      </c>
      <c r="CF78" s="8">
        <v>3.5851063829787226</v>
      </c>
      <c r="CG78" s="9">
        <v>4.0035442397091083</v>
      </c>
      <c r="CH78" s="8">
        <v>0.10952381044626236</v>
      </c>
      <c r="CI78" s="8">
        <v>-0.18048781156539917</v>
      </c>
      <c r="CJ78" s="8">
        <v>0.78571426868438721</v>
      </c>
      <c r="CK78" s="8">
        <v>-0.26598465442657471</v>
      </c>
      <c r="CL78" s="8">
        <v>0.40394973754882813</v>
      </c>
      <c r="CM78" s="9">
        <v>0.32017850875854492</v>
      </c>
      <c r="CN78" s="9">
        <v>-3.3606834411621094</v>
      </c>
      <c r="CO78" s="9">
        <v>0.82729589939117432</v>
      </c>
      <c r="CP78" s="9">
        <v>-2.3758084774017334</v>
      </c>
      <c r="CQ78" s="9">
        <v>0.25440278649330139</v>
      </c>
      <c r="CR78">
        <v>-178.19096361285946</v>
      </c>
      <c r="CS78">
        <v>-10.448443520407634</v>
      </c>
      <c r="CT78">
        <v>0</v>
      </c>
      <c r="CU78" s="8">
        <v>0.17054307013750075</v>
      </c>
      <c r="CV78" s="9">
        <v>-0.86692294478416443</v>
      </c>
      <c r="CW78">
        <v>0.06</v>
      </c>
      <c r="CX78" t="e">
        <v>#VALUE!</v>
      </c>
      <c r="CY78" t="s">
        <v>765</v>
      </c>
      <c r="CZ78">
        <v>0.17054307013750075</v>
      </c>
      <c r="DA78" t="e">
        <v>#VALUE!</v>
      </c>
      <c r="DB78" t="s">
        <v>765</v>
      </c>
      <c r="DC78">
        <v>0.1620159166306257</v>
      </c>
      <c r="DD78" t="e">
        <v>#VALUE!</v>
      </c>
      <c r="DE78" t="s">
        <v>765</v>
      </c>
      <c r="DF78">
        <v>0.15007790172100066</v>
      </c>
      <c r="DG78" t="e">
        <v>#VALUE!</v>
      </c>
      <c r="DH78" t="s">
        <v>765</v>
      </c>
      <c r="DI78">
        <v>0.1364344561100006</v>
      </c>
      <c r="DJ78" t="e">
        <v>#VALUE!</v>
      </c>
      <c r="DK78" t="s">
        <v>765</v>
      </c>
      <c r="DL78">
        <v>0.11938014909625051</v>
      </c>
      <c r="DM78">
        <v>-38431600</v>
      </c>
      <c r="DN78">
        <v>0.17054307013750075</v>
      </c>
      <c r="DO78">
        <v>2536489100</v>
      </c>
      <c r="DP78">
        <v>374590950</v>
      </c>
      <c r="DQ78">
        <v>4672</v>
      </c>
      <c r="DR78">
        <v>3.4145633128412221</v>
      </c>
      <c r="DS78">
        <v>4.8704671844932728</v>
      </c>
      <c r="DT78" s="10">
        <v>-0.34</v>
      </c>
      <c r="DU78">
        <v>-1.0666666666666667</v>
      </c>
      <c r="DV78">
        <v>-1.4066666666666667</v>
      </c>
      <c r="DW78">
        <v>-9.4257239563745774</v>
      </c>
      <c r="DX78">
        <v>0.28788340213097607</v>
      </c>
      <c r="DY78">
        <v>-9.0587002674735864</v>
      </c>
      <c r="DZ78">
        <v>3969</v>
      </c>
      <c r="EA78">
        <v>-9.0130802632435749</v>
      </c>
      <c r="EB78">
        <v>9</v>
      </c>
      <c r="EC78">
        <v>9.2771855533312075E-2</v>
      </c>
      <c r="ED78">
        <v>0.67282830347620259</v>
      </c>
      <c r="EE78" s="11">
        <v>-2.0685099999999998</v>
      </c>
      <c r="EF78">
        <v>-2.0839099999999999</v>
      </c>
      <c r="EG78">
        <v>15.137883402130976</v>
      </c>
      <c r="EH78" t="s">
        <v>1183</v>
      </c>
      <c r="EI78">
        <v>0</v>
      </c>
      <c r="EJ78">
        <v>0</v>
      </c>
      <c r="EK78" s="12">
        <v>45511</v>
      </c>
      <c r="EL78">
        <v>-1.49</v>
      </c>
      <c r="EM78">
        <v>-6.14</v>
      </c>
      <c r="EN78">
        <v>-6.02</v>
      </c>
      <c r="EO78">
        <v>3.65</v>
      </c>
      <c r="EP78">
        <v>-1.54</v>
      </c>
    </row>
    <row r="79" spans="1:146" ht="108" x14ac:dyDescent="0.25">
      <c r="A79" s="6"/>
      <c r="B79" s="6"/>
      <c r="C79" s="6" t="str">
        <f>""&amp;CHAR(10)&amp;Basic_Fundamental_Information_Constructure(F79)&amp;CHAR(10)&amp;Basic_Fundamental_Information_Concatenate("")</f>
        <v xml:space="preserve">
市值45.04亿, 利润4673.56万; PE88.11; 平均PE20.76; 平均PEG.31, PB2.09; ROIC3.41%; ROE4.6067%; 股利率.5218%; 毛利30.8933%; 净利20.07%; 上一年度营收增7.25%, 利润增-40.55%; 当季营收增-5.8%, 利润增43.03%; 过往5年营收增67.23%, 利润增134.74%
Income profile:
</v>
      </c>
      <c r="D79" t="s">
        <v>737</v>
      </c>
      <c r="E79" t="s">
        <v>738</v>
      </c>
      <c r="F79">
        <v>11.26</v>
      </c>
      <c r="G79">
        <v>1.53</v>
      </c>
      <c r="H79" t="s">
        <v>3162</v>
      </c>
      <c r="I79">
        <v>4504000000</v>
      </c>
      <c r="J79">
        <v>88.11</v>
      </c>
      <c r="K79">
        <v>2.09</v>
      </c>
      <c r="L79" t="s">
        <v>212</v>
      </c>
      <c r="M79" t="s">
        <v>685</v>
      </c>
      <c r="N79" t="s">
        <v>2693</v>
      </c>
      <c r="O79" t="s">
        <v>2694</v>
      </c>
      <c r="P79">
        <v>-5.8</v>
      </c>
      <c r="Q79" t="s">
        <v>86</v>
      </c>
      <c r="R79">
        <v>14573533</v>
      </c>
      <c r="S79" s="4">
        <v>0.43030000000000002</v>
      </c>
      <c r="T79" t="s">
        <v>2708</v>
      </c>
      <c r="U79">
        <v>100000000</v>
      </c>
      <c r="V79">
        <v>400000000</v>
      </c>
      <c r="W79">
        <v>1.07</v>
      </c>
      <c r="X79">
        <v>0.04</v>
      </c>
      <c r="Y79">
        <v>16.670000000000002</v>
      </c>
      <c r="Z79" t="s">
        <v>2695</v>
      </c>
      <c r="AA79" t="s">
        <v>2696</v>
      </c>
      <c r="AB79" t="s">
        <v>2697</v>
      </c>
      <c r="AC79" t="s">
        <v>2698</v>
      </c>
      <c r="AD79" t="s">
        <v>2</v>
      </c>
      <c r="AE79">
        <v>-2400539</v>
      </c>
      <c r="AF79" t="s">
        <v>2699</v>
      </c>
      <c r="AG79" t="s">
        <v>1739</v>
      </c>
      <c r="AH79" t="s">
        <v>2700</v>
      </c>
      <c r="AI79" t="s">
        <v>2701</v>
      </c>
      <c r="AJ79" t="s">
        <v>2702</v>
      </c>
      <c r="AK79" t="s">
        <v>2703</v>
      </c>
      <c r="AL79" t="s">
        <v>2704</v>
      </c>
      <c r="AM79" t="s">
        <v>2</v>
      </c>
      <c r="AN79" t="s">
        <v>114</v>
      </c>
      <c r="AO79" t="s">
        <v>2</v>
      </c>
      <c r="AP79" t="s">
        <v>2705</v>
      </c>
      <c r="AQ79" t="s">
        <v>60</v>
      </c>
      <c r="AR79" t="s">
        <v>2</v>
      </c>
      <c r="AS79" t="s">
        <v>787</v>
      </c>
      <c r="AT79" t="s">
        <v>2</v>
      </c>
      <c r="AU79" t="s">
        <v>2706</v>
      </c>
      <c r="AV79" t="s">
        <v>2707</v>
      </c>
      <c r="AW79" t="s">
        <v>2</v>
      </c>
      <c r="AX79" t="s">
        <v>44</v>
      </c>
      <c r="AY79" t="s">
        <v>150</v>
      </c>
      <c r="AZ79" t="s">
        <v>740</v>
      </c>
      <c r="BA79" t="s">
        <v>741</v>
      </c>
      <c r="BB79" t="s">
        <v>58</v>
      </c>
      <c r="BC79" t="s">
        <v>1003</v>
      </c>
      <c r="BD79" t="s">
        <v>739</v>
      </c>
      <c r="BE79" t="s">
        <v>237</v>
      </c>
      <c r="BF79" t="s">
        <v>742</v>
      </c>
      <c r="BG79" t="s">
        <v>743</v>
      </c>
      <c r="BH79" t="s">
        <v>86</v>
      </c>
      <c r="BI79" t="s">
        <v>3163</v>
      </c>
      <c r="BJ79" t="s">
        <v>44</v>
      </c>
      <c r="BK79" t="s">
        <v>2708</v>
      </c>
      <c r="BL79" t="s">
        <v>3164</v>
      </c>
      <c r="BM79" t="s">
        <v>1003</v>
      </c>
      <c r="BN79">
        <v>1.1399999999999999</v>
      </c>
      <c r="BO79">
        <v>3.48</v>
      </c>
      <c r="BP79">
        <v>5.61</v>
      </c>
      <c r="BQ79">
        <v>1.41</v>
      </c>
      <c r="BR79">
        <v>3.8</v>
      </c>
      <c r="BS79">
        <v>8.61</v>
      </c>
      <c r="BT79" t="s">
        <v>2709</v>
      </c>
      <c r="BU79" t="s">
        <v>757</v>
      </c>
      <c r="BV79">
        <v>27.49</v>
      </c>
      <c r="BW79">
        <v>28.52</v>
      </c>
      <c r="BX79">
        <v>36.67</v>
      </c>
      <c r="BY79">
        <v>11.35</v>
      </c>
      <c r="BZ79">
        <v>22.63</v>
      </c>
      <c r="CA79">
        <v>26.23</v>
      </c>
      <c r="CB79">
        <v>-5.62</v>
      </c>
      <c r="CC79">
        <v>-16.72</v>
      </c>
      <c r="CD79" t="s">
        <v>3165</v>
      </c>
      <c r="CE79" t="s">
        <v>57</v>
      </c>
      <c r="CF79" s="8">
        <v>-5.8027170839248819E-2</v>
      </c>
      <c r="CG79" s="9">
        <v>0.43034832364949749</v>
      </c>
      <c r="CH79" s="8">
        <v>7.2463765740394592E-2</v>
      </c>
      <c r="CI79" s="8">
        <v>3.2934132963418961E-2</v>
      </c>
      <c r="CJ79" s="8">
        <v>-0.67946255207061768</v>
      </c>
      <c r="CK79" s="8">
        <v>-0.25994318723678589</v>
      </c>
      <c r="CL79" s="8">
        <v>4.1955718994140625</v>
      </c>
      <c r="CM79" s="9">
        <v>-0.4054645299911499</v>
      </c>
      <c r="CN79" s="9">
        <v>-0.10160984098911285</v>
      </c>
      <c r="CO79" s="9">
        <v>-0.6710548996925354</v>
      </c>
      <c r="CP79" s="9">
        <v>-0.64295303821563721</v>
      </c>
      <c r="CQ79" s="9">
        <v>8.5581197738647461</v>
      </c>
      <c r="CR79">
        <v>20.75914369454069</v>
      </c>
      <c r="CS79">
        <v>0.30877209732374622</v>
      </c>
      <c r="CT79">
        <v>0.52175843694493784</v>
      </c>
      <c r="CU79" s="8">
        <v>0.67231281176209445</v>
      </c>
      <c r="CV79" s="9">
        <v>1.3474074929952622</v>
      </c>
      <c r="CW79">
        <v>0.06</v>
      </c>
      <c r="CX79">
        <v>34.828562112203542</v>
      </c>
      <c r="CY79">
        <v>73732587.401309952</v>
      </c>
      <c r="CZ79">
        <v>0.67231281176209445</v>
      </c>
      <c r="DA79">
        <v>7.2009590424446364</v>
      </c>
      <c r="DB79">
        <v>356619164.87282169</v>
      </c>
      <c r="DC79">
        <v>0.63869717117398972</v>
      </c>
      <c r="DD79">
        <v>1.75444699491658</v>
      </c>
      <c r="DE79">
        <v>1463709081.8022134</v>
      </c>
      <c r="DF79">
        <v>0.59163527435064311</v>
      </c>
      <c r="DG79">
        <v>0.42353068552599116</v>
      </c>
      <c r="DH79">
        <v>6063315097.9621458</v>
      </c>
      <c r="DI79">
        <v>0.53785024940967563</v>
      </c>
      <c r="DJ79">
        <v>2.2010133755973302E-2</v>
      </c>
      <c r="DK79">
        <v>116673529950.86064</v>
      </c>
      <c r="DL79">
        <v>0.47061896823346611</v>
      </c>
      <c r="DM79">
        <v>46735600.000000007</v>
      </c>
      <c r="DN79">
        <v>0.67231281176209445</v>
      </c>
      <c r="DO79">
        <v>2568000000</v>
      </c>
      <c r="DP79">
        <v>1340703300</v>
      </c>
      <c r="DQ79">
        <v>4693</v>
      </c>
      <c r="DR79">
        <v>-0.73033998260134325</v>
      </c>
      <c r="DS79">
        <v>-0.9170591693457647</v>
      </c>
      <c r="DT79" s="10">
        <v>-0.36166666666666675</v>
      </c>
      <c r="DU79">
        <v>-1.3333333333333383E-2</v>
      </c>
      <c r="DV79">
        <v>-0.37500000000000011</v>
      </c>
      <c r="DW79">
        <v>-8.3361244019138763</v>
      </c>
      <c r="DX79">
        <v>0.39747864077670014</v>
      </c>
      <c r="DY79">
        <v>-8.0562936579644173</v>
      </c>
      <c r="DZ79">
        <v>2695</v>
      </c>
      <c r="EA79">
        <v>-8.026587096731971</v>
      </c>
      <c r="EB79">
        <v>8</v>
      </c>
      <c r="EC79">
        <v>4.3125749999999997E-2</v>
      </c>
      <c r="ED79">
        <v>0.25750000000000001</v>
      </c>
      <c r="EE79" s="11">
        <v>-2.07551</v>
      </c>
      <c r="EF79">
        <v>-2.0602100000000001</v>
      </c>
      <c r="EG79">
        <v>23.1674786407767</v>
      </c>
      <c r="EH79" t="s">
        <v>1183</v>
      </c>
      <c r="EI79">
        <v>0</v>
      </c>
      <c r="EJ79">
        <v>0</v>
      </c>
      <c r="EK79" s="12">
        <v>45511</v>
      </c>
      <c r="EL79">
        <v>0.42</v>
      </c>
      <c r="EM79">
        <v>-3.92</v>
      </c>
      <c r="EN79">
        <v>-5.56</v>
      </c>
      <c r="EO79">
        <v>2.02</v>
      </c>
      <c r="EP79">
        <v>1.53</v>
      </c>
    </row>
    <row r="80" spans="1:146" ht="108" x14ac:dyDescent="0.25">
      <c r="A80" s="6"/>
      <c r="B80" s="6"/>
      <c r="C80" s="6" t="str">
        <f>""&amp;CHAR(10)&amp;Basic_Fundamental_Information_Constructure(F80)&amp;CHAR(10)&amp;Basic_Fundamental_Information_Concatenate("")</f>
        <v xml:space="preserve">
市值31.601384亿, 利润9210.45万; PE33.88; 平均PE36.26; 平均PEG1.29, PB1.44; ROIC10.5467%; ROE11.4467%; 股利率1.1477%; 毛利30.7133%; 净利14.26%; 上一年度营收增14.71%, 利润增-9.7%; 当季营收增13.25%, 利润增5.36%; 过往5年营收增28.04%, 利润增78.78%
Income profile:
</v>
      </c>
      <c r="D80" t="s">
        <v>811</v>
      </c>
      <c r="E80" t="s">
        <v>812</v>
      </c>
      <c r="F80">
        <v>26.14</v>
      </c>
      <c r="G80">
        <v>5.62</v>
      </c>
      <c r="H80" t="s">
        <v>3166</v>
      </c>
      <c r="I80">
        <v>3160138400</v>
      </c>
      <c r="J80">
        <v>33.880000000000003</v>
      </c>
      <c r="K80">
        <v>1.44</v>
      </c>
      <c r="L80" t="s">
        <v>212</v>
      </c>
      <c r="M80" t="s">
        <v>411</v>
      </c>
      <c r="N80" t="s">
        <v>2710</v>
      </c>
      <c r="O80" t="s">
        <v>171</v>
      </c>
      <c r="P80">
        <v>13.32</v>
      </c>
      <c r="Q80" t="s">
        <v>2723</v>
      </c>
      <c r="R80">
        <v>23011514</v>
      </c>
      <c r="S80" s="4">
        <v>5.3600000000000002E-2</v>
      </c>
      <c r="T80" t="s">
        <v>2724</v>
      </c>
      <c r="U80">
        <v>66687433</v>
      </c>
      <c r="V80">
        <v>120892825</v>
      </c>
      <c r="W80">
        <v>1.1399999999999999</v>
      </c>
      <c r="X80">
        <v>7.0000000000000007E-2</v>
      </c>
      <c r="Y80">
        <v>12.27</v>
      </c>
      <c r="Z80" t="s">
        <v>108</v>
      </c>
      <c r="AA80" t="s">
        <v>35</v>
      </c>
      <c r="AB80" t="s">
        <v>2711</v>
      </c>
      <c r="AC80" t="s">
        <v>2712</v>
      </c>
      <c r="AD80" t="s">
        <v>2</v>
      </c>
      <c r="AE80">
        <v>752971</v>
      </c>
      <c r="AF80" t="s">
        <v>2713</v>
      </c>
      <c r="AG80">
        <v>8495.7199999999993</v>
      </c>
      <c r="AH80" t="s">
        <v>2714</v>
      </c>
      <c r="AI80" t="s">
        <v>56</v>
      </c>
      <c r="AJ80" t="s">
        <v>2715</v>
      </c>
      <c r="AK80" t="s">
        <v>1014</v>
      </c>
      <c r="AL80" t="s">
        <v>2716</v>
      </c>
      <c r="AM80" t="s">
        <v>2</v>
      </c>
      <c r="AN80" t="s">
        <v>2717</v>
      </c>
      <c r="AO80" t="s">
        <v>2718</v>
      </c>
      <c r="AP80" t="s">
        <v>2719</v>
      </c>
      <c r="AQ80" t="s">
        <v>26</v>
      </c>
      <c r="AR80" t="s">
        <v>2</v>
      </c>
      <c r="AS80" t="s">
        <v>1174</v>
      </c>
      <c r="AT80" t="s">
        <v>2</v>
      </c>
      <c r="AU80" t="s">
        <v>2720</v>
      </c>
      <c r="AV80" t="s">
        <v>2721</v>
      </c>
      <c r="AW80" t="s">
        <v>2722</v>
      </c>
      <c r="AX80" t="s">
        <v>336</v>
      </c>
      <c r="AY80" t="s">
        <v>813</v>
      </c>
      <c r="AZ80" t="s">
        <v>814</v>
      </c>
      <c r="BA80" t="s">
        <v>80</v>
      </c>
      <c r="BB80" t="s">
        <v>75</v>
      </c>
      <c r="BC80" t="s">
        <v>72</v>
      </c>
      <c r="BD80" t="s">
        <v>52</v>
      </c>
      <c r="BE80" t="s">
        <v>47</v>
      </c>
      <c r="BF80" t="s">
        <v>815</v>
      </c>
      <c r="BG80" t="s">
        <v>816</v>
      </c>
      <c r="BH80" t="s">
        <v>2723</v>
      </c>
      <c r="BI80" t="s">
        <v>26</v>
      </c>
      <c r="BJ80" t="s">
        <v>336</v>
      </c>
      <c r="BK80" t="s">
        <v>2724</v>
      </c>
      <c r="BL80" t="s">
        <v>3167</v>
      </c>
      <c r="BM80" t="s">
        <v>72</v>
      </c>
      <c r="BN80">
        <v>3.11</v>
      </c>
      <c r="BO80">
        <v>7.77</v>
      </c>
      <c r="BP80">
        <v>20.76</v>
      </c>
      <c r="BQ80">
        <v>3.41</v>
      </c>
      <c r="BR80">
        <v>9.2899999999999991</v>
      </c>
      <c r="BS80">
        <v>21.64</v>
      </c>
      <c r="BT80" t="s">
        <v>2725</v>
      </c>
      <c r="BU80" t="s">
        <v>757</v>
      </c>
      <c r="BV80">
        <v>26.35</v>
      </c>
      <c r="BW80">
        <v>31.47</v>
      </c>
      <c r="BX80">
        <v>34.32</v>
      </c>
      <c r="BY80">
        <v>11.25</v>
      </c>
      <c r="BZ80">
        <v>14.23</v>
      </c>
      <c r="CA80">
        <v>17.3</v>
      </c>
      <c r="CB80">
        <v>-3.33</v>
      </c>
      <c r="CC80">
        <v>-10.94</v>
      </c>
      <c r="CD80" t="s">
        <v>3168</v>
      </c>
      <c r="CE80" t="s">
        <v>3169</v>
      </c>
      <c r="CF80" s="8">
        <v>0.13253012048192772</v>
      </c>
      <c r="CG80" s="9">
        <v>5.3582861747523032E-2</v>
      </c>
      <c r="CH80" s="8">
        <v>0.14705882966518402</v>
      </c>
      <c r="CI80" s="8">
        <v>-2.3255813866853714E-2</v>
      </c>
      <c r="CJ80" s="8">
        <v>9.9248118698596954E-2</v>
      </c>
      <c r="CK80" s="8">
        <v>0.7183462381362915</v>
      </c>
      <c r="CL80" s="8">
        <v>0.46037736535072327</v>
      </c>
      <c r="CM80" s="9">
        <v>-9.7014747560024261E-2</v>
      </c>
      <c r="CN80" s="9">
        <v>-0.190476194024086</v>
      </c>
      <c r="CO80" s="9">
        <v>-0.11267605423927307</v>
      </c>
      <c r="CP80" s="9">
        <v>2.0436246395111084</v>
      </c>
      <c r="CQ80" s="9">
        <v>2.2955124378204346</v>
      </c>
      <c r="CR80">
        <v>36.259766903511363</v>
      </c>
      <c r="CS80">
        <v>1.2933521314437733</v>
      </c>
      <c r="CT80">
        <v>1.1476664116296862</v>
      </c>
      <c r="CU80" s="8">
        <v>0.28035494759678842</v>
      </c>
      <c r="CV80" s="9">
        <v>0.78779401630163193</v>
      </c>
      <c r="CW80">
        <v>0.06</v>
      </c>
      <c r="CX80">
        <v>12.171880662553065</v>
      </c>
      <c r="CY80">
        <v>111251370.06691356</v>
      </c>
      <c r="CZ80">
        <v>0.28035494759678842</v>
      </c>
      <c r="DA80">
        <v>3.3978677001537299</v>
      </c>
      <c r="DB80">
        <v>398525934.34957302</v>
      </c>
      <c r="DC80">
        <v>0.26633720021694901</v>
      </c>
      <c r="DD80">
        <v>1.3368473635415483</v>
      </c>
      <c r="DE80">
        <v>1012934188.9957016</v>
      </c>
      <c r="DF80">
        <v>0.24671235388517382</v>
      </c>
      <c r="DG80">
        <v>0.61185574001262522</v>
      </c>
      <c r="DH80">
        <v>2213166129.6044364</v>
      </c>
      <c r="DI80">
        <v>0.22428395807743073</v>
      </c>
      <c r="DJ80">
        <v>0.16371661614220942</v>
      </c>
      <c r="DK80">
        <v>8271233744.678381</v>
      </c>
      <c r="DL80">
        <v>0.19624846331775189</v>
      </c>
      <c r="DM80">
        <v>92104500</v>
      </c>
      <c r="DN80">
        <v>0.28035494759678842</v>
      </c>
      <c r="DO80">
        <v>1354138400</v>
      </c>
      <c r="DP80">
        <v>1921137300</v>
      </c>
      <c r="DQ80">
        <v>4714</v>
      </c>
      <c r="DR80">
        <v>-0.1478248271148607</v>
      </c>
      <c r="DS80">
        <v>-0.7342111545541089</v>
      </c>
      <c r="DT80" s="10">
        <v>-0.10666666666666669</v>
      </c>
      <c r="DU80">
        <v>0.76849999999999996</v>
      </c>
      <c r="DV80">
        <v>0.66183333333333327</v>
      </c>
      <c r="DW80">
        <v>-8.3043875685557591</v>
      </c>
      <c r="DX80">
        <v>0.72737786542602723</v>
      </c>
      <c r="DY80">
        <v>-8.0600793685437537</v>
      </c>
      <c r="DZ80">
        <v>551</v>
      </c>
      <c r="EA80">
        <v>-8.0535973375925867</v>
      </c>
      <c r="EB80">
        <v>8</v>
      </c>
      <c r="EC80">
        <v>6.8466428838932336E-2</v>
      </c>
      <c r="ED80">
        <v>0.34687997405966814</v>
      </c>
      <c r="EE80" s="11">
        <v>-4.1147099999999996</v>
      </c>
      <c r="EF80">
        <v>-4.0585100000000001</v>
      </c>
      <c r="EG80">
        <v>53.197377865426027</v>
      </c>
      <c r="EH80" t="s">
        <v>1254</v>
      </c>
      <c r="EI80">
        <v>0</v>
      </c>
      <c r="EJ80">
        <v>1</v>
      </c>
      <c r="EK80" s="12">
        <v>45511</v>
      </c>
      <c r="EL80">
        <v>-0.52</v>
      </c>
      <c r="EM80">
        <v>-4.6100000000000003</v>
      </c>
      <c r="EN80">
        <v>-6.08</v>
      </c>
      <c r="EO80">
        <v>2.7</v>
      </c>
      <c r="EP80">
        <v>5.62</v>
      </c>
    </row>
    <row r="81" spans="1:146" ht="108" x14ac:dyDescent="0.25">
      <c r="A81" s="6"/>
      <c r="B81" s="6"/>
      <c r="C81" s="6" t="str">
        <f>""&amp;CHAR(10)&amp;Basic_Fundamental_Information_Constructure(F81)&amp;CHAR(10)&amp;Basic_Fundamental_Information_Concatenate("")</f>
        <v xml:space="preserve">
市值26.57676亿, 利润8709.90万; PE30.41; 平均PE51.01; 平均PEG1.41, PB2.74; ROIC15.6333%; ROE16.4633%; 股利率.9991%; 毛利65.83%; 净利34.12%; 上一年度营收增15.45%, 利润增7.2%; 当季营收增28.74%, 利润增10.81%; 过往5年营收增36.3%, 利润增41.55%
Income profile:
</v>
      </c>
      <c r="D81" t="s">
        <v>744</v>
      </c>
      <c r="E81" t="s">
        <v>745</v>
      </c>
      <c r="F81">
        <v>21.82</v>
      </c>
      <c r="G81">
        <v>3.66</v>
      </c>
      <c r="H81" t="s">
        <v>3170</v>
      </c>
      <c r="I81">
        <v>2657676000</v>
      </c>
      <c r="J81">
        <v>30.41</v>
      </c>
      <c r="K81">
        <v>2.74</v>
      </c>
      <c r="L81" t="s">
        <v>212</v>
      </c>
      <c r="M81" t="s">
        <v>113</v>
      </c>
      <c r="N81" t="s">
        <v>2726</v>
      </c>
      <c r="O81" t="s">
        <v>2727</v>
      </c>
      <c r="P81">
        <v>28.74</v>
      </c>
      <c r="Q81" t="s">
        <v>159</v>
      </c>
      <c r="R81">
        <v>3035111</v>
      </c>
      <c r="S81" s="4">
        <v>0.1082</v>
      </c>
      <c r="T81" t="s">
        <v>2742</v>
      </c>
      <c r="U81">
        <v>85491571</v>
      </c>
      <c r="V81">
        <v>121800000</v>
      </c>
      <c r="W81">
        <v>1.1000000000000001</v>
      </c>
      <c r="X81">
        <v>0.02</v>
      </c>
      <c r="Y81">
        <v>12.23</v>
      </c>
      <c r="Z81" t="s">
        <v>2728</v>
      </c>
      <c r="AA81" t="s">
        <v>2729</v>
      </c>
      <c r="AB81" t="s">
        <v>2730</v>
      </c>
      <c r="AC81" t="s">
        <v>2731</v>
      </c>
      <c r="AD81" t="s">
        <v>2</v>
      </c>
      <c r="AE81">
        <v>-3963182</v>
      </c>
      <c r="AF81" t="s">
        <v>20</v>
      </c>
      <c r="AG81">
        <v>0.66</v>
      </c>
      <c r="AH81" t="s">
        <v>2732</v>
      </c>
      <c r="AI81" t="s">
        <v>1484</v>
      </c>
      <c r="AJ81" t="s">
        <v>2733</v>
      </c>
      <c r="AK81" t="s">
        <v>2734</v>
      </c>
      <c r="AL81" t="s">
        <v>2735</v>
      </c>
      <c r="AM81" t="s">
        <v>2</v>
      </c>
      <c r="AN81">
        <v>0</v>
      </c>
      <c r="AO81" t="s">
        <v>2</v>
      </c>
      <c r="AP81" t="s">
        <v>2</v>
      </c>
      <c r="AQ81" t="s">
        <v>2736</v>
      </c>
      <c r="AR81" t="s">
        <v>2</v>
      </c>
      <c r="AS81" t="s">
        <v>2737</v>
      </c>
      <c r="AT81" t="s">
        <v>2</v>
      </c>
      <c r="AU81" t="s">
        <v>2738</v>
      </c>
      <c r="AV81" t="s">
        <v>2739</v>
      </c>
      <c r="AW81" t="s">
        <v>2740</v>
      </c>
      <c r="AX81" t="s">
        <v>927</v>
      </c>
      <c r="AY81" t="s">
        <v>144</v>
      </c>
      <c r="AZ81" t="s">
        <v>46</v>
      </c>
      <c r="BA81" t="s">
        <v>95</v>
      </c>
      <c r="BB81" t="s">
        <v>747</v>
      </c>
      <c r="BC81" t="s">
        <v>2741</v>
      </c>
      <c r="BD81" t="s">
        <v>746</v>
      </c>
      <c r="BE81" t="s">
        <v>748</v>
      </c>
      <c r="BF81" t="s">
        <v>749</v>
      </c>
      <c r="BG81" t="s">
        <v>750</v>
      </c>
      <c r="BH81" t="s">
        <v>159</v>
      </c>
      <c r="BI81" t="s">
        <v>3171</v>
      </c>
      <c r="BJ81" t="s">
        <v>927</v>
      </c>
      <c r="BK81" t="s">
        <v>2742</v>
      </c>
      <c r="BL81" t="s">
        <v>3172</v>
      </c>
      <c r="BM81" t="s">
        <v>2741</v>
      </c>
      <c r="BN81">
        <v>4.5</v>
      </c>
      <c r="BO81">
        <v>12.41</v>
      </c>
      <c r="BP81">
        <v>29.99</v>
      </c>
      <c r="BQ81">
        <v>5.86</v>
      </c>
      <c r="BR81">
        <v>10.92</v>
      </c>
      <c r="BS81">
        <v>32.61</v>
      </c>
      <c r="BT81" t="s">
        <v>2743</v>
      </c>
      <c r="BU81" t="s">
        <v>756</v>
      </c>
      <c r="BV81">
        <v>68.010000000000005</v>
      </c>
      <c r="BW81">
        <v>66.47</v>
      </c>
      <c r="BX81">
        <v>63.01</v>
      </c>
      <c r="BY81">
        <v>34.35</v>
      </c>
      <c r="BZ81">
        <v>36.880000000000003</v>
      </c>
      <c r="CA81">
        <v>31.13</v>
      </c>
      <c r="CB81">
        <v>0.46</v>
      </c>
      <c r="CC81">
        <v>-12.65</v>
      </c>
      <c r="CD81" t="s">
        <v>3173</v>
      </c>
      <c r="CE81" t="s">
        <v>3174</v>
      </c>
      <c r="CF81" s="8">
        <v>0.28743928764166216</v>
      </c>
      <c r="CG81" s="9">
        <v>0.10814962211106649</v>
      </c>
      <c r="CH81" s="8">
        <v>0.15454545617103577</v>
      </c>
      <c r="CI81" s="8">
        <v>0.34969323873519897</v>
      </c>
      <c r="CJ81" s="8">
        <v>0.25384616851806641</v>
      </c>
      <c r="CK81" s="8">
        <v>0.2380952388048172</v>
      </c>
      <c r="CL81" s="8">
        <v>0.81875187158584595</v>
      </c>
      <c r="CM81" s="9">
        <v>7.2008803486824036E-2</v>
      </c>
      <c r="CN81" s="9">
        <v>0.60202699899673462</v>
      </c>
      <c r="CO81" s="9">
        <v>0.13027490675449371</v>
      </c>
      <c r="CP81" s="9">
        <v>0.41834118962287903</v>
      </c>
      <c r="CQ81" s="9">
        <v>0.85501015186309814</v>
      </c>
      <c r="CR81">
        <v>51.00712325121448</v>
      </c>
      <c r="CS81">
        <v>1.4052075776702018</v>
      </c>
      <c r="CT81">
        <v>0.99908340971585707</v>
      </c>
      <c r="CU81" s="8">
        <v>0.36298639476299288</v>
      </c>
      <c r="CV81" s="9">
        <v>0.41553241014480591</v>
      </c>
      <c r="CW81">
        <v>0.06</v>
      </c>
      <c r="CX81">
        <v>16.176393646857445</v>
      </c>
      <c r="CY81">
        <v>111995049.05420934</v>
      </c>
      <c r="CZ81">
        <v>0.36298639476299288</v>
      </c>
      <c r="DA81">
        <v>4.2272365900952016</v>
      </c>
      <c r="DB81">
        <v>428572179.81243843</v>
      </c>
      <c r="DC81">
        <v>0.34483707502484323</v>
      </c>
      <c r="DD81">
        <v>1.5038933613411654</v>
      </c>
      <c r="DE81">
        <v>1204657222.7597013</v>
      </c>
      <c r="DF81">
        <v>0.31942802739143372</v>
      </c>
      <c r="DG81">
        <v>0.60411129646899298</v>
      </c>
      <c r="DH81">
        <v>2998910979.7965636</v>
      </c>
      <c r="DI81">
        <v>0.29038911581039434</v>
      </c>
      <c r="DJ81">
        <v>0.11550265454154547</v>
      </c>
      <c r="DK81">
        <v>15685146001.110764</v>
      </c>
      <c r="DL81">
        <v>0.25409047633409498</v>
      </c>
      <c r="DM81">
        <v>87099000</v>
      </c>
      <c r="DN81">
        <v>0.36298639476299288</v>
      </c>
      <c r="DO81">
        <v>1811676000</v>
      </c>
      <c r="DP81">
        <v>850373710</v>
      </c>
      <c r="DQ81">
        <v>4780</v>
      </c>
      <c r="DR81">
        <v>-7.5547107121330725E-2</v>
      </c>
      <c r="DS81">
        <v>-0.30738278803373942</v>
      </c>
      <c r="DT81" s="10">
        <v>0.32666666666666661</v>
      </c>
      <c r="DU81">
        <v>0.6166666666666667</v>
      </c>
      <c r="DV81">
        <v>0.94333333333333336</v>
      </c>
      <c r="DW81">
        <v>-2.1265000000000001</v>
      </c>
      <c r="DX81">
        <v>0.49941730209298102</v>
      </c>
      <c r="DY81">
        <v>-2.0214312887147616</v>
      </c>
      <c r="DZ81">
        <v>275</v>
      </c>
      <c r="EA81">
        <v>-2.0202772639650926</v>
      </c>
      <c r="EB81">
        <v>2</v>
      </c>
      <c r="EC81">
        <v>4.1609195402298849E-2</v>
      </c>
      <c r="ED81">
        <v>0.24560180623973726</v>
      </c>
      <c r="EE81" s="11">
        <v>-2.0771099999999998</v>
      </c>
      <c r="EF81">
        <v>-2.0405099999999998</v>
      </c>
      <c r="EG81">
        <v>33.169417302092981</v>
      </c>
      <c r="EH81" t="s">
        <v>1183</v>
      </c>
      <c r="EI81">
        <v>0</v>
      </c>
      <c r="EJ81">
        <v>1</v>
      </c>
      <c r="EK81" s="12">
        <v>45511</v>
      </c>
      <c r="EL81">
        <v>5.52</v>
      </c>
      <c r="EM81">
        <v>-3.18</v>
      </c>
      <c r="EN81">
        <v>-5.72</v>
      </c>
      <c r="EO81">
        <v>0.62</v>
      </c>
      <c r="EP81">
        <v>3.66</v>
      </c>
    </row>
    <row r="82" spans="1:146" ht="108" x14ac:dyDescent="0.25">
      <c r="A82" s="6"/>
      <c r="B82" s="6"/>
      <c r="C82" s="6" t="str">
        <f>""&amp;CHAR(10)&amp;Basic_Fundamental_Information_Constructure(F82)&amp;CHAR(10)&amp;Basic_Fundamental_Information_Concatenate("")</f>
        <v xml:space="preserve">
市值22.010187亿, 利润6290.98万; PE32.64; 平均PE48.27; 平均PEG4.14, PB2.14; ROIC9.2467%; ROE9.9267%; 股利率.8633%; 毛利49.96%; 净利12.27%; 上一年度营收增15.81%, 利润增32.43%; 当季营收增14.14%, 利润增262.29%; 过往5年营收增11.67%, 利润增41.17%
Income profile:
</v>
      </c>
      <c r="D82" t="s">
        <v>817</v>
      </c>
      <c r="E82" t="s">
        <v>818</v>
      </c>
      <c r="F82">
        <v>13.9</v>
      </c>
      <c r="G82">
        <v>1.31</v>
      </c>
      <c r="H82" t="s">
        <v>3175</v>
      </c>
      <c r="I82">
        <v>2201018700</v>
      </c>
      <c r="J82">
        <v>32.64</v>
      </c>
      <c r="K82">
        <v>2.14</v>
      </c>
      <c r="L82" t="s">
        <v>212</v>
      </c>
      <c r="M82" t="s">
        <v>1235</v>
      </c>
      <c r="N82" t="s">
        <v>2355</v>
      </c>
      <c r="O82" t="s">
        <v>2744</v>
      </c>
      <c r="P82">
        <v>14.14</v>
      </c>
      <c r="Q82" t="s">
        <v>687</v>
      </c>
      <c r="R82">
        <v>2795796</v>
      </c>
      <c r="S82" s="4">
        <v>2.6230000000000002</v>
      </c>
      <c r="T82" t="s">
        <v>2757</v>
      </c>
      <c r="U82">
        <v>88056096</v>
      </c>
      <c r="V82">
        <v>158346670</v>
      </c>
      <c r="W82">
        <v>1.21</v>
      </c>
      <c r="X82">
        <v>7.0000000000000007E-2</v>
      </c>
      <c r="Y82">
        <v>3.17</v>
      </c>
      <c r="Z82" t="s">
        <v>2745</v>
      </c>
      <c r="AA82" t="s">
        <v>2746</v>
      </c>
      <c r="AB82" t="s">
        <v>2747</v>
      </c>
      <c r="AC82" t="s">
        <v>1964</v>
      </c>
      <c r="AD82" t="s">
        <v>2</v>
      </c>
      <c r="AE82">
        <v>-692337</v>
      </c>
      <c r="AF82" t="s">
        <v>2748</v>
      </c>
      <c r="AG82" t="s">
        <v>2749</v>
      </c>
      <c r="AH82" t="s">
        <v>2750</v>
      </c>
      <c r="AI82" t="s">
        <v>44</v>
      </c>
      <c r="AJ82" t="s">
        <v>2751</v>
      </c>
      <c r="AK82" t="s">
        <v>2</v>
      </c>
      <c r="AL82" t="s">
        <v>2752</v>
      </c>
      <c r="AM82" t="s">
        <v>2</v>
      </c>
      <c r="AN82">
        <v>0</v>
      </c>
      <c r="AO82" t="s">
        <v>2</v>
      </c>
      <c r="AP82" t="s">
        <v>2</v>
      </c>
      <c r="AQ82" t="s">
        <v>2753</v>
      </c>
      <c r="AR82" t="s">
        <v>2</v>
      </c>
      <c r="AS82" t="s">
        <v>1015</v>
      </c>
      <c r="AT82" t="s">
        <v>2</v>
      </c>
      <c r="AU82" t="s">
        <v>2754</v>
      </c>
      <c r="AV82" t="s">
        <v>2755</v>
      </c>
      <c r="AW82" t="s">
        <v>2756</v>
      </c>
      <c r="AX82" t="s">
        <v>1004</v>
      </c>
      <c r="AY82" t="s">
        <v>819</v>
      </c>
      <c r="AZ82" t="s">
        <v>796</v>
      </c>
      <c r="BA82" t="s">
        <v>59</v>
      </c>
      <c r="BB82" t="s">
        <v>69</v>
      </c>
      <c r="BC82" t="s">
        <v>1005</v>
      </c>
      <c r="BD82" t="s">
        <v>820</v>
      </c>
      <c r="BE82" t="s">
        <v>821</v>
      </c>
      <c r="BF82" t="s">
        <v>822</v>
      </c>
      <c r="BG82" t="s">
        <v>823</v>
      </c>
      <c r="BH82" t="s">
        <v>687</v>
      </c>
      <c r="BI82" t="s">
        <v>3176</v>
      </c>
      <c r="BJ82" t="s">
        <v>1004</v>
      </c>
      <c r="BK82" t="s">
        <v>2757</v>
      </c>
      <c r="BL82" t="s">
        <v>3177</v>
      </c>
      <c r="BM82" t="s">
        <v>1005</v>
      </c>
      <c r="BN82">
        <v>4.8899999999999997</v>
      </c>
      <c r="BO82">
        <v>6.49</v>
      </c>
      <c r="BP82">
        <v>16.36</v>
      </c>
      <c r="BQ82">
        <v>5.13</v>
      </c>
      <c r="BR82">
        <v>8.15</v>
      </c>
      <c r="BS82">
        <v>16.5</v>
      </c>
      <c r="BT82" t="s">
        <v>945</v>
      </c>
      <c r="BU82" t="s">
        <v>756</v>
      </c>
      <c r="BV82">
        <v>49.51</v>
      </c>
      <c r="BW82">
        <v>47.39</v>
      </c>
      <c r="BX82">
        <v>52.98</v>
      </c>
      <c r="BY82">
        <v>12.08</v>
      </c>
      <c r="BZ82">
        <v>10.56</v>
      </c>
      <c r="CA82">
        <v>14.17</v>
      </c>
      <c r="CB82">
        <v>-5.95</v>
      </c>
      <c r="CC82">
        <v>-13.5</v>
      </c>
      <c r="CD82" t="s">
        <v>3178</v>
      </c>
      <c r="CE82" t="s">
        <v>3179</v>
      </c>
      <c r="CF82" s="8">
        <v>0.14135854483502933</v>
      </c>
      <c r="CG82" s="9">
        <v>2.6229151912695188</v>
      </c>
      <c r="CH82" s="8">
        <v>0.15812917053699493</v>
      </c>
      <c r="CI82" s="8">
        <v>9.5121949911117554E-2</v>
      </c>
      <c r="CJ82" s="8">
        <v>0.11716621369123459</v>
      </c>
      <c r="CK82" s="8">
        <v>3.38028185069561E-2</v>
      </c>
      <c r="CL82" s="8">
        <v>0.17940199375152588</v>
      </c>
      <c r="CM82" s="9">
        <v>0.3243192732334137</v>
      </c>
      <c r="CN82" s="9">
        <v>-0.18736591935157776</v>
      </c>
      <c r="CO82" s="9">
        <v>9.5460832118988037E-2</v>
      </c>
      <c r="CP82" s="9">
        <v>0.48317736387252808</v>
      </c>
      <c r="CQ82" s="9">
        <v>1.3429626226425171</v>
      </c>
      <c r="CR82">
        <v>48.273970549692052</v>
      </c>
      <c r="CS82">
        <v>4.1357212751129779</v>
      </c>
      <c r="CT82">
        <v>0.86330935251798557</v>
      </c>
      <c r="CU82" s="8">
        <v>0.11672442927956581</v>
      </c>
      <c r="CV82" s="9">
        <v>0.41171083450317381</v>
      </c>
      <c r="CW82">
        <v>0.06</v>
      </c>
      <c r="CX82">
        <v>21.727495859068814</v>
      </c>
      <c r="CY82">
        <v>66276330.66140718</v>
      </c>
      <c r="CZ82">
        <v>0.11672442927956581</v>
      </c>
      <c r="DA82">
        <v>6.9419478120560729</v>
      </c>
      <c r="DB82">
        <v>207437269.62324914</v>
      </c>
      <c r="DC82">
        <v>0.11088820781558752</v>
      </c>
      <c r="DD82">
        <v>3.3147901330890486</v>
      </c>
      <c r="DE82">
        <v>434422283.81983519</v>
      </c>
      <c r="DF82">
        <v>0.10271749776601791</v>
      </c>
      <c r="DG82">
        <v>1.9225214234561727</v>
      </c>
      <c r="DH82">
        <v>749026087.52792799</v>
      </c>
      <c r="DI82">
        <v>9.337954342365265E-2</v>
      </c>
      <c r="DJ82">
        <v>0.91879119446509905</v>
      </c>
      <c r="DK82">
        <v>1567297018.816499</v>
      </c>
      <c r="DL82">
        <v>8.1707100495696058E-2</v>
      </c>
      <c r="DM82">
        <v>62909799.999999993</v>
      </c>
      <c r="DN82">
        <v>0.11672442927956581</v>
      </c>
      <c r="DO82">
        <v>1440018700</v>
      </c>
      <c r="DP82">
        <v>951084270</v>
      </c>
      <c r="DQ82">
        <v>4788</v>
      </c>
      <c r="DR82">
        <v>2.463411555546352E-2</v>
      </c>
      <c r="DS82">
        <v>2.2112043567663449</v>
      </c>
      <c r="DT82" s="10">
        <v>-0.17333333333333334</v>
      </c>
      <c r="DU82">
        <v>0.55333333333333334</v>
      </c>
      <c r="DV82">
        <v>0.38</v>
      </c>
      <c r="DW82">
        <v>-8.4407407407407415</v>
      </c>
      <c r="DX82">
        <v>0.39117377723813673</v>
      </c>
      <c r="DY82">
        <v>-8.0710358499679202</v>
      </c>
      <c r="DZ82">
        <v>982</v>
      </c>
      <c r="EA82">
        <v>-8.0573767145325377</v>
      </c>
      <c r="EB82">
        <v>8</v>
      </c>
      <c r="EC82">
        <v>5.4908638116608323E-2</v>
      </c>
      <c r="ED82">
        <v>0.34067972506147431</v>
      </c>
      <c r="EE82" s="11">
        <v>-2.0253000000000001</v>
      </c>
      <c r="EF82">
        <v>-2.0384000000000002</v>
      </c>
      <c r="EG82">
        <v>23.161173777238137</v>
      </c>
      <c r="EH82" t="s">
        <v>1128</v>
      </c>
      <c r="EI82">
        <v>0</v>
      </c>
      <c r="EJ82">
        <v>1</v>
      </c>
      <c r="EK82" s="12">
        <v>45511</v>
      </c>
      <c r="EL82">
        <v>-0.68</v>
      </c>
      <c r="EM82">
        <v>-4.22</v>
      </c>
      <c r="EN82">
        <v>-4.13</v>
      </c>
      <c r="EO82">
        <v>1.78</v>
      </c>
      <c r="EP82">
        <v>1.31</v>
      </c>
    </row>
    <row r="83" spans="1:146" ht="108" x14ac:dyDescent="0.25">
      <c r="A83" s="6"/>
      <c r="B83" s="6"/>
      <c r="C83" s="6" t="str">
        <f>""&amp;CHAR(10)&amp;Basic_Fundamental_Information_Constructure(F83)&amp;CHAR(10)&amp;Basic_Fundamental_Information_Concatenate("")</f>
        <v xml:space="preserve">
市值40.787527亿, 利润-4754.67万; PE; 平均PE267.71; 平均PEG30.29, PB3.59; ROIC4.565%; ROE2.4167%; 股利率0%; 毛利23.0567%; 净利2.4067%; 上一年度营收增-16.39%, 利润增-173.97%; 当季营收增32.89%, 利润增364.41%; 过往5年营收增8.84%, 利润增495.41%
Income profile:
</v>
      </c>
      <c r="D83" t="s">
        <v>386</v>
      </c>
      <c r="E83" t="s">
        <v>387</v>
      </c>
      <c r="F83">
        <v>8.89</v>
      </c>
      <c r="G83">
        <v>1.37</v>
      </c>
      <c r="H83" t="s">
        <v>3180</v>
      </c>
      <c r="I83">
        <v>4078752700</v>
      </c>
      <c r="K83">
        <v>3.59</v>
      </c>
      <c r="L83" t="s">
        <v>212</v>
      </c>
      <c r="M83" t="s">
        <v>543</v>
      </c>
      <c r="N83" t="s">
        <v>1175</v>
      </c>
      <c r="O83" t="s">
        <v>131</v>
      </c>
      <c r="P83">
        <v>32.85</v>
      </c>
      <c r="Q83" t="s">
        <v>1921</v>
      </c>
      <c r="R83">
        <v>8443166</v>
      </c>
      <c r="S83" s="4">
        <v>3.6440000000000001</v>
      </c>
      <c r="T83" t="s">
        <v>2773</v>
      </c>
      <c r="U83">
        <v>458802330</v>
      </c>
      <c r="V83">
        <v>458802330</v>
      </c>
      <c r="W83">
        <v>1.29</v>
      </c>
      <c r="X83">
        <v>0.13</v>
      </c>
      <c r="Y83">
        <v>4.2699999999999996</v>
      </c>
      <c r="Z83" t="s">
        <v>141</v>
      </c>
      <c r="AA83" t="s">
        <v>1228</v>
      </c>
      <c r="AB83" t="s">
        <v>2758</v>
      </c>
      <c r="AC83" t="s">
        <v>2759</v>
      </c>
      <c r="AD83" t="s">
        <v>2</v>
      </c>
      <c r="AE83">
        <v>-2375477</v>
      </c>
      <c r="AF83" t="s">
        <v>2760</v>
      </c>
      <c r="AG83" t="s">
        <v>2761</v>
      </c>
      <c r="AH83" t="s">
        <v>2762</v>
      </c>
      <c r="AI83" t="s">
        <v>62</v>
      </c>
      <c r="AJ83" t="s">
        <v>2763</v>
      </c>
      <c r="AK83" t="s">
        <v>2764</v>
      </c>
      <c r="AL83" t="s">
        <v>2765</v>
      </c>
      <c r="AM83" t="s">
        <v>2</v>
      </c>
      <c r="AN83" t="s">
        <v>2766</v>
      </c>
      <c r="AO83" t="s">
        <v>2767</v>
      </c>
      <c r="AP83" t="s">
        <v>2768</v>
      </c>
      <c r="AQ83" t="s">
        <v>67</v>
      </c>
      <c r="AR83" t="s">
        <v>2</v>
      </c>
      <c r="AS83" t="s">
        <v>927</v>
      </c>
      <c r="AT83" t="s">
        <v>2</v>
      </c>
      <c r="AU83" t="s">
        <v>2769</v>
      </c>
      <c r="AV83" t="s">
        <v>2770</v>
      </c>
      <c r="AW83" t="s">
        <v>2771</v>
      </c>
      <c r="AX83" t="s">
        <v>775</v>
      </c>
      <c r="AY83" t="s">
        <v>751</v>
      </c>
      <c r="AZ83" t="s">
        <v>221</v>
      </c>
      <c r="BA83" t="s">
        <v>389</v>
      </c>
      <c r="BB83" t="s">
        <v>390</v>
      </c>
      <c r="BC83" t="s">
        <v>2772</v>
      </c>
      <c r="BD83" t="s">
        <v>752</v>
      </c>
      <c r="BE83" t="s">
        <v>388</v>
      </c>
      <c r="BF83" t="s">
        <v>391</v>
      </c>
      <c r="BG83" t="s">
        <v>392</v>
      </c>
      <c r="BH83" t="s">
        <v>1921</v>
      </c>
      <c r="BI83" t="s">
        <v>45</v>
      </c>
      <c r="BJ83" t="s">
        <v>775</v>
      </c>
      <c r="BK83" t="s">
        <v>2773</v>
      </c>
      <c r="BL83" t="s">
        <v>3181</v>
      </c>
      <c r="BM83" t="s">
        <v>2772</v>
      </c>
      <c r="BN83" t="s">
        <v>2</v>
      </c>
      <c r="BO83">
        <v>4.99</v>
      </c>
      <c r="BP83">
        <v>4.1399999999999997</v>
      </c>
      <c r="BQ83">
        <v>-2.33</v>
      </c>
      <c r="BR83">
        <v>5.32</v>
      </c>
      <c r="BS83">
        <v>4.26</v>
      </c>
      <c r="BT83" t="s">
        <v>836</v>
      </c>
      <c r="BU83" t="s">
        <v>757</v>
      </c>
      <c r="BV83">
        <v>18.64</v>
      </c>
      <c r="BW83">
        <v>25.21</v>
      </c>
      <c r="BX83">
        <v>25.32</v>
      </c>
      <c r="BY83">
        <v>-6.3</v>
      </c>
      <c r="BZ83">
        <v>7.12</v>
      </c>
      <c r="CA83">
        <v>6.4</v>
      </c>
      <c r="CB83">
        <v>-6.81</v>
      </c>
      <c r="CC83">
        <v>-8.82</v>
      </c>
      <c r="CD83" t="s">
        <v>3182</v>
      </c>
      <c r="CE83" t="s">
        <v>385</v>
      </c>
      <c r="CF83" s="8">
        <v>0.32885906040268459</v>
      </c>
      <c r="CG83" s="9">
        <v>3.6441081047225352</v>
      </c>
      <c r="CH83" s="8">
        <v>-0.16389811038970947</v>
      </c>
      <c r="CI83" s="8">
        <v>0.10526315867900848</v>
      </c>
      <c r="CJ83" s="8">
        <v>0.215773805975914</v>
      </c>
      <c r="CK83" s="8">
        <v>0.23076923191547394</v>
      </c>
      <c r="CL83" s="8">
        <v>5.4054055362939835E-2</v>
      </c>
      <c r="CM83" s="9">
        <v>-1.739662766456604</v>
      </c>
      <c r="CN83" s="9">
        <v>0.28142380714416504</v>
      </c>
      <c r="CO83" s="9">
        <v>0.31775936484336853</v>
      </c>
      <c r="CP83" s="9">
        <v>25.043327331542969</v>
      </c>
      <c r="CQ83" s="9">
        <v>0.86770552396774292</v>
      </c>
      <c r="CR83">
        <v>267.70612674423182</v>
      </c>
      <c r="CS83">
        <v>30.286092583543848</v>
      </c>
      <c r="CT83">
        <v>0</v>
      </c>
      <c r="CU83" s="8">
        <v>8.839242830872536E-2</v>
      </c>
      <c r="CV83" s="9">
        <v>4.9541106522083282</v>
      </c>
      <c r="CW83">
        <v>0.06</v>
      </c>
      <c r="CX83" t="e">
        <v>#VALUE!</v>
      </c>
      <c r="CY83" t="s">
        <v>765</v>
      </c>
      <c r="CZ83">
        <v>8.839242830872536E-2</v>
      </c>
      <c r="DA83" t="e">
        <v>#VALUE!</v>
      </c>
      <c r="DB83" t="s">
        <v>765</v>
      </c>
      <c r="DC83">
        <v>8.3972806893289093E-2</v>
      </c>
      <c r="DD83" t="e">
        <v>#VALUE!</v>
      </c>
      <c r="DE83" t="s">
        <v>765</v>
      </c>
      <c r="DF83">
        <v>7.7785336911678313E-2</v>
      </c>
      <c r="DG83" t="e">
        <v>#VALUE!</v>
      </c>
      <c r="DH83" t="s">
        <v>765</v>
      </c>
      <c r="DI83">
        <v>7.0713942646980291E-2</v>
      </c>
      <c r="DJ83" t="e">
        <v>#VALUE!</v>
      </c>
      <c r="DK83" t="s">
        <v>765</v>
      </c>
      <c r="DL83">
        <v>6.1874699816107749E-2</v>
      </c>
      <c r="DM83">
        <v>-47546700</v>
      </c>
      <c r="DN83">
        <v>8.839242830872536E-2</v>
      </c>
      <c r="DO83">
        <v>3285752700</v>
      </c>
      <c r="DP83">
        <v>713413970</v>
      </c>
      <c r="DQ83">
        <v>4807</v>
      </c>
      <c r="DR83">
        <v>0.24046663209395924</v>
      </c>
      <c r="DS83">
        <v>-1.310002547485793</v>
      </c>
      <c r="DT83" s="10">
        <v>-0.35666666666666669</v>
      </c>
      <c r="DU83">
        <v>0.32</v>
      </c>
      <c r="DV83">
        <v>-3.6666666666666681E-2</v>
      </c>
      <c r="DW83">
        <v>-9.7721088435374153</v>
      </c>
      <c r="DX83">
        <v>0.40382549019607805</v>
      </c>
      <c r="DY83">
        <v>-9.1419332866479923</v>
      </c>
      <c r="DZ83">
        <v>1872</v>
      </c>
      <c r="EA83">
        <v>-9.089906830292982</v>
      </c>
      <c r="EB83">
        <v>9</v>
      </c>
      <c r="EC83">
        <v>8.1735417516297273E-2</v>
      </c>
      <c r="ED83">
        <v>0.44463592850541978</v>
      </c>
      <c r="EE83" s="11">
        <v>-3.1074099999999998</v>
      </c>
      <c r="EF83">
        <v>-3.0937100000000002</v>
      </c>
      <c r="EG83">
        <v>22.183825490196078</v>
      </c>
      <c r="EH83" t="s">
        <v>1186</v>
      </c>
      <c r="EI83">
        <v>0</v>
      </c>
      <c r="EJ83">
        <v>0</v>
      </c>
      <c r="EK83" s="12">
        <v>45511</v>
      </c>
      <c r="EL83">
        <v>-0.1</v>
      </c>
      <c r="EM83">
        <v>-3.78</v>
      </c>
      <c r="EN83">
        <v>-5.34</v>
      </c>
      <c r="EO83">
        <v>1.04</v>
      </c>
      <c r="EP83">
        <v>1.37</v>
      </c>
    </row>
    <row r="84" spans="1:146" ht="108" x14ac:dyDescent="0.25">
      <c r="C84" s="6" t="str">
        <f>""&amp;CHAR(10)&amp;Basic_Fundamental_Information_Constructure(F84)&amp;CHAR(10)&amp;Basic_Fundamental_Information_Concatenate("")</f>
        <v xml:space="preserve">
市值177.09125亿, 利润-3.57亿; PE; 平均PE-17.11; 平均PEG-1.76, PB2.77; ROIC0%; ROE-20.62%; 股利率0%; 毛利18.3033%; 净利-11.5867%; 上一年度营收增13.43%, 利润增47.03%; 当季营收增-28.7%, 利润增-524.3%; 过往5年营收增9.74%, 利润增-11.02%
Income profile:
</v>
      </c>
      <c r="D84" t="s">
        <v>826</v>
      </c>
      <c r="E84" t="s">
        <v>872</v>
      </c>
      <c r="F84">
        <v>5.18</v>
      </c>
      <c r="G84">
        <v>3.19</v>
      </c>
      <c r="H84" t="s">
        <v>3183</v>
      </c>
      <c r="I84">
        <v>17709125000</v>
      </c>
      <c r="K84">
        <v>2.77</v>
      </c>
      <c r="L84" t="s">
        <v>212</v>
      </c>
      <c r="M84" t="s">
        <v>2774</v>
      </c>
      <c r="N84" t="s">
        <v>2775</v>
      </c>
      <c r="O84" t="s">
        <v>2776</v>
      </c>
      <c r="P84" s="4">
        <v>-28.7</v>
      </c>
      <c r="Q84" t="s">
        <v>2791</v>
      </c>
      <c r="R84">
        <v>-158579960</v>
      </c>
      <c r="S84">
        <v>-5.2430000000000003</v>
      </c>
      <c r="T84" t="s">
        <v>2792</v>
      </c>
      <c r="U84">
        <v>1362221100</v>
      </c>
      <c r="V84">
        <v>3418750000</v>
      </c>
      <c r="W84">
        <v>2.1</v>
      </c>
      <c r="X84">
        <v>7.0000000000000007E-2</v>
      </c>
      <c r="Y84">
        <v>-18.13</v>
      </c>
      <c r="Z84" t="s">
        <v>2777</v>
      </c>
      <c r="AA84" t="s">
        <v>1201</v>
      </c>
      <c r="AB84" t="s">
        <v>2778</v>
      </c>
      <c r="AC84" t="s">
        <v>2779</v>
      </c>
      <c r="AD84" t="s">
        <v>2</v>
      </c>
      <c r="AE84">
        <v>3287545</v>
      </c>
      <c r="AF84" t="s">
        <v>2780</v>
      </c>
      <c r="AG84" t="s">
        <v>2781</v>
      </c>
      <c r="AH84" t="s">
        <v>2782</v>
      </c>
      <c r="AI84" t="s">
        <v>2783</v>
      </c>
      <c r="AJ84" t="s">
        <v>2784</v>
      </c>
      <c r="AK84" t="s">
        <v>102</v>
      </c>
      <c r="AL84" t="s">
        <v>2785</v>
      </c>
      <c r="AM84" t="s">
        <v>2</v>
      </c>
      <c r="AN84" t="s">
        <v>2786</v>
      </c>
      <c r="AO84" t="s">
        <v>1133</v>
      </c>
      <c r="AP84" t="s">
        <v>2046</v>
      </c>
      <c r="AQ84" t="s">
        <v>2787</v>
      </c>
      <c r="AR84" t="s">
        <v>2788</v>
      </c>
      <c r="AS84" t="s">
        <v>2789</v>
      </c>
      <c r="AT84" t="s">
        <v>1002</v>
      </c>
      <c r="AU84" t="s">
        <v>2790</v>
      </c>
      <c r="AV84" t="s">
        <v>1253</v>
      </c>
      <c r="AW84" t="s">
        <v>115</v>
      </c>
      <c r="AX84" t="s">
        <v>1006</v>
      </c>
      <c r="AY84" t="s">
        <v>827</v>
      </c>
      <c r="AZ84" t="s">
        <v>829</v>
      </c>
      <c r="BA84" t="s">
        <v>830</v>
      </c>
      <c r="BB84" t="s">
        <v>831</v>
      </c>
      <c r="BC84" t="s">
        <v>1007</v>
      </c>
      <c r="BD84" t="s">
        <v>828</v>
      </c>
      <c r="BE84" t="s">
        <v>832</v>
      </c>
      <c r="BF84" t="s">
        <v>833</v>
      </c>
      <c r="BG84" t="s">
        <v>834</v>
      </c>
      <c r="BH84" t="s">
        <v>2791</v>
      </c>
      <c r="BI84" t="s">
        <v>3184</v>
      </c>
      <c r="BJ84" t="s">
        <v>1006</v>
      </c>
      <c r="BK84" t="s">
        <v>2792</v>
      </c>
      <c r="BL84" t="s">
        <v>3185</v>
      </c>
      <c r="BM84" t="s">
        <v>1007</v>
      </c>
      <c r="BN84" t="s">
        <v>2</v>
      </c>
      <c r="BO84" t="s">
        <v>2</v>
      </c>
      <c r="BP84" t="s">
        <v>2</v>
      </c>
      <c r="BQ84">
        <v>-2.98</v>
      </c>
      <c r="BR84">
        <v>-16.04</v>
      </c>
      <c r="BS84">
        <v>-42.84</v>
      </c>
      <c r="BT84" t="s">
        <v>836</v>
      </c>
      <c r="BU84" t="s">
        <v>757</v>
      </c>
      <c r="BV84">
        <v>21.34</v>
      </c>
      <c r="BW84">
        <v>20.02</v>
      </c>
      <c r="BX84">
        <v>13.55</v>
      </c>
      <c r="BY84">
        <v>-4.47</v>
      </c>
      <c r="BZ84">
        <v>-9.56</v>
      </c>
      <c r="CA84">
        <v>-20.73</v>
      </c>
      <c r="CB84">
        <v>-0.77</v>
      </c>
      <c r="CC84">
        <v>2.57</v>
      </c>
      <c r="CD84" t="s">
        <v>3186</v>
      </c>
      <c r="CE84" t="s">
        <v>875</v>
      </c>
      <c r="CF84" s="8">
        <v>-0.28697571743929362</v>
      </c>
      <c r="CG84" s="9">
        <v>-5.2430101887923284</v>
      </c>
      <c r="CH84" s="8">
        <v>0.13426794111728668</v>
      </c>
      <c r="CI84" s="8">
        <v>0.22114370763301849</v>
      </c>
      <c r="CJ84" s="8">
        <v>0.2516014575958252</v>
      </c>
      <c r="CK84" s="8">
        <v>8.6898542940616608E-3</v>
      </c>
      <c r="CL84" s="8">
        <v>-0.12854370474815369</v>
      </c>
      <c r="CM84" s="9">
        <v>0.47032642364501953</v>
      </c>
      <c r="CN84" s="9">
        <v>0.43074324727058411</v>
      </c>
      <c r="CO84" s="9">
        <v>0.32420089840888977</v>
      </c>
      <c r="CP84" s="9">
        <v>-7.0250503718852997E-2</v>
      </c>
      <c r="CQ84" s="9">
        <v>-1.7057850360870361</v>
      </c>
      <c r="CR84">
        <v>-17.113021420518603</v>
      </c>
      <c r="CS84">
        <v>-1.7564093480255152</v>
      </c>
      <c r="CT84">
        <v>0</v>
      </c>
      <c r="CU84" s="8">
        <v>9.7431851178407664E-2</v>
      </c>
      <c r="CV84" s="9">
        <v>-0.11015299409627914</v>
      </c>
      <c r="CW84">
        <v>0.06</v>
      </c>
      <c r="CX84" t="e">
        <v>#VALUE!</v>
      </c>
      <c r="CY84" t="s">
        <v>768</v>
      </c>
      <c r="CZ84">
        <v>9.7431851178407664E-2</v>
      </c>
      <c r="DA84" t="e">
        <v>#VALUE!</v>
      </c>
      <c r="DB84" t="s">
        <v>765</v>
      </c>
      <c r="DC84">
        <v>9.2560258619487273E-2</v>
      </c>
      <c r="DD84" t="e">
        <v>#VALUE!</v>
      </c>
      <c r="DE84" t="s">
        <v>765</v>
      </c>
      <c r="DF84">
        <v>8.5740029036998747E-2</v>
      </c>
      <c r="DG84" t="e">
        <v>#VALUE!</v>
      </c>
      <c r="DH84" t="s">
        <v>765</v>
      </c>
      <c r="DI84">
        <v>7.7945480942726131E-2</v>
      </c>
      <c r="DJ84" t="e">
        <v>#VALUE!</v>
      </c>
      <c r="DK84" t="s">
        <v>765</v>
      </c>
      <c r="DL84">
        <v>6.8202295824885364E-2</v>
      </c>
      <c r="DM84">
        <v>-357000000</v>
      </c>
      <c r="DN84">
        <v>9.7431851178407664E-2</v>
      </c>
      <c r="DO84">
        <v>18984125000</v>
      </c>
      <c r="DP84">
        <v>6172113600</v>
      </c>
      <c r="DQ84" s="10">
        <v>4871</v>
      </c>
      <c r="DR84">
        <v>-0.38440756861770131</v>
      </c>
      <c r="DS84">
        <v>-5.1328571946960491</v>
      </c>
      <c r="DT84">
        <v>-0.15666666666666665</v>
      </c>
      <c r="DU84">
        <v>-2.731666666666666</v>
      </c>
      <c r="DV84">
        <v>-2.8883333333333328</v>
      </c>
      <c r="DW84">
        <v>1.0257000000000001</v>
      </c>
      <c r="DX84">
        <v>0.60018028252787869</v>
      </c>
      <c r="DY84">
        <v>1.0064296332609666</v>
      </c>
      <c r="DZ84">
        <v>4844</v>
      </c>
      <c r="EA84">
        <v>1.0003311128936037</v>
      </c>
      <c r="EB84" s="11">
        <v>1</v>
      </c>
      <c r="EC84">
        <v>1.9685118829981717E-2</v>
      </c>
      <c r="ED84">
        <v>7.8683729433272398E-2</v>
      </c>
      <c r="EE84">
        <v>-1.00841</v>
      </c>
      <c r="EF84">
        <v>-1.0235000000000001</v>
      </c>
      <c r="EG84">
        <v>35.250180282527879</v>
      </c>
      <c r="EH84" s="12" t="s">
        <v>1259</v>
      </c>
      <c r="EI84">
        <v>0</v>
      </c>
      <c r="EJ84">
        <v>0</v>
      </c>
      <c r="EK84">
        <v>45511</v>
      </c>
      <c r="EL84">
        <v>0.38</v>
      </c>
      <c r="EM84">
        <v>-1.34</v>
      </c>
      <c r="EN84">
        <v>-4.45</v>
      </c>
      <c r="EO84">
        <v>1.62</v>
      </c>
      <c r="EP84">
        <v>3.19</v>
      </c>
    </row>
    <row r="85" spans="1:146" ht="108" x14ac:dyDescent="0.25">
      <c r="A85" s="6"/>
      <c r="B85" s="6"/>
      <c r="C85" s="6" t="str">
        <f>""&amp;CHAR(10)&amp;Basic_Fundamental_Information_Constructure(F85)&amp;CHAR(10)&amp;Basic_Fundamental_Information_Concatenate("")</f>
        <v xml:space="preserve">
市值31.480986亿, 利润-8655.88万; PE; 平均PE-78.98; 平均PEG-4.93, PB3.77; ROIC0%; ROE-11.3467%; 股利率0%; 毛利42.43%; 净利-24.3633%; 上一年度营收增66.17%, 利润增59.74%; 当季营收增32.35%, 利润增46.83%; 过往5年营收增16.01%, 利润增-83.13%
Income profile:
</v>
      </c>
      <c r="D85" t="s">
        <v>627</v>
      </c>
      <c r="E85" t="s">
        <v>628</v>
      </c>
      <c r="F85">
        <v>16.260000000000002</v>
      </c>
      <c r="G85">
        <v>8.6199999999999992</v>
      </c>
      <c r="H85" t="s">
        <v>3187</v>
      </c>
      <c r="I85">
        <v>3148098600</v>
      </c>
      <c r="K85">
        <v>3.77</v>
      </c>
      <c r="L85" t="s">
        <v>212</v>
      </c>
      <c r="M85" t="s">
        <v>1851</v>
      </c>
      <c r="N85" t="s">
        <v>2793</v>
      </c>
      <c r="O85" t="s">
        <v>49</v>
      </c>
      <c r="P85">
        <v>32.64</v>
      </c>
      <c r="Q85" t="s">
        <v>2805</v>
      </c>
      <c r="R85">
        <v>6993001</v>
      </c>
      <c r="S85" s="4">
        <v>0.46839999999999998</v>
      </c>
      <c r="T85" t="s">
        <v>2806</v>
      </c>
      <c r="U85">
        <v>193610000</v>
      </c>
      <c r="V85">
        <v>193610000</v>
      </c>
      <c r="W85">
        <v>2.23</v>
      </c>
      <c r="X85">
        <v>0.09</v>
      </c>
      <c r="Y85">
        <v>2.02</v>
      </c>
      <c r="Z85" t="s">
        <v>115</v>
      </c>
      <c r="AA85" t="s">
        <v>2794</v>
      </c>
      <c r="AB85" t="s">
        <v>2795</v>
      </c>
      <c r="AC85" t="s">
        <v>2796</v>
      </c>
      <c r="AD85" t="s">
        <v>2</v>
      </c>
      <c r="AE85">
        <v>8923932</v>
      </c>
      <c r="AF85" t="s">
        <v>2797</v>
      </c>
      <c r="AG85">
        <v>0.01</v>
      </c>
      <c r="AH85" t="s">
        <v>2798</v>
      </c>
      <c r="AI85" t="s">
        <v>117</v>
      </c>
      <c r="AJ85" t="s">
        <v>2799</v>
      </c>
      <c r="AK85" t="s">
        <v>2800</v>
      </c>
      <c r="AL85" t="s">
        <v>2801</v>
      </c>
      <c r="AM85" t="s">
        <v>2</v>
      </c>
      <c r="AN85">
        <v>0</v>
      </c>
      <c r="AO85" t="s">
        <v>796</v>
      </c>
      <c r="AP85" t="s">
        <v>2</v>
      </c>
      <c r="AQ85" t="s">
        <v>1139</v>
      </c>
      <c r="AR85" t="s">
        <v>2</v>
      </c>
      <c r="AS85" t="s">
        <v>1594</v>
      </c>
      <c r="AT85" t="s">
        <v>2</v>
      </c>
      <c r="AU85" t="s">
        <v>2802</v>
      </c>
      <c r="AV85" t="s">
        <v>2803</v>
      </c>
      <c r="AW85" t="s">
        <v>2804</v>
      </c>
      <c r="AX85" t="s">
        <v>1008</v>
      </c>
      <c r="AY85" t="s">
        <v>469</v>
      </c>
      <c r="AZ85" t="s">
        <v>129</v>
      </c>
      <c r="BA85" t="s">
        <v>184</v>
      </c>
      <c r="BB85" t="s">
        <v>147</v>
      </c>
      <c r="BC85" t="s">
        <v>1009</v>
      </c>
      <c r="BD85" t="s">
        <v>753</v>
      </c>
      <c r="BE85" t="s">
        <v>629</v>
      </c>
      <c r="BF85" t="s">
        <v>630</v>
      </c>
      <c r="BG85" t="s">
        <v>631</v>
      </c>
      <c r="BH85" t="s">
        <v>2805</v>
      </c>
      <c r="BI85" t="s">
        <v>105</v>
      </c>
      <c r="BJ85" t="s">
        <v>1008</v>
      </c>
      <c r="BK85" t="s">
        <v>2806</v>
      </c>
      <c r="BL85" t="s">
        <v>3188</v>
      </c>
      <c r="BM85" t="s">
        <v>1009</v>
      </c>
      <c r="BN85" t="s">
        <v>2</v>
      </c>
      <c r="BO85" t="s">
        <v>2</v>
      </c>
      <c r="BP85" t="s">
        <v>2</v>
      </c>
      <c r="BQ85">
        <v>-4.68</v>
      </c>
      <c r="BR85">
        <v>-20.88</v>
      </c>
      <c r="BS85">
        <v>-8.48</v>
      </c>
      <c r="BT85" t="s">
        <v>836</v>
      </c>
      <c r="BU85" t="s">
        <v>756</v>
      </c>
      <c r="BV85">
        <v>40.51</v>
      </c>
      <c r="BW85">
        <v>38.64</v>
      </c>
      <c r="BX85">
        <v>48.14</v>
      </c>
      <c r="BY85">
        <v>-9.25</v>
      </c>
      <c r="BZ85">
        <v>-40.950000000000003</v>
      </c>
      <c r="CA85">
        <v>-22.89</v>
      </c>
      <c r="CB85">
        <v>-0.31</v>
      </c>
      <c r="CC85">
        <v>-3.5</v>
      </c>
      <c r="CD85" t="s">
        <v>3189</v>
      </c>
      <c r="CE85" t="s">
        <v>26</v>
      </c>
      <c r="CF85" s="8">
        <v>0.3235294117647059</v>
      </c>
      <c r="CG85" s="9">
        <v>0.46834666666666669</v>
      </c>
      <c r="CH85" s="8">
        <v>0.66165411472320557</v>
      </c>
      <c r="CI85" s="8">
        <v>0.14655172824859619</v>
      </c>
      <c r="CJ85" s="8">
        <v>-7.1999996900558472E-2</v>
      </c>
      <c r="CK85" s="8">
        <v>0.17924527823925018</v>
      </c>
      <c r="CL85" s="8">
        <v>-0.11482254415750504</v>
      </c>
      <c r="CM85" s="9">
        <v>0.59740090370178223</v>
      </c>
      <c r="CN85" s="9">
        <v>-1.1078431606292725</v>
      </c>
      <c r="CO85" s="9">
        <v>-3.3660073280334473</v>
      </c>
      <c r="CP85" s="9">
        <v>-0.29404309391975403</v>
      </c>
      <c r="CQ85" s="9">
        <v>1.3878235593438148E-2</v>
      </c>
      <c r="CR85">
        <v>-78.982094523820365</v>
      </c>
      <c r="CS85">
        <v>-4.9325053140576145</v>
      </c>
      <c r="CT85">
        <v>0</v>
      </c>
      <c r="CU85" s="8">
        <v>0.16012571603059769</v>
      </c>
      <c r="CV85" s="9">
        <v>-0.83132288865745063</v>
      </c>
      <c r="CW85">
        <v>0.06</v>
      </c>
      <c r="CX85" t="e">
        <v>#VALUE!</v>
      </c>
      <c r="CY85" t="s">
        <v>765</v>
      </c>
      <c r="CZ85">
        <v>0.16012571603059769</v>
      </c>
      <c r="DA85" t="e">
        <v>#VALUE!</v>
      </c>
      <c r="DB85" t="s">
        <v>765</v>
      </c>
      <c r="DC85">
        <v>0.15211943022906779</v>
      </c>
      <c r="DD85" t="e">
        <v>#VALUE!</v>
      </c>
      <c r="DE85" t="s">
        <v>765</v>
      </c>
      <c r="DF85">
        <v>0.14091063010692598</v>
      </c>
      <c r="DG85" t="e">
        <v>#VALUE!</v>
      </c>
      <c r="DH85" t="s">
        <v>765</v>
      </c>
      <c r="DI85">
        <v>0.12810057282447815</v>
      </c>
      <c r="DJ85" t="e">
        <v>#VALUE!</v>
      </c>
      <c r="DK85" t="s">
        <v>765</v>
      </c>
      <c r="DL85">
        <v>0.11208800122141838</v>
      </c>
      <c r="DM85">
        <v>-86558799.999999985</v>
      </c>
      <c r="DN85">
        <v>0.16012571603059769</v>
      </c>
      <c r="DO85">
        <v>3225098600</v>
      </c>
      <c r="DP85">
        <v>621776300</v>
      </c>
      <c r="DQ85">
        <v>4889</v>
      </c>
      <c r="DR85">
        <v>0.16340369573410821</v>
      </c>
      <c r="DS85">
        <v>1.2996695553241173</v>
      </c>
      <c r="DT85" s="10">
        <v>1.0000000000000011E-2</v>
      </c>
      <c r="DU85">
        <v>-1.3266666666666669</v>
      </c>
      <c r="DV85">
        <v>-1.3166666666666669</v>
      </c>
      <c r="DW85">
        <v>-1.0349999999999999</v>
      </c>
      <c r="DX85">
        <v>0.67417409638554227</v>
      </c>
      <c r="DY85">
        <v>-1.008546093373494</v>
      </c>
      <c r="DZ85">
        <v>3894</v>
      </c>
      <c r="EA85">
        <v>-1.0020298435993829</v>
      </c>
      <c r="EB85">
        <v>1</v>
      </c>
      <c r="EC85">
        <v>0.20935333918702545</v>
      </c>
      <c r="ED85">
        <v>0.85739372966272398</v>
      </c>
      <c r="EE85" s="11">
        <v>-2.0411100000000002</v>
      </c>
      <c r="EF85">
        <v>-2.0451000000000001</v>
      </c>
      <c r="EG85">
        <v>43.244174096385542</v>
      </c>
      <c r="EH85" t="s">
        <v>1128</v>
      </c>
      <c r="EI85">
        <v>0</v>
      </c>
      <c r="EJ85">
        <v>0</v>
      </c>
      <c r="EK85" s="12">
        <v>45511</v>
      </c>
      <c r="EL85">
        <v>0.98</v>
      </c>
      <c r="EM85">
        <v>-3.7</v>
      </c>
      <c r="EN85">
        <v>-6.75</v>
      </c>
      <c r="EO85">
        <v>1.22</v>
      </c>
      <c r="EP85">
        <v>8.6199999999999992</v>
      </c>
    </row>
    <row r="86" spans="1:146" ht="108" x14ac:dyDescent="0.25">
      <c r="C86" s="6" t="str">
        <f>""&amp;CHAR(10)&amp;Basic_Fundamental_Information_Constructure(F86)&amp;CHAR(10)&amp;Basic_Fundamental_Information_Concatenate("")</f>
        <v xml:space="preserve">
市值23.40324亿, 利润4182.10万; PE49.06; 平均PE89.65; 平均PEG5.18, PB2.3; ROIC11.535%; ROE6.25%; 股利率.3453%; 毛利54.6567%; 净利10.1833%; 上一年度营收增22.62%, 利润增15.57%; 当季营收增30.57%, 利润增45.31%; 过往5年营收增17.3%, 利润增41.68%
Income profile:
</v>
      </c>
      <c r="D86" t="s">
        <v>1129</v>
      </c>
      <c r="E86" t="s">
        <v>1130</v>
      </c>
      <c r="F86">
        <v>37.65</v>
      </c>
      <c r="G86">
        <v>4.03</v>
      </c>
      <c r="H86" t="s">
        <v>3190</v>
      </c>
      <c r="I86">
        <v>2340324000</v>
      </c>
      <c r="J86">
        <v>49.06</v>
      </c>
      <c r="K86">
        <v>2.2999999999999998</v>
      </c>
      <c r="L86" t="s">
        <v>212</v>
      </c>
      <c r="M86" t="s">
        <v>1225</v>
      </c>
      <c r="N86" t="s">
        <v>2807</v>
      </c>
      <c r="O86" t="s">
        <v>2808</v>
      </c>
      <c r="P86" s="4">
        <v>30.57</v>
      </c>
      <c r="Q86" t="s">
        <v>2035</v>
      </c>
      <c r="R86">
        <v>-7099274</v>
      </c>
      <c r="S86">
        <v>0.4531</v>
      </c>
      <c r="T86" t="s">
        <v>2827</v>
      </c>
      <c r="U86">
        <v>13564427</v>
      </c>
      <c r="V86">
        <v>62160000</v>
      </c>
      <c r="W86">
        <v>1.1599999999999999</v>
      </c>
      <c r="X86">
        <v>0.03</v>
      </c>
      <c r="Y86">
        <v>-18.690000000000001</v>
      </c>
      <c r="Z86" t="s">
        <v>2809</v>
      </c>
      <c r="AA86" t="s">
        <v>2810</v>
      </c>
      <c r="AB86" t="s">
        <v>2811</v>
      </c>
      <c r="AC86" t="s">
        <v>2812</v>
      </c>
      <c r="AD86" t="s">
        <v>2</v>
      </c>
      <c r="AE86">
        <v>-840725</v>
      </c>
      <c r="AF86" t="s">
        <v>2813</v>
      </c>
      <c r="AG86" t="s">
        <v>2814</v>
      </c>
      <c r="AH86" t="s">
        <v>2815</v>
      </c>
      <c r="AI86" t="s">
        <v>1243</v>
      </c>
      <c r="AJ86" t="s">
        <v>2816</v>
      </c>
      <c r="AK86" t="s">
        <v>2817</v>
      </c>
      <c r="AL86" t="s">
        <v>2818</v>
      </c>
      <c r="AM86" t="s">
        <v>2</v>
      </c>
      <c r="AN86" t="s">
        <v>2819</v>
      </c>
      <c r="AO86" t="s">
        <v>2820</v>
      </c>
      <c r="AP86" t="s">
        <v>2821</v>
      </c>
      <c r="AQ86" t="s">
        <v>2822</v>
      </c>
      <c r="AR86" t="s">
        <v>2</v>
      </c>
      <c r="AS86" t="s">
        <v>85</v>
      </c>
      <c r="AT86" t="s">
        <v>2</v>
      </c>
      <c r="AU86" t="s">
        <v>2823</v>
      </c>
      <c r="AV86" t="s">
        <v>2824</v>
      </c>
      <c r="AW86" t="s">
        <v>2825</v>
      </c>
      <c r="AX86" t="s">
        <v>166</v>
      </c>
      <c r="AY86" t="s">
        <v>158</v>
      </c>
      <c r="AZ86" t="s">
        <v>158</v>
      </c>
      <c r="BA86" t="s">
        <v>873</v>
      </c>
      <c r="BB86" t="s">
        <v>125</v>
      </c>
      <c r="BC86" t="s">
        <v>2826</v>
      </c>
      <c r="BD86" t="s">
        <v>1131</v>
      </c>
      <c r="BE86" t="s">
        <v>1178</v>
      </c>
      <c r="BF86" t="s">
        <v>1179</v>
      </c>
      <c r="BG86" t="s">
        <v>1180</v>
      </c>
      <c r="BH86" t="s">
        <v>2035</v>
      </c>
      <c r="BI86" t="s">
        <v>3191</v>
      </c>
      <c r="BJ86" t="s">
        <v>166</v>
      </c>
      <c r="BK86" t="s">
        <v>2827</v>
      </c>
      <c r="BL86" t="s">
        <v>3192</v>
      </c>
      <c r="BM86" t="s">
        <v>2826</v>
      </c>
      <c r="BN86" t="s">
        <v>2</v>
      </c>
      <c r="BO86">
        <v>12.11</v>
      </c>
      <c r="BP86">
        <v>10.96</v>
      </c>
      <c r="BQ86">
        <v>-0.26</v>
      </c>
      <c r="BR86">
        <v>12.76</v>
      </c>
      <c r="BS86" t="s">
        <v>2</v>
      </c>
      <c r="BT86" t="s">
        <v>2828</v>
      </c>
      <c r="BU86" t="s">
        <v>790</v>
      </c>
      <c r="BV86">
        <v>52.16</v>
      </c>
      <c r="BW86">
        <v>57.11</v>
      </c>
      <c r="BX86">
        <v>54.7</v>
      </c>
      <c r="BY86">
        <v>9.65</v>
      </c>
      <c r="BZ86">
        <v>10.78</v>
      </c>
      <c r="CA86">
        <v>10.119999999999999</v>
      </c>
      <c r="CB86">
        <v>-5.85</v>
      </c>
      <c r="CC86" s="8">
        <v>-7.13</v>
      </c>
      <c r="CD86" s="9" t="s">
        <v>3193</v>
      </c>
      <c r="CE86" s="8" t="s">
        <v>3194</v>
      </c>
      <c r="CF86" s="8">
        <v>0.3056891958959192</v>
      </c>
      <c r="CG86" s="8">
        <v>0.4530521271514199</v>
      </c>
      <c r="CH86" s="8">
        <v>0.2261904776096344</v>
      </c>
      <c r="CI86" s="8">
        <v>0.1666666716337204</v>
      </c>
      <c r="CJ86" s="9">
        <v>0</v>
      </c>
      <c r="CK86" s="9">
        <v>0.34579437971115112</v>
      </c>
      <c r="CL86" s="9">
        <v>0.12631578743457794</v>
      </c>
      <c r="CM86" s="9">
        <v>0.15571042895317078</v>
      </c>
      <c r="CN86" s="9">
        <v>0.24133484065532684</v>
      </c>
      <c r="CO86">
        <v>3.3620536327362061E-2</v>
      </c>
      <c r="CP86">
        <v>1.3217122554779053</v>
      </c>
      <c r="CQ86">
        <v>0.33164149522781372</v>
      </c>
      <c r="CR86" s="8">
        <v>89.649667722862546</v>
      </c>
      <c r="CS86" s="9">
        <v>5.1822575272044089</v>
      </c>
      <c r="CT86">
        <v>0.34528552456839312</v>
      </c>
      <c r="CU86">
        <v>0.17299346327781678</v>
      </c>
      <c r="CV86">
        <v>0.41680391132831573</v>
      </c>
      <c r="CW86">
        <v>0.06</v>
      </c>
      <c r="CX86">
        <v>33.196987517018563</v>
      </c>
      <c r="CY86">
        <v>46279018.516737327</v>
      </c>
      <c r="CZ86">
        <v>0.17299346327781678</v>
      </c>
      <c r="DA86">
        <v>10.119084797363131</v>
      </c>
      <c r="DB86">
        <v>151824402.18312442</v>
      </c>
      <c r="DC86">
        <v>0.16434379011392594</v>
      </c>
      <c r="DD86">
        <v>4.5260100121302722</v>
      </c>
      <c r="DE86">
        <v>339443349.85615581</v>
      </c>
      <c r="DF86">
        <v>0.15223424768447877</v>
      </c>
      <c r="DG86">
        <v>2.4298441692609409</v>
      </c>
      <c r="DH86">
        <v>632272645.06731176</v>
      </c>
      <c r="DI86">
        <v>0.13839477062225344</v>
      </c>
      <c r="DJ86">
        <v>0.96846422980247993</v>
      </c>
      <c r="DK86">
        <v>1586350794.0952411</v>
      </c>
      <c r="DL86">
        <v>0.12109542429447175</v>
      </c>
      <c r="DM86">
        <v>41821000</v>
      </c>
      <c r="DN86">
        <v>0.17299346327781678</v>
      </c>
      <c r="DO86">
        <v>1536324000</v>
      </c>
      <c r="DP86">
        <v>991076800</v>
      </c>
      <c r="DQ86" s="10">
        <v>4994</v>
      </c>
      <c r="DR86">
        <v>0.13269573261810241</v>
      </c>
      <c r="DS86">
        <v>3.6248215823104168E-2</v>
      </c>
      <c r="DT86">
        <v>-6.6666666666666714E-3</v>
      </c>
      <c r="DU86">
        <v>0.41166666666666663</v>
      </c>
      <c r="DV86">
        <v>0.40499999999999997</v>
      </c>
      <c r="DW86">
        <v>-8.820476858345021</v>
      </c>
      <c r="DX86">
        <v>0.42769195204759569</v>
      </c>
      <c r="DY86">
        <v>-8.1457921345692075</v>
      </c>
      <c r="DZ86">
        <v>946</v>
      </c>
      <c r="EA86">
        <v>-8.1187861899241192</v>
      </c>
      <c r="EB86" s="11">
        <v>8</v>
      </c>
      <c r="EC86" s="11">
        <v>6.1211389961389959E-2</v>
      </c>
      <c r="ED86">
        <v>0.34448037323037323</v>
      </c>
      <c r="EE86">
        <v>5.6709999999999997E-2</v>
      </c>
      <c r="EF86">
        <v>1.6409999999999998E-2</v>
      </c>
      <c r="EG86">
        <v>25.177691952047596</v>
      </c>
      <c r="EH86" s="12">
        <v>-1</v>
      </c>
      <c r="EI86">
        <v>0</v>
      </c>
      <c r="EJ86">
        <v>1</v>
      </c>
      <c r="EK86">
        <v>45511</v>
      </c>
      <c r="EL86">
        <v>-0.35</v>
      </c>
      <c r="EM86">
        <v>-4.1399999999999997</v>
      </c>
      <c r="EN86">
        <v>-6.28</v>
      </c>
      <c r="EO86">
        <v>1.0900000000000001</v>
      </c>
      <c r="EP86">
        <v>4.03</v>
      </c>
    </row>
    <row r="87" spans="1:146" ht="108" x14ac:dyDescent="0.25">
      <c r="A87" s="6"/>
      <c r="B87" s="6"/>
      <c r="C87" s="6" t="str">
        <f>""&amp;CHAR(10)&amp;Basic_Fundamental_Information_Constructure(F87)&amp;CHAR(10)&amp;Basic_Fundamental_Information_Concatenate("")</f>
        <v xml:space="preserve">
市值23.116132亿, 利润1.09亿; PE20.42; 平均PE31.57; 平均PEG1.28, PB2.65; ROIC9.5067%; ROE10.2867%; 股利率2.4821%; 毛利58.5%; 净利25.6467%; 上一年度营收增30.65%, 利润增13.41%; 当季营收增5.28%, 利润增32.96%; 过往5年营收增24.6%, 利润增18.05%
Income profile:
</v>
      </c>
      <c r="D87" t="s">
        <v>393</v>
      </c>
      <c r="E87" t="s">
        <v>394</v>
      </c>
      <c r="F87">
        <v>20.95</v>
      </c>
      <c r="G87">
        <v>1.95</v>
      </c>
      <c r="H87" t="s">
        <v>3195</v>
      </c>
      <c r="I87">
        <v>2311613200</v>
      </c>
      <c r="J87">
        <v>20.420000000000002</v>
      </c>
      <c r="K87">
        <v>2.65</v>
      </c>
      <c r="L87" t="s">
        <v>212</v>
      </c>
      <c r="M87" t="s">
        <v>125</v>
      </c>
      <c r="N87" t="s">
        <v>206</v>
      </c>
      <c r="O87" t="s">
        <v>2829</v>
      </c>
      <c r="P87">
        <v>5.28</v>
      </c>
      <c r="Q87" t="s">
        <v>2845</v>
      </c>
      <c r="R87">
        <v>15462592</v>
      </c>
      <c r="S87" s="4">
        <v>0.32969999999999999</v>
      </c>
      <c r="T87" t="s">
        <v>42</v>
      </c>
      <c r="U87">
        <v>109997152</v>
      </c>
      <c r="V87">
        <v>110339533</v>
      </c>
      <c r="W87">
        <v>1.24</v>
      </c>
      <c r="X87">
        <v>7.0000000000000007E-2</v>
      </c>
      <c r="Y87">
        <v>20.48</v>
      </c>
      <c r="Z87" t="s">
        <v>2830</v>
      </c>
      <c r="AA87" t="s">
        <v>2831</v>
      </c>
      <c r="AB87" t="s">
        <v>2832</v>
      </c>
      <c r="AC87" t="s">
        <v>2833</v>
      </c>
      <c r="AD87" t="s">
        <v>2</v>
      </c>
      <c r="AE87">
        <v>767407</v>
      </c>
      <c r="AF87" t="s">
        <v>2834</v>
      </c>
      <c r="AG87">
        <v>2055.2600000000002</v>
      </c>
      <c r="AH87" t="s">
        <v>2835</v>
      </c>
      <c r="AI87" t="s">
        <v>40</v>
      </c>
      <c r="AJ87" t="s">
        <v>2836</v>
      </c>
      <c r="AK87" t="s">
        <v>2837</v>
      </c>
      <c r="AL87" t="s">
        <v>2838</v>
      </c>
      <c r="AM87" t="s">
        <v>2</v>
      </c>
      <c r="AN87">
        <v>2522.12</v>
      </c>
      <c r="AO87" t="s">
        <v>2839</v>
      </c>
      <c r="AP87" t="s">
        <v>2</v>
      </c>
      <c r="AQ87" t="s">
        <v>2840</v>
      </c>
      <c r="AR87" t="s">
        <v>2</v>
      </c>
      <c r="AS87" t="s">
        <v>33</v>
      </c>
      <c r="AT87" t="s">
        <v>2</v>
      </c>
      <c r="AU87" t="s">
        <v>2841</v>
      </c>
      <c r="AV87" t="s">
        <v>2842</v>
      </c>
      <c r="AW87" t="s">
        <v>2843</v>
      </c>
      <c r="AX87" t="s">
        <v>166</v>
      </c>
      <c r="AY87" t="s">
        <v>159</v>
      </c>
      <c r="AZ87" t="s">
        <v>48</v>
      </c>
      <c r="BA87" t="s">
        <v>102</v>
      </c>
      <c r="BB87" t="s">
        <v>92</v>
      </c>
      <c r="BC87" t="s">
        <v>2844</v>
      </c>
      <c r="BD87" t="s">
        <v>754</v>
      </c>
      <c r="BE87" t="s">
        <v>395</v>
      </c>
      <c r="BF87" t="s">
        <v>396</v>
      </c>
      <c r="BG87" t="s">
        <v>397</v>
      </c>
      <c r="BH87" t="s">
        <v>2845</v>
      </c>
      <c r="BI87" t="s">
        <v>3196</v>
      </c>
      <c r="BJ87" t="s">
        <v>166</v>
      </c>
      <c r="BK87" t="s">
        <v>42</v>
      </c>
      <c r="BL87" t="s">
        <v>3197</v>
      </c>
      <c r="BM87" t="s">
        <v>2844</v>
      </c>
      <c r="BN87">
        <v>8.41</v>
      </c>
      <c r="BO87">
        <v>11.82</v>
      </c>
      <c r="BP87">
        <v>8.2899999999999991</v>
      </c>
      <c r="BQ87">
        <v>9.31</v>
      </c>
      <c r="BR87">
        <v>12.81</v>
      </c>
      <c r="BS87">
        <v>8.74</v>
      </c>
      <c r="BT87" t="s">
        <v>2846</v>
      </c>
      <c r="BU87" t="s">
        <v>757</v>
      </c>
      <c r="BV87">
        <v>56.94</v>
      </c>
      <c r="BW87">
        <v>58.2</v>
      </c>
      <c r="BX87">
        <v>60.36</v>
      </c>
      <c r="BY87">
        <v>24.76</v>
      </c>
      <c r="BZ87">
        <v>28.43</v>
      </c>
      <c r="CA87">
        <v>23.75</v>
      </c>
      <c r="CB87">
        <v>-4.03</v>
      </c>
      <c r="CC87">
        <v>-19.27</v>
      </c>
      <c r="CD87" t="s">
        <v>3198</v>
      </c>
      <c r="CE87" t="s">
        <v>3199</v>
      </c>
      <c r="CF87" s="8">
        <v>5.282821000196631E-2</v>
      </c>
      <c r="CG87" s="9">
        <v>0.32964649027009829</v>
      </c>
      <c r="CH87" s="8">
        <v>0.306547611951828</v>
      </c>
      <c r="CI87" s="8">
        <v>0.32283464074134827</v>
      </c>
      <c r="CJ87" s="8">
        <v>0.21531100571155548</v>
      </c>
      <c r="CK87" s="8">
        <v>0.21511627733707428</v>
      </c>
      <c r="CL87" s="8">
        <v>0.17006802558898926</v>
      </c>
      <c r="CM87" s="9">
        <v>0.13408052921295166</v>
      </c>
      <c r="CN87" s="9">
        <v>0.5906866192817688</v>
      </c>
      <c r="CO87" s="9">
        <v>-6.2231402844190598E-2</v>
      </c>
      <c r="CP87" s="9">
        <v>0.11110325157642365</v>
      </c>
      <c r="CQ87" s="9">
        <v>0.1286444365978241</v>
      </c>
      <c r="CR87">
        <v>31.569603709229714</v>
      </c>
      <c r="CS87">
        <v>1.2834449827294052</v>
      </c>
      <c r="CT87">
        <v>2.4821002386634845</v>
      </c>
      <c r="CU87" s="8">
        <v>0.24597551226615905</v>
      </c>
      <c r="CV87" s="9">
        <v>0.18045668676495552</v>
      </c>
      <c r="CW87">
        <v>0.06</v>
      </c>
      <c r="CX87">
        <v>12.680017060334228</v>
      </c>
      <c r="CY87">
        <v>128123897.01604845</v>
      </c>
      <c r="CZ87">
        <v>0.24597551226615905</v>
      </c>
      <c r="DA87">
        <v>3.6398610233874105</v>
      </c>
      <c r="DB87">
        <v>446339349.10186911</v>
      </c>
      <c r="DC87">
        <v>0.23367673665285107</v>
      </c>
      <c r="DD87">
        <v>1.4926810454168347</v>
      </c>
      <c r="DE87">
        <v>1088386031.957901</v>
      </c>
      <c r="DF87">
        <v>0.21645845079421996</v>
      </c>
      <c r="DG87">
        <v>0.720042402319369</v>
      </c>
      <c r="DH87">
        <v>2256274345.4647493</v>
      </c>
      <c r="DI87">
        <v>0.19678040981292724</v>
      </c>
      <c r="DJ87">
        <v>0.22019548556815477</v>
      </c>
      <c r="DK87">
        <v>7378049535.4304199</v>
      </c>
      <c r="DL87">
        <v>0.17218285858631133</v>
      </c>
      <c r="DM87">
        <v>109000000.00000001</v>
      </c>
      <c r="DN87">
        <v>0.24597551226615905</v>
      </c>
      <c r="DO87">
        <v>1624613200</v>
      </c>
      <c r="DP87">
        <v>645198360</v>
      </c>
      <c r="DQ87">
        <v>5015</v>
      </c>
      <c r="DR87">
        <v>-0.19314730226419274</v>
      </c>
      <c r="DS87">
        <v>0.14918980350514277</v>
      </c>
      <c r="DT87" s="10">
        <v>0.22666666666666657</v>
      </c>
      <c r="DU87">
        <v>0.37000000000000005</v>
      </c>
      <c r="DV87">
        <v>0.59666666666666668</v>
      </c>
      <c r="DW87">
        <v>-8.2091333679294234</v>
      </c>
      <c r="DX87">
        <v>0.406188018879168</v>
      </c>
      <c r="DY87">
        <v>-8.0389381274563068</v>
      </c>
      <c r="DZ87">
        <v>632</v>
      </c>
      <c r="EA87">
        <v>-8.0341194674695462</v>
      </c>
      <c r="EB87">
        <v>8</v>
      </c>
      <c r="EC87">
        <v>4.6727585841785282E-2</v>
      </c>
      <c r="ED87">
        <v>0.25096988583411894</v>
      </c>
      <c r="EE87" s="11">
        <v>-2.0007999999999999</v>
      </c>
      <c r="EF87">
        <v>-2.0203000000000002</v>
      </c>
      <c r="EG87">
        <v>22.186188018879168</v>
      </c>
      <c r="EH87" t="s">
        <v>1128</v>
      </c>
      <c r="EI87">
        <v>0</v>
      </c>
      <c r="EJ87">
        <v>1</v>
      </c>
      <c r="EK87" s="12">
        <v>45511</v>
      </c>
      <c r="EL87">
        <v>2.61</v>
      </c>
      <c r="EM87">
        <v>-5.49</v>
      </c>
      <c r="EN87">
        <v>-5.38</v>
      </c>
      <c r="EO87">
        <v>2.6</v>
      </c>
      <c r="EP87">
        <v>1.95</v>
      </c>
    </row>
    <row r="88" spans="1:146" ht="108" x14ac:dyDescent="0.25">
      <c r="A88" s="6"/>
      <c r="B88" s="6"/>
      <c r="C88" s="6" t="str">
        <f>""&amp;CHAR(10)&amp;Basic_Fundamental_Information_Constructure(F88)&amp;CHAR(10)&amp;Basic_Fundamental_Information_Concatenate("")</f>
        <v xml:space="preserve">
市值49.956546亿, 利润6657.04万; PE96.84; 平均PE58.09; 平均PEG1.87, PB2.86; ROIC9.5233%; ROE12.3467%; 股利率1.3885%; 毛利32.7967%; 净利16.3633%; 上一年度营收增-18.59%, 利润增-60.37%; 当季营收增19.75%, 利润增-45.11%; 过往5年营收增31.09%, 利润增19.28%
Income profile:
</v>
      </c>
      <c r="D88" t="s">
        <v>398</v>
      </c>
      <c r="E88" t="s">
        <v>399</v>
      </c>
      <c r="F88">
        <v>36.01</v>
      </c>
      <c r="G88">
        <v>0.87</v>
      </c>
      <c r="H88" t="s">
        <v>3200</v>
      </c>
      <c r="I88">
        <v>4995654600</v>
      </c>
      <c r="J88">
        <v>96.84</v>
      </c>
      <c r="K88">
        <v>2.86</v>
      </c>
      <c r="L88" t="s">
        <v>212</v>
      </c>
      <c r="M88" t="s">
        <v>1151</v>
      </c>
      <c r="N88" t="s">
        <v>2847</v>
      </c>
      <c r="O88" t="s">
        <v>117</v>
      </c>
      <c r="P88">
        <v>19.73</v>
      </c>
      <c r="Q88" t="s">
        <v>2860</v>
      </c>
      <c r="R88">
        <v>18232625</v>
      </c>
      <c r="S88" s="4">
        <v>-0.4511</v>
      </c>
      <c r="T88" t="s">
        <v>2861</v>
      </c>
      <c r="U88">
        <v>138729650</v>
      </c>
      <c r="V88">
        <v>138729650</v>
      </c>
      <c r="W88">
        <v>1.1200000000000001</v>
      </c>
      <c r="X88">
        <v>0.1</v>
      </c>
      <c r="Y88">
        <v>9.4</v>
      </c>
      <c r="Z88" t="s">
        <v>145</v>
      </c>
      <c r="AA88" t="s">
        <v>47</v>
      </c>
      <c r="AB88" t="s">
        <v>2848</v>
      </c>
      <c r="AC88" t="s">
        <v>2849</v>
      </c>
      <c r="AD88" t="s">
        <v>2</v>
      </c>
      <c r="AE88">
        <v>-816416</v>
      </c>
      <c r="AF88" t="s">
        <v>2850</v>
      </c>
      <c r="AG88" t="s">
        <v>2851</v>
      </c>
      <c r="AH88" t="s">
        <v>2852</v>
      </c>
      <c r="AI88" t="s">
        <v>1246</v>
      </c>
      <c r="AJ88" t="s">
        <v>2853</v>
      </c>
      <c r="AK88" t="s">
        <v>2854</v>
      </c>
      <c r="AL88" t="s">
        <v>2855</v>
      </c>
      <c r="AM88" t="s">
        <v>2</v>
      </c>
      <c r="AN88" t="s">
        <v>888</v>
      </c>
      <c r="AO88" t="s">
        <v>2</v>
      </c>
      <c r="AP88" t="s">
        <v>2</v>
      </c>
      <c r="AQ88" t="s">
        <v>81</v>
      </c>
      <c r="AR88" t="s">
        <v>2856</v>
      </c>
      <c r="AS88" t="s">
        <v>1012</v>
      </c>
      <c r="AT88" t="s">
        <v>2</v>
      </c>
      <c r="AU88" t="s">
        <v>2857</v>
      </c>
      <c r="AV88" t="s">
        <v>2858</v>
      </c>
      <c r="AW88" t="s">
        <v>2859</v>
      </c>
      <c r="AX88" t="s">
        <v>862</v>
      </c>
      <c r="AY88" t="s">
        <v>755</v>
      </c>
      <c r="AZ88" t="s">
        <v>246</v>
      </c>
      <c r="BA88" t="s">
        <v>130</v>
      </c>
      <c r="BB88" t="s">
        <v>140</v>
      </c>
      <c r="BC88" t="s">
        <v>25</v>
      </c>
      <c r="BD88" t="s">
        <v>42</v>
      </c>
      <c r="BE88" t="s">
        <v>400</v>
      </c>
      <c r="BF88" t="s">
        <v>401</v>
      </c>
      <c r="BG88" t="s">
        <v>402</v>
      </c>
      <c r="BH88" t="s">
        <v>2860</v>
      </c>
      <c r="BI88" t="s">
        <v>32</v>
      </c>
      <c r="BJ88" t="s">
        <v>862</v>
      </c>
      <c r="BK88" t="s">
        <v>2861</v>
      </c>
      <c r="BL88" t="s">
        <v>3201</v>
      </c>
      <c r="BM88" t="s">
        <v>25</v>
      </c>
      <c r="BN88">
        <v>2.14</v>
      </c>
      <c r="BO88">
        <v>12.83</v>
      </c>
      <c r="BP88">
        <v>13.6</v>
      </c>
      <c r="BQ88">
        <v>3.07</v>
      </c>
      <c r="BR88">
        <v>19.649999999999999</v>
      </c>
      <c r="BS88">
        <v>14.32</v>
      </c>
      <c r="BT88" t="s">
        <v>2862</v>
      </c>
      <c r="BU88" t="s">
        <v>757</v>
      </c>
      <c r="BV88">
        <v>27.97</v>
      </c>
      <c r="BW88">
        <v>35.65</v>
      </c>
      <c r="BX88">
        <v>34.770000000000003</v>
      </c>
      <c r="BY88">
        <v>9.75</v>
      </c>
      <c r="BZ88">
        <v>20.079999999999998</v>
      </c>
      <c r="CA88">
        <v>19.260000000000002</v>
      </c>
      <c r="CB88">
        <v>-9.68</v>
      </c>
      <c r="CC88">
        <v>-8.84</v>
      </c>
      <c r="CD88" t="s">
        <v>3202</v>
      </c>
      <c r="CE88" t="s">
        <v>1144</v>
      </c>
      <c r="CF88" s="8">
        <v>0.19753086419753085</v>
      </c>
      <c r="CG88" s="9">
        <v>-0.45111717548174618</v>
      </c>
      <c r="CH88" s="8">
        <v>-0.18593563139438629</v>
      </c>
      <c r="CI88" s="8">
        <v>0.47711268067359924</v>
      </c>
      <c r="CJ88" s="8">
        <v>0.58659219741821289</v>
      </c>
      <c r="CK88" s="8">
        <v>0.54978352785110474</v>
      </c>
      <c r="CL88" s="8">
        <v>0.12682926654815674</v>
      </c>
      <c r="CM88" s="9">
        <v>-0.60374760627746582</v>
      </c>
      <c r="CN88" s="9">
        <v>0.54128438234329224</v>
      </c>
      <c r="CO88" s="9">
        <v>0.49864435195922852</v>
      </c>
      <c r="CP88" s="9">
        <v>0.34844201803207397</v>
      </c>
      <c r="CQ88" s="9">
        <v>0.17961946129798889</v>
      </c>
      <c r="CR88">
        <v>58.092846058237569</v>
      </c>
      <c r="CS88">
        <v>1.8686797879255737</v>
      </c>
      <c r="CT88">
        <v>1.3885031935573453</v>
      </c>
      <c r="CU88" s="8">
        <v>0.31087640821933749</v>
      </c>
      <c r="CV88" s="9">
        <v>0.19284852147102355</v>
      </c>
      <c r="CW88">
        <v>0.06</v>
      </c>
      <c r="CX88">
        <v>42.145304373052262</v>
      </c>
      <c r="CY88">
        <v>82326006.458230719</v>
      </c>
      <c r="CZ88">
        <v>0.31087640821933749</v>
      </c>
      <c r="DA88">
        <v>11.479761161406856</v>
      </c>
      <c r="DB88">
        <v>302241009.30465615</v>
      </c>
      <c r="DC88">
        <v>0.29533258780837057</v>
      </c>
      <c r="DD88">
        <v>4.3523247740097828</v>
      </c>
      <c r="DE88">
        <v>797195701.18463802</v>
      </c>
      <c r="DF88">
        <v>0.27357123923301702</v>
      </c>
      <c r="DG88">
        <v>1.8994222320992584</v>
      </c>
      <c r="DH88">
        <v>1826689475.0227845</v>
      </c>
      <c r="DI88">
        <v>0.24870112657547</v>
      </c>
      <c r="DJ88">
        <v>0.44983087435794816</v>
      </c>
      <c r="DK88">
        <v>7713242460.1852894</v>
      </c>
      <c r="DL88">
        <v>0.21761348575353623</v>
      </c>
      <c r="DM88">
        <v>66570400</v>
      </c>
      <c r="DN88">
        <v>0.31087640821933749</v>
      </c>
      <c r="DO88">
        <v>3469654600</v>
      </c>
      <c r="DP88">
        <v>1045635370</v>
      </c>
      <c r="DQ88">
        <v>5048</v>
      </c>
      <c r="DR88">
        <v>-0.11334554402180663</v>
      </c>
      <c r="DS88">
        <v>-0.64396569695276973</v>
      </c>
      <c r="DT88" s="10">
        <v>-0.20666666666666669</v>
      </c>
      <c r="DU88">
        <v>-5.333333333333342E-2</v>
      </c>
      <c r="DV88">
        <v>-0.26000000000000012</v>
      </c>
      <c r="DW88">
        <v>-5.9132231404958677</v>
      </c>
      <c r="DX88">
        <v>0.29068563218390786</v>
      </c>
      <c r="DY88">
        <v>-5.1467418376555525</v>
      </c>
      <c r="DZ88">
        <v>2443</v>
      </c>
      <c r="EA88">
        <v>-5.0765459674005076</v>
      </c>
      <c r="EB88">
        <v>5</v>
      </c>
      <c r="EC88">
        <v>0.20153802737915075</v>
      </c>
      <c r="ED88">
        <v>1.2542380089620351</v>
      </c>
      <c r="EE88" s="11">
        <v>-5.0365099999999998</v>
      </c>
      <c r="EF88">
        <v>-5.0278099999999997</v>
      </c>
      <c r="EG88">
        <v>13.160685632183908</v>
      </c>
      <c r="EH88" t="s">
        <v>2863</v>
      </c>
      <c r="EI88">
        <v>0</v>
      </c>
      <c r="EJ88">
        <v>0</v>
      </c>
      <c r="EK88" s="12">
        <v>45511</v>
      </c>
      <c r="EL88">
        <v>1.08</v>
      </c>
      <c r="EM88">
        <v>-4.42</v>
      </c>
      <c r="EN88">
        <v>-9.66</v>
      </c>
      <c r="EO88">
        <v>2.59</v>
      </c>
      <c r="EP88">
        <v>0.87</v>
      </c>
    </row>
    <row r="89" spans="1:146" x14ac:dyDescent="0.25">
      <c r="A89" s="6"/>
      <c r="B89" s="6"/>
      <c r="C89" s="6"/>
      <c r="Q89" s="4"/>
    </row>
    <row r="90" spans="1:146" x14ac:dyDescent="0.25">
      <c r="A90" s="6"/>
      <c r="B90" s="6"/>
      <c r="C90" s="6"/>
      <c r="Q90" s="4"/>
    </row>
    <row r="91" spans="1:146" x14ac:dyDescent="0.25">
      <c r="A91" s="6"/>
      <c r="B91" s="6"/>
      <c r="C91" s="6"/>
      <c r="Q91" s="4"/>
    </row>
    <row r="92" spans="1:146" x14ac:dyDescent="0.25">
      <c r="A92" s="6"/>
      <c r="B92" s="6"/>
      <c r="C92" s="6"/>
      <c r="Q92" s="4"/>
    </row>
    <row r="93" spans="1:146" x14ac:dyDescent="0.25">
      <c r="A93" s="6"/>
      <c r="B93" s="6"/>
      <c r="C93" s="6"/>
      <c r="Q93" s="4"/>
    </row>
    <row r="94" spans="1:146" x14ac:dyDescent="0.25">
      <c r="A94" s="6"/>
      <c r="B94" s="6"/>
      <c r="C94" s="6"/>
      <c r="Q94" s="4"/>
    </row>
    <row r="95" spans="1:146" x14ac:dyDescent="0.25">
      <c r="A95" s="6"/>
      <c r="B95" s="6"/>
      <c r="C95" s="6"/>
      <c r="Q95" s="4"/>
    </row>
    <row r="96" spans="1:146" x14ac:dyDescent="0.25">
      <c r="A96" s="6"/>
      <c r="B96" s="6"/>
      <c r="C96" s="6"/>
      <c r="Q96" s="4"/>
    </row>
    <row r="97" spans="1:17" x14ac:dyDescent="0.25">
      <c r="A97" s="6"/>
      <c r="B97" s="6"/>
      <c r="C97" s="6"/>
      <c r="Q97" s="4"/>
    </row>
    <row r="98" spans="1:17" x14ac:dyDescent="0.25">
      <c r="A98" s="6"/>
      <c r="B98" s="6"/>
      <c r="C98" s="6"/>
      <c r="Q98" s="4"/>
    </row>
    <row r="99" spans="1:17" x14ac:dyDescent="0.25">
      <c r="A99" s="6"/>
      <c r="B99" s="6"/>
      <c r="C99" s="6"/>
      <c r="Q99" s="4"/>
    </row>
    <row r="100" spans="1:17" x14ac:dyDescent="0.25">
      <c r="A100" s="6"/>
      <c r="B100" s="6"/>
      <c r="C100" s="6"/>
      <c r="Q100" s="4"/>
    </row>
    <row r="101" spans="1:17" x14ac:dyDescent="0.25">
      <c r="A101" s="6"/>
      <c r="B101" s="6"/>
      <c r="C101" s="6"/>
      <c r="Q101" s="4"/>
    </row>
    <row r="102" spans="1:17" x14ac:dyDescent="0.25">
      <c r="A102" s="6"/>
      <c r="B102" s="6"/>
      <c r="C102" s="6"/>
      <c r="Q102" s="5"/>
    </row>
    <row r="103" spans="1:17" x14ac:dyDescent="0.25">
      <c r="A103" s="6"/>
      <c r="B103" s="6"/>
      <c r="C103" s="6"/>
      <c r="Q103" s="4"/>
    </row>
    <row r="104" spans="1:17" x14ac:dyDescent="0.25">
      <c r="A104" s="6"/>
      <c r="B104" s="6"/>
      <c r="C104" s="6"/>
      <c r="Q104" s="4"/>
    </row>
    <row r="105" spans="1:17" x14ac:dyDescent="0.25">
      <c r="A105" s="6"/>
      <c r="B105" s="6"/>
      <c r="C105" s="6"/>
      <c r="Q105" s="4"/>
    </row>
    <row r="106" spans="1:17" x14ac:dyDescent="0.25">
      <c r="A106" s="6"/>
      <c r="B106" s="6"/>
      <c r="C106" s="6"/>
      <c r="Q106" s="4"/>
    </row>
    <row r="107" spans="1:17" x14ac:dyDescent="0.25">
      <c r="A107" s="6"/>
      <c r="B107" s="6"/>
      <c r="C107" s="6"/>
      <c r="Q107" s="4"/>
    </row>
    <row r="108" spans="1:17" x14ac:dyDescent="0.25">
      <c r="A108" s="6"/>
      <c r="B108" s="6"/>
      <c r="C108" s="6"/>
      <c r="Q108" s="4"/>
    </row>
    <row r="109" spans="1:17" x14ac:dyDescent="0.25">
      <c r="A109" s="6"/>
      <c r="B109" s="6"/>
      <c r="C109" s="6"/>
      <c r="Q109" s="4"/>
    </row>
    <row r="110" spans="1:17" x14ac:dyDescent="0.25">
      <c r="A110" s="6"/>
      <c r="B110" s="6"/>
      <c r="C110" s="6"/>
      <c r="Q110" s="4"/>
    </row>
    <row r="111" spans="1:17" x14ac:dyDescent="0.25">
      <c r="A111" s="6"/>
      <c r="B111" s="6"/>
      <c r="C111" s="6"/>
      <c r="Q111" s="4"/>
    </row>
    <row r="112" spans="1:17" x14ac:dyDescent="0.25">
      <c r="A112" s="6"/>
      <c r="B112" s="6"/>
      <c r="C112" s="6"/>
      <c r="Q112" s="4"/>
    </row>
    <row r="113" spans="1:17" x14ac:dyDescent="0.25">
      <c r="A113" s="6"/>
      <c r="B113" s="6"/>
      <c r="C113" s="6"/>
      <c r="Q113" s="4"/>
    </row>
    <row r="114" spans="1:17" x14ac:dyDescent="0.25">
      <c r="A114" s="6"/>
      <c r="B114" s="6"/>
      <c r="C114" s="6"/>
      <c r="Q114" s="4"/>
    </row>
    <row r="115" spans="1:17" x14ac:dyDescent="0.25">
      <c r="A115" s="6"/>
      <c r="B115" s="6"/>
      <c r="C115" s="6"/>
      <c r="Q115" s="4"/>
    </row>
    <row r="116" spans="1:17" x14ac:dyDescent="0.25">
      <c r="A116" s="6"/>
      <c r="B116" s="6"/>
      <c r="C116" s="6"/>
      <c r="Q116" s="4"/>
    </row>
    <row r="117" spans="1:17" x14ac:dyDescent="0.25">
      <c r="A117" s="6"/>
      <c r="B117" s="6"/>
      <c r="C117" s="6"/>
      <c r="Q117" s="4"/>
    </row>
    <row r="118" spans="1:17" x14ac:dyDescent="0.25">
      <c r="A118" s="6"/>
      <c r="B118" s="6"/>
      <c r="C118" s="6"/>
      <c r="Q118" s="4"/>
    </row>
    <row r="119" spans="1:17" x14ac:dyDescent="0.25">
      <c r="A119" s="6"/>
      <c r="B119" s="6"/>
      <c r="C119" s="6"/>
      <c r="Q119" s="4"/>
    </row>
    <row r="120" spans="1:17" x14ac:dyDescent="0.25">
      <c r="A120" s="6"/>
      <c r="B120" s="6"/>
      <c r="C120" s="6"/>
      <c r="Q120" s="5"/>
    </row>
    <row r="121" spans="1:17" x14ac:dyDescent="0.25">
      <c r="A121" s="6"/>
      <c r="B121" s="6"/>
      <c r="C121" s="6"/>
      <c r="Q121" s="4"/>
    </row>
    <row r="122" spans="1:17" x14ac:dyDescent="0.25">
      <c r="A122" s="6"/>
      <c r="B122" s="6"/>
      <c r="C122" s="6"/>
      <c r="Q122" s="4"/>
    </row>
    <row r="123" spans="1:17" x14ac:dyDescent="0.25">
      <c r="A123" s="6"/>
      <c r="B123" s="6"/>
      <c r="C123" s="6"/>
      <c r="Q123" s="4"/>
    </row>
    <row r="124" spans="1:17" x14ac:dyDescent="0.25">
      <c r="A124" s="6"/>
      <c r="B124" s="6"/>
      <c r="C124" s="6"/>
      <c r="Q124" s="4"/>
    </row>
    <row r="125" spans="1:17" x14ac:dyDescent="0.25">
      <c r="A125" s="6"/>
      <c r="B125" s="6"/>
      <c r="C125" s="6"/>
      <c r="Q125" s="4"/>
    </row>
    <row r="126" spans="1:17" x14ac:dyDescent="0.25">
      <c r="A126" s="6"/>
      <c r="B126" s="6"/>
      <c r="C126" s="6"/>
      <c r="Q126" s="4"/>
    </row>
    <row r="127" spans="1:17" x14ac:dyDescent="0.25">
      <c r="A127" s="6"/>
      <c r="B127" s="6"/>
      <c r="C127" s="6"/>
      <c r="Q127" s="4"/>
    </row>
    <row r="128" spans="1:17" x14ac:dyDescent="0.25">
      <c r="A128" s="6"/>
      <c r="B128" s="6"/>
      <c r="C128" s="6"/>
      <c r="Q128" s="4"/>
    </row>
    <row r="129" spans="1:17" x14ac:dyDescent="0.25">
      <c r="A129" s="6"/>
      <c r="B129" s="6"/>
      <c r="C129" s="6"/>
      <c r="Q129" s="4"/>
    </row>
    <row r="130" spans="1:17" x14ac:dyDescent="0.25">
      <c r="A130" s="6"/>
      <c r="B130" s="6"/>
      <c r="C130" s="6"/>
      <c r="Q130" s="4"/>
    </row>
    <row r="131" spans="1:17" x14ac:dyDescent="0.25">
      <c r="A131" s="6"/>
      <c r="B131" s="6"/>
      <c r="C131" s="6"/>
      <c r="Q131" s="4"/>
    </row>
    <row r="132" spans="1:17" x14ac:dyDescent="0.25">
      <c r="A132" s="6"/>
      <c r="B132" s="6"/>
      <c r="C132" s="6"/>
      <c r="Q132" s="4"/>
    </row>
    <row r="133" spans="1:17" x14ac:dyDescent="0.25">
      <c r="A133" s="6"/>
      <c r="B133" s="6"/>
      <c r="C133" s="6"/>
      <c r="Q133" s="4"/>
    </row>
    <row r="134" spans="1:17" x14ac:dyDescent="0.25">
      <c r="A134" s="6"/>
      <c r="B134" s="6"/>
      <c r="C134" s="6"/>
      <c r="Q134" s="4"/>
    </row>
    <row r="135" spans="1:17" x14ac:dyDescent="0.25">
      <c r="A135" s="6"/>
      <c r="B135" s="6"/>
      <c r="C135" s="6"/>
      <c r="Q135" s="4"/>
    </row>
    <row r="136" spans="1:17" x14ac:dyDescent="0.25">
      <c r="A136" s="6"/>
      <c r="B136" s="6"/>
      <c r="C136" s="6"/>
      <c r="Q136" s="4"/>
    </row>
    <row r="137" spans="1:17" x14ac:dyDescent="0.25">
      <c r="A137" s="6"/>
      <c r="B137" s="6"/>
      <c r="C137" s="6"/>
      <c r="Q137" s="4"/>
    </row>
    <row r="138" spans="1:17" x14ac:dyDescent="0.25">
      <c r="A138" s="6"/>
      <c r="B138" s="6"/>
      <c r="C138" s="6"/>
      <c r="Q138" s="4"/>
    </row>
    <row r="139" spans="1:17" x14ac:dyDescent="0.25">
      <c r="A139" s="6"/>
      <c r="B139" s="6"/>
      <c r="C139" s="6"/>
      <c r="Q139" s="4"/>
    </row>
    <row r="140" spans="1:17" x14ac:dyDescent="0.25">
      <c r="A140" s="6"/>
      <c r="B140" s="6"/>
      <c r="C140" s="6"/>
      <c r="Q140" s="4"/>
    </row>
    <row r="141" spans="1:17" x14ac:dyDescent="0.25">
      <c r="A141" s="6"/>
      <c r="B141" s="6"/>
      <c r="C141" s="6"/>
      <c r="Q141" s="4"/>
    </row>
    <row r="142" spans="1:17" x14ac:dyDescent="0.25">
      <c r="A142" s="6"/>
      <c r="B142" s="6"/>
      <c r="C142" s="6"/>
      <c r="Q142" s="4"/>
    </row>
    <row r="143" spans="1:17" x14ac:dyDescent="0.25">
      <c r="A143" s="6"/>
      <c r="B143" s="6"/>
      <c r="C143" s="6"/>
      <c r="Q143" s="4"/>
    </row>
    <row r="144" spans="1:17" x14ac:dyDescent="0.25">
      <c r="A144" s="6"/>
      <c r="B144" s="6"/>
      <c r="C144" s="6"/>
      <c r="Q144" s="4"/>
    </row>
    <row r="145" spans="1:17" x14ac:dyDescent="0.25">
      <c r="A145" s="6"/>
      <c r="B145" s="6"/>
      <c r="C145" s="6"/>
      <c r="Q145" s="4"/>
    </row>
    <row r="146" spans="1:17" x14ac:dyDescent="0.25">
      <c r="A146" s="6"/>
      <c r="B146" s="6"/>
      <c r="C146" s="6"/>
      <c r="Q146" s="4"/>
    </row>
    <row r="147" spans="1:17" x14ac:dyDescent="0.25">
      <c r="A147" s="6"/>
      <c r="B147" s="6"/>
      <c r="C147" s="6"/>
      <c r="Q147" s="4"/>
    </row>
    <row r="148" spans="1:17" x14ac:dyDescent="0.25">
      <c r="A148" s="6"/>
      <c r="B148" s="6"/>
      <c r="C148" s="6"/>
      <c r="Q148" s="4"/>
    </row>
    <row r="149" spans="1:17" x14ac:dyDescent="0.25">
      <c r="A149" s="6"/>
      <c r="B149" s="6"/>
      <c r="C149" s="6"/>
      <c r="Q149" s="4"/>
    </row>
    <row r="150" spans="1:17" x14ac:dyDescent="0.25">
      <c r="A150" s="6"/>
      <c r="B150" s="6"/>
      <c r="C150" s="6"/>
      <c r="Q150" s="4"/>
    </row>
    <row r="151" spans="1:17" x14ac:dyDescent="0.25">
      <c r="A151" s="6"/>
      <c r="B151" s="6"/>
      <c r="C151" s="6"/>
      <c r="Q151" s="4"/>
    </row>
    <row r="152" spans="1:17" x14ac:dyDescent="0.25">
      <c r="A152" s="6"/>
      <c r="B152" s="6"/>
      <c r="C152" s="6"/>
      <c r="Q152" s="4"/>
    </row>
    <row r="153" spans="1:17" x14ac:dyDescent="0.25">
      <c r="A153" s="6"/>
      <c r="B153" s="6"/>
      <c r="C153" s="6"/>
    </row>
    <row r="154" spans="1:17" x14ac:dyDescent="0.25">
      <c r="A154" s="6"/>
      <c r="B154" s="6"/>
      <c r="C154" s="6"/>
      <c r="Q154" s="4"/>
    </row>
    <row r="155" spans="1:17" x14ac:dyDescent="0.25">
      <c r="A155" s="6"/>
      <c r="B155" s="6"/>
      <c r="C155" s="6"/>
      <c r="Q155" s="4"/>
    </row>
    <row r="156" spans="1:17" x14ac:dyDescent="0.25">
      <c r="A156" s="6"/>
      <c r="B156" s="6"/>
      <c r="C156" s="6"/>
      <c r="Q156" s="4"/>
    </row>
    <row r="157" spans="1:17" x14ac:dyDescent="0.25">
      <c r="A157" s="6"/>
      <c r="B157" s="6"/>
      <c r="C157" s="6"/>
      <c r="Q157" s="4"/>
    </row>
    <row r="158" spans="1:17" x14ac:dyDescent="0.25">
      <c r="A158" s="6"/>
      <c r="B158" s="6"/>
      <c r="C158" s="6"/>
      <c r="Q158" s="4"/>
    </row>
    <row r="159" spans="1:17" x14ac:dyDescent="0.25">
      <c r="A159" s="6"/>
      <c r="B159" s="6"/>
      <c r="C159" s="6"/>
      <c r="Q159" s="4"/>
    </row>
    <row r="160" spans="1:17" x14ac:dyDescent="0.25">
      <c r="A160" s="6"/>
      <c r="B160" s="6"/>
      <c r="C160" s="6"/>
      <c r="Q160" s="4"/>
    </row>
    <row r="161" spans="1:17" x14ac:dyDescent="0.25">
      <c r="A161" s="6"/>
      <c r="B161" s="6"/>
      <c r="C161" s="6"/>
      <c r="Q161" s="4"/>
    </row>
    <row r="162" spans="1:17" x14ac:dyDescent="0.25">
      <c r="A162" s="6"/>
      <c r="B162" s="6"/>
      <c r="C162" s="6"/>
      <c r="Q162" s="5"/>
    </row>
    <row r="163" spans="1:17" x14ac:dyDescent="0.25">
      <c r="A163" s="6"/>
      <c r="B163" s="6"/>
      <c r="C163" s="6"/>
      <c r="Q163" s="4"/>
    </row>
    <row r="164" spans="1:17" x14ac:dyDescent="0.25">
      <c r="A164" s="6"/>
      <c r="B164" s="6"/>
      <c r="C164" s="6"/>
      <c r="Q164" s="4"/>
    </row>
    <row r="165" spans="1:17" x14ac:dyDescent="0.25">
      <c r="A165" s="6"/>
      <c r="B165" s="6"/>
      <c r="C165" s="6"/>
      <c r="Q165" s="4"/>
    </row>
    <row r="166" spans="1:17" x14ac:dyDescent="0.25">
      <c r="A166" s="6"/>
      <c r="B166" s="6"/>
      <c r="C166" s="6"/>
      <c r="Q166" s="4"/>
    </row>
    <row r="167" spans="1:17" x14ac:dyDescent="0.25">
      <c r="A167" s="6"/>
      <c r="B167" s="6"/>
      <c r="C167" s="6"/>
      <c r="Q167" s="4"/>
    </row>
    <row r="168" spans="1:17" x14ac:dyDescent="0.25">
      <c r="A168" s="6"/>
      <c r="B168" s="6"/>
      <c r="C168" s="6"/>
      <c r="Q168" s="4"/>
    </row>
    <row r="169" spans="1:17" x14ac:dyDescent="0.25">
      <c r="A169" s="6"/>
      <c r="B169" s="6"/>
      <c r="C169" s="6"/>
      <c r="Q169" s="4"/>
    </row>
    <row r="170" spans="1:17" x14ac:dyDescent="0.25">
      <c r="A170" s="6"/>
      <c r="B170" s="6"/>
      <c r="C170" s="6"/>
      <c r="Q170" s="4"/>
    </row>
    <row r="171" spans="1:17" x14ac:dyDescent="0.25">
      <c r="A171" s="6"/>
      <c r="B171" s="6"/>
      <c r="C171" s="6"/>
      <c r="Q171" s="4"/>
    </row>
    <row r="172" spans="1:17" x14ac:dyDescent="0.25">
      <c r="A172" s="6"/>
      <c r="B172" s="6"/>
      <c r="C172" s="6"/>
      <c r="Q172" s="4"/>
    </row>
    <row r="173" spans="1:17" x14ac:dyDescent="0.25">
      <c r="A173" s="6"/>
      <c r="B173" s="6"/>
      <c r="C173" s="6"/>
      <c r="Q173" s="4"/>
    </row>
    <row r="174" spans="1:17" x14ac:dyDescent="0.25">
      <c r="A174" s="6"/>
      <c r="B174" s="6"/>
      <c r="C174" s="6"/>
      <c r="Q174" s="4"/>
    </row>
    <row r="175" spans="1:17" x14ac:dyDescent="0.25">
      <c r="A175" s="6"/>
      <c r="B175" s="6"/>
      <c r="C175" s="6"/>
      <c r="Q175" s="4"/>
    </row>
    <row r="176" spans="1:17" x14ac:dyDescent="0.25">
      <c r="A176" s="6"/>
      <c r="B176" s="6"/>
      <c r="C176" s="6"/>
      <c r="Q176" s="4"/>
    </row>
    <row r="177" spans="1:17" x14ac:dyDescent="0.25">
      <c r="A177" s="6"/>
      <c r="B177" s="6"/>
      <c r="C177" s="6"/>
      <c r="Q177" s="4"/>
    </row>
    <row r="178" spans="1:17" x14ac:dyDescent="0.25">
      <c r="A178" s="6"/>
      <c r="B178" s="6"/>
      <c r="C178" s="6"/>
      <c r="Q178" s="4"/>
    </row>
    <row r="179" spans="1:17" x14ac:dyDescent="0.25">
      <c r="A179" s="6"/>
      <c r="B179" s="6"/>
      <c r="C179" s="6"/>
      <c r="Q179" s="4"/>
    </row>
    <row r="180" spans="1:17" x14ac:dyDescent="0.25">
      <c r="A180" s="6"/>
      <c r="B180" s="6"/>
      <c r="C180" s="6"/>
      <c r="Q180" s="4"/>
    </row>
    <row r="181" spans="1:17" x14ac:dyDescent="0.25">
      <c r="A181" s="6"/>
      <c r="B181" s="6"/>
      <c r="C181" s="6"/>
      <c r="Q181" s="4"/>
    </row>
    <row r="182" spans="1:17" x14ac:dyDescent="0.25">
      <c r="A182" s="6"/>
      <c r="B182" s="6"/>
      <c r="C182" s="6"/>
      <c r="Q182" s="4"/>
    </row>
    <row r="183" spans="1:17" x14ac:dyDescent="0.25">
      <c r="A183" s="6"/>
      <c r="B183" s="6"/>
      <c r="C183" s="6"/>
      <c r="Q183" s="4"/>
    </row>
    <row r="184" spans="1:17" x14ac:dyDescent="0.25">
      <c r="A184" s="6"/>
      <c r="B184" s="6"/>
      <c r="C184" s="6"/>
      <c r="Q184" s="4"/>
    </row>
    <row r="185" spans="1:17" x14ac:dyDescent="0.25">
      <c r="A185" s="6"/>
      <c r="B185" s="6"/>
      <c r="C185" s="6"/>
      <c r="Q185" s="4"/>
    </row>
    <row r="186" spans="1:17" x14ac:dyDescent="0.25">
      <c r="A186" s="6"/>
      <c r="B186" s="6"/>
      <c r="C186" s="6"/>
      <c r="Q186" s="4"/>
    </row>
    <row r="187" spans="1:17" x14ac:dyDescent="0.25">
      <c r="A187" s="6"/>
      <c r="B187" s="6"/>
      <c r="C187" s="6"/>
      <c r="Q187" s="4"/>
    </row>
    <row r="188" spans="1:17" x14ac:dyDescent="0.25">
      <c r="A188" s="6"/>
      <c r="B188" s="6"/>
      <c r="C188" s="6"/>
      <c r="Q188" s="4"/>
    </row>
    <row r="189" spans="1:17" x14ac:dyDescent="0.25">
      <c r="A189" s="6"/>
      <c r="B189" s="6"/>
      <c r="C189" s="6"/>
      <c r="Q189" s="4"/>
    </row>
    <row r="190" spans="1:17" x14ac:dyDescent="0.25">
      <c r="A190" s="6"/>
      <c r="B190" s="6"/>
      <c r="C190" s="6"/>
      <c r="Q190" s="4"/>
    </row>
    <row r="191" spans="1:17" x14ac:dyDescent="0.25">
      <c r="A191" s="6"/>
      <c r="B191" s="6"/>
      <c r="C191" s="6"/>
      <c r="Q191" s="4"/>
    </row>
    <row r="192" spans="1:17" x14ac:dyDescent="0.25">
      <c r="A192" s="6"/>
      <c r="B192" s="6"/>
      <c r="C192" s="6"/>
      <c r="Q192" s="4"/>
    </row>
    <row r="193" spans="1:17" x14ac:dyDescent="0.25">
      <c r="A193" s="6"/>
      <c r="B193" s="6"/>
      <c r="C193" s="6"/>
      <c r="Q193" s="4"/>
    </row>
    <row r="194" spans="1:17" x14ac:dyDescent="0.25">
      <c r="A194" s="6"/>
      <c r="B194" s="6"/>
      <c r="C194" s="6"/>
      <c r="Q194" s="4"/>
    </row>
    <row r="195" spans="1:17" x14ac:dyDescent="0.25">
      <c r="A195" s="6"/>
      <c r="B195" s="6"/>
      <c r="C195" s="6"/>
      <c r="Q195" s="4"/>
    </row>
    <row r="196" spans="1:17" x14ac:dyDescent="0.25">
      <c r="A196" s="6"/>
      <c r="B196" s="6"/>
      <c r="C196" s="6"/>
      <c r="Q196" s="4"/>
    </row>
    <row r="197" spans="1:17" x14ac:dyDescent="0.25">
      <c r="A197" s="6"/>
      <c r="B197" s="6"/>
      <c r="C197" s="6"/>
      <c r="Q197" s="4"/>
    </row>
    <row r="198" spans="1:17" x14ac:dyDescent="0.25">
      <c r="A198" s="6"/>
      <c r="B198" s="6"/>
      <c r="C198" s="6"/>
      <c r="Q198" s="4"/>
    </row>
    <row r="199" spans="1:17" x14ac:dyDescent="0.25">
      <c r="A199" s="6"/>
      <c r="B199" s="6"/>
      <c r="C199" s="6"/>
      <c r="Q199" s="4"/>
    </row>
    <row r="200" spans="1:17" x14ac:dyDescent="0.25">
      <c r="A200" s="6"/>
      <c r="B200" s="6"/>
      <c r="C200" s="6"/>
      <c r="Q200" s="4"/>
    </row>
    <row r="201" spans="1:17" x14ac:dyDescent="0.25">
      <c r="A201" s="6"/>
      <c r="B201" s="6"/>
      <c r="C201" s="6"/>
      <c r="Q201" s="4"/>
    </row>
    <row r="202" spans="1:17" x14ac:dyDescent="0.25">
      <c r="A202" s="6"/>
      <c r="B202" s="6"/>
      <c r="C202" s="6"/>
      <c r="Q202" s="4"/>
    </row>
    <row r="203" spans="1:17" x14ac:dyDescent="0.25">
      <c r="A203" s="6"/>
      <c r="B203" s="6"/>
      <c r="C203" s="6"/>
      <c r="Q203" s="4"/>
    </row>
    <row r="204" spans="1:17" x14ac:dyDescent="0.25">
      <c r="A204" s="6"/>
      <c r="B204" s="6"/>
      <c r="C204" s="6"/>
      <c r="Q204" s="4"/>
    </row>
    <row r="205" spans="1:17" x14ac:dyDescent="0.25">
      <c r="A205" s="6"/>
      <c r="B205" s="6"/>
      <c r="C205" s="6"/>
      <c r="Q205" s="4"/>
    </row>
    <row r="206" spans="1:17" x14ac:dyDescent="0.25">
      <c r="A206" s="6"/>
      <c r="B206" s="6"/>
      <c r="C206" s="6"/>
      <c r="Q206" s="4"/>
    </row>
    <row r="207" spans="1:17" x14ac:dyDescent="0.25">
      <c r="A207" s="6"/>
      <c r="B207" s="6"/>
      <c r="C207" s="6"/>
      <c r="Q207" s="4"/>
    </row>
    <row r="208" spans="1:17" x14ac:dyDescent="0.25">
      <c r="A208" s="6"/>
      <c r="B208" s="6"/>
      <c r="C208" s="6"/>
      <c r="Q208" s="4"/>
    </row>
    <row r="209" spans="1:17" x14ac:dyDescent="0.25">
      <c r="A209" s="6"/>
      <c r="B209" s="6"/>
      <c r="C209" s="6"/>
      <c r="Q209" s="4"/>
    </row>
    <row r="210" spans="1:17" x14ac:dyDescent="0.25">
      <c r="A210" s="6"/>
      <c r="B210" s="6"/>
      <c r="C210" s="6"/>
      <c r="Q210" s="4"/>
    </row>
    <row r="211" spans="1:17" x14ac:dyDescent="0.25">
      <c r="A211" s="6"/>
      <c r="B211" s="6"/>
      <c r="C211" s="6"/>
      <c r="Q211" s="4"/>
    </row>
    <row r="212" spans="1:17" x14ac:dyDescent="0.25">
      <c r="A212" s="6"/>
      <c r="B212" s="6"/>
      <c r="C212" s="6"/>
      <c r="Q212" s="4"/>
    </row>
    <row r="213" spans="1:17" x14ac:dyDescent="0.25">
      <c r="A213" s="6"/>
      <c r="B213" s="6"/>
      <c r="C213" s="6"/>
      <c r="Q213" s="4"/>
    </row>
    <row r="214" spans="1:17" x14ac:dyDescent="0.25">
      <c r="A214" s="6"/>
      <c r="B214" s="6"/>
      <c r="C214" s="6"/>
      <c r="Q214" s="4"/>
    </row>
    <row r="215" spans="1:17" x14ac:dyDescent="0.25">
      <c r="A215" s="6"/>
      <c r="B215" s="6"/>
      <c r="C215" s="6"/>
      <c r="Q215" s="4"/>
    </row>
    <row r="216" spans="1:17" x14ac:dyDescent="0.25">
      <c r="A216" s="6"/>
      <c r="B216" s="6"/>
      <c r="C216" s="6"/>
      <c r="Q216" s="4"/>
    </row>
    <row r="217" spans="1:17" x14ac:dyDescent="0.25">
      <c r="A217" s="6"/>
      <c r="B217" s="6"/>
      <c r="C217" s="6"/>
      <c r="Q217" s="4"/>
    </row>
    <row r="218" spans="1:17" x14ac:dyDescent="0.25">
      <c r="A218" s="6"/>
      <c r="B218" s="6"/>
      <c r="C218" s="6"/>
      <c r="Q218" s="4"/>
    </row>
    <row r="219" spans="1:17" x14ac:dyDescent="0.25">
      <c r="A219" s="6"/>
      <c r="B219" s="6"/>
      <c r="C219" s="6"/>
      <c r="Q219" s="4"/>
    </row>
    <row r="220" spans="1:17" x14ac:dyDescent="0.25">
      <c r="A220" s="6"/>
      <c r="B220" s="6"/>
      <c r="C220" s="6"/>
      <c r="Q220" s="4"/>
    </row>
    <row r="221" spans="1:17" x14ac:dyDescent="0.25">
      <c r="A221" s="7"/>
      <c r="B221" s="7"/>
      <c r="C221" s="7"/>
      <c r="Q221" s="4"/>
    </row>
    <row r="222" spans="1:17" x14ac:dyDescent="0.25">
      <c r="A222" s="7"/>
      <c r="B222" s="7"/>
      <c r="C222" s="7"/>
      <c r="Q222" s="4"/>
    </row>
    <row r="223" spans="1:17" x14ac:dyDescent="0.25">
      <c r="A223" s="7"/>
      <c r="B223" s="7"/>
      <c r="C223" s="7"/>
      <c r="Q223" s="4"/>
    </row>
    <row r="224" spans="1:17" x14ac:dyDescent="0.25">
      <c r="A224" s="7"/>
      <c r="B224" s="7"/>
      <c r="C224" s="7"/>
      <c r="Q224" s="4"/>
    </row>
  </sheetData>
  <autoFilter ref="BU1:BU224"/>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通信设备&quot;,&quot;&quot;'" altText="更新基本面按钮_x000a_">
                <anchor moveWithCells="1" sizeWithCells="1">
                  <from>
                    <xdr:col>147</xdr:col>
                    <xdr:colOff>692150</xdr:colOff>
                    <xdr:row>0</xdr:row>
                    <xdr:rowOff>88900</xdr:rowOff>
                  </from>
                  <to>
                    <xdr:col>147</xdr:col>
                    <xdr:colOff>2133600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0"/>
  <sheetViews>
    <sheetView workbookViewId="0">
      <selection activeCell="A5" sqref="A5"/>
    </sheetView>
  </sheetViews>
  <sheetFormatPr defaultRowHeight="14" x14ac:dyDescent="0.25"/>
  <sheetData>
    <row r="1" spans="1:30" x14ac:dyDescent="0.25">
      <c r="A1">
        <f>A6</f>
        <v>18</v>
      </c>
      <c r="B1">
        <f>A1+A1*$A$2</f>
        <v>18.54</v>
      </c>
      <c r="C1">
        <f t="shared" ref="C1:AD1" si="0">B1+B1*$A$2</f>
        <v>19.0962</v>
      </c>
      <c r="D1">
        <f t="shared" si="0"/>
        <v>19.669086</v>
      </c>
      <c r="E1">
        <f t="shared" si="0"/>
        <v>20.259158580000001</v>
      </c>
      <c r="F1">
        <f t="shared" si="0"/>
        <v>20.866933337400003</v>
      </c>
      <c r="G1">
        <f t="shared" si="0"/>
        <v>21.492941337522002</v>
      </c>
      <c r="H1">
        <f t="shared" si="0"/>
        <v>22.137729577647661</v>
      </c>
      <c r="I1">
        <f t="shared" si="0"/>
        <v>22.80186146497709</v>
      </c>
      <c r="J1">
        <f t="shared" si="0"/>
        <v>23.485917308926403</v>
      </c>
      <c r="K1">
        <f t="shared" si="0"/>
        <v>24.190494828194197</v>
      </c>
      <c r="L1">
        <f t="shared" si="0"/>
        <v>24.916209673040022</v>
      </c>
      <c r="M1">
        <f t="shared" si="0"/>
        <v>25.663695963231223</v>
      </c>
      <c r="N1">
        <f t="shared" si="0"/>
        <v>26.43360684212816</v>
      </c>
      <c r="O1">
        <f t="shared" si="0"/>
        <v>27.226615047392006</v>
      </c>
      <c r="P1">
        <f t="shared" si="0"/>
        <v>28.043413498813766</v>
      </c>
      <c r="Q1">
        <f t="shared" si="0"/>
        <v>28.884715903778179</v>
      </c>
      <c r="R1">
        <f t="shared" si="0"/>
        <v>29.751257380891523</v>
      </c>
      <c r="S1">
        <f t="shared" si="0"/>
        <v>30.643795102318268</v>
      </c>
      <c r="T1">
        <f t="shared" si="0"/>
        <v>31.563108955387815</v>
      </c>
      <c r="U1">
        <f t="shared" si="0"/>
        <v>32.510002224049451</v>
      </c>
      <c r="V1">
        <f t="shared" si="0"/>
        <v>33.485302290770932</v>
      </c>
      <c r="W1">
        <f t="shared" si="0"/>
        <v>34.489861359494057</v>
      </c>
      <c r="X1">
        <f t="shared" si="0"/>
        <v>35.524557200278878</v>
      </c>
      <c r="Y1">
        <f t="shared" si="0"/>
        <v>36.590293916287244</v>
      </c>
      <c r="Z1">
        <f t="shared" si="0"/>
        <v>37.688002733775861</v>
      </c>
      <c r="AA1">
        <f t="shared" si="0"/>
        <v>38.818642815789133</v>
      </c>
      <c r="AB1">
        <f t="shared" si="0"/>
        <v>39.983202100262808</v>
      </c>
      <c r="AC1">
        <f t="shared" si="0"/>
        <v>41.182698163270693</v>
      </c>
      <c r="AD1">
        <f t="shared" si="0"/>
        <v>42.418179108168815</v>
      </c>
    </row>
    <row r="2" spans="1:30" x14ac:dyDescent="0.25">
      <c r="A2">
        <v>0.03</v>
      </c>
      <c r="B2" t="s">
        <v>1261</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0.2</v>
      </c>
      <c r="B4" t="s">
        <v>1262</v>
      </c>
    </row>
    <row r="5" spans="1:30" x14ac:dyDescent="0.25">
      <c r="A5" s="13">
        <v>1</v>
      </c>
      <c r="B5" s="13">
        <f>A5*$A$4+A5</f>
        <v>1.2</v>
      </c>
      <c r="C5" s="13">
        <f t="shared" ref="C5:AD5" si="1">B5*$A$4+B5</f>
        <v>1.44</v>
      </c>
      <c r="D5" s="13">
        <f t="shared" si="1"/>
        <v>1.728</v>
      </c>
      <c r="E5" s="13">
        <f t="shared" si="1"/>
        <v>2.0735999999999999</v>
      </c>
      <c r="F5" s="13">
        <f t="shared" si="1"/>
        <v>2.4883199999999999</v>
      </c>
      <c r="G5" s="13">
        <f t="shared" si="1"/>
        <v>2.9859839999999997</v>
      </c>
      <c r="H5" s="13">
        <f t="shared" si="1"/>
        <v>3.5831807999999996</v>
      </c>
      <c r="I5" s="13">
        <f t="shared" si="1"/>
        <v>4.2998169599999994</v>
      </c>
      <c r="J5" s="13">
        <f t="shared" si="1"/>
        <v>5.1597803519999994</v>
      </c>
      <c r="K5" s="13">
        <f t="shared" si="1"/>
        <v>6.1917364223999991</v>
      </c>
      <c r="L5" s="13">
        <f t="shared" si="1"/>
        <v>7.4300837068799988</v>
      </c>
      <c r="M5" s="13">
        <f t="shared" si="1"/>
        <v>8.9161004482559996</v>
      </c>
      <c r="N5" s="13">
        <f t="shared" si="1"/>
        <v>10.6993205379072</v>
      </c>
      <c r="O5" s="13">
        <f t="shared" si="1"/>
        <v>12.83918464548864</v>
      </c>
      <c r="P5">
        <f t="shared" si="1"/>
        <v>15.407021574586368</v>
      </c>
      <c r="Q5">
        <f t="shared" si="1"/>
        <v>18.488425889503642</v>
      </c>
      <c r="R5">
        <f t="shared" si="1"/>
        <v>22.186111067404369</v>
      </c>
      <c r="S5" s="13">
        <f t="shared" si="1"/>
        <v>26.623333280885241</v>
      </c>
      <c r="T5">
        <f t="shared" si="1"/>
        <v>31.947999937062288</v>
      </c>
      <c r="U5">
        <f t="shared" si="1"/>
        <v>38.337599924474745</v>
      </c>
      <c r="V5">
        <f t="shared" si="1"/>
        <v>46.005119909369697</v>
      </c>
      <c r="W5">
        <f t="shared" si="1"/>
        <v>55.206143891243634</v>
      </c>
      <c r="X5">
        <f t="shared" si="1"/>
        <v>66.247372669492364</v>
      </c>
      <c r="Y5">
        <f t="shared" si="1"/>
        <v>79.496847203390843</v>
      </c>
      <c r="Z5">
        <f t="shared" si="1"/>
        <v>95.396216644069014</v>
      </c>
      <c r="AA5">
        <f t="shared" si="1"/>
        <v>114.47545997288282</v>
      </c>
      <c r="AB5">
        <f t="shared" si="1"/>
        <v>137.37055196745939</v>
      </c>
      <c r="AC5">
        <f t="shared" si="1"/>
        <v>164.84466236095128</v>
      </c>
      <c r="AD5">
        <f t="shared" si="1"/>
        <v>197.81359483314154</v>
      </c>
    </row>
    <row r="6" spans="1:30" x14ac:dyDescent="0.25">
      <c r="A6">
        <v>18</v>
      </c>
      <c r="B6" t="s">
        <v>1263</v>
      </c>
    </row>
    <row r="7" spans="1:30" x14ac:dyDescent="0.25">
      <c r="A7" s="14">
        <f>SUM($A$5:A5)</f>
        <v>1</v>
      </c>
      <c r="B7" s="14">
        <f>SUM($A$5:B5)</f>
        <v>2.2000000000000002</v>
      </c>
      <c r="C7" s="14">
        <f>SUM($A$5:C5)</f>
        <v>3.64</v>
      </c>
      <c r="D7" s="14">
        <f>SUM($A$5:D5)</f>
        <v>5.3680000000000003</v>
      </c>
      <c r="E7" s="14">
        <f>SUM($A$5:E5)</f>
        <v>7.4416000000000002</v>
      </c>
      <c r="F7" s="14">
        <f>SUM($A$5:F5)</f>
        <v>9.9299199999999992</v>
      </c>
      <c r="G7" s="14">
        <f>SUM($A$5:G5)</f>
        <v>12.915903999999999</v>
      </c>
      <c r="H7" s="14">
        <f>SUM($A$5:H5)</f>
        <v>16.499084799999999</v>
      </c>
      <c r="I7" s="14">
        <f>SUM($A$5:I5)</f>
        <v>20.79890176</v>
      </c>
      <c r="J7" s="14">
        <f>SUM($A$5:J5)</f>
        <v>25.958682111999998</v>
      </c>
      <c r="K7" s="14">
        <f>SUM($A$5:K5)</f>
        <v>32.150418534399996</v>
      </c>
      <c r="L7" s="14">
        <f>SUM($A$5:L5)</f>
        <v>39.580502241279994</v>
      </c>
      <c r="M7" s="14">
        <f>SUM($A$5:M5)</f>
        <v>48.49660268953599</v>
      </c>
      <c r="N7" s="14">
        <f>SUM($A$5:N5)</f>
        <v>59.195923227443188</v>
      </c>
      <c r="O7" s="14">
        <f>SUM($A$5:O5)</f>
        <v>72.035107872931832</v>
      </c>
      <c r="P7" s="14">
        <f>SUM($A$5:P5)</f>
        <v>87.442129447518198</v>
      </c>
      <c r="Q7" s="14">
        <f>SUM($A$5:Q5)</f>
        <v>105.93055533702184</v>
      </c>
      <c r="R7" s="14">
        <f>SUM($A$5:R5)</f>
        <v>128.11666640442621</v>
      </c>
      <c r="S7" s="14">
        <f>SUM($A$5:S5)</f>
        <v>154.73999968531146</v>
      </c>
      <c r="T7" s="14">
        <f>SUM($A$5:T5)</f>
        <v>186.68799962237375</v>
      </c>
      <c r="U7" s="14">
        <f>SUM($A$5:U5)</f>
        <v>225.0255995468485</v>
      </c>
      <c r="V7" s="14">
        <f>SUM($A$5:V5)</f>
        <v>271.03071945621821</v>
      </c>
      <c r="W7" s="14">
        <f>SUM($A$5:W5)</f>
        <v>326.23686334746185</v>
      </c>
      <c r="X7" s="14">
        <f>SUM($A$5:X5)</f>
        <v>392.48423601695424</v>
      </c>
      <c r="Y7" s="14">
        <f>SUM($A$5:Y5)</f>
        <v>471.98108322034511</v>
      </c>
      <c r="Z7" s="14">
        <f>SUM($A$5:Z5)</f>
        <v>567.37729986441411</v>
      </c>
      <c r="AA7" s="14">
        <f>SUM($A$5:AA5)</f>
        <v>681.85275983729696</v>
      </c>
      <c r="AB7" s="14">
        <f>SUM($A$5:AB5)</f>
        <v>819.22331180475635</v>
      </c>
      <c r="AC7" s="14">
        <f>SUM($A$5:AC5)</f>
        <v>984.0679741657076</v>
      </c>
      <c r="AD7" s="14">
        <f>SUM($A$5:AD5)</f>
        <v>1181.8815689988492</v>
      </c>
    </row>
    <row r="8" spans="1:30" x14ac:dyDescent="0.25">
      <c r="A8" s="1">
        <v>1</v>
      </c>
      <c r="B8" s="1">
        <v>2</v>
      </c>
      <c r="C8" s="1">
        <v>3</v>
      </c>
      <c r="D8" s="1">
        <v>4</v>
      </c>
      <c r="E8" s="1">
        <v>5</v>
      </c>
      <c r="F8" s="1">
        <v>6</v>
      </c>
      <c r="G8" s="1">
        <v>7</v>
      </c>
      <c r="H8" s="1">
        <v>8</v>
      </c>
      <c r="I8" s="1">
        <v>9</v>
      </c>
      <c r="J8" s="1">
        <v>10</v>
      </c>
      <c r="K8" s="1">
        <v>11</v>
      </c>
      <c r="L8" s="1">
        <v>12</v>
      </c>
      <c r="M8" s="1">
        <v>13</v>
      </c>
      <c r="N8" s="1">
        <v>14</v>
      </c>
      <c r="O8" s="1">
        <v>15</v>
      </c>
      <c r="P8" s="1">
        <v>16</v>
      </c>
      <c r="Q8" s="1">
        <v>17</v>
      </c>
      <c r="R8" s="1">
        <v>18</v>
      </c>
      <c r="S8" s="1">
        <v>19</v>
      </c>
      <c r="T8" s="1">
        <v>20</v>
      </c>
      <c r="U8" s="1">
        <v>21</v>
      </c>
      <c r="V8" s="1">
        <v>22</v>
      </c>
      <c r="W8" s="1">
        <v>23</v>
      </c>
      <c r="X8" s="1">
        <v>24</v>
      </c>
      <c r="Y8" s="1">
        <v>25</v>
      </c>
      <c r="Z8" s="1">
        <v>26</v>
      </c>
      <c r="AA8" s="1">
        <v>27</v>
      </c>
      <c r="AB8" s="1">
        <v>28</v>
      </c>
      <c r="AC8" s="1">
        <v>29</v>
      </c>
      <c r="AD8" s="1">
        <v>30</v>
      </c>
    </row>
    <row r="9" spans="1:30" x14ac:dyDescent="0.25">
      <c r="A9">
        <f>IF(A7&gt;A1,(A7-A1)/$A$6,0)</f>
        <v>0</v>
      </c>
      <c r="B9">
        <f t="shared" ref="B9:AD9" si="2">IF(B7&gt;B1,(B7-B1)/$A$6,0)</f>
        <v>0</v>
      </c>
      <c r="C9">
        <f t="shared" si="2"/>
        <v>0</v>
      </c>
      <c r="D9">
        <f t="shared" si="2"/>
        <v>0</v>
      </c>
      <c r="E9">
        <f t="shared" si="2"/>
        <v>0</v>
      </c>
      <c r="F9">
        <f t="shared" si="2"/>
        <v>0</v>
      </c>
      <c r="G9">
        <f t="shared" si="2"/>
        <v>0</v>
      </c>
      <c r="H9">
        <f t="shared" si="2"/>
        <v>0</v>
      </c>
      <c r="I9">
        <f t="shared" si="2"/>
        <v>0</v>
      </c>
      <c r="J9">
        <f t="shared" si="2"/>
        <v>0.13737582239297749</v>
      </c>
      <c r="K9">
        <f t="shared" si="2"/>
        <v>0.44221798367809995</v>
      </c>
      <c r="L9">
        <f t="shared" si="2"/>
        <v>0.81468292045777624</v>
      </c>
      <c r="M9">
        <f t="shared" si="2"/>
        <v>1.2684948181280427</v>
      </c>
      <c r="N9">
        <f t="shared" si="2"/>
        <v>1.8201286880730574</v>
      </c>
      <c r="O9">
        <f t="shared" si="2"/>
        <v>2.4893607125299906</v>
      </c>
      <c r="P9">
        <f t="shared" si="2"/>
        <v>3.299928663816913</v>
      </c>
      <c r="Q9">
        <f t="shared" si="2"/>
        <v>4.2803244129579809</v>
      </c>
      <c r="R9">
        <f t="shared" si="2"/>
        <v>5.464744945751927</v>
      </c>
      <c r="S9">
        <f t="shared" si="2"/>
        <v>6.8942335879440666</v>
      </c>
      <c r="T9">
        <f t="shared" si="2"/>
        <v>8.6180494814992201</v>
      </c>
      <c r="U9">
        <f t="shared" si="2"/>
        <v>10.695310962377725</v>
      </c>
      <c r="V9">
        <f t="shared" si="2"/>
        <v>13.196967620302626</v>
      </c>
      <c r="W9">
        <f t="shared" si="2"/>
        <v>16.208166777109323</v>
      </c>
      <c r="X9">
        <f t="shared" si="2"/>
        <v>19.831093267593076</v>
      </c>
      <c r="Y9">
        <f t="shared" si="2"/>
        <v>24.188377183558771</v>
      </c>
      <c r="Z9">
        <f t="shared" si="2"/>
        <v>29.427183173924348</v>
      </c>
      <c r="AA9">
        <f t="shared" si="2"/>
        <v>35.724117612305996</v>
      </c>
      <c r="AB9">
        <f t="shared" si="2"/>
        <v>43.291117205805193</v>
      </c>
      <c r="AC9">
        <f t="shared" si="2"/>
        <v>52.382515333468717</v>
      </c>
      <c r="AD9">
        <f t="shared" si="2"/>
        <v>63.303521660593361</v>
      </c>
    </row>
    <row r="10" spans="1:30" x14ac:dyDescent="0.25">
      <c r="A10">
        <f>A6/(A4*100)</f>
        <v>0.9</v>
      </c>
      <c r="B10" t="s">
        <v>1264</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通信设备</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2024-08-08T11:47:51Z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