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001Xiaofeng\value-investment-backup\估值分析\New-银行\"/>
    </mc:Choice>
  </mc:AlternateContent>
  <bookViews>
    <workbookView xWindow="0" yWindow="0" windowWidth="3800" windowHeight="2950"/>
  </bookViews>
  <sheets>
    <sheet name="银行" sheetId="18" r:id="rId1"/>
    <sheet name="估值-增速与年化收益" sheetId="14" r:id="rId2"/>
  </sheets>
  <functionGroups builtInGroupCount="18"/>
  <definedNames>
    <definedName name="_xlnm._FilterDatabase" localSheetId="0" hidden="1">银行!$BU$1:$BU$214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4" l="1"/>
  <c r="C5" i="14" s="1"/>
  <c r="D5" i="14" s="1"/>
  <c r="E5" i="14" s="1"/>
  <c r="F5" i="14" s="1"/>
  <c r="G5" i="14" s="1"/>
  <c r="H5" i="14" s="1"/>
  <c r="I5" i="14" s="1"/>
  <c r="J5" i="14" s="1"/>
  <c r="K5" i="14" s="1"/>
  <c r="L5" i="14" s="1"/>
  <c r="M5" i="14" s="1"/>
  <c r="N5" i="14" s="1"/>
  <c r="O5" i="14" s="1"/>
  <c r="P5" i="14" s="1"/>
  <c r="Q5" i="14" s="1"/>
  <c r="R5" i="14" s="1"/>
  <c r="S5" i="14" s="1"/>
  <c r="T5" i="14" s="1"/>
  <c r="U5" i="14" s="1"/>
  <c r="V5" i="14" s="1"/>
  <c r="W5" i="14" s="1"/>
  <c r="X5" i="14" s="1"/>
  <c r="Y5" i="14" s="1"/>
  <c r="Z5" i="14" s="1"/>
  <c r="AA5" i="14" s="1"/>
  <c r="AB5" i="14" s="1"/>
  <c r="AC5" i="14" s="1"/>
  <c r="AD5" i="14" s="1"/>
  <c r="B1" i="14"/>
  <c r="C1" i="14" s="1"/>
  <c r="D1" i="14" s="1"/>
  <c r="E1" i="14" s="1"/>
  <c r="F1" i="14" s="1"/>
  <c r="G1" i="14" s="1"/>
  <c r="H1" i="14" s="1"/>
  <c r="I1" i="14" s="1"/>
  <c r="J1" i="14" s="1"/>
  <c r="K1" i="14" s="1"/>
  <c r="L1" i="14" s="1"/>
  <c r="M1" i="14" s="1"/>
  <c r="N1" i="14" s="1"/>
  <c r="O1" i="14" s="1"/>
  <c r="P1" i="14" s="1"/>
  <c r="Q1" i="14" s="1"/>
  <c r="R1" i="14" s="1"/>
  <c r="S1" i="14" s="1"/>
  <c r="T1" i="14" s="1"/>
  <c r="U1" i="14" s="1"/>
  <c r="V1" i="14" s="1"/>
  <c r="W1" i="14" s="1"/>
  <c r="X1" i="14" s="1"/>
  <c r="Y1" i="14" s="1"/>
  <c r="Z1" i="14" s="1"/>
  <c r="AA1" i="14" s="1"/>
  <c r="AB1" i="14" s="1"/>
  <c r="AC1" i="14" s="1"/>
  <c r="AD1" i="14" s="1"/>
  <c r="C27" i="18"/>
  <c r="C31" i="18"/>
  <c r="C40" i="18"/>
  <c r="C26" i="18"/>
  <c r="C38" i="18"/>
  <c r="C28" i="18"/>
  <c r="C41" i="18"/>
  <c r="C35" i="18"/>
  <c r="C30" i="18"/>
  <c r="C23" i="18"/>
  <c r="C19" i="18"/>
  <c r="C15" i="18"/>
  <c r="C11" i="18"/>
  <c r="C7" i="18"/>
  <c r="C3" i="18"/>
  <c r="C39" i="18"/>
  <c r="C34" i="18"/>
  <c r="C29" i="18"/>
  <c r="C22" i="18"/>
  <c r="C18" i="18"/>
  <c r="C14" i="18"/>
  <c r="C10" i="18"/>
  <c r="C6" i="18"/>
  <c r="C43" i="18"/>
  <c r="C37" i="18"/>
  <c r="C33" i="18"/>
  <c r="C25" i="18"/>
  <c r="C21" i="18"/>
  <c r="C17" i="18"/>
  <c r="C13" i="18"/>
  <c r="C9" i="18"/>
  <c r="C5" i="18"/>
  <c r="C42" i="18"/>
  <c r="C36" i="18"/>
  <c r="C32" i="18"/>
  <c r="C24" i="18"/>
  <c r="C20" i="18"/>
  <c r="C16" i="18"/>
  <c r="C12" i="18"/>
  <c r="C8" i="18"/>
  <c r="C4" i="18"/>
  <c r="C2" i="18"/>
</calcChain>
</file>

<file path=xl/sharedStrings.xml><?xml version="1.0" encoding="utf-8"?>
<sst xmlns="http://schemas.openxmlformats.org/spreadsheetml/2006/main" count="2756" uniqueCount="1578">
  <si>
    <t>&lt;-增速</t>
    <phoneticPr fontId="1" type="noConversion"/>
  </si>
  <si>
    <t>&lt;-估值</t>
    <phoneticPr fontId="1" type="noConversion"/>
  </si>
  <si>
    <t>&lt;-折合年化收益</t>
    <phoneticPr fontId="1" type="noConversion"/>
  </si>
  <si>
    <t>现价</t>
  </si>
  <si>
    <t>市净率</t>
  </si>
  <si>
    <t>--</t>
  </si>
  <si>
    <t>总市值</t>
  </si>
  <si>
    <t>TTM市盈率</t>
  </si>
  <si>
    <t>所属行业</t>
  </si>
  <si>
    <t>预期多</t>
    <phoneticPr fontId="1" type="noConversion"/>
  </si>
  <si>
    <t>预期空</t>
    <phoneticPr fontId="1" type="noConversion"/>
  </si>
  <si>
    <t>已知和基本信息</t>
    <phoneticPr fontId="1" type="noConversion"/>
  </si>
  <si>
    <t>负债合计</t>
  </si>
  <si>
    <t>所有者权益合计</t>
  </si>
  <si>
    <t>主营业务收入</t>
  </si>
  <si>
    <t>净利润增长率</t>
  </si>
  <si>
    <t>总股本</t>
  </si>
  <si>
    <t>财务费用</t>
  </si>
  <si>
    <t>投资收益</t>
  </si>
  <si>
    <t>应收账款</t>
  </si>
  <si>
    <t>14.09亿</t>
  </si>
  <si>
    <t>0亿</t>
  </si>
  <si>
    <t>27.56亿</t>
  </si>
  <si>
    <t>8.35亿</t>
  </si>
  <si>
    <t>10.13亿</t>
  </si>
  <si>
    <t>流动资产</t>
  </si>
  <si>
    <t>营业收入[20191231]</t>
  </si>
  <si>
    <t>营业收入[20181231]</t>
  </si>
  <si>
    <t>营业收入[20171231]</t>
  </si>
  <si>
    <t>营业收入[20161231]</t>
  </si>
  <si>
    <t>净利润[20191231]</t>
  </si>
  <si>
    <t>净利润[20181231]</t>
  </si>
  <si>
    <t>净利润[20171231]</t>
  </si>
  <si>
    <t>净利润[20161231]</t>
  </si>
  <si>
    <t>投入资本回报率roic%[20191231]</t>
  </si>
  <si>
    <t>净资产收益率%[20191231]</t>
  </si>
  <si>
    <t>销售毛利率%[20191231]</t>
  </si>
  <si>
    <t>销售净利率%[20191231]</t>
  </si>
  <si>
    <t>10.01亿</t>
  </si>
  <si>
    <t>N-1年营收增速</t>
  </si>
  <si>
    <t>N-2年营收增速</t>
  </si>
  <si>
    <t>N-3年营收增速</t>
  </si>
  <si>
    <t>N-4年营收增速</t>
  </si>
  <si>
    <t>N-5年营收增速</t>
  </si>
  <si>
    <t>N-1年利润增速</t>
  </si>
  <si>
    <t>N-2年利润增速</t>
  </si>
  <si>
    <t>N-3年利润增速</t>
  </si>
  <si>
    <t>N-4年利润增速</t>
  </si>
  <si>
    <t>N-5年利润增速</t>
  </si>
  <si>
    <t>20增速</t>
  </si>
  <si>
    <t>当期自由现金流估计值</t>
  </si>
  <si>
    <t>自由现金流估计增速</t>
  </si>
  <si>
    <t>销售毛利率%[20201231]</t>
  </si>
  <si>
    <t>销售净利率%[20201231]</t>
  </si>
  <si>
    <t>10.38亿</t>
  </si>
  <si>
    <t>12.54亿</t>
  </si>
  <si>
    <t>38.53亿</t>
  </si>
  <si>
    <t>59.22亿</t>
  </si>
  <si>
    <t>9.51亿</t>
  </si>
  <si>
    <t>22.85亿</t>
  </si>
  <si>
    <t>10.96亿</t>
  </si>
  <si>
    <t>8.02亿</t>
  </si>
  <si>
    <t>代码</t>
  </si>
  <si>
    <t>SZ000001</t>
  </si>
  <si>
    <t>平安银行</t>
  </si>
  <si>
    <t>银行</t>
  </si>
  <si>
    <t>1535.42亿</t>
  </si>
  <si>
    <t>289.28亿</t>
  </si>
  <si>
    <t>1379.58亿</t>
  </si>
  <si>
    <t>1167.16亿</t>
  </si>
  <si>
    <t>281.95亿</t>
  </si>
  <si>
    <t>248.18亿</t>
  </si>
  <si>
    <t>SZ002142</t>
  </si>
  <si>
    <t>宁波银行</t>
  </si>
  <si>
    <t>411.11亿</t>
  </si>
  <si>
    <t>150.50亿</t>
  </si>
  <si>
    <t>350.82亿</t>
  </si>
  <si>
    <t>289.30亿</t>
  </si>
  <si>
    <t>137.15亿</t>
  </si>
  <si>
    <t>111.86亿</t>
  </si>
  <si>
    <t>SZ002807</t>
  </si>
  <si>
    <t>江阴银行</t>
  </si>
  <si>
    <t>33.51亿</t>
  </si>
  <si>
    <t>10.57亿</t>
  </si>
  <si>
    <t>34.04亿</t>
  </si>
  <si>
    <t>31.86亿</t>
  </si>
  <si>
    <t>8.57亿</t>
  </si>
  <si>
    <t>SZ002839</t>
  </si>
  <si>
    <t>张家港行</t>
  </si>
  <si>
    <t>41.95亿</t>
  </si>
  <si>
    <t>29.99亿</t>
  </si>
  <si>
    <t>9.54亿</t>
  </si>
  <si>
    <t>SZ002936</t>
  </si>
  <si>
    <t>郑州银行</t>
  </si>
  <si>
    <t>146.07亿</t>
  </si>
  <si>
    <t>31.68亿</t>
  </si>
  <si>
    <t>134.87亿</t>
  </si>
  <si>
    <t>111.57亿</t>
  </si>
  <si>
    <t>32.85亿</t>
  </si>
  <si>
    <t>30.59亿</t>
  </si>
  <si>
    <t>SZ002948</t>
  </si>
  <si>
    <t>青岛银行</t>
  </si>
  <si>
    <t>105.41亿</t>
  </si>
  <si>
    <t>23.94亿</t>
  </si>
  <si>
    <t>96.16亿</t>
  </si>
  <si>
    <t>73.72亿</t>
  </si>
  <si>
    <t>20.23亿</t>
  </si>
  <si>
    <t>SZ002958</t>
  </si>
  <si>
    <t>青农商行</t>
  </si>
  <si>
    <t>95.72亿</t>
  </si>
  <si>
    <t>29.60亿</t>
  </si>
  <si>
    <t>87.29亿</t>
  </si>
  <si>
    <t>74.62亿</t>
  </si>
  <si>
    <t>28.25亿</t>
  </si>
  <si>
    <t>24.19亿</t>
  </si>
  <si>
    <t>9.13亿</t>
  </si>
  <si>
    <t>SZ002966</t>
  </si>
  <si>
    <t>苏州银行</t>
  </si>
  <si>
    <t>103.64亿</t>
  </si>
  <si>
    <t>25.72亿</t>
  </si>
  <si>
    <t>94.24亿</t>
  </si>
  <si>
    <t>77.37亿</t>
  </si>
  <si>
    <t>24.73亿</t>
  </si>
  <si>
    <t>22.42亿</t>
  </si>
  <si>
    <t>SH600000</t>
  </si>
  <si>
    <t>浦发银行</t>
  </si>
  <si>
    <t>1963.84亿</t>
  </si>
  <si>
    <t>1906.88亿</t>
  </si>
  <si>
    <t>1708.65亿</t>
  </si>
  <si>
    <t>SH600015</t>
  </si>
  <si>
    <t>华夏银行</t>
  </si>
  <si>
    <t>953.09亿</t>
  </si>
  <si>
    <t>847.34亿</t>
  </si>
  <si>
    <t>722.27亿</t>
  </si>
  <si>
    <t>SH600016</t>
  </si>
  <si>
    <t>民生银行</t>
  </si>
  <si>
    <t>1849.51亿</t>
  </si>
  <si>
    <t>1804.41亿</t>
  </si>
  <si>
    <t>1567.69亿</t>
  </si>
  <si>
    <t>SH600036</t>
  </si>
  <si>
    <t>招商银行</t>
  </si>
  <si>
    <t>2904.82亿</t>
  </si>
  <si>
    <t>2697.03亿</t>
  </si>
  <si>
    <t>2485.55亿</t>
  </si>
  <si>
    <t>SH600908</t>
  </si>
  <si>
    <t>38.96亿</t>
  </si>
  <si>
    <t>13.12亿</t>
  </si>
  <si>
    <t>35.40亿</t>
  </si>
  <si>
    <t>31.92亿</t>
  </si>
  <si>
    <t>12.50亿</t>
  </si>
  <si>
    <t>SH600919</t>
  </si>
  <si>
    <t>江苏银行</t>
  </si>
  <si>
    <t>520.26亿</t>
  </si>
  <si>
    <t>150.66亿</t>
  </si>
  <si>
    <t>449.74亿</t>
  </si>
  <si>
    <t>352.24亿</t>
  </si>
  <si>
    <t>146.19亿</t>
  </si>
  <si>
    <t>130.65亿</t>
  </si>
  <si>
    <t>SH600926</t>
  </si>
  <si>
    <t>杭州银行</t>
  </si>
  <si>
    <t>248.06亿</t>
  </si>
  <si>
    <t>71.36亿</t>
  </si>
  <si>
    <t>214.09亿</t>
  </si>
  <si>
    <t>170.54亿</t>
  </si>
  <si>
    <t>66.02亿</t>
  </si>
  <si>
    <t>54.12亿</t>
  </si>
  <si>
    <t>SH600928</t>
  </si>
  <si>
    <t>西安银行</t>
  </si>
  <si>
    <t>71.38亿</t>
  </si>
  <si>
    <t>68.45亿</t>
  </si>
  <si>
    <t>59.76亿</t>
  </si>
  <si>
    <t>26.75亿</t>
  </si>
  <si>
    <t>23.62亿</t>
  </si>
  <si>
    <t>SH601009</t>
  </si>
  <si>
    <t>南京银行</t>
  </si>
  <si>
    <t>344.65亿</t>
  </si>
  <si>
    <t>131.01亿</t>
  </si>
  <si>
    <t>324.42亿</t>
  </si>
  <si>
    <t>274.06亿</t>
  </si>
  <si>
    <t>124.53亿</t>
  </si>
  <si>
    <t>110.73亿</t>
  </si>
  <si>
    <t>SH601077</t>
  </si>
  <si>
    <t>渝农商行</t>
  </si>
  <si>
    <t>281.86亿</t>
  </si>
  <si>
    <t>84.01亿</t>
  </si>
  <si>
    <t>266.30亿</t>
  </si>
  <si>
    <t>261.16亿</t>
  </si>
  <si>
    <t>97.60亿</t>
  </si>
  <si>
    <t>90.58亿</t>
  </si>
  <si>
    <t>SH601128</t>
  </si>
  <si>
    <t>常熟银行</t>
  </si>
  <si>
    <t>65.82亿</t>
  </si>
  <si>
    <t>18.03亿</t>
  </si>
  <si>
    <t>64.45亿</t>
  </si>
  <si>
    <t>58.24亿</t>
  </si>
  <si>
    <t>17.85亿</t>
  </si>
  <si>
    <t>14.86亿</t>
  </si>
  <si>
    <t>10.41亿</t>
  </si>
  <si>
    <t>SH601166</t>
  </si>
  <si>
    <t>兴业银行</t>
  </si>
  <si>
    <t>2031.37亿</t>
  </si>
  <si>
    <t>666.26亿</t>
  </si>
  <si>
    <t>1813.08亿</t>
  </si>
  <si>
    <t>1582.87亿</t>
  </si>
  <si>
    <t>658.68亿</t>
  </si>
  <si>
    <t>606.20亿</t>
  </si>
  <si>
    <t>SH601169</t>
  </si>
  <si>
    <t>北京银行</t>
  </si>
  <si>
    <t>642.99亿</t>
  </si>
  <si>
    <t>214.84亿</t>
  </si>
  <si>
    <t>631.29亿</t>
  </si>
  <si>
    <t>554.88亿</t>
  </si>
  <si>
    <t>214.41亿</t>
  </si>
  <si>
    <t>200.02亿</t>
  </si>
  <si>
    <t>SH601187</t>
  </si>
  <si>
    <t>厦门银行</t>
  </si>
  <si>
    <t>55.56亿</t>
  </si>
  <si>
    <t>18.23亿</t>
  </si>
  <si>
    <t>45.09亿</t>
  </si>
  <si>
    <t>41.86亿</t>
  </si>
  <si>
    <t>17.11亿</t>
  </si>
  <si>
    <t>SH601229</t>
  </si>
  <si>
    <t>上海银行</t>
  </si>
  <si>
    <t>507.46亿</t>
  </si>
  <si>
    <t>208.85亿</t>
  </si>
  <si>
    <t>498.00亿</t>
  </si>
  <si>
    <t>438.88亿</t>
  </si>
  <si>
    <t>202.98亿</t>
  </si>
  <si>
    <t>180.34亿</t>
  </si>
  <si>
    <t>SH601288</t>
  </si>
  <si>
    <t>农业银行</t>
  </si>
  <si>
    <t>6579.61亿</t>
  </si>
  <si>
    <t>2159.25亿</t>
  </si>
  <si>
    <t>6272.68亿</t>
  </si>
  <si>
    <t>5985.88亿</t>
  </si>
  <si>
    <t>2120.98亿</t>
  </si>
  <si>
    <t>2027.83亿</t>
  </si>
  <si>
    <t>SH601328</t>
  </si>
  <si>
    <t>交通银行</t>
  </si>
  <si>
    <t>2462.00亿</t>
  </si>
  <si>
    <t>782.74亿</t>
  </si>
  <si>
    <t>2324.72亿</t>
  </si>
  <si>
    <t>2126.54亿</t>
  </si>
  <si>
    <t>772.81亿</t>
  </si>
  <si>
    <t>736.30亿</t>
  </si>
  <si>
    <t>SH601398</t>
  </si>
  <si>
    <t>工商银行</t>
  </si>
  <si>
    <t>8826.65亿</t>
  </si>
  <si>
    <t>3159.06亿</t>
  </si>
  <si>
    <t>8554.28亿</t>
  </si>
  <si>
    <t>7737.89亿</t>
  </si>
  <si>
    <t>3122.24亿</t>
  </si>
  <si>
    <t>2976.76亿</t>
  </si>
  <si>
    <t>SH601528</t>
  </si>
  <si>
    <t>瑞丰银行</t>
  </si>
  <si>
    <t>30.09亿</t>
  </si>
  <si>
    <t>11.05亿</t>
  </si>
  <si>
    <t>28.60亿</t>
  </si>
  <si>
    <t>26.41亿</t>
  </si>
  <si>
    <t>9.64亿</t>
  </si>
  <si>
    <t>7.90亿</t>
  </si>
  <si>
    <t>SH601577</t>
  </si>
  <si>
    <t>长沙银行</t>
  </si>
  <si>
    <t>180.22亿</t>
  </si>
  <si>
    <t>53.38亿</t>
  </si>
  <si>
    <t>170.17亿</t>
  </si>
  <si>
    <t>139.41亿</t>
  </si>
  <si>
    <t>50.80亿</t>
  </si>
  <si>
    <t>44.79亿</t>
  </si>
  <si>
    <t>SH601658</t>
  </si>
  <si>
    <t>邮储银行</t>
  </si>
  <si>
    <t>2862.02亿</t>
  </si>
  <si>
    <t>641.99亿</t>
  </si>
  <si>
    <t>2768.09亿</t>
  </si>
  <si>
    <t>2609.95亿</t>
  </si>
  <si>
    <t>609.33亿</t>
  </si>
  <si>
    <t>523.11亿</t>
  </si>
  <si>
    <t>SH601665</t>
  </si>
  <si>
    <t>79.36亿</t>
  </si>
  <si>
    <t>25.19亿</t>
  </si>
  <si>
    <t>74.07亿</t>
  </si>
  <si>
    <t>64.02亿</t>
  </si>
  <si>
    <t>23.38亿</t>
  </si>
  <si>
    <t>21.52亿</t>
  </si>
  <si>
    <t>SH601818</t>
  </si>
  <si>
    <t>光大银行</t>
  </si>
  <si>
    <t>1328.12亿</t>
  </si>
  <si>
    <t>1102.44亿</t>
  </si>
  <si>
    <t>373.54亿</t>
  </si>
  <si>
    <t>336.59亿</t>
  </si>
  <si>
    <t>SH601825</t>
  </si>
  <si>
    <t>沪农商行</t>
  </si>
  <si>
    <t>220.40亿</t>
  </si>
  <si>
    <t>81.61亿</t>
  </si>
  <si>
    <t>212.71亿</t>
  </si>
  <si>
    <t>201.45亿</t>
  </si>
  <si>
    <t>88.46亿</t>
  </si>
  <si>
    <t>73.08亿</t>
  </si>
  <si>
    <t>SH601838</t>
  </si>
  <si>
    <t>146.00亿</t>
  </si>
  <si>
    <t>60.25亿</t>
  </si>
  <si>
    <t>127.25亿</t>
  </si>
  <si>
    <t>115.90亿</t>
  </si>
  <si>
    <t>55.51亿</t>
  </si>
  <si>
    <t>46.49亿</t>
  </si>
  <si>
    <t>SH601860</t>
  </si>
  <si>
    <t>紫金银行</t>
  </si>
  <si>
    <t>44.77亿</t>
  </si>
  <si>
    <t>14.41亿</t>
  </si>
  <si>
    <t>46.75亿</t>
  </si>
  <si>
    <t>42.30亿</t>
  </si>
  <si>
    <t>14.17亿</t>
  </si>
  <si>
    <t>SH601916</t>
  </si>
  <si>
    <t>浙商银行</t>
  </si>
  <si>
    <t>477.03亿</t>
  </si>
  <si>
    <t>123.09亿</t>
  </si>
  <si>
    <t>463.64亿</t>
  </si>
  <si>
    <t>389.43亿</t>
  </si>
  <si>
    <t>129.24亿</t>
  </si>
  <si>
    <t>114.90亿</t>
  </si>
  <si>
    <t>SH601939</t>
  </si>
  <si>
    <t>建设银行</t>
  </si>
  <si>
    <t>7558.58亿</t>
  </si>
  <si>
    <t>2710.50亿</t>
  </si>
  <si>
    <t>7056.29亿</t>
  </si>
  <si>
    <t>6588.91亿</t>
  </si>
  <si>
    <t>2667.33亿</t>
  </si>
  <si>
    <t>2546.55亿</t>
  </si>
  <si>
    <t>SH601963</t>
  </si>
  <si>
    <t>重庆银行</t>
  </si>
  <si>
    <t>130.48亿</t>
  </si>
  <si>
    <t>44.24亿</t>
  </si>
  <si>
    <t>119.48亿</t>
  </si>
  <si>
    <t>108.40亿</t>
  </si>
  <si>
    <t>42.07亿</t>
  </si>
  <si>
    <t>37.70亿</t>
  </si>
  <si>
    <t>SH601988</t>
  </si>
  <si>
    <t>中国银行</t>
  </si>
  <si>
    <t>5655.31亿</t>
  </si>
  <si>
    <t>1928.70亿</t>
  </si>
  <si>
    <t>5491.82亿</t>
  </si>
  <si>
    <t>5041.07亿</t>
  </si>
  <si>
    <t>1874.05亿</t>
  </si>
  <si>
    <t>1800.86亿</t>
  </si>
  <si>
    <t>SH601997</t>
  </si>
  <si>
    <t>贵阳银行</t>
  </si>
  <si>
    <t>160.81亿</t>
  </si>
  <si>
    <t>146.68亿</t>
  </si>
  <si>
    <t>126.45亿</t>
  </si>
  <si>
    <t>58.00亿</t>
  </si>
  <si>
    <t>51.37亿</t>
  </si>
  <si>
    <t>SH601998</t>
  </si>
  <si>
    <t>中信银行</t>
  </si>
  <si>
    <t>1947.31亿</t>
  </si>
  <si>
    <t>489.80亿</t>
  </si>
  <si>
    <t>1875.84亿</t>
  </si>
  <si>
    <t>1648.54亿</t>
  </si>
  <si>
    <t>480.15亿</t>
  </si>
  <si>
    <t>445.13亿</t>
  </si>
  <si>
    <t>SH603323</t>
  </si>
  <si>
    <t>苏农银行</t>
  </si>
  <si>
    <t>37.53亿</t>
  </si>
  <si>
    <t>35.21亿</t>
  </si>
  <si>
    <t>31.50亿</t>
  </si>
  <si>
    <t>流通股本</t>
  </si>
  <si>
    <t>净利润[20201231]</t>
  </si>
  <si>
    <t>投入资本回报率roic%[20201231]</t>
  </si>
  <si>
    <t>净资产收益率%[20201231]</t>
  </si>
  <si>
    <t>1693.83亿</t>
  </si>
  <si>
    <t>363.36亿</t>
  </si>
  <si>
    <t>SZ001227</t>
  </si>
  <si>
    <t>兰州银行</t>
  </si>
  <si>
    <t>78.36亿</t>
  </si>
  <si>
    <t>15.66亿</t>
  </si>
  <si>
    <t>73.04亿</t>
  </si>
  <si>
    <t>76.18亿</t>
  </si>
  <si>
    <t>68.00亿</t>
  </si>
  <si>
    <t>14.93亿</t>
  </si>
  <si>
    <t>14.64亿</t>
  </si>
  <si>
    <t>22.48亿</t>
  </si>
  <si>
    <t>527.74亿</t>
  </si>
  <si>
    <t>195.46亿</t>
  </si>
  <si>
    <t>33.67亿</t>
  </si>
  <si>
    <t>12.74亿</t>
  </si>
  <si>
    <t>46.16亿</t>
  </si>
  <si>
    <t>13.04亿</t>
  </si>
  <si>
    <t>148.01亿</t>
  </si>
  <si>
    <t>32.26亿</t>
  </si>
  <si>
    <t>111.36亿</t>
  </si>
  <si>
    <t>29.23亿</t>
  </si>
  <si>
    <t>102.97亿</t>
  </si>
  <si>
    <t>30.66亿</t>
  </si>
  <si>
    <t>108.29亿</t>
  </si>
  <si>
    <t>31.07亿</t>
  </si>
  <si>
    <t>43.49亿</t>
  </si>
  <si>
    <t>15.80亿</t>
  </si>
  <si>
    <t>637.71亿</t>
  </si>
  <si>
    <t>196.94亿</t>
  </si>
  <si>
    <t>293.61亿</t>
  </si>
  <si>
    <t>92.61亿</t>
  </si>
  <si>
    <t>72.03亿</t>
  </si>
  <si>
    <t>28.04亿</t>
  </si>
  <si>
    <t>409.25亿</t>
  </si>
  <si>
    <t>158.57亿</t>
  </si>
  <si>
    <t>308.42亿</t>
  </si>
  <si>
    <t>95.60亿</t>
  </si>
  <si>
    <t>76.55亿</t>
  </si>
  <si>
    <t>21.88亿</t>
  </si>
  <si>
    <t>2212.36亿</t>
  </si>
  <si>
    <t>826.80亿</t>
  </si>
  <si>
    <t>662.75亿</t>
  </si>
  <si>
    <t>222.26亿</t>
  </si>
  <si>
    <t>53.16亿</t>
  </si>
  <si>
    <t>21.69亿</t>
  </si>
  <si>
    <t>562.30亿</t>
  </si>
  <si>
    <t>220.42亿</t>
  </si>
  <si>
    <t>7199.15亿</t>
  </si>
  <si>
    <t>2411.83亿</t>
  </si>
  <si>
    <t>2693.90亿</t>
  </si>
  <si>
    <t>875.81亿</t>
  </si>
  <si>
    <t>9427.62亿</t>
  </si>
  <si>
    <t>3483.38亿</t>
  </si>
  <si>
    <t>33.10亿</t>
  </si>
  <si>
    <t>12.71亿</t>
  </si>
  <si>
    <t>208.68亿</t>
  </si>
  <si>
    <t>63.04亿</t>
  </si>
  <si>
    <t>3187.62亿</t>
  </si>
  <si>
    <t>761.70亿</t>
  </si>
  <si>
    <t>101.67亿</t>
  </si>
  <si>
    <t>30.36亿</t>
  </si>
  <si>
    <t>1527.51亿</t>
  </si>
  <si>
    <t>434.07亿</t>
  </si>
  <si>
    <t>1425.72亿</t>
  </si>
  <si>
    <t>378.35亿</t>
  </si>
  <si>
    <t>241.64亿</t>
  </si>
  <si>
    <t>96.98亿</t>
  </si>
  <si>
    <t>178.90亿</t>
  </si>
  <si>
    <t>78.31亿</t>
  </si>
  <si>
    <t>45.02亿</t>
  </si>
  <si>
    <t>15.15亿</t>
  </si>
  <si>
    <t>544.71亿</t>
  </si>
  <si>
    <t>126.48亿</t>
  </si>
  <si>
    <t>8242.46亿</t>
  </si>
  <si>
    <t>3025.13亿</t>
  </si>
  <si>
    <t>145.15亿</t>
  </si>
  <si>
    <t>46.64亿</t>
  </si>
  <si>
    <t>6055.59亿</t>
  </si>
  <si>
    <t>2165.59亿</t>
  </si>
  <si>
    <t>150.04亿</t>
  </si>
  <si>
    <t>60.45亿</t>
  </si>
  <si>
    <t>2045.57亿</t>
  </si>
  <si>
    <t>556.41亿</t>
  </si>
  <si>
    <t>38.34亿</t>
  </si>
  <si>
    <t>11.60亿</t>
  </si>
  <si>
    <t xml:space="preserve">    名称</t>
  </si>
  <si>
    <t>LY营业总收入[20211231]</t>
  </si>
  <si>
    <t>净利润?</t>
  </si>
  <si>
    <t>权益乘数[20220630]</t>
  </si>
  <si>
    <t>总资产周转率[20220630]</t>
  </si>
  <si>
    <t>净利润／营业总收入%[20220630]</t>
  </si>
  <si>
    <t>营业总成本[20220630]</t>
  </si>
  <si>
    <t>营业成本[20220630]</t>
  </si>
  <si>
    <t>管理费用[20220630]</t>
  </si>
  <si>
    <t>研发费用总额[20220630]</t>
  </si>
  <si>
    <t>扣非净利润</t>
  </si>
  <si>
    <t>营业总收入[20201231]</t>
  </si>
  <si>
    <t>投入资本回报率roic%[20211231]</t>
  </si>
  <si>
    <t>净资产收益率%[20211231]</t>
  </si>
  <si>
    <t>细分行业</t>
  </si>
  <si>
    <t>单季营收增速</t>
  </si>
  <si>
    <t>单季利润增速</t>
  </si>
  <si>
    <t>市销率</t>
    <phoneticPr fontId="1" type="noConversion"/>
  </si>
  <si>
    <t>过往营收增速均值</t>
    <phoneticPr fontId="1" type="noConversion"/>
  </si>
  <si>
    <t>过往利润增速均值</t>
    <phoneticPr fontId="1" type="noConversion"/>
  </si>
  <si>
    <t>3年自由现金流折现</t>
    <phoneticPr fontId="1" type="noConversion"/>
  </si>
  <si>
    <t>3增速</t>
    <phoneticPr fontId="1" type="noConversion"/>
  </si>
  <si>
    <t>6年自由现金流折现</t>
    <phoneticPr fontId="1" type="noConversion"/>
  </si>
  <si>
    <t>6增速</t>
    <phoneticPr fontId="1" type="noConversion"/>
  </si>
  <si>
    <t>10增速</t>
    <phoneticPr fontId="1" type="noConversion"/>
  </si>
  <si>
    <t>承担负债现期溢价</t>
    <phoneticPr fontId="1" type="noConversion"/>
  </si>
  <si>
    <t>原始顺序</t>
    <phoneticPr fontId="1" type="noConversion"/>
  </si>
  <si>
    <t>利润成长策略</t>
    <phoneticPr fontId="1" type="noConversion"/>
  </si>
  <si>
    <t>营收和利润加权</t>
    <phoneticPr fontId="1" type="noConversion"/>
  </si>
  <si>
    <t>5日成交换手率</t>
    <phoneticPr fontId="1" type="noConversion"/>
  </si>
  <si>
    <t>昨日价格累计指数</t>
    <phoneticPr fontId="1" type="noConversion"/>
  </si>
  <si>
    <t>今日价格累积指数</t>
    <phoneticPr fontId="1" type="noConversion"/>
  </si>
  <si>
    <t>价格箱体形态过滤</t>
    <phoneticPr fontId="1" type="noConversion"/>
  </si>
  <si>
    <t>价格右侧初期策略</t>
    <phoneticPr fontId="1" type="noConversion"/>
  </si>
  <si>
    <t>N日期</t>
    <phoneticPr fontId="1" type="noConversion"/>
  </si>
  <si>
    <t>N-3</t>
    <phoneticPr fontId="1" type="noConversion"/>
  </si>
  <si>
    <t>N-1</t>
    <phoneticPr fontId="1" type="noConversion"/>
  </si>
  <si>
    <t>N</t>
    <phoneticPr fontId="1" type="noConversion"/>
  </si>
  <si>
    <t>股份制银行</t>
  </si>
  <si>
    <t>城商行</t>
  </si>
  <si>
    <t>16.16亿</t>
  </si>
  <si>
    <t>农商行</t>
  </si>
  <si>
    <t>17.40亿</t>
  </si>
  <si>
    <t/>
  </si>
  <si>
    <t>国有大型银行</t>
  </si>
  <si>
    <t>涨幅</t>
  </si>
  <si>
    <t>成交量[20221212]</t>
  </si>
  <si>
    <t>营业收入(同比增长率) %[20220930]</t>
  </si>
  <si>
    <t>LY净利润[20211231]</t>
  </si>
  <si>
    <t>销售费用[20220930]</t>
  </si>
  <si>
    <t>其他收入[20220930]</t>
  </si>
  <si>
    <t>货币资金[20220930]</t>
  </si>
  <si>
    <t>应收票据[20220930]</t>
  </si>
  <si>
    <t>固定资产[20220930]</t>
  </si>
  <si>
    <t>在建工程[20220930]</t>
  </si>
  <si>
    <t>短期借款[20220930]</t>
  </si>
  <si>
    <t>应付票据[20220930]</t>
  </si>
  <si>
    <t>应付账款[20220930]</t>
  </si>
  <si>
    <t>预收款项[20220930]</t>
  </si>
  <si>
    <t>流动负债[20220930]</t>
  </si>
  <si>
    <t>长期借款[20220930]</t>
  </si>
  <si>
    <t>经营活动产生的现金流量净额[20220930]</t>
  </si>
  <si>
    <t>投资活动产生的现金流量净额[20220930]</t>
  </si>
  <si>
    <t>筹资活动产生的现金流量净额[20220930]</t>
  </si>
  <si>
    <t>CYLQ营业收入[20220630]</t>
  </si>
  <si>
    <t>LYCQ营业收入[20210930]</t>
  </si>
  <si>
    <t>LYLQ营业收入[20210630]</t>
  </si>
  <si>
    <t>CYLQ净利润[20220630]</t>
  </si>
  <si>
    <t>LYCQ净利润[20210930]</t>
  </si>
  <si>
    <t>LYLQ净利润[20210630]</t>
  </si>
  <si>
    <t>分红明细[20211231]</t>
  </si>
  <si>
    <t>销售毛利率%[20220630]</t>
  </si>
  <si>
    <t>销售净利率%[20220630]</t>
  </si>
  <si>
    <t>区间涨跌幅:前复权%[20221206-20221212]</t>
  </si>
  <si>
    <t>指数@区间涨跌幅:不复权%[20221101-20221212]</t>
  </si>
  <si>
    <t>指数@区间成交量[20221206-20221212]</t>
  </si>
  <si>
    <t>指数@区间成交量[20221101-20221212]</t>
  </si>
  <si>
    <t>股利率</t>
    <phoneticPr fontId="1" type="noConversion"/>
  </si>
  <si>
    <t>折现率</t>
    <phoneticPr fontId="1" type="noConversion"/>
  </si>
  <si>
    <t>清算价格</t>
    <phoneticPr fontId="1" type="noConversion"/>
  </si>
  <si>
    <t>策略1利润单季最佳增速</t>
    <phoneticPr fontId="1" type="noConversion"/>
  </si>
  <si>
    <t>量价齐升策略</t>
    <phoneticPr fontId="1" type="noConversion"/>
  </si>
  <si>
    <t>综合策略</t>
    <phoneticPr fontId="1" type="noConversion"/>
  </si>
  <si>
    <t>N-4</t>
    <phoneticPr fontId="1" type="noConversion"/>
  </si>
  <si>
    <t>扣非对比净利润</t>
    <phoneticPr fontId="1" type="noConversion"/>
  </si>
  <si>
    <t>1年自由现金流折现</t>
    <phoneticPr fontId="1" type="noConversion"/>
  </si>
  <si>
    <t>1增速</t>
    <phoneticPr fontId="1" type="noConversion"/>
  </si>
  <si>
    <t>10年自由现金流折现</t>
    <phoneticPr fontId="1" type="noConversion"/>
  </si>
  <si>
    <t>20年自由现金流折现</t>
    <phoneticPr fontId="1" type="noConversion"/>
  </si>
  <si>
    <t>策略1营收单季最佳增速</t>
    <phoneticPr fontId="1" type="noConversion"/>
  </si>
  <si>
    <t>营收成长策略</t>
    <phoneticPr fontId="1" type="noConversion"/>
  </si>
  <si>
    <t>价格变动策略</t>
    <phoneticPr fontId="1" type="noConversion"/>
  </si>
  <si>
    <t>成交量综合策略</t>
    <phoneticPr fontId="1" type="noConversion"/>
  </si>
  <si>
    <t>基本面排序</t>
    <phoneticPr fontId="1" type="noConversion"/>
  </si>
  <si>
    <t>机会区域号</t>
    <phoneticPr fontId="1" type="noConversion"/>
  </si>
  <si>
    <t>30日成交换手率</t>
    <phoneticPr fontId="1" type="noConversion"/>
  </si>
  <si>
    <t>成交量异动策略</t>
    <phoneticPr fontId="1" type="noConversion"/>
  </si>
  <si>
    <t>N-2</t>
    <phoneticPr fontId="1" type="noConversion"/>
  </si>
  <si>
    <t>38.04亿</t>
  </si>
  <si>
    <t>10派1元(含税)</t>
  </si>
  <si>
    <t>14.47亿</t>
  </si>
  <si>
    <t>10派1.8元(含税)</t>
  </si>
  <si>
    <t>不分配不转增</t>
  </si>
  <si>
    <t>20.18亿</t>
  </si>
  <si>
    <t>24.62亿</t>
  </si>
  <si>
    <t>11.95亿</t>
  </si>
  <si>
    <t>10派4元(含税)</t>
  </si>
  <si>
    <t>12.09亿</t>
  </si>
  <si>
    <t>10派1.9元(含税)</t>
  </si>
  <si>
    <t>4.11亿</t>
  </si>
  <si>
    <t>10派2元(含税)</t>
  </si>
  <si>
    <t>1.40亿</t>
  </si>
  <si>
    <t>15.13亿</t>
  </si>
  <si>
    <t>1.45亿</t>
  </si>
  <si>
    <t>30.82亿</t>
  </si>
  <si>
    <t>10派3.9元(含税)</t>
  </si>
  <si>
    <t>10派1.6元(含税)</t>
  </si>
  <si>
    <t>1.27亿</t>
  </si>
  <si>
    <t>7.61亿</t>
  </si>
  <si>
    <t>3.03亿</t>
  </si>
  <si>
    <t>1.42亿</t>
  </si>
  <si>
    <t>2.69亿</t>
  </si>
  <si>
    <t>2.47亿</t>
  </si>
  <si>
    <t>2.08亿</t>
  </si>
  <si>
    <t>1.71亿</t>
  </si>
  <si>
    <t>51147.88亿</t>
  </si>
  <si>
    <t>4855.76亿</t>
  </si>
  <si>
    <t>387.70亿</t>
  </si>
  <si>
    <t>1646.99亿</t>
  </si>
  <si>
    <t>464.55亿</t>
  </si>
  <si>
    <t>4702000000亿</t>
  </si>
  <si>
    <t>1200.00万</t>
  </si>
  <si>
    <t>14906000000亿</t>
  </si>
  <si>
    <t>94.38亿</t>
  </si>
  <si>
    <t>-213.82亿</t>
  </si>
  <si>
    <t>83.11亿</t>
  </si>
  <si>
    <t>228.01亿</t>
  </si>
  <si>
    <t>1798.95亿</t>
  </si>
  <si>
    <t>455.16亿</t>
  </si>
  <si>
    <t>450.98亿</t>
  </si>
  <si>
    <t>146.02亿</t>
  </si>
  <si>
    <t>10派7.19元(含税)</t>
  </si>
  <si>
    <t>5.89亿</t>
  </si>
  <si>
    <t>32.06亿</t>
  </si>
  <si>
    <t>2892.98万</t>
  </si>
  <si>
    <t>4201.29亿</t>
  </si>
  <si>
    <t>342.02亿</t>
  </si>
  <si>
    <t>19.73亿</t>
  </si>
  <si>
    <t>80.16亿</t>
  </si>
  <si>
    <t>18.64亿</t>
  </si>
  <si>
    <t>254791770亿</t>
  </si>
  <si>
    <t>134.80万</t>
  </si>
  <si>
    <t>540721000亿</t>
  </si>
  <si>
    <t>10.40亿</t>
  </si>
  <si>
    <t>34.16万</t>
  </si>
  <si>
    <t>-13.94亿</t>
  </si>
  <si>
    <t>15.35亿</t>
  </si>
  <si>
    <t>-1293.75万</t>
  </si>
  <si>
    <t>74.50亿</t>
  </si>
  <si>
    <t>17.33亿</t>
  </si>
  <si>
    <t>20.00亿</t>
  </si>
  <si>
    <t>5.41亿</t>
  </si>
  <si>
    <t>1.95亿</t>
  </si>
  <si>
    <t>9.94亿</t>
  </si>
  <si>
    <t>-1-1</t>
  </si>
  <si>
    <t>3306.19万</t>
  </si>
  <si>
    <t>25094.52亿</t>
  </si>
  <si>
    <t>2112.10亿</t>
  </si>
  <si>
    <t>175.09亿</t>
  </si>
  <si>
    <t>615.85亿</t>
  </si>
  <si>
    <t>255.35亿</t>
  </si>
  <si>
    <t>3952000000亿</t>
  </si>
  <si>
    <t>800.00万</t>
  </si>
  <si>
    <t>7053000000亿</t>
  </si>
  <si>
    <t>75.35亿</t>
  </si>
  <si>
    <t>16.44亿</t>
  </si>
  <si>
    <t>954.45亿</t>
  </si>
  <si>
    <t>-330.18亿</t>
  </si>
  <si>
    <t>-303.30亿</t>
  </si>
  <si>
    <t>578.79亿</t>
  </si>
  <si>
    <t>230.75亿</t>
  </si>
  <si>
    <t>165.53亿</t>
  </si>
  <si>
    <t>65.98亿</t>
  </si>
  <si>
    <t>10派6元(含税)</t>
  </si>
  <si>
    <t>7.87亿</t>
  </si>
  <si>
    <t>1-1</t>
  </si>
  <si>
    <t>3502.22万</t>
  </si>
  <si>
    <t>1699.54亿</t>
  </si>
  <si>
    <t>175.93亿</t>
  </si>
  <si>
    <t>10.63亿</t>
  </si>
  <si>
    <t>38.65亿</t>
  </si>
  <si>
    <t>18.88亿</t>
  </si>
  <si>
    <t>170297000亿</t>
  </si>
  <si>
    <t>91.40万</t>
  </si>
  <si>
    <t>336516000亿</t>
  </si>
  <si>
    <t>8.71亿</t>
  </si>
  <si>
    <t>4007.70万</t>
  </si>
  <si>
    <t>-46.30亿</t>
  </si>
  <si>
    <t>37.20亿</t>
  </si>
  <si>
    <t>13.68亿</t>
  </si>
  <si>
    <t>37.80亿</t>
  </si>
  <si>
    <t>10.36亿</t>
  </si>
  <si>
    <t>3.10亿</t>
  </si>
  <si>
    <t>9.34亿</t>
  </si>
  <si>
    <t>2242.75万</t>
  </si>
  <si>
    <t>1899.16亿</t>
  </si>
  <si>
    <t>177.54亿</t>
  </si>
  <si>
    <t>12.82亿</t>
  </si>
  <si>
    <t>45.41亿</t>
  </si>
  <si>
    <t>17.87亿</t>
  </si>
  <si>
    <t>308892040亿</t>
  </si>
  <si>
    <t>194.02万</t>
  </si>
  <si>
    <t>535951140亿</t>
  </si>
  <si>
    <t>9.66亿</t>
  </si>
  <si>
    <t>971.00万</t>
  </si>
  <si>
    <t>19.93亿</t>
  </si>
  <si>
    <t>-48.20亿</t>
  </si>
  <si>
    <t>48.27亿</t>
  </si>
  <si>
    <t>16.82亿</t>
  </si>
  <si>
    <t>11.92亿</t>
  </si>
  <si>
    <t>5.09亿</t>
  </si>
  <si>
    <t>1.01亿</t>
  </si>
  <si>
    <t>6.83亿</t>
  </si>
  <si>
    <t>1-0</t>
  </si>
  <si>
    <t>3631.98万</t>
  </si>
  <si>
    <t>5763.95亿</t>
  </si>
  <si>
    <t>555.99亿</t>
  </si>
  <si>
    <t>34.00亿</t>
  </si>
  <si>
    <t>136.67亿</t>
  </si>
  <si>
    <t>18.50亿</t>
  </si>
  <si>
    <t>285709000亿</t>
  </si>
  <si>
    <t>600.50万</t>
  </si>
  <si>
    <t>943546000亿</t>
  </si>
  <si>
    <t>21.73亿</t>
  </si>
  <si>
    <t>12.96亿</t>
  </si>
  <si>
    <t>-1.02亿</t>
  </si>
  <si>
    <t>-35.34亿</t>
  </si>
  <si>
    <t>2.95亿</t>
  </si>
  <si>
    <t>151.01亿</t>
  </si>
  <si>
    <t>24.22亿</t>
  </si>
  <si>
    <t>33.18亿</t>
  </si>
  <si>
    <t>11.88亿</t>
  </si>
  <si>
    <t>2.63亿</t>
  </si>
  <si>
    <t>3441.79万</t>
  </si>
  <si>
    <t>5680.46亿</t>
  </si>
  <si>
    <t>416.43亿</t>
  </si>
  <si>
    <t>36.89亿</t>
  </si>
  <si>
    <t>124.72亿</t>
  </si>
  <si>
    <t>35.49亿</t>
  </si>
  <si>
    <t>356277000亿</t>
  </si>
  <si>
    <t>35.90万</t>
  </si>
  <si>
    <t>1063789000亿</t>
  </si>
  <si>
    <t>33.77亿</t>
  </si>
  <si>
    <t>1.06亿</t>
  </si>
  <si>
    <t>-41.90亿</t>
  </si>
  <si>
    <t>54.11亿</t>
  </si>
  <si>
    <t>17.64亿</t>
  </si>
  <si>
    <t>116.44亿</t>
  </si>
  <si>
    <t>30.83亿</t>
  </si>
  <si>
    <t>30.93亿</t>
  </si>
  <si>
    <t>9.10亿</t>
  </si>
  <si>
    <t>1.59亿</t>
  </si>
  <si>
    <t>10.05亿</t>
  </si>
  <si>
    <t>2-0</t>
  </si>
  <si>
    <t>4334.50万</t>
  </si>
  <si>
    <t>4288.88亿</t>
  </si>
  <si>
    <t>401.13亿</t>
  </si>
  <si>
    <t>30.27亿</t>
  </si>
  <si>
    <t>103.25亿</t>
  </si>
  <si>
    <t>25.68亿</t>
  </si>
  <si>
    <t>533441000亿</t>
  </si>
  <si>
    <t>43.30万</t>
  </si>
  <si>
    <t>1065839000亿</t>
  </si>
  <si>
    <t>31.48亿</t>
  </si>
  <si>
    <t>2.54亿</t>
  </si>
  <si>
    <t>47.37亿</t>
  </si>
  <si>
    <t>23.49亿</t>
  </si>
  <si>
    <t>-63.99亿</t>
  </si>
  <si>
    <t>99.44亿</t>
  </si>
  <si>
    <t>23.17亿</t>
  </si>
  <si>
    <t>26.72亿</t>
  </si>
  <si>
    <t>2.42亿</t>
  </si>
  <si>
    <t>12.36亿</t>
  </si>
  <si>
    <t>2-1</t>
  </si>
  <si>
    <t>3194.97万</t>
  </si>
  <si>
    <t>5541.75亿</t>
  </si>
  <si>
    <t>492.12亿</t>
  </si>
  <si>
    <t>32.25亿</t>
  </si>
  <si>
    <t>118.66亿</t>
  </si>
  <si>
    <t>46.01亿</t>
  </si>
  <si>
    <t>475917340亿</t>
  </si>
  <si>
    <t>67.24万</t>
  </si>
  <si>
    <t>1450746000亿</t>
  </si>
  <si>
    <t>24.60亿</t>
  </si>
  <si>
    <t>5.17亿</t>
  </si>
  <si>
    <t>184.88亿</t>
  </si>
  <si>
    <t>-66.73亿</t>
  </si>
  <si>
    <t>-57.65亿</t>
  </si>
  <si>
    <t>117.63亿</t>
  </si>
  <si>
    <t>39.18亿</t>
  </si>
  <si>
    <t>31.58亿</t>
  </si>
  <si>
    <t>1.61亿</t>
  </si>
  <si>
    <t>12.44亿</t>
  </si>
  <si>
    <t>5199.70万</t>
  </si>
  <si>
    <t>82743.63亿</t>
  </si>
  <si>
    <t>7513.42亿</t>
  </si>
  <si>
    <t>453.28亿</t>
  </si>
  <si>
    <t>64.31亿</t>
  </si>
  <si>
    <t>4.42亿</t>
  </si>
  <si>
    <t>12782000000亿</t>
  </si>
  <si>
    <t>600.00万</t>
  </si>
  <si>
    <t>17214000000亿</t>
  </si>
  <si>
    <t>490.21亿</t>
  </si>
  <si>
    <t>-4526.30亿</t>
  </si>
  <si>
    <t>1257.89亿</t>
  </si>
  <si>
    <t>2625.80亿</t>
  </si>
  <si>
    <t>1886.22亿</t>
  </si>
  <si>
    <t>511.71亿</t>
  </si>
  <si>
    <t>1734.34亿</t>
  </si>
  <si>
    <t>13.59亿</t>
  </si>
  <si>
    <t>367.02亿</t>
  </si>
  <si>
    <t>4472.62万</t>
  </si>
  <si>
    <t>10派3.21元(含税)</t>
  </si>
  <si>
    <t>2.29亿</t>
  </si>
  <si>
    <t>0442000000</t>
  </si>
  <si>
    <t>01326000000</t>
  </si>
  <si>
    <t>02652000000</t>
  </si>
  <si>
    <t>04420000000</t>
  </si>
  <si>
    <t>08840000000</t>
  </si>
  <si>
    <t>n/a</t>
  </si>
  <si>
    <t>41-1</t>
  </si>
  <si>
    <t>3919.24万</t>
  </si>
  <si>
    <t>39330.04亿</t>
  </si>
  <si>
    <t>3293.56亿</t>
  </si>
  <si>
    <t>221.14亿</t>
  </si>
  <si>
    <t>1408.17亿</t>
  </si>
  <si>
    <t>358.23亿</t>
  </si>
  <si>
    <t>2483000000亿</t>
  </si>
  <si>
    <t>5400.00万</t>
  </si>
  <si>
    <t>5863000000亿</t>
  </si>
  <si>
    <t>597.48亿</t>
  </si>
  <si>
    <t>267.09亿</t>
  </si>
  <si>
    <t>-158.53亿</t>
  </si>
  <si>
    <t>9.39亿</t>
  </si>
  <si>
    <t>938.08亿</t>
  </si>
  <si>
    <t>250.35亿</t>
  </si>
  <si>
    <t>932.07亿</t>
  </si>
  <si>
    <t>367.73亿</t>
  </si>
  <si>
    <t>263.63亿</t>
  </si>
  <si>
    <t>142.32亿</t>
  </si>
  <si>
    <t>10派3.84元(含税)</t>
  </si>
  <si>
    <t>1.88亿</t>
  </si>
  <si>
    <t>10.09亿</t>
  </si>
  <si>
    <t>1.33亿</t>
  </si>
  <si>
    <t>70371.64亿</t>
  </si>
  <si>
    <t>6524.82亿</t>
  </si>
  <si>
    <t>342.73亿</t>
  </si>
  <si>
    <t>81.57亿</t>
  </si>
  <si>
    <t>6.41亿</t>
  </si>
  <si>
    <t>5948000000亿</t>
  </si>
  <si>
    <t>2400.00万</t>
  </si>
  <si>
    <t>13453000000亿</t>
  </si>
  <si>
    <t>538.12亿</t>
  </si>
  <si>
    <t>77.52亿</t>
  </si>
  <si>
    <t>-1273.66亿</t>
  </si>
  <si>
    <t>112.42亿</t>
  </si>
  <si>
    <t>257.77亿</t>
  </si>
  <si>
    <t>1424.76亿</t>
  </si>
  <si>
    <t>352.69亿</t>
  </si>
  <si>
    <t>21.17亿</t>
  </si>
  <si>
    <t>2.58亿</t>
  </si>
  <si>
    <t>10派2.16元(含税)</t>
  </si>
  <si>
    <t>6.32亿</t>
  </si>
  <si>
    <t>37.94亿</t>
  </si>
  <si>
    <t>0641000000</t>
  </si>
  <si>
    <t>01923000000</t>
  </si>
  <si>
    <t>03846000000</t>
  </si>
  <si>
    <t>06410000000</t>
  </si>
  <si>
    <t>012820000000</t>
  </si>
  <si>
    <t>9677.83万</t>
  </si>
  <si>
    <t>99427.54亿</t>
  </si>
  <si>
    <t>11254.91亿</t>
  </si>
  <si>
    <t>864.17亿</t>
  </si>
  <si>
    <t>24.34亿</t>
  </si>
  <si>
    <t>-1.72亿</t>
  </si>
  <si>
    <t>9503000000亿</t>
  </si>
  <si>
    <t>1500.00万</t>
  </si>
  <si>
    <t>37959000000亿</t>
  </si>
  <si>
    <t>1138.35亿</t>
  </si>
  <si>
    <t>43.84亿</t>
  </si>
  <si>
    <t>-12.08亿</t>
  </si>
  <si>
    <t>11.19亿</t>
  </si>
  <si>
    <t>1299.54亿</t>
  </si>
  <si>
    <t>3447.83亿</t>
  </si>
  <si>
    <t>1380.12亿</t>
  </si>
  <si>
    <t>3391.23亿</t>
  </si>
  <si>
    <t>5.25亿</t>
  </si>
  <si>
    <t>1466.02亿</t>
  </si>
  <si>
    <t>-5844.13万</t>
  </si>
  <si>
    <t>10派19.72元(含税)</t>
  </si>
  <si>
    <t>3.70亿</t>
  </si>
  <si>
    <t>18.38亿</t>
  </si>
  <si>
    <t>扭亏</t>
  </si>
  <si>
    <t>XD无锡银</t>
  </si>
  <si>
    <t>2317.03万</t>
  </si>
  <si>
    <t>2137.57亿</t>
  </si>
  <si>
    <t>220.51亿</t>
  </si>
  <si>
    <t>36.52亿</t>
  </si>
  <si>
    <t>305217000亿</t>
  </si>
  <si>
    <t>113.20万</t>
  </si>
  <si>
    <t>597866000亿</t>
  </si>
  <si>
    <t>7.69亿</t>
  </si>
  <si>
    <t>1.02亿</t>
  </si>
  <si>
    <t>55.81亿</t>
  </si>
  <si>
    <t>3.92亿</t>
  </si>
  <si>
    <t>-19.37亿</t>
  </si>
  <si>
    <t>44.80亿</t>
  </si>
  <si>
    <t>20.01亿</t>
  </si>
  <si>
    <t>45.38亿</t>
  </si>
  <si>
    <t>10.35亿</t>
  </si>
  <si>
    <t>22.00亿</t>
  </si>
  <si>
    <t>3.64亿</t>
  </si>
  <si>
    <t>9858.78万</t>
  </si>
  <si>
    <t>5.21亿</t>
  </si>
  <si>
    <t>1.39亿</t>
  </si>
  <si>
    <t>31442.46亿</t>
  </si>
  <si>
    <t>2692.28亿</t>
  </si>
  <si>
    <t>209.99亿</t>
  </si>
  <si>
    <t>120.29亿</t>
  </si>
  <si>
    <t>23.96亿</t>
  </si>
  <si>
    <t>3903799000亿</t>
  </si>
  <si>
    <t>1120.10万</t>
  </si>
  <si>
    <t>8984107000亿</t>
  </si>
  <si>
    <t>83.42亿</t>
  </si>
  <si>
    <t>3.43亿</t>
  </si>
  <si>
    <t>815.84亿</t>
  </si>
  <si>
    <t>-1116.21亿</t>
  </si>
  <si>
    <t>563.46亿</t>
  </si>
  <si>
    <t>705.70亿</t>
  </si>
  <si>
    <t>253.86亿</t>
  </si>
  <si>
    <t>742.93亿</t>
  </si>
  <si>
    <t>33.61亿</t>
  </si>
  <si>
    <t>287.50亿</t>
  </si>
  <si>
    <t>8.60亿</t>
  </si>
  <si>
    <t>10派4.7元(含税)</t>
  </si>
  <si>
    <t>5.93亿</t>
  </si>
  <si>
    <t>38.90亿</t>
  </si>
  <si>
    <t>02396000000</t>
  </si>
  <si>
    <t>07188000000</t>
  </si>
  <si>
    <t>014376000000</t>
  </si>
  <si>
    <t>023960000000</t>
  </si>
  <si>
    <t>047920000000</t>
  </si>
  <si>
    <t>2461.06万</t>
  </si>
  <si>
    <t>17300.38亿</t>
  </si>
  <si>
    <t>1167.43亿</t>
  </si>
  <si>
    <t>97.61亿</t>
  </si>
  <si>
    <t>238.23亿</t>
  </si>
  <si>
    <t>7.29亿</t>
  </si>
  <si>
    <t>1913624000亿</t>
  </si>
  <si>
    <t>1157.10万</t>
  </si>
  <si>
    <t>5081817000亿</t>
  </si>
  <si>
    <t>22.54亿</t>
  </si>
  <si>
    <t>-114.28亿</t>
  </si>
  <si>
    <t>-157.44亿</t>
  </si>
  <si>
    <t>80.44亿</t>
  </si>
  <si>
    <t>329.32亿</t>
  </si>
  <si>
    <t>116.79亿</t>
  </si>
  <si>
    <t>350.16亿</t>
  </si>
  <si>
    <t>53.63亿</t>
  </si>
  <si>
    <t>143.83亿</t>
  </si>
  <si>
    <t>10派5.2元(含税)</t>
  </si>
  <si>
    <t>1.15亿</t>
  </si>
  <si>
    <t>6.60亿</t>
  </si>
  <si>
    <t>-1-0</t>
  </si>
  <si>
    <t>1603.36万</t>
  </si>
  <si>
    <t>4012.75亿</t>
  </si>
  <si>
    <t>316.51亿</t>
  </si>
  <si>
    <t>18.85亿</t>
  </si>
  <si>
    <t>62.62亿</t>
  </si>
  <si>
    <t>7.09亿</t>
  </si>
  <si>
    <t>174509000亿</t>
  </si>
  <si>
    <t>682948000亿</t>
  </si>
  <si>
    <t>2.67亿</t>
  </si>
  <si>
    <t>1394.10万</t>
  </si>
  <si>
    <t>-108.53亿</t>
  </si>
  <si>
    <t>9252.90万</t>
  </si>
  <si>
    <t>70.80亿</t>
  </si>
  <si>
    <t>65.68亿</t>
  </si>
  <si>
    <t>24.24亿</t>
  </si>
  <si>
    <t>72.05亿</t>
  </si>
  <si>
    <t>15.01亿</t>
  </si>
  <si>
    <t>2.06亿</t>
  </si>
  <si>
    <t>10派0.56元(含税)</t>
  </si>
  <si>
    <t>7965.38万</t>
  </si>
  <si>
    <t>5.91亿</t>
  </si>
  <si>
    <t>2607.99万</t>
  </si>
  <si>
    <t>21156.82亿</t>
  </si>
  <si>
    <t>1791.12亿</t>
  </si>
  <si>
    <t>133.20亿</t>
  </si>
  <si>
    <t>21.66亿</t>
  </si>
  <si>
    <t>3531941000亿</t>
  </si>
  <si>
    <t>695.20万</t>
  </si>
  <si>
    <t>5634836000亿</t>
  </si>
  <si>
    <t>78.25亿</t>
  </si>
  <si>
    <t>26.45亿</t>
  </si>
  <si>
    <t>-36.54亿</t>
  </si>
  <si>
    <t>-316.86亿</t>
  </si>
  <si>
    <t>430.29亿</t>
  </si>
  <si>
    <t>446.06亿</t>
  </si>
  <si>
    <t>184.08亿</t>
  </si>
  <si>
    <t>451.60亿</t>
  </si>
  <si>
    <t>185.02亿</t>
  </si>
  <si>
    <t>8617.99万</t>
  </si>
  <si>
    <t>10派5.367元(含税)</t>
  </si>
  <si>
    <t>8.76亿</t>
  </si>
  <si>
    <t>0171000000</t>
  </si>
  <si>
    <t>0513000000</t>
  </si>
  <si>
    <t>01026000000</t>
  </si>
  <si>
    <t>01710000000</t>
  </si>
  <si>
    <t>03420000000</t>
  </si>
  <si>
    <t>4756.15万</t>
  </si>
  <si>
    <t>13175.80亿</t>
  </si>
  <si>
    <t>1280.58亿</t>
  </si>
  <si>
    <t>71.28亿</t>
  </si>
  <si>
    <t>52.66亿</t>
  </si>
  <si>
    <t>7.43亿</t>
  </si>
  <si>
    <t>938466000亿</t>
  </si>
  <si>
    <t>239.20万</t>
  </si>
  <si>
    <t>3502700000亿</t>
  </si>
  <si>
    <t>43.80亿</t>
  </si>
  <si>
    <t>3.42亿</t>
  </si>
  <si>
    <t>699.05亿</t>
  </si>
  <si>
    <t>-212.28亿</t>
  </si>
  <si>
    <t>-241.60亿</t>
  </si>
  <si>
    <t>289.91亿</t>
  </si>
  <si>
    <t>102.76亿</t>
  </si>
  <si>
    <t>279.56亿</t>
  </si>
  <si>
    <t>13.78亿</t>
  </si>
  <si>
    <t>109.02亿</t>
  </si>
  <si>
    <t>2.91亿</t>
  </si>
  <si>
    <t>10派2.885元(含税)</t>
  </si>
  <si>
    <t>19.56亿</t>
  </si>
  <si>
    <t>0743000000</t>
  </si>
  <si>
    <t>02229000000</t>
  </si>
  <si>
    <t>04458000000</t>
  </si>
  <si>
    <t>07430000000</t>
  </si>
  <si>
    <t>014860000000</t>
  </si>
  <si>
    <t>-3-1</t>
  </si>
  <si>
    <t>2611.89万</t>
  </si>
  <si>
    <t>3073.25亿</t>
  </si>
  <si>
    <t>282.36亿</t>
  </si>
  <si>
    <t>27.00亿</t>
  </si>
  <si>
    <t>39.80亿</t>
  </si>
  <si>
    <t>2.14亿</t>
  </si>
  <si>
    <t>556127000亿</t>
  </si>
  <si>
    <t>254.40万</t>
  </si>
  <si>
    <t>951651000亿</t>
  </si>
  <si>
    <t>168.47亿</t>
  </si>
  <si>
    <t>-121.60亿</t>
  </si>
  <si>
    <t>-33.18亿</t>
  </si>
  <si>
    <t>88.09亿</t>
  </si>
  <si>
    <t>27.44亿</t>
  </si>
  <si>
    <t>98.70亿</t>
  </si>
  <si>
    <t>5.42亿</t>
  </si>
  <si>
    <t>32.82亿</t>
  </si>
  <si>
    <t>4040.89万</t>
  </si>
  <si>
    <t>10转1.0股派2.5元(含税)</t>
  </si>
  <si>
    <t>1.50亿</t>
  </si>
  <si>
    <t>0214000000</t>
  </si>
  <si>
    <t>0642000000</t>
  </si>
  <si>
    <t>01284000000</t>
  </si>
  <si>
    <t>02140000000</t>
  </si>
  <si>
    <t>04280000000</t>
  </si>
  <si>
    <t>8836.76万</t>
  </si>
  <si>
    <t>93506.07亿</t>
  </si>
  <si>
    <t>8331.78亿</t>
  </si>
  <si>
    <t>577.51亿</t>
  </si>
  <si>
    <t>427.48亿</t>
  </si>
  <si>
    <t>27.89亿</t>
  </si>
  <si>
    <t>13741000000亿</t>
  </si>
  <si>
    <t>5200.00万</t>
  </si>
  <si>
    <t>24183000000亿</t>
  </si>
  <si>
    <t>284.32亿</t>
  </si>
  <si>
    <t>21.05亿</t>
  </si>
  <si>
    <t>-122.52亿</t>
  </si>
  <si>
    <t>1522.02亿</t>
  </si>
  <si>
    <t>464.79亿</t>
  </si>
  <si>
    <t>2223.74亿</t>
  </si>
  <si>
    <t>913.77亿</t>
  </si>
  <si>
    <t>2108.31亿</t>
  </si>
  <si>
    <t>115.74亿</t>
  </si>
  <si>
    <t>771.16亿</t>
  </si>
  <si>
    <t>6.80亿</t>
  </si>
  <si>
    <t>10派10.4元(含税)</t>
  </si>
  <si>
    <t>2.68亿</t>
  </si>
  <si>
    <t>15.89亿</t>
  </si>
  <si>
    <t>02789000000</t>
  </si>
  <si>
    <t>08367000000</t>
  </si>
  <si>
    <t>016734000000</t>
  </si>
  <si>
    <t>027890000000</t>
  </si>
  <si>
    <t>055780000000</t>
  </si>
  <si>
    <t>8175.96万</t>
  </si>
  <si>
    <t>34204.47亿</t>
  </si>
  <si>
    <t>3377.10亿</t>
  </si>
  <si>
    <t>176.90亿</t>
  </si>
  <si>
    <t>18.83亿</t>
  </si>
  <si>
    <t>2.11亿</t>
  </si>
  <si>
    <t>3463000000亿</t>
  </si>
  <si>
    <t>2300.00万</t>
  </si>
  <si>
    <t>7857000000亿</t>
  </si>
  <si>
    <t>190.03亿</t>
  </si>
  <si>
    <t>-120.98亿</t>
  </si>
  <si>
    <t>-95.00亿</t>
  </si>
  <si>
    <t>-198.11亿</t>
  </si>
  <si>
    <t>662.76亿</t>
  </si>
  <si>
    <t>247.60亿</t>
  </si>
  <si>
    <t>667.11亿</t>
  </si>
  <si>
    <t>5.45亿</t>
  </si>
  <si>
    <t>256.24亿</t>
  </si>
  <si>
    <t>6559.10万</t>
  </si>
  <si>
    <t>10派3.2元(含税)</t>
  </si>
  <si>
    <t>3.72亿</t>
  </si>
  <si>
    <t>17.54亿</t>
  </si>
  <si>
    <t>0211000000</t>
  </si>
  <si>
    <t>0633000000</t>
  </si>
  <si>
    <t>01266000000</t>
  </si>
  <si>
    <t>02110000000</t>
  </si>
  <si>
    <t>04220000000</t>
  </si>
  <si>
    <t>1374.53万</t>
  </si>
  <si>
    <t>3601.50亿</t>
  </si>
  <si>
    <t>314.48亿</t>
  </si>
  <si>
    <t>14.89亿</t>
  </si>
  <si>
    <t>6.52亿</t>
  </si>
  <si>
    <t>1.37亿</t>
  </si>
  <si>
    <t>279896000亿</t>
  </si>
  <si>
    <t>92.30万</t>
  </si>
  <si>
    <t>752232000亿</t>
  </si>
  <si>
    <t>-21.93亿</t>
  </si>
  <si>
    <t>-10.46亿</t>
  </si>
  <si>
    <t>58.95亿</t>
  </si>
  <si>
    <t>25.06亿</t>
  </si>
  <si>
    <t>56.03亿</t>
  </si>
  <si>
    <t>26.64亿</t>
  </si>
  <si>
    <t>6279.31万</t>
  </si>
  <si>
    <t>10派3.1元(含税)</t>
  </si>
  <si>
    <t>6613.38万</t>
  </si>
  <si>
    <t>4.87亿</t>
  </si>
  <si>
    <t>0137000000</t>
  </si>
  <si>
    <t>0411000000</t>
  </si>
  <si>
    <t>0822000000</t>
  </si>
  <si>
    <t>01370000000</t>
  </si>
  <si>
    <t>02740000000</t>
  </si>
  <si>
    <t>4006.70万</t>
  </si>
  <si>
    <t>28464.67亿</t>
  </si>
  <si>
    <t>2456.86亿</t>
  </si>
  <si>
    <t>130.94亿</t>
  </si>
  <si>
    <t>607.92亿</t>
  </si>
  <si>
    <t>19.48亿</t>
  </si>
  <si>
    <t>2992808000亿</t>
  </si>
  <si>
    <t>1836.50万</t>
  </si>
  <si>
    <t>6103422000亿</t>
  </si>
  <si>
    <t>108.08亿</t>
  </si>
  <si>
    <t>74.36亿</t>
  </si>
  <si>
    <t>276.72亿</t>
  </si>
  <si>
    <t>-59.40亿</t>
  </si>
  <si>
    <t>531.12亿</t>
  </si>
  <si>
    <t>222.80亿</t>
  </si>
  <si>
    <t>505.64亿</t>
  </si>
  <si>
    <t>129.98亿</t>
  </si>
  <si>
    <t>225.45亿</t>
  </si>
  <si>
    <t>2.77亿</t>
  </si>
  <si>
    <t>10派4.6元(含税)</t>
  </si>
  <si>
    <t>1.94亿</t>
  </si>
  <si>
    <t>14.00亿</t>
  </si>
  <si>
    <t>4.20亿</t>
  </si>
  <si>
    <t>369761.22亿</t>
  </si>
  <si>
    <t>29992.23亿</t>
  </si>
  <si>
    <t>1860.21亿</t>
  </si>
  <si>
    <t>181.73亿</t>
  </si>
  <si>
    <t>49.23亿</t>
  </si>
  <si>
    <t>3664000000亿</t>
  </si>
  <si>
    <t>8500.00万</t>
  </si>
  <si>
    <t>70347000000亿</t>
  </si>
  <si>
    <t>1418.32亿</t>
  </si>
  <si>
    <t>127.07亿</t>
  </si>
  <si>
    <t>7835.63亿</t>
  </si>
  <si>
    <t>-11875.49亿</t>
  </si>
  <si>
    <t>633.40亿</t>
  </si>
  <si>
    <t>6946.52亿</t>
  </si>
  <si>
    <t>2592.32亿</t>
  </si>
  <si>
    <t>6948.28亿</t>
  </si>
  <si>
    <t>45.52亿</t>
  </si>
  <si>
    <t>2693.56亿</t>
  </si>
  <si>
    <t>12.59亿</t>
  </si>
  <si>
    <t>10派2.309元(含税)</t>
  </si>
  <si>
    <t>18.19亿</t>
  </si>
  <si>
    <t>104.51亿</t>
  </si>
  <si>
    <t>04923000000</t>
  </si>
  <si>
    <t>014769000000</t>
  </si>
  <si>
    <t>029538000000</t>
  </si>
  <si>
    <t>049230000000</t>
  </si>
  <si>
    <t>098460000000</t>
  </si>
  <si>
    <t>1.72亿</t>
  </si>
  <si>
    <t>129610.22亿</t>
  </si>
  <si>
    <t>11258.18亿</t>
  </si>
  <si>
    <t>670.59亿</t>
  </si>
  <si>
    <t>39.56亿</t>
  </si>
  <si>
    <t>6.29亿</t>
  </si>
  <si>
    <t>6481000000亿</t>
  </si>
  <si>
    <t>24874000000亿</t>
  </si>
  <si>
    <t>2206.08亿</t>
  </si>
  <si>
    <t>12.90亿</t>
  </si>
  <si>
    <t>-1257.60亿</t>
  </si>
  <si>
    <t>528.81亿</t>
  </si>
  <si>
    <t>-179.28亿</t>
  </si>
  <si>
    <t>2567.96亿</t>
  </si>
  <si>
    <t>921.02亿</t>
  </si>
  <si>
    <t>2575.95亿</t>
  </si>
  <si>
    <t>927.28亿</t>
  </si>
  <si>
    <t>10派3.75元(含税)</t>
  </si>
  <si>
    <t>6.64亿</t>
  </si>
  <si>
    <t>45.82亿</t>
  </si>
  <si>
    <t>0629000000</t>
  </si>
  <si>
    <t>01887000000</t>
  </si>
  <si>
    <t>03774000000</t>
  </si>
  <si>
    <t>06290000000</t>
  </si>
  <si>
    <t>012580000000</t>
  </si>
  <si>
    <t>3.99亿</t>
  </si>
  <si>
    <t>409204.91亿</t>
  </si>
  <si>
    <t>38766.15亿</t>
  </si>
  <si>
    <t>2198.43亿</t>
  </si>
  <si>
    <t>112.58亿</t>
  </si>
  <si>
    <t>4.31亿</t>
  </si>
  <si>
    <t>9202000000亿</t>
  </si>
  <si>
    <t>4.80亿</t>
  </si>
  <si>
    <t>87084000000亿</t>
  </si>
  <si>
    <t>2707.87亿</t>
  </si>
  <si>
    <t>233.53亿</t>
  </si>
  <si>
    <t>13672.52亿</t>
  </si>
  <si>
    <t>-1999.21亿</t>
  </si>
  <si>
    <t>658.94亿</t>
  </si>
  <si>
    <t>8757.34亿</t>
  </si>
  <si>
    <t>3611.32亿</t>
  </si>
  <si>
    <t>8430.70亿</t>
  </si>
  <si>
    <t>25.73亿</t>
  </si>
  <si>
    <t>3639.93亿</t>
  </si>
  <si>
    <t>8135.06万</t>
  </si>
  <si>
    <t>10派3.064元(含税)</t>
  </si>
  <si>
    <t>16.33亿</t>
  </si>
  <si>
    <t>78.70亿</t>
  </si>
  <si>
    <t>0431000000</t>
  </si>
  <si>
    <t>01293000000</t>
  </si>
  <si>
    <t>02586000000</t>
  </si>
  <si>
    <t>04310000000</t>
  </si>
  <si>
    <t>08620000000</t>
  </si>
  <si>
    <t>4-1</t>
  </si>
  <si>
    <t>1484.84万</t>
  </si>
  <si>
    <t>1800.18亿</t>
  </si>
  <si>
    <t>173.86亿</t>
  </si>
  <si>
    <t>10.55亿</t>
  </si>
  <si>
    <t>112.81亿</t>
  </si>
  <si>
    <t>20.02亿</t>
  </si>
  <si>
    <t>336849000亿</t>
  </si>
  <si>
    <t>516.70万</t>
  </si>
  <si>
    <t>393995000亿</t>
  </si>
  <si>
    <t>13.19亿</t>
  </si>
  <si>
    <t>7128.30万</t>
  </si>
  <si>
    <t>-40.95亿</t>
  </si>
  <si>
    <t>-33.63亿</t>
  </si>
  <si>
    <t>35.25亿</t>
  </si>
  <si>
    <t>15.28亿</t>
  </si>
  <si>
    <t>17.27亿</t>
  </si>
  <si>
    <t>5.83亿</t>
  </si>
  <si>
    <t>10派1.80元(含税)</t>
  </si>
  <si>
    <t>8261.47万</t>
  </si>
  <si>
    <t>4.51亿</t>
  </si>
  <si>
    <t>1475.30万</t>
  </si>
  <si>
    <t>9517.14亿</t>
  </si>
  <si>
    <t>705.26亿</t>
  </si>
  <si>
    <t>65.61亿</t>
  </si>
  <si>
    <t>14.11亿</t>
  </si>
  <si>
    <t>1.67亿</t>
  </si>
  <si>
    <t>767591000亿</t>
  </si>
  <si>
    <t>78.20万</t>
  </si>
  <si>
    <t>2091070000亿</t>
  </si>
  <si>
    <t>14.23亿</t>
  </si>
  <si>
    <t>6358.30万</t>
  </si>
  <si>
    <t>-237.14亿</t>
  </si>
  <si>
    <t>-38.04亿</t>
  </si>
  <si>
    <t>274.58亿</t>
  </si>
  <si>
    <t>228.68亿</t>
  </si>
  <si>
    <t>68.11亿</t>
  </si>
  <si>
    <t>248.03亿</t>
  </si>
  <si>
    <t>74.63亿</t>
  </si>
  <si>
    <t>7938.77万</t>
  </si>
  <si>
    <t>10派3.8元(含税)</t>
  </si>
  <si>
    <t>8757.56万</t>
  </si>
  <si>
    <t>5.28亿</t>
  </si>
  <si>
    <t>0167000000</t>
  </si>
  <si>
    <t>0501000000</t>
  </si>
  <si>
    <t>01002000000</t>
  </si>
  <si>
    <t>01670000000</t>
  </si>
  <si>
    <t>03340000000</t>
  </si>
  <si>
    <t>1.66亿</t>
  </si>
  <si>
    <t>147700.15亿</t>
  </si>
  <si>
    <t>10087.01亿</t>
  </si>
  <si>
    <t>894.30亿</t>
  </si>
  <si>
    <t>119.52亿</t>
  </si>
  <si>
    <t>42.34亿</t>
  </si>
  <si>
    <t>5346000000亿</t>
  </si>
  <si>
    <t>6400.00万</t>
  </si>
  <si>
    <t>25808000000亿</t>
  </si>
  <si>
    <t>432.89亿</t>
  </si>
  <si>
    <t>125.12亿</t>
  </si>
  <si>
    <t>2251.46亿</t>
  </si>
  <si>
    <t>-657.69亿</t>
  </si>
  <si>
    <t>-686.46亿</t>
  </si>
  <si>
    <t>3349.56亿</t>
  </si>
  <si>
    <t>852.24亿</t>
  </si>
  <si>
    <t>3425.07亿</t>
  </si>
  <si>
    <t>28.64亿</t>
  </si>
  <si>
    <t>862.70亿</t>
  </si>
  <si>
    <t>10.15亿</t>
  </si>
  <si>
    <t>10派2.61元(含税)</t>
  </si>
  <si>
    <t>6.43亿</t>
  </si>
  <si>
    <t>41.17亿</t>
  </si>
  <si>
    <t>04234000000</t>
  </si>
  <si>
    <t>012702000000</t>
  </si>
  <si>
    <t>025404000000</t>
  </si>
  <si>
    <t>042340000000</t>
  </si>
  <si>
    <t>084680000000</t>
  </si>
  <si>
    <t>XD齐鲁银</t>
  </si>
  <si>
    <t>3500.11万</t>
  </si>
  <si>
    <t>5629.92亿</t>
  </si>
  <si>
    <t>438.27亿</t>
  </si>
  <si>
    <t>30.22亿</t>
  </si>
  <si>
    <t>315.61亿</t>
  </si>
  <si>
    <t>40.03亿</t>
  </si>
  <si>
    <t>307841000亿</t>
  </si>
  <si>
    <t>43.10万</t>
  </si>
  <si>
    <t>1152816000亿</t>
  </si>
  <si>
    <t>18.66亿</t>
  </si>
  <si>
    <t>3103.70万</t>
  </si>
  <si>
    <t>-14.98亿</t>
  </si>
  <si>
    <t>-78.27亿</t>
  </si>
  <si>
    <t>45.10亿</t>
  </si>
  <si>
    <t>110.64亿</t>
  </si>
  <si>
    <t>35.87亿</t>
  </si>
  <si>
    <t>86.30亿</t>
  </si>
  <si>
    <t>11.46亿</t>
  </si>
  <si>
    <t>10派2.2元(含税)</t>
  </si>
  <si>
    <t>1.43亿</t>
  </si>
  <si>
    <t>7.15亿</t>
  </si>
  <si>
    <t>62180.11亿</t>
  </si>
  <si>
    <t>5677.95亿</t>
  </si>
  <si>
    <t>344.87亿</t>
  </si>
  <si>
    <t>264.14亿</t>
  </si>
  <si>
    <t>121.42亿</t>
  </si>
  <si>
    <t>1790000000亿</t>
  </si>
  <si>
    <t>1400.00万</t>
  </si>
  <si>
    <t>12445000000亿</t>
  </si>
  <si>
    <t>240.17亿</t>
  </si>
  <si>
    <t>24.56亿</t>
  </si>
  <si>
    <t>-1585.30亿</t>
  </si>
  <si>
    <t>899.92亿</t>
  </si>
  <si>
    <t>450.09亿</t>
  </si>
  <si>
    <t>1516.32亿</t>
  </si>
  <si>
    <t>448.07亿</t>
  </si>
  <si>
    <t>1456.85亿</t>
  </si>
  <si>
    <t>68.32亿</t>
  </si>
  <si>
    <t>407.92亿</t>
  </si>
  <si>
    <t>35.00亿</t>
  </si>
  <si>
    <t>10派1.73元(含税)</t>
  </si>
  <si>
    <t>7.85亿</t>
  </si>
  <si>
    <t>36.34亿</t>
  </si>
  <si>
    <t>012142000000</t>
  </si>
  <si>
    <t>036426000000</t>
  </si>
  <si>
    <t>072852000000</t>
  </si>
  <si>
    <t>0121420000000</t>
  </si>
  <si>
    <t>0242840000000</t>
  </si>
  <si>
    <t>2026.36万</t>
  </si>
  <si>
    <t>12758.55亿</t>
  </si>
  <si>
    <t>1212.74亿</t>
  </si>
  <si>
    <t>70.85亿</t>
  </si>
  <si>
    <t>60.27亿</t>
  </si>
  <si>
    <t>11.66亿</t>
  </si>
  <si>
    <t>848550000亿</t>
  </si>
  <si>
    <t>648.60万</t>
  </si>
  <si>
    <t>3145534000亿</t>
  </si>
  <si>
    <t>52.17亿</t>
  </si>
  <si>
    <t>295.95亿</t>
  </si>
  <si>
    <t>-94.30亿</t>
  </si>
  <si>
    <t>-61.85亿</t>
  </si>
  <si>
    <t>256.27亿</t>
  </si>
  <si>
    <t>109.74亿</t>
  </si>
  <si>
    <t>15.46亿</t>
  </si>
  <si>
    <t>3.50亿</t>
  </si>
  <si>
    <t>10派3.79元(含税)</t>
  </si>
  <si>
    <t>10.87亿</t>
  </si>
  <si>
    <t>01166000000</t>
  </si>
  <si>
    <t>03498000000</t>
  </si>
  <si>
    <t>06996000000</t>
  </si>
  <si>
    <t>011660000000</t>
  </si>
  <si>
    <t>023320000000</t>
  </si>
  <si>
    <t>XD成都银</t>
  </si>
  <si>
    <t>3833.99万</t>
  </si>
  <si>
    <t>10199.23亿</t>
  </si>
  <si>
    <t>745.96亿</t>
  </si>
  <si>
    <t>56.38亿</t>
  </si>
  <si>
    <t>30110.12亿</t>
  </si>
  <si>
    <t>1611.44亿</t>
  </si>
  <si>
    <t>819021000亿</t>
  </si>
  <si>
    <t>68.90万</t>
  </si>
  <si>
    <t>2824925000亿</t>
  </si>
  <si>
    <t>11.70亿</t>
  </si>
  <si>
    <t>-9.75亿</t>
  </si>
  <si>
    <t>129.47亿</t>
  </si>
  <si>
    <t>220.70亿</t>
  </si>
  <si>
    <t>202.41亿</t>
  </si>
  <si>
    <t>100.42亿</t>
  </si>
  <si>
    <t>217.02亿</t>
  </si>
  <si>
    <t>7324.71亿</t>
  </si>
  <si>
    <t>116.71亿</t>
  </si>
  <si>
    <t>436.30亿</t>
  </si>
  <si>
    <t>10派8.968元(含税)</t>
  </si>
  <si>
    <t>1.22亿</t>
  </si>
  <si>
    <t>5.64亿</t>
  </si>
  <si>
    <t>3897.22万</t>
  </si>
  <si>
    <t>2291.93亿</t>
  </si>
  <si>
    <t>189.70亿</t>
  </si>
  <si>
    <t>11.98亿</t>
  </si>
  <si>
    <t>215.24亿</t>
  </si>
  <si>
    <t>27.60亿</t>
  </si>
  <si>
    <t>183933000亿</t>
  </si>
  <si>
    <t>79.20万</t>
  </si>
  <si>
    <t>404972000亿</t>
  </si>
  <si>
    <t>11.26亿</t>
  </si>
  <si>
    <t>1238.00万</t>
  </si>
  <si>
    <t>125.31亿</t>
  </si>
  <si>
    <t>-29.13亿</t>
  </si>
  <si>
    <t>-53.84亿</t>
  </si>
  <si>
    <t>45.07亿</t>
  </si>
  <si>
    <t>16.00亿</t>
  </si>
  <si>
    <t>44.20亿</t>
  </si>
  <si>
    <t>53.65亿</t>
  </si>
  <si>
    <t>16.19亿</t>
  </si>
  <si>
    <t>5.11亿</t>
  </si>
  <si>
    <t>2.09亿</t>
  </si>
  <si>
    <t>1.04亿</t>
  </si>
  <si>
    <t>29543.02亿</t>
  </si>
  <si>
    <t>1958.72亿</t>
  </si>
  <si>
    <t>184.07亿</t>
  </si>
  <si>
    <t>128.45亿</t>
  </si>
  <si>
    <t>21.09亿</t>
  </si>
  <si>
    <t>3910000000亿</t>
  </si>
  <si>
    <t>700.00万</t>
  </si>
  <si>
    <t>5935000000亿</t>
  </si>
  <si>
    <t>260.48亿</t>
  </si>
  <si>
    <t>-900.99亿</t>
  </si>
  <si>
    <t>543.79亿</t>
  </si>
  <si>
    <t>392.10亿</t>
  </si>
  <si>
    <t>610.85亿</t>
  </si>
  <si>
    <t>136.18亿</t>
  </si>
  <si>
    <t>637.04亿</t>
  </si>
  <si>
    <t>28.96亿</t>
  </si>
  <si>
    <t>150.48亿</t>
  </si>
  <si>
    <t>5.94亿</t>
  </si>
  <si>
    <t>10派1.64元(含税)</t>
  </si>
  <si>
    <t>4.97亿</t>
  </si>
  <si>
    <t>29.21亿</t>
  </si>
  <si>
    <t>02109000000</t>
  </si>
  <si>
    <t>06327000000</t>
  </si>
  <si>
    <t>012654000000</t>
  </si>
  <si>
    <t>021090000000</t>
  </si>
  <si>
    <t>042180000000</t>
  </si>
  <si>
    <t>351527.52亿</t>
  </si>
  <si>
    <t>32625.28亿</t>
  </si>
  <si>
    <t>2009.28亿</t>
  </si>
  <si>
    <t>62.98亿</t>
  </si>
  <si>
    <t>9.67亿</t>
  </si>
  <si>
    <t>1737000000亿</t>
  </si>
  <si>
    <t>3.20亿</t>
  </si>
  <si>
    <t>86888000000亿</t>
  </si>
  <si>
    <t>1642.46亿</t>
  </si>
  <si>
    <t>68.35亿</t>
  </si>
  <si>
    <t>2093.35亿</t>
  </si>
  <si>
    <t>-1350.41亿</t>
  </si>
  <si>
    <t>385.76亿</t>
  </si>
  <si>
    <t>7837.60亿</t>
  </si>
  <si>
    <t>3247.27亿</t>
  </si>
  <si>
    <t>7697.36亿</t>
  </si>
  <si>
    <t>10.19亿</t>
  </si>
  <si>
    <t>3326.53亿</t>
  </si>
  <si>
    <t>3294.98万</t>
  </si>
  <si>
    <t>5.36亿</t>
  </si>
  <si>
    <t>29.15亿</t>
  </si>
  <si>
    <t>0967000000</t>
  </si>
  <si>
    <t>02901000000</t>
  </si>
  <si>
    <t>05802000000</t>
  </si>
  <si>
    <t>09670000000</t>
  </si>
  <si>
    <t>019340000000</t>
  </si>
  <si>
    <t>3-1</t>
  </si>
  <si>
    <t>646.30万</t>
  </si>
  <si>
    <t>7005.84亿</t>
  </si>
  <si>
    <t>613.81亿</t>
  </si>
  <si>
    <t>34.01亿</t>
  </si>
  <si>
    <t>40.07亿</t>
  </si>
  <si>
    <t>8.25亿</t>
  </si>
  <si>
    <t>807171000亿</t>
  </si>
  <si>
    <t>104.20万</t>
  </si>
  <si>
    <t>1529006000亿</t>
  </si>
  <si>
    <t>26.54亿</t>
  </si>
  <si>
    <t>-192.81亿</t>
  </si>
  <si>
    <t>222.93亿</t>
  </si>
  <si>
    <t>-95.76亿</t>
  </si>
  <si>
    <t>134.65亿</t>
  </si>
  <si>
    <t>48.68亿</t>
  </si>
  <si>
    <t>132.11亿</t>
  </si>
  <si>
    <t>7.07亿</t>
  </si>
  <si>
    <t>49.30亿</t>
  </si>
  <si>
    <t>10派4.08元(含税)</t>
  </si>
  <si>
    <t>3935.62万</t>
  </si>
  <si>
    <t>0825000000</t>
  </si>
  <si>
    <t>02475000000</t>
  </si>
  <si>
    <t>04950000000</t>
  </si>
  <si>
    <t>08250000000</t>
  </si>
  <si>
    <t>016500000000</t>
  </si>
  <si>
    <t>2.24亿</t>
  </si>
  <si>
    <t>296753.51亿</t>
  </si>
  <si>
    <t>27841.92亿</t>
  </si>
  <si>
    <t>1608.18亿</t>
  </si>
  <si>
    <t>466.94亿</t>
  </si>
  <si>
    <t>-7.82亿</t>
  </si>
  <si>
    <t>14725000000亿</t>
  </si>
  <si>
    <t>55743000000亿</t>
  </si>
  <si>
    <t>2232.41亿</t>
  </si>
  <si>
    <t>204.06亿</t>
  </si>
  <si>
    <t>32.40亿</t>
  </si>
  <si>
    <t>-1480.16亿</t>
  </si>
  <si>
    <t>527.62亿</t>
  </si>
  <si>
    <t>5853.67亿</t>
  </si>
  <si>
    <t>2265.22亿</t>
  </si>
  <si>
    <t>6228.89亿</t>
  </si>
  <si>
    <t>68.23亿</t>
  </si>
  <si>
    <t>2319.04亿</t>
  </si>
  <si>
    <t>6642.40万</t>
  </si>
  <si>
    <t>10派2.364元(含税)</t>
  </si>
  <si>
    <t>10.07亿</t>
  </si>
  <si>
    <t>49.57亿</t>
  </si>
  <si>
    <t>2903.11万</t>
  </si>
  <si>
    <t>6245.35亿</t>
  </si>
  <si>
    <t>654.47亿</t>
  </si>
  <si>
    <t>36.45亿</t>
  </si>
  <si>
    <t>2058.96亿</t>
  </si>
  <si>
    <t>670.16亿</t>
  </si>
  <si>
    <t>448572000亿</t>
  </si>
  <si>
    <t>115.60万</t>
  </si>
  <si>
    <t>1521194000亿</t>
  </si>
  <si>
    <t>41.69亿</t>
  </si>
  <si>
    <t>190.55亿</t>
  </si>
  <si>
    <t>-177.53亿</t>
  </si>
  <si>
    <t>90.14亿</t>
  </si>
  <si>
    <t>156.43亿</t>
  </si>
  <si>
    <t>61.07亿</t>
  </si>
  <si>
    <t>150.96亿</t>
  </si>
  <si>
    <t>513.63亿</t>
  </si>
  <si>
    <t>55.62亿</t>
  </si>
  <si>
    <t>191.44亿</t>
  </si>
  <si>
    <t>10派2.9元(含税)</t>
  </si>
  <si>
    <t>8.89亿</t>
  </si>
  <si>
    <t>-2-1</t>
  </si>
  <si>
    <t>6421.54万</t>
  </si>
  <si>
    <t>83178.09亿</t>
  </si>
  <si>
    <t>7846.81亿</t>
  </si>
  <si>
    <t>537.70亿</t>
  </si>
  <si>
    <t>24.12亿</t>
  </si>
  <si>
    <t>1.12亿</t>
  </si>
  <si>
    <t>8149000000亿</t>
  </si>
  <si>
    <t>4800.00万</t>
  </si>
  <si>
    <t>19104000000亿</t>
  </si>
  <si>
    <t>353.45亿</t>
  </si>
  <si>
    <t>32.32亿</t>
  </si>
  <si>
    <t>-3331.39亿</t>
  </si>
  <si>
    <t>189.42亿</t>
  </si>
  <si>
    <t>2445.21亿</t>
  </si>
  <si>
    <t>2113.92亿</t>
  </si>
  <si>
    <t>621.03亿</t>
  </si>
  <si>
    <t>5.34亿</t>
  </si>
  <si>
    <t>-420.81万</t>
  </si>
  <si>
    <t>10派3.261元(含税)</t>
  </si>
  <si>
    <t>2.86亿</t>
  </si>
  <si>
    <t>19.76亿</t>
  </si>
  <si>
    <t>0112000000</t>
  </si>
  <si>
    <t>0336000000</t>
  </si>
  <si>
    <t>0672000000</t>
  </si>
  <si>
    <t>01120000000</t>
  </si>
  <si>
    <t>02240000000</t>
  </si>
  <si>
    <t>1831.59万</t>
  </si>
  <si>
    <t>1867.68亿</t>
  </si>
  <si>
    <t>161.37亿</t>
  </si>
  <si>
    <t>18.26亿</t>
  </si>
  <si>
    <t>1.65亿</t>
  </si>
  <si>
    <t>300288000亿</t>
  </si>
  <si>
    <t>70.60万</t>
  </si>
  <si>
    <t>415468000亿</t>
  </si>
  <si>
    <t>15.26亿</t>
  </si>
  <si>
    <t>1791.70万</t>
  </si>
  <si>
    <t>-23.96亿</t>
  </si>
  <si>
    <t>-24.23亿</t>
  </si>
  <si>
    <t>41.78亿</t>
  </si>
  <si>
    <t>40.37亿</t>
  </si>
  <si>
    <t>15.02亿</t>
  </si>
  <si>
    <t>40.46亿</t>
  </si>
  <si>
    <t>2.64亿</t>
  </si>
  <si>
    <t>17.43亿</t>
  </si>
  <si>
    <t>1873.95万</t>
  </si>
  <si>
    <t>8712.74万</t>
  </si>
  <si>
    <t>6.62亿</t>
  </si>
  <si>
    <t>0165000000</t>
  </si>
  <si>
    <t>0495000000</t>
  </si>
  <si>
    <t>0990000000</t>
  </si>
  <si>
    <t>01650000000</t>
  </si>
  <si>
    <t>03300000000</t>
  </si>
  <si>
    <t>3-0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</si>
</sst>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indexed="8"/>
      <name val="Calibri"/>
      <family val="2"/>
    </font>
    <font>
      <sz val="9"/>
      <color theme="1"/>
      <name val="宋体"/>
      <family val="2"/>
      <charset val="134"/>
      <scheme val="minor"/>
    </font>
    <font>
      <sz val="9"/>
      <color theme="1"/>
      <name val="宋体"/>
      <family val="3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1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Fill="0" applyProtection="0"/>
  </cellStyleXfs>
  <cellXfs count="17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0" fillId="0" borderId="1" xfId="0" applyNumberFormat="1" applyFill="1" applyBorder="1" applyAlignment="1">
      <alignment vertical="center" wrapText="1"/>
    </xf>
    <xf numFmtId="0" fontId="0" fillId="3" borderId="1" xfId="0" applyNumberFormat="1" applyFill="1" applyBorder="1" applyAlignment="1">
      <alignment vertical="center" wrapText="1"/>
    </xf>
    <xf numFmtId="10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3" fillId="0" borderId="0" xfId="0" applyFont="1" applyAlignment="1">
      <alignment vertical="center" wrapText="1"/>
    </xf>
    <xf numFmtId="0" fontId="3" fillId="0" borderId="0" xfId="0" applyFont="1">
      <alignment vertical="center"/>
    </xf>
    <xf numFmtId="0" fontId="4" fillId="0" borderId="0" xfId="0" applyFont="1" applyAlignment="1">
      <alignment vertical="center" wrapText="1"/>
    </xf>
    <xf numFmtId="0" fontId="6" fillId="0" borderId="0" xfId="0" applyFont="1" applyFill="1">
      <alignment vertical="center"/>
    </xf>
    <xf numFmtId="14" fontId="0" fillId="0" borderId="0" xfId="0" applyNumberFormat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6" fillId="0" borderId="0" xfId="0" applyFont="1">
      <alignment vertical="center"/>
    </xf>
    <xf numFmtId="0" fontId="5" fillId="0" borderId="0" xfId="0" applyFont="1">
      <alignment vertical="center"/>
    </xf>
    <xf numFmtId="0" fontId="0" fillId="0" borderId="0" xfId="0" applyNumberFormat="1">
      <alignment vertical="center"/>
    </xf>
  </cellXfs>
  <cellStyles count="2">
    <cellStyle name="常规" xfId="0" builtinId="0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147</xdr:col>
          <xdr:colOff>304800</xdr:colOff>
          <xdr:row>0</xdr:row>
          <xdr:rowOff>107950</xdr:rowOff>
        </xdr:from>
        <xdr:to>
          <xdr:col>147</xdr:col>
          <xdr:colOff>1746250</xdr:colOff>
          <xdr:row>0</xdr:row>
          <xdr:rowOff>419100</xdr:rowOff>
        </xdr:to>
        <xdr:sp macro="" textlink="">
          <xdr:nvSpPr>
            <xdr:cNvPr id="2050" name="Button 2" descr="更新基本面按钮&#10;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更新基本面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P214"/>
  <sheetViews>
    <sheetView tabSelected="1" zoomScale="85" zoomScaleNormal="85" workbookViewId="0">
      <pane xSplit="5" ySplit="1" topLeftCell="F26" activePane="bottomRight" state="frozen"/>
      <selection pane="topRight" activeCell="F1" sqref="F1"/>
      <selection pane="bottomLeft" activeCell="A2" sqref="A2"/>
      <selection pane="bottomRight" activeCell="D43" sqref="D43:EP43"/>
    </sheetView>
  </sheetViews>
  <sheetFormatPr defaultRowHeight="14" x14ac:dyDescent="0.25"/>
  <cols>
    <col min="1" max="1" width="28" customWidth="1"/>
    <col min="2" max="2" width="30.54296875" customWidth="1"/>
    <col min="3" max="3" width="39.1796875" customWidth="1"/>
    <col min="9" max="9" width="13.1796875" customWidth="1"/>
    <col min="16" max="16" width="12.453125" customWidth="1"/>
    <col min="148" max="148" width="28.54296875" customWidth="1"/>
  </cols>
  <sheetData>
    <row r="1" spans="1:146" ht="43" customHeight="1" x14ac:dyDescent="0.25">
      <c r="A1" s="3" t="s">
        <v>9</v>
      </c>
      <c r="B1" s="4" t="s">
        <v>10</v>
      </c>
      <c r="C1" s="3" t="s">
        <v>11</v>
      </c>
      <c r="D1" t="s">
        <v>62</v>
      </c>
      <c r="E1" t="s">
        <v>454</v>
      </c>
      <c r="F1" t="s">
        <v>3</v>
      </c>
      <c r="G1" t="s">
        <v>499</v>
      </c>
      <c r="H1" t="s">
        <v>500</v>
      </c>
      <c r="I1" t="s">
        <v>6</v>
      </c>
      <c r="J1" t="s">
        <v>7</v>
      </c>
      <c r="K1" t="s">
        <v>4</v>
      </c>
      <c r="L1" t="s">
        <v>8</v>
      </c>
      <c r="M1" t="s">
        <v>12</v>
      </c>
      <c r="N1" t="s">
        <v>13</v>
      </c>
      <c r="O1" t="s">
        <v>14</v>
      </c>
      <c r="P1" t="s">
        <v>501</v>
      </c>
      <c r="Q1" t="s">
        <v>455</v>
      </c>
      <c r="R1" t="s">
        <v>456</v>
      </c>
      <c r="S1" t="s">
        <v>15</v>
      </c>
      <c r="T1" t="s">
        <v>502</v>
      </c>
      <c r="U1" t="s">
        <v>364</v>
      </c>
      <c r="V1" t="s">
        <v>16</v>
      </c>
      <c r="W1" t="s">
        <v>457</v>
      </c>
      <c r="X1" t="s">
        <v>458</v>
      </c>
      <c r="Y1" t="s">
        <v>459</v>
      </c>
      <c r="Z1" t="s">
        <v>460</v>
      </c>
      <c r="AA1" t="s">
        <v>461</v>
      </c>
      <c r="AB1" t="s">
        <v>503</v>
      </c>
      <c r="AC1" t="s">
        <v>462</v>
      </c>
      <c r="AD1" t="s">
        <v>463</v>
      </c>
      <c r="AE1" t="s">
        <v>17</v>
      </c>
      <c r="AF1" t="s">
        <v>18</v>
      </c>
      <c r="AG1" t="s">
        <v>504</v>
      </c>
      <c r="AH1" t="s">
        <v>464</v>
      </c>
      <c r="AI1" t="s">
        <v>505</v>
      </c>
      <c r="AJ1" t="s">
        <v>19</v>
      </c>
      <c r="AK1" t="s">
        <v>506</v>
      </c>
      <c r="AL1" t="s">
        <v>25</v>
      </c>
      <c r="AM1" t="s">
        <v>507</v>
      </c>
      <c r="AN1" t="s">
        <v>508</v>
      </c>
      <c r="AO1" t="s">
        <v>509</v>
      </c>
      <c r="AP1" t="s">
        <v>510</v>
      </c>
      <c r="AQ1" t="s">
        <v>511</v>
      </c>
      <c r="AR1" t="s">
        <v>512</v>
      </c>
      <c r="AS1" t="s">
        <v>513</v>
      </c>
      <c r="AT1" t="s">
        <v>514</v>
      </c>
      <c r="AU1" t="s">
        <v>515</v>
      </c>
      <c r="AV1" t="s">
        <v>516</v>
      </c>
      <c r="AW1" t="s">
        <v>517</v>
      </c>
      <c r="AX1" t="s">
        <v>465</v>
      </c>
      <c r="AY1" t="s">
        <v>26</v>
      </c>
      <c r="AZ1" t="s">
        <v>27</v>
      </c>
      <c r="BA1" t="s">
        <v>28</v>
      </c>
      <c r="BB1" t="s">
        <v>29</v>
      </c>
      <c r="BC1" t="s">
        <v>365</v>
      </c>
      <c r="BD1" t="s">
        <v>30</v>
      </c>
      <c r="BE1" t="s">
        <v>31</v>
      </c>
      <c r="BF1" t="s">
        <v>32</v>
      </c>
      <c r="BG1" t="s">
        <v>33</v>
      </c>
      <c r="BH1" t="s">
        <v>518</v>
      </c>
      <c r="BI1" t="s">
        <v>519</v>
      </c>
      <c r="BJ1" t="s">
        <v>520</v>
      </c>
      <c r="BK1" t="s">
        <v>521</v>
      </c>
      <c r="BL1" t="s">
        <v>522</v>
      </c>
      <c r="BM1" t="s">
        <v>523</v>
      </c>
      <c r="BN1" t="s">
        <v>466</v>
      </c>
      <c r="BO1" t="s">
        <v>366</v>
      </c>
      <c r="BP1" t="s">
        <v>34</v>
      </c>
      <c r="BQ1" t="s">
        <v>467</v>
      </c>
      <c r="BR1" t="s">
        <v>367</v>
      </c>
      <c r="BS1" t="s">
        <v>35</v>
      </c>
      <c r="BT1" t="s">
        <v>524</v>
      </c>
      <c r="BU1" t="s">
        <v>468</v>
      </c>
      <c r="BV1" t="s">
        <v>525</v>
      </c>
      <c r="BW1" t="s">
        <v>52</v>
      </c>
      <c r="BX1" t="s">
        <v>36</v>
      </c>
      <c r="BY1" t="s">
        <v>526</v>
      </c>
      <c r="BZ1" t="s">
        <v>53</v>
      </c>
      <c r="CA1" t="s">
        <v>37</v>
      </c>
      <c r="CB1" t="s">
        <v>527</v>
      </c>
      <c r="CC1" t="s">
        <v>528</v>
      </c>
      <c r="CD1" t="s">
        <v>529</v>
      </c>
      <c r="CE1" t="s">
        <v>530</v>
      </c>
      <c r="CF1" s="1" t="s">
        <v>469</v>
      </c>
      <c r="CG1" s="1" t="s">
        <v>470</v>
      </c>
      <c r="CH1" s="1" t="s">
        <v>39</v>
      </c>
      <c r="CI1" s="1" t="s">
        <v>40</v>
      </c>
      <c r="CJ1" s="1" t="s">
        <v>41</v>
      </c>
      <c r="CK1" s="1" t="s">
        <v>42</v>
      </c>
      <c r="CL1" s="1" t="s">
        <v>43</v>
      </c>
      <c r="CM1" s="1" t="s">
        <v>44</v>
      </c>
      <c r="CN1" s="1" t="s">
        <v>45</v>
      </c>
      <c r="CO1" s="1" t="s">
        <v>46</v>
      </c>
      <c r="CP1" s="1" t="s">
        <v>47</v>
      </c>
      <c r="CQ1" s="1" t="s">
        <v>48</v>
      </c>
      <c r="CR1" s="1" t="s">
        <v>471</v>
      </c>
      <c r="CS1" s="1" t="s">
        <v>538</v>
      </c>
      <c r="CT1" s="1" t="s">
        <v>531</v>
      </c>
      <c r="CU1" s="1" t="s">
        <v>472</v>
      </c>
      <c r="CV1" s="1" t="s">
        <v>473</v>
      </c>
      <c r="CW1" s="1" t="s">
        <v>532</v>
      </c>
      <c r="CX1">
        <v>1</v>
      </c>
      <c r="CY1" t="s">
        <v>539</v>
      </c>
      <c r="CZ1" t="s">
        <v>540</v>
      </c>
      <c r="DA1">
        <v>3</v>
      </c>
      <c r="DB1" t="s">
        <v>474</v>
      </c>
      <c r="DC1" t="s">
        <v>475</v>
      </c>
      <c r="DD1">
        <v>6</v>
      </c>
      <c r="DE1" t="s">
        <v>476</v>
      </c>
      <c r="DF1" t="s">
        <v>477</v>
      </c>
      <c r="DG1">
        <v>10</v>
      </c>
      <c r="DH1" t="s">
        <v>541</v>
      </c>
      <c r="DI1" t="s">
        <v>478</v>
      </c>
      <c r="DJ1">
        <v>20</v>
      </c>
      <c r="DK1" t="s">
        <v>542</v>
      </c>
      <c r="DL1" t="s">
        <v>49</v>
      </c>
      <c r="DM1" t="s">
        <v>50</v>
      </c>
      <c r="DN1" s="2" t="s">
        <v>51</v>
      </c>
      <c r="DO1" t="s">
        <v>479</v>
      </c>
      <c r="DP1" t="s">
        <v>533</v>
      </c>
      <c r="DQ1" s="10" t="s">
        <v>480</v>
      </c>
      <c r="DR1" s="1" t="s">
        <v>543</v>
      </c>
      <c r="DS1" s="1" t="s">
        <v>534</v>
      </c>
      <c r="DT1" t="s">
        <v>544</v>
      </c>
      <c r="DU1" t="s">
        <v>481</v>
      </c>
      <c r="DV1" t="s">
        <v>482</v>
      </c>
      <c r="DW1" t="s">
        <v>545</v>
      </c>
      <c r="DX1" t="s">
        <v>546</v>
      </c>
      <c r="DY1" t="s">
        <v>535</v>
      </c>
      <c r="DZ1" t="s">
        <v>547</v>
      </c>
      <c r="EA1" t="s">
        <v>536</v>
      </c>
      <c r="EB1" t="s">
        <v>548</v>
      </c>
      <c r="EC1" t="s">
        <v>483</v>
      </c>
      <c r="ED1" t="s">
        <v>549</v>
      </c>
      <c r="EE1" t="s">
        <v>484</v>
      </c>
      <c r="EF1" t="s">
        <v>485</v>
      </c>
      <c r="EG1" t="s">
        <v>550</v>
      </c>
      <c r="EH1" t="s">
        <v>486</v>
      </c>
      <c r="EI1" t="s">
        <v>487</v>
      </c>
      <c r="EK1" s="11" t="s">
        <v>488</v>
      </c>
      <c r="EL1" t="s">
        <v>537</v>
      </c>
      <c r="EM1" t="s">
        <v>489</v>
      </c>
      <c r="EN1" t="s">
        <v>551</v>
      </c>
      <c r="EO1" t="s">
        <v>490</v>
      </c>
      <c r="EP1" t="s">
        <v>491</v>
      </c>
    </row>
    <row r="2" spans="1:146" ht="108" x14ac:dyDescent="0.25">
      <c r="A2" s="7"/>
      <c r="B2" s="7"/>
      <c r="C2" s="7" t="str">
        <f>""&amp;CHAR(10)&amp;Basic_Fundamental_Information_Constructure(F2)&amp;CHAR(10)&amp;Basic_Fundamental_Information_Concatenate("")</f>
        <v xml:space="preserve">
市值1934.77亿, 利润464.55亿; PE4.14; 平均PE5.52; 平均PEG.73, PB.466; ROIC0%; ROE11.03%; 股利率7.2116%; 毛利0%; 净利24.9867%; 上一年度营收增-8.45%, 利润增2.06%; 当季营收增-14.03%, 利润增2.26%; 过往5年营收增7.51%, 利润增13.83%
Income profile:
</v>
      </c>
      <c r="D2" t="s">
        <v>63</v>
      </c>
      <c r="E2" t="s">
        <v>64</v>
      </c>
      <c r="F2">
        <v>9.9700000000000006</v>
      </c>
      <c r="G2">
        <v>-2.83</v>
      </c>
      <c r="H2" t="s">
        <v>578</v>
      </c>
      <c r="I2">
        <v>193477000000</v>
      </c>
      <c r="J2">
        <v>4.1399999999999997</v>
      </c>
      <c r="K2">
        <v>0.46600000000000003</v>
      </c>
      <c r="L2" t="s">
        <v>65</v>
      </c>
      <c r="M2" t="s">
        <v>579</v>
      </c>
      <c r="N2" t="s">
        <v>580</v>
      </c>
      <c r="O2" t="s">
        <v>581</v>
      </c>
      <c r="P2">
        <v>-14.03</v>
      </c>
      <c r="Q2" t="s">
        <v>582</v>
      </c>
      <c r="R2">
        <v>14932000000</v>
      </c>
      <c r="S2" s="5">
        <v>2.2599999999999999E-2</v>
      </c>
      <c r="T2" t="s">
        <v>583</v>
      </c>
      <c r="U2">
        <v>19405547000</v>
      </c>
      <c r="V2">
        <v>19405918000</v>
      </c>
      <c r="W2">
        <v>11.8</v>
      </c>
      <c r="X2">
        <v>0.01</v>
      </c>
      <c r="Y2">
        <v>38.51</v>
      </c>
      <c r="Z2" t="s">
        <v>5</v>
      </c>
      <c r="AA2" t="s">
        <v>5</v>
      </c>
      <c r="AB2" t="s">
        <v>5</v>
      </c>
      <c r="AC2" t="s">
        <v>5</v>
      </c>
      <c r="AD2" t="s">
        <v>5</v>
      </c>
      <c r="AE2">
        <v>0</v>
      </c>
      <c r="AF2" t="s">
        <v>584</v>
      </c>
      <c r="AG2" t="s">
        <v>585</v>
      </c>
      <c r="AH2" t="s">
        <v>586</v>
      </c>
      <c r="AI2" t="s">
        <v>5</v>
      </c>
      <c r="AJ2" t="s">
        <v>21</v>
      </c>
      <c r="AK2" t="s">
        <v>5</v>
      </c>
      <c r="AL2" t="s">
        <v>21</v>
      </c>
      <c r="AM2" t="s">
        <v>587</v>
      </c>
      <c r="AN2" t="s">
        <v>5</v>
      </c>
      <c r="AO2" t="s">
        <v>5</v>
      </c>
      <c r="AP2" t="s">
        <v>5</v>
      </c>
      <c r="AQ2" t="s">
        <v>5</v>
      </c>
      <c r="AR2" t="s">
        <v>5</v>
      </c>
      <c r="AS2" t="s">
        <v>5</v>
      </c>
      <c r="AT2" t="s">
        <v>5</v>
      </c>
      <c r="AU2" t="s">
        <v>588</v>
      </c>
      <c r="AV2" t="s">
        <v>589</v>
      </c>
      <c r="AW2" t="s">
        <v>590</v>
      </c>
      <c r="AX2" t="s">
        <v>591</v>
      </c>
      <c r="AY2" t="s">
        <v>368</v>
      </c>
      <c r="AZ2" t="s">
        <v>66</v>
      </c>
      <c r="BA2" t="s">
        <v>68</v>
      </c>
      <c r="BB2" t="s">
        <v>69</v>
      </c>
      <c r="BC2" t="s">
        <v>592</v>
      </c>
      <c r="BD2" t="s">
        <v>369</v>
      </c>
      <c r="BE2" t="s">
        <v>67</v>
      </c>
      <c r="BF2" t="s">
        <v>70</v>
      </c>
      <c r="BG2" t="s">
        <v>71</v>
      </c>
      <c r="BH2" t="s">
        <v>582</v>
      </c>
      <c r="BI2" t="s">
        <v>593</v>
      </c>
      <c r="BJ2" t="s">
        <v>591</v>
      </c>
      <c r="BK2" t="s">
        <v>583</v>
      </c>
      <c r="BL2" t="s">
        <v>594</v>
      </c>
      <c r="BM2" t="s">
        <v>592</v>
      </c>
      <c r="BN2" t="s">
        <v>5</v>
      </c>
      <c r="BO2" t="s">
        <v>5</v>
      </c>
      <c r="BP2" t="s">
        <v>5</v>
      </c>
      <c r="BQ2">
        <v>9.8800000000000008</v>
      </c>
      <c r="BR2">
        <v>12.36</v>
      </c>
      <c r="BS2">
        <v>10.85</v>
      </c>
      <c r="BT2" t="s">
        <v>595</v>
      </c>
      <c r="BU2" t="s">
        <v>492</v>
      </c>
      <c r="BV2" t="s">
        <v>5</v>
      </c>
      <c r="BW2" t="s">
        <v>5</v>
      </c>
      <c r="BX2" t="s">
        <v>5</v>
      </c>
      <c r="BY2">
        <v>28.21</v>
      </c>
      <c r="BZ2">
        <v>25.3</v>
      </c>
      <c r="CA2">
        <v>21.45</v>
      </c>
      <c r="CB2">
        <v>-1.77</v>
      </c>
      <c r="CC2">
        <v>-6.66</v>
      </c>
      <c r="CD2" t="s">
        <v>596</v>
      </c>
      <c r="CE2" t="s">
        <v>597</v>
      </c>
      <c r="CF2" s="12">
        <v>-0.14031664375360325</v>
      </c>
      <c r="CG2" s="13">
        <v>2.2599643884399265E-2</v>
      </c>
      <c r="CH2" s="12">
        <v>-8.4471479058265686E-2</v>
      </c>
      <c r="CI2" s="12">
        <v>6.2060482800006866E-2</v>
      </c>
      <c r="CJ2" s="12">
        <v>0.1031704768538475</v>
      </c>
      <c r="CK2" s="12">
        <v>0.11296193301677704</v>
      </c>
      <c r="CL2" s="12">
        <v>0.18199728429317474</v>
      </c>
      <c r="CM2" s="13">
        <v>2.0630102604627609E-2</v>
      </c>
      <c r="CN2" s="13">
        <v>0.25264200568199158</v>
      </c>
      <c r="CO2" s="13">
        <v>0.25608411431312561</v>
      </c>
      <c r="CP2" s="13">
        <v>2.5997506454586983E-2</v>
      </c>
      <c r="CQ2" s="13">
        <v>0.1360706090927124</v>
      </c>
      <c r="CR2">
        <v>5.5213937825805708</v>
      </c>
      <c r="CS2">
        <v>0.73477761598768043</v>
      </c>
      <c r="CT2">
        <v>7.2116349047141419</v>
      </c>
      <c r="CU2" s="12">
        <v>7.5143739581108093E-2</v>
      </c>
      <c r="CV2" s="13">
        <v>0.13828486762940884</v>
      </c>
      <c r="CW2">
        <v>0.06</v>
      </c>
      <c r="CX2">
        <v>102.35195135685024</v>
      </c>
      <c r="CY2">
        <v>47118681530.415451</v>
      </c>
      <c r="CZ2">
        <v>7.5143739581108093E-2</v>
      </c>
      <c r="DA2">
        <v>33.871806451669087</v>
      </c>
      <c r="DB2">
        <v>142380625812.83893</v>
      </c>
      <c r="DC2">
        <v>7.1386552602052691E-2</v>
      </c>
      <c r="DD2">
        <v>16.956041216026126</v>
      </c>
      <c r="DE2">
        <v>284423052442.32367</v>
      </c>
      <c r="DF2">
        <v>6.6126490831375118E-2</v>
      </c>
      <c r="DG2">
        <v>10.375228284206392</v>
      </c>
      <c r="DH2">
        <v>464827266243.51001</v>
      </c>
      <c r="DI2">
        <v>6.0114991664886479E-2</v>
      </c>
      <c r="DJ2">
        <v>5.5823379996933875</v>
      </c>
      <c r="DK2">
        <v>863919203793.26526</v>
      </c>
      <c r="DL2">
        <v>5.2600617706775661E-2</v>
      </c>
      <c r="DM2">
        <v>46455000000</v>
      </c>
      <c r="DN2">
        <v>7.5143739581108093E-2</v>
      </c>
      <c r="DO2">
        <v>4822689000000</v>
      </c>
      <c r="DP2">
        <v>0</v>
      </c>
      <c r="DQ2">
        <v>1</v>
      </c>
      <c r="DR2">
        <v>-0.21546038333471135</v>
      </c>
      <c r="DS2">
        <v>-0.11568522374500957</v>
      </c>
      <c r="DT2" s="14">
        <v>-0.34</v>
      </c>
      <c r="DU2">
        <v>0.28333333333333338</v>
      </c>
      <c r="DV2">
        <v>-5.6666666666666643E-2</v>
      </c>
      <c r="DW2">
        <v>-2.0666000000000002</v>
      </c>
      <c r="DX2">
        <v>0.58371802136122997</v>
      </c>
      <c r="DY2">
        <v>-2.0122356202226577</v>
      </c>
      <c r="DZ2">
        <v>1833</v>
      </c>
      <c r="EA2">
        <v>-2.0078466002876025</v>
      </c>
      <c r="EB2">
        <v>2</v>
      </c>
      <c r="EC2">
        <v>3.035156595013954E-2</v>
      </c>
      <c r="ED2">
        <v>0.16520733520568312</v>
      </c>
      <c r="EE2" s="15">
        <v>4.2500000000000003E-2</v>
      </c>
      <c r="EF2">
        <v>4.7500000000000001E-2</v>
      </c>
      <c r="EG2">
        <v>40.18371802136123</v>
      </c>
      <c r="EH2" t="s">
        <v>497</v>
      </c>
      <c r="EI2">
        <v>0</v>
      </c>
      <c r="EJ2">
        <v>0</v>
      </c>
      <c r="EK2" s="11">
        <v>45470</v>
      </c>
      <c r="EL2" s="16">
        <v>-0.5</v>
      </c>
      <c r="EM2" s="16">
        <v>-0.2</v>
      </c>
      <c r="EN2" s="16">
        <v>1</v>
      </c>
      <c r="EO2" s="16">
        <v>0</v>
      </c>
      <c r="EP2" s="16">
        <v>0.5</v>
      </c>
    </row>
    <row r="3" spans="1:146" ht="108" x14ac:dyDescent="0.25">
      <c r="A3" s="7"/>
      <c r="B3" s="7"/>
      <c r="C3" s="7" t="str">
        <f>""&amp;CHAR(10)&amp;Basic_Fundamental_Information_Constructure(F3)&amp;CHAR(10)&amp;Basic_Fundamental_Information_Concatenate("")</f>
        <v xml:space="preserve">
市值137.2663亿, 利润18.64亿; PE7.35; 平均PE7.94; 平均PEG2.22, PB.475; ROIC0%; ROE5.45%; 股利率4.1494%; 毛利0%; 净利22.7033%; 上一年度营收增7.6%, 利润增7.56%; 当季营收增-1.35%, 利润增.87%; 过往5年营收增3.57%, 利润增-1.96%
Income profile:
</v>
      </c>
      <c r="D3" t="s">
        <v>370</v>
      </c>
      <c r="E3" t="s">
        <v>371</v>
      </c>
      <c r="F3">
        <v>2.41</v>
      </c>
      <c r="G3">
        <v>0</v>
      </c>
      <c r="H3" t="s">
        <v>598</v>
      </c>
      <c r="I3">
        <v>13726630000</v>
      </c>
      <c r="J3">
        <v>7.35</v>
      </c>
      <c r="K3">
        <v>0.47499999999999998</v>
      </c>
      <c r="L3" t="s">
        <v>65</v>
      </c>
      <c r="M3" t="s">
        <v>599</v>
      </c>
      <c r="N3" t="s">
        <v>600</v>
      </c>
      <c r="O3" t="s">
        <v>601</v>
      </c>
      <c r="P3">
        <v>-1.33</v>
      </c>
      <c r="Q3" t="s">
        <v>602</v>
      </c>
      <c r="R3">
        <v>545701200</v>
      </c>
      <c r="S3" s="5">
        <v>8.8599999999999998E-3</v>
      </c>
      <c r="T3" t="s">
        <v>603</v>
      </c>
      <c r="U3">
        <v>2768718800</v>
      </c>
      <c r="V3">
        <v>5695697200</v>
      </c>
      <c r="W3">
        <v>13.53</v>
      </c>
      <c r="X3">
        <v>0</v>
      </c>
      <c r="Y3">
        <v>28.39</v>
      </c>
      <c r="Z3" t="s">
        <v>5</v>
      </c>
      <c r="AA3" t="s">
        <v>5</v>
      </c>
      <c r="AB3" t="s">
        <v>5</v>
      </c>
      <c r="AC3" t="s">
        <v>5</v>
      </c>
      <c r="AD3" t="s">
        <v>5</v>
      </c>
      <c r="AE3">
        <v>0</v>
      </c>
      <c r="AF3" t="s">
        <v>604</v>
      </c>
      <c r="AG3" t="s">
        <v>605</v>
      </c>
      <c r="AH3" t="s">
        <v>606</v>
      </c>
      <c r="AI3" t="s">
        <v>5</v>
      </c>
      <c r="AJ3" t="s">
        <v>21</v>
      </c>
      <c r="AK3" t="s">
        <v>5</v>
      </c>
      <c r="AL3" t="s">
        <v>21</v>
      </c>
      <c r="AM3" t="s">
        <v>607</v>
      </c>
      <c r="AN3" t="s">
        <v>608</v>
      </c>
      <c r="AO3" t="s">
        <v>5</v>
      </c>
      <c r="AP3" t="s">
        <v>5</v>
      </c>
      <c r="AQ3" t="s">
        <v>5</v>
      </c>
      <c r="AR3" t="s">
        <v>5</v>
      </c>
      <c r="AS3" t="s">
        <v>5</v>
      </c>
      <c r="AT3" t="s">
        <v>5</v>
      </c>
      <c r="AU3" t="s">
        <v>609</v>
      </c>
      <c r="AV3" t="s">
        <v>610</v>
      </c>
      <c r="AW3" t="s">
        <v>611</v>
      </c>
      <c r="AX3" t="s">
        <v>612</v>
      </c>
      <c r="AY3" t="s">
        <v>372</v>
      </c>
      <c r="AZ3" t="s">
        <v>374</v>
      </c>
      <c r="BA3" t="s">
        <v>375</v>
      </c>
      <c r="BB3" t="s">
        <v>376</v>
      </c>
      <c r="BC3" t="s">
        <v>613</v>
      </c>
      <c r="BD3" t="s">
        <v>373</v>
      </c>
      <c r="BE3" t="s">
        <v>377</v>
      </c>
      <c r="BF3" t="s">
        <v>378</v>
      </c>
      <c r="BG3" t="s">
        <v>379</v>
      </c>
      <c r="BH3" t="s">
        <v>602</v>
      </c>
      <c r="BI3" t="s">
        <v>614</v>
      </c>
      <c r="BJ3" t="s">
        <v>612</v>
      </c>
      <c r="BK3" t="s">
        <v>603</v>
      </c>
      <c r="BL3" t="s">
        <v>615</v>
      </c>
      <c r="BM3" t="s">
        <v>613</v>
      </c>
      <c r="BN3" t="s">
        <v>5</v>
      </c>
      <c r="BO3" t="s">
        <v>5</v>
      </c>
      <c r="BP3" t="s">
        <v>5</v>
      </c>
      <c r="BQ3">
        <v>4.82</v>
      </c>
      <c r="BR3">
        <v>5.77</v>
      </c>
      <c r="BS3">
        <v>5.76</v>
      </c>
      <c r="BT3" t="s">
        <v>553</v>
      </c>
      <c r="BU3" t="s">
        <v>493</v>
      </c>
      <c r="BV3" t="s">
        <v>5</v>
      </c>
      <c r="BW3" t="s">
        <v>5</v>
      </c>
      <c r="BX3" t="s">
        <v>5</v>
      </c>
      <c r="BY3">
        <v>23.86</v>
      </c>
      <c r="BZ3">
        <v>23.8</v>
      </c>
      <c r="CA3">
        <v>20.45</v>
      </c>
      <c r="CB3">
        <v>1.26</v>
      </c>
      <c r="CC3">
        <v>-7.31</v>
      </c>
      <c r="CD3" t="s">
        <v>616</v>
      </c>
      <c r="CE3" t="s">
        <v>617</v>
      </c>
      <c r="CF3" s="12">
        <v>-1.35E-2</v>
      </c>
      <c r="CG3" s="13">
        <v>8.6898336414048052E-3</v>
      </c>
      <c r="CH3" s="12">
        <v>7.5973175466060638E-2</v>
      </c>
      <c r="CI3" s="12">
        <v>-4.925987496972084E-2</v>
      </c>
      <c r="CJ3" s="12">
        <v>7.2836838662624359E-2</v>
      </c>
      <c r="CK3" s="12">
        <v>-4.1218150407075882E-2</v>
      </c>
      <c r="CL3" s="12">
        <v>0.12029410153627396</v>
      </c>
      <c r="CM3" s="13">
        <v>7.5591497123241425E-2</v>
      </c>
      <c r="CN3" s="13">
        <v>0.10664108395576477</v>
      </c>
      <c r="CO3" s="13">
        <v>4.8894885927438736E-2</v>
      </c>
      <c r="CP3" s="13">
        <v>1.9808700308203697E-2</v>
      </c>
      <c r="CQ3" s="13">
        <v>-0.34875443577766418</v>
      </c>
      <c r="CR3">
        <v>7.9436516203703702</v>
      </c>
      <c r="CS3">
        <v>2.2235418150717949</v>
      </c>
      <c r="CT3">
        <v>4.1493775933609953</v>
      </c>
      <c r="CU3" s="12">
        <v>3.5725218057632444E-2</v>
      </c>
      <c r="CV3" s="13">
        <v>-1.9563653692603111E-2</v>
      </c>
      <c r="CW3">
        <v>0.06</v>
      </c>
      <c r="CX3">
        <v>219.43159935859961</v>
      </c>
      <c r="CY3">
        <v>1821313024.9617233</v>
      </c>
      <c r="CZ3">
        <v>3.5725218057632444E-2</v>
      </c>
      <c r="DA3">
        <v>75.101537774054151</v>
      </c>
      <c r="DB3">
        <v>5321510608.7757244</v>
      </c>
      <c r="DC3">
        <v>3.3938957154750822E-2</v>
      </c>
      <c r="DD3">
        <v>39.276562738413482</v>
      </c>
      <c r="DE3">
        <v>10175371828.276831</v>
      </c>
      <c r="DF3">
        <v>3.1438191890716553E-2</v>
      </c>
      <c r="DG3">
        <v>25.205166508887867</v>
      </c>
      <c r="DH3">
        <v>15856020227.403528</v>
      </c>
      <c r="DI3">
        <v>2.8580174446105958E-2</v>
      </c>
      <c r="DJ3">
        <v>14.968527948155137</v>
      </c>
      <c r="DK3">
        <v>26699594735.316448</v>
      </c>
      <c r="DL3">
        <v>2.5007652640342708E-2</v>
      </c>
      <c r="DM3">
        <v>1864000000</v>
      </c>
      <c r="DN3">
        <v>3.5725218057632444E-2</v>
      </c>
      <c r="DO3">
        <v>399653630000</v>
      </c>
      <c r="DP3">
        <v>0</v>
      </c>
      <c r="DQ3">
        <v>449</v>
      </c>
      <c r="DR3">
        <v>-4.9225218057632442E-2</v>
      </c>
      <c r="DS3">
        <v>2.8253487334007916E-2</v>
      </c>
      <c r="DT3" s="14">
        <v>-0.44</v>
      </c>
      <c r="DU3">
        <v>0.12000000000000001</v>
      </c>
      <c r="DV3">
        <v>-0.32</v>
      </c>
      <c r="DW3">
        <v>-2.0731000000000002</v>
      </c>
      <c r="DX3">
        <v>0.36617706237424674</v>
      </c>
      <c r="DY3">
        <v>-2.0143405432595571</v>
      </c>
      <c r="DZ3">
        <v>2496</v>
      </c>
      <c r="EA3">
        <v>-2.0073358473738714</v>
      </c>
      <c r="EB3">
        <v>2</v>
      </c>
      <c r="EC3">
        <v>3.4236370571104097E-2</v>
      </c>
      <c r="ED3">
        <v>0.17451770434706396</v>
      </c>
      <c r="EE3" s="15">
        <v>-1.0274099999999999</v>
      </c>
      <c r="EF3">
        <v>-1.02321</v>
      </c>
      <c r="EG3">
        <v>17.196177062374247</v>
      </c>
      <c r="EH3" t="s">
        <v>618</v>
      </c>
      <c r="EI3">
        <v>0</v>
      </c>
      <c r="EJ3">
        <v>0</v>
      </c>
      <c r="EK3" s="11">
        <v>45470</v>
      </c>
      <c r="EL3" s="16">
        <v>-0.41</v>
      </c>
      <c r="EM3" s="16">
        <v>-2.88</v>
      </c>
      <c r="EN3" s="16">
        <v>0</v>
      </c>
      <c r="EO3" s="16">
        <v>0.85</v>
      </c>
      <c r="EP3" s="16">
        <v>0.42</v>
      </c>
    </row>
    <row r="4" spans="1:146" ht="108" x14ac:dyDescent="0.25">
      <c r="A4" s="7"/>
      <c r="B4" s="7"/>
      <c r="C4" s="7" t="str">
        <f>""&amp;CHAR(10)&amp;Basic_Fundamental_Information_Constructure(F4)&amp;CHAR(10)&amp;Basic_Fundamental_Information_Concatenate("")</f>
        <v xml:space="preserve">
市值1444.2053亿, 利润255.35亿; PE5.57; 平均PE8.02; 平均PEG.48, PB.779; ROIC0%; ROE14.7167%; 股利率2.7435%; 毛利0%; 净利39.57%; 上一年度营收增6.4%, 利润增10.66%; 当季营收增5.78%, 利润增6.29%; 过往5年营收增16.58%, 利润增18.19%
Income profile:
</v>
      </c>
      <c r="D4" t="s">
        <v>72</v>
      </c>
      <c r="E4" t="s">
        <v>73</v>
      </c>
      <c r="F4">
        <v>21.87</v>
      </c>
      <c r="G4">
        <v>-2.4500000000000002</v>
      </c>
      <c r="H4" t="s">
        <v>619</v>
      </c>
      <c r="I4">
        <v>144420530000</v>
      </c>
      <c r="J4">
        <v>5.57</v>
      </c>
      <c r="K4">
        <v>0.77900000000000003</v>
      </c>
      <c r="L4" t="s">
        <v>65</v>
      </c>
      <c r="M4" t="s">
        <v>620</v>
      </c>
      <c r="N4" t="s">
        <v>621</v>
      </c>
      <c r="O4" t="s">
        <v>622</v>
      </c>
      <c r="P4">
        <v>5.78</v>
      </c>
      <c r="Q4" t="s">
        <v>623</v>
      </c>
      <c r="R4">
        <v>7013000000</v>
      </c>
      <c r="S4" s="5">
        <v>6.2899999999999998E-2</v>
      </c>
      <c r="T4" t="s">
        <v>624</v>
      </c>
      <c r="U4">
        <v>6525025300</v>
      </c>
      <c r="V4">
        <v>6603590800</v>
      </c>
      <c r="W4">
        <v>13.67</v>
      </c>
      <c r="X4">
        <v>0.01</v>
      </c>
      <c r="Y4">
        <v>40.17</v>
      </c>
      <c r="Z4" t="s">
        <v>5</v>
      </c>
      <c r="AA4" t="s">
        <v>5</v>
      </c>
      <c r="AB4" t="s">
        <v>5</v>
      </c>
      <c r="AC4" t="s">
        <v>5</v>
      </c>
      <c r="AD4" t="s">
        <v>5</v>
      </c>
      <c r="AE4">
        <v>0</v>
      </c>
      <c r="AF4" t="s">
        <v>625</v>
      </c>
      <c r="AG4" t="s">
        <v>626</v>
      </c>
      <c r="AH4" t="s">
        <v>627</v>
      </c>
      <c r="AI4" t="s">
        <v>5</v>
      </c>
      <c r="AJ4" t="s">
        <v>21</v>
      </c>
      <c r="AK4" t="s">
        <v>5</v>
      </c>
      <c r="AL4" t="s">
        <v>21</v>
      </c>
      <c r="AM4" t="s">
        <v>628</v>
      </c>
      <c r="AN4" t="s">
        <v>629</v>
      </c>
      <c r="AO4" t="s">
        <v>5</v>
      </c>
      <c r="AP4" t="s">
        <v>5</v>
      </c>
      <c r="AQ4" t="s">
        <v>5</v>
      </c>
      <c r="AR4" t="s">
        <v>5</v>
      </c>
      <c r="AS4" t="s">
        <v>5</v>
      </c>
      <c r="AT4" t="s">
        <v>5</v>
      </c>
      <c r="AU4" t="s">
        <v>630</v>
      </c>
      <c r="AV4" t="s">
        <v>631</v>
      </c>
      <c r="AW4" t="s">
        <v>632</v>
      </c>
      <c r="AX4" t="s">
        <v>633</v>
      </c>
      <c r="AY4" t="s">
        <v>380</v>
      </c>
      <c r="AZ4" t="s">
        <v>74</v>
      </c>
      <c r="BA4" t="s">
        <v>76</v>
      </c>
      <c r="BB4" t="s">
        <v>77</v>
      </c>
      <c r="BC4" t="s">
        <v>634</v>
      </c>
      <c r="BD4" t="s">
        <v>381</v>
      </c>
      <c r="BE4" t="s">
        <v>75</v>
      </c>
      <c r="BF4" t="s">
        <v>78</v>
      </c>
      <c r="BG4" t="s">
        <v>79</v>
      </c>
      <c r="BH4" t="s">
        <v>623</v>
      </c>
      <c r="BI4" t="s">
        <v>635</v>
      </c>
      <c r="BJ4" t="s">
        <v>633</v>
      </c>
      <c r="BK4" t="s">
        <v>624</v>
      </c>
      <c r="BL4" t="s">
        <v>636</v>
      </c>
      <c r="BM4" t="s">
        <v>634</v>
      </c>
      <c r="BN4" t="s">
        <v>5</v>
      </c>
      <c r="BO4" t="s">
        <v>5</v>
      </c>
      <c r="BP4" t="s">
        <v>5</v>
      </c>
      <c r="BQ4">
        <v>11.96</v>
      </c>
      <c r="BR4">
        <v>15.56</v>
      </c>
      <c r="BS4">
        <v>16.63</v>
      </c>
      <c r="BT4" t="s">
        <v>637</v>
      </c>
      <c r="BU4" t="s">
        <v>493</v>
      </c>
      <c r="BV4" t="s">
        <v>5</v>
      </c>
      <c r="BW4" t="s">
        <v>5</v>
      </c>
      <c r="BX4" t="s">
        <v>5</v>
      </c>
      <c r="BY4">
        <v>41.58</v>
      </c>
      <c r="BZ4">
        <v>39.97</v>
      </c>
      <c r="CA4">
        <v>37.159999999999997</v>
      </c>
      <c r="CB4">
        <v>-0.86</v>
      </c>
      <c r="CC4">
        <v>-14.4</v>
      </c>
      <c r="CD4" t="s">
        <v>565</v>
      </c>
      <c r="CE4" t="s">
        <v>638</v>
      </c>
      <c r="CF4" s="12">
        <v>5.7753881471636563E-2</v>
      </c>
      <c r="CG4" s="13">
        <v>6.2897847832676573E-2</v>
      </c>
      <c r="CH4" s="12">
        <v>6.403011828660965E-2</v>
      </c>
      <c r="CI4" s="12">
        <v>9.6733249723911285E-2</v>
      </c>
      <c r="CJ4" s="12">
        <v>0.28369536995887756</v>
      </c>
      <c r="CK4" s="12">
        <v>0.17185454070568085</v>
      </c>
      <c r="CL4" s="12">
        <v>0.21265113353729248</v>
      </c>
      <c r="CM4" s="13">
        <v>0.10660888999700546</v>
      </c>
      <c r="CN4" s="13">
        <v>0.18054850399494171</v>
      </c>
      <c r="CO4" s="13">
        <v>0.29873746633529663</v>
      </c>
      <c r="CP4" s="13">
        <v>9.7338683903217316E-2</v>
      </c>
      <c r="CQ4" s="13">
        <v>0.22608622908592224</v>
      </c>
      <c r="CR4">
        <v>8.0154215730711247</v>
      </c>
      <c r="CS4">
        <v>0.48345993235579693</v>
      </c>
      <c r="CT4">
        <v>2.7434842249657065</v>
      </c>
      <c r="CU4" s="12">
        <v>0.16579288244247437</v>
      </c>
      <c r="CV4" s="13">
        <v>0.18186395466327668</v>
      </c>
      <c r="CW4">
        <v>0.06</v>
      </c>
      <c r="CX4">
        <v>86.978532113831534</v>
      </c>
      <c r="CY4">
        <v>28083510616.196774</v>
      </c>
      <c r="CZ4">
        <v>0.16579288244247437</v>
      </c>
      <c r="DA4">
        <v>26.671866589283162</v>
      </c>
      <c r="DB4">
        <v>91581986653.362656</v>
      </c>
      <c r="DC4">
        <v>0.15750323832035065</v>
      </c>
      <c r="DD4">
        <v>12.030902825192239</v>
      </c>
      <c r="DE4">
        <v>203032354719.47794</v>
      </c>
      <c r="DF4">
        <v>0.14589773654937743</v>
      </c>
      <c r="DG4">
        <v>6.5249325149650419</v>
      </c>
      <c r="DH4">
        <v>374358282541.26959</v>
      </c>
      <c r="DI4">
        <v>0.13263430595397949</v>
      </c>
      <c r="DJ4">
        <v>2.6650465093553213</v>
      </c>
      <c r="DK4">
        <v>916555310170.13416</v>
      </c>
      <c r="DL4">
        <v>0.11605501770973205</v>
      </c>
      <c r="DM4">
        <v>25535000000</v>
      </c>
      <c r="DN4">
        <v>0.16579288244247437</v>
      </c>
      <c r="DO4">
        <v>2442662530000</v>
      </c>
      <c r="DP4">
        <v>0</v>
      </c>
      <c r="DQ4">
        <v>654</v>
      </c>
      <c r="DR4">
        <v>-0.1080390009708378</v>
      </c>
      <c r="DS4">
        <v>-0.1189661068306001</v>
      </c>
      <c r="DT4" s="14">
        <v>-9.000000000000008E-2</v>
      </c>
      <c r="DU4">
        <v>0.3833333333333333</v>
      </c>
      <c r="DV4">
        <v>0.29333333333333322</v>
      </c>
      <c r="DW4">
        <v>-2.1440000000000001</v>
      </c>
      <c r="DX4">
        <v>0.47789072426937834</v>
      </c>
      <c r="DY4">
        <v>-2.0256162642947904</v>
      </c>
      <c r="DZ4">
        <v>1066</v>
      </c>
      <c r="EA4">
        <v>-2.020272440862648</v>
      </c>
      <c r="EB4">
        <v>2</v>
      </c>
      <c r="EC4">
        <v>2.1200586808013604E-2</v>
      </c>
      <c r="ED4">
        <v>0.11917758441361934</v>
      </c>
      <c r="EE4" s="15">
        <v>1.0606100000000001</v>
      </c>
      <c r="EF4">
        <v>1.06551</v>
      </c>
      <c r="EG4">
        <v>30.177890724269378</v>
      </c>
      <c r="EH4" t="s">
        <v>639</v>
      </c>
      <c r="EI4">
        <v>0</v>
      </c>
      <c r="EJ4">
        <v>1</v>
      </c>
      <c r="EK4" s="11">
        <v>45470</v>
      </c>
      <c r="EL4" s="16">
        <v>-0.18</v>
      </c>
      <c r="EM4" s="16">
        <v>-0.09</v>
      </c>
      <c r="EN4" s="16">
        <v>1.9</v>
      </c>
      <c r="EO4" s="16">
        <v>-0.93</v>
      </c>
      <c r="EP4" s="16">
        <v>-0.49</v>
      </c>
    </row>
    <row r="5" spans="1:146" ht="108" x14ac:dyDescent="0.25">
      <c r="A5" s="7"/>
      <c r="B5" s="7"/>
      <c r="C5" s="7" t="str">
        <f>""&amp;CHAR(10)&amp;Basic_Fundamental_Information_Constructure(F5)&amp;CHAR(10)&amp;Basic_Fundamental_Information_Concatenate("")</f>
        <v xml:space="preserve">
市值91.317672亿, 利润18.88亿; PE4.74; 平均PE7.11; 平均PEG1.75, PB.528; ROIC0%; ROE9.7367%; 股利率5.1213%; 毛利0%; 净利44.4%; 上一年度营收增2.25%, 利润增16.83%; 当季营收增2.61%, 利润增12.8%; 过往5年营收增4.06%, 利润增17.35%
Income profile:
</v>
      </c>
      <c r="D5" t="s">
        <v>80</v>
      </c>
      <c r="E5" t="s">
        <v>81</v>
      </c>
      <c r="F5">
        <v>3.71</v>
      </c>
      <c r="G5">
        <v>-2.11</v>
      </c>
      <c r="H5" t="s">
        <v>640</v>
      </c>
      <c r="I5">
        <v>9131767200</v>
      </c>
      <c r="J5">
        <v>4.74</v>
      </c>
      <c r="K5">
        <v>0.52800000000000002</v>
      </c>
      <c r="L5" t="s">
        <v>65</v>
      </c>
      <c r="M5" t="s">
        <v>641</v>
      </c>
      <c r="N5" t="s">
        <v>642</v>
      </c>
      <c r="O5" t="s">
        <v>643</v>
      </c>
      <c r="P5">
        <v>2.56</v>
      </c>
      <c r="Q5" t="s">
        <v>644</v>
      </c>
      <c r="R5">
        <v>349695000</v>
      </c>
      <c r="S5" s="5">
        <v>0.12720000000000001</v>
      </c>
      <c r="T5" t="s">
        <v>645</v>
      </c>
      <c r="U5">
        <v>2459325900</v>
      </c>
      <c r="V5">
        <v>2461392800</v>
      </c>
      <c r="W5">
        <v>10.59</v>
      </c>
      <c r="X5">
        <v>0.01</v>
      </c>
      <c r="Y5">
        <v>33.07</v>
      </c>
      <c r="Z5" t="s">
        <v>5</v>
      </c>
      <c r="AA5" t="s">
        <v>5</v>
      </c>
      <c r="AB5" t="s">
        <v>5</v>
      </c>
      <c r="AC5" t="s">
        <v>5</v>
      </c>
      <c r="AD5" t="s">
        <v>5</v>
      </c>
      <c r="AE5">
        <v>0</v>
      </c>
      <c r="AF5" t="s">
        <v>646</v>
      </c>
      <c r="AG5" t="s">
        <v>647</v>
      </c>
      <c r="AH5" t="s">
        <v>648</v>
      </c>
      <c r="AI5" t="s">
        <v>5</v>
      </c>
      <c r="AJ5" t="s">
        <v>21</v>
      </c>
      <c r="AK5" t="s">
        <v>5</v>
      </c>
      <c r="AL5" t="s">
        <v>21</v>
      </c>
      <c r="AM5" t="s">
        <v>649</v>
      </c>
      <c r="AN5" t="s">
        <v>650</v>
      </c>
      <c r="AO5" t="s">
        <v>5</v>
      </c>
      <c r="AP5" t="s">
        <v>5</v>
      </c>
      <c r="AQ5" t="s">
        <v>5</v>
      </c>
      <c r="AR5" t="s">
        <v>5</v>
      </c>
      <c r="AS5" t="s">
        <v>5</v>
      </c>
      <c r="AT5" t="s">
        <v>5</v>
      </c>
      <c r="AU5" t="s">
        <v>651</v>
      </c>
      <c r="AV5" t="s">
        <v>652</v>
      </c>
      <c r="AW5" t="s">
        <v>653</v>
      </c>
      <c r="AX5" t="s">
        <v>654</v>
      </c>
      <c r="AY5" t="s">
        <v>382</v>
      </c>
      <c r="AZ5" t="s">
        <v>82</v>
      </c>
      <c r="BA5" t="s">
        <v>84</v>
      </c>
      <c r="BB5" t="s">
        <v>85</v>
      </c>
      <c r="BC5" t="s">
        <v>494</v>
      </c>
      <c r="BD5" t="s">
        <v>383</v>
      </c>
      <c r="BE5" t="s">
        <v>83</v>
      </c>
      <c r="BF5" t="s">
        <v>24</v>
      </c>
      <c r="BG5" t="s">
        <v>86</v>
      </c>
      <c r="BH5" t="s">
        <v>644</v>
      </c>
      <c r="BI5" t="s">
        <v>655</v>
      </c>
      <c r="BJ5" t="s">
        <v>654</v>
      </c>
      <c r="BK5" t="s">
        <v>645</v>
      </c>
      <c r="BL5" t="s">
        <v>656</v>
      </c>
      <c r="BM5" t="s">
        <v>494</v>
      </c>
      <c r="BN5" t="s">
        <v>5</v>
      </c>
      <c r="BO5" t="s">
        <v>5</v>
      </c>
      <c r="BP5" t="s">
        <v>5</v>
      </c>
      <c r="BQ5">
        <v>7.19</v>
      </c>
      <c r="BR5">
        <v>11.87</v>
      </c>
      <c r="BS5">
        <v>10.15</v>
      </c>
      <c r="BT5" t="s">
        <v>562</v>
      </c>
      <c r="BU5" t="s">
        <v>495</v>
      </c>
      <c r="BV5" t="s">
        <v>5</v>
      </c>
      <c r="BW5" t="s">
        <v>5</v>
      </c>
      <c r="BX5" t="s">
        <v>5</v>
      </c>
      <c r="BY5">
        <v>52.26</v>
      </c>
      <c r="BZ5">
        <v>42.78</v>
      </c>
      <c r="CA5">
        <v>38.159999999999997</v>
      </c>
      <c r="CB5">
        <v>-1.59</v>
      </c>
      <c r="CC5">
        <v>-9.9499999999999993</v>
      </c>
      <c r="CD5" t="s">
        <v>567</v>
      </c>
      <c r="CE5" t="s">
        <v>657</v>
      </c>
      <c r="CF5" s="12">
        <v>2.6061776061776176E-2</v>
      </c>
      <c r="CG5" s="13">
        <v>0.12804838709677419</v>
      </c>
      <c r="CH5" s="12">
        <v>2.248675562441349E-2</v>
      </c>
      <c r="CI5" s="12">
        <v>0.12266109883785248</v>
      </c>
      <c r="CJ5" s="12">
        <v>4.7746938653290272E-3</v>
      </c>
      <c r="CK5" s="12">
        <v>-1.556989923119545E-2</v>
      </c>
      <c r="CL5" s="12">
        <v>6.8424396216869354E-2</v>
      </c>
      <c r="CM5" s="13">
        <v>0.16831682622432709</v>
      </c>
      <c r="CN5" s="13">
        <v>0.26844584941864014</v>
      </c>
      <c r="CO5" s="13">
        <v>0.20529800653457642</v>
      </c>
      <c r="CP5" s="13">
        <v>4.3435338884592056E-2</v>
      </c>
      <c r="CQ5" s="13">
        <v>0.1820303350687027</v>
      </c>
      <c r="CR5">
        <v>7.1110451914341333</v>
      </c>
      <c r="CS5">
        <v>1.7534147369709248</v>
      </c>
      <c r="CT5">
        <v>5.1212938005390836</v>
      </c>
      <c r="CU5" s="12">
        <v>4.0555409062653779E-2</v>
      </c>
      <c r="CV5" s="13">
        <v>0.17350527122616768</v>
      </c>
      <c r="CW5">
        <v>0.06</v>
      </c>
      <c r="CX5">
        <v>87.134820417747221</v>
      </c>
      <c r="CY5">
        <v>1853366615.3870664</v>
      </c>
      <c r="CZ5">
        <v>4.0555409062653779E-2</v>
      </c>
      <c r="DA5">
        <v>29.69920449858299</v>
      </c>
      <c r="DB5">
        <v>5437612553.147851</v>
      </c>
      <c r="DC5">
        <v>3.8527638609521089E-2</v>
      </c>
      <c r="DD5">
        <v>15.449948729787101</v>
      </c>
      <c r="DE5">
        <v>10452640977.937107</v>
      </c>
      <c r="DF5">
        <v>3.5688759975135327E-2</v>
      </c>
      <c r="DG5">
        <v>9.8588134096989961</v>
      </c>
      <c r="DH5">
        <v>16380548093.254826</v>
      </c>
      <c r="DI5">
        <v>3.2444327250123021E-2</v>
      </c>
      <c r="DJ5">
        <v>5.7887229017456336</v>
      </c>
      <c r="DK5">
        <v>27897823050.279472</v>
      </c>
      <c r="DL5">
        <v>2.8388786343857643E-2</v>
      </c>
      <c r="DM5">
        <v>1888000000</v>
      </c>
      <c r="DN5">
        <v>4.0555409062653779E-2</v>
      </c>
      <c r="DO5">
        <v>161492767200</v>
      </c>
      <c r="DP5">
        <v>0</v>
      </c>
      <c r="DQ5">
        <v>1279</v>
      </c>
      <c r="DR5">
        <v>-1.4493633000877602E-2</v>
      </c>
      <c r="DS5">
        <v>-4.5456884129393499E-2</v>
      </c>
      <c r="DT5" s="14">
        <v>-0.44</v>
      </c>
      <c r="DU5">
        <v>0.54999999999999993</v>
      </c>
      <c r="DV5">
        <v>0.10999999999999993</v>
      </c>
      <c r="DW5">
        <v>-2.0994999999999999</v>
      </c>
      <c r="DX5">
        <v>0.46524625267665826</v>
      </c>
      <c r="DY5">
        <v>-2.0154470021413275</v>
      </c>
      <c r="DZ5">
        <v>1461</v>
      </c>
      <c r="EA5">
        <v>-2.0110305500613901</v>
      </c>
      <c r="EB5">
        <v>2</v>
      </c>
      <c r="EC5">
        <v>5.8909735983626831E-2</v>
      </c>
      <c r="ED5">
        <v>0.37945995454281006</v>
      </c>
      <c r="EE5" s="15">
        <v>1.0475099999999999</v>
      </c>
      <c r="EF5">
        <v>1.04481</v>
      </c>
      <c r="EG5">
        <v>31.155246252676658</v>
      </c>
      <c r="EH5" t="s">
        <v>639</v>
      </c>
      <c r="EI5">
        <v>0</v>
      </c>
      <c r="EJ5">
        <v>1</v>
      </c>
      <c r="EK5" s="11">
        <v>45470</v>
      </c>
      <c r="EL5" s="16">
        <v>-0.54</v>
      </c>
      <c r="EM5" s="16">
        <v>-1.89</v>
      </c>
      <c r="EN5" s="16">
        <v>1.1000000000000001</v>
      </c>
      <c r="EO5" s="16">
        <v>0.54</v>
      </c>
      <c r="EP5" s="16">
        <v>0.27</v>
      </c>
    </row>
    <row r="6" spans="1:146" ht="108" x14ac:dyDescent="0.25">
      <c r="A6" s="7"/>
      <c r="B6" s="7"/>
      <c r="C6" s="7" t="str">
        <f>""&amp;CHAR(10)&amp;Basic_Fundamental_Information_Constructure(F6)&amp;CHAR(10)&amp;Basic_Fundamental_Information_Concatenate("")</f>
        <v xml:space="preserve">
市值86.352272亿, 利润17.87亿; PE4.74; 平均PE6.85; 平均PEG.74, PB.554; ROIC0%; ROE10.82%; 股利率5.0251%; 毛利0%; 净利34.58%; 上一年度营收增-5.92%, 利润增6.24%; 当季营收增7.55%, 利润增7.04%; 过往5年营收增9.21%, 利润增16.94%
Income profile:
</v>
      </c>
      <c r="D6" t="s">
        <v>87</v>
      </c>
      <c r="E6" t="s">
        <v>88</v>
      </c>
      <c r="F6">
        <v>3.98</v>
      </c>
      <c r="G6">
        <v>-1.73</v>
      </c>
      <c r="H6" t="s">
        <v>658</v>
      </c>
      <c r="I6">
        <v>8635227200</v>
      </c>
      <c r="J6">
        <v>4.74</v>
      </c>
      <c r="K6">
        <v>0.55400000000000005</v>
      </c>
      <c r="L6" t="s">
        <v>65</v>
      </c>
      <c r="M6" t="s">
        <v>659</v>
      </c>
      <c r="N6" t="s">
        <v>660</v>
      </c>
      <c r="O6" t="s">
        <v>661</v>
      </c>
      <c r="P6">
        <v>7.59</v>
      </c>
      <c r="Q6" t="s">
        <v>662</v>
      </c>
      <c r="R6">
        <v>544849690</v>
      </c>
      <c r="S6" s="5">
        <v>7.0800000000000002E-2</v>
      </c>
      <c r="T6" t="s">
        <v>663</v>
      </c>
      <c r="U6">
        <v>2072439700</v>
      </c>
      <c r="V6">
        <v>2169655100</v>
      </c>
      <c r="W6">
        <v>12.19</v>
      </c>
      <c r="X6">
        <v>0.01</v>
      </c>
      <c r="Y6">
        <v>42.52</v>
      </c>
      <c r="Z6" t="s">
        <v>5</v>
      </c>
      <c r="AA6" t="s">
        <v>5</v>
      </c>
      <c r="AB6" t="s">
        <v>5</v>
      </c>
      <c r="AC6" t="s">
        <v>5</v>
      </c>
      <c r="AD6" t="s">
        <v>5</v>
      </c>
      <c r="AE6">
        <v>0</v>
      </c>
      <c r="AF6" t="s">
        <v>664</v>
      </c>
      <c r="AG6" t="s">
        <v>665</v>
      </c>
      <c r="AH6" t="s">
        <v>666</v>
      </c>
      <c r="AI6" t="s">
        <v>5</v>
      </c>
      <c r="AJ6" t="s">
        <v>21</v>
      </c>
      <c r="AK6" t="s">
        <v>5</v>
      </c>
      <c r="AL6" t="s">
        <v>21</v>
      </c>
      <c r="AM6" t="s">
        <v>667</v>
      </c>
      <c r="AN6" t="s">
        <v>668</v>
      </c>
      <c r="AO6" t="s">
        <v>5</v>
      </c>
      <c r="AP6" t="s">
        <v>5</v>
      </c>
      <c r="AQ6" t="s">
        <v>5</v>
      </c>
      <c r="AR6" t="s">
        <v>5</v>
      </c>
      <c r="AS6" t="s">
        <v>5</v>
      </c>
      <c r="AT6" t="s">
        <v>5</v>
      </c>
      <c r="AU6" t="s">
        <v>496</v>
      </c>
      <c r="AV6" t="s">
        <v>669</v>
      </c>
      <c r="AW6" t="s">
        <v>670</v>
      </c>
      <c r="AX6" t="s">
        <v>671</v>
      </c>
      <c r="AY6" t="s">
        <v>384</v>
      </c>
      <c r="AZ6" t="s">
        <v>89</v>
      </c>
      <c r="BA6" t="s">
        <v>56</v>
      </c>
      <c r="BB6" t="s">
        <v>90</v>
      </c>
      <c r="BC6" t="s">
        <v>672</v>
      </c>
      <c r="BD6" t="s">
        <v>385</v>
      </c>
      <c r="BE6" t="s">
        <v>38</v>
      </c>
      <c r="BF6" t="s">
        <v>91</v>
      </c>
      <c r="BG6" t="s">
        <v>23</v>
      </c>
      <c r="BH6" t="s">
        <v>662</v>
      </c>
      <c r="BI6" t="s">
        <v>673</v>
      </c>
      <c r="BJ6" t="s">
        <v>671</v>
      </c>
      <c r="BK6" t="s">
        <v>663</v>
      </c>
      <c r="BL6" t="s">
        <v>674</v>
      </c>
      <c r="BM6" t="s">
        <v>672</v>
      </c>
      <c r="BN6" t="s">
        <v>5</v>
      </c>
      <c r="BO6" t="s">
        <v>5</v>
      </c>
      <c r="BP6" t="s">
        <v>5</v>
      </c>
      <c r="BQ6">
        <v>9.17</v>
      </c>
      <c r="BR6">
        <v>12.21</v>
      </c>
      <c r="BS6">
        <v>11.08</v>
      </c>
      <c r="BT6" t="s">
        <v>564</v>
      </c>
      <c r="BU6" t="s">
        <v>495</v>
      </c>
      <c r="BV6" t="s">
        <v>5</v>
      </c>
      <c r="BW6" t="s">
        <v>5</v>
      </c>
      <c r="BX6" t="s">
        <v>5</v>
      </c>
      <c r="BY6">
        <v>39.6</v>
      </c>
      <c r="BZ6">
        <v>35.19</v>
      </c>
      <c r="CA6">
        <v>28.95</v>
      </c>
      <c r="CB6">
        <v>-1</v>
      </c>
      <c r="CC6">
        <v>-7.44</v>
      </c>
      <c r="CD6" t="s">
        <v>675</v>
      </c>
      <c r="CE6" t="s">
        <v>676</v>
      </c>
      <c r="CF6" s="12">
        <v>7.5503355704697989E-2</v>
      </c>
      <c r="CG6" s="13">
        <v>7.0431611001964642E-2</v>
      </c>
      <c r="CH6" s="12">
        <v>-5.924997478723526E-2</v>
      </c>
      <c r="CI6" s="12">
        <v>4.5710530132055283E-2</v>
      </c>
      <c r="CJ6" s="12">
        <v>0.10035755485296249</v>
      </c>
      <c r="CK6" s="12">
        <v>8.8762037456035614E-2</v>
      </c>
      <c r="CL6" s="12">
        <v>0.28476154804229736</v>
      </c>
      <c r="CM6" s="13">
        <v>6.2425721436738968E-2</v>
      </c>
      <c r="CN6" s="13">
        <v>0.28987729549407959</v>
      </c>
      <c r="CO6" s="13">
        <v>0.30269730091094971</v>
      </c>
      <c r="CP6" s="13">
        <v>4.9266248941421509E-2</v>
      </c>
      <c r="CQ6" s="13">
        <v>0.14251497387886047</v>
      </c>
      <c r="CR6">
        <v>6.8506364141213805</v>
      </c>
      <c r="CS6">
        <v>0.74408167652096391</v>
      </c>
      <c r="CT6">
        <v>5.025125628140704</v>
      </c>
      <c r="CU6" s="12">
        <v>9.2068339139223104E-2</v>
      </c>
      <c r="CV6" s="13">
        <v>0.16935630813241004</v>
      </c>
      <c r="CW6">
        <v>0.06</v>
      </c>
      <c r="CX6">
        <v>98.202662350986429</v>
      </c>
      <c r="CY6">
        <v>1841062379.2847092</v>
      </c>
      <c r="CZ6">
        <v>9.2068339139223104E-2</v>
      </c>
      <c r="DA6">
        <v>32.035569785391743</v>
      </c>
      <c r="DB6">
        <v>5643640129.1180954</v>
      </c>
      <c r="DC6">
        <v>8.7464922182261942E-2</v>
      </c>
      <c r="DD6">
        <v>15.733453719055122</v>
      </c>
      <c r="DE6">
        <v>11491261259.505445</v>
      </c>
      <c r="DF6">
        <v>8.1020138442516335E-2</v>
      </c>
      <c r="DG6">
        <v>9.4232480408899075</v>
      </c>
      <c r="DH6">
        <v>19186296106.764263</v>
      </c>
      <c r="DI6">
        <v>7.3654671311378483E-2</v>
      </c>
      <c r="DJ6">
        <v>4.8396748468187276</v>
      </c>
      <c r="DK6">
        <v>37357308687.554451</v>
      </c>
      <c r="DL6">
        <v>6.4447837397456173E-2</v>
      </c>
      <c r="DM6">
        <v>1787000000</v>
      </c>
      <c r="DN6">
        <v>9.2068339139223104E-2</v>
      </c>
      <c r="DO6">
        <v>180797227200</v>
      </c>
      <c r="DP6">
        <v>0</v>
      </c>
      <c r="DQ6">
        <v>1309</v>
      </c>
      <c r="DR6">
        <v>-1.6564983434525116E-2</v>
      </c>
      <c r="DS6">
        <v>-9.8924697130445396E-2</v>
      </c>
      <c r="DT6" s="14">
        <v>-0.34</v>
      </c>
      <c r="DU6">
        <v>0.28333333333333338</v>
      </c>
      <c r="DV6">
        <v>-5.6666666666666643E-2</v>
      </c>
      <c r="DW6">
        <v>-2.0743999999999998</v>
      </c>
      <c r="DX6">
        <v>0.42787701317715832</v>
      </c>
      <c r="DY6">
        <v>-2.0110020497803807</v>
      </c>
      <c r="DZ6">
        <v>1834</v>
      </c>
      <c r="EA6">
        <v>-2.0070533689002987</v>
      </c>
      <c r="EB6">
        <v>2</v>
      </c>
      <c r="EC6">
        <v>4.6551177650309486E-2</v>
      </c>
      <c r="ED6">
        <v>0.31479657757585527</v>
      </c>
      <c r="EE6" s="15">
        <v>1.0199</v>
      </c>
      <c r="EF6">
        <v>1.0174000000000001</v>
      </c>
      <c r="EG6">
        <v>28.147877013177158</v>
      </c>
      <c r="EH6" t="s">
        <v>677</v>
      </c>
      <c r="EI6">
        <v>0</v>
      </c>
      <c r="EJ6">
        <v>0</v>
      </c>
      <c r="EK6" s="11">
        <v>45470</v>
      </c>
      <c r="EL6" s="16">
        <v>-0.25</v>
      </c>
      <c r="EM6" s="16">
        <v>-1.78</v>
      </c>
      <c r="EN6" s="16">
        <v>1.3</v>
      </c>
      <c r="EO6" s="16">
        <v>1.53</v>
      </c>
      <c r="EP6" s="16">
        <v>-0.25</v>
      </c>
    </row>
    <row r="7" spans="1:146" ht="96" x14ac:dyDescent="0.25">
      <c r="A7" s="7"/>
      <c r="B7" s="7"/>
      <c r="C7" s="7" t="str">
        <f>""&amp;CHAR(10)&amp;Basic_Fundamental_Information_Constructure(F7)&amp;CHAR(10)&amp;Basic_Fundamental_Information_Concatenate("")</f>
        <v xml:space="preserve">
市值158.20239亿, 利润18.50亿; PE9.71; 平均PE5.58; 平均PEG1.21, PB.362; ROIC0%; ROE5.74%; 股利率0%; 毛利0%; 净利17.93%; 上一年度营收增-9.5%, 利润增-23.62%; 当季营收增2.47%, 利润增-18.57%; 过往5年营收增4.61%, 利润增-8.58%
Income profile:
</v>
      </c>
      <c r="D7" t="s">
        <v>92</v>
      </c>
      <c r="E7" t="s">
        <v>93</v>
      </c>
      <c r="F7">
        <v>1.74</v>
      </c>
      <c r="G7">
        <v>-1.1399999999999999</v>
      </c>
      <c r="H7" t="s">
        <v>678</v>
      </c>
      <c r="I7">
        <v>15820239000</v>
      </c>
      <c r="J7">
        <v>9.7100000000000009</v>
      </c>
      <c r="K7">
        <v>0.36199999999999999</v>
      </c>
      <c r="L7" t="s">
        <v>65</v>
      </c>
      <c r="M7" t="s">
        <v>679</v>
      </c>
      <c r="N7" t="s">
        <v>680</v>
      </c>
      <c r="O7" t="s">
        <v>681</v>
      </c>
      <c r="P7">
        <v>2.4700000000000002</v>
      </c>
      <c r="Q7" t="s">
        <v>682</v>
      </c>
      <c r="R7">
        <v>967445000</v>
      </c>
      <c r="S7" s="5">
        <v>-0.1857</v>
      </c>
      <c r="T7" t="s">
        <v>683</v>
      </c>
      <c r="U7">
        <v>6698652300</v>
      </c>
      <c r="V7">
        <v>9092091400</v>
      </c>
      <c r="W7">
        <v>11.38</v>
      </c>
      <c r="X7">
        <v>0.01</v>
      </c>
      <c r="Y7">
        <v>29.15</v>
      </c>
      <c r="Z7" t="s">
        <v>5</v>
      </c>
      <c r="AA7" t="s">
        <v>5</v>
      </c>
      <c r="AB7" t="s">
        <v>5</v>
      </c>
      <c r="AC7" t="s">
        <v>5</v>
      </c>
      <c r="AD7" t="s">
        <v>5</v>
      </c>
      <c r="AE7">
        <v>0</v>
      </c>
      <c r="AF7" t="s">
        <v>684</v>
      </c>
      <c r="AG7" t="s">
        <v>685</v>
      </c>
      <c r="AH7" t="s">
        <v>686</v>
      </c>
      <c r="AI7" t="s">
        <v>5</v>
      </c>
      <c r="AJ7" t="s">
        <v>21</v>
      </c>
      <c r="AK7" t="s">
        <v>5</v>
      </c>
      <c r="AL7" t="s">
        <v>21</v>
      </c>
      <c r="AM7" t="s">
        <v>687</v>
      </c>
      <c r="AN7" t="s">
        <v>688</v>
      </c>
      <c r="AO7" t="s">
        <v>5</v>
      </c>
      <c r="AP7" t="s">
        <v>5</v>
      </c>
      <c r="AQ7" t="s">
        <v>5</v>
      </c>
      <c r="AR7" t="s">
        <v>5</v>
      </c>
      <c r="AS7" t="s">
        <v>5</v>
      </c>
      <c r="AT7" t="s">
        <v>5</v>
      </c>
      <c r="AU7" t="s">
        <v>689</v>
      </c>
      <c r="AV7" t="s">
        <v>690</v>
      </c>
      <c r="AW7" t="s">
        <v>691</v>
      </c>
      <c r="AX7" t="s">
        <v>692</v>
      </c>
      <c r="AY7" t="s">
        <v>386</v>
      </c>
      <c r="AZ7" t="s">
        <v>94</v>
      </c>
      <c r="BA7" t="s">
        <v>96</v>
      </c>
      <c r="BB7" t="s">
        <v>97</v>
      </c>
      <c r="BC7" t="s">
        <v>693</v>
      </c>
      <c r="BD7" t="s">
        <v>387</v>
      </c>
      <c r="BE7" t="s">
        <v>95</v>
      </c>
      <c r="BF7" t="s">
        <v>98</v>
      </c>
      <c r="BG7" t="s">
        <v>99</v>
      </c>
      <c r="BH7" t="s">
        <v>682</v>
      </c>
      <c r="BI7" t="s">
        <v>694</v>
      </c>
      <c r="BJ7" t="s">
        <v>692</v>
      </c>
      <c r="BK7" t="s">
        <v>683</v>
      </c>
      <c r="BL7" t="s">
        <v>695</v>
      </c>
      <c r="BM7" t="s">
        <v>693</v>
      </c>
      <c r="BN7" t="s">
        <v>5</v>
      </c>
      <c r="BO7" t="s">
        <v>5</v>
      </c>
      <c r="BP7" t="s">
        <v>5</v>
      </c>
      <c r="BQ7">
        <v>6.52</v>
      </c>
      <c r="BR7">
        <v>3.53</v>
      </c>
      <c r="BS7">
        <v>7.17</v>
      </c>
      <c r="BT7" t="s">
        <v>556</v>
      </c>
      <c r="BU7" t="s">
        <v>493</v>
      </c>
      <c r="BV7" t="s">
        <v>5</v>
      </c>
      <c r="BW7" t="s">
        <v>5</v>
      </c>
      <c r="BX7" t="s">
        <v>5</v>
      </c>
      <c r="BY7">
        <v>13.61</v>
      </c>
      <c r="BZ7">
        <v>17.22</v>
      </c>
      <c r="CA7">
        <v>22.96</v>
      </c>
      <c r="CB7">
        <v>0.57999999999999996</v>
      </c>
      <c r="CC7">
        <v>-10.31</v>
      </c>
      <c r="CD7" t="s">
        <v>696</v>
      </c>
      <c r="CE7" t="s">
        <v>566</v>
      </c>
      <c r="CF7" s="12">
        <v>2.4713682941531041E-2</v>
      </c>
      <c r="CG7" s="13">
        <v>-0.1856523569023569</v>
      </c>
      <c r="CH7" s="12">
        <v>-9.496055543422699E-2</v>
      </c>
      <c r="CI7" s="12">
        <v>2.0268848165869713E-2</v>
      </c>
      <c r="CJ7" s="12">
        <v>1.3281364925205708E-2</v>
      </c>
      <c r="CK7" s="12">
        <v>8.3042934536933899E-2</v>
      </c>
      <c r="CL7" s="12">
        <v>0.20883743464946747</v>
      </c>
      <c r="CM7" s="13">
        <v>-0.23616848886013031</v>
      </c>
      <c r="CN7" s="13">
        <v>-0.24922497570514679</v>
      </c>
      <c r="CO7" s="13">
        <v>1.8308039754629135E-2</v>
      </c>
      <c r="CP7" s="13">
        <v>-3.5616420209407806E-2</v>
      </c>
      <c r="CQ7" s="13">
        <v>7.3880307376384735E-2</v>
      </c>
      <c r="CR7">
        <v>5.5803312169312171</v>
      </c>
      <c r="CS7">
        <v>1.2106414212218977</v>
      </c>
      <c r="CT7">
        <v>0</v>
      </c>
      <c r="CU7" s="12">
        <v>4.6094005368649958E-2</v>
      </c>
      <c r="CV7" s="13">
        <v>-8.5764307528734207E-2</v>
      </c>
      <c r="CW7">
        <v>0.06</v>
      </c>
      <c r="CX7">
        <v>293.91871115545899</v>
      </c>
      <c r="CY7">
        <v>1825730103.7094364</v>
      </c>
      <c r="CZ7">
        <v>4.6094005368649958E-2</v>
      </c>
      <c r="DA7">
        <v>99.706274952616027</v>
      </c>
      <c r="DB7">
        <v>5381970585.6529007</v>
      </c>
      <c r="DC7">
        <v>4.378930510021746E-2</v>
      </c>
      <c r="DD7">
        <v>51.553187811377398</v>
      </c>
      <c r="DE7">
        <v>10408982679.468229</v>
      </c>
      <c r="DF7">
        <v>4.0562724724411962E-2</v>
      </c>
      <c r="DG7">
        <v>32.681908921942629</v>
      </c>
      <c r="DH7">
        <v>16419366453.827793</v>
      </c>
      <c r="DI7">
        <v>3.6875204294919965E-2</v>
      </c>
      <c r="DJ7">
        <v>18.936475565015236</v>
      </c>
      <c r="DK7">
        <v>28337703980.744331</v>
      </c>
      <c r="DL7">
        <v>3.2265803758054969E-2</v>
      </c>
      <c r="DM7">
        <v>1850000000</v>
      </c>
      <c r="DN7">
        <v>4.6094005368649958E-2</v>
      </c>
      <c r="DO7">
        <v>536616239000</v>
      </c>
      <c r="DP7">
        <v>0</v>
      </c>
      <c r="DQ7">
        <v>1398</v>
      </c>
      <c r="DR7">
        <v>-2.1380322427118917E-2</v>
      </c>
      <c r="DS7">
        <v>-9.9888049373622695E-2</v>
      </c>
      <c r="DT7" s="14">
        <v>-0.34</v>
      </c>
      <c r="DU7">
        <v>-0.53666666666666663</v>
      </c>
      <c r="DV7">
        <v>-0.87666666666666671</v>
      </c>
      <c r="DW7">
        <v>-2.1031</v>
      </c>
      <c r="DX7">
        <v>0.33382684145731634</v>
      </c>
      <c r="DY7">
        <v>-2.0179215473542493</v>
      </c>
      <c r="DZ7">
        <v>3433</v>
      </c>
      <c r="EA7">
        <v>-2.0058814941121481</v>
      </c>
      <c r="EB7">
        <v>2</v>
      </c>
      <c r="EC7">
        <v>2.8926238027039631E-2</v>
      </c>
      <c r="ED7">
        <v>0.16640835792741812</v>
      </c>
      <c r="EE7" s="15">
        <v>1.0535000000000001</v>
      </c>
      <c r="EF7">
        <v>1.0478000000000001</v>
      </c>
      <c r="EG7">
        <v>16.173826841457316</v>
      </c>
      <c r="EH7" t="s">
        <v>677</v>
      </c>
      <c r="EI7">
        <v>0</v>
      </c>
      <c r="EJ7">
        <v>0</v>
      </c>
      <c r="EK7" s="11">
        <v>45470</v>
      </c>
      <c r="EL7" s="16">
        <v>-2.2000000000000002</v>
      </c>
      <c r="EM7" s="16">
        <v>-2.25</v>
      </c>
      <c r="EN7" s="16">
        <v>-0.56999999999999995</v>
      </c>
      <c r="EO7" s="16">
        <v>1.1599999999999999</v>
      </c>
      <c r="EP7" s="16">
        <v>-0.56999999999999995</v>
      </c>
    </row>
    <row r="8" spans="1:146" ht="108" x14ac:dyDescent="0.25">
      <c r="A8" s="7"/>
      <c r="B8" s="7"/>
      <c r="C8" s="7" t="str">
        <f>""&amp;CHAR(10)&amp;Basic_Fundamental_Information_Constructure(F8)&amp;CHAR(10)&amp;Basic_Fundamental_Information_Concatenate("")</f>
        <v xml:space="preserve">
市值193.23578亿, 利润35.49亿; PE5.2; 平均PE7.13; 平均PEG.62, PB.563; ROIC0%; ROE9.5033%; 股利率4.8193%; 毛利0%; 净利27.84%; 上一年度营收增7.11%, 利润增15.12%; 当季营收增19.27%, 利润增18.75%; 过往5年营收增11.48%, 利润增12.08%
Income profile:
</v>
      </c>
      <c r="D8" t="s">
        <v>100</v>
      </c>
      <c r="E8" t="s">
        <v>101</v>
      </c>
      <c r="F8">
        <v>3.32</v>
      </c>
      <c r="G8">
        <v>-2.35</v>
      </c>
      <c r="H8" t="s">
        <v>697</v>
      </c>
      <c r="I8">
        <v>19323578000</v>
      </c>
      <c r="J8">
        <v>5.2</v>
      </c>
      <c r="K8">
        <v>0.56299999999999994</v>
      </c>
      <c r="L8" t="s">
        <v>65</v>
      </c>
      <c r="M8" t="s">
        <v>698</v>
      </c>
      <c r="N8" t="s">
        <v>699</v>
      </c>
      <c r="O8" t="s">
        <v>700</v>
      </c>
      <c r="P8">
        <v>19.28</v>
      </c>
      <c r="Q8" t="s">
        <v>701</v>
      </c>
      <c r="R8">
        <v>1080635000</v>
      </c>
      <c r="S8" s="5">
        <v>0.18740000000000001</v>
      </c>
      <c r="T8" t="s">
        <v>702</v>
      </c>
      <c r="U8">
        <v>3110040500</v>
      </c>
      <c r="V8">
        <v>5820354700</v>
      </c>
      <c r="W8">
        <v>14.96</v>
      </c>
      <c r="X8">
        <v>0.01</v>
      </c>
      <c r="Y8">
        <v>30.35</v>
      </c>
      <c r="Z8" t="s">
        <v>5</v>
      </c>
      <c r="AA8" t="s">
        <v>5</v>
      </c>
      <c r="AB8" t="s">
        <v>5</v>
      </c>
      <c r="AC8" t="s">
        <v>5</v>
      </c>
      <c r="AD8" t="s">
        <v>5</v>
      </c>
      <c r="AE8">
        <v>0</v>
      </c>
      <c r="AF8" t="s">
        <v>703</v>
      </c>
      <c r="AG8" t="s">
        <v>704</v>
      </c>
      <c r="AH8" t="s">
        <v>705</v>
      </c>
      <c r="AI8" t="s">
        <v>5</v>
      </c>
      <c r="AJ8" t="s">
        <v>21</v>
      </c>
      <c r="AK8" t="s">
        <v>5</v>
      </c>
      <c r="AL8" t="s">
        <v>21</v>
      </c>
      <c r="AM8" t="s">
        <v>706</v>
      </c>
      <c r="AN8" t="s">
        <v>707</v>
      </c>
      <c r="AO8" t="s">
        <v>5</v>
      </c>
      <c r="AP8" t="s">
        <v>5</v>
      </c>
      <c r="AQ8" t="s">
        <v>5</v>
      </c>
      <c r="AR8" t="s">
        <v>5</v>
      </c>
      <c r="AS8" t="s">
        <v>5</v>
      </c>
      <c r="AT8" t="s">
        <v>5</v>
      </c>
      <c r="AU8" t="s">
        <v>708</v>
      </c>
      <c r="AV8" t="s">
        <v>709</v>
      </c>
      <c r="AW8" t="s">
        <v>710</v>
      </c>
      <c r="AX8" t="s">
        <v>711</v>
      </c>
      <c r="AY8" t="s">
        <v>388</v>
      </c>
      <c r="AZ8" t="s">
        <v>102</v>
      </c>
      <c r="BA8" t="s">
        <v>104</v>
      </c>
      <c r="BB8" t="s">
        <v>105</v>
      </c>
      <c r="BC8" t="s">
        <v>712</v>
      </c>
      <c r="BD8" t="s">
        <v>389</v>
      </c>
      <c r="BE8" t="s">
        <v>103</v>
      </c>
      <c r="BF8" t="s">
        <v>59</v>
      </c>
      <c r="BG8" t="s">
        <v>106</v>
      </c>
      <c r="BH8" t="s">
        <v>701</v>
      </c>
      <c r="BI8" t="s">
        <v>713</v>
      </c>
      <c r="BJ8" t="s">
        <v>711</v>
      </c>
      <c r="BK8" t="s">
        <v>702</v>
      </c>
      <c r="BL8" t="s">
        <v>714</v>
      </c>
      <c r="BM8" t="s">
        <v>712</v>
      </c>
      <c r="BN8" t="s">
        <v>5</v>
      </c>
      <c r="BO8" t="s">
        <v>5</v>
      </c>
      <c r="BP8" t="s">
        <v>5</v>
      </c>
      <c r="BQ8">
        <v>9.16</v>
      </c>
      <c r="BR8">
        <v>8.9499999999999993</v>
      </c>
      <c r="BS8">
        <v>10.4</v>
      </c>
      <c r="BT8" t="s">
        <v>570</v>
      </c>
      <c r="BU8" t="s">
        <v>493</v>
      </c>
      <c r="BV8" t="s">
        <v>5</v>
      </c>
      <c r="BW8" t="s">
        <v>5</v>
      </c>
      <c r="BX8" t="s">
        <v>5</v>
      </c>
      <c r="BY8">
        <v>29.44</v>
      </c>
      <c r="BZ8">
        <v>27.2</v>
      </c>
      <c r="CA8">
        <v>26.88</v>
      </c>
      <c r="CB8">
        <v>-1.48</v>
      </c>
      <c r="CC8">
        <v>-8.5399999999999991</v>
      </c>
      <c r="CD8" t="s">
        <v>715</v>
      </c>
      <c r="CE8" t="s">
        <v>716</v>
      </c>
      <c r="CF8" s="12">
        <v>0.19269317814419656</v>
      </c>
      <c r="CG8" s="13">
        <v>0.187510989010989</v>
      </c>
      <c r="CH8" s="12">
        <v>7.1109607815742493E-2</v>
      </c>
      <c r="CI8" s="12">
        <v>4.5617837458848953E-2</v>
      </c>
      <c r="CJ8" s="12">
        <v>5.6446287781000137E-2</v>
      </c>
      <c r="CK8" s="12">
        <v>9.6193812787532806E-2</v>
      </c>
      <c r="CL8" s="12">
        <v>0.30439496040344238</v>
      </c>
      <c r="CM8" s="13">
        <v>0.15115143358707428</v>
      </c>
      <c r="CN8" s="13">
        <v>5.4738283157348633E-2</v>
      </c>
      <c r="CO8" s="13">
        <v>0.22096918523311615</v>
      </c>
      <c r="CP8" s="13">
        <v>4.7702379524707794E-2</v>
      </c>
      <c r="CQ8" s="13">
        <v>0.12951056659221649</v>
      </c>
      <c r="CR8">
        <v>7.13178741465215</v>
      </c>
      <c r="CS8">
        <v>0.62149298159152977</v>
      </c>
      <c r="CT8">
        <v>4.8192771084337354</v>
      </c>
      <c r="CU8" s="12">
        <v>0.11475250124931335</v>
      </c>
      <c r="CV8" s="13">
        <v>0.12081436961889266</v>
      </c>
      <c r="CW8">
        <v>0.06</v>
      </c>
      <c r="CX8">
        <v>146.21654438234137</v>
      </c>
      <c r="CY8">
        <v>3732317572.5790687</v>
      </c>
      <c r="CZ8">
        <v>0.11475250124931335</v>
      </c>
      <c r="DA8">
        <v>46.79388314838058</v>
      </c>
      <c r="DB8">
        <v>11662348608.033531</v>
      </c>
      <c r="DC8">
        <v>0.10901487618684769</v>
      </c>
      <c r="DD8">
        <v>22.394758195429691</v>
      </c>
      <c r="DE8">
        <v>24368496111.352146</v>
      </c>
      <c r="DF8">
        <v>0.10098220109939575</v>
      </c>
      <c r="DG8">
        <v>13.022540130146602</v>
      </c>
      <c r="DH8">
        <v>41906308027.929756</v>
      </c>
      <c r="DI8">
        <v>9.1802000999450684E-2</v>
      </c>
      <c r="DJ8">
        <v>6.2606577345006063</v>
      </c>
      <c r="DK8">
        <v>87167610999.186966</v>
      </c>
      <c r="DL8">
        <v>8.0326750874519348E-2</v>
      </c>
      <c r="DM8">
        <v>3549000000</v>
      </c>
      <c r="DN8">
        <v>0.11475250124931335</v>
      </c>
      <c r="DO8">
        <v>545726578000</v>
      </c>
      <c r="DP8">
        <v>0</v>
      </c>
      <c r="DQ8">
        <v>1409</v>
      </c>
      <c r="DR8">
        <v>7.794067689488321E-2</v>
      </c>
      <c r="DS8">
        <v>6.669661939209634E-2</v>
      </c>
      <c r="DT8" s="14">
        <v>-0.34</v>
      </c>
      <c r="DU8">
        <v>0.52</v>
      </c>
      <c r="DV8">
        <v>0.18</v>
      </c>
      <c r="DW8">
        <v>-2.0853999999999999</v>
      </c>
      <c r="DX8">
        <v>0.42820895522388058</v>
      </c>
      <c r="DY8">
        <v>-2.0135110447761195</v>
      </c>
      <c r="DZ8">
        <v>1295</v>
      </c>
      <c r="EA8">
        <v>-2.0100870128808017</v>
      </c>
      <c r="EB8">
        <v>2</v>
      </c>
      <c r="EC8">
        <v>2.7317922737595358E-2</v>
      </c>
      <c r="ED8">
        <v>0.17266988900178198</v>
      </c>
      <c r="EE8" s="15">
        <v>2.0828000000000002</v>
      </c>
      <c r="EF8">
        <v>2.0796999999999999</v>
      </c>
      <c r="EG8">
        <v>27.158208955223881</v>
      </c>
      <c r="EH8" t="s">
        <v>717</v>
      </c>
      <c r="EI8">
        <v>0</v>
      </c>
      <c r="EJ8">
        <v>1</v>
      </c>
      <c r="EK8" s="11">
        <v>45470</v>
      </c>
      <c r="EL8" s="16">
        <v>1.24</v>
      </c>
      <c r="EM8" s="16">
        <v>-2.14</v>
      </c>
      <c r="EN8" s="16">
        <v>0.94</v>
      </c>
      <c r="EO8" s="16">
        <v>1.24</v>
      </c>
      <c r="EP8" s="16">
        <v>-0.31</v>
      </c>
    </row>
    <row r="9" spans="1:146" ht="108" x14ac:dyDescent="0.25">
      <c r="A9" s="7"/>
      <c r="B9" s="7"/>
      <c r="C9" s="7" t="str">
        <f>""&amp;CHAR(10)&amp;Basic_Fundamental_Information_Constructure(F9)&amp;CHAR(10)&amp;Basic_Fundamental_Information_Concatenate("")</f>
        <v xml:space="preserve">
市值151.11278亿, 利润25.68亿; PE5.66; 平均PE5.61; 平均PEG.81, PB.442; ROIC0%; ROE8.8933%; 股利率3.6765%; 毛利0%; 净利26.28%; 上一年度营收增3.83%, 利润增10.83%; 当季营收增13.29%, 利润增10.1%; 过往5年营收增6.92%, 利润增2.31%
Income profile:
</v>
      </c>
      <c r="D9" t="s">
        <v>107</v>
      </c>
      <c r="E9" t="s">
        <v>108</v>
      </c>
      <c r="F9">
        <v>2.72</v>
      </c>
      <c r="G9">
        <v>-2.16</v>
      </c>
      <c r="H9" t="s">
        <v>718</v>
      </c>
      <c r="I9">
        <v>15111278000</v>
      </c>
      <c r="J9">
        <v>5.66</v>
      </c>
      <c r="K9">
        <v>0.442</v>
      </c>
      <c r="L9" t="s">
        <v>65</v>
      </c>
      <c r="M9" t="s">
        <v>719</v>
      </c>
      <c r="N9" t="s">
        <v>720</v>
      </c>
      <c r="O9" t="s">
        <v>721</v>
      </c>
      <c r="P9">
        <v>13.3</v>
      </c>
      <c r="Q9" t="s">
        <v>722</v>
      </c>
      <c r="R9">
        <v>1094399000</v>
      </c>
      <c r="S9" s="5">
        <v>0.1014</v>
      </c>
      <c r="T9" t="s">
        <v>723</v>
      </c>
      <c r="U9">
        <v>4926391300</v>
      </c>
      <c r="V9">
        <v>5555616800</v>
      </c>
      <c r="W9">
        <v>11.81</v>
      </c>
      <c r="X9">
        <v>0.01</v>
      </c>
      <c r="Y9">
        <v>35.72</v>
      </c>
      <c r="Z9" t="s">
        <v>5</v>
      </c>
      <c r="AA9" t="s">
        <v>5</v>
      </c>
      <c r="AB9" t="s">
        <v>5</v>
      </c>
      <c r="AC9" t="s">
        <v>5</v>
      </c>
      <c r="AD9" t="s">
        <v>5</v>
      </c>
      <c r="AE9">
        <v>0</v>
      </c>
      <c r="AF9" t="s">
        <v>724</v>
      </c>
      <c r="AG9" t="s">
        <v>725</v>
      </c>
      <c r="AH9" t="s">
        <v>726</v>
      </c>
      <c r="AI9" t="s">
        <v>5</v>
      </c>
      <c r="AJ9" t="s">
        <v>21</v>
      </c>
      <c r="AK9" t="s">
        <v>5</v>
      </c>
      <c r="AL9" t="s">
        <v>21</v>
      </c>
      <c r="AM9" t="s">
        <v>727</v>
      </c>
      <c r="AN9" t="s">
        <v>728</v>
      </c>
      <c r="AO9" t="s">
        <v>5</v>
      </c>
      <c r="AP9" t="s">
        <v>5</v>
      </c>
      <c r="AQ9" t="s">
        <v>5</v>
      </c>
      <c r="AR9" t="s">
        <v>5</v>
      </c>
      <c r="AS9" t="s">
        <v>5</v>
      </c>
      <c r="AT9" t="s">
        <v>5</v>
      </c>
      <c r="AU9" t="s">
        <v>729</v>
      </c>
      <c r="AV9" t="s">
        <v>730</v>
      </c>
      <c r="AW9" t="s">
        <v>731</v>
      </c>
      <c r="AX9" t="s">
        <v>732</v>
      </c>
      <c r="AY9" t="s">
        <v>390</v>
      </c>
      <c r="AZ9" t="s">
        <v>109</v>
      </c>
      <c r="BA9" t="s">
        <v>111</v>
      </c>
      <c r="BB9" t="s">
        <v>112</v>
      </c>
      <c r="BC9" t="s">
        <v>733</v>
      </c>
      <c r="BD9" t="s">
        <v>391</v>
      </c>
      <c r="BE9" t="s">
        <v>110</v>
      </c>
      <c r="BF9" t="s">
        <v>113</v>
      </c>
      <c r="BG9" t="s">
        <v>114</v>
      </c>
      <c r="BH9" t="s">
        <v>722</v>
      </c>
      <c r="BI9" t="s">
        <v>734</v>
      </c>
      <c r="BJ9" t="s">
        <v>732</v>
      </c>
      <c r="BK9" t="s">
        <v>723</v>
      </c>
      <c r="BL9" t="s">
        <v>617</v>
      </c>
      <c r="BM9" t="s">
        <v>733</v>
      </c>
      <c r="BN9" t="s">
        <v>5</v>
      </c>
      <c r="BO9" t="s">
        <v>5</v>
      </c>
      <c r="BP9" t="s">
        <v>5</v>
      </c>
      <c r="BQ9">
        <v>9.08</v>
      </c>
      <c r="BR9">
        <v>6.97</v>
      </c>
      <c r="BS9">
        <v>10.63</v>
      </c>
      <c r="BT9" t="s">
        <v>553</v>
      </c>
      <c r="BU9" t="s">
        <v>495</v>
      </c>
      <c r="BV9" t="s">
        <v>5</v>
      </c>
      <c r="BW9" t="s">
        <v>5</v>
      </c>
      <c r="BX9" t="s">
        <v>5</v>
      </c>
      <c r="BY9">
        <v>25.21</v>
      </c>
      <c r="BZ9">
        <v>23.6</v>
      </c>
      <c r="CA9">
        <v>30.03</v>
      </c>
      <c r="CB9">
        <v>1.49</v>
      </c>
      <c r="CC9">
        <v>-5.88</v>
      </c>
      <c r="CD9" t="s">
        <v>735</v>
      </c>
      <c r="CE9" t="s">
        <v>736</v>
      </c>
      <c r="CF9" s="12">
        <v>0.13285928143712575</v>
      </c>
      <c r="CG9" s="13">
        <v>0.10100503018108652</v>
      </c>
      <c r="CH9" s="12">
        <v>3.831452876329422E-2</v>
      </c>
      <c r="CI9" s="12">
        <v>-3.428177535533905E-2</v>
      </c>
      <c r="CJ9" s="12">
        <v>7.5741767883300781E-2</v>
      </c>
      <c r="CK9" s="12">
        <v>9.6574611961841583E-2</v>
      </c>
      <c r="CL9" s="12">
        <v>0.16979359090328217</v>
      </c>
      <c r="CM9" s="13">
        <v>0.10832976549863815</v>
      </c>
      <c r="CN9" s="13">
        <v>-0.24429222941398621</v>
      </c>
      <c r="CO9" s="13">
        <v>3.5810768604278564E-2</v>
      </c>
      <c r="CP9" s="13">
        <v>4.7787632793188095E-2</v>
      </c>
      <c r="CQ9" s="13">
        <v>0.16783788800239563</v>
      </c>
      <c r="CR9">
        <v>5.6123595171773442</v>
      </c>
      <c r="CS9">
        <v>0.81070020045283442</v>
      </c>
      <c r="CT9">
        <v>3.6764705882352939</v>
      </c>
      <c r="CU9" s="12">
        <v>6.922854483127594E-2</v>
      </c>
      <c r="CV9" s="13">
        <v>2.3094765096902847E-2</v>
      </c>
      <c r="CW9">
        <v>0.06</v>
      </c>
      <c r="CX9">
        <v>155.91912888269522</v>
      </c>
      <c r="CY9">
        <v>2590357455.7799211</v>
      </c>
      <c r="CZ9">
        <v>6.922854483127594E-2</v>
      </c>
      <c r="DA9">
        <v>51.859181664743282</v>
      </c>
      <c r="DB9">
        <v>7788134425.4721251</v>
      </c>
      <c r="DC9">
        <v>6.576711758971214E-2</v>
      </c>
      <c r="DD9">
        <v>26.133167198458143</v>
      </c>
      <c r="DE9">
        <v>15454930316.438234</v>
      </c>
      <c r="DF9">
        <v>6.0921119451522829E-2</v>
      </c>
      <c r="DG9">
        <v>16.108572377274381</v>
      </c>
      <c r="DH9">
        <v>25072754341.023659</v>
      </c>
      <c r="DI9">
        <v>5.5382835865020755E-2</v>
      </c>
      <c r="DJ9">
        <v>8.8041278160832164</v>
      </c>
      <c r="DK9">
        <v>45874649532.255547</v>
      </c>
      <c r="DL9">
        <v>4.8459981381893155E-2</v>
      </c>
      <c r="DM9">
        <v>2568000000</v>
      </c>
      <c r="DN9">
        <v>6.922854483127594E-2</v>
      </c>
      <c r="DO9">
        <v>403886278000</v>
      </c>
      <c r="DP9">
        <v>0</v>
      </c>
      <c r="DQ9">
        <v>1418</v>
      </c>
      <c r="DR9">
        <v>6.3630736605849808E-2</v>
      </c>
      <c r="DS9">
        <v>7.7910265084183666E-2</v>
      </c>
      <c r="DT9" s="14">
        <v>-0.34</v>
      </c>
      <c r="DU9">
        <v>0.38999999999999996</v>
      </c>
      <c r="DV9">
        <v>4.9999999999999933E-2</v>
      </c>
      <c r="DW9">
        <v>-1.0588</v>
      </c>
      <c r="DX9">
        <v>0.40579288025889948</v>
      </c>
      <c r="DY9">
        <v>-1.0115126213592234</v>
      </c>
      <c r="DZ9">
        <v>1593</v>
      </c>
      <c r="EA9">
        <v>-1.0079236574012502</v>
      </c>
      <c r="EB9">
        <v>1</v>
      </c>
      <c r="EC9">
        <v>4.355951979985373E-2</v>
      </c>
      <c r="ED9">
        <v>0.22247754740751738</v>
      </c>
      <c r="EE9" s="15">
        <v>2.0117099999999999</v>
      </c>
      <c r="EF9">
        <v>2.0117099999999999</v>
      </c>
      <c r="EG9">
        <v>21.1957928802589</v>
      </c>
      <c r="EH9" t="s">
        <v>737</v>
      </c>
      <c r="EI9">
        <v>0</v>
      </c>
      <c r="EJ9">
        <v>0</v>
      </c>
      <c r="EK9" s="11">
        <v>45470</v>
      </c>
      <c r="EL9" s="16">
        <v>-0.38</v>
      </c>
      <c r="EM9" s="16">
        <v>-1.52</v>
      </c>
      <c r="EN9" s="16">
        <v>0.77</v>
      </c>
      <c r="EO9" s="16">
        <v>0.76</v>
      </c>
      <c r="EP9" s="16">
        <v>0</v>
      </c>
    </row>
    <row r="10" spans="1:146" ht="108" x14ac:dyDescent="0.25">
      <c r="A10" s="7"/>
      <c r="B10" s="7"/>
      <c r="C10" s="7" t="str">
        <f>""&amp;CHAR(10)&amp;Basic_Fundamental_Information_Constructure(F10)&amp;CHAR(10)&amp;Basic_Fundamental_Information_Concatenate("")</f>
        <v xml:space="preserve">
市值270.60575亿, 利润46.01亿; PE5.69; 平均PE8.58; 平均PEG.94, PB.66; ROIC0%; ROE10.44%; 股利率5.2846%; 毛利0%; 净利35.2633%; 上一年度营收增.88%, 利润增17.43%; 当季营收增2.12%, 利润增12.3%; 过往5年营收增9.15%, 利润增15.73%
Income profile:
</v>
      </c>
      <c r="D10" t="s">
        <v>116</v>
      </c>
      <c r="E10" t="s">
        <v>117</v>
      </c>
      <c r="F10">
        <v>7.38</v>
      </c>
      <c r="G10">
        <v>-1.73</v>
      </c>
      <c r="H10" t="s">
        <v>738</v>
      </c>
      <c r="I10">
        <v>27060575000</v>
      </c>
      <c r="J10">
        <v>5.69</v>
      </c>
      <c r="K10">
        <v>0.66</v>
      </c>
      <c r="L10" t="s">
        <v>65</v>
      </c>
      <c r="M10" t="s">
        <v>739</v>
      </c>
      <c r="N10" t="s">
        <v>740</v>
      </c>
      <c r="O10" t="s">
        <v>741</v>
      </c>
      <c r="P10">
        <v>2.11</v>
      </c>
      <c r="Q10" t="s">
        <v>742</v>
      </c>
      <c r="R10">
        <v>1455406800</v>
      </c>
      <c r="S10" s="5">
        <v>0.1229</v>
      </c>
      <c r="T10" t="s">
        <v>743</v>
      </c>
      <c r="U10">
        <v>3563761400</v>
      </c>
      <c r="V10">
        <v>3666744600</v>
      </c>
      <c r="W10">
        <v>13.17</v>
      </c>
      <c r="X10">
        <v>0.01</v>
      </c>
      <c r="Y10">
        <v>46.67</v>
      </c>
      <c r="Z10" t="s">
        <v>5</v>
      </c>
      <c r="AA10" t="s">
        <v>5</v>
      </c>
      <c r="AB10" t="s">
        <v>5</v>
      </c>
      <c r="AC10" t="s">
        <v>5</v>
      </c>
      <c r="AD10" t="s">
        <v>5</v>
      </c>
      <c r="AE10">
        <v>0</v>
      </c>
      <c r="AF10" t="s">
        <v>744</v>
      </c>
      <c r="AG10" t="s">
        <v>745</v>
      </c>
      <c r="AH10" t="s">
        <v>746</v>
      </c>
      <c r="AI10" t="s">
        <v>5</v>
      </c>
      <c r="AJ10" t="s">
        <v>21</v>
      </c>
      <c r="AK10" t="s">
        <v>5</v>
      </c>
      <c r="AL10" t="s">
        <v>21</v>
      </c>
      <c r="AM10" t="s">
        <v>747</v>
      </c>
      <c r="AN10" t="s">
        <v>748</v>
      </c>
      <c r="AO10" t="s">
        <v>5</v>
      </c>
      <c r="AP10" t="s">
        <v>5</v>
      </c>
      <c r="AQ10" t="s">
        <v>5</v>
      </c>
      <c r="AR10" t="s">
        <v>5</v>
      </c>
      <c r="AS10" t="s">
        <v>5</v>
      </c>
      <c r="AT10" t="s">
        <v>5</v>
      </c>
      <c r="AU10" t="s">
        <v>749</v>
      </c>
      <c r="AV10" t="s">
        <v>750</v>
      </c>
      <c r="AW10" t="s">
        <v>751</v>
      </c>
      <c r="AX10" t="s">
        <v>752</v>
      </c>
      <c r="AY10" t="s">
        <v>392</v>
      </c>
      <c r="AZ10" t="s">
        <v>118</v>
      </c>
      <c r="BA10" t="s">
        <v>120</v>
      </c>
      <c r="BB10" t="s">
        <v>121</v>
      </c>
      <c r="BC10" t="s">
        <v>753</v>
      </c>
      <c r="BD10" t="s">
        <v>393</v>
      </c>
      <c r="BE10" t="s">
        <v>119</v>
      </c>
      <c r="BF10" t="s">
        <v>122</v>
      </c>
      <c r="BG10" t="s">
        <v>123</v>
      </c>
      <c r="BH10" t="s">
        <v>742</v>
      </c>
      <c r="BI10" t="s">
        <v>754</v>
      </c>
      <c r="BJ10" t="s">
        <v>752</v>
      </c>
      <c r="BK10" t="s">
        <v>743</v>
      </c>
      <c r="BL10" t="s">
        <v>688</v>
      </c>
      <c r="BM10" t="s">
        <v>753</v>
      </c>
      <c r="BN10" t="s">
        <v>5</v>
      </c>
      <c r="BO10" t="s">
        <v>5</v>
      </c>
      <c r="BP10" t="s">
        <v>5</v>
      </c>
      <c r="BQ10">
        <v>9.84</v>
      </c>
      <c r="BR10">
        <v>11.52</v>
      </c>
      <c r="BS10">
        <v>9.9600000000000009</v>
      </c>
      <c r="BT10" t="s">
        <v>569</v>
      </c>
      <c r="BU10" t="s">
        <v>493</v>
      </c>
      <c r="BV10" t="s">
        <v>5</v>
      </c>
      <c r="BW10" t="s">
        <v>5</v>
      </c>
      <c r="BX10" t="s">
        <v>5</v>
      </c>
      <c r="BY10">
        <v>40.43</v>
      </c>
      <c r="BZ10">
        <v>35</v>
      </c>
      <c r="CA10">
        <v>30.36</v>
      </c>
      <c r="CB10">
        <v>-1.6</v>
      </c>
      <c r="CC10">
        <v>-3.15</v>
      </c>
      <c r="CD10" t="s">
        <v>755</v>
      </c>
      <c r="CE10" t="s">
        <v>756</v>
      </c>
      <c r="CF10" s="12">
        <v>2.1215959468017732E-2</v>
      </c>
      <c r="CG10" s="13">
        <v>0.12299907407407408</v>
      </c>
      <c r="CH10" s="12">
        <v>8.7562752887606621E-3</v>
      </c>
      <c r="CI10" s="12">
        <v>8.6249947547912598E-2</v>
      </c>
      <c r="CJ10" s="12">
        <v>4.4866789132356644E-2</v>
      </c>
      <c r="CK10" s="12">
        <v>9.9745355546474457E-2</v>
      </c>
      <c r="CL10" s="12">
        <v>0.21804317831993103</v>
      </c>
      <c r="CM10" s="13">
        <v>0.17432357370853424</v>
      </c>
      <c r="CN10" s="13">
        <v>0.26102352142333984</v>
      </c>
      <c r="CO10" s="13">
        <v>0.20800936222076416</v>
      </c>
      <c r="CP10" s="13">
        <v>4.0032375603914261E-2</v>
      </c>
      <c r="CQ10" s="13">
        <v>0.10303304344415665</v>
      </c>
      <c r="CR10">
        <v>8.5847538729974104</v>
      </c>
      <c r="CS10">
        <v>0.93789329157275225</v>
      </c>
      <c r="CT10">
        <v>5.2845528455284549</v>
      </c>
      <c r="CU10" s="12">
        <v>9.1532309167087073E-2</v>
      </c>
      <c r="CV10" s="13">
        <v>0.15728437528014183</v>
      </c>
      <c r="CW10">
        <v>0.06</v>
      </c>
      <c r="CX10">
        <v>112.2917664886719</v>
      </c>
      <c r="CY10">
        <v>4737868070.262044</v>
      </c>
      <c r="CZ10">
        <v>9.1532309167087073E-2</v>
      </c>
      <c r="DA10">
        <v>36.648326743108093</v>
      </c>
      <c r="DB10">
        <v>14516994970.31061</v>
      </c>
      <c r="DC10">
        <v>8.6955693708732712E-2</v>
      </c>
      <c r="DD10">
        <v>18.009831314681477</v>
      </c>
      <c r="DE10">
        <v>29540730598.975597</v>
      </c>
      <c r="DF10">
        <v>8.0548432067036629E-2</v>
      </c>
      <c r="DG10">
        <v>10.794046943800391</v>
      </c>
      <c r="DH10">
        <v>49288610450.742027</v>
      </c>
      <c r="DI10">
        <v>7.3225847333669658E-2</v>
      </c>
      <c r="DJ10">
        <v>5.5520806101525197</v>
      </c>
      <c r="DK10">
        <v>95824180583.247131</v>
      </c>
      <c r="DL10">
        <v>6.4072616416960951E-2</v>
      </c>
      <c r="DM10">
        <v>4601000000</v>
      </c>
      <c r="DN10">
        <v>9.1532309167087073E-2</v>
      </c>
      <c r="DO10">
        <v>532023575000</v>
      </c>
      <c r="DP10">
        <v>0</v>
      </c>
      <c r="DQ10">
        <v>1425</v>
      </c>
      <c r="DR10">
        <v>-7.0316349699069344E-2</v>
      </c>
      <c r="DS10">
        <v>-3.428530120606775E-2</v>
      </c>
      <c r="DT10" s="14">
        <v>-0.34</v>
      </c>
      <c r="DU10">
        <v>0.45</v>
      </c>
      <c r="DV10">
        <v>0.10999999999999999</v>
      </c>
      <c r="DW10">
        <v>-1.0315000000000001</v>
      </c>
      <c r="DX10">
        <v>0.36942122186495197</v>
      </c>
      <c r="DY10">
        <v>-1.0040767684887459</v>
      </c>
      <c r="DZ10">
        <v>1455</v>
      </c>
      <c r="EA10">
        <v>-1.0029159665022243</v>
      </c>
      <c r="EB10">
        <v>1</v>
      </c>
      <c r="EC10">
        <v>4.3908157661158076E-2</v>
      </c>
      <c r="ED10">
        <v>0.33926551633838908</v>
      </c>
      <c r="EE10" s="15">
        <v>0.1002</v>
      </c>
      <c r="EF10">
        <v>0.12529999999999999</v>
      </c>
      <c r="EG10">
        <v>24.129421221864952</v>
      </c>
      <c r="EH10" t="s">
        <v>497</v>
      </c>
      <c r="EI10">
        <v>0</v>
      </c>
      <c r="EJ10">
        <v>1</v>
      </c>
      <c r="EK10" s="11">
        <v>45470</v>
      </c>
      <c r="EL10" s="16">
        <v>0</v>
      </c>
      <c r="EM10" s="16">
        <v>-0.7</v>
      </c>
      <c r="EN10" s="16">
        <v>0.99</v>
      </c>
      <c r="EO10" s="16">
        <v>0</v>
      </c>
      <c r="EP10" s="16">
        <v>2.5099999999999998</v>
      </c>
    </row>
    <row r="11" spans="1:146" ht="108" x14ac:dyDescent="0.25">
      <c r="A11" s="7"/>
      <c r="B11" s="7"/>
      <c r="C11" s="7" t="str">
        <f>""&amp;CHAR(10)&amp;Basic_Fundamental_Information_Constructure(F11)&amp;CHAR(10)&amp;Basic_Fundamental_Information_Concatenate("")</f>
        <v xml:space="preserve">
市值2447.9716亿, 利润4.42亿; PE6.39; 平均PE9.49; 平均PEG.35, PB.387; ROIC0%; ROE7.0167%; 股利率3.8489%; 毛利0%; 净利25.7667%; 上一年度营收增-96.59%, 利润增-99.14%; 当季营收增3235.39%, 利润增38850.32%; 过往5年营收增-27.33%, 利润增-99.14%
Income profile:
</v>
      </c>
      <c r="D11" t="s">
        <v>124</v>
      </c>
      <c r="E11" t="s">
        <v>125</v>
      </c>
      <c r="F11">
        <v>8.34</v>
      </c>
      <c r="G11">
        <v>-1.88</v>
      </c>
      <c r="H11" t="s">
        <v>757</v>
      </c>
      <c r="I11">
        <v>244797160000</v>
      </c>
      <c r="J11">
        <v>6.39</v>
      </c>
      <c r="K11">
        <v>0.38700000000000001</v>
      </c>
      <c r="L11" t="s">
        <v>65</v>
      </c>
      <c r="M11" t="s">
        <v>758</v>
      </c>
      <c r="N11" t="s">
        <v>759</v>
      </c>
      <c r="O11" t="s">
        <v>760</v>
      </c>
      <c r="P11">
        <v>-5.72</v>
      </c>
      <c r="Q11" t="s">
        <v>761</v>
      </c>
      <c r="R11">
        <v>17421000000</v>
      </c>
      <c r="S11" s="5">
        <v>0.1004</v>
      </c>
      <c r="T11" t="s">
        <v>762</v>
      </c>
      <c r="U11">
        <v>29352177000</v>
      </c>
      <c r="V11">
        <v>29352177000</v>
      </c>
      <c r="W11">
        <v>12.05</v>
      </c>
      <c r="X11" t="s">
        <v>5</v>
      </c>
      <c r="Y11">
        <v>38.96</v>
      </c>
      <c r="Z11" t="s">
        <v>5</v>
      </c>
      <c r="AA11" t="s">
        <v>5</v>
      </c>
      <c r="AB11" t="s">
        <v>5</v>
      </c>
      <c r="AC11" t="s">
        <v>5</v>
      </c>
      <c r="AD11" t="s">
        <v>5</v>
      </c>
      <c r="AE11">
        <v>0</v>
      </c>
      <c r="AF11" t="s">
        <v>763</v>
      </c>
      <c r="AG11" t="s">
        <v>764</v>
      </c>
      <c r="AH11" t="s">
        <v>765</v>
      </c>
      <c r="AI11" t="s">
        <v>5</v>
      </c>
      <c r="AJ11" t="s">
        <v>21</v>
      </c>
      <c r="AK11" t="s">
        <v>5</v>
      </c>
      <c r="AL11" t="s">
        <v>21</v>
      </c>
      <c r="AM11" t="s">
        <v>766</v>
      </c>
      <c r="AN11" t="s">
        <v>557</v>
      </c>
      <c r="AO11" t="s">
        <v>5</v>
      </c>
      <c r="AP11" t="s">
        <v>5</v>
      </c>
      <c r="AQ11" t="s">
        <v>5</v>
      </c>
      <c r="AR11" t="s">
        <v>5</v>
      </c>
      <c r="AS11" t="s">
        <v>5</v>
      </c>
      <c r="AT11" t="s">
        <v>5</v>
      </c>
      <c r="AU11" t="s">
        <v>767</v>
      </c>
      <c r="AV11" t="s">
        <v>768</v>
      </c>
      <c r="AW11" t="s">
        <v>769</v>
      </c>
      <c r="AX11" t="s">
        <v>770</v>
      </c>
      <c r="AY11" t="s">
        <v>5</v>
      </c>
      <c r="AZ11" t="s">
        <v>126</v>
      </c>
      <c r="BA11" t="s">
        <v>127</v>
      </c>
      <c r="BB11" t="s">
        <v>128</v>
      </c>
      <c r="BC11" t="s">
        <v>771</v>
      </c>
      <c r="BD11" t="s">
        <v>5</v>
      </c>
      <c r="BE11" t="s">
        <v>5</v>
      </c>
      <c r="BF11" t="s">
        <v>5</v>
      </c>
      <c r="BG11" t="s">
        <v>5</v>
      </c>
      <c r="BH11" t="s">
        <v>772</v>
      </c>
      <c r="BI11" t="s">
        <v>773</v>
      </c>
      <c r="BJ11" t="s">
        <v>770</v>
      </c>
      <c r="BK11" t="s">
        <v>774</v>
      </c>
      <c r="BL11" t="s">
        <v>775</v>
      </c>
      <c r="BM11" t="s">
        <v>771</v>
      </c>
      <c r="BN11" t="s">
        <v>5</v>
      </c>
      <c r="BO11" t="s">
        <v>5</v>
      </c>
      <c r="BP11" t="s">
        <v>5</v>
      </c>
      <c r="BQ11">
        <v>4.32</v>
      </c>
      <c r="BR11">
        <v>7.98</v>
      </c>
      <c r="BS11">
        <v>8.75</v>
      </c>
      <c r="BT11" t="s">
        <v>776</v>
      </c>
      <c r="BU11" t="s">
        <v>492</v>
      </c>
      <c r="BV11" t="s">
        <v>5</v>
      </c>
      <c r="BW11" t="s">
        <v>5</v>
      </c>
      <c r="BX11" t="s">
        <v>5</v>
      </c>
      <c r="BY11">
        <v>21.58</v>
      </c>
      <c r="BZ11">
        <v>27.57</v>
      </c>
      <c r="CA11">
        <v>28.15</v>
      </c>
      <c r="CB11">
        <v>1.34</v>
      </c>
      <c r="CC11">
        <v>-2.11</v>
      </c>
      <c r="CD11" t="s">
        <v>777</v>
      </c>
      <c r="CE11" t="s">
        <v>383</v>
      </c>
      <c r="CF11" s="12">
        <v>32.353936718175127</v>
      </c>
      <c r="CG11" s="13">
        <v>388.50324418349874</v>
      </c>
      <c r="CH11" s="12">
        <v>-0.96590536832809448</v>
      </c>
      <c r="CI11" s="12" t="s">
        <v>5</v>
      </c>
      <c r="CJ11" s="12" t="s">
        <v>5</v>
      </c>
      <c r="CK11" s="12">
        <v>2.9870761558413506E-2</v>
      </c>
      <c r="CL11" s="12">
        <v>0.11601557582616806</v>
      </c>
      <c r="CM11" s="13">
        <v>-0.99136233329772949</v>
      </c>
      <c r="CN11" s="13" t="s">
        <v>5</v>
      </c>
      <c r="CO11" s="13" t="s">
        <v>5</v>
      </c>
      <c r="CP11" s="13" t="s">
        <v>5</v>
      </c>
      <c r="CQ11" s="13" t="s">
        <v>5</v>
      </c>
      <c r="CR11">
        <v>9.4858721639896917</v>
      </c>
      <c r="CS11">
        <v>0.34703604938565602</v>
      </c>
      <c r="CT11">
        <v>3.8489208633093526</v>
      </c>
      <c r="CU11" s="12">
        <v>-0.27333967698117095</v>
      </c>
      <c r="CV11" s="13">
        <v>-0.99136233329772949</v>
      </c>
      <c r="CW11">
        <v>0.06</v>
      </c>
      <c r="CX11">
        <v>17574.24923076923</v>
      </c>
      <c r="CY11" t="s">
        <v>778</v>
      </c>
      <c r="CZ11">
        <v>-0.27333967698117095</v>
      </c>
      <c r="DA11">
        <v>5858.083076923077</v>
      </c>
      <c r="DB11" t="s">
        <v>779</v>
      </c>
      <c r="DC11">
        <v>-0.25967269313211239</v>
      </c>
      <c r="DD11">
        <v>2929.0415384615385</v>
      </c>
      <c r="DE11" t="s">
        <v>780</v>
      </c>
      <c r="DF11">
        <v>-0.24053891574343045</v>
      </c>
      <c r="DG11">
        <v>1757.4249230769231</v>
      </c>
      <c r="DH11" t="s">
        <v>781</v>
      </c>
      <c r="DI11">
        <v>-0.21867174158493677</v>
      </c>
      <c r="DJ11">
        <v>878.71246153846153</v>
      </c>
      <c r="DK11" t="s">
        <v>782</v>
      </c>
      <c r="DL11">
        <v>-0.19133777388681966</v>
      </c>
      <c r="DM11">
        <v>442000000</v>
      </c>
      <c r="DN11">
        <v>-0.27333967698117095</v>
      </c>
      <c r="DO11">
        <v>7767818160000</v>
      </c>
      <c r="DP11">
        <v>0</v>
      </c>
      <c r="DQ11">
        <v>2846</v>
      </c>
      <c r="DR11">
        <v>32.627276395156301</v>
      </c>
      <c r="DS11">
        <v>389.49460651679647</v>
      </c>
      <c r="DT11" s="14">
        <v>-1.1599999999999999</v>
      </c>
      <c r="DU11">
        <v>-2.3199999999999998</v>
      </c>
      <c r="DV11">
        <v>-3.4799999999999995</v>
      </c>
      <c r="DW11">
        <v>-2.1099999999999997E-2</v>
      </c>
      <c r="DX11">
        <v>0.46974882260596557</v>
      </c>
      <c r="DY11">
        <v>-3.7927001569858709E-3</v>
      </c>
      <c r="DZ11" t="s">
        <v>783</v>
      </c>
      <c r="EA11" t="e">
        <v>#VALUE!</v>
      </c>
      <c r="EB11" t="e">
        <v>#VALUE!</v>
      </c>
      <c r="EC11">
        <v>7.8018063191701249E-3</v>
      </c>
      <c r="ED11">
        <v>4.3403935592239033E-2</v>
      </c>
      <c r="EE11" s="15">
        <v>41.0244</v>
      </c>
      <c r="EF11">
        <v>41.000410000000002</v>
      </c>
      <c r="EG11">
        <v>29.179748822605966</v>
      </c>
      <c r="EH11" t="s">
        <v>784</v>
      </c>
      <c r="EI11" t="e">
        <v>#VALUE!</v>
      </c>
      <c r="EJ11">
        <v>0</v>
      </c>
      <c r="EK11" s="11">
        <v>45470</v>
      </c>
      <c r="EL11" s="16">
        <v>-1.61</v>
      </c>
      <c r="EM11" s="16">
        <v>-4.6100000000000003</v>
      </c>
      <c r="EN11" s="16">
        <v>2.93</v>
      </c>
      <c r="EO11" s="16">
        <v>0.24</v>
      </c>
      <c r="EP11" s="16">
        <v>-2.48</v>
      </c>
    </row>
    <row r="12" spans="1:146" ht="96" x14ac:dyDescent="0.25">
      <c r="A12" s="7"/>
      <c r="B12" s="7"/>
      <c r="C12" s="7" t="str">
        <f>""&amp;CHAR(10)&amp;Basic_Fundamental_Information_Constructure(F12)&amp;CHAR(10)&amp;Basic_Fundamental_Information_Concatenate("")</f>
        <v xml:space="preserve">
市值1018.55542亿, 利润358.23亿; PE3.86; 平均PE3.35; 平均PEG.13, PB.356; ROIC0%; ROE7.9%; 股利率6%; 毛利0%; 净利26.9667%; 上一年度营收增50.11%, 利润增43.09%; 当季营收增-39.86%, 利润增-58.61%; 过往5年营收增26.64%, 利润增43.09%
Income profile:
</v>
      </c>
      <c r="D12" t="s">
        <v>129</v>
      </c>
      <c r="E12" t="s">
        <v>130</v>
      </c>
      <c r="F12">
        <v>6.4</v>
      </c>
      <c r="G12">
        <v>-2.44</v>
      </c>
      <c r="H12" t="s">
        <v>785</v>
      </c>
      <c r="I12">
        <v>101855542000</v>
      </c>
      <c r="J12">
        <v>3.86</v>
      </c>
      <c r="K12">
        <v>0.35599999999999998</v>
      </c>
      <c r="L12" t="s">
        <v>65</v>
      </c>
      <c r="M12" t="s">
        <v>786</v>
      </c>
      <c r="N12" t="s">
        <v>787</v>
      </c>
      <c r="O12" t="s">
        <v>788</v>
      </c>
      <c r="P12">
        <v>-4.34</v>
      </c>
      <c r="Q12" t="s">
        <v>789</v>
      </c>
      <c r="R12">
        <v>5890000000</v>
      </c>
      <c r="S12" s="5">
        <v>6.1500000000000001E-3</v>
      </c>
      <c r="T12" t="s">
        <v>790</v>
      </c>
      <c r="U12">
        <v>15387224000</v>
      </c>
      <c r="V12">
        <v>15914928000</v>
      </c>
      <c r="W12">
        <v>13.3</v>
      </c>
      <c r="X12" t="s">
        <v>5</v>
      </c>
      <c r="Y12">
        <v>27.16</v>
      </c>
      <c r="Z12" t="s">
        <v>5</v>
      </c>
      <c r="AA12" t="s">
        <v>5</v>
      </c>
      <c r="AB12" t="s">
        <v>5</v>
      </c>
      <c r="AC12" t="s">
        <v>5</v>
      </c>
      <c r="AD12" t="s">
        <v>5</v>
      </c>
      <c r="AE12">
        <v>0</v>
      </c>
      <c r="AF12" t="s">
        <v>791</v>
      </c>
      <c r="AG12" t="s">
        <v>792</v>
      </c>
      <c r="AH12" t="s">
        <v>793</v>
      </c>
      <c r="AI12" t="s">
        <v>5</v>
      </c>
      <c r="AJ12" t="s">
        <v>21</v>
      </c>
      <c r="AK12" t="s">
        <v>5</v>
      </c>
      <c r="AL12" t="s">
        <v>21</v>
      </c>
      <c r="AM12" t="s">
        <v>794</v>
      </c>
      <c r="AN12" t="s">
        <v>5</v>
      </c>
      <c r="AO12" t="s">
        <v>5</v>
      </c>
      <c r="AP12" t="s">
        <v>5</v>
      </c>
      <c r="AQ12" t="s">
        <v>5</v>
      </c>
      <c r="AR12" t="s">
        <v>5</v>
      </c>
      <c r="AS12" t="s">
        <v>5</v>
      </c>
      <c r="AT12" t="s">
        <v>5</v>
      </c>
      <c r="AU12" t="s">
        <v>795</v>
      </c>
      <c r="AV12" t="s">
        <v>796</v>
      </c>
      <c r="AW12" t="s">
        <v>797</v>
      </c>
      <c r="AX12" t="s">
        <v>798</v>
      </c>
      <c r="AY12" t="s">
        <v>5</v>
      </c>
      <c r="AZ12" t="s">
        <v>131</v>
      </c>
      <c r="BA12" t="s">
        <v>132</v>
      </c>
      <c r="BB12" t="s">
        <v>133</v>
      </c>
      <c r="BC12" t="s">
        <v>799</v>
      </c>
      <c r="BD12" t="s">
        <v>5</v>
      </c>
      <c r="BE12" t="s">
        <v>5</v>
      </c>
      <c r="BF12" t="s">
        <v>5</v>
      </c>
      <c r="BG12" t="s">
        <v>5</v>
      </c>
      <c r="BH12" t="s">
        <v>800</v>
      </c>
      <c r="BI12" t="s">
        <v>801</v>
      </c>
      <c r="BJ12" t="s">
        <v>798</v>
      </c>
      <c r="BK12" t="s">
        <v>802</v>
      </c>
      <c r="BL12" t="s">
        <v>803</v>
      </c>
      <c r="BM12" t="s">
        <v>799</v>
      </c>
      <c r="BN12" t="s">
        <v>5</v>
      </c>
      <c r="BO12" t="s">
        <v>5</v>
      </c>
      <c r="BP12" t="s">
        <v>5</v>
      </c>
      <c r="BQ12">
        <v>5.66</v>
      </c>
      <c r="BR12">
        <v>9</v>
      </c>
      <c r="BS12">
        <v>9.0399999999999991</v>
      </c>
      <c r="BT12" t="s">
        <v>804</v>
      </c>
      <c r="BU12" t="s">
        <v>492</v>
      </c>
      <c r="BV12" t="s">
        <v>5</v>
      </c>
      <c r="BW12" t="s">
        <v>5</v>
      </c>
      <c r="BX12" t="s">
        <v>5</v>
      </c>
      <c r="BY12">
        <v>28.8</v>
      </c>
      <c r="BZ12">
        <v>27.17</v>
      </c>
      <c r="CA12">
        <v>24.93</v>
      </c>
      <c r="CB12">
        <v>0</v>
      </c>
      <c r="CC12">
        <v>-2.68</v>
      </c>
      <c r="CD12" t="s">
        <v>805</v>
      </c>
      <c r="CE12" t="s">
        <v>806</v>
      </c>
      <c r="CF12" s="12">
        <v>-0.39863486797378511</v>
      </c>
      <c r="CG12" s="13">
        <v>-0.58614390106801573</v>
      </c>
      <c r="CH12" s="12">
        <v>0.50111937522888184</v>
      </c>
      <c r="CI12" s="12" t="s">
        <v>5</v>
      </c>
      <c r="CJ12" s="12" t="s">
        <v>5</v>
      </c>
      <c r="CK12" s="12">
        <v>0.12480226904153824</v>
      </c>
      <c r="CL12" s="12">
        <v>0.17316247522830963</v>
      </c>
      <c r="CM12" s="13">
        <v>0.43091678619384766</v>
      </c>
      <c r="CN12" s="13" t="s">
        <v>5</v>
      </c>
      <c r="CO12" s="13" t="s">
        <v>5</v>
      </c>
      <c r="CP12" s="13" t="s">
        <v>5</v>
      </c>
      <c r="CQ12" s="13" t="s">
        <v>5</v>
      </c>
      <c r="CR12">
        <v>3.3473180847218114</v>
      </c>
      <c r="CS12">
        <v>0.12566829960861708</v>
      </c>
      <c r="CT12">
        <v>5.9999999999999991</v>
      </c>
      <c r="CU12" s="12">
        <v>0.26636137316624325</v>
      </c>
      <c r="CV12" s="13">
        <v>0.43091678619384766</v>
      </c>
      <c r="CW12">
        <v>0.06</v>
      </c>
      <c r="CX12">
        <v>86.583171511947739</v>
      </c>
      <c r="CY12">
        <v>42797041010.315407</v>
      </c>
      <c r="CZ12">
        <v>0.26636137316624325</v>
      </c>
      <c r="DA12">
        <v>24.445607694573713</v>
      </c>
      <c r="DB12">
        <v>151581567874.97351</v>
      </c>
      <c r="DC12">
        <v>0.25304330450793106</v>
      </c>
      <c r="DD12">
        <v>9.7818636047757668</v>
      </c>
      <c r="DE12">
        <v>378813658799.21637</v>
      </c>
      <c r="DF12">
        <v>0.23439800838629407</v>
      </c>
      <c r="DG12">
        <v>4.574476861182986</v>
      </c>
      <c r="DH12">
        <v>810038755129.20081</v>
      </c>
      <c r="DI12">
        <v>0.21308909853299463</v>
      </c>
      <c r="DJ12">
        <v>1.2931171173840967</v>
      </c>
      <c r="DK12">
        <v>2865559114626.8525</v>
      </c>
      <c r="DL12">
        <v>0.18645296121637026</v>
      </c>
      <c r="DM12">
        <v>35823000000</v>
      </c>
      <c r="DN12">
        <v>0.26636137316624325</v>
      </c>
      <c r="DO12">
        <v>3705503542000</v>
      </c>
      <c r="DP12">
        <v>0</v>
      </c>
      <c r="DQ12">
        <v>2855</v>
      </c>
      <c r="DR12">
        <v>-0.66499624114002831</v>
      </c>
      <c r="DS12">
        <v>-1.0170606872618633</v>
      </c>
      <c r="DT12" s="14">
        <v>-0.41000000000000003</v>
      </c>
      <c r="DU12">
        <v>-0.16000000000000003</v>
      </c>
      <c r="DV12">
        <v>-0.57000000000000006</v>
      </c>
      <c r="DW12">
        <v>-1.0267999999999999</v>
      </c>
      <c r="DX12">
        <v>0.44632309217046484</v>
      </c>
      <c r="DY12">
        <v>-1.0049934588701686</v>
      </c>
      <c r="DZ12">
        <v>1342</v>
      </c>
      <c r="EA12">
        <v>-1.0036820651708014</v>
      </c>
      <c r="EB12">
        <v>1</v>
      </c>
      <c r="EC12">
        <v>1.1812808703878522E-2</v>
      </c>
      <c r="ED12">
        <v>6.339959565007143E-2</v>
      </c>
      <c r="EE12" s="15">
        <v>2.0493000000000001</v>
      </c>
      <c r="EF12">
        <v>2.0508000000000002</v>
      </c>
      <c r="EG12">
        <v>26.186323092170465</v>
      </c>
      <c r="EH12" t="s">
        <v>717</v>
      </c>
      <c r="EI12">
        <v>0</v>
      </c>
      <c r="EJ12">
        <v>1</v>
      </c>
      <c r="EK12" s="11">
        <v>45470</v>
      </c>
      <c r="EL12" s="16">
        <v>2.69</v>
      </c>
      <c r="EM12" s="16">
        <v>0.44</v>
      </c>
      <c r="EN12" s="16">
        <v>0.22</v>
      </c>
      <c r="EO12" s="16">
        <v>-1.52</v>
      </c>
      <c r="EP12" s="16">
        <v>0.15</v>
      </c>
    </row>
    <row r="13" spans="1:146" ht="108" x14ac:dyDescent="0.25">
      <c r="A13" s="7"/>
      <c r="B13" s="7"/>
      <c r="C13" s="7" t="str">
        <f>""&amp;CHAR(10)&amp;Basic_Fundamental_Information_Constructure(F13)&amp;CHAR(10)&amp;Basic_Fundamental_Information_Concatenate("")</f>
        <v xml:space="preserve">
市值1676.8666亿, 利润6.41亿; PE4.79; 平均PE9.34; 平均PEG.37, PB.308; ROIC0%; ROE6.1867%; 股利率5.6397%; 毛利0%; 净利23.7733%; 上一年度营收增-94.27%, 利润增-98.18%; 当季营收增1518.94%, 利润增5105.81%; 过往5年营收增-25.56%, 利润增-98.18%
Income profile:
</v>
      </c>
      <c r="D13" t="s">
        <v>134</v>
      </c>
      <c r="E13" t="s">
        <v>135</v>
      </c>
      <c r="F13">
        <v>3.83</v>
      </c>
      <c r="G13">
        <v>-0.52</v>
      </c>
      <c r="H13" t="s">
        <v>807</v>
      </c>
      <c r="I13">
        <v>167686660000</v>
      </c>
      <c r="J13">
        <v>4.79</v>
      </c>
      <c r="K13">
        <v>0.308</v>
      </c>
      <c r="L13" t="s">
        <v>65</v>
      </c>
      <c r="M13" t="s">
        <v>808</v>
      </c>
      <c r="N13" t="s">
        <v>809</v>
      </c>
      <c r="O13" t="s">
        <v>810</v>
      </c>
      <c r="P13">
        <v>-6.8</v>
      </c>
      <c r="Q13" t="s">
        <v>811</v>
      </c>
      <c r="R13">
        <v>13431000000</v>
      </c>
      <c r="S13" s="5">
        <v>-5.6300000000000003E-2</v>
      </c>
      <c r="T13" t="s">
        <v>812</v>
      </c>
      <c r="U13">
        <v>35462123000</v>
      </c>
      <c r="V13">
        <v>43782419000</v>
      </c>
      <c r="W13">
        <v>11.84</v>
      </c>
      <c r="X13" t="s">
        <v>5</v>
      </c>
      <c r="Y13">
        <v>39.35</v>
      </c>
      <c r="Z13" t="s">
        <v>5</v>
      </c>
      <c r="AA13" t="s">
        <v>5</v>
      </c>
      <c r="AB13" t="s">
        <v>5</v>
      </c>
      <c r="AC13" t="s">
        <v>5</v>
      </c>
      <c r="AD13" t="s">
        <v>5</v>
      </c>
      <c r="AE13">
        <v>0</v>
      </c>
      <c r="AF13" t="s">
        <v>813</v>
      </c>
      <c r="AG13" t="s">
        <v>814</v>
      </c>
      <c r="AH13" t="s">
        <v>815</v>
      </c>
      <c r="AI13" t="s">
        <v>5</v>
      </c>
      <c r="AJ13" t="s">
        <v>21</v>
      </c>
      <c r="AK13" t="s">
        <v>5</v>
      </c>
      <c r="AL13" t="s">
        <v>21</v>
      </c>
      <c r="AM13" t="s">
        <v>816</v>
      </c>
      <c r="AN13" t="s">
        <v>817</v>
      </c>
      <c r="AO13" t="s">
        <v>5</v>
      </c>
      <c r="AP13" t="s">
        <v>5</v>
      </c>
      <c r="AQ13" t="s">
        <v>5</v>
      </c>
      <c r="AR13" t="s">
        <v>5</v>
      </c>
      <c r="AS13" t="s">
        <v>5</v>
      </c>
      <c r="AT13" t="s">
        <v>5</v>
      </c>
      <c r="AU13" t="s">
        <v>818</v>
      </c>
      <c r="AV13" t="s">
        <v>819</v>
      </c>
      <c r="AW13" t="s">
        <v>820</v>
      </c>
      <c r="AX13" t="s">
        <v>821</v>
      </c>
      <c r="AY13" t="s">
        <v>5</v>
      </c>
      <c r="AZ13" t="s">
        <v>136</v>
      </c>
      <c r="BA13" t="s">
        <v>137</v>
      </c>
      <c r="BB13" t="s">
        <v>138</v>
      </c>
      <c r="BC13" t="s">
        <v>822</v>
      </c>
      <c r="BD13" t="s">
        <v>5</v>
      </c>
      <c r="BE13" t="s">
        <v>5</v>
      </c>
      <c r="BF13" t="s">
        <v>5</v>
      </c>
      <c r="BG13" t="s">
        <v>5</v>
      </c>
      <c r="BH13" t="s">
        <v>789</v>
      </c>
      <c r="BI13" t="s">
        <v>823</v>
      </c>
      <c r="BJ13" t="s">
        <v>821</v>
      </c>
      <c r="BK13" t="s">
        <v>790</v>
      </c>
      <c r="BL13" t="s">
        <v>824</v>
      </c>
      <c r="BM13" t="s">
        <v>822</v>
      </c>
      <c r="BN13" t="s">
        <v>5</v>
      </c>
      <c r="BO13" t="s">
        <v>5</v>
      </c>
      <c r="BP13" t="s">
        <v>5</v>
      </c>
      <c r="BQ13">
        <v>5.66</v>
      </c>
      <c r="BR13">
        <v>6.31</v>
      </c>
      <c r="BS13">
        <v>6.59</v>
      </c>
      <c r="BT13" t="s">
        <v>825</v>
      </c>
      <c r="BU13" t="s">
        <v>492</v>
      </c>
      <c r="BV13" t="s">
        <v>5</v>
      </c>
      <c r="BW13" t="s">
        <v>5</v>
      </c>
      <c r="BX13" t="s">
        <v>5</v>
      </c>
      <c r="BY13">
        <v>25.56</v>
      </c>
      <c r="BZ13">
        <v>25.11</v>
      </c>
      <c r="CA13">
        <v>20.65</v>
      </c>
      <c r="CB13">
        <v>1.06</v>
      </c>
      <c r="CC13">
        <v>-4.01</v>
      </c>
      <c r="CD13" t="s">
        <v>826</v>
      </c>
      <c r="CE13" t="s">
        <v>827</v>
      </c>
      <c r="CF13" s="12">
        <v>15.189418989135568</v>
      </c>
      <c r="CG13" s="13">
        <v>51.058139534883722</v>
      </c>
      <c r="CH13" s="12">
        <v>-0.94274824857711792</v>
      </c>
      <c r="CI13" s="12" t="s">
        <v>5</v>
      </c>
      <c r="CJ13" s="12" t="s">
        <v>5</v>
      </c>
      <c r="CK13" s="12">
        <v>2.4994269013404846E-2</v>
      </c>
      <c r="CL13" s="12">
        <v>0.15099932253360748</v>
      </c>
      <c r="CM13" s="13">
        <v>-0.98182541131973267</v>
      </c>
      <c r="CN13" s="13" t="s">
        <v>5</v>
      </c>
      <c r="CO13" s="13" t="s">
        <v>5</v>
      </c>
      <c r="CP13" s="13" t="s">
        <v>5</v>
      </c>
      <c r="CQ13" s="13" t="s">
        <v>5</v>
      </c>
      <c r="CR13">
        <v>9.3392737399053196</v>
      </c>
      <c r="CS13">
        <v>0.36540790411679075</v>
      </c>
      <c r="CT13">
        <v>5.6396866840731077</v>
      </c>
      <c r="CU13" s="12">
        <v>-0.25558488567670185</v>
      </c>
      <c r="CV13" s="13">
        <v>-0.98182541131973267</v>
      </c>
      <c r="CW13">
        <v>0.06</v>
      </c>
      <c r="CX13">
        <v>10222.103993759751</v>
      </c>
      <c r="CY13" t="s">
        <v>828</v>
      </c>
      <c r="CZ13">
        <v>-0.25558488567670185</v>
      </c>
      <c r="DA13">
        <v>3407.3679979199169</v>
      </c>
      <c r="DB13" t="s">
        <v>829</v>
      </c>
      <c r="DC13">
        <v>-0.24280564139286673</v>
      </c>
      <c r="DD13">
        <v>1703.6839989599584</v>
      </c>
      <c r="DE13" t="s">
        <v>830</v>
      </c>
      <c r="DF13">
        <v>-0.22491469939549763</v>
      </c>
      <c r="DG13">
        <v>1022.210399375975</v>
      </c>
      <c r="DH13" t="s">
        <v>831</v>
      </c>
      <c r="DI13">
        <v>-0.20446790854136149</v>
      </c>
      <c r="DJ13">
        <v>511.10519968798752</v>
      </c>
      <c r="DK13" t="s">
        <v>832</v>
      </c>
      <c r="DL13">
        <v>-0.17890941997369128</v>
      </c>
      <c r="DM13">
        <v>641000000</v>
      </c>
      <c r="DN13">
        <v>-0.25558488567670185</v>
      </c>
      <c r="DO13">
        <v>6552368660000</v>
      </c>
      <c r="DP13">
        <v>0</v>
      </c>
      <c r="DQ13">
        <v>2856</v>
      </c>
      <c r="DR13">
        <v>15.44500387481227</v>
      </c>
      <c r="DS13">
        <v>52.039964946203455</v>
      </c>
      <c r="DT13" s="14">
        <v>-1.1599999999999999</v>
      </c>
      <c r="DU13">
        <v>-2.3199999999999998</v>
      </c>
      <c r="DV13">
        <v>-3.4799999999999995</v>
      </c>
      <c r="DW13">
        <v>-1.0401</v>
      </c>
      <c r="DX13">
        <v>0.42657881426517918</v>
      </c>
      <c r="DY13">
        <v>-1.0066798104520336</v>
      </c>
      <c r="DZ13">
        <v>2548</v>
      </c>
      <c r="EA13">
        <v>-1.0033490556512936</v>
      </c>
      <c r="EB13">
        <v>1</v>
      </c>
      <c r="EC13">
        <v>1.4435017854997916E-2</v>
      </c>
      <c r="ED13">
        <v>8.6655787566237485E-2</v>
      </c>
      <c r="EE13" s="15">
        <v>0.1239</v>
      </c>
      <c r="EF13">
        <v>0.13339999999999999</v>
      </c>
      <c r="EG13">
        <v>26.166578814265179</v>
      </c>
      <c r="EH13" t="s">
        <v>497</v>
      </c>
      <c r="EI13">
        <v>0</v>
      </c>
      <c r="EJ13">
        <v>0</v>
      </c>
      <c r="EK13" s="11">
        <v>45470</v>
      </c>
      <c r="EL13" s="16">
        <v>-0.16</v>
      </c>
      <c r="EM13" s="16">
        <v>0.32</v>
      </c>
      <c r="EN13" s="16">
        <v>1.28</v>
      </c>
      <c r="EO13" s="16">
        <v>-0.32</v>
      </c>
      <c r="EP13" s="16">
        <v>0.95</v>
      </c>
    </row>
    <row r="14" spans="1:146" ht="108" x14ac:dyDescent="0.25">
      <c r="A14" s="7"/>
      <c r="B14" s="7"/>
      <c r="C14" s="7" t="str">
        <f>""&amp;CHAR(10)&amp;Basic_Fundamental_Information_Constructure(F14)&amp;CHAR(10)&amp;Basic_Fundamental_Information_Concatenate("")</f>
        <v xml:space="preserve">
市值8544.4837亿, 利润-1.72亿; PE5.86; 平均PE12.4; 平均PEG.45, PB.882; ROIC0%; ROE15.6867%; 股利率5.8205%; 毛利0%; 净利40.1733%; 上一年度营收增-99.29%, 利润增-100.12%; 当季营收增16360.38%, 利润增65254.27%; 过往5年营收增-27.69%, 利润增-100.12%
Income profile:
</v>
      </c>
      <c r="D14" t="s">
        <v>139</v>
      </c>
      <c r="E14" t="s">
        <v>140</v>
      </c>
      <c r="F14">
        <v>33.880000000000003</v>
      </c>
      <c r="G14">
        <v>-2.39</v>
      </c>
      <c r="H14" t="s">
        <v>833</v>
      </c>
      <c r="I14">
        <v>854448370000</v>
      </c>
      <c r="J14">
        <v>5.86</v>
      </c>
      <c r="K14">
        <v>0.88200000000000001</v>
      </c>
      <c r="L14" t="s">
        <v>65</v>
      </c>
      <c r="M14" t="s">
        <v>834</v>
      </c>
      <c r="N14" t="s">
        <v>835</v>
      </c>
      <c r="O14" t="s">
        <v>836</v>
      </c>
      <c r="P14">
        <v>-4.6500000000000004</v>
      </c>
      <c r="Q14" t="s">
        <v>837</v>
      </c>
      <c r="R14">
        <v>38077000000</v>
      </c>
      <c r="S14" s="5">
        <v>-1.9599999999999999E-2</v>
      </c>
      <c r="T14" t="s">
        <v>838</v>
      </c>
      <c r="U14">
        <v>20628944000</v>
      </c>
      <c r="V14">
        <v>25219846000</v>
      </c>
      <c r="W14">
        <v>10.24</v>
      </c>
      <c r="X14" t="s">
        <v>5</v>
      </c>
      <c r="Y14">
        <v>44.48</v>
      </c>
      <c r="Z14" t="s">
        <v>5</v>
      </c>
      <c r="AA14" t="s">
        <v>5</v>
      </c>
      <c r="AB14" t="s">
        <v>5</v>
      </c>
      <c r="AC14" t="s">
        <v>5</v>
      </c>
      <c r="AD14" t="s">
        <v>5</v>
      </c>
      <c r="AE14">
        <v>0</v>
      </c>
      <c r="AF14" t="s">
        <v>839</v>
      </c>
      <c r="AG14" t="s">
        <v>840</v>
      </c>
      <c r="AH14" t="s">
        <v>841</v>
      </c>
      <c r="AI14" t="s">
        <v>5</v>
      </c>
      <c r="AJ14" t="s">
        <v>21</v>
      </c>
      <c r="AK14" t="s">
        <v>5</v>
      </c>
      <c r="AL14" t="s">
        <v>21</v>
      </c>
      <c r="AM14" t="s">
        <v>842</v>
      </c>
      <c r="AN14" t="s">
        <v>843</v>
      </c>
      <c r="AO14" t="s">
        <v>5</v>
      </c>
      <c r="AP14" t="s">
        <v>5</v>
      </c>
      <c r="AQ14" t="s">
        <v>5</v>
      </c>
      <c r="AR14" t="s">
        <v>5</v>
      </c>
      <c r="AS14" t="s">
        <v>5</v>
      </c>
      <c r="AT14" t="s">
        <v>5</v>
      </c>
      <c r="AU14" t="s">
        <v>844</v>
      </c>
      <c r="AV14" t="s">
        <v>845</v>
      </c>
      <c r="AW14" t="s">
        <v>846</v>
      </c>
      <c r="AX14" t="s">
        <v>847</v>
      </c>
      <c r="AY14" t="s">
        <v>5</v>
      </c>
      <c r="AZ14" t="s">
        <v>141</v>
      </c>
      <c r="BA14" t="s">
        <v>142</v>
      </c>
      <c r="BB14" t="s">
        <v>143</v>
      </c>
      <c r="BC14" t="s">
        <v>848</v>
      </c>
      <c r="BD14" t="s">
        <v>5</v>
      </c>
      <c r="BE14" t="s">
        <v>5</v>
      </c>
      <c r="BF14" t="s">
        <v>5</v>
      </c>
      <c r="BG14" t="s">
        <v>5</v>
      </c>
      <c r="BH14" t="s">
        <v>849</v>
      </c>
      <c r="BI14" t="s">
        <v>850</v>
      </c>
      <c r="BJ14" t="s">
        <v>847</v>
      </c>
      <c r="BK14" t="s">
        <v>851</v>
      </c>
      <c r="BL14" t="s">
        <v>852</v>
      </c>
      <c r="BM14" t="s">
        <v>848</v>
      </c>
      <c r="BN14" t="s">
        <v>5</v>
      </c>
      <c r="BO14" t="s">
        <v>5</v>
      </c>
      <c r="BP14" t="s">
        <v>5</v>
      </c>
      <c r="BQ14">
        <v>13.04</v>
      </c>
      <c r="BR14">
        <v>17.059999999999999</v>
      </c>
      <c r="BS14">
        <v>16.96</v>
      </c>
      <c r="BT14" t="s">
        <v>853</v>
      </c>
      <c r="BU14" t="s">
        <v>492</v>
      </c>
      <c r="BV14" t="s">
        <v>5</v>
      </c>
      <c r="BW14" t="s">
        <v>5</v>
      </c>
      <c r="BX14" t="s">
        <v>5</v>
      </c>
      <c r="BY14">
        <v>43.64</v>
      </c>
      <c r="BZ14">
        <v>40.4</v>
      </c>
      <c r="CA14">
        <v>36.479999999999997</v>
      </c>
      <c r="CB14">
        <v>-0.91</v>
      </c>
      <c r="CC14">
        <v>-4.5599999999999996</v>
      </c>
      <c r="CD14" t="s">
        <v>854</v>
      </c>
      <c r="CE14" t="s">
        <v>855</v>
      </c>
      <c r="CF14" s="12">
        <v>163.60380952380953</v>
      </c>
      <c r="CG14" s="13">
        <v>652.54265904420333</v>
      </c>
      <c r="CH14" s="12">
        <v>-0.99294048547744751</v>
      </c>
      <c r="CI14" s="12" t="s">
        <v>5</v>
      </c>
      <c r="CJ14" s="12" t="s">
        <v>5</v>
      </c>
      <c r="CK14" s="12">
        <v>7.7043972909450531E-2</v>
      </c>
      <c r="CL14" s="12">
        <v>8.5083819925785065E-2</v>
      </c>
      <c r="CM14" s="13">
        <v>-1.0012462139129639</v>
      </c>
      <c r="CN14" s="13" t="s">
        <v>5</v>
      </c>
      <c r="CO14" s="13" t="s">
        <v>5</v>
      </c>
      <c r="CP14" s="13" t="s">
        <v>5</v>
      </c>
      <c r="CQ14" s="13" t="s">
        <v>5</v>
      </c>
      <c r="CR14">
        <v>12.397683836331979</v>
      </c>
      <c r="CS14">
        <v>0.44767071854321155</v>
      </c>
      <c r="CT14">
        <v>5.8205430932703655</v>
      </c>
      <c r="CU14" s="12">
        <v>-0.27693756421407062</v>
      </c>
      <c r="CV14" s="13">
        <v>-1.0012462139129639</v>
      </c>
      <c r="CW14">
        <v>0.06</v>
      </c>
      <c r="CX14" t="e">
        <v>#VALUE!</v>
      </c>
      <c r="CY14" t="s">
        <v>856</v>
      </c>
      <c r="CZ14">
        <v>-0.27693756421407062</v>
      </c>
      <c r="DA14" t="e">
        <v>#VALUE!</v>
      </c>
      <c r="DB14" t="s">
        <v>856</v>
      </c>
      <c r="DC14">
        <v>-0.2630906860033671</v>
      </c>
      <c r="DD14" t="e">
        <v>#VALUE!</v>
      </c>
      <c r="DE14" t="s">
        <v>856</v>
      </c>
      <c r="DF14">
        <v>-0.24370505650838215</v>
      </c>
      <c r="DG14" t="e">
        <v>#VALUE!</v>
      </c>
      <c r="DH14" t="s">
        <v>856</v>
      </c>
      <c r="DI14">
        <v>-0.2215500513712565</v>
      </c>
      <c r="DJ14" t="e">
        <v>#VALUE!</v>
      </c>
      <c r="DK14" t="s">
        <v>856</v>
      </c>
      <c r="DL14">
        <v>-0.19385629494984943</v>
      </c>
      <c r="DM14">
        <v>-172000000</v>
      </c>
      <c r="DN14">
        <v>-0.27693756421407062</v>
      </c>
      <c r="DO14">
        <v>9671711370000</v>
      </c>
      <c r="DP14">
        <v>0</v>
      </c>
      <c r="DQ14">
        <v>2874</v>
      </c>
      <c r="DR14">
        <v>163.88074708802361</v>
      </c>
      <c r="DS14">
        <v>653.5439052581163</v>
      </c>
      <c r="DT14" s="14">
        <v>-1.1599999999999999</v>
      </c>
      <c r="DU14">
        <v>-3.57</v>
      </c>
      <c r="DV14">
        <v>-4.7299999999999995</v>
      </c>
      <c r="DW14">
        <v>-1.0456000000000001</v>
      </c>
      <c r="DX14">
        <v>0.55130576713819435</v>
      </c>
      <c r="DY14">
        <v>-1.0091795429815016</v>
      </c>
      <c r="DZ14">
        <v>1972</v>
      </c>
      <c r="EA14">
        <v>-1.0056370657291491</v>
      </c>
      <c r="EB14">
        <v>1</v>
      </c>
      <c r="EC14">
        <v>1.4670985699119654E-2</v>
      </c>
      <c r="ED14">
        <v>7.2879112743194391E-2</v>
      </c>
      <c r="EE14" s="15">
        <v>2.0672000000000001</v>
      </c>
      <c r="EF14">
        <v>2.0554000000000001</v>
      </c>
      <c r="EG14">
        <v>35.201305767138194</v>
      </c>
      <c r="EH14" t="s">
        <v>717</v>
      </c>
      <c r="EI14">
        <v>0</v>
      </c>
      <c r="EJ14">
        <v>0</v>
      </c>
      <c r="EK14" s="11">
        <v>45470</v>
      </c>
      <c r="EL14" s="16">
        <v>0.47</v>
      </c>
      <c r="EM14" s="16">
        <v>-1.62</v>
      </c>
      <c r="EN14" s="16">
        <v>-0.94</v>
      </c>
      <c r="EO14" s="16">
        <v>0.48</v>
      </c>
      <c r="EP14" s="16">
        <v>-1.18</v>
      </c>
    </row>
    <row r="15" spans="1:146" ht="108" x14ac:dyDescent="0.25">
      <c r="A15" s="7"/>
      <c r="B15" s="7"/>
      <c r="C15" s="7" t="str">
        <f>""&amp;CHAR(10)&amp;Basic_Fundamental_Information_Constructure(F15)&amp;CHAR(10)&amp;Basic_Fundamental_Information_Concatenate("")</f>
        <v xml:space="preserve">
市值112.148235亿, 利润12.74亿; PE4.98; 平均PE7.9; 平均PEG2.31, PB.563; ROIC0%; ROE11.1767%; 股利率3.9139%; 毛利0%; 净利43.59%; 上一年度营收增-18.48%, 利润增-36.33%; 当季营收增25.99%, 利润增64.54%; 过往5年营收增3.42%, 利润增5.95%
Income profile:
</v>
      </c>
      <c r="D15" t="s">
        <v>144</v>
      </c>
      <c r="E15" t="s">
        <v>857</v>
      </c>
      <c r="F15">
        <v>5.1100000000000003</v>
      </c>
      <c r="G15">
        <v>-1.73</v>
      </c>
      <c r="H15" t="s">
        <v>858</v>
      </c>
      <c r="I15">
        <v>11214823500</v>
      </c>
      <c r="J15">
        <v>4.9800000000000004</v>
      </c>
      <c r="K15">
        <v>0.56299999999999994</v>
      </c>
      <c r="L15" t="s">
        <v>65</v>
      </c>
      <c r="M15" t="s">
        <v>859</v>
      </c>
      <c r="N15" t="s">
        <v>860</v>
      </c>
      <c r="O15" t="s">
        <v>385</v>
      </c>
      <c r="P15">
        <v>5.0199999999999996</v>
      </c>
      <c r="Q15" t="s">
        <v>861</v>
      </c>
      <c r="R15">
        <v>598932000</v>
      </c>
      <c r="S15" s="5">
        <v>9.4100000000000003E-2</v>
      </c>
      <c r="T15" t="s">
        <v>383</v>
      </c>
      <c r="U15">
        <v>1910244300</v>
      </c>
      <c r="V15">
        <v>2194681700</v>
      </c>
      <c r="W15">
        <v>11.12</v>
      </c>
      <c r="X15">
        <v>0.01</v>
      </c>
      <c r="Y15">
        <v>46.08</v>
      </c>
      <c r="Z15" t="s">
        <v>5</v>
      </c>
      <c r="AA15" t="s">
        <v>5</v>
      </c>
      <c r="AB15" t="s">
        <v>5</v>
      </c>
      <c r="AC15" t="s">
        <v>5</v>
      </c>
      <c r="AD15" t="s">
        <v>5</v>
      </c>
      <c r="AE15">
        <v>0</v>
      </c>
      <c r="AF15" t="s">
        <v>862</v>
      </c>
      <c r="AG15" t="s">
        <v>863</v>
      </c>
      <c r="AH15" t="s">
        <v>864</v>
      </c>
      <c r="AI15" t="s">
        <v>5</v>
      </c>
      <c r="AJ15" t="s">
        <v>21</v>
      </c>
      <c r="AK15" t="s">
        <v>5</v>
      </c>
      <c r="AL15" t="s">
        <v>21</v>
      </c>
      <c r="AM15" t="s">
        <v>865</v>
      </c>
      <c r="AN15" t="s">
        <v>866</v>
      </c>
      <c r="AO15" t="s">
        <v>5</v>
      </c>
      <c r="AP15" t="s">
        <v>5</v>
      </c>
      <c r="AQ15" t="s">
        <v>5</v>
      </c>
      <c r="AR15" t="s">
        <v>5</v>
      </c>
      <c r="AS15" t="s">
        <v>5</v>
      </c>
      <c r="AT15" t="s">
        <v>5</v>
      </c>
      <c r="AU15" t="s">
        <v>867</v>
      </c>
      <c r="AV15" t="s">
        <v>868</v>
      </c>
      <c r="AW15" t="s">
        <v>869</v>
      </c>
      <c r="AX15" t="s">
        <v>870</v>
      </c>
      <c r="AY15" t="s">
        <v>394</v>
      </c>
      <c r="AZ15" t="s">
        <v>145</v>
      </c>
      <c r="BA15" t="s">
        <v>147</v>
      </c>
      <c r="BB15" t="s">
        <v>148</v>
      </c>
      <c r="BC15" t="s">
        <v>871</v>
      </c>
      <c r="BD15" t="s">
        <v>395</v>
      </c>
      <c r="BE15" t="s">
        <v>146</v>
      </c>
      <c r="BF15" t="s">
        <v>149</v>
      </c>
      <c r="BG15" t="s">
        <v>60</v>
      </c>
      <c r="BH15" t="s">
        <v>872</v>
      </c>
      <c r="BI15" t="s">
        <v>873</v>
      </c>
      <c r="BJ15" t="s">
        <v>870</v>
      </c>
      <c r="BK15" t="s">
        <v>874</v>
      </c>
      <c r="BL15" t="s">
        <v>875</v>
      </c>
      <c r="BM15" t="s">
        <v>871</v>
      </c>
      <c r="BN15" t="s">
        <v>5</v>
      </c>
      <c r="BO15" t="s">
        <v>5</v>
      </c>
      <c r="BP15" t="s">
        <v>5</v>
      </c>
      <c r="BQ15">
        <v>9.11</v>
      </c>
      <c r="BR15">
        <v>13.01</v>
      </c>
      <c r="BS15">
        <v>11.41</v>
      </c>
      <c r="BT15" t="s">
        <v>564</v>
      </c>
      <c r="BU15" t="s">
        <v>495</v>
      </c>
      <c r="BV15" t="s">
        <v>5</v>
      </c>
      <c r="BW15" t="s">
        <v>5</v>
      </c>
      <c r="BX15" t="s">
        <v>5</v>
      </c>
      <c r="BY15">
        <v>48.66</v>
      </c>
      <c r="BZ15">
        <v>44.91</v>
      </c>
      <c r="CA15">
        <v>37.200000000000003</v>
      </c>
      <c r="CB15">
        <v>-0.2</v>
      </c>
      <c r="CC15">
        <v>-7.09</v>
      </c>
      <c r="CD15" t="s">
        <v>876</v>
      </c>
      <c r="CE15" t="s">
        <v>877</v>
      </c>
      <c r="CF15" s="12">
        <v>0.25990338164251209</v>
      </c>
      <c r="CG15" s="13">
        <v>0.6454175824175824</v>
      </c>
      <c r="CH15" s="12">
        <v>-0.18482142686843872</v>
      </c>
      <c r="CI15" s="12">
        <v>3.0121821910142899E-2</v>
      </c>
      <c r="CJ15" s="12">
        <v>0.11627314984798431</v>
      </c>
      <c r="CK15" s="12">
        <v>0.10056497156620026</v>
      </c>
      <c r="CL15" s="12">
        <v>0.10902255773544312</v>
      </c>
      <c r="CM15" s="13">
        <v>-0.36331835389137268</v>
      </c>
      <c r="CN15" s="13">
        <v>0.26645573973655701</v>
      </c>
      <c r="CO15" s="13">
        <v>0.20426829159259796</v>
      </c>
      <c r="CP15" s="13">
        <v>4.960000142455101E-2</v>
      </c>
      <c r="CQ15" s="13">
        <v>0.14051094651222229</v>
      </c>
      <c r="CR15">
        <v>7.9042571361447207</v>
      </c>
      <c r="CS15">
        <v>2.309011313901014</v>
      </c>
      <c r="CT15">
        <v>3.9138943248532287</v>
      </c>
      <c r="CU15" s="12">
        <v>3.423221483826637E-2</v>
      </c>
      <c r="CV15" s="13">
        <v>5.9503325074911115E-2</v>
      </c>
      <c r="CW15">
        <v>0.06</v>
      </c>
      <c r="CX15">
        <v>163.24691847929603</v>
      </c>
      <c r="CY15">
        <v>1243030039.3433502</v>
      </c>
      <c r="CZ15">
        <v>3.423221483826637E-2</v>
      </c>
      <c r="DA15">
        <v>55.943591377670423</v>
      </c>
      <c r="DB15">
        <v>3627239841.112431</v>
      </c>
      <c r="DC15">
        <v>3.2520604096353052E-2</v>
      </c>
      <c r="DD15">
        <v>29.305230705539426</v>
      </c>
      <c r="DE15">
        <v>6924389217.0295353</v>
      </c>
      <c r="DF15">
        <v>3.0124349057674405E-2</v>
      </c>
      <c r="DG15">
        <v>18.838951968383153</v>
      </c>
      <c r="DH15">
        <v>10771343535.487322</v>
      </c>
      <c r="DI15">
        <v>2.7385771870613099E-2</v>
      </c>
      <c r="DJ15">
        <v>11.226700334833374</v>
      </c>
      <c r="DK15">
        <v>18074840999.397865</v>
      </c>
      <c r="DL15">
        <v>2.3962550386786456E-2</v>
      </c>
      <c r="DM15">
        <v>1274000000</v>
      </c>
      <c r="DN15">
        <v>3.423221483826637E-2</v>
      </c>
      <c r="DO15">
        <v>202920823500.00003</v>
      </c>
      <c r="DP15">
        <v>0</v>
      </c>
      <c r="DQ15">
        <v>3564</v>
      </c>
      <c r="DR15">
        <v>0.2256711668042457</v>
      </c>
      <c r="DS15">
        <v>0.58591425734267133</v>
      </c>
      <c r="DT15" s="14">
        <v>-0.60666666666666669</v>
      </c>
      <c r="DU15">
        <v>0.33666666666666667</v>
      </c>
      <c r="DV15">
        <v>-0.27</v>
      </c>
      <c r="DW15">
        <v>-2.0709</v>
      </c>
      <c r="DX15">
        <v>0.48922802303262997</v>
      </c>
      <c r="DY15">
        <v>-2.0134162668330133</v>
      </c>
      <c r="DZ15">
        <v>809</v>
      </c>
      <c r="EA15">
        <v>-2.0112922433754972</v>
      </c>
      <c r="EB15">
        <v>2</v>
      </c>
      <c r="EC15">
        <v>4.492122935184633E-2</v>
      </c>
      <c r="ED15">
        <v>0.23739205553133286</v>
      </c>
      <c r="EE15" s="15">
        <v>9.5309999999999992E-2</v>
      </c>
      <c r="EF15">
        <v>0.10711</v>
      </c>
      <c r="EG15">
        <v>30.18922802303263</v>
      </c>
      <c r="EH15">
        <v>-1</v>
      </c>
      <c r="EI15">
        <v>0</v>
      </c>
      <c r="EJ15">
        <v>1</v>
      </c>
      <c r="EK15" s="11">
        <v>45470</v>
      </c>
      <c r="EL15" s="16">
        <v>0.16</v>
      </c>
      <c r="EM15" s="16">
        <v>-2.79</v>
      </c>
      <c r="EN15" s="16">
        <v>-1.69</v>
      </c>
      <c r="EO15" s="16">
        <v>2.06</v>
      </c>
      <c r="EP15" s="16">
        <v>-1.18</v>
      </c>
    </row>
    <row r="16" spans="1:146" ht="108" x14ac:dyDescent="0.25">
      <c r="A16" s="7"/>
      <c r="B16" s="7"/>
      <c r="C16" s="7" t="str">
        <f>""&amp;CHAR(10)&amp;Basic_Fundamental_Information_Constructure(F16)&amp;CHAR(10)&amp;Basic_Fundamental_Information_Concatenate("")</f>
        <v xml:space="preserve">
市值1374.5142亿, 利润23.96亿; PE4.65; 平均PE9.14; 平均PEG7.19, PB.624; ROIC0%; ROE13.65%; 股利率6.275%; 毛利0%; 净利36.58%; 上一年度营收增-82.95%, 利润增-90.56%; 当季营收增524.78%, 利润增951.43%; 过往5年营收增-1.27%, 利润增-3.2%
Income profile:
</v>
      </c>
      <c r="D16" t="s">
        <v>150</v>
      </c>
      <c r="E16" t="s">
        <v>151</v>
      </c>
      <c r="F16">
        <v>7.49</v>
      </c>
      <c r="G16">
        <v>-0.93</v>
      </c>
      <c r="H16" t="s">
        <v>878</v>
      </c>
      <c r="I16">
        <v>137451420000</v>
      </c>
      <c r="J16">
        <v>4.6500000000000004</v>
      </c>
      <c r="K16">
        <v>0.624</v>
      </c>
      <c r="L16" t="s">
        <v>65</v>
      </c>
      <c r="M16" t="s">
        <v>879</v>
      </c>
      <c r="N16" t="s">
        <v>880</v>
      </c>
      <c r="O16" t="s">
        <v>881</v>
      </c>
      <c r="P16">
        <v>11.72</v>
      </c>
      <c r="Q16" t="s">
        <v>882</v>
      </c>
      <c r="R16">
        <v>9042302000</v>
      </c>
      <c r="S16" s="5">
        <v>0.1002</v>
      </c>
      <c r="T16" t="s">
        <v>883</v>
      </c>
      <c r="U16">
        <v>18269723000</v>
      </c>
      <c r="V16">
        <v>18351324000</v>
      </c>
      <c r="W16">
        <v>13.63</v>
      </c>
      <c r="X16">
        <v>0.01</v>
      </c>
      <c r="Y16">
        <v>44.35</v>
      </c>
      <c r="Z16" t="s">
        <v>5</v>
      </c>
      <c r="AA16" t="s">
        <v>5</v>
      </c>
      <c r="AB16" t="s">
        <v>5</v>
      </c>
      <c r="AC16" t="s">
        <v>5</v>
      </c>
      <c r="AD16" t="s">
        <v>5</v>
      </c>
      <c r="AE16">
        <v>0</v>
      </c>
      <c r="AF16" t="s">
        <v>884</v>
      </c>
      <c r="AG16" t="s">
        <v>885</v>
      </c>
      <c r="AH16" t="s">
        <v>886</v>
      </c>
      <c r="AI16" t="s">
        <v>5</v>
      </c>
      <c r="AJ16" t="s">
        <v>21</v>
      </c>
      <c r="AK16" t="s">
        <v>5</v>
      </c>
      <c r="AL16" t="s">
        <v>21</v>
      </c>
      <c r="AM16" t="s">
        <v>887</v>
      </c>
      <c r="AN16" t="s">
        <v>888</v>
      </c>
      <c r="AO16" t="s">
        <v>5</v>
      </c>
      <c r="AP16" t="s">
        <v>5</v>
      </c>
      <c r="AQ16" t="s">
        <v>5</v>
      </c>
      <c r="AR16" t="s">
        <v>5</v>
      </c>
      <c r="AS16" t="s">
        <v>5</v>
      </c>
      <c r="AT16" t="s">
        <v>5</v>
      </c>
      <c r="AU16" t="s">
        <v>889</v>
      </c>
      <c r="AV16" t="s">
        <v>890</v>
      </c>
      <c r="AW16" t="s">
        <v>891</v>
      </c>
      <c r="AX16" t="s">
        <v>892</v>
      </c>
      <c r="AY16" t="s">
        <v>396</v>
      </c>
      <c r="AZ16" t="s">
        <v>152</v>
      </c>
      <c r="BA16" t="s">
        <v>154</v>
      </c>
      <c r="BB16" t="s">
        <v>155</v>
      </c>
      <c r="BC16" t="s">
        <v>893</v>
      </c>
      <c r="BD16" t="s">
        <v>397</v>
      </c>
      <c r="BE16" t="s">
        <v>153</v>
      </c>
      <c r="BF16" t="s">
        <v>156</v>
      </c>
      <c r="BG16" t="s">
        <v>157</v>
      </c>
      <c r="BH16" t="s">
        <v>894</v>
      </c>
      <c r="BI16" t="s">
        <v>895</v>
      </c>
      <c r="BJ16" t="s">
        <v>892</v>
      </c>
      <c r="BK16" t="s">
        <v>896</v>
      </c>
      <c r="BL16" t="s">
        <v>897</v>
      </c>
      <c r="BM16" t="s">
        <v>893</v>
      </c>
      <c r="BN16" t="s">
        <v>5</v>
      </c>
      <c r="BO16" t="s">
        <v>5</v>
      </c>
      <c r="BP16" t="s">
        <v>5</v>
      </c>
      <c r="BQ16">
        <v>13.56</v>
      </c>
      <c r="BR16">
        <v>14.79</v>
      </c>
      <c r="BS16">
        <v>12.6</v>
      </c>
      <c r="BT16" t="s">
        <v>898</v>
      </c>
      <c r="BU16" t="s">
        <v>493</v>
      </c>
      <c r="BV16" t="s">
        <v>5</v>
      </c>
      <c r="BW16" t="s">
        <v>5</v>
      </c>
      <c r="BX16" t="s">
        <v>5</v>
      </c>
      <c r="BY16">
        <v>40.4</v>
      </c>
      <c r="BZ16">
        <v>37.340000000000003</v>
      </c>
      <c r="CA16">
        <v>32</v>
      </c>
      <c r="CB16">
        <v>0.81</v>
      </c>
      <c r="CC16">
        <v>-4.22</v>
      </c>
      <c r="CD16" t="s">
        <v>899</v>
      </c>
      <c r="CE16" t="s">
        <v>900</v>
      </c>
      <c r="CF16" s="12">
        <v>5.2478429038976495</v>
      </c>
      <c r="CG16" s="13">
        <v>9.5143046511627904</v>
      </c>
      <c r="CH16" s="12">
        <v>-0.82954508066177368</v>
      </c>
      <c r="CI16" s="12">
        <v>0.10661584883928299</v>
      </c>
      <c r="CJ16" s="12">
        <v>0.22575253248214722</v>
      </c>
      <c r="CK16" s="12">
        <v>0.1568017452955246</v>
      </c>
      <c r="CL16" s="12">
        <v>0.27679991722106934</v>
      </c>
      <c r="CM16" s="13">
        <v>-0.90561723709106445</v>
      </c>
      <c r="CN16" s="13">
        <v>0.2890220582485199</v>
      </c>
      <c r="CO16" s="13">
        <v>0.307181715965271</v>
      </c>
      <c r="CP16" s="13">
        <v>3.0576687306165695E-2</v>
      </c>
      <c r="CQ16" s="13">
        <v>0.11894373595714569</v>
      </c>
      <c r="CR16">
        <v>9.1404752510362872</v>
      </c>
      <c r="CS16">
        <v>7.1887298125965904</v>
      </c>
      <c r="CT16">
        <v>6.2750333778371159</v>
      </c>
      <c r="CU16" s="12">
        <v>-1.2715007364749908E-2</v>
      </c>
      <c r="CV16" s="13">
        <v>-3.1978607922792432E-2</v>
      </c>
      <c r="CW16">
        <v>0.06</v>
      </c>
      <c r="CX16">
        <v>1257.2910767946578</v>
      </c>
      <c r="CY16" t="s">
        <v>901</v>
      </c>
      <c r="CZ16">
        <v>-1.2715007364749908E-2</v>
      </c>
      <c r="DA16">
        <v>419.09702559821926</v>
      </c>
      <c r="DB16" t="s">
        <v>902</v>
      </c>
      <c r="DC16">
        <v>-1.2079256996512413E-2</v>
      </c>
      <c r="DD16">
        <v>209.54851279910963</v>
      </c>
      <c r="DE16" t="s">
        <v>903</v>
      </c>
      <c r="DF16">
        <v>-1.1189206480979919E-2</v>
      </c>
      <c r="DG16">
        <v>125.72910767946577</v>
      </c>
      <c r="DH16" t="s">
        <v>904</v>
      </c>
      <c r="DI16">
        <v>-1.0172005891799927E-2</v>
      </c>
      <c r="DJ16">
        <v>62.864553839732885</v>
      </c>
      <c r="DK16" t="s">
        <v>905</v>
      </c>
      <c r="DL16">
        <v>-8.9005051553249347E-3</v>
      </c>
      <c r="DM16">
        <v>2396000000</v>
      </c>
      <c r="DN16">
        <v>-1.2715007364749908E-2</v>
      </c>
      <c r="DO16">
        <v>3012469420000</v>
      </c>
      <c r="DP16">
        <v>0</v>
      </c>
      <c r="DQ16">
        <v>3569</v>
      </c>
      <c r="DR16">
        <v>5.2605579112623992</v>
      </c>
      <c r="DS16">
        <v>9.5462832590855822</v>
      </c>
      <c r="DT16" s="14">
        <v>-0.42333333333333339</v>
      </c>
      <c r="DU16">
        <v>-4.9999999999999968E-2</v>
      </c>
      <c r="DV16">
        <v>-0.47333333333333338</v>
      </c>
      <c r="DW16">
        <v>-1.0422</v>
      </c>
      <c r="DX16">
        <v>0.45244216439912605</v>
      </c>
      <c r="DY16">
        <v>-1.0064330593376432</v>
      </c>
      <c r="DZ16">
        <v>2441</v>
      </c>
      <c r="EA16">
        <v>-1.0033600460610899</v>
      </c>
      <c r="EB16">
        <v>1</v>
      </c>
      <c r="EC16">
        <v>3.2313744773946558E-2</v>
      </c>
      <c r="ED16">
        <v>0.21197380635860388</v>
      </c>
      <c r="EE16" s="15">
        <v>1.7609999999999997E-2</v>
      </c>
      <c r="EF16">
        <v>2.281E-2</v>
      </c>
      <c r="EG16">
        <v>30.152442164399126</v>
      </c>
      <c r="EH16">
        <v>-1</v>
      </c>
      <c r="EI16">
        <v>0</v>
      </c>
      <c r="EJ16">
        <v>0</v>
      </c>
      <c r="EK16" s="11">
        <v>45470</v>
      </c>
      <c r="EL16" s="16">
        <v>0.17</v>
      </c>
      <c r="EM16" s="16">
        <v>-1.36</v>
      </c>
      <c r="EN16" s="16">
        <v>-0.86</v>
      </c>
      <c r="EO16" s="16">
        <v>1.05</v>
      </c>
      <c r="EP16" s="16">
        <v>-0.52</v>
      </c>
    </row>
    <row r="17" spans="1:146" ht="108" x14ac:dyDescent="0.25">
      <c r="A17" s="7"/>
      <c r="B17" s="7"/>
      <c r="C17" s="7" t="str">
        <f>""&amp;CHAR(10)&amp;Basic_Fundamental_Information_Constructure(F17)&amp;CHAR(10)&amp;Basic_Fundamental_Information_Concatenate("")</f>
        <v xml:space="preserve">
市值778.64664亿, 利润7.29亿; PE5.1; 平均PE11.45; 平均PEG1.29, PB.781; ROIC0%; ROE13.18%; 股利率3.9604%; 毛利0%; 净利36.03%; 上一年度营收增-27.66%, 利润增-93.76%; 当季营收增82.01%, 利润增2367.9%; 过往5年营收增8.85%, 利润增-1.56%
Income profile:
</v>
      </c>
      <c r="D17" t="s">
        <v>158</v>
      </c>
      <c r="E17" t="s">
        <v>159</v>
      </c>
      <c r="F17">
        <v>13.13</v>
      </c>
      <c r="G17">
        <v>-2.52</v>
      </c>
      <c r="H17" t="s">
        <v>906</v>
      </c>
      <c r="I17">
        <v>77864664000</v>
      </c>
      <c r="J17">
        <v>5.0999999999999996</v>
      </c>
      <c r="K17">
        <v>0.78100000000000003</v>
      </c>
      <c r="L17" t="s">
        <v>65</v>
      </c>
      <c r="M17" t="s">
        <v>907</v>
      </c>
      <c r="N17" t="s">
        <v>908</v>
      </c>
      <c r="O17" t="s">
        <v>909</v>
      </c>
      <c r="P17">
        <v>3.5</v>
      </c>
      <c r="Q17" t="s">
        <v>910</v>
      </c>
      <c r="R17">
        <v>5133233000</v>
      </c>
      <c r="S17" s="5">
        <v>0.21110000000000001</v>
      </c>
      <c r="T17" t="s">
        <v>911</v>
      </c>
      <c r="U17">
        <v>5362746500</v>
      </c>
      <c r="V17">
        <v>5930286700</v>
      </c>
      <c r="W17">
        <v>16.420000000000002</v>
      </c>
      <c r="X17">
        <v>0.01</v>
      </c>
      <c r="Y17">
        <v>52.59</v>
      </c>
      <c r="Z17" t="s">
        <v>5</v>
      </c>
      <c r="AA17" t="s">
        <v>5</v>
      </c>
      <c r="AB17" t="s">
        <v>5</v>
      </c>
      <c r="AC17" t="s">
        <v>5</v>
      </c>
      <c r="AD17" t="s">
        <v>5</v>
      </c>
      <c r="AE17">
        <v>0</v>
      </c>
      <c r="AF17" t="s">
        <v>912</v>
      </c>
      <c r="AG17" t="s">
        <v>913</v>
      </c>
      <c r="AH17" t="s">
        <v>914</v>
      </c>
      <c r="AI17" t="s">
        <v>5</v>
      </c>
      <c r="AJ17" t="s">
        <v>21</v>
      </c>
      <c r="AK17" t="s">
        <v>5</v>
      </c>
      <c r="AL17" t="s">
        <v>21</v>
      </c>
      <c r="AM17" t="s">
        <v>915</v>
      </c>
      <c r="AN17" t="s">
        <v>559</v>
      </c>
      <c r="AO17" t="s">
        <v>5</v>
      </c>
      <c r="AP17" t="s">
        <v>5</v>
      </c>
      <c r="AQ17" t="s">
        <v>5</v>
      </c>
      <c r="AR17" t="s">
        <v>5</v>
      </c>
      <c r="AS17" t="s">
        <v>5</v>
      </c>
      <c r="AT17" t="s">
        <v>5</v>
      </c>
      <c r="AU17" t="s">
        <v>916</v>
      </c>
      <c r="AV17" t="s">
        <v>917</v>
      </c>
      <c r="AW17" t="s">
        <v>918</v>
      </c>
      <c r="AX17" t="s">
        <v>919</v>
      </c>
      <c r="AY17" t="s">
        <v>398</v>
      </c>
      <c r="AZ17" t="s">
        <v>160</v>
      </c>
      <c r="BA17" t="s">
        <v>162</v>
      </c>
      <c r="BB17" t="s">
        <v>163</v>
      </c>
      <c r="BC17" t="s">
        <v>920</v>
      </c>
      <c r="BD17" t="s">
        <v>399</v>
      </c>
      <c r="BE17" t="s">
        <v>161</v>
      </c>
      <c r="BF17" t="s">
        <v>164</v>
      </c>
      <c r="BG17" t="s">
        <v>165</v>
      </c>
      <c r="BH17" t="s">
        <v>921</v>
      </c>
      <c r="BI17" t="s">
        <v>922</v>
      </c>
      <c r="BJ17" t="s">
        <v>919</v>
      </c>
      <c r="BK17" t="s">
        <v>923</v>
      </c>
      <c r="BL17" t="s">
        <v>577</v>
      </c>
      <c r="BM17" t="s">
        <v>920</v>
      </c>
      <c r="BN17" t="s">
        <v>5</v>
      </c>
      <c r="BO17" t="s">
        <v>5</v>
      </c>
      <c r="BP17" t="s">
        <v>5</v>
      </c>
      <c r="BQ17">
        <v>13.12</v>
      </c>
      <c r="BR17">
        <v>14.09</v>
      </c>
      <c r="BS17">
        <v>12.33</v>
      </c>
      <c r="BT17" t="s">
        <v>924</v>
      </c>
      <c r="BU17" t="s">
        <v>493</v>
      </c>
      <c r="BV17" t="s">
        <v>5</v>
      </c>
      <c r="BW17" t="s">
        <v>5</v>
      </c>
      <c r="BX17" t="s">
        <v>5</v>
      </c>
      <c r="BY17">
        <v>41.08</v>
      </c>
      <c r="BZ17">
        <v>35.47</v>
      </c>
      <c r="CA17">
        <v>31.54</v>
      </c>
      <c r="CB17">
        <v>0.61</v>
      </c>
      <c r="CC17">
        <v>-5.54</v>
      </c>
      <c r="CD17" t="s">
        <v>925</v>
      </c>
      <c r="CE17" t="s">
        <v>926</v>
      </c>
      <c r="CF17" s="12">
        <v>0.82006339735222822</v>
      </c>
      <c r="CG17" s="13">
        <v>23.679004807692309</v>
      </c>
      <c r="CH17" s="12">
        <v>-0.27660027146339417</v>
      </c>
      <c r="CI17" s="12">
        <v>0.12162389606237411</v>
      </c>
      <c r="CJ17" s="12">
        <v>0.18362492322921753</v>
      </c>
      <c r="CK17" s="12">
        <v>0.15867164731025696</v>
      </c>
      <c r="CL17" s="12">
        <v>0.25536525249481201</v>
      </c>
      <c r="CM17" s="13">
        <v>-0.93758028745651245</v>
      </c>
      <c r="CN17" s="13">
        <v>0.26109489798545837</v>
      </c>
      <c r="CO17" s="13">
        <v>0.29778581857681274</v>
      </c>
      <c r="CP17" s="13">
        <v>8.0884598195552826E-2</v>
      </c>
      <c r="CQ17" s="13">
        <v>0.21988177299499512</v>
      </c>
      <c r="CR17">
        <v>11.445355937186115</v>
      </c>
      <c r="CS17">
        <v>1.2927187914552571</v>
      </c>
      <c r="CT17">
        <v>3.9603960396039604</v>
      </c>
      <c r="CU17" s="12">
        <v>8.853708952665329E-2</v>
      </c>
      <c r="CV17" s="13">
        <v>-1.5586639940738677E-2</v>
      </c>
      <c r="CW17">
        <v>0.06</v>
      </c>
      <c r="CX17">
        <v>2259.0181349841928</v>
      </c>
      <c r="CY17">
        <v>748625979.4952172</v>
      </c>
      <c r="CZ17">
        <v>8.853708952665329E-2</v>
      </c>
      <c r="DA17">
        <v>739.14126105226728</v>
      </c>
      <c r="DB17">
        <v>2288006032.2872601</v>
      </c>
      <c r="DC17">
        <v>8.4110235050320628E-2</v>
      </c>
      <c r="DD17">
        <v>364.46518514679997</v>
      </c>
      <c r="DE17">
        <v>4640113055.8432665</v>
      </c>
      <c r="DF17">
        <v>7.7912638783454891E-2</v>
      </c>
      <c r="DG17">
        <v>219.27649283897841</v>
      </c>
      <c r="DH17">
        <v>7712453086.5324965</v>
      </c>
      <c r="DI17">
        <v>7.0829671621322629E-2</v>
      </c>
      <c r="DJ17">
        <v>113.73900352527166</v>
      </c>
      <c r="DK17">
        <v>14868775104.260883</v>
      </c>
      <c r="DL17">
        <v>6.1975962668657299E-2</v>
      </c>
      <c r="DM17">
        <v>729000000</v>
      </c>
      <c r="DN17">
        <v>8.853708952665329E-2</v>
      </c>
      <c r="DO17">
        <v>1691159664000</v>
      </c>
      <c r="DP17">
        <v>0</v>
      </c>
      <c r="DQ17">
        <v>3571</v>
      </c>
      <c r="DR17">
        <v>0.73152630782557493</v>
      </c>
      <c r="DS17">
        <v>23.694591447633048</v>
      </c>
      <c r="DT17" s="14">
        <v>-0.25666666666666677</v>
      </c>
      <c r="DU17">
        <v>4.9999999999999968E-2</v>
      </c>
      <c r="DV17">
        <v>-0.2066666666666668</v>
      </c>
      <c r="DW17">
        <v>-1.0553999999999999</v>
      </c>
      <c r="DX17">
        <v>0.44424242424242566</v>
      </c>
      <c r="DY17">
        <v>-1.0096530303030302</v>
      </c>
      <c r="DZ17">
        <v>2431</v>
      </c>
      <c r="EA17">
        <v>-1.0050607569827432</v>
      </c>
      <c r="EB17">
        <v>1</v>
      </c>
      <c r="EC17">
        <v>1.9391979817771708E-2</v>
      </c>
      <c r="ED17">
        <v>0.11129310156286373</v>
      </c>
      <c r="EE17" s="15">
        <v>-1.0698000000000001</v>
      </c>
      <c r="EF17">
        <v>-1.0541</v>
      </c>
      <c r="EG17">
        <v>27.174242424242426</v>
      </c>
      <c r="EH17" t="s">
        <v>927</v>
      </c>
      <c r="EI17">
        <v>0</v>
      </c>
      <c r="EJ17">
        <v>0</v>
      </c>
      <c r="EK17" s="11">
        <v>45470</v>
      </c>
      <c r="EL17" s="16">
        <v>2.34</v>
      </c>
      <c r="EM17" s="16">
        <v>-3.24</v>
      </c>
      <c r="EN17" s="16">
        <v>-0.39</v>
      </c>
      <c r="EO17" s="16">
        <v>1.19</v>
      </c>
      <c r="EP17" s="16">
        <v>-1.57</v>
      </c>
    </row>
    <row r="18" spans="1:146" ht="96" x14ac:dyDescent="0.25">
      <c r="A18" s="9"/>
      <c r="B18" s="9"/>
      <c r="C18" s="7" t="str">
        <f>""&amp;CHAR(10)&amp;Basic_Fundamental_Information_Constructure(F18)&amp;CHAR(10)&amp;Basic_Fundamental_Information_Concatenate("")</f>
        <v xml:space="preserve">
市值144亿, 利润7.09亿; PE5.79; 平均PE6.29; 平均PEG5.03, PB.456; ROIC0%; ROE8.5167%; 股利率1.7284%; 毛利0%; 净利36.7067%; 上一年度营收增-4.66%, 利润增-70.75%; 当季营收增25.58%, 利润增231.37%; 过往5年营收增1.25%, 利润增-13.26%
Income profile:
</v>
      </c>
      <c r="D18" t="s">
        <v>166</v>
      </c>
      <c r="E18" t="s">
        <v>167</v>
      </c>
      <c r="F18">
        <v>3.24</v>
      </c>
      <c r="G18">
        <v>-1.82</v>
      </c>
      <c r="H18" t="s">
        <v>928</v>
      </c>
      <c r="I18">
        <v>14400000000</v>
      </c>
      <c r="J18">
        <v>5.79</v>
      </c>
      <c r="K18">
        <v>0.45600000000000002</v>
      </c>
      <c r="L18" t="s">
        <v>65</v>
      </c>
      <c r="M18" t="s">
        <v>929</v>
      </c>
      <c r="N18" t="s">
        <v>930</v>
      </c>
      <c r="O18" t="s">
        <v>931</v>
      </c>
      <c r="P18">
        <v>4.4400000000000004</v>
      </c>
      <c r="Q18" t="s">
        <v>932</v>
      </c>
      <c r="R18">
        <v>682628000</v>
      </c>
      <c r="S18" s="5">
        <v>3.7900000000000003E-2</v>
      </c>
      <c r="T18" t="s">
        <v>933</v>
      </c>
      <c r="U18">
        <v>4421245400</v>
      </c>
      <c r="V18">
        <v>4444444400</v>
      </c>
      <c r="W18">
        <v>13.94</v>
      </c>
      <c r="X18">
        <v>0</v>
      </c>
      <c r="Y18">
        <v>36.229999999999997</v>
      </c>
      <c r="Z18" t="s">
        <v>5</v>
      </c>
      <c r="AA18" t="s">
        <v>5</v>
      </c>
      <c r="AB18" t="s">
        <v>5</v>
      </c>
      <c r="AC18" t="s">
        <v>5</v>
      </c>
      <c r="AD18" t="s">
        <v>5</v>
      </c>
      <c r="AE18">
        <v>0</v>
      </c>
      <c r="AF18" t="s">
        <v>934</v>
      </c>
      <c r="AG18">
        <v>2000</v>
      </c>
      <c r="AH18" t="s">
        <v>935</v>
      </c>
      <c r="AI18" t="s">
        <v>5</v>
      </c>
      <c r="AJ18" t="s">
        <v>21</v>
      </c>
      <c r="AK18" t="s">
        <v>5</v>
      </c>
      <c r="AL18" t="s">
        <v>21</v>
      </c>
      <c r="AM18" t="s">
        <v>936</v>
      </c>
      <c r="AN18" t="s">
        <v>937</v>
      </c>
      <c r="AO18" t="s">
        <v>5</v>
      </c>
      <c r="AP18" t="s">
        <v>5</v>
      </c>
      <c r="AQ18" t="s">
        <v>5</v>
      </c>
      <c r="AR18" t="s">
        <v>5</v>
      </c>
      <c r="AS18" t="s">
        <v>5</v>
      </c>
      <c r="AT18" t="s">
        <v>5</v>
      </c>
      <c r="AU18" t="s">
        <v>938</v>
      </c>
      <c r="AV18" t="s">
        <v>939</v>
      </c>
      <c r="AW18" t="s">
        <v>940</v>
      </c>
      <c r="AX18" t="s">
        <v>941</v>
      </c>
      <c r="AY18" t="s">
        <v>400</v>
      </c>
      <c r="AZ18" t="s">
        <v>168</v>
      </c>
      <c r="BA18" t="s">
        <v>169</v>
      </c>
      <c r="BB18" t="s">
        <v>170</v>
      </c>
      <c r="BC18" t="s">
        <v>942</v>
      </c>
      <c r="BD18" t="s">
        <v>401</v>
      </c>
      <c r="BE18" t="s">
        <v>22</v>
      </c>
      <c r="BF18" t="s">
        <v>171</v>
      </c>
      <c r="BG18" t="s">
        <v>172</v>
      </c>
      <c r="BH18" t="s">
        <v>943</v>
      </c>
      <c r="BI18" t="s">
        <v>944</v>
      </c>
      <c r="BJ18" t="s">
        <v>941</v>
      </c>
      <c r="BK18" t="s">
        <v>558</v>
      </c>
      <c r="BL18" t="s">
        <v>945</v>
      </c>
      <c r="BM18" t="s">
        <v>942</v>
      </c>
      <c r="BN18" t="s">
        <v>5</v>
      </c>
      <c r="BO18" t="s">
        <v>5</v>
      </c>
      <c r="BP18" t="s">
        <v>5</v>
      </c>
      <c r="BQ18">
        <v>6.39</v>
      </c>
      <c r="BR18">
        <v>8.57</v>
      </c>
      <c r="BS18">
        <v>10.59</v>
      </c>
      <c r="BT18" t="s">
        <v>946</v>
      </c>
      <c r="BU18" t="s">
        <v>493</v>
      </c>
      <c r="BV18" t="s">
        <v>5</v>
      </c>
      <c r="BW18" t="s">
        <v>5</v>
      </c>
      <c r="BX18" t="s">
        <v>5</v>
      </c>
      <c r="BY18">
        <v>34.21</v>
      </c>
      <c r="BZ18">
        <v>36.94</v>
      </c>
      <c r="CA18">
        <v>38.97</v>
      </c>
      <c r="CB18">
        <v>-0.92</v>
      </c>
      <c r="CC18">
        <v>-11.72</v>
      </c>
      <c r="CD18" t="s">
        <v>947</v>
      </c>
      <c r="CE18" t="s">
        <v>948</v>
      </c>
      <c r="CF18" s="12">
        <v>0.25582944703530996</v>
      </c>
      <c r="CG18" s="13">
        <v>2.3137281553398057</v>
      </c>
      <c r="CH18" s="12">
        <v>-4.6589504927396774E-2</v>
      </c>
      <c r="CI18" s="12">
        <v>-8.8157691061496735E-2</v>
      </c>
      <c r="CJ18" s="12">
        <v>9.1061834245920181E-3</v>
      </c>
      <c r="CK18" s="12">
        <v>4.2804919183254242E-2</v>
      </c>
      <c r="CL18" s="12">
        <v>0.14541502296924591</v>
      </c>
      <c r="CM18" s="13">
        <v>-0.70750826597213745</v>
      </c>
      <c r="CN18" s="13">
        <v>-0.13552068173885345</v>
      </c>
      <c r="CO18" s="13">
        <v>1.7416546121239662E-2</v>
      </c>
      <c r="CP18" s="13">
        <v>3.0280349776148796E-2</v>
      </c>
      <c r="CQ18" s="13">
        <v>0.13251490890979767</v>
      </c>
      <c r="CR18">
        <v>6.2927895120174799</v>
      </c>
      <c r="CS18">
        <v>5.0278820310823873</v>
      </c>
      <c r="CT18">
        <v>1.7283950617283952</v>
      </c>
      <c r="CU18" s="12">
        <v>1.2515785917639733E-2</v>
      </c>
      <c r="CV18" s="13">
        <v>-0.13256342858076095</v>
      </c>
      <c r="CW18">
        <v>0.06</v>
      </c>
      <c r="CX18">
        <v>567.04326180787496</v>
      </c>
      <c r="CY18">
        <v>677239332.27887404</v>
      </c>
      <c r="CZ18">
        <v>1.2515785917639733E-2</v>
      </c>
      <c r="DA18">
        <v>197.98109707524418</v>
      </c>
      <c r="DB18">
        <v>1939700333.3810644</v>
      </c>
      <c r="DC18">
        <v>1.1889996621757746E-2</v>
      </c>
      <c r="DD18">
        <v>106.18534085470057</v>
      </c>
      <c r="DE18">
        <v>3616544401.5994811</v>
      </c>
      <c r="DF18">
        <v>1.1013891607522966E-2</v>
      </c>
      <c r="DG18">
        <v>69.972083726975669</v>
      </c>
      <c r="DH18">
        <v>5488245876.7188454</v>
      </c>
      <c r="DI18">
        <v>1.0012628734111788E-2</v>
      </c>
      <c r="DJ18">
        <v>43.755798968142528</v>
      </c>
      <c r="DK18">
        <v>8776528118.6980038</v>
      </c>
      <c r="DL18">
        <v>8.7610501423478118E-3</v>
      </c>
      <c r="DM18">
        <v>709000000</v>
      </c>
      <c r="DN18">
        <v>1.2515785917639733E-2</v>
      </c>
      <c r="DO18">
        <v>384024000000</v>
      </c>
      <c r="DP18">
        <v>0</v>
      </c>
      <c r="DQ18">
        <v>3573</v>
      </c>
      <c r="DR18">
        <v>0.24331366111767022</v>
      </c>
      <c r="DS18">
        <v>2.4462915839205666</v>
      </c>
      <c r="DT18" s="14">
        <v>-0.44</v>
      </c>
      <c r="DU18">
        <v>-0.33333333333333331</v>
      </c>
      <c r="DV18">
        <v>-0.77333333333333332</v>
      </c>
      <c r="DW18">
        <v>-2.1172</v>
      </c>
      <c r="DX18">
        <v>0.38477800338409551</v>
      </c>
      <c r="DY18">
        <v>-2.0157959819966158</v>
      </c>
      <c r="DZ18">
        <v>3529</v>
      </c>
      <c r="EA18">
        <v>-2.0048871717292855</v>
      </c>
      <c r="EB18">
        <v>2</v>
      </c>
      <c r="EC18">
        <v>1.7922105179221052E-2</v>
      </c>
      <c r="ED18">
        <v>0.13297500132975001</v>
      </c>
      <c r="EE18" s="15">
        <v>-1.0506</v>
      </c>
      <c r="EF18">
        <v>-1.0383</v>
      </c>
      <c r="EG18">
        <v>25.134778003384096</v>
      </c>
      <c r="EH18" t="s">
        <v>927</v>
      </c>
      <c r="EI18">
        <v>0</v>
      </c>
      <c r="EJ18">
        <v>0</v>
      </c>
      <c r="EK18" s="11">
        <v>45470</v>
      </c>
      <c r="EL18" s="16">
        <v>-0.26</v>
      </c>
      <c r="EM18" s="16">
        <v>-3.23</v>
      </c>
      <c r="EN18" s="16">
        <v>1.08</v>
      </c>
      <c r="EO18" s="16">
        <v>1.96</v>
      </c>
      <c r="EP18" s="16">
        <v>-1.23</v>
      </c>
    </row>
    <row r="19" spans="1:146" ht="108" x14ac:dyDescent="0.25">
      <c r="A19" s="7"/>
      <c r="B19" s="7"/>
      <c r="C19" s="7" t="str">
        <f>""&amp;CHAR(10)&amp;Basic_Fundamental_Information_Constructure(F19)&amp;CHAR(10)&amp;Basic_Fundamental_Information_Concatenate("")</f>
        <v xml:space="preserve">
市值1029.20746亿, 利润1.71亿; PE5.48; 平均PE8.69; 平均PEG1.02, PB.704; ROIC0%; ROE13.8033%; 股利率5.394%; 毛利0%; 净利40.61%; 上一年度营收增-95.14%, 利润增-99.07%; 当季营收增2007.59%, 利润增6520.84%; 过往5年营收增-8.56%, 利润增-8.86%
Income profile:
</v>
      </c>
      <c r="D19" t="s">
        <v>173</v>
      </c>
      <c r="E19" t="s">
        <v>174</v>
      </c>
      <c r="F19">
        <v>9.9499999999999993</v>
      </c>
      <c r="G19">
        <v>-1</v>
      </c>
      <c r="H19" t="s">
        <v>949</v>
      </c>
      <c r="I19">
        <v>102920746000</v>
      </c>
      <c r="J19">
        <v>5.48</v>
      </c>
      <c r="K19">
        <v>0.70399999999999996</v>
      </c>
      <c r="L19" t="s">
        <v>65</v>
      </c>
      <c r="M19" t="s">
        <v>950</v>
      </c>
      <c r="N19" t="s">
        <v>951</v>
      </c>
      <c r="O19" t="s">
        <v>952</v>
      </c>
      <c r="P19">
        <v>2.83</v>
      </c>
      <c r="Q19" t="s">
        <v>953</v>
      </c>
      <c r="R19">
        <v>5705829000</v>
      </c>
      <c r="S19" s="5">
        <v>5.1400000000000001E-2</v>
      </c>
      <c r="T19" t="s">
        <v>578</v>
      </c>
      <c r="U19">
        <v>9212685300</v>
      </c>
      <c r="V19">
        <v>10343793500</v>
      </c>
      <c r="W19">
        <v>13.38</v>
      </c>
      <c r="X19">
        <v>0.01</v>
      </c>
      <c r="Y19">
        <v>43.17</v>
      </c>
      <c r="Z19" t="s">
        <v>5</v>
      </c>
      <c r="AA19" t="s">
        <v>5</v>
      </c>
      <c r="AB19" t="s">
        <v>5</v>
      </c>
      <c r="AC19" t="s">
        <v>5</v>
      </c>
      <c r="AD19" t="s">
        <v>5</v>
      </c>
      <c r="AE19">
        <v>0</v>
      </c>
      <c r="AF19" t="s">
        <v>954</v>
      </c>
      <c r="AG19" t="s">
        <v>955</v>
      </c>
      <c r="AH19" t="s">
        <v>956</v>
      </c>
      <c r="AI19" t="s">
        <v>5</v>
      </c>
      <c r="AJ19" t="s">
        <v>21</v>
      </c>
      <c r="AK19" t="s">
        <v>5</v>
      </c>
      <c r="AL19" t="s">
        <v>21</v>
      </c>
      <c r="AM19" t="s">
        <v>957</v>
      </c>
      <c r="AN19" t="s">
        <v>958</v>
      </c>
      <c r="AO19" t="s">
        <v>5</v>
      </c>
      <c r="AP19" t="s">
        <v>5</v>
      </c>
      <c r="AQ19" t="s">
        <v>5</v>
      </c>
      <c r="AR19" t="s">
        <v>5</v>
      </c>
      <c r="AS19" t="s">
        <v>5</v>
      </c>
      <c r="AT19" t="s">
        <v>5</v>
      </c>
      <c r="AU19" t="s">
        <v>959</v>
      </c>
      <c r="AV19" t="s">
        <v>960</v>
      </c>
      <c r="AW19" t="s">
        <v>961</v>
      </c>
      <c r="AX19" t="s">
        <v>962</v>
      </c>
      <c r="AY19" t="s">
        <v>402</v>
      </c>
      <c r="AZ19" t="s">
        <v>175</v>
      </c>
      <c r="BA19" t="s">
        <v>177</v>
      </c>
      <c r="BB19" t="s">
        <v>178</v>
      </c>
      <c r="BC19" t="s">
        <v>963</v>
      </c>
      <c r="BD19" t="s">
        <v>403</v>
      </c>
      <c r="BE19" t="s">
        <v>176</v>
      </c>
      <c r="BF19" t="s">
        <v>179</v>
      </c>
      <c r="BG19" t="s">
        <v>180</v>
      </c>
      <c r="BH19" t="s">
        <v>964</v>
      </c>
      <c r="BI19" t="s">
        <v>826</v>
      </c>
      <c r="BJ19" t="s">
        <v>962</v>
      </c>
      <c r="BK19" t="s">
        <v>965</v>
      </c>
      <c r="BL19" t="s">
        <v>966</v>
      </c>
      <c r="BM19" t="s">
        <v>963</v>
      </c>
      <c r="BN19" t="s">
        <v>5</v>
      </c>
      <c r="BO19" t="s">
        <v>5</v>
      </c>
      <c r="BP19" t="s">
        <v>5</v>
      </c>
      <c r="BQ19">
        <v>11.44</v>
      </c>
      <c r="BR19">
        <v>15.12</v>
      </c>
      <c r="BS19">
        <v>14.85</v>
      </c>
      <c r="BT19" t="s">
        <v>967</v>
      </c>
      <c r="BU19" t="s">
        <v>493</v>
      </c>
      <c r="BV19" t="s">
        <v>5</v>
      </c>
      <c r="BW19" t="s">
        <v>5</v>
      </c>
      <c r="BX19" t="s">
        <v>5</v>
      </c>
      <c r="BY19">
        <v>41.25</v>
      </c>
      <c r="BZ19">
        <v>41.57</v>
      </c>
      <c r="CA19">
        <v>39.01</v>
      </c>
      <c r="CB19">
        <v>-4.2300000000000004</v>
      </c>
      <c r="CC19">
        <v>4.7</v>
      </c>
      <c r="CD19" t="s">
        <v>807</v>
      </c>
      <c r="CE19" t="s">
        <v>968</v>
      </c>
      <c r="CF19" s="12">
        <v>20.075949367088604</v>
      </c>
      <c r="CG19" s="13">
        <v>65.208350206950811</v>
      </c>
      <c r="CH19" s="12">
        <v>-0.95144146680831909</v>
      </c>
      <c r="CI19" s="12">
        <v>8.9945055544376373E-2</v>
      </c>
      <c r="CJ19" s="12">
        <v>0.18743647634983063</v>
      </c>
      <c r="CK19" s="12">
        <v>6.2357503920793533E-2</v>
      </c>
      <c r="CL19" s="12">
        <v>0.18375535309314728</v>
      </c>
      <c r="CM19" s="13">
        <v>-0.9907105565071106</v>
      </c>
      <c r="CN19" s="13">
        <v>0.16087526082992554</v>
      </c>
      <c r="CO19" s="13">
        <v>0.21036568284034729</v>
      </c>
      <c r="CP19" s="13">
        <v>5.2035611122846603E-2</v>
      </c>
      <c r="CQ19" s="13">
        <v>0.12462744116783142</v>
      </c>
      <c r="CR19">
        <v>8.6898171481643036</v>
      </c>
      <c r="CS19">
        <v>1.0152910951983889</v>
      </c>
      <c r="CT19">
        <v>5.3939698492462318</v>
      </c>
      <c r="CU19" s="12">
        <v>-8.5589415580034259E-2</v>
      </c>
      <c r="CV19" s="13">
        <v>-8.8561312109231946E-2</v>
      </c>
      <c r="CW19">
        <v>0.06</v>
      </c>
      <c r="CX19">
        <v>11926.846467836258</v>
      </c>
      <c r="CY19" t="s">
        <v>969</v>
      </c>
      <c r="CZ19">
        <v>-8.5589415580034259E-2</v>
      </c>
      <c r="DA19">
        <v>3975.6154892787526</v>
      </c>
      <c r="DB19" t="s">
        <v>970</v>
      </c>
      <c r="DC19">
        <v>-8.1309944801032541E-2</v>
      </c>
      <c r="DD19">
        <v>1987.8077446393763</v>
      </c>
      <c r="DE19" t="s">
        <v>971</v>
      </c>
      <c r="DF19">
        <v>-7.5318685710430142E-2</v>
      </c>
      <c r="DG19">
        <v>1192.6846467836258</v>
      </c>
      <c r="DH19" t="s">
        <v>972</v>
      </c>
      <c r="DI19">
        <v>-6.8471532464027415E-2</v>
      </c>
      <c r="DJ19">
        <v>596.3423233918129</v>
      </c>
      <c r="DK19" t="s">
        <v>973</v>
      </c>
      <c r="DL19">
        <v>-5.991259090602398E-2</v>
      </c>
      <c r="DM19">
        <v>171000000</v>
      </c>
      <c r="DN19">
        <v>-8.5589415580034259E-2</v>
      </c>
      <c r="DO19">
        <v>2039490746000</v>
      </c>
      <c r="DP19">
        <v>0</v>
      </c>
      <c r="DQ19">
        <v>3627</v>
      </c>
      <c r="DR19">
        <v>20.161538782668639</v>
      </c>
      <c r="DS19">
        <v>65.296911519060046</v>
      </c>
      <c r="DT19" s="14">
        <v>-0.54</v>
      </c>
      <c r="DU19">
        <v>-4.9999999999999968E-2</v>
      </c>
      <c r="DV19">
        <v>-0.59</v>
      </c>
      <c r="DW19">
        <v>-6.4736842105263159</v>
      </c>
      <c r="DX19">
        <v>0.39182648401826525</v>
      </c>
      <c r="DY19">
        <v>-6.0719178082191778</v>
      </c>
      <c r="DZ19">
        <v>54</v>
      </c>
      <c r="EA19">
        <v>-6.0711578157252761</v>
      </c>
      <c r="EB19">
        <v>6</v>
      </c>
      <c r="EC19">
        <v>1.2857951968975405E-2</v>
      </c>
      <c r="ED19">
        <v>8.4688465600168836E-2</v>
      </c>
      <c r="EE19" s="15">
        <v>2.0680999999999998</v>
      </c>
      <c r="EF19">
        <v>2.0508999999999999</v>
      </c>
      <c r="EG19">
        <v>24.151826484018265</v>
      </c>
      <c r="EH19" t="s">
        <v>717</v>
      </c>
      <c r="EI19">
        <v>0</v>
      </c>
      <c r="EJ19">
        <v>1</v>
      </c>
      <c r="EK19" s="11">
        <v>45470</v>
      </c>
      <c r="EL19" s="16">
        <v>0.56999999999999995</v>
      </c>
      <c r="EM19" s="16">
        <v>-3.13</v>
      </c>
      <c r="EN19" s="16">
        <v>1.76</v>
      </c>
      <c r="EO19" s="16">
        <v>0.87</v>
      </c>
      <c r="EP19" s="16">
        <v>-1.72</v>
      </c>
    </row>
    <row r="20" spans="1:146" ht="108" x14ac:dyDescent="0.25">
      <c r="A20" s="7"/>
      <c r="B20" s="7"/>
      <c r="C20" s="7" t="str">
        <f>""&amp;CHAR(10)&amp;Basic_Fundamental_Information_Constructure(F20)&amp;CHAR(10)&amp;Basic_Fundamental_Information_Concatenate("")</f>
        <v xml:space="preserve">
市值573.5285亿, 利润7.43亿; PE5.48; 平均PE7.2; 平均PEG.51, PB.477; ROIC0%; ROE9.47%; 股利率5.7129%; 毛利0%; 净利35.8167%; 上一年度营收增-81.84%, 利润增-92.77%; 当季营收增417.27%, 利润增1111.11%; 过往5年营收增-14.12%, 利润增-15.53%
Income profile:
</v>
      </c>
      <c r="D20" t="s">
        <v>181</v>
      </c>
      <c r="E20" t="s">
        <v>182</v>
      </c>
      <c r="F20">
        <v>5.05</v>
      </c>
      <c r="G20">
        <v>-1.17</v>
      </c>
      <c r="H20" t="s">
        <v>974</v>
      </c>
      <c r="I20">
        <v>57352850000</v>
      </c>
      <c r="J20">
        <v>5.48</v>
      </c>
      <c r="K20">
        <v>0.47699999999999998</v>
      </c>
      <c r="L20" t="s">
        <v>65</v>
      </c>
      <c r="M20" t="s">
        <v>975</v>
      </c>
      <c r="N20" t="s">
        <v>976</v>
      </c>
      <c r="O20" t="s">
        <v>977</v>
      </c>
      <c r="P20">
        <v>-2.88</v>
      </c>
      <c r="Q20" t="s">
        <v>978</v>
      </c>
      <c r="R20">
        <v>3524329000</v>
      </c>
      <c r="S20" s="5">
        <v>-0.1081</v>
      </c>
      <c r="T20" t="s">
        <v>979</v>
      </c>
      <c r="U20">
        <v>8836073800</v>
      </c>
      <c r="V20">
        <v>11357000000</v>
      </c>
      <c r="W20">
        <v>11.64</v>
      </c>
      <c r="X20">
        <v>0</v>
      </c>
      <c r="Y20">
        <v>51.37</v>
      </c>
      <c r="Z20" t="s">
        <v>5</v>
      </c>
      <c r="AA20" t="s">
        <v>5</v>
      </c>
      <c r="AB20" t="s">
        <v>5</v>
      </c>
      <c r="AC20" t="s">
        <v>5</v>
      </c>
      <c r="AD20" t="s">
        <v>5</v>
      </c>
      <c r="AE20">
        <v>0</v>
      </c>
      <c r="AF20" t="s">
        <v>980</v>
      </c>
      <c r="AG20" t="s">
        <v>981</v>
      </c>
      <c r="AH20" t="s">
        <v>982</v>
      </c>
      <c r="AI20" t="s">
        <v>5</v>
      </c>
      <c r="AJ20" t="s">
        <v>21</v>
      </c>
      <c r="AK20" t="s">
        <v>5</v>
      </c>
      <c r="AL20" t="s">
        <v>21</v>
      </c>
      <c r="AM20" t="s">
        <v>983</v>
      </c>
      <c r="AN20" t="s">
        <v>984</v>
      </c>
      <c r="AO20" t="s">
        <v>5</v>
      </c>
      <c r="AP20" t="s">
        <v>5</v>
      </c>
      <c r="AQ20" t="s">
        <v>5</v>
      </c>
      <c r="AR20" t="s">
        <v>5</v>
      </c>
      <c r="AS20" t="s">
        <v>5</v>
      </c>
      <c r="AT20" t="s">
        <v>5</v>
      </c>
      <c r="AU20" t="s">
        <v>985</v>
      </c>
      <c r="AV20" t="s">
        <v>986</v>
      </c>
      <c r="AW20" t="s">
        <v>987</v>
      </c>
      <c r="AX20" t="s">
        <v>988</v>
      </c>
      <c r="AY20" t="s">
        <v>404</v>
      </c>
      <c r="AZ20" t="s">
        <v>183</v>
      </c>
      <c r="BA20" t="s">
        <v>185</v>
      </c>
      <c r="BB20" t="s">
        <v>186</v>
      </c>
      <c r="BC20" t="s">
        <v>989</v>
      </c>
      <c r="BD20" t="s">
        <v>405</v>
      </c>
      <c r="BE20" t="s">
        <v>184</v>
      </c>
      <c r="BF20" t="s">
        <v>187</v>
      </c>
      <c r="BG20" t="s">
        <v>188</v>
      </c>
      <c r="BH20" t="s">
        <v>990</v>
      </c>
      <c r="BI20" t="s">
        <v>991</v>
      </c>
      <c r="BJ20" t="s">
        <v>988</v>
      </c>
      <c r="BK20" t="s">
        <v>992</v>
      </c>
      <c r="BL20" t="s">
        <v>993</v>
      </c>
      <c r="BM20" t="s">
        <v>989</v>
      </c>
      <c r="BN20" t="s">
        <v>5</v>
      </c>
      <c r="BO20" t="s">
        <v>5</v>
      </c>
      <c r="BP20" t="s">
        <v>5</v>
      </c>
      <c r="BQ20">
        <v>8.7799999999999994</v>
      </c>
      <c r="BR20">
        <v>9.76</v>
      </c>
      <c r="BS20">
        <v>9.8699999999999992</v>
      </c>
      <c r="BT20" t="s">
        <v>994</v>
      </c>
      <c r="BU20" t="s">
        <v>495</v>
      </c>
      <c r="BV20" t="s">
        <v>5</v>
      </c>
      <c r="BW20" t="s">
        <v>5</v>
      </c>
      <c r="BX20" t="s">
        <v>5</v>
      </c>
      <c r="BY20">
        <v>39.799999999999997</v>
      </c>
      <c r="BZ20">
        <v>36.14</v>
      </c>
      <c r="CA20">
        <v>31.51</v>
      </c>
      <c r="CB20">
        <v>0.6</v>
      </c>
      <c r="CC20">
        <v>6.06</v>
      </c>
      <c r="CD20" t="s">
        <v>575</v>
      </c>
      <c r="CE20" t="s">
        <v>995</v>
      </c>
      <c r="CF20" s="12">
        <v>4.1727140783744554</v>
      </c>
      <c r="CG20" s="13">
        <v>11.111096219931271</v>
      </c>
      <c r="CH20" s="12">
        <v>-0.81835740804672241</v>
      </c>
      <c r="CI20" s="12">
        <v>-6.0015525668859482E-2</v>
      </c>
      <c r="CJ20" s="12">
        <v>9.4231180846691132E-2</v>
      </c>
      <c r="CK20" s="12">
        <v>5.8430291712284088E-2</v>
      </c>
      <c r="CL20" s="12">
        <v>1.9681455567479134E-2</v>
      </c>
      <c r="CM20" s="13">
        <v>-0.92769557237625122</v>
      </c>
      <c r="CN20" s="13">
        <v>7.4895314872264862E-2</v>
      </c>
      <c r="CO20" s="13">
        <v>0.13795983791351318</v>
      </c>
      <c r="CP20" s="13">
        <v>-0.13924181461334229</v>
      </c>
      <c r="CQ20" s="13">
        <v>7.7500566840171814E-2</v>
      </c>
      <c r="CR20">
        <v>7.1994037407422908</v>
      </c>
      <c r="CS20">
        <v>0.50985111707362529</v>
      </c>
      <c r="CT20">
        <v>5.7128712871287126</v>
      </c>
      <c r="CU20" s="12">
        <v>-0.1412060011178255</v>
      </c>
      <c r="CV20" s="13">
        <v>-0.15531633347272872</v>
      </c>
      <c r="CW20">
        <v>0.06</v>
      </c>
      <c r="CX20">
        <v>1678.1626514131897</v>
      </c>
      <c r="CY20" t="s">
        <v>996</v>
      </c>
      <c r="CZ20">
        <v>-0.1412060011178255</v>
      </c>
      <c r="DA20">
        <v>559.38755047106326</v>
      </c>
      <c r="DB20" t="s">
        <v>997</v>
      </c>
      <c r="DC20">
        <v>-0.13414570106193421</v>
      </c>
      <c r="DD20">
        <v>279.69377523553163</v>
      </c>
      <c r="DE20" t="s">
        <v>998</v>
      </c>
      <c r="DF20">
        <v>-0.12426128098368644</v>
      </c>
      <c r="DG20">
        <v>167.81626514131898</v>
      </c>
      <c r="DH20" t="s">
        <v>999</v>
      </c>
      <c r="DI20">
        <v>-0.11296480089426041</v>
      </c>
      <c r="DJ20">
        <v>83.90813257065949</v>
      </c>
      <c r="DK20" t="s">
        <v>1000</v>
      </c>
      <c r="DL20">
        <v>-9.884420078247784E-2</v>
      </c>
      <c r="DM20">
        <v>743000000</v>
      </c>
      <c r="DN20">
        <v>-0.1412060011178255</v>
      </c>
      <c r="DO20">
        <v>1246874850000</v>
      </c>
      <c r="DP20">
        <v>0</v>
      </c>
      <c r="DQ20">
        <v>3648</v>
      </c>
      <c r="DR20">
        <v>4.3139200794922807</v>
      </c>
      <c r="DS20">
        <v>11.266412553404001</v>
      </c>
      <c r="DT20" s="14">
        <v>-0.77333333333333332</v>
      </c>
      <c r="DU20">
        <v>-0.55333333333333334</v>
      </c>
      <c r="DV20">
        <v>-1.3266666666666667</v>
      </c>
      <c r="DW20">
        <v>2.0606</v>
      </c>
      <c r="DX20">
        <v>0.34752556237218979</v>
      </c>
      <c r="DY20">
        <v>2.0083340490797545</v>
      </c>
      <c r="DZ20">
        <v>663</v>
      </c>
      <c r="EA20">
        <v>2.0072527429075673</v>
      </c>
      <c r="EB20">
        <v>2</v>
      </c>
      <c r="EC20">
        <v>2.36858325261953E-2</v>
      </c>
      <c r="ED20">
        <v>0.17222858149159107</v>
      </c>
      <c r="EE20" s="15">
        <v>-3.0327099999999998</v>
      </c>
      <c r="EF20">
        <v>-3.0626099999999998</v>
      </c>
      <c r="EG20">
        <v>21.13752556237219</v>
      </c>
      <c r="EH20" t="s">
        <v>1001</v>
      </c>
      <c r="EI20">
        <v>1</v>
      </c>
      <c r="EJ20">
        <v>1</v>
      </c>
      <c r="EK20" s="11">
        <v>45470</v>
      </c>
      <c r="EL20" s="16">
        <v>-0.91</v>
      </c>
      <c r="EM20" s="16">
        <v>-3.91</v>
      </c>
      <c r="EN20" s="16">
        <v>-0.26</v>
      </c>
      <c r="EO20" s="16">
        <v>1.39</v>
      </c>
      <c r="EP20" s="16">
        <v>-2.99</v>
      </c>
    </row>
    <row r="21" spans="1:146" ht="108" x14ac:dyDescent="0.25">
      <c r="A21" s="7"/>
      <c r="B21" s="7"/>
      <c r="C21" s="7" t="str">
        <f>""&amp;CHAR(10)&amp;Basic_Fundamental_Information_Constructure(F21)&amp;CHAR(10)&amp;Basic_Fundamental_Information_Concatenate("")</f>
        <v xml:space="preserve">
市值227.93249亿, 利润2.14亿; PE6.63; 平均PE13.38; 平均PEG6.28, PB.89; ROIC0%; ROE11.7733%; 股利率3.3069%; 毛利0%; 净利33.1133%; 上一年度营收增-54.82%, 利润增-92.2%; 当季营收增398.15%, 利润增2256.57%; 过往5年营收增-2.13%, 利润增-4.86%
Income profile:
</v>
      </c>
      <c r="D21" t="s">
        <v>189</v>
      </c>
      <c r="E21" t="s">
        <v>190</v>
      </c>
      <c r="F21">
        <v>7.56</v>
      </c>
      <c r="G21">
        <v>-1.05</v>
      </c>
      <c r="H21" t="s">
        <v>1002</v>
      </c>
      <c r="I21">
        <v>22793249000</v>
      </c>
      <c r="J21">
        <v>6.63</v>
      </c>
      <c r="K21">
        <v>0.89</v>
      </c>
      <c r="L21" t="s">
        <v>65</v>
      </c>
      <c r="M21" t="s">
        <v>1003</v>
      </c>
      <c r="N21" t="s">
        <v>1004</v>
      </c>
      <c r="O21" t="s">
        <v>1005</v>
      </c>
      <c r="P21">
        <v>12.01</v>
      </c>
      <c r="Q21" t="s">
        <v>1006</v>
      </c>
      <c r="R21">
        <v>952266000</v>
      </c>
      <c r="S21" s="5">
        <v>0.19800000000000001</v>
      </c>
      <c r="T21" t="s">
        <v>1007</v>
      </c>
      <c r="U21">
        <v>2907718200</v>
      </c>
      <c r="V21">
        <v>3014980100</v>
      </c>
      <c r="W21">
        <v>12.92</v>
      </c>
      <c r="X21">
        <v>0.01</v>
      </c>
      <c r="Y21">
        <v>38.03</v>
      </c>
      <c r="Z21" t="s">
        <v>5</v>
      </c>
      <c r="AA21" t="s">
        <v>5</v>
      </c>
      <c r="AB21" t="s">
        <v>5</v>
      </c>
      <c r="AC21" t="s">
        <v>5</v>
      </c>
      <c r="AD21" t="s">
        <v>5</v>
      </c>
      <c r="AE21">
        <v>0</v>
      </c>
      <c r="AF21" t="s">
        <v>1008</v>
      </c>
      <c r="AG21" t="s">
        <v>1009</v>
      </c>
      <c r="AH21" t="s">
        <v>1010</v>
      </c>
      <c r="AI21" t="s">
        <v>5</v>
      </c>
      <c r="AJ21" t="s">
        <v>21</v>
      </c>
      <c r="AK21" t="s">
        <v>5</v>
      </c>
      <c r="AL21" t="s">
        <v>21</v>
      </c>
      <c r="AM21" t="s">
        <v>554</v>
      </c>
      <c r="AN21" t="s">
        <v>563</v>
      </c>
      <c r="AO21" t="s">
        <v>5</v>
      </c>
      <c r="AP21" t="s">
        <v>5</v>
      </c>
      <c r="AQ21" t="s">
        <v>5</v>
      </c>
      <c r="AR21" t="s">
        <v>5</v>
      </c>
      <c r="AS21" t="s">
        <v>5</v>
      </c>
      <c r="AT21" t="s">
        <v>5</v>
      </c>
      <c r="AU21" t="s">
        <v>1011</v>
      </c>
      <c r="AV21" t="s">
        <v>1012</v>
      </c>
      <c r="AW21" t="s">
        <v>1013</v>
      </c>
      <c r="AX21" t="s">
        <v>1014</v>
      </c>
      <c r="AY21" t="s">
        <v>406</v>
      </c>
      <c r="AZ21" t="s">
        <v>191</v>
      </c>
      <c r="BA21" t="s">
        <v>193</v>
      </c>
      <c r="BB21" t="s">
        <v>194</v>
      </c>
      <c r="BC21" t="s">
        <v>1015</v>
      </c>
      <c r="BD21" t="s">
        <v>407</v>
      </c>
      <c r="BE21" t="s">
        <v>192</v>
      </c>
      <c r="BF21" t="s">
        <v>195</v>
      </c>
      <c r="BG21" t="s">
        <v>196</v>
      </c>
      <c r="BH21" t="s">
        <v>1016</v>
      </c>
      <c r="BI21" t="s">
        <v>1017</v>
      </c>
      <c r="BJ21" t="s">
        <v>1014</v>
      </c>
      <c r="BK21" t="s">
        <v>1018</v>
      </c>
      <c r="BL21" t="s">
        <v>1019</v>
      </c>
      <c r="BM21" t="s">
        <v>1015</v>
      </c>
      <c r="BN21" t="s">
        <v>5</v>
      </c>
      <c r="BO21" t="s">
        <v>5</v>
      </c>
      <c r="BP21" t="s">
        <v>5</v>
      </c>
      <c r="BQ21">
        <v>10.64</v>
      </c>
      <c r="BR21">
        <v>13.06</v>
      </c>
      <c r="BS21">
        <v>11.62</v>
      </c>
      <c r="BT21" t="s">
        <v>1020</v>
      </c>
      <c r="BU21" t="s">
        <v>495</v>
      </c>
      <c r="BV21" t="s">
        <v>5</v>
      </c>
      <c r="BW21" t="s">
        <v>5</v>
      </c>
      <c r="BX21" t="s">
        <v>5</v>
      </c>
      <c r="BY21">
        <v>35.53</v>
      </c>
      <c r="BZ21">
        <v>33.229999999999997</v>
      </c>
      <c r="CA21">
        <v>30.58</v>
      </c>
      <c r="CB21">
        <v>-0.13</v>
      </c>
      <c r="CC21">
        <v>-2.16</v>
      </c>
      <c r="CD21" t="s">
        <v>1021</v>
      </c>
      <c r="CE21" t="s">
        <v>260</v>
      </c>
      <c r="CF21" s="12">
        <v>3.981549815498155</v>
      </c>
      <c r="CG21" s="13">
        <v>22.565749129523446</v>
      </c>
      <c r="CH21" s="12">
        <v>-0.54818934202194214</v>
      </c>
      <c r="CI21" s="12">
        <v>0.15075112879276276</v>
      </c>
      <c r="CJ21" s="12">
        <v>0.16302034258842468</v>
      </c>
      <c r="CK21" s="12">
        <v>2.1256778389215469E-2</v>
      </c>
      <c r="CL21" s="12">
        <v>0.10662777721881866</v>
      </c>
      <c r="CM21" s="13">
        <v>-0.9220116138458252</v>
      </c>
      <c r="CN21" s="13">
        <v>0.25411334633827209</v>
      </c>
      <c r="CO21" s="13">
        <v>0.213532954454422</v>
      </c>
      <c r="CP21" s="13">
        <v>1.0084033012390137E-2</v>
      </c>
      <c r="CQ21" s="13">
        <v>0.2012113481760025</v>
      </c>
      <c r="CR21">
        <v>13.381555185909981</v>
      </c>
      <c r="CS21">
        <v>6.2804556404726446</v>
      </c>
      <c r="CT21">
        <v>3.306878306878307</v>
      </c>
      <c r="CU21" s="12">
        <v>-2.1306663006544112E-2</v>
      </c>
      <c r="CV21" s="13">
        <v>-4.8613986372947691E-2</v>
      </c>
      <c r="CW21">
        <v>0.06</v>
      </c>
      <c r="CX21">
        <v>1410.664714953271</v>
      </c>
      <c r="CY21" t="s">
        <v>1022</v>
      </c>
      <c r="CZ21">
        <v>-2.1306663006544112E-2</v>
      </c>
      <c r="DA21">
        <v>470.22157165109036</v>
      </c>
      <c r="DB21" t="s">
        <v>1023</v>
      </c>
      <c r="DC21">
        <v>-2.0241329856216905E-2</v>
      </c>
      <c r="DD21">
        <v>235.11078582554518</v>
      </c>
      <c r="DE21" t="s">
        <v>1024</v>
      </c>
      <c r="DF21">
        <v>-1.8749863445758821E-2</v>
      </c>
      <c r="DG21">
        <v>141.06647149532711</v>
      </c>
      <c r="DH21" t="s">
        <v>1025</v>
      </c>
      <c r="DI21">
        <v>-1.7045330405235291E-2</v>
      </c>
      <c r="DJ21">
        <v>70.533235747663554</v>
      </c>
      <c r="DK21" t="s">
        <v>1026</v>
      </c>
      <c r="DL21">
        <v>-1.4914664104580878E-2</v>
      </c>
      <c r="DM21">
        <v>214000000</v>
      </c>
      <c r="DN21">
        <v>-2.1306663006544112E-2</v>
      </c>
      <c r="DO21">
        <v>301882249000</v>
      </c>
      <c r="DP21">
        <v>0</v>
      </c>
      <c r="DQ21">
        <v>3669</v>
      </c>
      <c r="DR21">
        <v>4.0028564785046994</v>
      </c>
      <c r="DS21">
        <v>22.614363115896396</v>
      </c>
      <c r="DT21" s="14">
        <v>-0.32333333333333331</v>
      </c>
      <c r="DU21">
        <v>4.9999999999999968E-2</v>
      </c>
      <c r="DV21">
        <v>-0.27333333333333332</v>
      </c>
      <c r="DW21">
        <v>-2.1600000000000001E-2</v>
      </c>
      <c r="DX21">
        <v>0.39987341772151819</v>
      </c>
      <c r="DY21">
        <v>-4.1012658227848105E-3</v>
      </c>
      <c r="DZ21">
        <v>4265</v>
      </c>
      <c r="EA21">
        <v>-6.7819366345463108E-4</v>
      </c>
      <c r="EB21">
        <v>0</v>
      </c>
      <c r="EC21">
        <v>4.9751572157972122E-2</v>
      </c>
      <c r="ED21">
        <v>0.26202494669865317</v>
      </c>
      <c r="EE21" s="15">
        <v>5.2810000000000003E-2</v>
      </c>
      <c r="EF21">
        <v>7.1410000000000001E-2</v>
      </c>
      <c r="EG21">
        <v>21.189873417721518</v>
      </c>
      <c r="EH21">
        <v>-1</v>
      </c>
      <c r="EI21">
        <v>0</v>
      </c>
      <c r="EJ21">
        <v>0</v>
      </c>
      <c r="EK21" s="11">
        <v>45470</v>
      </c>
      <c r="EL21" s="16">
        <v>-1.52</v>
      </c>
      <c r="EM21" s="16">
        <v>-4.4400000000000004</v>
      </c>
      <c r="EN21" s="16">
        <v>-10</v>
      </c>
      <c r="EO21" s="16">
        <v>0.44</v>
      </c>
      <c r="EP21" s="16">
        <v>-1.86</v>
      </c>
    </row>
    <row r="22" spans="1:146" ht="108" x14ac:dyDescent="0.25">
      <c r="A22" s="7"/>
      <c r="B22" s="7"/>
      <c r="C22" s="7" t="str">
        <f>""&amp;CHAR(10)&amp;Basic_Fundamental_Information_Constructure(F22)&amp;CHAR(10)&amp;Basic_Fundamental_Information_Concatenate("")</f>
        <v xml:space="preserve">
市值3571.1022亿, 利润27.89亿; PE4.68; 平均PE5.79; 平均PEG.65, PB.485; ROIC0%; ROE12.2967%; 股利率6.05%; 毛利0%; 净利38.76%; 上一年度营收增-80.78%, 利润增-96.95%; 当季营收增398.97%, 利润增3478.82%; 过往5年营收增-8.95%, 利润增-10.51%
Income profile:
</v>
      </c>
      <c r="D22" t="s">
        <v>198</v>
      </c>
      <c r="E22" t="s">
        <v>199</v>
      </c>
      <c r="F22">
        <v>17.190000000000001</v>
      </c>
      <c r="G22">
        <v>-2.44</v>
      </c>
      <c r="H22" t="s">
        <v>1027</v>
      </c>
      <c r="I22">
        <v>357110220000</v>
      </c>
      <c r="J22">
        <v>4.68</v>
      </c>
      <c r="K22">
        <v>0.48499999999999999</v>
      </c>
      <c r="L22" t="s">
        <v>65</v>
      </c>
      <c r="M22" t="s">
        <v>1028</v>
      </c>
      <c r="N22" t="s">
        <v>1029</v>
      </c>
      <c r="O22" t="s">
        <v>1030</v>
      </c>
      <c r="P22">
        <v>4.22</v>
      </c>
      <c r="Q22" t="s">
        <v>1031</v>
      </c>
      <c r="R22">
        <v>24336000000</v>
      </c>
      <c r="S22" s="5">
        <v>-3.1E-2</v>
      </c>
      <c r="T22" t="s">
        <v>1032</v>
      </c>
      <c r="U22">
        <v>20774300000</v>
      </c>
      <c r="V22">
        <v>20774300000</v>
      </c>
      <c r="W22">
        <v>12.31</v>
      </c>
      <c r="X22">
        <v>0.01</v>
      </c>
      <c r="Y22">
        <v>42.06</v>
      </c>
      <c r="Z22" t="s">
        <v>5</v>
      </c>
      <c r="AA22" t="s">
        <v>5</v>
      </c>
      <c r="AB22" t="s">
        <v>5</v>
      </c>
      <c r="AC22" t="s">
        <v>5</v>
      </c>
      <c r="AD22" t="s">
        <v>5</v>
      </c>
      <c r="AE22">
        <v>0</v>
      </c>
      <c r="AF22" t="s">
        <v>1033</v>
      </c>
      <c r="AG22" t="s">
        <v>1034</v>
      </c>
      <c r="AH22" t="s">
        <v>1035</v>
      </c>
      <c r="AI22" t="s">
        <v>5</v>
      </c>
      <c r="AJ22" t="s">
        <v>21</v>
      </c>
      <c r="AK22" t="s">
        <v>5</v>
      </c>
      <c r="AL22" t="s">
        <v>21</v>
      </c>
      <c r="AM22" t="s">
        <v>1036</v>
      </c>
      <c r="AN22" t="s">
        <v>1037</v>
      </c>
      <c r="AO22" t="s">
        <v>5</v>
      </c>
      <c r="AP22" t="s">
        <v>5</v>
      </c>
      <c r="AQ22" t="s">
        <v>5</v>
      </c>
      <c r="AR22" t="s">
        <v>5</v>
      </c>
      <c r="AS22" t="s">
        <v>5</v>
      </c>
      <c r="AT22" t="s">
        <v>5</v>
      </c>
      <c r="AU22" t="s">
        <v>1038</v>
      </c>
      <c r="AV22" t="s">
        <v>1039</v>
      </c>
      <c r="AW22" t="s">
        <v>1040</v>
      </c>
      <c r="AX22" t="s">
        <v>1041</v>
      </c>
      <c r="AY22" t="s">
        <v>408</v>
      </c>
      <c r="AZ22" t="s">
        <v>200</v>
      </c>
      <c r="BA22" t="s">
        <v>202</v>
      </c>
      <c r="BB22" t="s">
        <v>203</v>
      </c>
      <c r="BC22" t="s">
        <v>1042</v>
      </c>
      <c r="BD22" t="s">
        <v>409</v>
      </c>
      <c r="BE22" t="s">
        <v>201</v>
      </c>
      <c r="BF22" t="s">
        <v>204</v>
      </c>
      <c r="BG22" t="s">
        <v>205</v>
      </c>
      <c r="BH22" t="s">
        <v>1043</v>
      </c>
      <c r="BI22" t="s">
        <v>1044</v>
      </c>
      <c r="BJ22" t="s">
        <v>1041</v>
      </c>
      <c r="BK22" t="s">
        <v>1045</v>
      </c>
      <c r="BL22" t="s">
        <v>1046</v>
      </c>
      <c r="BM22" t="s">
        <v>1042</v>
      </c>
      <c r="BN22" t="s">
        <v>5</v>
      </c>
      <c r="BO22" t="s">
        <v>5</v>
      </c>
      <c r="BP22" t="s">
        <v>5</v>
      </c>
      <c r="BQ22">
        <v>9.1</v>
      </c>
      <c r="BR22">
        <v>13.85</v>
      </c>
      <c r="BS22">
        <v>13.94</v>
      </c>
      <c r="BT22" t="s">
        <v>1047</v>
      </c>
      <c r="BU22" t="s">
        <v>492</v>
      </c>
      <c r="BV22" t="s">
        <v>5</v>
      </c>
      <c r="BW22" t="s">
        <v>5</v>
      </c>
      <c r="BX22" t="s">
        <v>5</v>
      </c>
      <c r="BY22">
        <v>36.83</v>
      </c>
      <c r="BZ22">
        <v>41.56</v>
      </c>
      <c r="CA22">
        <v>37.89</v>
      </c>
      <c r="CB22">
        <v>-2.44</v>
      </c>
      <c r="CC22">
        <v>-5.08</v>
      </c>
      <c r="CD22" t="s">
        <v>1048</v>
      </c>
      <c r="CE22" t="s">
        <v>1049</v>
      </c>
      <c r="CF22" s="12">
        <v>3.989718334197339</v>
      </c>
      <c r="CG22" s="13">
        <v>34.788235294117648</v>
      </c>
      <c r="CH22" s="12">
        <v>-0.80776530504226685</v>
      </c>
      <c r="CI22" s="12">
        <v>5.1438277587294579E-3</v>
      </c>
      <c r="CJ22" s="12">
        <v>8.9097477495670319E-2</v>
      </c>
      <c r="CK22" s="12">
        <v>0.12039738893508911</v>
      </c>
      <c r="CL22" s="12">
        <v>0.14543831348419189</v>
      </c>
      <c r="CM22" s="13">
        <v>-0.96947813034057617</v>
      </c>
      <c r="CN22" s="13">
        <v>0.10518873482942581</v>
      </c>
      <c r="CO22" s="13">
        <v>0.24095694720745087</v>
      </c>
      <c r="CP22" s="13">
        <v>1.150782685726881E-2</v>
      </c>
      <c r="CQ22" s="13">
        <v>8.6572088301181793E-2</v>
      </c>
      <c r="CR22">
        <v>5.7916026597469994</v>
      </c>
      <c r="CS22">
        <v>0.64683426993611104</v>
      </c>
      <c r="CT22">
        <v>6.0500290866783013</v>
      </c>
      <c r="CU22" s="12">
        <v>-8.953765947371721E-2</v>
      </c>
      <c r="CV22" s="13">
        <v>-0.10505050662904977</v>
      </c>
      <c r="CW22">
        <v>0.06</v>
      </c>
      <c r="CX22">
        <v>3181.9789243456435</v>
      </c>
      <c r="CY22" t="s">
        <v>1050</v>
      </c>
      <c r="CZ22">
        <v>-8.953765947371721E-2</v>
      </c>
      <c r="DA22">
        <v>1060.659641448548</v>
      </c>
      <c r="DB22" t="s">
        <v>1051</v>
      </c>
      <c r="DC22">
        <v>-8.506077650003134E-2</v>
      </c>
      <c r="DD22">
        <v>530.32982072427399</v>
      </c>
      <c r="DE22" t="s">
        <v>1052</v>
      </c>
      <c r="DF22">
        <v>-7.879314033687114E-2</v>
      </c>
      <c r="DG22">
        <v>318.19789243456438</v>
      </c>
      <c r="DH22" t="s">
        <v>1053</v>
      </c>
      <c r="DI22">
        <v>-7.1630127578973773E-2</v>
      </c>
      <c r="DJ22">
        <v>159.09894621728219</v>
      </c>
      <c r="DK22" t="s">
        <v>1054</v>
      </c>
      <c r="DL22">
        <v>-6.2676361631602048E-2</v>
      </c>
      <c r="DM22">
        <v>2789000000</v>
      </c>
      <c r="DN22">
        <v>-8.953765947371721E-2</v>
      </c>
      <c r="DO22">
        <v>8874539220000</v>
      </c>
      <c r="DP22">
        <v>0</v>
      </c>
      <c r="DQ22">
        <v>3680</v>
      </c>
      <c r="DR22">
        <v>4.0792559936710564</v>
      </c>
      <c r="DS22">
        <v>34.893285800746696</v>
      </c>
      <c r="DT22" s="14">
        <v>-0.77333333333333332</v>
      </c>
      <c r="DU22">
        <v>-0.19999999999999998</v>
      </c>
      <c r="DV22">
        <v>-0.97333333333333327</v>
      </c>
      <c r="DW22">
        <v>-1.0508</v>
      </c>
      <c r="DX22">
        <v>0.65865954109138669</v>
      </c>
      <c r="DY22">
        <v>-1.0085679046874423</v>
      </c>
      <c r="DZ22">
        <v>785</v>
      </c>
      <c r="EA22">
        <v>-1.0072517001513088</v>
      </c>
      <c r="EB22">
        <v>1</v>
      </c>
      <c r="EC22">
        <v>1.2900555012683943E-2</v>
      </c>
      <c r="ED22">
        <v>7.648873848938352E-2</v>
      </c>
      <c r="EE22" s="15">
        <v>7.3609999999999995E-2</v>
      </c>
      <c r="EF22">
        <v>0.10300999999999999</v>
      </c>
      <c r="EG22">
        <v>49.168659541091387</v>
      </c>
      <c r="EH22">
        <v>-1</v>
      </c>
      <c r="EI22">
        <v>0</v>
      </c>
      <c r="EJ22">
        <v>1</v>
      </c>
      <c r="EK22" s="11">
        <v>45470</v>
      </c>
      <c r="EL22" s="16">
        <v>1.24</v>
      </c>
      <c r="EM22" s="16">
        <v>-2.12</v>
      </c>
      <c r="EN22" s="16">
        <v>0.53</v>
      </c>
      <c r="EO22" s="16">
        <v>2.29</v>
      </c>
      <c r="EP22" s="16">
        <v>-2.94</v>
      </c>
    </row>
    <row r="23" spans="1:146" ht="108" x14ac:dyDescent="0.25">
      <c r="A23" s="7"/>
      <c r="B23" s="7"/>
      <c r="C23" s="7" t="str">
        <f>""&amp;CHAR(10)&amp;Basic_Fundamental_Information_Constructure(F23)&amp;CHAR(10)&amp;Basic_Fundamental_Information_Concatenate("")</f>
        <v xml:space="preserve">
市值1224.17879亿, 利润2.11亿; PE4.71; 平均PE6.67; 平均PEG.43, PB.473; ROIC0%; ROE10.3133%; 股利率5.5268%; 毛利0%; 净利36.66%; 上一年度营收增-97.16%, 利润增-99.15%; 当季营收增3145.87%, 利润增11889.45%; 过往5年营收增-15.69%, 利润增-15.38%
Income profile:
</v>
      </c>
      <c r="D23" t="s">
        <v>206</v>
      </c>
      <c r="E23" t="s">
        <v>207</v>
      </c>
      <c r="F23">
        <v>5.79</v>
      </c>
      <c r="G23">
        <v>-2.2000000000000002</v>
      </c>
      <c r="H23" t="s">
        <v>1055</v>
      </c>
      <c r="I23">
        <v>122417879000</v>
      </c>
      <c r="J23">
        <v>4.71</v>
      </c>
      <c r="K23">
        <v>0.47299999999999998</v>
      </c>
      <c r="L23" t="s">
        <v>65</v>
      </c>
      <c r="M23" t="s">
        <v>1056</v>
      </c>
      <c r="N23" t="s">
        <v>1057</v>
      </c>
      <c r="O23" t="s">
        <v>1058</v>
      </c>
      <c r="P23">
        <v>7.85</v>
      </c>
      <c r="Q23" t="s">
        <v>1059</v>
      </c>
      <c r="R23">
        <v>7864000000</v>
      </c>
      <c r="S23" s="5">
        <v>4.9500000000000002E-2</v>
      </c>
      <c r="T23" t="s">
        <v>1060</v>
      </c>
      <c r="U23">
        <v>21142984000</v>
      </c>
      <c r="V23">
        <v>21142984000</v>
      </c>
      <c r="W23">
        <v>11.53</v>
      </c>
      <c r="X23">
        <v>0</v>
      </c>
      <c r="Y23">
        <v>44.56</v>
      </c>
      <c r="Z23" t="s">
        <v>5</v>
      </c>
      <c r="AA23" t="s">
        <v>5</v>
      </c>
      <c r="AB23" t="s">
        <v>5</v>
      </c>
      <c r="AC23" t="s">
        <v>5</v>
      </c>
      <c r="AD23" t="s">
        <v>5</v>
      </c>
      <c r="AE23">
        <v>0</v>
      </c>
      <c r="AF23" t="s">
        <v>1061</v>
      </c>
      <c r="AG23" t="s">
        <v>1062</v>
      </c>
      <c r="AH23" t="s">
        <v>1063</v>
      </c>
      <c r="AI23" t="s">
        <v>5</v>
      </c>
      <c r="AJ23" t="s">
        <v>21</v>
      </c>
      <c r="AK23" t="s">
        <v>5</v>
      </c>
      <c r="AL23" t="s">
        <v>21</v>
      </c>
      <c r="AM23" t="s">
        <v>1064</v>
      </c>
      <c r="AN23" t="s">
        <v>5</v>
      </c>
      <c r="AO23" t="s">
        <v>5</v>
      </c>
      <c r="AP23" t="s">
        <v>5</v>
      </c>
      <c r="AQ23" t="s">
        <v>5</v>
      </c>
      <c r="AR23" t="s">
        <v>5</v>
      </c>
      <c r="AS23" t="s">
        <v>5</v>
      </c>
      <c r="AT23" t="s">
        <v>5</v>
      </c>
      <c r="AU23" t="s">
        <v>1065</v>
      </c>
      <c r="AV23" t="s">
        <v>1066</v>
      </c>
      <c r="AW23" t="s">
        <v>1067</v>
      </c>
      <c r="AX23" t="s">
        <v>1068</v>
      </c>
      <c r="AY23" t="s">
        <v>410</v>
      </c>
      <c r="AZ23" t="s">
        <v>208</v>
      </c>
      <c r="BA23" t="s">
        <v>210</v>
      </c>
      <c r="BB23" t="s">
        <v>211</v>
      </c>
      <c r="BC23" t="s">
        <v>1069</v>
      </c>
      <c r="BD23" t="s">
        <v>411</v>
      </c>
      <c r="BE23" t="s">
        <v>209</v>
      </c>
      <c r="BF23" t="s">
        <v>212</v>
      </c>
      <c r="BG23" t="s">
        <v>213</v>
      </c>
      <c r="BH23" t="s">
        <v>1070</v>
      </c>
      <c r="BI23" t="s">
        <v>1071</v>
      </c>
      <c r="BJ23" t="s">
        <v>1068</v>
      </c>
      <c r="BK23" t="s">
        <v>1072</v>
      </c>
      <c r="BL23" t="s">
        <v>1073</v>
      </c>
      <c r="BM23" t="s">
        <v>1069</v>
      </c>
      <c r="BN23" t="s">
        <v>5</v>
      </c>
      <c r="BO23" t="s">
        <v>5</v>
      </c>
      <c r="BP23" t="s">
        <v>5</v>
      </c>
      <c r="BQ23">
        <v>11.05</v>
      </c>
      <c r="BR23">
        <v>9.6</v>
      </c>
      <c r="BS23">
        <v>10.29</v>
      </c>
      <c r="BT23" t="s">
        <v>1074</v>
      </c>
      <c r="BU23" t="s">
        <v>493</v>
      </c>
      <c r="BV23" t="s">
        <v>5</v>
      </c>
      <c r="BW23" t="s">
        <v>5</v>
      </c>
      <c r="BX23" t="s">
        <v>5</v>
      </c>
      <c r="BY23">
        <v>38.57</v>
      </c>
      <c r="BZ23">
        <v>37.619999999999997</v>
      </c>
      <c r="CA23">
        <v>33.79</v>
      </c>
      <c r="CB23">
        <v>-0.86</v>
      </c>
      <c r="CC23">
        <v>-1.7</v>
      </c>
      <c r="CD23" t="s">
        <v>1075</v>
      </c>
      <c r="CE23" t="s">
        <v>1076</v>
      </c>
      <c r="CF23" s="12">
        <v>31.458715596330276</v>
      </c>
      <c r="CG23" s="13">
        <v>118.89449772072388</v>
      </c>
      <c r="CH23" s="12">
        <v>-0.97158849239349365</v>
      </c>
      <c r="CI23" s="12">
        <v>1.5079954209795687E-5</v>
      </c>
      <c r="CJ23" s="12">
        <v>3.0731434002518654E-2</v>
      </c>
      <c r="CK23" s="12">
        <v>1.8533444032073021E-2</v>
      </c>
      <c r="CL23" s="12">
        <v>0.1377054899930954</v>
      </c>
      <c r="CM23" s="13">
        <v>-0.99147820472717285</v>
      </c>
      <c r="CN23" s="13">
        <v>0.11401064693927765</v>
      </c>
      <c r="CO23" s="13">
        <v>3.4537360072135925E-2</v>
      </c>
      <c r="CP23" s="13">
        <v>2.0054946653544903E-3</v>
      </c>
      <c r="CQ23" s="13">
        <v>7.1942731738090515E-2</v>
      </c>
      <c r="CR23">
        <v>6.6698201481965782</v>
      </c>
      <c r="CS23">
        <v>0.42504424343640718</v>
      </c>
      <c r="CT23">
        <v>5.5267702936096725</v>
      </c>
      <c r="CU23" s="12">
        <v>-0.15692060888231935</v>
      </c>
      <c r="CV23" s="13">
        <v>-0.15379639426246286</v>
      </c>
      <c r="CW23">
        <v>0.06</v>
      </c>
      <c r="CX23">
        <v>15190.307483412322</v>
      </c>
      <c r="CY23" t="s">
        <v>1077</v>
      </c>
      <c r="CZ23">
        <v>-0.15692060888231935</v>
      </c>
      <c r="DA23">
        <v>5063.4358278041072</v>
      </c>
      <c r="DB23" t="s">
        <v>1078</v>
      </c>
      <c r="DC23">
        <v>-0.14907457843820338</v>
      </c>
      <c r="DD23">
        <v>2531.7179139020536</v>
      </c>
      <c r="DE23" t="s">
        <v>1079</v>
      </c>
      <c r="DF23">
        <v>-0.13809013581644103</v>
      </c>
      <c r="DG23">
        <v>1519.0307483412323</v>
      </c>
      <c r="DH23" t="s">
        <v>1080</v>
      </c>
      <c r="DI23">
        <v>-0.12553648710585549</v>
      </c>
      <c r="DJ23">
        <v>759.51537417061616</v>
      </c>
      <c r="DK23" t="s">
        <v>1081</v>
      </c>
      <c r="DL23">
        <v>-0.10984442621762354</v>
      </c>
      <c r="DM23">
        <v>211000000</v>
      </c>
      <c r="DN23">
        <v>-0.15692060888231935</v>
      </c>
      <c r="DO23">
        <v>3205154879000</v>
      </c>
      <c r="DP23">
        <v>0</v>
      </c>
      <c r="DQ23">
        <v>3682</v>
      </c>
      <c r="DR23">
        <v>31.615636205212596</v>
      </c>
      <c r="DS23">
        <v>119.04829411498633</v>
      </c>
      <c r="DT23" s="14">
        <v>-0.77333333333333332</v>
      </c>
      <c r="DU23">
        <v>-0.55333333333333334</v>
      </c>
      <c r="DV23">
        <v>-1.3266666666666667</v>
      </c>
      <c r="DW23">
        <v>-1.7000000000000001E-2</v>
      </c>
      <c r="DX23">
        <v>0.49208665906499394</v>
      </c>
      <c r="DY23">
        <v>-3.6054732041049032E-3</v>
      </c>
      <c r="DZ23">
        <v>1105</v>
      </c>
      <c r="EA23">
        <v>-2.8258160826693029E-3</v>
      </c>
      <c r="EB23">
        <v>0</v>
      </c>
      <c r="EC23">
        <v>1.7594489027660427E-2</v>
      </c>
      <c r="ED23">
        <v>8.2958961705689227E-2</v>
      </c>
      <c r="EE23" s="15">
        <v>1.0342100000000001</v>
      </c>
      <c r="EF23">
        <v>1.06291</v>
      </c>
      <c r="EG23">
        <v>28.212086659064994</v>
      </c>
      <c r="EH23" t="s">
        <v>639</v>
      </c>
      <c r="EI23">
        <v>0</v>
      </c>
      <c r="EJ23">
        <v>1</v>
      </c>
      <c r="EK23" s="11">
        <v>45470</v>
      </c>
      <c r="EL23" s="16">
        <v>1.8</v>
      </c>
      <c r="EM23" s="16">
        <v>-1.94</v>
      </c>
      <c r="EN23" s="16">
        <v>0.17</v>
      </c>
      <c r="EO23" s="16">
        <v>0.23</v>
      </c>
      <c r="EP23" s="16">
        <v>-2.87</v>
      </c>
    </row>
    <row r="24" spans="1:146" ht="108" x14ac:dyDescent="0.25">
      <c r="A24" s="7"/>
      <c r="B24" s="7"/>
      <c r="C24" s="7" t="str">
        <f>""&amp;CHAR(10)&amp;Basic_Fundamental_Information_Constructure(F24)&amp;CHAR(10)&amp;Basic_Fundamental_Information_Concatenate("")</f>
        <v xml:space="preserve">
市值138.2903亿, 利润1.37亿; PE5.13; 平均PE8.51; 平均PEG.83, PB.558; ROIC0%; ROE10.4167%; 股利率5.916%; 毛利0%; 净利44.7933%; 上一年度营收增-88.94%, 利润增-94.53%; 当季营收增1072.44%, 利润增1098.28%; 过往5年营收增-10.29%, 利润增-6.41%
Income profile:
</v>
      </c>
      <c r="D24" t="s">
        <v>214</v>
      </c>
      <c r="E24" t="s">
        <v>215</v>
      </c>
      <c r="F24">
        <v>5.24</v>
      </c>
      <c r="G24">
        <v>-2.06</v>
      </c>
      <c r="H24" t="s">
        <v>1082</v>
      </c>
      <c r="I24">
        <v>13829030000</v>
      </c>
      <c r="J24">
        <v>5.13</v>
      </c>
      <c r="K24">
        <v>0.55800000000000005</v>
      </c>
      <c r="L24" t="s">
        <v>65</v>
      </c>
      <c r="M24" t="s">
        <v>1083</v>
      </c>
      <c r="N24" t="s">
        <v>1084</v>
      </c>
      <c r="O24" t="s">
        <v>1085</v>
      </c>
      <c r="P24">
        <v>3.69</v>
      </c>
      <c r="Q24" t="s">
        <v>1086</v>
      </c>
      <c r="R24">
        <v>752440000</v>
      </c>
      <c r="S24" s="5">
        <v>4.3499999999999997E-2</v>
      </c>
      <c r="T24" t="s">
        <v>1087</v>
      </c>
      <c r="U24">
        <v>1282478500</v>
      </c>
      <c r="V24">
        <v>2639127900</v>
      </c>
      <c r="W24">
        <v>12.5</v>
      </c>
      <c r="X24">
        <v>0</v>
      </c>
      <c r="Y24">
        <v>51.72</v>
      </c>
      <c r="Z24" t="s">
        <v>5</v>
      </c>
      <c r="AA24" t="s">
        <v>5</v>
      </c>
      <c r="AB24" t="s">
        <v>5</v>
      </c>
      <c r="AC24" t="s">
        <v>5</v>
      </c>
      <c r="AD24" t="s">
        <v>5</v>
      </c>
      <c r="AE24">
        <v>0</v>
      </c>
      <c r="AF24" t="s">
        <v>1088</v>
      </c>
      <c r="AG24" t="s">
        <v>1089</v>
      </c>
      <c r="AH24" t="s">
        <v>1090</v>
      </c>
      <c r="AI24" t="s">
        <v>5</v>
      </c>
      <c r="AJ24" t="s">
        <v>21</v>
      </c>
      <c r="AK24" t="s">
        <v>5</v>
      </c>
      <c r="AL24" t="s">
        <v>21</v>
      </c>
      <c r="AM24" t="s">
        <v>572</v>
      </c>
      <c r="AN24" t="s">
        <v>573</v>
      </c>
      <c r="AO24" t="s">
        <v>5</v>
      </c>
      <c r="AP24" t="s">
        <v>5</v>
      </c>
      <c r="AQ24" t="s">
        <v>5</v>
      </c>
      <c r="AR24" t="s">
        <v>5</v>
      </c>
      <c r="AS24" t="s">
        <v>5</v>
      </c>
      <c r="AT24" t="s">
        <v>5</v>
      </c>
      <c r="AU24" t="s">
        <v>1091</v>
      </c>
      <c r="AV24" t="s">
        <v>1092</v>
      </c>
      <c r="AW24" t="s">
        <v>195</v>
      </c>
      <c r="AX24" t="s">
        <v>1093</v>
      </c>
      <c r="AY24" t="s">
        <v>412</v>
      </c>
      <c r="AZ24" t="s">
        <v>216</v>
      </c>
      <c r="BA24" t="s">
        <v>218</v>
      </c>
      <c r="BB24" t="s">
        <v>219</v>
      </c>
      <c r="BC24" t="s">
        <v>1094</v>
      </c>
      <c r="BD24" t="s">
        <v>413</v>
      </c>
      <c r="BE24" t="s">
        <v>217</v>
      </c>
      <c r="BF24" t="s">
        <v>220</v>
      </c>
      <c r="BG24" t="s">
        <v>20</v>
      </c>
      <c r="BH24" t="s">
        <v>1095</v>
      </c>
      <c r="BI24" t="s">
        <v>571</v>
      </c>
      <c r="BJ24" t="s">
        <v>1093</v>
      </c>
      <c r="BK24" t="s">
        <v>1096</v>
      </c>
      <c r="BL24" t="s">
        <v>1097</v>
      </c>
      <c r="BM24" t="s">
        <v>1094</v>
      </c>
      <c r="BN24" t="s">
        <v>5</v>
      </c>
      <c r="BO24" t="s">
        <v>5</v>
      </c>
      <c r="BP24" t="s">
        <v>5</v>
      </c>
      <c r="BQ24">
        <v>8.89</v>
      </c>
      <c r="BR24">
        <v>11.38</v>
      </c>
      <c r="BS24">
        <v>10.98</v>
      </c>
      <c r="BT24" t="s">
        <v>1098</v>
      </c>
      <c r="BU24" t="s">
        <v>493</v>
      </c>
      <c r="BV24" t="s">
        <v>5</v>
      </c>
      <c r="BW24" t="s">
        <v>5</v>
      </c>
      <c r="BX24" t="s">
        <v>5</v>
      </c>
      <c r="BY24">
        <v>49.13</v>
      </c>
      <c r="BZ24">
        <v>43.62</v>
      </c>
      <c r="CA24">
        <v>41.63</v>
      </c>
      <c r="CB24">
        <v>-1.69</v>
      </c>
      <c r="CC24">
        <v>-7.26</v>
      </c>
      <c r="CD24" t="s">
        <v>1099</v>
      </c>
      <c r="CE24" t="s">
        <v>1100</v>
      </c>
      <c r="CF24" s="12">
        <v>10.724409448818898</v>
      </c>
      <c r="CG24" s="13">
        <v>10.982845248920661</v>
      </c>
      <c r="CH24" s="12">
        <v>-0.88939774036407471</v>
      </c>
      <c r="CI24" s="12">
        <v>0.10891654342412949</v>
      </c>
      <c r="CJ24" s="12">
        <v>-4.3196547776460648E-2</v>
      </c>
      <c r="CK24" s="12">
        <v>0.23220215737819672</v>
      </c>
      <c r="CL24" s="12">
        <v>7.716204971075058E-2</v>
      </c>
      <c r="CM24" s="13">
        <v>-0.94533121585845947</v>
      </c>
      <c r="CN24" s="13">
        <v>0.15537111461162567</v>
      </c>
      <c r="CO24" s="13">
        <v>0.18979695439338684</v>
      </c>
      <c r="CP24" s="13">
        <v>6.5458796918392181E-2</v>
      </c>
      <c r="CQ24" s="13">
        <v>0.21433651447296143</v>
      </c>
      <c r="CR24">
        <v>8.5058103536647884</v>
      </c>
      <c r="CS24">
        <v>0.82690904782540897</v>
      </c>
      <c r="CT24">
        <v>5.9160305343511448</v>
      </c>
      <c r="CU24" s="12">
        <v>-0.10286270752549172</v>
      </c>
      <c r="CV24" s="13">
        <v>-6.4073567092418668E-2</v>
      </c>
      <c r="CW24">
        <v>0.06</v>
      </c>
      <c r="CX24">
        <v>2500.2264963503649</v>
      </c>
      <c r="CY24" t="s">
        <v>1101</v>
      </c>
      <c r="CZ24">
        <v>-0.10286270752549172</v>
      </c>
      <c r="DA24">
        <v>833.40883211678829</v>
      </c>
      <c r="DB24" t="s">
        <v>1102</v>
      </c>
      <c r="DC24">
        <v>-9.7719572149217129E-2</v>
      </c>
      <c r="DD24">
        <v>416.70441605839414</v>
      </c>
      <c r="DE24" t="s">
        <v>1103</v>
      </c>
      <c r="DF24">
        <v>-9.0519182622432706E-2</v>
      </c>
      <c r="DG24">
        <v>250.02264963503649</v>
      </c>
      <c r="DH24" t="s">
        <v>1104</v>
      </c>
      <c r="DI24">
        <v>-8.2290166020393379E-2</v>
      </c>
      <c r="DJ24">
        <v>125.01132481751824</v>
      </c>
      <c r="DK24" t="s">
        <v>1105</v>
      </c>
      <c r="DL24">
        <v>-7.2003895267844203E-2</v>
      </c>
      <c r="DM24">
        <v>137000000</v>
      </c>
      <c r="DN24">
        <v>-0.10286270752549172</v>
      </c>
      <c r="DO24">
        <v>342531030000</v>
      </c>
      <c r="DP24">
        <v>0</v>
      </c>
      <c r="DQ24">
        <v>3686</v>
      </c>
      <c r="DR24">
        <v>10.827272156344391</v>
      </c>
      <c r="DS24">
        <v>11.046918816013079</v>
      </c>
      <c r="DT24" s="14">
        <v>-0.65666666666666662</v>
      </c>
      <c r="DU24">
        <v>4.9999999999999968E-2</v>
      </c>
      <c r="DV24">
        <v>-0.60666666666666669</v>
      </c>
      <c r="DW24">
        <v>-2.0726</v>
      </c>
      <c r="DX24">
        <v>0.39579835728952717</v>
      </c>
      <c r="DY24">
        <v>-2.0098589607392197</v>
      </c>
      <c r="DZ24">
        <v>2762</v>
      </c>
      <c r="EA24">
        <v>-2.0045301056390779</v>
      </c>
      <c r="EB24">
        <v>2</v>
      </c>
      <c r="EC24">
        <v>2.5058959817748885E-2</v>
      </c>
      <c r="ED24">
        <v>0.18453065499402282</v>
      </c>
      <c r="EE24" s="15">
        <v>2.0474999999999999</v>
      </c>
      <c r="EF24">
        <v>2.0463</v>
      </c>
      <c r="EG24">
        <v>26.135798357289527</v>
      </c>
      <c r="EH24" t="s">
        <v>717</v>
      </c>
      <c r="EI24">
        <v>0</v>
      </c>
      <c r="EJ24">
        <v>0</v>
      </c>
      <c r="EK24" s="11">
        <v>45470</v>
      </c>
      <c r="EL24" s="16">
        <v>0.71</v>
      </c>
      <c r="EM24" s="16">
        <v>-1.63</v>
      </c>
      <c r="EN24" s="16">
        <v>0.36</v>
      </c>
      <c r="EO24" s="16">
        <v>0.12</v>
      </c>
      <c r="EP24" s="16">
        <v>-0.12</v>
      </c>
    </row>
    <row r="25" spans="1:146" ht="108" x14ac:dyDescent="0.25">
      <c r="A25" s="7"/>
      <c r="B25" s="7"/>
      <c r="C25" s="7" t="str">
        <f>""&amp;CHAR(10)&amp;Basic_Fundamental_Information_Constructure(F25)&amp;CHAR(10)&amp;Basic_Fundamental_Information_Concatenate("")</f>
        <v xml:space="preserve">
市值1029.98375亿, 利润19.48亿; PE4.55; 平均PE5.86; 平均PEG.83, PB.457; ROIC0%; ROE10.3833%; 股利率6.3448%; 毛利0%; 净利41.9767%; 上一年度营收增14.46%, 利润增-91.26%; 当季营收增.74%, 利润增2120.33%; 过往5年营收增7.02%, 利润增-13.84%
Income profile:
</v>
      </c>
      <c r="D25" t="s">
        <v>221</v>
      </c>
      <c r="E25" t="s">
        <v>222</v>
      </c>
      <c r="F25">
        <v>7.25</v>
      </c>
      <c r="G25">
        <v>-1.63</v>
      </c>
      <c r="H25" t="s">
        <v>1106</v>
      </c>
      <c r="I25">
        <v>102998375000</v>
      </c>
      <c r="J25">
        <v>4.55</v>
      </c>
      <c r="K25">
        <v>0.45700000000000002</v>
      </c>
      <c r="L25" t="s">
        <v>65</v>
      </c>
      <c r="M25" t="s">
        <v>1107</v>
      </c>
      <c r="N25" t="s">
        <v>1108</v>
      </c>
      <c r="O25" t="s">
        <v>1109</v>
      </c>
      <c r="P25">
        <v>-0.92</v>
      </c>
      <c r="Q25" t="s">
        <v>1110</v>
      </c>
      <c r="R25">
        <v>6150324000</v>
      </c>
      <c r="S25" s="5">
        <v>1.77E-2</v>
      </c>
      <c r="T25" t="s">
        <v>1111</v>
      </c>
      <c r="U25">
        <v>13847622000</v>
      </c>
      <c r="V25">
        <v>14206672000</v>
      </c>
      <c r="W25">
        <v>12.84</v>
      </c>
      <c r="X25">
        <v>0</v>
      </c>
      <c r="Y25">
        <v>46.99</v>
      </c>
      <c r="Z25" t="s">
        <v>5</v>
      </c>
      <c r="AA25" t="s">
        <v>5</v>
      </c>
      <c r="AB25" t="s">
        <v>5</v>
      </c>
      <c r="AC25" t="s">
        <v>5</v>
      </c>
      <c r="AD25" t="s">
        <v>5</v>
      </c>
      <c r="AE25">
        <v>0</v>
      </c>
      <c r="AF25" t="s">
        <v>1112</v>
      </c>
      <c r="AG25" t="s">
        <v>1113</v>
      </c>
      <c r="AH25" t="s">
        <v>1114</v>
      </c>
      <c r="AI25" t="s">
        <v>5</v>
      </c>
      <c r="AJ25" t="s">
        <v>21</v>
      </c>
      <c r="AK25" t="s">
        <v>5</v>
      </c>
      <c r="AL25" t="s">
        <v>21</v>
      </c>
      <c r="AM25" t="s">
        <v>1115</v>
      </c>
      <c r="AN25" t="s">
        <v>5</v>
      </c>
      <c r="AO25" t="s">
        <v>5</v>
      </c>
      <c r="AP25" t="s">
        <v>5</v>
      </c>
      <c r="AQ25" t="s">
        <v>5</v>
      </c>
      <c r="AR25" t="s">
        <v>5</v>
      </c>
      <c r="AS25" t="s">
        <v>5</v>
      </c>
      <c r="AT25" t="s">
        <v>5</v>
      </c>
      <c r="AU25" t="s">
        <v>1116</v>
      </c>
      <c r="AV25" t="s">
        <v>1117</v>
      </c>
      <c r="AW25" t="s">
        <v>1118</v>
      </c>
      <c r="AX25" t="s">
        <v>1119</v>
      </c>
      <c r="AY25" t="s">
        <v>414</v>
      </c>
      <c r="AZ25" t="s">
        <v>223</v>
      </c>
      <c r="BA25" t="s">
        <v>225</v>
      </c>
      <c r="BB25" t="s">
        <v>226</v>
      </c>
      <c r="BC25" t="s">
        <v>1120</v>
      </c>
      <c r="BD25" t="s">
        <v>415</v>
      </c>
      <c r="BE25" t="s">
        <v>224</v>
      </c>
      <c r="BF25" t="s">
        <v>227</v>
      </c>
      <c r="BG25" t="s">
        <v>228</v>
      </c>
      <c r="BH25" t="s">
        <v>1121</v>
      </c>
      <c r="BI25" t="s">
        <v>1122</v>
      </c>
      <c r="BJ25" t="s">
        <v>1119</v>
      </c>
      <c r="BK25" t="s">
        <v>1123</v>
      </c>
      <c r="BL25" t="s">
        <v>1124</v>
      </c>
      <c r="BM25" t="s">
        <v>1120</v>
      </c>
      <c r="BN25" t="s">
        <v>5</v>
      </c>
      <c r="BO25" t="s">
        <v>5</v>
      </c>
      <c r="BP25" t="s">
        <v>5</v>
      </c>
      <c r="BQ25">
        <v>8.35</v>
      </c>
      <c r="BR25">
        <v>11</v>
      </c>
      <c r="BS25">
        <v>11.8</v>
      </c>
      <c r="BT25" t="s">
        <v>1125</v>
      </c>
      <c r="BU25" t="s">
        <v>493</v>
      </c>
      <c r="BV25" t="s">
        <v>5</v>
      </c>
      <c r="BW25" t="s">
        <v>5</v>
      </c>
      <c r="BX25" t="s">
        <v>5</v>
      </c>
      <c r="BY25">
        <v>44.64</v>
      </c>
      <c r="BZ25">
        <v>42.02</v>
      </c>
      <c r="CA25">
        <v>39.270000000000003</v>
      </c>
      <c r="CB25">
        <v>-0.14000000000000001</v>
      </c>
      <c r="CC25">
        <v>-2.5499999999999998</v>
      </c>
      <c r="CD25" t="s">
        <v>1126</v>
      </c>
      <c r="CE25" t="s">
        <v>1127</v>
      </c>
      <c r="CF25" s="12">
        <v>7.385751654100779E-3</v>
      </c>
      <c r="CG25" s="13">
        <v>21.203335740072202</v>
      </c>
      <c r="CH25" s="12">
        <v>0.14460009336471558</v>
      </c>
      <c r="CI25" s="12">
        <v>-5.5450793355703354E-2</v>
      </c>
      <c r="CJ25" s="12">
        <v>0.10806761682033539</v>
      </c>
      <c r="CK25" s="12">
        <v>1.89959816634655E-2</v>
      </c>
      <c r="CL25" s="12">
        <v>0.13470648229122162</v>
      </c>
      <c r="CM25" s="13">
        <v>-0.91256731748580933</v>
      </c>
      <c r="CN25" s="13">
        <v>1.0797574184834957E-2</v>
      </c>
      <c r="CO25" s="13">
        <v>5.5398572236299515E-2</v>
      </c>
      <c r="CP25" s="13">
        <v>2.8919095173478127E-2</v>
      </c>
      <c r="CQ25" s="13">
        <v>0.12554067373275757</v>
      </c>
      <c r="CR25">
        <v>5.8584493823883506</v>
      </c>
      <c r="CS25">
        <v>0.8347286731925756</v>
      </c>
      <c r="CT25">
        <v>6.3448275862068959</v>
      </c>
      <c r="CU25" s="12">
        <v>7.0183876156806949E-2</v>
      </c>
      <c r="CV25" s="13">
        <v>-0.13838228043168782</v>
      </c>
      <c r="CW25">
        <v>0.06</v>
      </c>
      <c r="CX25">
        <v>1374.7690935934927</v>
      </c>
      <c r="CY25">
        <v>1966715274.2957168</v>
      </c>
      <c r="CZ25">
        <v>7.0183876156806949E-2</v>
      </c>
      <c r="DA25">
        <v>456.88099785469899</v>
      </c>
      <c r="DB25">
        <v>5917907261.8377485</v>
      </c>
      <c r="DC25">
        <v>6.6674682348966605E-2</v>
      </c>
      <c r="DD25">
        <v>229.98789425074941</v>
      </c>
      <c r="DE25">
        <v>11756181271.228756</v>
      </c>
      <c r="DF25">
        <v>6.1761811017990116E-2</v>
      </c>
      <c r="DG25">
        <v>141.59781138843229</v>
      </c>
      <c r="DH25">
        <v>19094782246.195671</v>
      </c>
      <c r="DI25">
        <v>5.6147100925445559E-2</v>
      </c>
      <c r="DJ25">
        <v>77.195988621861574</v>
      </c>
      <c r="DK25">
        <v>35024868821.154022</v>
      </c>
      <c r="DL25">
        <v>4.9128713309764864E-2</v>
      </c>
      <c r="DM25">
        <v>1948000000</v>
      </c>
      <c r="DN25">
        <v>7.0183876156806949E-2</v>
      </c>
      <c r="DO25">
        <v>2703779375000</v>
      </c>
      <c r="DP25">
        <v>0</v>
      </c>
      <c r="DQ25">
        <v>3700</v>
      </c>
      <c r="DR25">
        <v>-6.2798124502706165E-2</v>
      </c>
      <c r="DS25">
        <v>21.34171802050389</v>
      </c>
      <c r="DT25" s="14">
        <v>-0.44</v>
      </c>
      <c r="DU25">
        <v>-0.33333333333333331</v>
      </c>
      <c r="DV25">
        <v>-0.77333333333333332</v>
      </c>
      <c r="DW25">
        <v>-1.0255000000000001</v>
      </c>
      <c r="DX25">
        <v>0.39857142857142791</v>
      </c>
      <c r="DY25">
        <v>-1.0035335714285714</v>
      </c>
      <c r="DZ25">
        <v>1964</v>
      </c>
      <c r="EA25">
        <v>-1.0021754629577857</v>
      </c>
      <c r="EB25">
        <v>1</v>
      </c>
      <c r="EC25">
        <v>1.3655555643151331E-2</v>
      </c>
      <c r="ED25">
        <v>9.8545246909339496E-2</v>
      </c>
      <c r="EE25" s="15">
        <v>6.7799999999999999E-2</v>
      </c>
      <c r="EF25">
        <v>5.7999999999999996E-2</v>
      </c>
      <c r="EG25">
        <v>26.138571428571428</v>
      </c>
      <c r="EH25" t="s">
        <v>497</v>
      </c>
      <c r="EI25">
        <v>0</v>
      </c>
      <c r="EJ25">
        <v>0</v>
      </c>
      <c r="EK25" s="11">
        <v>45470</v>
      </c>
      <c r="EL25" s="16">
        <v>0.33</v>
      </c>
      <c r="EM25" s="16">
        <v>-0.97</v>
      </c>
      <c r="EN25" s="16">
        <v>0.33</v>
      </c>
      <c r="EO25" s="16">
        <v>0.33</v>
      </c>
      <c r="EP25" s="16">
        <v>-0.98</v>
      </c>
    </row>
    <row r="26" spans="1:146" ht="168" x14ac:dyDescent="0.25">
      <c r="A26" s="7"/>
      <c r="B26" s="7"/>
      <c r="C26" s="7" t="str">
        <f>"公司是一家金融服务商业银行,公司主要业务包括公司银行业务、个人银行业务、资金业务及其他,"&amp;CHAR(10)&amp;Basic_Fundamental_Information_Constructure(F26)&amp;CHAR(10)&amp;Basic_Fundamental_Information_Concatenate("利息收入 5427.73亿 85.28%
手续费及佣金收入 562.27亿 8.83%
其他业务收入 270.75亿 4.25%
投资损益 80.07亿 1.26%
公允价值变动损益 47.51亿 0.75% ")</f>
        <v xml:space="preserve">公司是一家金融服务商业银行,公司主要业务包括公司银行业务、个人银行业务、资金业务及其他,
市值15609.243亿, 利润49.23亿; PE5.82; 平均PE8.24; 平均PEG.5, PB.632; ROIC0%; ROE10.4633%; 股利率5.1771%; 毛利0%; 净利36.0433%; 上一年度营收增-97.38%, 利润增-98.1%; 当季营收增3986.58%, 利润增5490.63%; 过往5年营收增-16.36%, 利润增-14.5%
Income profile:
利息收入 5427.73亿 85.28%
手续费及佣金收入 562.27亿 8.83%
其他业务收入 270.75亿 4.25%
投资损益 80.07亿 1.26%
公允价值变动损益 47.51亿 0.75% </v>
      </c>
      <c r="D26" t="s">
        <v>229</v>
      </c>
      <c r="E26" t="s">
        <v>230</v>
      </c>
      <c r="F26">
        <v>4.46</v>
      </c>
      <c r="G26">
        <v>-1.55</v>
      </c>
      <c r="H26" t="s">
        <v>1128</v>
      </c>
      <c r="I26">
        <v>1560924300000</v>
      </c>
      <c r="J26">
        <v>5.82</v>
      </c>
      <c r="K26">
        <v>0.63200000000000001</v>
      </c>
      <c r="L26" t="s">
        <v>65</v>
      </c>
      <c r="M26" t="s">
        <v>1129</v>
      </c>
      <c r="N26" t="s">
        <v>1130</v>
      </c>
      <c r="O26" t="s">
        <v>1131</v>
      </c>
      <c r="P26">
        <v>-1.76</v>
      </c>
      <c r="Q26" t="s">
        <v>1132</v>
      </c>
      <c r="R26">
        <v>70386000000</v>
      </c>
      <c r="S26" s="5">
        <v>-1.6299999999999999E-2</v>
      </c>
      <c r="T26" t="s">
        <v>1133</v>
      </c>
      <c r="U26">
        <v>319244210000</v>
      </c>
      <c r="V26">
        <v>349983030000</v>
      </c>
      <c r="W26">
        <v>14.06</v>
      </c>
      <c r="X26">
        <v>0</v>
      </c>
      <c r="Y26">
        <v>38.08</v>
      </c>
      <c r="Z26" t="s">
        <v>5</v>
      </c>
      <c r="AA26" t="s">
        <v>5</v>
      </c>
      <c r="AB26" t="s">
        <v>5</v>
      </c>
      <c r="AC26" t="s">
        <v>5</v>
      </c>
      <c r="AD26" t="s">
        <v>5</v>
      </c>
      <c r="AE26">
        <v>0</v>
      </c>
      <c r="AF26" t="s">
        <v>1134</v>
      </c>
      <c r="AG26" t="s">
        <v>1135</v>
      </c>
      <c r="AH26" t="s">
        <v>1136</v>
      </c>
      <c r="AI26" t="s">
        <v>5</v>
      </c>
      <c r="AJ26" t="s">
        <v>21</v>
      </c>
      <c r="AK26" t="s">
        <v>5</v>
      </c>
      <c r="AL26" t="s">
        <v>21</v>
      </c>
      <c r="AM26" t="s">
        <v>1137</v>
      </c>
      <c r="AN26" t="s">
        <v>1138</v>
      </c>
      <c r="AO26" t="s">
        <v>5</v>
      </c>
      <c r="AP26" t="s">
        <v>5</v>
      </c>
      <c r="AQ26" t="s">
        <v>5</v>
      </c>
      <c r="AR26" t="s">
        <v>5</v>
      </c>
      <c r="AS26" t="s">
        <v>5</v>
      </c>
      <c r="AT26" t="s">
        <v>5</v>
      </c>
      <c r="AU26" t="s">
        <v>1139</v>
      </c>
      <c r="AV26" t="s">
        <v>1140</v>
      </c>
      <c r="AW26" t="s">
        <v>1141</v>
      </c>
      <c r="AX26" t="s">
        <v>1142</v>
      </c>
      <c r="AY26" t="s">
        <v>416</v>
      </c>
      <c r="AZ26" t="s">
        <v>231</v>
      </c>
      <c r="BA26" t="s">
        <v>233</v>
      </c>
      <c r="BB26" t="s">
        <v>234</v>
      </c>
      <c r="BC26" t="s">
        <v>1143</v>
      </c>
      <c r="BD26" t="s">
        <v>417</v>
      </c>
      <c r="BE26" t="s">
        <v>232</v>
      </c>
      <c r="BF26" t="s">
        <v>235</v>
      </c>
      <c r="BG26" t="s">
        <v>236</v>
      </c>
      <c r="BH26" t="s">
        <v>1144</v>
      </c>
      <c r="BI26" t="s">
        <v>1145</v>
      </c>
      <c r="BJ26" t="s">
        <v>1142</v>
      </c>
      <c r="BK26" t="s">
        <v>1146</v>
      </c>
      <c r="BL26" t="s">
        <v>1147</v>
      </c>
      <c r="BM26" t="s">
        <v>1143</v>
      </c>
      <c r="BN26" t="s">
        <v>5</v>
      </c>
      <c r="BO26" t="s">
        <v>5</v>
      </c>
      <c r="BP26" t="s">
        <v>5</v>
      </c>
      <c r="BQ26">
        <v>8.5399999999999991</v>
      </c>
      <c r="BR26">
        <v>11.28</v>
      </c>
      <c r="BS26">
        <v>11.57</v>
      </c>
      <c r="BT26" t="s">
        <v>1148</v>
      </c>
      <c r="BU26" t="s">
        <v>498</v>
      </c>
      <c r="BV26" t="s">
        <v>5</v>
      </c>
      <c r="BW26" t="s">
        <v>5</v>
      </c>
      <c r="BX26" t="s">
        <v>5</v>
      </c>
      <c r="BY26">
        <v>38.83</v>
      </c>
      <c r="BZ26">
        <v>35.69</v>
      </c>
      <c r="CA26">
        <v>33.61</v>
      </c>
      <c r="CB26">
        <v>2.29</v>
      </c>
      <c r="CC26">
        <v>6.98</v>
      </c>
      <c r="CD26" t="s">
        <v>1149</v>
      </c>
      <c r="CE26" t="s">
        <v>1150</v>
      </c>
      <c r="CF26" s="12">
        <v>39.865773286467487</v>
      </c>
      <c r="CG26" s="13">
        <v>54.906274821286736</v>
      </c>
      <c r="CH26" s="12">
        <v>-0.9738386869430542</v>
      </c>
      <c r="CI26" s="12">
        <v>-3.5091660916805267E-2</v>
      </c>
      <c r="CJ26" s="12">
        <v>9.4160594046115875E-2</v>
      </c>
      <c r="CK26" s="12">
        <v>4.8931237310171127E-2</v>
      </c>
      <c r="CL26" s="12">
        <v>4.7912746667861938E-2</v>
      </c>
      <c r="CM26" s="13">
        <v>-0.98100930452346802</v>
      </c>
      <c r="CN26" s="13">
        <v>7.4835322797298431E-2</v>
      </c>
      <c r="CO26" s="13">
        <v>0.1169758066534996</v>
      </c>
      <c r="CP26" s="13">
        <v>1.8043503165245056E-2</v>
      </c>
      <c r="CQ26" s="13">
        <v>4.5935846865177155E-2</v>
      </c>
      <c r="CR26">
        <v>8.2432735639144337</v>
      </c>
      <c r="CS26">
        <v>0.50391330533394163</v>
      </c>
      <c r="CT26">
        <v>5.1771300448430502</v>
      </c>
      <c r="CU26" s="12">
        <v>-0.1635851539671421</v>
      </c>
      <c r="CV26" s="13">
        <v>-0.14504376500844957</v>
      </c>
      <c r="CW26">
        <v>0.06</v>
      </c>
      <c r="CX26">
        <v>7218.7331505179773</v>
      </c>
      <c r="CY26" t="s">
        <v>1151</v>
      </c>
      <c r="CZ26">
        <v>-0.1635851539671421</v>
      </c>
      <c r="DA26">
        <v>2406.2443835059921</v>
      </c>
      <c r="DB26" t="s">
        <v>1152</v>
      </c>
      <c r="DC26">
        <v>-0.15540589626878498</v>
      </c>
      <c r="DD26">
        <v>1203.1221917529961</v>
      </c>
      <c r="DE26" t="s">
        <v>1153</v>
      </c>
      <c r="DF26">
        <v>-0.14395493549108504</v>
      </c>
      <c r="DG26">
        <v>721.8733150517977</v>
      </c>
      <c r="DH26" t="s">
        <v>1154</v>
      </c>
      <c r="DI26">
        <v>-0.13086812317371369</v>
      </c>
      <c r="DJ26">
        <v>360.93665752589885</v>
      </c>
      <c r="DK26" t="s">
        <v>1155</v>
      </c>
      <c r="DL26">
        <v>-0.11450960777699946</v>
      </c>
      <c r="DM26">
        <v>4923000000</v>
      </c>
      <c r="DN26">
        <v>-0.1635851539671421</v>
      </c>
      <c r="DO26">
        <v>35537823300000</v>
      </c>
      <c r="DP26">
        <v>0</v>
      </c>
      <c r="DQ26">
        <v>3706</v>
      </c>
      <c r="DR26">
        <v>40.029358440434628</v>
      </c>
      <c r="DS26">
        <v>55.051318586295189</v>
      </c>
      <c r="DT26" s="14">
        <v>-0.77333333333333332</v>
      </c>
      <c r="DU26">
        <v>-0.33333333333333331</v>
      </c>
      <c r="DV26">
        <v>-1.1066666666666667</v>
      </c>
      <c r="DW26">
        <v>2.0697999999999999</v>
      </c>
      <c r="DX26">
        <v>0.47405033090650689</v>
      </c>
      <c r="DY26">
        <v>2.0121487130972739</v>
      </c>
      <c r="DZ26">
        <v>2882</v>
      </c>
      <c r="EA26">
        <v>2.00529693400797</v>
      </c>
      <c r="EB26">
        <v>2</v>
      </c>
      <c r="EC26">
        <v>5.197394856544902E-3</v>
      </c>
      <c r="ED26">
        <v>2.9861447853628788E-2</v>
      </c>
      <c r="EE26" s="15">
        <v>7.3810000000000001E-2</v>
      </c>
      <c r="EF26">
        <v>0.10921</v>
      </c>
      <c r="EG26">
        <v>30.174050330906507</v>
      </c>
      <c r="EH26">
        <v>-1</v>
      </c>
      <c r="EI26">
        <v>1</v>
      </c>
      <c r="EJ26">
        <v>0</v>
      </c>
      <c r="EK26" s="11">
        <v>45470</v>
      </c>
      <c r="EL26" s="16">
        <v>0.46</v>
      </c>
      <c r="EM26" s="16">
        <v>-9.91</v>
      </c>
      <c r="EN26" s="16">
        <v>-3.84</v>
      </c>
      <c r="EO26" s="16">
        <v>5.05</v>
      </c>
      <c r="EP26" s="16">
        <v>-3.54</v>
      </c>
    </row>
    <row r="27" spans="1:146" ht="204" x14ac:dyDescent="0.25">
      <c r="A27" s="7"/>
      <c r="B27" s="7"/>
      <c r="C27" s="7" t="str">
        <f>"公司主营业务为提供银行及相关金融服务，是中国主要金融服务供货商之一，业务范围涵盖了商业银行、证券、信托、金融租赁、基金管理、保险、离岸金融服务等"&amp;CHAR(10)&amp;Basic_Fundamental_Information_Constructure(F27)&amp;CHAR(10)&amp;Basic_Fundamental_Information_Concatenate("利息收入 2025.68亿 76.94%
手续费及佣金收入 270.72亿 10.28%
保险业务收入 135.19亿 5.13%
其他业务收入 91.21亿 3.46%
投资收益 82.65亿 3.14%
汇兑及汇率产品净收益 43.91亿 1.67% ")</f>
        <v xml:space="preserve">公司主营业务为提供银行及相关金融服务，是中国主要金融服务供货商之一，业务范围涵盖了商业银行、证券、信托、金融租赁、基金管理、保险、离岸金融服务等
市值5629.1147亿, 利润6.29亿; PE6.05; 平均PE8.25; 平均PEG.53, PB.599; ROIC0%; ROE9.4933%; 股利率4.9472%; 毛利0%; 净利34.31%; 上一年度营收增-98.46%, 利润增-99.32%; 当季营收增6341.79%, 利润增14512.87%; 过往5年营收增-15.7%, 利润增-15.2%
Income profile:
利息收入 2025.68亿 76.94%
手续费及佣金收入 270.72亿 10.28%
保险业务收入 135.19亿 5.13%
其他业务收入 91.21亿 3.46%
投资收益 82.65亿 3.14%
汇兑及汇率产品净收益 43.91亿 1.67% </v>
      </c>
      <c r="D27" t="s">
        <v>237</v>
      </c>
      <c r="E27" t="s">
        <v>238</v>
      </c>
      <c r="F27">
        <v>7.58</v>
      </c>
      <c r="G27">
        <v>-2.4500000000000002</v>
      </c>
      <c r="H27" t="s">
        <v>1156</v>
      </c>
      <c r="I27">
        <v>562911470000</v>
      </c>
      <c r="J27">
        <v>6.05</v>
      </c>
      <c r="K27">
        <v>0.59899999999999998</v>
      </c>
      <c r="L27" t="s">
        <v>65</v>
      </c>
      <c r="M27" t="s">
        <v>1157</v>
      </c>
      <c r="N27" t="s">
        <v>1158</v>
      </c>
      <c r="O27" t="s">
        <v>1159</v>
      </c>
      <c r="P27">
        <v>-0.03</v>
      </c>
      <c r="Q27" t="s">
        <v>1160</v>
      </c>
      <c r="R27">
        <v>24988000000</v>
      </c>
      <c r="S27" s="5">
        <v>1.44E-2</v>
      </c>
      <c r="T27" t="s">
        <v>1161</v>
      </c>
      <c r="U27">
        <v>39250864000</v>
      </c>
      <c r="V27">
        <v>74262727000</v>
      </c>
      <c r="W27">
        <v>12.65</v>
      </c>
      <c r="X27">
        <v>0</v>
      </c>
      <c r="Y27">
        <v>37.659999999999997</v>
      </c>
      <c r="Z27" t="s">
        <v>5</v>
      </c>
      <c r="AA27" t="s">
        <v>5</v>
      </c>
      <c r="AB27" t="s">
        <v>5</v>
      </c>
      <c r="AC27" t="s">
        <v>5</v>
      </c>
      <c r="AD27" t="s">
        <v>5</v>
      </c>
      <c r="AE27">
        <v>0</v>
      </c>
      <c r="AF27" t="s">
        <v>1162</v>
      </c>
      <c r="AG27" t="s">
        <v>574</v>
      </c>
      <c r="AH27" t="s">
        <v>1163</v>
      </c>
      <c r="AI27" t="s">
        <v>5</v>
      </c>
      <c r="AJ27" t="s">
        <v>21</v>
      </c>
      <c r="AK27" t="s">
        <v>5</v>
      </c>
      <c r="AL27" t="s">
        <v>21</v>
      </c>
      <c r="AM27" t="s">
        <v>1164</v>
      </c>
      <c r="AN27" t="s">
        <v>1165</v>
      </c>
      <c r="AO27" t="s">
        <v>5</v>
      </c>
      <c r="AP27" t="s">
        <v>5</v>
      </c>
      <c r="AQ27" t="s">
        <v>5</v>
      </c>
      <c r="AR27" t="s">
        <v>5</v>
      </c>
      <c r="AS27" t="s">
        <v>5</v>
      </c>
      <c r="AT27" t="s">
        <v>5</v>
      </c>
      <c r="AU27" t="s">
        <v>1166</v>
      </c>
      <c r="AV27" t="s">
        <v>1167</v>
      </c>
      <c r="AW27" t="s">
        <v>1168</v>
      </c>
      <c r="AX27" t="s">
        <v>1169</v>
      </c>
      <c r="AY27" t="s">
        <v>418</v>
      </c>
      <c r="AZ27" t="s">
        <v>239</v>
      </c>
      <c r="BA27" t="s">
        <v>241</v>
      </c>
      <c r="BB27" t="s">
        <v>242</v>
      </c>
      <c r="BC27" t="s">
        <v>1170</v>
      </c>
      <c r="BD27" t="s">
        <v>419</v>
      </c>
      <c r="BE27" t="s">
        <v>240</v>
      </c>
      <c r="BF27" t="s">
        <v>243</v>
      </c>
      <c r="BG27" t="s">
        <v>244</v>
      </c>
      <c r="BH27" t="s">
        <v>1171</v>
      </c>
      <c r="BI27" t="s">
        <v>197</v>
      </c>
      <c r="BJ27" t="s">
        <v>1169</v>
      </c>
      <c r="BK27" t="s">
        <v>1172</v>
      </c>
      <c r="BL27" t="s">
        <v>578</v>
      </c>
      <c r="BM27" t="s">
        <v>1170</v>
      </c>
      <c r="BN27" t="s">
        <v>5</v>
      </c>
      <c r="BO27" t="s">
        <v>5</v>
      </c>
      <c r="BP27" t="s">
        <v>5</v>
      </c>
      <c r="BQ27">
        <v>7.37</v>
      </c>
      <c r="BR27">
        <v>10.35</v>
      </c>
      <c r="BS27">
        <v>10.76</v>
      </c>
      <c r="BT27" t="s">
        <v>1173</v>
      </c>
      <c r="BU27" t="s">
        <v>498</v>
      </c>
      <c r="BV27" t="s">
        <v>5</v>
      </c>
      <c r="BW27" t="s">
        <v>5</v>
      </c>
      <c r="BX27" t="s">
        <v>5</v>
      </c>
      <c r="BY27">
        <v>36.200000000000003</v>
      </c>
      <c r="BZ27">
        <v>33.71</v>
      </c>
      <c r="CA27">
        <v>33.020000000000003</v>
      </c>
      <c r="CB27">
        <v>1.47</v>
      </c>
      <c r="CC27">
        <v>7.21</v>
      </c>
      <c r="CD27" t="s">
        <v>1174</v>
      </c>
      <c r="CE27" t="s">
        <v>1175</v>
      </c>
      <c r="CF27" s="12">
        <v>63.417867435158499</v>
      </c>
      <c r="CG27" s="13">
        <v>145.12865497076024</v>
      </c>
      <c r="CH27" s="12">
        <v>-0.98459476232528687</v>
      </c>
      <c r="CI27" s="12">
        <v>-4.6750079840421677E-2</v>
      </c>
      <c r="CJ27" s="12">
        <v>9.4191767275333405E-2</v>
      </c>
      <c r="CK27" s="12">
        <v>5.9052228927612305E-2</v>
      </c>
      <c r="CL27" s="12">
        <v>9.3193657696247101E-2</v>
      </c>
      <c r="CM27" s="13">
        <v>-0.99317061901092529</v>
      </c>
      <c r="CN27" s="13">
        <v>5.1620796322822571E-2</v>
      </c>
      <c r="CO27" s="13">
        <v>0.1189027801156044</v>
      </c>
      <c r="CP27" s="13">
        <v>1.2849231250584126E-2</v>
      </c>
      <c r="CQ27" s="13">
        <v>4.9585800617933273E-2</v>
      </c>
      <c r="CR27">
        <v>8.2478475300185341</v>
      </c>
      <c r="CS27">
        <v>0.52540272616397377</v>
      </c>
      <c r="CT27">
        <v>4.947229551451187</v>
      </c>
      <c r="CU27" s="12">
        <v>-0.15698143765330314</v>
      </c>
      <c r="CV27" s="13">
        <v>-0.15204240214079617</v>
      </c>
      <c r="CW27">
        <v>0.06</v>
      </c>
      <c r="CX27">
        <v>19710.835405405407</v>
      </c>
      <c r="CY27" t="s">
        <v>1176</v>
      </c>
      <c r="CZ27">
        <v>-0.15698143765330314</v>
      </c>
      <c r="DA27">
        <v>6570.2784684684684</v>
      </c>
      <c r="DB27" t="s">
        <v>1177</v>
      </c>
      <c r="DC27">
        <v>-0.14913236577063796</v>
      </c>
      <c r="DD27">
        <v>3285.1392342342342</v>
      </c>
      <c r="DE27" t="s">
        <v>1178</v>
      </c>
      <c r="DF27">
        <v>-0.13814366513490675</v>
      </c>
      <c r="DG27">
        <v>1971.0835405405405</v>
      </c>
      <c r="DH27" t="s">
        <v>1179</v>
      </c>
      <c r="DI27">
        <v>-0.12558515012264251</v>
      </c>
      <c r="DJ27">
        <v>985.54177027027026</v>
      </c>
      <c r="DK27" t="s">
        <v>1180</v>
      </c>
      <c r="DL27">
        <v>-0.10988700635731219</v>
      </c>
      <c r="DM27">
        <v>629000000</v>
      </c>
      <c r="DN27">
        <v>-0.15698143765330314</v>
      </c>
      <c r="DO27">
        <v>12398115470000</v>
      </c>
      <c r="DP27">
        <v>0</v>
      </c>
      <c r="DQ27">
        <v>3712</v>
      </c>
      <c r="DR27">
        <v>63.574848872811799</v>
      </c>
      <c r="DS27">
        <v>145.28069737290105</v>
      </c>
      <c r="DT27" s="14">
        <v>-0.77333333333333332</v>
      </c>
      <c r="DU27">
        <v>-0.55333333333333334</v>
      </c>
      <c r="DV27">
        <v>-1.3266666666666667</v>
      </c>
      <c r="DW27">
        <v>2.0720999999999998</v>
      </c>
      <c r="DX27">
        <v>0.48491488028173196</v>
      </c>
      <c r="DY27">
        <v>2.010448362868313</v>
      </c>
      <c r="DZ27">
        <v>1994</v>
      </c>
      <c r="EA27">
        <v>2.0063712521913235</v>
      </c>
      <c r="EB27">
        <v>2</v>
      </c>
      <c r="EC27">
        <v>8.9412283499904332E-3</v>
      </c>
      <c r="ED27">
        <v>6.1699861897072536E-2</v>
      </c>
      <c r="EE27" s="15">
        <v>5.6100000000000004E-3</v>
      </c>
      <c r="EF27">
        <v>1.201E-2</v>
      </c>
      <c r="EG27">
        <v>34.144914880281732</v>
      </c>
      <c r="EH27">
        <v>-1</v>
      </c>
      <c r="EI27">
        <v>1</v>
      </c>
      <c r="EJ27">
        <v>0</v>
      </c>
      <c r="EK27" s="11">
        <v>45470</v>
      </c>
      <c r="EL27" s="16">
        <v>0.32</v>
      </c>
      <c r="EM27" s="16">
        <v>-2.5499999999999998</v>
      </c>
      <c r="EN27" s="16">
        <v>1.31</v>
      </c>
      <c r="EO27" s="16">
        <v>0.32</v>
      </c>
      <c r="EP27" s="16">
        <v>-0.64</v>
      </c>
    </row>
    <row r="28" spans="1:146" ht="204" x14ac:dyDescent="0.25">
      <c r="A28" s="7"/>
      <c r="B28" s="7"/>
      <c r="C28" s="7" t="str">
        <f>"公司是一家主要从事公司和个人金融业务、资金业务、投资银行业务,并提供资产管理、信托、金融租赁及其他金融服务的商业银行,是目前中国最大的商业银行,本外币合计存贷款市场份额均占据国内25%左右.公司是目前全球市值最大、客户存款第一和盈利最多的银行."&amp;CHAR(10)&amp;Basic_Fundamental_Information_Constructure(F28)&amp;CHAR(10)&amp;Basic_Fundamental_Information_Concatenate("利息收入 6200.23亿 81.21%
手续费及佣金收入 836.49亿 10.96%
其他业务收入 434.04亿 5.68%
投资收益/(损失) 216.62亿 2.84% ")</f>
        <v xml:space="preserve">公司是一家主要从事公司和个人金融业务、资金业务、投资银行业务,并提供资产管理、信托、金融租赁及其他金融服务的商业银行,是目前中国最大的商业银行,本外币合计存贷款市场份额均占据国内25%左右.公司是目前全球市值最大、客户存款第一和盈利最多的银行.
市值20778.485亿, 利润4.31亿; PE5.75; 平均PE7.62; 平均PEG.45, PB.593; ROIC0%; ROE10.5%; 股利率5.2556%; 毛利0%; 净利39.93%; 上一年度营收增-98.71%, 利润增-99.88%; 当季营收增8444.23%, 利润增107647.21%; 过往5年营收增-17.06%, 利润增-15.97%
Income profile:
利息收入 6200.23亿 81.21%
手续费及佣金收入 836.49亿 10.96%
其他业务收入 434.04亿 5.68%
投资收益/(损失) 216.62亿 2.84% </v>
      </c>
      <c r="D28" t="s">
        <v>245</v>
      </c>
      <c r="E28" t="s">
        <v>246</v>
      </c>
      <c r="F28">
        <v>5.83</v>
      </c>
      <c r="G28">
        <v>-2.1800000000000002</v>
      </c>
      <c r="H28" t="s">
        <v>1181</v>
      </c>
      <c r="I28">
        <v>2077848500000</v>
      </c>
      <c r="J28">
        <v>5.75</v>
      </c>
      <c r="K28">
        <v>0.59299999999999997</v>
      </c>
      <c r="L28" t="s">
        <v>65</v>
      </c>
      <c r="M28" t="s">
        <v>1182</v>
      </c>
      <c r="N28" t="s">
        <v>1183</v>
      </c>
      <c r="O28" t="s">
        <v>1184</v>
      </c>
      <c r="P28">
        <v>-3.41</v>
      </c>
      <c r="Q28" t="s">
        <v>1185</v>
      </c>
      <c r="R28">
        <v>87653000000</v>
      </c>
      <c r="S28" s="5">
        <v>-2.7799999999999998E-2</v>
      </c>
      <c r="T28" t="s">
        <v>1186</v>
      </c>
      <c r="U28">
        <v>269612210000</v>
      </c>
      <c r="V28">
        <v>356406260000</v>
      </c>
      <c r="W28">
        <v>12.28</v>
      </c>
      <c r="X28">
        <v>0</v>
      </c>
      <c r="Y28">
        <v>40.06</v>
      </c>
      <c r="Z28" t="s">
        <v>5</v>
      </c>
      <c r="AA28" t="s">
        <v>5</v>
      </c>
      <c r="AB28" t="s">
        <v>5</v>
      </c>
      <c r="AC28" t="s">
        <v>5</v>
      </c>
      <c r="AD28" t="s">
        <v>5</v>
      </c>
      <c r="AE28">
        <v>0</v>
      </c>
      <c r="AF28" t="s">
        <v>1187</v>
      </c>
      <c r="AG28" t="s">
        <v>1188</v>
      </c>
      <c r="AH28" t="s">
        <v>1189</v>
      </c>
      <c r="AI28" t="s">
        <v>5</v>
      </c>
      <c r="AJ28" t="s">
        <v>21</v>
      </c>
      <c r="AK28" t="s">
        <v>5</v>
      </c>
      <c r="AL28" t="s">
        <v>21</v>
      </c>
      <c r="AM28" t="s">
        <v>1190</v>
      </c>
      <c r="AN28" t="s">
        <v>1191</v>
      </c>
      <c r="AO28" t="s">
        <v>5</v>
      </c>
      <c r="AP28" t="s">
        <v>5</v>
      </c>
      <c r="AQ28" t="s">
        <v>5</v>
      </c>
      <c r="AR28" t="s">
        <v>5</v>
      </c>
      <c r="AS28" t="s">
        <v>5</v>
      </c>
      <c r="AT28" t="s">
        <v>5</v>
      </c>
      <c r="AU28" t="s">
        <v>1192</v>
      </c>
      <c r="AV28" t="s">
        <v>1193</v>
      </c>
      <c r="AW28" t="s">
        <v>1194</v>
      </c>
      <c r="AX28" t="s">
        <v>1195</v>
      </c>
      <c r="AY28" t="s">
        <v>420</v>
      </c>
      <c r="AZ28" t="s">
        <v>247</v>
      </c>
      <c r="BA28" t="s">
        <v>249</v>
      </c>
      <c r="BB28" t="s">
        <v>250</v>
      </c>
      <c r="BC28" t="s">
        <v>1196</v>
      </c>
      <c r="BD28" t="s">
        <v>421</v>
      </c>
      <c r="BE28" t="s">
        <v>248</v>
      </c>
      <c r="BF28" t="s">
        <v>251</v>
      </c>
      <c r="BG28" t="s">
        <v>252</v>
      </c>
      <c r="BH28" t="s">
        <v>1197</v>
      </c>
      <c r="BI28" t="s">
        <v>1198</v>
      </c>
      <c r="BJ28" t="s">
        <v>1195</v>
      </c>
      <c r="BK28" t="s">
        <v>1199</v>
      </c>
      <c r="BL28" t="s">
        <v>1200</v>
      </c>
      <c r="BM28" t="s">
        <v>1196</v>
      </c>
      <c r="BN28" t="s">
        <v>5</v>
      </c>
      <c r="BO28" t="s">
        <v>5</v>
      </c>
      <c r="BP28" t="s">
        <v>5</v>
      </c>
      <c r="BQ28">
        <v>7.92</v>
      </c>
      <c r="BR28">
        <v>11.43</v>
      </c>
      <c r="BS28">
        <v>12.15</v>
      </c>
      <c r="BT28" t="s">
        <v>1201</v>
      </c>
      <c r="BU28" t="s">
        <v>498</v>
      </c>
      <c r="BV28" t="s">
        <v>5</v>
      </c>
      <c r="BW28" t="s">
        <v>5</v>
      </c>
      <c r="BX28" t="s">
        <v>5</v>
      </c>
      <c r="BY28">
        <v>43.31</v>
      </c>
      <c r="BZ28">
        <v>39.33</v>
      </c>
      <c r="CA28">
        <v>37.15</v>
      </c>
      <c r="CB28">
        <v>2.2799999999999998</v>
      </c>
      <c r="CC28">
        <v>6.19</v>
      </c>
      <c r="CD28" t="s">
        <v>1202</v>
      </c>
      <c r="CE28" t="s">
        <v>1203</v>
      </c>
      <c r="CF28" s="12">
        <v>84.442285270112691</v>
      </c>
      <c r="CG28" s="13">
        <v>1076.4720776490892</v>
      </c>
      <c r="CH28" s="12">
        <v>-0.98714452981948853</v>
      </c>
      <c r="CI28" s="12">
        <v>-7.1097470819950104E-2</v>
      </c>
      <c r="CJ28" s="12">
        <v>6.8085819482803345E-2</v>
      </c>
      <c r="CK28" s="12">
        <v>3.1840231269598007E-2</v>
      </c>
      <c r="CL28" s="12">
        <v>0.10550548136234283</v>
      </c>
      <c r="CM28" s="13">
        <v>-0.99880653619766235</v>
      </c>
      <c r="CN28" s="13">
        <v>3.6728706210851669E-2</v>
      </c>
      <c r="CO28" s="13">
        <v>0.10266344249248505</v>
      </c>
      <c r="CP28" s="13">
        <v>1.1792845092713833E-2</v>
      </c>
      <c r="CQ28" s="13">
        <v>4.8871845006942749E-2</v>
      </c>
      <c r="CR28">
        <v>7.621836306869139</v>
      </c>
      <c r="CS28">
        <v>0.44686578015713213</v>
      </c>
      <c r="CT28">
        <v>5.2555746140651802</v>
      </c>
      <c r="CU28" s="12">
        <v>-0.17056209370493888</v>
      </c>
      <c r="CV28" s="13">
        <v>-0.15974993947893382</v>
      </c>
      <c r="CW28">
        <v>0.06</v>
      </c>
      <c r="CX28">
        <v>90769.662412993042</v>
      </c>
      <c r="CY28" t="s">
        <v>1204</v>
      </c>
      <c r="CZ28">
        <v>-0.17056209370493888</v>
      </c>
      <c r="DA28">
        <v>30256.554137664345</v>
      </c>
      <c r="DB28" t="s">
        <v>1205</v>
      </c>
      <c r="DC28">
        <v>-0.16203398901969193</v>
      </c>
      <c r="DD28">
        <v>15128.277068832173</v>
      </c>
      <c r="DE28" t="s">
        <v>1206</v>
      </c>
      <c r="DF28">
        <v>-0.15009464246034621</v>
      </c>
      <c r="DG28">
        <v>9076.9662412993039</v>
      </c>
      <c r="DH28" t="s">
        <v>1207</v>
      </c>
      <c r="DI28">
        <v>-0.13644967496395111</v>
      </c>
      <c r="DJ28">
        <v>4538.4831206496519</v>
      </c>
      <c r="DK28" t="s">
        <v>1208</v>
      </c>
      <c r="DL28">
        <v>-0.1193934655934572</v>
      </c>
      <c r="DM28">
        <v>430999999.99999994</v>
      </c>
      <c r="DN28">
        <v>-0.17056209370493888</v>
      </c>
      <c r="DO28">
        <v>39121724500000</v>
      </c>
      <c r="DP28">
        <v>0</v>
      </c>
      <c r="DQ28">
        <v>3725</v>
      </c>
      <c r="DR28">
        <v>84.612847363817636</v>
      </c>
      <c r="DS28">
        <v>1076.6318275885681</v>
      </c>
      <c r="DT28" s="14">
        <v>-0.77333333333333332</v>
      </c>
      <c r="DU28">
        <v>-0.55333333333333334</v>
      </c>
      <c r="DV28">
        <v>-1.3266666666666667</v>
      </c>
      <c r="DW28">
        <v>2.0619000000000001</v>
      </c>
      <c r="DX28">
        <v>0.52749681187298569</v>
      </c>
      <c r="DY28">
        <v>2.012844052654938</v>
      </c>
      <c r="DZ28">
        <v>2302</v>
      </c>
      <c r="EA28">
        <v>2.0070579451771167</v>
      </c>
      <c r="EB28">
        <v>2</v>
      </c>
      <c r="EC28">
        <v>4.5818499372036834E-3</v>
      </c>
      <c r="ED28">
        <v>2.2081542563253519E-2</v>
      </c>
      <c r="EE28" s="15">
        <v>4.0201099999999999</v>
      </c>
      <c r="EF28">
        <v>4.0232099999999997</v>
      </c>
      <c r="EG28">
        <v>32.207496811872986</v>
      </c>
      <c r="EH28" t="s">
        <v>1209</v>
      </c>
      <c r="EI28">
        <v>1</v>
      </c>
      <c r="EJ28">
        <v>0</v>
      </c>
      <c r="EK28" s="11">
        <v>45470</v>
      </c>
      <c r="EL28" s="16">
        <v>0.93</v>
      </c>
      <c r="EM28" s="16">
        <v>-1.38</v>
      </c>
      <c r="EN28" s="16">
        <v>0.62</v>
      </c>
      <c r="EO28" s="16">
        <v>-0.31</v>
      </c>
      <c r="EP28" s="16">
        <v>-0.31</v>
      </c>
    </row>
    <row r="29" spans="1:146" ht="108" x14ac:dyDescent="0.25">
      <c r="A29" s="7"/>
      <c r="B29" s="7"/>
      <c r="C29" s="7" t="str">
        <f>""&amp;CHAR(10)&amp;Basic_Fundamental_Information_Constructure(F29)&amp;CHAR(10)&amp;Basic_Fundamental_Information_Concatenate("")</f>
        <v xml:space="preserve">
市值92.221586亿, 利润20.02亿; PE5.19; 平均PE7; 平均PEG.14, PB.538; ROIC0%; ROE9.7467%; 股利率3.8298%; 毛利0%; 净利43.0333%; 上一年度营收增220.03%, 利润增31.02%; 当季营收增-53.19%, 利润增-31.78%; 过往5年营收增50.01%, 利润增16.08%
Income profile:
</v>
      </c>
      <c r="D29" t="s">
        <v>253</v>
      </c>
      <c r="E29" t="s">
        <v>254</v>
      </c>
      <c r="F29">
        <v>4.7</v>
      </c>
      <c r="G29">
        <v>-1.67</v>
      </c>
      <c r="H29" t="s">
        <v>1210</v>
      </c>
      <c r="I29">
        <v>9222158600</v>
      </c>
      <c r="J29">
        <v>5.19</v>
      </c>
      <c r="K29">
        <v>0.53800000000000003</v>
      </c>
      <c r="L29" t="s">
        <v>65</v>
      </c>
      <c r="M29" t="s">
        <v>1211</v>
      </c>
      <c r="N29" t="s">
        <v>1212</v>
      </c>
      <c r="O29" t="s">
        <v>1213</v>
      </c>
      <c r="P29">
        <v>15.32</v>
      </c>
      <c r="Q29" t="s">
        <v>1214</v>
      </c>
      <c r="R29">
        <v>397694000</v>
      </c>
      <c r="S29" s="5">
        <v>0.1469</v>
      </c>
      <c r="T29" t="s">
        <v>1215</v>
      </c>
      <c r="U29">
        <v>1705442200</v>
      </c>
      <c r="V29">
        <v>1962161400</v>
      </c>
      <c r="W29">
        <v>11.88</v>
      </c>
      <c r="X29">
        <v>0.01</v>
      </c>
      <c r="Y29">
        <v>38.06</v>
      </c>
      <c r="Z29" t="s">
        <v>5</v>
      </c>
      <c r="AA29" t="s">
        <v>5</v>
      </c>
      <c r="AB29" t="s">
        <v>5</v>
      </c>
      <c r="AC29" t="s">
        <v>5</v>
      </c>
      <c r="AD29" t="s">
        <v>5</v>
      </c>
      <c r="AE29">
        <v>0</v>
      </c>
      <c r="AF29" t="s">
        <v>1216</v>
      </c>
      <c r="AG29" t="s">
        <v>1217</v>
      </c>
      <c r="AH29" t="s">
        <v>1218</v>
      </c>
      <c r="AI29" t="s">
        <v>5</v>
      </c>
      <c r="AJ29" t="s">
        <v>21</v>
      </c>
      <c r="AK29" t="s">
        <v>5</v>
      </c>
      <c r="AL29" t="s">
        <v>21</v>
      </c>
      <c r="AM29" t="s">
        <v>1219</v>
      </c>
      <c r="AN29" t="s">
        <v>1220</v>
      </c>
      <c r="AO29" t="s">
        <v>5</v>
      </c>
      <c r="AP29" t="s">
        <v>5</v>
      </c>
      <c r="AQ29" t="s">
        <v>5</v>
      </c>
      <c r="AR29" t="s">
        <v>5</v>
      </c>
      <c r="AS29" t="s">
        <v>5</v>
      </c>
      <c r="AT29" t="s">
        <v>5</v>
      </c>
      <c r="AU29" t="s">
        <v>1221</v>
      </c>
      <c r="AV29" t="s">
        <v>1222</v>
      </c>
      <c r="AW29" t="s">
        <v>568</v>
      </c>
      <c r="AX29" t="s">
        <v>1223</v>
      </c>
      <c r="AY29" t="s">
        <v>422</v>
      </c>
      <c r="AZ29" t="s">
        <v>255</v>
      </c>
      <c r="BA29" t="s">
        <v>257</v>
      </c>
      <c r="BB29" t="s">
        <v>258</v>
      </c>
      <c r="BC29" t="s">
        <v>1224</v>
      </c>
      <c r="BD29" t="s">
        <v>423</v>
      </c>
      <c r="BE29" t="s">
        <v>256</v>
      </c>
      <c r="BF29" t="s">
        <v>54</v>
      </c>
      <c r="BG29" t="s">
        <v>259</v>
      </c>
      <c r="BH29" t="s">
        <v>552</v>
      </c>
      <c r="BI29" t="s">
        <v>915</v>
      </c>
      <c r="BJ29" t="s">
        <v>1223</v>
      </c>
      <c r="BK29" t="s">
        <v>1225</v>
      </c>
      <c r="BL29" t="s">
        <v>1226</v>
      </c>
      <c r="BM29" t="s">
        <v>1224</v>
      </c>
      <c r="BN29" t="s">
        <v>5</v>
      </c>
      <c r="BO29" t="s">
        <v>5</v>
      </c>
      <c r="BP29" t="s">
        <v>5</v>
      </c>
      <c r="BQ29">
        <v>8.11</v>
      </c>
      <c r="BR29">
        <v>10.8</v>
      </c>
      <c r="BS29">
        <v>10.33</v>
      </c>
      <c r="BT29" t="s">
        <v>1227</v>
      </c>
      <c r="BU29" t="s">
        <v>495</v>
      </c>
      <c r="BV29" t="s">
        <v>5</v>
      </c>
      <c r="BW29" t="s">
        <v>5</v>
      </c>
      <c r="BX29" t="s">
        <v>5</v>
      </c>
      <c r="BY29">
        <v>45.97</v>
      </c>
      <c r="BZ29">
        <v>44.01</v>
      </c>
      <c r="CA29">
        <v>39.119999999999997</v>
      </c>
      <c r="CB29">
        <v>-0.42</v>
      </c>
      <c r="CC29">
        <v>-12.96</v>
      </c>
      <c r="CD29" t="s">
        <v>1228</v>
      </c>
      <c r="CE29" t="s">
        <v>1229</v>
      </c>
      <c r="CF29" s="12">
        <v>-0.53194321206743567</v>
      </c>
      <c r="CG29" s="13">
        <v>-0.31784905660377361</v>
      </c>
      <c r="CH29" s="12">
        <v>2.2002837657928467</v>
      </c>
      <c r="CI29" s="12">
        <v>6.4954623579978943E-2</v>
      </c>
      <c r="CJ29" s="12">
        <v>0.10003329813480377</v>
      </c>
      <c r="CK29" s="12">
        <v>5.2097879350185394E-2</v>
      </c>
      <c r="CL29" s="12">
        <v>8.2923159003257751E-2</v>
      </c>
      <c r="CM29" s="13">
        <v>0.31020942330360413</v>
      </c>
      <c r="CN29" s="13">
        <v>0.2022029310464859</v>
      </c>
      <c r="CO29" s="13">
        <v>0.15022636950016022</v>
      </c>
      <c r="CP29" s="13">
        <v>6.4547143876552582E-2</v>
      </c>
      <c r="CQ29" s="13">
        <v>7.6763488352298737E-2</v>
      </c>
      <c r="CR29">
        <v>6.9970854324734448</v>
      </c>
      <c r="CS29">
        <v>0.13992532474500016</v>
      </c>
      <c r="CT29">
        <v>3.8297872340425529</v>
      </c>
      <c r="CU29" s="12">
        <v>0.50005854517221449</v>
      </c>
      <c r="CV29" s="13">
        <v>0.16078987121582031</v>
      </c>
      <c r="CW29">
        <v>0.06</v>
      </c>
      <c r="CX29">
        <v>60.658774044854376</v>
      </c>
      <c r="CY29">
        <v>2833129440.9762015</v>
      </c>
      <c r="CZ29">
        <v>0.50005854517221449</v>
      </c>
      <c r="DA29">
        <v>14.252975680733284</v>
      </c>
      <c r="DB29">
        <v>12057423126.898823</v>
      </c>
      <c r="DC29">
        <v>0.47505561791360373</v>
      </c>
      <c r="DD29">
        <v>4.2851256386961678</v>
      </c>
      <c r="DE29">
        <v>40104812108.213928</v>
      </c>
      <c r="DF29">
        <v>0.44005151975154877</v>
      </c>
      <c r="DG29">
        <v>1.3755368051838246</v>
      </c>
      <c r="DH29">
        <v>124936067106.56766</v>
      </c>
      <c r="DI29">
        <v>0.40004683613777159</v>
      </c>
      <c r="DJ29">
        <v>0.14738170464967307</v>
      </c>
      <c r="DK29">
        <v>1166048113017.135</v>
      </c>
      <c r="DL29">
        <v>0.35004098162055014</v>
      </c>
      <c r="DM29">
        <v>2002000000</v>
      </c>
      <c r="DN29">
        <v>0.50005854517221449</v>
      </c>
      <c r="DO29">
        <v>171854158600</v>
      </c>
      <c r="DP29">
        <v>0</v>
      </c>
      <c r="DQ29">
        <v>3733</v>
      </c>
      <c r="DR29">
        <v>-1.0320017572396503</v>
      </c>
      <c r="DS29">
        <v>-0.47863892781959394</v>
      </c>
      <c r="DT29" s="14">
        <v>-0.14000000000000004</v>
      </c>
      <c r="DU29">
        <v>0.23</v>
      </c>
      <c r="DV29">
        <v>8.9999999999999969E-2</v>
      </c>
      <c r="DW29">
        <v>-2.1295999999999999</v>
      </c>
      <c r="DX29">
        <v>0.39318116186252805</v>
      </c>
      <c r="DY29">
        <v>-2.0237402785773835</v>
      </c>
      <c r="DZ29">
        <v>4206</v>
      </c>
      <c r="EA29">
        <v>-2.0041998457600694</v>
      </c>
      <c r="EB29">
        <v>2</v>
      </c>
      <c r="EC29">
        <v>4.2103926822737413E-2</v>
      </c>
      <c r="ED29">
        <v>0.22984857412850951</v>
      </c>
      <c r="EE29" s="15">
        <v>1.1198999999999999</v>
      </c>
      <c r="EF29">
        <v>1.1027</v>
      </c>
      <c r="EG29">
        <v>21.183181161862528</v>
      </c>
      <c r="EH29" t="s">
        <v>677</v>
      </c>
      <c r="EI29">
        <v>0</v>
      </c>
      <c r="EJ29">
        <v>0</v>
      </c>
      <c r="EK29" s="11">
        <v>45470</v>
      </c>
      <c r="EL29" s="16">
        <v>-0.17</v>
      </c>
      <c r="EM29" s="16">
        <v>-2.08</v>
      </c>
      <c r="EN29" s="16">
        <v>-2.13</v>
      </c>
      <c r="EO29" s="16">
        <v>5.43</v>
      </c>
      <c r="EP29" s="16">
        <v>-1.72</v>
      </c>
    </row>
    <row r="30" spans="1:146" ht="108" x14ac:dyDescent="0.25">
      <c r="A30" s="7"/>
      <c r="B30" s="7"/>
      <c r="C30" s="7" t="str">
        <f>""&amp;CHAR(10)&amp;Basic_Fundamental_Information_Constructure(F30)&amp;CHAR(10)&amp;Basic_Fundamental_Information_Concatenate("")</f>
        <v xml:space="preserve">
市值320.11568亿, 利润1.67亿; PE4.22; 平均PE6.82; 平均PEG.84, PB.514; ROIC0%; ROE12.0433%; 股利率4.7739%; 毛利0%; 净利31.46%; 上一年度营收增-93.83%, 利润增-97.55%; 当季营收增1673.24%, 利润增2536.77%; 过往5年营收增-8.1%, 利润增-10.58%
Income profile:
</v>
      </c>
      <c r="D30" t="s">
        <v>261</v>
      </c>
      <c r="E30" t="s">
        <v>262</v>
      </c>
      <c r="F30">
        <v>7.96</v>
      </c>
      <c r="G30">
        <v>-2.4500000000000002</v>
      </c>
      <c r="H30" t="s">
        <v>1230</v>
      </c>
      <c r="I30">
        <v>32011568000</v>
      </c>
      <c r="J30">
        <v>4.22</v>
      </c>
      <c r="K30">
        <v>0.51400000000000001</v>
      </c>
      <c r="L30" t="s">
        <v>65</v>
      </c>
      <c r="M30" t="s">
        <v>1231</v>
      </c>
      <c r="N30" t="s">
        <v>1232</v>
      </c>
      <c r="O30" t="s">
        <v>1233</v>
      </c>
      <c r="P30">
        <v>7.89</v>
      </c>
      <c r="Q30" t="s">
        <v>1234</v>
      </c>
      <c r="R30">
        <v>2093275000</v>
      </c>
      <c r="S30" s="5">
        <v>5.7500000000000002E-2</v>
      </c>
      <c r="T30" t="s">
        <v>1235</v>
      </c>
      <c r="U30">
        <v>4020596600</v>
      </c>
      <c r="V30">
        <v>4021553800</v>
      </c>
      <c r="W30">
        <v>15.05</v>
      </c>
      <c r="X30">
        <v>0.01</v>
      </c>
      <c r="Y30">
        <v>33.22</v>
      </c>
      <c r="Z30" t="s">
        <v>5</v>
      </c>
      <c r="AA30" t="s">
        <v>5</v>
      </c>
      <c r="AB30" t="s">
        <v>5</v>
      </c>
      <c r="AC30" t="s">
        <v>5</v>
      </c>
      <c r="AD30" t="s">
        <v>5</v>
      </c>
      <c r="AE30">
        <v>0</v>
      </c>
      <c r="AF30" t="s">
        <v>1236</v>
      </c>
      <c r="AG30" t="s">
        <v>1237</v>
      </c>
      <c r="AH30" t="s">
        <v>1238</v>
      </c>
      <c r="AI30" t="s">
        <v>5</v>
      </c>
      <c r="AJ30" t="s">
        <v>21</v>
      </c>
      <c r="AK30" t="s">
        <v>5</v>
      </c>
      <c r="AL30" t="s">
        <v>21</v>
      </c>
      <c r="AM30" t="s">
        <v>1239</v>
      </c>
      <c r="AN30" t="s">
        <v>1240</v>
      </c>
      <c r="AO30" t="s">
        <v>5</v>
      </c>
      <c r="AP30" t="s">
        <v>5</v>
      </c>
      <c r="AQ30" t="s">
        <v>5</v>
      </c>
      <c r="AR30" t="s">
        <v>5</v>
      </c>
      <c r="AS30" t="s">
        <v>5</v>
      </c>
      <c r="AT30" t="s">
        <v>5</v>
      </c>
      <c r="AU30" t="s">
        <v>1241</v>
      </c>
      <c r="AV30" t="s">
        <v>1242</v>
      </c>
      <c r="AW30" t="s">
        <v>1243</v>
      </c>
      <c r="AX30" t="s">
        <v>1244</v>
      </c>
      <c r="AY30" t="s">
        <v>424</v>
      </c>
      <c r="AZ30" t="s">
        <v>263</v>
      </c>
      <c r="BA30" t="s">
        <v>265</v>
      </c>
      <c r="BB30" t="s">
        <v>266</v>
      </c>
      <c r="BC30" t="s">
        <v>1245</v>
      </c>
      <c r="BD30" t="s">
        <v>425</v>
      </c>
      <c r="BE30" t="s">
        <v>264</v>
      </c>
      <c r="BF30" t="s">
        <v>267</v>
      </c>
      <c r="BG30" t="s">
        <v>268</v>
      </c>
      <c r="BH30" t="s">
        <v>1246</v>
      </c>
      <c r="BI30" t="s">
        <v>854</v>
      </c>
      <c r="BJ30" t="s">
        <v>1244</v>
      </c>
      <c r="BK30" t="s">
        <v>1247</v>
      </c>
      <c r="BL30" t="s">
        <v>1248</v>
      </c>
      <c r="BM30" t="s">
        <v>1245</v>
      </c>
      <c r="BN30" t="s">
        <v>5</v>
      </c>
      <c r="BO30" t="s">
        <v>5</v>
      </c>
      <c r="BP30" t="s">
        <v>5</v>
      </c>
      <c r="BQ30">
        <v>10.3</v>
      </c>
      <c r="BR30">
        <v>12.57</v>
      </c>
      <c r="BS30">
        <v>13.26</v>
      </c>
      <c r="BT30" t="s">
        <v>1249</v>
      </c>
      <c r="BU30" t="s">
        <v>493</v>
      </c>
      <c r="BV30" t="s">
        <v>5</v>
      </c>
      <c r="BW30" t="s">
        <v>5</v>
      </c>
      <c r="BX30" t="s">
        <v>5</v>
      </c>
      <c r="BY30">
        <v>31.66</v>
      </c>
      <c r="BZ30">
        <v>31.24</v>
      </c>
      <c r="CA30">
        <v>31.48</v>
      </c>
      <c r="CB30">
        <v>-2.69</v>
      </c>
      <c r="CC30">
        <v>-7.55</v>
      </c>
      <c r="CD30" t="s">
        <v>1250</v>
      </c>
      <c r="CE30" t="s">
        <v>1251</v>
      </c>
      <c r="CF30" s="12">
        <v>16.732432432432432</v>
      </c>
      <c r="CG30" s="13">
        <v>25.367749663990768</v>
      </c>
      <c r="CH30" s="12">
        <v>-0.93829804658889771</v>
      </c>
      <c r="CI30" s="12">
        <v>9.5840573310852051E-2</v>
      </c>
      <c r="CJ30" s="12">
        <v>0.1579180508852005</v>
      </c>
      <c r="CK30" s="12">
        <v>5.9058628976345062E-2</v>
      </c>
      <c r="CL30" s="12">
        <v>0.22064411640167236</v>
      </c>
      <c r="CM30" s="13">
        <v>-0.97548085451126099</v>
      </c>
      <c r="CN30" s="13">
        <v>8.0425098538398743E-2</v>
      </c>
      <c r="CO30" s="13">
        <v>0.18096667528152466</v>
      </c>
      <c r="CP30" s="13">
        <v>5.078737810254097E-2</v>
      </c>
      <c r="CQ30" s="13">
        <v>0.13418172299861908</v>
      </c>
      <c r="CR30">
        <v>6.8160476950920899</v>
      </c>
      <c r="CS30">
        <v>0.84182685044152294</v>
      </c>
      <c r="CT30">
        <v>4.7738693467336679</v>
      </c>
      <c r="CU30" s="12">
        <v>-8.0967335402965551E-2</v>
      </c>
      <c r="CV30" s="13">
        <v>-0.10582399591803551</v>
      </c>
      <c r="CW30">
        <v>0.06</v>
      </c>
      <c r="CX30">
        <v>5468.2608862275447</v>
      </c>
      <c r="CY30" t="s">
        <v>1252</v>
      </c>
      <c r="CZ30">
        <v>-8.0967335402965551E-2</v>
      </c>
      <c r="DA30">
        <v>1822.753628742515</v>
      </c>
      <c r="DB30" t="s">
        <v>1253</v>
      </c>
      <c r="DC30">
        <v>-7.6918968632817275E-2</v>
      </c>
      <c r="DD30">
        <v>911.37681437125752</v>
      </c>
      <c r="DE30" t="s">
        <v>1254</v>
      </c>
      <c r="DF30">
        <v>-7.1251255154609686E-2</v>
      </c>
      <c r="DG30">
        <v>546.82608862275447</v>
      </c>
      <c r="DH30" t="s">
        <v>1255</v>
      </c>
      <c r="DI30">
        <v>-6.4773868322372447E-2</v>
      </c>
      <c r="DJ30">
        <v>273.41304431137723</v>
      </c>
      <c r="DK30" t="s">
        <v>1256</v>
      </c>
      <c r="DL30">
        <v>-5.667713478207588E-2</v>
      </c>
      <c r="DM30">
        <v>167000000</v>
      </c>
      <c r="DN30">
        <v>-8.0967335402965551E-2</v>
      </c>
      <c r="DO30">
        <v>913199568000</v>
      </c>
      <c r="DP30">
        <v>0</v>
      </c>
      <c r="DQ30">
        <v>3738</v>
      </c>
      <c r="DR30">
        <v>16.813399767835399</v>
      </c>
      <c r="DS30">
        <v>25.473573659908805</v>
      </c>
      <c r="DT30" s="14">
        <v>-0.54</v>
      </c>
      <c r="DU30">
        <v>-0.19999999999999998</v>
      </c>
      <c r="DV30">
        <v>-0.74</v>
      </c>
      <c r="DW30">
        <v>-8.3562913907284759</v>
      </c>
      <c r="DX30">
        <v>0.36586287878788043</v>
      </c>
      <c r="DY30">
        <v>-8.0590955157535618</v>
      </c>
      <c r="DZ30">
        <v>3799</v>
      </c>
      <c r="EA30">
        <v>-8.0151612957246421</v>
      </c>
      <c r="EB30">
        <v>8</v>
      </c>
      <c r="EC30">
        <v>2.1776558105476546E-2</v>
      </c>
      <c r="ED30">
        <v>0.13129253673045477</v>
      </c>
      <c r="EE30" s="15">
        <v>-1.0014000000000001</v>
      </c>
      <c r="EF30">
        <v>-1.0118100000000001</v>
      </c>
      <c r="EG30">
        <v>20.16586287878788</v>
      </c>
      <c r="EH30" t="s">
        <v>618</v>
      </c>
      <c r="EI30">
        <v>0</v>
      </c>
      <c r="EJ30">
        <v>0</v>
      </c>
      <c r="EK30" s="11">
        <v>45470</v>
      </c>
      <c r="EL30" s="16">
        <v>0.51</v>
      </c>
      <c r="EM30" s="16">
        <v>-2.54</v>
      </c>
      <c r="EN30" s="16">
        <v>0</v>
      </c>
      <c r="EO30" s="16">
        <v>1.88</v>
      </c>
      <c r="EP30" s="16">
        <v>-1.32</v>
      </c>
    </row>
    <row r="31" spans="1:146" ht="168" x14ac:dyDescent="0.25">
      <c r="A31" s="7"/>
      <c r="B31" s="7"/>
      <c r="C31" s="7" t="str">
        <f>"公司主营业务提供银行及相关金融服务。主要产品是个人银行业务、公司银行业务及资金业务。"&amp;CHAR(10)&amp;Basic_Fundamental_Information_Constructure(F31)&amp;CHAR(10)&amp;Basic_Fundamental_Information_Concatenate("利息收入 2354.47亿 82.91%
手续费及佣金收入 300.74亿 10.59%
投资收益 112.99亿 3.98%
汇兑收益 47.14亿 1.66%
公允价值变动收益 19.97亿 0.70%")</f>
        <v>公司主营业务提供银行及相关金融服务。主要产品是个人银行业务、公司银行业务及资金业务。
市值4987.8021亿, 利润42.34亿; PE5.81; 平均PE8.72; 平均PEG.62, PB.618; ROIC0%; ROE11.1433%; 股利率5.1889%; 毛利0%; 净利24.9067%; 上一年度营收增-96.43%, 利润增-95.03%; 当季营收增3022.56%, 利润增2454.29%; 过往5年营收增-14.1%, 利润增-8.53%
Income profile:
利息收入 2354.47亿 82.91%
手续费及佣金收入 300.74亿 10.59%
投资收益 112.99亿 3.98%
汇兑收益 47.14亿 1.66%
公允价值变动收益 19.97亿 0.70%</v>
      </c>
      <c r="D31" t="s">
        <v>269</v>
      </c>
      <c r="E31" t="s">
        <v>270</v>
      </c>
      <c r="F31">
        <v>5.03</v>
      </c>
      <c r="G31">
        <v>-2.71</v>
      </c>
      <c r="H31" t="s">
        <v>1257</v>
      </c>
      <c r="I31">
        <v>498780210000</v>
      </c>
      <c r="J31">
        <v>5.81</v>
      </c>
      <c r="K31">
        <v>0.61799999999999999</v>
      </c>
      <c r="L31" t="s">
        <v>65</v>
      </c>
      <c r="M31" t="s">
        <v>1258</v>
      </c>
      <c r="N31" t="s">
        <v>1259</v>
      </c>
      <c r="O31" t="s">
        <v>1260</v>
      </c>
      <c r="P31">
        <v>1.44</v>
      </c>
      <c r="Q31" t="s">
        <v>1261</v>
      </c>
      <c r="R31">
        <v>25926000000</v>
      </c>
      <c r="S31" s="5">
        <v>-1.35E-2</v>
      </c>
      <c r="T31" t="s">
        <v>1262</v>
      </c>
      <c r="U31">
        <v>67122395000</v>
      </c>
      <c r="V31">
        <v>99161076000</v>
      </c>
      <c r="W31">
        <v>16.190000000000001</v>
      </c>
      <c r="X31">
        <v>0.01</v>
      </c>
      <c r="Y31">
        <v>29.02</v>
      </c>
      <c r="Z31" t="s">
        <v>5</v>
      </c>
      <c r="AA31" t="s">
        <v>5</v>
      </c>
      <c r="AB31" t="s">
        <v>5</v>
      </c>
      <c r="AC31" t="s">
        <v>5</v>
      </c>
      <c r="AD31" t="s">
        <v>5</v>
      </c>
      <c r="AE31">
        <v>0</v>
      </c>
      <c r="AF31" t="s">
        <v>1263</v>
      </c>
      <c r="AG31" t="s">
        <v>1264</v>
      </c>
      <c r="AH31" t="s">
        <v>1265</v>
      </c>
      <c r="AI31" t="s">
        <v>5</v>
      </c>
      <c r="AJ31" t="s">
        <v>21</v>
      </c>
      <c r="AK31" t="s">
        <v>5</v>
      </c>
      <c r="AL31" t="s">
        <v>21</v>
      </c>
      <c r="AM31" t="s">
        <v>1266</v>
      </c>
      <c r="AN31" t="s">
        <v>1267</v>
      </c>
      <c r="AO31" t="s">
        <v>5</v>
      </c>
      <c r="AP31" t="s">
        <v>5</v>
      </c>
      <c r="AQ31" t="s">
        <v>5</v>
      </c>
      <c r="AR31" t="s">
        <v>5</v>
      </c>
      <c r="AS31" t="s">
        <v>5</v>
      </c>
      <c r="AT31" t="s">
        <v>5</v>
      </c>
      <c r="AU31" t="s">
        <v>1268</v>
      </c>
      <c r="AV31" t="s">
        <v>1269</v>
      </c>
      <c r="AW31" t="s">
        <v>1270</v>
      </c>
      <c r="AX31" t="s">
        <v>1271</v>
      </c>
      <c r="AY31" t="s">
        <v>426</v>
      </c>
      <c r="AZ31" t="s">
        <v>271</v>
      </c>
      <c r="BA31" t="s">
        <v>273</v>
      </c>
      <c r="BB31" t="s">
        <v>274</v>
      </c>
      <c r="BC31" t="s">
        <v>1272</v>
      </c>
      <c r="BD31" t="s">
        <v>427</v>
      </c>
      <c r="BE31" t="s">
        <v>272</v>
      </c>
      <c r="BF31" t="s">
        <v>275</v>
      </c>
      <c r="BG31" t="s">
        <v>276</v>
      </c>
      <c r="BH31" t="s">
        <v>1273</v>
      </c>
      <c r="BI31" t="s">
        <v>1274</v>
      </c>
      <c r="BJ31" t="s">
        <v>1271</v>
      </c>
      <c r="BK31" t="s">
        <v>1275</v>
      </c>
      <c r="BL31" t="s">
        <v>1276</v>
      </c>
      <c r="BM31" t="s">
        <v>1272</v>
      </c>
      <c r="BN31" t="s">
        <v>5</v>
      </c>
      <c r="BO31" t="s">
        <v>5</v>
      </c>
      <c r="BP31" t="s">
        <v>5</v>
      </c>
      <c r="BQ31">
        <v>9.68</v>
      </c>
      <c r="BR31">
        <v>11.89</v>
      </c>
      <c r="BS31">
        <v>11.86</v>
      </c>
      <c r="BT31" t="s">
        <v>1277</v>
      </c>
      <c r="BU31" t="s">
        <v>498</v>
      </c>
      <c r="BV31" t="s">
        <v>5</v>
      </c>
      <c r="BW31" t="s">
        <v>5</v>
      </c>
      <c r="BX31" t="s">
        <v>5</v>
      </c>
      <c r="BY31">
        <v>25.23</v>
      </c>
      <c r="BZ31">
        <v>25.48</v>
      </c>
      <c r="CA31">
        <v>24.01</v>
      </c>
      <c r="CB31">
        <v>-0.79</v>
      </c>
      <c r="CC31">
        <v>-0.4</v>
      </c>
      <c r="CD31" t="s">
        <v>1278</v>
      </c>
      <c r="CE31" t="s">
        <v>1279</v>
      </c>
      <c r="CF31" s="12">
        <v>30.225558659217878</v>
      </c>
      <c r="CG31" s="13">
        <v>24.542857142857144</v>
      </c>
      <c r="CH31" s="12">
        <v>-0.96431773900985718</v>
      </c>
      <c r="CI31" s="12">
        <v>5.080283060669899E-2</v>
      </c>
      <c r="CJ31" s="12">
        <v>0.11376576125621796</v>
      </c>
      <c r="CK31" s="12">
        <v>3.3933192491531372E-2</v>
      </c>
      <c r="CL31" s="12">
        <v>6.0591138899326324E-2</v>
      </c>
      <c r="CM31" s="13">
        <v>-0.95031911134719849</v>
      </c>
      <c r="CN31" s="13">
        <v>0.11886562407016754</v>
      </c>
      <c r="CO31" s="13">
        <v>0.18646711111068726</v>
      </c>
      <c r="CP31" s="13">
        <v>5.3599834442138672E-2</v>
      </c>
      <c r="CQ31" s="13">
        <v>0.16482198238372803</v>
      </c>
      <c r="CR31">
        <v>8.72321257115874</v>
      </c>
      <c r="CS31">
        <v>0.61847033571886201</v>
      </c>
      <c r="CT31">
        <v>5.1888667992047708</v>
      </c>
      <c r="CU31" s="12">
        <v>-0.14104496315121651</v>
      </c>
      <c r="CV31" s="13">
        <v>-8.5312911868095392E-2</v>
      </c>
      <c r="CW31">
        <v>0.06</v>
      </c>
      <c r="CX31">
        <v>3367.9957982994806</v>
      </c>
      <c r="CY31" t="s">
        <v>1280</v>
      </c>
      <c r="CZ31">
        <v>-0.14104496315121651</v>
      </c>
      <c r="DA31">
        <v>1122.6652660998268</v>
      </c>
      <c r="DB31" t="s">
        <v>1281</v>
      </c>
      <c r="DC31">
        <v>-0.13399271499365567</v>
      </c>
      <c r="DD31">
        <v>561.3326330499134</v>
      </c>
      <c r="DE31" t="s">
        <v>1282</v>
      </c>
      <c r="DF31">
        <v>-0.12411956757307052</v>
      </c>
      <c r="DG31">
        <v>336.79957982994802</v>
      </c>
      <c r="DH31" t="s">
        <v>1283</v>
      </c>
      <c r="DI31">
        <v>-0.11283597052097322</v>
      </c>
      <c r="DJ31">
        <v>168.39978991497401</v>
      </c>
      <c r="DK31" t="s">
        <v>1284</v>
      </c>
      <c r="DL31">
        <v>-9.8731474205851544E-2</v>
      </c>
      <c r="DM31">
        <v>4234000000.0000005</v>
      </c>
      <c r="DN31">
        <v>-0.14104496315121651</v>
      </c>
      <c r="DO31">
        <v>14260094210000</v>
      </c>
      <c r="DP31">
        <v>0</v>
      </c>
      <c r="DQ31">
        <v>3758</v>
      </c>
      <c r="DR31">
        <v>30.366603622369094</v>
      </c>
      <c r="DS31">
        <v>24.628170054725238</v>
      </c>
      <c r="DT31" s="14">
        <v>-0.77333333333333332</v>
      </c>
      <c r="DU31">
        <v>-0.10000000000000002</v>
      </c>
      <c r="DV31">
        <v>-0.87333333333333329</v>
      </c>
      <c r="DW31">
        <v>-4.0000000000000001E-3</v>
      </c>
      <c r="DX31">
        <v>0.49618168812135738</v>
      </c>
      <c r="DY31">
        <v>-6.2472675248542925E-4</v>
      </c>
      <c r="DZ31">
        <v>989</v>
      </c>
      <c r="EA31">
        <v>-5.0381584089871894E-4</v>
      </c>
      <c r="EB31">
        <v>0</v>
      </c>
      <c r="EC31">
        <v>6.4843991809850872E-3</v>
      </c>
      <c r="ED31">
        <v>4.1518307042170459E-2</v>
      </c>
      <c r="EE31" s="15">
        <v>-1.0421</v>
      </c>
      <c r="EF31">
        <v>-1.0154000000000001</v>
      </c>
      <c r="EG31">
        <v>34.156181688121357</v>
      </c>
      <c r="EH31" t="s">
        <v>927</v>
      </c>
      <c r="EI31">
        <v>0</v>
      </c>
      <c r="EJ31">
        <v>1</v>
      </c>
      <c r="EK31" s="11">
        <v>45470</v>
      </c>
      <c r="EL31" s="16">
        <v>1.04</v>
      </c>
      <c r="EM31" s="16">
        <v>-1.03</v>
      </c>
      <c r="EN31" s="16">
        <v>-0.3</v>
      </c>
      <c r="EO31" s="16">
        <v>0.75</v>
      </c>
      <c r="EP31" s="16">
        <v>-2.67</v>
      </c>
    </row>
    <row r="32" spans="1:146" ht="108" x14ac:dyDescent="0.25">
      <c r="A32" s="7"/>
      <c r="B32" s="7"/>
      <c r="C32" s="7" t="str">
        <f>""&amp;CHAR(10)&amp;Basic_Fundamental_Information_Constructure(F32)&amp;CHAR(10)&amp;Basic_Fundamental_Information_Concatenate("")</f>
        <v xml:space="preserve">
市值225.79331亿, 利润40.03亿; PE5.14; 平均PE7.68; 平均PEG.16, PB.637; ROIC0%; ROE10.7367%; 股利率4.7109%; 毛利0%; 净利32.92%; 上一年度营收增185.26%, 利润增11.6%; 当季营收增-64.98%, 利润增2.76%; 过往5年营收增49.01%, 利润增13.33%
Income profile:
</v>
      </c>
      <c r="D32" t="s">
        <v>277</v>
      </c>
      <c r="E32" t="s">
        <v>1285</v>
      </c>
      <c r="F32">
        <v>4.67</v>
      </c>
      <c r="G32">
        <v>-2.91</v>
      </c>
      <c r="H32" t="s">
        <v>1286</v>
      </c>
      <c r="I32">
        <v>22579331000</v>
      </c>
      <c r="J32">
        <v>5.14</v>
      </c>
      <c r="K32">
        <v>0.63700000000000001</v>
      </c>
      <c r="L32" t="s">
        <v>65</v>
      </c>
      <c r="M32" t="s">
        <v>1287</v>
      </c>
      <c r="N32" t="s">
        <v>1288</v>
      </c>
      <c r="O32" t="s">
        <v>1289</v>
      </c>
      <c r="P32">
        <v>5.53</v>
      </c>
      <c r="Q32" t="s">
        <v>1290</v>
      </c>
      <c r="R32">
        <v>1177668000</v>
      </c>
      <c r="S32" s="5">
        <v>0.1598</v>
      </c>
      <c r="T32" t="s">
        <v>1291</v>
      </c>
      <c r="U32">
        <v>4834974500</v>
      </c>
      <c r="V32">
        <v>4834974500</v>
      </c>
      <c r="W32">
        <v>14.26</v>
      </c>
      <c r="X32">
        <v>0</v>
      </c>
      <c r="Y32">
        <v>39.020000000000003</v>
      </c>
      <c r="Z32" t="s">
        <v>5</v>
      </c>
      <c r="AA32" t="s">
        <v>5</v>
      </c>
      <c r="AB32" t="s">
        <v>5</v>
      </c>
      <c r="AC32" t="s">
        <v>5</v>
      </c>
      <c r="AD32" t="s">
        <v>5</v>
      </c>
      <c r="AE32">
        <v>0</v>
      </c>
      <c r="AF32" t="s">
        <v>1292</v>
      </c>
      <c r="AG32" t="s">
        <v>1293</v>
      </c>
      <c r="AH32" t="s">
        <v>1294</v>
      </c>
      <c r="AI32" t="s">
        <v>5</v>
      </c>
      <c r="AJ32" t="s">
        <v>21</v>
      </c>
      <c r="AK32" t="s">
        <v>5</v>
      </c>
      <c r="AL32" t="s">
        <v>21</v>
      </c>
      <c r="AM32" t="s">
        <v>1295</v>
      </c>
      <c r="AN32" t="s">
        <v>1296</v>
      </c>
      <c r="AO32" t="s">
        <v>5</v>
      </c>
      <c r="AP32" t="s">
        <v>5</v>
      </c>
      <c r="AQ32" t="s">
        <v>5</v>
      </c>
      <c r="AR32" t="s">
        <v>5</v>
      </c>
      <c r="AS32" t="s">
        <v>5</v>
      </c>
      <c r="AT32" t="s">
        <v>5</v>
      </c>
      <c r="AU32" t="s">
        <v>1297</v>
      </c>
      <c r="AV32" t="s">
        <v>1298</v>
      </c>
      <c r="AW32" t="s">
        <v>1299</v>
      </c>
      <c r="AX32" t="s">
        <v>1300</v>
      </c>
      <c r="AY32" t="s">
        <v>428</v>
      </c>
      <c r="AZ32" t="s">
        <v>278</v>
      </c>
      <c r="BA32" t="s">
        <v>280</v>
      </c>
      <c r="BB32" t="s">
        <v>281</v>
      </c>
      <c r="BC32" t="s">
        <v>1301</v>
      </c>
      <c r="BD32" t="s">
        <v>429</v>
      </c>
      <c r="BE32" t="s">
        <v>279</v>
      </c>
      <c r="BF32" t="s">
        <v>282</v>
      </c>
      <c r="BG32" t="s">
        <v>283</v>
      </c>
      <c r="BH32" t="s">
        <v>1261</v>
      </c>
      <c r="BI32" t="s">
        <v>1302</v>
      </c>
      <c r="BJ32" t="s">
        <v>1300</v>
      </c>
      <c r="BK32" t="s">
        <v>1262</v>
      </c>
      <c r="BL32" t="s">
        <v>1303</v>
      </c>
      <c r="BM32" t="s">
        <v>1301</v>
      </c>
      <c r="BN32" t="s">
        <v>5</v>
      </c>
      <c r="BO32" t="s">
        <v>5</v>
      </c>
      <c r="BP32" t="s">
        <v>5</v>
      </c>
      <c r="BQ32">
        <v>8.89</v>
      </c>
      <c r="BR32">
        <v>11.92</v>
      </c>
      <c r="BS32">
        <v>11.4</v>
      </c>
      <c r="BT32" t="s">
        <v>1304</v>
      </c>
      <c r="BU32" t="s">
        <v>493</v>
      </c>
      <c r="BV32" t="s">
        <v>5</v>
      </c>
      <c r="BW32" t="s">
        <v>5</v>
      </c>
      <c r="BX32" t="s">
        <v>5</v>
      </c>
      <c r="BY32">
        <v>35.72</v>
      </c>
      <c r="BZ32">
        <v>32.82</v>
      </c>
      <c r="CA32">
        <v>30.22</v>
      </c>
      <c r="CB32">
        <v>-0.43</v>
      </c>
      <c r="CC32">
        <v>-5.08</v>
      </c>
      <c r="CD32" t="s">
        <v>1305</v>
      </c>
      <c r="CE32" t="s">
        <v>1306</v>
      </c>
      <c r="CF32" s="12">
        <v>-0.6498261877172653</v>
      </c>
      <c r="CG32" s="13">
        <v>2.7633507853403141E-2</v>
      </c>
      <c r="CH32" s="12">
        <v>1.8525849580764771</v>
      </c>
      <c r="CI32" s="12">
        <v>8.8226661086082458E-2</v>
      </c>
      <c r="CJ32" s="12">
        <v>0.28112399578094482</v>
      </c>
      <c r="CK32" s="12">
        <v>7.1418918669223785E-2</v>
      </c>
      <c r="CL32" s="12">
        <v>0.15698222815990448</v>
      </c>
      <c r="CM32" s="13">
        <v>0.11597435176372528</v>
      </c>
      <c r="CN32" s="13">
        <v>0.18148882687091827</v>
      </c>
      <c r="CO32" s="13">
        <v>0.20524014532566071</v>
      </c>
      <c r="CP32" s="13">
        <v>7.7416680753231049E-2</v>
      </c>
      <c r="CQ32" s="13">
        <v>8.6431168019771576E-2</v>
      </c>
      <c r="CR32">
        <v>7.6822220584065786</v>
      </c>
      <c r="CS32">
        <v>0.15675849495987387</v>
      </c>
      <c r="CT32">
        <v>4.7109207708779444</v>
      </c>
      <c r="CU32" s="12">
        <v>0.49006735235452653</v>
      </c>
      <c r="CV32" s="13">
        <v>0.13331023454666138</v>
      </c>
      <c r="CW32">
        <v>0.06</v>
      </c>
      <c r="CX32">
        <v>96.273941238816249</v>
      </c>
      <c r="CY32">
        <v>5627112841.0143099</v>
      </c>
      <c r="CZ32">
        <v>0.49006735235452653</v>
      </c>
      <c r="DA32">
        <v>22.794311249795467</v>
      </c>
      <c r="DB32">
        <v>23766646206.731125</v>
      </c>
      <c r="DC32">
        <v>0.46556398473680016</v>
      </c>
      <c r="DD32">
        <v>6.9376884917328354</v>
      </c>
      <c r="DE32">
        <v>78087151310.636002</v>
      </c>
      <c r="DF32">
        <v>0.43125927007198334</v>
      </c>
      <c r="DG32">
        <v>2.2641135440902254</v>
      </c>
      <c r="DH32">
        <v>239274365198.71432</v>
      </c>
      <c r="DI32">
        <v>0.39205388188362122</v>
      </c>
      <c r="DJ32">
        <v>0.25310775886489051</v>
      </c>
      <c r="DK32">
        <v>2140370304843.8918</v>
      </c>
      <c r="DL32">
        <v>0.34304714664816854</v>
      </c>
      <c r="DM32">
        <v>4003000000</v>
      </c>
      <c r="DN32">
        <v>0.49006735235452653</v>
      </c>
      <c r="DO32">
        <v>541744331000</v>
      </c>
      <c r="DP32">
        <v>0</v>
      </c>
      <c r="DQ32">
        <v>3759</v>
      </c>
      <c r="DR32">
        <v>-1.1398935400717918</v>
      </c>
      <c r="DS32">
        <v>-0.10567672669325824</v>
      </c>
      <c r="DT32" s="14">
        <v>9.3333333333333268E-2</v>
      </c>
      <c r="DU32">
        <v>0.28333333333333338</v>
      </c>
      <c r="DV32">
        <v>0.37666666666666665</v>
      </c>
      <c r="DW32">
        <v>-1.0508</v>
      </c>
      <c r="DX32">
        <v>0.5200000000000029</v>
      </c>
      <c r="DY32">
        <v>-1.0101599999999999</v>
      </c>
      <c r="DZ32">
        <v>2215</v>
      </c>
      <c r="EA32">
        <v>-1.0057560078277885</v>
      </c>
      <c r="EB32">
        <v>1</v>
      </c>
      <c r="EC32">
        <v>2.9576164258984201E-2</v>
      </c>
      <c r="ED32">
        <v>0.147880821294921</v>
      </c>
      <c r="EE32" s="15">
        <v>2.0960999999999999</v>
      </c>
      <c r="EF32">
        <v>2.1143999999999998</v>
      </c>
      <c r="EG32">
        <v>32.200000000000003</v>
      </c>
      <c r="EH32" t="s">
        <v>717</v>
      </c>
      <c r="EI32">
        <v>0</v>
      </c>
      <c r="EJ32">
        <v>0</v>
      </c>
      <c r="EK32" s="11">
        <v>45470</v>
      </c>
      <c r="EL32" s="16">
        <v>0.21</v>
      </c>
      <c r="EM32" s="16">
        <v>1.25</v>
      </c>
      <c r="EN32" s="16">
        <v>0</v>
      </c>
      <c r="EO32" s="16">
        <v>1.23</v>
      </c>
      <c r="EP32" s="16">
        <v>1.83</v>
      </c>
    </row>
    <row r="33" spans="1:146" ht="108" x14ac:dyDescent="0.25">
      <c r="A33" s="9"/>
      <c r="B33" s="9"/>
      <c r="C33" s="7" t="str">
        <f>""&amp;CHAR(10)&amp;Basic_Fundamental_Information_Constructure(F33)&amp;CHAR(10)&amp;Basic_Fundamental_Information_Concatenate("")</f>
        <v xml:space="preserve">
市值1902.5547亿, 利润121.42亿; PE4.66; 平均PE5.46; 平均PEG.56, PB.413; ROIC0%; ROE9.5267%; 股利率5.3727%; 毛利0%; 净利28.8233%; 上一年度营收增-82.58%, 利润增-72.9%; 当季营收增404.79%, 利润增255.03%; 过往5年营收增-9.67%, 利润增-8.54%
Income profile:
</v>
      </c>
      <c r="D33" t="s">
        <v>284</v>
      </c>
      <c r="E33" t="s">
        <v>285</v>
      </c>
      <c r="F33">
        <v>3.22</v>
      </c>
      <c r="G33">
        <v>-1.83</v>
      </c>
      <c r="H33" t="s">
        <v>1156</v>
      </c>
      <c r="I33">
        <v>190255470000</v>
      </c>
      <c r="J33">
        <v>4.66</v>
      </c>
      <c r="K33">
        <v>0.41299999999999998</v>
      </c>
      <c r="L33" t="s">
        <v>65</v>
      </c>
      <c r="M33" t="s">
        <v>1307</v>
      </c>
      <c r="N33" t="s">
        <v>1308</v>
      </c>
      <c r="O33" t="s">
        <v>1309</v>
      </c>
      <c r="P33">
        <v>-9.6199999999999992</v>
      </c>
      <c r="Q33" t="s">
        <v>1310</v>
      </c>
      <c r="R33">
        <v>12426000000</v>
      </c>
      <c r="S33" s="5">
        <v>3.8800000000000002E-3</v>
      </c>
      <c r="T33" t="s">
        <v>1311</v>
      </c>
      <c r="U33">
        <v>46406816000</v>
      </c>
      <c r="V33">
        <v>59085551000</v>
      </c>
      <c r="W33">
        <v>12.15</v>
      </c>
      <c r="X33">
        <v>0.01</v>
      </c>
      <c r="Y33">
        <v>36.229999999999997</v>
      </c>
      <c r="Z33" t="s">
        <v>5</v>
      </c>
      <c r="AA33" t="s">
        <v>5</v>
      </c>
      <c r="AB33" t="s">
        <v>5</v>
      </c>
      <c r="AC33" t="s">
        <v>5</v>
      </c>
      <c r="AD33" t="s">
        <v>5</v>
      </c>
      <c r="AE33">
        <v>0</v>
      </c>
      <c r="AF33" t="s">
        <v>1312</v>
      </c>
      <c r="AG33" t="s">
        <v>1313</v>
      </c>
      <c r="AH33" t="s">
        <v>1314</v>
      </c>
      <c r="AI33" t="s">
        <v>5</v>
      </c>
      <c r="AJ33" t="s">
        <v>21</v>
      </c>
      <c r="AK33" t="s">
        <v>5</v>
      </c>
      <c r="AL33" t="s">
        <v>21</v>
      </c>
      <c r="AM33" t="s">
        <v>1315</v>
      </c>
      <c r="AN33" t="s">
        <v>1316</v>
      </c>
      <c r="AO33" t="s">
        <v>5</v>
      </c>
      <c r="AP33" t="s">
        <v>5</v>
      </c>
      <c r="AQ33" t="s">
        <v>5</v>
      </c>
      <c r="AR33" t="s">
        <v>5</v>
      </c>
      <c r="AS33" t="s">
        <v>5</v>
      </c>
      <c r="AT33" t="s">
        <v>5</v>
      </c>
      <c r="AU33" t="s">
        <v>1317</v>
      </c>
      <c r="AV33" t="s">
        <v>1318</v>
      </c>
      <c r="AW33" t="s">
        <v>1319</v>
      </c>
      <c r="AX33" t="s">
        <v>1320</v>
      </c>
      <c r="AY33" t="s">
        <v>430</v>
      </c>
      <c r="AZ33" t="s">
        <v>432</v>
      </c>
      <c r="BA33" t="s">
        <v>286</v>
      </c>
      <c r="BB33" t="s">
        <v>287</v>
      </c>
      <c r="BC33" t="s">
        <v>1321</v>
      </c>
      <c r="BD33" t="s">
        <v>431</v>
      </c>
      <c r="BE33" t="s">
        <v>433</v>
      </c>
      <c r="BF33" t="s">
        <v>288</v>
      </c>
      <c r="BG33" t="s">
        <v>289</v>
      </c>
      <c r="BH33" t="s">
        <v>1322</v>
      </c>
      <c r="BI33" t="s">
        <v>1323</v>
      </c>
      <c r="BJ33" t="s">
        <v>1320</v>
      </c>
      <c r="BK33" t="s">
        <v>1324</v>
      </c>
      <c r="BL33" t="s">
        <v>1325</v>
      </c>
      <c r="BM33" t="s">
        <v>1321</v>
      </c>
      <c r="BN33" t="s">
        <v>5</v>
      </c>
      <c r="BO33" t="s">
        <v>5</v>
      </c>
      <c r="BP33" t="s">
        <v>5</v>
      </c>
      <c r="BQ33">
        <v>7.67</v>
      </c>
      <c r="BR33">
        <v>10.27</v>
      </c>
      <c r="BS33">
        <v>10.64</v>
      </c>
      <c r="BT33" t="s">
        <v>1326</v>
      </c>
      <c r="BU33" t="s">
        <v>492</v>
      </c>
      <c r="BV33" t="s">
        <v>5</v>
      </c>
      <c r="BW33" t="s">
        <v>5</v>
      </c>
      <c r="BX33" t="s">
        <v>5</v>
      </c>
      <c r="BY33">
        <v>28.2</v>
      </c>
      <c r="BZ33">
        <v>29.7</v>
      </c>
      <c r="CA33">
        <v>28.57</v>
      </c>
      <c r="CB33">
        <v>1.58</v>
      </c>
      <c r="CC33">
        <v>-1.23</v>
      </c>
      <c r="CD33" t="s">
        <v>1327</v>
      </c>
      <c r="CE33" t="s">
        <v>1328</v>
      </c>
      <c r="CF33" s="12">
        <v>4.04786299765808</v>
      </c>
      <c r="CG33" s="13">
        <v>2.5502857142857143</v>
      </c>
      <c r="CH33" s="12">
        <v>-0.82580196857452393</v>
      </c>
      <c r="CI33" s="12">
        <v>-7.3256110772490501E-3</v>
      </c>
      <c r="CJ33" s="12">
        <v>7.1395523846149445E-2</v>
      </c>
      <c r="CK33" s="12">
        <v>7.3487319052219391E-2</v>
      </c>
      <c r="CL33" s="12">
        <v>0.2047094851732254</v>
      </c>
      <c r="CM33" s="13">
        <v>-0.7290155291557312</v>
      </c>
      <c r="CN33" s="13">
        <v>3.2252874225378036E-2</v>
      </c>
      <c r="CO33" s="13">
        <v>0.14727097749710083</v>
      </c>
      <c r="CP33" s="13">
        <v>1.2876839376986027E-2</v>
      </c>
      <c r="CQ33" s="13">
        <v>0.10977745801210403</v>
      </c>
      <c r="CR33">
        <v>5.4565535075811162</v>
      </c>
      <c r="CS33">
        <v>0.56423533648780133</v>
      </c>
      <c r="CT33">
        <v>5.3726708074534155</v>
      </c>
      <c r="CU33" s="12">
        <v>-9.6707050316035742E-2</v>
      </c>
      <c r="CV33" s="13">
        <v>-8.536747600883246E-2</v>
      </c>
      <c r="CW33">
        <v>0.06</v>
      </c>
      <c r="CX33">
        <v>481.01395733816503</v>
      </c>
      <c r="CY33" t="s">
        <v>1329</v>
      </c>
      <c r="CZ33">
        <v>-9.6707050316035742E-2</v>
      </c>
      <c r="DA33">
        <v>160.33798577938836</v>
      </c>
      <c r="DB33" t="s">
        <v>1330</v>
      </c>
      <c r="DC33">
        <v>-9.1871697800233951E-2</v>
      </c>
      <c r="DD33">
        <v>80.168992889694181</v>
      </c>
      <c r="DE33" t="s">
        <v>1331</v>
      </c>
      <c r="DF33">
        <v>-8.5102204278111451E-2</v>
      </c>
      <c r="DG33">
        <v>48.101395733816503</v>
      </c>
      <c r="DH33" t="s">
        <v>1332</v>
      </c>
      <c r="DI33">
        <v>-7.7365640252828605E-2</v>
      </c>
      <c r="DJ33">
        <v>24.050697866908251</v>
      </c>
      <c r="DK33" t="s">
        <v>1333</v>
      </c>
      <c r="DL33">
        <v>-6.7694935221225008E-2</v>
      </c>
      <c r="DM33">
        <v>12142000000</v>
      </c>
      <c r="DN33">
        <v>-9.6707050316035742E-2</v>
      </c>
      <c r="DO33">
        <v>5840471470000</v>
      </c>
      <c r="DP33">
        <v>0</v>
      </c>
      <c r="DQ33">
        <v>3789</v>
      </c>
      <c r="DR33">
        <v>4.1445700479741161</v>
      </c>
      <c r="DS33">
        <v>2.6356531902945468</v>
      </c>
      <c r="DT33" s="14">
        <v>-0.67333333333333334</v>
      </c>
      <c r="DU33">
        <v>-0.33333333333333331</v>
      </c>
      <c r="DV33">
        <v>-1.0066666666666666</v>
      </c>
      <c r="DW33">
        <v>-1.23E-2</v>
      </c>
      <c r="DX33">
        <v>0.49601540240782316</v>
      </c>
      <c r="DY33">
        <v>-2.6569894496162216E-3</v>
      </c>
      <c r="DZ33">
        <v>2933</v>
      </c>
      <c r="EA33">
        <v>-1.1319502997680069E-3</v>
      </c>
      <c r="EB33">
        <v>0</v>
      </c>
      <c r="EC33">
        <v>1.3285820081461203E-2</v>
      </c>
      <c r="ED33">
        <v>6.1504038440802565E-2</v>
      </c>
      <c r="EE33" s="15">
        <v>-1.02291</v>
      </c>
      <c r="EF33">
        <v>-1.0038100000000001</v>
      </c>
      <c r="EG33">
        <v>28.216015402407823</v>
      </c>
      <c r="EH33" t="s">
        <v>618</v>
      </c>
      <c r="EI33">
        <v>0</v>
      </c>
      <c r="EJ33">
        <v>0</v>
      </c>
      <c r="EK33" s="11">
        <v>45470</v>
      </c>
      <c r="EL33" s="16">
        <v>-0.19</v>
      </c>
      <c r="EM33" s="16">
        <v>0.77</v>
      </c>
      <c r="EN33" s="16">
        <v>0.19</v>
      </c>
      <c r="EO33" s="16">
        <v>-0.19</v>
      </c>
      <c r="EP33" s="16">
        <v>1.91</v>
      </c>
    </row>
    <row r="34" spans="1:146" ht="108" x14ac:dyDescent="0.25">
      <c r="A34" s="7"/>
      <c r="B34" s="7"/>
      <c r="C34" s="7" t="str">
        <f>""&amp;CHAR(10)&amp;Basic_Fundamental_Information_Constructure(F34)&amp;CHAR(10)&amp;Basic_Fundamental_Information_Concatenate("")</f>
        <v xml:space="preserve">
市值657.75111亿, 利润11.66亿; PE5.39; 平均PE8.55; 平均PEG.83, PB.561; ROIC0%; ROE10.7933%; 股利率5.5572%; 毛利0%; 净利44.44%; 上一年度营收增-76.48%, 利润增-89.37%; 当季营收增358.28%, 利润增914.85%; 过往5年营收增-10.32%, 利润增-8.82%
Income profile:
</v>
      </c>
      <c r="D34" t="s">
        <v>290</v>
      </c>
      <c r="E34" t="s">
        <v>291</v>
      </c>
      <c r="F34">
        <v>6.82</v>
      </c>
      <c r="G34">
        <v>-1.59</v>
      </c>
      <c r="H34" t="s">
        <v>1334</v>
      </c>
      <c r="I34">
        <v>65775111000</v>
      </c>
      <c r="J34">
        <v>5.39</v>
      </c>
      <c r="K34">
        <v>0.56100000000000005</v>
      </c>
      <c r="L34" t="s">
        <v>65</v>
      </c>
      <c r="M34" t="s">
        <v>1335</v>
      </c>
      <c r="N34" t="s">
        <v>1336</v>
      </c>
      <c r="O34" t="s">
        <v>1337</v>
      </c>
      <c r="P34">
        <v>3.69</v>
      </c>
      <c r="Q34" t="s">
        <v>1338</v>
      </c>
      <c r="R34">
        <v>3551958000</v>
      </c>
      <c r="S34" s="5">
        <v>1.4800000000000001E-2</v>
      </c>
      <c r="T34" t="s">
        <v>1339</v>
      </c>
      <c r="U34">
        <v>4621763400</v>
      </c>
      <c r="V34">
        <v>9644444400</v>
      </c>
      <c r="W34">
        <v>11.89</v>
      </c>
      <c r="X34">
        <v>0.01</v>
      </c>
      <c r="Y34">
        <v>51.31</v>
      </c>
      <c r="Z34" t="s">
        <v>5</v>
      </c>
      <c r="AA34" t="s">
        <v>5</v>
      </c>
      <c r="AB34" t="s">
        <v>5</v>
      </c>
      <c r="AC34" t="s">
        <v>5</v>
      </c>
      <c r="AD34" t="s">
        <v>5</v>
      </c>
      <c r="AE34">
        <v>0</v>
      </c>
      <c r="AF34" t="s">
        <v>1340</v>
      </c>
      <c r="AG34" t="s">
        <v>1341</v>
      </c>
      <c r="AH34" t="s">
        <v>1342</v>
      </c>
      <c r="AI34" t="s">
        <v>5</v>
      </c>
      <c r="AJ34" t="s">
        <v>21</v>
      </c>
      <c r="AK34" t="s">
        <v>5</v>
      </c>
      <c r="AL34" t="s">
        <v>21</v>
      </c>
      <c r="AM34" t="s">
        <v>1343</v>
      </c>
      <c r="AN34" t="s">
        <v>24</v>
      </c>
      <c r="AO34" t="s">
        <v>5</v>
      </c>
      <c r="AP34" t="s">
        <v>5</v>
      </c>
      <c r="AQ34" t="s">
        <v>5</v>
      </c>
      <c r="AR34" t="s">
        <v>5</v>
      </c>
      <c r="AS34" t="s">
        <v>5</v>
      </c>
      <c r="AT34" t="s">
        <v>5</v>
      </c>
      <c r="AU34" t="s">
        <v>1344</v>
      </c>
      <c r="AV34" t="s">
        <v>1345</v>
      </c>
      <c r="AW34" t="s">
        <v>1346</v>
      </c>
      <c r="AX34" t="s">
        <v>1347</v>
      </c>
      <c r="AY34" t="s">
        <v>434</v>
      </c>
      <c r="AZ34" t="s">
        <v>292</v>
      </c>
      <c r="BA34" t="s">
        <v>294</v>
      </c>
      <c r="BB34" t="s">
        <v>295</v>
      </c>
      <c r="BC34" t="s">
        <v>1348</v>
      </c>
      <c r="BD34" t="s">
        <v>435</v>
      </c>
      <c r="BE34" t="s">
        <v>293</v>
      </c>
      <c r="BF34" t="s">
        <v>296</v>
      </c>
      <c r="BG34" t="s">
        <v>297</v>
      </c>
      <c r="BH34" t="s">
        <v>1310</v>
      </c>
      <c r="BI34" t="s">
        <v>1349</v>
      </c>
      <c r="BJ34" t="s">
        <v>1347</v>
      </c>
      <c r="BK34" t="s">
        <v>1311</v>
      </c>
      <c r="BL34" t="s">
        <v>1350</v>
      </c>
      <c r="BM34" t="s">
        <v>1348</v>
      </c>
      <c r="BN34" t="s">
        <v>5</v>
      </c>
      <c r="BO34" t="s">
        <v>5</v>
      </c>
      <c r="BP34" t="s">
        <v>5</v>
      </c>
      <c r="BQ34">
        <v>9.77</v>
      </c>
      <c r="BR34">
        <v>11.22</v>
      </c>
      <c r="BS34">
        <v>11.39</v>
      </c>
      <c r="BT34" t="s">
        <v>1351</v>
      </c>
      <c r="BU34" t="s">
        <v>495</v>
      </c>
      <c r="BV34" t="s">
        <v>5</v>
      </c>
      <c r="BW34" t="s">
        <v>5</v>
      </c>
      <c r="BX34" t="s">
        <v>5</v>
      </c>
      <c r="BY34">
        <v>47.28</v>
      </c>
      <c r="BZ34">
        <v>44.46</v>
      </c>
      <c r="CA34">
        <v>41.58</v>
      </c>
      <c r="CB34">
        <v>1.49</v>
      </c>
      <c r="CC34">
        <v>-10.63</v>
      </c>
      <c r="CD34" t="s">
        <v>807</v>
      </c>
      <c r="CE34" t="s">
        <v>1352</v>
      </c>
      <c r="CF34" s="12">
        <v>3.5827943078913318</v>
      </c>
      <c r="CG34" s="13">
        <v>9.1484514285714287</v>
      </c>
      <c r="CH34" s="12">
        <v>-0.76481837034225464</v>
      </c>
      <c r="CI34" s="12">
        <v>6.0544658452272415E-2</v>
      </c>
      <c r="CJ34" s="12">
        <v>9.6370197832584381E-2</v>
      </c>
      <c r="CK34" s="12">
        <v>3.6152578890323639E-2</v>
      </c>
      <c r="CL34" s="12">
        <v>5.5894691497087479E-2</v>
      </c>
      <c r="CM34" s="13">
        <v>-0.89374887943267822</v>
      </c>
      <c r="CN34" s="13">
        <v>0.13157354295253754</v>
      </c>
      <c r="CO34" s="13">
        <v>0.18833476305007935</v>
      </c>
      <c r="CP34" s="13">
        <v>-7.7436149120330811E-2</v>
      </c>
      <c r="CQ34" s="13">
        <v>0.21045427024364471</v>
      </c>
      <c r="CR34">
        <v>8.5509211968886092</v>
      </c>
      <c r="CS34">
        <v>0.82880853937661803</v>
      </c>
      <c r="CT34">
        <v>5.5571847507331373</v>
      </c>
      <c r="CU34" s="12">
        <v>-0.10317124873399734</v>
      </c>
      <c r="CV34" s="13">
        <v>-8.8164490461349485E-2</v>
      </c>
      <c r="CW34">
        <v>0.06</v>
      </c>
      <c r="CX34">
        <v>1046.6175909090909</v>
      </c>
      <c r="CY34" t="s">
        <v>1353</v>
      </c>
      <c r="CZ34">
        <v>-0.10317124873399734</v>
      </c>
      <c r="DA34">
        <v>348.87253030303032</v>
      </c>
      <c r="DB34" t="s">
        <v>1354</v>
      </c>
      <c r="DC34">
        <v>-9.8012686297297466E-2</v>
      </c>
      <c r="DD34">
        <v>174.43626515151516</v>
      </c>
      <c r="DE34" t="s">
        <v>1355</v>
      </c>
      <c r="DF34">
        <v>-9.0790698885917662E-2</v>
      </c>
      <c r="DG34">
        <v>104.66175909090909</v>
      </c>
      <c r="DH34" t="s">
        <v>1356</v>
      </c>
      <c r="DI34">
        <v>-8.2536998987197879E-2</v>
      </c>
      <c r="DJ34">
        <v>52.330879545454543</v>
      </c>
      <c r="DK34" t="s">
        <v>1357</v>
      </c>
      <c r="DL34">
        <v>-7.2219874113798141E-2</v>
      </c>
      <c r="DM34">
        <v>1166000000</v>
      </c>
      <c r="DN34">
        <v>-0.10317124873399734</v>
      </c>
      <c r="DO34">
        <v>1220356111000</v>
      </c>
      <c r="DP34">
        <v>0</v>
      </c>
      <c r="DQ34">
        <v>3790</v>
      </c>
      <c r="DR34">
        <v>3.6859655566253293</v>
      </c>
      <c r="DS34">
        <v>9.2366159190327775</v>
      </c>
      <c r="DT34" s="14">
        <v>-0.77333333333333332</v>
      </c>
      <c r="DU34">
        <v>-0.10000000000000002</v>
      </c>
      <c r="DV34">
        <v>-0.87333333333333329</v>
      </c>
      <c r="DW34">
        <v>-2.1063000000000001</v>
      </c>
      <c r="DX34">
        <v>0.29235509859178965</v>
      </c>
      <c r="DY34">
        <v>-2.013006346980307</v>
      </c>
      <c r="DZ34">
        <v>2552</v>
      </c>
      <c r="EA34">
        <v>-2.0065108093102983</v>
      </c>
      <c r="EB34">
        <v>2</v>
      </c>
      <c r="EC34">
        <v>1.3790322644195035E-2</v>
      </c>
      <c r="ED34">
        <v>0.11270737379127822</v>
      </c>
      <c r="EE34" s="15">
        <v>1.0573999999999999</v>
      </c>
      <c r="EF34">
        <v>1.0702</v>
      </c>
      <c r="EG34">
        <v>17.12235509859179</v>
      </c>
      <c r="EH34" t="s">
        <v>677</v>
      </c>
      <c r="EI34">
        <v>0</v>
      </c>
      <c r="EJ34">
        <v>0</v>
      </c>
      <c r="EK34" s="11">
        <v>45470</v>
      </c>
      <c r="EL34" s="16">
        <v>-0.32</v>
      </c>
      <c r="EM34" s="16">
        <v>0.32</v>
      </c>
      <c r="EN34" s="16">
        <v>0.65</v>
      </c>
      <c r="EO34" s="16">
        <v>0.32</v>
      </c>
      <c r="EP34" s="16">
        <v>1.28</v>
      </c>
    </row>
    <row r="35" spans="1:146" ht="108" x14ac:dyDescent="0.25">
      <c r="A35" s="9"/>
      <c r="B35" s="9"/>
      <c r="C35" s="7" t="str">
        <f>""&amp;CHAR(10)&amp;Basic_Fundamental_Information_Constructure(F35)&amp;CHAR(10)&amp;Basic_Fundamental_Information_Concatenate("")</f>
        <v xml:space="preserve">
市值542.72503亿, 利润1611.44亿; PE4.52; 平均PE1.67; 平均PEG0, PB.792; ROIC0%; ROE16.9433%; 股利率6.3022%; 毛利0%; 净利49.0567%; 上一年度营收增14775.81%, 利润增1504.7%; 当季营收增-99.23%, 利润增-93.47%; 过往5年营收增2967.2%, 利润增318.17%
Income profile:
</v>
      </c>
      <c r="D35" t="s">
        <v>298</v>
      </c>
      <c r="E35" t="s">
        <v>1358</v>
      </c>
      <c r="F35">
        <v>14.23</v>
      </c>
      <c r="G35">
        <v>-2.5299999999999998</v>
      </c>
      <c r="H35" t="s">
        <v>1359</v>
      </c>
      <c r="I35">
        <v>54272503000</v>
      </c>
      <c r="J35">
        <v>4.5199999999999996</v>
      </c>
      <c r="K35">
        <v>0.79200000000000004</v>
      </c>
      <c r="L35" t="s">
        <v>65</v>
      </c>
      <c r="M35" t="s">
        <v>1360</v>
      </c>
      <c r="N35" t="s">
        <v>1361</v>
      </c>
      <c r="O35" t="s">
        <v>1362</v>
      </c>
      <c r="P35">
        <v>6.27</v>
      </c>
      <c r="Q35" t="s">
        <v>1363</v>
      </c>
      <c r="R35">
        <v>2850954000</v>
      </c>
      <c r="S35" s="5">
        <v>0.1283</v>
      </c>
      <c r="T35" t="s">
        <v>1364</v>
      </c>
      <c r="U35">
        <v>3806572400</v>
      </c>
      <c r="V35">
        <v>3813949600</v>
      </c>
      <c r="W35">
        <v>15.8</v>
      </c>
      <c r="X35">
        <v>0.01</v>
      </c>
      <c r="Y35">
        <v>50.57</v>
      </c>
      <c r="Z35" t="s">
        <v>5</v>
      </c>
      <c r="AA35" t="s">
        <v>5</v>
      </c>
      <c r="AB35" t="s">
        <v>5</v>
      </c>
      <c r="AC35" t="s">
        <v>5</v>
      </c>
      <c r="AD35" t="s">
        <v>5</v>
      </c>
      <c r="AE35">
        <v>0</v>
      </c>
      <c r="AF35" t="s">
        <v>1365</v>
      </c>
      <c r="AG35" t="s">
        <v>1366</v>
      </c>
      <c r="AH35" t="s">
        <v>1367</v>
      </c>
      <c r="AI35" t="s">
        <v>5</v>
      </c>
      <c r="AJ35" t="s">
        <v>21</v>
      </c>
      <c r="AK35" t="s">
        <v>5</v>
      </c>
      <c r="AL35" t="s">
        <v>21</v>
      </c>
      <c r="AM35" t="s">
        <v>1368</v>
      </c>
      <c r="AN35" t="s">
        <v>5</v>
      </c>
      <c r="AO35" t="s">
        <v>5</v>
      </c>
      <c r="AP35" t="s">
        <v>5</v>
      </c>
      <c r="AQ35" t="s">
        <v>5</v>
      </c>
      <c r="AR35" t="s">
        <v>5</v>
      </c>
      <c r="AS35" t="s">
        <v>5</v>
      </c>
      <c r="AT35" t="s">
        <v>5</v>
      </c>
      <c r="AU35" t="s">
        <v>1369</v>
      </c>
      <c r="AV35" t="s">
        <v>1370</v>
      </c>
      <c r="AW35" t="s">
        <v>1371</v>
      </c>
      <c r="AX35" t="s">
        <v>1372</v>
      </c>
      <c r="AY35" t="s">
        <v>436</v>
      </c>
      <c r="AZ35" t="s">
        <v>299</v>
      </c>
      <c r="BA35" t="s">
        <v>301</v>
      </c>
      <c r="BB35" t="s">
        <v>302</v>
      </c>
      <c r="BC35" t="s">
        <v>1373</v>
      </c>
      <c r="BD35" t="s">
        <v>437</v>
      </c>
      <c r="BE35" t="s">
        <v>300</v>
      </c>
      <c r="BF35" t="s">
        <v>303</v>
      </c>
      <c r="BG35" t="s">
        <v>304</v>
      </c>
      <c r="BH35" t="s">
        <v>1374</v>
      </c>
      <c r="BI35" t="s">
        <v>1375</v>
      </c>
      <c r="BJ35" t="s">
        <v>1372</v>
      </c>
      <c r="BK35" t="s">
        <v>1376</v>
      </c>
      <c r="BL35" t="s">
        <v>1377</v>
      </c>
      <c r="BM35" t="s">
        <v>1373</v>
      </c>
      <c r="BN35" t="s">
        <v>5</v>
      </c>
      <c r="BO35" t="s">
        <v>5</v>
      </c>
      <c r="BP35" t="s">
        <v>5</v>
      </c>
      <c r="BQ35">
        <v>13.75</v>
      </c>
      <c r="BR35">
        <v>19.48</v>
      </c>
      <c r="BS35">
        <v>17.600000000000001</v>
      </c>
      <c r="BT35" t="s">
        <v>1378</v>
      </c>
      <c r="BU35" t="s">
        <v>493</v>
      </c>
      <c r="BV35" t="s">
        <v>5</v>
      </c>
      <c r="BW35" t="s">
        <v>5</v>
      </c>
      <c r="BX35" t="s">
        <v>5</v>
      </c>
      <c r="BY35">
        <v>53.78</v>
      </c>
      <c r="BZ35">
        <v>49.62</v>
      </c>
      <c r="CA35">
        <v>43.77</v>
      </c>
      <c r="CB35">
        <v>-0.44</v>
      </c>
      <c r="CC35">
        <v>-4.7699999999999996</v>
      </c>
      <c r="CD35" t="s">
        <v>1379</v>
      </c>
      <c r="CE35" t="s">
        <v>1380</v>
      </c>
      <c r="CF35" s="12">
        <v>-0.99230276693548281</v>
      </c>
      <c r="CG35" s="13">
        <v>-0.93465610818244327</v>
      </c>
      <c r="CH35" s="12">
        <v>147.758056640625</v>
      </c>
      <c r="CI35" s="12">
        <v>0.13141416013240814</v>
      </c>
      <c r="CJ35" s="12">
        <v>0.22534257173538208</v>
      </c>
      <c r="CK35" s="12">
        <v>0.14734768867492676</v>
      </c>
      <c r="CL35" s="12">
        <v>9.7929298877716064E-2</v>
      </c>
      <c r="CM35" s="13">
        <v>15.047001838684082</v>
      </c>
      <c r="CN35" s="13">
        <v>0.28233945369720459</v>
      </c>
      <c r="CO35" s="13">
        <v>0.29975107312202454</v>
      </c>
      <c r="CP35" s="13">
        <v>8.5389994084835052E-2</v>
      </c>
      <c r="CQ35" s="13">
        <v>0.19402025640010834</v>
      </c>
      <c r="CR35">
        <v>1.6678533204945658</v>
      </c>
      <c r="CS35">
        <v>5.6209635503960708E-4</v>
      </c>
      <c r="CT35">
        <v>6.3021784961349256</v>
      </c>
      <c r="CU35" s="12">
        <v>29.672018072009088</v>
      </c>
      <c r="CV35" s="13">
        <v>3.1817005231976507</v>
      </c>
      <c r="CW35">
        <v>0.06</v>
      </c>
      <c r="CX35">
        <v>0.21437562603300012</v>
      </c>
      <c r="CY35">
        <v>4662841207731.917</v>
      </c>
      <c r="CZ35">
        <v>29.672018072009088</v>
      </c>
      <c r="DA35">
        <v>2.8632113312931332E-4</v>
      </c>
      <c r="DB35">
        <v>3491183106447624.5</v>
      </c>
      <c r="DC35">
        <v>28.188417168408634</v>
      </c>
      <c r="DD35">
        <v>2.1292018764055706E-8</v>
      </c>
      <c r="DE35">
        <v>4.6947145504468648E+19</v>
      </c>
      <c r="DF35">
        <v>26.111375903367996</v>
      </c>
      <c r="DG35">
        <v>1.2390034225951094E-13</v>
      </c>
      <c r="DH35">
        <v>8.0677703125817475E+24</v>
      </c>
      <c r="DI35">
        <v>23.737614457607272</v>
      </c>
      <c r="DJ35">
        <v>3.3091623001689695E-26</v>
      </c>
      <c r="DK35">
        <v>3.0207025595237781E+37</v>
      </c>
      <c r="DL35">
        <v>20.77041265040636</v>
      </c>
      <c r="DM35">
        <v>161144000000</v>
      </c>
      <c r="DN35">
        <v>29.672018072009088</v>
      </c>
      <c r="DO35">
        <v>999599503000</v>
      </c>
      <c r="DP35">
        <v>0</v>
      </c>
      <c r="DQ35">
        <v>3793</v>
      </c>
      <c r="DR35">
        <v>-30.664320838944573</v>
      </c>
      <c r="DS35">
        <v>-4.1163566313800937</v>
      </c>
      <c r="DT35" s="14">
        <v>-6.6666666666666714E-3</v>
      </c>
      <c r="DU35">
        <v>0.24333333333333326</v>
      </c>
      <c r="DV35">
        <v>0.23666666666666658</v>
      </c>
      <c r="DW35">
        <v>-1.0477000000000001</v>
      </c>
      <c r="DX35">
        <v>0.66631205673758553</v>
      </c>
      <c r="DY35">
        <v>-1.0103180851063829</v>
      </c>
      <c r="DZ35">
        <v>4645</v>
      </c>
      <c r="EA35">
        <v>-1.0009389255527334</v>
      </c>
      <c r="EB35">
        <v>1</v>
      </c>
      <c r="EC35">
        <v>3.1987837490039195E-2</v>
      </c>
      <c r="ED35">
        <v>0.14787819954411563</v>
      </c>
      <c r="EE35" s="15">
        <v>3.1609999999999999E-2</v>
      </c>
      <c r="EF35">
        <v>7.571E-2</v>
      </c>
      <c r="EG35">
        <v>45.216312056737586</v>
      </c>
      <c r="EH35">
        <v>-1</v>
      </c>
      <c r="EI35">
        <v>0</v>
      </c>
      <c r="EJ35">
        <v>0</v>
      </c>
      <c r="EK35" s="11">
        <v>45470</v>
      </c>
      <c r="EL35" s="16">
        <v>-0.76</v>
      </c>
      <c r="EM35" s="16">
        <v>-4.2</v>
      </c>
      <c r="EN35" s="16">
        <v>2.39</v>
      </c>
      <c r="EO35" s="16">
        <v>5.84</v>
      </c>
      <c r="EP35" s="16">
        <v>-4.41</v>
      </c>
    </row>
    <row r="36" spans="1:146" ht="108" x14ac:dyDescent="0.25">
      <c r="A36" s="7"/>
      <c r="B36" s="7"/>
      <c r="C36" s="7" t="str">
        <f>""&amp;CHAR(10)&amp;Basic_Fundamental_Information_Constructure(F36)&amp;CHAR(10)&amp;Basic_Fundamental_Information_Concatenate("")</f>
        <v xml:space="preserve">
市值92.622814亿, 利润27.60亿; PE5.65; 平均PE5.56; 平均PEG.07, PB.497; ROIC0%; ROE9.01%; 股利率3.9526%; 毛利0%; 净利35.2633%; 上一年度营收增377.57%, 利润增72.5%; 当季营收增-77.67%, 利润增-20.67%; 过往5年营收增76.9%, 利润增19.59%
Income profile:
</v>
      </c>
      <c r="D36" t="s">
        <v>305</v>
      </c>
      <c r="E36" t="s">
        <v>306</v>
      </c>
      <c r="F36">
        <v>2.5299999999999998</v>
      </c>
      <c r="G36">
        <v>-1.17</v>
      </c>
      <c r="H36" t="s">
        <v>1381</v>
      </c>
      <c r="I36">
        <v>9262281400</v>
      </c>
      <c r="J36">
        <v>5.65</v>
      </c>
      <c r="K36">
        <v>0.497</v>
      </c>
      <c r="L36" t="s">
        <v>65</v>
      </c>
      <c r="M36" t="s">
        <v>1382</v>
      </c>
      <c r="N36" t="s">
        <v>1383</v>
      </c>
      <c r="O36" t="s">
        <v>1384</v>
      </c>
      <c r="P36">
        <v>9.84</v>
      </c>
      <c r="Q36" t="s">
        <v>1385</v>
      </c>
      <c r="R36">
        <v>405376000</v>
      </c>
      <c r="S36" s="5">
        <v>5.3999999999999999E-2</v>
      </c>
      <c r="T36" t="s">
        <v>1386</v>
      </c>
      <c r="U36">
        <v>3540621200</v>
      </c>
      <c r="V36">
        <v>3660980800</v>
      </c>
      <c r="W36">
        <v>13.79</v>
      </c>
      <c r="X36">
        <v>0</v>
      </c>
      <c r="Y36">
        <v>33.83</v>
      </c>
      <c r="Z36" t="s">
        <v>5</v>
      </c>
      <c r="AA36" t="s">
        <v>5</v>
      </c>
      <c r="AB36" t="s">
        <v>5</v>
      </c>
      <c r="AC36" t="s">
        <v>5</v>
      </c>
      <c r="AD36" t="s">
        <v>5</v>
      </c>
      <c r="AE36">
        <v>0</v>
      </c>
      <c r="AF36" t="s">
        <v>1387</v>
      </c>
      <c r="AG36" t="s">
        <v>1388</v>
      </c>
      <c r="AH36" t="s">
        <v>1389</v>
      </c>
      <c r="AI36" t="s">
        <v>5</v>
      </c>
      <c r="AJ36" t="s">
        <v>21</v>
      </c>
      <c r="AK36" t="s">
        <v>5</v>
      </c>
      <c r="AL36" t="s">
        <v>21</v>
      </c>
      <c r="AM36" t="s">
        <v>1390</v>
      </c>
      <c r="AN36" t="s">
        <v>1391</v>
      </c>
      <c r="AO36" t="s">
        <v>5</v>
      </c>
      <c r="AP36" t="s">
        <v>5</v>
      </c>
      <c r="AQ36" t="s">
        <v>5</v>
      </c>
      <c r="AR36" t="s">
        <v>5</v>
      </c>
      <c r="AS36" t="s">
        <v>5</v>
      </c>
      <c r="AT36" t="s">
        <v>5</v>
      </c>
      <c r="AU36" t="s">
        <v>1392</v>
      </c>
      <c r="AV36" t="s">
        <v>1393</v>
      </c>
      <c r="AW36" t="s">
        <v>1394</v>
      </c>
      <c r="AX36" t="s">
        <v>1395</v>
      </c>
      <c r="AY36" t="s">
        <v>438</v>
      </c>
      <c r="AZ36" t="s">
        <v>307</v>
      </c>
      <c r="BA36" t="s">
        <v>309</v>
      </c>
      <c r="BB36" t="s">
        <v>310</v>
      </c>
      <c r="BC36" t="s">
        <v>1396</v>
      </c>
      <c r="BD36" t="s">
        <v>439</v>
      </c>
      <c r="BE36" t="s">
        <v>308</v>
      </c>
      <c r="BF36" t="s">
        <v>311</v>
      </c>
      <c r="BG36" t="s">
        <v>55</v>
      </c>
      <c r="BH36" t="s">
        <v>1397</v>
      </c>
      <c r="BI36" t="s">
        <v>1398</v>
      </c>
      <c r="BJ36" t="s">
        <v>1395</v>
      </c>
      <c r="BK36" t="s">
        <v>1399</v>
      </c>
      <c r="BL36" t="s">
        <v>1400</v>
      </c>
      <c r="BM36" t="s">
        <v>1396</v>
      </c>
      <c r="BN36" t="s">
        <v>5</v>
      </c>
      <c r="BO36" t="s">
        <v>5</v>
      </c>
      <c r="BP36" t="s">
        <v>5</v>
      </c>
      <c r="BQ36">
        <v>7.54</v>
      </c>
      <c r="BR36">
        <v>9.64</v>
      </c>
      <c r="BS36">
        <v>9.85</v>
      </c>
      <c r="BT36" t="s">
        <v>553</v>
      </c>
      <c r="BU36" t="s">
        <v>495</v>
      </c>
      <c r="BV36" t="s">
        <v>5</v>
      </c>
      <c r="BW36" t="s">
        <v>5</v>
      </c>
      <c r="BX36" t="s">
        <v>5</v>
      </c>
      <c r="BY36">
        <v>36.619999999999997</v>
      </c>
      <c r="BZ36">
        <v>35.51</v>
      </c>
      <c r="CA36">
        <v>33.659999999999997</v>
      </c>
      <c r="CB36">
        <v>1.2</v>
      </c>
      <c r="CC36">
        <v>-5.24</v>
      </c>
      <c r="CD36" t="s">
        <v>1401</v>
      </c>
      <c r="CE36" t="s">
        <v>561</v>
      </c>
      <c r="CF36" s="12">
        <v>-0.77670083876980434</v>
      </c>
      <c r="CG36" s="13">
        <v>-0.20670058708414882</v>
      </c>
      <c r="CH36" s="12">
        <v>3.7756826877593994</v>
      </c>
      <c r="CI36" s="12">
        <v>1.110546407289803E-3</v>
      </c>
      <c r="CJ36" s="12">
        <v>5.5840821005403996E-3</v>
      </c>
      <c r="CK36" s="12">
        <v>-4.2352858930826187E-2</v>
      </c>
      <c r="CL36" s="12">
        <v>0.10520093142986298</v>
      </c>
      <c r="CM36" s="13">
        <v>0.72500002384185791</v>
      </c>
      <c r="CN36" s="13">
        <v>5.6105565279722214E-2</v>
      </c>
      <c r="CO36" s="13">
        <v>5.1353316754102707E-2</v>
      </c>
      <c r="CP36" s="13">
        <v>1.6937192529439926E-2</v>
      </c>
      <c r="CQ36" s="13">
        <v>0.12998400628566742</v>
      </c>
      <c r="CR36">
        <v>5.5646028236707723</v>
      </c>
      <c r="CS36">
        <v>7.2357303682738933E-2</v>
      </c>
      <c r="CT36">
        <v>3.9525691699604746</v>
      </c>
      <c r="CU36" s="12">
        <v>0.76904507775325326</v>
      </c>
      <c r="CV36" s="13">
        <v>0.19587602093815804</v>
      </c>
      <c r="CW36">
        <v>0.06</v>
      </c>
      <c r="CX36">
        <v>47.65004176664992</v>
      </c>
      <c r="CY36">
        <v>4606192843.9613008</v>
      </c>
      <c r="CZ36">
        <v>0.76904507775325326</v>
      </c>
      <c r="DA36">
        <v>9.1935787363977113</v>
      </c>
      <c r="DB36">
        <v>23873758815.057491</v>
      </c>
      <c r="DC36">
        <v>0.73059282386559055</v>
      </c>
      <c r="DD36">
        <v>1.9943254438787537</v>
      </c>
      <c r="DE36">
        <v>110054897044.84947</v>
      </c>
      <c r="DF36">
        <v>0.67675966842286284</v>
      </c>
      <c r="DG36">
        <v>0.41107283411978324</v>
      </c>
      <c r="DH36">
        <v>533932829373.11243</v>
      </c>
      <c r="DI36">
        <v>0.61523606220260263</v>
      </c>
      <c r="DJ36">
        <v>1.4406108657551341E-2</v>
      </c>
      <c r="DK36">
        <v>15235570313774.566</v>
      </c>
      <c r="DL36">
        <v>0.5383315544272772</v>
      </c>
      <c r="DM36">
        <v>2760000000</v>
      </c>
      <c r="DN36">
        <v>0.76904507775325326</v>
      </c>
      <c r="DO36">
        <v>219485281399.99997</v>
      </c>
      <c r="DP36">
        <v>0</v>
      </c>
      <c r="DQ36">
        <v>3796</v>
      </c>
      <c r="DR36">
        <v>-1.5457459165230576</v>
      </c>
      <c r="DS36">
        <v>-0.40257660802230688</v>
      </c>
      <c r="DT36" s="14">
        <v>-0.14000000000000004</v>
      </c>
      <c r="DU36">
        <v>0.11333333333333333</v>
      </c>
      <c r="DV36">
        <v>-2.6666666666666713E-2</v>
      </c>
      <c r="DW36">
        <v>-1.0524</v>
      </c>
      <c r="DX36">
        <v>0.39287014976318457</v>
      </c>
      <c r="DY36">
        <v>-1.0090583958475909</v>
      </c>
      <c r="DZ36">
        <v>3141</v>
      </c>
      <c r="EA36">
        <v>-1.0034904073236608</v>
      </c>
      <c r="EB36">
        <v>1</v>
      </c>
      <c r="EC36">
        <v>5.708852665930398E-2</v>
      </c>
      <c r="ED36">
        <v>0.33023937191913161</v>
      </c>
      <c r="EE36" s="15">
        <v>2.0099999999999998</v>
      </c>
      <c r="EF36">
        <v>2.0074000000000001</v>
      </c>
      <c r="EG36">
        <v>22.172870149763185</v>
      </c>
      <c r="EH36" t="s">
        <v>717</v>
      </c>
      <c r="EI36">
        <v>0</v>
      </c>
      <c r="EJ36">
        <v>0</v>
      </c>
      <c r="EK36" s="11">
        <v>45470</v>
      </c>
      <c r="EL36" s="16">
        <v>-0.56000000000000005</v>
      </c>
      <c r="EM36" s="16">
        <v>-4.01</v>
      </c>
      <c r="EN36" s="16">
        <v>-1.29</v>
      </c>
      <c r="EO36" s="16">
        <v>5.53</v>
      </c>
      <c r="EP36" s="16">
        <v>-0.26</v>
      </c>
    </row>
    <row r="37" spans="1:146" ht="108" x14ac:dyDescent="0.25">
      <c r="A37" s="7"/>
      <c r="B37" s="7"/>
      <c r="C37" s="7" t="str">
        <f>""&amp;CHAR(10)&amp;Basic_Fundamental_Information_Constructure(F37)&amp;CHAR(10)&amp;Basic_Fundamental_Information_Concatenate("")</f>
        <v xml:space="preserve">
市值763.51688亿, 利润21.09亿; PE4.98; 平均PE7.04; 平均PEG1.15, PB.456; ROIC0%; ROE9.19%; 股利率5.8993%; 毛利0%; 净利23.6433%; 上一年度营收增-78.97%, 利润增-84.51%; 当季营收增535.6%, 利润增895.45%; 过往5年营收增-6.14%, 利润增-13.27%
Income profile:
</v>
      </c>
      <c r="D37" t="s">
        <v>312</v>
      </c>
      <c r="E37" t="s">
        <v>313</v>
      </c>
      <c r="F37">
        <v>2.78</v>
      </c>
      <c r="G37">
        <v>-1.42</v>
      </c>
      <c r="H37" t="s">
        <v>1402</v>
      </c>
      <c r="I37">
        <v>76351688000</v>
      </c>
      <c r="J37">
        <v>4.9800000000000004</v>
      </c>
      <c r="K37">
        <v>0.45600000000000002</v>
      </c>
      <c r="L37" t="s">
        <v>65</v>
      </c>
      <c r="M37" t="s">
        <v>1403</v>
      </c>
      <c r="N37" t="s">
        <v>1404</v>
      </c>
      <c r="O37" t="s">
        <v>1405</v>
      </c>
      <c r="P37">
        <v>16.649999999999999</v>
      </c>
      <c r="Q37" t="s">
        <v>1406</v>
      </c>
      <c r="R37">
        <v>5913000000</v>
      </c>
      <c r="S37" s="5">
        <v>5.1200000000000002E-2</v>
      </c>
      <c r="T37" t="s">
        <v>1407</v>
      </c>
      <c r="U37">
        <v>21544436000</v>
      </c>
      <c r="V37">
        <v>27464636000</v>
      </c>
      <c r="W37">
        <v>16.14</v>
      </c>
      <c r="X37">
        <v>0.01</v>
      </c>
      <c r="Y37">
        <v>32.74</v>
      </c>
      <c r="Z37" t="s">
        <v>5</v>
      </c>
      <c r="AA37" t="s">
        <v>5</v>
      </c>
      <c r="AB37" t="s">
        <v>5</v>
      </c>
      <c r="AC37" t="s">
        <v>5</v>
      </c>
      <c r="AD37" t="s">
        <v>5</v>
      </c>
      <c r="AE37">
        <v>0</v>
      </c>
      <c r="AF37" t="s">
        <v>1408</v>
      </c>
      <c r="AG37" t="s">
        <v>1409</v>
      </c>
      <c r="AH37" t="s">
        <v>1410</v>
      </c>
      <c r="AI37" t="s">
        <v>5</v>
      </c>
      <c r="AJ37" t="s">
        <v>21</v>
      </c>
      <c r="AK37" t="s">
        <v>5</v>
      </c>
      <c r="AL37" t="s">
        <v>21</v>
      </c>
      <c r="AM37" t="s">
        <v>1411</v>
      </c>
      <c r="AN37" t="s">
        <v>5</v>
      </c>
      <c r="AO37" t="s">
        <v>5</v>
      </c>
      <c r="AP37" t="s">
        <v>5</v>
      </c>
      <c r="AQ37" t="s">
        <v>5</v>
      </c>
      <c r="AR37" t="s">
        <v>5</v>
      </c>
      <c r="AS37" t="s">
        <v>5</v>
      </c>
      <c r="AT37" t="s">
        <v>5</v>
      </c>
      <c r="AU37" t="s">
        <v>1412</v>
      </c>
      <c r="AV37" t="s">
        <v>1413</v>
      </c>
      <c r="AW37" t="s">
        <v>1414</v>
      </c>
      <c r="AX37" t="s">
        <v>1415</v>
      </c>
      <c r="AY37" t="s">
        <v>440</v>
      </c>
      <c r="AZ37" t="s">
        <v>314</v>
      </c>
      <c r="BA37" t="s">
        <v>316</v>
      </c>
      <c r="BB37" t="s">
        <v>317</v>
      </c>
      <c r="BC37" t="s">
        <v>1416</v>
      </c>
      <c r="BD37" t="s">
        <v>441</v>
      </c>
      <c r="BE37" t="s">
        <v>315</v>
      </c>
      <c r="BF37" t="s">
        <v>318</v>
      </c>
      <c r="BG37" t="s">
        <v>319</v>
      </c>
      <c r="BH37" t="s">
        <v>1417</v>
      </c>
      <c r="BI37" t="s">
        <v>1418</v>
      </c>
      <c r="BJ37" t="s">
        <v>1415</v>
      </c>
      <c r="BK37" t="s">
        <v>1419</v>
      </c>
      <c r="BL37" t="s">
        <v>1420</v>
      </c>
      <c r="BM37" t="s">
        <v>1416</v>
      </c>
      <c r="BN37" t="s">
        <v>5</v>
      </c>
      <c r="BO37" t="s">
        <v>5</v>
      </c>
      <c r="BP37" t="s">
        <v>5</v>
      </c>
      <c r="BQ37">
        <v>8.73</v>
      </c>
      <c r="BR37">
        <v>9.01</v>
      </c>
      <c r="BS37">
        <v>9.83</v>
      </c>
      <c r="BT37" t="s">
        <v>1421</v>
      </c>
      <c r="BU37" t="s">
        <v>492</v>
      </c>
      <c r="BV37" t="s">
        <v>5</v>
      </c>
      <c r="BW37" t="s">
        <v>5</v>
      </c>
      <c r="BX37" t="s">
        <v>5</v>
      </c>
      <c r="BY37">
        <v>24.32</v>
      </c>
      <c r="BZ37">
        <v>22.9</v>
      </c>
      <c r="CA37">
        <v>23.71</v>
      </c>
      <c r="CB37">
        <v>0.72</v>
      </c>
      <c r="CC37">
        <v>-4.01</v>
      </c>
      <c r="CD37" t="s">
        <v>1422</v>
      </c>
      <c r="CE37" t="s">
        <v>1423</v>
      </c>
      <c r="CF37" s="12">
        <v>5.3560082872928181</v>
      </c>
      <c r="CG37" s="13">
        <v>8.954545454545455</v>
      </c>
      <c r="CH37" s="12">
        <v>-0.78971928358078003</v>
      </c>
      <c r="CI37" s="12">
        <v>0.12142240256071091</v>
      </c>
      <c r="CJ37" s="12">
        <v>0.14187788963317871</v>
      </c>
      <c r="CK37" s="12">
        <v>2.888013981282711E-2</v>
      </c>
      <c r="CL37" s="12">
        <v>0.19056060910224915</v>
      </c>
      <c r="CM37" s="13">
        <v>-0.84513145685195923</v>
      </c>
      <c r="CN37" s="13">
        <v>7.6692000031471252E-2</v>
      </c>
      <c r="CO37" s="13">
        <v>2.7540765702724457E-2</v>
      </c>
      <c r="CP37" s="13">
        <v>-4.758588969707489E-2</v>
      </c>
      <c r="CQ37" s="13">
        <v>0.12480421364307404</v>
      </c>
      <c r="CR37">
        <v>7.0372381332759844</v>
      </c>
      <c r="CS37">
        <v>1.1462112227582584</v>
      </c>
      <c r="CT37">
        <v>5.8992805755395681</v>
      </c>
      <c r="CU37" s="12">
        <v>-6.1395648494362833E-2</v>
      </c>
      <c r="CV37" s="13">
        <v>-0.13273607343435287</v>
      </c>
      <c r="CW37">
        <v>0.06</v>
      </c>
      <c r="CX37">
        <v>1344.1354613560929</v>
      </c>
      <c r="CY37" t="s">
        <v>1424</v>
      </c>
      <c r="CZ37">
        <v>-6.1395648494362833E-2</v>
      </c>
      <c r="DA37">
        <v>448.04515378536433</v>
      </c>
      <c r="DB37" t="s">
        <v>1425</v>
      </c>
      <c r="DC37">
        <v>-5.832586606964469E-2</v>
      </c>
      <c r="DD37">
        <v>224.02257689268217</v>
      </c>
      <c r="DE37" t="s">
        <v>1426</v>
      </c>
      <c r="DF37">
        <v>-5.4028170675039296E-2</v>
      </c>
      <c r="DG37">
        <v>134.41354613560929</v>
      </c>
      <c r="DH37" t="s">
        <v>1427</v>
      </c>
      <c r="DI37">
        <v>-4.9116518795490269E-2</v>
      </c>
      <c r="DJ37">
        <v>67.206773067804647</v>
      </c>
      <c r="DK37" t="s">
        <v>1428</v>
      </c>
      <c r="DL37">
        <v>-4.2976953946053983E-2</v>
      </c>
      <c r="DM37">
        <v>2109000000</v>
      </c>
      <c r="DN37">
        <v>-6.1395648494362833E-2</v>
      </c>
      <c r="DO37">
        <v>2834781688000</v>
      </c>
      <c r="DP37">
        <v>0</v>
      </c>
      <c r="DQ37">
        <v>3815</v>
      </c>
      <c r="DR37">
        <v>5.4174039357871813</v>
      </c>
      <c r="DS37">
        <v>9.0872815279798083</v>
      </c>
      <c r="DT37" s="14">
        <v>-0.67333333333333334</v>
      </c>
      <c r="DU37">
        <v>-0.33333333333333331</v>
      </c>
      <c r="DV37">
        <v>-1.0066666666666666</v>
      </c>
      <c r="DW37">
        <v>-1.0401</v>
      </c>
      <c r="DX37">
        <v>0.43014721358761521</v>
      </c>
      <c r="DY37">
        <v>-1.0068229032648632</v>
      </c>
      <c r="DZ37">
        <v>3013</v>
      </c>
      <c r="EA37">
        <v>-1.0027999272302188</v>
      </c>
      <c r="EB37">
        <v>1</v>
      </c>
      <c r="EC37">
        <v>1.8095998068206692E-2</v>
      </c>
      <c r="ED37">
        <v>0.1063549504169653</v>
      </c>
      <c r="EE37" s="15">
        <v>-3.0357099999999999</v>
      </c>
      <c r="EF37">
        <v>-3.0697100000000002</v>
      </c>
      <c r="EG37">
        <v>26.170147213587615</v>
      </c>
      <c r="EH37" t="s">
        <v>1001</v>
      </c>
      <c r="EI37">
        <v>0</v>
      </c>
      <c r="EJ37">
        <v>0</v>
      </c>
      <c r="EK37" s="11">
        <v>45470</v>
      </c>
      <c r="EL37" s="16">
        <v>0</v>
      </c>
      <c r="EM37" s="16">
        <v>-3.08</v>
      </c>
      <c r="EN37" s="16">
        <v>0</v>
      </c>
      <c r="EO37" s="16">
        <v>5.16</v>
      </c>
      <c r="EP37" s="16">
        <v>-3.4</v>
      </c>
    </row>
    <row r="38" spans="1:146" ht="192" x14ac:dyDescent="0.25">
      <c r="A38" s="7"/>
      <c r="B38" s="7"/>
      <c r="C38" s="7" t="str">
        <f>"公司成立于2004年9月17日，其主营业务为银行业及有关的金融服务，主要产品有公司存款业务、公司贷款业务、小企业业务、个人存款业务、个人贷款业务、信用卡业务、借记卡业务、私人银行业务、委托性住房金融业务。"&amp;CHAR(10)&amp;Basic_Fundamental_Information_Constructure(F38)&amp;CHAR(10)&amp;Basic_Fundamental_Information_Concatenate("利息收入 5649.57亿 81.65%
手续费及佣金收入 771.39亿 11.15%
其他业务收入 465.24亿 6.72%
投资收益 75.75亿 1.09%")</f>
        <v>公司成立于2004年9月17日，其主营业务为银行业及有关的金融服务，主要产品有公司存款业务、公司贷款业务、小企业业务、个人存款业务、个人贷款业务、信用卡业务、借记卡业务、私人银行业务、委托性住房金融业务。
市值18900.83亿, 利润9.67亿; PE5.71; 平均PE7.98; 平均PEG.49, PB.621; ROIC0%; ROE11.2867%; 股利率5.291%; 毛利0%; 净利39.7833%; 上一年度营收增-99.2%, 利润增-99.7%; 当季营收增19618.16%, 利润增263382.63%; 过往5年营收增-16.17%, 利润增-14.88%
Income profile:
利息收入 5649.57亿 81.65%
手续费及佣金收入 771.39亿 11.15%
其他业务收入 465.24亿 6.72%
投资收益 75.75亿 1.09%</v>
      </c>
      <c r="D38" t="s">
        <v>320</v>
      </c>
      <c r="E38" t="s">
        <v>321</v>
      </c>
      <c r="F38">
        <v>7.56</v>
      </c>
      <c r="G38">
        <v>-1.69</v>
      </c>
      <c r="H38" t="s">
        <v>675</v>
      </c>
      <c r="I38">
        <v>1890083000000</v>
      </c>
      <c r="J38">
        <v>5.71</v>
      </c>
      <c r="K38">
        <v>0.621</v>
      </c>
      <c r="L38" t="s">
        <v>65</v>
      </c>
      <c r="M38" t="s">
        <v>1429</v>
      </c>
      <c r="N38" t="s">
        <v>1430</v>
      </c>
      <c r="O38" t="s">
        <v>1431</v>
      </c>
      <c r="P38">
        <v>-2.97</v>
      </c>
      <c r="Q38" t="s">
        <v>1432</v>
      </c>
      <c r="R38">
        <v>86817000000</v>
      </c>
      <c r="S38" s="5">
        <v>-2.1700000000000001E-2</v>
      </c>
      <c r="T38" t="s">
        <v>1433</v>
      </c>
      <c r="U38">
        <v>9593657600</v>
      </c>
      <c r="V38">
        <v>250010980000</v>
      </c>
      <c r="W38">
        <v>12.18</v>
      </c>
      <c r="X38">
        <v>0.01</v>
      </c>
      <c r="Y38">
        <v>43.25</v>
      </c>
      <c r="Z38" t="s">
        <v>5</v>
      </c>
      <c r="AA38" t="s">
        <v>5</v>
      </c>
      <c r="AB38" t="s">
        <v>5</v>
      </c>
      <c r="AC38" t="s">
        <v>5</v>
      </c>
      <c r="AD38" t="s">
        <v>5</v>
      </c>
      <c r="AE38">
        <v>0</v>
      </c>
      <c r="AF38" t="s">
        <v>1434</v>
      </c>
      <c r="AG38" t="s">
        <v>1435</v>
      </c>
      <c r="AH38" t="s">
        <v>1436</v>
      </c>
      <c r="AI38" t="s">
        <v>5</v>
      </c>
      <c r="AJ38" t="s">
        <v>21</v>
      </c>
      <c r="AK38" t="s">
        <v>5</v>
      </c>
      <c r="AL38" t="s">
        <v>21</v>
      </c>
      <c r="AM38" t="s">
        <v>1437</v>
      </c>
      <c r="AN38" t="s">
        <v>1438</v>
      </c>
      <c r="AO38" t="s">
        <v>5</v>
      </c>
      <c r="AP38" t="s">
        <v>5</v>
      </c>
      <c r="AQ38" t="s">
        <v>5</v>
      </c>
      <c r="AR38" t="s">
        <v>5</v>
      </c>
      <c r="AS38" t="s">
        <v>5</v>
      </c>
      <c r="AT38" t="s">
        <v>5</v>
      </c>
      <c r="AU38" t="s">
        <v>1439</v>
      </c>
      <c r="AV38" t="s">
        <v>1440</v>
      </c>
      <c r="AW38" t="s">
        <v>1441</v>
      </c>
      <c r="AX38" t="s">
        <v>1442</v>
      </c>
      <c r="AY38" t="s">
        <v>442</v>
      </c>
      <c r="AZ38" t="s">
        <v>322</v>
      </c>
      <c r="BA38" t="s">
        <v>324</v>
      </c>
      <c r="BB38" t="s">
        <v>325</v>
      </c>
      <c r="BC38" t="s">
        <v>1443</v>
      </c>
      <c r="BD38" t="s">
        <v>443</v>
      </c>
      <c r="BE38" t="s">
        <v>323</v>
      </c>
      <c r="BF38" t="s">
        <v>326</v>
      </c>
      <c r="BG38" t="s">
        <v>327</v>
      </c>
      <c r="BH38" t="s">
        <v>1444</v>
      </c>
      <c r="BI38" t="s">
        <v>1445</v>
      </c>
      <c r="BJ38" t="s">
        <v>1442</v>
      </c>
      <c r="BK38" t="s">
        <v>1446</v>
      </c>
      <c r="BL38" t="s">
        <v>1447</v>
      </c>
      <c r="BM38" t="s">
        <v>1443</v>
      </c>
      <c r="BN38" t="s">
        <v>5</v>
      </c>
      <c r="BO38" t="s">
        <v>5</v>
      </c>
      <c r="BP38" t="s">
        <v>5</v>
      </c>
      <c r="BQ38">
        <v>9.0399999999999991</v>
      </c>
      <c r="BR38">
        <v>12.27</v>
      </c>
      <c r="BS38">
        <v>12.55</v>
      </c>
      <c r="BT38" t="s">
        <v>560</v>
      </c>
      <c r="BU38" t="s">
        <v>498</v>
      </c>
      <c r="BV38" t="s">
        <v>5</v>
      </c>
      <c r="BW38" t="s">
        <v>5</v>
      </c>
      <c r="BX38" t="s">
        <v>5</v>
      </c>
      <c r="BY38">
        <v>43.19</v>
      </c>
      <c r="BZ38">
        <v>39.29</v>
      </c>
      <c r="CA38">
        <v>36.869999999999997</v>
      </c>
      <c r="CB38">
        <v>2.16</v>
      </c>
      <c r="CC38">
        <v>6.33</v>
      </c>
      <c r="CD38" t="s">
        <v>1448</v>
      </c>
      <c r="CE38" t="s">
        <v>1449</v>
      </c>
      <c r="CF38" s="12">
        <v>196.18155053974485</v>
      </c>
      <c r="CG38" s="13">
        <v>2633.8263115405862</v>
      </c>
      <c r="CH38" s="12">
        <v>-0.99196434020996094</v>
      </c>
      <c r="CI38" s="12">
        <v>-4.9118805676698685E-2</v>
      </c>
      <c r="CJ38" s="12">
        <v>9.0477302670478821E-2</v>
      </c>
      <c r="CK38" s="12">
        <v>7.1183323860168457E-2</v>
      </c>
      <c r="CL38" s="12">
        <v>7.0934310555458069E-2</v>
      </c>
      <c r="CM38" s="13">
        <v>-0.99702215194702148</v>
      </c>
      <c r="CN38" s="13">
        <v>7.3431611061096191E-2</v>
      </c>
      <c r="CO38" s="13">
        <v>0.1160782054066658</v>
      </c>
      <c r="CP38" s="13">
        <v>1.6184737905859947E-2</v>
      </c>
      <c r="CQ38" s="13">
        <v>4.7428835183382034E-2</v>
      </c>
      <c r="CR38">
        <v>7.9826402795913127</v>
      </c>
      <c r="CS38">
        <v>0.49367697591001897</v>
      </c>
      <c r="CT38">
        <v>5.2910052910052912</v>
      </c>
      <c r="CU38" s="12">
        <v>-0.16169764176011087</v>
      </c>
      <c r="CV38" s="13">
        <v>-0.14877975247800351</v>
      </c>
      <c r="CW38">
        <v>0.06</v>
      </c>
      <c r="CX38">
        <v>34933.099276111687</v>
      </c>
      <c r="CY38" t="s">
        <v>1450</v>
      </c>
      <c r="CZ38">
        <v>-0.16169764176011087</v>
      </c>
      <c r="DA38">
        <v>11644.366425370561</v>
      </c>
      <c r="DB38" t="s">
        <v>1451</v>
      </c>
      <c r="DC38">
        <v>-0.1536127596721053</v>
      </c>
      <c r="DD38">
        <v>5822.1832126852805</v>
      </c>
      <c r="DE38" t="s">
        <v>1452</v>
      </c>
      <c r="DF38">
        <v>-0.14229392474889757</v>
      </c>
      <c r="DG38">
        <v>3493.3099276111684</v>
      </c>
      <c r="DH38" t="s">
        <v>1453</v>
      </c>
      <c r="DI38">
        <v>-0.1293581134080887</v>
      </c>
      <c r="DJ38">
        <v>1746.6549638055842</v>
      </c>
      <c r="DK38" t="s">
        <v>1454</v>
      </c>
      <c r="DL38">
        <v>-0.1131883492320776</v>
      </c>
      <c r="DM38">
        <v>967000000</v>
      </c>
      <c r="DN38">
        <v>-0.16169764176011087</v>
      </c>
      <c r="DO38">
        <v>33780307000000</v>
      </c>
      <c r="DP38">
        <v>0</v>
      </c>
      <c r="DQ38">
        <v>3822</v>
      </c>
      <c r="DR38">
        <v>196.34324818150495</v>
      </c>
      <c r="DS38">
        <v>2633.975091293064</v>
      </c>
      <c r="DT38" s="14">
        <v>-0.77333333333333332</v>
      </c>
      <c r="DU38">
        <v>-0.33333333333333331</v>
      </c>
      <c r="DV38">
        <v>-1.1066666666666667</v>
      </c>
      <c r="DW38">
        <v>2.0632999999999999</v>
      </c>
      <c r="DX38">
        <v>0.41387649682054883</v>
      </c>
      <c r="DY38">
        <v>2.0116393822487408</v>
      </c>
      <c r="DZ38">
        <v>3500</v>
      </c>
      <c r="EA38">
        <v>2.0036672026263158</v>
      </c>
      <c r="EB38">
        <v>2</v>
      </c>
      <c r="EC38">
        <v>2.1439058396555224E-3</v>
      </c>
      <c r="ED38">
        <v>1.1659487915290761E-2</v>
      </c>
      <c r="EE38" s="15">
        <v>3.0101</v>
      </c>
      <c r="EF38">
        <v>3.04331</v>
      </c>
      <c r="EG38">
        <v>23.183876496820549</v>
      </c>
      <c r="EH38" t="s">
        <v>1455</v>
      </c>
      <c r="EI38">
        <v>1</v>
      </c>
      <c r="EJ38">
        <v>0</v>
      </c>
      <c r="EK38" s="11">
        <v>45470</v>
      </c>
      <c r="EL38" s="16">
        <v>-0.36</v>
      </c>
      <c r="EM38" s="16">
        <v>-5.09</v>
      </c>
      <c r="EN38" s="16">
        <v>2.68</v>
      </c>
      <c r="EO38" s="16">
        <v>-2.2400000000000002</v>
      </c>
      <c r="EP38" s="16">
        <v>-5.34</v>
      </c>
    </row>
    <row r="39" spans="1:146" ht="108" x14ac:dyDescent="0.25">
      <c r="A39" s="7"/>
      <c r="B39" s="7"/>
      <c r="C39" s="7" t="str">
        <f>""&amp;CHAR(10)&amp;Basic_Fundamental_Information_Constructure(F39)&amp;CHAR(10)&amp;Basic_Fundamental_Information_Concatenate("")</f>
        <v xml:space="preserve">
市值267.54152亿, 利润8.25亿; PE5.36; 平均PE7.05; 平均PEG.75, PB.515; ROIC0%; ROE10.1233%; 股利率5.2987%; 毛利0%; 净利37.02%; 上一年度营收增-70.24%, 利润增-83.05%; 当季营收增381.05%, 利润增985.97%; 过往5年营收增-9.36%, 利润增-11.3%
Income profile:
</v>
      </c>
      <c r="D39" t="s">
        <v>328</v>
      </c>
      <c r="E39" t="s">
        <v>329</v>
      </c>
      <c r="F39">
        <v>7.7</v>
      </c>
      <c r="G39">
        <v>-1.79</v>
      </c>
      <c r="H39" t="s">
        <v>1456</v>
      </c>
      <c r="I39">
        <v>26754152000</v>
      </c>
      <c r="J39">
        <v>5.36</v>
      </c>
      <c r="K39">
        <v>0.51500000000000001</v>
      </c>
      <c r="L39" t="s">
        <v>65</v>
      </c>
      <c r="M39" t="s">
        <v>1457</v>
      </c>
      <c r="N39" t="s">
        <v>1458</v>
      </c>
      <c r="O39" t="s">
        <v>1459</v>
      </c>
      <c r="P39">
        <v>5.17</v>
      </c>
      <c r="Q39" t="s">
        <v>1460</v>
      </c>
      <c r="R39">
        <v>1542084000</v>
      </c>
      <c r="S39" s="5">
        <v>4.0399999999999998E-2</v>
      </c>
      <c r="T39" t="s">
        <v>1461</v>
      </c>
      <c r="U39">
        <v>1296576420</v>
      </c>
      <c r="V39">
        <v>3474565300</v>
      </c>
      <c r="W39">
        <v>12.72</v>
      </c>
      <c r="X39">
        <v>0</v>
      </c>
      <c r="Y39">
        <v>47.61</v>
      </c>
      <c r="Z39" t="s">
        <v>5</v>
      </c>
      <c r="AA39" t="s">
        <v>5</v>
      </c>
      <c r="AB39" t="s">
        <v>5</v>
      </c>
      <c r="AC39" t="s">
        <v>5</v>
      </c>
      <c r="AD39" t="s">
        <v>5</v>
      </c>
      <c r="AE39">
        <v>0</v>
      </c>
      <c r="AF39" t="s">
        <v>1462</v>
      </c>
      <c r="AG39" t="s">
        <v>1463</v>
      </c>
      <c r="AH39" t="s">
        <v>1464</v>
      </c>
      <c r="AI39" t="s">
        <v>5</v>
      </c>
      <c r="AJ39" t="s">
        <v>21</v>
      </c>
      <c r="AK39" t="s">
        <v>5</v>
      </c>
      <c r="AL39" t="s">
        <v>21</v>
      </c>
      <c r="AM39" t="s">
        <v>1465</v>
      </c>
      <c r="AN39" t="s">
        <v>576</v>
      </c>
      <c r="AO39" t="s">
        <v>5</v>
      </c>
      <c r="AP39" t="s">
        <v>5</v>
      </c>
      <c r="AQ39" t="s">
        <v>5</v>
      </c>
      <c r="AR39" t="s">
        <v>5</v>
      </c>
      <c r="AS39" t="s">
        <v>5</v>
      </c>
      <c r="AT39" t="s">
        <v>5</v>
      </c>
      <c r="AU39" t="s">
        <v>1466</v>
      </c>
      <c r="AV39" t="s">
        <v>1467</v>
      </c>
      <c r="AW39" t="s">
        <v>1468</v>
      </c>
      <c r="AX39" t="s">
        <v>1469</v>
      </c>
      <c r="AY39" t="s">
        <v>444</v>
      </c>
      <c r="AZ39" t="s">
        <v>330</v>
      </c>
      <c r="BA39" t="s">
        <v>332</v>
      </c>
      <c r="BB39" t="s">
        <v>333</v>
      </c>
      <c r="BC39" t="s">
        <v>1470</v>
      </c>
      <c r="BD39" t="s">
        <v>445</v>
      </c>
      <c r="BE39" t="s">
        <v>331</v>
      </c>
      <c r="BF39" t="s">
        <v>334</v>
      </c>
      <c r="BG39" t="s">
        <v>335</v>
      </c>
      <c r="BH39" t="s">
        <v>1471</v>
      </c>
      <c r="BI39" t="s">
        <v>1472</v>
      </c>
      <c r="BJ39" t="s">
        <v>1469</v>
      </c>
      <c r="BK39" t="s">
        <v>1473</v>
      </c>
      <c r="BL39" t="s">
        <v>574</v>
      </c>
      <c r="BM39" t="s">
        <v>1470</v>
      </c>
      <c r="BN39" t="s">
        <v>5</v>
      </c>
      <c r="BO39" t="s">
        <v>5</v>
      </c>
      <c r="BP39" t="s">
        <v>5</v>
      </c>
      <c r="BQ39">
        <v>9.18</v>
      </c>
      <c r="BR39">
        <v>10.199999999999999</v>
      </c>
      <c r="BS39">
        <v>10.99</v>
      </c>
      <c r="BT39" t="s">
        <v>1474</v>
      </c>
      <c r="BU39" t="s">
        <v>493</v>
      </c>
      <c r="BV39" t="s">
        <v>5</v>
      </c>
      <c r="BW39" t="s">
        <v>5</v>
      </c>
      <c r="BX39" t="s">
        <v>5</v>
      </c>
      <c r="BY39">
        <v>39.58</v>
      </c>
      <c r="BZ39">
        <v>38</v>
      </c>
      <c r="CA39">
        <v>33.479999999999997</v>
      </c>
      <c r="CB39">
        <v>-0.65</v>
      </c>
      <c r="CC39">
        <v>-5.0599999999999996</v>
      </c>
      <c r="CD39" t="s">
        <v>1475</v>
      </c>
      <c r="CE39" t="s">
        <v>576</v>
      </c>
      <c r="CF39" s="12">
        <v>3.8104667609618104</v>
      </c>
      <c r="CG39" s="13">
        <v>9.8597464788732392</v>
      </c>
      <c r="CH39" s="12">
        <v>-0.70241367816925049</v>
      </c>
      <c r="CI39" s="12">
        <v>-7.2338983416557312E-2</v>
      </c>
      <c r="CJ39" s="12">
        <v>0.11243109405040741</v>
      </c>
      <c r="CK39" s="12">
        <v>9.206555038690567E-2</v>
      </c>
      <c r="CL39" s="12">
        <v>0.10221399366855621</v>
      </c>
      <c r="CM39" s="13">
        <v>-0.83052587509155273</v>
      </c>
      <c r="CN39" s="13">
        <v>4.3739225715398788E-2</v>
      </c>
      <c r="CO39" s="13">
        <v>5.424954742193222E-2</v>
      </c>
      <c r="CP39" s="13">
        <v>5.1580682396888733E-2</v>
      </c>
      <c r="CQ39" s="13">
        <v>0.11591509729623795</v>
      </c>
      <c r="CR39">
        <v>7.0535597152649618</v>
      </c>
      <c r="CS39">
        <v>0.75351777847008816</v>
      </c>
      <c r="CT39">
        <v>5.2987012987012987</v>
      </c>
      <c r="CU39" s="12">
        <v>-9.3608404695987704E-2</v>
      </c>
      <c r="CV39" s="13">
        <v>-0.11300826445221901</v>
      </c>
      <c r="CW39">
        <v>0.06</v>
      </c>
      <c r="CX39">
        <v>807.2207903030303</v>
      </c>
      <c r="CY39" t="s">
        <v>1476</v>
      </c>
      <c r="CZ39">
        <v>-9.3608404695987704E-2</v>
      </c>
      <c r="DA39">
        <v>269.07359676767675</v>
      </c>
      <c r="DB39" t="s">
        <v>1477</v>
      </c>
      <c r="DC39">
        <v>-8.8927984461188311E-2</v>
      </c>
      <c r="DD39">
        <v>134.53679838383837</v>
      </c>
      <c r="DE39" t="s">
        <v>1478</v>
      </c>
      <c r="DF39">
        <v>-8.2375396132469178E-2</v>
      </c>
      <c r="DG39">
        <v>80.722079030303036</v>
      </c>
      <c r="DH39" t="s">
        <v>1479</v>
      </c>
      <c r="DI39">
        <v>-7.4886723756790161E-2</v>
      </c>
      <c r="DJ39">
        <v>40.361039515151518</v>
      </c>
      <c r="DK39" t="s">
        <v>1480</v>
      </c>
      <c r="DL39">
        <v>-6.5525883287191389E-2</v>
      </c>
      <c r="DM39">
        <v>825000000</v>
      </c>
      <c r="DN39">
        <v>-9.3608404695987704E-2</v>
      </c>
      <c r="DO39">
        <v>665957152000</v>
      </c>
      <c r="DP39">
        <v>0</v>
      </c>
      <c r="DQ39">
        <v>3827</v>
      </c>
      <c r="DR39">
        <v>3.9040751656577979</v>
      </c>
      <c r="DS39">
        <v>9.9727547433254582</v>
      </c>
      <c r="DT39" s="14">
        <v>-0.77333333333333332</v>
      </c>
      <c r="DU39">
        <v>-0.33333333333333331</v>
      </c>
      <c r="DV39">
        <v>-1.1066666666666667</v>
      </c>
      <c r="DW39">
        <v>-1.0506</v>
      </c>
      <c r="DX39">
        <v>0.34933684210526167</v>
      </c>
      <c r="DY39">
        <v>-1.0080624442105264</v>
      </c>
      <c r="DZ39">
        <v>1036</v>
      </c>
      <c r="EA39">
        <v>-1.0064278664801731</v>
      </c>
      <c r="EB39">
        <v>1</v>
      </c>
      <c r="EC39">
        <v>1.1326942106973785E-2</v>
      </c>
      <c r="ED39">
        <v>7.1088029342836076E-2</v>
      </c>
      <c r="EE39" s="15">
        <v>1.0316099999999999</v>
      </c>
      <c r="EF39">
        <v>1.0478099999999999</v>
      </c>
      <c r="EG39">
        <v>19.159336842105262</v>
      </c>
      <c r="EH39" t="s">
        <v>639</v>
      </c>
      <c r="EI39">
        <v>0</v>
      </c>
      <c r="EJ39">
        <v>1</v>
      </c>
      <c r="EK39" s="11">
        <v>45470</v>
      </c>
      <c r="EL39" s="16">
        <v>-1.57</v>
      </c>
      <c r="EM39" s="16">
        <v>-1.69</v>
      </c>
      <c r="EN39" s="16">
        <v>0</v>
      </c>
      <c r="EO39" s="16">
        <v>0.28999999999999998</v>
      </c>
      <c r="EP39" s="16">
        <v>-1.62</v>
      </c>
    </row>
    <row r="40" spans="1:146" ht="192" x14ac:dyDescent="0.25">
      <c r="A40" s="7"/>
      <c r="B40" s="7"/>
      <c r="C40" s="7" t="str">
        <f>"公司是一家主要从事吸收人民币存款;发放短期、中期和长期贷款等的股份制商业银行.公司是中国第四大国有商业银行,拥有最广泛的海外分支机构网络,在外汇存贷款、国际结算、外汇资金和银行卡等业务领域居于领先地位."&amp;CHAR(10)&amp;Basic_Fundamental_Information_Constructure(F40)&amp;CHAR(10)&amp;Basic_Fundamental_Information_Concatenate("利息收入 4190.11亿 81.35%
手续费及佣金收入 499.17亿 9.69%
其他业务收入 332.92亿 6.46%
投资收益 112.58亿 2.19% ")</f>
        <v xml:space="preserve">公司是一家主要从事吸收人民币存款;发放短期、中期和长期贷款等的股份制商业银行.公司是中国第四大国有商业银行,拥有最广泛的海外分支机构网络,在外汇存贷款、国际结算、外汇资金和银行卡等业务领域居于领先地位.
市值13630.155亿, 利润-7.82亿; PE5.92; 平均PE8.16; 平均PEG.53, PB.594; ROIC0%; ROE9.9567%; 股利率5.1058%; 毛利0%; 净利38.5067%; 上一年度营收增-92.02%, 利润增-100.35%; 当季营收增2257%, 利润增84190.32%; 过往5年营收增-15.27%, 利润增-15.3%
Income profile:
利息收入 4190.11亿 81.35%
手续费及佣金收入 499.17亿 9.69%
其他业务收入 332.92亿 6.46%
投资收益 112.58亿 2.19% </v>
      </c>
      <c r="D40" t="s">
        <v>336</v>
      </c>
      <c r="E40" t="s">
        <v>337</v>
      </c>
      <c r="F40">
        <v>4.63</v>
      </c>
      <c r="G40">
        <v>-2.3199999999999998</v>
      </c>
      <c r="H40" t="s">
        <v>1481</v>
      </c>
      <c r="I40">
        <v>1363015500000</v>
      </c>
      <c r="J40">
        <v>5.92</v>
      </c>
      <c r="K40">
        <v>0.59399999999999997</v>
      </c>
      <c r="L40" t="s">
        <v>65</v>
      </c>
      <c r="M40" t="s">
        <v>1482</v>
      </c>
      <c r="N40" t="s">
        <v>1483</v>
      </c>
      <c r="O40" t="s">
        <v>1484</v>
      </c>
      <c r="P40">
        <v>-3.01</v>
      </c>
      <c r="Q40" t="s">
        <v>1485</v>
      </c>
      <c r="R40">
        <v>55989000000</v>
      </c>
      <c r="S40" s="5">
        <v>-2.9000000000000001E-2</v>
      </c>
      <c r="T40" t="s">
        <v>1486</v>
      </c>
      <c r="U40">
        <v>210765510000</v>
      </c>
      <c r="V40">
        <v>294387790000</v>
      </c>
      <c r="W40">
        <v>12.09</v>
      </c>
      <c r="X40">
        <v>0</v>
      </c>
      <c r="Y40">
        <v>37.29</v>
      </c>
      <c r="Z40" t="s">
        <v>5</v>
      </c>
      <c r="AA40" t="s">
        <v>5</v>
      </c>
      <c r="AB40" t="s">
        <v>5</v>
      </c>
      <c r="AC40" t="s">
        <v>5</v>
      </c>
      <c r="AD40" t="s">
        <v>5</v>
      </c>
      <c r="AE40">
        <v>0</v>
      </c>
      <c r="AF40" t="s">
        <v>1487</v>
      </c>
      <c r="AG40" t="s">
        <v>573</v>
      </c>
      <c r="AH40" t="s">
        <v>1488</v>
      </c>
      <c r="AI40" t="s">
        <v>5</v>
      </c>
      <c r="AJ40" t="s">
        <v>21</v>
      </c>
      <c r="AK40" t="s">
        <v>5</v>
      </c>
      <c r="AL40" t="s">
        <v>21</v>
      </c>
      <c r="AM40" t="s">
        <v>1489</v>
      </c>
      <c r="AN40" t="s">
        <v>1490</v>
      </c>
      <c r="AO40" t="s">
        <v>5</v>
      </c>
      <c r="AP40" t="s">
        <v>5</v>
      </c>
      <c r="AQ40" t="s">
        <v>5</v>
      </c>
      <c r="AR40" t="s">
        <v>5</v>
      </c>
      <c r="AS40" t="s">
        <v>5</v>
      </c>
      <c r="AT40" t="s">
        <v>5</v>
      </c>
      <c r="AU40" t="s">
        <v>1491</v>
      </c>
      <c r="AV40" t="s">
        <v>1492</v>
      </c>
      <c r="AW40" t="s">
        <v>1493</v>
      </c>
      <c r="AX40" t="s">
        <v>1494</v>
      </c>
      <c r="AY40" t="s">
        <v>446</v>
      </c>
      <c r="AZ40" t="s">
        <v>338</v>
      </c>
      <c r="BA40" t="s">
        <v>340</v>
      </c>
      <c r="BB40" t="s">
        <v>341</v>
      </c>
      <c r="BC40" t="s">
        <v>1495</v>
      </c>
      <c r="BD40" t="s">
        <v>447</v>
      </c>
      <c r="BE40" t="s">
        <v>339</v>
      </c>
      <c r="BF40" t="s">
        <v>342</v>
      </c>
      <c r="BG40" t="s">
        <v>343</v>
      </c>
      <c r="BH40" t="s">
        <v>1496</v>
      </c>
      <c r="BI40" t="s">
        <v>1497</v>
      </c>
      <c r="BJ40" t="s">
        <v>1494</v>
      </c>
      <c r="BK40" t="s">
        <v>1498</v>
      </c>
      <c r="BL40" t="s">
        <v>1499</v>
      </c>
      <c r="BM40" t="s">
        <v>1495</v>
      </c>
      <c r="BN40" t="s">
        <v>5</v>
      </c>
      <c r="BO40" t="s">
        <v>5</v>
      </c>
      <c r="BP40" t="s">
        <v>5</v>
      </c>
      <c r="BQ40">
        <v>7.78</v>
      </c>
      <c r="BR40">
        <v>10.81</v>
      </c>
      <c r="BS40">
        <v>11.28</v>
      </c>
      <c r="BT40" t="s">
        <v>1500</v>
      </c>
      <c r="BU40" t="s">
        <v>498</v>
      </c>
      <c r="BV40" t="s">
        <v>5</v>
      </c>
      <c r="BW40" t="s">
        <v>5</v>
      </c>
      <c r="BX40" t="s">
        <v>5</v>
      </c>
      <c r="BY40">
        <v>39.549999999999997</v>
      </c>
      <c r="BZ40">
        <v>38.43</v>
      </c>
      <c r="CA40">
        <v>37.54</v>
      </c>
      <c r="CB40">
        <v>0.22</v>
      </c>
      <c r="CC40">
        <v>2.4300000000000002</v>
      </c>
      <c r="CD40" t="s">
        <v>1501</v>
      </c>
      <c r="CE40" t="s">
        <v>1502</v>
      </c>
      <c r="CF40" s="12">
        <v>22.569983878059503</v>
      </c>
      <c r="CG40" s="13">
        <v>841.90316752980846</v>
      </c>
      <c r="CH40" s="12">
        <v>-0.92023122310638428</v>
      </c>
      <c r="CI40" s="12">
        <v>-3.3344347029924393E-2</v>
      </c>
      <c r="CJ40" s="12">
        <v>7.0779524743556976E-2</v>
      </c>
      <c r="CK40" s="12">
        <v>2.9769675806164742E-2</v>
      </c>
      <c r="CL40" s="12">
        <v>8.9415550231933594E-2</v>
      </c>
      <c r="CM40" s="13">
        <v>-1.0034521818161011</v>
      </c>
      <c r="CN40" s="13">
        <v>4.6005994081497192E-2</v>
      </c>
      <c r="CO40" s="13">
        <v>0.12282358855009079</v>
      </c>
      <c r="CP40" s="13">
        <v>2.9161518439650536E-2</v>
      </c>
      <c r="CQ40" s="13">
        <v>4.0641665458679199E-2</v>
      </c>
      <c r="CR40">
        <v>8.1563969840224999</v>
      </c>
      <c r="CS40">
        <v>0.53406766754010071</v>
      </c>
      <c r="CT40">
        <v>5.1058315334773221</v>
      </c>
      <c r="CU40" s="12">
        <v>-0.15272216387093068</v>
      </c>
      <c r="CV40" s="13">
        <v>-0.15296388305723668</v>
      </c>
      <c r="CW40">
        <v>0.06</v>
      </c>
      <c r="CX40" t="e">
        <v>#VALUE!</v>
      </c>
      <c r="CY40" t="s">
        <v>856</v>
      </c>
      <c r="CZ40">
        <v>-0.15272216387093068</v>
      </c>
      <c r="DA40" t="e">
        <v>#VALUE!</v>
      </c>
      <c r="DB40" t="s">
        <v>856</v>
      </c>
      <c r="DC40">
        <v>-0.14508605567738414</v>
      </c>
      <c r="DD40" t="e">
        <v>#VALUE!</v>
      </c>
      <c r="DE40" t="s">
        <v>856</v>
      </c>
      <c r="DF40">
        <v>-0.13439550420641899</v>
      </c>
      <c r="DG40" t="e">
        <v>#VALUE!</v>
      </c>
      <c r="DH40" t="s">
        <v>856</v>
      </c>
      <c r="DI40">
        <v>-0.12217773109674455</v>
      </c>
      <c r="DJ40" t="e">
        <v>#VALUE!</v>
      </c>
      <c r="DK40" t="s">
        <v>856</v>
      </c>
      <c r="DL40">
        <v>-0.10690551470965147</v>
      </c>
      <c r="DM40">
        <v>-782000000</v>
      </c>
      <c r="DN40">
        <v>-0.15272216387093068</v>
      </c>
      <c r="DO40">
        <v>28254174500000</v>
      </c>
      <c r="DP40">
        <v>0</v>
      </c>
      <c r="DQ40">
        <v>3834</v>
      </c>
      <c r="DR40">
        <v>22.722706041930433</v>
      </c>
      <c r="DS40">
        <v>842.05613141286574</v>
      </c>
      <c r="DT40" s="14">
        <v>-0.77333333333333332</v>
      </c>
      <c r="DU40">
        <v>-0.97000000000000008</v>
      </c>
      <c r="DV40">
        <v>-1.7433333333333334</v>
      </c>
      <c r="DW40">
        <v>2.4300000000000002E-2</v>
      </c>
      <c r="DX40">
        <v>0.48314705688839399</v>
      </c>
      <c r="DY40">
        <v>4.9364734823879545E-3</v>
      </c>
      <c r="DZ40">
        <v>1244</v>
      </c>
      <c r="EA40">
        <v>3.7347175113330395E-3</v>
      </c>
      <c r="EB40">
        <v>0</v>
      </c>
      <c r="EC40">
        <v>3.4206581733569859E-3</v>
      </c>
      <c r="ED40">
        <v>1.6838334225750328E-2</v>
      </c>
      <c r="EE40" s="15">
        <v>9.0909999999999991E-2</v>
      </c>
      <c r="EF40">
        <v>0.10421</v>
      </c>
      <c r="EG40">
        <v>28.203147056888394</v>
      </c>
      <c r="EH40">
        <v>-1</v>
      </c>
      <c r="EI40">
        <v>0</v>
      </c>
      <c r="EJ40">
        <v>1</v>
      </c>
      <c r="EK40" s="11">
        <v>45470</v>
      </c>
      <c r="EL40" s="16">
        <v>0</v>
      </c>
      <c r="EM40" s="16">
        <v>1.54</v>
      </c>
      <c r="EN40" s="16">
        <v>-0.19</v>
      </c>
      <c r="EO40" s="16">
        <v>0.28999999999999998</v>
      </c>
      <c r="EP40" s="16">
        <v>-1.33</v>
      </c>
    </row>
    <row r="41" spans="1:146" ht="108" x14ac:dyDescent="0.25">
      <c r="A41" s="7"/>
      <c r="B41" s="7"/>
      <c r="C41" s="7" t="str">
        <f>""&amp;CHAR(10)&amp;Basic_Fundamental_Information_Constructure(F41)&amp;CHAR(10)&amp;Basic_Fundamental_Information_Concatenate("")</f>
        <v xml:space="preserve">
市值193.7785亿, 利润670.16亿; PE3.52; 平均PE1.21; 平均PEG0, PB.332; ROIC0%; ROE11.0467%; 股利率5.4717%; 毛利0%; 净利39.6467%; 上一年度营收增1216.22%, 利润增997.36%; 当季营收增-92.9%, 利润增-91.91%; 过往5年营收增247.88%, 利润增203.1%
Income profile:
</v>
      </c>
      <c r="D41" t="s">
        <v>344</v>
      </c>
      <c r="E41" t="s">
        <v>345</v>
      </c>
      <c r="F41">
        <v>5.3</v>
      </c>
      <c r="G41">
        <v>-1.49</v>
      </c>
      <c r="H41" t="s">
        <v>1503</v>
      </c>
      <c r="I41">
        <v>19377850000</v>
      </c>
      <c r="J41">
        <v>3.52</v>
      </c>
      <c r="K41">
        <v>0.33200000000000002</v>
      </c>
      <c r="L41" t="s">
        <v>65</v>
      </c>
      <c r="M41" t="s">
        <v>1504</v>
      </c>
      <c r="N41" t="s">
        <v>1505</v>
      </c>
      <c r="O41" t="s">
        <v>1506</v>
      </c>
      <c r="P41">
        <v>-2.5099999999999998</v>
      </c>
      <c r="Q41" t="s">
        <v>1507</v>
      </c>
      <c r="R41">
        <v>1548500000</v>
      </c>
      <c r="S41" s="5">
        <v>-3.6499999999999998E-2</v>
      </c>
      <c r="T41" t="s">
        <v>1508</v>
      </c>
      <c r="U41">
        <v>3569026400</v>
      </c>
      <c r="V41">
        <v>3656198100</v>
      </c>
      <c r="W41">
        <v>11.06</v>
      </c>
      <c r="X41">
        <v>0.01</v>
      </c>
      <c r="Y41">
        <v>42.91</v>
      </c>
      <c r="Z41" t="s">
        <v>5</v>
      </c>
      <c r="AA41" t="s">
        <v>5</v>
      </c>
      <c r="AB41" t="s">
        <v>5</v>
      </c>
      <c r="AC41" t="s">
        <v>5</v>
      </c>
      <c r="AD41" t="s">
        <v>5</v>
      </c>
      <c r="AE41">
        <v>0</v>
      </c>
      <c r="AF41" t="s">
        <v>1509</v>
      </c>
      <c r="AG41" t="s">
        <v>1510</v>
      </c>
      <c r="AH41" t="s">
        <v>1511</v>
      </c>
      <c r="AI41" t="s">
        <v>5</v>
      </c>
      <c r="AJ41" t="s">
        <v>21</v>
      </c>
      <c r="AK41" t="s">
        <v>5</v>
      </c>
      <c r="AL41" t="s">
        <v>21</v>
      </c>
      <c r="AM41" t="s">
        <v>1512</v>
      </c>
      <c r="AN41" t="s">
        <v>5</v>
      </c>
      <c r="AO41" t="s">
        <v>5</v>
      </c>
      <c r="AP41" t="s">
        <v>5</v>
      </c>
      <c r="AQ41" t="s">
        <v>5</v>
      </c>
      <c r="AR41" t="s">
        <v>5</v>
      </c>
      <c r="AS41" t="s">
        <v>5</v>
      </c>
      <c r="AT41" t="s">
        <v>5</v>
      </c>
      <c r="AU41" t="s">
        <v>1513</v>
      </c>
      <c r="AV41" t="s">
        <v>1514</v>
      </c>
      <c r="AW41" t="s">
        <v>1515</v>
      </c>
      <c r="AX41" t="s">
        <v>1516</v>
      </c>
      <c r="AY41" t="s">
        <v>448</v>
      </c>
      <c r="AZ41" t="s">
        <v>346</v>
      </c>
      <c r="BA41" t="s">
        <v>347</v>
      </c>
      <c r="BB41" t="s">
        <v>348</v>
      </c>
      <c r="BC41" t="s">
        <v>1517</v>
      </c>
      <c r="BD41" t="s">
        <v>449</v>
      </c>
      <c r="BE41" t="s">
        <v>57</v>
      </c>
      <c r="BF41" t="s">
        <v>349</v>
      </c>
      <c r="BG41" t="s">
        <v>350</v>
      </c>
      <c r="BH41" t="s">
        <v>1518</v>
      </c>
      <c r="BI41" t="s">
        <v>1519</v>
      </c>
      <c r="BJ41" t="s">
        <v>1516</v>
      </c>
      <c r="BK41" t="s">
        <v>1520</v>
      </c>
      <c r="BL41" t="s">
        <v>1521</v>
      </c>
      <c r="BM41" t="s">
        <v>1517</v>
      </c>
      <c r="BN41" t="s">
        <v>5</v>
      </c>
      <c r="BO41" t="s">
        <v>5</v>
      </c>
      <c r="BP41" t="s">
        <v>5</v>
      </c>
      <c r="BQ41">
        <v>7.98</v>
      </c>
      <c r="BR41">
        <v>11.82</v>
      </c>
      <c r="BS41">
        <v>13.34</v>
      </c>
      <c r="BT41" t="s">
        <v>1522</v>
      </c>
      <c r="BU41" t="s">
        <v>493</v>
      </c>
      <c r="BV41" t="s">
        <v>5</v>
      </c>
      <c r="BW41" t="s">
        <v>5</v>
      </c>
      <c r="BX41" t="s">
        <v>5</v>
      </c>
      <c r="BY41">
        <v>37.32</v>
      </c>
      <c r="BZ41">
        <v>39.93</v>
      </c>
      <c r="CA41">
        <v>41.69</v>
      </c>
      <c r="CB41">
        <v>0.56999999999999995</v>
      </c>
      <c r="CC41">
        <v>-5.53</v>
      </c>
      <c r="CD41" t="s">
        <v>1087</v>
      </c>
      <c r="CE41" t="s">
        <v>1523</v>
      </c>
      <c r="CF41" s="12">
        <v>-0.92903451901173995</v>
      </c>
      <c r="CG41" s="13">
        <v>-0.91911303802758049</v>
      </c>
      <c r="CH41" s="12">
        <v>12.162181854248047</v>
      </c>
      <c r="CI41" s="12">
        <v>4.2588613927364349E-2</v>
      </c>
      <c r="CJ41" s="12">
        <v>-6.6973455250263214E-2</v>
      </c>
      <c r="CK41" s="12">
        <v>9.6332162618637085E-2</v>
      </c>
      <c r="CL41" s="12">
        <v>0.15998418629169464</v>
      </c>
      <c r="CM41" s="13">
        <v>9.9736366271972656</v>
      </c>
      <c r="CN41" s="13">
        <v>1.0256346315145493E-2</v>
      </c>
      <c r="CO41" s="13">
        <v>2.0770065486431122E-2</v>
      </c>
      <c r="CP41" s="13">
        <v>2.1034460514783859E-2</v>
      </c>
      <c r="CQ41" s="13">
        <v>0.12906366586685181</v>
      </c>
      <c r="CR41">
        <v>1.2107750945046705</v>
      </c>
      <c r="CS41">
        <v>4.8844764411827332E-3</v>
      </c>
      <c r="CT41">
        <v>5.4716981132075473</v>
      </c>
      <c r="CU41" s="12">
        <v>2.4788226723670959</v>
      </c>
      <c r="CV41" s="13">
        <v>2.0309522330760954</v>
      </c>
      <c r="CW41">
        <v>0.06</v>
      </c>
      <c r="CX41">
        <v>2.6301032400126614</v>
      </c>
      <c r="CY41">
        <v>219940358689.95593</v>
      </c>
      <c r="CZ41">
        <v>2.4788226723670959</v>
      </c>
      <c r="DA41">
        <v>0.1923036097396798</v>
      </c>
      <c r="DB41">
        <v>3008086279727.4873</v>
      </c>
      <c r="DC41">
        <v>2.354881538748741</v>
      </c>
      <c r="DD41">
        <v>7.8858901840411066E-3</v>
      </c>
      <c r="DE41">
        <v>73354540387926.937</v>
      </c>
      <c r="DF41">
        <v>2.1813639516830445</v>
      </c>
      <c r="DG41">
        <v>1.7860159594044092E-4</v>
      </c>
      <c r="DH41">
        <v>3238861595575571.5</v>
      </c>
      <c r="DI41">
        <v>1.9830581378936767</v>
      </c>
      <c r="DJ41">
        <v>3.0873548774041588E-8</v>
      </c>
      <c r="DK41">
        <v>1.8736616714641269E+19</v>
      </c>
      <c r="DL41">
        <v>1.7351758706569671</v>
      </c>
      <c r="DM41">
        <v>67016000000</v>
      </c>
      <c r="DN41">
        <v>2.4788226723670959</v>
      </c>
      <c r="DO41">
        <v>578465850000</v>
      </c>
      <c r="DP41">
        <v>0</v>
      </c>
      <c r="DQ41">
        <v>3841</v>
      </c>
      <c r="DR41">
        <v>-3.4078571913788358</v>
      </c>
      <c r="DS41">
        <v>-2.9500652711036759</v>
      </c>
      <c r="DT41" s="14">
        <v>-4.0000000000000036E-2</v>
      </c>
      <c r="DU41">
        <v>-0.14000000000000004</v>
      </c>
      <c r="DV41">
        <v>-0.18000000000000008</v>
      </c>
      <c r="DW41">
        <v>-1.0552999999999999</v>
      </c>
      <c r="DX41">
        <v>0.41410573678290263</v>
      </c>
      <c r="DY41">
        <v>-1.0085220472440946</v>
      </c>
      <c r="DZ41">
        <v>3202</v>
      </c>
      <c r="EA41">
        <v>-1.0031820090296932</v>
      </c>
      <c r="EB41">
        <v>1</v>
      </c>
      <c r="EC41">
        <v>3.7470617360694979E-2</v>
      </c>
      <c r="ED41">
        <v>0.24314875061064115</v>
      </c>
      <c r="EE41" s="15">
        <v>-2.0941100000000001</v>
      </c>
      <c r="EF41">
        <v>-2.1232099999999998</v>
      </c>
      <c r="EG41">
        <v>26.154105736782903</v>
      </c>
      <c r="EH41" t="s">
        <v>1524</v>
      </c>
      <c r="EI41">
        <v>0</v>
      </c>
      <c r="EJ41">
        <v>0</v>
      </c>
      <c r="EK41" s="11">
        <v>45470</v>
      </c>
      <c r="EL41" s="16">
        <v>0</v>
      </c>
      <c r="EM41" s="16">
        <v>-5.14</v>
      </c>
      <c r="EN41" s="16">
        <v>1.2</v>
      </c>
      <c r="EO41" s="16">
        <v>2.38</v>
      </c>
      <c r="EP41" s="16">
        <v>-2.91</v>
      </c>
    </row>
    <row r="42" spans="1:146" ht="108" x14ac:dyDescent="0.25">
      <c r="A42" s="7"/>
      <c r="B42" s="7"/>
      <c r="C42" s="7" t="str">
        <f>""&amp;CHAR(10)&amp;Basic_Fundamental_Information_Constructure(F42)&amp;CHAR(10)&amp;Basic_Fundamental_Information_Concatenate("")</f>
        <v xml:space="preserve">
市值3549.5142亿, 利润1.12亿; PE5.29; 平均PE8.21; 平均PEG.56, PB.543; ROIC0%; ROE10%; 股利率4.9111%; 毛利0%; 净利30.1333%; 上一年度营收增-98.86%, 利润增-99.82%; 当季营收增9969.29%, 利润增456149.05%; 过往5年营收增-14.57%, 利润增-12.95%
Income profile:
</v>
      </c>
      <c r="D42" t="s">
        <v>351</v>
      </c>
      <c r="E42" t="s">
        <v>352</v>
      </c>
      <c r="F42">
        <v>6.64</v>
      </c>
      <c r="G42">
        <v>-3.07</v>
      </c>
      <c r="H42" t="s">
        <v>1525</v>
      </c>
      <c r="I42">
        <v>354951420000</v>
      </c>
      <c r="J42">
        <v>5.29</v>
      </c>
      <c r="K42">
        <v>0.54300000000000004</v>
      </c>
      <c r="L42" t="s">
        <v>65</v>
      </c>
      <c r="M42" t="s">
        <v>1526</v>
      </c>
      <c r="N42" t="s">
        <v>1527</v>
      </c>
      <c r="O42" t="s">
        <v>1528</v>
      </c>
      <c r="P42">
        <v>4.6900000000000004</v>
      </c>
      <c r="Q42" t="s">
        <v>1529</v>
      </c>
      <c r="R42">
        <v>19191000000</v>
      </c>
      <c r="S42" s="5">
        <v>2.4599999999999999E-3</v>
      </c>
      <c r="T42" t="s">
        <v>1530</v>
      </c>
      <c r="U42">
        <v>38574377000</v>
      </c>
      <c r="V42">
        <v>53456540000</v>
      </c>
      <c r="W42">
        <v>11.56</v>
      </c>
      <c r="X42">
        <v>0.01</v>
      </c>
      <c r="Y42">
        <v>36.06</v>
      </c>
      <c r="Z42" t="s">
        <v>5</v>
      </c>
      <c r="AA42" t="s">
        <v>5</v>
      </c>
      <c r="AB42" t="s">
        <v>5</v>
      </c>
      <c r="AC42" t="s">
        <v>5</v>
      </c>
      <c r="AD42" t="s">
        <v>5</v>
      </c>
      <c r="AE42">
        <v>0</v>
      </c>
      <c r="AF42" t="s">
        <v>1531</v>
      </c>
      <c r="AG42" t="s">
        <v>1532</v>
      </c>
      <c r="AH42" t="s">
        <v>1533</v>
      </c>
      <c r="AI42" t="s">
        <v>5</v>
      </c>
      <c r="AJ42" t="s">
        <v>21</v>
      </c>
      <c r="AK42" t="s">
        <v>5</v>
      </c>
      <c r="AL42" t="s">
        <v>21</v>
      </c>
      <c r="AM42" t="s">
        <v>1534</v>
      </c>
      <c r="AN42" t="s">
        <v>1535</v>
      </c>
      <c r="AO42" t="s">
        <v>5</v>
      </c>
      <c r="AP42" t="s">
        <v>5</v>
      </c>
      <c r="AQ42" t="s">
        <v>5</v>
      </c>
      <c r="AR42" t="s">
        <v>5</v>
      </c>
      <c r="AS42" t="s">
        <v>5</v>
      </c>
      <c r="AT42" t="s">
        <v>5</v>
      </c>
      <c r="AU42" t="s">
        <v>1536</v>
      </c>
      <c r="AV42" t="s">
        <v>1537</v>
      </c>
      <c r="AW42" t="s">
        <v>1538</v>
      </c>
      <c r="AX42" t="s">
        <v>1539</v>
      </c>
      <c r="AY42" t="s">
        <v>450</v>
      </c>
      <c r="AZ42" t="s">
        <v>353</v>
      </c>
      <c r="BA42" t="s">
        <v>355</v>
      </c>
      <c r="BB42" t="s">
        <v>356</v>
      </c>
      <c r="BC42" t="s">
        <v>1540</v>
      </c>
      <c r="BD42" t="s">
        <v>451</v>
      </c>
      <c r="BE42" t="s">
        <v>354</v>
      </c>
      <c r="BF42" t="s">
        <v>357</v>
      </c>
      <c r="BG42" t="s">
        <v>358</v>
      </c>
      <c r="BH42" t="s">
        <v>1507</v>
      </c>
      <c r="BI42" t="s">
        <v>1541</v>
      </c>
      <c r="BJ42" t="s">
        <v>1539</v>
      </c>
      <c r="BK42" t="s">
        <v>1508</v>
      </c>
      <c r="BL42" t="s">
        <v>1542</v>
      </c>
      <c r="BM42" t="s">
        <v>1540</v>
      </c>
      <c r="BN42" t="s">
        <v>5</v>
      </c>
      <c r="BO42" t="s">
        <v>5</v>
      </c>
      <c r="BP42" t="s">
        <v>5</v>
      </c>
      <c r="BQ42">
        <v>8.4700000000000006</v>
      </c>
      <c r="BR42">
        <v>10.8</v>
      </c>
      <c r="BS42">
        <v>10.73</v>
      </c>
      <c r="BT42" t="s">
        <v>1543</v>
      </c>
      <c r="BU42" t="s">
        <v>492</v>
      </c>
      <c r="BV42" t="s">
        <v>5</v>
      </c>
      <c r="BW42" t="s">
        <v>5</v>
      </c>
      <c r="BX42" t="s">
        <v>5</v>
      </c>
      <c r="BY42">
        <v>33.06</v>
      </c>
      <c r="BZ42">
        <v>29.78</v>
      </c>
      <c r="CA42">
        <v>27.56</v>
      </c>
      <c r="CB42">
        <v>-0.9</v>
      </c>
      <c r="CC42">
        <v>-6.74</v>
      </c>
      <c r="CD42" t="s">
        <v>1544</v>
      </c>
      <c r="CE42" t="s">
        <v>1545</v>
      </c>
      <c r="CF42" s="12">
        <v>99.692883895131104</v>
      </c>
      <c r="CG42" s="13">
        <v>4561.4904826406218</v>
      </c>
      <c r="CH42" s="12">
        <v>-0.98858988285064697</v>
      </c>
      <c r="CI42" s="12">
        <v>3.3413726836442947E-2</v>
      </c>
      <c r="CJ42" s="12">
        <v>5.045931413769722E-2</v>
      </c>
      <c r="CK42" s="12">
        <v>3.8100238889455795E-2</v>
      </c>
      <c r="CL42" s="12">
        <v>0.13787956535816193</v>
      </c>
      <c r="CM42" s="13">
        <v>-0.99819654226303101</v>
      </c>
      <c r="CN42" s="13">
        <v>0.11613732576370239</v>
      </c>
      <c r="CO42" s="13">
        <v>0.13599430024623871</v>
      </c>
      <c r="CP42" s="13">
        <v>2.0097911357879639E-2</v>
      </c>
      <c r="CQ42" s="13">
        <v>7.8673601150512695E-2</v>
      </c>
      <c r="CR42">
        <v>8.2112726515630534</v>
      </c>
      <c r="CS42">
        <v>0.56339064899735913</v>
      </c>
      <c r="CT42">
        <v>4.9111445783132535</v>
      </c>
      <c r="CU42" s="12">
        <v>-0.14574740752577781</v>
      </c>
      <c r="CV42" s="13">
        <v>-0.12945868074893951</v>
      </c>
      <c r="CW42">
        <v>0.06</v>
      </c>
      <c r="CX42">
        <v>70429.280535714279</v>
      </c>
      <c r="CY42" t="s">
        <v>1546</v>
      </c>
      <c r="CZ42">
        <v>-0.14574740752577781</v>
      </c>
      <c r="DA42">
        <v>23476.426845238097</v>
      </c>
      <c r="DB42" t="s">
        <v>1547</v>
      </c>
      <c r="DC42">
        <v>-0.1384600371494889</v>
      </c>
      <c r="DD42">
        <v>11738.213422619048</v>
      </c>
      <c r="DE42" t="s">
        <v>1548</v>
      </c>
      <c r="DF42">
        <v>-0.12825771862268448</v>
      </c>
      <c r="DG42">
        <v>7042.9280535714288</v>
      </c>
      <c r="DH42" t="s">
        <v>1549</v>
      </c>
      <c r="DI42">
        <v>-0.11659792602062224</v>
      </c>
      <c r="DJ42">
        <v>3521.4640267857144</v>
      </c>
      <c r="DK42" t="s">
        <v>1550</v>
      </c>
      <c r="DL42">
        <v>-0.10202318526804446</v>
      </c>
      <c r="DM42">
        <v>112000000.00000001</v>
      </c>
      <c r="DN42">
        <v>-0.14574740752577781</v>
      </c>
      <c r="DO42">
        <v>7888079420000</v>
      </c>
      <c r="DP42">
        <v>0</v>
      </c>
      <c r="DQ42">
        <v>3842</v>
      </c>
      <c r="DR42">
        <v>99.838631302656879</v>
      </c>
      <c r="DS42">
        <v>4561.6199413213708</v>
      </c>
      <c r="DT42" s="14">
        <v>-0.77333333333333332</v>
      </c>
      <c r="DU42">
        <v>-0.33333333333333331</v>
      </c>
      <c r="DV42">
        <v>-1.1066666666666667</v>
      </c>
      <c r="DW42">
        <v>-2.0674000000000001</v>
      </c>
      <c r="DX42">
        <v>0.42473684210526375</v>
      </c>
      <c r="DY42">
        <v>-2.0097552631578948</v>
      </c>
      <c r="DZ42">
        <v>2554</v>
      </c>
      <c r="EA42">
        <v>-2.0048795406324031</v>
      </c>
      <c r="EB42">
        <v>2</v>
      </c>
      <c r="EC42">
        <v>5.3501405066620471E-3</v>
      </c>
      <c r="ED42">
        <v>3.6964607136937784E-2</v>
      </c>
      <c r="EE42" s="15">
        <v>2.0373000000000001</v>
      </c>
      <c r="EF42">
        <v>2.0411000000000001</v>
      </c>
      <c r="EG42">
        <v>28.144736842105264</v>
      </c>
      <c r="EH42" t="s">
        <v>717</v>
      </c>
      <c r="EI42">
        <v>0</v>
      </c>
      <c r="EJ42">
        <v>0</v>
      </c>
      <c r="EK42" s="11">
        <v>45470</v>
      </c>
      <c r="EL42" s="16">
        <v>0.19</v>
      </c>
      <c r="EM42" s="16">
        <v>-0.77</v>
      </c>
      <c r="EN42" s="16">
        <v>0.19</v>
      </c>
      <c r="EO42" s="16">
        <v>0.57999999999999996</v>
      </c>
      <c r="EP42" s="16">
        <v>0.38</v>
      </c>
    </row>
    <row r="43" spans="1:146" ht="108" x14ac:dyDescent="0.25">
      <c r="A43" s="7"/>
      <c r="B43" s="7"/>
      <c r="C43" s="7" t="str">
        <f>""&amp;CHAR(10)&amp;Basic_Fundamental_Information_Constructure(F43)&amp;CHAR(10)&amp;Basic_Fundamental_Information_Concatenate("")</f>
        <v xml:space="preserve">
市值87.632837亿, 利润1.65亿; PE4.87; 平均PE9.57; 平均PEG1.65, PB.538; ROIC0%; ROE9.84%; 股利率3.7422%; 毛利0%; 净利36.9333%; 上一年度营收增-54.77%, 利润增-89.01%; 当季营收增315.15%, 利润增2110.33%; 过往5年营收增-5.79%, 利润增-3.91%
Income profile:
</v>
      </c>
      <c r="D43" t="s">
        <v>359</v>
      </c>
      <c r="E43" t="s">
        <v>360</v>
      </c>
      <c r="F43">
        <v>4.8099999999999996</v>
      </c>
      <c r="G43">
        <v>-0.82</v>
      </c>
      <c r="H43" t="s">
        <v>1551</v>
      </c>
      <c r="I43">
        <v>8763283700</v>
      </c>
      <c r="J43">
        <v>4.87</v>
      </c>
      <c r="K43">
        <v>0.53800000000000003</v>
      </c>
      <c r="L43" t="s">
        <v>65</v>
      </c>
      <c r="M43" t="s">
        <v>1552</v>
      </c>
      <c r="N43" t="s">
        <v>1553</v>
      </c>
      <c r="O43" t="s">
        <v>60</v>
      </c>
      <c r="P43">
        <v>10.56</v>
      </c>
      <c r="Q43" t="s">
        <v>1554</v>
      </c>
      <c r="R43">
        <v>414204000</v>
      </c>
      <c r="S43" s="5">
        <v>0.1583</v>
      </c>
      <c r="T43" t="s">
        <v>1555</v>
      </c>
      <c r="U43">
        <v>1562545700</v>
      </c>
      <c r="V43">
        <v>1821888500</v>
      </c>
      <c r="W43">
        <v>13.12</v>
      </c>
      <c r="X43">
        <v>0.01</v>
      </c>
      <c r="Y43">
        <v>37.590000000000003</v>
      </c>
      <c r="Z43" t="s">
        <v>5</v>
      </c>
      <c r="AA43" t="s">
        <v>5</v>
      </c>
      <c r="AB43" t="s">
        <v>5</v>
      </c>
      <c r="AC43" t="s">
        <v>5</v>
      </c>
      <c r="AD43" t="s">
        <v>5</v>
      </c>
      <c r="AE43">
        <v>0</v>
      </c>
      <c r="AF43" t="s">
        <v>1556</v>
      </c>
      <c r="AG43" t="s">
        <v>1557</v>
      </c>
      <c r="AH43" t="s">
        <v>1558</v>
      </c>
      <c r="AI43" t="s">
        <v>5</v>
      </c>
      <c r="AJ43" t="s">
        <v>21</v>
      </c>
      <c r="AK43" t="s">
        <v>5</v>
      </c>
      <c r="AL43" t="s">
        <v>21</v>
      </c>
      <c r="AM43" t="s">
        <v>1559</v>
      </c>
      <c r="AN43" t="s">
        <v>1560</v>
      </c>
      <c r="AO43" t="s">
        <v>5</v>
      </c>
      <c r="AP43" t="s">
        <v>5</v>
      </c>
      <c r="AQ43" t="s">
        <v>5</v>
      </c>
      <c r="AR43" t="s">
        <v>5</v>
      </c>
      <c r="AS43" t="s">
        <v>5</v>
      </c>
      <c r="AT43" t="s">
        <v>5</v>
      </c>
      <c r="AU43" t="s">
        <v>1561</v>
      </c>
      <c r="AV43" t="s">
        <v>1562</v>
      </c>
      <c r="AW43" t="s">
        <v>1563</v>
      </c>
      <c r="AX43" t="s">
        <v>1564</v>
      </c>
      <c r="AY43" t="s">
        <v>452</v>
      </c>
      <c r="AZ43" t="s">
        <v>361</v>
      </c>
      <c r="BA43" t="s">
        <v>362</v>
      </c>
      <c r="BB43" t="s">
        <v>363</v>
      </c>
      <c r="BC43" t="s">
        <v>1565</v>
      </c>
      <c r="BD43" t="s">
        <v>453</v>
      </c>
      <c r="BE43" t="s">
        <v>58</v>
      </c>
      <c r="BF43" t="s">
        <v>115</v>
      </c>
      <c r="BG43" t="s">
        <v>61</v>
      </c>
      <c r="BH43" t="s">
        <v>1566</v>
      </c>
      <c r="BI43" t="s">
        <v>1567</v>
      </c>
      <c r="BJ43" t="s">
        <v>1564</v>
      </c>
      <c r="BK43" t="s">
        <v>1568</v>
      </c>
      <c r="BL43" t="s">
        <v>1569</v>
      </c>
      <c r="BM43" t="s">
        <v>1565</v>
      </c>
      <c r="BN43" t="s">
        <v>5</v>
      </c>
      <c r="BO43" t="s">
        <v>5</v>
      </c>
      <c r="BP43" t="s">
        <v>5</v>
      </c>
      <c r="BQ43">
        <v>9.2899999999999991</v>
      </c>
      <c r="BR43">
        <v>10.92</v>
      </c>
      <c r="BS43">
        <v>9.31</v>
      </c>
      <c r="BT43" t="s">
        <v>555</v>
      </c>
      <c r="BU43" t="s">
        <v>495</v>
      </c>
      <c r="BV43" t="s">
        <v>5</v>
      </c>
      <c r="BW43" t="s">
        <v>5</v>
      </c>
      <c r="BX43" t="s">
        <v>5</v>
      </c>
      <c r="BY43">
        <v>43.14</v>
      </c>
      <c r="BZ43">
        <v>37.369999999999997</v>
      </c>
      <c r="CA43">
        <v>30.29</v>
      </c>
      <c r="CB43">
        <v>0</v>
      </c>
      <c r="CC43">
        <v>-5.69</v>
      </c>
      <c r="CD43" t="s">
        <v>1570</v>
      </c>
      <c r="CE43" t="s">
        <v>1571</v>
      </c>
      <c r="CF43" s="12">
        <v>3.1515151515151514</v>
      </c>
      <c r="CG43" s="13">
        <v>21.103257824381654</v>
      </c>
      <c r="CH43" s="12">
        <v>-0.54768389463424683</v>
      </c>
      <c r="CI43" s="12">
        <v>5.2947260439395905E-2</v>
      </c>
      <c r="CJ43" s="12">
        <v>2.1582785993814468E-2</v>
      </c>
      <c r="CK43" s="12">
        <v>6.5890371799468994E-2</v>
      </c>
      <c r="CL43" s="12">
        <v>0.11777771264314651</v>
      </c>
      <c r="CM43" s="13">
        <v>-0.89014643430709839</v>
      </c>
      <c r="CN43" s="13">
        <v>0.29482758045196533</v>
      </c>
      <c r="CO43" s="13">
        <v>0.21976865828037262</v>
      </c>
      <c r="CP43" s="13">
        <v>4.1621029376983643E-2</v>
      </c>
      <c r="CQ43" s="13">
        <v>0.1384039968252182</v>
      </c>
      <c r="CR43">
        <v>9.5721285636264337</v>
      </c>
      <c r="CS43">
        <v>1.6532986699156786</v>
      </c>
      <c r="CT43">
        <v>3.7422037422037424</v>
      </c>
      <c r="CU43" s="12">
        <v>-5.7897152751684187E-2</v>
      </c>
      <c r="CV43" s="13">
        <v>-3.9105033874511717E-2</v>
      </c>
      <c r="CW43">
        <v>0.06</v>
      </c>
      <c r="CX43">
        <v>1087.238083030303</v>
      </c>
      <c r="CY43" t="s">
        <v>1572</v>
      </c>
      <c r="CZ43">
        <v>-5.7897152751684187E-2</v>
      </c>
      <c r="DA43">
        <v>362.41269434343434</v>
      </c>
      <c r="DB43" t="s">
        <v>1573</v>
      </c>
      <c r="DC43">
        <v>-5.5002295114099972E-2</v>
      </c>
      <c r="DD43">
        <v>181.20634717171717</v>
      </c>
      <c r="DE43" t="s">
        <v>1574</v>
      </c>
      <c r="DF43">
        <v>-5.0949494421482083E-2</v>
      </c>
      <c r="DG43">
        <v>108.7238083030303</v>
      </c>
      <c r="DH43" t="s">
        <v>1575</v>
      </c>
      <c r="DI43">
        <v>-4.6317722201347354E-2</v>
      </c>
      <c r="DJ43">
        <v>54.361904151515148</v>
      </c>
      <c r="DK43" t="s">
        <v>1576</v>
      </c>
      <c r="DL43">
        <v>-4.0528006926178931E-2</v>
      </c>
      <c r="DM43">
        <v>165000000</v>
      </c>
      <c r="DN43">
        <v>-5.7897152751684187E-2</v>
      </c>
      <c r="DO43">
        <v>179394283700</v>
      </c>
      <c r="DP43">
        <v>0</v>
      </c>
      <c r="DQ43">
        <v>4089</v>
      </c>
      <c r="DR43">
        <v>3.2094123042668357</v>
      </c>
      <c r="DS43">
        <v>21.142362858256167</v>
      </c>
      <c r="DT43" s="14">
        <v>-0.60666666666666669</v>
      </c>
      <c r="DU43">
        <v>-4.9999999999999968E-2</v>
      </c>
      <c r="DV43">
        <v>-0.65666666666666662</v>
      </c>
      <c r="DW43">
        <v>-1.0569</v>
      </c>
      <c r="DX43">
        <v>0.39161238670694787</v>
      </c>
      <c r="DY43">
        <v>-1.0074887448036254</v>
      </c>
      <c r="DZ43">
        <v>1189</v>
      </c>
      <c r="EA43">
        <v>-1.0057462560420773</v>
      </c>
      <c r="EB43">
        <v>1</v>
      </c>
      <c r="EC43">
        <v>4.7822575311277281E-2</v>
      </c>
      <c r="ED43">
        <v>0.36335922862458375</v>
      </c>
      <c r="EE43" s="15">
        <v>3.0053000000000001</v>
      </c>
      <c r="EF43">
        <v>3.0053000000000001</v>
      </c>
      <c r="EG43">
        <v>26.131612386706948</v>
      </c>
      <c r="EH43" t="s">
        <v>1577</v>
      </c>
      <c r="EI43">
        <v>0</v>
      </c>
      <c r="EJ43">
        <v>1</v>
      </c>
      <c r="EK43" s="11">
        <v>45470</v>
      </c>
      <c r="EL43" s="16">
        <v>0.64</v>
      </c>
      <c r="EM43" s="16">
        <v>-2.13</v>
      </c>
      <c r="EN43" s="16">
        <v>2.61</v>
      </c>
      <c r="EO43" s="16">
        <v>1.48</v>
      </c>
      <c r="EP43" s="16">
        <v>0</v>
      </c>
    </row>
    <row r="44" spans="1:146" x14ac:dyDescent="0.25">
      <c r="A44" s="7"/>
      <c r="B44" s="7"/>
      <c r="C44" s="7"/>
      <c r="Q44" s="5"/>
    </row>
    <row r="45" spans="1:146" x14ac:dyDescent="0.25">
      <c r="A45" s="7"/>
      <c r="B45" s="7"/>
      <c r="C45" s="7"/>
      <c r="Q45" s="5"/>
    </row>
    <row r="46" spans="1:146" x14ac:dyDescent="0.25">
      <c r="A46" s="7"/>
      <c r="B46" s="7"/>
      <c r="C46" s="7"/>
      <c r="Q46" s="5"/>
    </row>
    <row r="47" spans="1:146" x14ac:dyDescent="0.25">
      <c r="A47" s="7"/>
      <c r="B47" s="7"/>
      <c r="C47" s="7"/>
      <c r="Q47" s="5"/>
    </row>
    <row r="48" spans="1:146" x14ac:dyDescent="0.25">
      <c r="A48" s="7"/>
      <c r="B48" s="7"/>
      <c r="C48" s="7"/>
      <c r="Q48" s="5"/>
    </row>
    <row r="49" spans="1:17" x14ac:dyDescent="0.25">
      <c r="A49" s="7"/>
      <c r="B49" s="7"/>
      <c r="C49" s="7"/>
      <c r="Q49" s="5"/>
    </row>
    <row r="50" spans="1:17" x14ac:dyDescent="0.25">
      <c r="A50" s="7"/>
      <c r="B50" s="7"/>
      <c r="C50" s="7"/>
      <c r="Q50" s="5"/>
    </row>
    <row r="51" spans="1:17" x14ac:dyDescent="0.25">
      <c r="A51" s="7"/>
      <c r="B51" s="7"/>
      <c r="C51" s="7"/>
      <c r="Q51" s="5"/>
    </row>
    <row r="52" spans="1:17" x14ac:dyDescent="0.25">
      <c r="A52" s="7"/>
      <c r="B52" s="7"/>
      <c r="C52" s="7"/>
      <c r="Q52" s="5"/>
    </row>
    <row r="53" spans="1:17" x14ac:dyDescent="0.25">
      <c r="A53" s="7"/>
      <c r="B53" s="7"/>
      <c r="C53" s="7"/>
      <c r="Q53" s="5"/>
    </row>
    <row r="54" spans="1:17" x14ac:dyDescent="0.25">
      <c r="A54" s="7"/>
      <c r="B54" s="7"/>
      <c r="C54" s="7"/>
      <c r="Q54" s="5"/>
    </row>
    <row r="55" spans="1:17" x14ac:dyDescent="0.25">
      <c r="A55" s="7"/>
      <c r="B55" s="7"/>
      <c r="C55" s="7"/>
      <c r="Q55" s="5"/>
    </row>
    <row r="56" spans="1:17" x14ac:dyDescent="0.25">
      <c r="Q56" s="5"/>
    </row>
    <row r="57" spans="1:17" x14ac:dyDescent="0.25">
      <c r="A57" s="7"/>
      <c r="B57" s="7"/>
      <c r="C57" s="7"/>
      <c r="Q57" s="5"/>
    </row>
    <row r="58" spans="1:17" x14ac:dyDescent="0.25">
      <c r="A58" s="7"/>
      <c r="B58" s="7"/>
      <c r="C58" s="7"/>
      <c r="Q58" s="5"/>
    </row>
    <row r="59" spans="1:17" x14ac:dyDescent="0.25">
      <c r="A59" s="7"/>
      <c r="B59" s="7"/>
      <c r="C59" s="7"/>
      <c r="Q59" s="6"/>
    </row>
    <row r="60" spans="1:17" x14ac:dyDescent="0.25">
      <c r="A60" s="9"/>
      <c r="B60" s="9"/>
      <c r="C60" s="9"/>
      <c r="Q60" s="5"/>
    </row>
    <row r="61" spans="1:17" x14ac:dyDescent="0.25">
      <c r="A61" s="7"/>
      <c r="B61" s="7"/>
      <c r="C61" s="7"/>
      <c r="Q61" s="5"/>
    </row>
    <row r="62" spans="1:17" x14ac:dyDescent="0.25">
      <c r="A62" s="7"/>
      <c r="B62" s="7"/>
      <c r="C62" s="7"/>
      <c r="Q62" s="5"/>
    </row>
    <row r="63" spans="1:17" x14ac:dyDescent="0.25">
      <c r="A63" s="7"/>
      <c r="B63" s="7"/>
      <c r="C63" s="7"/>
      <c r="Q63" s="5"/>
    </row>
    <row r="64" spans="1:17" x14ac:dyDescent="0.25">
      <c r="A64" s="7"/>
      <c r="B64" s="7"/>
      <c r="C64" s="7"/>
      <c r="Q64" s="5"/>
    </row>
    <row r="65" spans="1:17" x14ac:dyDescent="0.25">
      <c r="A65" s="7"/>
      <c r="B65" s="7"/>
      <c r="C65" s="7"/>
      <c r="Q65" s="5"/>
    </row>
    <row r="66" spans="1:17" x14ac:dyDescent="0.25">
      <c r="A66" s="7"/>
      <c r="B66" s="7"/>
      <c r="C66" s="7"/>
      <c r="Q66" s="5"/>
    </row>
    <row r="67" spans="1:17" x14ac:dyDescent="0.25">
      <c r="A67" s="7"/>
      <c r="B67" s="7"/>
      <c r="C67" s="7"/>
      <c r="Q67" s="5"/>
    </row>
    <row r="68" spans="1:17" x14ac:dyDescent="0.25">
      <c r="A68" s="7"/>
      <c r="B68" s="7"/>
      <c r="C68" s="7"/>
      <c r="Q68" s="5"/>
    </row>
    <row r="69" spans="1:17" x14ac:dyDescent="0.25">
      <c r="A69" s="7"/>
      <c r="B69" s="7"/>
      <c r="C69" s="7"/>
      <c r="Q69" s="5"/>
    </row>
    <row r="70" spans="1:17" x14ac:dyDescent="0.25">
      <c r="A70" s="7"/>
      <c r="B70" s="7"/>
      <c r="C70" s="7"/>
      <c r="Q70" s="5"/>
    </row>
    <row r="71" spans="1:17" x14ac:dyDescent="0.25">
      <c r="A71" s="7"/>
      <c r="B71" s="7"/>
      <c r="C71" s="7"/>
      <c r="Q71" s="5"/>
    </row>
    <row r="72" spans="1:17" x14ac:dyDescent="0.25">
      <c r="A72" s="7"/>
      <c r="B72" s="7"/>
      <c r="C72" s="7"/>
      <c r="Q72" s="5"/>
    </row>
    <row r="73" spans="1:17" x14ac:dyDescent="0.25">
      <c r="A73" s="7"/>
      <c r="B73" s="7"/>
      <c r="C73" s="7"/>
      <c r="Q73" s="5"/>
    </row>
    <row r="74" spans="1:17" x14ac:dyDescent="0.25">
      <c r="A74" s="7"/>
      <c r="B74" s="7"/>
      <c r="C74" s="7"/>
      <c r="Q74" s="5"/>
    </row>
    <row r="75" spans="1:17" x14ac:dyDescent="0.25">
      <c r="A75" s="7"/>
      <c r="B75" s="7"/>
      <c r="C75" s="7"/>
      <c r="Q75" s="5"/>
    </row>
    <row r="76" spans="1:17" x14ac:dyDescent="0.25">
      <c r="A76" s="7"/>
      <c r="B76" s="7"/>
      <c r="C76" s="7"/>
      <c r="Q76" s="5"/>
    </row>
    <row r="77" spans="1:17" x14ac:dyDescent="0.25">
      <c r="A77" s="7"/>
      <c r="B77" s="7"/>
      <c r="C77" s="7"/>
      <c r="Q77" s="5"/>
    </row>
    <row r="78" spans="1:17" x14ac:dyDescent="0.25">
      <c r="A78" s="7"/>
      <c r="B78" s="7"/>
      <c r="C78" s="7"/>
      <c r="Q78" s="5"/>
    </row>
    <row r="79" spans="1:17" x14ac:dyDescent="0.25">
      <c r="A79" s="7"/>
      <c r="B79" s="7"/>
      <c r="C79" s="7"/>
      <c r="Q79" s="5"/>
    </row>
    <row r="80" spans="1:17" x14ac:dyDescent="0.25">
      <c r="A80" s="7"/>
      <c r="B80" s="7"/>
      <c r="C80" s="7"/>
      <c r="Q80" s="5"/>
    </row>
    <row r="81" spans="1:17" x14ac:dyDescent="0.25">
      <c r="A81" s="7"/>
      <c r="B81" s="7"/>
      <c r="C81" s="7"/>
      <c r="Q81" s="5"/>
    </row>
    <row r="82" spans="1:17" x14ac:dyDescent="0.25">
      <c r="A82" s="7"/>
      <c r="B82" s="7"/>
      <c r="C82" s="7"/>
      <c r="Q82" s="5"/>
    </row>
    <row r="83" spans="1:17" x14ac:dyDescent="0.25">
      <c r="A83" s="7"/>
      <c r="B83" s="7"/>
      <c r="C83" s="7"/>
      <c r="Q83" s="5"/>
    </row>
    <row r="84" spans="1:17" x14ac:dyDescent="0.25">
      <c r="A84" s="7"/>
      <c r="B84" s="7"/>
      <c r="C84" s="7"/>
      <c r="Q84" s="5"/>
    </row>
    <row r="85" spans="1:17" x14ac:dyDescent="0.25">
      <c r="A85" s="7"/>
      <c r="B85" s="7"/>
      <c r="C85" s="7"/>
      <c r="Q85" s="5"/>
    </row>
    <row r="86" spans="1:17" x14ac:dyDescent="0.25">
      <c r="A86" s="7"/>
      <c r="B86" s="7"/>
      <c r="C86" s="7"/>
      <c r="Q86" s="5"/>
    </row>
    <row r="87" spans="1:17" x14ac:dyDescent="0.25">
      <c r="A87" s="7"/>
      <c r="B87" s="7"/>
      <c r="C87" s="7"/>
      <c r="Q87" s="5"/>
    </row>
    <row r="88" spans="1:17" x14ac:dyDescent="0.25">
      <c r="A88" s="7"/>
      <c r="B88" s="7"/>
      <c r="C88" s="7"/>
      <c r="Q88" s="5"/>
    </row>
    <row r="89" spans="1:17" x14ac:dyDescent="0.25">
      <c r="A89" s="7"/>
      <c r="B89" s="7"/>
      <c r="C89" s="7"/>
      <c r="Q89" s="5"/>
    </row>
    <row r="90" spans="1:17" x14ac:dyDescent="0.25">
      <c r="A90" s="7"/>
      <c r="B90" s="7"/>
      <c r="C90" s="7"/>
      <c r="Q90" s="5"/>
    </row>
    <row r="91" spans="1:17" x14ac:dyDescent="0.25">
      <c r="A91" s="7"/>
      <c r="B91" s="7"/>
      <c r="C91" s="7"/>
      <c r="Q91" s="5"/>
    </row>
    <row r="92" spans="1:17" x14ac:dyDescent="0.25">
      <c r="A92" s="7"/>
      <c r="B92" s="7"/>
      <c r="C92" s="7"/>
      <c r="Q92" s="5"/>
    </row>
    <row r="93" spans="1:17" x14ac:dyDescent="0.25">
      <c r="A93" s="7"/>
      <c r="B93" s="7"/>
      <c r="C93" s="7"/>
      <c r="Q93" s="5"/>
    </row>
    <row r="94" spans="1:17" x14ac:dyDescent="0.25">
      <c r="A94" s="7"/>
      <c r="B94" s="7"/>
      <c r="C94" s="7"/>
      <c r="Q94" s="6"/>
    </row>
    <row r="95" spans="1:17" x14ac:dyDescent="0.25">
      <c r="A95" s="7"/>
      <c r="B95" s="7"/>
      <c r="C95" s="7"/>
      <c r="Q95" s="5"/>
    </row>
    <row r="96" spans="1:17" x14ac:dyDescent="0.25">
      <c r="A96" s="7"/>
      <c r="B96" s="7"/>
      <c r="C96" s="7"/>
      <c r="Q96" s="5"/>
    </row>
    <row r="97" spans="1:17" x14ac:dyDescent="0.25">
      <c r="A97" s="7"/>
      <c r="B97" s="7"/>
      <c r="C97" s="7"/>
      <c r="Q97" s="5"/>
    </row>
    <row r="98" spans="1:17" x14ac:dyDescent="0.25">
      <c r="A98" s="7"/>
      <c r="B98" s="7"/>
      <c r="C98" s="7"/>
      <c r="Q98" s="5"/>
    </row>
    <row r="99" spans="1:17" x14ac:dyDescent="0.25">
      <c r="A99" s="7"/>
      <c r="B99" s="7"/>
      <c r="C99" s="7"/>
      <c r="Q99" s="5"/>
    </row>
    <row r="100" spans="1:17" x14ac:dyDescent="0.25">
      <c r="A100" s="7"/>
      <c r="B100" s="7"/>
      <c r="C100" s="7"/>
      <c r="Q100" s="5"/>
    </row>
    <row r="101" spans="1:17" x14ac:dyDescent="0.25">
      <c r="A101" s="7"/>
      <c r="B101" s="7"/>
      <c r="C101" s="7"/>
      <c r="Q101" s="5"/>
    </row>
    <row r="102" spans="1:17" x14ac:dyDescent="0.25">
      <c r="A102" s="7"/>
      <c r="B102" s="7"/>
      <c r="C102" s="7"/>
      <c r="Q102" s="5"/>
    </row>
    <row r="103" spans="1:17" x14ac:dyDescent="0.25">
      <c r="A103" s="7"/>
      <c r="B103" s="7"/>
      <c r="C103" s="7"/>
      <c r="Q103" s="5"/>
    </row>
    <row r="104" spans="1:17" x14ac:dyDescent="0.25">
      <c r="A104" s="7"/>
      <c r="B104" s="7"/>
      <c r="C104" s="7"/>
      <c r="Q104" s="5"/>
    </row>
    <row r="105" spans="1:17" x14ac:dyDescent="0.25">
      <c r="A105" s="7"/>
      <c r="B105" s="7"/>
      <c r="C105" s="7"/>
      <c r="Q105" s="5"/>
    </row>
    <row r="106" spans="1:17" x14ac:dyDescent="0.25">
      <c r="A106" s="7"/>
      <c r="B106" s="7"/>
      <c r="C106" s="7"/>
      <c r="Q106" s="5"/>
    </row>
    <row r="107" spans="1:17" x14ac:dyDescent="0.25">
      <c r="A107" s="7"/>
      <c r="B107" s="7"/>
      <c r="C107" s="7"/>
      <c r="Q107" s="5"/>
    </row>
    <row r="108" spans="1:17" x14ac:dyDescent="0.25">
      <c r="A108" s="7"/>
      <c r="B108" s="7"/>
      <c r="C108" s="7"/>
      <c r="Q108" s="5"/>
    </row>
    <row r="109" spans="1:17" x14ac:dyDescent="0.25">
      <c r="A109" s="7"/>
      <c r="B109" s="7"/>
      <c r="C109" s="7"/>
      <c r="Q109" s="5"/>
    </row>
    <row r="110" spans="1:17" x14ac:dyDescent="0.25">
      <c r="A110" s="7"/>
      <c r="B110" s="7"/>
      <c r="C110" s="7"/>
      <c r="Q110" s="5"/>
    </row>
    <row r="111" spans="1:17" x14ac:dyDescent="0.25">
      <c r="A111" s="7"/>
      <c r="B111" s="7"/>
      <c r="C111" s="7"/>
      <c r="Q111" s="5"/>
    </row>
    <row r="112" spans="1:17" x14ac:dyDescent="0.25">
      <c r="A112" s="7"/>
      <c r="B112" s="7"/>
      <c r="C112" s="7"/>
      <c r="Q112" s="5"/>
    </row>
    <row r="113" spans="1:17" x14ac:dyDescent="0.25">
      <c r="A113" s="7"/>
      <c r="B113" s="7"/>
      <c r="C113" s="7"/>
      <c r="Q113" s="5"/>
    </row>
    <row r="114" spans="1:17" x14ac:dyDescent="0.25">
      <c r="A114" s="7"/>
      <c r="B114" s="7"/>
      <c r="C114" s="7"/>
      <c r="Q114" s="5"/>
    </row>
    <row r="115" spans="1:17" x14ac:dyDescent="0.25">
      <c r="A115" s="7"/>
      <c r="B115" s="7"/>
      <c r="C115" s="7"/>
      <c r="Q115" s="5"/>
    </row>
    <row r="116" spans="1:17" x14ac:dyDescent="0.25">
      <c r="A116" s="7"/>
      <c r="B116" s="7"/>
      <c r="C116" s="7"/>
      <c r="Q116" s="5"/>
    </row>
    <row r="117" spans="1:17" x14ac:dyDescent="0.25">
      <c r="A117" s="7"/>
      <c r="B117" s="7"/>
      <c r="C117" s="7"/>
      <c r="Q117" s="5"/>
    </row>
    <row r="118" spans="1:17" x14ac:dyDescent="0.25">
      <c r="A118" s="7"/>
      <c r="B118" s="7"/>
      <c r="C118" s="7"/>
      <c r="Q118" s="5"/>
    </row>
    <row r="119" spans="1:17" x14ac:dyDescent="0.25">
      <c r="A119" s="7"/>
      <c r="B119" s="7"/>
      <c r="C119" s="7"/>
      <c r="Q119" s="5"/>
    </row>
    <row r="120" spans="1:17" x14ac:dyDescent="0.25">
      <c r="A120" s="7"/>
      <c r="B120" s="7"/>
      <c r="C120" s="7"/>
      <c r="Q120" s="5"/>
    </row>
    <row r="121" spans="1:17" x14ac:dyDescent="0.25">
      <c r="A121" s="7"/>
      <c r="B121" s="7"/>
      <c r="C121" s="7"/>
      <c r="Q121" s="5"/>
    </row>
    <row r="122" spans="1:17" x14ac:dyDescent="0.25">
      <c r="A122" s="7"/>
      <c r="B122" s="7"/>
      <c r="C122" s="7"/>
      <c r="Q122" s="5"/>
    </row>
    <row r="123" spans="1:17" x14ac:dyDescent="0.25">
      <c r="A123" s="7"/>
      <c r="B123" s="7"/>
      <c r="C123" s="7"/>
      <c r="Q123" s="5"/>
    </row>
    <row r="124" spans="1:17" x14ac:dyDescent="0.25">
      <c r="A124" s="7"/>
      <c r="B124" s="7"/>
      <c r="C124" s="7"/>
      <c r="Q124" s="5"/>
    </row>
    <row r="125" spans="1:17" x14ac:dyDescent="0.25">
      <c r="A125" s="7"/>
      <c r="B125" s="7"/>
      <c r="C125" s="7"/>
      <c r="Q125" s="5"/>
    </row>
    <row r="126" spans="1:17" x14ac:dyDescent="0.25">
      <c r="A126" s="7"/>
      <c r="B126" s="7"/>
      <c r="C126" s="7"/>
      <c r="Q126" s="5"/>
    </row>
    <row r="127" spans="1:17" x14ac:dyDescent="0.25">
      <c r="A127" s="9"/>
      <c r="B127" s="9"/>
      <c r="C127" s="9"/>
      <c r="Q127" s="5"/>
    </row>
    <row r="128" spans="1:17" x14ac:dyDescent="0.25">
      <c r="A128" s="7"/>
      <c r="B128" s="7"/>
      <c r="C128" s="7"/>
      <c r="Q128" s="5"/>
    </row>
    <row r="129" spans="1:17" x14ac:dyDescent="0.25">
      <c r="A129" s="7"/>
      <c r="B129" s="7"/>
      <c r="C129" s="7"/>
      <c r="Q129" s="5"/>
    </row>
    <row r="130" spans="1:17" x14ac:dyDescent="0.25">
      <c r="A130" s="7"/>
      <c r="B130" s="7"/>
      <c r="C130" s="7"/>
      <c r="Q130" s="5"/>
    </row>
    <row r="131" spans="1:17" x14ac:dyDescent="0.25">
      <c r="A131" s="7"/>
      <c r="B131" s="7"/>
      <c r="C131" s="7"/>
      <c r="Q131" s="5"/>
    </row>
    <row r="132" spans="1:17" x14ac:dyDescent="0.25">
      <c r="A132" s="7"/>
      <c r="B132" s="7"/>
      <c r="C132" s="7"/>
      <c r="Q132" s="5"/>
    </row>
    <row r="133" spans="1:17" x14ac:dyDescent="0.25">
      <c r="A133" s="7"/>
      <c r="B133" s="7"/>
      <c r="C133" s="7"/>
      <c r="Q133" s="5"/>
    </row>
    <row r="134" spans="1:17" x14ac:dyDescent="0.25">
      <c r="A134" s="7"/>
      <c r="B134" s="7"/>
      <c r="C134" s="7"/>
      <c r="Q134" s="5"/>
    </row>
    <row r="135" spans="1:17" x14ac:dyDescent="0.25">
      <c r="A135" s="7"/>
      <c r="B135" s="7"/>
      <c r="C135" s="7"/>
      <c r="Q135" s="5"/>
    </row>
    <row r="136" spans="1:17" x14ac:dyDescent="0.25">
      <c r="A136" s="7"/>
      <c r="B136" s="7"/>
      <c r="C136" s="7"/>
      <c r="Q136" s="6"/>
    </row>
    <row r="137" spans="1:17" x14ac:dyDescent="0.25">
      <c r="A137" s="7"/>
      <c r="B137" s="7"/>
      <c r="C137" s="7"/>
      <c r="Q137" s="5"/>
    </row>
    <row r="138" spans="1:17" x14ac:dyDescent="0.25">
      <c r="A138" s="9"/>
      <c r="B138" s="9"/>
      <c r="C138" s="9"/>
      <c r="Q138" s="5"/>
    </row>
    <row r="139" spans="1:17" x14ac:dyDescent="0.25">
      <c r="A139" s="7"/>
      <c r="B139" s="7"/>
      <c r="C139" s="7"/>
      <c r="Q139" s="5"/>
    </row>
    <row r="140" spans="1:17" x14ac:dyDescent="0.25">
      <c r="A140" s="7"/>
      <c r="B140" s="7"/>
      <c r="C140" s="7"/>
      <c r="Q140" s="5"/>
    </row>
    <row r="141" spans="1:17" x14ac:dyDescent="0.25">
      <c r="A141" s="7"/>
      <c r="B141" s="7"/>
      <c r="C141" s="7"/>
      <c r="Q141" s="5"/>
    </row>
    <row r="142" spans="1:17" x14ac:dyDescent="0.25">
      <c r="A142" s="7"/>
      <c r="B142" s="7"/>
      <c r="C142" s="7"/>
      <c r="Q142" s="5"/>
    </row>
    <row r="143" spans="1:17" x14ac:dyDescent="0.25">
      <c r="A143" s="7"/>
      <c r="B143" s="7"/>
      <c r="C143" s="7"/>
    </row>
    <row r="144" spans="1:17" x14ac:dyDescent="0.25">
      <c r="A144" s="7"/>
      <c r="B144" s="7"/>
      <c r="C144" s="7"/>
      <c r="Q144" s="5"/>
    </row>
    <row r="145" spans="1:17" x14ac:dyDescent="0.25">
      <c r="A145" s="7"/>
      <c r="B145" s="7"/>
      <c r="C145" s="7"/>
      <c r="Q145" s="5"/>
    </row>
    <row r="146" spans="1:17" x14ac:dyDescent="0.25">
      <c r="A146" s="7"/>
      <c r="B146" s="7"/>
      <c r="C146" s="7"/>
      <c r="Q146" s="5"/>
    </row>
    <row r="147" spans="1:17" x14ac:dyDescent="0.25">
      <c r="A147" s="7"/>
      <c r="B147" s="7"/>
      <c r="C147" s="7"/>
      <c r="Q147" s="5"/>
    </row>
    <row r="148" spans="1:17" x14ac:dyDescent="0.25">
      <c r="A148" s="7"/>
      <c r="B148" s="7"/>
      <c r="C148" s="7"/>
      <c r="Q148" s="5"/>
    </row>
    <row r="149" spans="1:17" x14ac:dyDescent="0.25">
      <c r="A149" s="7"/>
      <c r="B149" s="7"/>
      <c r="C149" s="7"/>
      <c r="Q149" s="5"/>
    </row>
    <row r="150" spans="1:17" x14ac:dyDescent="0.25">
      <c r="A150" s="7"/>
      <c r="B150" s="7"/>
      <c r="C150" s="7"/>
      <c r="Q150" s="5"/>
    </row>
    <row r="151" spans="1:17" x14ac:dyDescent="0.25">
      <c r="A151" s="7"/>
      <c r="B151" s="7"/>
      <c r="C151" s="7"/>
      <c r="Q151" s="5"/>
    </row>
    <row r="152" spans="1:17" x14ac:dyDescent="0.25">
      <c r="A152" s="7"/>
      <c r="B152" s="7"/>
      <c r="C152" s="7"/>
      <c r="Q152" s="6"/>
    </row>
    <row r="153" spans="1:17" x14ac:dyDescent="0.25">
      <c r="A153" s="7"/>
      <c r="B153" s="7"/>
      <c r="C153" s="7"/>
      <c r="Q153" s="5"/>
    </row>
    <row r="154" spans="1:17" x14ac:dyDescent="0.25">
      <c r="A154" s="7"/>
      <c r="B154" s="7"/>
      <c r="C154" s="7"/>
      <c r="Q154" s="5"/>
    </row>
    <row r="155" spans="1:17" x14ac:dyDescent="0.25">
      <c r="A155" s="7"/>
      <c r="B155" s="7"/>
      <c r="C155" s="7"/>
      <c r="Q155" s="5"/>
    </row>
    <row r="156" spans="1:17" x14ac:dyDescent="0.25">
      <c r="A156" s="7"/>
      <c r="B156" s="7"/>
      <c r="C156" s="7"/>
      <c r="Q156" s="5"/>
    </row>
    <row r="157" spans="1:17" x14ac:dyDescent="0.25">
      <c r="A157" s="7"/>
      <c r="B157" s="7"/>
      <c r="C157" s="7"/>
      <c r="Q157" s="5"/>
    </row>
    <row r="158" spans="1:17" x14ac:dyDescent="0.25">
      <c r="A158" s="7"/>
      <c r="B158" s="7"/>
      <c r="C158" s="7"/>
      <c r="Q158" s="5"/>
    </row>
    <row r="159" spans="1:17" x14ac:dyDescent="0.25">
      <c r="A159" s="7"/>
      <c r="B159" s="7"/>
      <c r="C159" s="7"/>
      <c r="Q159" s="5"/>
    </row>
    <row r="160" spans="1:17" x14ac:dyDescent="0.25">
      <c r="A160" s="7"/>
      <c r="B160" s="7"/>
      <c r="C160" s="7"/>
      <c r="Q160" s="5"/>
    </row>
    <row r="161" spans="1:17" x14ac:dyDescent="0.25">
      <c r="A161" s="7"/>
      <c r="B161" s="7"/>
      <c r="C161" s="7"/>
      <c r="Q161" s="5"/>
    </row>
    <row r="162" spans="1:17" x14ac:dyDescent="0.25">
      <c r="A162" s="7"/>
      <c r="B162" s="7"/>
      <c r="C162" s="7"/>
      <c r="Q162" s="5"/>
    </row>
    <row r="163" spans="1:17" x14ac:dyDescent="0.25">
      <c r="A163" s="7"/>
      <c r="B163" s="7"/>
      <c r="C163" s="7"/>
      <c r="Q163" s="5"/>
    </row>
    <row r="164" spans="1:17" x14ac:dyDescent="0.25">
      <c r="A164" s="7"/>
      <c r="B164" s="7"/>
      <c r="C164" s="7"/>
      <c r="Q164" s="5"/>
    </row>
    <row r="165" spans="1:17" x14ac:dyDescent="0.25">
      <c r="A165" s="7"/>
      <c r="B165" s="7"/>
      <c r="C165" s="7"/>
      <c r="Q165" s="5"/>
    </row>
    <row r="166" spans="1:17" x14ac:dyDescent="0.25">
      <c r="A166" s="7"/>
      <c r="B166" s="7"/>
      <c r="C166" s="7"/>
      <c r="Q166" s="5"/>
    </row>
    <row r="167" spans="1:17" x14ac:dyDescent="0.25">
      <c r="A167" s="7"/>
      <c r="B167" s="7"/>
      <c r="C167" s="7"/>
      <c r="Q167" s="5"/>
    </row>
    <row r="168" spans="1:17" x14ac:dyDescent="0.25">
      <c r="A168" s="7"/>
      <c r="B168" s="7"/>
      <c r="C168" s="7"/>
      <c r="Q168" s="5"/>
    </row>
    <row r="169" spans="1:17" x14ac:dyDescent="0.25">
      <c r="A169" s="7"/>
      <c r="B169" s="7"/>
      <c r="C169" s="7"/>
      <c r="Q169" s="5"/>
    </row>
    <row r="170" spans="1:17" x14ac:dyDescent="0.25">
      <c r="A170" s="7"/>
      <c r="B170" s="7"/>
      <c r="C170" s="7"/>
      <c r="Q170" s="5"/>
    </row>
    <row r="171" spans="1:17" x14ac:dyDescent="0.25">
      <c r="A171" s="7"/>
      <c r="B171" s="7"/>
      <c r="C171" s="7"/>
      <c r="Q171" s="5"/>
    </row>
    <row r="172" spans="1:17" x14ac:dyDescent="0.25">
      <c r="A172" s="7"/>
      <c r="B172" s="7"/>
      <c r="C172" s="7"/>
      <c r="Q172" s="5"/>
    </row>
    <row r="173" spans="1:17" x14ac:dyDescent="0.25">
      <c r="A173" s="7"/>
      <c r="B173" s="7"/>
      <c r="C173" s="7"/>
      <c r="Q173" s="5"/>
    </row>
    <row r="174" spans="1:17" x14ac:dyDescent="0.25">
      <c r="A174" s="7"/>
      <c r="B174" s="7"/>
      <c r="C174" s="7"/>
      <c r="Q174" s="5"/>
    </row>
    <row r="175" spans="1:17" x14ac:dyDescent="0.25">
      <c r="A175" s="7"/>
      <c r="B175" s="7"/>
      <c r="C175" s="7"/>
      <c r="Q175" s="5"/>
    </row>
    <row r="176" spans="1:17" x14ac:dyDescent="0.25">
      <c r="A176" s="7"/>
      <c r="B176" s="7"/>
      <c r="C176" s="7"/>
      <c r="Q176" s="5"/>
    </row>
    <row r="177" spans="1:17" x14ac:dyDescent="0.25">
      <c r="A177" s="7"/>
      <c r="B177" s="7"/>
      <c r="C177" s="7"/>
      <c r="Q177" s="5"/>
    </row>
    <row r="178" spans="1:17" x14ac:dyDescent="0.25">
      <c r="A178" s="7"/>
      <c r="B178" s="7"/>
      <c r="C178" s="7"/>
      <c r="Q178" s="5"/>
    </row>
    <row r="179" spans="1:17" x14ac:dyDescent="0.25">
      <c r="A179" s="7"/>
      <c r="B179" s="7"/>
      <c r="C179" s="7"/>
      <c r="Q179" s="5"/>
    </row>
    <row r="180" spans="1:17" x14ac:dyDescent="0.25">
      <c r="A180" s="7"/>
      <c r="B180" s="7"/>
      <c r="C180" s="7"/>
      <c r="Q180" s="5"/>
    </row>
    <row r="181" spans="1:17" x14ac:dyDescent="0.25">
      <c r="A181" s="7"/>
      <c r="B181" s="7"/>
      <c r="C181" s="7"/>
      <c r="Q181" s="5"/>
    </row>
    <row r="182" spans="1:17" x14ac:dyDescent="0.25">
      <c r="A182" s="7"/>
      <c r="B182" s="7"/>
      <c r="C182" s="7"/>
      <c r="Q182" s="5"/>
    </row>
    <row r="183" spans="1:17" x14ac:dyDescent="0.25">
      <c r="A183" s="7"/>
      <c r="B183" s="7"/>
      <c r="C183" s="7"/>
      <c r="Q183" s="5"/>
    </row>
    <row r="184" spans="1:17" x14ac:dyDescent="0.25">
      <c r="A184" s="7"/>
      <c r="B184" s="7"/>
      <c r="C184" s="7"/>
      <c r="Q184" s="5"/>
    </row>
    <row r="185" spans="1:17" x14ac:dyDescent="0.25">
      <c r="A185" s="7"/>
      <c r="B185" s="7"/>
      <c r="C185" s="7"/>
      <c r="Q185" s="5"/>
    </row>
    <row r="186" spans="1:17" x14ac:dyDescent="0.25">
      <c r="A186" s="7"/>
      <c r="B186" s="7"/>
      <c r="C186" s="7"/>
      <c r="Q186" s="5"/>
    </row>
    <row r="187" spans="1:17" x14ac:dyDescent="0.25">
      <c r="A187" s="7"/>
      <c r="B187" s="7"/>
      <c r="C187" s="7"/>
      <c r="Q187" s="5"/>
    </row>
    <row r="188" spans="1:17" x14ac:dyDescent="0.25">
      <c r="A188" s="7"/>
      <c r="B188" s="7"/>
      <c r="C188" s="7"/>
      <c r="Q188" s="5"/>
    </row>
    <row r="189" spans="1:17" x14ac:dyDescent="0.25">
      <c r="A189" s="7"/>
      <c r="B189" s="7"/>
      <c r="C189" s="7"/>
      <c r="Q189" s="5"/>
    </row>
    <row r="190" spans="1:17" x14ac:dyDescent="0.25">
      <c r="A190" s="7"/>
      <c r="B190" s="7"/>
      <c r="C190" s="7"/>
      <c r="Q190" s="5"/>
    </row>
    <row r="191" spans="1:17" x14ac:dyDescent="0.25">
      <c r="A191" s="7"/>
      <c r="B191" s="7"/>
      <c r="C191" s="7"/>
      <c r="Q191" s="5"/>
    </row>
    <row r="192" spans="1:17" x14ac:dyDescent="0.25">
      <c r="A192" s="7"/>
      <c r="B192" s="7"/>
      <c r="C192" s="7"/>
      <c r="Q192" s="5"/>
    </row>
    <row r="193" spans="1:17" x14ac:dyDescent="0.25">
      <c r="A193" s="7"/>
      <c r="B193" s="7"/>
      <c r="C193" s="7"/>
      <c r="Q193" s="5"/>
    </row>
    <row r="194" spans="1:17" x14ac:dyDescent="0.25">
      <c r="A194" s="7"/>
      <c r="B194" s="7"/>
      <c r="C194" s="7"/>
      <c r="Q194" s="5"/>
    </row>
    <row r="195" spans="1:17" x14ac:dyDescent="0.25">
      <c r="A195" s="7"/>
      <c r="B195" s="7"/>
      <c r="C195" s="7"/>
      <c r="Q195" s="5"/>
    </row>
    <row r="196" spans="1:17" x14ac:dyDescent="0.25">
      <c r="A196" s="7"/>
      <c r="B196" s="7"/>
      <c r="C196" s="7"/>
      <c r="Q196" s="5"/>
    </row>
    <row r="197" spans="1:17" x14ac:dyDescent="0.25">
      <c r="A197" s="7"/>
      <c r="B197" s="7"/>
      <c r="C197" s="7"/>
      <c r="Q197" s="5"/>
    </row>
    <row r="198" spans="1:17" x14ac:dyDescent="0.25">
      <c r="A198" s="7"/>
      <c r="B198" s="7"/>
      <c r="C198" s="7"/>
      <c r="Q198" s="5"/>
    </row>
    <row r="199" spans="1:17" x14ac:dyDescent="0.25">
      <c r="A199" s="7"/>
      <c r="B199" s="7"/>
      <c r="C199" s="7"/>
      <c r="Q199" s="5"/>
    </row>
    <row r="200" spans="1:17" x14ac:dyDescent="0.25">
      <c r="A200" s="7"/>
      <c r="B200" s="7"/>
      <c r="C200" s="7"/>
      <c r="Q200" s="5"/>
    </row>
    <row r="201" spans="1:17" x14ac:dyDescent="0.25">
      <c r="A201" s="7"/>
      <c r="B201" s="7"/>
      <c r="C201" s="7"/>
      <c r="Q201" s="5"/>
    </row>
    <row r="202" spans="1:17" x14ac:dyDescent="0.25">
      <c r="A202" s="7"/>
      <c r="B202" s="7"/>
      <c r="C202" s="7"/>
      <c r="Q202" s="5"/>
    </row>
    <row r="203" spans="1:17" x14ac:dyDescent="0.25">
      <c r="A203" s="7"/>
      <c r="B203" s="7"/>
      <c r="C203" s="7"/>
      <c r="Q203" s="5"/>
    </row>
    <row r="204" spans="1:17" x14ac:dyDescent="0.25">
      <c r="A204" s="7"/>
      <c r="B204" s="7"/>
      <c r="C204" s="7"/>
      <c r="Q204" s="5"/>
    </row>
    <row r="205" spans="1:17" x14ac:dyDescent="0.25">
      <c r="A205" s="8"/>
      <c r="B205" s="8"/>
      <c r="C205" s="7"/>
      <c r="Q205" s="5"/>
    </row>
    <row r="206" spans="1:17" x14ac:dyDescent="0.25">
      <c r="A206" s="7"/>
      <c r="B206" s="7"/>
      <c r="C206" s="7"/>
      <c r="Q206" s="5"/>
    </row>
    <row r="207" spans="1:17" x14ac:dyDescent="0.25">
      <c r="A207" s="7"/>
      <c r="B207" s="7"/>
      <c r="C207" s="7"/>
      <c r="Q207" s="5"/>
    </row>
    <row r="208" spans="1:17" x14ac:dyDescent="0.25">
      <c r="A208" s="7"/>
      <c r="B208" s="7"/>
      <c r="C208" s="7"/>
      <c r="Q208" s="5"/>
    </row>
    <row r="209" spans="1:17" x14ac:dyDescent="0.25">
      <c r="A209" s="7"/>
      <c r="B209" s="7"/>
      <c r="C209" s="7"/>
      <c r="Q209" s="5"/>
    </row>
    <row r="210" spans="1:17" x14ac:dyDescent="0.25">
      <c r="A210" s="7"/>
      <c r="B210" s="7"/>
      <c r="C210" s="7"/>
      <c r="Q210" s="5"/>
    </row>
    <row r="211" spans="1:17" x14ac:dyDescent="0.25">
      <c r="A211" s="8"/>
      <c r="B211" s="8"/>
      <c r="C211" s="8"/>
      <c r="Q211" s="5"/>
    </row>
    <row r="212" spans="1:17" x14ac:dyDescent="0.25">
      <c r="A212" s="8"/>
      <c r="B212" s="8"/>
      <c r="C212" s="8"/>
      <c r="Q212" s="5"/>
    </row>
    <row r="213" spans="1:17" x14ac:dyDescent="0.25">
      <c r="A213" s="8"/>
      <c r="B213" s="8"/>
      <c r="C213" s="8"/>
      <c r="Q213" s="5"/>
    </row>
    <row r="214" spans="1:17" x14ac:dyDescent="0.25">
      <c r="A214" s="8"/>
      <c r="B214" s="8"/>
      <c r="C214" s="8"/>
      <c r="Q214" s="5"/>
    </row>
  </sheetData>
  <autoFilter ref="BU1:BU214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'Basic_Fundamental_Tabel_Update_Buttom &quot;银行&quot;,&quot;&quot;'" altText="更新基本面按钮_x000a_">
                <anchor moveWithCells="1" sizeWithCells="1">
                  <from>
                    <xdr:col>147</xdr:col>
                    <xdr:colOff>304800</xdr:colOff>
                    <xdr:row>0</xdr:row>
                    <xdr:rowOff>107950</xdr:rowOff>
                  </from>
                  <to>
                    <xdr:col>147</xdr:col>
                    <xdr:colOff>1746250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6"/>
  <sheetViews>
    <sheetView workbookViewId="0">
      <selection activeCell="A3" sqref="A3"/>
    </sheetView>
  </sheetViews>
  <sheetFormatPr defaultRowHeight="14" x14ac:dyDescent="0.25"/>
  <sheetData>
    <row r="1" spans="1:30" x14ac:dyDescent="0.25">
      <c r="A1">
        <v>1</v>
      </c>
      <c r="B1">
        <f>A1+A1*$A$2</f>
        <v>1.1499999999999999</v>
      </c>
      <c r="C1">
        <f t="shared" ref="C1:AD1" si="0">B1+B1*$A$2</f>
        <v>1.3224999999999998</v>
      </c>
      <c r="D1">
        <f t="shared" si="0"/>
        <v>1.5208749999999998</v>
      </c>
      <c r="E1">
        <f t="shared" si="0"/>
        <v>1.7490062499999997</v>
      </c>
      <c r="F1">
        <f t="shared" si="0"/>
        <v>2.0113571874999998</v>
      </c>
      <c r="G1">
        <f t="shared" si="0"/>
        <v>2.313060765625</v>
      </c>
      <c r="H1">
        <f t="shared" si="0"/>
        <v>2.66001988046875</v>
      </c>
      <c r="I1">
        <f t="shared" si="0"/>
        <v>3.0590228625390625</v>
      </c>
      <c r="J1">
        <f t="shared" si="0"/>
        <v>3.5178762919199218</v>
      </c>
      <c r="K1">
        <f t="shared" si="0"/>
        <v>4.0455577357079102</v>
      </c>
      <c r="L1">
        <f t="shared" si="0"/>
        <v>4.6523913960640968</v>
      </c>
      <c r="M1">
        <f t="shared" si="0"/>
        <v>5.3502501054737115</v>
      </c>
      <c r="N1">
        <f t="shared" si="0"/>
        <v>6.1527876212947685</v>
      </c>
      <c r="O1">
        <f t="shared" si="0"/>
        <v>7.0757057644889834</v>
      </c>
      <c r="P1">
        <f t="shared" si="0"/>
        <v>8.1370616291623303</v>
      </c>
      <c r="Q1">
        <f t="shared" si="0"/>
        <v>9.3576208735366802</v>
      </c>
      <c r="R1">
        <f t="shared" si="0"/>
        <v>10.761264004567183</v>
      </c>
      <c r="S1">
        <f t="shared" si="0"/>
        <v>12.375453605252261</v>
      </c>
      <c r="T1">
        <f t="shared" si="0"/>
        <v>14.2317716460401</v>
      </c>
      <c r="U1">
        <f t="shared" si="0"/>
        <v>16.366537392946114</v>
      </c>
      <c r="V1">
        <f t="shared" si="0"/>
        <v>18.82151800188803</v>
      </c>
      <c r="W1">
        <f t="shared" si="0"/>
        <v>21.644745702171235</v>
      </c>
      <c r="X1">
        <f t="shared" si="0"/>
        <v>24.891457557496921</v>
      </c>
      <c r="Y1">
        <f t="shared" si="0"/>
        <v>28.625176191121458</v>
      </c>
      <c r="Z1">
        <f t="shared" si="0"/>
        <v>32.918952619789678</v>
      </c>
      <c r="AA1">
        <f t="shared" si="0"/>
        <v>37.856795512758133</v>
      </c>
      <c r="AB1">
        <f t="shared" si="0"/>
        <v>43.535314839671855</v>
      </c>
      <c r="AC1">
        <f t="shared" si="0"/>
        <v>50.065612065622631</v>
      </c>
      <c r="AD1">
        <f t="shared" si="0"/>
        <v>57.575453875466025</v>
      </c>
    </row>
    <row r="2" spans="1:30" x14ac:dyDescent="0.25">
      <c r="A2">
        <v>0.15</v>
      </c>
      <c r="B2" t="s">
        <v>2</v>
      </c>
    </row>
    <row r="3" spans="1:30" s="2" customFormat="1" x14ac:dyDescent="0.25">
      <c r="A3" s="2">
        <v>1</v>
      </c>
      <c r="B3" s="2">
        <v>2</v>
      </c>
      <c r="C3" s="2">
        <v>3</v>
      </c>
      <c r="D3" s="2">
        <v>4</v>
      </c>
      <c r="E3" s="2">
        <v>5</v>
      </c>
      <c r="F3" s="2">
        <v>6</v>
      </c>
      <c r="G3" s="2">
        <v>7</v>
      </c>
      <c r="H3" s="2">
        <v>8</v>
      </c>
      <c r="I3" s="2">
        <v>9</v>
      </c>
      <c r="J3" s="2">
        <v>10</v>
      </c>
      <c r="K3" s="2">
        <v>11</v>
      </c>
      <c r="L3" s="2">
        <v>12</v>
      </c>
      <c r="M3" s="2">
        <v>13</v>
      </c>
      <c r="N3" s="2">
        <v>14</v>
      </c>
      <c r="O3" s="2">
        <v>15</v>
      </c>
      <c r="P3" s="2">
        <v>16</v>
      </c>
      <c r="Q3" s="2">
        <v>17</v>
      </c>
      <c r="R3" s="2">
        <v>18</v>
      </c>
      <c r="S3" s="2">
        <v>19</v>
      </c>
      <c r="T3" s="2">
        <v>20</v>
      </c>
      <c r="U3" s="2">
        <v>21</v>
      </c>
      <c r="V3" s="2">
        <v>22</v>
      </c>
      <c r="W3" s="2">
        <v>23</v>
      </c>
      <c r="X3" s="2">
        <v>24</v>
      </c>
      <c r="Y3" s="2">
        <v>25</v>
      </c>
      <c r="Z3" s="2">
        <v>26</v>
      </c>
      <c r="AA3" s="2">
        <v>27</v>
      </c>
      <c r="AB3" s="2">
        <v>28</v>
      </c>
      <c r="AC3" s="2">
        <v>29</v>
      </c>
      <c r="AD3" s="2">
        <v>30</v>
      </c>
    </row>
    <row r="4" spans="1:30" x14ac:dyDescent="0.25">
      <c r="A4">
        <v>0.5</v>
      </c>
      <c r="B4" t="s">
        <v>0</v>
      </c>
    </row>
    <row r="5" spans="1:30" x14ac:dyDescent="0.25">
      <c r="A5" s="1">
        <v>1</v>
      </c>
      <c r="B5" s="1">
        <f>A5*$A$4+A5</f>
        <v>1.5</v>
      </c>
      <c r="C5" s="1">
        <f t="shared" ref="C5:AD5" si="1">B5*$A$4+B5</f>
        <v>2.25</v>
      </c>
      <c r="D5" s="1">
        <f t="shared" si="1"/>
        <v>3.375</v>
      </c>
      <c r="E5" s="1">
        <f t="shared" si="1"/>
        <v>5.0625</v>
      </c>
      <c r="F5" s="1">
        <f t="shared" si="1"/>
        <v>7.59375</v>
      </c>
      <c r="G5" s="1">
        <f t="shared" si="1"/>
        <v>11.390625</v>
      </c>
      <c r="H5" s="1">
        <f t="shared" si="1"/>
        <v>17.0859375</v>
      </c>
      <c r="I5" s="1">
        <f t="shared" si="1"/>
        <v>25.62890625</v>
      </c>
      <c r="J5" s="1">
        <f t="shared" si="1"/>
        <v>38.443359375</v>
      </c>
      <c r="K5" s="1">
        <f t="shared" si="1"/>
        <v>57.6650390625</v>
      </c>
      <c r="L5" s="1">
        <f t="shared" si="1"/>
        <v>86.49755859375</v>
      </c>
      <c r="M5" s="1">
        <f t="shared" si="1"/>
        <v>129.746337890625</v>
      </c>
      <c r="N5" s="1">
        <f t="shared" si="1"/>
        <v>194.6195068359375</v>
      </c>
      <c r="O5" s="1">
        <f t="shared" si="1"/>
        <v>291.92926025390625</v>
      </c>
      <c r="P5">
        <f t="shared" si="1"/>
        <v>437.89389038085937</v>
      </c>
      <c r="Q5">
        <f t="shared" si="1"/>
        <v>656.84083557128906</v>
      </c>
      <c r="R5">
        <f t="shared" si="1"/>
        <v>985.26125335693359</v>
      </c>
      <c r="S5" s="1">
        <f t="shared" si="1"/>
        <v>1477.8918800354004</v>
      </c>
      <c r="T5">
        <f t="shared" si="1"/>
        <v>2216.8378200531006</v>
      </c>
      <c r="U5">
        <f t="shared" si="1"/>
        <v>3325.2567300796509</v>
      </c>
      <c r="V5">
        <f t="shared" si="1"/>
        <v>4987.8850951194763</v>
      </c>
      <c r="W5">
        <f t="shared" si="1"/>
        <v>7481.8276426792145</v>
      </c>
      <c r="X5">
        <f t="shared" si="1"/>
        <v>11222.741464018822</v>
      </c>
      <c r="Y5">
        <f t="shared" si="1"/>
        <v>16834.112196028233</v>
      </c>
      <c r="Z5">
        <f t="shared" si="1"/>
        <v>25251.168294042349</v>
      </c>
      <c r="AA5">
        <f t="shared" si="1"/>
        <v>37876.752441063523</v>
      </c>
      <c r="AB5">
        <f t="shared" si="1"/>
        <v>56815.128661595285</v>
      </c>
      <c r="AC5">
        <f t="shared" si="1"/>
        <v>85222.692992392927</v>
      </c>
      <c r="AD5">
        <f t="shared" si="1"/>
        <v>127834.03948858939</v>
      </c>
    </row>
    <row r="6" spans="1:30" x14ac:dyDescent="0.25">
      <c r="A6">
        <v>15</v>
      </c>
      <c r="B6" t="s">
        <v>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银行</vt:lpstr>
      <vt:lpstr>估值-增速与年化收益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keywords>CTPClassification=CTP_NT</cp:keywords>
  <cp:lastModifiedBy>Admin</cp:lastModifiedBy>
  <dcterms:created xsi:type="dcterms:W3CDTF">2018-08-09T11:49:58Z</dcterms:created>
  <dcterms:modified xsi:type="dcterms:W3CDTF">2024-07-11T12:35:26Z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88baec69-fb1e-4d63-9f3d-bd3ecbe7e71b</vt:lpwstr>
  </property>
  <property fmtid="{D5CDD505-2E9C-101B-9397-08002B2CF9AE}" pid="3" name="CTP_TimeStamp">
    <vt:lpwstr>2019-01-09 01:33:49Z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