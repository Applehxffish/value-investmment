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电力设备!$BU$1:$BU$35</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9"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28" i="7"/>
  <c r="C24" i="7"/>
  <c r="C21" i="7"/>
  <c r="C17" i="7"/>
  <c r="C22" i="7"/>
  <c r="C16" i="7"/>
  <c r="C29" i="7"/>
  <c r="C23"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11" i="7"/>
  <c r="C7" i="7"/>
  <c r="C4" i="7"/>
  <c r="C2" i="7"/>
  <c r="C8" i="7"/>
  <c r="C5" i="7"/>
  <c r="C27" i="7"/>
  <c r="C20" i="7"/>
  <c r="C18" i="7"/>
  <c r="C12" i="7"/>
  <c r="C10" i="7"/>
  <c r="C6" i="7"/>
  <c r="C3" i="7"/>
  <c r="C25" i="7"/>
  <c r="C9" i="7"/>
  <c r="C15" i="7"/>
  <c r="C14" i="7"/>
  <c r="C13"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<sst xmlns="http://schemas.openxmlformats.org/spreadsheetml/2006/main" count="1758" uniqueCount="1308">
  <si>
    <t>现价</t>
  </si>
  <si>
    <t>市净率</t>
  </si>
  <si>
    <t>--</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</si>
  <si>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</si>
  <si>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</si>
  <si>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</si>
  <si>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</si>
  <si>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</si>
  <si>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</si>
  <si>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</si>
  <si>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</si>
  <si>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</si>
  <si>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</si>
  <si>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</si>
  <si>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</si>
  <si>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</si>
  <si>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</si>
  <si>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3.53亿</t>
  </si>
  <si>
    <t>0亿</t>
  </si>
  <si>
    <t>12.43亿</t>
  </si>
  <si>
    <t>1.23亿</t>
  </si>
  <si>
    <t>3.03亿</t>
  </si>
  <si>
    <t>1.53亿</t>
  </si>
  <si>
    <t>9.84亿</t>
  </si>
  <si>
    <t>11.09亿</t>
  </si>
  <si>
    <t>2.37亿</t>
  </si>
  <si>
    <t>1.18亿</t>
  </si>
  <si>
    <t>7.79亿</t>
  </si>
  <si>
    <t>1.94亿</t>
  </si>
  <si>
    <t>1.38亿</t>
  </si>
  <si>
    <t>1.95亿</t>
  </si>
  <si>
    <t>3.30亿</t>
  </si>
  <si>
    <t>17.50亿</t>
  </si>
  <si>
    <t>1.03亿</t>
  </si>
  <si>
    <t>3.51亿</t>
  </si>
  <si>
    <t>1.29亿</t>
  </si>
  <si>
    <t>1.19亿</t>
  </si>
  <si>
    <t>1.21亿</t>
  </si>
  <si>
    <t>1.44亿</t>
  </si>
  <si>
    <t>2.11亿</t>
  </si>
  <si>
    <t>SZ300870</t>
  </si>
  <si>
    <t>13.13亿</t>
  </si>
  <si>
    <t>1.12亿</t>
  </si>
  <si>
    <t>4.21亿</t>
  </si>
  <si>
    <t>4.65亿</t>
  </si>
  <si>
    <t>1.56亿</t>
  </si>
  <si>
    <t>4.64亿</t>
  </si>
  <si>
    <t>1.28亿</t>
  </si>
  <si>
    <t>13.84亿</t>
  </si>
  <si>
    <t>2.29亿</t>
  </si>
  <si>
    <t>4.77亿</t>
  </si>
  <si>
    <t>3.68亿</t>
  </si>
  <si>
    <t>1.41亿</t>
  </si>
  <si>
    <t>1.10亿</t>
  </si>
  <si>
    <t>1.00亿</t>
  </si>
  <si>
    <t>2.02亿</t>
  </si>
  <si>
    <t>1.24亿</t>
  </si>
  <si>
    <t>2.53亿</t>
  </si>
  <si>
    <t>1.85亿</t>
  </si>
  <si>
    <t>3.66亿</t>
  </si>
  <si>
    <t>1.40亿</t>
  </si>
  <si>
    <t>2.69亿</t>
  </si>
  <si>
    <t>1.14亿</t>
  </si>
  <si>
    <t>1.08亿</t>
  </si>
  <si>
    <t>2.88亿</t>
  </si>
  <si>
    <t>1.54亿</t>
  </si>
  <si>
    <t>1.06亿</t>
  </si>
  <si>
    <t>2.31亿</t>
  </si>
  <si>
    <t>4.26亿</t>
  </si>
  <si>
    <t>1.77亿</t>
  </si>
  <si>
    <t>1.30亿</t>
  </si>
  <si>
    <t>1.35亿</t>
  </si>
  <si>
    <t>5.54亿</t>
  </si>
  <si>
    <t>2.18亿</t>
  </si>
  <si>
    <t>2.71亿</t>
  </si>
  <si>
    <t>1.69亿</t>
  </si>
  <si>
    <t>1.16亿</t>
  </si>
  <si>
    <t>3.23亿</t>
  </si>
  <si>
    <t>1.20亿</t>
  </si>
  <si>
    <t>4.73亿</t>
  </si>
  <si>
    <t>2.86亿</t>
  </si>
  <si>
    <t>3.37亿</t>
  </si>
  <si>
    <t>3.81亿</t>
  </si>
  <si>
    <t>1.05亿</t>
  </si>
  <si>
    <t>2.58亿</t>
  </si>
  <si>
    <t>3.07亿</t>
  </si>
  <si>
    <t>1.57亿</t>
  </si>
  <si>
    <t>3.89亿</t>
  </si>
  <si>
    <t>2.32亿</t>
  </si>
  <si>
    <t>2.70亿</t>
  </si>
  <si>
    <t>2.79亿</t>
  </si>
  <si>
    <t>2.30亿</t>
  </si>
  <si>
    <t>4.58亿</t>
  </si>
  <si>
    <t>1.62亿</t>
  </si>
  <si>
    <t>2.44亿</t>
  </si>
  <si>
    <t>1.02亿</t>
  </si>
  <si>
    <t>4.23亿</t>
  </si>
  <si>
    <t>1.07亿</t>
  </si>
  <si>
    <t>4.37亿</t>
  </si>
  <si>
    <t>5.67亿</t>
  </si>
  <si>
    <t>2.48亿</t>
  </si>
  <si>
    <t>1.51亿</t>
  </si>
  <si>
    <t>1.37亿</t>
  </si>
  <si>
    <t>6.45亿</t>
  </si>
  <si>
    <t>2.81亿</t>
  </si>
  <si>
    <t>3.65亿</t>
  </si>
  <si>
    <t>2.00亿</t>
  </si>
  <si>
    <t>5.29亿</t>
  </si>
  <si>
    <t>2.43亿</t>
  </si>
  <si>
    <t>2.61亿</t>
  </si>
  <si>
    <t>1.61亿</t>
  </si>
  <si>
    <t>2.12亿</t>
  </si>
  <si>
    <t>3.21亿</t>
  </si>
  <si>
    <t>1.58亿</t>
  </si>
  <si>
    <t>2.24亿</t>
  </si>
  <si>
    <t>7.44亿</t>
  </si>
  <si>
    <t>1.50亿</t>
  </si>
  <si>
    <t>5.42亿</t>
  </si>
  <si>
    <t>3.82亿</t>
  </si>
  <si>
    <t>2.39亿</t>
  </si>
  <si>
    <t>2.45亿</t>
  </si>
  <si>
    <t>1.09亿</t>
  </si>
  <si>
    <t>4.93亿</t>
  </si>
  <si>
    <t>2.27亿</t>
  </si>
  <si>
    <t>1.43亿</t>
  </si>
  <si>
    <t>1.91亿</t>
  </si>
  <si>
    <t>欧陆通</t>
  </si>
  <si>
    <t>4.24亿</t>
  </si>
  <si>
    <t>流动资产</t>
  </si>
  <si>
    <t>营业收入[20191231]</t>
  </si>
  <si>
    <t>营业收入[20181231]</t>
  </si>
  <si>
    <t>营业收入[20171231]</t>
  </si>
  <si>
    <t>净利润[20191231]</t>
  </si>
  <si>
    <t>净利润[20181231]</t>
  </si>
  <si>
    <t>净利润[20171231]</t>
  </si>
  <si>
    <t>2.96亿</t>
  </si>
  <si>
    <t>2.34亿</t>
  </si>
  <si>
    <t>4.31亿</t>
  </si>
  <si>
    <t>2.55亿</t>
  </si>
  <si>
    <t>1.87亿</t>
  </si>
  <si>
    <t>2.06亿</t>
  </si>
  <si>
    <t>1.68亿</t>
  </si>
  <si>
    <t>4.04亿</t>
  </si>
  <si>
    <t>1.83亿</t>
  </si>
  <si>
    <t>3.11亿</t>
  </si>
  <si>
    <t>14.39亿</t>
  </si>
  <si>
    <t>4.17亿</t>
  </si>
  <si>
    <t>7.26亿</t>
  </si>
  <si>
    <t>1.17亿</t>
  </si>
  <si>
    <t>4.83亿</t>
  </si>
  <si>
    <t>1.78亿</t>
  </si>
  <si>
    <t>14.97亿</t>
  </si>
  <si>
    <t>5.44亿</t>
  </si>
  <si>
    <t>5.58亿</t>
  </si>
  <si>
    <t>27.15亿</t>
  </si>
  <si>
    <t>3.91亿</t>
  </si>
  <si>
    <t>3.87亿</t>
  </si>
  <si>
    <t>6.14亿</t>
  </si>
  <si>
    <t>2.07亿</t>
  </si>
  <si>
    <t>2.25亿</t>
  </si>
  <si>
    <t>7.02亿</t>
  </si>
  <si>
    <t>16.52亿</t>
  </si>
  <si>
    <t>2.03亿</t>
  </si>
  <si>
    <t>6.52亿</t>
  </si>
  <si>
    <t>4.10亿</t>
  </si>
  <si>
    <t>4.43亿</t>
  </si>
  <si>
    <t>2.93亿</t>
  </si>
  <si>
    <t>2.98亿</t>
  </si>
  <si>
    <t>4.40亿</t>
  </si>
  <si>
    <t>8.31亿</t>
  </si>
  <si>
    <t>3.61亿</t>
  </si>
  <si>
    <t>19.51亿</t>
  </si>
  <si>
    <t>2.89亿</t>
  </si>
  <si>
    <t>2.66亿</t>
  </si>
  <si>
    <t>8.50亿</t>
  </si>
  <si>
    <t>13.11亿</t>
  </si>
  <si>
    <t>1.96亿</t>
  </si>
  <si>
    <t>6.39亿</t>
  </si>
  <si>
    <t>5.32亿</t>
  </si>
  <si>
    <t>6.69亿</t>
  </si>
  <si>
    <t>5.68亿</t>
  </si>
  <si>
    <t>8.43亿</t>
  </si>
  <si>
    <t>4.03亿</t>
  </si>
  <si>
    <t>3.39亿</t>
  </si>
  <si>
    <t>3.45亿</t>
  </si>
  <si>
    <t>8.39亿</t>
  </si>
  <si>
    <t>3.40亿</t>
  </si>
  <si>
    <t>4.54亿</t>
  </si>
  <si>
    <t>1.13亿</t>
  </si>
  <si>
    <t>6.00亿</t>
  </si>
  <si>
    <t>9.72亿</t>
  </si>
  <si>
    <t>8.02亿</t>
  </si>
  <si>
    <t>7.01亿</t>
  </si>
  <si>
    <t>5.13亿</t>
  </si>
  <si>
    <t>3.83亿</t>
  </si>
  <si>
    <t>7.71亿</t>
  </si>
  <si>
    <t>2.38亿</t>
  </si>
  <si>
    <t>5.50亿</t>
  </si>
  <si>
    <t>3.36亿</t>
  </si>
  <si>
    <t>2.74亿</t>
  </si>
  <si>
    <t>3.08亿</t>
  </si>
  <si>
    <t>5.63亿</t>
  </si>
  <si>
    <t>5.75亿</t>
  </si>
  <si>
    <t>7.47亿</t>
  </si>
  <si>
    <t>3.62亿</t>
  </si>
  <si>
    <t>2.99亿</t>
  </si>
  <si>
    <t>2000.00万</t>
  </si>
  <si>
    <t>8.56亿</t>
  </si>
  <si>
    <t>1.39亿</t>
  </si>
  <si>
    <t>20.83亿</t>
  </si>
  <si>
    <t>11.02亿</t>
  </si>
  <si>
    <t>5856.46万</t>
  </si>
  <si>
    <t>2.33亿</t>
  </si>
  <si>
    <t>1.11亿</t>
  </si>
  <si>
    <t>4.41亿</t>
  </si>
  <si>
    <t>2.82亿</t>
  </si>
  <si>
    <t>18.93亿</t>
  </si>
  <si>
    <t>6.50亿</t>
  </si>
  <si>
    <t>6.35亿</t>
  </si>
  <si>
    <t>3.77亿</t>
  </si>
  <si>
    <t>1.90亿</t>
  </si>
  <si>
    <t>3.55亿</t>
  </si>
  <si>
    <t>5.08亿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</si>
  <si>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</si>
  <si>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</si>
  <si>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</si>
  <si>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</si>
  <si>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</si>
  <si>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</si>
  <si>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</si>
  <si>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</si>
  <si>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</si>
  <si>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</si>
  <si>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</si>
  <si>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</si>
  <si>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</si>
  <si>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</si>
  <si>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</si>
  <si>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2.56亿</t>
  </si>
  <si>
    <t>销售毛利率%[20201231]</t>
  </si>
  <si>
    <t>销售净利率%[20201231]</t>
  </si>
  <si>
    <t>11.74亿</t>
  </si>
  <si>
    <t>5.10亿</t>
  </si>
  <si>
    <t>2.80亿</t>
  </si>
  <si>
    <t>3.49亿</t>
  </si>
  <si>
    <t>5.61亿</t>
  </si>
  <si>
    <t>10.21亿</t>
  </si>
  <si>
    <t>6.56亿</t>
  </si>
  <si>
    <t>4.18亿</t>
  </si>
  <si>
    <t>12.78亿</t>
  </si>
  <si>
    <t>10.48亿</t>
  </si>
  <si>
    <t>20.25亿</t>
  </si>
  <si>
    <t>5.37亿</t>
  </si>
  <si>
    <t>5.31亿</t>
  </si>
  <si>
    <t>8.11亿</t>
  </si>
  <si>
    <t>4.13亿</t>
  </si>
  <si>
    <t>15.40亿</t>
  </si>
  <si>
    <t>2.04亿</t>
  </si>
  <si>
    <t>8.94亿</t>
  </si>
  <si>
    <t>4.39亿</t>
  </si>
  <si>
    <t>20.60亿</t>
  </si>
  <si>
    <t>26.35亿</t>
  </si>
  <si>
    <t>3.73亿</t>
  </si>
  <si>
    <t>4.08亿</t>
  </si>
  <si>
    <t>4.19亿</t>
  </si>
  <si>
    <t>3.50亿</t>
  </si>
  <si>
    <t>5.43亿</t>
  </si>
  <si>
    <t>4.48亿</t>
  </si>
  <si>
    <t>2.77亿</t>
  </si>
  <si>
    <t>4.59亿</t>
  </si>
  <si>
    <t>3.43亿</t>
  </si>
  <si>
    <t>2.65亿</t>
  </si>
  <si>
    <t>3.60亿</t>
  </si>
  <si>
    <t>5.99亿</t>
  </si>
  <si>
    <t>25.73亿</t>
  </si>
  <si>
    <t>4.12亿</t>
  </si>
  <si>
    <t>2.83亿</t>
  </si>
  <si>
    <t>2.85亿</t>
  </si>
  <si>
    <t>7.19亿</t>
  </si>
  <si>
    <t>4.20亿</t>
  </si>
  <si>
    <t>5.24亿</t>
  </si>
  <si>
    <t>14.03亿</t>
  </si>
  <si>
    <t>8.26亿</t>
  </si>
  <si>
    <t>-6.40亿</t>
  </si>
  <si>
    <t>35.72亿</t>
  </si>
  <si>
    <t>6.29亿</t>
  </si>
  <si>
    <t>8.85亿</t>
  </si>
  <si>
    <t>10.43亿</t>
  </si>
  <si>
    <t>30.17亿</t>
  </si>
  <si>
    <t>13.80亿</t>
  </si>
  <si>
    <t>5.65亿</t>
  </si>
  <si>
    <t>12.45亿</t>
  </si>
  <si>
    <t>6.60亿</t>
  </si>
  <si>
    <t>7.07亿</t>
  </si>
  <si>
    <t>6.54亿</t>
  </si>
  <si>
    <t>9.50亿</t>
  </si>
  <si>
    <t>9.91亿</t>
  </si>
  <si>
    <t>3.75亿</t>
  </si>
  <si>
    <t>6.36亿</t>
  </si>
  <si>
    <t>5.55亿</t>
  </si>
  <si>
    <t>-1.70亿</t>
  </si>
  <si>
    <t>9.10亿</t>
  </si>
  <si>
    <t>8.45亿</t>
  </si>
  <si>
    <t>7.72亿</t>
  </si>
  <si>
    <t>2.17亿</t>
  </si>
  <si>
    <t>12.10亿</t>
  </si>
  <si>
    <t>3.13亿</t>
  </si>
  <si>
    <t>4.70亿</t>
  </si>
  <si>
    <t>4.53亿</t>
  </si>
  <si>
    <t>5.03亿</t>
  </si>
  <si>
    <t>8.51亿</t>
  </si>
  <si>
    <t>9.53亿</t>
  </si>
  <si>
    <t>12.16亿</t>
  </si>
  <si>
    <t>27.03亿</t>
  </si>
  <si>
    <t>18.31亿</t>
  </si>
  <si>
    <t>-2.80亿</t>
  </si>
  <si>
    <t>5.15亿</t>
  </si>
  <si>
    <t>5.07亿</t>
  </si>
  <si>
    <t>28.06亿</t>
  </si>
  <si>
    <t>-1.42亿</t>
  </si>
  <si>
    <t>14.78亿</t>
  </si>
  <si>
    <t>-1.78亿</t>
  </si>
  <si>
    <t>11.29亿</t>
  </si>
  <si>
    <t>13.57亿</t>
  </si>
  <si>
    <t>24.23亿</t>
  </si>
  <si>
    <t>15.03亿</t>
  </si>
  <si>
    <t>41.68亿</t>
  </si>
  <si>
    <t>35.50亿</t>
  </si>
  <si>
    <t>25.33亿</t>
  </si>
  <si>
    <t>7.89亿</t>
  </si>
  <si>
    <t>14.67亿</t>
  </si>
  <si>
    <t>10.69亿</t>
  </si>
  <si>
    <t>36.23亿</t>
  </si>
  <si>
    <t>22.07亿</t>
  </si>
  <si>
    <t>14.94亿</t>
  </si>
  <si>
    <t>16.18亿</t>
  </si>
  <si>
    <t>33.76亿</t>
  </si>
  <si>
    <t>3.71亿</t>
  </si>
  <si>
    <t>9.35亿</t>
  </si>
  <si>
    <t>8.66亿</t>
  </si>
  <si>
    <t>11.84亿</t>
  </si>
  <si>
    <t>19.54亿</t>
  </si>
  <si>
    <t>33.47亿</t>
  </si>
  <si>
    <t>21.35亿</t>
  </si>
  <si>
    <t>-1.05亿</t>
  </si>
  <si>
    <t>18.40亿</t>
  </si>
  <si>
    <t>18.62亿</t>
  </si>
  <si>
    <t>-1.60亿</t>
  </si>
  <si>
    <t>92.39亿</t>
  </si>
  <si>
    <t>8.20亿</t>
  </si>
  <si>
    <t>53.56亿</t>
  </si>
  <si>
    <t>SZ002227</t>
  </si>
  <si>
    <t>奥 特 迅</t>
  </si>
  <si>
    <t>631.48万</t>
  </si>
  <si>
    <t>1128.92万</t>
  </si>
  <si>
    <t>1040.20万</t>
  </si>
  <si>
    <t>SZ002255</t>
  </si>
  <si>
    <t>海陆重工</t>
  </si>
  <si>
    <t>-18.44亿</t>
  </si>
  <si>
    <t>SZ002335</t>
  </si>
  <si>
    <t>科华数据</t>
  </si>
  <si>
    <t>38.69亿</t>
  </si>
  <si>
    <t>34.37亿</t>
  </si>
  <si>
    <t>7559.10万</t>
  </si>
  <si>
    <t>SZ002364</t>
  </si>
  <si>
    <t>中恒电气</t>
  </si>
  <si>
    <t>14.33亿</t>
  </si>
  <si>
    <t>8504.25万</t>
  </si>
  <si>
    <t>7671.44万</t>
  </si>
  <si>
    <t>7662.42万</t>
  </si>
  <si>
    <t>SZ002366</t>
  </si>
  <si>
    <t>-14.96亿</t>
  </si>
  <si>
    <t>-6.43亿</t>
  </si>
  <si>
    <t>SZ002518</t>
  </si>
  <si>
    <t>科士达</t>
  </si>
  <si>
    <t>26.10亿</t>
  </si>
  <si>
    <t>SZ002534</t>
  </si>
  <si>
    <t>39.27亿</t>
  </si>
  <si>
    <t>35.01亿</t>
  </si>
  <si>
    <t>SZ002630</t>
  </si>
  <si>
    <t>华西能源</t>
  </si>
  <si>
    <t>-4.66亿</t>
  </si>
  <si>
    <t>36.48亿</t>
  </si>
  <si>
    <t>3665.58万</t>
  </si>
  <si>
    <t>SZ002665</t>
  </si>
  <si>
    <t>-8.62亿</t>
  </si>
  <si>
    <t>7419.88万</t>
  </si>
  <si>
    <t>SZ002851</t>
  </si>
  <si>
    <t>麦格米特</t>
  </si>
  <si>
    <t>35.60亿</t>
  </si>
  <si>
    <t>23.94亿</t>
  </si>
  <si>
    <t>SZ300105</t>
  </si>
  <si>
    <t>龙源技术</t>
  </si>
  <si>
    <t>979.57万</t>
  </si>
  <si>
    <t>1398.30万</t>
  </si>
  <si>
    <t>834.04万</t>
  </si>
  <si>
    <t>SZ300153</t>
  </si>
  <si>
    <t>科泰电源</t>
  </si>
  <si>
    <t>330.20万</t>
  </si>
  <si>
    <t>1804.66万</t>
  </si>
  <si>
    <t>SZ300376</t>
  </si>
  <si>
    <t>易事特</t>
  </si>
  <si>
    <t>41.71亿</t>
  </si>
  <si>
    <t>46.52亿</t>
  </si>
  <si>
    <t>SZ300491</t>
  </si>
  <si>
    <t>通合科技</t>
  </si>
  <si>
    <t>4149.73万</t>
  </si>
  <si>
    <t>3000.92万</t>
  </si>
  <si>
    <t>-1416.52万</t>
  </si>
  <si>
    <t>SZ300593</t>
  </si>
  <si>
    <t>新雷能</t>
  </si>
  <si>
    <t>6223.38万</t>
  </si>
  <si>
    <t>3579.53万</t>
  </si>
  <si>
    <t>SZ300693</t>
  </si>
  <si>
    <t>盛弘股份</t>
  </si>
  <si>
    <t>6205.06万</t>
  </si>
  <si>
    <t>4848.16万</t>
  </si>
  <si>
    <t>SZ300713</t>
  </si>
  <si>
    <t>英可瑞</t>
  </si>
  <si>
    <t>2838.43万</t>
  </si>
  <si>
    <t>-2142.84万</t>
  </si>
  <si>
    <t>1201.15万</t>
  </si>
  <si>
    <t>SZ300820</t>
  </si>
  <si>
    <t>英杰电气</t>
  </si>
  <si>
    <t>SH600405</t>
  </si>
  <si>
    <t>动力源</t>
  </si>
  <si>
    <t>-4191.57万</t>
  </si>
  <si>
    <t>1107.05万</t>
  </si>
  <si>
    <t>SH600875</t>
  </si>
  <si>
    <t>东方电气</t>
  </si>
  <si>
    <t>317.78亿</t>
  </si>
  <si>
    <t>297.30亿</t>
  </si>
  <si>
    <t>SH601727</t>
  </si>
  <si>
    <t>上海电气</t>
  </si>
  <si>
    <t>37.58亿</t>
  </si>
  <si>
    <t>1266.48亿</t>
  </si>
  <si>
    <t>1001.59亿</t>
  </si>
  <si>
    <t>SH688551</t>
  </si>
  <si>
    <t>科威尔</t>
  </si>
  <si>
    <t>5403.43万</t>
  </si>
  <si>
    <t>6162.98万</t>
  </si>
  <si>
    <t>3395.63万</t>
  </si>
  <si>
    <t>代码</t>
  </si>
  <si>
    <t>涨幅%</t>
  </si>
  <si>
    <t>流通股本</t>
  </si>
  <si>
    <t>投入资本回报率roic%[20201231]</t>
  </si>
  <si>
    <t>净资产收益率%[20201231]</t>
  </si>
  <si>
    <t>亏损</t>
  </si>
  <si>
    <t>扭亏</t>
  </si>
  <si>
    <t>西子洁能</t>
  </si>
  <si>
    <t>22.89亿</t>
  </si>
  <si>
    <t>7.45亿</t>
  </si>
  <si>
    <t>12.83亿</t>
  </si>
  <si>
    <t>15.17亿</t>
  </si>
  <si>
    <t>10.42亿</t>
  </si>
  <si>
    <t>净利润[20201231]</t>
  </si>
  <si>
    <t>3.12亿</t>
  </si>
  <si>
    <t>-3270.77万</t>
  </si>
  <si>
    <t>48.66亿</t>
  </si>
  <si>
    <t>18.19亿</t>
  </si>
  <si>
    <t>8930.15万</t>
  </si>
  <si>
    <t>-8.38亿</t>
  </si>
  <si>
    <t>65.78亿</t>
  </si>
  <si>
    <t>-6.82亿</t>
  </si>
  <si>
    <t>-2.22亿</t>
  </si>
  <si>
    <t>41.56亿</t>
  </si>
  <si>
    <t>594.74万</t>
  </si>
  <si>
    <t>844.13万</t>
  </si>
  <si>
    <t>9.26亿</t>
  </si>
  <si>
    <t>42.97亿</t>
  </si>
  <si>
    <t>4.89亿</t>
  </si>
  <si>
    <t>3251.45万</t>
  </si>
  <si>
    <t>10.74亿</t>
  </si>
  <si>
    <t>893.48万</t>
  </si>
  <si>
    <t>25.72亿</t>
  </si>
  <si>
    <t>-99.88亿</t>
  </si>
  <si>
    <t>5691.61万</t>
  </si>
  <si>
    <t xml:space="preserve">    名称</t>
  </si>
  <si>
    <t>净利润?</t>
  </si>
  <si>
    <t>投入资本回报率roic%[20211231]</t>
  </si>
  <si>
    <t>净资产收益率%[20211231]</t>
  </si>
  <si>
    <t/>
  </si>
  <si>
    <t>7.93亿</t>
  </si>
  <si>
    <t>8.59亿</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</si>
  <si>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</si>
  <si>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</si>
  <si>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</si>
  <si>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</si>
  <si>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</si>
  <si>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</si>
  <si>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</si>
  <si>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</si>
  <si>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</si>
  <si>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</si>
  <si>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</si>
  <si>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</si>
  <si>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</si>
  <si>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</si>
  <si>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</si>
  <si>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</si>
  <si>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</si>
  <si>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</si>
  <si>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</si>
  <si>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</si>
  <si>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</si>
  <si>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t>7.60亿</t>
  </si>
  <si>
    <t>13.83亿</t>
  </si>
  <si>
    <t>5.19亿</t>
  </si>
  <si>
    <t>7.33亿</t>
  </si>
  <si>
    <t>细分行业</t>
  </si>
  <si>
    <t>10.20亿</t>
  </si>
  <si>
    <t>7.99亿</t>
  </si>
  <si>
    <t>8.86亿</t>
  </si>
  <si>
    <t>其他电源设备</t>
  </si>
  <si>
    <t>-1.31亿</t>
  </si>
  <si>
    <t>14.29亿</t>
  </si>
  <si>
    <t>13.48亿</t>
  </si>
  <si>
    <t>SH600482</t>
  </si>
  <si>
    <t>中国动力</t>
  </si>
  <si>
    <t>270.14亿</t>
  </si>
  <si>
    <t>296.91亿</t>
  </si>
  <si>
    <t>296.62亿</t>
  </si>
  <si>
    <t>公司主要业务为开发、设计、制造、销售先进的水电、火电、核电、风电、气电、太阳能等发电成套设备，以及向全球能源运营商提供工程承包及服务等相关业务。
市值620亿，利润22.89亿；pe24.04,pb1.85;毛利19.51%，净利5.56%；2021营收增28.26%，利润增23%；2022Q1营收增29.77%，利润增46.31%；过往5年营收增8.3%，利润增50%；
2021：
可再生能源装备 151.38亿 31.66% 23.99% 14.32%
清洁高效能源装备 127.87亿 26.74% 30.74% 21.73%
新兴成长产业 81.72亿 17.09% 15.54% 17.18%
工程与贸易 77.58亿 16.22% 9.34% 10.88%
现代制造服务业 39.63亿 8.29% 20.39% 46.49%</t>
    <phoneticPr fontId="1" type="noConversion"/>
  </si>
  <si>
    <t>1.公司氢能业务 分为两部分：1）上游制氢、储运氢、加氢，由东方锅炉负责；2）中游燃料电池的研 发制造和销售，由东方氢能负责;</t>
    <phoneticPr fontId="1" type="noConversion"/>
  </si>
  <si>
    <t>1.当前公司已在发电侧、电网侧、用电侧以及微网储能等领域进行布局，拥有全系列、全场景储能解决方案，在火电调频、可再生能源并网、电网级输配电、工商业园区、数据中心、城市光储充、无电/弱点地区离并网微网、智能家用光储等领域均拥有丰富的实践经验；</t>
    <phoneticPr fontId="1" type="noConversion"/>
  </si>
  <si>
    <r>
      <t>1.公司新能源业务包括：光伏、储能和充电桩，半年度公司光伏、储能业务实现3.8亿收入，同比</t>
    </r>
    <r>
      <rPr>
        <sz val="9"/>
        <color rgb="FFFF0000"/>
        <rFont val="宋体"/>
        <family val="3"/>
        <charset val="134"/>
        <scheme val="minor"/>
      </rPr>
      <t>增长160%</t>
    </r>
    <r>
      <rPr>
        <sz val="9"/>
        <color theme="1"/>
        <rFont val="宋体"/>
        <family val="3"/>
        <charset val="134"/>
        <scheme val="minor"/>
      </rPr>
      <t>，充电桩业务半年度营业收入四千万，同比增长</t>
    </r>
    <r>
      <rPr>
        <sz val="9"/>
        <color rgb="FFFF0000"/>
        <rFont val="宋体"/>
        <family val="3"/>
        <charset val="134"/>
        <scheme val="minor"/>
      </rPr>
      <t>98%</t>
    </r>
    <r>
      <rPr>
        <sz val="9"/>
        <color theme="1"/>
        <rFont val="宋体"/>
        <family val="3"/>
        <charset val="134"/>
        <scheme val="minor"/>
      </rPr>
      <t>；</t>
    </r>
    <phoneticPr fontId="1" type="noConversion"/>
  </si>
  <si>
    <t>8.22亿</t>
  </si>
  <si>
    <t>8.75亿</t>
  </si>
  <si>
    <t>5.79亿</t>
  </si>
  <si>
    <t>8.29亿</t>
  </si>
  <si>
    <t>17.14亿</t>
  </si>
  <si>
    <t>6.49亿</t>
  </si>
  <si>
    <t>8.60亿</t>
  </si>
  <si>
    <t>7.63亿</t>
  </si>
  <si>
    <t>13.56亿</t>
  </si>
  <si>
    <t>23.65亿</t>
  </si>
  <si>
    <t>11.52亿</t>
  </si>
  <si>
    <t>54.78亿</t>
  </si>
  <si>
    <t>10派1元(含税)</t>
  </si>
  <si>
    <t>不分配不转增</t>
  </si>
  <si>
    <t>10派0.5元(含税)</t>
  </si>
  <si>
    <t>10派1.2元(含税)</t>
  </si>
  <si>
    <t>10派1.5元(含税)</t>
  </si>
  <si>
    <t>10派4.5元(含税)</t>
  </si>
  <si>
    <t>10派6元(含税)</t>
  </si>
  <si>
    <t>10派4元(含税)</t>
  </si>
  <si>
    <t>-1-0</t>
  </si>
  <si>
    <t>1-1</t>
  </si>
  <si>
    <t>-1-1</t>
  </si>
  <si>
    <t>1.问：公司现在自研芯片的应用情况？答：公司自研芯片主要是应用于微模组、电驱类、电源国产化需求的控制和驱动类芯片,公司部分中、低功率电源国产化项目已经应用了自研芯片。</t>
    <phoneticPr fontId="1" type="noConversion"/>
  </si>
  <si>
    <t>2-0</t>
  </si>
  <si>
    <t>-2-1</t>
  </si>
  <si>
    <t>SZ301157</t>
  </si>
  <si>
    <t>华塑科技</t>
  </si>
  <si>
    <t>5519.27万</t>
  </si>
  <si>
    <t>5615.67万</t>
  </si>
  <si>
    <t>3-1</t>
  </si>
  <si>
    <t>14.04亿</t>
  </si>
  <si>
    <t>-7.57亿</t>
  </si>
  <si>
    <t>16.09亿</t>
  </si>
  <si>
    <t>-5582.20万</t>
  </si>
  <si>
    <t>44.01亿</t>
  </si>
  <si>
    <t>73.44亿</t>
  </si>
  <si>
    <t>-2.55亿</t>
  </si>
  <si>
    <t>9.31亿</t>
  </si>
  <si>
    <t>47.42亿</t>
  </si>
  <si>
    <t>-6068.59万</t>
  </si>
  <si>
    <t>8604.51万</t>
  </si>
  <si>
    <t>1621.74万</t>
  </si>
  <si>
    <t>2436.40万</t>
  </si>
  <si>
    <t>6.76亿</t>
  </si>
  <si>
    <t>346.69亿</t>
  </si>
  <si>
    <t>467.56亿</t>
  </si>
  <si>
    <t>362.39亿</t>
  </si>
  <si>
    <t>-35.66亿</t>
  </si>
  <si>
    <t>1295.55亿</t>
  </si>
  <si>
    <t>1365.40亿</t>
  </si>
  <si>
    <t>26.23亿</t>
  </si>
  <si>
    <t>81.41亿</t>
  </si>
  <si>
    <t>6222.46万</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</si>
  <si>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</si>
  <si>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</si>
  <si>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</si>
  <si>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</si>
  <si>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</si>
  <si>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</si>
  <si>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</si>
  <si>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</si>
  <si>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</si>
  <si>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</si>
  <si>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</si>
  <si>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</si>
  <si>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</si>
  <si>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</si>
  <si>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</si>
  <si>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</si>
  <si>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</si>
  <si>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</si>
  <si>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</si>
  <si>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</si>
  <si>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</si>
  <si>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</si>
  <si>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</si>
  <si>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</si>
  <si>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</si>
  <si>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</si>
  <si>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</si>
  <si>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</si>
  <si>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</si>
  <si>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</si>
  <si>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</si>
  <si>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</si>
  <si>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</si>
  <si>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</si>
  <si>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</si>
  <si>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</si>
  <si>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</si>
  <si>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</si>
  <si>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</si>
  <si>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</si>
  <si>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</si>
  <si>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</si>
  <si>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</si>
  <si>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</si>
  <si>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</si>
  <si>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</si>
  <si>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</si>
  <si>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</si>
  <si>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</si>
  <si>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</si>
  <si>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</si>
  <si>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</si>
  <si>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</si>
  <si>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</si>
  <si>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</si>
  <si>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</si>
  <si>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</si>
  <si>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</si>
  <si>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</si>
  <si>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</si>
  <si>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</si>
  <si>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</si>
  <si>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</si>
  <si>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</si>
  <si>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</si>
  <si>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</si>
  <si>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</si>
  <si>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</si>
  <si>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</si>
  <si>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</si>
  <si>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</si>
  <si>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</si>
  <si>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</si>
  <si>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</si>
  <si>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</si>
  <si>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</si>
  <si>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</si>
  <si>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</si>
  <si>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</si>
  <si>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</si>
  <si>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</si>
  <si>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</si>
  <si>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</si>
  <si>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</si>
  <si>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</si>
  <si>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</si>
  <si>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</si>
  <si>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</si>
  <si>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</si>
  <si>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56.48亿</t>
  </si>
  <si>
    <t>7.58亿</t>
  </si>
  <si>
    <t>5.20亿</t>
  </si>
  <si>
    <t>11.28亿</t>
  </si>
  <si>
    <t>15.08亿</t>
  </si>
  <si>
    <t>SH600212</t>
  </si>
  <si>
    <t>绿能慧充</t>
  </si>
  <si>
    <t>-9654.04万</t>
  </si>
  <si>
    <t>-1.10亿</t>
  </si>
  <si>
    <t>-3-0</t>
  </si>
  <si>
    <t>4-1</t>
  </si>
  <si>
    <t>4.62亿</t>
  </si>
  <si>
    <t>3.95亿</t>
  </si>
  <si>
    <t>10.93亿</t>
  </si>
  <si>
    <t>15.61亿</t>
  </si>
  <si>
    <t>10.00万</t>
  </si>
  <si>
    <t>10.66亿</t>
  </si>
  <si>
    <t>融发核电</t>
  </si>
  <si>
    <t>4.94亿</t>
  </si>
  <si>
    <t>24.40万</t>
  </si>
  <si>
    <t>15.52亿</t>
  </si>
  <si>
    <t>17.70亿</t>
  </si>
  <si>
    <t>19.77亿</t>
  </si>
  <si>
    <t>28.58亿</t>
  </si>
  <si>
    <t>14.27亿</t>
  </si>
  <si>
    <t>4.97亿</t>
  </si>
  <si>
    <t>48.01亿</t>
  </si>
  <si>
    <t>18.67亿</t>
  </si>
  <si>
    <t>15.55亿</t>
  </si>
  <si>
    <t>5.91亿</t>
  </si>
  <si>
    <t>14.37亿</t>
  </si>
  <si>
    <t>11.33亿</t>
  </si>
  <si>
    <t>30.72亿</t>
  </si>
  <si>
    <t>6.94亿</t>
  </si>
  <si>
    <t>-2.76亿</t>
  </si>
  <si>
    <t>54.40亿</t>
  </si>
  <si>
    <t>SH688719</t>
  </si>
  <si>
    <t>爱科赛博</t>
  </si>
  <si>
    <t>67.54亿</t>
  </si>
  <si>
    <t>-1.02亿</t>
  </si>
  <si>
    <t>6.96亿</t>
  </si>
  <si>
    <t>18.92亿</t>
  </si>
  <si>
    <t>20.90亿</t>
  </si>
  <si>
    <t>SZ301516</t>
  </si>
  <si>
    <t>中远通</t>
  </si>
  <si>
    <t>9976.33万</t>
  </si>
  <si>
    <t>19.18亿</t>
  </si>
  <si>
    <t>-1.93亿</t>
  </si>
  <si>
    <t>4752.17万</t>
  </si>
  <si>
    <t>1680.58万</t>
  </si>
  <si>
    <t>-1743.17万</t>
  </si>
  <si>
    <t>1.公司有三类主营产品，分别是精密测试电源，电能质量控制，和特种电源。精密测+A410试电源产生于特种电源，由于需求快速增长，于 2019  年成为独立产品线。前期精密测试电源业务从光伏储能领域切入，至今在光伏储能领域仍保持最高国内市场份额，并与华为、比亚迪等大客户形成稳定的合作关系。</t>
    <phoneticPr fontId="1" type="noConversion"/>
  </si>
  <si>
    <t>-4-1</t>
  </si>
  <si>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</si>
  <si>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</si>
  <si>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</si>
  <si>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</si>
  <si>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</si>
  <si>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</si>
  <si>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</si>
  <si>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</si>
  <si>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</si>
  <si>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-5-1</t>
  </si>
  <si>
    <r>
      <t>1.可比公司中</t>
    </r>
    <r>
      <rPr>
        <sz val="9"/>
        <color rgb="FFFF0000"/>
        <rFont val="宋体"/>
        <family val="3"/>
        <charset val="134"/>
        <scheme val="minor"/>
      </rPr>
      <t>科威尔</t>
    </r>
    <r>
      <rPr>
        <sz val="9"/>
        <color theme="1"/>
        <rFont val="宋体"/>
        <family val="2"/>
        <charset val="134"/>
        <scheme val="minor"/>
      </rPr>
      <t>主要从事测试电源、氢能测试及智能制造装备、功率半导体测试及智能制造装备等研发、生产与销售；</t>
    </r>
    <r>
      <rPr>
        <sz val="9"/>
        <color rgb="FFFF0000"/>
        <rFont val="宋体"/>
        <family val="3"/>
        <charset val="134"/>
        <scheme val="minor"/>
      </rPr>
      <t>英杰电气</t>
    </r>
    <r>
      <rPr>
        <sz val="9"/>
        <color theme="1"/>
        <rFont val="宋体"/>
        <family val="2"/>
        <charset val="134"/>
        <scheme val="minor"/>
      </rPr>
      <t>主要从事以功率控制电源、特种电源为代表的工业电源设备的研发、生产与销售以及新能源汽车充电桩/站的研发、生产和销售；</t>
    </r>
    <r>
      <rPr>
        <sz val="9"/>
        <color rgb="FFFF0000"/>
        <rFont val="宋体"/>
        <family val="3"/>
        <charset val="134"/>
        <scheme val="minor"/>
      </rPr>
      <t>新雷能</t>
    </r>
    <r>
      <rPr>
        <sz val="9"/>
        <color theme="1"/>
        <rFont val="宋体"/>
        <family val="2"/>
        <charset val="134"/>
        <scheme val="minor"/>
      </rPr>
      <t>主要从事模块电源、定制电源、大功率电源及供配电电源系统等的研发、生产和销售；</t>
    </r>
    <r>
      <rPr>
        <sz val="9"/>
        <color rgb="FFFF0000"/>
        <rFont val="宋体"/>
        <family val="3"/>
        <charset val="134"/>
        <scheme val="minor"/>
      </rPr>
      <t>威海广泰</t>
    </r>
    <r>
      <rPr>
        <sz val="9"/>
        <color theme="1"/>
        <rFont val="宋体"/>
        <family val="2"/>
        <charset val="134"/>
        <scheme val="minor"/>
      </rPr>
      <t>主要从事空港装备、消防设备等研发、生产和销售；</t>
    </r>
    <r>
      <rPr>
        <sz val="9"/>
        <color rgb="FFFF0000"/>
        <rFont val="宋体"/>
        <family val="3"/>
        <charset val="134"/>
        <scheme val="minor"/>
      </rPr>
      <t>盛弘股份</t>
    </r>
    <r>
      <rPr>
        <sz val="9"/>
        <color theme="1"/>
        <rFont val="宋体"/>
        <family val="2"/>
        <charset val="134"/>
        <scheme val="minor"/>
      </rPr>
      <t>主要从事电能质量设备、电动汽车充电桩、新能源电能变换设备、电池化成与检测设备等研发、生产和销售；</t>
    </r>
    <r>
      <rPr>
        <sz val="9"/>
        <color rgb="FFFF0000"/>
        <rFont val="宋体"/>
        <family val="3"/>
        <charset val="134"/>
        <scheme val="minor"/>
      </rPr>
      <t>新风光</t>
    </r>
    <r>
      <rPr>
        <sz val="9"/>
        <color theme="1"/>
        <rFont val="宋体"/>
        <family val="2"/>
        <charset val="134"/>
        <scheme val="minor"/>
      </rPr>
      <t>主要从事高压动态无功补偿装置、各类高中低压变频器、智慧储能系统装置、轨道交通能量回馈装置、煤矿防爆和智能控制装备等研发、生产和销售。</t>
    </r>
    <phoneticPr fontId="1" type="noConversion"/>
  </si>
  <si>
    <t>-6-1</t>
  </si>
  <si>
    <t>5.35亿</t>
  </si>
  <si>
    <t>-6-0</t>
  </si>
  <si>
    <t>14.90亿</t>
  </si>
  <si>
    <r>
      <t>0.前十大股东累计持有： 1.58亿股，</t>
    </r>
    <r>
      <rPr>
        <sz val="9"/>
        <color rgb="FFFF0000"/>
        <rFont val="宋体"/>
        <family val="3"/>
        <charset val="134"/>
        <scheme val="minor"/>
      </rPr>
      <t>累计占总股本比：71.56%，</t>
    </r>
    <r>
      <rPr>
        <sz val="9"/>
        <rFont val="宋体"/>
        <family val="3"/>
        <charset val="134"/>
        <scheme val="minor"/>
      </rPr>
      <t>董事长王军和总经理周英怀为实际控制人，截至 2023 年半年报，两人持有公司股权比例分别为 34.29%和 33.78%，</t>
    </r>
    <r>
      <rPr>
        <sz val="9"/>
        <color rgb="FFFF0000"/>
        <rFont val="宋体"/>
        <family val="3"/>
        <charset val="134"/>
        <scheme val="minor"/>
      </rPr>
      <t>合计共持股 68.07%，</t>
    </r>
    <r>
      <rPr>
        <sz val="9"/>
        <rFont val="宋体"/>
        <family val="3"/>
        <charset val="134"/>
        <scheme val="minor"/>
      </rPr>
      <t>股权集中度较高</t>
    </r>
    <r>
      <rPr>
        <sz val="9"/>
        <color theme="1"/>
        <rFont val="宋体"/>
        <family val="3"/>
        <charset val="134"/>
        <scheme val="minor"/>
      </rPr>
      <t>；</t>
    </r>
    <r>
      <rPr>
        <sz val="9"/>
        <color theme="1"/>
        <rFont val="宋体"/>
        <family val="2"/>
        <charset val="134"/>
        <scheme val="minor"/>
      </rPr>
      <t>1.从去年下半年开始，公司的光伏订单就在连续增长，下游客户的投资热情高涨，</t>
    </r>
    <r>
      <rPr>
        <b/>
        <sz val="9"/>
        <color rgb="FFFF0000"/>
        <rFont val="宋体"/>
        <family val="3"/>
        <charset val="134"/>
        <scheme val="minor"/>
      </rPr>
      <t>作为在该行业市占率较高（60%-70%）的电源供应商</t>
    </r>
    <r>
      <rPr>
        <sz val="9"/>
        <color theme="1"/>
        <rFont val="宋体"/>
        <family val="2"/>
        <charset val="134"/>
        <scheme val="minor"/>
      </rPr>
      <t>，公司也因此受益。</t>
    </r>
    <r>
      <rPr>
        <sz val="9"/>
        <color theme="1"/>
        <rFont val="宋体"/>
        <family val="3"/>
        <charset val="134"/>
        <scheme val="minor"/>
      </rPr>
      <t>2.电源作为一些特殊场合（包括光伏设备，半导体设备及其他）温场控制的核心，要求能够根据负载变化进行电流电压勿扰切换，具备功率密度大、高稳定度、高控制精度、快速响应等特性，其重要程度不言而喻。3.2024年调研：与公司后期销售收入关联度较高的</t>
    </r>
    <r>
      <rPr>
        <b/>
        <sz val="9"/>
        <color rgb="FFFF0000"/>
        <rFont val="宋体"/>
        <family val="3"/>
        <charset val="134"/>
        <scheme val="minor"/>
      </rPr>
      <t>两个财务指标，存货和合同负债也是增长的</t>
    </r>
    <r>
      <rPr>
        <sz val="9"/>
        <color theme="1"/>
        <rFont val="宋体"/>
        <family val="3"/>
        <charset val="134"/>
        <scheme val="minor"/>
      </rPr>
      <t>，存货为 18.38 亿元，同比增长20.8%,合同负债 11.36 亿元，同比增长 34.37%。因为公司为定制化产品，存货里 70%以上都是没有确认销售收入的发出商品，合同负债主要表现为预收款，两个数据的连续增长，印证了前期公司订单增长的情况，也为后期销售收入的确认打下了比较好的基础。4.请问公司电源核心技术的壁垒在哪里？答：公司的电源主要集中在电热场加热，且需要长时间精准控温，控制电流、电压、频率、响应速度等等。和国外产品相比，</t>
    </r>
    <r>
      <rPr>
        <b/>
        <sz val="9"/>
        <color rgb="FFFF0000"/>
        <rFont val="宋体"/>
        <family val="3"/>
        <charset val="134"/>
        <scheme val="minor"/>
      </rPr>
      <t>稳定性以及持续稳定工作的时间</t>
    </r>
    <r>
      <rPr>
        <sz val="9"/>
        <color theme="1"/>
        <rFont val="宋体"/>
        <family val="3"/>
        <charset val="134"/>
        <scheme val="minor"/>
      </rPr>
      <t>，国内企业有较大差距。我们实现替代的产品也是在这两点上实现了重要突破才取得了替代的成功。5.问：请问半导体射频电源的价值量如何？答：按照目前行业分析师分析报告给出来的数据，占</t>
    </r>
    <r>
      <rPr>
        <sz val="9"/>
        <color rgb="FFFF0000"/>
        <rFont val="宋体"/>
        <family val="3"/>
        <charset val="134"/>
        <scheme val="minor"/>
      </rPr>
      <t>设备价值量的10-15%</t>
    </r>
    <r>
      <rPr>
        <sz val="9"/>
        <color theme="1"/>
        <rFont val="宋体"/>
        <family val="3"/>
        <charset val="134"/>
        <scheme val="minor"/>
      </rPr>
      <t>左右，可以考虑取中位数12%左右做测算。6.2024年一季度营业总收入：3.75亿元</t>
    </r>
    <r>
      <rPr>
        <sz val="9"/>
        <color rgb="FFFF0000"/>
        <rFont val="宋体"/>
        <family val="3"/>
        <charset val="134"/>
        <scheme val="minor"/>
      </rPr>
      <t>同比增长61.02%</t>
    </r>
    <r>
      <rPr>
        <sz val="9"/>
        <color theme="1"/>
        <rFont val="宋体"/>
        <family val="3"/>
        <charset val="134"/>
        <scheme val="minor"/>
      </rPr>
      <t>；净利润：0.80亿元</t>
    </r>
    <r>
      <rPr>
        <sz val="9"/>
        <color rgb="FFFF0000"/>
        <rFont val="宋体"/>
        <family val="3"/>
        <charset val="134"/>
        <scheme val="minor"/>
      </rPr>
      <t>同比增长44.73</t>
    </r>
    <r>
      <rPr>
        <sz val="9"/>
        <color theme="1"/>
        <rFont val="宋体"/>
        <family val="3"/>
        <charset val="134"/>
        <scheme val="minor"/>
      </rPr>
      <t xml:space="preserve">%；2023年营收17.7亿增37.99%；利润4.31亿增27.23%；报告期内公司营业收入主要来自于光伏行业，销售收入 97,384.62 万元，占营业收入的比重为 55.03%，同比上升 58.77%；来自于半导体及电子材料行业的销售收入 32,948.76 万元,占营业收入的比重 18.62%，同比上升 69.35%；来自于充电桩的销售收入 9,684.13 万元，同比上升 12.51%。
</t>
    </r>
    <phoneticPr fontId="1" type="noConversion"/>
  </si>
  <si>
    <t>15.43亿</t>
  </si>
  <si>
    <t>22.72亿</t>
  </si>
  <si>
    <t>6706.47万</t>
  </si>
  <si>
    <t>-4305.45万</t>
  </si>
  <si>
    <t>82400亿</t>
  </si>
  <si>
    <t>-15786239亿</t>
  </si>
  <si>
    <t>121228833亿</t>
  </si>
  <si>
    <t>522125520亿</t>
  </si>
  <si>
    <t>-4016.30万</t>
  </si>
  <si>
    <t>6784.51万</t>
  </si>
  <si>
    <t>-1157.68万</t>
  </si>
  <si>
    <t>26.82亿</t>
  </si>
  <si>
    <t>27.95亿</t>
  </si>
  <si>
    <t>-166013亿</t>
  </si>
  <si>
    <t>42755018亿</t>
  </si>
  <si>
    <t>965335260亿</t>
  </si>
  <si>
    <t>4415612300亿</t>
  </si>
  <si>
    <t>3603.86万</t>
  </si>
  <si>
    <t>8.40亿</t>
  </si>
  <si>
    <t>17.15亿</t>
  </si>
  <si>
    <t>73.58亿</t>
  </si>
  <si>
    <t>2009627亿</t>
  </si>
  <si>
    <t>59944918亿</t>
  </si>
  <si>
    <t>2728212800亿</t>
  </si>
  <si>
    <t>5637576900亿</t>
  </si>
  <si>
    <t>44.45亿</t>
  </si>
  <si>
    <t>3936.17万</t>
  </si>
  <si>
    <t>1249840亿</t>
  </si>
  <si>
    <t>8974451亿</t>
  </si>
  <si>
    <t>874340880亿</t>
  </si>
  <si>
    <t>2312787000亿</t>
  </si>
  <si>
    <t>630.82万</t>
  </si>
  <si>
    <t>31.74亿</t>
  </si>
  <si>
    <t>222.2亿</t>
  </si>
  <si>
    <t>-41179亿</t>
  </si>
  <si>
    <t>363005650亿</t>
  </si>
  <si>
    <t>4221686200亿</t>
  </si>
  <si>
    <t>7607.55万</t>
  </si>
  <si>
    <t>-1093.35万</t>
  </si>
  <si>
    <t>0204000000</t>
  </si>
  <si>
    <t>0612000000</t>
  </si>
  <si>
    <t>01224000000</t>
  </si>
  <si>
    <t>02040000000</t>
  </si>
  <si>
    <t>04080000000</t>
  </si>
  <si>
    <t>115683813亿</t>
  </si>
  <si>
    <t>1408996300亿</t>
  </si>
  <si>
    <t>4255444800亿</t>
  </si>
  <si>
    <t>116.01亿</t>
  </si>
  <si>
    <t>80.79亿</t>
  </si>
  <si>
    <t>5458.19万</t>
  </si>
  <si>
    <t>285169810亿</t>
  </si>
  <si>
    <t>14967528亿</t>
  </si>
  <si>
    <t>1801630200亿</t>
  </si>
  <si>
    <t>10501885600亿</t>
  </si>
  <si>
    <t>2455.15万</t>
  </si>
  <si>
    <t>55.73亿</t>
  </si>
  <si>
    <t>55405629亿</t>
  </si>
  <si>
    <t>47139530亿</t>
  </si>
  <si>
    <t>760128070亿</t>
  </si>
  <si>
    <t>3374147200亿</t>
  </si>
  <si>
    <t>-1.32亿</t>
  </si>
  <si>
    <t>ST航高</t>
  </si>
  <si>
    <t>30.91亿</t>
  </si>
  <si>
    <t>-3.16亿</t>
  </si>
  <si>
    <t>-547113亿</t>
  </si>
  <si>
    <t>-68631381亿</t>
  </si>
  <si>
    <t>942377810亿</t>
  </si>
  <si>
    <t>2947298300亿</t>
  </si>
  <si>
    <t>-769367亿</t>
  </si>
  <si>
    <t>121632183亿</t>
  </si>
  <si>
    <t>2326213600亿</t>
  </si>
  <si>
    <t>6603038500亿</t>
  </si>
  <si>
    <t>10派2.18元(含税)</t>
  </si>
  <si>
    <t>13.42亿</t>
  </si>
  <si>
    <t>12.41亿</t>
  </si>
  <si>
    <t>13.30亿</t>
  </si>
  <si>
    <t>19.24亿</t>
  </si>
  <si>
    <t>9.38亿</t>
  </si>
  <si>
    <t>663018亿</t>
  </si>
  <si>
    <t>12068140亿</t>
  </si>
  <si>
    <t>553228830亿</t>
  </si>
  <si>
    <t>1915822000亿</t>
  </si>
  <si>
    <t>8852.95万</t>
  </si>
  <si>
    <t>6148.78万</t>
  </si>
  <si>
    <t>-618.83万</t>
  </si>
  <si>
    <t>3227.23万</t>
  </si>
  <si>
    <t>-195410亿</t>
  </si>
  <si>
    <t>7705286亿</t>
  </si>
  <si>
    <t>369720400亿</t>
  </si>
  <si>
    <t>1232065870亿</t>
  </si>
  <si>
    <t>6240.00万</t>
  </si>
  <si>
    <t>2889.28万</t>
  </si>
  <si>
    <t>766.86万</t>
  </si>
  <si>
    <t>032272300</t>
  </si>
  <si>
    <t>096816900</t>
  </si>
  <si>
    <t>0193633800</t>
  </si>
  <si>
    <t>0322723000</t>
  </si>
  <si>
    <t>0645446000</t>
  </si>
  <si>
    <t>106.01亿</t>
  </si>
  <si>
    <t>10.09亿</t>
  </si>
  <si>
    <t>-5.44亿</t>
  </si>
  <si>
    <t>63.44亿</t>
  </si>
  <si>
    <t>47.93亿</t>
  </si>
  <si>
    <t>2202298亿</t>
  </si>
  <si>
    <t>40411747亿</t>
  </si>
  <si>
    <t>3191527700亿</t>
  </si>
  <si>
    <t>8373288600亿</t>
  </si>
  <si>
    <t>13.93亿</t>
  </si>
  <si>
    <t>10派0.49元(含税)</t>
  </si>
  <si>
    <t>6837642亿</t>
  </si>
  <si>
    <t>636841450亿</t>
  </si>
  <si>
    <t>1352226100亿</t>
  </si>
  <si>
    <t>4435.36万</t>
  </si>
  <si>
    <t>1576.76万</t>
  </si>
  <si>
    <t>9683.06万</t>
  </si>
  <si>
    <t>1703840亿</t>
  </si>
  <si>
    <t>-43031810亿</t>
  </si>
  <si>
    <t>827120670亿</t>
  </si>
  <si>
    <t>3228566200亿</t>
  </si>
  <si>
    <t>14.26亿</t>
  </si>
  <si>
    <t>26.51亿</t>
  </si>
  <si>
    <t>59833983亿</t>
  </si>
  <si>
    <t>777748630亿</t>
  </si>
  <si>
    <t>2551522800亿</t>
  </si>
  <si>
    <t>6260.22万</t>
  </si>
  <si>
    <t>10派3.3元(含税)</t>
  </si>
  <si>
    <t>4843.12万</t>
  </si>
  <si>
    <t>-4077.91万</t>
  </si>
  <si>
    <t>-850453亿</t>
  </si>
  <si>
    <t>-14322939亿</t>
  </si>
  <si>
    <t>186843930亿</t>
  </si>
  <si>
    <t>434242910亿</t>
  </si>
  <si>
    <t>5797.37万</t>
  </si>
  <si>
    <t>63.32万</t>
  </si>
  <si>
    <t>2616217亿</t>
  </si>
  <si>
    <t>77636304亿</t>
  </si>
  <si>
    <t>348120920亿</t>
  </si>
  <si>
    <t>3676763100亿</t>
  </si>
  <si>
    <t>28.70亿</t>
  </si>
  <si>
    <t>-8256540亿</t>
  </si>
  <si>
    <t>29984746亿</t>
  </si>
  <si>
    <t>861175050亿</t>
  </si>
  <si>
    <t>2139846500亿</t>
  </si>
  <si>
    <t>9042.40万</t>
  </si>
  <si>
    <t>10派3.4元(含税)</t>
  </si>
  <si>
    <t>404.76万</t>
  </si>
  <si>
    <t>14.64亿</t>
  </si>
  <si>
    <t>10.87亿</t>
  </si>
  <si>
    <t>6231.68万</t>
  </si>
  <si>
    <t>3780.66万</t>
  </si>
  <si>
    <t>3018521亿</t>
  </si>
  <si>
    <t>6922079亿</t>
  </si>
  <si>
    <t>277316390亿</t>
  </si>
  <si>
    <t>1135856150亿</t>
  </si>
  <si>
    <t>672.27万</t>
  </si>
  <si>
    <t>5712.90万</t>
  </si>
  <si>
    <t>113.16亿</t>
  </si>
  <si>
    <t>6601.04万</t>
  </si>
  <si>
    <t>-9996847亿</t>
  </si>
  <si>
    <t>237231860亿</t>
  </si>
  <si>
    <t>1311920050亿</t>
  </si>
  <si>
    <t>8241.76万</t>
  </si>
  <si>
    <t>5103.51万</t>
  </si>
  <si>
    <t>1522.44万</t>
  </si>
  <si>
    <t>10派1.84元(含税)</t>
  </si>
  <si>
    <t>1741.16万</t>
  </si>
  <si>
    <t>-8350551亿</t>
  </si>
  <si>
    <t>349746880亿</t>
  </si>
  <si>
    <t>993036960亿</t>
  </si>
  <si>
    <t>50170亿</t>
  </si>
  <si>
    <t>-57215631亿</t>
  </si>
  <si>
    <t>523236630亿</t>
  </si>
  <si>
    <t>1178884000亿</t>
  </si>
  <si>
    <t>-1661.26万</t>
  </si>
  <si>
    <t>515.73亿</t>
  </si>
  <si>
    <t>71.84亿</t>
  </si>
  <si>
    <t>61.96亿</t>
  </si>
  <si>
    <t>21.30亿</t>
  </si>
  <si>
    <t>518.14亿</t>
  </si>
  <si>
    <t>114.02亿</t>
  </si>
  <si>
    <t>451.03亿</t>
  </si>
  <si>
    <t>16138921亿</t>
  </si>
  <si>
    <t>53495192亿</t>
  </si>
  <si>
    <t>13639767000亿</t>
  </si>
  <si>
    <t>74587834000亿</t>
  </si>
  <si>
    <t>382.80亿</t>
  </si>
  <si>
    <t>10派1.07元(含税)</t>
  </si>
  <si>
    <t>798.88亿</t>
  </si>
  <si>
    <t>148.01亿</t>
  </si>
  <si>
    <t>595.67亿</t>
  </si>
  <si>
    <t>81757352亿</t>
  </si>
  <si>
    <t>1055684210亿</t>
  </si>
  <si>
    <t>12992626300亿</t>
  </si>
  <si>
    <t>80471383000亿</t>
  </si>
  <si>
    <t>541.90亿</t>
  </si>
  <si>
    <t>10派4.75元(含税)</t>
  </si>
  <si>
    <t>65.95亿</t>
  </si>
  <si>
    <t>1244.62万</t>
  </si>
  <si>
    <t>2063.40亿</t>
  </si>
  <si>
    <t>204.47亿</t>
  </si>
  <si>
    <t>1142.18亿</t>
  </si>
  <si>
    <t>362857000亿</t>
  </si>
  <si>
    <t>-119582000亿</t>
  </si>
  <si>
    <t>37485696000亿</t>
  </si>
  <si>
    <t>185955270000亿</t>
  </si>
  <si>
    <t>1169.86亿</t>
  </si>
  <si>
    <t>40.19亿</t>
  </si>
  <si>
    <t>11.25亿</t>
  </si>
  <si>
    <t>6-1</t>
  </si>
  <si>
    <t>16394328亿</t>
  </si>
  <si>
    <t>238114340亿</t>
  </si>
  <si>
    <t>1482978500亿</t>
  </si>
  <si>
    <t>3302.59万</t>
  </si>
  <si>
    <t>356619亿</t>
  </si>
  <si>
    <t>4547814亿</t>
  </si>
  <si>
    <t>434518350亿</t>
  </si>
  <si>
    <t>2080349400亿</t>
  </si>
  <si>
    <t>6871.10万</t>
  </si>
  <si>
    <t>账面净赚</t>
  </si>
  <si>
    <t>-11-1</t>
  </si>
  <si>
    <r>
      <t>1.光伏配套电源对手：大全集团，北京动力源科技；2.</t>
    </r>
    <r>
      <rPr>
        <sz val="9"/>
        <color rgb="FFFF0000"/>
        <rFont val="宋体"/>
        <family val="3"/>
        <charset val="134"/>
        <scheme val="minor"/>
      </rPr>
      <t>射频电源</t>
    </r>
    <r>
      <rPr>
        <sz val="9"/>
        <color theme="1"/>
        <rFont val="宋体"/>
        <family val="2"/>
        <charset val="134"/>
        <scheme val="minor"/>
      </rPr>
      <t>未来的市场需求，据公司了解，可能</t>
    </r>
    <r>
      <rPr>
        <sz val="9"/>
        <color rgb="FFFF0000"/>
        <rFont val="宋体"/>
        <family val="3"/>
        <charset val="134"/>
        <scheme val="minor"/>
      </rPr>
      <t>上十亿及甚至更高规模</t>
    </r>
    <r>
      <rPr>
        <sz val="9"/>
        <color theme="1"/>
        <rFont val="宋体"/>
        <family val="2"/>
        <charset val="134"/>
        <scheme val="minor"/>
      </rPr>
      <t>，但落实到公司自己的订单上，会受到未来市场竞争的影响，努力解决技术问题，争取覆盖更多类型的射频电源，形成较强的市场竞争力是当务之急。3.我国功率控制电源生产企业分为三个竞争群组：第一群组是国外的知名企业，如德国 AEG 公司/美国 AE、美国 Spang 公司、英国 Eurotherm Limited（欧陆）公司等；第二群组是国内的优势生产企业，如本公司、广州擎天实业有限公司等，这些企业凭借技术、品质优势在中国中高端功率控制电源市场占据一定的市场份额；第三群组是规模较小的生产企业，这部分企业以生产中低端功率控制电源为主，竞争力较弱。4.面对当前的</t>
    </r>
    <r>
      <rPr>
        <sz val="9"/>
        <color rgb="FFFF0000"/>
        <rFont val="宋体"/>
        <family val="3"/>
        <charset val="134"/>
        <scheme val="minor"/>
      </rPr>
      <t>光伏行业下行周期</t>
    </r>
    <r>
      <rPr>
        <sz val="9"/>
        <color theme="1"/>
        <rFont val="宋体"/>
        <family val="2"/>
        <charset val="134"/>
        <scheme val="minor"/>
      </rPr>
      <t>，公司努力做好其他行业订单弥补的准备，待光伏行业回暖时（2024年Q4到2025Q4），公司光伏行业的订单仍然会继续增长。另一个原因是确认周期较短的订单（比如半导体及电子材料行业）目前保持持续增长并也开始确认销售收入，很大程度上缓冲了光伏行业下行周期对于公司业绩所带来的影响，2024Q1的增速就证明了这一点；5.未来国内射频电源的市场规模，会伴随着国产化替代能力的提升进一步扩大，</t>
    </r>
    <r>
      <rPr>
        <b/>
        <sz val="9"/>
        <color rgb="FFFF0000"/>
        <rFont val="宋体"/>
        <family val="3"/>
        <charset val="134"/>
        <scheme val="minor"/>
      </rPr>
      <t>射频电源</t>
    </r>
    <r>
      <rPr>
        <sz val="9"/>
        <color theme="1"/>
        <rFont val="宋体"/>
        <family val="2"/>
        <charset val="134"/>
        <scheme val="minor"/>
      </rPr>
      <t>业务的拓展是公司</t>
    </r>
    <r>
      <rPr>
        <b/>
        <sz val="9"/>
        <color rgb="FFFF0000"/>
        <rFont val="宋体"/>
        <family val="3"/>
        <charset val="134"/>
        <scheme val="minor"/>
      </rPr>
      <t>未来两年业绩增长</t>
    </r>
    <r>
      <rPr>
        <sz val="9"/>
        <color theme="1"/>
        <rFont val="宋体"/>
        <family val="2"/>
        <charset val="134"/>
        <scheme val="minor"/>
      </rPr>
      <t>的重要方向之一。</t>
    </r>
    <phoneticPr fontId="1" type="noConversion"/>
  </si>
  <si>
    <t>10.23亿</t>
  </si>
  <si>
    <t>418.26万</t>
  </si>
  <si>
    <t>8294.28万</t>
  </si>
  <si>
    <t>5388.49万</t>
  </si>
  <si>
    <t>765.52万</t>
  </si>
  <si>
    <t>1012.01万</t>
  </si>
  <si>
    <t>2.87万</t>
  </si>
  <si>
    <t>594.81万</t>
  </si>
  <si>
    <t>5407.97万</t>
  </si>
  <si>
    <t>222.39万</t>
  </si>
  <si>
    <t>7148.84万</t>
  </si>
  <si>
    <t>-2259.55万</t>
  </si>
  <si>
    <t>-519.00万</t>
  </si>
  <si>
    <t>-1460.33万</t>
  </si>
  <si>
    <t>2637.32万</t>
  </si>
  <si>
    <t>859.74万</t>
  </si>
  <si>
    <t>37.92亿</t>
  </si>
  <si>
    <t>1246.53万</t>
  </si>
  <si>
    <t>2578.93万</t>
  </si>
  <si>
    <t>1.22万</t>
  </si>
  <si>
    <t>6211.40万</t>
  </si>
  <si>
    <t>3135.38万</t>
  </si>
  <si>
    <t>23.41亿</t>
  </si>
  <si>
    <t>-3124.10万</t>
  </si>
  <si>
    <t>-2478.23万</t>
  </si>
  <si>
    <t>-490.25万</t>
  </si>
  <si>
    <t>3394.99万</t>
  </si>
  <si>
    <t>434.48万</t>
  </si>
  <si>
    <t>45.86亿</t>
  </si>
  <si>
    <t>5918.85万</t>
  </si>
  <si>
    <t>300.61万</t>
  </si>
  <si>
    <t>3368.40万</t>
  </si>
  <si>
    <t>2100.15万</t>
  </si>
  <si>
    <t>-2.20亿</t>
  </si>
  <si>
    <t>-1.92亿</t>
  </si>
  <si>
    <t>1892.44万</t>
  </si>
  <si>
    <t>435.49万</t>
  </si>
  <si>
    <t>23.38亿</t>
  </si>
  <si>
    <t>2472.48万</t>
  </si>
  <si>
    <t>1830.71万</t>
  </si>
  <si>
    <t>5.47万</t>
  </si>
  <si>
    <t>1808.34万</t>
  </si>
  <si>
    <t>73.43万</t>
  </si>
  <si>
    <t>5561.59万</t>
  </si>
  <si>
    <t>-5147.48万</t>
  </si>
  <si>
    <t>-2091.45万</t>
  </si>
  <si>
    <t>3122.46万</t>
  </si>
  <si>
    <t>1012.06万</t>
  </si>
  <si>
    <t>51.72亿</t>
  </si>
  <si>
    <t>221.06万</t>
  </si>
  <si>
    <t>1520.12万</t>
  </si>
  <si>
    <t>2.53万</t>
  </si>
  <si>
    <t>698.91万</t>
  </si>
  <si>
    <t>5924.39万</t>
  </si>
  <si>
    <t>-4744.90万</t>
  </si>
  <si>
    <t>5890.33万</t>
  </si>
  <si>
    <t>329.58万</t>
  </si>
  <si>
    <t>44.47亿</t>
  </si>
  <si>
    <t>6297.52万</t>
  </si>
  <si>
    <t>3152.69万</t>
  </si>
  <si>
    <t>3214832亿</t>
  </si>
  <si>
    <t>3.35万</t>
  </si>
  <si>
    <t>3083.07万</t>
  </si>
  <si>
    <t>4800.00万</t>
  </si>
  <si>
    <t>-5066.86万</t>
  </si>
  <si>
    <t>-818.67万</t>
  </si>
  <si>
    <t>1938.72万</t>
  </si>
  <si>
    <t>244.74万</t>
  </si>
  <si>
    <t>45.65亿</t>
  </si>
  <si>
    <t>3046.57万</t>
  </si>
  <si>
    <t>7051.15万</t>
  </si>
  <si>
    <t>17.23万</t>
  </si>
  <si>
    <t>34.75亿</t>
  </si>
  <si>
    <t>36.22亿</t>
  </si>
  <si>
    <t>536.62万</t>
  </si>
  <si>
    <t>88.36亿</t>
  </si>
  <si>
    <t>-3.63亿</t>
  </si>
  <si>
    <t>-9003.82万</t>
  </si>
  <si>
    <t>1699.10万</t>
  </si>
  <si>
    <t>1693.75万</t>
  </si>
  <si>
    <t>369.14万</t>
  </si>
  <si>
    <t>3839.39万</t>
  </si>
  <si>
    <t>233.85万</t>
  </si>
  <si>
    <t>1245.26万</t>
  </si>
  <si>
    <t>3304.14万</t>
  </si>
  <si>
    <t>33.59亿</t>
  </si>
  <si>
    <t>43.56亿</t>
  </si>
  <si>
    <t>-3.32亿</t>
  </si>
  <si>
    <t>-6848.14万</t>
  </si>
  <si>
    <t>7791.71万</t>
  </si>
  <si>
    <t>48.51亿</t>
  </si>
  <si>
    <t>509.46万</t>
  </si>
  <si>
    <t>4263.39万</t>
  </si>
  <si>
    <t>10.34万</t>
  </si>
  <si>
    <t>2845.54万</t>
  </si>
  <si>
    <t>3201.78万</t>
  </si>
  <si>
    <t>9881.67万</t>
  </si>
  <si>
    <t>-4411.21万</t>
  </si>
  <si>
    <t>-1882.27万</t>
  </si>
  <si>
    <t>827.01万</t>
  </si>
  <si>
    <t>46.93亿</t>
  </si>
  <si>
    <t>7994.58万</t>
  </si>
  <si>
    <t>5542.82万</t>
  </si>
  <si>
    <t>83.74万</t>
  </si>
  <si>
    <t>9217.37万</t>
  </si>
  <si>
    <t>21.17亿</t>
  </si>
  <si>
    <t>4786.00万</t>
  </si>
  <si>
    <t>3825.09万</t>
  </si>
  <si>
    <t>567.46万</t>
  </si>
  <si>
    <t>926.60万</t>
  </si>
  <si>
    <t>1230.40万</t>
  </si>
  <si>
    <t>21.52万</t>
  </si>
  <si>
    <t>7271.32万</t>
  </si>
  <si>
    <t>1669.48万</t>
  </si>
  <si>
    <t>1318.48万</t>
  </si>
  <si>
    <t>-1726.12万</t>
  </si>
  <si>
    <t>-19.43万</t>
  </si>
  <si>
    <t>3389.21万</t>
  </si>
  <si>
    <t>339.21万</t>
  </si>
  <si>
    <t>726.82万</t>
  </si>
  <si>
    <t>1679.87万</t>
  </si>
  <si>
    <t>1.46万</t>
  </si>
  <si>
    <t>1155.96万</t>
  </si>
  <si>
    <t>3.16万</t>
  </si>
  <si>
    <t>171.70万</t>
  </si>
  <si>
    <t>-196.92万</t>
  </si>
  <si>
    <t>557.07万</t>
  </si>
  <si>
    <t>1780.94万</t>
  </si>
  <si>
    <t>848.29万</t>
  </si>
  <si>
    <t>74.01亿</t>
  </si>
  <si>
    <t>5724.04万</t>
  </si>
  <si>
    <t>3156.64万</t>
  </si>
  <si>
    <t>81.38万</t>
  </si>
  <si>
    <t>10.07亿</t>
  </si>
  <si>
    <t>24.53万</t>
  </si>
  <si>
    <t>33.96亿</t>
  </si>
  <si>
    <t>-3309.21万</t>
  </si>
  <si>
    <t>-3679.38万</t>
  </si>
  <si>
    <t>2114.69万</t>
  </si>
  <si>
    <t>4519.99万</t>
  </si>
  <si>
    <t>203.48万</t>
  </si>
  <si>
    <t>1102.66万</t>
  </si>
  <si>
    <t>1877.57万</t>
  </si>
  <si>
    <t>53.63万</t>
  </si>
  <si>
    <t>8422.18万</t>
  </si>
  <si>
    <t>4423.71万</t>
  </si>
  <si>
    <t>-3058.75万</t>
  </si>
  <si>
    <t>-1672.63万</t>
  </si>
  <si>
    <t>607.36万</t>
  </si>
  <si>
    <t>1208.52万</t>
  </si>
  <si>
    <t>429.66万</t>
  </si>
  <si>
    <t>31.88亿</t>
  </si>
  <si>
    <t>1107.96万</t>
  </si>
  <si>
    <t>2602.53万</t>
  </si>
  <si>
    <t>29.33万</t>
  </si>
  <si>
    <t>2212.83万</t>
  </si>
  <si>
    <t>1265.33万</t>
  </si>
  <si>
    <t>1971.40万</t>
  </si>
  <si>
    <t>-2260.92万</t>
  </si>
  <si>
    <t>3993.02万</t>
  </si>
  <si>
    <t>908.49万</t>
  </si>
  <si>
    <t>15.58亿</t>
  </si>
  <si>
    <t>8351.28万</t>
  </si>
  <si>
    <t>2948.74万</t>
  </si>
  <si>
    <t>53.37万</t>
  </si>
  <si>
    <t>7695.32万</t>
  </si>
  <si>
    <t>370.36万</t>
  </si>
  <si>
    <t>8769.19万</t>
  </si>
  <si>
    <t>3876.48万</t>
  </si>
  <si>
    <t>1013.74万</t>
  </si>
  <si>
    <t>6405.16万</t>
  </si>
  <si>
    <t>3582.00万</t>
  </si>
  <si>
    <t>607.10万</t>
  </si>
  <si>
    <t>698.87万</t>
  </si>
  <si>
    <t>8102.25万</t>
  </si>
  <si>
    <t>3280.90万</t>
  </si>
  <si>
    <t>3300.00万</t>
  </si>
  <si>
    <t>5283.44万</t>
  </si>
  <si>
    <t>8056.89万</t>
  </si>
  <si>
    <t>6238.59万</t>
  </si>
  <si>
    <t>40.24万</t>
  </si>
  <si>
    <t>-1531.50万</t>
  </si>
  <si>
    <t>2839.88万</t>
  </si>
  <si>
    <t>5564.87万</t>
  </si>
  <si>
    <t>209.28万</t>
  </si>
  <si>
    <t>-2.71亿</t>
  </si>
  <si>
    <t>1720.11万</t>
  </si>
  <si>
    <t>1328.04万</t>
  </si>
  <si>
    <t>7.25万</t>
  </si>
  <si>
    <t>2048.85万</t>
  </si>
  <si>
    <t>17.09亿</t>
  </si>
  <si>
    <t>3396.29万</t>
  </si>
  <si>
    <t>-9429.55万</t>
  </si>
  <si>
    <t>3220.56万</t>
  </si>
  <si>
    <t>-6945.44万</t>
  </si>
  <si>
    <t>1317.74万</t>
  </si>
  <si>
    <t>8855.57万</t>
  </si>
  <si>
    <t>257.41万</t>
  </si>
  <si>
    <t>18.87亿</t>
  </si>
  <si>
    <t>1678.08万</t>
  </si>
  <si>
    <t>1826.46万</t>
  </si>
  <si>
    <t>2818.14万</t>
  </si>
  <si>
    <t>117.91万</t>
  </si>
  <si>
    <t>7005.77万</t>
  </si>
  <si>
    <t>26.47万</t>
  </si>
  <si>
    <t>804.53万</t>
  </si>
  <si>
    <t>-8373.29万</t>
  </si>
  <si>
    <t>-5943.13万</t>
  </si>
  <si>
    <t>1485.57万</t>
  </si>
  <si>
    <t>1048.20万</t>
  </si>
  <si>
    <t>8953.61万</t>
  </si>
  <si>
    <t>47.14万</t>
  </si>
  <si>
    <t>8673.43万</t>
  </si>
  <si>
    <t>5744.28万</t>
  </si>
  <si>
    <t>4023.88万</t>
  </si>
  <si>
    <t>592.89万</t>
  </si>
  <si>
    <t>562.79万</t>
  </si>
  <si>
    <t>2330.48万</t>
  </si>
  <si>
    <t>7218.32万</t>
  </si>
  <si>
    <t>4895.72万</t>
  </si>
  <si>
    <t>-2569.48万</t>
  </si>
  <si>
    <t>6879.76万</t>
  </si>
  <si>
    <t>-2987.16万</t>
  </si>
  <si>
    <t>8893.91万</t>
  </si>
  <si>
    <t>1340.69万</t>
  </si>
  <si>
    <t>222.87万</t>
  </si>
  <si>
    <t>2296.10万</t>
  </si>
  <si>
    <t>374.74万</t>
  </si>
  <si>
    <t>7878.70万</t>
  </si>
  <si>
    <t>422.87万</t>
  </si>
  <si>
    <t>931.84万</t>
  </si>
  <si>
    <t>6.54万</t>
  </si>
  <si>
    <t>2670.07万</t>
  </si>
  <si>
    <t>1326.87万</t>
  </si>
  <si>
    <t>1980.00万</t>
  </si>
  <si>
    <t>6975.28万</t>
  </si>
  <si>
    <t>-3.48亿</t>
  </si>
  <si>
    <t>-8252.61万</t>
  </si>
  <si>
    <t>1141.84万</t>
  </si>
  <si>
    <t>2348.75万</t>
  </si>
  <si>
    <t>814.78万</t>
  </si>
  <si>
    <t>-3.37亿</t>
  </si>
  <si>
    <t>1.20万</t>
  </si>
  <si>
    <t>38.80万</t>
  </si>
  <si>
    <t>-6309.13万</t>
  </si>
  <si>
    <t>-672.74万</t>
  </si>
  <si>
    <t>-9018.19万</t>
  </si>
  <si>
    <t>-3186.99万</t>
  </si>
  <si>
    <t>4651.24万</t>
  </si>
  <si>
    <t>377.09万</t>
  </si>
  <si>
    <t>9657.08万</t>
  </si>
  <si>
    <t>2725.51万</t>
  </si>
  <si>
    <t>1878.06万</t>
  </si>
  <si>
    <t>29.36万</t>
  </si>
  <si>
    <t>1509.25万</t>
  </si>
  <si>
    <t>268.33万</t>
  </si>
  <si>
    <t>6739.27万</t>
  </si>
  <si>
    <t>1999.66万</t>
  </si>
  <si>
    <t>-976.34万</t>
  </si>
  <si>
    <t>8116.71万</t>
  </si>
  <si>
    <t>2520.04万</t>
  </si>
  <si>
    <t>1628.60万</t>
  </si>
  <si>
    <t>475.95亿</t>
  </si>
  <si>
    <t>146.95亿</t>
  </si>
  <si>
    <t>101.87亿</t>
  </si>
  <si>
    <t>481.31万</t>
  </si>
  <si>
    <t>287.83亿</t>
  </si>
  <si>
    <t>51.29亿</t>
  </si>
  <si>
    <t>40.34亿</t>
  </si>
  <si>
    <t>35.98亿</t>
  </si>
  <si>
    <t>140.65亿</t>
  </si>
  <si>
    <t>407.92亿</t>
  </si>
  <si>
    <t>55.11亿</t>
  </si>
  <si>
    <t>-11.99亿</t>
  </si>
  <si>
    <t>-8557.35万</t>
  </si>
  <si>
    <t>7374.02万</t>
  </si>
  <si>
    <t>02623000000</t>
  </si>
  <si>
    <t>07869000000</t>
  </si>
  <si>
    <t>015738000000</t>
  </si>
  <si>
    <t>026230000000</t>
  </si>
  <si>
    <t>052460000000</t>
  </si>
  <si>
    <t>1658.88万</t>
  </si>
  <si>
    <t>422.53亿</t>
  </si>
  <si>
    <t>137.86亿</t>
  </si>
  <si>
    <t>120.35亿</t>
  </si>
  <si>
    <t>1375.41万</t>
  </si>
  <si>
    <t>173.17亿</t>
  </si>
  <si>
    <t>9016.55万</t>
  </si>
  <si>
    <t>129.88亿</t>
  </si>
  <si>
    <t>216.52亿</t>
  </si>
  <si>
    <t>773.41亿</t>
  </si>
  <si>
    <t>16.82亿</t>
  </si>
  <si>
    <t>-17.05亿</t>
  </si>
  <si>
    <t>9318.31万</t>
  </si>
  <si>
    <t>0395000000</t>
  </si>
  <si>
    <t>01185000000</t>
  </si>
  <si>
    <t>02370000000</t>
  </si>
  <si>
    <t>03950000000</t>
  </si>
  <si>
    <t>07900000000</t>
  </si>
  <si>
    <t>1621.21万</t>
  </si>
  <si>
    <t>772.45亿</t>
  </si>
  <si>
    <t>5078.43亿</t>
  </si>
  <si>
    <t>304.46亿</t>
  </si>
  <si>
    <t>199.94亿</t>
  </si>
  <si>
    <t>164.81亿</t>
  </si>
  <si>
    <t>16.28亿</t>
  </si>
  <si>
    <t>1796.60万</t>
  </si>
  <si>
    <t>341.89亿</t>
  </si>
  <si>
    <t>39.92亿</t>
  </si>
  <si>
    <t>75.86亿</t>
  </si>
  <si>
    <t>602.56亿</t>
  </si>
  <si>
    <t>1605.25亿</t>
  </si>
  <si>
    <t>330.95亿</t>
  </si>
  <si>
    <t>-69.32亿</t>
  </si>
  <si>
    <t>1297.53亿</t>
  </si>
  <si>
    <t>79.84亿</t>
  </si>
  <si>
    <t>9174.15万</t>
  </si>
  <si>
    <t>48.04万</t>
  </si>
  <si>
    <t>5419.84万</t>
  </si>
  <si>
    <t>1724.47万</t>
  </si>
  <si>
    <t>1250.54万</t>
  </si>
  <si>
    <t>12.89万</t>
  </si>
  <si>
    <t>2371.40万</t>
  </si>
  <si>
    <t>4805.28万</t>
  </si>
  <si>
    <t>-3837.83万</t>
  </si>
  <si>
    <t>69.72万</t>
  </si>
  <si>
    <t>5088.75万</t>
  </si>
  <si>
    <t>-1707.46万</t>
  </si>
  <si>
    <t>235.64万</t>
  </si>
  <si>
    <t>2130.18万</t>
  </si>
  <si>
    <t>47.71万</t>
  </si>
  <si>
    <t>3265.73万</t>
  </si>
  <si>
    <t>7564.04万</t>
  </si>
  <si>
    <t>1790.99万</t>
  </si>
  <si>
    <t>1421.62万</t>
  </si>
  <si>
    <t>9.37万</t>
  </si>
  <si>
    <t>11.61亿</t>
  </si>
  <si>
    <t>3538.61万</t>
  </si>
  <si>
    <t>5289.76万</t>
  </si>
  <si>
    <t>700.00万</t>
  </si>
  <si>
    <t>6458.97万</t>
  </si>
  <si>
    <t>-3993.84万</t>
  </si>
  <si>
    <t>3233.20万</t>
  </si>
  <si>
    <t>-613.87万</t>
  </si>
  <si>
    <t>7166.68万</t>
  </si>
  <si>
    <t>353.78万</t>
  </si>
  <si>
    <t>10转4股派5.1134元(含税)</t>
  </si>
  <si>
    <t>309.90万</t>
  </si>
  <si>
    <t>2132.00万</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</si>
</sst>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9"/>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14" fontId="0" fillId="0" borderId="0" xfId="0" applyNumberFormat="1">
      <alignment vertical="center"/>
    </xf>
    <xf numFmtId="0" fontId="0" fillId="0" borderId="0" xfId="0" applyFill="1">
      <alignment vertical="center"/>
    </xf>
    <xf numFmtId="0" fontId="10"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0</xdr:rowOff>
        </xdr:to>
        <xdr:sp macro="" textlink="">
          <xdr:nvSpPr>
            <xdr:cNvPr id="1025" name="Button 1" descr="更新基本面按钮&#10;"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5"/>
  <sheetViews>
    <sheetView tabSelected="1" zoomScale="85" zoomScaleNormal="85" workbookViewId="0">
      <pane xSplit="5" ySplit="1" topLeftCell="F2" activePane="bottomRight" state="frozen"/>
      <selection pane="topRight" activeCell="F1" sqref="F1"/>
      <selection pane="bottomLeft" activeCell="A2" sqref="A2"/>
      <selection pane="bottomRight" activeCell="D29" sqref="D29:EP29"/>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3</v>
      </c>
      <c r="B1" s="5" t="s">
        <v>4</v>
      </c>
      <c r="C1" s="4" t="s">
        <v>5</v>
      </c>
      <c r="D1" t="s">
        <v>442</v>
      </c>
      <c r="E1" t="s">
        <v>477</v>
      </c>
      <c r="F1" t="s">
        <v>0</v>
      </c>
      <c r="G1" t="s">
        <v>443</v>
      </c>
      <c r="H1" t="s">
        <v>580</v>
      </c>
      <c r="I1" t="s">
        <v>6</v>
      </c>
      <c r="J1" t="s">
        <v>7</v>
      </c>
      <c r="K1" t="s">
        <v>1</v>
      </c>
      <c r="L1" t="s">
        <v>8</v>
      </c>
      <c r="M1" t="s">
        <v>9</v>
      </c>
      <c r="N1" t="s">
        <v>10</v>
      </c>
      <c r="O1" t="s">
        <v>11</v>
      </c>
      <c r="P1" t="s">
        <v>581</v>
      </c>
      <c r="Q1" t="s">
        <v>582</v>
      </c>
      <c r="R1" t="s">
        <v>478</v>
      </c>
      <c r="S1" t="s">
        <v>12</v>
      </c>
      <c r="T1" t="s">
        <v>583</v>
      </c>
      <c r="U1" t="s">
        <v>444</v>
      </c>
      <c r="V1" t="s">
        <v>13</v>
      </c>
      <c r="W1" t="s">
        <v>584</v>
      </c>
      <c r="X1" t="s">
        <v>585</v>
      </c>
      <c r="Y1" t="s">
        <v>586</v>
      </c>
      <c r="Z1" t="s">
        <v>587</v>
      </c>
      <c r="AA1" t="s">
        <v>588</v>
      </c>
      <c r="AB1" t="s">
        <v>589</v>
      </c>
      <c r="AC1" t="s">
        <v>590</v>
      </c>
      <c r="AD1" t="s">
        <v>591</v>
      </c>
      <c r="AE1" t="s">
        <v>14</v>
      </c>
      <c r="AF1" t="s">
        <v>15</v>
      </c>
      <c r="AG1" t="s">
        <v>592</v>
      </c>
      <c r="AH1" t="s">
        <v>593</v>
      </c>
      <c r="AI1" t="s">
        <v>594</v>
      </c>
      <c r="AJ1" t="s">
        <v>16</v>
      </c>
      <c r="AK1" t="s">
        <v>595</v>
      </c>
      <c r="AL1" t="s">
        <v>128</v>
      </c>
      <c r="AM1" t="s">
        <v>596</v>
      </c>
      <c r="AN1" t="s">
        <v>597</v>
      </c>
      <c r="AO1" t="s">
        <v>598</v>
      </c>
      <c r="AP1" t="s">
        <v>599</v>
      </c>
      <c r="AQ1" t="s">
        <v>600</v>
      </c>
      <c r="AR1" t="s">
        <v>601</v>
      </c>
      <c r="AS1" t="s">
        <v>602</v>
      </c>
      <c r="AT1" t="s">
        <v>603</v>
      </c>
      <c r="AU1" t="s">
        <v>604</v>
      </c>
      <c r="AV1" t="s">
        <v>605</v>
      </c>
      <c r="AW1" t="s">
        <v>606</v>
      </c>
      <c r="AX1" t="s">
        <v>607</v>
      </c>
      <c r="AY1" t="s">
        <v>608</v>
      </c>
      <c r="AZ1" t="s">
        <v>129</v>
      </c>
      <c r="BA1" t="s">
        <v>130</v>
      </c>
      <c r="BB1" t="s">
        <v>131</v>
      </c>
      <c r="BC1" t="s">
        <v>609</v>
      </c>
      <c r="BD1" t="s">
        <v>455</v>
      </c>
      <c r="BE1" t="s">
        <v>132</v>
      </c>
      <c r="BF1" t="s">
        <v>133</v>
      </c>
      <c r="BG1" t="s">
        <v>134</v>
      </c>
      <c r="BH1" t="s">
        <v>610</v>
      </c>
      <c r="BI1" t="s">
        <v>611</v>
      </c>
      <c r="BJ1" t="s">
        <v>612</v>
      </c>
      <c r="BK1" t="s">
        <v>613</v>
      </c>
      <c r="BL1" t="s">
        <v>614</v>
      </c>
      <c r="BM1" t="s">
        <v>615</v>
      </c>
      <c r="BN1" t="s">
        <v>616</v>
      </c>
      <c r="BO1" t="s">
        <v>479</v>
      </c>
      <c r="BP1" t="s">
        <v>445</v>
      </c>
      <c r="BQ1" t="s">
        <v>617</v>
      </c>
      <c r="BR1" t="s">
        <v>480</v>
      </c>
      <c r="BS1" t="s">
        <v>446</v>
      </c>
      <c r="BT1" t="s">
        <v>618</v>
      </c>
      <c r="BU1" t="s">
        <v>509</v>
      </c>
      <c r="BV1" t="s">
        <v>619</v>
      </c>
      <c r="BW1" t="s">
        <v>620</v>
      </c>
      <c r="BX1" t="s">
        <v>239</v>
      </c>
      <c r="BY1" t="s">
        <v>621</v>
      </c>
      <c r="BZ1" t="s">
        <v>622</v>
      </c>
      <c r="CA1" t="s">
        <v>240</v>
      </c>
      <c r="CB1" t="s">
        <v>623</v>
      </c>
      <c r="CC1" t="s">
        <v>624</v>
      </c>
      <c r="CD1" t="s">
        <v>625</v>
      </c>
      <c r="CE1" t="s">
        <v>626</v>
      </c>
      <c r="CF1" t="s">
        <v>223</v>
      </c>
      <c r="CG1" t="s">
        <v>224</v>
      </c>
      <c r="CH1" t="s">
        <v>225</v>
      </c>
      <c r="CI1" t="s">
        <v>226</v>
      </c>
      <c r="CJ1" t="s">
        <v>227</v>
      </c>
      <c r="CK1" t="s">
        <v>228</v>
      </c>
      <c r="CL1" t="s">
        <v>229</v>
      </c>
      <c r="CM1" t="s">
        <v>230</v>
      </c>
      <c r="CN1" t="s">
        <v>231</v>
      </c>
      <c r="CO1" t="s">
        <v>232</v>
      </c>
      <c r="CP1" t="s">
        <v>233</v>
      </c>
      <c r="CQ1" t="s">
        <v>234</v>
      </c>
      <c r="CR1" t="s">
        <v>627</v>
      </c>
      <c r="CS1" t="s">
        <v>628</v>
      </c>
      <c r="CT1" t="s">
        <v>629</v>
      </c>
      <c r="CU1" t="s">
        <v>630</v>
      </c>
      <c r="CV1" t="s">
        <v>631</v>
      </c>
      <c r="CW1" t="s">
        <v>632</v>
      </c>
      <c r="CX1">
        <v>1</v>
      </c>
      <c r="CY1" t="s">
        <v>633</v>
      </c>
      <c r="CZ1" t="s">
        <v>634</v>
      </c>
      <c r="DA1">
        <v>3</v>
      </c>
      <c r="DB1" t="s">
        <v>635</v>
      </c>
      <c r="DC1" t="s">
        <v>636</v>
      </c>
      <c r="DD1">
        <v>6</v>
      </c>
      <c r="DE1" t="s">
        <v>637</v>
      </c>
      <c r="DF1" t="s">
        <v>638</v>
      </c>
      <c r="DG1">
        <v>10</v>
      </c>
      <c r="DH1" t="s">
        <v>639</v>
      </c>
      <c r="DI1" t="s">
        <v>640</v>
      </c>
      <c r="DJ1">
        <v>20</v>
      </c>
      <c r="DK1" t="s">
        <v>641</v>
      </c>
      <c r="DL1" t="s">
        <v>235</v>
      </c>
      <c r="DM1" t="s">
        <v>236</v>
      </c>
      <c r="DN1" s="1" t="s">
        <v>237</v>
      </c>
      <c r="DO1" t="s">
        <v>642</v>
      </c>
      <c r="DP1" t="s">
        <v>643</v>
      </c>
      <c r="DQ1" s="11" t="s">
        <v>644</v>
      </c>
      <c r="DR1" t="s">
        <v>645</v>
      </c>
      <c r="DS1" t="s">
        <v>646</v>
      </c>
      <c r="DT1" t="s">
        <v>647</v>
      </c>
      <c r="DU1" t="s">
        <v>648</v>
      </c>
      <c r="DV1" t="s">
        <v>649</v>
      </c>
      <c r="DW1" t="s">
        <v>650</v>
      </c>
      <c r="DX1" t="s">
        <v>651</v>
      </c>
      <c r="DY1" t="s">
        <v>652</v>
      </c>
      <c r="DZ1" t="s">
        <v>653</v>
      </c>
      <c r="EA1" t="s">
        <v>654</v>
      </c>
      <c r="EB1" t="s">
        <v>655</v>
      </c>
      <c r="EC1" t="s">
        <v>656</v>
      </c>
      <c r="ED1" t="s">
        <v>657</v>
      </c>
      <c r="EE1" t="s">
        <v>658</v>
      </c>
      <c r="EF1" t="s">
        <v>659</v>
      </c>
      <c r="EG1" t="s">
        <v>660</v>
      </c>
      <c r="EH1" t="s">
        <v>661</v>
      </c>
      <c r="EI1" t="s">
        <v>662</v>
      </c>
      <c r="EJ1"/>
      <c r="EK1" s="13" t="s">
        <v>663</v>
      </c>
      <c r="EL1" t="s">
        <v>664</v>
      </c>
      <c r="EM1" t="s">
        <v>665</v>
      </c>
      <c r="EN1" t="s">
        <v>666</v>
      </c>
      <c r="EO1" t="s">
        <v>667</v>
      </c>
      <c r="EP1" t="s">
        <v>668</v>
      </c>
    </row>
    <row r="2" spans="1:146" ht="96" x14ac:dyDescent="0.25">
      <c r="A2" s="7"/>
      <c r="B2" s="7"/>
      <c r="C2" s="7" t="str">
        <f>""&amp;CHAR(10)&amp;Basic_Fundamental_Information_Constructure(F2)&amp;CHAR(10)&amp;Basic_Fundamental_Information_Concatenate("")</f>
        <v xml:space="preserve">
市值19.180198亿, 利润-4305.45万; PE; 平均PE-130.89; 平均PEG-252.33, PB1.84; ROIC0%; ROE-3.3833%; 股利率0%; 毛利22.9967%; 净利-12.3733%; 上一年度营收增13.78%, 利润增-7.2%; 当季营收增-1.15%, 利润增-26.1%; 过往5年营收增.52%, 利润增-136.7%
Income profile:
</v>
      </c>
      <c r="D2" t="s">
        <v>351</v>
      </c>
      <c r="E2" t="s">
        <v>352</v>
      </c>
      <c r="F2">
        <v>7.74</v>
      </c>
      <c r="G2">
        <v>1.44</v>
      </c>
      <c r="H2" t="s">
        <v>960</v>
      </c>
      <c r="I2">
        <v>1918019800</v>
      </c>
      <c r="K2">
        <v>1.84</v>
      </c>
      <c r="L2" t="s">
        <v>513</v>
      </c>
      <c r="M2" t="s">
        <v>149</v>
      </c>
      <c r="N2" t="s">
        <v>287</v>
      </c>
      <c r="O2" t="s">
        <v>740</v>
      </c>
      <c r="P2">
        <v>-1.1499999999999999</v>
      </c>
      <c r="Q2" t="s">
        <v>221</v>
      </c>
      <c r="R2">
        <v>-14598690</v>
      </c>
      <c r="S2" s="6">
        <v>-0.26100000000000001</v>
      </c>
      <c r="T2" t="s">
        <v>741</v>
      </c>
      <c r="U2">
        <v>247598110</v>
      </c>
      <c r="V2">
        <v>247806170</v>
      </c>
      <c r="W2">
        <v>1.46</v>
      </c>
      <c r="X2">
        <v>0.04</v>
      </c>
      <c r="Y2">
        <v>-23.07</v>
      </c>
      <c r="Z2" t="s">
        <v>961</v>
      </c>
      <c r="AA2" t="s">
        <v>962</v>
      </c>
      <c r="AB2" t="s">
        <v>963</v>
      </c>
      <c r="AC2" t="s">
        <v>964</v>
      </c>
      <c r="AD2" t="s">
        <v>2</v>
      </c>
      <c r="AE2">
        <v>3703342</v>
      </c>
      <c r="AF2" t="s">
        <v>742</v>
      </c>
      <c r="AG2" t="s">
        <v>965</v>
      </c>
      <c r="AH2" t="s">
        <v>743</v>
      </c>
      <c r="AI2" t="s">
        <v>83</v>
      </c>
      <c r="AJ2" t="s">
        <v>744</v>
      </c>
      <c r="AK2" t="s">
        <v>966</v>
      </c>
      <c r="AL2" t="s">
        <v>745</v>
      </c>
      <c r="AM2" t="s">
        <v>2</v>
      </c>
      <c r="AN2" t="s">
        <v>77</v>
      </c>
      <c r="AO2" t="s">
        <v>967</v>
      </c>
      <c r="AP2" t="s">
        <v>968</v>
      </c>
      <c r="AQ2" t="s">
        <v>969</v>
      </c>
      <c r="AR2" t="s">
        <v>2</v>
      </c>
      <c r="AS2" t="s">
        <v>199</v>
      </c>
      <c r="AT2" t="s">
        <v>78</v>
      </c>
      <c r="AU2" t="s">
        <v>970</v>
      </c>
      <c r="AV2" t="s">
        <v>971</v>
      </c>
      <c r="AW2" t="s">
        <v>972</v>
      </c>
      <c r="AX2" t="s">
        <v>456</v>
      </c>
      <c r="AY2" t="s">
        <v>64</v>
      </c>
      <c r="AZ2" t="s">
        <v>77</v>
      </c>
      <c r="BA2" t="s">
        <v>183</v>
      </c>
      <c r="BB2" t="s">
        <v>17</v>
      </c>
      <c r="BC2" t="s">
        <v>746</v>
      </c>
      <c r="BD2" t="s">
        <v>457</v>
      </c>
      <c r="BE2" t="s">
        <v>353</v>
      </c>
      <c r="BF2" t="s">
        <v>354</v>
      </c>
      <c r="BG2" t="s">
        <v>355</v>
      </c>
      <c r="BH2" t="s">
        <v>221</v>
      </c>
      <c r="BI2" t="s">
        <v>747</v>
      </c>
      <c r="BJ2" t="s">
        <v>456</v>
      </c>
      <c r="BK2" t="s">
        <v>741</v>
      </c>
      <c r="BL2" t="s">
        <v>748</v>
      </c>
      <c r="BM2" t="s">
        <v>746</v>
      </c>
      <c r="BN2" t="s">
        <v>2</v>
      </c>
      <c r="BO2" t="s">
        <v>2</v>
      </c>
      <c r="BP2" t="s">
        <v>2</v>
      </c>
      <c r="BQ2">
        <v>-2.62</v>
      </c>
      <c r="BR2">
        <v>-3.6</v>
      </c>
      <c r="BS2">
        <v>-3.93</v>
      </c>
      <c r="BT2" t="s">
        <v>539</v>
      </c>
      <c r="BU2" t="s">
        <v>513</v>
      </c>
      <c r="BV2">
        <v>23.95</v>
      </c>
      <c r="BW2">
        <v>21.83</v>
      </c>
      <c r="BX2">
        <v>23.21</v>
      </c>
      <c r="BY2">
        <v>-12.3</v>
      </c>
      <c r="BZ2">
        <v>-13.03</v>
      </c>
      <c r="CA2">
        <v>-11.79</v>
      </c>
      <c r="CB2">
        <v>-3.73</v>
      </c>
      <c r="CC2">
        <v>-9.0500000000000007</v>
      </c>
      <c r="CD2" t="s">
        <v>973</v>
      </c>
      <c r="CE2" t="s">
        <v>139</v>
      </c>
      <c r="CF2" s="9">
        <v>-1.1502673000703073E-2</v>
      </c>
      <c r="CG2" s="10">
        <v>-0.26102981825720406</v>
      </c>
      <c r="CH2" s="9">
        <v>0.13782051205635071</v>
      </c>
      <c r="CI2" s="9">
        <v>8.3333335816860199E-2</v>
      </c>
      <c r="CJ2" s="9">
        <v>-0.10835913568735123</v>
      </c>
      <c r="CK2" s="9">
        <v>-4.7197639942169189E-2</v>
      </c>
      <c r="CL2" s="9">
        <v>-3.9660055190324783E-2</v>
      </c>
      <c r="CM2" s="10">
        <v>-7.1994125843048096E-2</v>
      </c>
      <c r="CN2" s="10">
        <v>-0.22793714702129364</v>
      </c>
      <c r="CO2" s="10">
        <v>-6.1795306205749512</v>
      </c>
      <c r="CP2" s="10">
        <v>-0.44063353538513184</v>
      </c>
      <c r="CQ2" s="10">
        <v>8.5291288793087006E-2</v>
      </c>
      <c r="CR2">
        <v>-130.89426200420385</v>
      </c>
      <c r="CS2">
        <v>-252.33098651029803</v>
      </c>
      <c r="CT2">
        <v>0</v>
      </c>
      <c r="CU2" s="9">
        <v>5.1874034106731415E-3</v>
      </c>
      <c r="CV2" s="10">
        <v>-1.3669608280062675</v>
      </c>
      <c r="CW2">
        <v>0.06</v>
      </c>
      <c r="CX2" t="e">
        <v>#VALUE!</v>
      </c>
      <c r="CY2" t="s">
        <v>447</v>
      </c>
      <c r="CZ2">
        <v>5.1874034106731415E-3</v>
      </c>
      <c r="DA2" t="e">
        <v>#VALUE!</v>
      </c>
      <c r="DB2" t="s">
        <v>448</v>
      </c>
      <c r="DC2">
        <v>4.9280332401394839E-3</v>
      </c>
      <c r="DD2" t="e">
        <v>#VALUE!</v>
      </c>
      <c r="DE2" t="s">
        <v>448</v>
      </c>
      <c r="DF2">
        <v>4.5649150013923646E-3</v>
      </c>
      <c r="DG2" t="e">
        <v>#VALUE!</v>
      </c>
      <c r="DH2" t="s">
        <v>448</v>
      </c>
      <c r="DI2">
        <v>4.1499227285385137E-3</v>
      </c>
      <c r="DJ2" t="e">
        <v>#VALUE!</v>
      </c>
      <c r="DK2" t="s">
        <v>448</v>
      </c>
      <c r="DL2">
        <v>3.6311823874711989E-3</v>
      </c>
      <c r="DM2">
        <v>-43054500</v>
      </c>
      <c r="DN2">
        <v>5.1874034106731415E-3</v>
      </c>
      <c r="DO2">
        <v>1358019800</v>
      </c>
      <c r="DP2">
        <v>248125520</v>
      </c>
      <c r="DQ2">
        <v>736</v>
      </c>
      <c r="DR2">
        <v>-1.6690076411376216E-2</v>
      </c>
      <c r="DS2">
        <v>1.1059310097490633</v>
      </c>
      <c r="DT2" s="11">
        <v>-0.44</v>
      </c>
      <c r="DU2">
        <v>-2.6816666666666666</v>
      </c>
      <c r="DV2">
        <v>-3.1216666666666666</v>
      </c>
      <c r="DW2">
        <v>-8.4121546961325961</v>
      </c>
      <c r="DX2">
        <v>0.32103315508021552</v>
      </c>
      <c r="DY2">
        <v>-8.0581274771767077</v>
      </c>
      <c r="DZ2">
        <v>4944</v>
      </c>
      <c r="EA2">
        <v>-8.0018882898652315</v>
      </c>
      <c r="EB2">
        <v>8</v>
      </c>
      <c r="EC2">
        <v>0.10642672860001831</v>
      </c>
      <c r="ED2">
        <v>0.75462204996752102</v>
      </c>
      <c r="EE2" s="12">
        <v>-4.0147000000000004</v>
      </c>
      <c r="EF2">
        <v>-4.00101</v>
      </c>
      <c r="EG2">
        <v>18.141033155080216</v>
      </c>
      <c r="EH2" t="s">
        <v>721</v>
      </c>
      <c r="EI2">
        <v>0</v>
      </c>
      <c r="EJ2">
        <v>0</v>
      </c>
      <c r="EK2" s="13">
        <v>45470</v>
      </c>
      <c r="EL2">
        <v>-2.4900000000000002</v>
      </c>
      <c r="EM2">
        <v>-6</v>
      </c>
      <c r="EN2">
        <v>1.0900000000000001</v>
      </c>
      <c r="EO2">
        <v>2.82</v>
      </c>
      <c r="EP2">
        <v>-1.57</v>
      </c>
    </row>
    <row r="3" spans="1:146" ht="96" x14ac:dyDescent="0.25">
      <c r="A3" s="7"/>
      <c r="B3" s="7"/>
      <c r="C3" s="7" t="str">
        <f>""&amp;CHAR(10)&amp;Basic_Fundamental_Information_Constructure(F3)&amp;CHAR(10)&amp;Basic_Fundamental_Information_Concatenate("")</f>
        <v xml:space="preserve">
市值40.007875亿, 利润3.40亿; PE11.44; 平均PE-101.29; 平均PEG-12.5, PB1.03; ROIC9.7633%; ROE9.6333%; 股利率0%; 毛利25.2733%; 净利13.6067%; 上一年度营收增18.18%, 利润增.89%; 当季营收增5.68%, 利润增26.03%; 过往5年营收增8.1%, 利润增-192.97%
Income profile:
</v>
      </c>
      <c r="D3" t="s">
        <v>356</v>
      </c>
      <c r="E3" t="s">
        <v>357</v>
      </c>
      <c r="F3">
        <v>4.75</v>
      </c>
      <c r="G3">
        <v>-0.21</v>
      </c>
      <c r="H3" t="s">
        <v>974</v>
      </c>
      <c r="I3">
        <v>4000787500</v>
      </c>
      <c r="J3">
        <v>11.44</v>
      </c>
      <c r="K3">
        <v>1.03</v>
      </c>
      <c r="L3" t="s">
        <v>513</v>
      </c>
      <c r="M3" t="s">
        <v>749</v>
      </c>
      <c r="N3" t="s">
        <v>975</v>
      </c>
      <c r="O3" t="s">
        <v>44</v>
      </c>
      <c r="P3">
        <v>5.67</v>
      </c>
      <c r="Q3" t="s">
        <v>750</v>
      </c>
      <c r="R3">
        <v>45419615</v>
      </c>
      <c r="S3" s="6">
        <v>0.26029999999999998</v>
      </c>
      <c r="T3" t="s">
        <v>186</v>
      </c>
      <c r="U3">
        <v>649362240</v>
      </c>
      <c r="V3">
        <v>842271060</v>
      </c>
      <c r="W3">
        <v>1.66</v>
      </c>
      <c r="X3">
        <v>7.0000000000000007E-2</v>
      </c>
      <c r="Y3">
        <v>9.23</v>
      </c>
      <c r="Z3" t="s">
        <v>146</v>
      </c>
      <c r="AA3" t="s">
        <v>265</v>
      </c>
      <c r="AB3" t="s">
        <v>976</v>
      </c>
      <c r="AC3" t="s">
        <v>977</v>
      </c>
      <c r="AD3" t="s">
        <v>2</v>
      </c>
      <c r="AE3">
        <v>-3980515</v>
      </c>
      <c r="AF3" t="s">
        <v>751</v>
      </c>
      <c r="AG3" t="s">
        <v>978</v>
      </c>
      <c r="AH3" t="s">
        <v>752</v>
      </c>
      <c r="AI3" t="s">
        <v>945</v>
      </c>
      <c r="AJ3" t="s">
        <v>753</v>
      </c>
      <c r="AK3" t="s">
        <v>979</v>
      </c>
      <c r="AL3" t="s">
        <v>754</v>
      </c>
      <c r="AM3" t="s">
        <v>2</v>
      </c>
      <c r="AN3" t="s">
        <v>980</v>
      </c>
      <c r="AO3" t="s">
        <v>684</v>
      </c>
      <c r="AP3" t="s">
        <v>110</v>
      </c>
      <c r="AQ3" t="s">
        <v>98</v>
      </c>
      <c r="AR3" t="s">
        <v>2</v>
      </c>
      <c r="AS3" t="s">
        <v>981</v>
      </c>
      <c r="AT3" t="s">
        <v>2</v>
      </c>
      <c r="AU3" t="s">
        <v>982</v>
      </c>
      <c r="AV3" t="s">
        <v>983</v>
      </c>
      <c r="AW3" t="s">
        <v>984</v>
      </c>
      <c r="AX3" t="s">
        <v>535</v>
      </c>
      <c r="AY3" t="s">
        <v>328</v>
      </c>
      <c r="AZ3" t="s">
        <v>251</v>
      </c>
      <c r="BA3" t="s">
        <v>260</v>
      </c>
      <c r="BB3" t="s">
        <v>171</v>
      </c>
      <c r="BC3" t="s">
        <v>81</v>
      </c>
      <c r="BD3" t="s">
        <v>31</v>
      </c>
      <c r="BE3" t="s">
        <v>505</v>
      </c>
      <c r="BF3" t="s">
        <v>358</v>
      </c>
      <c r="BG3" t="s">
        <v>347</v>
      </c>
      <c r="BH3" t="s">
        <v>750</v>
      </c>
      <c r="BI3" t="s">
        <v>168</v>
      </c>
      <c r="BJ3" t="s">
        <v>535</v>
      </c>
      <c r="BK3" t="s">
        <v>186</v>
      </c>
      <c r="BL3" t="s">
        <v>755</v>
      </c>
      <c r="BM3" t="s">
        <v>81</v>
      </c>
      <c r="BN3">
        <v>6.71</v>
      </c>
      <c r="BO3">
        <v>10.76</v>
      </c>
      <c r="BP3">
        <v>11.82</v>
      </c>
      <c r="BQ3">
        <v>6.75</v>
      </c>
      <c r="BR3">
        <v>10.57</v>
      </c>
      <c r="BS3">
        <v>11.58</v>
      </c>
      <c r="BT3" t="s">
        <v>539</v>
      </c>
      <c r="BU3" t="s">
        <v>513</v>
      </c>
      <c r="BV3">
        <v>25.49</v>
      </c>
      <c r="BW3">
        <v>25.27</v>
      </c>
      <c r="BX3">
        <v>25.06</v>
      </c>
      <c r="BY3">
        <v>12.47</v>
      </c>
      <c r="BZ3">
        <v>14.78</v>
      </c>
      <c r="CA3">
        <v>13.57</v>
      </c>
      <c r="CB3">
        <v>-2.86</v>
      </c>
      <c r="CC3">
        <v>-19.079999999999998</v>
      </c>
      <c r="CD3" t="s">
        <v>985</v>
      </c>
      <c r="CE3" t="s">
        <v>155</v>
      </c>
      <c r="CF3" s="9">
        <v>5.6818181818181809E-2</v>
      </c>
      <c r="CG3" s="10">
        <v>0.26030464557446736</v>
      </c>
      <c r="CH3" s="9">
        <v>0.18181824684143066</v>
      </c>
      <c r="CI3" s="9">
        <v>-6.6324517130851746E-2</v>
      </c>
      <c r="CJ3" s="9">
        <v>0.25086420774459839</v>
      </c>
      <c r="CK3" s="9">
        <v>-1.699032261967659E-2</v>
      </c>
      <c r="CL3" s="9">
        <v>5.5868752300739288E-2</v>
      </c>
      <c r="CM3" s="10">
        <v>8.9020775631070137E-3</v>
      </c>
      <c r="CN3" s="10">
        <v>2.1212121471762657E-2</v>
      </c>
      <c r="CO3" s="10">
        <v>-0.56578946113586426</v>
      </c>
      <c r="CP3" s="10">
        <v>1.4121475219726563</v>
      </c>
      <c r="CQ3" s="10">
        <v>-10.524999618530273</v>
      </c>
      <c r="CR3">
        <v>-101.2857594936708</v>
      </c>
      <c r="CS3">
        <v>-12.49712115048384</v>
      </c>
      <c r="CT3">
        <v>0</v>
      </c>
      <c r="CU3" s="9">
        <v>8.1047273427248004E-2</v>
      </c>
      <c r="CV3" s="10">
        <v>-1.9297054717317224</v>
      </c>
      <c r="CW3">
        <v>0.06</v>
      </c>
      <c r="CX3">
        <v>8.3367817195325831</v>
      </c>
      <c r="CY3">
        <v>346751012.23138142</v>
      </c>
      <c r="CZ3">
        <v>8.1047273427248004E-2</v>
      </c>
      <c r="DA3">
        <v>2.7451355990077717</v>
      </c>
      <c r="DB3">
        <v>1053058180.8216957</v>
      </c>
      <c r="DC3">
        <v>7.6994909755885604E-2</v>
      </c>
      <c r="DD3">
        <v>1.3651033404081263</v>
      </c>
      <c r="DE3">
        <v>2117632720.1248651</v>
      </c>
      <c r="DF3">
        <v>7.132160061597824E-2</v>
      </c>
      <c r="DG3">
        <v>0.82913127099177841</v>
      </c>
      <c r="DH3">
        <v>3486525718.1075068</v>
      </c>
      <c r="DI3">
        <v>6.4837818741798406E-2</v>
      </c>
      <c r="DJ3">
        <v>0.43905034284222072</v>
      </c>
      <c r="DK3">
        <v>6584182308.767374</v>
      </c>
      <c r="DL3">
        <v>5.67330913990736E-2</v>
      </c>
      <c r="DM3">
        <v>340000000</v>
      </c>
      <c r="DN3">
        <v>8.1047273427248004E-2</v>
      </c>
      <c r="DO3">
        <v>2890787500</v>
      </c>
      <c r="DP3">
        <v>2074612300</v>
      </c>
      <c r="DQ3">
        <v>764</v>
      </c>
      <c r="DR3">
        <v>-2.4229091609066195E-2</v>
      </c>
      <c r="DS3">
        <v>2.1900101173061897</v>
      </c>
      <c r="DT3" s="11">
        <v>-0.14000000000000001</v>
      </c>
      <c r="DU3">
        <v>-0.95666666666666667</v>
      </c>
      <c r="DV3">
        <v>-1.0966666666666667</v>
      </c>
      <c r="DW3">
        <v>-8.149895178197065</v>
      </c>
      <c r="DX3">
        <v>0.41682838874680245</v>
      </c>
      <c r="DY3">
        <v>-8.0130151568037657</v>
      </c>
      <c r="DZ3">
        <v>3660</v>
      </c>
      <c r="EA3">
        <v>-8.0036931462554719</v>
      </c>
      <c r="EB3">
        <v>8</v>
      </c>
      <c r="EC3">
        <v>4.0307570344397206E-2</v>
      </c>
      <c r="ED3">
        <v>0.46422110240852865</v>
      </c>
      <c r="EE3" s="12">
        <v>5.6000000000000001E-2</v>
      </c>
      <c r="EF3">
        <v>2.9900000000000003E-2</v>
      </c>
      <c r="EG3">
        <v>33.086828388746802</v>
      </c>
      <c r="EH3" t="s">
        <v>481</v>
      </c>
      <c r="EI3">
        <v>0</v>
      </c>
      <c r="EJ3">
        <v>0</v>
      </c>
      <c r="EK3" s="13">
        <v>45470</v>
      </c>
      <c r="EL3">
        <v>0.21</v>
      </c>
      <c r="EM3">
        <v>-3.09</v>
      </c>
      <c r="EN3">
        <v>2.98</v>
      </c>
      <c r="EO3">
        <v>3.1</v>
      </c>
      <c r="EP3">
        <v>-2.61</v>
      </c>
    </row>
    <row r="4" spans="1:146" ht="180" x14ac:dyDescent="0.25">
      <c r="A4" s="7" t="s">
        <v>524</v>
      </c>
      <c r="B4" s="7"/>
      <c r="C4" s="7" t="str">
        <f>"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行业运营管理经验；"&amp;CHAR(10)&amp;Basic_Fundamental_Information_Constructure(F4)&amp;CHAR(10)&amp;Basic_Fundamental_Information_Concatenate("IDC服务收入 7.42亿 33.53% 27.97% 25.86%
数据中心产品及集成产品 5.71亿 25.78% 29.03% 34.90%
智慧电能产品 4.51亿 20.40% 22.62% 34.37%
新能源产品 4.14亿 18.70% 16.29% 27.00%")</f>
        <v>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市值92.129218亿, 利润5.08亿; PE21.05; 平均PE29.73; 平均PEG1.53, PB2.16; ROIC7.2333%; ROE10.2967%; 股利率.6012%; 毛利28.6733%; 净利6.77%; 上一年度营收增44.14%, 利润增104.84%; 当季营收增-20.54%, 利润增-48.93%; 过往5年营收增19.45%, 利润增66.93%
Income profile:
IDC服务收入 7.42亿 33.53% 27.97% 25.86%
数据中心产品及集成产品 5.71亿 25.78% 29.03% 34.90%
智慧电能产品 4.51亿 20.40% 22.62% 34.37%
新能源产品 4.14亿 18.70% 16.29% 27.00%</v>
      </c>
      <c r="D4" t="s">
        <v>359</v>
      </c>
      <c r="E4" t="s">
        <v>360</v>
      </c>
      <c r="F4">
        <v>19.96</v>
      </c>
      <c r="G4">
        <v>-0.89</v>
      </c>
      <c r="H4" t="s">
        <v>986</v>
      </c>
      <c r="I4">
        <v>9212921800</v>
      </c>
      <c r="J4">
        <v>21.05</v>
      </c>
      <c r="K4">
        <v>2.16</v>
      </c>
      <c r="L4" t="s">
        <v>513</v>
      </c>
      <c r="M4" t="s">
        <v>758</v>
      </c>
      <c r="N4" t="s">
        <v>987</v>
      </c>
      <c r="O4" t="s">
        <v>340</v>
      </c>
      <c r="P4">
        <v>-20.54</v>
      </c>
      <c r="Q4" t="s">
        <v>578</v>
      </c>
      <c r="R4">
        <v>73545785</v>
      </c>
      <c r="S4" s="6">
        <v>-0.48759999999999998</v>
      </c>
      <c r="T4" t="s">
        <v>222</v>
      </c>
      <c r="U4">
        <v>400828680</v>
      </c>
      <c r="V4">
        <v>461569230</v>
      </c>
      <c r="W4">
        <v>2.4700000000000002</v>
      </c>
      <c r="X4">
        <v>0.1</v>
      </c>
      <c r="Y4">
        <v>6.51</v>
      </c>
      <c r="Z4" t="s">
        <v>24</v>
      </c>
      <c r="AA4" t="s">
        <v>191</v>
      </c>
      <c r="AB4" t="s">
        <v>70</v>
      </c>
      <c r="AC4" t="s">
        <v>988</v>
      </c>
      <c r="AD4" t="s">
        <v>2</v>
      </c>
      <c r="AE4">
        <v>17855099</v>
      </c>
      <c r="AF4" t="s">
        <v>759</v>
      </c>
      <c r="AG4" t="s">
        <v>989</v>
      </c>
      <c r="AH4" t="s">
        <v>760</v>
      </c>
      <c r="AI4" t="s">
        <v>533</v>
      </c>
      <c r="AJ4" t="s">
        <v>761</v>
      </c>
      <c r="AK4" t="s">
        <v>990</v>
      </c>
      <c r="AL4" t="s">
        <v>762</v>
      </c>
      <c r="AM4" t="s">
        <v>2</v>
      </c>
      <c r="AN4" t="s">
        <v>143</v>
      </c>
      <c r="AO4" t="s">
        <v>991</v>
      </c>
      <c r="AP4" t="s">
        <v>210</v>
      </c>
      <c r="AQ4" t="s">
        <v>343</v>
      </c>
      <c r="AR4" t="s">
        <v>2</v>
      </c>
      <c r="AS4" t="s">
        <v>944</v>
      </c>
      <c r="AT4" t="s">
        <v>294</v>
      </c>
      <c r="AU4" t="s">
        <v>992</v>
      </c>
      <c r="AV4" t="s">
        <v>276</v>
      </c>
      <c r="AW4" t="s">
        <v>993</v>
      </c>
      <c r="AX4" t="s">
        <v>669</v>
      </c>
      <c r="AY4" t="s">
        <v>458</v>
      </c>
      <c r="AZ4" t="s">
        <v>326</v>
      </c>
      <c r="BA4" t="s">
        <v>361</v>
      </c>
      <c r="BB4" t="s">
        <v>362</v>
      </c>
      <c r="BC4" t="s">
        <v>100</v>
      </c>
      <c r="BD4" t="s">
        <v>259</v>
      </c>
      <c r="BE4" t="s">
        <v>118</v>
      </c>
      <c r="BF4" t="s">
        <v>158</v>
      </c>
      <c r="BG4" t="s">
        <v>363</v>
      </c>
      <c r="BH4" t="s">
        <v>578</v>
      </c>
      <c r="BI4" t="s">
        <v>736</v>
      </c>
      <c r="BJ4" t="s">
        <v>669</v>
      </c>
      <c r="BK4" t="s">
        <v>222</v>
      </c>
      <c r="BL4" t="s">
        <v>38</v>
      </c>
      <c r="BM4" t="s">
        <v>100</v>
      </c>
      <c r="BN4">
        <v>7.37</v>
      </c>
      <c r="BO4">
        <v>5.48</v>
      </c>
      <c r="BP4">
        <v>8.85</v>
      </c>
      <c r="BQ4">
        <v>11.29</v>
      </c>
      <c r="BR4">
        <v>6.86</v>
      </c>
      <c r="BS4">
        <v>12.74</v>
      </c>
      <c r="BT4" t="s">
        <v>541</v>
      </c>
      <c r="BU4" t="s">
        <v>513</v>
      </c>
      <c r="BV4">
        <v>27.34</v>
      </c>
      <c r="BW4">
        <v>29.47</v>
      </c>
      <c r="BX4">
        <v>29.21</v>
      </c>
      <c r="BY4">
        <v>6.4</v>
      </c>
      <c r="BZ4">
        <v>4.6900000000000004</v>
      </c>
      <c r="CA4">
        <v>9.2200000000000006</v>
      </c>
      <c r="CB4">
        <v>-5.54</v>
      </c>
      <c r="CC4">
        <v>-19.84</v>
      </c>
      <c r="CD4" t="s">
        <v>994</v>
      </c>
      <c r="CE4" t="s">
        <v>29</v>
      </c>
      <c r="CF4" s="9">
        <v>-0.20536912751677852</v>
      </c>
      <c r="CG4" s="10">
        <v>-0.48926538194444447</v>
      </c>
      <c r="CH4" s="9">
        <v>0.44139522314071655</v>
      </c>
      <c r="CI4" s="9">
        <v>0.16070698201656342</v>
      </c>
      <c r="CJ4" s="9">
        <v>0.16746638715267181</v>
      </c>
      <c r="CK4" s="9">
        <v>7.7280968427658081E-2</v>
      </c>
      <c r="CL4" s="9">
        <v>0.1256910115480423</v>
      </c>
      <c r="CM4" s="10">
        <v>1.0483870506286621</v>
      </c>
      <c r="CN4" s="10">
        <v>-0.43507972359657288</v>
      </c>
      <c r="CO4" s="10">
        <v>0.14921465516090393</v>
      </c>
      <c r="CP4" s="10">
        <v>0.84541064500808716</v>
      </c>
      <c r="CQ4" s="10">
        <v>1.7384212017059326</v>
      </c>
      <c r="CR4">
        <v>29.725639024925375</v>
      </c>
      <c r="CS4">
        <v>1.5282467319108635</v>
      </c>
      <c r="CT4">
        <v>0.60120240480961917</v>
      </c>
      <c r="CU4" s="9">
        <v>0.19450811445713043</v>
      </c>
      <c r="CV4" s="10">
        <v>0.66927076578140254</v>
      </c>
      <c r="CW4">
        <v>0.06</v>
      </c>
      <c r="CX4">
        <v>20.935736970090623</v>
      </c>
      <c r="CY4">
        <v>572462379.3813417</v>
      </c>
      <c r="CZ4">
        <v>0.19450811445713043</v>
      </c>
      <c r="DA4">
        <v>6.2689297895617537</v>
      </c>
      <c r="DB4">
        <v>1911797101.309989</v>
      </c>
      <c r="DC4">
        <v>0.18478270873427391</v>
      </c>
      <c r="DD4">
        <v>2.7336591178640033</v>
      </c>
      <c r="DE4">
        <v>4384204936.7752361</v>
      </c>
      <c r="DF4">
        <v>0.17116714072227476</v>
      </c>
      <c r="DG4">
        <v>1.4230562195105798</v>
      </c>
      <c r="DH4">
        <v>8421959467.0138025</v>
      </c>
      <c r="DI4">
        <v>0.15560649156570436</v>
      </c>
      <c r="DJ4">
        <v>0.52618939092417405</v>
      </c>
      <c r="DK4">
        <v>22776821438.665367</v>
      </c>
      <c r="DL4">
        <v>0.1361556801199913</v>
      </c>
      <c r="DM4">
        <v>508000000</v>
      </c>
      <c r="DN4">
        <v>0.19450811445713043</v>
      </c>
      <c r="DO4">
        <v>11984921800</v>
      </c>
      <c r="DP4">
        <v>1618576900</v>
      </c>
      <c r="DQ4">
        <v>842</v>
      </c>
      <c r="DR4">
        <v>-0.39987724197390895</v>
      </c>
      <c r="DS4">
        <v>-1.1585361477258469</v>
      </c>
      <c r="DT4" s="11">
        <v>1.0000000000000011E-2</v>
      </c>
      <c r="DU4">
        <v>0.39666666666666667</v>
      </c>
      <c r="DV4">
        <v>0.40666666666666668</v>
      </c>
      <c r="DW4">
        <v>-8.279233870967742</v>
      </c>
      <c r="DX4">
        <v>0.42713333333333464</v>
      </c>
      <c r="DY4">
        <v>-8.0382922715053766</v>
      </c>
      <c r="DZ4">
        <v>862</v>
      </c>
      <c r="EA4">
        <v>-8.0318327924373456</v>
      </c>
      <c r="EB4">
        <v>8</v>
      </c>
      <c r="EC4">
        <v>4.1000133392774037E-2</v>
      </c>
      <c r="ED4">
        <v>0.29898006849373387</v>
      </c>
      <c r="EE4" s="12">
        <v>-5.0182099999999998</v>
      </c>
      <c r="EF4">
        <v>-5.0466100000000003</v>
      </c>
      <c r="EG4">
        <v>29.137133333333335</v>
      </c>
      <c r="EH4" t="s">
        <v>731</v>
      </c>
      <c r="EI4">
        <v>0</v>
      </c>
      <c r="EJ4">
        <v>1</v>
      </c>
      <c r="EK4" s="13">
        <v>45470</v>
      </c>
      <c r="EL4">
        <v>-0.62</v>
      </c>
      <c r="EM4">
        <v>-4.05</v>
      </c>
      <c r="EN4">
        <v>-2.5</v>
      </c>
      <c r="EO4">
        <v>3.8</v>
      </c>
      <c r="EP4">
        <v>-2.84</v>
      </c>
    </row>
    <row r="5" spans="1:146" ht="96" x14ac:dyDescent="0.25">
      <c r="A5" s="7"/>
      <c r="B5" s="7"/>
      <c r="C5" s="7" t="str">
        <f>""&amp;CHAR(10)&amp;Basic_Fundamental_Information_Constructure(F5)&amp;CHAR(10)&amp;Basic_Fundamental_Information_Concatenate("")</f>
        <v xml:space="preserve">
市值30.376151亿, 利润3936.17万; PE68.94; 平均PE58.56; 平均PEG5.48, PB1.31; ROIC2.34%; ROE.96%; 股利率.9276%; 毛利24.6%; 净利1.2867%; 上一年度营收增-3.36%, 利润增170.51%; 当季营收增29.74%, 利润增906.63%; 过往5年营收增10.68%, 利润增4.8%
Income profile:
</v>
      </c>
      <c r="D5" t="s">
        <v>364</v>
      </c>
      <c r="E5" t="s">
        <v>365</v>
      </c>
      <c r="F5">
        <v>5.39</v>
      </c>
      <c r="G5">
        <v>0.94</v>
      </c>
      <c r="H5" t="s">
        <v>995</v>
      </c>
      <c r="I5">
        <v>3037615100</v>
      </c>
      <c r="J5">
        <v>68.94</v>
      </c>
      <c r="K5">
        <v>1.31</v>
      </c>
      <c r="L5" t="s">
        <v>513</v>
      </c>
      <c r="M5" t="s">
        <v>190</v>
      </c>
      <c r="N5" t="s">
        <v>996</v>
      </c>
      <c r="O5" t="s">
        <v>244</v>
      </c>
      <c r="P5">
        <v>29.91</v>
      </c>
      <c r="Q5" t="s">
        <v>697</v>
      </c>
      <c r="R5">
        <v>63500000</v>
      </c>
      <c r="S5" s="6">
        <v>0.74509999999999998</v>
      </c>
      <c r="T5" t="s">
        <v>764</v>
      </c>
      <c r="U5">
        <v>558086940</v>
      </c>
      <c r="V5">
        <v>563564960</v>
      </c>
      <c r="W5">
        <v>1.4</v>
      </c>
      <c r="X5">
        <v>0.11</v>
      </c>
      <c r="Y5">
        <v>2.08</v>
      </c>
      <c r="Z5" t="s">
        <v>17</v>
      </c>
      <c r="AA5" t="s">
        <v>90</v>
      </c>
      <c r="AB5" t="s">
        <v>997</v>
      </c>
      <c r="AC5" t="s">
        <v>998</v>
      </c>
      <c r="AD5" t="s">
        <v>2</v>
      </c>
      <c r="AE5">
        <v>-1311119</v>
      </c>
      <c r="AF5" t="s">
        <v>765</v>
      </c>
      <c r="AG5" t="s">
        <v>999</v>
      </c>
      <c r="AH5" t="s">
        <v>766</v>
      </c>
      <c r="AI5" t="s">
        <v>308</v>
      </c>
      <c r="AJ5" t="s">
        <v>767</v>
      </c>
      <c r="AK5" t="s">
        <v>1000</v>
      </c>
      <c r="AL5" t="s">
        <v>768</v>
      </c>
      <c r="AM5" t="s">
        <v>2</v>
      </c>
      <c r="AN5" t="s">
        <v>1001</v>
      </c>
      <c r="AO5" t="s">
        <v>53</v>
      </c>
      <c r="AP5" t="s">
        <v>125</v>
      </c>
      <c r="AQ5" t="s">
        <v>307</v>
      </c>
      <c r="AR5" t="s">
        <v>883</v>
      </c>
      <c r="AS5" t="s">
        <v>338</v>
      </c>
      <c r="AT5" t="s">
        <v>2</v>
      </c>
      <c r="AU5" t="s">
        <v>1002</v>
      </c>
      <c r="AV5" t="s">
        <v>1003</v>
      </c>
      <c r="AW5" t="s">
        <v>1004</v>
      </c>
      <c r="AX5" t="s">
        <v>559</v>
      </c>
      <c r="AY5" t="s">
        <v>459</v>
      </c>
      <c r="AZ5" t="s">
        <v>366</v>
      </c>
      <c r="BA5" t="s">
        <v>241</v>
      </c>
      <c r="BB5" t="s">
        <v>23</v>
      </c>
      <c r="BC5" t="s">
        <v>560</v>
      </c>
      <c r="BD5" t="s">
        <v>460</v>
      </c>
      <c r="BE5" t="s">
        <v>367</v>
      </c>
      <c r="BF5" t="s">
        <v>368</v>
      </c>
      <c r="BG5" t="s">
        <v>369</v>
      </c>
      <c r="BH5" t="s">
        <v>697</v>
      </c>
      <c r="BI5" t="s">
        <v>61</v>
      </c>
      <c r="BJ5" t="s">
        <v>559</v>
      </c>
      <c r="BK5" t="s">
        <v>764</v>
      </c>
      <c r="BL5" t="s">
        <v>769</v>
      </c>
      <c r="BM5" t="s">
        <v>560</v>
      </c>
      <c r="BN5">
        <v>1.24</v>
      </c>
      <c r="BO5" t="s">
        <v>2</v>
      </c>
      <c r="BP5">
        <v>3.44</v>
      </c>
      <c r="BQ5">
        <v>1.35</v>
      </c>
      <c r="BR5">
        <v>-2.4500000000000002</v>
      </c>
      <c r="BS5">
        <v>3.98</v>
      </c>
      <c r="BT5" t="s">
        <v>540</v>
      </c>
      <c r="BU5" t="s">
        <v>513</v>
      </c>
      <c r="BV5">
        <v>26.3</v>
      </c>
      <c r="BW5">
        <v>21.24</v>
      </c>
      <c r="BX5">
        <v>26.26</v>
      </c>
      <c r="BY5">
        <v>2.73</v>
      </c>
      <c r="BZ5">
        <v>-3.51</v>
      </c>
      <c r="CA5">
        <v>4.6399999999999997</v>
      </c>
      <c r="CB5">
        <v>-2</v>
      </c>
      <c r="CC5">
        <v>-10.76</v>
      </c>
      <c r="CD5" t="s">
        <v>1005</v>
      </c>
      <c r="CE5" t="s">
        <v>172</v>
      </c>
      <c r="CF5" s="9">
        <v>0.29739776951672864</v>
      </c>
      <c r="CG5" s="10">
        <v>9.0662629593227848</v>
      </c>
      <c r="CH5" s="9">
        <v>-3.3561140298843384E-2</v>
      </c>
      <c r="CI5" s="9">
        <v>-0.11544811725616455</v>
      </c>
      <c r="CJ5" s="9">
        <v>0.26936507225036621</v>
      </c>
      <c r="CK5" s="9">
        <v>0.22061322629451752</v>
      </c>
      <c r="CL5" s="9">
        <v>0.19308942556381226</v>
      </c>
      <c r="CM5" s="10">
        <v>1.7051287889480591</v>
      </c>
      <c r="CN5" s="10">
        <v>-1.6250958442687988</v>
      </c>
      <c r="CO5" s="10">
        <v>5.0080940127372742E-2</v>
      </c>
      <c r="CP5" s="10">
        <v>0.108559750020504</v>
      </c>
      <c r="CQ5" s="10">
        <v>1.1771738063544035E-3</v>
      </c>
      <c r="CR5">
        <v>58.561647414083112</v>
      </c>
      <c r="CS5">
        <v>5.4827000302031541</v>
      </c>
      <c r="CT5">
        <v>0.927643784786642</v>
      </c>
      <c r="CU5" s="9">
        <v>0.10681169331073762</v>
      </c>
      <c r="CV5" s="10">
        <v>4.7970161726698282E-2</v>
      </c>
      <c r="CW5">
        <v>0.06</v>
      </c>
      <c r="CX5">
        <v>40.671909739032721</v>
      </c>
      <c r="CY5">
        <v>41099990.404329494</v>
      </c>
      <c r="CZ5">
        <v>0.10681169331073762</v>
      </c>
      <c r="DA5">
        <v>13.103686765899397</v>
      </c>
      <c r="DB5">
        <v>127568304.23863275</v>
      </c>
      <c r="DC5">
        <v>0.10147110864520073</v>
      </c>
      <c r="DD5">
        <v>6.3284611730268665</v>
      </c>
      <c r="DE5">
        <v>264142428.03997105</v>
      </c>
      <c r="DF5">
        <v>9.3994290113449105E-2</v>
      </c>
      <c r="DG5">
        <v>3.7186404102707522</v>
      </c>
      <c r="DH5">
        <v>449523190.08395076</v>
      </c>
      <c r="DI5">
        <v>8.5449354648590103E-2</v>
      </c>
      <c r="DJ5">
        <v>1.8304475226557468</v>
      </c>
      <c r="DK5">
        <v>913227546.43886149</v>
      </c>
      <c r="DL5">
        <v>7.476818531751632E-2</v>
      </c>
      <c r="DM5">
        <v>39361700</v>
      </c>
      <c r="DN5">
        <v>0.10681169331073762</v>
      </c>
      <c r="DO5">
        <v>1671615100</v>
      </c>
      <c r="DP5">
        <v>1377787000</v>
      </c>
      <c r="DQ5">
        <v>870</v>
      </c>
      <c r="DR5">
        <v>0.19058607620599102</v>
      </c>
      <c r="DS5">
        <v>9.0182927975960858</v>
      </c>
      <c r="DT5" s="11">
        <v>-9.000000000000008E-2</v>
      </c>
      <c r="DU5">
        <v>0.21666666666666667</v>
      </c>
      <c r="DV5">
        <v>0.12666666666666659</v>
      </c>
      <c r="DW5">
        <v>-2.1076000000000001</v>
      </c>
      <c r="DX5">
        <v>0.26804359861591809</v>
      </c>
      <c r="DY5">
        <v>-2.0116254912110727</v>
      </c>
      <c r="DZ5">
        <v>2835</v>
      </c>
      <c r="EA5">
        <v>-2.0051757323884911</v>
      </c>
      <c r="EB5">
        <v>2</v>
      </c>
      <c r="EC5">
        <v>5.5405502854542273E-2</v>
      </c>
      <c r="ED5">
        <v>0.51280689984700256</v>
      </c>
      <c r="EE5" s="12">
        <v>-2.0106000000000002</v>
      </c>
      <c r="EF5">
        <v>-2.0094099999999999</v>
      </c>
      <c r="EG5">
        <v>16.108043598615918</v>
      </c>
      <c r="EH5" t="s">
        <v>551</v>
      </c>
      <c r="EI5">
        <v>0</v>
      </c>
      <c r="EJ5">
        <v>0</v>
      </c>
      <c r="EK5" s="13">
        <v>45470</v>
      </c>
      <c r="EL5">
        <v>-1.07</v>
      </c>
      <c r="EM5">
        <v>-4.34</v>
      </c>
      <c r="EN5">
        <v>0.56999999999999995</v>
      </c>
      <c r="EO5">
        <v>3.2</v>
      </c>
      <c r="EP5">
        <v>-2</v>
      </c>
    </row>
    <row r="6" spans="1:146" ht="96" x14ac:dyDescent="0.25">
      <c r="A6" s="7"/>
      <c r="B6" s="7"/>
      <c r="C6" s="7" t="str">
        <f>""&amp;CHAR(10)&amp;Basic_Fundamental_Information_Constructure(F6)&amp;CHAR(10)&amp;Basic_Fundamental_Information_Concatenate("")</f>
        <v xml:space="preserve">
市值68.462848亿, 利润2.04亿; PE31.75; 平均PE-20.2; 平均PEG-7.87, PB1.47; ROIC8.61%; ROE114.315%; 股利率0%; 毛利.4533%; 净利-36.48%; 上一年度营收增46.94%, 利润增-49.38%; 当季营收增82.71%, 利润增106.98%; 过往5年营收增-2.57%, 利润增-56.27%
Income profile:
</v>
      </c>
      <c r="D6" t="s">
        <v>370</v>
      </c>
      <c r="E6" t="s">
        <v>686</v>
      </c>
      <c r="F6">
        <v>3.29</v>
      </c>
      <c r="G6">
        <v>0.92</v>
      </c>
      <c r="H6" t="s">
        <v>1006</v>
      </c>
      <c r="I6">
        <v>6846284800</v>
      </c>
      <c r="J6">
        <v>31.75</v>
      </c>
      <c r="K6">
        <v>1.47</v>
      </c>
      <c r="L6" t="s">
        <v>513</v>
      </c>
      <c r="M6" t="s">
        <v>770</v>
      </c>
      <c r="N6" t="s">
        <v>1007</v>
      </c>
      <c r="O6" t="s">
        <v>208</v>
      </c>
      <c r="P6">
        <v>82.26</v>
      </c>
      <c r="Q6" t="s">
        <v>451</v>
      </c>
      <c r="R6">
        <v>763351</v>
      </c>
      <c r="S6" s="6">
        <v>1.07</v>
      </c>
      <c r="T6" t="s">
        <v>257</v>
      </c>
      <c r="U6">
        <v>1256464390</v>
      </c>
      <c r="V6">
        <v>2080937600</v>
      </c>
      <c r="W6">
        <v>1.59</v>
      </c>
      <c r="X6">
        <v>0.02</v>
      </c>
      <c r="Y6">
        <v>-0.65</v>
      </c>
      <c r="Z6" t="s">
        <v>35</v>
      </c>
      <c r="AA6" t="s">
        <v>66</v>
      </c>
      <c r="AB6" t="s">
        <v>1008</v>
      </c>
      <c r="AC6" t="s">
        <v>1009</v>
      </c>
      <c r="AD6" t="s">
        <v>2</v>
      </c>
      <c r="AE6">
        <v>-1132115</v>
      </c>
      <c r="AF6" t="s">
        <v>771</v>
      </c>
      <c r="AG6" t="s">
        <v>1010</v>
      </c>
      <c r="AH6" t="s">
        <v>772</v>
      </c>
      <c r="AI6" t="s">
        <v>161</v>
      </c>
      <c r="AJ6" t="s">
        <v>773</v>
      </c>
      <c r="AK6" t="s">
        <v>1011</v>
      </c>
      <c r="AL6" t="s">
        <v>774</v>
      </c>
      <c r="AM6" t="s">
        <v>2</v>
      </c>
      <c r="AN6" t="s">
        <v>715</v>
      </c>
      <c r="AO6" t="s">
        <v>2</v>
      </c>
      <c r="AP6" t="s">
        <v>1012</v>
      </c>
      <c r="AQ6" t="s">
        <v>198</v>
      </c>
      <c r="AR6" t="s">
        <v>2</v>
      </c>
      <c r="AS6" t="s">
        <v>885</v>
      </c>
      <c r="AT6" t="s">
        <v>151</v>
      </c>
      <c r="AU6" t="s">
        <v>838</v>
      </c>
      <c r="AV6" t="s">
        <v>321</v>
      </c>
      <c r="AW6" t="s">
        <v>1013</v>
      </c>
      <c r="AX6" t="s">
        <v>317</v>
      </c>
      <c r="AY6" t="s">
        <v>263</v>
      </c>
      <c r="AZ6" t="s">
        <v>168</v>
      </c>
      <c r="BA6" t="s">
        <v>242</v>
      </c>
      <c r="BB6" t="s">
        <v>289</v>
      </c>
      <c r="BC6" t="s">
        <v>182</v>
      </c>
      <c r="BD6" t="s">
        <v>461</v>
      </c>
      <c r="BE6" t="s">
        <v>371</v>
      </c>
      <c r="BF6" t="s">
        <v>372</v>
      </c>
      <c r="BG6" t="s">
        <v>198</v>
      </c>
      <c r="BH6" t="s">
        <v>451</v>
      </c>
      <c r="BI6" t="s">
        <v>775</v>
      </c>
      <c r="BJ6" t="s">
        <v>317</v>
      </c>
      <c r="BK6" t="s">
        <v>257</v>
      </c>
      <c r="BL6" t="s">
        <v>776</v>
      </c>
      <c r="BM6" t="s">
        <v>182</v>
      </c>
      <c r="BN6" t="s">
        <v>2</v>
      </c>
      <c r="BO6">
        <v>8.61</v>
      </c>
      <c r="BP6" t="s">
        <v>2</v>
      </c>
      <c r="BQ6">
        <v>0.09</v>
      </c>
      <c r="BR6">
        <v>228.54</v>
      </c>
      <c r="BS6" t="s">
        <v>2</v>
      </c>
      <c r="BT6" t="s">
        <v>539</v>
      </c>
      <c r="BU6" t="s">
        <v>513</v>
      </c>
      <c r="BV6">
        <v>21.88</v>
      </c>
      <c r="BW6">
        <v>-10.71</v>
      </c>
      <c r="BX6">
        <v>-9.81</v>
      </c>
      <c r="BY6">
        <v>26.9</v>
      </c>
      <c r="BZ6">
        <v>74.75</v>
      </c>
      <c r="CA6">
        <v>-211.09</v>
      </c>
      <c r="CB6">
        <v>-4.3600000000000003</v>
      </c>
      <c r="CC6">
        <v>-20.91</v>
      </c>
      <c r="CD6" t="s">
        <v>1014</v>
      </c>
      <c r="CE6" t="s">
        <v>122</v>
      </c>
      <c r="CF6" s="9">
        <v>0.82713225677123381</v>
      </c>
      <c r="CG6" s="10">
        <v>1.0698176247313302</v>
      </c>
      <c r="CH6" s="9">
        <v>0.46942800283432007</v>
      </c>
      <c r="CI6" s="9">
        <v>0.24264705181121826</v>
      </c>
      <c r="CJ6" s="9">
        <v>-7.2727270424365997E-2</v>
      </c>
      <c r="CK6" s="9">
        <v>-0.13725490868091583</v>
      </c>
      <c r="CL6" s="9">
        <v>-0.63043481111526489</v>
      </c>
      <c r="CM6" s="10">
        <v>-0.49379652738571167</v>
      </c>
      <c r="CN6" s="10">
        <v>1.4809068441390991</v>
      </c>
      <c r="CO6" s="10">
        <v>0.43983957171440125</v>
      </c>
      <c r="CP6" s="10">
        <v>-1.3265941143035889</v>
      </c>
      <c r="CQ6" s="10">
        <v>-2.9136905670166016</v>
      </c>
      <c r="CR6">
        <v>-20.195530383480826</v>
      </c>
      <c r="CS6">
        <v>-7.867861074791767</v>
      </c>
      <c r="CT6">
        <v>0</v>
      </c>
      <c r="CU6" s="9">
        <v>-2.5668387115001679E-2</v>
      </c>
      <c r="CV6" s="10">
        <v>-0.56266695857048032</v>
      </c>
      <c r="CW6">
        <v>0.06</v>
      </c>
      <c r="CX6">
        <v>23.766101960784315</v>
      </c>
      <c r="CY6" t="s">
        <v>777</v>
      </c>
      <c r="CZ6">
        <v>-2.5668387115001679E-2</v>
      </c>
      <c r="DA6">
        <v>7.9220339869281045</v>
      </c>
      <c r="DB6" t="s">
        <v>778</v>
      </c>
      <c r="DC6">
        <v>-2.4384967759251593E-2</v>
      </c>
      <c r="DD6">
        <v>3.9610169934640522</v>
      </c>
      <c r="DE6" t="s">
        <v>779</v>
      </c>
      <c r="DF6">
        <v>-2.2588180661201478E-2</v>
      </c>
      <c r="DG6">
        <v>2.3766101960784312</v>
      </c>
      <c r="DH6" t="s">
        <v>780</v>
      </c>
      <c r="DI6">
        <v>-2.0534709692001343E-2</v>
      </c>
      <c r="DJ6">
        <v>1.1883050980392156</v>
      </c>
      <c r="DK6" t="s">
        <v>781</v>
      </c>
      <c r="DL6">
        <v>-1.7967870980501174E-2</v>
      </c>
      <c r="DM6">
        <v>204000000</v>
      </c>
      <c r="DN6">
        <v>-2.5668387115001679E-2</v>
      </c>
      <c r="DO6">
        <v>4848284800</v>
      </c>
      <c r="DP6">
        <v>3134686200</v>
      </c>
      <c r="DQ6">
        <v>872</v>
      </c>
      <c r="DR6">
        <v>0.85280064388623544</v>
      </c>
      <c r="DS6">
        <v>1.6324845833018107</v>
      </c>
      <c r="DT6" s="11">
        <v>-0.32333333333333331</v>
      </c>
      <c r="DU6">
        <v>-1.6366666666666667</v>
      </c>
      <c r="DV6">
        <v>-1.96</v>
      </c>
      <c r="DW6">
        <v>-8.2085126733620282</v>
      </c>
      <c r="DX6">
        <v>0.31947931034482907</v>
      </c>
      <c r="DY6">
        <v>-8.0249129504114514</v>
      </c>
      <c r="DZ6">
        <v>4361</v>
      </c>
      <c r="EA6">
        <v>-8.0036516242383904</v>
      </c>
      <c r="EB6">
        <v>8</v>
      </c>
      <c r="EC6">
        <v>2.8306134696206173E-2</v>
      </c>
      <c r="ED6">
        <v>0.23691243793182457</v>
      </c>
      <c r="EE6" s="12">
        <v>1.0700099999999999</v>
      </c>
      <c r="EF6">
        <v>1.09751</v>
      </c>
      <c r="EG6">
        <v>20.119479310344829</v>
      </c>
      <c r="EH6" t="s">
        <v>547</v>
      </c>
      <c r="EI6">
        <v>0</v>
      </c>
      <c r="EJ6">
        <v>0</v>
      </c>
      <c r="EK6" s="13">
        <v>45470</v>
      </c>
      <c r="EL6">
        <v>-1.57</v>
      </c>
      <c r="EM6">
        <v>-5.87</v>
      </c>
      <c r="EN6">
        <v>0.28000000000000003</v>
      </c>
      <c r="EO6">
        <v>2.82</v>
      </c>
      <c r="EP6">
        <v>-2.75</v>
      </c>
    </row>
    <row r="7" spans="1:146" ht="204" x14ac:dyDescent="0.25">
      <c r="A7" s="7" t="s">
        <v>525</v>
      </c>
      <c r="B7" s="7"/>
      <c r="C7" s="7" t="str">
        <f>"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amp;CHAR(10)&amp;Basic_Fundamental_Information_Constructure(F7)&amp;CHAR(10)&amp;Basic_Fundamental_Information_Concatenate("智慧电源、数据中心设备 10.20亿 67.08% 68.12% 30.93%
光伏逆变器及储能设备 3.83亿 25.17% 21.36% 25.85%
新能源充电设备 4823.33万 3.17% 2.20% 21.13%
配套产品 2729.53万 1.79% 1.05% 17.74%
新能源能源收入 2256.14万 1.48% 3.42% 70.17%
其他业务收入 1982.05万 1.30% 3.86% 90.10%")</f>
        <v>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市值99.169723亿, 利润8.45亿; PE13.48; 平均PE21.81; 平均PEG1.28, PB2.28; ROIC16.1233%; ROE16.9533%; 股利率2.6627%; 毛利31.9967%; 净利14.93%; 上一年度营收增23.61%, 利润增28.81%; 当季营收增-40.77%, 利润增-47.01%; 过往5年营收增17.05%, 利润增32.35%
Income profile:
智慧电源、数据中心设备 10.20亿 67.08% 68.12% 30.93%
光伏逆变器及储能设备 3.83亿 25.17% 21.36% 25.85%
新能源充电设备 4823.33万 3.17% 2.20% 21.13%
配套产品 2729.53万 1.79% 1.05% 17.74%
新能源能源收入 2256.14万 1.48% 3.42% 70.17%
其他业务收入 1982.05万 1.30% 3.86% 90.10%</v>
      </c>
      <c r="D7" t="s">
        <v>373</v>
      </c>
      <c r="E7" t="s">
        <v>374</v>
      </c>
      <c r="F7">
        <v>16.899999999999999</v>
      </c>
      <c r="G7">
        <v>0.6</v>
      </c>
      <c r="H7" t="s">
        <v>1015</v>
      </c>
      <c r="I7">
        <v>9916972300</v>
      </c>
      <c r="J7">
        <v>13.48</v>
      </c>
      <c r="K7">
        <v>2.2799999999999998</v>
      </c>
      <c r="L7" t="s">
        <v>513</v>
      </c>
      <c r="M7" t="s">
        <v>274</v>
      </c>
      <c r="N7" t="s">
        <v>1016</v>
      </c>
      <c r="O7" t="s">
        <v>169</v>
      </c>
      <c r="P7">
        <v>-40.75</v>
      </c>
      <c r="Q7" t="s">
        <v>704</v>
      </c>
      <c r="R7">
        <v>124003526</v>
      </c>
      <c r="S7" s="6">
        <v>-0.46910000000000002</v>
      </c>
      <c r="T7" t="s">
        <v>302</v>
      </c>
      <c r="U7">
        <v>565197910</v>
      </c>
      <c r="V7">
        <v>586803090</v>
      </c>
      <c r="W7">
        <v>1.51</v>
      </c>
      <c r="X7">
        <v>0.12</v>
      </c>
      <c r="Y7">
        <v>14.92</v>
      </c>
      <c r="Z7" t="s">
        <v>192</v>
      </c>
      <c r="AA7" t="s">
        <v>72</v>
      </c>
      <c r="AB7" t="s">
        <v>1017</v>
      </c>
      <c r="AC7" t="s">
        <v>1018</v>
      </c>
      <c r="AD7" t="s">
        <v>2</v>
      </c>
      <c r="AE7">
        <v>-22127204</v>
      </c>
      <c r="AF7" t="s">
        <v>1019</v>
      </c>
      <c r="AG7" t="s">
        <v>1020</v>
      </c>
      <c r="AH7" t="s">
        <v>782</v>
      </c>
      <c r="AI7" t="s">
        <v>693</v>
      </c>
      <c r="AJ7" t="s">
        <v>783</v>
      </c>
      <c r="AK7" t="s">
        <v>1021</v>
      </c>
      <c r="AL7" t="s">
        <v>784</v>
      </c>
      <c r="AM7" t="s">
        <v>2</v>
      </c>
      <c r="AN7" t="s">
        <v>71</v>
      </c>
      <c r="AO7" t="s">
        <v>1022</v>
      </c>
      <c r="AP7" t="s">
        <v>157</v>
      </c>
      <c r="AQ7" t="s">
        <v>670</v>
      </c>
      <c r="AR7" t="s">
        <v>688</v>
      </c>
      <c r="AS7" t="s">
        <v>691</v>
      </c>
      <c r="AT7" t="s">
        <v>2</v>
      </c>
      <c r="AU7" t="s">
        <v>1023</v>
      </c>
      <c r="AV7" t="s">
        <v>1024</v>
      </c>
      <c r="AW7" t="s">
        <v>677</v>
      </c>
      <c r="AX7" t="s">
        <v>561</v>
      </c>
      <c r="AY7" t="s">
        <v>318</v>
      </c>
      <c r="AZ7" t="s">
        <v>324</v>
      </c>
      <c r="BA7" t="s">
        <v>375</v>
      </c>
      <c r="BB7" t="s">
        <v>154</v>
      </c>
      <c r="BC7" t="s">
        <v>247</v>
      </c>
      <c r="BD7" t="s">
        <v>262</v>
      </c>
      <c r="BE7" t="s">
        <v>21</v>
      </c>
      <c r="BF7" t="s">
        <v>112</v>
      </c>
      <c r="BG7" t="s">
        <v>91</v>
      </c>
      <c r="BH7" t="s">
        <v>704</v>
      </c>
      <c r="BI7" t="s">
        <v>281</v>
      </c>
      <c r="BJ7" t="s">
        <v>561</v>
      </c>
      <c r="BK7" t="s">
        <v>302</v>
      </c>
      <c r="BL7" t="s">
        <v>136</v>
      </c>
      <c r="BM7" t="s">
        <v>247</v>
      </c>
      <c r="BN7">
        <v>17.2</v>
      </c>
      <c r="BO7">
        <v>19.29</v>
      </c>
      <c r="BP7">
        <v>11.88</v>
      </c>
      <c r="BQ7">
        <v>18.2</v>
      </c>
      <c r="BR7">
        <v>19.940000000000001</v>
      </c>
      <c r="BS7">
        <v>12.72</v>
      </c>
      <c r="BT7" t="s">
        <v>543</v>
      </c>
      <c r="BU7" t="s">
        <v>513</v>
      </c>
      <c r="BV7">
        <v>32.89</v>
      </c>
      <c r="BW7">
        <v>31.79</v>
      </c>
      <c r="BX7">
        <v>31.31</v>
      </c>
      <c r="BY7">
        <v>16.02</v>
      </c>
      <c r="BZ7">
        <v>15.5</v>
      </c>
      <c r="CA7">
        <v>13.27</v>
      </c>
      <c r="CB7">
        <v>-4.5199999999999996</v>
      </c>
      <c r="CC7">
        <v>-19.059999999999999</v>
      </c>
      <c r="CD7" t="s">
        <v>1025</v>
      </c>
      <c r="CE7" t="s">
        <v>124</v>
      </c>
      <c r="CF7" s="9">
        <v>-0.40769779044903776</v>
      </c>
      <c r="CG7" s="10">
        <v>-0.47007040170940173</v>
      </c>
      <c r="CH7" s="9">
        <v>0.23608273267745972</v>
      </c>
      <c r="CI7" s="9">
        <v>0.56842470169067383</v>
      </c>
      <c r="CJ7" s="9">
        <v>0.15806853771209717</v>
      </c>
      <c r="CK7" s="9">
        <v>-7.1647442877292633E-2</v>
      </c>
      <c r="CL7" s="9">
        <v>-3.8674101233482361E-2</v>
      </c>
      <c r="CM7" s="10">
        <v>0.28810974955558777</v>
      </c>
      <c r="CN7" s="10">
        <v>0.75871312618255615</v>
      </c>
      <c r="CO7" s="10">
        <v>0.23102310299873352</v>
      </c>
      <c r="CP7" s="10">
        <v>-5.6074764579534531E-2</v>
      </c>
      <c r="CQ7" s="10">
        <v>0.395652174949646</v>
      </c>
      <c r="CR7">
        <v>21.811522653958942</v>
      </c>
      <c r="CS7">
        <v>1.2796368043476245</v>
      </c>
      <c r="CT7">
        <v>2.6627218934911245</v>
      </c>
      <c r="CU7" s="9">
        <v>0.17045088559389115</v>
      </c>
      <c r="CV7" s="10">
        <v>0.32348467782139778</v>
      </c>
      <c r="CW7">
        <v>0.06</v>
      </c>
      <c r="CX7">
        <v>8.6201045795559832</v>
      </c>
      <c r="CY7">
        <v>933048111.62909222</v>
      </c>
      <c r="CZ7">
        <v>0.17045088559389115</v>
      </c>
      <c r="DA7">
        <v>2.6331294899036553</v>
      </c>
      <c r="DB7">
        <v>3054529726.2590332</v>
      </c>
      <c r="DC7">
        <v>0.16192834131419659</v>
      </c>
      <c r="DD7">
        <v>1.1812551142210768</v>
      </c>
      <c r="DE7">
        <v>6808835960.3027506</v>
      </c>
      <c r="DF7">
        <v>0.14999677932262423</v>
      </c>
      <c r="DG7">
        <v>0.63645744374952173</v>
      </c>
      <c r="DH7">
        <v>12637093617.158348</v>
      </c>
      <c r="DI7">
        <v>0.13636070847511292</v>
      </c>
      <c r="DJ7">
        <v>0.25588364304415018</v>
      </c>
      <c r="DK7">
        <v>31432147066.204876</v>
      </c>
      <c r="DL7">
        <v>0.1193156199157238</v>
      </c>
      <c r="DM7">
        <v>844999999.99999988</v>
      </c>
      <c r="DN7">
        <v>0.17045088559389115</v>
      </c>
      <c r="DO7">
        <v>8042972300</v>
      </c>
      <c r="DP7">
        <v>2278444800</v>
      </c>
      <c r="DQ7">
        <v>1012</v>
      </c>
      <c r="DR7">
        <v>-0.57814867604292886</v>
      </c>
      <c r="DS7">
        <v>-0.79355507953079951</v>
      </c>
      <c r="DT7" s="11">
        <v>1.0000000000000011E-2</v>
      </c>
      <c r="DU7">
        <v>0.48000000000000004</v>
      </c>
      <c r="DV7">
        <v>0.49000000000000005</v>
      </c>
      <c r="DW7">
        <v>-8.2371458551941235</v>
      </c>
      <c r="DX7">
        <v>0.33557482517482456</v>
      </c>
      <c r="DY7">
        <v>-8.0321510078588769</v>
      </c>
      <c r="DZ7">
        <v>726</v>
      </c>
      <c r="EA7">
        <v>-8.0275831738656205</v>
      </c>
      <c r="EB7">
        <v>8</v>
      </c>
      <c r="EC7">
        <v>3.3038680829032448E-2</v>
      </c>
      <c r="ED7">
        <v>0.2436933316080527</v>
      </c>
      <c r="EE7" s="12">
        <v>4.6010000000000002E-2</v>
      </c>
      <c r="EF7">
        <v>7.1709999999999996E-2</v>
      </c>
      <c r="EG7">
        <v>20.135574825174825</v>
      </c>
      <c r="EH7">
        <v>-1</v>
      </c>
      <c r="EI7">
        <v>0</v>
      </c>
      <c r="EJ7">
        <v>1</v>
      </c>
      <c r="EK7" s="13">
        <v>45470</v>
      </c>
      <c r="EL7">
        <v>-0.9</v>
      </c>
      <c r="EM7">
        <v>-3.31</v>
      </c>
      <c r="EN7">
        <v>-2.15</v>
      </c>
      <c r="EO7">
        <v>3.1</v>
      </c>
      <c r="EP7">
        <v>-2.57</v>
      </c>
    </row>
    <row r="8" spans="1:146" ht="96" x14ac:dyDescent="0.25">
      <c r="A8" s="7"/>
      <c r="B8" s="7"/>
      <c r="C8" s="7" t="str">
        <f>""&amp;CHAR(10)&amp;Basic_Fundamental_Information_Constructure(F8)&amp;CHAR(10)&amp;Basic_Fundamental_Information_Concatenate("")</f>
        <v xml:space="preserve">
市值70.889779亿, 利润5458.19万; PE24.64; 平均PE23.58; 平均PEG1.3, PB1.78; ROIC4.8533%; ROE6.5433%; 股利率1.0428%; 毛利17.7633%; 净利4.05%; 上一年度营收增10.01%, 利润增-73.24%; 当季营收增-25.77%, 利润增949.51%; 过往5年营收增18.16%, 利润增-10.48%
Income profile:
</v>
      </c>
      <c r="D8" t="s">
        <v>376</v>
      </c>
      <c r="E8" t="s">
        <v>449</v>
      </c>
      <c r="F8">
        <v>9.59</v>
      </c>
      <c r="G8">
        <v>1.1599999999999999</v>
      </c>
      <c r="H8" t="s">
        <v>1026</v>
      </c>
      <c r="I8">
        <v>7088977900</v>
      </c>
      <c r="J8">
        <v>24.64</v>
      </c>
      <c r="K8">
        <v>1.78</v>
      </c>
      <c r="L8" t="s">
        <v>513</v>
      </c>
      <c r="M8" t="s">
        <v>785</v>
      </c>
      <c r="N8" t="s">
        <v>1027</v>
      </c>
      <c r="O8" t="s">
        <v>536</v>
      </c>
      <c r="P8">
        <v>-25.79</v>
      </c>
      <c r="Q8" t="s">
        <v>786</v>
      </c>
      <c r="R8">
        <v>257671450</v>
      </c>
      <c r="S8" s="6">
        <v>9.4949999999999992</v>
      </c>
      <c r="T8" t="s">
        <v>787</v>
      </c>
      <c r="U8">
        <v>730817150</v>
      </c>
      <c r="V8">
        <v>739205210</v>
      </c>
      <c r="W8">
        <v>3.45</v>
      </c>
      <c r="X8">
        <v>7.0000000000000007E-2</v>
      </c>
      <c r="Y8">
        <v>23.28</v>
      </c>
      <c r="Z8" t="s">
        <v>700</v>
      </c>
      <c r="AA8" t="s">
        <v>468</v>
      </c>
      <c r="AB8" t="s">
        <v>1028</v>
      </c>
      <c r="AC8" t="s">
        <v>1029</v>
      </c>
      <c r="AD8" t="s">
        <v>2</v>
      </c>
      <c r="AE8">
        <v>-573192</v>
      </c>
      <c r="AF8" t="s">
        <v>788</v>
      </c>
      <c r="AG8" t="s">
        <v>1030</v>
      </c>
      <c r="AH8" t="s">
        <v>789</v>
      </c>
      <c r="AI8" t="s">
        <v>1031</v>
      </c>
      <c r="AJ8" t="s">
        <v>790</v>
      </c>
      <c r="AK8" t="s">
        <v>35</v>
      </c>
      <c r="AL8" t="s">
        <v>791</v>
      </c>
      <c r="AM8" t="s">
        <v>2</v>
      </c>
      <c r="AN8" t="s">
        <v>166</v>
      </c>
      <c r="AO8" t="s">
        <v>165</v>
      </c>
      <c r="AP8" t="s">
        <v>506</v>
      </c>
      <c r="AQ8" t="s">
        <v>1032</v>
      </c>
      <c r="AR8" t="s">
        <v>1033</v>
      </c>
      <c r="AS8" t="s">
        <v>1034</v>
      </c>
      <c r="AT8" t="s">
        <v>165</v>
      </c>
      <c r="AU8" t="s">
        <v>1035</v>
      </c>
      <c r="AV8" t="s">
        <v>62</v>
      </c>
      <c r="AW8" t="s">
        <v>1036</v>
      </c>
      <c r="AX8" t="s">
        <v>562</v>
      </c>
      <c r="AY8" t="s">
        <v>462</v>
      </c>
      <c r="AZ8" t="s">
        <v>350</v>
      </c>
      <c r="BA8" t="s">
        <v>377</v>
      </c>
      <c r="BB8" t="s">
        <v>284</v>
      </c>
      <c r="BC8" t="s">
        <v>257</v>
      </c>
      <c r="BD8" t="s">
        <v>279</v>
      </c>
      <c r="BE8" t="s">
        <v>316</v>
      </c>
      <c r="BF8" t="s">
        <v>59</v>
      </c>
      <c r="BG8" t="s">
        <v>94</v>
      </c>
      <c r="BH8" t="s">
        <v>786</v>
      </c>
      <c r="BI8" t="s">
        <v>689</v>
      </c>
      <c r="BJ8" t="s">
        <v>562</v>
      </c>
      <c r="BK8" t="s">
        <v>787</v>
      </c>
      <c r="BL8" t="s">
        <v>792</v>
      </c>
      <c r="BM8" t="s">
        <v>257</v>
      </c>
      <c r="BN8">
        <v>1.41</v>
      </c>
      <c r="BO8">
        <v>4.08</v>
      </c>
      <c r="BP8">
        <v>9.07</v>
      </c>
      <c r="BQ8">
        <v>1.64</v>
      </c>
      <c r="BR8">
        <v>5.59</v>
      </c>
      <c r="BS8">
        <v>12.4</v>
      </c>
      <c r="BT8" t="s">
        <v>538</v>
      </c>
      <c r="BU8" t="s">
        <v>513</v>
      </c>
      <c r="BV8">
        <v>16.46</v>
      </c>
      <c r="BW8">
        <v>15.53</v>
      </c>
      <c r="BX8">
        <v>21.3</v>
      </c>
      <c r="BY8">
        <v>1.43</v>
      </c>
      <c r="BZ8">
        <v>3.57</v>
      </c>
      <c r="CA8">
        <v>7.15</v>
      </c>
      <c r="CB8">
        <v>-4.2</v>
      </c>
      <c r="CC8">
        <v>-14.22</v>
      </c>
      <c r="CD8" t="s">
        <v>1037</v>
      </c>
      <c r="CE8" t="s">
        <v>65</v>
      </c>
      <c r="CF8" s="9">
        <v>-0.25773195876288657</v>
      </c>
      <c r="CG8" s="10">
        <v>9.4951408264260841</v>
      </c>
      <c r="CH8" s="9">
        <v>0.10008170455694199</v>
      </c>
      <c r="CI8" s="9">
        <v>0.1164487898349762</v>
      </c>
      <c r="CJ8" s="9">
        <v>0.22815525531768799</v>
      </c>
      <c r="CK8" s="9">
        <v>0.36389106512069702</v>
      </c>
      <c r="CL8" s="9">
        <v>9.9384114146232605E-2</v>
      </c>
      <c r="CM8" s="10">
        <v>-0.73244166374206543</v>
      </c>
      <c r="CN8" s="10">
        <v>-0.51428574323654175</v>
      </c>
      <c r="CO8" s="10">
        <v>-0.18446601927280426</v>
      </c>
      <c r="CP8" s="10">
        <v>0.40710383653640747</v>
      </c>
      <c r="CQ8" s="10">
        <v>0.5</v>
      </c>
      <c r="CR8">
        <v>23.582997478517612</v>
      </c>
      <c r="CS8">
        <v>1.2986790910210555</v>
      </c>
      <c r="CT8">
        <v>1.0427528675703859</v>
      </c>
      <c r="CU8" s="9">
        <v>0.18159218579530717</v>
      </c>
      <c r="CV8" s="10">
        <v>-0.1048179179430008</v>
      </c>
      <c r="CW8">
        <v>0.06</v>
      </c>
      <c r="CX8">
        <v>232.15464772116823</v>
      </c>
      <c r="CY8">
        <v>60842968.420623451</v>
      </c>
      <c r="CZ8">
        <v>0.18159218579530717</v>
      </c>
      <c r="DA8">
        <v>70.262337098982542</v>
      </c>
      <c r="DB8">
        <v>201031996.41795778</v>
      </c>
      <c r="DC8">
        <v>0.1725125765055418</v>
      </c>
      <c r="DD8">
        <v>31.110072786854349</v>
      </c>
      <c r="DE8">
        <v>454032299.98126364</v>
      </c>
      <c r="DF8">
        <v>0.1598011234998703</v>
      </c>
      <c r="DG8">
        <v>16.498653264452372</v>
      </c>
      <c r="DH8">
        <v>856129144.21526515</v>
      </c>
      <c r="DI8">
        <v>0.14527374863624573</v>
      </c>
      <c r="DJ8">
        <v>6.3837878191811779</v>
      </c>
      <c r="DK8">
        <v>2212632734.6844296</v>
      </c>
      <c r="DL8">
        <v>0.12711453005671502</v>
      </c>
      <c r="DM8">
        <v>54581899.999999993</v>
      </c>
      <c r="DN8">
        <v>0.18159218579530717</v>
      </c>
      <c r="DO8">
        <v>14124977900</v>
      </c>
      <c r="DP8">
        <v>1665885600</v>
      </c>
      <c r="DQ8">
        <v>1027</v>
      </c>
      <c r="DR8">
        <v>-0.43932414455819374</v>
      </c>
      <c r="DS8">
        <v>9.5999587443690846</v>
      </c>
      <c r="DT8" s="11">
        <v>-0.19000000000000003</v>
      </c>
      <c r="DU8">
        <v>0.19999999999999993</v>
      </c>
      <c r="DV8">
        <v>9.9999999999998979E-3</v>
      </c>
      <c r="DW8">
        <v>-8.2953586497890299</v>
      </c>
      <c r="DX8">
        <v>0.27033116883116992</v>
      </c>
      <c r="DY8">
        <v>-8.0325872650556196</v>
      </c>
      <c r="DZ8">
        <v>1697</v>
      </c>
      <c r="EA8">
        <v>-8.0217652320224708</v>
      </c>
      <c r="EB8">
        <v>8</v>
      </c>
      <c r="EC8">
        <v>2.2985498167687426E-2</v>
      </c>
      <c r="ED8">
        <v>0.20833186497697981</v>
      </c>
      <c r="EE8" s="12">
        <v>-3.0562</v>
      </c>
      <c r="EF8">
        <v>-3.0274999999999999</v>
      </c>
      <c r="EG8">
        <v>16.11033116883117</v>
      </c>
      <c r="EH8" t="s">
        <v>678</v>
      </c>
      <c r="EI8">
        <v>0</v>
      </c>
      <c r="EJ8">
        <v>0</v>
      </c>
      <c r="EK8" s="13">
        <v>45470</v>
      </c>
      <c r="EL8">
        <v>-0.19</v>
      </c>
      <c r="EM8">
        <v>-3.06</v>
      </c>
      <c r="EN8">
        <v>-2.0699999999999998</v>
      </c>
      <c r="EO8">
        <v>1.71</v>
      </c>
      <c r="EP8">
        <v>-2.87</v>
      </c>
    </row>
    <row r="9" spans="1:146" ht="96" x14ac:dyDescent="0.25">
      <c r="A9" s="7"/>
      <c r="B9" s="7"/>
      <c r="C9" s="7" t="str">
        <f>""&amp;CHAR(10)&amp;Basic_Fundamental_Information_Constructure(F9)&amp;CHAR(10)&amp;Basic_Fundamental_Information_Concatenate("")</f>
        <v xml:space="preserve">
市值25.50528亿, 利润-1.93亿; PE; 平均PE-6.95; 平均PEG-11.82, PB4.28; ROIC0%; ROE-37.91%; 股利率0%; 毛利7.2833%; 净利-48.4167%; 上一年度营收增117.35%, 利润增74.5%; 当季营收增418.99%, 利润增135.27%; 过往5年营收增.59%, 利润增-245.66%
Income profile:
</v>
      </c>
      <c r="D9" t="s">
        <v>379</v>
      </c>
      <c r="E9" t="s">
        <v>380</v>
      </c>
      <c r="F9">
        <v>2.16</v>
      </c>
      <c r="G9">
        <v>0.93</v>
      </c>
      <c r="H9" t="s">
        <v>1038</v>
      </c>
      <c r="I9">
        <v>2550528000</v>
      </c>
      <c r="K9">
        <v>4.28</v>
      </c>
      <c r="L9" t="s">
        <v>513</v>
      </c>
      <c r="M9" t="s">
        <v>348</v>
      </c>
      <c r="N9" t="s">
        <v>203</v>
      </c>
      <c r="O9" t="s">
        <v>349</v>
      </c>
      <c r="P9">
        <v>419.33</v>
      </c>
      <c r="Q9" t="s">
        <v>696</v>
      </c>
      <c r="R9">
        <v>46558127</v>
      </c>
      <c r="S9" s="6">
        <v>1.3540000000000001</v>
      </c>
      <c r="T9" t="s">
        <v>716</v>
      </c>
      <c r="U9">
        <v>1059833510</v>
      </c>
      <c r="V9">
        <v>1180800000</v>
      </c>
      <c r="W9">
        <v>11.79</v>
      </c>
      <c r="X9">
        <v>0.09</v>
      </c>
      <c r="Y9">
        <v>5.22</v>
      </c>
      <c r="Z9" t="s">
        <v>482</v>
      </c>
      <c r="AA9" t="s">
        <v>570</v>
      </c>
      <c r="AB9" t="s">
        <v>1039</v>
      </c>
      <c r="AC9" t="s">
        <v>1040</v>
      </c>
      <c r="AD9" t="s">
        <v>2</v>
      </c>
      <c r="AE9">
        <v>66738095</v>
      </c>
      <c r="AF9" t="s">
        <v>794</v>
      </c>
      <c r="AG9" t="s">
        <v>1041</v>
      </c>
      <c r="AH9" t="s">
        <v>795</v>
      </c>
      <c r="AI9" t="s">
        <v>158</v>
      </c>
      <c r="AJ9" t="s">
        <v>796</v>
      </c>
      <c r="AK9" t="s">
        <v>1042</v>
      </c>
      <c r="AL9" t="s">
        <v>797</v>
      </c>
      <c r="AM9" t="s">
        <v>2</v>
      </c>
      <c r="AN9">
        <v>0</v>
      </c>
      <c r="AO9" t="s">
        <v>1043</v>
      </c>
      <c r="AP9" t="s">
        <v>2</v>
      </c>
      <c r="AQ9" t="s">
        <v>738</v>
      </c>
      <c r="AR9" t="s">
        <v>2</v>
      </c>
      <c r="AS9" t="s">
        <v>1044</v>
      </c>
      <c r="AT9" t="s">
        <v>1045</v>
      </c>
      <c r="AU9" t="s">
        <v>1046</v>
      </c>
      <c r="AV9" t="s">
        <v>34</v>
      </c>
      <c r="AW9" t="s">
        <v>1047</v>
      </c>
      <c r="AX9" t="s">
        <v>483</v>
      </c>
      <c r="AY9" t="s">
        <v>453</v>
      </c>
      <c r="AZ9" t="s">
        <v>333</v>
      </c>
      <c r="BA9" t="s">
        <v>332</v>
      </c>
      <c r="BB9" t="s">
        <v>382</v>
      </c>
      <c r="BC9" t="s">
        <v>558</v>
      </c>
      <c r="BD9" t="s">
        <v>463</v>
      </c>
      <c r="BE9" t="s">
        <v>381</v>
      </c>
      <c r="BF9" t="s">
        <v>383</v>
      </c>
      <c r="BG9" t="s">
        <v>319</v>
      </c>
      <c r="BH9" t="s">
        <v>696</v>
      </c>
      <c r="BI9" t="s">
        <v>113</v>
      </c>
      <c r="BJ9" t="s">
        <v>483</v>
      </c>
      <c r="BK9" t="s">
        <v>716</v>
      </c>
      <c r="BL9" t="s">
        <v>798</v>
      </c>
      <c r="BM9" t="s">
        <v>558</v>
      </c>
      <c r="BN9" t="s">
        <v>2</v>
      </c>
      <c r="BO9" t="s">
        <v>2</v>
      </c>
      <c r="BP9" t="s">
        <v>2</v>
      </c>
      <c r="BQ9">
        <v>-22.33</v>
      </c>
      <c r="BR9">
        <v>-59.53</v>
      </c>
      <c r="BS9">
        <v>-31.87</v>
      </c>
      <c r="BT9" t="s">
        <v>539</v>
      </c>
      <c r="BU9" t="s">
        <v>513</v>
      </c>
      <c r="BV9">
        <v>17.739999999999998</v>
      </c>
      <c r="BW9">
        <v>2.02</v>
      </c>
      <c r="BX9">
        <v>2.09</v>
      </c>
      <c r="BY9">
        <v>-10.86</v>
      </c>
      <c r="BZ9">
        <v>-89.03</v>
      </c>
      <c r="CA9">
        <v>-45.36</v>
      </c>
      <c r="CB9">
        <v>1.89</v>
      </c>
      <c r="CC9">
        <v>-17.559999999999999</v>
      </c>
      <c r="CD9" t="s">
        <v>1048</v>
      </c>
      <c r="CE9" t="s">
        <v>292</v>
      </c>
      <c r="CF9" s="9">
        <v>4.1898734177215182</v>
      </c>
      <c r="CG9" s="10">
        <v>1.3527130833333334</v>
      </c>
      <c r="CH9" s="9">
        <v>1.1734576225280762</v>
      </c>
      <c r="CI9" s="9">
        <v>-0.43375080823898315</v>
      </c>
      <c r="CJ9" s="9">
        <v>-0.31264165043830872</v>
      </c>
      <c r="CK9" s="9">
        <v>-0.39083632826805115</v>
      </c>
      <c r="CL9" s="9">
        <v>-6.8530524149537086E-3</v>
      </c>
      <c r="CM9" s="10">
        <v>0.74504625797271729</v>
      </c>
      <c r="CN9" s="10">
        <v>-0.10997067391872406</v>
      </c>
      <c r="CO9" s="10">
        <v>-0.46351930499076843</v>
      </c>
      <c r="CP9" s="10">
        <v>-13.712859153747559</v>
      </c>
      <c r="CQ9" s="10">
        <v>1.2581394910812378</v>
      </c>
      <c r="CR9">
        <v>-6.9454277729280793</v>
      </c>
      <c r="CS9">
        <v>-11.821689541448732</v>
      </c>
      <c r="CT9">
        <v>0</v>
      </c>
      <c r="CU9" s="9">
        <v>5.8751566335558895E-3</v>
      </c>
      <c r="CV9" s="10">
        <v>-2.456632676720619</v>
      </c>
      <c r="CW9">
        <v>0.06</v>
      </c>
      <c r="CX9" t="e">
        <v>#VALUE!</v>
      </c>
      <c r="CY9" t="s">
        <v>448</v>
      </c>
      <c r="CZ9">
        <v>5.8751566335558895E-3</v>
      </c>
      <c r="DA9" t="e">
        <v>#VALUE!</v>
      </c>
      <c r="DB9" t="s">
        <v>448</v>
      </c>
      <c r="DC9">
        <v>5.5813988018780947E-3</v>
      </c>
      <c r="DD9" t="e">
        <v>#VALUE!</v>
      </c>
      <c r="DE9" t="s">
        <v>448</v>
      </c>
      <c r="DF9">
        <v>5.1701378375291832E-3</v>
      </c>
      <c r="DG9" t="e">
        <v>#VALUE!</v>
      </c>
      <c r="DH9" t="s">
        <v>448</v>
      </c>
      <c r="DI9">
        <v>4.7001253068447123E-3</v>
      </c>
      <c r="DJ9" t="e">
        <v>#VALUE!</v>
      </c>
      <c r="DK9" t="s">
        <v>448</v>
      </c>
      <c r="DL9">
        <v>4.1126096434891219E-3</v>
      </c>
      <c r="DM9">
        <v>-193000000</v>
      </c>
      <c r="DN9">
        <v>5.8751566335558895E-3</v>
      </c>
      <c r="DO9">
        <v>11042528000</v>
      </c>
      <c r="DP9">
        <v>15147199.999999523</v>
      </c>
      <c r="DQ9">
        <v>1120</v>
      </c>
      <c r="DR9">
        <v>4.1839982610879627</v>
      </c>
      <c r="DS9">
        <v>3.8093457600539526</v>
      </c>
      <c r="DT9" s="11">
        <v>-0.50666666666666671</v>
      </c>
      <c r="DU9">
        <v>-0.9</v>
      </c>
      <c r="DV9">
        <v>-1.4066666666666667</v>
      </c>
      <c r="DW9">
        <v>-3.0176428571428571</v>
      </c>
      <c r="DX9">
        <v>0.38805621818181679</v>
      </c>
      <c r="DY9">
        <v>-3.0020828489922078</v>
      </c>
      <c r="DZ9">
        <v>3952</v>
      </c>
      <c r="EA9">
        <v>-3.0004720037442225</v>
      </c>
      <c r="EB9">
        <v>3</v>
      </c>
      <c r="EC9">
        <v>6.59867039295393E-2</v>
      </c>
      <c r="ED9">
        <v>0.55894308943089432</v>
      </c>
      <c r="EE9" s="12">
        <v>1.06501</v>
      </c>
      <c r="EF9">
        <v>1.08361</v>
      </c>
      <c r="EG9">
        <v>27.118056218181817</v>
      </c>
      <c r="EH9" t="s">
        <v>547</v>
      </c>
      <c r="EI9">
        <v>0</v>
      </c>
      <c r="EJ9">
        <v>0</v>
      </c>
      <c r="EK9" s="13">
        <v>45470</v>
      </c>
      <c r="EL9">
        <v>-0.46</v>
      </c>
      <c r="EM9">
        <v>-3.24</v>
      </c>
      <c r="EN9">
        <v>0.48</v>
      </c>
      <c r="EO9">
        <v>2.38</v>
      </c>
      <c r="EP9">
        <v>-1.86</v>
      </c>
    </row>
    <row r="10" spans="1:146" ht="96" x14ac:dyDescent="0.25">
      <c r="A10" s="7"/>
      <c r="B10" s="7"/>
      <c r="C10" s="7" t="str">
        <f>""&amp;CHAR(10)&amp;Basic_Fundamental_Information_Constructure(F10)&amp;CHAR(10)&amp;Basic_Fundamental_Information_Concatenate("")</f>
        <v xml:space="preserve">
市值9.2645888亿, 利润-3.16亿; PE; 平均PE-2.5; 平均PEG-.16, PB.192; ROIC0%; ROE-4.0067%; 股利率0%; 毛利20.9767%; 净利-35.5733%; 上一年度营收增37.12%, 利润增-23.92%; 当季营收增68.72%, 利润增34.83%; 过往5年营收增15.9%, 利润增-222.94%
Income profile:
</v>
      </c>
      <c r="D10" t="s">
        <v>384</v>
      </c>
      <c r="E10" t="s">
        <v>799</v>
      </c>
      <c r="F10" t="s">
        <v>2</v>
      </c>
      <c r="G10" t="s">
        <v>2</v>
      </c>
      <c r="H10" t="s">
        <v>2</v>
      </c>
      <c r="I10">
        <v>926458880</v>
      </c>
      <c r="K10">
        <v>0.192</v>
      </c>
      <c r="L10" t="s">
        <v>513</v>
      </c>
      <c r="M10" t="s">
        <v>800</v>
      </c>
      <c r="N10" t="s">
        <v>1049</v>
      </c>
      <c r="O10" t="s">
        <v>194</v>
      </c>
      <c r="P10">
        <v>68.27</v>
      </c>
      <c r="Q10" t="s">
        <v>258</v>
      </c>
      <c r="R10">
        <v>-68433520</v>
      </c>
      <c r="S10" s="6">
        <v>0.34910000000000002</v>
      </c>
      <c r="T10" t="s">
        <v>801</v>
      </c>
      <c r="U10">
        <v>2464328800</v>
      </c>
      <c r="V10">
        <v>2503942900</v>
      </c>
      <c r="W10">
        <v>1.64</v>
      </c>
      <c r="X10">
        <v>0.05</v>
      </c>
      <c r="Y10">
        <v>-17.43</v>
      </c>
      <c r="Z10" t="s">
        <v>127</v>
      </c>
      <c r="AA10" t="s">
        <v>184</v>
      </c>
      <c r="AB10" t="s">
        <v>1050</v>
      </c>
      <c r="AC10" t="s">
        <v>1051</v>
      </c>
      <c r="AD10" t="s">
        <v>2</v>
      </c>
      <c r="AE10">
        <v>28952119</v>
      </c>
      <c r="AF10" t="s">
        <v>802</v>
      </c>
      <c r="AG10" t="s">
        <v>1052</v>
      </c>
      <c r="AH10" t="s">
        <v>803</v>
      </c>
      <c r="AI10" t="s">
        <v>255</v>
      </c>
      <c r="AJ10" t="s">
        <v>804</v>
      </c>
      <c r="AK10" t="s">
        <v>1053</v>
      </c>
      <c r="AL10" t="s">
        <v>805</v>
      </c>
      <c r="AM10" t="s">
        <v>2</v>
      </c>
      <c r="AN10" t="s">
        <v>152</v>
      </c>
      <c r="AO10" t="s">
        <v>156</v>
      </c>
      <c r="AP10" t="s">
        <v>1054</v>
      </c>
      <c r="AQ10" t="s">
        <v>309</v>
      </c>
      <c r="AR10" t="s">
        <v>2</v>
      </c>
      <c r="AS10" t="s">
        <v>256</v>
      </c>
      <c r="AT10" t="s">
        <v>213</v>
      </c>
      <c r="AU10" t="s">
        <v>1055</v>
      </c>
      <c r="AV10" t="s">
        <v>1056</v>
      </c>
      <c r="AW10" t="s">
        <v>1057</v>
      </c>
      <c r="AX10" t="s">
        <v>163</v>
      </c>
      <c r="AY10" t="s">
        <v>278</v>
      </c>
      <c r="AZ10" t="s">
        <v>214</v>
      </c>
      <c r="BA10" t="s">
        <v>115</v>
      </c>
      <c r="BB10" t="s">
        <v>202</v>
      </c>
      <c r="BC10" t="s">
        <v>563</v>
      </c>
      <c r="BD10" t="s">
        <v>464</v>
      </c>
      <c r="BE10" t="s">
        <v>385</v>
      </c>
      <c r="BF10" t="s">
        <v>386</v>
      </c>
      <c r="BG10" t="s">
        <v>283</v>
      </c>
      <c r="BH10" t="s">
        <v>258</v>
      </c>
      <c r="BI10" t="s">
        <v>123</v>
      </c>
      <c r="BJ10" t="s">
        <v>163</v>
      </c>
      <c r="BK10" t="s">
        <v>801</v>
      </c>
      <c r="BL10" t="s">
        <v>344</v>
      </c>
      <c r="BM10" t="s">
        <v>563</v>
      </c>
      <c r="BN10" t="s">
        <v>2</v>
      </c>
      <c r="BO10" t="s">
        <v>2</v>
      </c>
      <c r="BP10" t="s">
        <v>2</v>
      </c>
      <c r="BQ10">
        <v>-3.33</v>
      </c>
      <c r="BR10">
        <v>-4.75</v>
      </c>
      <c r="BS10">
        <v>-3.94</v>
      </c>
      <c r="BT10" t="s">
        <v>539</v>
      </c>
      <c r="BU10" t="s">
        <v>513</v>
      </c>
      <c r="BV10">
        <v>14.96</v>
      </c>
      <c r="BW10">
        <v>20.190000000000001</v>
      </c>
      <c r="BX10">
        <v>27.78</v>
      </c>
      <c r="BY10">
        <v>-35.22</v>
      </c>
      <c r="BZ10">
        <v>-40.43</v>
      </c>
      <c r="CA10">
        <v>-31.07</v>
      </c>
      <c r="CB10">
        <v>0</v>
      </c>
      <c r="CC10">
        <v>-68.91</v>
      </c>
      <c r="CD10" t="s">
        <v>2</v>
      </c>
      <c r="CE10" t="s">
        <v>243</v>
      </c>
      <c r="CF10" s="9">
        <v>0.68722466960352424</v>
      </c>
      <c r="CG10" s="10">
        <v>0.34825219047619049</v>
      </c>
      <c r="CH10" s="9">
        <v>0.37116563320159912</v>
      </c>
      <c r="CI10" s="9">
        <v>-9.3184977769851685E-2</v>
      </c>
      <c r="CJ10" s="9">
        <v>0.63038545846939087</v>
      </c>
      <c r="CK10" s="9">
        <v>-0.40725806355476379</v>
      </c>
      <c r="CL10" s="9">
        <v>0.29391303658485413</v>
      </c>
      <c r="CM10" s="10">
        <v>-0.23921568691730499</v>
      </c>
      <c r="CN10" s="10">
        <v>-0.14864864945411682</v>
      </c>
      <c r="CO10" s="10">
        <v>0.74245941638946533</v>
      </c>
      <c r="CP10" s="10">
        <v>-12.617438316345215</v>
      </c>
      <c r="CQ10" s="10">
        <v>1.1159355640411377</v>
      </c>
      <c r="CR10">
        <v>-2.5030395696832297</v>
      </c>
      <c r="CS10">
        <v>-0.1574196968375349</v>
      </c>
      <c r="CT10">
        <v>0</v>
      </c>
      <c r="CU10" s="9">
        <v>0.15900421738624573</v>
      </c>
      <c r="CV10" s="10">
        <v>-2.2293815344572065</v>
      </c>
      <c r="CW10">
        <v>0.06</v>
      </c>
      <c r="CX10" t="s">
        <v>956</v>
      </c>
      <c r="CY10" t="s">
        <v>447</v>
      </c>
      <c r="CZ10">
        <v>0.15900421738624573</v>
      </c>
      <c r="DA10" t="s">
        <v>956</v>
      </c>
      <c r="DB10" t="s">
        <v>448</v>
      </c>
      <c r="DC10">
        <v>0.15105400651693343</v>
      </c>
      <c r="DD10" t="s">
        <v>956</v>
      </c>
      <c r="DE10" t="s">
        <v>448</v>
      </c>
      <c r="DF10">
        <v>0.13992371129989625</v>
      </c>
      <c r="DG10" t="s">
        <v>956</v>
      </c>
      <c r="DH10" t="s">
        <v>448</v>
      </c>
      <c r="DI10">
        <v>0.12720337390899658</v>
      </c>
      <c r="DJ10" t="s">
        <v>956</v>
      </c>
      <c r="DK10" t="s">
        <v>448</v>
      </c>
      <c r="DL10">
        <v>0.111302952170372</v>
      </c>
      <c r="DM10">
        <v>-316000000</v>
      </c>
      <c r="DN10">
        <v>0.15900421738624573</v>
      </c>
      <c r="DO10">
        <v>-833541120</v>
      </c>
      <c r="DP10">
        <v>1407298300</v>
      </c>
      <c r="DQ10">
        <v>1155</v>
      </c>
      <c r="DR10">
        <v>0.52822045221727854</v>
      </c>
      <c r="DS10">
        <v>2.5776337249333969</v>
      </c>
      <c r="DT10" s="11">
        <v>-2.3333333333333355E-2</v>
      </c>
      <c r="DU10">
        <v>-2.4983333333333335</v>
      </c>
      <c r="DV10">
        <v>-2.5216666666666669</v>
      </c>
      <c r="DW10">
        <v>-3.5983869047619046</v>
      </c>
      <c r="DX10" t="e">
        <v>#VALUE!</v>
      </c>
      <c r="DY10">
        <v>-3</v>
      </c>
      <c r="DZ10">
        <v>4694</v>
      </c>
      <c r="EA10">
        <v>-3</v>
      </c>
      <c r="EB10">
        <v>3</v>
      </c>
      <c r="EC10">
        <v>0</v>
      </c>
      <c r="ED10">
        <v>0.11182363623387738</v>
      </c>
      <c r="EE10" s="12">
        <v>-10.12731</v>
      </c>
      <c r="EF10">
        <v>-11.02861</v>
      </c>
      <c r="EG10" t="e">
        <v>#VALUE!</v>
      </c>
      <c r="EH10" t="s">
        <v>957</v>
      </c>
      <c r="EI10">
        <v>0</v>
      </c>
      <c r="EJ10">
        <v>0</v>
      </c>
      <c r="EK10" s="13">
        <v>45470</v>
      </c>
      <c r="EL10">
        <v>-4.26</v>
      </c>
      <c r="EM10">
        <v>-4.4400000000000004</v>
      </c>
      <c r="EN10">
        <v>-4.6500000000000004</v>
      </c>
      <c r="EO10">
        <v>-4.88</v>
      </c>
      <c r="EP10">
        <v>-5.13</v>
      </c>
    </row>
    <row r="11" spans="1:146" ht="96" x14ac:dyDescent="0.25">
      <c r="A11" s="7"/>
      <c r="B11" s="7"/>
      <c r="C11" s="7" t="str">
        <f>""&amp;CHAR(10)&amp;Basic_Fundamental_Information_Constructure(F11)&amp;CHAR(10)&amp;Basic_Fundamental_Information_Concatenate("")</f>
        <v xml:space="preserve">
市值119.605917亿, 利润6.29亿; PE19.71; 平均PE29.21; 平均PEG1.2, PB2.73; ROIC11.0867%; ROE12.8767%; 股利率.9167%; 毛利25.0967%; 净利9.3167%; 上一年度营收增23.29%, 利润增32.98%; 当季营收增17.3%, 利润增-13.97%; 过往5年营收增24.35%, 利润增28.29%
Income profile:
</v>
      </c>
      <c r="D11" t="s">
        <v>387</v>
      </c>
      <c r="E11" t="s">
        <v>388</v>
      </c>
      <c r="F11">
        <v>23.78</v>
      </c>
      <c r="G11">
        <v>-0.83</v>
      </c>
      <c r="H11" t="s">
        <v>1058</v>
      </c>
      <c r="I11">
        <v>11960591700</v>
      </c>
      <c r="J11">
        <v>19.71</v>
      </c>
      <c r="K11">
        <v>2.73</v>
      </c>
      <c r="L11" t="s">
        <v>513</v>
      </c>
      <c r="M11" t="s">
        <v>793</v>
      </c>
      <c r="N11" t="s">
        <v>1059</v>
      </c>
      <c r="O11" t="s">
        <v>314</v>
      </c>
      <c r="P11">
        <v>17.32</v>
      </c>
      <c r="Q11" t="s">
        <v>707</v>
      </c>
      <c r="R11">
        <v>138513740</v>
      </c>
      <c r="S11" s="6">
        <v>-0.1396</v>
      </c>
      <c r="T11" t="s">
        <v>285</v>
      </c>
      <c r="U11">
        <v>414850960</v>
      </c>
      <c r="V11">
        <v>502968530</v>
      </c>
      <c r="W11">
        <v>2.2599999999999998</v>
      </c>
      <c r="X11">
        <v>0.18</v>
      </c>
      <c r="Y11">
        <v>7.7</v>
      </c>
      <c r="Z11" t="s">
        <v>757</v>
      </c>
      <c r="AA11" t="s">
        <v>323</v>
      </c>
      <c r="AB11" t="s">
        <v>1060</v>
      </c>
      <c r="AC11" t="s">
        <v>1061</v>
      </c>
      <c r="AD11" t="s">
        <v>2</v>
      </c>
      <c r="AE11">
        <v>2136923</v>
      </c>
      <c r="AF11" t="s">
        <v>806</v>
      </c>
      <c r="AG11" t="s">
        <v>1062</v>
      </c>
      <c r="AH11" t="s">
        <v>807</v>
      </c>
      <c r="AI11" t="s">
        <v>811</v>
      </c>
      <c r="AJ11" t="s">
        <v>808</v>
      </c>
      <c r="AK11" t="s">
        <v>1063</v>
      </c>
      <c r="AL11" t="s">
        <v>809</v>
      </c>
      <c r="AM11" t="s">
        <v>2</v>
      </c>
      <c r="AN11" t="s">
        <v>107</v>
      </c>
      <c r="AO11" t="s">
        <v>254</v>
      </c>
      <c r="AP11" t="s">
        <v>756</v>
      </c>
      <c r="AQ11" t="s">
        <v>1064</v>
      </c>
      <c r="AR11" t="s">
        <v>2</v>
      </c>
      <c r="AS11" t="s">
        <v>763</v>
      </c>
      <c r="AT11" t="s">
        <v>57</v>
      </c>
      <c r="AU11" t="s">
        <v>1065</v>
      </c>
      <c r="AV11" t="s">
        <v>47</v>
      </c>
      <c r="AW11" t="s">
        <v>201</v>
      </c>
      <c r="AX11" t="s">
        <v>537</v>
      </c>
      <c r="AY11" t="s">
        <v>465</v>
      </c>
      <c r="AZ11" t="s">
        <v>336</v>
      </c>
      <c r="BA11" t="s">
        <v>389</v>
      </c>
      <c r="BB11" t="s">
        <v>390</v>
      </c>
      <c r="BC11" t="s">
        <v>79</v>
      </c>
      <c r="BD11" t="s">
        <v>87</v>
      </c>
      <c r="BE11" t="s">
        <v>182</v>
      </c>
      <c r="BF11" t="s">
        <v>170</v>
      </c>
      <c r="BG11" t="s">
        <v>55</v>
      </c>
      <c r="BH11" t="s">
        <v>707</v>
      </c>
      <c r="BI11" t="s">
        <v>683</v>
      </c>
      <c r="BJ11" t="s">
        <v>537</v>
      </c>
      <c r="BK11" t="s">
        <v>285</v>
      </c>
      <c r="BL11" t="s">
        <v>110</v>
      </c>
      <c r="BM11" t="s">
        <v>79</v>
      </c>
      <c r="BN11">
        <v>8.6300000000000008</v>
      </c>
      <c r="BO11">
        <v>11.71</v>
      </c>
      <c r="BP11">
        <v>12.92</v>
      </c>
      <c r="BQ11">
        <v>12.11</v>
      </c>
      <c r="BR11">
        <v>14.14</v>
      </c>
      <c r="BS11">
        <v>12.38</v>
      </c>
      <c r="BT11" t="s">
        <v>810</v>
      </c>
      <c r="BU11" t="s">
        <v>513</v>
      </c>
      <c r="BV11">
        <v>24.94</v>
      </c>
      <c r="BW11">
        <v>23.76</v>
      </c>
      <c r="BX11">
        <v>26.59</v>
      </c>
      <c r="BY11">
        <v>9.26</v>
      </c>
      <c r="BZ11">
        <v>8.75</v>
      </c>
      <c r="CA11">
        <v>9.94</v>
      </c>
      <c r="CB11">
        <v>-7.97</v>
      </c>
      <c r="CC11">
        <v>-23.66</v>
      </c>
      <c r="CD11" t="s">
        <v>1066</v>
      </c>
      <c r="CE11" t="s">
        <v>698</v>
      </c>
      <c r="CF11" s="9">
        <v>0.17296604740550914</v>
      </c>
      <c r="CG11" s="10">
        <v>-0.13966621118012423</v>
      </c>
      <c r="CH11" s="9">
        <v>0.23293167352676392</v>
      </c>
      <c r="CI11" s="9">
        <v>0.31809434294700623</v>
      </c>
      <c r="CJ11" s="9">
        <v>0.23104265332221985</v>
      </c>
      <c r="CK11" s="9">
        <v>-5.16853928565979E-2</v>
      </c>
      <c r="CL11" s="9">
        <v>0.48705103993415833</v>
      </c>
      <c r="CM11" s="10">
        <v>0.32980972528457642</v>
      </c>
      <c r="CN11" s="10">
        <v>0.21593829989433289</v>
      </c>
      <c r="CO11" s="10">
        <v>-3.4739453345537186E-2</v>
      </c>
      <c r="CP11" s="10">
        <v>0.11634349077939987</v>
      </c>
      <c r="CQ11" s="10">
        <v>0.78712868690490723</v>
      </c>
      <c r="CR11">
        <v>29.207794139194139</v>
      </c>
      <c r="CS11">
        <v>1.1995634480799602</v>
      </c>
      <c r="CT11">
        <v>0.91673675357443229</v>
      </c>
      <c r="CU11" s="9">
        <v>0.24348686337471009</v>
      </c>
      <c r="CV11" s="10">
        <v>0.28289614990353584</v>
      </c>
      <c r="CW11">
        <v>0.06</v>
      </c>
      <c r="CX11">
        <v>17.401995615481958</v>
      </c>
      <c r="CY11">
        <v>737880412.323295</v>
      </c>
      <c r="CZ11">
        <v>0.24348686337471009</v>
      </c>
      <c r="DA11">
        <v>5.0054749650808201</v>
      </c>
      <c r="DB11">
        <v>2565309344.1838183</v>
      </c>
      <c r="DC11">
        <v>0.23131252020597459</v>
      </c>
      <c r="DD11">
        <v>2.0588541174470563</v>
      </c>
      <c r="DE11">
        <v>6236766165.7942591</v>
      </c>
      <c r="DF11">
        <v>0.21426843976974488</v>
      </c>
      <c r="DG11">
        <v>0.99689161353910849</v>
      </c>
      <c r="DH11">
        <v>12880629674.889183</v>
      </c>
      <c r="DI11">
        <v>0.19478949069976809</v>
      </c>
      <c r="DJ11">
        <v>0.30776226714280097</v>
      </c>
      <c r="DK11">
        <v>41722436669.086517</v>
      </c>
      <c r="DL11">
        <v>0.17044080436229705</v>
      </c>
      <c r="DM11">
        <v>629000000</v>
      </c>
      <c r="DN11">
        <v>0.24348686337471009</v>
      </c>
      <c r="DO11">
        <v>12840591700</v>
      </c>
      <c r="DP11">
        <v>2158038500</v>
      </c>
      <c r="DQ11">
        <v>1320</v>
      </c>
      <c r="DR11">
        <v>-7.0520815969200956E-2</v>
      </c>
      <c r="DS11">
        <v>-0.42256236108366008</v>
      </c>
      <c r="DT11" s="11">
        <v>0.10999999999999995</v>
      </c>
      <c r="DU11">
        <v>0.51666666666666672</v>
      </c>
      <c r="DV11">
        <v>0.62666666666666671</v>
      </c>
      <c r="DW11">
        <v>-9.3368554522400675</v>
      </c>
      <c r="DX11">
        <v>0.33472233502537962</v>
      </c>
      <c r="DY11">
        <v>-9.0218020714350082</v>
      </c>
      <c r="DZ11">
        <v>546</v>
      </c>
      <c r="EA11">
        <v>-9.0194725350351028</v>
      </c>
      <c r="EB11">
        <v>9</v>
      </c>
      <c r="EC11">
        <v>7.6050284895557985E-2</v>
      </c>
      <c r="ED11">
        <v>1.1750238131200774</v>
      </c>
      <c r="EE11" s="12">
        <v>4.1061100000000001</v>
      </c>
      <c r="EF11">
        <v>4.1357099999999996</v>
      </c>
      <c r="EG11">
        <v>27.06472233502538</v>
      </c>
      <c r="EH11" t="s">
        <v>679</v>
      </c>
      <c r="EI11">
        <v>0</v>
      </c>
      <c r="EJ11">
        <v>1</v>
      </c>
      <c r="EK11" s="13">
        <v>45470</v>
      </c>
      <c r="EL11">
        <v>-1.42</v>
      </c>
      <c r="EM11">
        <v>-3.52</v>
      </c>
      <c r="EN11">
        <v>-0.71</v>
      </c>
      <c r="EO11">
        <v>1.42</v>
      </c>
      <c r="EP11">
        <v>-2.96</v>
      </c>
    </row>
    <row r="12" spans="1:146" ht="96" x14ac:dyDescent="0.25">
      <c r="A12" s="8"/>
      <c r="B12" s="8"/>
      <c r="C12" s="8" t="str">
        <f>""&amp;CHAR(10)&amp;Basic_Fundamental_Information_Constructure(F12)&amp;CHAR(10)&amp;Basic_Fundamental_Information_Concatenate("")</f>
        <v xml:space="preserve">
市值32.204529亿, 利润1.41亿; PE20.01; 平均PE72.21; 平均PEG3.36, PB1.65; ROIC.56%; ROE1.9967%; 股利率2.4038%; 毛利19.3033%; 净利8.5633%; 上一年度营收增54.02%, 利润增59.27%; 当季营收增127.69%, 利润增318.8%; 过往5年营收增21.49%, 利润增289.25%
Income profile:
</v>
      </c>
      <c r="D12" t="s">
        <v>391</v>
      </c>
      <c r="E12" t="s">
        <v>392</v>
      </c>
      <c r="F12">
        <v>6.24</v>
      </c>
      <c r="G12">
        <v>0.97</v>
      </c>
      <c r="H12" t="s">
        <v>1067</v>
      </c>
      <c r="I12">
        <v>3220452900</v>
      </c>
      <c r="J12">
        <v>20.010000000000002</v>
      </c>
      <c r="K12">
        <v>1.65</v>
      </c>
      <c r="L12" t="s">
        <v>513</v>
      </c>
      <c r="M12" t="s">
        <v>815</v>
      </c>
      <c r="N12" t="s">
        <v>341</v>
      </c>
      <c r="O12" t="s">
        <v>60</v>
      </c>
      <c r="P12">
        <v>128.27000000000001</v>
      </c>
      <c r="Q12" t="s">
        <v>322</v>
      </c>
      <c r="R12">
        <v>13539815</v>
      </c>
      <c r="S12" s="6">
        <v>3.1880000000000002</v>
      </c>
      <c r="T12" t="s">
        <v>52</v>
      </c>
      <c r="U12">
        <v>513213530</v>
      </c>
      <c r="V12">
        <v>516098220</v>
      </c>
      <c r="W12">
        <v>1.43</v>
      </c>
      <c r="X12">
        <v>0.05</v>
      </c>
      <c r="Y12">
        <v>9.65</v>
      </c>
      <c r="Z12" t="s">
        <v>70</v>
      </c>
      <c r="AA12" t="s">
        <v>95</v>
      </c>
      <c r="AB12" t="s">
        <v>1068</v>
      </c>
      <c r="AC12" t="s">
        <v>1069</v>
      </c>
      <c r="AD12" t="s">
        <v>2</v>
      </c>
      <c r="AE12">
        <v>-3561826</v>
      </c>
      <c r="AF12" t="s">
        <v>816</v>
      </c>
      <c r="AG12" t="s">
        <v>1070</v>
      </c>
      <c r="AH12" t="s">
        <v>817</v>
      </c>
      <c r="AI12" t="s">
        <v>526</v>
      </c>
      <c r="AJ12" t="s">
        <v>818</v>
      </c>
      <c r="AK12" t="s">
        <v>1071</v>
      </c>
      <c r="AL12" t="s">
        <v>819</v>
      </c>
      <c r="AM12" t="s">
        <v>2</v>
      </c>
      <c r="AN12" t="s">
        <v>1072</v>
      </c>
      <c r="AO12" t="s">
        <v>2</v>
      </c>
      <c r="AP12" t="s">
        <v>73</v>
      </c>
      <c r="AQ12" t="s">
        <v>219</v>
      </c>
      <c r="AR12" t="s">
        <v>2</v>
      </c>
      <c r="AS12" t="s">
        <v>756</v>
      </c>
      <c r="AT12" t="s">
        <v>2</v>
      </c>
      <c r="AU12" t="s">
        <v>1073</v>
      </c>
      <c r="AV12" t="s">
        <v>1074</v>
      </c>
      <c r="AW12" t="s">
        <v>1075</v>
      </c>
      <c r="AX12" t="s">
        <v>508</v>
      </c>
      <c r="AY12" t="s">
        <v>117</v>
      </c>
      <c r="AZ12" t="s">
        <v>92</v>
      </c>
      <c r="BA12" t="s">
        <v>193</v>
      </c>
      <c r="BB12" t="s">
        <v>46</v>
      </c>
      <c r="BC12" t="s">
        <v>820</v>
      </c>
      <c r="BD12" t="s">
        <v>466</v>
      </c>
      <c r="BE12" t="s">
        <v>393</v>
      </c>
      <c r="BF12" t="s">
        <v>394</v>
      </c>
      <c r="BG12" t="s">
        <v>395</v>
      </c>
      <c r="BH12" t="s">
        <v>322</v>
      </c>
      <c r="BI12" t="s">
        <v>821</v>
      </c>
      <c r="BJ12" t="s">
        <v>508</v>
      </c>
      <c r="BK12" t="s">
        <v>52</v>
      </c>
      <c r="BL12" t="s">
        <v>822</v>
      </c>
      <c r="BM12" t="s">
        <v>820</v>
      </c>
      <c r="BN12">
        <v>0.21</v>
      </c>
      <c r="BO12">
        <v>3.14</v>
      </c>
      <c r="BP12">
        <v>-1.67</v>
      </c>
      <c r="BQ12">
        <v>0.91</v>
      </c>
      <c r="BR12">
        <v>4.76</v>
      </c>
      <c r="BS12">
        <v>0.32</v>
      </c>
      <c r="BT12" t="s">
        <v>542</v>
      </c>
      <c r="BU12" t="s">
        <v>513</v>
      </c>
      <c r="BV12">
        <v>20.5</v>
      </c>
      <c r="BW12">
        <v>18.28</v>
      </c>
      <c r="BX12">
        <v>19.13</v>
      </c>
      <c r="BY12">
        <v>12.51</v>
      </c>
      <c r="BZ12">
        <v>12.08</v>
      </c>
      <c r="CA12">
        <v>1.1000000000000001</v>
      </c>
      <c r="CB12">
        <v>-3.41</v>
      </c>
      <c r="CC12">
        <v>-4.88</v>
      </c>
      <c r="CD12" t="s">
        <v>1076</v>
      </c>
      <c r="CE12" t="s">
        <v>44</v>
      </c>
      <c r="CF12" s="9">
        <v>1.2768744368801617</v>
      </c>
      <c r="CG12" s="10">
        <v>3.187970040237222</v>
      </c>
      <c r="CH12" s="9">
        <v>0.54024547338485718</v>
      </c>
      <c r="CI12" s="9">
        <v>0.35239851474761963</v>
      </c>
      <c r="CJ12" s="9">
        <v>0.18340611457824707</v>
      </c>
      <c r="CK12" s="9">
        <v>-0.10721247643232346</v>
      </c>
      <c r="CL12" s="9">
        <v>0.10560344904661179</v>
      </c>
      <c r="CM12" s="10">
        <v>0.5926893949508667</v>
      </c>
      <c r="CN12" s="10">
        <v>13.88541316986084</v>
      </c>
      <c r="CO12" s="10">
        <v>-0.39285606145858765</v>
      </c>
      <c r="CP12" s="10">
        <v>-0.29945647716522217</v>
      </c>
      <c r="CQ12" s="10">
        <v>0.67653828859329224</v>
      </c>
      <c r="CR12">
        <v>72.20854347598619</v>
      </c>
      <c r="CS12">
        <v>3.3602840180948741</v>
      </c>
      <c r="CT12">
        <v>2.4038461538461537</v>
      </c>
      <c r="CU12" s="9">
        <v>0.21488821506500244</v>
      </c>
      <c r="CV12" s="10">
        <v>2.892465662956238</v>
      </c>
      <c r="CW12">
        <v>0.06</v>
      </c>
      <c r="CX12">
        <v>13.641158576420576</v>
      </c>
      <c r="CY12">
        <v>161603055.02279747</v>
      </c>
      <c r="CZ12">
        <v>0.21488821506500244</v>
      </c>
      <c r="DA12">
        <v>4.0166623789493903</v>
      </c>
      <c r="DB12">
        <v>548827033.99547434</v>
      </c>
      <c r="DC12">
        <v>0.2041438043117523</v>
      </c>
      <c r="DD12">
        <v>1.7096322687795689</v>
      </c>
      <c r="DE12">
        <v>1289431031.6063826</v>
      </c>
      <c r="DF12">
        <v>0.18910162925720214</v>
      </c>
      <c r="DG12">
        <v>0.86387077617306429</v>
      </c>
      <c r="DH12">
        <v>2551831779.4771299</v>
      </c>
      <c r="DI12">
        <v>0.17191057205200197</v>
      </c>
      <c r="DJ12">
        <v>0.29677078325005135</v>
      </c>
      <c r="DK12">
        <v>7428133173.5495853</v>
      </c>
      <c r="DL12">
        <v>0.15042175054550169</v>
      </c>
      <c r="DM12">
        <v>141000000</v>
      </c>
      <c r="DN12">
        <v>0.21488821506500244</v>
      </c>
      <c r="DO12">
        <v>2204452900</v>
      </c>
      <c r="DP12">
        <v>1075822000</v>
      </c>
      <c r="DQ12">
        <v>1595</v>
      </c>
      <c r="DR12">
        <v>1.0619862218151592</v>
      </c>
      <c r="DS12">
        <v>0.295504377280984</v>
      </c>
      <c r="DT12" s="11">
        <v>1.0000000000000011E-2</v>
      </c>
      <c r="DU12">
        <v>1.0833333333333333</v>
      </c>
      <c r="DV12">
        <v>1.0933333333333333</v>
      </c>
      <c r="DW12">
        <v>-8.6987704918032787</v>
      </c>
      <c r="DX12">
        <v>0.27288623655913896</v>
      </c>
      <c r="DY12">
        <v>-8.0509307513661206</v>
      </c>
      <c r="DZ12">
        <v>162</v>
      </c>
      <c r="EA12">
        <v>-8.0493161169783889</v>
      </c>
      <c r="EB12">
        <v>8</v>
      </c>
      <c r="EC12">
        <v>6.5669864158802951E-2</v>
      </c>
      <c r="ED12">
        <v>0.9009912880536578</v>
      </c>
      <c r="EE12" s="12">
        <v>3.6900000000000002E-2</v>
      </c>
      <c r="EF12">
        <v>2.1100000000000001E-2</v>
      </c>
      <c r="EG12">
        <v>20.072886236559139</v>
      </c>
      <c r="EH12" t="s">
        <v>481</v>
      </c>
      <c r="EI12">
        <v>0</v>
      </c>
      <c r="EJ12">
        <v>1</v>
      </c>
      <c r="EK12" s="13">
        <v>45470</v>
      </c>
      <c r="EL12">
        <v>-2.4500000000000002</v>
      </c>
      <c r="EM12">
        <v>-2.98</v>
      </c>
      <c r="EN12">
        <v>0.32</v>
      </c>
      <c r="EO12">
        <v>2.1</v>
      </c>
      <c r="EP12">
        <v>-1.58</v>
      </c>
    </row>
    <row r="13" spans="1:146" ht="96" x14ac:dyDescent="0.25">
      <c r="C13" s="8" t="str">
        <f>""&amp;CHAR(10)&amp;Basic_Fundamental_Information_Constructure(F13)&amp;CHAR(10)&amp;Basic_Fundamental_Information_Concatenate("")</f>
        <v xml:space="preserve">
市值18.08亿, 利润3227.23万; PE53.99; 平均PE-137.24; 平均PEG-1159.68, PB2.14; ROIC2.3667%; ROE2.3867%; 股利率0%; 毛利14.7333%; 净利2.3367%; 上一年度营收增24.91%, 利润增11.7%; 当季营收增14.72%, 利润增15.88%; 过往5年营收增-.12%, 利润增-994.23%
Income profile:
</v>
      </c>
      <c r="D13" t="s">
        <v>396</v>
      </c>
      <c r="E13" t="s">
        <v>397</v>
      </c>
      <c r="F13">
        <v>5.65</v>
      </c>
      <c r="G13">
        <v>0.53</v>
      </c>
      <c r="H13" t="s">
        <v>1077</v>
      </c>
      <c r="I13">
        <v>1808000000</v>
      </c>
      <c r="J13">
        <v>53.99</v>
      </c>
      <c r="K13">
        <v>2.14</v>
      </c>
      <c r="L13" t="s">
        <v>513</v>
      </c>
      <c r="M13" t="s">
        <v>185</v>
      </c>
      <c r="N13" t="s">
        <v>310</v>
      </c>
      <c r="O13" t="s">
        <v>271</v>
      </c>
      <c r="P13">
        <v>14.9</v>
      </c>
      <c r="Q13" t="s">
        <v>682</v>
      </c>
      <c r="R13">
        <v>8886054</v>
      </c>
      <c r="S13" s="6">
        <v>0.1588</v>
      </c>
      <c r="T13" t="s">
        <v>823</v>
      </c>
      <c r="U13">
        <v>318030120</v>
      </c>
      <c r="V13">
        <v>320000000</v>
      </c>
      <c r="W13">
        <v>1.96</v>
      </c>
      <c r="X13">
        <v>0.16</v>
      </c>
      <c r="Y13">
        <v>3.18</v>
      </c>
      <c r="Z13" t="s">
        <v>57</v>
      </c>
      <c r="AA13" t="s">
        <v>304</v>
      </c>
      <c r="AB13" t="s">
        <v>1078</v>
      </c>
      <c r="AC13" t="s">
        <v>1079</v>
      </c>
      <c r="AD13" t="s">
        <v>2</v>
      </c>
      <c r="AE13">
        <v>-999837</v>
      </c>
      <c r="AF13" t="s">
        <v>824</v>
      </c>
      <c r="AG13" t="s">
        <v>1080</v>
      </c>
      <c r="AH13" t="s">
        <v>825</v>
      </c>
      <c r="AI13" t="s">
        <v>680</v>
      </c>
      <c r="AJ13" t="s">
        <v>826</v>
      </c>
      <c r="AK13" t="s">
        <v>1081</v>
      </c>
      <c r="AL13" t="s">
        <v>827</v>
      </c>
      <c r="AM13" t="s">
        <v>2</v>
      </c>
      <c r="AN13" t="s">
        <v>1082</v>
      </c>
      <c r="AO13" t="s">
        <v>76</v>
      </c>
      <c r="AP13" t="s">
        <v>121</v>
      </c>
      <c r="AQ13" t="s">
        <v>264</v>
      </c>
      <c r="AR13" t="s">
        <v>2</v>
      </c>
      <c r="AS13" t="s">
        <v>147</v>
      </c>
      <c r="AT13" t="s">
        <v>828</v>
      </c>
      <c r="AU13" t="s">
        <v>1083</v>
      </c>
      <c r="AV13" t="s">
        <v>1084</v>
      </c>
      <c r="AW13" t="s">
        <v>1085</v>
      </c>
      <c r="AX13" t="s">
        <v>527</v>
      </c>
      <c r="AY13" t="s">
        <v>311</v>
      </c>
      <c r="AZ13" t="s">
        <v>160</v>
      </c>
      <c r="BA13" t="s">
        <v>250</v>
      </c>
      <c r="BB13" t="s">
        <v>175</v>
      </c>
      <c r="BC13" t="s">
        <v>829</v>
      </c>
      <c r="BD13" t="s">
        <v>467</v>
      </c>
      <c r="BE13" t="s">
        <v>300</v>
      </c>
      <c r="BF13" t="s">
        <v>398</v>
      </c>
      <c r="BG13" t="s">
        <v>399</v>
      </c>
      <c r="BH13" t="s">
        <v>682</v>
      </c>
      <c r="BI13" t="s">
        <v>67</v>
      </c>
      <c r="BJ13" t="s">
        <v>527</v>
      </c>
      <c r="BK13" t="s">
        <v>823</v>
      </c>
      <c r="BL13" t="s">
        <v>830</v>
      </c>
      <c r="BM13" t="s">
        <v>829</v>
      </c>
      <c r="BN13">
        <v>2.31</v>
      </c>
      <c r="BO13">
        <v>3.18</v>
      </c>
      <c r="BP13">
        <v>1.61</v>
      </c>
      <c r="BQ13">
        <v>2.44</v>
      </c>
      <c r="BR13">
        <v>3.61</v>
      </c>
      <c r="BS13">
        <v>1.1100000000000001</v>
      </c>
      <c r="BT13" t="s">
        <v>539</v>
      </c>
      <c r="BU13" t="s">
        <v>513</v>
      </c>
      <c r="BV13">
        <v>13.69</v>
      </c>
      <c r="BW13">
        <v>15.26</v>
      </c>
      <c r="BX13">
        <v>15.25</v>
      </c>
      <c r="BY13">
        <v>2.84</v>
      </c>
      <c r="BZ13">
        <v>3.12</v>
      </c>
      <c r="CA13">
        <v>1.05</v>
      </c>
      <c r="CB13">
        <v>-5.04</v>
      </c>
      <c r="CC13">
        <v>-11.58</v>
      </c>
      <c r="CD13" t="s">
        <v>1086</v>
      </c>
      <c r="CE13" t="s">
        <v>55</v>
      </c>
      <c r="CF13" s="9">
        <v>0.1471861471861472</v>
      </c>
      <c r="CG13" s="10">
        <v>0.15875831312103905</v>
      </c>
      <c r="CH13" s="9">
        <v>0.24914278090000153</v>
      </c>
      <c r="CI13" s="9">
        <v>-8.1846795976161957E-2</v>
      </c>
      <c r="CJ13" s="9">
        <v>0.35754984617233276</v>
      </c>
      <c r="CK13" s="9">
        <v>-0.33015266060829163</v>
      </c>
      <c r="CL13" s="9">
        <v>-0.20061026513576508</v>
      </c>
      <c r="CM13" s="10">
        <v>0.1169668585062027</v>
      </c>
      <c r="CN13" s="10">
        <v>2.4227902889251709</v>
      </c>
      <c r="CO13" s="10">
        <v>1.0496547222137451</v>
      </c>
      <c r="CP13" s="10">
        <v>-52.48394775390625</v>
      </c>
      <c r="CQ13" s="10">
        <v>-0.81702923774719238</v>
      </c>
      <c r="CR13">
        <v>-137.23828199127081</v>
      </c>
      <c r="CS13">
        <v>-1159.6762444922169</v>
      </c>
      <c r="CT13">
        <v>0</v>
      </c>
      <c r="CU13" s="9">
        <v>-1.1834189295768737E-3</v>
      </c>
      <c r="CV13" s="10">
        <v>-9.9423130244016651</v>
      </c>
      <c r="CW13">
        <v>0.06</v>
      </c>
      <c r="CX13">
        <v>55.651441019078284</v>
      </c>
      <c r="CY13" t="s">
        <v>831</v>
      </c>
      <c r="CZ13">
        <v>-1.1834189295768737E-3</v>
      </c>
      <c r="DA13">
        <v>18.550480339692761</v>
      </c>
      <c r="DB13" t="s">
        <v>832</v>
      </c>
      <c r="DC13">
        <v>-1.1242479830980299E-3</v>
      </c>
      <c r="DD13">
        <v>9.2752401698463807</v>
      </c>
      <c r="DE13" t="s">
        <v>833</v>
      </c>
      <c r="DF13">
        <v>-1.0414086580276488E-3</v>
      </c>
      <c r="DG13">
        <v>5.565144101907828</v>
      </c>
      <c r="DH13" t="s">
        <v>834</v>
      </c>
      <c r="DI13">
        <v>-9.4673514366149902E-4</v>
      </c>
      <c r="DJ13">
        <v>2.782572050953914</v>
      </c>
      <c r="DK13" t="s">
        <v>835</v>
      </c>
      <c r="DL13">
        <v>-8.2839325070381152E-4</v>
      </c>
      <c r="DM13">
        <v>32272300</v>
      </c>
      <c r="DN13">
        <v>-1.1834189295768737E-3</v>
      </c>
      <c r="DO13">
        <v>1796000000</v>
      </c>
      <c r="DP13">
        <v>506065870</v>
      </c>
      <c r="DQ13">
        <v>1643</v>
      </c>
      <c r="DR13">
        <v>0.14836956611572408</v>
      </c>
      <c r="DS13">
        <v>10.101071337522704</v>
      </c>
      <c r="DT13" s="11">
        <v>-0.35666666666666663</v>
      </c>
      <c r="DU13">
        <v>-0.23333333333333328</v>
      </c>
      <c r="DV13">
        <v>-0.58999999999999986</v>
      </c>
      <c r="DW13">
        <v>-8.4352331606217614</v>
      </c>
      <c r="DX13">
        <v>0.31816534653465167</v>
      </c>
      <c r="DY13">
        <v>-8.0383724824295903</v>
      </c>
      <c r="DZ13">
        <v>3017</v>
      </c>
      <c r="EA13">
        <v>-8.0157169482828046</v>
      </c>
      <c r="EB13">
        <v>8</v>
      </c>
      <c r="EC13">
        <v>5.5654374999999999E-2</v>
      </c>
      <c r="ED13">
        <v>0.63124999999999998</v>
      </c>
      <c r="EE13" s="12">
        <v>-6.1059999999999999</v>
      </c>
      <c r="EF13">
        <v>-6.0940000000000003</v>
      </c>
      <c r="EG13">
        <v>23.088165346534652</v>
      </c>
      <c r="EH13" t="s">
        <v>735</v>
      </c>
      <c r="EI13">
        <v>0</v>
      </c>
      <c r="EJ13">
        <v>0</v>
      </c>
      <c r="EK13" s="13">
        <v>45470</v>
      </c>
      <c r="EL13">
        <v>-1.51</v>
      </c>
      <c r="EM13">
        <v>-4.43</v>
      </c>
      <c r="EN13">
        <v>1.07</v>
      </c>
      <c r="EO13">
        <v>3.17</v>
      </c>
      <c r="EP13">
        <v>-1.2</v>
      </c>
    </row>
    <row r="14" spans="1:146" ht="96" x14ac:dyDescent="0.25">
      <c r="A14" s="8"/>
      <c r="B14" s="8"/>
      <c r="C14" s="8" t="str">
        <f>""&amp;CHAR(10)&amp;Basic_Fundamental_Information_Constructure(F14)&amp;CHAR(10)&amp;Basic_Fundamental_Information_Concatenate("")</f>
        <v xml:space="preserve">
市值93.362443亿, 利润5.63亿; PE18.66; 平均PE19.47; 平均PEG8.84, PB1.33; ROIC5.9967%; ROE7.72%; 股利率1.2219%; 毛利29.24%; 净利10.7067%; 上一年度营收增1.08%, 利润增52.99%; 当季营收增-51.97%, 利润增-57.38%; 过往5年营收增2.2%, 利润增4.2%
Income profile:
</v>
      </c>
      <c r="D14" t="s">
        <v>400</v>
      </c>
      <c r="E14" t="s">
        <v>401</v>
      </c>
      <c r="F14">
        <v>4.01</v>
      </c>
      <c r="G14">
        <v>2.04</v>
      </c>
      <c r="H14" t="s">
        <v>1087</v>
      </c>
      <c r="I14">
        <v>9336244300</v>
      </c>
      <c r="J14">
        <v>18.66</v>
      </c>
      <c r="K14">
        <v>1.33</v>
      </c>
      <c r="L14" t="s">
        <v>513</v>
      </c>
      <c r="M14" t="s">
        <v>839</v>
      </c>
      <c r="N14" t="s">
        <v>1088</v>
      </c>
      <c r="O14" t="s">
        <v>179</v>
      </c>
      <c r="P14">
        <v>-51.97</v>
      </c>
      <c r="Q14" t="s">
        <v>840</v>
      </c>
      <c r="R14">
        <v>46030085</v>
      </c>
      <c r="S14" s="6">
        <v>-0.5756</v>
      </c>
      <c r="T14" t="s">
        <v>201</v>
      </c>
      <c r="U14">
        <v>2324164900</v>
      </c>
      <c r="V14">
        <v>2328240500</v>
      </c>
      <c r="W14">
        <v>1.84</v>
      </c>
      <c r="X14">
        <v>0.05</v>
      </c>
      <c r="Y14">
        <v>7.3</v>
      </c>
      <c r="Z14" t="s">
        <v>218</v>
      </c>
      <c r="AA14" t="s">
        <v>269</v>
      </c>
      <c r="AB14" t="s">
        <v>1089</v>
      </c>
      <c r="AC14" t="s">
        <v>1090</v>
      </c>
      <c r="AD14" t="s">
        <v>2</v>
      </c>
      <c r="AE14">
        <v>23077718</v>
      </c>
      <c r="AF14" t="s">
        <v>841</v>
      </c>
      <c r="AG14" t="s">
        <v>1091</v>
      </c>
      <c r="AH14" t="s">
        <v>842</v>
      </c>
      <c r="AI14" t="s">
        <v>915</v>
      </c>
      <c r="AJ14" t="s">
        <v>843</v>
      </c>
      <c r="AK14" t="s">
        <v>2</v>
      </c>
      <c r="AL14" t="s">
        <v>844</v>
      </c>
      <c r="AM14" t="s">
        <v>2</v>
      </c>
      <c r="AN14" t="s">
        <v>197</v>
      </c>
      <c r="AO14" t="s">
        <v>95</v>
      </c>
      <c r="AP14" t="s">
        <v>472</v>
      </c>
      <c r="AQ14" t="s">
        <v>1092</v>
      </c>
      <c r="AR14" t="s">
        <v>1093</v>
      </c>
      <c r="AS14" t="s">
        <v>1094</v>
      </c>
      <c r="AT14" t="s">
        <v>19</v>
      </c>
      <c r="AU14" t="s">
        <v>1095</v>
      </c>
      <c r="AV14" t="s">
        <v>1096</v>
      </c>
      <c r="AW14" t="s">
        <v>1097</v>
      </c>
      <c r="AX14" t="s">
        <v>565</v>
      </c>
      <c r="AY14" t="s">
        <v>469</v>
      </c>
      <c r="AZ14" t="s">
        <v>402</v>
      </c>
      <c r="BA14" t="s">
        <v>342</v>
      </c>
      <c r="BB14" t="s">
        <v>403</v>
      </c>
      <c r="BC14" t="s">
        <v>51</v>
      </c>
      <c r="BD14" t="s">
        <v>316</v>
      </c>
      <c r="BE14" t="s">
        <v>187</v>
      </c>
      <c r="BF14" t="s">
        <v>275</v>
      </c>
      <c r="BG14" t="s">
        <v>290</v>
      </c>
      <c r="BH14" t="s">
        <v>840</v>
      </c>
      <c r="BI14" t="s">
        <v>845</v>
      </c>
      <c r="BJ14" t="s">
        <v>565</v>
      </c>
      <c r="BK14" t="s">
        <v>201</v>
      </c>
      <c r="BL14" t="s">
        <v>63</v>
      </c>
      <c r="BM14" t="s">
        <v>51</v>
      </c>
      <c r="BN14">
        <v>5.97</v>
      </c>
      <c r="BO14">
        <v>5.38</v>
      </c>
      <c r="BP14">
        <v>6.64</v>
      </c>
      <c r="BQ14">
        <v>8.57</v>
      </c>
      <c r="BR14">
        <v>5.85</v>
      </c>
      <c r="BS14">
        <v>8.74</v>
      </c>
      <c r="BT14" t="s">
        <v>846</v>
      </c>
      <c r="BU14" t="s">
        <v>513</v>
      </c>
      <c r="BV14">
        <v>29.58</v>
      </c>
      <c r="BW14">
        <v>27.55</v>
      </c>
      <c r="BX14">
        <v>30.59</v>
      </c>
      <c r="BY14">
        <v>10.98</v>
      </c>
      <c r="BZ14">
        <v>8.68</v>
      </c>
      <c r="CA14">
        <v>12.46</v>
      </c>
      <c r="CB14">
        <v>0</v>
      </c>
      <c r="CC14">
        <v>-13.76</v>
      </c>
      <c r="CD14" t="s">
        <v>1098</v>
      </c>
      <c r="CE14" t="s">
        <v>687</v>
      </c>
      <c r="CF14" s="9">
        <v>-0.51974156496769564</v>
      </c>
      <c r="CG14" s="10">
        <v>-0.57379550925925926</v>
      </c>
      <c r="CH14" s="9">
        <v>1.0754914954304695E-2</v>
      </c>
      <c r="CI14" s="9">
        <v>0.103560671210289</v>
      </c>
      <c r="CJ14" s="9">
        <v>3.020855225622654E-2</v>
      </c>
      <c r="CK14" s="9">
        <v>0.24619060754776001</v>
      </c>
      <c r="CL14" s="9">
        <v>-0.28052452206611633</v>
      </c>
      <c r="CM14" s="10">
        <v>0.52989131212234497</v>
      </c>
      <c r="CN14" s="10">
        <v>-0.28543689846992493</v>
      </c>
      <c r="CO14" s="10">
        <v>0.13436123728752136</v>
      </c>
      <c r="CP14" s="10">
        <v>0.10194174945354462</v>
      </c>
      <c r="CQ14" s="10">
        <v>-0.27079644799232483</v>
      </c>
      <c r="CR14">
        <v>19.470791032325337</v>
      </c>
      <c r="CS14">
        <v>8.8350809821205747</v>
      </c>
      <c r="CT14">
        <v>1.2219451371571073</v>
      </c>
      <c r="CU14" s="9">
        <v>2.2038044780492781E-2</v>
      </c>
      <c r="CV14" s="10">
        <v>4.1992190480232242E-2</v>
      </c>
      <c r="CW14">
        <v>0.06</v>
      </c>
      <c r="CX14">
        <v>15.251800141936476</v>
      </c>
      <c r="CY14">
        <v>542837187.93529952</v>
      </c>
      <c r="CZ14">
        <v>2.2038044780492781E-2</v>
      </c>
      <c r="DA14">
        <v>5.2816733491136771</v>
      </c>
      <c r="DB14">
        <v>1567541904.3832664</v>
      </c>
      <c r="DC14">
        <v>2.0936142541468142E-2</v>
      </c>
      <c r="DD14">
        <v>2.8037495453072099</v>
      </c>
      <c r="DE14">
        <v>2952918642.058249</v>
      </c>
      <c r="DF14">
        <v>1.9393479406833648E-2</v>
      </c>
      <c r="DG14">
        <v>1.8278571712851162</v>
      </c>
      <c r="DH14">
        <v>4529480984.6543369</v>
      </c>
      <c r="DI14">
        <v>1.7630435824394226E-2</v>
      </c>
      <c r="DJ14">
        <v>1.1197217015987737</v>
      </c>
      <c r="DK14">
        <v>7394019682.01441</v>
      </c>
      <c r="DL14">
        <v>1.5426631346344945E-2</v>
      </c>
      <c r="DM14">
        <v>563000000</v>
      </c>
      <c r="DN14">
        <v>2.2038044780492781E-2</v>
      </c>
      <c r="DO14">
        <v>8279244299.999999</v>
      </c>
      <c r="DP14">
        <v>4977288600</v>
      </c>
      <c r="DQ14">
        <v>1849</v>
      </c>
      <c r="DR14">
        <v>-0.5417796097481884</v>
      </c>
      <c r="DS14">
        <v>-0.61578769973949155</v>
      </c>
      <c r="DT14" s="11">
        <v>-0.42333333333333334</v>
      </c>
      <c r="DU14">
        <v>-0.30333333333333334</v>
      </c>
      <c r="DV14">
        <v>-0.72666666666666668</v>
      </c>
      <c r="DW14">
        <v>-2.1375999999999999</v>
      </c>
      <c r="DX14">
        <v>0.3214977732793538</v>
      </c>
      <c r="DY14">
        <v>-2.0125900936032388</v>
      </c>
      <c r="DZ14">
        <v>3240</v>
      </c>
      <c r="EA14">
        <v>-2.0046073336669386</v>
      </c>
      <c r="EB14">
        <v>2</v>
      </c>
      <c r="EC14">
        <v>1.9413759016733881E-2</v>
      </c>
      <c r="ED14">
        <v>0.21217739318597029</v>
      </c>
      <c r="EE14" s="12">
        <v>-4.0034000000000001</v>
      </c>
      <c r="EF14">
        <v>-4.0187099999999996</v>
      </c>
      <c r="EG14">
        <v>23.091497773279354</v>
      </c>
      <c r="EH14" t="s">
        <v>721</v>
      </c>
      <c r="EI14">
        <v>0</v>
      </c>
      <c r="EJ14">
        <v>0</v>
      </c>
      <c r="EK14" s="13">
        <v>45470</v>
      </c>
      <c r="EL14">
        <v>-1.2</v>
      </c>
      <c r="EM14">
        <v>-4.63</v>
      </c>
      <c r="EN14">
        <v>0.51</v>
      </c>
      <c r="EO14">
        <v>3.56</v>
      </c>
      <c r="EP14">
        <v>-2.21</v>
      </c>
    </row>
    <row r="15" spans="1:146" ht="204" x14ac:dyDescent="0.25">
      <c r="A15" s="8"/>
      <c r="B15" s="8"/>
      <c r="C15" s="8" t="str">
        <f>"公司主要从事电力电子行业产品的研发、生产、销售和服务。在智能电网领域，公司主要产品包括电力操作电源和配网自动化电源；在新能源汽车领域，主要产品包括充换电站充电电源系统（充电桩）及其核心的充电模块、车载电源等产品；在军工装备领域，子公司霍威电源现有产品主要为中小功率电源模块、电源组件及定制电源。"&amp;CHAR(10)&amp;Basic_Fundamental_Information_Constructure(F15)&amp;CHAR(10)&amp;Basic_Fundamental_Information_Concatenate("充换电站充电电源系统（充电桩）及电动汽车车载电源 1.02亿 48.71% 23.36% 14.03%
电力操作电源 5775.70万 27.62% 33.24% 35.21%
定制类电源及检测业务1 4144.28万 19.82% 36.91% 54.48%
其他电源 459.06万 2.20% 3.62% 48.25%")</f>
        <v>公司主要从事电力电子行业产品的研发、生产、销售和服务。在智能电网领域，公司主要产品包括电力操作电源和配网自动化电源；在新能源汽车领域，主要产品包括充换电站充电电源系统（充电桩）及其核心的充电模块、车载电源等产品；在军工装备领域，子公司霍威电源现有产品主要为中小功率电源模块、电源组件及定制电源。
市值23.66961亿, 利润1.03亿; PE25.05; 平均PE59.87; 平均PEG1.31, PB2.1; ROIC4.5067%; ROE5.1533%; 股利率.8824%; 毛利33.7567%; 净利8.2433%; 上一年度营收增57.9%, 利润增132.22%; 当季营收增49.58%, 利润增-51.21%; 过往5年营收增45.54%, 利润增99.42%
Income profile:
充换电站充电电源系统（充电桩）及电动汽车车载电源 1.02亿 48.71% 23.36% 14.03%
电力操作电源 5775.70万 27.62% 33.24% 35.21%
定制类电源及检测业务1 4144.28万 19.82% 36.91% 54.48%
其他电源 459.06万 2.20% 3.62% 48.25%</v>
      </c>
      <c r="D15" t="s">
        <v>404</v>
      </c>
      <c r="E15" t="s">
        <v>405</v>
      </c>
      <c r="F15">
        <v>13.6</v>
      </c>
      <c r="G15">
        <v>0</v>
      </c>
      <c r="H15" t="s">
        <v>1099</v>
      </c>
      <c r="I15">
        <v>2366961000</v>
      </c>
      <c r="J15">
        <v>25.05</v>
      </c>
      <c r="K15">
        <v>2.1</v>
      </c>
      <c r="L15" t="s">
        <v>513</v>
      </c>
      <c r="M15" t="s">
        <v>339</v>
      </c>
      <c r="N15" t="s">
        <v>672</v>
      </c>
      <c r="O15" t="s">
        <v>150</v>
      </c>
      <c r="P15">
        <v>50.17</v>
      </c>
      <c r="Q15" t="s">
        <v>837</v>
      </c>
      <c r="R15">
        <v>7693335</v>
      </c>
      <c r="S15" s="6">
        <v>-0.5121</v>
      </c>
      <c r="T15" t="s">
        <v>33</v>
      </c>
      <c r="U15">
        <v>154406890</v>
      </c>
      <c r="V15">
        <v>174041250</v>
      </c>
      <c r="W15">
        <v>1.75</v>
      </c>
      <c r="X15">
        <v>0.09</v>
      </c>
      <c r="Y15">
        <v>4.3099999999999996</v>
      </c>
      <c r="Z15" t="s">
        <v>69</v>
      </c>
      <c r="AA15" t="s">
        <v>20</v>
      </c>
      <c r="AB15" t="s">
        <v>1100</v>
      </c>
      <c r="AC15" t="s">
        <v>1101</v>
      </c>
      <c r="AD15" t="s">
        <v>2</v>
      </c>
      <c r="AE15">
        <v>864965</v>
      </c>
      <c r="AF15" t="s">
        <v>18</v>
      </c>
      <c r="AG15" t="s">
        <v>2</v>
      </c>
      <c r="AH15" t="s">
        <v>847</v>
      </c>
      <c r="AI15" t="s">
        <v>45</v>
      </c>
      <c r="AJ15" t="s">
        <v>848</v>
      </c>
      <c r="AK15" t="s">
        <v>45</v>
      </c>
      <c r="AL15" t="s">
        <v>849</v>
      </c>
      <c r="AM15" t="s">
        <v>2</v>
      </c>
      <c r="AN15" t="s">
        <v>1102</v>
      </c>
      <c r="AO15" t="s">
        <v>101</v>
      </c>
      <c r="AP15" t="s">
        <v>1103</v>
      </c>
      <c r="AQ15" t="s">
        <v>142</v>
      </c>
      <c r="AR15" t="s">
        <v>2</v>
      </c>
      <c r="AS15" t="s">
        <v>329</v>
      </c>
      <c r="AT15" t="s">
        <v>1104</v>
      </c>
      <c r="AU15" t="s">
        <v>1105</v>
      </c>
      <c r="AV15" t="s">
        <v>1106</v>
      </c>
      <c r="AW15" t="s">
        <v>1107</v>
      </c>
      <c r="AX15" t="s">
        <v>177</v>
      </c>
      <c r="AY15" t="s">
        <v>43</v>
      </c>
      <c r="AZ15" t="s">
        <v>112</v>
      </c>
      <c r="BA15" t="s">
        <v>268</v>
      </c>
      <c r="BB15" t="s">
        <v>93</v>
      </c>
      <c r="BC15" t="s">
        <v>850</v>
      </c>
      <c r="BD15" t="s">
        <v>471</v>
      </c>
      <c r="BE15" t="s">
        <v>406</v>
      </c>
      <c r="BF15" t="s">
        <v>407</v>
      </c>
      <c r="BG15" t="s">
        <v>408</v>
      </c>
      <c r="BH15" t="s">
        <v>837</v>
      </c>
      <c r="BI15" t="s">
        <v>36</v>
      </c>
      <c r="BJ15" t="s">
        <v>177</v>
      </c>
      <c r="BK15" t="s">
        <v>33</v>
      </c>
      <c r="BL15" t="s">
        <v>851</v>
      </c>
      <c r="BM15" t="s">
        <v>850</v>
      </c>
      <c r="BN15">
        <v>5.67</v>
      </c>
      <c r="BO15">
        <v>4.05</v>
      </c>
      <c r="BP15">
        <v>3.8</v>
      </c>
      <c r="BQ15">
        <v>6.38</v>
      </c>
      <c r="BR15">
        <v>4.49</v>
      </c>
      <c r="BS15">
        <v>4.59</v>
      </c>
      <c r="BT15" t="s">
        <v>541</v>
      </c>
      <c r="BU15" t="s">
        <v>513</v>
      </c>
      <c r="BV15">
        <v>33.15</v>
      </c>
      <c r="BW15">
        <v>30.82</v>
      </c>
      <c r="BX15">
        <v>37.299999999999997</v>
      </c>
      <c r="BY15">
        <v>10.17</v>
      </c>
      <c r="BZ15">
        <v>6.87</v>
      </c>
      <c r="CA15">
        <v>7.69</v>
      </c>
      <c r="CB15">
        <v>-5.29</v>
      </c>
      <c r="CC15">
        <v>-16.05</v>
      </c>
      <c r="CD15" t="s">
        <v>1108</v>
      </c>
      <c r="CE15" t="s">
        <v>33</v>
      </c>
      <c r="CF15" s="9">
        <v>0.49579831932773111</v>
      </c>
      <c r="CG15" s="10">
        <v>-0.51207951749156499</v>
      </c>
      <c r="CH15" s="9">
        <v>0.57902973890304565</v>
      </c>
      <c r="CI15" s="9">
        <v>0.5178147554397583</v>
      </c>
      <c r="CJ15" s="9">
        <v>0.31152647733688354</v>
      </c>
      <c r="CK15" s="9">
        <v>0.15884476900100708</v>
      </c>
      <c r="CL15" s="9">
        <v>0.70987653732299805</v>
      </c>
      <c r="CM15" s="10">
        <v>1.3222466707229614</v>
      </c>
      <c r="CN15" s="10">
        <v>0.36411753296852112</v>
      </c>
      <c r="CO15" s="10">
        <v>-0.21646709740161896</v>
      </c>
      <c r="CP15" s="10">
        <v>0.38281926512718201</v>
      </c>
      <c r="CQ15" s="10">
        <v>3.1185157299041748</v>
      </c>
      <c r="CR15">
        <v>59.870165347578975</v>
      </c>
      <c r="CS15">
        <v>1.3146187777701006</v>
      </c>
      <c r="CT15">
        <v>0.88235294117647056</v>
      </c>
      <c r="CU15" s="9">
        <v>0.45541845560073851</v>
      </c>
      <c r="CV15" s="10">
        <v>0.99424642026424404</v>
      </c>
      <c r="CW15">
        <v>0.06</v>
      </c>
      <c r="CX15">
        <v>14.884176680274201</v>
      </c>
      <c r="CY15">
        <v>141422736.72346798</v>
      </c>
      <c r="CZ15">
        <v>0.45541845560073851</v>
      </c>
      <c r="DA15">
        <v>3.618916642219526</v>
      </c>
      <c r="DB15">
        <v>581655011.18284988</v>
      </c>
      <c r="DC15">
        <v>0.43264753282070156</v>
      </c>
      <c r="DD15">
        <v>1.1493722435761915</v>
      </c>
      <c r="DE15">
        <v>1831400585.6366959</v>
      </c>
      <c r="DF15">
        <v>0.40076824092864988</v>
      </c>
      <c r="DG15">
        <v>0.39715944965069266</v>
      </c>
      <c r="DH15">
        <v>5300040076.7282333</v>
      </c>
      <c r="DI15">
        <v>0.36433476448059082</v>
      </c>
      <c r="DJ15">
        <v>5.1440241113819216E-2</v>
      </c>
      <c r="DK15">
        <v>40920511926.498543</v>
      </c>
      <c r="DL15">
        <v>0.31879291892051692</v>
      </c>
      <c r="DM15">
        <v>103000000</v>
      </c>
      <c r="DN15">
        <v>0.45541845560073851</v>
      </c>
      <c r="DO15">
        <v>2104961000</v>
      </c>
      <c r="DP15">
        <v>563226100</v>
      </c>
      <c r="DQ15">
        <v>1962</v>
      </c>
      <c r="DR15">
        <v>4.0379863726992593E-2</v>
      </c>
      <c r="DS15">
        <v>-1.5063259377558089</v>
      </c>
      <c r="DT15" s="11">
        <v>0.32666666666666661</v>
      </c>
      <c r="DU15">
        <v>0.79333333333333333</v>
      </c>
      <c r="DV15">
        <v>1.1199999999999999</v>
      </c>
      <c r="DW15">
        <v>-8.3295950155763236</v>
      </c>
      <c r="DX15">
        <v>0.31733203883495237</v>
      </c>
      <c r="DY15">
        <v>-8.0386720551674085</v>
      </c>
      <c r="DZ15">
        <v>149</v>
      </c>
      <c r="EA15">
        <v>-8.0375444355548957</v>
      </c>
      <c r="EB15">
        <v>8</v>
      </c>
      <c r="EC15">
        <v>6.9438710650492341E-2</v>
      </c>
      <c r="ED15">
        <v>0.59181372232157603</v>
      </c>
      <c r="EE15" s="12">
        <v>5.7910000000000003E-2</v>
      </c>
      <c r="EF15">
        <v>8.360999999999999E-2</v>
      </c>
      <c r="EG15">
        <v>20.117332038834952</v>
      </c>
      <c r="EH15">
        <v>-1</v>
      </c>
      <c r="EI15">
        <v>0</v>
      </c>
      <c r="EJ15">
        <v>1</v>
      </c>
      <c r="EK15" s="13">
        <v>45470</v>
      </c>
      <c r="EL15">
        <v>-0.74</v>
      </c>
      <c r="EM15">
        <v>-4.87</v>
      </c>
      <c r="EN15">
        <v>-1.07</v>
      </c>
      <c r="EO15">
        <v>3.52</v>
      </c>
      <c r="EP15">
        <v>-2.57</v>
      </c>
    </row>
    <row r="16" spans="1:146" ht="168" x14ac:dyDescent="0.25">
      <c r="A16" s="8" t="s">
        <v>549</v>
      </c>
      <c r="B16" s="8"/>
      <c r="C16" s="8" t="str">
        <f>"公司通过对高性能电源产品的持续投入,成为通信、航空、航天、船舶、铁路、电力、工控等领域整机设备企业重要的电源供应商。公司电源类产品主要包括模块电源、定制电源、大功率电源及电源系统。"&amp;CHAR(10)&amp;Basic_Fundamental_Information_Constructure(F16)&amp;CHAR(10)&amp;Basic_Fundamental_Information_Concatenate("模块电源 3.85亿 43.42% 52.10% 58.59%
定制电源 2.28亿 25.76% 30.26% 57.35%
大功率电源及供配电电源系统 2.12亿 23.88% 11.91% 24.35%
其他业务 6149.20万 6.94% 5.73% 40.30%")</f>
        <v>公司通过对高性能电源产品的持续投入,成为通信、航空、航天、船舶、铁路、电力、工控等领域整机设备企业重要的电源供应商。公司电源类产品主要包括模块电源、定制电源、大功率电源及电源系统。
市值50.615107亿, 利润9683.06万; PE; 平均PE34.71; 平均PEG1.17, PB1.71; ROIC11.32%; ROE17.4833%; 股利率1.0718%; 毛利46.8467%; 净利14.64%; 上一年度营收增-14.41%, 利润增-65.78%; 当季营收增-59.76%, 利润增-133.83%; 过往5年营收增29.58%, 利润增46.35%
Income profile:
模块电源 3.85亿 43.42% 52.10% 58.59%
定制电源 2.28亿 25.76% 30.26% 57.35%
大功率电源及供配电电源系统 2.12亿 23.88% 11.91% 24.35%
其他业务 6149.20万 6.94% 5.73% 40.30%</v>
      </c>
      <c r="D16" t="s">
        <v>409</v>
      </c>
      <c r="E16" t="s">
        <v>410</v>
      </c>
      <c r="F16">
        <v>9.33</v>
      </c>
      <c r="G16">
        <v>0.21</v>
      </c>
      <c r="H16" t="s">
        <v>1109</v>
      </c>
      <c r="I16">
        <v>5061510700</v>
      </c>
      <c r="K16">
        <v>1.71</v>
      </c>
      <c r="L16" t="s">
        <v>513</v>
      </c>
      <c r="M16" t="s">
        <v>48</v>
      </c>
      <c r="N16" t="s">
        <v>1110</v>
      </c>
      <c r="O16" t="s">
        <v>106</v>
      </c>
      <c r="P16">
        <v>-59.84</v>
      </c>
      <c r="Q16" t="s">
        <v>330</v>
      </c>
      <c r="R16">
        <v>-38565232</v>
      </c>
      <c r="S16" s="6">
        <v>-1.339</v>
      </c>
      <c r="T16" t="s">
        <v>852</v>
      </c>
      <c r="U16">
        <v>448867200</v>
      </c>
      <c r="V16">
        <v>542498470</v>
      </c>
      <c r="W16">
        <v>1.43</v>
      </c>
      <c r="X16">
        <v>0.04</v>
      </c>
      <c r="Y16">
        <v>-22.59</v>
      </c>
      <c r="Z16" t="s">
        <v>238</v>
      </c>
      <c r="AA16" t="s">
        <v>37</v>
      </c>
      <c r="AB16" t="s">
        <v>1111</v>
      </c>
      <c r="AC16" t="s">
        <v>1112</v>
      </c>
      <c r="AD16" t="s">
        <v>2</v>
      </c>
      <c r="AE16">
        <v>1437121</v>
      </c>
      <c r="AF16" t="s">
        <v>853</v>
      </c>
      <c r="AG16" t="s">
        <v>1113</v>
      </c>
      <c r="AH16" t="s">
        <v>854</v>
      </c>
      <c r="AI16" t="s">
        <v>532</v>
      </c>
      <c r="AJ16" t="s">
        <v>855</v>
      </c>
      <c r="AK16" t="s">
        <v>138</v>
      </c>
      <c r="AL16" t="s">
        <v>856</v>
      </c>
      <c r="AM16" t="s">
        <v>2</v>
      </c>
      <c r="AN16" t="s">
        <v>159</v>
      </c>
      <c r="AO16" t="s">
        <v>156</v>
      </c>
      <c r="AP16" t="s">
        <v>1114</v>
      </c>
      <c r="AQ16" t="s">
        <v>200</v>
      </c>
      <c r="AR16" t="s">
        <v>2</v>
      </c>
      <c r="AS16" t="s">
        <v>959</v>
      </c>
      <c r="AT16" t="s">
        <v>167</v>
      </c>
      <c r="AU16" t="s">
        <v>1115</v>
      </c>
      <c r="AV16" t="s">
        <v>1116</v>
      </c>
      <c r="AW16" t="s">
        <v>1117</v>
      </c>
      <c r="AX16" t="s">
        <v>530</v>
      </c>
      <c r="AY16" t="s">
        <v>320</v>
      </c>
      <c r="AZ16" t="s">
        <v>181</v>
      </c>
      <c r="BA16" t="s">
        <v>303</v>
      </c>
      <c r="BB16" t="s">
        <v>50</v>
      </c>
      <c r="BC16" t="s">
        <v>276</v>
      </c>
      <c r="BD16" t="s">
        <v>199</v>
      </c>
      <c r="BE16" t="s">
        <v>20</v>
      </c>
      <c r="BF16" t="s">
        <v>411</v>
      </c>
      <c r="BG16" t="s">
        <v>412</v>
      </c>
      <c r="BH16" t="s">
        <v>330</v>
      </c>
      <c r="BI16" t="s">
        <v>694</v>
      </c>
      <c r="BJ16" t="s">
        <v>530</v>
      </c>
      <c r="BK16" t="s">
        <v>852</v>
      </c>
      <c r="BL16" t="s">
        <v>62</v>
      </c>
      <c r="BM16" t="s">
        <v>276</v>
      </c>
      <c r="BN16">
        <v>3.98</v>
      </c>
      <c r="BO16">
        <v>10.96</v>
      </c>
      <c r="BP16">
        <v>19.02</v>
      </c>
      <c r="BQ16">
        <v>5.2</v>
      </c>
      <c r="BR16">
        <v>18.61</v>
      </c>
      <c r="BS16">
        <v>28.64</v>
      </c>
      <c r="BT16" t="s">
        <v>538</v>
      </c>
      <c r="BU16" t="s">
        <v>513</v>
      </c>
      <c r="BV16">
        <v>45.46</v>
      </c>
      <c r="BW16">
        <v>47.8</v>
      </c>
      <c r="BX16">
        <v>47.28</v>
      </c>
      <c r="BY16">
        <v>7.1</v>
      </c>
      <c r="BZ16">
        <v>16.98</v>
      </c>
      <c r="CA16">
        <v>19.84</v>
      </c>
      <c r="CB16">
        <v>-6.14</v>
      </c>
      <c r="CC16">
        <v>-8.26</v>
      </c>
      <c r="CD16" t="s">
        <v>1118</v>
      </c>
      <c r="CE16" t="s">
        <v>245</v>
      </c>
      <c r="CF16" s="9">
        <v>-0.59758551307847085</v>
      </c>
      <c r="CG16" s="10">
        <v>-1.33829150877193</v>
      </c>
      <c r="CH16" s="9">
        <v>-0.14410731196403503</v>
      </c>
      <c r="CI16" s="9">
        <v>0.1596752405166626</v>
      </c>
      <c r="CJ16" s="9">
        <v>0.75326216220855713</v>
      </c>
      <c r="CK16" s="9">
        <v>9.1968908905982971E-2</v>
      </c>
      <c r="CL16" s="9">
        <v>0.61844861507415771</v>
      </c>
      <c r="CM16" s="10">
        <v>-0.65784245729446411</v>
      </c>
      <c r="CN16" s="10">
        <v>3.2846715301275253E-2</v>
      </c>
      <c r="CO16" s="10">
        <v>1.227642297744751</v>
      </c>
      <c r="CP16" s="10">
        <v>0.97641795873641968</v>
      </c>
      <c r="CQ16" s="10">
        <v>0.73860257863998413</v>
      </c>
      <c r="CR16">
        <v>34.713067935350089</v>
      </c>
      <c r="CS16">
        <v>1.1733352681937681</v>
      </c>
      <c r="CT16">
        <v>1.0718113612004287</v>
      </c>
      <c r="CU16" s="9">
        <v>0.29584952294826505</v>
      </c>
      <c r="CV16" s="10">
        <v>0.46353341862559316</v>
      </c>
      <c r="CW16">
        <v>0.06</v>
      </c>
      <c r="CX16">
        <v>27.518484966530746</v>
      </c>
      <c r="CY16">
        <v>118375364.92150404</v>
      </c>
      <c r="CZ16">
        <v>0.29584952294826505</v>
      </c>
      <c r="DA16">
        <v>7.5866184836707378</v>
      </c>
      <c r="DB16">
        <v>429375842.08450586</v>
      </c>
      <c r="DC16">
        <v>0.28105704680085181</v>
      </c>
      <c r="DD16">
        <v>2.9293237922551243</v>
      </c>
      <c r="DE16">
        <v>1112035039.8315725</v>
      </c>
      <c r="DF16">
        <v>0.26034758019447324</v>
      </c>
      <c r="DG16">
        <v>1.3088394805962862</v>
      </c>
      <c r="DH16">
        <v>2488854247.0585704</v>
      </c>
      <c r="DI16">
        <v>0.23667961835861206</v>
      </c>
      <c r="DJ16">
        <v>0.32928616552400047</v>
      </c>
      <c r="DK16">
        <v>9892643666.9947853</v>
      </c>
      <c r="DL16">
        <v>0.20709466606378552</v>
      </c>
      <c r="DM16">
        <v>96830600</v>
      </c>
      <c r="DN16">
        <v>0.29584952294826505</v>
      </c>
      <c r="DO16">
        <v>3257510700</v>
      </c>
      <c r="DP16">
        <v>2205566200</v>
      </c>
      <c r="DQ16">
        <v>2060</v>
      </c>
      <c r="DR16">
        <v>-0.89343503602673591</v>
      </c>
      <c r="DS16">
        <v>-1.8018249273975231</v>
      </c>
      <c r="DT16" s="11">
        <v>0.17666666666666661</v>
      </c>
      <c r="DU16">
        <v>-0.53166666666666684</v>
      </c>
      <c r="DV16">
        <v>-0.3550000000000002</v>
      </c>
      <c r="DW16">
        <v>-9.7433414043583539</v>
      </c>
      <c r="DX16">
        <v>0.19117682709447414</v>
      </c>
      <c r="DY16">
        <v>-9.0529086826101786</v>
      </c>
      <c r="DZ16">
        <v>2580</v>
      </c>
      <c r="EA16">
        <v>-9.0261954925643355</v>
      </c>
      <c r="EB16">
        <v>9</v>
      </c>
      <c r="EC16">
        <v>7.3604262883911906E-2</v>
      </c>
      <c r="ED16">
        <v>1.0341042989485298</v>
      </c>
      <c r="EE16" s="12">
        <v>-6.0036100000000001</v>
      </c>
      <c r="EF16">
        <v>-6.0849099999999998</v>
      </c>
      <c r="EG16">
        <v>12.071176827094474</v>
      </c>
      <c r="EH16" t="s">
        <v>733</v>
      </c>
      <c r="EI16">
        <v>0</v>
      </c>
      <c r="EJ16">
        <v>0</v>
      </c>
      <c r="EK16" s="13">
        <v>45470</v>
      </c>
      <c r="EL16">
        <v>-0.66</v>
      </c>
      <c r="EM16">
        <v>-2.66</v>
      </c>
      <c r="EN16">
        <v>-0.78</v>
      </c>
      <c r="EO16">
        <v>4.03</v>
      </c>
      <c r="EP16">
        <v>-8.1300000000000008</v>
      </c>
    </row>
    <row r="17" spans="1:146" ht="180" x14ac:dyDescent="0.25">
      <c r="C17" s="8" t="str">
        <f>"公司主营业务为电力电子技术，从事电力电子设备的研发、生产、销售和服务。公司目前产品主要包括电能质量设备（涉及有源滤波器、静止无功发生器等）、电动汽车充电桩、新能源电能变换设备（涉及光伏逆变器、储能变流器等）以及电池化成与检测设备。"&amp;CHAR(10)&amp;Basic_Fundamental_Information_Constructure(F17)&amp;CHAR(10)&amp;Basic_Fundamental_Information_Concatenate("工业配套电源 2.09亿 38.15% 46.83% 52.38%
电动汽车充电设备 1.30亿 23.68% 19.72% 35.54%
电池检测及化成设备 1.03亿 18.69% 15.55% 35.52%
新能源电能变换设备 8086.19万 14.74% 15.51% 44.90%")</f>
        <v>公司主营业务为电力电子技术，从事电力电子设备的研发、生产、销售和服务。公司目前产品主要包括电能质量设备（涉及有源滤波器、静止无功发生器等）、电动汽车充电桩、新能源电能变换设备（涉及光伏逆变器、储能变流器等）以及电池化成与检测设备。
市值58.359623亿, 利润4.03亿; PE14.35; 平均PE36.61; 平均PEG.93, PB3.74; ROIC18.0233%; ROE20.1133%; 股利率1.7591%; 毛利42.7867%; 净利13.7033%; 上一年度营收增76.38%, 利润增79.91%; 当季营收增33.71%, 利润增5.98%; 过往5年营收增39.4%, 利润增56.71%
Income profile:
工业配套电源 2.09亿 38.15% 46.83% 52.38%
电动汽车充电设备 1.30亿 23.68% 19.72% 35.54%
电池检测及化成设备 1.03亿 18.69% 15.55% 35.52%
新能源电能变换设备 8086.19万 14.74% 15.51% 44.90%</v>
      </c>
      <c r="D17" t="s">
        <v>413</v>
      </c>
      <c r="E17" t="s">
        <v>414</v>
      </c>
      <c r="F17">
        <v>18.760000000000002</v>
      </c>
      <c r="G17">
        <v>-2.04</v>
      </c>
      <c r="H17" t="s">
        <v>1119</v>
      </c>
      <c r="I17">
        <v>5835962300</v>
      </c>
      <c r="J17">
        <v>14.35</v>
      </c>
      <c r="K17">
        <v>3.74</v>
      </c>
      <c r="L17" t="s">
        <v>513</v>
      </c>
      <c r="M17" t="s">
        <v>710</v>
      </c>
      <c r="N17" t="s">
        <v>1120</v>
      </c>
      <c r="O17" t="s">
        <v>273</v>
      </c>
      <c r="P17">
        <v>33.81</v>
      </c>
      <c r="Q17" t="s">
        <v>858</v>
      </c>
      <c r="R17">
        <v>66345300</v>
      </c>
      <c r="S17" s="6">
        <v>5.9799999999999999E-2</v>
      </c>
      <c r="T17" t="s">
        <v>182</v>
      </c>
      <c r="U17">
        <v>249376080</v>
      </c>
      <c r="V17">
        <v>311085410</v>
      </c>
      <c r="W17">
        <v>2.12</v>
      </c>
      <c r="X17">
        <v>0.18</v>
      </c>
      <c r="Y17">
        <v>10.97</v>
      </c>
      <c r="Z17" t="s">
        <v>252</v>
      </c>
      <c r="AA17" t="s">
        <v>204</v>
      </c>
      <c r="AB17" t="s">
        <v>1121</v>
      </c>
      <c r="AC17" t="s">
        <v>1122</v>
      </c>
      <c r="AD17" t="s">
        <v>2</v>
      </c>
      <c r="AE17">
        <v>74684</v>
      </c>
      <c r="AF17" t="s">
        <v>18</v>
      </c>
      <c r="AG17" t="s">
        <v>1123</v>
      </c>
      <c r="AH17" t="s">
        <v>859</v>
      </c>
      <c r="AI17" t="s">
        <v>470</v>
      </c>
      <c r="AJ17" t="s">
        <v>860</v>
      </c>
      <c r="AK17" t="s">
        <v>26</v>
      </c>
      <c r="AL17" t="s">
        <v>861</v>
      </c>
      <c r="AM17" t="s">
        <v>2</v>
      </c>
      <c r="AN17" t="s">
        <v>1124</v>
      </c>
      <c r="AO17" t="s">
        <v>60</v>
      </c>
      <c r="AP17" t="s">
        <v>220</v>
      </c>
      <c r="AQ17" t="s">
        <v>27</v>
      </c>
      <c r="AR17" t="s">
        <v>2</v>
      </c>
      <c r="AS17" t="s">
        <v>335</v>
      </c>
      <c r="AT17" t="s">
        <v>54</v>
      </c>
      <c r="AU17" t="s">
        <v>514</v>
      </c>
      <c r="AV17" t="s">
        <v>1125</v>
      </c>
      <c r="AW17" t="s">
        <v>1126</v>
      </c>
      <c r="AX17" t="s">
        <v>325</v>
      </c>
      <c r="AY17" t="s">
        <v>246</v>
      </c>
      <c r="AZ17" t="s">
        <v>195</v>
      </c>
      <c r="BA17" t="s">
        <v>298</v>
      </c>
      <c r="BB17" t="s">
        <v>253</v>
      </c>
      <c r="BC17" t="s">
        <v>114</v>
      </c>
      <c r="BD17" t="s">
        <v>188</v>
      </c>
      <c r="BE17" t="s">
        <v>66</v>
      </c>
      <c r="BF17" t="s">
        <v>415</v>
      </c>
      <c r="BG17" t="s">
        <v>416</v>
      </c>
      <c r="BH17" t="s">
        <v>858</v>
      </c>
      <c r="BI17" t="s">
        <v>267</v>
      </c>
      <c r="BJ17" t="s">
        <v>325</v>
      </c>
      <c r="BK17" t="s">
        <v>182</v>
      </c>
      <c r="BL17" t="s">
        <v>862</v>
      </c>
      <c r="BM17" t="s">
        <v>114</v>
      </c>
      <c r="BN17">
        <v>18.91</v>
      </c>
      <c r="BO17">
        <v>21.29</v>
      </c>
      <c r="BP17">
        <v>13.87</v>
      </c>
      <c r="BQ17">
        <v>22.62</v>
      </c>
      <c r="BR17">
        <v>23.52</v>
      </c>
      <c r="BS17">
        <v>14.2</v>
      </c>
      <c r="BT17" t="s">
        <v>863</v>
      </c>
      <c r="BU17" t="s">
        <v>513</v>
      </c>
      <c r="BV17">
        <v>41.01</v>
      </c>
      <c r="BW17">
        <v>43.85</v>
      </c>
      <c r="BX17">
        <v>43.5</v>
      </c>
      <c r="BY17">
        <v>15.13</v>
      </c>
      <c r="BZ17">
        <v>14.87</v>
      </c>
      <c r="CA17">
        <v>11.11</v>
      </c>
      <c r="CB17">
        <v>-10.41</v>
      </c>
      <c r="CC17">
        <v>-28.12</v>
      </c>
      <c r="CD17" t="s">
        <v>1127</v>
      </c>
      <c r="CE17" t="s">
        <v>106</v>
      </c>
      <c r="CF17" s="9">
        <v>0.33705357142857123</v>
      </c>
      <c r="CG17" s="10">
        <v>5.9791828402196726E-2</v>
      </c>
      <c r="CH17" s="9">
        <v>0.76380568742752075</v>
      </c>
      <c r="CI17" s="9">
        <v>0.47208625078201294</v>
      </c>
      <c r="CJ17" s="9">
        <v>0.32425421476364136</v>
      </c>
      <c r="CK17" s="9">
        <v>0.21226415038108826</v>
      </c>
      <c r="CL17" s="9">
        <v>0.1977401077747345</v>
      </c>
      <c r="CM17" s="10">
        <v>0.7991071343421936</v>
      </c>
      <c r="CN17" s="10">
        <v>0.98230087757110596</v>
      </c>
      <c r="CO17" s="10">
        <v>6.6037736833095551E-2</v>
      </c>
      <c r="CP17" s="10">
        <v>0.70828324556350708</v>
      </c>
      <c r="CQ17" s="10">
        <v>0.27987939119338989</v>
      </c>
      <c r="CR17">
        <v>36.606999534359637</v>
      </c>
      <c r="CS17">
        <v>0.92904073028063727</v>
      </c>
      <c r="CT17">
        <v>1.7590618336886992</v>
      </c>
      <c r="CU17" s="9">
        <v>0.39403008222579955</v>
      </c>
      <c r="CV17" s="10">
        <v>0.56712167710065842</v>
      </c>
      <c r="CW17">
        <v>0.06</v>
      </c>
      <c r="CX17">
        <v>11.641560081619328</v>
      </c>
      <c r="CY17">
        <v>529994455.78961998</v>
      </c>
      <c r="CZ17">
        <v>0.39403008222579955</v>
      </c>
      <c r="DA17">
        <v>2.9687789836472831</v>
      </c>
      <c r="DB17">
        <v>2078282800.4326258</v>
      </c>
      <c r="DC17">
        <v>0.37432857811450954</v>
      </c>
      <c r="DD17">
        <v>1.0167454815222474</v>
      </c>
      <c r="DE17">
        <v>6068344941.9047108</v>
      </c>
      <c r="DF17">
        <v>0.34674647235870359</v>
      </c>
      <c r="DG17">
        <v>0.38844121172857249</v>
      </c>
      <c r="DH17">
        <v>15883902412.268574</v>
      </c>
      <c r="DI17">
        <v>0.31522406578063966</v>
      </c>
      <c r="DJ17">
        <v>6.5223679867910819E-2</v>
      </c>
      <c r="DK17">
        <v>94596967121.377319</v>
      </c>
      <c r="DL17">
        <v>0.27582105755805969</v>
      </c>
      <c r="DM17">
        <v>403000000</v>
      </c>
      <c r="DN17">
        <v>0.39403008222579955</v>
      </c>
      <c r="DO17">
        <v>6169962300</v>
      </c>
      <c r="DP17">
        <v>933522800</v>
      </c>
      <c r="DQ17">
        <v>2159</v>
      </c>
      <c r="DR17">
        <v>-5.6976510797228319E-2</v>
      </c>
      <c r="DS17">
        <v>-0.50732984869846165</v>
      </c>
      <c r="DT17" s="11">
        <v>0.39333333333333331</v>
      </c>
      <c r="DU17">
        <v>0.96666666666666667</v>
      </c>
      <c r="DV17">
        <v>1.3599999999999999</v>
      </c>
      <c r="DW17">
        <v>-9.3701991465149366</v>
      </c>
      <c r="DX17">
        <v>0.49382399999999932</v>
      </c>
      <c r="DY17">
        <v>-9.0717534793741113</v>
      </c>
      <c r="DZ17">
        <v>77</v>
      </c>
      <c r="EA17">
        <v>-9.0706722625616241</v>
      </c>
      <c r="EB17">
        <v>9</v>
      </c>
      <c r="EC17">
        <v>0.1246114370969696</v>
      </c>
      <c r="ED17">
        <v>0.64291025413245839</v>
      </c>
      <c r="EE17" s="12">
        <v>1.09961</v>
      </c>
      <c r="EF17">
        <v>1.13151</v>
      </c>
      <c r="EG17">
        <v>30.193823999999999</v>
      </c>
      <c r="EH17" t="s">
        <v>547</v>
      </c>
      <c r="EI17">
        <v>0</v>
      </c>
      <c r="EJ17">
        <v>1</v>
      </c>
      <c r="EK17" s="13">
        <v>45470</v>
      </c>
      <c r="EL17">
        <v>-0.35</v>
      </c>
      <c r="EM17">
        <v>-4.37</v>
      </c>
      <c r="EN17">
        <v>-2.77</v>
      </c>
      <c r="EO17">
        <v>2.66</v>
      </c>
      <c r="EP17">
        <v>-3.19</v>
      </c>
    </row>
    <row r="18" spans="1:146" ht="96" x14ac:dyDescent="0.25">
      <c r="C18" s="8" t="str">
        <f>""&amp;CHAR(10)&amp;Basic_Fundamental_Information_Constructure(F18)&amp;CHAR(10)&amp;Basic_Fundamental_Information_Concatenate("")</f>
        <v xml:space="preserve">
市值20.157543亿, 利润-4077.91万; PE; 平均PE-164.41; 平均PEG-185.21, PB3.18; ROIC.14%; ROE-3.4933%; 股利率0%; 毛利24.4233%; 净利-10.9133%; 上一年度营收增-20.99%, 利润增32.8%; 当季营收增-16.46%, 利润增-2356.99%; 过往5年营收增-.89%, 利润增-172.17%
Income profile:
</v>
      </c>
      <c r="D18" t="s">
        <v>417</v>
      </c>
      <c r="E18" t="s">
        <v>418</v>
      </c>
      <c r="F18">
        <v>12.7</v>
      </c>
      <c r="G18">
        <v>-3.5</v>
      </c>
      <c r="H18" t="s">
        <v>1128</v>
      </c>
      <c r="I18">
        <v>2015754300</v>
      </c>
      <c r="K18">
        <v>3.18</v>
      </c>
      <c r="L18" t="s">
        <v>513</v>
      </c>
      <c r="M18" t="s">
        <v>144</v>
      </c>
      <c r="N18" t="s">
        <v>298</v>
      </c>
      <c r="O18" t="s">
        <v>864</v>
      </c>
      <c r="P18">
        <v>-16.46</v>
      </c>
      <c r="Q18" t="s">
        <v>74</v>
      </c>
      <c r="R18">
        <v>-14291255</v>
      </c>
      <c r="S18" s="6">
        <v>-23.57</v>
      </c>
      <c r="T18" t="s">
        <v>865</v>
      </c>
      <c r="U18">
        <v>87634378</v>
      </c>
      <c r="V18">
        <v>158720810</v>
      </c>
      <c r="W18">
        <v>1.55</v>
      </c>
      <c r="X18">
        <v>0.05</v>
      </c>
      <c r="Y18">
        <v>-33.880000000000003</v>
      </c>
      <c r="Z18" t="s">
        <v>1129</v>
      </c>
      <c r="AA18" t="s">
        <v>1130</v>
      </c>
      <c r="AB18" t="s">
        <v>1131</v>
      </c>
      <c r="AC18" t="s">
        <v>1132</v>
      </c>
      <c r="AD18" t="s">
        <v>2</v>
      </c>
      <c r="AE18">
        <v>695004</v>
      </c>
      <c r="AF18" t="s">
        <v>866</v>
      </c>
      <c r="AG18">
        <v>7380</v>
      </c>
      <c r="AH18" t="s">
        <v>867</v>
      </c>
      <c r="AI18" t="s">
        <v>1133</v>
      </c>
      <c r="AJ18" t="s">
        <v>868</v>
      </c>
      <c r="AK18" t="s">
        <v>1134</v>
      </c>
      <c r="AL18" t="s">
        <v>869</v>
      </c>
      <c r="AM18" t="s">
        <v>2</v>
      </c>
      <c r="AN18" t="s">
        <v>119</v>
      </c>
      <c r="AO18" t="s">
        <v>1135</v>
      </c>
      <c r="AP18" t="s">
        <v>1136</v>
      </c>
      <c r="AQ18" t="s">
        <v>1137</v>
      </c>
      <c r="AR18" t="s">
        <v>2</v>
      </c>
      <c r="AS18" t="s">
        <v>89</v>
      </c>
      <c r="AT18" t="s">
        <v>1138</v>
      </c>
      <c r="AU18" t="s">
        <v>1139</v>
      </c>
      <c r="AV18" t="s">
        <v>1140</v>
      </c>
      <c r="AW18" t="s">
        <v>1141</v>
      </c>
      <c r="AX18" t="s">
        <v>270</v>
      </c>
      <c r="AY18" t="s">
        <v>138</v>
      </c>
      <c r="AZ18" t="s">
        <v>173</v>
      </c>
      <c r="BA18" t="s">
        <v>172</v>
      </c>
      <c r="BB18" t="s">
        <v>85</v>
      </c>
      <c r="BC18" t="s">
        <v>566</v>
      </c>
      <c r="BD18" t="s">
        <v>473</v>
      </c>
      <c r="BE18" t="s">
        <v>419</v>
      </c>
      <c r="BF18" t="s">
        <v>420</v>
      </c>
      <c r="BG18" t="s">
        <v>421</v>
      </c>
      <c r="BH18" t="s">
        <v>74</v>
      </c>
      <c r="BI18" t="s">
        <v>870</v>
      </c>
      <c r="BJ18" t="s">
        <v>270</v>
      </c>
      <c r="BK18" t="s">
        <v>865</v>
      </c>
      <c r="BL18" t="s">
        <v>871</v>
      </c>
      <c r="BM18" t="s">
        <v>566</v>
      </c>
      <c r="BN18" t="s">
        <v>2</v>
      </c>
      <c r="BO18" t="s">
        <v>2</v>
      </c>
      <c r="BP18">
        <v>0.14000000000000001</v>
      </c>
      <c r="BQ18">
        <v>-3.05</v>
      </c>
      <c r="BR18">
        <v>-8.66</v>
      </c>
      <c r="BS18">
        <v>1.23</v>
      </c>
      <c r="BT18" t="s">
        <v>539</v>
      </c>
      <c r="BU18" t="s">
        <v>513</v>
      </c>
      <c r="BV18">
        <v>23.24</v>
      </c>
      <c r="BW18">
        <v>21.8</v>
      </c>
      <c r="BX18">
        <v>28.23</v>
      </c>
      <c r="BY18">
        <v>-16.95</v>
      </c>
      <c r="BZ18">
        <v>-18.88</v>
      </c>
      <c r="CA18">
        <v>3.09</v>
      </c>
      <c r="CB18">
        <v>4.79</v>
      </c>
      <c r="CC18">
        <v>7.35</v>
      </c>
      <c r="CD18" t="s">
        <v>1142</v>
      </c>
      <c r="CE18" t="s">
        <v>88</v>
      </c>
      <c r="CF18" s="9">
        <v>-0.16460049988184297</v>
      </c>
      <c r="CG18" s="10">
        <v>-23.56989102969046</v>
      </c>
      <c r="CH18" s="9">
        <v>-0.20991253852844238</v>
      </c>
      <c r="CI18" s="9">
        <v>0.34509804844856262</v>
      </c>
      <c r="CJ18" s="9">
        <v>-4.1353382170200348E-2</v>
      </c>
      <c r="CK18" s="9">
        <v>-7.9584777355194092E-2</v>
      </c>
      <c r="CL18" s="9">
        <v>-5.8631923049688339E-2</v>
      </c>
      <c r="CM18" s="10">
        <v>0.32803007960319519</v>
      </c>
      <c r="CN18" s="10">
        <v>-7.7920832633972168</v>
      </c>
      <c r="CO18" s="10">
        <v>-0.68522036075592041</v>
      </c>
      <c r="CP18" s="10">
        <v>2.3246111869812012</v>
      </c>
      <c r="CQ18" s="10">
        <v>-2.7839903831481934</v>
      </c>
      <c r="CR18">
        <v>-164.41089518071635</v>
      </c>
      <c r="CS18">
        <v>-185.21175866535458</v>
      </c>
      <c r="CT18">
        <v>0</v>
      </c>
      <c r="CU18" s="9">
        <v>-8.8769145309925083E-3</v>
      </c>
      <c r="CV18" s="10">
        <v>-1.7217305481433869</v>
      </c>
      <c r="CW18">
        <v>0.06</v>
      </c>
      <c r="CX18" t="e">
        <v>#VALUE!</v>
      </c>
      <c r="CY18" t="s">
        <v>447</v>
      </c>
      <c r="CZ18">
        <v>-8.8769145309925083E-3</v>
      </c>
      <c r="DA18" t="e">
        <v>#VALUE!</v>
      </c>
      <c r="DB18" t="s">
        <v>448</v>
      </c>
      <c r="DC18">
        <v>-8.4330688044428823E-3</v>
      </c>
      <c r="DD18" t="e">
        <v>#VALUE!</v>
      </c>
      <c r="DE18" t="s">
        <v>448</v>
      </c>
      <c r="DF18">
        <v>-7.8116847872734072E-3</v>
      </c>
      <c r="DG18" t="e">
        <v>#VALUE!</v>
      </c>
      <c r="DH18" t="s">
        <v>448</v>
      </c>
      <c r="DI18">
        <v>-7.1015316247940068E-3</v>
      </c>
      <c r="DJ18" t="e">
        <v>#VALUE!</v>
      </c>
      <c r="DK18" t="s">
        <v>448</v>
      </c>
      <c r="DL18">
        <v>-6.2138401716947556E-3</v>
      </c>
      <c r="DM18">
        <v>-40779100</v>
      </c>
      <c r="DN18">
        <v>-8.8769145309925083E-3</v>
      </c>
      <c r="DO18">
        <v>1690754300</v>
      </c>
      <c r="DP18">
        <v>164242910</v>
      </c>
      <c r="DQ18">
        <v>2178</v>
      </c>
      <c r="DR18">
        <v>-0.15572358535085046</v>
      </c>
      <c r="DS18">
        <v>-21.848160481547072</v>
      </c>
      <c r="DT18" s="11">
        <v>-0.45666666666666672</v>
      </c>
      <c r="DU18">
        <v>-2.4216666666666673</v>
      </c>
      <c r="DV18">
        <v>-2.8783333333333339</v>
      </c>
      <c r="DW18">
        <v>8.6517006802721088</v>
      </c>
      <c r="DX18">
        <v>0.45986508620689759</v>
      </c>
      <c r="DY18">
        <v>8.156320239854562</v>
      </c>
      <c r="DZ18">
        <v>4865</v>
      </c>
      <c r="EA18">
        <v>8.007494806020425</v>
      </c>
      <c r="EB18">
        <v>8</v>
      </c>
      <c r="EC18">
        <v>0.35060745972755558</v>
      </c>
      <c r="ED18">
        <v>1.4616860889255792</v>
      </c>
      <c r="EE18" s="12">
        <v>-1.0781099999999999</v>
      </c>
      <c r="EF18">
        <v>-1.08741</v>
      </c>
      <c r="EG18">
        <v>22.239865086206898</v>
      </c>
      <c r="EH18" t="s">
        <v>548</v>
      </c>
      <c r="EI18">
        <v>0</v>
      </c>
      <c r="EJ18">
        <v>0</v>
      </c>
      <c r="EK18" s="13">
        <v>45470</v>
      </c>
      <c r="EL18">
        <v>-0.72</v>
      </c>
      <c r="EM18">
        <v>-6.76</v>
      </c>
      <c r="EN18">
        <v>-2.68</v>
      </c>
      <c r="EO18">
        <v>4.4400000000000004</v>
      </c>
      <c r="EP18">
        <v>-0.93</v>
      </c>
    </row>
    <row r="19" spans="1:146" ht="409.5" x14ac:dyDescent="0.25">
      <c r="A19" s="7" t="s">
        <v>737</v>
      </c>
      <c r="B19" s="8" t="s">
        <v>958</v>
      </c>
      <c r="C19" s="8" t="str">
        <f>"公司主要从事以功率控制电源、特种电源为代表的工业电源设备的研发、生产与销售以及新能源汽车充电桩/站的研发、生产和销售。公司主要产品系列功率控制器、功率控制系统（还原炉电源、单晶炉电源、蓝宝石炉电源、SIC炉电源等）、特种电源。"&amp;CHAR(10)&amp;Basic_Fundamental_Information_Constructure(F19)&amp;CHAR(10)&amp;Basic_Fundamental_Information_Concatenate("光伏行业 9.74亿 55.03% 3.01亿 45.66% 30.89%
其他行业领域 4.65亿 26.27% 2.17亿 32.89% 46.61%
半导体及电子材料行业 3.29亿 18.62% 1.41亿 21.43% 42.84%
其他业务 148.32万 0.08% 15.19万 0.02% 10.24%")</f>
        <v>公司主要从事以功率控制电源、特种电源为代表的工业电源设备的研发、生产与销售以及新能源汽车充电桩/站的研发、生产和销售。公司主要产品系列功率控制器、功率控制系统（还原炉电源、单晶炉电源、蓝宝石炉电源、SIC炉电源等）、特种电源。
市值78.668219亿, 利润-2.71亿; PE17.25; 平均PE85.2; 平均PEG.99, PB3.51; ROIC18.0633%; ROE18.6467%; 股利率1.1223%; 毛利39.5133%; 净利24.88%; 上一年度营收增274.2%, 利润增-179.94%; 当季营收增-73.29%, 利润增215.12%; 过往5年营收增85.69%, 利润增-4.33%
Income profile:
光伏行业 9.74亿 55.03% 3.01亿 45.66% 30.89%
其他行业领域 4.65亿 26.27% 2.17亿 32.89% 46.61%
半导体及电子材料行业 3.29亿 18.62% 1.41亿 21.43% 42.84%
其他业务 148.32万 0.08% 15.19万 0.02% 10.24%</v>
      </c>
      <c r="D19" t="s">
        <v>422</v>
      </c>
      <c r="E19" t="s">
        <v>423</v>
      </c>
      <c r="F19">
        <v>35.64</v>
      </c>
      <c r="G19">
        <v>-1.22</v>
      </c>
      <c r="H19" t="s">
        <v>1143</v>
      </c>
      <c r="I19">
        <v>7866821900</v>
      </c>
      <c r="J19">
        <v>17.25</v>
      </c>
      <c r="K19">
        <v>3.51</v>
      </c>
      <c r="L19" t="s">
        <v>513</v>
      </c>
      <c r="M19" t="s">
        <v>32</v>
      </c>
      <c r="N19" t="s">
        <v>739</v>
      </c>
      <c r="O19" t="s">
        <v>297</v>
      </c>
      <c r="P19">
        <v>61.02</v>
      </c>
      <c r="Q19" t="s">
        <v>695</v>
      </c>
      <c r="R19">
        <v>79956070</v>
      </c>
      <c r="S19" s="6">
        <v>0.44729999999999998</v>
      </c>
      <c r="T19" t="s">
        <v>1144</v>
      </c>
      <c r="U19">
        <v>110038991</v>
      </c>
      <c r="V19">
        <v>220730130</v>
      </c>
      <c r="W19">
        <v>1.77</v>
      </c>
      <c r="X19">
        <v>0.09</v>
      </c>
      <c r="Y19">
        <v>22.4</v>
      </c>
      <c r="Z19" t="s">
        <v>104</v>
      </c>
      <c r="AA19" t="s">
        <v>304</v>
      </c>
      <c r="AB19" t="s">
        <v>1145</v>
      </c>
      <c r="AC19" t="s">
        <v>1146</v>
      </c>
      <c r="AD19" t="s">
        <v>2</v>
      </c>
      <c r="AE19">
        <v>-1143665</v>
      </c>
      <c r="AF19" t="s">
        <v>872</v>
      </c>
      <c r="AG19" t="s">
        <v>1147</v>
      </c>
      <c r="AH19" t="s">
        <v>873</v>
      </c>
      <c r="AI19" t="s">
        <v>255</v>
      </c>
      <c r="AJ19" t="s">
        <v>874</v>
      </c>
      <c r="AK19" t="s">
        <v>148</v>
      </c>
      <c r="AL19" t="s">
        <v>875</v>
      </c>
      <c r="AM19" t="s">
        <v>2</v>
      </c>
      <c r="AN19" t="s">
        <v>1148</v>
      </c>
      <c r="AO19" t="s">
        <v>206</v>
      </c>
      <c r="AP19" t="s">
        <v>2</v>
      </c>
      <c r="AQ19" t="s">
        <v>136</v>
      </c>
      <c r="AR19" t="s">
        <v>2</v>
      </c>
      <c r="AS19" t="s">
        <v>1149</v>
      </c>
      <c r="AT19" t="s">
        <v>2</v>
      </c>
      <c r="AU19" t="s">
        <v>1150</v>
      </c>
      <c r="AV19" t="s">
        <v>1151</v>
      </c>
      <c r="AW19" t="s">
        <v>1152</v>
      </c>
      <c r="AX19" t="s">
        <v>452</v>
      </c>
      <c r="AY19" t="s">
        <v>292</v>
      </c>
      <c r="AZ19" t="s">
        <v>43</v>
      </c>
      <c r="BA19" t="s">
        <v>165</v>
      </c>
      <c r="BB19" t="s">
        <v>164</v>
      </c>
      <c r="BC19" t="s">
        <v>183</v>
      </c>
      <c r="BD19" t="s">
        <v>86</v>
      </c>
      <c r="BE19" t="s">
        <v>83</v>
      </c>
      <c r="BF19" t="s">
        <v>213</v>
      </c>
      <c r="BG19" t="s">
        <v>188</v>
      </c>
      <c r="BH19" t="s">
        <v>690</v>
      </c>
      <c r="BI19" t="s">
        <v>557</v>
      </c>
      <c r="BJ19" t="s">
        <v>452</v>
      </c>
      <c r="BK19" t="s">
        <v>137</v>
      </c>
      <c r="BL19" t="s">
        <v>1153</v>
      </c>
      <c r="BM19" t="s">
        <v>183</v>
      </c>
      <c r="BN19">
        <v>15.71</v>
      </c>
      <c r="BO19">
        <v>24.72</v>
      </c>
      <c r="BP19">
        <v>13.76</v>
      </c>
      <c r="BQ19">
        <v>16.89</v>
      </c>
      <c r="BR19">
        <v>25.25</v>
      </c>
      <c r="BS19">
        <v>13.8</v>
      </c>
      <c r="BT19" t="s">
        <v>545</v>
      </c>
      <c r="BU19" t="s">
        <v>513</v>
      </c>
      <c r="BV19">
        <v>37.229999999999997</v>
      </c>
      <c r="BW19">
        <v>39.14</v>
      </c>
      <c r="BX19">
        <v>42.17</v>
      </c>
      <c r="BY19">
        <v>24.37</v>
      </c>
      <c r="BZ19">
        <v>26.42</v>
      </c>
      <c r="CA19">
        <v>23.85</v>
      </c>
      <c r="CB19">
        <v>-9.41</v>
      </c>
      <c r="CC19">
        <v>-18.22</v>
      </c>
      <c r="CD19" t="s">
        <v>1154</v>
      </c>
      <c r="CE19" t="s">
        <v>1155</v>
      </c>
      <c r="CF19" s="9">
        <v>-0.73290598290598286</v>
      </c>
      <c r="CG19" s="10">
        <v>2.1512023716280035</v>
      </c>
      <c r="CH19" s="9">
        <v>2.7420105934143066</v>
      </c>
      <c r="CI19" s="9">
        <v>0.94393950700759888</v>
      </c>
      <c r="CJ19" s="9">
        <v>0.5676959753036499</v>
      </c>
      <c r="CK19" s="9">
        <v>-4.9661397933959961E-2</v>
      </c>
      <c r="CL19" s="9">
        <v>8.0487802624702454E-2</v>
      </c>
      <c r="CM19" s="10">
        <v>-1.7994099855422974</v>
      </c>
      <c r="CN19" s="10">
        <v>1.1592357158660889</v>
      </c>
      <c r="CO19" s="10">
        <v>0.49523809552192688</v>
      </c>
      <c r="CP19" s="10">
        <v>-5.4054055362939835E-2</v>
      </c>
      <c r="CQ19" s="10">
        <v>-1.7699114978313446E-2</v>
      </c>
      <c r="CR19">
        <v>85.200237184115522</v>
      </c>
      <c r="CS19">
        <v>0.99429086747030637</v>
      </c>
      <c r="CT19">
        <v>1.122334455667789</v>
      </c>
      <c r="CU19" s="9">
        <v>0.85689449608325963</v>
      </c>
      <c r="CV19" s="10">
        <v>-4.3337868899106978E-2</v>
      </c>
      <c r="CW19">
        <v>0.06</v>
      </c>
      <c r="CX19" t="e">
        <v>#VALUE!</v>
      </c>
      <c r="CY19" t="s">
        <v>448</v>
      </c>
      <c r="CZ19">
        <v>0.85689449608325963</v>
      </c>
      <c r="DA19" t="e">
        <v>#VALUE!</v>
      </c>
      <c r="DB19" t="s">
        <v>448</v>
      </c>
      <c r="DC19">
        <v>0.81404977127909661</v>
      </c>
      <c r="DD19" t="e">
        <v>#VALUE!</v>
      </c>
      <c r="DE19" t="s">
        <v>448</v>
      </c>
      <c r="DF19">
        <v>0.7540671565532685</v>
      </c>
      <c r="DG19" t="e">
        <v>#VALUE!</v>
      </c>
      <c r="DH19" t="s">
        <v>448</v>
      </c>
      <c r="DI19">
        <v>0.68551559686660779</v>
      </c>
      <c r="DJ19" t="e">
        <v>#VALUE!</v>
      </c>
      <c r="DK19" t="s">
        <v>448</v>
      </c>
      <c r="DL19">
        <v>0.59982614725828165</v>
      </c>
      <c r="DM19">
        <v>-271000000</v>
      </c>
      <c r="DN19">
        <v>0.85689449608325963</v>
      </c>
      <c r="DO19">
        <v>7344821900</v>
      </c>
      <c r="DP19">
        <v>1967763100</v>
      </c>
      <c r="DQ19">
        <v>2277</v>
      </c>
      <c r="DR19">
        <v>-1.5898004789892424</v>
      </c>
      <c r="DS19">
        <v>2.1945402405271106</v>
      </c>
      <c r="DT19" s="11">
        <v>0.29333333333333339</v>
      </c>
      <c r="DU19">
        <v>-0.31666666666666665</v>
      </c>
      <c r="DV19">
        <v>-2.3333333333333262E-2</v>
      </c>
      <c r="DW19">
        <v>-9.516465422612514</v>
      </c>
      <c r="DX19">
        <v>0.32880352812087948</v>
      </c>
      <c r="DY19">
        <v>-9.076851877037182</v>
      </c>
      <c r="DZ19">
        <v>525</v>
      </c>
      <c r="EA19">
        <v>-9.0689561362456903</v>
      </c>
      <c r="EB19">
        <v>9</v>
      </c>
      <c r="EC19">
        <v>5.9699144833557614E-2</v>
      </c>
      <c r="ED19">
        <v>0.40119443593858256</v>
      </c>
      <c r="EE19" s="12">
        <v>2.0253999999999999</v>
      </c>
      <c r="EF19">
        <v>2.0085000000000002</v>
      </c>
      <c r="EG19">
        <v>18.148803528120879</v>
      </c>
      <c r="EH19" t="s">
        <v>550</v>
      </c>
      <c r="EI19">
        <v>0</v>
      </c>
      <c r="EJ19">
        <v>1</v>
      </c>
      <c r="EK19" s="13">
        <v>45470</v>
      </c>
      <c r="EL19">
        <v>-0.42</v>
      </c>
      <c r="EM19">
        <v>-6.01</v>
      </c>
      <c r="EN19">
        <v>0.89</v>
      </c>
      <c r="EO19">
        <v>3.96</v>
      </c>
      <c r="EP19">
        <v>-1.69</v>
      </c>
    </row>
    <row r="20" spans="1:146" ht="96" x14ac:dyDescent="0.25">
      <c r="A20" s="8"/>
      <c r="B20" s="8"/>
      <c r="C20" s="8" t="str">
        <f>""&amp;CHAR(10)&amp;Basic_Fundamental_Information_Constructure(F20)&amp;CHAR(10)&amp;Basic_Fundamental_Information_Concatenate("")</f>
        <v xml:space="preserve">
市值39.98412亿, 利润1678.08万; PE17.76; 平均PE41.17; 平均PEG4.67, PB2.12; ROIC4.3667%; ROE5.1267%; 股利率.8605%; 毛利17.83%; 净利4.7767%; 上一年度营收增-62.26%, 利润增-81.44%; 当季营收增202.61%, 利润增109.78%; 过往5年营收增8.82%, 利润增4.34%
Income profile:
</v>
      </c>
      <c r="D20" t="s">
        <v>40</v>
      </c>
      <c r="E20" t="s">
        <v>126</v>
      </c>
      <c r="F20">
        <v>39.51</v>
      </c>
      <c r="G20">
        <v>-0.13</v>
      </c>
      <c r="H20" t="s">
        <v>1156</v>
      </c>
      <c r="I20">
        <v>3998412000</v>
      </c>
      <c r="J20">
        <v>17.760000000000002</v>
      </c>
      <c r="K20">
        <v>2.12</v>
      </c>
      <c r="L20" t="s">
        <v>513</v>
      </c>
      <c r="M20" t="s">
        <v>216</v>
      </c>
      <c r="N20" t="s">
        <v>1157</v>
      </c>
      <c r="O20" t="s">
        <v>709</v>
      </c>
      <c r="P20">
        <v>34.06</v>
      </c>
      <c r="Q20" t="s">
        <v>510</v>
      </c>
      <c r="R20">
        <v>31164266</v>
      </c>
      <c r="S20" s="6">
        <v>17.03</v>
      </c>
      <c r="T20" t="s">
        <v>1158</v>
      </c>
      <c r="U20">
        <v>101200000</v>
      </c>
      <c r="V20">
        <v>101200000</v>
      </c>
      <c r="W20">
        <v>1.99</v>
      </c>
      <c r="X20">
        <v>0.19</v>
      </c>
      <c r="Y20">
        <v>4.45</v>
      </c>
      <c r="Z20" t="s">
        <v>103</v>
      </c>
      <c r="AA20" t="s">
        <v>153</v>
      </c>
      <c r="AB20" t="s">
        <v>1159</v>
      </c>
      <c r="AC20" t="s">
        <v>1160</v>
      </c>
      <c r="AD20" t="s">
        <v>2</v>
      </c>
      <c r="AE20">
        <v>-5300283</v>
      </c>
      <c r="AF20" t="s">
        <v>877</v>
      </c>
      <c r="AG20" t="s">
        <v>1161</v>
      </c>
      <c r="AH20" t="s">
        <v>878</v>
      </c>
      <c r="AI20" t="s">
        <v>107</v>
      </c>
      <c r="AJ20" t="s">
        <v>879</v>
      </c>
      <c r="AK20" t="s">
        <v>101</v>
      </c>
      <c r="AL20" t="s">
        <v>880</v>
      </c>
      <c r="AM20" t="s">
        <v>2</v>
      </c>
      <c r="AN20" t="s">
        <v>116</v>
      </c>
      <c r="AO20" t="s">
        <v>1162</v>
      </c>
      <c r="AP20" t="s">
        <v>248</v>
      </c>
      <c r="AQ20" t="s">
        <v>511</v>
      </c>
      <c r="AR20" t="s">
        <v>1163</v>
      </c>
      <c r="AS20" t="s">
        <v>334</v>
      </c>
      <c r="AT20" t="s">
        <v>306</v>
      </c>
      <c r="AU20" t="s">
        <v>1164</v>
      </c>
      <c r="AV20" t="s">
        <v>1165</v>
      </c>
      <c r="AW20" t="s">
        <v>1166</v>
      </c>
      <c r="AX20" t="s">
        <v>313</v>
      </c>
      <c r="AY20" t="s">
        <v>474</v>
      </c>
      <c r="AZ20" t="s">
        <v>209</v>
      </c>
      <c r="BA20" t="s">
        <v>41</v>
      </c>
      <c r="BB20" t="s">
        <v>210</v>
      </c>
      <c r="BC20" t="s">
        <v>881</v>
      </c>
      <c r="BD20" t="s">
        <v>213</v>
      </c>
      <c r="BE20" t="s">
        <v>28</v>
      </c>
      <c r="BF20" t="s">
        <v>42</v>
      </c>
      <c r="BG20" t="s">
        <v>211</v>
      </c>
      <c r="BH20" t="s">
        <v>876</v>
      </c>
      <c r="BI20" t="s">
        <v>91</v>
      </c>
      <c r="BJ20" t="s">
        <v>313</v>
      </c>
      <c r="BK20" t="s">
        <v>176</v>
      </c>
      <c r="BL20" t="s">
        <v>1167</v>
      </c>
      <c r="BM20" t="s">
        <v>881</v>
      </c>
      <c r="BN20">
        <v>1.73</v>
      </c>
      <c r="BO20">
        <v>4.84</v>
      </c>
      <c r="BP20">
        <v>6.53</v>
      </c>
      <c r="BQ20">
        <v>2.59</v>
      </c>
      <c r="BR20">
        <v>5.54</v>
      </c>
      <c r="BS20">
        <v>7.25</v>
      </c>
      <c r="BT20" t="s">
        <v>882</v>
      </c>
      <c r="BU20" t="s">
        <v>513</v>
      </c>
      <c r="BV20">
        <v>19.72</v>
      </c>
      <c r="BW20">
        <v>18.16</v>
      </c>
      <c r="BX20">
        <v>15.61</v>
      </c>
      <c r="BY20">
        <v>6.76</v>
      </c>
      <c r="BZ20">
        <v>3.25</v>
      </c>
      <c r="CA20">
        <v>4.32</v>
      </c>
      <c r="CB20">
        <v>-8.92</v>
      </c>
      <c r="CC20">
        <v>-15.11</v>
      </c>
      <c r="CD20" t="s">
        <v>1168</v>
      </c>
      <c r="CE20" t="s">
        <v>1169</v>
      </c>
      <c r="CF20" s="9">
        <v>2.0260869565217394</v>
      </c>
      <c r="CG20" s="10">
        <v>1.0977985554366338</v>
      </c>
      <c r="CH20" s="9">
        <v>-0.62264150381088257</v>
      </c>
      <c r="CI20" s="9">
        <v>5.0933152437210083E-2</v>
      </c>
      <c r="CJ20" s="9">
        <v>0.23475760221481323</v>
      </c>
      <c r="CK20" s="9">
        <v>0.58644330501556396</v>
      </c>
      <c r="CL20" s="9">
        <v>0.19146999716758728</v>
      </c>
      <c r="CM20" s="10">
        <v>-0.81442093849182129</v>
      </c>
      <c r="CN20" s="10">
        <v>-0.18536937236785889</v>
      </c>
      <c r="CO20" s="10">
        <v>-0.42783504724502563</v>
      </c>
      <c r="CP20" s="10">
        <v>0.7321428656578064</v>
      </c>
      <c r="CQ20" s="10">
        <v>0.91241806745529175</v>
      </c>
      <c r="CR20">
        <v>41.166320675038875</v>
      </c>
      <c r="CS20">
        <v>4.6677796552909427</v>
      </c>
      <c r="CT20">
        <v>0.86054163502910652</v>
      </c>
      <c r="CU20" s="9">
        <v>8.8192510604858401E-2</v>
      </c>
      <c r="CV20" s="10">
        <v>4.3387115001678467E-2</v>
      </c>
      <c r="CW20">
        <v>0.06</v>
      </c>
      <c r="CX20">
        <v>232.44822033446783</v>
      </c>
      <c r="CY20">
        <v>17227114.039583027</v>
      </c>
      <c r="CZ20">
        <v>8.8192510604858401E-2</v>
      </c>
      <c r="DA20">
        <v>76.078286330400616</v>
      </c>
      <c r="DB20">
        <v>52635412.719592914</v>
      </c>
      <c r="DC20">
        <v>8.3782885074615482E-2</v>
      </c>
      <c r="DD20">
        <v>37.52827846695088</v>
      </c>
      <c r="DE20">
        <v>106703855.42801993</v>
      </c>
      <c r="DF20">
        <v>7.7609409332275392E-2</v>
      </c>
      <c r="DG20">
        <v>22.58839234648315</v>
      </c>
      <c r="DH20">
        <v>177277423.66859755</v>
      </c>
      <c r="DI20">
        <v>7.0554008483886724E-2</v>
      </c>
      <c r="DJ20">
        <v>11.727893412674131</v>
      </c>
      <c r="DK20">
        <v>341443416.91172785</v>
      </c>
      <c r="DL20">
        <v>6.1734757423400878E-2</v>
      </c>
      <c r="DM20">
        <v>16780800</v>
      </c>
      <c r="DN20">
        <v>8.8192510604858401E-2</v>
      </c>
      <c r="DO20">
        <v>4004412000</v>
      </c>
      <c r="DP20">
        <v>645846500</v>
      </c>
      <c r="DQ20">
        <v>2327</v>
      </c>
      <c r="DR20">
        <v>1.937894445916881</v>
      </c>
      <c r="DS20">
        <v>1.0544114404349554</v>
      </c>
      <c r="DT20" s="11">
        <v>-0.42333333333333339</v>
      </c>
      <c r="DU20">
        <v>3.6666666666666591E-2</v>
      </c>
      <c r="DV20">
        <v>-0.38666666666666683</v>
      </c>
      <c r="DW20">
        <v>-9.5903375248180005</v>
      </c>
      <c r="DX20">
        <v>0.43707010321289602</v>
      </c>
      <c r="DY20">
        <v>-9.0691108749608897</v>
      </c>
      <c r="DZ20">
        <v>3182</v>
      </c>
      <c r="EA20">
        <v>-9.0260754925488449</v>
      </c>
      <c r="EB20">
        <v>9</v>
      </c>
      <c r="EC20">
        <v>0.10357707509881423</v>
      </c>
      <c r="ED20">
        <v>0.88474407114624509</v>
      </c>
      <c r="EE20" s="12">
        <v>-4.0207100000000002</v>
      </c>
      <c r="EF20">
        <v>-4.0428100000000002</v>
      </c>
      <c r="EG20">
        <v>32.117070103212896</v>
      </c>
      <c r="EH20" t="s">
        <v>721</v>
      </c>
      <c r="EI20">
        <v>0</v>
      </c>
      <c r="EJ20">
        <v>0</v>
      </c>
      <c r="EK20" s="13">
        <v>45470</v>
      </c>
      <c r="EL20">
        <v>0.3</v>
      </c>
      <c r="EM20">
        <v>-4.5599999999999996</v>
      </c>
      <c r="EN20">
        <v>0.77</v>
      </c>
      <c r="EO20">
        <v>3.83</v>
      </c>
      <c r="EP20">
        <v>-2.21</v>
      </c>
    </row>
    <row r="21" spans="1:146" ht="144" x14ac:dyDescent="0.25">
      <c r="C21" s="8" t="str">
        <f>"公司主营业务是风电设备零部件的研发、生产和销售。主要产品包括风电塔筒、桩基及导管架等，产品涵盖2MW至5MW等市场主流规格产品以及6.45MW、8MW等大功率等级产品。"&amp;CHAR(10)&amp;Basic_Fundamental_Information_Constructure(F21)&amp;CHAR(10)&amp;Basic_Fundamental_Information_Concatenate("桩基 5.33亿 82.00% 66.11% 9.56%
风电塔筒 7802.01万 12.00% 10.99% 10.85%
其他业务 3904.50万 6.00% 22.90% 45.22%")</f>
        <v>公司主营业务是风电设备零部件的研发、生产和销售。主要产品包括风电塔筒、桩基及导管架等，产品涵盖2MW至5MW等市场主流规格产品以及6.45MW、8MW等大功率等级产品。
市值17.982亿, 利润8673.43万; PE42.24; 平均PE36.48; 平均PEG.69, PB1.68; ROIC17.19%; ROE12.37%; 股利率.5005%; 毛利42.8833%; 净利19.91%; 上一年度营收增128.63%, 利润增51.82%; 当季营收增-29.93%, 利润增-31.04%; 过往5年营收增53.04%, 利润增53.29%
Income profile:
桩基 5.33亿 82.00% 66.11% 9.56%
风电塔筒 7802.01万 12.00% 10.99% 10.85%
其他业务 3904.50万 6.00% 22.90% 45.22%</v>
      </c>
      <c r="D21" s="6" t="s">
        <v>552</v>
      </c>
      <c r="E21" t="s">
        <v>553</v>
      </c>
      <c r="F21">
        <v>29.97</v>
      </c>
      <c r="G21">
        <v>0.44</v>
      </c>
      <c r="H21" t="s">
        <v>1170</v>
      </c>
      <c r="I21">
        <v>1798200000</v>
      </c>
      <c r="J21">
        <v>42.24</v>
      </c>
      <c r="K21">
        <v>1.68</v>
      </c>
      <c r="L21" t="s">
        <v>513</v>
      </c>
      <c r="M21" t="s">
        <v>106</v>
      </c>
      <c r="N21" t="s">
        <v>331</v>
      </c>
      <c r="O21" t="s">
        <v>886</v>
      </c>
      <c r="P21" s="6">
        <v>42.03</v>
      </c>
      <c r="Q21" t="s">
        <v>99</v>
      </c>
      <c r="R21">
        <v>9245901</v>
      </c>
      <c r="S21">
        <v>1.0620000000000001</v>
      </c>
      <c r="T21" t="s">
        <v>1171</v>
      </c>
      <c r="U21">
        <v>20660055</v>
      </c>
      <c r="V21">
        <v>60000000</v>
      </c>
      <c r="W21">
        <v>1.1399999999999999</v>
      </c>
      <c r="X21">
        <v>0.05</v>
      </c>
      <c r="Y21">
        <v>14.84</v>
      </c>
      <c r="Z21" t="s">
        <v>1172</v>
      </c>
      <c r="AA21" t="s">
        <v>1173</v>
      </c>
      <c r="AB21" t="s">
        <v>1174</v>
      </c>
      <c r="AC21" t="s">
        <v>1175</v>
      </c>
      <c r="AD21" t="s">
        <v>2</v>
      </c>
      <c r="AE21">
        <v>-1032285</v>
      </c>
      <c r="AF21" t="s">
        <v>888</v>
      </c>
      <c r="AG21">
        <v>1.45</v>
      </c>
      <c r="AH21" t="s">
        <v>889</v>
      </c>
      <c r="AI21" t="s">
        <v>82</v>
      </c>
      <c r="AJ21" t="s">
        <v>890</v>
      </c>
      <c r="AK21" t="s">
        <v>1176</v>
      </c>
      <c r="AL21" t="s">
        <v>891</v>
      </c>
      <c r="AM21" t="s">
        <v>2</v>
      </c>
      <c r="AN21">
        <v>4455.45</v>
      </c>
      <c r="AO21" t="s">
        <v>892</v>
      </c>
      <c r="AP21" t="s">
        <v>1177</v>
      </c>
      <c r="AQ21" t="s">
        <v>1178</v>
      </c>
      <c r="AR21" t="s">
        <v>2</v>
      </c>
      <c r="AS21" t="s">
        <v>60</v>
      </c>
      <c r="AT21" t="s">
        <v>2</v>
      </c>
      <c r="AU21" t="s">
        <v>1179</v>
      </c>
      <c r="AV21" t="s">
        <v>1180</v>
      </c>
      <c r="AW21" t="s">
        <v>1181</v>
      </c>
      <c r="AX21" t="s">
        <v>100</v>
      </c>
      <c r="AY21" t="s">
        <v>25</v>
      </c>
      <c r="AZ21" t="s">
        <v>140</v>
      </c>
      <c r="BA21" t="s">
        <v>97</v>
      </c>
      <c r="BB21" t="s">
        <v>567</v>
      </c>
      <c r="BC21" t="s">
        <v>893</v>
      </c>
      <c r="BD21" t="s">
        <v>554</v>
      </c>
      <c r="BE21" t="s">
        <v>555</v>
      </c>
      <c r="BF21" t="s">
        <v>568</v>
      </c>
      <c r="BG21" t="s">
        <v>569</v>
      </c>
      <c r="BH21" t="s">
        <v>215</v>
      </c>
      <c r="BI21" t="s">
        <v>1182</v>
      </c>
      <c r="BJ21" t="s">
        <v>100</v>
      </c>
      <c r="BK21" t="s">
        <v>887</v>
      </c>
      <c r="BL21" t="s">
        <v>1183</v>
      </c>
      <c r="BM21" t="s">
        <v>893</v>
      </c>
      <c r="BN21">
        <v>2.2599999999999998</v>
      </c>
      <c r="BO21">
        <v>22.03</v>
      </c>
      <c r="BP21">
        <v>27.28</v>
      </c>
      <c r="BQ21">
        <v>2.4700000000000002</v>
      </c>
      <c r="BR21">
        <v>22.27</v>
      </c>
      <c r="BS21" t="s">
        <v>2</v>
      </c>
      <c r="BT21" t="s">
        <v>542</v>
      </c>
      <c r="BU21" t="s">
        <v>513</v>
      </c>
      <c r="BV21">
        <v>39.799999999999997</v>
      </c>
      <c r="BW21">
        <v>45.67</v>
      </c>
      <c r="BX21">
        <v>43.18</v>
      </c>
      <c r="BY21">
        <v>13.43</v>
      </c>
      <c r="BZ21">
        <v>22.98</v>
      </c>
      <c r="CA21">
        <v>23.32</v>
      </c>
      <c r="CB21">
        <v>-8.07</v>
      </c>
      <c r="CC21" s="9">
        <v>-13.78</v>
      </c>
      <c r="CD21" s="10" t="s">
        <v>1184</v>
      </c>
      <c r="CE21" s="9" t="s">
        <v>1185</v>
      </c>
      <c r="CF21" s="9">
        <v>-0.29933178995514909</v>
      </c>
      <c r="CG21" s="9">
        <v>-0.3103624999067644</v>
      </c>
      <c r="CH21" s="9">
        <v>1.2862902879714966</v>
      </c>
      <c r="CI21" s="9">
        <v>4.6413503587245941E-2</v>
      </c>
      <c r="CJ21" s="10">
        <v>0.15048544108867645</v>
      </c>
      <c r="CK21" s="10">
        <v>0.92523366212844849</v>
      </c>
      <c r="CL21" s="10">
        <v>0.24353384971618652</v>
      </c>
      <c r="CM21" s="10">
        <v>0.5182185173034668</v>
      </c>
      <c r="CN21" s="10">
        <v>3.5082537680864334E-2</v>
      </c>
      <c r="CO21">
        <v>-1.7166251316666603E-2</v>
      </c>
      <c r="CP21">
        <v>2.4627437591552734</v>
      </c>
      <c r="CQ21">
        <v>-0.33437037467956543</v>
      </c>
      <c r="CR21" s="9">
        <v>36.475372564902415</v>
      </c>
      <c r="CS21" s="10">
        <v>0.68770677803586822</v>
      </c>
      <c r="CT21">
        <v>0.50050050050050054</v>
      </c>
      <c r="CU21">
        <v>0.53039134889841077</v>
      </c>
      <c r="CV21">
        <v>0.53290163762867448</v>
      </c>
      <c r="CW21">
        <v>0.06</v>
      </c>
      <c r="CX21">
        <v>7.4203038027513575</v>
      </c>
      <c r="CY21">
        <v>125223983.37052777</v>
      </c>
      <c r="CZ21">
        <v>0.53039134889841077</v>
      </c>
      <c r="DA21">
        <v>1.7039380979672905</v>
      </c>
      <c r="DB21">
        <v>545324974.60353005</v>
      </c>
      <c r="DC21">
        <v>0.50387178145349021</v>
      </c>
      <c r="DD21">
        <v>0.4935626083182732</v>
      </c>
      <c r="DE21">
        <v>1882638563.6587903</v>
      </c>
      <c r="DF21">
        <v>0.4667443870306015</v>
      </c>
      <c r="DG21">
        <v>0.15067398437211854</v>
      </c>
      <c r="DH21">
        <v>6166957115.2055082</v>
      </c>
      <c r="DI21">
        <v>0.42431307911872862</v>
      </c>
      <c r="DJ21">
        <v>1.4193749291867499E-2</v>
      </c>
      <c r="DK21">
        <v>65465436995.734291</v>
      </c>
      <c r="DL21">
        <v>0.37127394422888754</v>
      </c>
      <c r="DM21">
        <v>86734300</v>
      </c>
      <c r="DN21">
        <v>0.53039134889841077</v>
      </c>
      <c r="DO21">
        <v>929200000</v>
      </c>
      <c r="DP21">
        <v>995856150</v>
      </c>
      <c r="DQ21" s="11">
        <v>2587</v>
      </c>
      <c r="DR21">
        <v>-0.82972313885355986</v>
      </c>
      <c r="DS21">
        <v>-0.84326413753543883</v>
      </c>
      <c r="DT21">
        <v>0.35999999999999993</v>
      </c>
      <c r="DU21">
        <v>0.31333333333333335</v>
      </c>
      <c r="DV21">
        <v>0.67333333333333334</v>
      </c>
      <c r="DW21">
        <v>-9.5856313497822931</v>
      </c>
      <c r="DX21">
        <v>0.35706458777927907</v>
      </c>
      <c r="DY21">
        <v>-9.0568440655572395</v>
      </c>
      <c r="DZ21">
        <v>1345</v>
      </c>
      <c r="EA21">
        <v>-9.0418821735465773</v>
      </c>
      <c r="EB21" s="12">
        <v>9</v>
      </c>
      <c r="EC21" s="12">
        <v>3.7144999999999997E-2</v>
      </c>
      <c r="ED21">
        <v>0.38268333333333332</v>
      </c>
      <c r="EE21">
        <v>-1.09301</v>
      </c>
      <c r="EF21">
        <v>-1.11371</v>
      </c>
      <c r="EG21">
        <v>26.097064587779279</v>
      </c>
      <c r="EH21" s="13" t="s">
        <v>548</v>
      </c>
      <c r="EI21">
        <v>0</v>
      </c>
      <c r="EJ21">
        <v>1</v>
      </c>
      <c r="EK21">
        <v>45470</v>
      </c>
      <c r="EL21">
        <v>-3.26</v>
      </c>
      <c r="EM21">
        <v>-8.3000000000000007</v>
      </c>
      <c r="EN21">
        <v>-0.08</v>
      </c>
      <c r="EO21">
        <v>2.69</v>
      </c>
      <c r="EP21">
        <v>-2.0699999999999998</v>
      </c>
    </row>
    <row r="22" spans="1:146" ht="96" x14ac:dyDescent="0.25">
      <c r="C22" s="8" t="str">
        <f>""&amp;CHAR(10)&amp;Basic_Fundamental_Information_Constructure(F22)&amp;CHAR(10)&amp;Basic_Fundamental_Information_Concatenate("")</f>
        <v xml:space="preserve">
市值47.129825亿, 利润7878.70万; PE112.5; 平均PE64.68; 平均PEG36.94, PB3.22; ROIC8.56%; ROE8.335%; 股利率1.0959%; 毛利19.2067%; 净利6.7233%; 上一年度营收增-40.86%, 利润增-21.03%; 当季营收增-14.85%, 利润增-183.62%; 过往5年营收增1.75%, 利润增59.97%
Income profile:
</v>
      </c>
      <c r="D22" t="s">
        <v>712</v>
      </c>
      <c r="E22" t="s">
        <v>713</v>
      </c>
      <c r="F22">
        <v>16.79</v>
      </c>
      <c r="G22">
        <v>-1</v>
      </c>
      <c r="H22" t="s">
        <v>1186</v>
      </c>
      <c r="I22">
        <v>4712982500</v>
      </c>
      <c r="J22">
        <v>112.5</v>
      </c>
      <c r="K22">
        <v>3.22</v>
      </c>
      <c r="L22" t="s">
        <v>513</v>
      </c>
      <c r="M22" t="s">
        <v>507</v>
      </c>
      <c r="N22" t="s">
        <v>884</v>
      </c>
      <c r="O22" t="s">
        <v>30</v>
      </c>
      <c r="P22" s="6">
        <v>-30.58</v>
      </c>
      <c r="Q22" t="s">
        <v>310</v>
      </c>
      <c r="R22">
        <v>-9547752</v>
      </c>
      <c r="S22">
        <v>-1.655</v>
      </c>
      <c r="T22" t="s">
        <v>1187</v>
      </c>
      <c r="U22">
        <v>65309356</v>
      </c>
      <c r="V22">
        <v>280701760</v>
      </c>
      <c r="W22">
        <v>1.26</v>
      </c>
      <c r="X22">
        <v>0.1</v>
      </c>
      <c r="Y22">
        <v>-4.8899999999999997</v>
      </c>
      <c r="Z22" t="s">
        <v>39</v>
      </c>
      <c r="AA22" t="s">
        <v>141</v>
      </c>
      <c r="AB22" t="s">
        <v>1188</v>
      </c>
      <c r="AC22" t="s">
        <v>1189</v>
      </c>
      <c r="AD22" t="s">
        <v>2</v>
      </c>
      <c r="AE22">
        <v>-154298</v>
      </c>
      <c r="AF22" t="s">
        <v>18</v>
      </c>
      <c r="AG22" t="s">
        <v>1190</v>
      </c>
      <c r="AH22" t="s">
        <v>896</v>
      </c>
      <c r="AI22" t="s">
        <v>135</v>
      </c>
      <c r="AJ22" t="s">
        <v>897</v>
      </c>
      <c r="AK22" t="s">
        <v>1191</v>
      </c>
      <c r="AL22" t="s">
        <v>898</v>
      </c>
      <c r="AM22" t="s">
        <v>2</v>
      </c>
      <c r="AN22">
        <v>0</v>
      </c>
      <c r="AO22" t="s">
        <v>1192</v>
      </c>
      <c r="AP22" t="s">
        <v>1193</v>
      </c>
      <c r="AQ22" t="s">
        <v>111</v>
      </c>
      <c r="AR22" t="s">
        <v>2</v>
      </c>
      <c r="AS22" t="s">
        <v>105</v>
      </c>
      <c r="AT22" t="s">
        <v>2</v>
      </c>
      <c r="AU22" t="s">
        <v>1194</v>
      </c>
      <c r="AV22" t="s">
        <v>1195</v>
      </c>
      <c r="AW22" t="s">
        <v>1196</v>
      </c>
      <c r="AX22" t="s">
        <v>145</v>
      </c>
      <c r="AY22" t="s">
        <v>515</v>
      </c>
      <c r="AZ22" t="s">
        <v>23</v>
      </c>
      <c r="BA22" t="s">
        <v>564</v>
      </c>
      <c r="BB22" t="s">
        <v>295</v>
      </c>
      <c r="BC22" t="s">
        <v>714</v>
      </c>
      <c r="BD22" t="s">
        <v>53</v>
      </c>
      <c r="BE22" t="s">
        <v>899</v>
      </c>
      <c r="BF22" t="s">
        <v>900</v>
      </c>
      <c r="BG22" t="s">
        <v>901</v>
      </c>
      <c r="BH22" t="s">
        <v>340</v>
      </c>
      <c r="BI22" t="s">
        <v>49</v>
      </c>
      <c r="BJ22" t="s">
        <v>145</v>
      </c>
      <c r="BK22" t="s">
        <v>895</v>
      </c>
      <c r="BL22" t="s">
        <v>1197</v>
      </c>
      <c r="BM22" t="s">
        <v>714</v>
      </c>
      <c r="BN22">
        <v>5.34</v>
      </c>
      <c r="BO22">
        <v>9.1300000000000008</v>
      </c>
      <c r="BP22">
        <v>11.21</v>
      </c>
      <c r="BQ22">
        <v>5.99</v>
      </c>
      <c r="BR22">
        <v>10.68</v>
      </c>
      <c r="BS22" t="s">
        <v>2</v>
      </c>
      <c r="BT22" t="s">
        <v>902</v>
      </c>
      <c r="BU22" t="s">
        <v>513</v>
      </c>
      <c r="BV22">
        <v>18.93</v>
      </c>
      <c r="BW22">
        <v>19.440000000000001</v>
      </c>
      <c r="BX22">
        <v>19.25</v>
      </c>
      <c r="BY22">
        <v>5.57</v>
      </c>
      <c r="BZ22">
        <v>6.93</v>
      </c>
      <c r="CA22">
        <v>7.67</v>
      </c>
      <c r="CB22">
        <v>-9.8800000000000008</v>
      </c>
      <c r="CC22" s="9">
        <v>-23.11</v>
      </c>
      <c r="CD22" s="10" t="s">
        <v>1198</v>
      </c>
      <c r="CE22" s="9" t="s">
        <v>162</v>
      </c>
      <c r="CF22" s="9">
        <v>-0.14847161572052403</v>
      </c>
      <c r="CG22" s="9">
        <v>-1.8361724935192321</v>
      </c>
      <c r="CH22" s="9">
        <v>-0.40861710906028748</v>
      </c>
      <c r="CI22" s="9">
        <v>6.9979904219508171E-3</v>
      </c>
      <c r="CJ22" s="10">
        <v>0.45223569869995117</v>
      </c>
      <c r="CK22" s="10">
        <v>5.6928034871816635E-2</v>
      </c>
      <c r="CL22" s="10">
        <v>-1.9999999552965164E-2</v>
      </c>
      <c r="CM22" s="10">
        <v>-0.21026065945625305</v>
      </c>
      <c r="CN22" s="10">
        <v>-9.3060947954654694E-2</v>
      </c>
      <c r="CO22">
        <v>0.33466637134552002</v>
      </c>
      <c r="CP22">
        <v>0.61491990089416504</v>
      </c>
      <c r="CQ22">
        <v>2.3521912097930908</v>
      </c>
      <c r="CR22" s="9">
        <v>64.675486943407492</v>
      </c>
      <c r="CS22" s="10">
        <v>36.938586492344491</v>
      </c>
      <c r="CT22">
        <v>1.0958904109589043</v>
      </c>
      <c r="CU22">
        <v>1.7508923076093197E-2</v>
      </c>
      <c r="CV22">
        <v>0.59969117492437363</v>
      </c>
      <c r="CW22">
        <v>0.06</v>
      </c>
      <c r="CX22">
        <v>49.82209114187858</v>
      </c>
      <c r="CY22">
        <v>75628750.492826566</v>
      </c>
      <c r="CZ22">
        <v>1.7508923076093197E-2</v>
      </c>
      <c r="DA22">
        <v>17.320619024152034</v>
      </c>
      <c r="DB22">
        <v>217543177.57037956</v>
      </c>
      <c r="DC22">
        <v>1.6633476922288535E-2</v>
      </c>
      <c r="DD22">
        <v>9.2397996911452722</v>
      </c>
      <c r="DE22">
        <v>407799154.30536342</v>
      </c>
      <c r="DF22">
        <v>1.5407852306962013E-2</v>
      </c>
      <c r="DG22">
        <v>6.0546874213717006</v>
      </c>
      <c r="DH22">
        <v>622324859.69463253</v>
      </c>
      <c r="DI22">
        <v>1.4007138460874558E-2</v>
      </c>
      <c r="DJ22">
        <v>3.7459126139970937</v>
      </c>
      <c r="DK22">
        <v>1005891724.7349656</v>
      </c>
      <c r="DL22">
        <v>1.2256246153265237E-2</v>
      </c>
      <c r="DM22">
        <v>78787000</v>
      </c>
      <c r="DN22">
        <v>1.7508923076093197E-2</v>
      </c>
      <c r="DO22">
        <v>3767982500</v>
      </c>
      <c r="DP22">
        <v>946920050</v>
      </c>
      <c r="DQ22" s="11">
        <v>2816</v>
      </c>
      <c r="DR22">
        <v>-0.16598053879661723</v>
      </c>
      <c r="DS22">
        <v>-2.4358636684436057</v>
      </c>
      <c r="DT22">
        <v>-0.47333333333333333</v>
      </c>
      <c r="DU22">
        <v>-0.17833333333333334</v>
      </c>
      <c r="DV22">
        <v>-0.65166666666666662</v>
      </c>
      <c r="DW22">
        <v>-9.4275205538727818</v>
      </c>
      <c r="DX22">
        <v>0.29570197044335017</v>
      </c>
      <c r="DY22">
        <v>-9.0494649704881134</v>
      </c>
      <c r="DZ22">
        <v>764</v>
      </c>
      <c r="EA22">
        <v>-9.0420694249983047</v>
      </c>
      <c r="EB22" s="12">
        <v>9</v>
      </c>
      <c r="EC22" s="12">
        <v>8.3674217076515664E-2</v>
      </c>
      <c r="ED22">
        <v>0.72318748553625023</v>
      </c>
      <c r="EE22">
        <v>-1.1360000000000001</v>
      </c>
      <c r="EF22">
        <v>-1.1204000000000001</v>
      </c>
      <c r="EG22">
        <v>18.11570197044335</v>
      </c>
      <c r="EH22" s="13" t="s">
        <v>546</v>
      </c>
      <c r="EI22">
        <v>0</v>
      </c>
      <c r="EJ22">
        <v>1</v>
      </c>
      <c r="EK22">
        <v>45470</v>
      </c>
      <c r="EL22">
        <v>-0.42</v>
      </c>
      <c r="EM22">
        <v>-5.7</v>
      </c>
      <c r="EN22">
        <v>1.72</v>
      </c>
      <c r="EO22">
        <v>5.01</v>
      </c>
      <c r="EP22">
        <v>-1.56</v>
      </c>
    </row>
    <row r="23" spans="1:146" ht="96" x14ac:dyDescent="0.25">
      <c r="C23" s="8" t="str">
        <f>""&amp;CHAR(10)&amp;Basic_Fundamental_Information_Constructure(F23)&amp;CHAR(10)&amp;Basic_Fundamental_Information_Concatenate("")</f>
        <v xml:space="preserve">
市值42.216821亿, 利润-3.37亿; PE399; 平均PE-19.48; 平均PEG-.17, PB7.92; ROIC6.4%; ROE-15.9533%; 股利率0%; 毛利20.5333%; 净利-13.3633%; 上一年度营收增323.08%, 利润增-249.08%; 当季营收增0%, 利润增76.39%; 过往5年营收增111.91%, 利润增-249.08%
Income profile:
</v>
      </c>
      <c r="D23" t="s">
        <v>674</v>
      </c>
      <c r="E23" t="s">
        <v>675</v>
      </c>
      <c r="F23">
        <v>6.06</v>
      </c>
      <c r="G23">
        <v>-2.2599999999999998</v>
      </c>
      <c r="H23" t="s">
        <v>1199</v>
      </c>
      <c r="I23">
        <v>4221682100</v>
      </c>
      <c r="J23">
        <v>399</v>
      </c>
      <c r="K23">
        <v>7.92</v>
      </c>
      <c r="L23" t="s">
        <v>513</v>
      </c>
      <c r="M23" t="s">
        <v>702</v>
      </c>
      <c r="N23" t="s">
        <v>734</v>
      </c>
      <c r="O23" t="s">
        <v>22</v>
      </c>
      <c r="P23" s="6">
        <v>55.32</v>
      </c>
      <c r="Q23" t="s">
        <v>305</v>
      </c>
      <c r="R23">
        <v>-7525678</v>
      </c>
      <c r="S23">
        <v>-9.8170000000000002</v>
      </c>
      <c r="T23" t="s">
        <v>1200</v>
      </c>
      <c r="U23">
        <v>511697210</v>
      </c>
      <c r="V23">
        <v>696647210</v>
      </c>
      <c r="W23">
        <v>2.3199999999999998</v>
      </c>
      <c r="X23" t="s">
        <v>2</v>
      </c>
      <c r="Y23">
        <v>-5.1100000000000003</v>
      </c>
      <c r="Z23" t="s">
        <v>2</v>
      </c>
      <c r="AA23" t="s">
        <v>2</v>
      </c>
      <c r="AB23" t="s">
        <v>2</v>
      </c>
      <c r="AC23" t="s">
        <v>2</v>
      </c>
      <c r="AD23" t="s">
        <v>2</v>
      </c>
      <c r="AE23">
        <v>-545744</v>
      </c>
      <c r="AF23" t="s">
        <v>18</v>
      </c>
      <c r="AG23" t="s">
        <v>1201</v>
      </c>
      <c r="AH23" t="s">
        <v>904</v>
      </c>
      <c r="AI23" t="s">
        <v>262</v>
      </c>
      <c r="AJ23" t="s">
        <v>905</v>
      </c>
      <c r="AK23" t="s">
        <v>2</v>
      </c>
      <c r="AL23" t="s">
        <v>906</v>
      </c>
      <c r="AM23" t="s">
        <v>2</v>
      </c>
      <c r="AN23" t="s">
        <v>1202</v>
      </c>
      <c r="AO23" t="s">
        <v>2</v>
      </c>
      <c r="AP23" t="s">
        <v>30</v>
      </c>
      <c r="AQ23" t="s">
        <v>84</v>
      </c>
      <c r="AR23" t="s">
        <v>2</v>
      </c>
      <c r="AS23" t="s">
        <v>2</v>
      </c>
      <c r="AT23" t="s">
        <v>2</v>
      </c>
      <c r="AU23" t="s">
        <v>1203</v>
      </c>
      <c r="AV23" t="s">
        <v>1204</v>
      </c>
      <c r="AW23" t="s">
        <v>1205</v>
      </c>
      <c r="AX23" t="s">
        <v>80</v>
      </c>
      <c r="AY23" t="s">
        <v>2</v>
      </c>
      <c r="AZ23" t="s">
        <v>268</v>
      </c>
      <c r="BA23" t="s">
        <v>109</v>
      </c>
      <c r="BB23" t="s">
        <v>120</v>
      </c>
      <c r="BC23" t="s">
        <v>676</v>
      </c>
      <c r="BD23" t="s">
        <v>2</v>
      </c>
      <c r="BE23" t="s">
        <v>2</v>
      </c>
      <c r="BF23" t="s">
        <v>2</v>
      </c>
      <c r="BG23" t="s">
        <v>2</v>
      </c>
      <c r="BH23" t="s">
        <v>217</v>
      </c>
      <c r="BI23" t="s">
        <v>22</v>
      </c>
      <c r="BJ23" t="s">
        <v>80</v>
      </c>
      <c r="BK23" t="s">
        <v>903</v>
      </c>
      <c r="BL23" t="s">
        <v>1206</v>
      </c>
      <c r="BM23" t="s">
        <v>676</v>
      </c>
      <c r="BN23">
        <v>6.4</v>
      </c>
      <c r="BO23" t="s">
        <v>2</v>
      </c>
      <c r="BP23" t="s">
        <v>2</v>
      </c>
      <c r="BQ23">
        <v>12.55</v>
      </c>
      <c r="BR23">
        <v>-52.13</v>
      </c>
      <c r="BS23">
        <v>-8.2799999999999994</v>
      </c>
      <c r="BT23" t="s">
        <v>539</v>
      </c>
      <c r="BU23" t="s">
        <v>513</v>
      </c>
      <c r="BV23">
        <v>26.71</v>
      </c>
      <c r="BW23">
        <v>20.62</v>
      </c>
      <c r="BX23">
        <v>14.27</v>
      </c>
      <c r="BY23">
        <v>2.5299999999999998</v>
      </c>
      <c r="BZ23">
        <v>-34.35</v>
      </c>
      <c r="CA23">
        <v>-8.27</v>
      </c>
      <c r="CB23">
        <v>-2.88</v>
      </c>
      <c r="CC23" s="9">
        <v>-1.1399999999999999</v>
      </c>
      <c r="CD23" s="10" t="s">
        <v>1207</v>
      </c>
      <c r="CE23" s="9" t="s">
        <v>155</v>
      </c>
      <c r="CF23" s="9">
        <v>0</v>
      </c>
      <c r="CG23" s="9">
        <v>0.76386251604178235</v>
      </c>
      <c r="CH23" s="9">
        <v>3.230769157409668</v>
      </c>
      <c r="CI23" s="9" t="s">
        <v>2</v>
      </c>
      <c r="CJ23" s="10" t="s">
        <v>2</v>
      </c>
      <c r="CK23" s="10">
        <v>6.1302680522203445E-2</v>
      </c>
      <c r="CL23" s="10">
        <v>6.5306119620800018E-2</v>
      </c>
      <c r="CM23" s="10">
        <v>-2.4907665252685547</v>
      </c>
      <c r="CN23" s="10" t="s">
        <v>2</v>
      </c>
      <c r="CO23" t="s">
        <v>2</v>
      </c>
      <c r="CP23" t="s">
        <v>2</v>
      </c>
      <c r="CQ23" t="s">
        <v>2</v>
      </c>
      <c r="CR23" s="9">
        <v>-19.475380379775448</v>
      </c>
      <c r="CS23" s="10">
        <v>-0.17402312720822033</v>
      </c>
      <c r="CT23">
        <v>0</v>
      </c>
      <c r="CU23">
        <v>1.1191259858508904</v>
      </c>
      <c r="CV23">
        <v>-2.4907665252685547</v>
      </c>
      <c r="CW23">
        <v>0.06</v>
      </c>
      <c r="CX23" t="e">
        <v>#VALUE!</v>
      </c>
      <c r="CY23" t="s">
        <v>447</v>
      </c>
      <c r="CZ23">
        <v>1.1191259858508904</v>
      </c>
      <c r="DA23" t="e">
        <v>#VALUE!</v>
      </c>
      <c r="DB23" t="s">
        <v>448</v>
      </c>
      <c r="DC23">
        <v>1.0631696865583458</v>
      </c>
      <c r="DD23" t="e">
        <v>#VALUE!</v>
      </c>
      <c r="DE23" t="s">
        <v>448</v>
      </c>
      <c r="DF23">
        <v>0.98483086754878357</v>
      </c>
      <c r="DG23" t="e">
        <v>#VALUE!</v>
      </c>
      <c r="DH23" t="s">
        <v>448</v>
      </c>
      <c r="DI23">
        <v>0.89530078868071239</v>
      </c>
      <c r="DJ23" t="e">
        <v>#VALUE!</v>
      </c>
      <c r="DK23" t="s">
        <v>448</v>
      </c>
      <c r="DL23">
        <v>0.78338819009562322</v>
      </c>
      <c r="DM23">
        <v>-337000000</v>
      </c>
      <c r="DN23">
        <v>1.1191259858508904</v>
      </c>
      <c r="DO23">
        <v>4380682100</v>
      </c>
      <c r="DP23">
        <v>993036960</v>
      </c>
      <c r="DQ23" s="11">
        <v>3010</v>
      </c>
      <c r="DR23">
        <v>-1.1191259858508904</v>
      </c>
      <c r="DS23">
        <v>3.2546290413103369</v>
      </c>
      <c r="DT23">
        <v>-0.21000000000000008</v>
      </c>
      <c r="DU23">
        <v>-2.3050000000000002</v>
      </c>
      <c r="DV23">
        <v>-2.5150000000000001</v>
      </c>
      <c r="DW23">
        <v>-4.395833333333333</v>
      </c>
      <c r="DX23">
        <v>0.32895754475703409</v>
      </c>
      <c r="DY23">
        <v>-4.0470873614663256</v>
      </c>
      <c r="DZ23">
        <v>329</v>
      </c>
      <c r="EA23">
        <v>-4.0440557094267131</v>
      </c>
      <c r="EB23" s="12">
        <v>4</v>
      </c>
      <c r="EC23" s="12">
        <v>6.6766075184597387E-2</v>
      </c>
      <c r="ED23">
        <v>0.56125969412839538</v>
      </c>
      <c r="EE23">
        <v>3.0542099999999999</v>
      </c>
      <c r="EF23">
        <v>3.0928100000000001</v>
      </c>
      <c r="EG23">
        <v>21.118957544757034</v>
      </c>
      <c r="EH23" s="13" t="s">
        <v>556</v>
      </c>
      <c r="EI23">
        <v>0</v>
      </c>
      <c r="EJ23">
        <v>1</v>
      </c>
      <c r="EK23">
        <v>45470</v>
      </c>
      <c r="EL23">
        <v>0.94</v>
      </c>
      <c r="EM23">
        <v>-3.1</v>
      </c>
      <c r="EN23">
        <v>-0.75</v>
      </c>
      <c r="EO23">
        <v>1.63</v>
      </c>
      <c r="EP23">
        <v>-3.86</v>
      </c>
    </row>
    <row r="24" spans="1:146" ht="192" x14ac:dyDescent="0.25">
      <c r="A24" s="8"/>
      <c r="B24" s="8"/>
      <c r="C24" s="8" t="str">
        <f>"公司主营业务是数据通信、绿色出行、新能源业务。公司的主要产品和服务有通信电源业务、数据中心业务、IOT业务、车载设备、充换电业务、分布式光伏业务、储能业务、工业电源业务、智能疏散业务、高压变频器业务等。"&amp;CHAR(10)&amp;Basic_Fundamental_Information_Constructure(F24)&amp;CHAR(10)&amp;Basic_Fundamental_Information_Concatenate("数据通信 7.21亿 53.17% 45.67% 24.04%
定制及模块电源 1.74亿 12.80% 12.97% 28.35%
绿色出行 1.66亿 12.24% 10.31% 23.59%
新能源 1.34亿 9.86% 14.25% 40.45%
综合节能 1.10亿 8.13% 12.22% 42.08%
其他业务 5171.53万 3.81% 4.58% 33.59%")</f>
        <v>公司主营业务是数据通信、绿色出行、新能源业务。公司的主要产品和服务有通信电源业务、数据中心业务、IOT业务、车载设备、充换电业务、分布式光伏业务、储能业务、工业电源业务、智能疏散业务、高压变频器业务等。
市值19.641278亿, 利润71.84亿; PE; 平均PE1.76; 平均PEG0, PB3.59; ROIC0%; ROE-10.24%; 股利率0%; 毛利28.4633%; 净利-16.0967%; 上一年度营收增3703.32%, 利润增43344.28%; 当季营收增-98%, 利润增-110.89%; 过往5年营收增750.73%, 利润增8563.83%
Income profile:
数据通信 7.21亿 53.17% 45.67% 24.04%
定制及模块电源 1.74亿 12.80% 12.97% 28.35%
绿色出行 1.66亿 12.24% 10.31% 23.59%
新能源 1.34亿 9.86% 14.25% 40.45%
综合节能 1.10亿 8.13% 12.22% 42.08%
其他业务 5171.53万 3.81% 4.58% 33.59%</v>
      </c>
      <c r="D24" t="s">
        <v>424</v>
      </c>
      <c r="E24" t="s">
        <v>425</v>
      </c>
      <c r="F24">
        <v>3.55</v>
      </c>
      <c r="G24">
        <v>1.43</v>
      </c>
      <c r="H24" t="s">
        <v>1208</v>
      </c>
      <c r="I24">
        <v>1964127800</v>
      </c>
      <c r="K24">
        <v>3.59</v>
      </c>
      <c r="L24" t="s">
        <v>513</v>
      </c>
      <c r="M24" t="s">
        <v>673</v>
      </c>
      <c r="N24" t="s">
        <v>299</v>
      </c>
      <c r="O24" t="s">
        <v>56</v>
      </c>
      <c r="P24">
        <v>-27.75</v>
      </c>
      <c r="Q24" t="s">
        <v>912</v>
      </c>
      <c r="R24">
        <v>-57089616</v>
      </c>
      <c r="S24" s="6">
        <v>-0.24079999999999999</v>
      </c>
      <c r="T24" t="s">
        <v>913</v>
      </c>
      <c r="U24">
        <v>553275450</v>
      </c>
      <c r="V24">
        <v>553275450</v>
      </c>
      <c r="W24">
        <v>3.81</v>
      </c>
      <c r="X24">
        <v>0.06</v>
      </c>
      <c r="Y24">
        <v>-46.89</v>
      </c>
      <c r="Z24" t="s">
        <v>58</v>
      </c>
      <c r="AA24" t="s">
        <v>1209</v>
      </c>
      <c r="AB24" t="s">
        <v>1210</v>
      </c>
      <c r="AC24" t="s">
        <v>1211</v>
      </c>
      <c r="AD24" t="s">
        <v>2</v>
      </c>
      <c r="AE24">
        <v>11476889</v>
      </c>
      <c r="AF24" t="s">
        <v>907</v>
      </c>
      <c r="AG24" t="s">
        <v>1212</v>
      </c>
      <c r="AH24" t="s">
        <v>908</v>
      </c>
      <c r="AI24" t="s">
        <v>55</v>
      </c>
      <c r="AJ24" t="s">
        <v>909</v>
      </c>
      <c r="AK24" t="s">
        <v>1213</v>
      </c>
      <c r="AL24" t="s">
        <v>910</v>
      </c>
      <c r="AM24" t="s">
        <v>2</v>
      </c>
      <c r="AN24" t="s">
        <v>1214</v>
      </c>
      <c r="AO24" t="s">
        <v>470</v>
      </c>
      <c r="AP24" t="s">
        <v>106</v>
      </c>
      <c r="AQ24" t="s">
        <v>68</v>
      </c>
      <c r="AR24" t="s">
        <v>2</v>
      </c>
      <c r="AS24" t="s">
        <v>699</v>
      </c>
      <c r="AT24" t="s">
        <v>1215</v>
      </c>
      <c r="AU24" t="s">
        <v>1216</v>
      </c>
      <c r="AV24" t="s">
        <v>1217</v>
      </c>
      <c r="AW24" t="s">
        <v>1218</v>
      </c>
      <c r="AX24" t="s">
        <v>534</v>
      </c>
      <c r="AY24" t="s">
        <v>454</v>
      </c>
      <c r="AZ24" t="s">
        <v>312</v>
      </c>
      <c r="BA24" t="s">
        <v>291</v>
      </c>
      <c r="BB24" t="s">
        <v>301</v>
      </c>
      <c r="BC24" t="s">
        <v>911</v>
      </c>
      <c r="BD24" t="s">
        <v>319</v>
      </c>
      <c r="BE24" t="s">
        <v>426</v>
      </c>
      <c r="BF24" t="s">
        <v>427</v>
      </c>
      <c r="BG24" t="s">
        <v>315</v>
      </c>
      <c r="BH24" t="s">
        <v>174</v>
      </c>
      <c r="BI24" t="s">
        <v>914</v>
      </c>
      <c r="BJ24" t="s">
        <v>534</v>
      </c>
      <c r="BK24" t="s">
        <v>703</v>
      </c>
      <c r="BL24" t="s">
        <v>280</v>
      </c>
      <c r="BM24" t="s">
        <v>911</v>
      </c>
      <c r="BN24" t="s">
        <v>2</v>
      </c>
      <c r="BO24" t="s">
        <v>2</v>
      </c>
      <c r="BP24" t="s">
        <v>2</v>
      </c>
      <c r="BQ24">
        <v>-11.62</v>
      </c>
      <c r="BR24">
        <v>-1.82</v>
      </c>
      <c r="BS24">
        <v>-17.28</v>
      </c>
      <c r="BT24" t="s">
        <v>539</v>
      </c>
      <c r="BU24" t="s">
        <v>513</v>
      </c>
      <c r="BV24">
        <v>28.38</v>
      </c>
      <c r="BW24">
        <v>27.99</v>
      </c>
      <c r="BX24">
        <v>29.02</v>
      </c>
      <c r="BY24">
        <v>-33.11</v>
      </c>
      <c r="BZ24">
        <v>-1.04</v>
      </c>
      <c r="CA24">
        <v>-14.14</v>
      </c>
      <c r="CB24">
        <v>-1.66</v>
      </c>
      <c r="CC24">
        <v>-12.56</v>
      </c>
      <c r="CD24" t="s">
        <v>1219</v>
      </c>
      <c r="CE24" t="s">
        <v>212</v>
      </c>
      <c r="CF24" s="9">
        <v>-0.97998708844415749</v>
      </c>
      <c r="CG24" s="10">
        <v>-1.1089496488549617</v>
      </c>
      <c r="CH24" s="9">
        <v>37.033184051513672</v>
      </c>
      <c r="CI24" s="9">
        <v>0.30134356021881104</v>
      </c>
      <c r="CJ24" s="9">
        <v>-0.14309211075305939</v>
      </c>
      <c r="CK24" s="9">
        <v>-2.329312264919281E-2</v>
      </c>
      <c r="CL24" s="9">
        <v>0.36813178658485413</v>
      </c>
      <c r="CM24" s="10">
        <v>433.44284057617187</v>
      </c>
      <c r="CN24" s="10">
        <v>0.88300985097885132</v>
      </c>
      <c r="CO24" s="10">
        <v>-2.3877522945404053</v>
      </c>
      <c r="CP24" s="10">
        <v>-4.7862515449523926</v>
      </c>
      <c r="CQ24" s="10">
        <v>1.0395374298095703</v>
      </c>
      <c r="CR24">
        <v>1.7551109888027807</v>
      </c>
      <c r="CS24">
        <v>2.3378865215707418E-3</v>
      </c>
      <c r="CT24">
        <v>0</v>
      </c>
      <c r="CU24" s="9">
        <v>7.5072548329830173</v>
      </c>
      <c r="CV24" s="10">
        <v>85.638276803493497</v>
      </c>
      <c r="CW24">
        <v>0.06</v>
      </c>
      <c r="CX24">
        <v>5.059476178713089E-2</v>
      </c>
      <c r="CY24">
        <v>57656715773.72641</v>
      </c>
      <c r="CZ24">
        <v>7.5072548329830173</v>
      </c>
      <c r="DA24">
        <v>7.8386069089619534E-4</v>
      </c>
      <c r="DB24">
        <v>3721487547315.0977</v>
      </c>
      <c r="DC24">
        <v>7.1318920913338664</v>
      </c>
      <c r="DD24">
        <v>2.5596534575763003E-6</v>
      </c>
      <c r="DE24">
        <v>1139657320160123.2</v>
      </c>
      <c r="DF24">
        <v>6.6063842530250554</v>
      </c>
      <c r="DG24">
        <v>2.1668090718701769E-9</v>
      </c>
      <c r="DH24">
        <v>1.3462781921446459E+18</v>
      </c>
      <c r="DI24">
        <v>6.0058038663864144</v>
      </c>
      <c r="DJ24">
        <v>1.2865025781795316E-16</v>
      </c>
      <c r="DK24">
        <v>2.2674869444318476E+25</v>
      </c>
      <c r="DL24">
        <v>5.2550783830881116</v>
      </c>
      <c r="DM24">
        <v>7184000000</v>
      </c>
      <c r="DN24">
        <v>7.5072548329830173</v>
      </c>
      <c r="DO24">
        <v>2917127800</v>
      </c>
      <c r="DP24">
        <v>-258116000</v>
      </c>
      <c r="DQ24">
        <v>3161</v>
      </c>
      <c r="DR24">
        <v>-8.4872419214271755</v>
      </c>
      <c r="DS24">
        <v>-86.747226452348457</v>
      </c>
      <c r="DT24" s="11">
        <v>0.10999999999999995</v>
      </c>
      <c r="DU24">
        <v>-1.8483333333333336</v>
      </c>
      <c r="DV24">
        <v>-1.7383333333333337</v>
      </c>
      <c r="DW24">
        <v>-2.1255999999999999</v>
      </c>
      <c r="DX24">
        <v>0.27815622317596411</v>
      </c>
      <c r="DY24">
        <v>-2.0135844216309011</v>
      </c>
      <c r="DZ24">
        <v>4658</v>
      </c>
      <c r="EA24">
        <v>-2.0012015965904437</v>
      </c>
      <c r="EB24">
        <v>2</v>
      </c>
      <c r="EC24">
        <v>4.5547656235244129E-2</v>
      </c>
      <c r="ED24">
        <v>0.4211283909307742</v>
      </c>
      <c r="EE24" s="12">
        <v>-3.0613000000000001</v>
      </c>
      <c r="EF24">
        <v>-3.0352999999999999</v>
      </c>
      <c r="EG24">
        <v>17.108156223175964</v>
      </c>
      <c r="EH24" t="s">
        <v>678</v>
      </c>
      <c r="EI24">
        <v>0</v>
      </c>
      <c r="EJ24">
        <v>0</v>
      </c>
      <c r="EK24" s="13">
        <v>45470</v>
      </c>
      <c r="EL24">
        <v>-0.37</v>
      </c>
      <c r="EM24">
        <v>-6.3</v>
      </c>
      <c r="EN24">
        <v>1.98</v>
      </c>
      <c r="EO24">
        <v>4.26</v>
      </c>
      <c r="EP24">
        <v>-2.6</v>
      </c>
    </row>
    <row r="25" spans="1:146" ht="96" x14ac:dyDescent="0.25">
      <c r="A25" s="8"/>
      <c r="B25" s="8"/>
      <c r="C25" s="8" t="str">
        <f>""&amp;CHAR(10)&amp;Basic_Fundamental_Information_Constructure(F25)&amp;CHAR(10)&amp;Basic_Fundamental_Information_Concatenate("")</f>
        <v xml:space="preserve">
市值435.07531亿, 利润26.23亿; PE52.12; 平均PE40.31; 平均PEG6.34, PB1.18; ROIC.9167%; ROE1.2233%; 股利率.5388%; 毛利12.67%; 净利1.8633%; 上一年度营收增-61.61%, 利润增680.65%; 当季营收增271.16%, 利润增-83.44%; 过往5年营收增-6.36%, 利润增115.76%
Income profile:
</v>
      </c>
      <c r="D25" t="s">
        <v>517</v>
      </c>
      <c r="E25" t="s">
        <v>518</v>
      </c>
      <c r="F25">
        <v>19.86</v>
      </c>
      <c r="G25">
        <v>0.91</v>
      </c>
      <c r="H25" t="s">
        <v>1220</v>
      </c>
      <c r="I25">
        <v>43507531000</v>
      </c>
      <c r="J25">
        <v>52.12</v>
      </c>
      <c r="K25">
        <v>1.18</v>
      </c>
      <c r="L25" t="s">
        <v>513</v>
      </c>
      <c r="M25" t="s">
        <v>916</v>
      </c>
      <c r="N25" t="s">
        <v>1221</v>
      </c>
      <c r="O25" t="s">
        <v>917</v>
      </c>
      <c r="P25">
        <v>24.42</v>
      </c>
      <c r="Q25" t="s">
        <v>1222</v>
      </c>
      <c r="R25">
        <v>88111559</v>
      </c>
      <c r="S25" s="6">
        <v>1.6779999999999999</v>
      </c>
      <c r="T25" t="s">
        <v>577</v>
      </c>
      <c r="U25">
        <v>2190711500</v>
      </c>
      <c r="V25">
        <v>2190711500</v>
      </c>
      <c r="W25">
        <v>2.11</v>
      </c>
      <c r="X25">
        <v>0.11</v>
      </c>
      <c r="Y25">
        <v>1.6</v>
      </c>
      <c r="Z25" t="s">
        <v>894</v>
      </c>
      <c r="AA25" t="s">
        <v>1223</v>
      </c>
      <c r="AB25" t="s">
        <v>22</v>
      </c>
      <c r="AC25" t="s">
        <v>180</v>
      </c>
      <c r="AD25" t="s">
        <v>2</v>
      </c>
      <c r="AE25">
        <v>-65761635</v>
      </c>
      <c r="AF25" t="s">
        <v>919</v>
      </c>
      <c r="AG25" t="s">
        <v>1224</v>
      </c>
      <c r="AH25" t="s">
        <v>920</v>
      </c>
      <c r="AI25" t="s">
        <v>1225</v>
      </c>
      <c r="AJ25" t="s">
        <v>921</v>
      </c>
      <c r="AK25" t="s">
        <v>1226</v>
      </c>
      <c r="AL25" t="s">
        <v>922</v>
      </c>
      <c r="AM25" t="s">
        <v>2</v>
      </c>
      <c r="AN25" t="s">
        <v>1227</v>
      </c>
      <c r="AO25" t="s">
        <v>711</v>
      </c>
      <c r="AP25" t="s">
        <v>1228</v>
      </c>
      <c r="AQ25" t="s">
        <v>1229</v>
      </c>
      <c r="AR25" t="s">
        <v>2</v>
      </c>
      <c r="AS25" t="s">
        <v>1230</v>
      </c>
      <c r="AT25" t="s">
        <v>1231</v>
      </c>
      <c r="AU25" t="s">
        <v>814</v>
      </c>
      <c r="AV25" t="s">
        <v>1232</v>
      </c>
      <c r="AW25" t="s">
        <v>1233</v>
      </c>
      <c r="AX25" t="s">
        <v>923</v>
      </c>
      <c r="AY25" t="s">
        <v>571</v>
      </c>
      <c r="AZ25" t="s">
        <v>519</v>
      </c>
      <c r="BA25" t="s">
        <v>520</v>
      </c>
      <c r="BB25" t="s">
        <v>521</v>
      </c>
      <c r="BC25" t="s">
        <v>198</v>
      </c>
      <c r="BD25" t="s">
        <v>218</v>
      </c>
      <c r="BE25" t="s">
        <v>266</v>
      </c>
      <c r="BF25" t="s">
        <v>296</v>
      </c>
      <c r="BG25" t="s">
        <v>516</v>
      </c>
      <c r="BH25" t="s">
        <v>918</v>
      </c>
      <c r="BI25" t="s">
        <v>701</v>
      </c>
      <c r="BJ25" t="s">
        <v>923</v>
      </c>
      <c r="BK25" t="s">
        <v>27</v>
      </c>
      <c r="BL25" t="s">
        <v>178</v>
      </c>
      <c r="BM25" t="s">
        <v>198</v>
      </c>
      <c r="BN25">
        <v>0.82</v>
      </c>
      <c r="BO25">
        <v>0.61</v>
      </c>
      <c r="BP25">
        <v>1.32</v>
      </c>
      <c r="BQ25">
        <v>1.1499999999999999</v>
      </c>
      <c r="BR25">
        <v>0.82</v>
      </c>
      <c r="BS25">
        <v>1.7</v>
      </c>
      <c r="BT25" t="s">
        <v>924</v>
      </c>
      <c r="BU25" t="s">
        <v>513</v>
      </c>
      <c r="BV25">
        <v>13.28</v>
      </c>
      <c r="BW25">
        <v>12.84</v>
      </c>
      <c r="BX25">
        <v>11.89</v>
      </c>
      <c r="BY25">
        <v>2.35</v>
      </c>
      <c r="BZ25">
        <v>0.97</v>
      </c>
      <c r="CA25">
        <v>2.27</v>
      </c>
      <c r="CB25">
        <v>1.95</v>
      </c>
      <c r="CC25">
        <v>0.2</v>
      </c>
      <c r="CD25" t="s">
        <v>1234</v>
      </c>
      <c r="CE25" t="s">
        <v>253</v>
      </c>
      <c r="CF25" s="9">
        <v>2.7115885416666665</v>
      </c>
      <c r="CG25" s="10">
        <v>-0.83437676879699252</v>
      </c>
      <c r="CH25" s="9">
        <v>-0.61611807346343994</v>
      </c>
      <c r="CI25" s="9">
        <v>0.10415647923946381</v>
      </c>
      <c r="CJ25" s="9">
        <v>0.28337150812149048</v>
      </c>
      <c r="CK25" s="9">
        <v>-9.0162009000778198E-2</v>
      </c>
      <c r="CL25" s="9">
        <v>9.7774015739560127E-4</v>
      </c>
      <c r="CM25" s="10">
        <v>6.8065476417541504</v>
      </c>
      <c r="CN25" s="10">
        <v>-0.47086614370346069</v>
      </c>
      <c r="CO25" s="10">
        <v>0.16942909359931946</v>
      </c>
      <c r="CP25" s="10">
        <v>-0.45206862688064575</v>
      </c>
      <c r="CQ25" s="10">
        <v>-0.26483678817749023</v>
      </c>
      <c r="CR25">
        <v>40.309633415688701</v>
      </c>
      <c r="CS25">
        <v>6.3424931540739511</v>
      </c>
      <c r="CT25">
        <v>0.53877139979859012</v>
      </c>
      <c r="CU25" s="9">
        <v>-6.3554870989173645E-2</v>
      </c>
      <c r="CV25" s="10">
        <v>1.1576410353183746</v>
      </c>
      <c r="CW25">
        <v>0.06</v>
      </c>
      <c r="CX25">
        <v>18.195398780022874</v>
      </c>
      <c r="CY25" t="s">
        <v>1235</v>
      </c>
      <c r="CZ25">
        <v>-6.3554870989173645E-2</v>
      </c>
      <c r="DA25">
        <v>6.0651329266742913</v>
      </c>
      <c r="DB25" t="s">
        <v>1236</v>
      </c>
      <c r="DC25">
        <v>-6.0377127439714962E-2</v>
      </c>
      <c r="DD25">
        <v>3.0325664633371456</v>
      </c>
      <c r="DE25" t="s">
        <v>1237</v>
      </c>
      <c r="DF25">
        <v>-5.5928286470472807E-2</v>
      </c>
      <c r="DG25">
        <v>1.8195398780022876</v>
      </c>
      <c r="DH25" t="s">
        <v>1238</v>
      </c>
      <c r="DI25">
        <v>-5.0843896791338918E-2</v>
      </c>
      <c r="DJ25">
        <v>0.90976993900114378</v>
      </c>
      <c r="DK25" t="s">
        <v>1239</v>
      </c>
      <c r="DL25">
        <v>-4.448840969242155E-2</v>
      </c>
      <c r="DM25">
        <v>2623000000</v>
      </c>
      <c r="DN25">
        <v>-6.3554870989173645E-2</v>
      </c>
      <c r="DO25">
        <v>47726531000</v>
      </c>
      <c r="DP25">
        <v>33795834000</v>
      </c>
      <c r="DQ25">
        <v>3207</v>
      </c>
      <c r="DR25">
        <v>2.7751434126558401</v>
      </c>
      <c r="DS25">
        <v>-1.9920178041153671</v>
      </c>
      <c r="DT25" s="11">
        <v>-0.64</v>
      </c>
      <c r="DU25">
        <v>-0.37333333333333335</v>
      </c>
      <c r="DV25">
        <v>-1.0133333333333334</v>
      </c>
      <c r="DW25">
        <v>2E-3</v>
      </c>
      <c r="DX25">
        <v>0.4188704331450086</v>
      </c>
      <c r="DY25">
        <v>2.7774086629001884E-4</v>
      </c>
      <c r="DZ25">
        <v>1874</v>
      </c>
      <c r="EA25">
        <v>1.7588443117700606E-4</v>
      </c>
      <c r="EB25">
        <v>0</v>
      </c>
      <c r="EC25">
        <v>3.3660388417187749E-2</v>
      </c>
      <c r="ED25">
        <v>0.24238700531767873</v>
      </c>
      <c r="EE25" s="12">
        <v>-2.01451</v>
      </c>
      <c r="EF25">
        <v>-2.04541</v>
      </c>
      <c r="EG25">
        <v>28.138870433145009</v>
      </c>
      <c r="EH25" t="s">
        <v>551</v>
      </c>
      <c r="EI25">
        <v>0</v>
      </c>
      <c r="EJ25">
        <v>0</v>
      </c>
      <c r="EK25" s="13">
        <v>45470</v>
      </c>
      <c r="EL25">
        <v>-2.44</v>
      </c>
      <c r="EM25">
        <v>-2.92</v>
      </c>
      <c r="EN25">
        <v>0.86</v>
      </c>
      <c r="EO25">
        <v>3.41</v>
      </c>
      <c r="EP25">
        <v>-3.09</v>
      </c>
    </row>
    <row r="26" spans="1:146" ht="144" x14ac:dyDescent="0.25">
      <c r="A26" s="8" t="s">
        <v>523</v>
      </c>
      <c r="B26" s="8"/>
      <c r="C26" s="8" t="s">
        <v>522</v>
      </c>
      <c r="D26" t="s">
        <v>428</v>
      </c>
      <c r="E26" t="s">
        <v>429</v>
      </c>
      <c r="F26">
        <v>17.05</v>
      </c>
      <c r="G26">
        <v>-0.47</v>
      </c>
      <c r="H26" t="s">
        <v>1240</v>
      </c>
      <c r="I26">
        <v>53153366000</v>
      </c>
      <c r="J26">
        <v>15.46</v>
      </c>
      <c r="K26">
        <v>1.39</v>
      </c>
      <c r="L26" t="s">
        <v>513</v>
      </c>
      <c r="M26" t="s">
        <v>925</v>
      </c>
      <c r="N26" t="s">
        <v>1241</v>
      </c>
      <c r="O26" t="s">
        <v>926</v>
      </c>
      <c r="P26">
        <v>2.5499999999999998</v>
      </c>
      <c r="Q26" t="s">
        <v>934</v>
      </c>
      <c r="R26">
        <v>905751280</v>
      </c>
      <c r="S26" s="6">
        <v>-0.11119999999999999</v>
      </c>
      <c r="T26" t="s">
        <v>681</v>
      </c>
      <c r="U26">
        <v>2023304100</v>
      </c>
      <c r="V26">
        <v>3117499500</v>
      </c>
      <c r="W26">
        <v>3.04</v>
      </c>
      <c r="X26">
        <v>0.12</v>
      </c>
      <c r="Y26">
        <v>6.55</v>
      </c>
      <c r="Z26" t="s">
        <v>1242</v>
      </c>
      <c r="AA26" t="s">
        <v>1243</v>
      </c>
      <c r="AB26" t="s">
        <v>183</v>
      </c>
      <c r="AC26" t="s">
        <v>293</v>
      </c>
      <c r="AD26" t="s">
        <v>2</v>
      </c>
      <c r="AE26">
        <v>29626550</v>
      </c>
      <c r="AF26" t="s">
        <v>928</v>
      </c>
      <c r="AG26" t="s">
        <v>1244</v>
      </c>
      <c r="AH26" t="s">
        <v>929</v>
      </c>
      <c r="AI26" t="s">
        <v>1245</v>
      </c>
      <c r="AJ26" t="s">
        <v>930</v>
      </c>
      <c r="AK26" t="s">
        <v>685</v>
      </c>
      <c r="AL26" t="s">
        <v>931</v>
      </c>
      <c r="AM26" t="s">
        <v>2</v>
      </c>
      <c r="AN26" t="s">
        <v>512</v>
      </c>
      <c r="AO26" t="s">
        <v>1246</v>
      </c>
      <c r="AP26" t="s">
        <v>1247</v>
      </c>
      <c r="AQ26" t="s">
        <v>1248</v>
      </c>
      <c r="AR26" t="s">
        <v>2</v>
      </c>
      <c r="AS26" t="s">
        <v>1249</v>
      </c>
      <c r="AT26" t="s">
        <v>1250</v>
      </c>
      <c r="AU26" t="s">
        <v>812</v>
      </c>
      <c r="AV26" t="s">
        <v>1251</v>
      </c>
      <c r="AW26" t="s">
        <v>205</v>
      </c>
      <c r="AX26" t="s">
        <v>932</v>
      </c>
      <c r="AY26" t="s">
        <v>572</v>
      </c>
      <c r="AZ26" t="s">
        <v>573</v>
      </c>
      <c r="BA26" t="s">
        <v>430</v>
      </c>
      <c r="BB26" t="s">
        <v>431</v>
      </c>
      <c r="BC26" t="s">
        <v>692</v>
      </c>
      <c r="BD26" t="s">
        <v>450</v>
      </c>
      <c r="BE26" t="s">
        <v>346</v>
      </c>
      <c r="BF26" t="s">
        <v>249</v>
      </c>
      <c r="BG26" t="s">
        <v>322</v>
      </c>
      <c r="BH26" t="s">
        <v>927</v>
      </c>
      <c r="BI26" t="s">
        <v>857</v>
      </c>
      <c r="BJ26" t="s">
        <v>932</v>
      </c>
      <c r="BK26" t="s">
        <v>327</v>
      </c>
      <c r="BL26" t="s">
        <v>935</v>
      </c>
      <c r="BM26" t="s">
        <v>692</v>
      </c>
      <c r="BN26">
        <v>6.61</v>
      </c>
      <c r="BO26">
        <v>7.12</v>
      </c>
      <c r="BP26">
        <v>5.96</v>
      </c>
      <c r="BQ26">
        <v>8.1300000000000008</v>
      </c>
      <c r="BR26">
        <v>8.43</v>
      </c>
      <c r="BS26">
        <v>7.2</v>
      </c>
      <c r="BT26" t="s">
        <v>933</v>
      </c>
      <c r="BU26" t="s">
        <v>513</v>
      </c>
      <c r="BV26">
        <v>17.309999999999999</v>
      </c>
      <c r="BW26">
        <v>16.489999999999998</v>
      </c>
      <c r="BX26">
        <v>17.29</v>
      </c>
      <c r="BY26">
        <v>6.12</v>
      </c>
      <c r="BZ26">
        <v>5.56</v>
      </c>
      <c r="CA26">
        <v>5.2</v>
      </c>
      <c r="CB26">
        <v>-7.59</v>
      </c>
      <c r="CC26">
        <v>-1.84</v>
      </c>
      <c r="CD26" t="s">
        <v>1252</v>
      </c>
      <c r="CE26" t="s">
        <v>285</v>
      </c>
      <c r="CF26" s="9">
        <v>9.3793828892005617</v>
      </c>
      <c r="CG26" s="10">
        <v>71.773318763960091</v>
      </c>
      <c r="CH26" s="9">
        <v>-0.87829858064651489</v>
      </c>
      <c r="CI26" s="9">
        <v>0.15899559855461121</v>
      </c>
      <c r="CJ26" s="9">
        <v>0.29021221399307251</v>
      </c>
      <c r="CK26" s="9">
        <v>0.14038008451461792</v>
      </c>
      <c r="CL26" s="9">
        <v>6.8886645138263702E-2</v>
      </c>
      <c r="CM26" s="10">
        <v>-0.86179143190383911</v>
      </c>
      <c r="CN26" s="10">
        <v>0.24858014285564423</v>
      </c>
      <c r="CO26" s="10">
        <v>0.22932326793670654</v>
      </c>
      <c r="CP26" s="10">
        <v>0.45696401596069336</v>
      </c>
      <c r="CQ26" s="10">
        <v>0.13197526335716248</v>
      </c>
      <c r="CR26">
        <v>32.506390378146975</v>
      </c>
      <c r="CS26">
        <v>7.3937296866965854</v>
      </c>
      <c r="CT26">
        <v>2.7859237536656889</v>
      </c>
      <c r="CU26" s="9">
        <v>-4.3964807689189908E-2</v>
      </c>
      <c r="CV26" s="10">
        <v>4.1010251641273497E-2</v>
      </c>
      <c r="CW26">
        <v>0.06</v>
      </c>
      <c r="CX26">
        <v>229.84396455696202</v>
      </c>
      <c r="CY26" t="s">
        <v>1253</v>
      </c>
      <c r="CZ26">
        <v>-4.3964807689189908E-2</v>
      </c>
      <c r="DA26">
        <v>76.614654852320669</v>
      </c>
      <c r="DB26" t="s">
        <v>1254</v>
      </c>
      <c r="DC26">
        <v>-4.1766567304730412E-2</v>
      </c>
      <c r="DD26">
        <v>38.307327426160334</v>
      </c>
      <c r="DE26" t="s">
        <v>1255</v>
      </c>
      <c r="DF26">
        <v>-3.8689030766487116E-2</v>
      </c>
      <c r="DG26">
        <v>22.984396455696203</v>
      </c>
      <c r="DH26" t="s">
        <v>1256</v>
      </c>
      <c r="DI26">
        <v>-3.5171846151351931E-2</v>
      </c>
      <c r="DJ26">
        <v>11.492198227848101</v>
      </c>
      <c r="DK26" t="s">
        <v>1257</v>
      </c>
      <c r="DL26">
        <v>-3.0775365382432935E-2</v>
      </c>
      <c r="DM26">
        <v>395000000</v>
      </c>
      <c r="DN26">
        <v>-4.3964807689189908E-2</v>
      </c>
      <c r="DO26">
        <v>90788366000</v>
      </c>
      <c r="DP26">
        <v>3130383000</v>
      </c>
      <c r="DQ26">
        <v>3539</v>
      </c>
      <c r="DR26">
        <v>9.4233476968897509</v>
      </c>
      <c r="DS26">
        <v>71.732308512318824</v>
      </c>
      <c r="DT26" s="11">
        <v>-0.49</v>
      </c>
      <c r="DU26">
        <v>6.6666666666666652E-2</v>
      </c>
      <c r="DV26">
        <v>-0.42333333333333334</v>
      </c>
      <c r="DW26">
        <v>-5.2424242424242422</v>
      </c>
      <c r="DX26">
        <v>0.35814483942766184</v>
      </c>
      <c r="DY26">
        <v>-5.0359139004673121</v>
      </c>
      <c r="DZ26">
        <v>819</v>
      </c>
      <c r="EA26">
        <v>-5.0301578369677564</v>
      </c>
      <c r="EB26">
        <v>5</v>
      </c>
      <c r="EC26">
        <v>2.9890333583052701E-2</v>
      </c>
      <c r="ED26">
        <v>0.2017642665219353</v>
      </c>
      <c r="EE26" s="12">
        <v>2.7309999999999994E-2</v>
      </c>
      <c r="EF26">
        <v>4.8610000000000007E-2</v>
      </c>
      <c r="EG26">
        <v>21.148144839427662</v>
      </c>
      <c r="EH26">
        <v>-1</v>
      </c>
      <c r="EI26">
        <v>0</v>
      </c>
      <c r="EJ26">
        <v>1</v>
      </c>
      <c r="EK26" s="13">
        <v>45470</v>
      </c>
      <c r="EL26">
        <v>0.53</v>
      </c>
      <c r="EM26">
        <v>-2.2999999999999998</v>
      </c>
      <c r="EN26">
        <v>0.36</v>
      </c>
      <c r="EO26">
        <v>1.62</v>
      </c>
      <c r="EP26">
        <v>-2.13</v>
      </c>
    </row>
    <row r="27" spans="1:146" ht="96" x14ac:dyDescent="0.25">
      <c r="A27" s="8"/>
      <c r="B27" s="8"/>
      <c r="C27" s="8" t="str">
        <f>""&amp;CHAR(10)&amp;Basic_Fundamental_Information_Constructure(F27)&amp;CHAR(10)&amp;Basic_Fundamental_Information_Concatenate("")</f>
        <v xml:space="preserve">
市值565.54707亿, 利润304.46亿; PE; 平均PE12.49; 平均PEG.18, PB1.07; ROIC2.18%; ROE-6.8267%; 股利率0%; 毛利16.32%; 净利-2.6433%; 上一年度营收增334.11%, 利润增953.79%; 当季营收增-84.24%, 利润增-99.6%; 过往5年营收增70.71%, 利润增135.14%
Income profile:
</v>
      </c>
      <c r="D27" t="s">
        <v>432</v>
      </c>
      <c r="E27" t="s">
        <v>433</v>
      </c>
      <c r="F27">
        <v>3.63</v>
      </c>
      <c r="G27">
        <v>0</v>
      </c>
      <c r="H27" t="s">
        <v>1258</v>
      </c>
      <c r="I27">
        <v>56554707000</v>
      </c>
      <c r="K27">
        <v>1.07</v>
      </c>
      <c r="L27" t="s">
        <v>513</v>
      </c>
      <c r="M27" t="s">
        <v>936</v>
      </c>
      <c r="N27" t="s">
        <v>1259</v>
      </c>
      <c r="O27" t="s">
        <v>937</v>
      </c>
      <c r="P27">
        <v>-3.31</v>
      </c>
      <c r="Q27" t="s">
        <v>1260</v>
      </c>
      <c r="R27">
        <v>32009000</v>
      </c>
      <c r="S27" s="6">
        <v>-0.91269999999999996</v>
      </c>
      <c r="T27" t="s">
        <v>1261</v>
      </c>
      <c r="U27">
        <v>12655327100</v>
      </c>
      <c r="V27">
        <v>15579809000</v>
      </c>
      <c r="W27">
        <v>3.61</v>
      </c>
      <c r="X27">
        <v>7.0000000000000007E-2</v>
      </c>
      <c r="Y27">
        <v>2.69</v>
      </c>
      <c r="Z27" t="s">
        <v>1262</v>
      </c>
      <c r="AA27" t="s">
        <v>1263</v>
      </c>
      <c r="AB27" t="s">
        <v>531</v>
      </c>
      <c r="AC27" t="s">
        <v>1264</v>
      </c>
      <c r="AD27" t="s">
        <v>2</v>
      </c>
      <c r="AE27">
        <v>70290000</v>
      </c>
      <c r="AF27" t="s">
        <v>939</v>
      </c>
      <c r="AG27" t="s">
        <v>1265</v>
      </c>
      <c r="AH27" t="s">
        <v>940</v>
      </c>
      <c r="AI27" t="s">
        <v>1266</v>
      </c>
      <c r="AJ27" t="s">
        <v>941</v>
      </c>
      <c r="AK27" t="s">
        <v>1267</v>
      </c>
      <c r="AL27" t="s">
        <v>942</v>
      </c>
      <c r="AM27" t="s">
        <v>2</v>
      </c>
      <c r="AN27" t="s">
        <v>261</v>
      </c>
      <c r="AO27" t="s">
        <v>1268</v>
      </c>
      <c r="AP27" t="s">
        <v>836</v>
      </c>
      <c r="AQ27" t="s">
        <v>1269</v>
      </c>
      <c r="AR27" t="s">
        <v>207</v>
      </c>
      <c r="AS27" t="s">
        <v>1270</v>
      </c>
      <c r="AT27" t="s">
        <v>1271</v>
      </c>
      <c r="AU27" t="s">
        <v>1272</v>
      </c>
      <c r="AV27" t="s">
        <v>529</v>
      </c>
      <c r="AW27" t="s">
        <v>857</v>
      </c>
      <c r="AX27" t="s">
        <v>943</v>
      </c>
      <c r="AY27" t="s">
        <v>575</v>
      </c>
      <c r="AZ27" t="s">
        <v>576</v>
      </c>
      <c r="BA27" t="s">
        <v>435</v>
      </c>
      <c r="BB27" t="s">
        <v>436</v>
      </c>
      <c r="BC27" t="s">
        <v>574</v>
      </c>
      <c r="BD27" t="s">
        <v>475</v>
      </c>
      <c r="BE27" t="s">
        <v>434</v>
      </c>
      <c r="BF27" t="s">
        <v>378</v>
      </c>
      <c r="BG27" t="s">
        <v>288</v>
      </c>
      <c r="BH27" t="s">
        <v>938</v>
      </c>
      <c r="BI27" t="s">
        <v>1273</v>
      </c>
      <c r="BJ27" t="s">
        <v>943</v>
      </c>
      <c r="BK27" t="s">
        <v>277</v>
      </c>
      <c r="BL27" t="s">
        <v>1274</v>
      </c>
      <c r="BM27" t="s">
        <v>574</v>
      </c>
      <c r="BN27">
        <v>2.1800000000000002</v>
      </c>
      <c r="BO27" t="s">
        <v>2</v>
      </c>
      <c r="BP27" t="s">
        <v>2</v>
      </c>
      <c r="BQ27">
        <v>1.52</v>
      </c>
      <c r="BR27">
        <v>-6.31</v>
      </c>
      <c r="BS27">
        <v>-15.69</v>
      </c>
      <c r="BT27" t="s">
        <v>539</v>
      </c>
      <c r="BU27" t="s">
        <v>513</v>
      </c>
      <c r="BV27">
        <v>18.47</v>
      </c>
      <c r="BW27">
        <v>15.8</v>
      </c>
      <c r="BX27">
        <v>14.69</v>
      </c>
      <c r="BY27">
        <v>1.89</v>
      </c>
      <c r="BZ27">
        <v>-1.98</v>
      </c>
      <c r="CA27">
        <v>-7.84</v>
      </c>
      <c r="CB27">
        <v>-1.89</v>
      </c>
      <c r="CC27">
        <v>-13.78</v>
      </c>
      <c r="CD27" t="s">
        <v>1275</v>
      </c>
      <c r="CE27" t="s">
        <v>286</v>
      </c>
      <c r="CF27" s="9">
        <v>-0.8424159749678235</v>
      </c>
      <c r="CG27" s="10">
        <v>-0.99599085671342691</v>
      </c>
      <c r="CH27" s="9">
        <v>3.3410575389862061</v>
      </c>
      <c r="CI27" s="9">
        <v>-9.7016662359237671E-2</v>
      </c>
      <c r="CJ27" s="9">
        <v>-5.1157165318727493E-2</v>
      </c>
      <c r="CK27" s="9">
        <v>7.8106209635734558E-2</v>
      </c>
      <c r="CL27" s="9">
        <v>0.26446953415870667</v>
      </c>
      <c r="CM27" s="10">
        <v>9.5378580093383789</v>
      </c>
      <c r="CN27" s="10">
        <v>0.64297151565551758</v>
      </c>
      <c r="CO27" s="10">
        <v>-3.6577966213226318</v>
      </c>
      <c r="CP27" s="10">
        <v>7.3407657444477081E-2</v>
      </c>
      <c r="CQ27" s="10">
        <v>0.16042426228523254</v>
      </c>
      <c r="CR27">
        <v>12.489997128975268</v>
      </c>
      <c r="CS27">
        <v>0.17663895297892074</v>
      </c>
      <c r="CT27">
        <v>0</v>
      </c>
      <c r="CU27" s="9">
        <v>0.70709189102053638</v>
      </c>
      <c r="CV27" s="10">
        <v>1.3513729646801949</v>
      </c>
      <c r="CW27">
        <v>0.06</v>
      </c>
      <c r="CX27">
        <v>3.7862822978596693</v>
      </c>
      <c r="CY27">
        <v>49032188409.444565</v>
      </c>
      <c r="CZ27">
        <v>0.70709189102053638</v>
      </c>
      <c r="DA27">
        <v>0.76343985646677037</v>
      </c>
      <c r="DB27">
        <v>243175288043.24435</v>
      </c>
      <c r="DC27">
        <v>0.67173729646950953</v>
      </c>
      <c r="DD27">
        <v>0.17836225283574197</v>
      </c>
      <c r="DE27">
        <v>1040857603267.4874</v>
      </c>
      <c r="DF27">
        <v>0.622240864098072</v>
      </c>
      <c r="DG27">
        <v>4.0668349220713135E-2</v>
      </c>
      <c r="DH27">
        <v>4564967857250.6504</v>
      </c>
      <c r="DI27">
        <v>0.56567351281642908</v>
      </c>
      <c r="DJ27">
        <v>1.8320435970844884E-3</v>
      </c>
      <c r="DK27">
        <v>101334764792411.42</v>
      </c>
      <c r="DL27">
        <v>0.49496432371437543</v>
      </c>
      <c r="DM27">
        <v>30445999999.999996</v>
      </c>
      <c r="DN27">
        <v>0.70709189102053638</v>
      </c>
      <c r="DO27">
        <v>185649707000</v>
      </c>
      <c r="DP27">
        <v>25430270000</v>
      </c>
      <c r="DQ27">
        <v>3775</v>
      </c>
      <c r="DR27">
        <v>-1.5495078659883599</v>
      </c>
      <c r="DS27">
        <v>-2.3473638213936217</v>
      </c>
      <c r="DT27" s="11">
        <v>-4.0000000000000036E-2</v>
      </c>
      <c r="DU27">
        <v>-0.84</v>
      </c>
      <c r="DV27">
        <v>-0.88</v>
      </c>
      <c r="DW27">
        <v>-2.1377999999999999</v>
      </c>
      <c r="DX27">
        <v>0.31366271638418208</v>
      </c>
      <c r="DY27">
        <v>-2.0142847223177403</v>
      </c>
      <c r="DZ27">
        <v>4294</v>
      </c>
      <c r="EA27">
        <v>-2.0022810828593496</v>
      </c>
      <c r="EB27">
        <v>2</v>
      </c>
      <c r="EC27">
        <v>5.8884868229129124E-3</v>
      </c>
      <c r="ED27">
        <v>5.6804290732960845E-2</v>
      </c>
      <c r="EE27" s="12">
        <v>-2.01301</v>
      </c>
      <c r="EF27">
        <v>-2.03281</v>
      </c>
      <c r="EG27">
        <v>21.103662716384182</v>
      </c>
      <c r="EH27" t="s">
        <v>551</v>
      </c>
      <c r="EI27">
        <v>0</v>
      </c>
      <c r="EJ27">
        <v>0</v>
      </c>
      <c r="EK27" s="13">
        <v>45470</v>
      </c>
      <c r="EL27">
        <v>-0.39</v>
      </c>
      <c r="EM27">
        <v>-2.36</v>
      </c>
      <c r="EN27">
        <v>-0.81</v>
      </c>
      <c r="EO27">
        <v>2.44</v>
      </c>
      <c r="EP27">
        <v>-1.98</v>
      </c>
    </row>
    <row r="28" spans="1:146" ht="144" x14ac:dyDescent="0.25">
      <c r="A28" s="8"/>
      <c r="B28" s="8"/>
      <c r="C28" s="8" t="str">
        <f>"公司主营业务为提供测试系统及智能制造设备的综合性测试装备。公司主要产品有测试电源、氢能测试及智能制造装备、功率半导体测试及智能制造装备等。"&amp;CHAR(10)&amp;Basic_Fundamental_Information_Constructure(F28)&amp;CHAR(10)&amp;Basic_Fundamental_Information_Concatenate("测试电源	2.66亿	70.94%	78.02%	54.79%
氢能测试及智能制造装备	8235.39万	21.95%	18.99%	43.09%
功率半导体测试及智能制造装备	2282.40万	6.08%	2.07%	16.93%")</f>
        <v>公司主营业务为提供测试系统及智能制造设备的综合性测试装备。公司主要产品有测试电源、氢能测试及智能制造装备、功率半导体测试及智能制造装备等。
市值24.202655亿, 利润1.02亿; PE21.36; 平均PE39.17; 平均PEG.91, PB1.82; ROIC5.4067%; ROE6.5%; 股利率2.0776%; 毛利51.7067%; 净利20.36%; 上一年度营收增93.6%, 利润增63.92%; 当季营收增118.13%, 利润增207.34%; 过往5年营收增42.89%, 利润增29.55%
Income profile:
测试电源	2.66亿	70.94%	78.02%	54.79%
氢能测试及智能制造装备	8235.39万	21.95%	18.99%	43.09%
功率半导体测试及智能制造装备	2282.40万	6.08%	2.07%	16.93%</v>
      </c>
      <c r="D28" t="s">
        <v>437</v>
      </c>
      <c r="E28" t="s">
        <v>438</v>
      </c>
      <c r="F28">
        <v>28.88</v>
      </c>
      <c r="G28">
        <v>1.19</v>
      </c>
      <c r="H28" t="s">
        <v>1276</v>
      </c>
      <c r="I28">
        <v>2420265500</v>
      </c>
      <c r="J28">
        <v>21.36</v>
      </c>
      <c r="K28">
        <v>1.82</v>
      </c>
      <c r="L28" t="s">
        <v>513</v>
      </c>
      <c r="M28" t="s">
        <v>96</v>
      </c>
      <c r="N28" t="s">
        <v>813</v>
      </c>
      <c r="O28" t="s">
        <v>213</v>
      </c>
      <c r="P28">
        <v>14.37</v>
      </c>
      <c r="Q28" t="s">
        <v>147</v>
      </c>
      <c r="R28">
        <v>18328172</v>
      </c>
      <c r="S28" s="6">
        <v>-0.17050000000000001</v>
      </c>
      <c r="T28" t="s">
        <v>95</v>
      </c>
      <c r="U28">
        <v>83804207</v>
      </c>
      <c r="V28">
        <v>83804207</v>
      </c>
      <c r="W28">
        <v>1.32</v>
      </c>
      <c r="X28">
        <v>0.06</v>
      </c>
      <c r="Y28">
        <v>16.21</v>
      </c>
      <c r="Z28" t="s">
        <v>95</v>
      </c>
      <c r="AA28" t="s">
        <v>1277</v>
      </c>
      <c r="AB28" t="s">
        <v>1278</v>
      </c>
      <c r="AC28" t="s">
        <v>1279</v>
      </c>
      <c r="AD28" t="s">
        <v>2</v>
      </c>
      <c r="AE28">
        <v>-3778616</v>
      </c>
      <c r="AF28" t="s">
        <v>18</v>
      </c>
      <c r="AG28" t="s">
        <v>1280</v>
      </c>
      <c r="AH28" t="s">
        <v>947</v>
      </c>
      <c r="AI28" t="s">
        <v>189</v>
      </c>
      <c r="AJ28" t="s">
        <v>948</v>
      </c>
      <c r="AK28" t="s">
        <v>1281</v>
      </c>
      <c r="AL28" t="s">
        <v>949</v>
      </c>
      <c r="AM28" t="s">
        <v>2</v>
      </c>
      <c r="AN28" t="s">
        <v>1282</v>
      </c>
      <c r="AO28" t="s">
        <v>950</v>
      </c>
      <c r="AP28" t="s">
        <v>188</v>
      </c>
      <c r="AQ28" t="s">
        <v>45</v>
      </c>
      <c r="AR28" t="s">
        <v>2</v>
      </c>
      <c r="AS28" t="s">
        <v>263</v>
      </c>
      <c r="AT28" t="s">
        <v>2</v>
      </c>
      <c r="AU28" t="s">
        <v>1283</v>
      </c>
      <c r="AV28" t="s">
        <v>708</v>
      </c>
      <c r="AW28" t="s">
        <v>1284</v>
      </c>
      <c r="AX28" t="s">
        <v>297</v>
      </c>
      <c r="AY28" t="s">
        <v>100</v>
      </c>
      <c r="AZ28" t="s">
        <v>93</v>
      </c>
      <c r="BA28" t="s">
        <v>75</v>
      </c>
      <c r="BB28" t="s">
        <v>60</v>
      </c>
      <c r="BC28" t="s">
        <v>579</v>
      </c>
      <c r="BD28" t="s">
        <v>476</v>
      </c>
      <c r="BE28" t="s">
        <v>439</v>
      </c>
      <c r="BF28" t="s">
        <v>440</v>
      </c>
      <c r="BG28" t="s">
        <v>441</v>
      </c>
      <c r="BH28" t="s">
        <v>107</v>
      </c>
      <c r="BI28" t="s">
        <v>1285</v>
      </c>
      <c r="BJ28" t="s">
        <v>297</v>
      </c>
      <c r="BK28" t="s">
        <v>148</v>
      </c>
      <c r="BL28" t="s">
        <v>1286</v>
      </c>
      <c r="BM28" t="s">
        <v>579</v>
      </c>
      <c r="BN28">
        <v>5.86</v>
      </c>
      <c r="BO28">
        <v>4.7</v>
      </c>
      <c r="BP28">
        <v>5.66</v>
      </c>
      <c r="BQ28">
        <v>7.15</v>
      </c>
      <c r="BR28">
        <v>6.29</v>
      </c>
      <c r="BS28">
        <v>6.06</v>
      </c>
      <c r="BT28" t="s">
        <v>544</v>
      </c>
      <c r="BU28" t="s">
        <v>513</v>
      </c>
      <c r="BV28">
        <v>53.87</v>
      </c>
      <c r="BW28">
        <v>49.82</v>
      </c>
      <c r="BX28">
        <v>51.43</v>
      </c>
      <c r="BY28">
        <v>21.93</v>
      </c>
      <c r="BZ28">
        <v>16.22</v>
      </c>
      <c r="CA28">
        <v>22.93</v>
      </c>
      <c r="CB28">
        <v>-8.32</v>
      </c>
      <c r="CC28">
        <v>-20.48</v>
      </c>
      <c r="CD28" t="s">
        <v>1287</v>
      </c>
      <c r="CE28" t="s">
        <v>1288</v>
      </c>
      <c r="CF28" s="9">
        <v>1.1812822402358145</v>
      </c>
      <c r="CG28" s="10">
        <v>2.0734173567755612</v>
      </c>
      <c r="CH28" s="9">
        <v>0.93599998950958252</v>
      </c>
      <c r="CI28" s="9">
        <v>0.51209676265716553</v>
      </c>
      <c r="CJ28" s="9">
        <v>0.5308641791343689</v>
      </c>
      <c r="CK28" s="9">
        <v>-4.1420117020606995E-2</v>
      </c>
      <c r="CL28" s="9">
        <v>0.20714285969734192</v>
      </c>
      <c r="CM28" s="10">
        <v>0.63922309875488281</v>
      </c>
      <c r="CN28" s="10">
        <v>9.326886385679245E-2</v>
      </c>
      <c r="CO28" s="10">
        <v>5.3332790732383728E-2</v>
      </c>
      <c r="CP28" s="10">
        <v>-0.12324395030736923</v>
      </c>
      <c r="CQ28" s="10">
        <v>0.81497395038604736</v>
      </c>
      <c r="CR28">
        <v>39.166981109938448</v>
      </c>
      <c r="CS28">
        <v>0.91311790137548565</v>
      </c>
      <c r="CT28">
        <v>2.0775623268698062</v>
      </c>
      <c r="CU28" s="9">
        <v>0.42893673479557037</v>
      </c>
      <c r="CV28" s="10">
        <v>0.29551095068454741</v>
      </c>
      <c r="CW28">
        <v>0.06</v>
      </c>
      <c r="CX28">
        <v>11.005450463998487</v>
      </c>
      <c r="CY28">
        <v>137501459.38598883</v>
      </c>
      <c r="CZ28">
        <v>0.42893673479557037</v>
      </c>
      <c r="DA28">
        <v>2.7312010062871215</v>
      </c>
      <c r="DB28">
        <v>554065957.2534281</v>
      </c>
      <c r="DC28">
        <v>0.40748989805579183</v>
      </c>
      <c r="DD28">
        <v>0.89613001736162867</v>
      </c>
      <c r="DE28">
        <v>1688667348.1325083</v>
      </c>
      <c r="DF28">
        <v>0.37746432662010193</v>
      </c>
      <c r="DG28">
        <v>0.32341309542918062</v>
      </c>
      <c r="DH28">
        <v>4679048317.4215412</v>
      </c>
      <c r="DI28">
        <v>0.34314938783645632</v>
      </c>
      <c r="DJ28">
        <v>4.6866649114955285E-2</v>
      </c>
      <c r="DK28">
        <v>32288749645.579262</v>
      </c>
      <c r="DL28">
        <v>0.30025571435689924</v>
      </c>
      <c r="DM28">
        <v>102000000</v>
      </c>
      <c r="DN28">
        <v>0.42893673479557037</v>
      </c>
      <c r="DO28">
        <v>1513265500</v>
      </c>
      <c r="DP28">
        <v>1074978500</v>
      </c>
      <c r="DQ28">
        <v>4965</v>
      </c>
      <c r="DR28">
        <v>0.75234550544024414</v>
      </c>
      <c r="DS28">
        <v>1.7779064060910137</v>
      </c>
      <c r="DT28" s="11">
        <v>0.27666666666666662</v>
      </c>
      <c r="DU28">
        <v>0.75333333333333341</v>
      </c>
      <c r="DV28">
        <v>1.03</v>
      </c>
      <c r="DW28">
        <v>-9.40625</v>
      </c>
      <c r="DX28">
        <v>0.3606197598325025</v>
      </c>
      <c r="DY28">
        <v>-9.0449392774319541</v>
      </c>
      <c r="DZ28">
        <v>3415</v>
      </c>
      <c r="EA28">
        <v>-9.0149064726511074</v>
      </c>
      <c r="EB28">
        <v>9</v>
      </c>
      <c r="EC28">
        <v>2.8117920142123654E-2</v>
      </c>
      <c r="ED28">
        <v>0.25418532986058801</v>
      </c>
      <c r="EE28" s="12">
        <v>9.5799999999999996E-2</v>
      </c>
      <c r="EF28">
        <v>6.4799999999999996E-2</v>
      </c>
      <c r="EG28">
        <v>25.110619759832502</v>
      </c>
      <c r="EH28" t="s">
        <v>481</v>
      </c>
      <c r="EI28">
        <v>0</v>
      </c>
      <c r="EJ28">
        <v>0</v>
      </c>
      <c r="EK28" s="13">
        <v>45470</v>
      </c>
      <c r="EL28">
        <v>-1.52</v>
      </c>
      <c r="EM28">
        <v>-4.63</v>
      </c>
      <c r="EN28">
        <v>0</v>
      </c>
      <c r="EO28">
        <v>2.2999999999999998</v>
      </c>
      <c r="EP28">
        <v>-3.1</v>
      </c>
    </row>
    <row r="29" spans="1:146" ht="168" x14ac:dyDescent="0.25">
      <c r="A29" s="8" t="s">
        <v>720</v>
      </c>
      <c r="B29" s="8" t="s">
        <v>732</v>
      </c>
      <c r="C29" s="8" t="str">
        <f>"公司主营业务为电力电子变换和控制设备的研发、生产和销售，主要产品为精密测试电源、精密特种电源和电能质量控制设备，产品广泛应用于光伏储能、电动汽车、航空航天、轨道交通、科研试验、电力配网、特种装备等诸多行业领域。"&amp;CHAR(10)&amp;Basic_Fundamental_Information_Constructure(F29)&amp;CHAR(10)&amp;Basic_Fundamental_Information_Concatenate("精密测试电源	1.98亿	63.54%	74.90%	56.09%
电能质量控制设备	5432.95万	17.46%	10.66%	29.04%
特种电源	4817.63万	15.48%	12.83%	39.42%")</f>
        <v>公司主营业务为电力电子变换和控制设备的研发、生产和销售，主要产品为精密测试电源、精密特种电源和电能质量控制设备，产品广泛应用于光伏储能、电动汽车、航空航天、轨道交通、科研试验、电力配网、特种装备等诸多行业领域。
市值28.188658亿, 利润3265.73万; PE21.75; 平均PE95.06; 平均PEG5.47, PB1.54; ROIC12.7933%; ROE21.58%; 股利率2.0931%; 毛利42.8967%; 净利12.9633%; 上一年度营收增-37.82%, 利润增-52.47%; 当季营收增91.16%, 利润增51.03%; 过往5年营收增17.39%, 利润增92.82%
Income profile:
精密测试电源	1.98亿	63.54%	74.90%	56.09%
电能质量控制设备	5432.95万	17.46%	10.66%	29.04%
特种电源	4817.63万	15.48%	12.83%	39.42%</v>
      </c>
      <c r="D29" t="s">
        <v>705</v>
      </c>
      <c r="E29" t="s">
        <v>706</v>
      </c>
      <c r="F29">
        <v>24.43</v>
      </c>
      <c r="G29">
        <v>0.95</v>
      </c>
      <c r="H29" t="s">
        <v>1289</v>
      </c>
      <c r="I29">
        <v>2818865800</v>
      </c>
      <c r="J29">
        <v>21.75</v>
      </c>
      <c r="K29">
        <v>1.54</v>
      </c>
      <c r="L29" t="s">
        <v>513</v>
      </c>
      <c r="M29" t="s">
        <v>92</v>
      </c>
      <c r="N29" t="s">
        <v>345</v>
      </c>
      <c r="O29" t="s">
        <v>102</v>
      </c>
      <c r="P29" s="6">
        <v>45.47</v>
      </c>
      <c r="Q29" t="s">
        <v>272</v>
      </c>
      <c r="R29">
        <v>5343019</v>
      </c>
      <c r="S29">
        <v>-0.62790000000000001</v>
      </c>
      <c r="T29" t="s">
        <v>1290</v>
      </c>
      <c r="U29">
        <v>27026528</v>
      </c>
      <c r="V29">
        <v>115385418</v>
      </c>
      <c r="W29">
        <v>1.25</v>
      </c>
      <c r="X29">
        <v>0.06</v>
      </c>
      <c r="Y29">
        <v>3.76</v>
      </c>
      <c r="Z29" t="s">
        <v>208</v>
      </c>
      <c r="AA29" t="s">
        <v>1291</v>
      </c>
      <c r="AB29" t="s">
        <v>1292</v>
      </c>
      <c r="AC29" t="s">
        <v>1293</v>
      </c>
      <c r="AD29" t="s">
        <v>2</v>
      </c>
      <c r="AE29">
        <v>-561962</v>
      </c>
      <c r="AF29" t="s">
        <v>951</v>
      </c>
      <c r="AG29" t="s">
        <v>1294</v>
      </c>
      <c r="AH29" t="s">
        <v>952</v>
      </c>
      <c r="AI29" t="s">
        <v>1295</v>
      </c>
      <c r="AJ29" t="s">
        <v>953</v>
      </c>
      <c r="AK29" t="s">
        <v>1296</v>
      </c>
      <c r="AL29" t="s">
        <v>954</v>
      </c>
      <c r="AM29" t="s">
        <v>2</v>
      </c>
      <c r="AN29" t="s">
        <v>1297</v>
      </c>
      <c r="AO29" t="s">
        <v>1298</v>
      </c>
      <c r="AP29" t="s">
        <v>1299</v>
      </c>
      <c r="AQ29" t="s">
        <v>108</v>
      </c>
      <c r="AR29" t="s">
        <v>2</v>
      </c>
      <c r="AS29" t="s">
        <v>168</v>
      </c>
      <c r="AT29" t="s">
        <v>2</v>
      </c>
      <c r="AU29" t="s">
        <v>1300</v>
      </c>
      <c r="AV29" t="s">
        <v>1301</v>
      </c>
      <c r="AW29" t="s">
        <v>1302</v>
      </c>
      <c r="AX29" t="s">
        <v>528</v>
      </c>
      <c r="AY29" t="s">
        <v>671</v>
      </c>
      <c r="AZ29" t="s">
        <v>337</v>
      </c>
      <c r="BA29" t="s">
        <v>196</v>
      </c>
      <c r="BB29" t="s">
        <v>2</v>
      </c>
      <c r="BC29" t="s">
        <v>955</v>
      </c>
      <c r="BD29" t="s">
        <v>717</v>
      </c>
      <c r="BE29" t="s">
        <v>718</v>
      </c>
      <c r="BF29" t="s">
        <v>719</v>
      </c>
      <c r="BG29" t="s">
        <v>2</v>
      </c>
      <c r="BH29" t="s">
        <v>282</v>
      </c>
      <c r="BI29" t="s">
        <v>1303</v>
      </c>
      <c r="BJ29" t="s">
        <v>528</v>
      </c>
      <c r="BK29" t="s">
        <v>208</v>
      </c>
      <c r="BL29" t="s">
        <v>1304</v>
      </c>
      <c r="BM29" t="s">
        <v>955</v>
      </c>
      <c r="BN29">
        <v>7.55</v>
      </c>
      <c r="BO29">
        <v>15.52</v>
      </c>
      <c r="BP29">
        <v>15.31</v>
      </c>
      <c r="BQ29">
        <v>21.82</v>
      </c>
      <c r="BR29">
        <v>21.34</v>
      </c>
      <c r="BS29" t="s">
        <v>2</v>
      </c>
      <c r="BT29" t="s">
        <v>1305</v>
      </c>
      <c r="BU29" t="s">
        <v>513</v>
      </c>
      <c r="BV29">
        <v>45.24</v>
      </c>
      <c r="BW29">
        <v>44.08</v>
      </c>
      <c r="BX29">
        <v>39.369999999999997</v>
      </c>
      <c r="BY29">
        <v>16.239999999999998</v>
      </c>
      <c r="BZ29">
        <v>12.1</v>
      </c>
      <c r="CA29">
        <v>10.55</v>
      </c>
      <c r="CB29">
        <v>-6.29</v>
      </c>
      <c r="CC29" s="9">
        <v>-19.079999999999998</v>
      </c>
      <c r="CD29" s="10" t="s">
        <v>1306</v>
      </c>
      <c r="CE29" s="9" t="s">
        <v>1307</v>
      </c>
      <c r="CF29" s="9">
        <v>0.91162435046632473</v>
      </c>
      <c r="CG29" s="9">
        <v>0.51026598451014771</v>
      </c>
      <c r="CH29" s="9">
        <v>-0.37823835015296936</v>
      </c>
      <c r="CI29" s="9">
        <v>0.11346153914928436</v>
      </c>
      <c r="CJ29" s="10">
        <v>0.40161725878715515</v>
      </c>
      <c r="CK29" s="10">
        <v>0.55882352590560913</v>
      </c>
      <c r="CL29" s="10" t="s">
        <v>2</v>
      </c>
      <c r="CM29" s="10">
        <v>-0.5247151255607605</v>
      </c>
      <c r="CN29" s="10">
        <v>0.44588682055473328</v>
      </c>
      <c r="CO29">
        <v>1.8276964426040649</v>
      </c>
      <c r="CP29">
        <v>1.9640941619873047</v>
      </c>
      <c r="CQ29" t="s">
        <v>2</v>
      </c>
      <c r="CR29" s="9">
        <v>95.062317850376459</v>
      </c>
      <c r="CS29" s="10">
        <v>5.4659905612915178</v>
      </c>
      <c r="CT29">
        <v>2.0930822758902989</v>
      </c>
      <c r="CU29">
        <v>0.17391599342226982</v>
      </c>
      <c r="CV29">
        <v>0.9282405748963356</v>
      </c>
      <c r="CW29">
        <v>0.06</v>
      </c>
      <c r="CX29">
        <v>39.728738744724801</v>
      </c>
      <c r="CY29">
        <v>36166912.049046308</v>
      </c>
      <c r="CZ29">
        <v>0.17391599342226982</v>
      </c>
      <c r="DA29">
        <v>12.100817691725497</v>
      </c>
      <c r="DB29">
        <v>118741215.39592525</v>
      </c>
      <c r="DC29">
        <v>0.16522019375115632</v>
      </c>
      <c r="DD29">
        <v>5.4065226313155952</v>
      </c>
      <c r="DE29">
        <v>265765242.83416545</v>
      </c>
      <c r="DF29">
        <v>0.15304607421159744</v>
      </c>
      <c r="DG29">
        <v>2.8987642430218217</v>
      </c>
      <c r="DH29">
        <v>495682187.14542204</v>
      </c>
      <c r="DI29">
        <v>0.13913279473781587</v>
      </c>
      <c r="DJ29">
        <v>1.1517187712974182</v>
      </c>
      <c r="DK29">
        <v>1247583903.1271169</v>
      </c>
      <c r="DL29">
        <v>0.12174119539558886</v>
      </c>
      <c r="DM29">
        <v>32657300</v>
      </c>
      <c r="DN29">
        <v>0.17391599342226982</v>
      </c>
      <c r="DO29">
        <v>1436865800.0000002</v>
      </c>
      <c r="DP29">
        <v>1640349400</v>
      </c>
      <c r="DQ29" s="11">
        <v>5087</v>
      </c>
      <c r="DR29">
        <v>0.73770835704405491</v>
      </c>
      <c r="DS29">
        <v>-0.41797459038618789</v>
      </c>
      <c r="DT29">
        <v>-0.42800000000000005</v>
      </c>
      <c r="DU29">
        <v>1.2598000000000003</v>
      </c>
      <c r="DV29">
        <v>0.83180000000000021</v>
      </c>
      <c r="DW29">
        <v>-9.3296645702306087</v>
      </c>
      <c r="DX29">
        <v>0.32535647279549834</v>
      </c>
      <c r="DY29">
        <v>-9.0479188791343645</v>
      </c>
      <c r="DZ29">
        <v>949</v>
      </c>
      <c r="EA29">
        <v>-9.0390196587236975</v>
      </c>
      <c r="EB29" s="12">
        <v>9</v>
      </c>
      <c r="EC29" s="12">
        <v>2.6857813177051541E-2</v>
      </c>
      <c r="ED29">
        <v>0.18477204805896705</v>
      </c>
      <c r="EE29">
        <v>6.0170000000000003</v>
      </c>
      <c r="EF29">
        <v>6.0605099999999998</v>
      </c>
      <c r="EG29">
        <v>18.145356472795498</v>
      </c>
      <c r="EH29" s="13" t="s">
        <v>946</v>
      </c>
      <c r="EI29">
        <v>0</v>
      </c>
      <c r="EJ29">
        <v>1</v>
      </c>
      <c r="EK29">
        <v>45470</v>
      </c>
      <c r="EL29">
        <v>-13.46</v>
      </c>
      <c r="EM29">
        <v>-2.78</v>
      </c>
      <c r="EN29">
        <v>3.6</v>
      </c>
      <c r="EO29">
        <v>-1.8</v>
      </c>
      <c r="EP29">
        <v>-7.75</v>
      </c>
    </row>
    <row r="30" spans="1:146" x14ac:dyDescent="0.25">
      <c r="A30" s="8"/>
      <c r="B30" s="8"/>
      <c r="C30" s="8"/>
      <c r="D30"/>
      <c r="S30" s="6"/>
    </row>
    <row r="31" spans="1:146" x14ac:dyDescent="0.25">
      <c r="A31" s="8"/>
      <c r="B31" s="8"/>
      <c r="C31" s="8"/>
      <c r="D31"/>
      <c r="S31" s="6"/>
    </row>
    <row r="32" spans="1:146" x14ac:dyDescent="0.25">
      <c r="A32" s="8"/>
      <c r="B32" s="8"/>
      <c r="C32" s="8"/>
      <c r="D32"/>
      <c r="S32" s="6"/>
    </row>
    <row r="33" spans="1:19" x14ac:dyDescent="0.25">
      <c r="A33" s="8"/>
      <c r="B33" s="8"/>
      <c r="C33" s="8"/>
      <c r="D33"/>
      <c r="S33" s="6"/>
    </row>
    <row r="34" spans="1:19" x14ac:dyDescent="0.25">
      <c r="A34" s="8"/>
      <c r="B34" s="8"/>
      <c r="C34" s="8"/>
      <c r="D34"/>
      <c r="S34" s="6"/>
    </row>
    <row r="35" spans="1:19" x14ac:dyDescent="0.25">
      <c r="A35" s="8"/>
      <c r="B35" s="8"/>
      <c r="C35" s="8"/>
      <c r="D35"/>
      <c r="S35" s="6"/>
    </row>
  </sheetData>
  <autoFilter ref="BU1:BU35"/>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其他电源设备&quot;,&quot;&quot;'" altText="更新基本面按钮_x000a_">
                <anchor moveWithCells="1" sizeWithCells="1">
                  <from>
                    <xdr:col>147</xdr:col>
                    <xdr:colOff>412750</xdr:colOff>
                    <xdr:row>0</xdr:row>
                    <xdr:rowOff>50800</xdr:rowOff>
                  </from>
                  <to>
                    <xdr:col>147</xdr:col>
                    <xdr:colOff>1593850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484</v>
      </c>
      <c r="B1" t="s">
        <v>485</v>
      </c>
      <c r="C1" t="s">
        <v>486</v>
      </c>
      <c r="D1" t="s">
        <v>487</v>
      </c>
      <c r="E1" t="s">
        <v>488</v>
      </c>
      <c r="F1" t="s">
        <v>489</v>
      </c>
      <c r="G1" t="s">
        <v>490</v>
      </c>
      <c r="H1" t="s">
        <v>491</v>
      </c>
      <c r="I1" t="s">
        <v>492</v>
      </c>
      <c r="J1" t="s">
        <v>493</v>
      </c>
      <c r="K1" t="s">
        <v>494</v>
      </c>
      <c r="L1" t="s">
        <v>495</v>
      </c>
      <c r="M1" t="s">
        <v>496</v>
      </c>
      <c r="N1" t="s">
        <v>497</v>
      </c>
      <c r="O1" t="s">
        <v>498</v>
      </c>
      <c r="P1" t="s">
        <v>499</v>
      </c>
      <c r="S1" t="s">
        <v>485</v>
      </c>
      <c r="T1" t="s">
        <v>486</v>
      </c>
      <c r="U1" t="s">
        <v>487</v>
      </c>
      <c r="V1" t="s">
        <v>488</v>
      </c>
      <c r="W1" t="s">
        <v>489</v>
      </c>
      <c r="X1" t="s">
        <v>490</v>
      </c>
      <c r="Y1" t="s">
        <v>491</v>
      </c>
      <c r="Z1" t="s">
        <v>492</v>
      </c>
      <c r="AA1" t="s">
        <v>493</v>
      </c>
      <c r="AB1" t="s">
        <v>494</v>
      </c>
      <c r="AC1" t="s">
        <v>495</v>
      </c>
      <c r="AD1" t="s">
        <v>496</v>
      </c>
      <c r="AE1" t="s">
        <v>500</v>
      </c>
      <c r="AF1" t="s">
        <v>501</v>
      </c>
      <c r="AG1" t="s">
        <v>502</v>
      </c>
    </row>
    <row r="2" spans="1:33" x14ac:dyDescent="0.25">
      <c r="A2" t="s">
        <v>503</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504</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722</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723</v>
      </c>
    </row>
    <row r="5" spans="1:30" x14ac:dyDescent="0.25">
      <c r="A5" s="14">
        <v>1</v>
      </c>
      <c r="B5" s="14">
        <f>A5*$A$4+A5</f>
        <v>1.43</v>
      </c>
      <c r="C5" s="14">
        <f t="shared" ref="C5:AD5" si="1">B5*$A$4+B5</f>
        <v>2.0449000000000002</v>
      </c>
      <c r="D5" s="14">
        <f t="shared" si="1"/>
        <v>2.924207</v>
      </c>
      <c r="E5" s="14">
        <f t="shared" si="1"/>
        <v>4.1816160099999999</v>
      </c>
      <c r="F5" s="14">
        <f t="shared" si="1"/>
        <v>5.9797108943000001</v>
      </c>
      <c r="G5" s="14">
        <f t="shared" si="1"/>
        <v>8.5509865788490007</v>
      </c>
      <c r="H5" s="14">
        <f t="shared" si="1"/>
        <v>12.227910807754071</v>
      </c>
      <c r="I5" s="14">
        <f t="shared" si="1"/>
        <v>17.485912455088322</v>
      </c>
      <c r="J5" s="14">
        <f t="shared" si="1"/>
        <v>25.004854810776301</v>
      </c>
      <c r="K5" s="14">
        <f t="shared" si="1"/>
        <v>35.756942379410113</v>
      </c>
      <c r="L5" s="14">
        <f t="shared" si="1"/>
        <v>51.132427602556461</v>
      </c>
      <c r="M5" s="14">
        <f t="shared" si="1"/>
        <v>73.119371471655739</v>
      </c>
      <c r="N5" s="14">
        <f t="shared" si="1"/>
        <v>104.5607012044677</v>
      </c>
      <c r="O5" s="14">
        <f t="shared" si="1"/>
        <v>149.52180272238883</v>
      </c>
      <c r="P5">
        <f t="shared" si="1"/>
        <v>213.816177893016</v>
      </c>
      <c r="Q5">
        <f t="shared" si="1"/>
        <v>305.75713438701291</v>
      </c>
      <c r="R5">
        <f t="shared" si="1"/>
        <v>437.23270217342849</v>
      </c>
      <c r="S5" s="14">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724</v>
      </c>
    </row>
    <row r="7" spans="1:30" x14ac:dyDescent="0.25">
      <c r="A7" s="15">
        <f>SUM($A$5:A5)</f>
        <v>1</v>
      </c>
      <c r="B7" s="15">
        <f>SUM($A$5:B5)</f>
        <v>2.4299999999999997</v>
      </c>
      <c r="C7" s="15">
        <f>SUM($A$5:C5)</f>
        <v>4.4748999999999999</v>
      </c>
      <c r="D7" s="15">
        <f>SUM($A$5:D5)</f>
        <v>7.3991069999999999</v>
      </c>
      <c r="E7" s="15">
        <f>SUM($A$5:E5)</f>
        <v>11.58072301</v>
      </c>
      <c r="F7" s="15">
        <f>SUM($A$5:F5)</f>
        <v>17.560433904299998</v>
      </c>
      <c r="G7" s="15">
        <f>SUM($A$5:G5)</f>
        <v>26.111420483148997</v>
      </c>
      <c r="H7" s="15">
        <f>SUM($A$5:H5)</f>
        <v>38.339331290903068</v>
      </c>
      <c r="I7" s="15">
        <f>SUM($A$5:I5)</f>
        <v>55.825243745991386</v>
      </c>
      <c r="J7" s="15">
        <f>SUM($A$5:J5)</f>
        <v>80.830098556767695</v>
      </c>
      <c r="K7" s="15">
        <f>SUM($A$5:K5)</f>
        <v>116.5870409361778</v>
      </c>
      <c r="L7" s="15">
        <f>SUM($A$5:L5)</f>
        <v>167.71946853873425</v>
      </c>
      <c r="M7" s="15">
        <f>SUM($A$5:M5)</f>
        <v>240.83884001038999</v>
      </c>
      <c r="N7" s="15">
        <f>SUM($A$5:N5)</f>
        <v>345.39954121485766</v>
      </c>
      <c r="O7" s="15">
        <f>SUM($A$5:O5)</f>
        <v>494.92134393724649</v>
      </c>
      <c r="P7" s="15">
        <f>SUM($A$5:P5)</f>
        <v>708.73752183026249</v>
      </c>
      <c r="Q7" s="15">
        <f>SUM($A$5:Q5)</f>
        <v>1014.4946562172754</v>
      </c>
      <c r="R7" s="15">
        <f>SUM($A$5:R5)</f>
        <v>1451.727358390704</v>
      </c>
      <c r="S7" s="15">
        <f>SUM($A$5:S5)</f>
        <v>2076.9701224987066</v>
      </c>
      <c r="T7" s="15">
        <f>SUM($A$5:T5)</f>
        <v>2971.0672751731508</v>
      </c>
      <c r="U7" s="15">
        <f>SUM($A$5:U5)</f>
        <v>4249.6262034976062</v>
      </c>
      <c r="V7" s="15">
        <f>SUM($A$5:V5)</f>
        <v>6077.9654710015766</v>
      </c>
      <c r="W7" s="15">
        <f>SUM($A$5:W5)</f>
        <v>8692.4906235322542</v>
      </c>
      <c r="X7" s="15">
        <f>SUM($A$5:X5)</f>
        <v>12431.261591651124</v>
      </c>
      <c r="Y7" s="15">
        <f>SUM($A$5:Y5)</f>
        <v>17777.704076061105</v>
      </c>
      <c r="Z7" s="15">
        <f>SUM($A$5:Z5)</f>
        <v>25423.116828767379</v>
      </c>
      <c r="AA7" s="15">
        <f>SUM($A$5:AA5)</f>
        <v>36356.057065137356</v>
      </c>
      <c r="AB7" s="15">
        <f>SUM($A$5:AB5)</f>
        <v>51990.161603146422</v>
      </c>
      <c r="AC7" s="15">
        <f>SUM($A$5:AC5)</f>
        <v>74346.931092499377</v>
      </c>
      <c r="AD7" s="15">
        <f>SUM($A$5:AD5)</f>
        <v>106317.1114622741</v>
      </c>
    </row>
    <row r="8" spans="1:30" x14ac:dyDescent="0.25">
      <c r="A8" s="1" t="s">
        <v>725</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726</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727</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728</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729</v>
      </c>
      <c r="B14">
        <v>0.3</v>
      </c>
      <c r="C14" t="s">
        <v>730</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2024-07-09T14:19:15Z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